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asıl Kullanılır" sheetId="1" state="visible" r:id="rId1"/>
    <sheet xmlns:r="http://schemas.openxmlformats.org/officeDocument/2006/relationships" name="Özet" sheetId="2" state="visible" r:id="rId2"/>
    <sheet xmlns:r="http://schemas.openxmlformats.org/officeDocument/2006/relationships" name="Olaylar" sheetId="3" state="visible" r:id="rId3"/>
    <sheet xmlns:r="http://schemas.openxmlformats.org/officeDocument/2006/relationships" name="Seçimler" sheetId="4" state="visible" r:id="rId4"/>
    <sheet xmlns:r="http://schemas.openxmlformats.org/officeDocument/2006/relationships" name="İç Sesler" sheetId="5" state="visible" r:id="rId5"/>
    <sheet xmlns:r="http://schemas.openxmlformats.org/officeDocument/2006/relationships" name="Geçmişten" sheetId="6" state="visible" r:id="rId6"/>
    <sheet xmlns:r="http://schemas.openxmlformats.org/officeDocument/2006/relationships" name="Özellikler" sheetId="7" state="visible" r:id="rId7"/>
    <sheet xmlns:r="http://schemas.openxmlformats.org/officeDocument/2006/relationships" name="Hafıza" sheetId="8" state="visible" r:id="rId8"/>
    <sheet xmlns:r="http://schemas.openxmlformats.org/officeDocument/2006/relationships" name="Ölüm Sebepleri" sheetId="9" state="visible" r:id="rId9"/>
    <sheet xmlns:r="http://schemas.openxmlformats.org/officeDocument/2006/relationships" name="Bölümler" sheetId="10" state="visible" r:id="rId10"/>
  </sheets>
  <definedNames>
    <definedName name="_xlnm._FilterDatabase" localSheetId="2" hidden="1">'Olaylar'!$A$1:$V$473</definedName>
    <definedName name="_xlnm._FilterDatabase" localSheetId="3" hidden="1">'Seçimler'!$A$1:$AH$1774</definedName>
    <definedName name="_xlnm._FilterDatabase" localSheetId="4" hidden="1">'İç Sesler'!$A$1:$F$591</definedName>
    <definedName name="_xlnm._FilterDatabase" localSheetId="5" hidden="1">'Geçmişten'!$A$1:$C$413</definedName>
    <definedName name="_xlnm._FilterDatabase" localSheetId="6" hidden="1">'Özellikler'!$A$1:$D$56</definedName>
    <definedName name="_xlnm._FilterDatabase" localSheetId="7" hidden="1">'Hafıza'!$A$1:$C$203</definedName>
    <definedName name="_xlnm._FilterDatabase" localSheetId="8" hidden="1">'Ölüm Sebepleri'!$A$1:$D$46</definedName>
    <definedName name="_xlnm._FilterDatabase" localSheetId="9" hidden="1">'Bölümler'!$A$1:$I$11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3">
    <fill>
      <patternFill/>
    </fill>
    <fill>
      <patternFill patternType="gray125"/>
    </fill>
    <fill>
      <patternFill patternType="solid">
        <fgColor rgb="001D1915"/>
      </patternFill>
    </fill>
  </fills>
  <borders count="2">
    <border>
      <left/>
      <right/>
      <top/>
      <bottom/>
      <diagonal/>
    </border>
    <border>
      <bottom style="thin">
        <color rgb="00D8C9AD"/>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2"/>
  <sheetViews>
    <sheetView workbookViewId="0">
      <selection activeCell="A1" sqref="A1"/>
    </sheetView>
  </sheetViews>
  <sheetFormatPr baseColWidth="8" defaultRowHeight="15"/>
  <cols>
    <col width="150" customWidth="1" min="1" max="1"/>
  </cols>
  <sheetData>
    <row r="1">
      <c r="A1" s="1" t="inlineStr">
        <is>
          <t>MAKARYA · İÇERİK TABLOSU</t>
        </is>
      </c>
    </row>
    <row r="2">
      <c r="A2" t="inlineStr"/>
    </row>
    <row r="3">
      <c r="A3" t="inlineStr">
        <is>
          <t>Bu dosya oyunun bütün içeriğinin ana kaynağıdır. Burada yapılan değişiklikler oyuna şöyle geçer:</t>
        </is>
      </c>
    </row>
    <row r="4">
      <c r="A4" t="inlineStr">
        <is>
          <t>1) Dosyayı düzenle ve kaydet (adını değiştirme: Makarya_Icerik.xlsx).</t>
        </is>
      </c>
    </row>
    <row r="5">
      <c r="A5" t="inlineStr">
        <is>
          <t>2) GitHub'da depoya yükle (Add file → Upload files) ya da Claude'a gönder.</t>
        </is>
      </c>
    </row>
    <row r="6">
      <c r="A6" t="inlineStr">
        <is>
          <t>3) Dosya oyunun formatına dönüştürülür ve birkaç dakika içinde oyunda görünür.</t>
        </is>
      </c>
    </row>
    <row r="7">
      <c r="A7" t="inlineStr"/>
    </row>
    <row r="8">
      <c r="A8" s="2" t="inlineStr">
        <is>
          <t>SAYFALAR</t>
        </is>
      </c>
    </row>
    <row r="9">
      <c r="A9" t="inlineStr">
        <is>
          <t>Olaylar: Her satır bir olay. Olay ID benzersiz olmalı (küçük harf ve tire). Bölüm 1–10. Yaş örn. '12 yaş 6 ay'.</t>
        </is>
      </c>
    </row>
    <row r="10">
      <c r="A10" t="inlineStr">
        <is>
          <t>Seçimler: Her satır bir seçim; Olay ID ile olaya bağlanır, Sıra ile dizilir. Bir olayda 2–5 seçim olur.</t>
        </is>
      </c>
    </row>
    <row r="11">
      <c r="A11" t="inlineStr">
        <is>
          <t xml:space="preserve">   • Kesin sonuçlu seçim: 'Kesin etki' (ör. İtibar +2, Çene +1) ve 'Kesin sonuç metni' doldurulur.</t>
        </is>
      </c>
    </row>
    <row r="12">
      <c r="A12" t="inlineStr">
        <is>
          <t xml:space="preserve">   • Zarlı seçim: Stat + Zorluk + dört sonuç metni (Başarı, Kritik başarı, Başarısız, Kritik hata).</t>
        </is>
      </c>
    </row>
    <row r="13">
      <c r="A13" t="inlineStr">
        <is>
          <t xml:space="preserve">   • Mini oyunlu seçim: zarlı seçim + Mini oyun türü + başlık + ipucu + 'Yarım (mini oyun)' metni.</t>
        </is>
      </c>
    </row>
    <row r="14">
      <c r="A14" t="inlineStr">
        <is>
          <t xml:space="preserve">   • Ölüm riski yalnızca Bölüm 6 ve sonrası (18+). Yüzde olarak yaz (ör. 3). Oyuncu bu yüzdeyi görür.</t>
        </is>
      </c>
    </row>
    <row r="15">
      <c r="A15" t="inlineStr">
        <is>
          <t xml:space="preserve">   • Bir seçim birden fazla hafıza yazabilir: virgülle ayır (ör. 'hat-polis, meslek-memur'). Kavşak sonucunda ilk hafızanın etiketi görünür.</t>
        </is>
      </c>
    </row>
    <row r="16">
      <c r="A16" t="inlineStr">
        <is>
          <t xml:space="preserve">   • Gereken varlık: seçenek yalnızca oyuncunun varlığı bu kademe ya da üstündeyse açılır (Borçlu, Kıt, Orta, Rahat, Varlıklı). Kazanç kademesi: seçim başarılı olursa varlık en az bu kademeye çıkar.</t>
        </is>
      </c>
    </row>
    <row r="17">
      <c r="A17" t="inlineStr">
        <is>
          <t xml:space="preserve">   • Bir hafızanın başına eksi koyarsan silinir (ör. '-meslek-memur, hat-koy' hattı değiştirir). 'Hat' sütunu olayı yalnızca o hattaki oyuncuya çıkarır (ör. polis, cete).</t>
        </is>
      </c>
    </row>
    <row r="18">
      <c r="A18" t="inlineStr">
        <is>
          <t xml:space="preserve">   • Gereken stat: seçenek yalnızca stat bu değer ya da üstündeyse açılır (ör. 'İtibar 46'). İtibar kapıları kefil ve referans seçenekleri içindir.</t>
        </is>
      </c>
    </row>
    <row r="19">
      <c r="A19" t="inlineStr">
        <is>
          <t xml:space="preserve">   • Olaylar sayfasındaki 'Herhangi biri hafıza': yazılan hafızalardan en az biri varsa olay çıkar. Kavşakta, geçmişe bağlı kilitli seçenekler belirsiz bir gerekçeyle görünür.</t>
        </is>
      </c>
    </row>
    <row r="20">
      <c r="A20" t="inlineStr">
        <is>
          <t>İç Sesler: Olayın başında araya giren stat yorumları. 'Seçenek açar' = E ise, 'İç ses açar' sütununda aynı stat yazan seçim ancak bu ses başarılı olursa görünür.</t>
        </is>
      </c>
    </row>
    <row r="21">
      <c r="A21" t="inlineStr">
        <is>
          <t>Geçmişten: Oyuncunun hafızasında o kayıt varsa olayda gösterilen hatırlatma cümlesi.</t>
        </is>
      </c>
    </row>
    <row r="22">
      <c r="A22" t="inlineStr">
        <is>
          <t>Özellikler: Kazanılabilir özellikler; Bonus ilgili stat kontrollerinde zar hedefini düşürür (ör. Çene +1, Kurnazlık +1).</t>
        </is>
      </c>
    </row>
    <row r="23">
      <c r="A23" t="inlineStr">
        <is>
          <t>Hafıza: Seçimlerin yazdığı kayıtlar ve final kartındaki açıklamaları.</t>
        </is>
      </c>
    </row>
    <row r="24">
      <c r="A24" t="inlineStr">
        <is>
          <t>Ölüm Sebepleri: 18 yaş sonrası yaşla artan arka plan riskinden ölünce mezar taşına yazılır.</t>
        </is>
      </c>
    </row>
    <row r="25">
      <c r="A25" t="inlineStr">
        <is>
          <t>Bölümler: Her bölümde bir hayatta kaç olay görüleceği (Seçilecek olay), zorluk ayarı (Beklenen stat) ve bölüm sonu ekranı.</t>
        </is>
      </c>
    </row>
    <row r="26">
      <c r="A26" t="inlineStr">
        <is>
          <t>Özet: Bölüm başına olay, mini oyun ve risk sayıları (otomatik hesaplanır).</t>
        </is>
      </c>
    </row>
    <row r="27">
      <c r="A27" t="inlineStr"/>
    </row>
    <row r="28">
      <c r="A28" s="2" t="inlineStr">
        <is>
          <t>KURALLAR (yazım yönergesinin özeti)</t>
        </is>
      </c>
    </row>
    <row r="29">
      <c r="A29" t="inlineStr">
        <is>
          <t>• Makarya, Türkiye'ye benzeyen kurgusal bir ülkedir ve günümüzde geçer.</t>
        </is>
      </c>
    </row>
    <row r="30">
      <c r="A30" t="inlineStr">
        <is>
          <t>• Marka, uygulama, kulüp, ünlü, gerçek kişi, gerçek şehir/semt/anıt, gerçek sınav ve kurum adı YOK.</t>
        </is>
      </c>
    </row>
    <row r="31">
      <c r="A31" t="inlineStr">
        <is>
          <t>• Din ve siyaset espri konusu değildir; siyasetçi yalnızca isimsiz ve genel olarak geçebilir.</t>
        </is>
      </c>
    </row>
    <row r="32">
      <c r="A32" t="inlineStr">
        <is>
          <t>• Ölüm yalnızca 18 yaşından sonra; şiddet sahne dışında; hastalık, yoksulluk, engellilik alay konusu değildir.</t>
        </is>
      </c>
    </row>
    <row r="33">
      <c r="A33" t="inlineStr">
        <is>
          <t>• Sonuç metinleri 1–2 cümle; espri son kelimede patlasın. Oyuncuya 'sen' diye hitap edilir.</t>
        </is>
      </c>
    </row>
    <row r="34">
      <c r="A34" t="inlineStr">
        <is>
          <t>• Açılır listeli sütunlarda yalnızca listedeki değerleri kullan.</t>
        </is>
      </c>
    </row>
    <row r="35">
      <c r="A35" t="inlineStr"/>
    </row>
    <row r="36">
      <c r="A36" s="2" t="inlineStr">
        <is>
          <t>DEĞERLER</t>
        </is>
      </c>
    </row>
    <row r="37">
      <c r="A37" t="inlineStr">
        <is>
          <t>Stat: Akıl, Çene, Kurnazlık, Cesaret, Pişkinlik, İtibar, Dayanıklılık, Sosyal Radar</t>
        </is>
      </c>
    </row>
    <row r="38">
      <c r="A38" t="inlineStr">
        <is>
          <t>Zorluk: Çok Kolay, Kolay, Orta, Zor, Çok Zor</t>
        </is>
      </c>
    </row>
    <row r="39">
      <c r="A39" t="inlineStr">
        <is>
          <t>Aile türü: ev, para, sosyal, okul-iş</t>
        </is>
      </c>
    </row>
    <row r="40">
      <c r="A40" t="inlineStr">
        <is>
          <t>Mini oyun: timing, hold, collect, race, memory, cups, doors, rhythm, lanes, simon, poker, trace, bargain, swipe, breath, balance</t>
        </is>
      </c>
    </row>
    <row r="41">
      <c r="A41" t="inlineStr">
        <is>
          <t>Mekân: ev, mutfak, cocuk-odasi, okul, sinif, okul-bahcesi, sokak, park, bakkal, market, carsi, ofis, dukkan, devlet-dairesi, hastane, dugun-salonu, kafe, toplu-tasima, trafik, universite, kisla, banka, apartman, sahil, huzurevi, mezarlik, yazlik, stadyum, sahne, mahkeme, karakol, cezaevi, koy, havalimani, meclis, studyo</t>
        </is>
      </c>
    </row>
    <row r="42">
      <c r="A42" t="inlineStr">
        <is>
          <t>Aileler: Yalçın, Erdem, Keskin, Tan, Varlı, Şen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min="1" max="1"/>
    <col width="12" customWidth="1" min="2" max="2"/>
    <col width="12" customWidth="1" min="3" max="3"/>
    <col width="18" customWidth="1" min="4" max="4"/>
    <col width="12" customWidth="1" min="5" max="5"/>
    <col width="18" customWidth="1" min="6" max="6"/>
    <col width="18" customWidth="1" min="7" max="7"/>
  </cols>
  <sheetData>
    <row r="1">
      <c r="A1" s="3" t="inlineStr">
        <is>
          <t>Bölüm</t>
        </is>
      </c>
      <c r="B1" s="3" t="inlineStr">
        <is>
          <t>Olay sayısı</t>
        </is>
      </c>
      <c r="C1" s="3" t="inlineStr">
        <is>
          <t>Sabit olay</t>
        </is>
      </c>
      <c r="D1" s="3" t="inlineStr">
        <is>
          <t>Bir hayatta görülen</t>
        </is>
      </c>
      <c r="E1" s="3" t="inlineStr">
        <is>
          <t>Seçim sayısı</t>
        </is>
      </c>
      <c r="F1" s="3" t="inlineStr">
        <is>
          <t>Mini oyunlu seçim</t>
        </is>
      </c>
      <c r="G1" s="3" t="inlineStr">
        <is>
          <t>Ölüm riskli seçim</t>
        </is>
      </c>
    </row>
    <row r="2">
      <c r="A2" t="n">
        <v>1</v>
      </c>
      <c r="B2">
        <f>COUNTIF(Olaylar!B:B,1)</f>
        <v/>
      </c>
      <c r="C2">
        <f>COUNTIFS(Olaylar!B:B,1,Olaylar!I:I,"E")</f>
        <v/>
      </c>
      <c r="D2">
        <f>VLOOKUP(1,Bölümler!A:C,3,FALSE)</f>
        <v/>
      </c>
      <c r="E2">
        <f>SUMPRODUCT((COUNTIFS(Seçimler!A:A,Olaylar!A$2:A$473)&gt;0)*(Olaylar!B$2:B$473=1)*COUNTIFS(Seçimler!A:A,Olaylar!A$2:A$473))</f>
        <v/>
      </c>
      <c r="F2" t="inlineStr"/>
      <c r="G2" t="inlineStr"/>
    </row>
    <row r="3">
      <c r="A3" t="n">
        <v>2</v>
      </c>
      <c r="B3">
        <f>COUNTIF(Olaylar!B:B,2)</f>
        <v/>
      </c>
      <c r="C3">
        <f>COUNTIFS(Olaylar!B:B,2,Olaylar!I:I,"E")</f>
        <v/>
      </c>
      <c r="D3">
        <f>VLOOKUP(2,Bölümler!A:C,3,FALSE)</f>
        <v/>
      </c>
      <c r="E3">
        <f>SUMPRODUCT((COUNTIFS(Seçimler!A:A,Olaylar!A$2:A$473)&gt;0)*(Olaylar!B$2:B$473=2)*COUNTIFS(Seçimler!A:A,Olaylar!A$2:A$473))</f>
        <v/>
      </c>
      <c r="F3" t="inlineStr"/>
      <c r="G3" t="inlineStr"/>
    </row>
    <row r="4">
      <c r="A4" t="n">
        <v>3</v>
      </c>
      <c r="B4">
        <f>COUNTIF(Olaylar!B:B,3)</f>
        <v/>
      </c>
      <c r="C4">
        <f>COUNTIFS(Olaylar!B:B,3,Olaylar!I:I,"E")</f>
        <v/>
      </c>
      <c r="D4">
        <f>VLOOKUP(3,Bölümler!A:C,3,FALSE)</f>
        <v/>
      </c>
      <c r="E4">
        <f>SUMPRODUCT((COUNTIFS(Seçimler!A:A,Olaylar!A$2:A$473)&gt;0)*(Olaylar!B$2:B$473=3)*COUNTIFS(Seçimler!A:A,Olaylar!A$2:A$473))</f>
        <v/>
      </c>
      <c r="F4" t="inlineStr"/>
      <c r="G4" t="inlineStr"/>
    </row>
    <row r="5">
      <c r="A5" t="n">
        <v>4</v>
      </c>
      <c r="B5">
        <f>COUNTIF(Olaylar!B:B,4)</f>
        <v/>
      </c>
      <c r="C5">
        <f>COUNTIFS(Olaylar!B:B,4,Olaylar!I:I,"E")</f>
        <v/>
      </c>
      <c r="D5">
        <f>VLOOKUP(4,Bölümler!A:C,3,FALSE)</f>
        <v/>
      </c>
      <c r="E5">
        <f>SUMPRODUCT((COUNTIFS(Seçimler!A:A,Olaylar!A$2:A$473)&gt;0)*(Olaylar!B$2:B$473=4)*COUNTIFS(Seçimler!A:A,Olaylar!A$2:A$473))</f>
        <v/>
      </c>
      <c r="F5" t="inlineStr"/>
      <c r="G5" t="inlineStr"/>
    </row>
    <row r="6">
      <c r="A6" t="n">
        <v>5</v>
      </c>
      <c r="B6">
        <f>COUNTIF(Olaylar!B:B,5)</f>
        <v/>
      </c>
      <c r="C6">
        <f>COUNTIFS(Olaylar!B:B,5,Olaylar!I:I,"E")</f>
        <v/>
      </c>
      <c r="D6">
        <f>VLOOKUP(5,Bölümler!A:C,3,FALSE)</f>
        <v/>
      </c>
      <c r="E6">
        <f>SUMPRODUCT((COUNTIFS(Seçimler!A:A,Olaylar!A$2:A$473)&gt;0)*(Olaylar!B$2:B$473=5)*COUNTIFS(Seçimler!A:A,Olaylar!A$2:A$473))</f>
        <v/>
      </c>
      <c r="F6" t="inlineStr"/>
      <c r="G6" t="inlineStr"/>
    </row>
    <row r="7">
      <c r="A7" t="n">
        <v>6</v>
      </c>
      <c r="B7">
        <f>COUNTIF(Olaylar!B:B,6)</f>
        <v/>
      </c>
      <c r="C7">
        <f>COUNTIFS(Olaylar!B:B,6,Olaylar!I:I,"E")</f>
        <v/>
      </c>
      <c r="D7">
        <f>VLOOKUP(6,Bölümler!A:C,3,FALSE)</f>
        <v/>
      </c>
      <c r="E7">
        <f>SUMPRODUCT((COUNTIFS(Seçimler!A:A,Olaylar!A$2:A$473)&gt;0)*(Olaylar!B$2:B$473=6)*COUNTIFS(Seçimler!A:A,Olaylar!A$2:A$473))</f>
        <v/>
      </c>
      <c r="F7" t="inlineStr"/>
      <c r="G7" t="inlineStr"/>
    </row>
    <row r="8">
      <c r="A8" t="n">
        <v>7</v>
      </c>
      <c r="B8">
        <f>COUNTIF(Olaylar!B:B,7)</f>
        <v/>
      </c>
      <c r="C8">
        <f>COUNTIFS(Olaylar!B:B,7,Olaylar!I:I,"E")</f>
        <v/>
      </c>
      <c r="D8">
        <f>VLOOKUP(7,Bölümler!A:C,3,FALSE)</f>
        <v/>
      </c>
      <c r="E8">
        <f>SUMPRODUCT((COUNTIFS(Seçimler!A:A,Olaylar!A$2:A$473)&gt;0)*(Olaylar!B$2:B$473=7)*COUNTIFS(Seçimler!A:A,Olaylar!A$2:A$473))</f>
        <v/>
      </c>
      <c r="F8" t="inlineStr"/>
      <c r="G8" t="inlineStr"/>
    </row>
    <row r="9">
      <c r="A9" t="n">
        <v>8</v>
      </c>
      <c r="B9">
        <f>COUNTIF(Olaylar!B:B,8)</f>
        <v/>
      </c>
      <c r="C9">
        <f>COUNTIFS(Olaylar!B:B,8,Olaylar!I:I,"E")</f>
        <v/>
      </c>
      <c r="D9">
        <f>VLOOKUP(8,Bölümler!A:C,3,FALSE)</f>
        <v/>
      </c>
      <c r="E9">
        <f>SUMPRODUCT((COUNTIFS(Seçimler!A:A,Olaylar!A$2:A$473)&gt;0)*(Olaylar!B$2:B$473=8)*COUNTIFS(Seçimler!A:A,Olaylar!A$2:A$473))</f>
        <v/>
      </c>
      <c r="F9" t="inlineStr"/>
      <c r="G9" t="inlineStr"/>
    </row>
    <row r="10">
      <c r="A10" t="n">
        <v>9</v>
      </c>
      <c r="B10">
        <f>COUNTIF(Olaylar!B:B,9)</f>
        <v/>
      </c>
      <c r="C10">
        <f>COUNTIFS(Olaylar!B:B,9,Olaylar!I:I,"E")</f>
        <v/>
      </c>
      <c r="D10">
        <f>VLOOKUP(9,Bölümler!A:C,3,FALSE)</f>
        <v/>
      </c>
      <c r="E10">
        <f>SUMPRODUCT((COUNTIFS(Seçimler!A:A,Olaylar!A$2:A$473)&gt;0)*(Olaylar!B$2:B$473=9)*COUNTIFS(Seçimler!A:A,Olaylar!A$2:A$473))</f>
        <v/>
      </c>
      <c r="F10" t="inlineStr"/>
      <c r="G10" t="inlineStr"/>
    </row>
    <row r="11">
      <c r="A11" t="n">
        <v>10</v>
      </c>
      <c r="B11">
        <f>COUNTIF(Olaylar!B:B,10)</f>
        <v/>
      </c>
      <c r="C11">
        <f>COUNTIFS(Olaylar!B:B,10,Olaylar!I:I,"E")</f>
        <v/>
      </c>
      <c r="D11">
        <f>VLOOKUP(10,Bölümler!A:C,3,FALSE)</f>
        <v/>
      </c>
      <c r="E11">
        <f>SUMPRODUCT((COUNTIFS(Seçimler!A:A,Olaylar!A$2:A$473)&gt;0)*(Olaylar!B$2:B$473=10)*COUNTIFS(Seçimler!A:A,Olaylar!A$2:A$473))</f>
        <v/>
      </c>
      <c r="F11" t="inlineStr"/>
      <c r="G11" t="inlineStr"/>
    </row>
    <row r="12">
      <c r="A12" s="2" t="inlineStr">
        <is>
          <t>Toplam</t>
        </is>
      </c>
      <c r="B12">
        <f>SUM(B2:B11)</f>
        <v/>
      </c>
      <c r="C12">
        <f>SUM(C2:C11)</f>
        <v/>
      </c>
      <c r="D12">
        <f>SUM(D2:D11)</f>
        <v/>
      </c>
      <c r="E12">
        <f>SUM(E2:E11)</f>
        <v/>
      </c>
      <c r="F12">
        <f>COUNTIF(Seçimler!M:M,"?*")-1</f>
        <v/>
      </c>
      <c r="G12">
        <f>COUNTIF(Seçimler!Y:Y,"&gt;0")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4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8" customWidth="1" min="2" max="2"/>
    <col width="12" customWidth="1" min="3" max="3"/>
    <col width="7" customWidth="1" min="4" max="4"/>
    <col width="26" customWidth="1" min="5" max="5"/>
    <col width="60" customWidth="1" min="6" max="6"/>
    <col width="14" customWidth="1" min="7" max="7"/>
    <col width="10" customWidth="1" min="8" max="8"/>
    <col width="7" customWidth="1" min="9" max="9"/>
    <col width="8" customWidth="1" min="10" max="10"/>
    <col width="20" customWidth="1" min="11" max="11"/>
    <col width="20" customWidth="1" min="12" max="12"/>
    <col width="18" customWidth="1" min="13" max="13"/>
    <col width="9" customWidth="1" min="14" max="14"/>
    <col width="14" customWidth="1" min="15" max="15"/>
    <col width="14" customWidth="1" min="16" max="16"/>
    <col width="9" customWidth="1" min="17" max="17"/>
    <col width="50" customWidth="1" min="18" max="18"/>
    <col width="22" customWidth="1" min="19" max="19"/>
    <col width="22" customWidth="1" min="20" max="20"/>
    <col width="20" customWidth="1" min="21" max="21"/>
    <col width="16" customWidth="1" min="22" max="22"/>
  </cols>
  <sheetData>
    <row r="1" ht="32" customHeight="1">
      <c r="A1" s="4" t="inlineStr">
        <is>
          <t>Olay ID</t>
        </is>
      </c>
      <c r="B1" s="4" t="inlineStr">
        <is>
          <t>Bölüm</t>
        </is>
      </c>
      <c r="C1" s="4" t="inlineStr">
        <is>
          <t>Yaş</t>
        </is>
      </c>
      <c r="D1" s="4" t="inlineStr">
        <is>
          <t>Simge</t>
        </is>
      </c>
      <c r="E1" s="4" t="inlineStr">
        <is>
          <t>Başlık</t>
        </is>
      </c>
      <c r="F1" s="4" t="inlineStr">
        <is>
          <t>Olay metni</t>
        </is>
      </c>
      <c r="G1" s="4" t="inlineStr">
        <is>
          <t>Mekân</t>
        </is>
      </c>
      <c r="H1" s="4" t="inlineStr">
        <is>
          <t>Aile türü</t>
        </is>
      </c>
      <c r="I1" s="4" t="inlineStr">
        <is>
          <t>Sabit</t>
        </is>
      </c>
      <c r="J1" s="4" t="inlineStr">
        <is>
          <t>Ağırlık</t>
        </is>
      </c>
      <c r="K1" s="4" t="inlineStr">
        <is>
          <t>Gereken hafızalar</t>
        </is>
      </c>
      <c r="L1" s="4" t="inlineStr">
        <is>
          <t>Olmaması gereken hafızalar</t>
        </is>
      </c>
      <c r="M1" s="4" t="inlineStr">
        <is>
          <t>Gereken özellik</t>
        </is>
      </c>
      <c r="N1" s="4" t="inlineStr">
        <is>
          <t>Cinsiyet</t>
        </is>
      </c>
      <c r="O1" s="4" t="inlineStr">
        <is>
          <t>Sadece aileler</t>
        </is>
      </c>
      <c r="P1" s="4" t="inlineStr">
        <is>
          <t>Asgari stat</t>
        </is>
      </c>
      <c r="Q1" s="4" t="inlineStr">
        <is>
          <t>Kavşak no</t>
        </is>
      </c>
      <c r="R1" s="4" t="inlineStr">
        <is>
          <t>Kavşak girişi</t>
        </is>
      </c>
      <c r="S1" s="4" t="inlineStr">
        <is>
          <t>Kazanırsan</t>
        </is>
      </c>
      <c r="T1" s="4" t="inlineStr">
        <is>
          <t>Kazanamazsan</t>
        </is>
      </c>
      <c r="U1" s="4" t="inlineStr">
        <is>
          <t>Herhangi biri hafıza</t>
        </is>
      </c>
      <c r="V1" s="4" t="inlineStr">
        <is>
          <t>Hat</t>
        </is>
      </c>
    </row>
    <row r="2">
      <c r="A2" s="5" t="inlineStr">
        <is>
          <t>dogum</t>
        </is>
      </c>
      <c r="B2" s="5" t="n">
        <v>1</v>
      </c>
      <c r="C2" s="5" t="inlineStr">
        <is>
          <t>0 yaş</t>
        </is>
      </c>
      <c r="D2" s="5" t="inlineStr">
        <is>
          <t>👶</t>
        </is>
      </c>
      <c r="E2" s="6" t="inlineStr">
        <is>
          <t>Ortam Fazla Aydınlık</t>
        </is>
      </c>
      <c r="F2" s="6" t="inlineStr">
        <is>
          <t>Makarya'ya yeni indin. Işıklar fazla parlak, oda fazla kalabalık, herkes ilk açıklamanı bekliyor.</t>
        </is>
      </c>
      <c r="G2" s="5" t="inlineStr"/>
      <c r="H2" s="5" t="inlineStr"/>
      <c r="I2" s="5" t="inlineStr">
        <is>
          <t>E</t>
        </is>
      </c>
      <c r="J2" s="5" t="inlineStr"/>
      <c r="K2" s="5" t="inlineStr"/>
      <c r="L2" s="5" t="inlineStr"/>
      <c r="M2" s="5" t="inlineStr"/>
      <c r="N2" s="5" t="inlineStr"/>
      <c r="O2" s="5" t="inlineStr"/>
      <c r="P2" s="5" t="inlineStr"/>
      <c r="Q2" s="5" t="inlineStr"/>
      <c r="R2" s="6" t="inlineStr"/>
      <c r="S2" s="5" t="inlineStr"/>
      <c r="T2" s="5" t="inlineStr"/>
      <c r="U2" s="5" t="inlineStr"/>
      <c r="V2" s="5" t="inlineStr"/>
    </row>
    <row r="3">
      <c r="A3" s="5" t="inlineStr">
        <is>
          <t>gece-vardiyasi</t>
        </is>
      </c>
      <c r="B3" s="5" t="n">
        <v>1</v>
      </c>
      <c r="C3" s="5" t="inlineStr">
        <is>
          <t>3 ay</t>
        </is>
      </c>
      <c r="D3" s="5" t="inlineStr">
        <is>
          <t>🌙</t>
        </is>
      </c>
      <c r="E3" s="6" t="inlineStr">
        <is>
          <t>Gece Vardiyası</t>
        </is>
      </c>
      <c r="F3" s="6" t="inlineStr">
        <is>
          <t>Saat 03:00. Ev halkı pes etmiş, uyumaya çalışıyor. Senin vardiyan daha yeni başlıyor.</t>
        </is>
      </c>
      <c r="G3" s="5" t="inlineStr"/>
      <c r="H3" s="5" t="inlineStr">
        <is>
          <t>ev</t>
        </is>
      </c>
      <c r="I3" s="5" t="inlineStr"/>
      <c r="J3" s="5" t="inlineStr"/>
      <c r="K3" s="5" t="inlineStr"/>
      <c r="L3" s="5" t="inlineStr"/>
      <c r="M3" s="5" t="inlineStr"/>
      <c r="N3" s="5" t="inlineStr"/>
      <c r="O3" s="5" t="inlineStr"/>
      <c r="P3" s="5" t="inlineStr"/>
      <c r="Q3" s="5" t="inlineStr"/>
      <c r="R3" s="6" t="inlineStr"/>
      <c r="S3" s="5" t="inlineStr"/>
      <c r="T3" s="5" t="inlineStr"/>
      <c r="U3" s="5" t="inlineStr"/>
      <c r="V3" s="5" t="inlineStr"/>
    </row>
    <row r="4">
      <c r="A4" s="5" t="inlineStr">
        <is>
          <t>yabanci-krizi</t>
        </is>
      </c>
      <c r="B4" s="5" t="n">
        <v>1</v>
      </c>
      <c r="C4" s="5" t="inlineStr">
        <is>
          <t>8 ay</t>
        </is>
      </c>
      <c r="D4" s="5" t="inlineStr">
        <is>
          <t>🤓</t>
        </is>
      </c>
      <c r="E4" s="6" t="inlineStr">
        <is>
          <t>Yabancı Krizi</t>
        </is>
      </c>
      <c r="F4" s="6" t="inlineStr">
        <is>
          <t>Tanımadığın biri sana fazla hızlı, fazla gülümseyerek yaklaştı. Sosyal protokol bu yaşta henüz yayımlanmadı.</t>
        </is>
      </c>
      <c r="G4" s="5" t="inlineStr"/>
      <c r="H4" s="5" t="inlineStr"/>
      <c r="I4" s="5" t="inlineStr"/>
      <c r="J4" s="5" t="inlineStr"/>
      <c r="K4" s="5" t="inlineStr"/>
      <c r="L4" s="5" t="inlineStr"/>
      <c r="M4" s="5" t="inlineStr"/>
      <c r="N4" s="5" t="inlineStr"/>
      <c r="O4" s="5" t="inlineStr"/>
      <c r="P4" s="5" t="inlineStr"/>
      <c r="Q4" s="5" t="inlineStr"/>
      <c r="R4" s="6" t="inlineStr"/>
      <c r="S4" s="5" t="inlineStr"/>
      <c r="T4" s="5" t="inlineStr"/>
      <c r="U4" s="5" t="inlineStr"/>
      <c r="V4" s="5" t="inlineStr"/>
    </row>
    <row r="5">
      <c r="A5" s="5" t="inlineStr">
        <is>
          <t>yasak-nesne</t>
        </is>
      </c>
      <c r="B5" s="5" t="n">
        <v>1</v>
      </c>
      <c r="C5" s="5" t="inlineStr">
        <is>
          <t>10 ay</t>
        </is>
      </c>
      <c r="D5" s="5" t="inlineStr">
        <is>
          <t>💎</t>
        </is>
      </c>
      <c r="E5" s="6" t="inlineStr">
        <is>
          <t>Yasak Nesne</t>
        </is>
      </c>
      <c r="F5" s="6" t="inlineStr">
        <is>
          <t>Masada dokunmaman gereken parlak bir şey var. Bu bilgi nesneyi daha çekici yaptı.</t>
        </is>
      </c>
      <c r="G5" s="5" t="inlineStr"/>
      <c r="H5" s="5" t="inlineStr">
        <is>
          <t>ev</t>
        </is>
      </c>
      <c r="I5" s="5" t="inlineStr"/>
      <c r="J5" s="5" t="inlineStr"/>
      <c r="K5" s="5" t="inlineStr"/>
      <c r="L5" s="5" t="inlineStr"/>
      <c r="M5" s="5" t="inlineStr"/>
      <c r="N5" s="5" t="inlineStr"/>
      <c r="O5" s="5" t="inlineStr"/>
      <c r="P5" s="5" t="inlineStr"/>
      <c r="Q5" s="5" t="inlineStr"/>
      <c r="R5" s="6" t="inlineStr"/>
      <c r="S5" s="5" t="inlineStr"/>
      <c r="T5" s="5" t="inlineStr"/>
      <c r="U5" s="5" t="inlineStr"/>
      <c r="V5" s="5" t="inlineStr"/>
    </row>
    <row r="6">
      <c r="A6" s="5" t="inlineStr">
        <is>
          <t>ilk-kelime</t>
        </is>
      </c>
      <c r="B6" s="5" t="n">
        <v>1</v>
      </c>
      <c r="C6" s="5" t="inlineStr">
        <is>
          <t>1 yaş</t>
        </is>
      </c>
      <c r="D6" s="5" t="inlineStr">
        <is>
          <t>💬</t>
        </is>
      </c>
      <c r="E6" s="6" t="inlineStr">
        <is>
          <t>İlk Kelime</t>
        </is>
      </c>
      <c r="F6" s="6" t="inlineStr">
        <is>
          <t>Salon sessizleşti. Herkes ağzından çıkacak ilk anlamlı kelimeyi bekliyor.</t>
        </is>
      </c>
      <c r="G6" s="5" t="inlineStr"/>
      <c r="H6" s="5" t="inlineStr">
        <is>
          <t>ev</t>
        </is>
      </c>
      <c r="I6" s="5" t="inlineStr">
        <is>
          <t>E</t>
        </is>
      </c>
      <c r="J6" s="5" t="inlineStr"/>
      <c r="K6" s="5" t="inlineStr"/>
      <c r="L6" s="5" t="inlineStr"/>
      <c r="M6" s="5" t="inlineStr"/>
      <c r="N6" s="5" t="inlineStr"/>
      <c r="O6" s="5" t="inlineStr"/>
      <c r="P6" s="5" t="inlineStr"/>
      <c r="Q6" s="5" t="inlineStr"/>
      <c r="R6" s="6" t="inlineStr"/>
      <c r="S6" s="5" t="inlineStr"/>
      <c r="T6" s="5" t="inlineStr"/>
      <c r="U6" s="5" t="inlineStr"/>
      <c r="V6" s="5" t="inlineStr"/>
    </row>
    <row r="7">
      <c r="A7" s="5" t="inlineStr">
        <is>
          <t>ilk-adimlar</t>
        </is>
      </c>
      <c r="B7" s="5" t="n">
        <v>1</v>
      </c>
      <c r="C7" s="5" t="inlineStr">
        <is>
          <t>15 ay</t>
        </is>
      </c>
      <c r="D7" s="5" t="inlineStr">
        <is>
          <t>👣</t>
        </is>
      </c>
      <c r="E7" s="6" t="inlineStr">
        <is>
          <t>İlk Adımlar</t>
        </is>
      </c>
      <c r="F7" s="6" t="inlineStr">
        <is>
          <t>Ayaktasın. Bu, teoride ilerleme sayılıyor.</t>
        </is>
      </c>
      <c r="G7" s="5" t="inlineStr"/>
      <c r="H7" s="5" t="inlineStr"/>
      <c r="I7" s="5" t="inlineStr"/>
      <c r="J7" s="5" t="inlineStr"/>
      <c r="K7" s="5" t="inlineStr"/>
      <c r="L7" s="5" t="inlineStr"/>
      <c r="M7" s="5" t="inlineStr"/>
      <c r="N7" s="5" t="inlineStr"/>
      <c r="O7" s="5" t="inlineStr"/>
      <c r="P7" s="5" t="inlineStr"/>
      <c r="Q7" s="5" t="inlineStr"/>
      <c r="R7" s="6" t="inlineStr"/>
      <c r="S7" s="5" t="inlineStr"/>
      <c r="T7" s="5" t="inlineStr"/>
      <c r="U7" s="5" t="inlineStr"/>
      <c r="V7" s="5" t="inlineStr"/>
    </row>
    <row r="8">
      <c r="A8" s="5" t="inlineStr">
        <is>
          <t>masadaki-telefon</t>
        </is>
      </c>
      <c r="B8" s="5" t="n">
        <v>1</v>
      </c>
      <c r="C8" s="5" t="inlineStr">
        <is>
          <t>17 ay</t>
        </is>
      </c>
      <c r="D8" s="5" t="inlineStr">
        <is>
          <t>📱</t>
        </is>
      </c>
      <c r="E8" s="6" t="inlineStr">
        <is>
          <t>Masadaki Telefon</t>
        </is>
      </c>
      <c r="F8" s="6" t="inlineStr">
        <is>
          <t>Ekran parlıyor. Yetişkinler bu nesneye günün önemli bölümünü ayırıyor.</t>
        </is>
      </c>
      <c r="G8" s="5" t="inlineStr"/>
      <c r="H8" s="5" t="inlineStr"/>
      <c r="I8" s="5" t="inlineStr"/>
      <c r="J8" s="5" t="inlineStr"/>
      <c r="K8" s="5" t="inlineStr"/>
      <c r="L8" s="5" t="inlineStr"/>
      <c r="M8" s="5" t="inlineStr"/>
      <c r="N8" s="5" t="inlineStr"/>
      <c r="O8" s="5" t="inlineStr"/>
      <c r="P8" s="5" t="inlineStr"/>
      <c r="Q8" s="5" t="inlineStr"/>
      <c r="R8" s="6" t="inlineStr"/>
      <c r="S8" s="5" t="inlineStr"/>
      <c r="T8" s="5" t="inlineStr"/>
      <c r="U8" s="5" t="inlineStr"/>
      <c r="V8" s="5" t="inlineStr"/>
    </row>
    <row r="9">
      <c r="A9" s="5" t="inlineStr">
        <is>
          <t>dogum-gunu-pastasi</t>
        </is>
      </c>
      <c r="B9" s="5" t="n">
        <v>1</v>
      </c>
      <c r="C9" s="5" t="inlineStr">
        <is>
          <t>19 ay</t>
        </is>
      </c>
      <c r="D9" s="5" t="inlineStr">
        <is>
          <t>🎂</t>
        </is>
      </c>
      <c r="E9" s="6" t="inlineStr">
        <is>
          <t>Doğum Günü Pastası</t>
        </is>
      </c>
      <c r="F9" s="6" t="inlineStr">
        <is>
          <t>Bir pasta, bir mum ve çok sayıda gereksiz sosyal kural.</t>
        </is>
      </c>
      <c r="G9" s="5" t="inlineStr"/>
      <c r="H9" s="5" t="inlineStr">
        <is>
          <t>sosyal</t>
        </is>
      </c>
      <c r="I9" s="5" t="inlineStr"/>
      <c r="J9" s="5" t="inlineStr"/>
      <c r="K9" s="5" t="inlineStr"/>
      <c r="L9" s="5" t="inlineStr"/>
      <c r="M9" s="5" t="inlineStr"/>
      <c r="N9" s="5" t="inlineStr"/>
      <c r="O9" s="5" t="inlineStr"/>
      <c r="P9" s="5" t="inlineStr"/>
      <c r="Q9" s="5" t="inlineStr"/>
      <c r="R9" s="6" t="inlineStr"/>
      <c r="S9" s="5" t="inlineStr"/>
      <c r="T9" s="5" t="inlineStr"/>
      <c r="U9" s="5" t="inlineStr"/>
      <c r="V9" s="5" t="inlineStr"/>
    </row>
    <row r="10">
      <c r="A10" s="5" t="inlineStr">
        <is>
          <t>vazo-kirildi</t>
        </is>
      </c>
      <c r="B10" s="5" t="n">
        <v>1</v>
      </c>
      <c r="C10" s="5" t="inlineStr">
        <is>
          <t>2 yaş</t>
        </is>
      </c>
      <c r="D10" s="5" t="inlineStr">
        <is>
          <t>🏺</t>
        </is>
      </c>
      <c r="E10" s="6" t="inlineStr">
        <is>
          <t>Vazo Kırıldı</t>
        </is>
      </c>
      <c r="F10" s="6" t="inlineStr">
        <is>
          <t>Vazoyu kırdın. Parçalar yerde, sessizlik ağır. Kedi sana bakıyor.</t>
        </is>
      </c>
      <c r="G10" s="5" t="inlineStr"/>
      <c r="H10" s="5" t="inlineStr">
        <is>
          <t>ev</t>
        </is>
      </c>
      <c r="I10" s="5" t="inlineStr">
        <is>
          <t>E</t>
        </is>
      </c>
      <c r="J10" s="5" t="inlineStr"/>
      <c r="K10" s="5" t="inlineStr"/>
      <c r="L10" s="5" t="inlineStr"/>
      <c r="M10" s="5" t="inlineStr"/>
      <c r="N10" s="5" t="inlineStr"/>
      <c r="O10" s="5" t="inlineStr"/>
      <c r="P10" s="5" t="inlineStr"/>
      <c r="Q10" s="5" t="inlineStr"/>
      <c r="R10" s="6" t="inlineStr"/>
      <c r="S10" s="5" t="inlineStr"/>
      <c r="T10" s="5" t="inlineStr"/>
      <c r="U10" s="5" t="inlineStr"/>
      <c r="V10" s="5" t="inlineStr"/>
    </row>
    <row r="11">
      <c r="A11" s="5" t="inlineStr">
        <is>
          <t>ilk-harclik</t>
        </is>
      </c>
      <c r="B11" s="5" t="n">
        <v>1</v>
      </c>
      <c r="C11" s="5" t="inlineStr">
        <is>
          <t>2 yaş 2 ay</t>
        </is>
      </c>
      <c r="D11" s="5" t="inlineStr">
        <is>
          <t>🪙</t>
        </is>
      </c>
      <c r="E11" s="6" t="inlineStr">
        <is>
          <t>İlk Harçlık</t>
        </is>
      </c>
      <c r="F11" s="6" t="inlineStr">
        <is>
          <t>Avucuna birkaç bozuk para bırakıldı. Finansal sistemle ilk temas.</t>
        </is>
      </c>
      <c r="G11" s="5" t="inlineStr"/>
      <c r="H11" s="5" t="inlineStr">
        <is>
          <t>para</t>
        </is>
      </c>
      <c r="I11" s="5" t="inlineStr"/>
      <c r="J11" s="5" t="n">
        <v>2</v>
      </c>
      <c r="K11" s="5" t="inlineStr"/>
      <c r="L11" s="5" t="inlineStr"/>
      <c r="M11" s="5" t="inlineStr"/>
      <c r="N11" s="5" t="inlineStr"/>
      <c r="O11" s="5" t="inlineStr"/>
      <c r="P11" s="5" t="inlineStr"/>
      <c r="Q11" s="5" t="inlineStr"/>
      <c r="R11" s="6" t="inlineStr"/>
      <c r="S11" s="5" t="inlineStr"/>
      <c r="T11" s="5" t="inlineStr"/>
      <c r="U11" s="5" t="inlineStr"/>
      <c r="V11" s="5" t="inlineStr"/>
    </row>
    <row r="12">
      <c r="A12" s="5" t="inlineStr">
        <is>
          <t>oyuncak-krizi</t>
        </is>
      </c>
      <c r="B12" s="5" t="n">
        <v>1</v>
      </c>
      <c r="C12" s="5" t="inlineStr">
        <is>
          <t>2 yaş 4 ay</t>
        </is>
      </c>
      <c r="D12" s="5" t="inlineStr">
        <is>
          <t>🧸</t>
        </is>
      </c>
      <c r="E12" s="6" t="inlineStr">
        <is>
          <t>Oyuncak Krizi</t>
        </is>
      </c>
      <c r="F12" s="6" t="inlineStr">
        <is>
          <t>Başka bir çocuk senin oyuncağını aldı. Park diplomatik ilişkileri kesti; uluslararası bir kriz başladı.</t>
        </is>
      </c>
      <c r="G12" s="5" t="inlineStr"/>
      <c r="H12" s="5" t="inlineStr">
        <is>
          <t>sosyal</t>
        </is>
      </c>
      <c r="I12" s="5" t="inlineStr"/>
      <c r="J12" s="5" t="inlineStr"/>
      <c r="K12" s="5" t="inlineStr"/>
      <c r="L12" s="5" t="inlineStr"/>
      <c r="M12" s="5" t="inlineStr"/>
      <c r="N12" s="5" t="inlineStr"/>
      <c r="O12" s="5" t="inlineStr"/>
      <c r="P12" s="5" t="inlineStr"/>
      <c r="Q12" s="5" t="inlineStr"/>
      <c r="R12" s="6" t="inlineStr"/>
      <c r="S12" s="5" t="inlineStr"/>
      <c r="T12" s="5" t="inlineStr"/>
      <c r="U12" s="5" t="inlineStr"/>
      <c r="V12" s="5" t="inlineStr"/>
    </row>
    <row r="13">
      <c r="A13" s="5" t="inlineStr">
        <is>
          <t>aile-toplantisi</t>
        </is>
      </c>
      <c r="B13" s="5" t="n">
        <v>1</v>
      </c>
      <c r="C13" s="5" t="inlineStr">
        <is>
          <t>2 yaş 7 ay</t>
        </is>
      </c>
      <c r="D13" s="5" t="inlineStr">
        <is>
          <t>🛋️</t>
        </is>
      </c>
      <c r="E13" s="6" t="inlineStr">
        <is>
          <t>Aile Toplantısı</t>
        </is>
      </c>
      <c r="F13" s="6" t="inlineStr">
        <is>
          <t>Yetişkinler konuşuyor. Konu senden daha sıkıcı ama sonuçları daha büyük olabilir.</t>
        </is>
      </c>
      <c r="G13" s="5" t="inlineStr"/>
      <c r="H13" s="5" t="inlineStr">
        <is>
          <t>ev</t>
        </is>
      </c>
      <c r="I13" s="5" t="inlineStr"/>
      <c r="J13" s="5" t="inlineStr"/>
      <c r="K13" s="5" t="inlineStr"/>
      <c r="L13" s="5" t="inlineStr"/>
      <c r="M13" s="5" t="inlineStr"/>
      <c r="N13" s="5" t="inlineStr"/>
      <c r="O13" s="5" t="inlineStr"/>
      <c r="P13" s="5" t="inlineStr"/>
      <c r="Q13" s="5" t="inlineStr"/>
      <c r="R13" s="6" t="inlineStr"/>
      <c r="S13" s="5" t="inlineStr"/>
      <c r="T13" s="5" t="inlineStr"/>
      <c r="U13" s="5" t="inlineStr"/>
      <c r="V13" s="5" t="inlineStr"/>
    </row>
    <row r="14">
      <c r="A14" s="5" t="inlineStr">
        <is>
          <t>parkta-sira</t>
        </is>
      </c>
      <c r="B14" s="5" t="n">
        <v>1</v>
      </c>
      <c r="C14" s="5" t="inlineStr">
        <is>
          <t>2 yaş 10 ay</t>
        </is>
      </c>
      <c r="D14" s="5" t="inlineStr">
        <is>
          <t>🛝</t>
        </is>
      </c>
      <c r="E14" s="6" t="inlineStr">
        <is>
          <t>Parkta Sıra</t>
        </is>
      </c>
      <c r="F14" s="6" t="inlineStr">
        <is>
          <t>Kaydırakta sıra var. Sistem basit görünüyor. İnsanlar yüzünden değil.</t>
        </is>
      </c>
      <c r="G14" s="5" t="inlineStr"/>
      <c r="H14" s="5" t="inlineStr"/>
      <c r="I14" s="5" t="inlineStr"/>
      <c r="J14" s="5" t="inlineStr"/>
      <c r="K14" s="5" t="inlineStr"/>
      <c r="L14" s="5" t="inlineStr"/>
      <c r="M14" s="5" t="inlineStr"/>
      <c r="N14" s="5" t="inlineStr"/>
      <c r="O14" s="5" t="inlineStr"/>
      <c r="P14" s="5" t="inlineStr"/>
      <c r="Q14" s="5" t="inlineStr"/>
      <c r="R14" s="6" t="inlineStr"/>
      <c r="S14" s="5" t="inlineStr"/>
      <c r="T14" s="5" t="inlineStr"/>
      <c r="U14" s="5" t="inlineStr"/>
      <c r="V14" s="5" t="inlineStr"/>
    </row>
    <row r="15">
      <c r="A15" s="5" t="inlineStr">
        <is>
          <t>kim-yapti</t>
        </is>
      </c>
      <c r="B15" s="5" t="n">
        <v>1</v>
      </c>
      <c r="C15" s="5" t="inlineStr">
        <is>
          <t>2 yaş 11 ay</t>
        </is>
      </c>
      <c r="D15" s="5" t="inlineStr">
        <is>
          <t>🔍</t>
        </is>
      </c>
      <c r="E15" s="6" t="inlineStr">
        <is>
          <t>Kim Yaptı?</t>
        </is>
      </c>
      <c r="F15" s="6" t="inlineStr">
        <is>
          <t>Salon duvarında keçeli kalemle çizilmiş kocaman bir güneş var. Altında imzaya benzeyen bir karalama. Baban elinde kalemin kapağıyla tek bir soru soruyor: “Kim yaptı?”</t>
        </is>
      </c>
      <c r="G15" s="5" t="inlineStr"/>
      <c r="H15" s="5" t="inlineStr">
        <is>
          <t>ev</t>
        </is>
      </c>
      <c r="I15" s="5" t="inlineStr"/>
      <c r="J15" s="5" t="n">
        <v>2</v>
      </c>
      <c r="K15" s="5" t="inlineStr"/>
      <c r="L15" s="5" t="inlineStr"/>
      <c r="M15" s="5" t="inlineStr"/>
      <c r="N15" s="5" t="inlineStr"/>
      <c r="O15" s="5" t="inlineStr"/>
      <c r="P15" s="5" t="inlineStr"/>
      <c r="Q15" s="5" t="inlineStr"/>
      <c r="R15" s="6" t="inlineStr"/>
      <c r="S15" s="5" t="inlineStr"/>
      <c r="T15" s="5" t="inlineStr"/>
      <c r="U15" s="5" t="inlineStr"/>
      <c r="V15" s="5" t="inlineStr"/>
    </row>
    <row r="16">
      <c r="A16" s="5" t="inlineStr">
        <is>
          <t>kres-kapisi</t>
        </is>
      </c>
      <c r="B16" s="5" t="n">
        <v>1</v>
      </c>
      <c r="C16" s="5" t="inlineStr">
        <is>
          <t>3 yaş</t>
        </is>
      </c>
      <c r="D16" s="5" t="inlineStr">
        <is>
          <t>🏫</t>
        </is>
      </c>
      <c r="E16" s="6" t="inlineStr">
        <is>
          <t>Kreş Kapısı</t>
        </is>
      </c>
      <c r="F16" s="6" t="inlineStr">
        <is>
          <t>Kapının arkasında başka çocuklar, katı kurallar ve paylaşılması gereken oyuncaklar var.</t>
        </is>
      </c>
      <c r="G16" s="5" t="inlineStr"/>
      <c r="H16" s="5" t="inlineStr">
        <is>
          <t>okul-iş</t>
        </is>
      </c>
      <c r="I16" s="5" t="inlineStr">
        <is>
          <t>E</t>
        </is>
      </c>
      <c r="J16" s="5" t="inlineStr"/>
      <c r="K16" s="5" t="inlineStr"/>
      <c r="L16" s="5" t="inlineStr"/>
      <c r="M16" s="5" t="inlineStr"/>
      <c r="N16" s="5" t="inlineStr"/>
      <c r="O16" s="5" t="inlineStr"/>
      <c r="P16" s="5" t="inlineStr"/>
      <c r="Q16" s="5" t="inlineStr"/>
      <c r="R16" s="6" t="inlineStr"/>
      <c r="S16" s="5" t="inlineStr"/>
      <c r="T16" s="5" t="inlineStr"/>
      <c r="U16" s="5" t="inlineStr"/>
      <c r="V16" s="5" t="inlineStr"/>
    </row>
    <row r="17">
      <c r="A17" s="5" t="inlineStr">
        <is>
          <t>ilk-arkadas</t>
        </is>
      </c>
      <c r="B17" s="5" t="n">
        <v>2</v>
      </c>
      <c r="C17" s="5" t="inlineStr">
        <is>
          <t>3 yaş 1 ay</t>
        </is>
      </c>
      <c r="D17" s="5" t="inlineStr">
        <is>
          <t>🤝</t>
        </is>
      </c>
      <c r="E17" s="6" t="inlineStr">
        <is>
          <t>İlk Arkadaş</t>
        </is>
      </c>
      <c r="F17" s="6" t="inlineStr">
        <is>
          <t>Yanında bir çocuk var. İkiniz de ne yapacağınızı tam bilmiyorsunuz.</t>
        </is>
      </c>
      <c r="G17" s="5" t="inlineStr"/>
      <c r="H17" s="5" t="inlineStr"/>
      <c r="I17" s="5" t="inlineStr"/>
      <c r="J17" s="5" t="inlineStr"/>
      <c r="K17" s="5" t="inlineStr"/>
      <c r="L17" s="5" t="inlineStr"/>
      <c r="M17" s="5" t="inlineStr"/>
      <c r="N17" s="5" t="inlineStr"/>
      <c r="O17" s="5" t="inlineStr"/>
      <c r="P17" s="5" t="inlineStr"/>
      <c r="Q17" s="5" t="inlineStr"/>
      <c r="R17" s="6" t="inlineStr"/>
      <c r="S17" s="5" t="inlineStr"/>
      <c r="T17" s="5" t="inlineStr"/>
      <c r="U17" s="5" t="inlineStr"/>
      <c r="V17" s="5" t="inlineStr"/>
    </row>
    <row r="18">
      <c r="A18" s="5" t="inlineStr">
        <is>
          <t>oyuncagimi-aldi</t>
        </is>
      </c>
      <c r="B18" s="5" t="n">
        <v>2</v>
      </c>
      <c r="C18" s="5" t="inlineStr">
        <is>
          <t>3 yaş 2 ay</t>
        </is>
      </c>
      <c r="D18" s="5" t="inlineStr">
        <is>
          <t>😤</t>
        </is>
      </c>
      <c r="E18" s="6" t="inlineStr">
        <is>
          <t>Oyuncağımı Aldı</t>
        </is>
      </c>
      <c r="F18" s="6" t="inlineStr">
        <is>
          <t>Bir çocuk oyuncağını aldı ve bunun tamamen normal olduğuna inanıyor.</t>
        </is>
      </c>
      <c r="G18" s="5" t="inlineStr"/>
      <c r="H18" s="5" t="inlineStr">
        <is>
          <t>sosyal</t>
        </is>
      </c>
      <c r="I18" s="5" t="inlineStr"/>
      <c r="J18" s="5" t="inlineStr"/>
      <c r="K18" s="5" t="inlineStr"/>
      <c r="L18" s="5" t="inlineStr"/>
      <c r="M18" s="5" t="inlineStr"/>
      <c r="N18" s="5" t="inlineStr"/>
      <c r="O18" s="5" t="inlineStr"/>
      <c r="P18" s="5" t="inlineStr"/>
      <c r="Q18" s="5" t="inlineStr"/>
      <c r="R18" s="6" t="inlineStr"/>
      <c r="S18" s="5" t="inlineStr"/>
      <c r="T18" s="5" t="inlineStr"/>
      <c r="U18" s="5" t="inlineStr"/>
      <c r="V18" s="5" t="inlineStr"/>
    </row>
    <row r="19">
      <c r="A19" s="5" t="inlineStr">
        <is>
          <t>ogretmen-yanlis-anladi</t>
        </is>
      </c>
      <c r="B19" s="5" t="n">
        <v>2</v>
      </c>
      <c r="C19" s="5" t="inlineStr">
        <is>
          <t>3 yaş 4 ay</t>
        </is>
      </c>
      <c r="D19" s="5" t="inlineStr">
        <is>
          <t>👩‍🏫</t>
        </is>
      </c>
      <c r="E19" s="6" t="inlineStr">
        <is>
          <t>Öğretmen Seni Yanlış Anladı</t>
        </is>
      </c>
      <c r="F19" s="6" t="inlineStr">
        <is>
          <t>Öğretmen başka bir şey olduğunu sanıyor. İlk kez otorite de hata yapabiliyor.</t>
        </is>
      </c>
      <c r="G19" s="5" t="inlineStr"/>
      <c r="H19" s="5" t="inlineStr">
        <is>
          <t>okul-iş</t>
        </is>
      </c>
      <c r="I19" s="5" t="inlineStr"/>
      <c r="J19" s="5" t="inlineStr"/>
      <c r="K19" s="5" t="inlineStr"/>
      <c r="L19" s="5" t="inlineStr"/>
      <c r="M19" s="5" t="inlineStr"/>
      <c r="N19" s="5" t="inlineStr"/>
      <c r="O19" s="5" t="inlineStr"/>
      <c r="P19" s="5" t="inlineStr"/>
      <c r="Q19" s="5" t="inlineStr"/>
      <c r="R19" s="6" t="inlineStr"/>
      <c r="S19" s="5" t="inlineStr"/>
      <c r="T19" s="5" t="inlineStr"/>
      <c r="U19" s="5" t="inlineStr"/>
      <c r="V19" s="5" t="inlineStr"/>
    </row>
    <row r="20">
      <c r="A20" s="5" t="inlineStr">
        <is>
          <t>parkin-buyuk-cocugu</t>
        </is>
      </c>
      <c r="B20" s="5" t="n">
        <v>2</v>
      </c>
      <c r="C20" s="5" t="inlineStr">
        <is>
          <t>3 yaş 6 ay</t>
        </is>
      </c>
      <c r="D20" s="5" t="inlineStr">
        <is>
          <t>🧗</t>
        </is>
      </c>
      <c r="E20" s="6" t="inlineStr">
        <is>
          <t>Parkın Büyük Çocuğu</t>
        </is>
      </c>
      <c r="F20" s="6" t="inlineStr">
        <is>
          <t>Kaydırağın tepesinde senden büyük biri alanı sahiplenmiş görünüyor.</t>
        </is>
      </c>
      <c r="G20" s="5" t="inlineStr"/>
      <c r="H20" s="5" t="inlineStr"/>
      <c r="I20" s="5" t="inlineStr"/>
      <c r="J20" s="5" t="inlineStr"/>
      <c r="K20" s="5" t="inlineStr"/>
      <c r="L20" s="5" t="inlineStr"/>
      <c r="M20" s="5" t="inlineStr"/>
      <c r="N20" s="5" t="inlineStr"/>
      <c r="O20" s="5" t="inlineStr"/>
      <c r="P20" s="5" t="inlineStr"/>
      <c r="Q20" s="5" t="inlineStr"/>
      <c r="R20" s="6" t="inlineStr"/>
      <c r="S20" s="5" t="inlineStr"/>
      <c r="T20" s="5" t="inlineStr"/>
      <c r="U20" s="5" t="inlineStr"/>
      <c r="V20" s="5" t="inlineStr"/>
    </row>
    <row r="21">
      <c r="A21" s="5" t="inlineStr">
        <is>
          <t>market-kasasi</t>
        </is>
      </c>
      <c r="B21" s="5" t="n">
        <v>2</v>
      </c>
      <c r="C21" s="5" t="inlineStr">
        <is>
          <t>3 yaş 8 ay</t>
        </is>
      </c>
      <c r="D21" s="5" t="inlineStr">
        <is>
          <t>🍬</t>
        </is>
      </c>
      <c r="E21" s="6" t="inlineStr">
        <is>
          <t>Market Kasası</t>
        </is>
      </c>
      <c r="F21" s="6" t="inlineStr">
        <is>
          <t>Kasada göz hizanda şekerler var. Bu tesadüf olamayacak kadar iyi tasarlanmış.</t>
        </is>
      </c>
      <c r="G21" s="5" t="inlineStr"/>
      <c r="H21" s="5" t="inlineStr">
        <is>
          <t>para</t>
        </is>
      </c>
      <c r="I21" s="5" t="inlineStr"/>
      <c r="J21" s="5" t="inlineStr"/>
      <c r="K21" s="5" t="inlineStr"/>
      <c r="L21" s="5" t="inlineStr"/>
      <c r="M21" s="5" t="inlineStr"/>
      <c r="N21" s="5" t="inlineStr"/>
      <c r="O21" s="5" t="inlineStr"/>
      <c r="P21" s="5" t="inlineStr"/>
      <c r="Q21" s="5" t="inlineStr"/>
      <c r="R21" s="6" t="inlineStr"/>
      <c r="S21" s="5" t="inlineStr"/>
      <c r="T21" s="5" t="inlineStr"/>
      <c r="U21" s="5" t="inlineStr"/>
      <c r="V21" s="5" t="inlineStr"/>
    </row>
    <row r="22">
      <c r="A22" s="5" t="inlineStr">
        <is>
          <t>baskasinin-dogum-gunu</t>
        </is>
      </c>
      <c r="B22" s="5" t="n">
        <v>2</v>
      </c>
      <c r="C22" s="5" t="inlineStr">
        <is>
          <t>4 yaş</t>
        </is>
      </c>
      <c r="D22" s="5" t="inlineStr">
        <is>
          <t>🎁</t>
        </is>
      </c>
      <c r="E22" s="6" t="inlineStr">
        <is>
          <t>Başkasının Doğum Günü</t>
        </is>
      </c>
      <c r="F22" s="6" t="inlineStr">
        <is>
          <t>Pasta onun. Hediyeler onun. İlgi de teoride onun.</t>
        </is>
      </c>
      <c r="G22" s="5" t="inlineStr"/>
      <c r="H22" s="5" t="inlineStr">
        <is>
          <t>sosyal</t>
        </is>
      </c>
      <c r="I22" s="5" t="inlineStr"/>
      <c r="J22" s="5" t="inlineStr"/>
      <c r="K22" s="5" t="inlineStr"/>
      <c r="L22" s="5" t="inlineStr"/>
      <c r="M22" s="5" t="inlineStr"/>
      <c r="N22" s="5" t="inlineStr"/>
      <c r="O22" s="5" t="inlineStr"/>
      <c r="P22" s="5" t="inlineStr"/>
      <c r="Q22" s="5" t="inlineStr"/>
      <c r="R22" s="6" t="inlineStr"/>
      <c r="S22" s="5" t="inlineStr"/>
      <c r="T22" s="5" t="inlineStr"/>
      <c r="U22" s="5" t="inlineStr"/>
      <c r="V22" s="5" t="inlineStr"/>
    </row>
    <row r="23">
      <c r="A23" s="5" t="inlineStr">
        <is>
          <t>en-guzel-oyuncak</t>
        </is>
      </c>
      <c r="B23" s="5" t="n">
        <v>2</v>
      </c>
      <c r="C23" s="5" t="inlineStr">
        <is>
          <t>4 yaş 1 ay</t>
        </is>
      </c>
      <c r="D23" s="5" t="inlineStr">
        <is>
          <t>🤖</t>
        </is>
      </c>
      <c r="E23" s="6" t="inlineStr">
        <is>
          <t>En Güzel Oyuncak</t>
        </is>
      </c>
      <c r="F23" s="6" t="inlineStr">
        <is>
          <t>Odada herkesin baktığı tek oyuncak var.</t>
        </is>
      </c>
      <c r="G23" s="5" t="inlineStr"/>
      <c r="H23" s="5" t="inlineStr"/>
      <c r="I23" s="5" t="inlineStr"/>
      <c r="J23" s="5" t="inlineStr"/>
      <c r="K23" s="5" t="inlineStr"/>
      <c r="L23" s="5" t="inlineStr"/>
      <c r="M23" s="5" t="inlineStr"/>
      <c r="N23" s="5" t="inlineStr"/>
      <c r="O23" s="5" t="inlineStr"/>
      <c r="P23" s="5" t="inlineStr"/>
      <c r="Q23" s="5" t="inlineStr"/>
      <c r="R23" s="6" t="inlineStr"/>
      <c r="S23" s="5" t="inlineStr"/>
      <c r="T23" s="5" t="inlineStr"/>
      <c r="U23" s="5" t="inlineStr"/>
      <c r="V23" s="5" t="inlineStr"/>
    </row>
    <row r="24">
      <c r="A24" s="5" t="inlineStr">
        <is>
          <t>ilk-gercek-yalan</t>
        </is>
      </c>
      <c r="B24" s="5" t="n">
        <v>2</v>
      </c>
      <c r="C24" s="5" t="inlineStr">
        <is>
          <t>4 yaş 2 ay</t>
        </is>
      </c>
      <c r="D24" s="5" t="inlineStr">
        <is>
          <t>🤥</t>
        </is>
      </c>
      <c r="E24" s="6" t="inlineStr">
        <is>
          <t>İlk Gerçek Yalan</t>
        </is>
      </c>
      <c r="F24" s="6" t="inlineStr">
        <is>
          <t>Bu kez ne olduğunu biliyorsun. Karşındaki yetişkin de bildiğini düşünüyor.</t>
        </is>
      </c>
      <c r="G24" s="5" t="inlineStr"/>
      <c r="H24" s="5" t="inlineStr">
        <is>
          <t>ev</t>
        </is>
      </c>
      <c r="I24" s="5" t="inlineStr"/>
      <c r="J24" s="5" t="inlineStr"/>
      <c r="K24" s="5" t="inlineStr"/>
      <c r="L24" s="5" t="inlineStr"/>
      <c r="M24" s="5" t="inlineStr"/>
      <c r="N24" s="5" t="inlineStr"/>
      <c r="O24" s="5" t="inlineStr"/>
      <c r="P24" s="5" t="inlineStr"/>
      <c r="Q24" s="5" t="inlineStr"/>
      <c r="R24" s="6" t="inlineStr"/>
      <c r="S24" s="5" t="inlineStr"/>
      <c r="T24" s="5" t="inlineStr"/>
      <c r="U24" s="5" t="inlineStr"/>
      <c r="V24" s="5" t="inlineStr"/>
    </row>
    <row r="25">
      <c r="A25" s="5" t="inlineStr">
        <is>
          <t>mahalle-bakkali</t>
        </is>
      </c>
      <c r="B25" s="5" t="n">
        <v>2</v>
      </c>
      <c r="C25" s="5" t="inlineStr">
        <is>
          <t>4 yaş 4 ay</t>
        </is>
      </c>
      <c r="D25" s="5" t="inlineStr">
        <is>
          <t>🏪</t>
        </is>
      </c>
      <c r="E25" s="6" t="inlineStr">
        <is>
          <t>Mahalle Bakkalı</t>
        </is>
      </c>
      <c r="F25" s="6" t="inlineStr">
        <is>
          <t>Liste elinde. Para cebinde. Bakkal her şeyi biliyor gibi bakıyor.</t>
        </is>
      </c>
      <c r="G25" s="5" t="inlineStr"/>
      <c r="H25" s="5" t="inlineStr">
        <is>
          <t>para</t>
        </is>
      </c>
      <c r="I25" s="5" t="inlineStr"/>
      <c r="J25" s="5" t="inlineStr"/>
      <c r="K25" s="5" t="inlineStr"/>
      <c r="L25" s="5" t="inlineStr"/>
      <c r="M25" s="5" t="inlineStr"/>
      <c r="N25" s="5" t="inlineStr"/>
      <c r="O25" s="5" t="inlineStr"/>
      <c r="P25" s="5" t="inlineStr"/>
      <c r="Q25" s="5" t="inlineStr"/>
      <c r="R25" s="6" t="inlineStr"/>
      <c r="S25" s="5" t="inlineStr"/>
      <c r="T25" s="5" t="inlineStr"/>
      <c r="U25" s="5" t="inlineStr"/>
      <c r="V25" s="5" t="inlineStr"/>
    </row>
    <row r="26">
      <c r="A26" s="5" t="inlineStr">
        <is>
          <t>kaybolan-bozuk-para</t>
        </is>
      </c>
      <c r="B26" s="5" t="n">
        <v>2</v>
      </c>
      <c r="C26" s="5" t="inlineStr">
        <is>
          <t>4 yaş 5 ay</t>
        </is>
      </c>
      <c r="D26" s="5" t="inlineStr">
        <is>
          <t>🔎</t>
        </is>
      </c>
      <c r="E26" s="6" t="inlineStr">
        <is>
          <t>Kaybolan Bozuk Para</t>
        </is>
      </c>
      <c r="F26" s="6" t="inlineStr">
        <is>
          <t>Yerde bir bozuk para var. Sahibi görünmüyor. Vicdan departmanı toplantıya çağrıldı.</t>
        </is>
      </c>
      <c r="G26" s="5" t="inlineStr"/>
      <c r="H26" s="5" t="inlineStr">
        <is>
          <t>para</t>
        </is>
      </c>
      <c r="I26" s="5" t="inlineStr"/>
      <c r="J26" s="5" t="inlineStr"/>
      <c r="K26" s="5" t="inlineStr"/>
      <c r="L26" s="5" t="inlineStr"/>
      <c r="M26" s="5" t="inlineStr"/>
      <c r="N26" s="5" t="inlineStr"/>
      <c r="O26" s="5" t="inlineStr"/>
      <c r="P26" s="5" t="inlineStr"/>
      <c r="Q26" s="5" t="inlineStr"/>
      <c r="R26" s="6" t="inlineStr"/>
      <c r="S26" s="5" t="inlineStr"/>
      <c r="T26" s="5" t="inlineStr"/>
      <c r="U26" s="5" t="inlineStr"/>
      <c r="V26" s="5" t="inlineStr"/>
    </row>
    <row r="27">
      <c r="A27" s="5" t="inlineStr">
        <is>
          <t>takim-seciliyor</t>
        </is>
      </c>
      <c r="B27" s="5" t="n">
        <v>2</v>
      </c>
      <c r="C27" s="5" t="inlineStr">
        <is>
          <t>4 yaş 7 ay</t>
        </is>
      </c>
      <c r="D27" s="5" t="inlineStr">
        <is>
          <t>⚽</t>
        </is>
      </c>
      <c r="E27" s="6" t="inlineStr">
        <is>
          <t>Takım Seçiliyor</t>
        </is>
      </c>
      <c r="F27" s="6" t="inlineStr">
        <is>
          <t>İki takım kuruluyor. Herkes hızlıca değer biçiyor.</t>
        </is>
      </c>
      <c r="G27" s="5" t="inlineStr"/>
      <c r="H27" s="5" t="inlineStr"/>
      <c r="I27" s="5" t="inlineStr"/>
      <c r="J27" s="5" t="inlineStr"/>
      <c r="K27" s="5" t="inlineStr"/>
      <c r="L27" s="5" t="inlineStr"/>
      <c r="M27" s="5" t="inlineStr"/>
      <c r="N27" s="5" t="inlineStr"/>
      <c r="O27" s="5" t="inlineStr"/>
      <c r="P27" s="5" t="inlineStr"/>
      <c r="Q27" s="5" t="inlineStr"/>
      <c r="R27" s="6" t="inlineStr"/>
      <c r="S27" s="5" t="inlineStr"/>
      <c r="T27" s="5" t="inlineStr"/>
      <c r="U27" s="5" t="inlineStr"/>
      <c r="V27" s="5" t="inlineStr"/>
    </row>
    <row r="28">
      <c r="A28" s="5" t="inlineStr">
        <is>
          <t>sana-guluyorlar</t>
        </is>
      </c>
      <c r="B28" s="5" t="n">
        <v>2</v>
      </c>
      <c r="C28" s="5" t="inlineStr">
        <is>
          <t>4 yaş 9 ay</t>
        </is>
      </c>
      <c r="D28" s="5" t="inlineStr">
        <is>
          <t>😅</t>
        </is>
      </c>
      <c r="E28" s="6" t="inlineStr">
        <is>
          <t>Sana Gülüyorlar</t>
        </is>
      </c>
      <c r="F28" s="6" t="inlineStr">
        <is>
          <t>Bir şey söyledin. Birkaç çocuk güldü. Neye güldükleri tam belli değil.</t>
        </is>
      </c>
      <c r="G28" s="5" t="inlineStr"/>
      <c r="H28" s="5" t="inlineStr">
        <is>
          <t>sosyal</t>
        </is>
      </c>
      <c r="I28" s="5" t="inlineStr"/>
      <c r="J28" s="5" t="inlineStr"/>
      <c r="K28" s="5" t="inlineStr"/>
      <c r="L28" s="5" t="inlineStr"/>
      <c r="M28" s="5" t="inlineStr"/>
      <c r="N28" s="5" t="inlineStr"/>
      <c r="O28" s="5" t="inlineStr"/>
      <c r="P28" s="5" t="inlineStr"/>
      <c r="Q28" s="5" t="inlineStr"/>
      <c r="R28" s="6" t="inlineStr"/>
      <c r="S28" s="5" t="inlineStr"/>
      <c r="T28" s="5" t="inlineStr"/>
      <c r="U28" s="5" t="inlineStr"/>
      <c r="V28" s="5" t="inlineStr"/>
    </row>
    <row r="29">
      <c r="A29" s="5" t="inlineStr">
        <is>
          <t>ilk-kucuk-sir</t>
        </is>
      </c>
      <c r="B29" s="5" t="n">
        <v>2</v>
      </c>
      <c r="C29" s="5" t="inlineStr">
        <is>
          <t>5 yaş</t>
        </is>
      </c>
      <c r="D29" s="5" t="inlineStr">
        <is>
          <t>🤫</t>
        </is>
      </c>
      <c r="E29" s="6" t="inlineStr">
        <is>
          <t>İlk Küçük Sır</t>
        </is>
      </c>
      <c r="F29" s="6" t="inlineStr">
        <is>
          <t>Bir arkadaşın sana bir şey söyledi ve kimseye söylememen gerektiğini ekledi.</t>
        </is>
      </c>
      <c r="G29" s="5" t="inlineStr"/>
      <c r="H29" s="5" t="inlineStr">
        <is>
          <t>sosyal</t>
        </is>
      </c>
      <c r="I29" s="5" t="inlineStr"/>
      <c r="J29" s="5" t="inlineStr"/>
      <c r="K29" s="5" t="inlineStr"/>
      <c r="L29" s="5" t="inlineStr"/>
      <c r="M29" s="5" t="inlineStr"/>
      <c r="N29" s="5" t="inlineStr"/>
      <c r="O29" s="5" t="inlineStr"/>
      <c r="P29" s="5" t="inlineStr"/>
      <c r="Q29" s="5" t="inlineStr"/>
      <c r="R29" s="6" t="inlineStr"/>
      <c r="S29" s="5" t="inlineStr"/>
      <c r="T29" s="5" t="inlineStr"/>
      <c r="U29" s="5" t="inlineStr"/>
      <c r="V29" s="5" t="inlineStr"/>
    </row>
    <row r="30">
      <c r="A30" s="5" t="inlineStr">
        <is>
          <t>aileler-kiyasliyor</t>
        </is>
      </c>
      <c r="B30" s="5" t="n">
        <v>2</v>
      </c>
      <c r="C30" s="5" t="inlineStr">
        <is>
          <t>5 yaş 2 ay</t>
        </is>
      </c>
      <c r="D30" s="5" t="inlineStr">
        <is>
          <t>📏</t>
        </is>
      </c>
      <c r="E30" s="6" t="inlineStr">
        <is>
          <t>Aileler Kıyaslıyor</t>
        </is>
      </c>
      <c r="F30" s="6" t="inlineStr">
        <is>
          <t>Yetişkinler çocuklardan konuşuyor ama aslında birbirleriyle yarışıyorlar.</t>
        </is>
      </c>
      <c r="G30" s="5" t="inlineStr"/>
      <c r="H30" s="5" t="inlineStr">
        <is>
          <t>okul-iş</t>
        </is>
      </c>
      <c r="I30" s="5" t="inlineStr"/>
      <c r="J30" s="5" t="inlineStr"/>
      <c r="K30" s="5" t="inlineStr"/>
      <c r="L30" s="5" t="inlineStr"/>
      <c r="M30" s="5" t="inlineStr"/>
      <c r="N30" s="5" t="inlineStr"/>
      <c r="O30" s="5" t="inlineStr"/>
      <c r="P30" s="5" t="inlineStr"/>
      <c r="Q30" s="5" t="inlineStr"/>
      <c r="R30" s="6" t="inlineStr"/>
      <c r="S30" s="5" t="inlineStr"/>
      <c r="T30" s="5" t="inlineStr"/>
      <c r="U30" s="5" t="inlineStr"/>
      <c r="V30" s="5" t="inlineStr"/>
    </row>
    <row r="31">
      <c r="A31" s="5" t="inlineStr">
        <is>
          <t>kirilan-oyuncak</t>
        </is>
      </c>
      <c r="B31" s="5" t="n">
        <v>2</v>
      </c>
      <c r="C31" s="5" t="inlineStr">
        <is>
          <t>5 yaş 4 ay</t>
        </is>
      </c>
      <c r="D31" s="5" t="inlineStr">
        <is>
          <t>🔧</t>
        </is>
      </c>
      <c r="E31" s="6" t="inlineStr">
        <is>
          <t>Kırılan Oyuncak</t>
        </is>
      </c>
      <c r="F31" s="6" t="inlineStr">
        <is>
          <t>Oyuncak kırıldı. Sen dokundun. Ama 'dokunmak' geniş bir kavram.</t>
        </is>
      </c>
      <c r="G31" s="5" t="inlineStr"/>
      <c r="H31" s="5" t="inlineStr"/>
      <c r="I31" s="5" t="inlineStr"/>
      <c r="J31" s="5" t="inlineStr"/>
      <c r="K31" s="5" t="inlineStr"/>
      <c r="L31" s="5" t="inlineStr"/>
      <c r="M31" s="5" t="inlineStr"/>
      <c r="N31" s="5" t="inlineStr"/>
      <c r="O31" s="5" t="inlineStr"/>
      <c r="P31" s="5" t="inlineStr"/>
      <c r="Q31" s="5" t="inlineStr"/>
      <c r="R31" s="6" t="inlineStr"/>
      <c r="S31" s="5" t="inlineStr"/>
      <c r="T31" s="5" t="inlineStr"/>
      <c r="U31" s="5" t="inlineStr"/>
      <c r="V31" s="5" t="inlineStr"/>
    </row>
    <row r="32">
      <c r="A32" s="5" t="inlineStr">
        <is>
          <t>mahalle-turnuvasi</t>
        </is>
      </c>
      <c r="B32" s="5" t="n">
        <v>2</v>
      </c>
      <c r="C32" s="5" t="inlineStr">
        <is>
          <t>5 yaş 5 ay</t>
        </is>
      </c>
      <c r="D32" s="5" t="inlineStr">
        <is>
          <t>🏃</t>
        </is>
      </c>
      <c r="E32" s="6" t="inlineStr">
        <is>
          <t>Mahalle Turnuvası</t>
        </is>
      </c>
      <c r="F32" s="6" t="inlineStr">
        <is>
          <t>Çocuklar yarış hazırlığında. Kurallar henüz tam belli değil.</t>
        </is>
      </c>
      <c r="G32" s="5" t="inlineStr"/>
      <c r="H32" s="5" t="inlineStr"/>
      <c r="I32" s="5" t="inlineStr"/>
      <c r="J32" s="5" t="n">
        <v>2</v>
      </c>
      <c r="K32" s="5" t="inlineStr"/>
      <c r="L32" s="5" t="inlineStr"/>
      <c r="M32" s="5" t="inlineStr"/>
      <c r="N32" s="5" t="inlineStr"/>
      <c r="O32" s="5" t="inlineStr"/>
      <c r="P32" s="5" t="inlineStr"/>
      <c r="Q32" s="5" t="inlineStr"/>
      <c r="R32" s="6" t="inlineStr"/>
      <c r="S32" s="5" t="inlineStr"/>
      <c r="T32" s="5" t="inlineStr"/>
      <c r="U32" s="5" t="inlineStr"/>
      <c r="V32" s="5" t="inlineStr"/>
    </row>
    <row r="33">
      <c r="A33" s="5" t="inlineStr">
        <is>
          <t>harclik-pazarligi</t>
        </is>
      </c>
      <c r="B33" s="5" t="n">
        <v>2</v>
      </c>
      <c r="C33" s="5" t="inlineStr">
        <is>
          <t>5 yaş 7 ay</t>
        </is>
      </c>
      <c r="D33" s="5" t="inlineStr">
        <is>
          <t>💰</t>
        </is>
      </c>
      <c r="E33" s="6" t="inlineStr">
        <is>
          <t>İlk Harçlık Pazarlığı</t>
        </is>
      </c>
      <c r="F33" s="6" t="inlineStr">
        <is>
          <t>Sana bir miktar söylendi. Sen miktarların konuşulabilir olduğunu yeni öğrendin.</t>
        </is>
      </c>
      <c r="G33" s="5" t="inlineStr"/>
      <c r="H33" s="5" t="inlineStr">
        <is>
          <t>para</t>
        </is>
      </c>
      <c r="I33" s="5" t="inlineStr"/>
      <c r="J33" s="5" t="inlineStr"/>
      <c r="K33" s="5" t="inlineStr"/>
      <c r="L33" s="5" t="inlineStr"/>
      <c r="M33" s="5" t="inlineStr"/>
      <c r="N33" s="5" t="inlineStr"/>
      <c r="O33" s="5" t="inlineStr"/>
      <c r="P33" s="5" t="inlineStr"/>
      <c r="Q33" s="5" t="inlineStr"/>
      <c r="R33" s="6" t="inlineStr"/>
      <c r="S33" s="5" t="inlineStr"/>
      <c r="T33" s="5" t="inlineStr"/>
      <c r="U33" s="5" t="inlineStr"/>
      <c r="V33" s="5" t="inlineStr"/>
    </row>
    <row r="34">
      <c r="A34" s="5" t="inlineStr">
        <is>
          <t>okul-hazirligi</t>
        </is>
      </c>
      <c r="B34" s="5" t="n">
        <v>2</v>
      </c>
      <c r="C34" s="5" t="inlineStr">
        <is>
          <t>5 yaş 9 ay</t>
        </is>
      </c>
      <c r="D34" s="5" t="inlineStr">
        <is>
          <t>🎒</t>
        </is>
      </c>
      <c r="E34" s="6" t="inlineStr">
        <is>
          <t>Okul Hazırlığı</t>
        </is>
      </c>
      <c r="F34" s="6" t="inlineStr">
        <is>
          <t>Çanta, harfler, defterler. Sistem seni bekliyor.</t>
        </is>
      </c>
      <c r="G34" s="5" t="inlineStr"/>
      <c r="H34" s="5" t="inlineStr">
        <is>
          <t>okul-iş</t>
        </is>
      </c>
      <c r="I34" s="5" t="inlineStr"/>
      <c r="J34" s="5" t="n">
        <v>2</v>
      </c>
      <c r="K34" s="5" t="inlineStr"/>
      <c r="L34" s="5" t="inlineStr"/>
      <c r="M34" s="5" t="inlineStr"/>
      <c r="N34" s="5" t="inlineStr"/>
      <c r="O34" s="5" t="inlineStr"/>
      <c r="P34" s="5" t="inlineStr"/>
      <c r="Q34" s="5" t="inlineStr"/>
      <c r="R34" s="6" t="inlineStr"/>
      <c r="S34" s="5" t="inlineStr"/>
      <c r="T34" s="5" t="inlineStr"/>
      <c r="U34" s="5" t="inlineStr"/>
      <c r="V34" s="5" t="inlineStr"/>
    </row>
    <row r="35">
      <c r="A35" s="5" t="inlineStr">
        <is>
          <t>tepsiyle-kayak</t>
        </is>
      </c>
      <c r="B35" s="5" t="n">
        <v>2</v>
      </c>
      <c r="C35" s="5" t="inlineStr">
        <is>
          <t>5 yaş 10 ay</t>
        </is>
      </c>
      <c r="D35" s="5" t="inlineStr">
        <is>
          <t>🛷</t>
        </is>
      </c>
      <c r="E35" s="6" t="inlineStr">
        <is>
          <t>Tepsiyle Kayak</t>
        </is>
      </c>
      <c r="F35" s="6" t="inlineStr">
        <is>
          <t>Kar yağdı. Mahallenin en dik yokuşu trafiğe kapandı. Çocuklar mutfaklardan tepsi kaçırıyor.</t>
        </is>
      </c>
      <c r="G35" s="5" t="inlineStr"/>
      <c r="H35" s="5" t="inlineStr"/>
      <c r="I35" s="5" t="inlineStr"/>
      <c r="J35" s="5" t="inlineStr"/>
      <c r="K35" s="5" t="inlineStr"/>
      <c r="L35" s="5" t="inlineStr"/>
      <c r="M35" s="5" t="inlineStr"/>
      <c r="N35" s="5" t="inlineStr"/>
      <c r="O35" s="5" t="inlineStr"/>
      <c r="P35" s="5" t="inlineStr"/>
      <c r="Q35" s="5" t="inlineStr"/>
      <c r="R35" s="6" t="inlineStr"/>
      <c r="S35" s="5" t="inlineStr"/>
      <c r="T35" s="5" t="inlineStr"/>
      <c r="U35" s="5" t="inlineStr"/>
      <c r="V35" s="5" t="inlineStr"/>
    </row>
    <row r="36">
      <c r="A36" s="5" t="inlineStr">
        <is>
          <t>ilkokul-kapisi</t>
        </is>
      </c>
      <c r="B36" s="5" t="n">
        <v>2</v>
      </c>
      <c r="C36" s="5" t="inlineStr">
        <is>
          <t>6 yaş</t>
        </is>
      </c>
      <c r="D36" s="5" t="inlineStr">
        <is>
          <t>🏫</t>
        </is>
      </c>
      <c r="E36" s="6" t="inlineStr">
        <is>
          <t>İlkokul Kapısı</t>
        </is>
      </c>
      <c r="F36" s="6" t="inlineStr">
        <is>
          <t>Büyük bina, küçük sıra, çok sayıda kural. Bölüm III kapıda.</t>
        </is>
      </c>
      <c r="G36" s="5" t="inlineStr"/>
      <c r="H36" s="5" t="inlineStr">
        <is>
          <t>okul-iş</t>
        </is>
      </c>
      <c r="I36" s="5" t="inlineStr">
        <is>
          <t>E</t>
        </is>
      </c>
      <c r="J36" s="5" t="inlineStr"/>
      <c r="K36" s="5" t="inlineStr"/>
      <c r="L36" s="5" t="inlineStr"/>
      <c r="M36" s="5" t="inlineStr"/>
      <c r="N36" s="5" t="inlineStr"/>
      <c r="O36" s="5" t="inlineStr"/>
      <c r="P36" s="5" t="inlineStr"/>
      <c r="Q36" s="5" t="inlineStr"/>
      <c r="R36" s="6" t="inlineStr"/>
      <c r="S36" s="5" t="inlineStr"/>
      <c r="T36" s="5" t="inlineStr"/>
      <c r="U36" s="5" t="inlineStr"/>
      <c r="V36" s="5" t="inlineStr"/>
    </row>
    <row r="37">
      <c r="A37" s="5" t="inlineStr">
        <is>
          <t>ilk-ders</t>
        </is>
      </c>
      <c r="B37" s="5" t="n">
        <v>3</v>
      </c>
      <c r="C37" s="5" t="inlineStr">
        <is>
          <t>6 yaş 1 ay</t>
        </is>
      </c>
      <c r="D37" s="5" t="inlineStr">
        <is>
          <t>✏️</t>
        </is>
      </c>
      <c r="E37" s="6" t="inlineStr">
        <is>
          <t>İlk Ders</t>
        </is>
      </c>
      <c r="F37" s="6" t="inlineStr">
        <is>
          <t>Öğretmen 'Kim okumayı biliyor?' diye sordu. Sınıfta 28 el ya havada ya cepte.</t>
        </is>
      </c>
      <c r="G37" s="5" t="inlineStr"/>
      <c r="H37" s="5" t="inlineStr">
        <is>
          <t>okul-iş</t>
        </is>
      </c>
      <c r="I37" s="5" t="inlineStr">
        <is>
          <t>E</t>
        </is>
      </c>
      <c r="J37" s="5" t="inlineStr"/>
      <c r="K37" s="5" t="inlineStr"/>
      <c r="L37" s="5" t="inlineStr"/>
      <c r="M37" s="5" t="inlineStr"/>
      <c r="N37" s="5" t="inlineStr"/>
      <c r="O37" s="5" t="inlineStr"/>
      <c r="P37" s="5" t="inlineStr"/>
      <c r="Q37" s="5" t="inlineStr"/>
      <c r="R37" s="6" t="inlineStr"/>
      <c r="S37" s="5" t="inlineStr"/>
      <c r="T37" s="5" t="inlineStr"/>
      <c r="U37" s="5" t="inlineStr"/>
      <c r="V37" s="5" t="inlineStr"/>
    </row>
    <row r="38">
      <c r="A38" s="5" t="inlineStr">
        <is>
          <t>sira-arkadasi</t>
        </is>
      </c>
      <c r="B38" s="5" t="n">
        <v>3</v>
      </c>
      <c r="C38" s="5" t="inlineStr">
        <is>
          <t>6 yaş 2 ay</t>
        </is>
      </c>
      <c r="D38" s="5" t="inlineStr">
        <is>
          <t>🪑</t>
        </is>
      </c>
      <c r="E38" s="6" t="inlineStr">
        <is>
          <t>Sıra Arkadaşı</t>
        </is>
      </c>
      <c r="F38" s="6" t="inlineStr">
        <is>
          <t>Yanına oturan çocuk kalemlerini sayıyor. Senin kalemlerini de.</t>
        </is>
      </c>
      <c r="G38" s="5" t="inlineStr"/>
      <c r="H38" s="5" t="inlineStr">
        <is>
          <t>sosyal</t>
        </is>
      </c>
      <c r="I38" s="5" t="inlineStr"/>
      <c r="J38" s="5" t="inlineStr"/>
      <c r="K38" s="5" t="inlineStr"/>
      <c r="L38" s="5" t="inlineStr"/>
      <c r="M38" s="5" t="inlineStr"/>
      <c r="N38" s="5" t="inlineStr"/>
      <c r="O38" s="5" t="inlineStr"/>
      <c r="P38" s="5" t="inlineStr"/>
      <c r="Q38" s="5" t="inlineStr"/>
      <c r="R38" s="6" t="inlineStr"/>
      <c r="S38" s="5" t="inlineStr"/>
      <c r="T38" s="5" t="inlineStr"/>
      <c r="U38" s="5" t="inlineStr"/>
      <c r="V38" s="5" t="inlineStr"/>
    </row>
    <row r="39">
      <c r="A39" s="5" t="inlineStr">
        <is>
          <t>teneffus-kantini</t>
        </is>
      </c>
      <c r="B39" s="5" t="n">
        <v>3</v>
      </c>
      <c r="C39" s="5" t="inlineStr">
        <is>
          <t>6 yaş 4 ay</t>
        </is>
      </c>
      <c r="D39" s="5" t="inlineStr">
        <is>
          <t>🥪</t>
        </is>
      </c>
      <c r="E39" s="6" t="inlineStr">
        <is>
          <t>Kantin Kuyruğu</t>
        </is>
      </c>
      <c r="F39" s="6" t="inlineStr">
        <is>
          <t>Teneffüs 10 dakika. Kuyruk 12 dakika. Matematik kantinde başlıyor.</t>
        </is>
      </c>
      <c r="G39" s="5" t="inlineStr"/>
      <c r="H39" s="5" t="inlineStr">
        <is>
          <t>para</t>
        </is>
      </c>
      <c r="I39" s="5" t="inlineStr">
        <is>
          <t>E</t>
        </is>
      </c>
      <c r="J39" s="5" t="inlineStr"/>
      <c r="K39" s="5" t="inlineStr"/>
      <c r="L39" s="5" t="inlineStr"/>
      <c r="M39" s="5" t="inlineStr"/>
      <c r="N39" s="5" t="inlineStr"/>
      <c r="O39" s="5" t="inlineStr"/>
      <c r="P39" s="5" t="inlineStr"/>
      <c r="Q39" s="5" t="inlineStr"/>
      <c r="R39" s="6" t="inlineStr"/>
      <c r="S39" s="5" t="inlineStr"/>
      <c r="T39" s="5" t="inlineStr"/>
      <c r="U39" s="5" t="inlineStr"/>
      <c r="V39" s="5" t="inlineStr"/>
    </row>
    <row r="40">
      <c r="A40" s="5" t="inlineStr">
        <is>
          <t>odev-nerede</t>
        </is>
      </c>
      <c r="B40" s="5" t="n">
        <v>3</v>
      </c>
      <c r="C40" s="5" t="inlineStr">
        <is>
          <t>6 yaş 7 ay</t>
        </is>
      </c>
      <c r="D40" s="5" t="inlineStr">
        <is>
          <t>📚</t>
        </is>
      </c>
      <c r="E40" s="6" t="inlineStr">
        <is>
          <t>Ödev Nerede?</t>
        </is>
      </c>
      <c r="F40" s="6" t="inlineStr">
        <is>
          <t>Sabah 07.40. Ödev defteri evde değil, çantada değil. Belki de hiç yapılmadı.</t>
        </is>
      </c>
      <c r="G40" s="5" t="inlineStr"/>
      <c r="H40" s="5" t="inlineStr">
        <is>
          <t>ev</t>
        </is>
      </c>
      <c r="I40" s="5" t="inlineStr"/>
      <c r="J40" s="5" t="inlineStr"/>
      <c r="K40" s="5" t="inlineStr"/>
      <c r="L40" s="5" t="inlineStr"/>
      <c r="M40" s="5" t="inlineStr"/>
      <c r="N40" s="5" t="inlineStr"/>
      <c r="O40" s="5" t="inlineStr"/>
      <c r="P40" s="5" t="inlineStr"/>
      <c r="Q40" s="5" t="inlineStr"/>
      <c r="R40" s="6" t="inlineStr"/>
      <c r="S40" s="5" t="inlineStr"/>
      <c r="T40" s="5" t="inlineStr"/>
      <c r="U40" s="5" t="inlineStr"/>
      <c r="V40" s="5" t="inlineStr"/>
    </row>
    <row r="41">
      <c r="A41" s="5" t="inlineStr">
        <is>
          <t>sinif-baskani</t>
        </is>
      </c>
      <c r="B41" s="5" t="n">
        <v>3</v>
      </c>
      <c r="C41" s="5" t="inlineStr">
        <is>
          <t>7 yaş</t>
        </is>
      </c>
      <c r="D41" s="5" t="inlineStr">
        <is>
          <t>🗳️</t>
        </is>
      </c>
      <c r="E41" s="6" t="inlineStr">
        <is>
          <t>Sınıf Başkanlığı Seçimi</t>
        </is>
      </c>
      <c r="F41" s="6" t="inlineStr">
        <is>
          <t>Seçim var. Vaatler belli: daha uzun teneffüs, daha az ödev, sınıfa bir akvaryum.</t>
        </is>
      </c>
      <c r="G41" s="5" t="inlineStr"/>
      <c r="H41" s="5" t="inlineStr">
        <is>
          <t>sosyal</t>
        </is>
      </c>
      <c r="I41" s="5" t="inlineStr">
        <is>
          <t>E</t>
        </is>
      </c>
      <c r="J41" s="5" t="inlineStr"/>
      <c r="K41" s="5" t="inlineStr"/>
      <c r="L41" s="5" t="inlineStr"/>
      <c r="M41" s="5" t="inlineStr"/>
      <c r="N41" s="5" t="inlineStr"/>
      <c r="O41" s="5" t="inlineStr"/>
      <c r="P41" s="5" t="inlineStr"/>
      <c r="Q41" s="5" t="inlineStr"/>
      <c r="R41" s="6" t="inlineStr"/>
      <c r="S41" s="5" t="inlineStr"/>
      <c r="T41" s="5" t="inlineStr"/>
      <c r="U41" s="5" t="inlineStr"/>
      <c r="V41" s="5" t="inlineStr"/>
    </row>
    <row r="42">
      <c r="A42" s="5" t="inlineStr">
        <is>
          <t>davetiyeler</t>
        </is>
      </c>
      <c r="B42" s="5" t="n">
        <v>3</v>
      </c>
      <c r="C42" s="5" t="inlineStr">
        <is>
          <t>7 yaş 3 ay</t>
        </is>
      </c>
      <c r="D42" s="5" t="inlineStr">
        <is>
          <t>💌</t>
        </is>
      </c>
      <c r="E42" s="6" t="inlineStr">
        <is>
          <t>Davetiyeler Dağıtıldı</t>
        </is>
      </c>
      <c r="F42" s="6" t="inlineStr">
        <is>
          <t>Sınıfta doğum günü davetiyeleri dağıtılıyor. Sende yok. Henüz.</t>
        </is>
      </c>
      <c r="G42" s="5" t="inlineStr"/>
      <c r="H42" s="5" t="inlineStr">
        <is>
          <t>sosyal</t>
        </is>
      </c>
      <c r="I42" s="5" t="inlineStr"/>
      <c r="J42" s="5" t="inlineStr"/>
      <c r="K42" s="5" t="inlineStr"/>
      <c r="L42" s="5" t="inlineStr"/>
      <c r="M42" s="5" t="inlineStr"/>
      <c r="N42" s="5" t="inlineStr"/>
      <c r="O42" s="5" t="inlineStr"/>
      <c r="P42" s="5" t="inlineStr"/>
      <c r="Q42" s="5" t="inlineStr"/>
      <c r="R42" s="6" t="inlineStr"/>
      <c r="S42" s="5" t="inlineStr"/>
      <c r="T42" s="5" t="inlineStr"/>
      <c r="U42" s="5" t="inlineStr"/>
      <c r="V42" s="5" t="inlineStr"/>
    </row>
    <row r="43">
      <c r="A43" s="5" t="inlineStr">
        <is>
          <t>bayram-harcligi</t>
        </is>
      </c>
      <c r="B43" s="5" t="n">
        <v>3</v>
      </c>
      <c r="C43" s="5" t="inlineStr">
        <is>
          <t>7 yaş 6 ay</t>
        </is>
      </c>
      <c r="D43" s="5" t="inlineStr">
        <is>
          <t>✉️</t>
        </is>
      </c>
      <c r="E43" s="6" t="inlineStr">
        <is>
          <t>Bayram Harçlığı</t>
        </is>
      </c>
      <c r="F43" s="6" t="inlineStr">
        <is>
          <t>Bayram. Eller öpüldü, zarflar toplandı. Toplam bütçe çocuk standartlarında rekor.</t>
        </is>
      </c>
      <c r="G43" s="5" t="inlineStr"/>
      <c r="H43" s="5" t="inlineStr">
        <is>
          <t>para</t>
        </is>
      </c>
      <c r="I43" s="5" t="inlineStr"/>
      <c r="J43" s="5" t="inlineStr"/>
      <c r="K43" s="5" t="inlineStr"/>
      <c r="L43" s="5" t="inlineStr"/>
      <c r="M43" s="5" t="inlineStr"/>
      <c r="N43" s="5" t="inlineStr"/>
      <c r="O43" s="5" t="inlineStr"/>
      <c r="P43" s="5" t="inlineStr"/>
      <c r="Q43" s="5" t="inlineStr"/>
      <c r="R43" s="6" t="inlineStr"/>
      <c r="S43" s="5" t="inlineStr"/>
      <c r="T43" s="5" t="inlineStr"/>
      <c r="U43" s="5" t="inlineStr"/>
      <c r="V43" s="5" t="inlineStr"/>
    </row>
    <row r="44">
      <c r="A44" s="5" t="inlineStr">
        <is>
          <t>balkondaki-ucurtma</t>
        </is>
      </c>
      <c r="B44" s="5" t="n">
        <v>3</v>
      </c>
      <c r="C44" s="5" t="inlineStr">
        <is>
          <t>7 yaş 8 ay</t>
        </is>
      </c>
      <c r="D44" s="5" t="inlineStr">
        <is>
          <t>🪁</t>
        </is>
      </c>
      <c r="E44" s="6" t="inlineStr">
        <is>
          <t>Balkondaki Uçurtma</t>
        </is>
      </c>
      <c r="F44" s="6" t="inlineStr">
        <is>
          <t>Uçurtman üst kattaki balkonun korkuluğuna takıldı. Balkonun sahibi tatilde. Uçurtma rüzgârda sana el sallıyor.</t>
        </is>
      </c>
      <c r="G44" s="5" t="inlineStr"/>
      <c r="H44" s="5" t="inlineStr"/>
      <c r="I44" s="5" t="inlineStr"/>
      <c r="J44" s="5" t="inlineStr"/>
      <c r="K44" s="5" t="inlineStr"/>
      <c r="L44" s="5" t="inlineStr"/>
      <c r="M44" s="5" t="inlineStr"/>
      <c r="N44" s="5" t="inlineStr"/>
      <c r="O44" s="5" t="inlineStr"/>
      <c r="P44" s="5" t="inlineStr"/>
      <c r="Q44" s="5" t="inlineStr"/>
      <c r="R44" s="6" t="inlineStr"/>
      <c r="S44" s="5" t="inlineStr"/>
      <c r="T44" s="5" t="inlineStr"/>
      <c r="U44" s="5" t="inlineStr"/>
      <c r="V44" s="5" t="inlineStr"/>
    </row>
    <row r="45">
      <c r="A45" s="5" t="inlineStr">
        <is>
          <t>mahalle-maci</t>
        </is>
      </c>
      <c r="B45" s="5" t="n">
        <v>3</v>
      </c>
      <c r="C45" s="5" t="inlineStr">
        <is>
          <t>7 yaş 10 ay</t>
        </is>
      </c>
      <c r="D45" s="5" t="inlineStr">
        <is>
          <t>🥅</t>
        </is>
      </c>
      <c r="E45" s="6" t="inlineStr">
        <is>
          <t>Mahalle Maçı</t>
        </is>
      </c>
      <c r="F45" s="6" t="inlineStr">
        <is>
          <t>Maç berabere. Son vuruş sende. Kalenin arkasında komşunun camı parlıyor.</t>
        </is>
      </c>
      <c r="G45" s="5" t="inlineStr"/>
      <c r="H45" s="5" t="inlineStr"/>
      <c r="I45" s="5" t="inlineStr"/>
      <c r="J45" s="5" t="inlineStr"/>
      <c r="K45" s="5" t="inlineStr"/>
      <c r="L45" s="5" t="inlineStr"/>
      <c r="M45" s="5" t="inlineStr"/>
      <c r="N45" s="5" t="inlineStr"/>
      <c r="O45" s="5" t="inlineStr"/>
      <c r="P45" s="5" t="inlineStr"/>
      <c r="Q45" s="5" t="inlineStr"/>
      <c r="R45" s="6" t="inlineStr"/>
      <c r="S45" s="5" t="inlineStr"/>
      <c r="T45" s="5" t="inlineStr"/>
      <c r="U45" s="5" t="inlineStr"/>
      <c r="V45" s="5" t="inlineStr"/>
    </row>
    <row r="46">
      <c r="A46" s="5" t="inlineStr">
        <is>
          <t>kedi-istiyoruz</t>
        </is>
      </c>
      <c r="B46" s="5" t="n">
        <v>3</v>
      </c>
      <c r="C46" s="5" t="inlineStr">
        <is>
          <t>8 yaş</t>
        </is>
      </c>
      <c r="D46" s="5" t="inlineStr">
        <is>
          <t>🐱</t>
        </is>
      </c>
      <c r="E46" s="6" t="inlineStr">
        <is>
          <t>Evde Kedi Oylaması</t>
        </is>
      </c>
      <c r="F46" s="6" t="inlineStr">
        <is>
          <t>Eve kedi alınması gündemde. Karar oturumu akşam yemeğinde.</t>
        </is>
      </c>
      <c r="G46" s="5" t="inlineStr"/>
      <c r="H46" s="5" t="inlineStr">
        <is>
          <t>ev</t>
        </is>
      </c>
      <c r="I46" s="5" t="inlineStr"/>
      <c r="J46" s="5" t="inlineStr"/>
      <c r="K46" s="5" t="inlineStr"/>
      <c r="L46" s="5" t="inlineStr"/>
      <c r="M46" s="5" t="inlineStr"/>
      <c r="N46" s="5" t="inlineStr"/>
      <c r="O46" s="5" t="inlineStr"/>
      <c r="P46" s="5" t="inlineStr"/>
      <c r="Q46" s="5" t="inlineStr"/>
      <c r="R46" s="6" t="inlineStr"/>
      <c r="S46" s="5" t="inlineStr"/>
      <c r="T46" s="5" t="inlineStr"/>
      <c r="U46" s="5" t="inlineStr"/>
      <c r="V46" s="5" t="inlineStr"/>
    </row>
    <row r="47">
      <c r="A47" s="5" t="inlineStr">
        <is>
          <t>tablet-saati</t>
        </is>
      </c>
      <c r="B47" s="5" t="n">
        <v>3</v>
      </c>
      <c r="C47" s="5" t="inlineStr">
        <is>
          <t>8 yaş 4 ay</t>
        </is>
      </c>
      <c r="D47" s="5" t="inlineStr">
        <is>
          <t>🎮</t>
        </is>
      </c>
      <c r="E47" s="6" t="inlineStr">
        <is>
          <t>Tablet Saati</t>
        </is>
      </c>
      <c r="F47" s="6" t="inlineStr">
        <is>
          <t>Ekran süresi günde bir saat. Oyunun bölüm sonu canavarı ise 61. dakikada.</t>
        </is>
      </c>
      <c r="G47" s="5" t="inlineStr"/>
      <c r="H47" s="5" t="inlineStr">
        <is>
          <t>ev</t>
        </is>
      </c>
      <c r="I47" s="5" t="inlineStr"/>
      <c r="J47" s="5" t="inlineStr"/>
      <c r="K47" s="5" t="inlineStr"/>
      <c r="L47" s="5" t="inlineStr"/>
      <c r="M47" s="5" t="inlineStr"/>
      <c r="N47" s="5" t="inlineStr"/>
      <c r="O47" s="5" t="inlineStr"/>
      <c r="P47" s="5" t="inlineStr"/>
      <c r="Q47" s="5" t="inlineStr"/>
      <c r="R47" s="6" t="inlineStr"/>
      <c r="S47" s="5" t="inlineStr"/>
      <c r="T47" s="5" t="inlineStr"/>
      <c r="U47" s="5" t="inlineStr"/>
      <c r="V47" s="5" t="inlineStr"/>
    </row>
    <row r="48">
      <c r="A48" s="5" t="inlineStr">
        <is>
          <t>veli-toplantisi</t>
        </is>
      </c>
      <c r="B48" s="5" t="n">
        <v>3</v>
      </c>
      <c r="C48" s="5" t="inlineStr">
        <is>
          <t>8 yaş 8 ay</t>
        </is>
      </c>
      <c r="D48" s="5" t="inlineStr">
        <is>
          <t>🚪</t>
        </is>
      </c>
      <c r="E48" s="6" t="inlineStr">
        <is>
          <t>Veli Toplantısı</t>
        </is>
      </c>
      <c r="F48" s="6" t="inlineStr">
        <is>
          <t>Ailen okulda. Sen kapının önündesin. İçeriden arada bir adın duyuluyor.</t>
        </is>
      </c>
      <c r="G48" s="5" t="inlineStr"/>
      <c r="H48" s="5" t="inlineStr">
        <is>
          <t>okul-iş</t>
        </is>
      </c>
      <c r="I48" s="5" t="inlineStr"/>
      <c r="J48" s="5" t="inlineStr"/>
      <c r="K48" s="5" t="inlineStr"/>
      <c r="L48" s="5" t="inlineStr"/>
      <c r="M48" s="5" t="inlineStr"/>
      <c r="N48" s="5" t="inlineStr"/>
      <c r="O48" s="5" t="inlineStr"/>
      <c r="P48" s="5" t="inlineStr"/>
      <c r="Q48" s="5" t="inlineStr"/>
      <c r="R48" s="6" t="inlineStr"/>
      <c r="S48" s="5" t="inlineStr"/>
      <c r="T48" s="5" t="inlineStr"/>
      <c r="U48" s="5" t="inlineStr"/>
      <c r="V48" s="5" t="inlineStr"/>
    </row>
    <row r="49">
      <c r="A49" s="5" t="inlineStr">
        <is>
          <t>karne-gunu</t>
        </is>
      </c>
      <c r="B49" s="5" t="n">
        <v>3</v>
      </c>
      <c r="C49" s="5" t="inlineStr">
        <is>
          <t>9 yaş</t>
        </is>
      </c>
      <c r="D49" s="5" t="inlineStr">
        <is>
          <t>📜</t>
        </is>
      </c>
      <c r="E49" s="6" t="inlineStr">
        <is>
          <t>Karne Günü</t>
        </is>
      </c>
      <c r="F49" s="6" t="inlineStr">
        <is>
          <t>Yılın son günü. Karne elinde. Eve kadar 800 metre, düşünmek için bolca zaman.</t>
        </is>
      </c>
      <c r="G49" s="5" t="inlineStr"/>
      <c r="H49" s="5" t="inlineStr">
        <is>
          <t>okul-iş</t>
        </is>
      </c>
      <c r="I49" s="5" t="inlineStr">
        <is>
          <t>E</t>
        </is>
      </c>
      <c r="J49" s="5" t="inlineStr"/>
      <c r="K49" s="5" t="inlineStr"/>
      <c r="L49" s="5" t="inlineStr"/>
      <c r="M49" s="5" t="inlineStr"/>
      <c r="N49" s="5" t="inlineStr"/>
      <c r="O49" s="5" t="inlineStr"/>
      <c r="P49" s="5" t="inlineStr"/>
      <c r="Q49" s="5" t="inlineStr"/>
      <c r="R49" s="6" t="inlineStr"/>
      <c r="S49" s="5" t="inlineStr"/>
      <c r="T49" s="5" t="inlineStr"/>
      <c r="U49" s="5" t="inlineStr"/>
      <c r="V49" s="5" t="inlineStr"/>
    </row>
    <row r="50">
      <c r="A50" s="5" t="inlineStr">
        <is>
          <t>b4-ilk-telefon</t>
        </is>
      </c>
      <c r="B50" s="5" t="n">
        <v>4</v>
      </c>
      <c r="C50" s="5" t="inlineStr">
        <is>
          <t>10 yaş</t>
        </is>
      </c>
      <c r="D50" s="5" t="inlineStr">
        <is>
          <t>📱</t>
        </is>
      </c>
      <c r="E50" s="6" t="inlineStr">
        <is>
          <t>İlk Akıllı Telefon</t>
        </is>
      </c>
      <c r="F50" s="6" t="inlineStr">
        <is>
          <t>İlk akıllı telefonun kutudan çıktı. Ekran koruyucu takılmadan önce ebeveyn denetim uygulaması kuruldu.</t>
        </is>
      </c>
      <c r="G50" s="5" t="inlineStr">
        <is>
          <t>ev</t>
        </is>
      </c>
      <c r="H50" s="5" t="inlineStr">
        <is>
          <t>ev</t>
        </is>
      </c>
      <c r="I50" s="5" t="inlineStr">
        <is>
          <t>E</t>
        </is>
      </c>
      <c r="J50" s="5" t="inlineStr"/>
      <c r="K50" s="5" t="inlineStr"/>
      <c r="L50" s="5" t="inlineStr"/>
      <c r="M50" s="5" t="inlineStr"/>
      <c r="N50" s="5" t="inlineStr"/>
      <c r="O50" s="5" t="inlineStr"/>
      <c r="P50" s="5" t="inlineStr"/>
      <c r="Q50" s="5" t="inlineStr"/>
      <c r="R50" s="6" t="inlineStr"/>
      <c r="S50" s="5" t="inlineStr"/>
      <c r="T50" s="5" t="inlineStr"/>
      <c r="U50" s="5" t="inlineStr"/>
      <c r="V50" s="5" t="inlineStr"/>
    </row>
    <row r="51">
      <c r="A51" s="5" t="inlineStr">
        <is>
          <t>b4-aile-grubu</t>
        </is>
      </c>
      <c r="B51" s="5" t="n">
        <v>4</v>
      </c>
      <c r="C51" s="5" t="inlineStr">
        <is>
          <t>10 yaş 2 ay</t>
        </is>
      </c>
      <c r="D51" s="5" t="inlineStr">
        <is>
          <t>👨‍👩‍👧</t>
        </is>
      </c>
      <c r="E51" s="6" t="inlineStr">
        <is>
          <t>Aile Mesaj Grubu</t>
        </is>
      </c>
      <c r="F51" s="6" t="inlineStr">
        <is>
          <t>Aile mesaj grubuna eklendin. Grupta 34 kişi, sabah yedide atılmış on bir çiçekli günaydın ve kimsenin açmadığı bir sesli mesaj var.</t>
        </is>
      </c>
      <c r="G51" s="5" t="inlineStr">
        <is>
          <t>ev</t>
        </is>
      </c>
      <c r="H51" s="5" t="inlineStr">
        <is>
          <t>ev</t>
        </is>
      </c>
      <c r="I51" s="5" t="inlineStr"/>
      <c r="J51" s="5" t="inlineStr"/>
      <c r="K51" s="5" t="inlineStr"/>
      <c r="L51" s="5" t="inlineStr"/>
      <c r="M51" s="5" t="inlineStr"/>
      <c r="N51" s="5" t="inlineStr"/>
      <c r="O51" s="5" t="inlineStr"/>
      <c r="P51" s="5" t="inlineStr"/>
      <c r="Q51" s="5" t="inlineStr"/>
      <c r="R51" s="6" t="inlineStr"/>
      <c r="S51" s="5" t="inlineStr"/>
      <c r="T51" s="5" t="inlineStr"/>
      <c r="U51" s="5" t="inlineStr"/>
      <c r="V51" s="5" t="inlineStr"/>
    </row>
    <row r="52">
      <c r="A52" s="5" t="inlineStr">
        <is>
          <t>b4-oyun-faturasi</t>
        </is>
      </c>
      <c r="B52" s="5" t="n">
        <v>4</v>
      </c>
      <c r="C52" s="5" t="inlineStr">
        <is>
          <t>10 yaş 5 ay</t>
        </is>
      </c>
      <c r="D52" s="5" t="inlineStr">
        <is>
          <t>💎</t>
        </is>
      </c>
      <c r="E52" s="6" t="inlineStr">
        <is>
          <t>Oyun İçi Satın Alma</t>
        </is>
      </c>
      <c r="F52" s="6" t="inlineStr">
        <is>
          <t>Oyundaki parlak kılıç yalnızca 'birkaç elmas'. Elmaslar gerçek parayla alınıyor. Kart, annenin telefonunda kayıtlı.</t>
        </is>
      </c>
      <c r="G52" s="5" t="inlineStr">
        <is>
          <t>ev</t>
        </is>
      </c>
      <c r="H52" s="5" t="inlineStr">
        <is>
          <t>para</t>
        </is>
      </c>
      <c r="I52" s="5" t="inlineStr"/>
      <c r="J52" s="5" t="inlineStr"/>
      <c r="K52" s="5" t="inlineStr"/>
      <c r="L52" s="5" t="inlineStr"/>
      <c r="M52" s="5" t="inlineStr"/>
      <c r="N52" s="5" t="inlineStr"/>
      <c r="O52" s="5" t="inlineStr"/>
      <c r="P52" s="5" t="inlineStr"/>
      <c r="Q52" s="5" t="inlineStr"/>
      <c r="R52" s="6" t="inlineStr"/>
      <c r="S52" s="5" t="inlineStr"/>
      <c r="T52" s="5" t="inlineStr"/>
      <c r="U52" s="5" t="inlineStr"/>
      <c r="V52" s="5" t="inlineStr"/>
    </row>
    <row r="53">
      <c r="A53" s="5" t="inlineStr">
        <is>
          <t>b4-flut</t>
        </is>
      </c>
      <c r="B53" s="5" t="n">
        <v>4</v>
      </c>
      <c r="C53" s="5" t="inlineStr">
        <is>
          <t>10 yaş 6 ay</t>
        </is>
      </c>
      <c r="D53" s="5" t="inlineStr">
        <is>
          <t>🎵</t>
        </is>
      </c>
      <c r="E53" s="6" t="inlineStr">
        <is>
          <t>Müzik Dersi Flütü</t>
        </is>
      </c>
      <c r="F53" s="6" t="inlineStr">
        <is>
          <t>Müzik dersi için flüt alındı. Evdeki herkes önümüzdeki üç ayı sessizce kabullendi.</t>
        </is>
      </c>
      <c r="G53" s="5" t="inlineStr">
        <is>
          <t>ev</t>
        </is>
      </c>
      <c r="H53" s="5" t="inlineStr">
        <is>
          <t>okul-iş</t>
        </is>
      </c>
      <c r="I53" s="5" t="inlineStr"/>
      <c r="J53" s="5" t="inlineStr"/>
      <c r="K53" s="5" t="inlineStr"/>
      <c r="L53" s="5" t="inlineStr"/>
      <c r="M53" s="5" t="inlineStr"/>
      <c r="N53" s="5" t="inlineStr"/>
      <c r="O53" s="5" t="inlineStr"/>
      <c r="P53" s="5" t="inlineStr"/>
      <c r="Q53" s="5" t="inlineStr"/>
      <c r="R53" s="6" t="inlineStr"/>
      <c r="S53" s="5" t="inlineStr"/>
      <c r="T53" s="5" t="inlineStr"/>
      <c r="U53" s="5" t="inlineStr"/>
      <c r="V53" s="5" t="inlineStr"/>
    </row>
    <row r="54">
      <c r="A54" s="5" t="inlineStr">
        <is>
          <t>b4-sinif-grubu</t>
        </is>
      </c>
      <c r="B54" s="5" t="n">
        <v>4</v>
      </c>
      <c r="C54" s="5" t="inlineStr">
        <is>
          <t>10 yaş 8 ay</t>
        </is>
      </c>
      <c r="D54" s="5" t="inlineStr">
        <is>
          <t>💬</t>
        </is>
      </c>
      <c r="E54" s="6" t="inlineStr">
        <is>
          <t>Sınıf Mesaj Grubu</t>
        </is>
      </c>
      <c r="F54" s="6" t="inlineStr">
        <is>
          <t>Sınıf mesaj grubu gece yarısı kaynıyor. Sen de yazıyorsun. Parmağın 'Gönder' tuşunun üstünde.</t>
        </is>
      </c>
      <c r="G54" s="5" t="inlineStr">
        <is>
          <t>sinif</t>
        </is>
      </c>
      <c r="H54" s="5" t="inlineStr">
        <is>
          <t>sosyal</t>
        </is>
      </c>
      <c r="I54" s="5" t="inlineStr"/>
      <c r="J54" s="5" t="inlineStr"/>
      <c r="K54" s="5" t="inlineStr"/>
      <c r="L54" s="5" t="inlineStr"/>
      <c r="M54" s="5" t="inlineStr"/>
      <c r="N54" s="5" t="inlineStr"/>
      <c r="O54" s="5" t="inlineStr"/>
      <c r="P54" s="5" t="inlineStr"/>
      <c r="Q54" s="5" t="inlineStr"/>
      <c r="R54" s="6" t="inlineStr"/>
      <c r="S54" s="5" t="inlineStr"/>
      <c r="T54" s="5" t="inlineStr"/>
      <c r="U54" s="5" t="inlineStr"/>
      <c r="V54" s="5" t="inlineStr"/>
    </row>
    <row r="55">
      <c r="A55" s="5" t="inlineStr">
        <is>
          <t>b4-kisa-video</t>
        </is>
      </c>
      <c r="B55" s="5" t="n">
        <v>4</v>
      </c>
      <c r="C55" s="5" t="inlineStr">
        <is>
          <t>10 yaş 11 ay</t>
        </is>
      </c>
      <c r="D55" s="5" t="inlineStr">
        <is>
          <t>🎬</t>
        </is>
      </c>
      <c r="E55" s="6" t="inlineStr">
        <is>
          <t>Dans Trendi</t>
        </is>
      </c>
      <c r="F55" s="6" t="inlineStr">
        <is>
          <t>Kısa video uygulamasında yeni bir dans trendi var. Herkes yapıyor. Salonda yeterince yer, evde yeterince utanma yok.</t>
        </is>
      </c>
      <c r="G55" s="5" t="inlineStr">
        <is>
          <t>ev</t>
        </is>
      </c>
      <c r="H55" s="5" t="inlineStr">
        <is>
          <t>sosyal</t>
        </is>
      </c>
      <c r="I55" s="5" t="inlineStr"/>
      <c r="J55" s="5" t="inlineStr"/>
      <c r="K55" s="5" t="inlineStr"/>
      <c r="L55" s="5" t="inlineStr"/>
      <c r="M55" s="5" t="inlineStr"/>
      <c r="N55" s="5" t="inlineStr"/>
      <c r="O55" s="5" t="inlineStr"/>
      <c r="P55" s="5" t="inlineStr"/>
      <c r="Q55" s="5" t="inlineStr"/>
      <c r="R55" s="6" t="inlineStr"/>
      <c r="S55" s="5" t="inlineStr"/>
      <c r="T55" s="5" t="inlineStr"/>
      <c r="U55" s="5" t="inlineStr"/>
      <c r="V55" s="5" t="inlineStr"/>
    </row>
    <row r="56">
      <c r="A56" s="5" t="inlineStr">
        <is>
          <t>b4-kuzen-kiyaslama</t>
        </is>
      </c>
      <c r="B56" s="5" t="n">
        <v>4</v>
      </c>
      <c r="C56" s="5" t="inlineStr">
        <is>
          <t>11 yaş</t>
        </is>
      </c>
      <c r="D56" s="5" t="inlineStr">
        <is>
          <t>🏆</t>
        </is>
      </c>
      <c r="E56" s="6" t="inlineStr">
        <is>
          <t>Kuzen Kıyaslaması</t>
        </is>
      </c>
      <c r="F56" s="6" t="inlineStr">
        <is>
          <t>Bayram ziyareti. Teyzenin oğlu matematik yarışmasında birinci olmuş. Bu bilgi sofraya üç kez servis edildi.</t>
        </is>
      </c>
      <c r="G56" s="5" t="inlineStr">
        <is>
          <t>ev</t>
        </is>
      </c>
      <c r="H56" s="5" t="inlineStr">
        <is>
          <t>ev</t>
        </is>
      </c>
      <c r="I56" s="5" t="inlineStr"/>
      <c r="J56" s="5" t="inlineStr"/>
      <c r="K56" s="5" t="inlineStr"/>
      <c r="L56" s="5" t="inlineStr"/>
      <c r="M56" s="5" t="inlineStr"/>
      <c r="N56" s="5" t="inlineStr"/>
      <c r="O56" s="5" t="inlineStr"/>
      <c r="P56" s="5" t="inlineStr"/>
      <c r="Q56" s="5" t="inlineStr"/>
      <c r="R56" s="6" t="inlineStr"/>
      <c r="S56" s="5" t="inlineStr"/>
      <c r="T56" s="5" t="inlineStr"/>
      <c r="U56" s="5" t="inlineStr"/>
      <c r="V56" s="5" t="inlineStr"/>
    </row>
    <row r="57">
      <c r="A57" s="5" t="inlineStr">
        <is>
          <t>b4-ekran-suresi</t>
        </is>
      </c>
      <c r="B57" s="5" t="n">
        <v>4</v>
      </c>
      <c r="C57" s="5" t="inlineStr">
        <is>
          <t>11 yaş 1 ay</t>
        </is>
      </c>
      <c r="D57" s="5" t="inlineStr">
        <is>
          <t>📊</t>
        </is>
      </c>
      <c r="E57" s="6" t="inlineStr">
        <is>
          <t>Ekran Süresi Raporu</t>
        </is>
      </c>
      <c r="F57" s="6" t="inlineStr">
        <is>
          <t>Ailen haftalık ekran süresi raporunu açtı. Ortalama: günde 6 saat 12 dakika. En çok kullanılan uygulama: Hesap Makinesi.</t>
        </is>
      </c>
      <c r="G57" s="5" t="inlineStr">
        <is>
          <t>ev</t>
        </is>
      </c>
      <c r="H57" s="5" t="inlineStr">
        <is>
          <t>ev</t>
        </is>
      </c>
      <c r="I57" s="5" t="inlineStr"/>
      <c r="J57" s="5" t="inlineStr"/>
      <c r="K57" s="5" t="inlineStr"/>
      <c r="L57" s="5" t="inlineStr"/>
      <c r="M57" s="5" t="inlineStr"/>
      <c r="N57" s="5" t="inlineStr"/>
      <c r="O57" s="5" t="inlineStr"/>
      <c r="P57" s="5" t="inlineStr"/>
      <c r="Q57" s="5" t="inlineStr"/>
      <c r="R57" s="6" t="inlineStr"/>
      <c r="S57" s="5" t="inlineStr"/>
      <c r="T57" s="5" t="inlineStr"/>
      <c r="U57" s="5" t="inlineStr"/>
      <c r="V57" s="5" t="inlineStr"/>
    </row>
    <row r="58">
      <c r="A58" s="5" t="inlineStr">
        <is>
          <t>b4-mahalle-haraccilari</t>
        </is>
      </c>
      <c r="B58" s="5" t="n">
        <v>4</v>
      </c>
      <c r="C58" s="5" t="inlineStr">
        <is>
          <t>11 yaş 3 ay</t>
        </is>
      </c>
      <c r="D58" s="5" t="inlineStr">
        <is>
          <t>🧢</t>
        </is>
      </c>
      <c r="E58" s="6" t="inlineStr">
        <is>
          <t>Köşedeki Üç Kişi</t>
        </is>
      </c>
      <c r="F58" s="6" t="inlineStr">
        <is>
          <t>Köşede üç büyük çocuk. 'Harçlığın var mı?' diye sordular. Telefonuna da ayrıca, uzun uzun baktılar.</t>
        </is>
      </c>
      <c r="G58" s="5" t="inlineStr">
        <is>
          <t>sokak</t>
        </is>
      </c>
      <c r="H58" s="5" t="inlineStr">
        <is>
          <t>para</t>
        </is>
      </c>
      <c r="I58" s="5" t="inlineStr">
        <is>
          <t>E</t>
        </is>
      </c>
      <c r="J58" s="5" t="inlineStr"/>
      <c r="K58" s="5" t="inlineStr"/>
      <c r="L58" s="5" t="inlineStr"/>
      <c r="M58" s="5" t="inlineStr"/>
      <c r="N58" s="5" t="inlineStr"/>
      <c r="O58" s="5" t="inlineStr"/>
      <c r="P58" s="5" t="inlineStr"/>
      <c r="Q58" s="5" t="inlineStr"/>
      <c r="R58" s="6" t="inlineStr"/>
      <c r="S58" s="5" t="inlineStr"/>
      <c r="T58" s="5" t="inlineStr"/>
      <c r="U58" s="5" t="inlineStr"/>
      <c r="V58" s="5" t="inlineStr"/>
    </row>
    <row r="59">
      <c r="A59" s="5" t="inlineStr">
        <is>
          <t>b4-sivilce</t>
        </is>
      </c>
      <c r="B59" s="5" t="n">
        <v>4</v>
      </c>
      <c r="C59" s="5" t="inlineStr">
        <is>
          <t>11 yaş 6 ay</t>
        </is>
      </c>
      <c r="D59" s="5" t="inlineStr">
        <is>
          <t>🪞</t>
        </is>
      </c>
      <c r="E59" s="6" t="inlineStr">
        <is>
          <t>Alındaki Misafir</t>
        </is>
      </c>
      <c r="F59" s="6" t="inlineStr">
        <is>
          <t>Sabah aynada bir misafir var: alnının tam ortasında. Bugün okul fotoğrafı çekilecek.</t>
        </is>
      </c>
      <c r="G59" s="5" t="inlineStr">
        <is>
          <t>ev</t>
        </is>
      </c>
      <c r="H59" s="5" t="inlineStr">
        <is>
          <t>ev</t>
        </is>
      </c>
      <c r="I59" s="5" t="inlineStr"/>
      <c r="J59" s="5" t="inlineStr"/>
      <c r="K59" s="5" t="inlineStr"/>
      <c r="L59" s="5" t="inlineStr"/>
      <c r="M59" s="5" t="inlineStr"/>
      <c r="N59" s="5" t="inlineStr"/>
      <c r="O59" s="5" t="inlineStr"/>
      <c r="P59" s="5" t="inlineStr"/>
      <c r="Q59" s="5" t="inlineStr"/>
      <c r="R59" s="6" t="inlineStr"/>
      <c r="S59" s="5" t="inlineStr"/>
      <c r="T59" s="5" t="inlineStr"/>
      <c r="U59" s="5" t="inlineStr"/>
      <c r="V59" s="5" t="inlineStr"/>
    </row>
    <row r="60">
      <c r="A60" s="5" t="inlineStr">
        <is>
          <t>b4-ses-catlamasi</t>
        </is>
      </c>
      <c r="B60" s="5" t="n">
        <v>4</v>
      </c>
      <c r="C60" s="5" t="inlineStr">
        <is>
          <t>11 yaş 9 ay</t>
        </is>
      </c>
      <c r="D60" s="5" t="inlineStr">
        <is>
          <t>🎤</t>
        </is>
      </c>
      <c r="E60" s="6" t="inlineStr">
        <is>
          <t>Ses Çatlaması</t>
        </is>
      </c>
      <c r="F60" s="6" t="inlineStr">
        <is>
          <t>Sesli okuma sırası sana geldi. Sesin cümlenin ortasında bir oktav yukarı çıkacak mı, belli değil.</t>
        </is>
      </c>
      <c r="G60" s="5" t="inlineStr">
        <is>
          <t>sinif</t>
        </is>
      </c>
      <c r="H60" s="5" t="inlineStr">
        <is>
          <t>okul-iş</t>
        </is>
      </c>
      <c r="I60" s="5" t="inlineStr"/>
      <c r="J60" s="5" t="inlineStr"/>
      <c r="K60" s="5" t="inlineStr"/>
      <c r="L60" s="5" t="inlineStr"/>
      <c r="M60" s="5" t="inlineStr"/>
      <c r="N60" s="5" t="inlineStr">
        <is>
          <t>erkek</t>
        </is>
      </c>
      <c r="O60" s="5" t="inlineStr"/>
      <c r="P60" s="5" t="inlineStr"/>
      <c r="Q60" s="5" t="inlineStr"/>
      <c r="R60" s="6" t="inlineStr"/>
      <c r="S60" s="5" t="inlineStr"/>
      <c r="T60" s="5" t="inlineStr"/>
      <c r="U60" s="5" t="inlineStr"/>
      <c r="V60" s="5" t="inlineStr"/>
    </row>
    <row r="61">
      <c r="A61" s="5" t="inlineStr">
        <is>
          <t>b4-ogretmenler-gunu</t>
        </is>
      </c>
      <c r="B61" s="5" t="n">
        <v>4</v>
      </c>
      <c r="C61" s="5" t="inlineStr">
        <is>
          <t>11 yaş 11 ay</t>
        </is>
      </c>
      <c r="D61" s="5" t="inlineStr">
        <is>
          <t>🎁</t>
        </is>
      </c>
      <c r="E61" s="6" t="inlineStr">
        <is>
          <t>Öğretmenler Günü</t>
        </is>
      </c>
      <c r="F61" s="6" t="inlineStr">
        <is>
          <t>Veli grubunda hediye için para toplanıyor. Bir veli 'Herkes eşit katılsın' dedi, bir diğeri 'Gönüllülük esastır' diye cevap verdi.</t>
        </is>
      </c>
      <c r="G61" s="5" t="inlineStr">
        <is>
          <t>sinif</t>
        </is>
      </c>
      <c r="H61" s="5" t="inlineStr">
        <is>
          <t>okul-iş</t>
        </is>
      </c>
      <c r="I61" s="5" t="inlineStr"/>
      <c r="J61" s="5" t="inlineStr"/>
      <c r="K61" s="5" t="inlineStr"/>
      <c r="L61" s="5" t="inlineStr"/>
      <c r="M61" s="5" t="inlineStr"/>
      <c r="N61" s="5" t="inlineStr"/>
      <c r="O61" s="5" t="inlineStr"/>
      <c r="P61" s="5" t="inlineStr"/>
      <c r="Q61" s="5" t="inlineStr"/>
      <c r="R61" s="6" t="inlineStr"/>
      <c r="S61" s="5" t="inlineStr"/>
      <c r="T61" s="5" t="inlineStr"/>
      <c r="U61" s="5" t="inlineStr"/>
      <c r="V61" s="5" t="inlineStr"/>
    </row>
    <row r="62">
      <c r="A62" s="5" t="inlineStr">
        <is>
          <t>b4-ilk-hoslanti</t>
        </is>
      </c>
      <c r="B62" s="5" t="n">
        <v>4</v>
      </c>
      <c r="C62" s="5" t="inlineStr">
        <is>
          <t>12 yaş</t>
        </is>
      </c>
      <c r="D62" s="5" t="inlineStr">
        <is>
          <t>💌</t>
        </is>
      </c>
      <c r="E62" s="6" t="inlineStr">
        <is>
          <t>İlk Hoşlantı</t>
        </is>
      </c>
      <c r="F62" s="6" t="inlineStr">
        <is>
          <t>Sınıftaki biri hikâyeni beğendi. Bilimsel olarak bu bir şey anlamına geliyor olabilir.</t>
        </is>
      </c>
      <c r="G62" s="5" t="inlineStr">
        <is>
          <t>okul</t>
        </is>
      </c>
      <c r="H62" s="5" t="inlineStr">
        <is>
          <t>sosyal</t>
        </is>
      </c>
      <c r="I62" s="5" t="inlineStr"/>
      <c r="J62" s="5" t="inlineStr"/>
      <c r="K62" s="5" t="inlineStr"/>
      <c r="L62" s="5" t="inlineStr"/>
      <c r="M62" s="5" t="inlineStr"/>
      <c r="N62" s="5" t="inlineStr"/>
      <c r="O62" s="5" t="inlineStr"/>
      <c r="P62" s="5" t="inlineStr"/>
      <c r="Q62" s="5" t="inlineStr"/>
      <c r="R62" s="6" t="inlineStr"/>
      <c r="S62" s="5" t="inlineStr"/>
      <c r="T62" s="5" t="inlineStr"/>
      <c r="U62" s="5" t="inlineStr"/>
      <c r="V62" s="5" t="inlineStr"/>
    </row>
    <row r="63">
      <c r="A63" s="5" t="inlineStr">
        <is>
          <t>b4-grup-odevi</t>
        </is>
      </c>
      <c r="B63" s="5" t="n">
        <v>4</v>
      </c>
      <c r="C63" s="5" t="inlineStr">
        <is>
          <t>12 yaş 1 ay</t>
        </is>
      </c>
      <c r="D63" s="5" t="inlineStr">
        <is>
          <t>📝</t>
        </is>
      </c>
      <c r="E63" s="6" t="inlineStr">
        <is>
          <t>Dört Kişilik Grup Ödevi</t>
        </is>
      </c>
      <c r="F63" s="6" t="inlineStr">
        <is>
          <t>Dört kişilik grup ödevi. Biri yapar, üçü 'katkı sağlar'. Hangisi olacağın bu akşamki mesajlarda belirlenecek.</t>
        </is>
      </c>
      <c r="G63" s="5" t="inlineStr">
        <is>
          <t>sinif</t>
        </is>
      </c>
      <c r="H63" s="5" t="inlineStr">
        <is>
          <t>okul-iş</t>
        </is>
      </c>
      <c r="I63" s="5" t="inlineStr"/>
      <c r="J63" s="5" t="inlineStr"/>
      <c r="K63" s="5" t="inlineStr"/>
      <c r="L63" s="5" t="inlineStr"/>
      <c r="M63" s="5" t="inlineStr"/>
      <c r="N63" s="5" t="inlineStr"/>
      <c r="O63" s="5" t="inlineStr"/>
      <c r="P63" s="5" t="inlineStr"/>
      <c r="Q63" s="5" t="inlineStr"/>
      <c r="R63" s="6" t="inlineStr"/>
      <c r="S63" s="5" t="inlineStr"/>
      <c r="T63" s="5" t="inlineStr"/>
      <c r="U63" s="5" t="inlineStr"/>
      <c r="V63" s="5" t="inlineStr"/>
    </row>
    <row r="64">
      <c r="A64" s="5" t="inlineStr">
        <is>
          <t>b4-okul-gezisi</t>
        </is>
      </c>
      <c r="B64" s="5" t="n">
        <v>4</v>
      </c>
      <c r="C64" s="5" t="inlineStr">
        <is>
          <t>12 yaş 2 ay</t>
        </is>
      </c>
      <c r="D64" s="5" t="inlineStr">
        <is>
          <t>🚌</t>
        </is>
      </c>
      <c r="E64" s="6" t="inlineStr">
        <is>
          <t>Okul Gezisi</t>
        </is>
      </c>
      <c r="F64" s="6" t="inlineStr">
        <is>
          <t>Okul gezisi. Otobüsün arka koltukları ilk on saniyede kapıldı. Öğretmen sayım yapıyor; sayı tutmuyor.</t>
        </is>
      </c>
      <c r="G64" s="5" t="inlineStr">
        <is>
          <t>toplu-tasima</t>
        </is>
      </c>
      <c r="H64" s="5" t="inlineStr">
        <is>
          <t>sosyal</t>
        </is>
      </c>
      <c r="I64" s="5" t="inlineStr"/>
      <c r="J64" s="5" t="inlineStr"/>
      <c r="K64" s="5" t="inlineStr"/>
      <c r="L64" s="5" t="inlineStr"/>
      <c r="M64" s="5" t="inlineStr"/>
      <c r="N64" s="5" t="inlineStr"/>
      <c r="O64" s="5" t="inlineStr"/>
      <c r="P64" s="5" t="inlineStr"/>
      <c r="Q64" s="5" t="inlineStr"/>
      <c r="R64" s="6" t="inlineStr"/>
      <c r="S64" s="5" t="inlineStr"/>
      <c r="T64" s="5" t="inlineStr"/>
      <c r="U64" s="5" t="inlineStr"/>
      <c r="V64" s="5" t="inlineStr"/>
    </row>
    <row r="65">
      <c r="A65" s="5" t="inlineStr">
        <is>
          <t>b4-ayna</t>
        </is>
      </c>
      <c r="B65" s="5" t="n">
        <v>4</v>
      </c>
      <c r="C65" s="5" t="inlineStr">
        <is>
          <t>12 yaş 3 ay</t>
        </is>
      </c>
      <c r="D65" s="5" t="inlineStr">
        <is>
          <t>💇</t>
        </is>
      </c>
      <c r="E65" s="6" t="inlineStr">
        <is>
          <t>Ayna Karşısında</t>
        </is>
      </c>
      <c r="F65" s="6" t="inlineStr">
        <is>
          <t>Banyoda aynanın karşısında saçını on beşinci kez düzelttin. Kapının dışında üç kişi sıra bekliyor.</t>
        </is>
      </c>
      <c r="G65" s="5" t="inlineStr">
        <is>
          <t>ev</t>
        </is>
      </c>
      <c r="H65" s="5" t="inlineStr">
        <is>
          <t>ev</t>
        </is>
      </c>
      <c r="I65" s="5" t="inlineStr"/>
      <c r="J65" s="5" t="inlineStr"/>
      <c r="K65" s="5" t="inlineStr"/>
      <c r="L65" s="5" t="inlineStr"/>
      <c r="M65" s="5" t="inlineStr"/>
      <c r="N65" s="5" t="inlineStr"/>
      <c r="O65" s="5" t="inlineStr"/>
      <c r="P65" s="5" t="inlineStr"/>
      <c r="Q65" s="5" t="inlineStr"/>
      <c r="R65" s="6" t="inlineStr"/>
      <c r="S65" s="5" t="inlineStr"/>
      <c r="T65" s="5" t="inlineStr"/>
      <c r="U65" s="5" t="inlineStr"/>
      <c r="V65" s="5" t="inlineStr"/>
    </row>
    <row r="66">
      <c r="A66" s="5" t="inlineStr">
        <is>
          <t>b4-bilim-fuari</t>
        </is>
      </c>
      <c r="B66" s="5" t="n">
        <v>4</v>
      </c>
      <c r="C66" s="5" t="inlineStr">
        <is>
          <t>12 yaş 5 ay</t>
        </is>
      </c>
      <c r="D66" s="5" t="inlineStr">
        <is>
          <t>🌋</t>
        </is>
      </c>
      <c r="E66" s="6" t="inlineStr">
        <is>
          <t>Bilim Fuarı</t>
        </is>
      </c>
      <c r="F66" s="6" t="inlineStr">
        <is>
          <t>Bilim fuarı. Masaların yarısında karbonatlı yanardağ var. Diğer yarısında ailelerin gece yaptığı projeler.</t>
        </is>
      </c>
      <c r="G66" s="5" t="inlineStr">
        <is>
          <t>okul</t>
        </is>
      </c>
      <c r="H66" s="5" t="inlineStr">
        <is>
          <t>okul-iş</t>
        </is>
      </c>
      <c r="I66" s="5" t="inlineStr"/>
      <c r="J66" s="5" t="inlineStr"/>
      <c r="K66" s="5" t="inlineStr"/>
      <c r="L66" s="5" t="inlineStr"/>
      <c r="M66" s="5" t="inlineStr"/>
      <c r="N66" s="5" t="inlineStr"/>
      <c r="O66" s="5" t="inlineStr"/>
      <c r="P66" s="5" t="inlineStr"/>
      <c r="Q66" s="5" t="inlineStr"/>
      <c r="R66" s="6" t="inlineStr"/>
      <c r="S66" s="5" t="inlineStr"/>
      <c r="T66" s="5" t="inlineStr"/>
      <c r="U66" s="5" t="inlineStr"/>
      <c r="V66" s="5" t="inlineStr"/>
    </row>
    <row r="67">
      <c r="A67" s="5" t="inlineStr">
        <is>
          <t>b4-kotu-not</t>
        </is>
      </c>
      <c r="B67" s="5" t="n">
        <v>4</v>
      </c>
      <c r="C67" s="5" t="inlineStr">
        <is>
          <t>12 yaş 6 ay</t>
        </is>
      </c>
      <c r="D67" s="5" t="inlineStr">
        <is>
          <t>📄</t>
        </is>
      </c>
      <c r="E67" s="6" t="inlineStr">
        <is>
          <t>Sınav Kâğıdı</t>
        </is>
      </c>
      <c r="F67" s="6" t="inlineStr">
        <is>
          <t>Matematikten düşük not. Kâğıt veli imzası istiyor ve akşam yemeğinde biri mutlaka 'Okul nasıl?' diye soracak.</t>
        </is>
      </c>
      <c r="G67" s="5" t="inlineStr">
        <is>
          <t>mutfak</t>
        </is>
      </c>
      <c r="H67" s="5" t="inlineStr">
        <is>
          <t>okul-iş</t>
        </is>
      </c>
      <c r="I67" s="5" t="inlineStr"/>
      <c r="J67" s="5" t="inlineStr"/>
      <c r="K67" s="5" t="inlineStr"/>
      <c r="L67" s="5" t="inlineStr"/>
      <c r="M67" s="5" t="inlineStr"/>
      <c r="N67" s="5" t="inlineStr"/>
      <c r="O67" s="5" t="inlineStr"/>
      <c r="P67" s="5" t="inlineStr"/>
      <c r="Q67" s="5" t="inlineStr"/>
      <c r="R67" s="6" t="inlineStr"/>
      <c r="S67" s="5" t="inlineStr"/>
      <c r="T67" s="5" t="inlineStr"/>
      <c r="U67" s="5" t="inlineStr"/>
      <c r="V67" s="5" t="inlineStr"/>
    </row>
    <row r="68">
      <c r="A68" s="5" t="inlineStr">
        <is>
          <t>b4-kedinin-hesabi</t>
        </is>
      </c>
      <c r="B68" s="5" t="n">
        <v>4</v>
      </c>
      <c r="C68" s="5" t="inlineStr">
        <is>
          <t>12 yaş 7 ay</t>
        </is>
      </c>
      <c r="D68" s="5" t="inlineStr">
        <is>
          <t>🐈</t>
        </is>
      </c>
      <c r="E68" s="6" t="inlineStr">
        <is>
          <t>Kedinin Hesabı</t>
        </is>
      </c>
      <c r="F68" s="6" t="inlineStr">
        <is>
          <t>Kediye bir video hesabı açtın. Kedinin hesabı bir haftada seninkini geçti. Kedi durumdan habersiz. Ya da öyle görünüyor.</t>
        </is>
      </c>
      <c r="G68" s="5" t="inlineStr">
        <is>
          <t>ev</t>
        </is>
      </c>
      <c r="H68" s="5" t="inlineStr">
        <is>
          <t>sosyal</t>
        </is>
      </c>
      <c r="I68" s="5" t="inlineStr"/>
      <c r="J68" s="5" t="inlineStr"/>
      <c r="K68" s="5" t="inlineStr">
        <is>
          <t>kediGeldi</t>
        </is>
      </c>
      <c r="L68" s="5" t="inlineStr"/>
      <c r="M68" s="5" t="inlineStr"/>
      <c r="N68" s="5" t="inlineStr"/>
      <c r="O68" s="5" t="inlineStr"/>
      <c r="P68" s="5" t="inlineStr"/>
      <c r="Q68" s="5" t="inlineStr"/>
      <c r="R68" s="6" t="inlineStr"/>
      <c r="S68" s="5" t="inlineStr"/>
      <c r="T68" s="5" t="inlineStr"/>
      <c r="U68" s="5" t="inlineStr"/>
      <c r="V68" s="5" t="inlineStr"/>
    </row>
    <row r="69">
      <c r="A69" s="5" t="inlineStr">
        <is>
          <t>b4-dershane</t>
        </is>
      </c>
      <c r="B69" s="5" t="n">
        <v>4</v>
      </c>
      <c r="C69" s="5" t="inlineStr">
        <is>
          <t>12 yaş 8 ay</t>
        </is>
      </c>
      <c r="D69" s="5" t="inlineStr">
        <is>
          <t>📚</t>
        </is>
      </c>
      <c r="E69" s="6" t="inlineStr">
        <is>
          <t>Dershane Broşürü</t>
        </is>
      </c>
      <c r="F69" s="6" t="inlineStr">
        <is>
          <t>Ailen dershane broşürü getirdi. Broşürde gülümseyen öğrenciler var. Fiyat kısmı küçük puntolu.</t>
        </is>
      </c>
      <c r="G69" s="5" t="inlineStr">
        <is>
          <t>ev</t>
        </is>
      </c>
      <c r="H69" s="5" t="inlineStr">
        <is>
          <t>okul-iş</t>
        </is>
      </c>
      <c r="I69" s="5" t="inlineStr"/>
      <c r="J69" s="5" t="inlineStr"/>
      <c r="K69" s="5" t="inlineStr"/>
      <c r="L69" s="5" t="inlineStr"/>
      <c r="M69" s="5" t="inlineStr"/>
      <c r="N69" s="5" t="inlineStr"/>
      <c r="O69" s="5" t="inlineStr"/>
      <c r="P69" s="5" t="inlineStr"/>
      <c r="Q69" s="5" t="inlineStr"/>
      <c r="R69" s="6" t="inlineStr"/>
      <c r="S69" s="5" t="inlineStr"/>
      <c r="T69" s="5" t="inlineStr"/>
      <c r="U69" s="5" t="inlineStr"/>
      <c r="V69" s="5" t="inlineStr"/>
    </row>
    <row r="70">
      <c r="A70" s="5" t="inlineStr">
        <is>
          <t>b4-yanlis-grup</t>
        </is>
      </c>
      <c r="B70" s="5" t="n">
        <v>4</v>
      </c>
      <c r="C70" s="5" t="inlineStr">
        <is>
          <t>12 yaş 9 ay</t>
        </is>
      </c>
      <c r="D70" s="5" t="inlineStr">
        <is>
          <t>🙈</t>
        </is>
      </c>
      <c r="E70" s="6" t="inlineStr">
        <is>
          <t>Yanlış Grup</t>
        </is>
      </c>
      <c r="F70" s="6" t="inlineStr">
        <is>
          <t>Arkadaşına 'Annem yine aynı yemeği yaptı' yazdın. Mesaj aile grubunda görünüyor. İki tik mavi.</t>
        </is>
      </c>
      <c r="G70" s="5" t="inlineStr">
        <is>
          <t>ev</t>
        </is>
      </c>
      <c r="H70" s="5" t="inlineStr">
        <is>
          <t>ev</t>
        </is>
      </c>
      <c r="I70" s="5" t="inlineStr"/>
      <c r="J70" s="5" t="inlineStr"/>
      <c r="K70" s="5" t="inlineStr"/>
      <c r="L70" s="5" t="inlineStr"/>
      <c r="M70" s="5" t="inlineStr"/>
      <c r="N70" s="5" t="inlineStr"/>
      <c r="O70" s="5" t="inlineStr"/>
      <c r="P70" s="5" t="inlineStr"/>
      <c r="Q70" s="5" t="inlineStr"/>
      <c r="R70" s="6" t="inlineStr"/>
      <c r="S70" s="5" t="inlineStr"/>
      <c r="T70" s="5" t="inlineStr"/>
      <c r="U70" s="5" t="inlineStr"/>
      <c r="V70" s="5" t="inlineStr"/>
    </row>
    <row r="71">
      <c r="A71" s="5" t="inlineStr">
        <is>
          <t>b4-apartman-toplantisi</t>
        </is>
      </c>
      <c r="B71" s="5" t="n">
        <v>4</v>
      </c>
      <c r="C71" s="5" t="inlineStr">
        <is>
          <t>12 yaş 10 ay</t>
        </is>
      </c>
      <c r="D71" s="5" t="inlineStr">
        <is>
          <t>🏢</t>
        </is>
      </c>
      <c r="E71" s="6" t="inlineStr">
        <is>
          <t>Aidat Kuryesi</t>
        </is>
      </c>
      <c r="F71" s="6" t="inlineStr">
        <is>
          <t>Annen aidat zarfını sana verdi: “Yöneticiye götür, makbuz al.” Yönetici kapıyı açınca içeride toplantı olduğunu gördün. Sekiz komşu, bir gündem, sen ve zarf.</t>
        </is>
      </c>
      <c r="G71" s="5" t="inlineStr">
        <is>
          <t>apartman</t>
        </is>
      </c>
      <c r="H71" s="5" t="inlineStr">
        <is>
          <t>ev</t>
        </is>
      </c>
      <c r="I71" s="5" t="inlineStr"/>
      <c r="J71" s="5" t="inlineStr"/>
      <c r="K71" s="5" t="inlineStr"/>
      <c r="L71" s="5" t="inlineStr"/>
      <c r="M71" s="5" t="inlineStr"/>
      <c r="N71" s="5" t="inlineStr"/>
      <c r="O71" s="5" t="inlineStr"/>
      <c r="P71" s="5" t="inlineStr"/>
      <c r="Q71" s="5" t="inlineStr"/>
      <c r="R71" s="6" t="inlineStr"/>
      <c r="S71" s="5" t="inlineStr"/>
      <c r="T71" s="5" t="inlineStr"/>
      <c r="U71" s="5" t="inlineStr"/>
      <c r="V71" s="5" t="inlineStr"/>
    </row>
    <row r="72">
      <c r="A72" s="5" t="inlineStr">
        <is>
          <t>b4-yz-odev</t>
        </is>
      </c>
      <c r="B72" s="5" t="n">
        <v>4</v>
      </c>
      <c r="C72" s="5" t="inlineStr">
        <is>
          <t>12 yaş 11 ay</t>
        </is>
      </c>
      <c r="D72" s="5" t="inlineStr">
        <is>
          <t>🤖</t>
        </is>
      </c>
      <c r="E72" s="6" t="inlineStr">
        <is>
          <t>Yapay Zekâ Ödevi</t>
        </is>
      </c>
      <c r="F72" s="6" t="inlineStr">
        <is>
          <t>Kompozisyon ödevi: 'Yaz tatilimi nasıl geçirdim.' Yapay zekâ bunu on saniyede yazar. Yazar ama senin tatilini bilmez.</t>
        </is>
      </c>
      <c r="G72" s="5" t="inlineStr">
        <is>
          <t>cocuk-odasi</t>
        </is>
      </c>
      <c r="H72" s="5" t="inlineStr">
        <is>
          <t>okul-iş</t>
        </is>
      </c>
      <c r="I72" s="5" t="inlineStr"/>
      <c r="J72" s="5" t="inlineStr"/>
      <c r="K72" s="5" t="inlineStr"/>
      <c r="L72" s="5" t="inlineStr"/>
      <c r="M72" s="5" t="inlineStr"/>
      <c r="N72" s="5" t="inlineStr"/>
      <c r="O72" s="5" t="inlineStr"/>
      <c r="P72" s="5" t="inlineStr"/>
      <c r="Q72" s="5" t="inlineStr"/>
      <c r="R72" s="6" t="inlineStr"/>
      <c r="S72" s="5" t="inlineStr"/>
      <c r="T72" s="5" t="inlineStr"/>
      <c r="U72" s="5" t="inlineStr"/>
      <c r="V72" s="5" t="inlineStr"/>
    </row>
    <row r="73">
      <c r="A73" s="5" t="inlineStr">
        <is>
          <t>b4-kisisel-oda</t>
        </is>
      </c>
      <c r="B73" s="5" t="n">
        <v>4</v>
      </c>
      <c r="C73" s="5" t="inlineStr">
        <is>
          <t>13 yaş</t>
        </is>
      </c>
      <c r="D73" s="5" t="inlineStr">
        <is>
          <t>🚪</t>
        </is>
      </c>
      <c r="E73" s="6" t="inlineStr">
        <is>
          <t>Boş Oda</t>
        </is>
      </c>
      <c r="F73" s="6" t="inlineStr">
        <is>
          <t>Evdeki küçük oda boşaldı. Üç aday var: sen, kardeşin ve babanın koşu bandı.</t>
        </is>
      </c>
      <c r="G73" s="5" t="inlineStr">
        <is>
          <t>ev</t>
        </is>
      </c>
      <c r="H73" s="5" t="inlineStr">
        <is>
          <t>ev</t>
        </is>
      </c>
      <c r="I73" s="5" t="inlineStr"/>
      <c r="J73" s="5" t="inlineStr"/>
      <c r="K73" s="5" t="inlineStr"/>
      <c r="L73" s="5" t="inlineStr"/>
      <c r="M73" s="5" t="inlineStr"/>
      <c r="N73" s="5" t="inlineStr"/>
      <c r="O73" s="5" t="inlineStr"/>
      <c r="P73" s="5" t="inlineStr"/>
      <c r="Q73" s="5" t="inlineStr"/>
      <c r="R73" s="6" t="inlineStr"/>
      <c r="S73" s="5" t="inlineStr"/>
      <c r="T73" s="5" t="inlineStr"/>
      <c r="U73" s="5" t="inlineStr"/>
      <c r="V73" s="5" t="inlineStr"/>
    </row>
    <row r="74">
      <c r="A74" s="5" t="inlineStr">
        <is>
          <t>b4-fenomen-denemesi</t>
        </is>
      </c>
      <c r="B74" s="5" t="n">
        <v>4</v>
      </c>
      <c r="C74" s="5" t="inlineStr">
        <is>
          <t>13 yaş 2 ay</t>
        </is>
      </c>
      <c r="D74" s="5" t="inlineStr">
        <is>
          <t>🤳</t>
        </is>
      </c>
      <c r="E74" s="6" t="inlineStr">
        <is>
          <t>Büyüme Stratejisi</t>
        </is>
      </c>
      <c r="F74" s="6" t="inlineStr">
        <is>
          <t>Kısa video hesabının 47 takipçisi var. On ikisi akraba, üçü sensin. Bir büyüme stratejisi gerekiyor.</t>
        </is>
      </c>
      <c r="G74" s="5" t="inlineStr">
        <is>
          <t>ev</t>
        </is>
      </c>
      <c r="H74" s="5" t="inlineStr">
        <is>
          <t>sosyal</t>
        </is>
      </c>
      <c r="I74" s="5" t="inlineStr"/>
      <c r="J74" s="5" t="n">
        <v>2</v>
      </c>
      <c r="K74" s="5" t="inlineStr"/>
      <c r="L74" s="5" t="inlineStr"/>
      <c r="M74" s="5" t="inlineStr"/>
      <c r="N74" s="5" t="inlineStr"/>
      <c r="O74" s="5" t="inlineStr"/>
      <c r="P74" s="5" t="inlineStr"/>
      <c r="Q74" s="5" t="inlineStr"/>
      <c r="R74" s="6" t="inlineStr"/>
      <c r="S74" s="5" t="inlineStr"/>
      <c r="T74" s="5" t="inlineStr"/>
      <c r="U74" s="5" t="inlineStr"/>
      <c r="V74" s="5" t="inlineStr"/>
    </row>
    <row r="75">
      <c r="A75" s="5" t="inlineStr">
        <is>
          <t>b4-haracci-rovans</t>
        </is>
      </c>
      <c r="B75" s="5" t="n">
        <v>4</v>
      </c>
      <c r="C75" s="5" t="inlineStr">
        <is>
          <t>13 yaş 3 ay</t>
        </is>
      </c>
      <c r="D75" s="5" t="inlineStr">
        <is>
          <t>🧢</t>
        </is>
      </c>
      <c r="E75" s="6" t="inlineStr">
        <is>
          <t>Eski Tanıdıklar</t>
        </is>
      </c>
      <c r="F75" s="6" t="inlineStr">
        <is>
          <t>Eski haraççılar bir yaş büyümüş. Sen de. Köşeyi dönerken göz göze geldiniz; bu sefer ellerinde bir top var.</t>
        </is>
      </c>
      <c r="G75" s="5" t="inlineStr">
        <is>
          <t>sokak</t>
        </is>
      </c>
      <c r="H75" s="5" t="inlineStr">
        <is>
          <t>sosyal</t>
        </is>
      </c>
      <c r="I75" s="5" t="inlineStr"/>
      <c r="J75" s="5" t="inlineStr"/>
      <c r="K75" s="5" t="inlineStr">
        <is>
          <t>haracci-dusmani</t>
        </is>
      </c>
      <c r="L75" s="5" t="inlineStr"/>
      <c r="M75" s="5" t="inlineStr"/>
      <c r="N75" s="5" t="inlineStr"/>
      <c r="O75" s="5" t="inlineStr"/>
      <c r="P75" s="5" t="inlineStr"/>
      <c r="Q75" s="5" t="inlineStr"/>
      <c r="R75" s="6" t="inlineStr"/>
      <c r="S75" s="5" t="inlineStr"/>
      <c r="T75" s="5" t="inlineStr"/>
      <c r="U75" s="5" t="inlineStr"/>
      <c r="V75" s="5" t="inlineStr"/>
    </row>
    <row r="76">
      <c r="A76" s="5" t="inlineStr">
        <is>
          <t>b4-kantin-ekonomisi</t>
        </is>
      </c>
      <c r="B76" s="5" t="n">
        <v>4</v>
      </c>
      <c r="C76" s="5" t="inlineStr">
        <is>
          <t>13 yaş 4 ay</t>
        </is>
      </c>
      <c r="D76" s="5" t="inlineStr">
        <is>
          <t>🥪</t>
        </is>
      </c>
      <c r="E76" s="6" t="inlineStr">
        <is>
          <t>Kantin Ekonomisi</t>
        </is>
      </c>
      <c r="F76" s="6" t="inlineStr">
        <is>
          <t>Kantinde tost fiyatı yine arttı. Teneffüs kuyruğu on dakika. Teneffüs de on dakika.</t>
        </is>
      </c>
      <c r="G76" s="5" t="inlineStr">
        <is>
          <t>okul-bahcesi</t>
        </is>
      </c>
      <c r="H76" s="5" t="inlineStr">
        <is>
          <t>para</t>
        </is>
      </c>
      <c r="I76" s="5" t="inlineStr"/>
      <c r="J76" s="5" t="inlineStr"/>
      <c r="K76" s="5" t="inlineStr"/>
      <c r="L76" s="5" t="inlineStr"/>
      <c r="M76" s="5" t="inlineStr"/>
      <c r="N76" s="5" t="inlineStr"/>
      <c r="O76" s="5" t="inlineStr"/>
      <c r="P76" s="5" t="inlineStr"/>
      <c r="Q76" s="5" t="inlineStr"/>
      <c r="R76" s="6" t="inlineStr"/>
      <c r="S76" s="5" t="inlineStr"/>
      <c r="T76" s="5" t="inlineStr"/>
      <c r="U76" s="5" t="inlineStr"/>
      <c r="V76" s="5" t="inlineStr"/>
    </row>
    <row r="77">
      <c r="A77" s="5" t="inlineStr">
        <is>
          <t>b4-bayram-yatirim</t>
        </is>
      </c>
      <c r="B77" s="5" t="n">
        <v>4</v>
      </c>
      <c r="C77" s="5" t="inlineStr">
        <is>
          <t>13 yaş 6 ay</t>
        </is>
      </c>
      <c r="D77" s="5" t="inlineStr">
        <is>
          <t>✉️</t>
        </is>
      </c>
      <c r="E77" s="6" t="inlineStr">
        <is>
          <t>Bayram Harçlığı Yönetimi</t>
        </is>
      </c>
      <c r="F77" s="6" t="inlineStr">
        <is>
          <t>Bayram geçti, zarflar toplandı. Bu yıl ilk kez 'Bu parayla ne yapacaksın?' diye soruldu. Cevap bekleniyor.</t>
        </is>
      </c>
      <c r="G77" s="5" t="inlineStr">
        <is>
          <t>ev</t>
        </is>
      </c>
      <c r="H77" s="5" t="inlineStr">
        <is>
          <t>para</t>
        </is>
      </c>
      <c r="I77" s="5" t="inlineStr"/>
      <c r="J77" s="5" t="inlineStr"/>
      <c r="K77" s="5" t="inlineStr"/>
      <c r="L77" s="5" t="inlineStr"/>
      <c r="M77" s="5" t="inlineStr"/>
      <c r="N77" s="5" t="inlineStr"/>
      <c r="O77" s="5" t="inlineStr"/>
      <c r="P77" s="5" t="inlineStr"/>
      <c r="Q77" s="5" t="inlineStr"/>
      <c r="R77" s="6" t="inlineStr"/>
      <c r="S77" s="5" t="inlineStr"/>
      <c r="T77" s="5" t="inlineStr"/>
      <c r="U77" s="5" t="inlineStr"/>
      <c r="V77" s="5" t="inlineStr"/>
    </row>
    <row r="78">
      <c r="A78" s="5" t="inlineStr">
        <is>
          <t>b4-ilk-bulusma</t>
        </is>
      </c>
      <c r="B78" s="5" t="n">
        <v>4</v>
      </c>
      <c r="C78" s="5" t="inlineStr">
        <is>
          <t>13 yaş 7 ay</t>
        </is>
      </c>
      <c r="D78" s="5" t="inlineStr">
        <is>
          <t>🍦</t>
        </is>
      </c>
      <c r="E78" s="6" t="inlineStr">
        <is>
          <t>İlk Buluşma</t>
        </is>
      </c>
      <c r="F78" s="6" t="inlineStr">
        <is>
          <t>Yazışma dördüncü haftasında. Ekranda: 'Hafta sonu çarşıda buluşalım mı?' Yanında arkadaş getirmek serbest.</t>
        </is>
      </c>
      <c r="G78" s="5" t="inlineStr">
        <is>
          <t>carsi</t>
        </is>
      </c>
      <c r="H78" s="5" t="inlineStr">
        <is>
          <t>sosyal</t>
        </is>
      </c>
      <c r="I78" s="5" t="inlineStr"/>
      <c r="J78" s="5" t="n">
        <v>0.8</v>
      </c>
      <c r="K78" s="5" t="inlineStr">
        <is>
          <t>ilk-mesaj</t>
        </is>
      </c>
      <c r="L78" s="5" t="inlineStr"/>
      <c r="M78" s="5" t="inlineStr"/>
      <c r="N78" s="5" t="inlineStr"/>
      <c r="O78" s="5" t="inlineStr"/>
      <c r="P78" s="5" t="inlineStr"/>
      <c r="Q78" s="5" t="inlineStr"/>
      <c r="R78" s="6" t="inlineStr"/>
      <c r="S78" s="5" t="inlineStr"/>
      <c r="T78" s="5" t="inlineStr"/>
      <c r="U78" s="5" t="inlineStr"/>
      <c r="V78" s="5" t="inlineStr"/>
    </row>
    <row r="79">
      <c r="A79" s="5" t="inlineStr">
        <is>
          <t>b4-spor-secmeleri</t>
        </is>
      </c>
      <c r="B79" s="5" t="n">
        <v>4</v>
      </c>
      <c r="C79" s="5" t="inlineStr">
        <is>
          <t>13 yaş 8 ay</t>
        </is>
      </c>
      <c r="D79" s="5" t="inlineStr">
        <is>
          <t>⚽</t>
        </is>
      </c>
      <c r="E79" s="6" t="inlineStr">
        <is>
          <t>Takım Seçmeleri</t>
        </is>
      </c>
      <c r="F79" s="6" t="inlineStr">
        <is>
          <t>Okul takımı seçmeleri. Beden eğitimi öğretmeninin elinde düdük ve bir liste var. Listede şimdilik yalnızca onun yeğeni var.</t>
        </is>
      </c>
      <c r="G79" s="5" t="inlineStr">
        <is>
          <t>okul-bahcesi</t>
        </is>
      </c>
      <c r="H79" s="5" t="inlineStr">
        <is>
          <t>okul-iş</t>
        </is>
      </c>
      <c r="I79" s="5" t="inlineStr">
        <is>
          <t>E</t>
        </is>
      </c>
      <c r="J79" s="5" t="inlineStr"/>
      <c r="K79" s="5" t="inlineStr"/>
      <c r="L79" s="5" t="inlineStr"/>
      <c r="M79" s="5" t="inlineStr"/>
      <c r="N79" s="5" t="inlineStr"/>
      <c r="O79" s="5" t="inlineStr"/>
      <c r="P79" s="5" t="inlineStr"/>
      <c r="Q79" s="5" t="inlineStr"/>
      <c r="R79" s="6" t="inlineStr"/>
      <c r="S79" s="5" t="inlineStr"/>
      <c r="T79" s="5" t="inlineStr"/>
      <c r="U79" s="5" t="inlineStr"/>
      <c r="V79" s="5" t="inlineStr"/>
    </row>
    <row r="80">
      <c r="A80" s="5" t="inlineStr">
        <is>
          <t>b4-eski-telefon</t>
        </is>
      </c>
      <c r="B80" s="5" t="n">
        <v>4</v>
      </c>
      <c r="C80" s="5" t="inlineStr">
        <is>
          <t>13 yaş 9 ay</t>
        </is>
      </c>
      <c r="D80" s="5" t="inlineStr">
        <is>
          <t>📦</t>
        </is>
      </c>
      <c r="E80" s="6" t="inlineStr">
        <is>
          <t>İkinci El İlanı</t>
        </is>
      </c>
      <c r="F80" s="6" t="inlineStr">
        <is>
          <t>Yeni telefon için eskisini satmak lazım. İlan verdin. İlk mesaj: 'Son fiyat?' İkincisi: 'Bisikletle takas olur mu?'</t>
        </is>
      </c>
      <c r="G80" s="5" t="inlineStr">
        <is>
          <t>ev</t>
        </is>
      </c>
      <c r="H80" s="5" t="inlineStr">
        <is>
          <t>para</t>
        </is>
      </c>
      <c r="I80" s="5" t="inlineStr"/>
      <c r="J80" s="5" t="inlineStr"/>
      <c r="K80" s="5" t="inlineStr"/>
      <c r="L80" s="5" t="inlineStr"/>
      <c r="M80" s="5" t="inlineStr"/>
      <c r="N80" s="5" t="inlineStr"/>
      <c r="O80" s="5" t="inlineStr"/>
      <c r="P80" s="5" t="inlineStr"/>
      <c r="Q80" s="5" t="inlineStr"/>
      <c r="R80" s="6" t="inlineStr"/>
      <c r="S80" s="5" t="inlineStr"/>
      <c r="T80" s="5" t="inlineStr"/>
      <c r="U80" s="5" t="inlineStr"/>
      <c r="V80" s="5" t="inlineStr"/>
    </row>
    <row r="81">
      <c r="A81" s="5" t="inlineStr">
        <is>
          <t>b4-yaz-tatili</t>
        </is>
      </c>
      <c r="B81" s="5" t="n">
        <v>4</v>
      </c>
      <c r="C81" s="5" t="inlineStr">
        <is>
          <t>13 yaş 10 ay</t>
        </is>
      </c>
      <c r="D81" s="5" t="inlineStr">
        <is>
          <t>🏖️</t>
        </is>
      </c>
      <c r="E81" s="6" t="inlineStr">
        <is>
          <t>Sinyalsiz Yaz</t>
        </is>
      </c>
      <c r="F81" s="6" t="inlineStr">
        <is>
          <t>Yazlığa gidildi. İnternet çekmiyor. Tek sinyal, balkonun köşesinde, tek ayak üstünde durunca.</t>
        </is>
      </c>
      <c r="G81" s="5" t="inlineStr">
        <is>
          <t>yazlik</t>
        </is>
      </c>
      <c r="H81" s="5" t="inlineStr">
        <is>
          <t>ev</t>
        </is>
      </c>
      <c r="I81" s="5" t="inlineStr"/>
      <c r="J81" s="5" t="inlineStr"/>
      <c r="K81" s="5" t="inlineStr"/>
      <c r="L81" s="5" t="inlineStr"/>
      <c r="M81" s="5" t="inlineStr"/>
      <c r="N81" s="5" t="inlineStr"/>
      <c r="O81" s="5" t="inlineStr"/>
      <c r="P81" s="5" t="inlineStr"/>
      <c r="Q81" s="5" t="inlineStr"/>
      <c r="R81" s="6" t="inlineStr"/>
      <c r="S81" s="5" t="inlineStr"/>
      <c r="T81" s="5" t="inlineStr"/>
      <c r="U81" s="5" t="inlineStr"/>
      <c r="V81" s="5" t="inlineStr"/>
    </row>
    <row r="82">
      <c r="A82" s="5" t="inlineStr">
        <is>
          <t>b4-dershane-denemesi</t>
        </is>
      </c>
      <c r="B82" s="5" t="n">
        <v>4</v>
      </c>
      <c r="C82" s="5" t="inlineStr">
        <is>
          <t>13 yaş 11 ay</t>
        </is>
      </c>
      <c r="D82" s="5" t="inlineStr">
        <is>
          <t>📋</t>
        </is>
      </c>
      <c r="E82" s="6" t="inlineStr">
        <is>
          <t>Deneme Sonuçları</t>
        </is>
      </c>
      <c r="F82" s="6" t="inlineStr">
        <is>
          <t>Dershanede deneme sınavı sonuçları panoya asıldı. Adın listede. Nerede olduğu ise bir mesafe meselesi.</t>
        </is>
      </c>
      <c r="G82" s="5" t="inlineStr">
        <is>
          <t>okul</t>
        </is>
      </c>
      <c r="H82" s="5" t="inlineStr">
        <is>
          <t>okul-iş</t>
        </is>
      </c>
      <c r="I82" s="5" t="inlineStr"/>
      <c r="J82" s="5" t="inlineStr"/>
      <c r="K82" s="5" t="inlineStr">
        <is>
          <t>dershaneli</t>
        </is>
      </c>
      <c r="L82" s="5" t="inlineStr"/>
      <c r="M82" s="5" t="inlineStr"/>
      <c r="N82" s="5" t="inlineStr"/>
      <c r="O82" s="5" t="inlineStr"/>
      <c r="P82" s="5" t="inlineStr"/>
      <c r="Q82" s="5" t="inlineStr"/>
      <c r="R82" s="6" t="inlineStr"/>
      <c r="S82" s="5" t="inlineStr"/>
      <c r="T82" s="5" t="inlineStr"/>
      <c r="U82" s="5" t="inlineStr"/>
      <c r="V82" s="5" t="inlineStr"/>
    </row>
    <row r="83">
      <c r="A83" s="5" t="inlineStr">
        <is>
          <t>b4-lise-sinavi</t>
        </is>
      </c>
      <c r="B83" s="5" t="n">
        <v>4</v>
      </c>
      <c r="C83" s="5" t="inlineStr">
        <is>
          <t>14 yaş</t>
        </is>
      </c>
      <c r="D83" s="5" t="inlineStr">
        <is>
          <t>✏️</t>
        </is>
      </c>
      <c r="E83" s="6" t="inlineStr">
        <is>
          <t>Lise Sınavı</t>
        </is>
      </c>
      <c r="F83" s="6" t="inlineStr">
        <is>
          <t>Lise sınavı günü. Binanın önünde veliler, termoslar ve son dakika tekrarı yapan bir kalabalık. Cebinde üç kalem; ikisi yedeğin yedeği.</t>
        </is>
      </c>
      <c r="G83" s="5" t="inlineStr">
        <is>
          <t>okul</t>
        </is>
      </c>
      <c r="H83" s="5" t="inlineStr">
        <is>
          <t>okul-iş</t>
        </is>
      </c>
      <c r="I83" s="5" t="inlineStr">
        <is>
          <t>E</t>
        </is>
      </c>
      <c r="J83" s="5" t="inlineStr"/>
      <c r="K83" s="5" t="inlineStr"/>
      <c r="L83" s="5" t="inlineStr"/>
      <c r="M83" s="5" t="inlineStr"/>
      <c r="N83" s="5" t="inlineStr"/>
      <c r="O83" s="5" t="inlineStr"/>
      <c r="P83" s="5" t="inlineStr"/>
      <c r="Q83" s="5" t="n">
        <v>1</v>
      </c>
      <c r="R83" s="6" t="inlineStr">
        <is>
          <t>Üç yıllık test kitabı bu sabaha çıkıyordu. Buradan sonra dört yıl boyunca her sabah hangi kapıdan gireceğin belli olacak.</t>
        </is>
      </c>
      <c r="S83" s="5" t="inlineStr">
        <is>
          <t>İyi bir lise</t>
        </is>
      </c>
      <c r="T83" s="5" t="inlineStr">
        <is>
          <t>Mahallenin lisesi</t>
        </is>
      </c>
      <c r="U83" s="5" t="inlineStr"/>
      <c r="V83" s="5" t="inlineStr"/>
    </row>
    <row r="84">
      <c r="A84" s="5" t="inlineStr">
        <is>
          <t>b5-lise-ilk-gun</t>
        </is>
      </c>
      <c r="B84" s="5" t="n">
        <v>5</v>
      </c>
      <c r="C84" s="5" t="inlineStr">
        <is>
          <t>15 yaş</t>
        </is>
      </c>
      <c r="D84" s="5" t="inlineStr">
        <is>
          <t>🏫</t>
        </is>
      </c>
      <c r="E84" s="6" t="inlineStr">
        <is>
          <t>Lisede İlk Gün</t>
        </is>
      </c>
      <c r="F84" s="6" t="inlineStr">
        <is>
          <t>Lise kapısındasın. Yeni koridorlar, yeni öğretmenler, yepyeni bir sosyal sınıflandırma sistemi. Kayıt süreci başladı.</t>
        </is>
      </c>
      <c r="G84" s="5" t="inlineStr">
        <is>
          <t>okul</t>
        </is>
      </c>
      <c r="H84" s="5" t="inlineStr">
        <is>
          <t>okul-iş</t>
        </is>
      </c>
      <c r="I84" s="5" t="inlineStr"/>
      <c r="J84" s="5" t="inlineStr"/>
      <c r="K84" s="5" t="inlineStr"/>
      <c r="L84" s="5" t="inlineStr">
        <is>
          <t>okulu-birakti</t>
        </is>
      </c>
      <c r="M84" s="5" t="inlineStr"/>
      <c r="N84" s="5" t="inlineStr"/>
      <c r="O84" s="5" t="inlineStr"/>
      <c r="P84" s="5" t="inlineStr"/>
      <c r="Q84" s="5" t="inlineStr"/>
      <c r="R84" s="6" t="inlineStr"/>
      <c r="S84" s="5" t="inlineStr"/>
      <c r="T84" s="5" t="inlineStr"/>
      <c r="U84" s="5" t="inlineStr"/>
      <c r="V84" s="5" t="inlineStr"/>
    </row>
    <row r="85">
      <c r="A85" s="5" t="inlineStr">
        <is>
          <t>b5-sac-devrimi</t>
        </is>
      </c>
      <c r="B85" s="5" t="n">
        <v>5</v>
      </c>
      <c r="C85" s="5" t="inlineStr">
        <is>
          <t>15 yaş 1 ay</t>
        </is>
      </c>
      <c r="D85" s="5" t="inlineStr">
        <is>
          <t>💇</t>
        </is>
      </c>
      <c r="E85" s="6" t="inlineStr">
        <is>
          <t>Saç Devrimi</t>
        </is>
      </c>
      <c r="F85" s="6" t="inlineStr">
        <is>
          <t>Aynaya baktın ve karar verdin: artık yeni bir sen gerekiyor. Berberin elindeki fotoğraf bir ünlüye ait. Kafa sana ait.</t>
        </is>
      </c>
      <c r="G85" s="5" t="inlineStr">
        <is>
          <t>carsi</t>
        </is>
      </c>
      <c r="H85" s="5" t="inlineStr">
        <is>
          <t>ev</t>
        </is>
      </c>
      <c r="I85" s="5" t="inlineStr"/>
      <c r="J85" s="5" t="inlineStr"/>
      <c r="K85" s="5" t="inlineStr"/>
      <c r="L85" s="5" t="inlineStr"/>
      <c r="M85" s="5" t="inlineStr"/>
      <c r="N85" s="5" t="inlineStr"/>
      <c r="O85" s="5" t="inlineStr"/>
      <c r="P85" s="5" t="inlineStr"/>
      <c r="Q85" s="5" t="inlineStr"/>
      <c r="R85" s="6" t="inlineStr"/>
      <c r="S85" s="5" t="inlineStr"/>
      <c r="T85" s="5" t="inlineStr"/>
      <c r="U85" s="5" t="inlineStr"/>
      <c r="V85" s="5" t="inlineStr"/>
    </row>
    <row r="86">
      <c r="A86" s="5" t="inlineStr">
        <is>
          <t>b5-kulup-secimi</t>
        </is>
      </c>
      <c r="B86" s="5" t="n">
        <v>5</v>
      </c>
      <c r="C86" s="5" t="inlineStr">
        <is>
          <t>15 yaş 2 ay</t>
        </is>
      </c>
      <c r="D86" s="5" t="inlineStr">
        <is>
          <t>🎭</t>
        </is>
      </c>
      <c r="E86" s="6" t="inlineStr">
        <is>
          <t>Kulüp Seçimi</t>
        </is>
      </c>
      <c r="F86" s="6" t="inlineStr">
        <is>
          <t>Kulüp formu dağıtıldı. Seçenekler: tiyatro, münazara, satranç, fotoğrafçılık ve boş kalanlar için otomatik atama.</t>
        </is>
      </c>
      <c r="G86" s="5" t="inlineStr">
        <is>
          <t>okul</t>
        </is>
      </c>
      <c r="H86" s="5" t="inlineStr">
        <is>
          <t>okul-iş</t>
        </is>
      </c>
      <c r="I86" s="5" t="inlineStr"/>
      <c r="J86" s="5" t="inlineStr"/>
      <c r="K86" s="5" t="inlineStr"/>
      <c r="L86" s="5" t="inlineStr">
        <is>
          <t>okulu-birakti</t>
        </is>
      </c>
      <c r="M86" s="5" t="inlineStr"/>
      <c r="N86" s="5" t="inlineStr"/>
      <c r="O86" s="5" t="inlineStr"/>
      <c r="P86" s="5" t="inlineStr"/>
      <c r="Q86" s="5" t="inlineStr"/>
      <c r="R86" s="6" t="inlineStr"/>
      <c r="S86" s="5" t="inlineStr"/>
      <c r="T86" s="5" t="inlineStr"/>
      <c r="U86" s="5" t="inlineStr"/>
      <c r="V86" s="5" t="inlineStr"/>
    </row>
    <row r="87">
      <c r="A87" s="5" t="inlineStr">
        <is>
          <t>b5-dershane-kaydi</t>
        </is>
      </c>
      <c r="B87" s="5" t="n">
        <v>5</v>
      </c>
      <c r="C87" s="5" t="inlineStr">
        <is>
          <t>15 yaş 4 ay</t>
        </is>
      </c>
      <c r="D87" s="5" t="inlineStr">
        <is>
          <t>📚</t>
        </is>
      </c>
      <c r="E87" s="6" t="inlineStr">
        <is>
          <t>Dershane Kaydı</t>
        </is>
      </c>
      <c r="F87" s="6" t="inlineStr">
        <is>
          <t>Aile kararı: dershaneye yazılacaksın. Kayıt masasındaki danışman sana değil, cüzdana bakarak konuşuyor.</t>
        </is>
      </c>
      <c r="G87" s="5" t="inlineStr">
        <is>
          <t>carsi</t>
        </is>
      </c>
      <c r="H87" s="5" t="inlineStr">
        <is>
          <t>para</t>
        </is>
      </c>
      <c r="I87" s="5" t="inlineStr"/>
      <c r="J87" s="5" t="n">
        <v>1.5</v>
      </c>
      <c r="K87" s="5" t="inlineStr"/>
      <c r="L87" s="5" t="inlineStr">
        <is>
          <t>okulu-birakti</t>
        </is>
      </c>
      <c r="M87" s="5" t="inlineStr"/>
      <c r="N87" s="5" t="inlineStr"/>
      <c r="O87" s="5" t="inlineStr"/>
      <c r="P87" s="5" t="inlineStr"/>
      <c r="Q87" s="5" t="inlineStr"/>
      <c r="R87" s="6" t="inlineStr"/>
      <c r="S87" s="5" t="inlineStr"/>
      <c r="T87" s="5" t="inlineStr"/>
      <c r="U87" s="5" t="inlineStr"/>
      <c r="V87" s="5" t="inlineStr"/>
    </row>
    <row r="88">
      <c r="A88" s="5" t="inlineStr">
        <is>
          <t>b5-sigara-teklifi</t>
        </is>
      </c>
      <c r="B88" s="5" t="n">
        <v>5</v>
      </c>
      <c r="C88" s="5" t="inlineStr">
        <is>
          <t>15 yaş 6 ay</t>
        </is>
      </c>
      <c r="D88" s="5" t="inlineStr">
        <is>
          <t>🚬</t>
        </is>
      </c>
      <c r="E88" s="6" t="inlineStr">
        <is>
          <t>Arka Duvar</t>
        </is>
      </c>
      <c r="F88" s="6" t="inlineStr">
        <is>
          <t>Okulun arka duvarı. Biri paketi uzattı: 'Bir tane al.' Beş kişi bakıyor. Bakanların üçü aslında öksürüyor.</t>
        </is>
      </c>
      <c r="G88" s="5" t="inlineStr">
        <is>
          <t>okul-bahcesi</t>
        </is>
      </c>
      <c r="H88" s="5" t="inlineStr">
        <is>
          <t>sosyal</t>
        </is>
      </c>
      <c r="I88" s="5" t="inlineStr"/>
      <c r="J88" s="5" t="inlineStr"/>
      <c r="K88" s="5" t="inlineStr"/>
      <c r="L88" s="5" t="inlineStr"/>
      <c r="M88" s="5" t="inlineStr"/>
      <c r="N88" s="5" t="inlineStr"/>
      <c r="O88" s="5" t="inlineStr"/>
      <c r="P88" s="5" t="inlineStr"/>
      <c r="Q88" s="5" t="inlineStr"/>
      <c r="R88" s="6" t="inlineStr"/>
      <c r="S88" s="5" t="inlineStr"/>
      <c r="T88" s="5" t="inlineStr"/>
      <c r="U88" s="5" t="inlineStr"/>
      <c r="V88" s="5" t="inlineStr"/>
    </row>
    <row r="89">
      <c r="A89" s="5" t="inlineStr">
        <is>
          <t>b5-mesaj-grubu</t>
        </is>
      </c>
      <c r="B89" s="5" t="n">
        <v>5</v>
      </c>
      <c r="C89" s="5" t="inlineStr">
        <is>
          <t>15 yaş 8 ay</t>
        </is>
      </c>
      <c r="D89" s="5" t="inlineStr">
        <is>
          <t>📱</t>
        </is>
      </c>
      <c r="E89" s="6" t="inlineStr">
        <is>
          <t>Asıl Grup</t>
        </is>
      </c>
      <c r="F89" s="6" t="inlineStr">
        <is>
          <t>Sınıfın mesaj grubunun yanında bir de 'asıl grup' varmış. Sen yeni öğrendin. Yani sen asıl grupta değilsin.</t>
        </is>
      </c>
      <c r="G89" s="5" t="inlineStr">
        <is>
          <t>cocuk-odasi</t>
        </is>
      </c>
      <c r="H89" s="5" t="inlineStr">
        <is>
          <t>sosyal</t>
        </is>
      </c>
      <c r="I89" s="5" t="inlineStr"/>
      <c r="J89" s="5" t="inlineStr"/>
      <c r="K89" s="5" t="inlineStr"/>
      <c r="L89" s="5" t="inlineStr"/>
      <c r="M89" s="5" t="inlineStr"/>
      <c r="N89" s="5" t="inlineStr"/>
      <c r="O89" s="5" t="inlineStr"/>
      <c r="P89" s="5" t="inlineStr"/>
      <c r="Q89" s="5" t="inlineStr"/>
      <c r="R89" s="6" t="inlineStr"/>
      <c r="S89" s="5" t="inlineStr"/>
      <c r="T89" s="5" t="inlineStr"/>
      <c r="U89" s="5" t="inlineStr"/>
      <c r="V89" s="5" t="inlineStr"/>
    </row>
    <row r="90">
      <c r="A90" s="5" t="inlineStr">
        <is>
          <t>b5-kantin-vergisi</t>
        </is>
      </c>
      <c r="B90" s="5" t="n">
        <v>5</v>
      </c>
      <c r="C90" s="5" t="inlineStr">
        <is>
          <t>15 yaş 10 ay</t>
        </is>
      </c>
      <c r="D90" s="5" t="inlineStr">
        <is>
          <t>🧾</t>
        </is>
      </c>
      <c r="E90" s="6" t="inlineStr">
        <is>
          <t>Kapı Geçiş Ücreti</t>
        </is>
      </c>
      <c r="F90" s="6" t="inlineStr">
        <is>
          <t>Okul çıkışında üç kişi yolunu kesti: 'Bu kapıdan geçiş haftalık. Bir tost parası.' Sistem tanıdık, kadro gençleşmiş.</t>
        </is>
      </c>
      <c r="G90" s="5" t="inlineStr">
        <is>
          <t>okul-bahcesi</t>
        </is>
      </c>
      <c r="H90" s="5" t="inlineStr">
        <is>
          <t>para</t>
        </is>
      </c>
      <c r="I90" s="5" t="inlineStr"/>
      <c r="J90" s="5" t="inlineStr"/>
      <c r="K90" s="5" t="inlineStr"/>
      <c r="L90" s="5" t="inlineStr">
        <is>
          <t>okulu-birakti</t>
        </is>
      </c>
      <c r="M90" s="5" t="inlineStr"/>
      <c r="N90" s="5" t="inlineStr"/>
      <c r="O90" s="5" t="inlineStr"/>
      <c r="P90" s="5" t="inlineStr"/>
      <c r="Q90" s="5" t="inlineStr"/>
      <c r="R90" s="6" t="inlineStr"/>
      <c r="S90" s="5" t="inlineStr"/>
      <c r="T90" s="5" t="inlineStr"/>
      <c r="U90" s="5" t="inlineStr"/>
      <c r="V90" s="5" t="inlineStr"/>
    </row>
    <row r="91">
      <c r="A91" s="5" t="inlineStr">
        <is>
          <t>b5-ilk-sevgili</t>
        </is>
      </c>
      <c r="B91" s="5" t="n">
        <v>5</v>
      </c>
      <c r="C91" s="5" t="inlineStr">
        <is>
          <t>16 yaş</t>
        </is>
      </c>
      <c r="D91" s="5" t="inlineStr">
        <is>
          <t>💌</t>
        </is>
      </c>
      <c r="E91" s="6" t="inlineStr">
        <is>
          <t>İlk Buluşma</t>
        </is>
      </c>
      <c r="F91" s="6" t="inlineStr">
        <is>
          <t>Biriyle üç haftadır mesajlaşıyorsun. Bugün ilk kez yüz yüze buluşuyorsunuz. Parkta, bankta, arada bir karış mesafe var.</t>
        </is>
      </c>
      <c r="G91" s="5" t="inlineStr">
        <is>
          <t>park</t>
        </is>
      </c>
      <c r="H91" s="5" t="inlineStr">
        <is>
          <t>sosyal</t>
        </is>
      </c>
      <c r="I91" s="5" t="inlineStr">
        <is>
          <t>E</t>
        </is>
      </c>
      <c r="J91" s="5" t="inlineStr"/>
      <c r="K91" s="5" t="inlineStr"/>
      <c r="L91" s="5" t="inlineStr"/>
      <c r="M91" s="5" t="inlineStr"/>
      <c r="N91" s="5" t="inlineStr"/>
      <c r="O91" s="5" t="inlineStr"/>
      <c r="P91" s="5" t="inlineStr"/>
      <c r="Q91" s="5" t="n">
        <v>2</v>
      </c>
      <c r="R91" s="6" t="inlineStr">
        <is>
          <t>Üç haftalık mesajlaşma bir bankta sınava dönüşüyor. Buradan ya bir sevgiliyle ya da yıllarca anlatılacak bir hikâyeyle çıkacaksın.</t>
        </is>
      </c>
      <c r="S91" s="5" t="inlineStr">
        <is>
          <t>İlk sevgili</t>
        </is>
      </c>
      <c r="T91" s="5" t="inlineStr">
        <is>
          <t>Anlatmalık bir hikâye</t>
        </is>
      </c>
      <c r="U91" s="5" t="inlineStr"/>
      <c r="V91" s="5" t="inlineStr"/>
    </row>
    <row r="92">
      <c r="A92" s="5" t="inlineStr">
        <is>
          <t>b5-veli-bilgilendirme</t>
        </is>
      </c>
      <c r="B92" s="5" t="n">
        <v>5</v>
      </c>
      <c r="C92" s="5" t="inlineStr">
        <is>
          <t>16 yaş 1 ay</t>
        </is>
      </c>
      <c r="D92" s="5" t="inlineStr">
        <is>
          <t>📲</t>
        </is>
      </c>
      <c r="E92" s="6" t="inlineStr">
        <is>
          <t>Canlı Yayın</t>
        </is>
      </c>
      <c r="F92" s="6" t="inlineStr">
        <is>
          <t>Okulun yeni sistemi devrede: her not, girildiği saniye ailenin telefonuna bildirim olarak düşüyor. Ev artık canlı yayında.</t>
        </is>
      </c>
      <c r="G92" s="5" t="inlineStr">
        <is>
          <t>ev</t>
        </is>
      </c>
      <c r="H92" s="5" t="inlineStr">
        <is>
          <t>okul-iş</t>
        </is>
      </c>
      <c r="I92" s="5" t="inlineStr"/>
      <c r="J92" s="5" t="inlineStr"/>
      <c r="K92" s="5" t="inlineStr"/>
      <c r="L92" s="5" t="inlineStr">
        <is>
          <t>okulu-birakti</t>
        </is>
      </c>
      <c r="M92" s="5" t="inlineStr"/>
      <c r="N92" s="5" t="inlineStr"/>
      <c r="O92" s="5" t="inlineStr"/>
      <c r="P92" s="5" t="inlineStr"/>
      <c r="Q92" s="5" t="inlineStr"/>
      <c r="R92" s="6" t="inlineStr"/>
      <c r="S92" s="5" t="inlineStr"/>
      <c r="T92" s="5" t="inlineStr"/>
      <c r="U92" s="5" t="inlineStr"/>
      <c r="V92" s="5" t="inlineStr"/>
    </row>
    <row r="93">
      <c r="A93" s="5" t="inlineStr">
        <is>
          <t>b5-okul-temsilcisi</t>
        </is>
      </c>
      <c r="B93" s="5" t="n">
        <v>5</v>
      </c>
      <c r="C93" s="5" t="inlineStr">
        <is>
          <t>16 yaş 2 ay</t>
        </is>
      </c>
      <c r="D93" s="5" t="inlineStr">
        <is>
          <t>🗳️</t>
        </is>
      </c>
      <c r="E93" s="6" t="inlineStr">
        <is>
          <t>Okul Temsilciliği</t>
        </is>
      </c>
      <c r="F93" s="6" t="inlineStr">
        <is>
          <t>Okul temsilcisi seçimi. Vaatler bu sefer daha büyük: kantine ikinci tost makinesi ve teneffüste telefon serbestisi.</t>
        </is>
      </c>
      <c r="G93" s="5" t="inlineStr">
        <is>
          <t>okul</t>
        </is>
      </c>
      <c r="H93" s="5" t="inlineStr">
        <is>
          <t>sosyal</t>
        </is>
      </c>
      <c r="I93" s="5" t="inlineStr">
        <is>
          <t>E</t>
        </is>
      </c>
      <c r="J93" s="5" t="inlineStr"/>
      <c r="K93" s="5" t="inlineStr"/>
      <c r="L93" s="5" t="inlineStr">
        <is>
          <t>okulu-birakti</t>
        </is>
      </c>
      <c r="M93" s="5" t="inlineStr"/>
      <c r="N93" s="5" t="inlineStr"/>
      <c r="O93" s="5" t="inlineStr"/>
      <c r="P93" s="5" t="inlineStr"/>
      <c r="Q93" s="5" t="inlineStr"/>
      <c r="R93" s="6" t="inlineStr"/>
      <c r="S93" s="5" t="inlineStr"/>
      <c r="T93" s="5" t="inlineStr"/>
      <c r="U93" s="5" t="inlineStr"/>
      <c r="V93" s="5" t="inlineStr"/>
    </row>
    <row r="94">
      <c r="A94" s="5" t="inlineStr">
        <is>
          <t>b5-yapay-zeka-odev</t>
        </is>
      </c>
      <c r="B94" s="5" t="n">
        <v>5</v>
      </c>
      <c r="C94" s="5" t="inlineStr">
        <is>
          <t>16 yaş 3 ay</t>
        </is>
      </c>
      <c r="D94" s="5" t="inlineStr">
        <is>
          <t>🤖</t>
        </is>
      </c>
      <c r="E94" s="6" t="inlineStr">
        <is>
          <t>Ödev Asistanı</t>
        </is>
      </c>
      <c r="F94" s="6" t="inlineStr">
        <is>
          <t>Tarih ödevi yarın teslim. Yapay zekâ asistanı açık. İmleç yanıp sönüyor; vicdanın da.</t>
        </is>
      </c>
      <c r="G94" s="5" t="inlineStr">
        <is>
          <t>cocuk-odasi</t>
        </is>
      </c>
      <c r="H94" s="5" t="inlineStr">
        <is>
          <t>okul-iş</t>
        </is>
      </c>
      <c r="I94" s="5" t="inlineStr"/>
      <c r="J94" s="5" t="inlineStr"/>
      <c r="K94" s="5" t="inlineStr"/>
      <c r="L94" s="5" t="inlineStr">
        <is>
          <t>okulu-birakti</t>
        </is>
      </c>
      <c r="M94" s="5" t="inlineStr"/>
      <c r="N94" s="5" t="inlineStr"/>
      <c r="O94" s="5" t="inlineStr"/>
      <c r="P94" s="5" t="inlineStr"/>
      <c r="Q94" s="5" t="inlineStr"/>
      <c r="R94" s="6" t="inlineStr"/>
      <c r="S94" s="5" t="inlineStr"/>
      <c r="T94" s="5" t="inlineStr"/>
      <c r="U94" s="5" t="inlineStr"/>
      <c r="V94" s="5" t="inlineStr"/>
    </row>
    <row r="95">
      <c r="A95" s="5" t="inlineStr">
        <is>
          <t>b5-akraba-sorgusu</t>
        </is>
      </c>
      <c r="B95" s="5" t="n">
        <v>5</v>
      </c>
      <c r="C95" s="5" t="inlineStr">
        <is>
          <t>16 yaş 4 ay</t>
        </is>
      </c>
      <c r="D95" s="5" t="inlineStr">
        <is>
          <t>🍽️</t>
        </is>
      </c>
      <c r="E95" s="6" t="inlineStr">
        <is>
          <t>Ne Olacaksın?</t>
        </is>
      </c>
      <c r="F95" s="6" t="inlineStr">
        <is>
          <t>Bayram ziyareti. Salonda on bir akraba, bir tabak kuruyemiş ve tek bir soru: 'Ne olacaksın bakalım?'</t>
        </is>
      </c>
      <c r="G95" s="5" t="inlineStr">
        <is>
          <t>ev</t>
        </is>
      </c>
      <c r="H95" s="5" t="inlineStr">
        <is>
          <t>ev</t>
        </is>
      </c>
      <c r="I95" s="5" t="inlineStr"/>
      <c r="J95" s="5" t="inlineStr"/>
      <c r="K95" s="5" t="inlineStr"/>
      <c r="L95" s="5" t="inlineStr"/>
      <c r="M95" s="5" t="inlineStr"/>
      <c r="N95" s="5" t="inlineStr"/>
      <c r="O95" s="5" t="inlineStr"/>
      <c r="P95" s="5" t="inlineStr"/>
      <c r="Q95" s="5" t="inlineStr"/>
      <c r="R95" s="6" t="inlineStr"/>
      <c r="S95" s="5" t="inlineStr"/>
      <c r="T95" s="5" t="inlineStr"/>
      <c r="U95" s="5" t="inlineStr"/>
      <c r="V95" s="5" t="inlineStr"/>
    </row>
    <row r="96">
      <c r="A96" s="5" t="inlineStr">
        <is>
          <t>b5-okul-gezisi</t>
        </is>
      </c>
      <c r="B96" s="5" t="n">
        <v>5</v>
      </c>
      <c r="C96" s="5" t="inlineStr">
        <is>
          <t>16 yaş 5 ay</t>
        </is>
      </c>
      <c r="D96" s="5" t="inlineStr">
        <is>
          <t>🚌</t>
        </is>
      </c>
      <c r="E96" s="6" t="inlineStr">
        <is>
          <t>Okul Gezisi</t>
        </is>
      </c>
      <c r="F96" s="6" t="inlineStr">
        <is>
          <t>Sınıf gezisi. Otobüsteki oturma düzeni, sosyal hiyerarşinin fiziksel haritası. Arka koltuk boş değil; tapulu.</t>
        </is>
      </c>
      <c r="G96" s="5" t="inlineStr">
        <is>
          <t>toplu-tasima</t>
        </is>
      </c>
      <c r="H96" s="5" t="inlineStr">
        <is>
          <t>sosyal</t>
        </is>
      </c>
      <c r="I96" s="5" t="inlineStr"/>
      <c r="J96" s="5" t="inlineStr"/>
      <c r="K96" s="5" t="inlineStr"/>
      <c r="L96" s="5" t="inlineStr">
        <is>
          <t>okulu-birakti</t>
        </is>
      </c>
      <c r="M96" s="5" t="inlineStr"/>
      <c r="N96" s="5" t="inlineStr"/>
      <c r="O96" s="5" t="inlineStr"/>
      <c r="P96" s="5" t="inlineStr"/>
      <c r="Q96" s="5" t="inlineStr"/>
      <c r="R96" s="6" t="inlineStr"/>
      <c r="S96" s="5" t="inlineStr"/>
      <c r="T96" s="5" t="inlineStr"/>
      <c r="U96" s="5" t="inlineStr"/>
      <c r="V96" s="5" t="inlineStr"/>
    </row>
    <row r="97">
      <c r="A97" s="5" t="inlineStr">
        <is>
          <t>b5-fenomen-video</t>
        </is>
      </c>
      <c r="B97" s="5" t="n">
        <v>5</v>
      </c>
      <c r="C97" s="5" t="inlineStr">
        <is>
          <t>16 yaş 6 ay</t>
        </is>
      </c>
      <c r="D97" s="5" t="inlineStr">
        <is>
          <t>🎬</t>
        </is>
      </c>
      <c r="E97" s="6" t="inlineStr">
        <is>
          <t>Bir Gecede</t>
        </is>
      </c>
      <c r="F97" s="6" t="inlineStr">
        <is>
          <t>Kısa video uygulamasına yüklediğin on beş saniyelik video bir gecede izlenmeye başladı. Sayı her yenilemede artıyor.</t>
        </is>
      </c>
      <c r="G97" s="5" t="inlineStr">
        <is>
          <t>sokak</t>
        </is>
      </c>
      <c r="H97" s="5" t="inlineStr">
        <is>
          <t>sosyal</t>
        </is>
      </c>
      <c r="I97" s="5" t="inlineStr"/>
      <c r="J97" s="5" t="inlineStr"/>
      <c r="K97" s="5" t="inlineStr"/>
      <c r="L97" s="5" t="inlineStr"/>
      <c r="M97" s="5" t="inlineStr"/>
      <c r="N97" s="5" t="inlineStr"/>
      <c r="O97" s="5" t="inlineStr"/>
      <c r="P97" s="5" t="inlineStr"/>
      <c r="Q97" s="5" t="inlineStr"/>
      <c r="R97" s="6" t="inlineStr"/>
      <c r="S97" s="5" t="inlineStr"/>
      <c r="T97" s="5" t="inlineStr"/>
      <c r="U97" s="5" t="inlineStr"/>
      <c r="V97" s="5" t="inlineStr"/>
    </row>
    <row r="98">
      <c r="A98" s="5" t="inlineStr">
        <is>
          <t>b5-yaz-isi-garson</t>
        </is>
      </c>
      <c r="B98" s="5" t="n">
        <v>5</v>
      </c>
      <c r="C98" s="5" t="inlineStr">
        <is>
          <t>16 yaş 7 ay</t>
        </is>
      </c>
      <c r="D98" s="5" t="inlineStr">
        <is>
          <t>🫖</t>
        </is>
      </c>
      <c r="E98" s="6" t="inlineStr">
        <is>
          <t>Yaz İşi: Çay Bahçesi</t>
        </is>
      </c>
      <c r="F98" s="6" t="inlineStr">
        <is>
          <t>Sahil çay bahçesinde garsonluk. Patron ilk gün tepsiyi eline verdi. On iki bardak, bir şekerlik, sıfır eğitim.</t>
        </is>
      </c>
      <c r="G98" s="5" t="inlineStr">
        <is>
          <t>sahil</t>
        </is>
      </c>
      <c r="H98" s="5" t="inlineStr">
        <is>
          <t>para</t>
        </is>
      </c>
      <c r="I98" s="5" t="inlineStr"/>
      <c r="J98" s="5" t="inlineStr"/>
      <c r="K98" s="5" t="inlineStr"/>
      <c r="L98" s="5" t="inlineStr"/>
      <c r="M98" s="5" t="inlineStr"/>
      <c r="N98" s="5" t="inlineStr"/>
      <c r="O98" s="5" t="inlineStr"/>
      <c r="P98" s="5" t="inlineStr"/>
      <c r="Q98" s="5" t="inlineStr"/>
      <c r="R98" s="6" t="inlineStr"/>
      <c r="S98" s="5" t="inlineStr"/>
      <c r="T98" s="5" t="inlineStr"/>
      <c r="U98" s="5" t="inlineStr"/>
      <c r="V98" s="5" t="inlineStr"/>
    </row>
    <row r="99">
      <c r="A99" s="5" t="inlineStr">
        <is>
          <t>b5-ilk-maas</t>
        </is>
      </c>
      <c r="B99" s="5" t="n">
        <v>5</v>
      </c>
      <c r="C99" s="5" t="inlineStr">
        <is>
          <t>16 yaş 9 ay</t>
        </is>
      </c>
      <c r="D99" s="5" t="inlineStr">
        <is>
          <t>💵</t>
        </is>
      </c>
      <c r="E99" s="6" t="inlineStr">
        <is>
          <t>İlk Maaş</t>
        </is>
      </c>
      <c r="F99" s="6" t="inlineStr">
        <is>
          <t>Yaz boyunca çalıştın ve eline ilk maaş zarfı geçti. Zarf ince, ama senin.</t>
        </is>
      </c>
      <c r="G99" s="5" t="inlineStr">
        <is>
          <t>ev</t>
        </is>
      </c>
      <c r="H99" s="5" t="inlineStr">
        <is>
          <t>para</t>
        </is>
      </c>
      <c r="I99" s="5" t="inlineStr"/>
      <c r="J99" s="5" t="inlineStr"/>
      <c r="K99" s="5" t="inlineStr"/>
      <c r="L99" s="5" t="inlineStr"/>
      <c r="M99" s="5" t="inlineStr"/>
      <c r="N99" s="5" t="inlineStr"/>
      <c r="O99" s="5" t="inlineStr"/>
      <c r="P99" s="5" t="inlineStr"/>
      <c r="Q99" s="5" t="inlineStr"/>
      <c r="R99" s="6" t="inlineStr"/>
      <c r="S99" s="5" t="inlineStr"/>
      <c r="T99" s="5" t="inlineStr"/>
      <c r="U99" s="5" t="inlineStr"/>
      <c r="V99" s="5" t="inlineStr"/>
    </row>
    <row r="100">
      <c r="A100" s="5" t="inlineStr">
        <is>
          <t>b5-ayrilik</t>
        </is>
      </c>
      <c r="B100" s="5" t="n">
        <v>5</v>
      </c>
      <c r="C100" s="5" t="inlineStr">
        <is>
          <t>16 yaş 10 ay</t>
        </is>
      </c>
      <c r="D100" s="5" t="inlineStr">
        <is>
          <t>💔</t>
        </is>
      </c>
      <c r="E100" s="6" t="inlineStr">
        <is>
          <t>Biraz Konuşabilir miyiz?</t>
        </is>
      </c>
      <c r="F100" s="6" t="inlineStr">
        <is>
          <t>Mesaj geldi: 'Biraz konuşabilir miyiz?' Üç nokta göründü, kayboldu, yeniden göründü. Sonuç belli; sadece teslim tarihi bekleniyor.</t>
        </is>
      </c>
      <c r="G100" s="5" t="inlineStr">
        <is>
          <t>kafe</t>
        </is>
      </c>
      <c r="H100" s="5" t="inlineStr">
        <is>
          <t>sosyal</t>
        </is>
      </c>
      <c r="I100" s="5" t="inlineStr"/>
      <c r="J100" s="5" t="inlineStr"/>
      <c r="K100" s="5" t="inlineStr">
        <is>
          <t>ilk-sevgili</t>
        </is>
      </c>
      <c r="L100" s="5" t="inlineStr"/>
      <c r="M100" s="5" t="inlineStr"/>
      <c r="N100" s="5" t="inlineStr"/>
      <c r="O100" s="5" t="inlineStr"/>
      <c r="P100" s="5" t="inlineStr"/>
      <c r="Q100" s="5" t="inlineStr"/>
      <c r="R100" s="6" t="inlineStr"/>
      <c r="S100" s="5" t="inlineStr"/>
      <c r="T100" s="5" t="inlineStr"/>
      <c r="U100" s="5" t="inlineStr"/>
      <c r="V100" s="5" t="inlineStr"/>
    </row>
    <row r="101">
      <c r="A101" s="5" t="inlineStr">
        <is>
          <t>b5-beden-dersi</t>
        </is>
      </c>
      <c r="B101" s="5" t="n">
        <v>5</v>
      </c>
      <c r="C101" s="5" t="inlineStr">
        <is>
          <t>16 yaş 11 ay</t>
        </is>
      </c>
      <c r="D101" s="5" t="inlineStr">
        <is>
          <t>🏐</t>
        </is>
      </c>
      <c r="E101" s="6" t="inlineStr">
        <is>
          <t>Voleybol Turnuvası</t>
        </is>
      </c>
      <c r="F101" s="6" t="inlineStr">
        <is>
          <t>Beden eğitiminde voleybol turnuvası. Takımlar seçiliyor. Seçilme sırası, lisedeki bütün hiyerarşinin özeti.</t>
        </is>
      </c>
      <c r="G101" s="5" t="inlineStr">
        <is>
          <t>okul-bahcesi</t>
        </is>
      </c>
      <c r="H101" s="5" t="inlineStr">
        <is>
          <t>okul-iş</t>
        </is>
      </c>
      <c r="I101" s="5" t="inlineStr"/>
      <c r="J101" s="5" t="inlineStr"/>
      <c r="K101" s="5" t="inlineStr"/>
      <c r="L101" s="5" t="inlineStr">
        <is>
          <t>okulu-birakti</t>
        </is>
      </c>
      <c r="M101" s="5" t="inlineStr"/>
      <c r="N101" s="5" t="inlineStr"/>
      <c r="O101" s="5" t="inlineStr"/>
      <c r="P101" s="5" t="inlineStr"/>
      <c r="Q101" s="5" t="inlineStr"/>
      <c r="R101" s="6" t="inlineStr"/>
      <c r="S101" s="5" t="inlineStr"/>
      <c r="T101" s="5" t="inlineStr"/>
      <c r="U101" s="5" t="inlineStr"/>
      <c r="V101" s="5" t="inlineStr"/>
    </row>
    <row r="102">
      <c r="A102" s="5" t="inlineStr">
        <is>
          <t>b5-kafede-ders</t>
        </is>
      </c>
      <c r="B102" s="5" t="n">
        <v>5</v>
      </c>
      <c r="C102" s="5" t="inlineStr">
        <is>
          <t>17 yaş</t>
        </is>
      </c>
      <c r="D102" s="5" t="inlineStr">
        <is>
          <t>☕</t>
        </is>
      </c>
      <c r="E102" s="6" t="inlineStr">
        <is>
          <t>Kafede Ders Çalışma</t>
        </is>
      </c>
      <c r="F102" s="6" t="inlineStr">
        <is>
          <t>Arkadaşlarla 'kafede ders çalışma' planı yapıldı. Masada dört kitap, dört telefon ve beş saat önce söylenmiş tek bir çay.</t>
        </is>
      </c>
      <c r="G102" s="5" t="inlineStr">
        <is>
          <t>kafe</t>
        </is>
      </c>
      <c r="H102" s="5" t="inlineStr">
        <is>
          <t>okul-iş</t>
        </is>
      </c>
      <c r="I102" s="5" t="inlineStr"/>
      <c r="J102" s="5" t="inlineStr"/>
      <c r="K102" s="5" t="inlineStr"/>
      <c r="L102" s="5" t="inlineStr">
        <is>
          <t>okulu-birakti</t>
        </is>
      </c>
      <c r="M102" s="5" t="inlineStr"/>
      <c r="N102" s="5" t="inlineStr"/>
      <c r="O102" s="5" t="inlineStr"/>
      <c r="P102" s="5" t="inlineStr"/>
      <c r="Q102" s="5" t="inlineStr"/>
      <c r="R102" s="6" t="inlineStr"/>
      <c r="S102" s="5" t="inlineStr"/>
      <c r="T102" s="5" t="inlineStr"/>
      <c r="U102" s="5" t="inlineStr"/>
      <c r="V102" s="5" t="inlineStr"/>
    </row>
    <row r="103">
      <c r="A103" s="5" t="inlineStr">
        <is>
          <t>b5-deneme-sinavi</t>
        </is>
      </c>
      <c r="B103" s="5" t="n">
        <v>5</v>
      </c>
      <c r="C103" s="5" t="inlineStr">
        <is>
          <t>17 yaş 1 ay</t>
        </is>
      </c>
      <c r="D103" s="5" t="inlineStr">
        <is>
          <t>📝</t>
        </is>
      </c>
      <c r="E103" s="6" t="inlineStr">
        <is>
          <t>Deneme Sınavı</t>
        </is>
      </c>
      <c r="F103" s="6" t="inlineStr">
        <is>
          <t>Dershanenin deneme sınavı. Kitapçık önünde, optik form yanında. Biri silgi düşürdü; salondaki herkes irkildi.</t>
        </is>
      </c>
      <c r="G103" s="5" t="inlineStr">
        <is>
          <t>sinif</t>
        </is>
      </c>
      <c r="H103" s="5" t="inlineStr">
        <is>
          <t>okul-iş</t>
        </is>
      </c>
      <c r="I103" s="5" t="inlineStr"/>
      <c r="J103" s="5" t="n">
        <v>1.5</v>
      </c>
      <c r="K103" s="5" t="inlineStr"/>
      <c r="L103" s="5" t="inlineStr">
        <is>
          <t>okulu-birakti</t>
        </is>
      </c>
      <c r="M103" s="5" t="inlineStr"/>
      <c r="N103" s="5" t="inlineStr"/>
      <c r="O103" s="5" t="inlineStr"/>
      <c r="P103" s="5" t="inlineStr"/>
      <c r="Q103" s="5" t="inlineStr"/>
      <c r="R103" s="6" t="inlineStr"/>
      <c r="S103" s="5" t="inlineStr"/>
      <c r="T103" s="5" t="inlineStr"/>
      <c r="U103" s="5" t="inlineStr"/>
      <c r="V103" s="5" t="inlineStr"/>
    </row>
    <row r="104">
      <c r="A104" s="5" t="inlineStr">
        <is>
          <t>b5-doktor-ol</t>
        </is>
      </c>
      <c r="B104" s="5" t="n">
        <v>5</v>
      </c>
      <c r="C104" s="5" t="inlineStr">
        <is>
          <t>17 yaş 2 ay</t>
        </is>
      </c>
      <c r="D104" s="5" t="inlineStr">
        <is>
          <t>🩺</t>
        </is>
      </c>
      <c r="E104" s="6" t="inlineStr">
        <is>
          <t>Doktor Ol</t>
        </is>
      </c>
      <c r="F104" s="6" t="inlineStr">
        <is>
          <t>Akşam yemeği. Babanın cümlesi tartışmaya kapalı başladı: 'Doktor olursan hayatın kurtulur.' Kimin hayatı olduğu belirtilmedi.</t>
        </is>
      </c>
      <c r="G104" s="5" t="inlineStr">
        <is>
          <t>mutfak</t>
        </is>
      </c>
      <c r="H104" s="5" t="inlineStr">
        <is>
          <t>ev</t>
        </is>
      </c>
      <c r="I104" s="5" t="inlineStr"/>
      <c r="J104" s="5" t="inlineStr"/>
      <c r="K104" s="5" t="inlineStr"/>
      <c r="L104" s="5" t="inlineStr"/>
      <c r="M104" s="5" t="inlineStr"/>
      <c r="N104" s="5" t="inlineStr"/>
      <c r="O104" s="5" t="inlineStr"/>
      <c r="P104" s="5" t="inlineStr"/>
      <c r="Q104" s="5" t="inlineStr"/>
      <c r="R104" s="6" t="inlineStr"/>
      <c r="S104" s="5" t="inlineStr"/>
      <c r="T104" s="5" t="inlineStr"/>
      <c r="U104" s="5" t="inlineStr"/>
      <c r="V104" s="5" t="inlineStr"/>
    </row>
    <row r="105">
      <c r="A105" s="5" t="inlineStr">
        <is>
          <t>b5-yurt-disi</t>
        </is>
      </c>
      <c r="B105" s="5" t="n">
        <v>5</v>
      </c>
      <c r="C105" s="5" t="inlineStr">
        <is>
          <t>17 yaş 3 ay</t>
        </is>
      </c>
      <c r="D105" s="5" t="inlineStr">
        <is>
          <t>✈️</t>
        </is>
      </c>
      <c r="E105" s="6" t="inlineStr">
        <is>
          <t>Yurt Dışı Hayali</t>
        </is>
      </c>
      <c r="F105" s="6" t="inlineStr">
        <is>
          <t>Gece üç. Yurt dışındaki bir üniversitenin tanıtım videosu açık. Kampüste kimse sınava çalışmıyor; herkes çimlerde gülüyor.</t>
        </is>
      </c>
      <c r="G105" s="5" t="inlineStr">
        <is>
          <t>cocuk-odasi</t>
        </is>
      </c>
      <c r="H105" s="5" t="inlineStr">
        <is>
          <t>para</t>
        </is>
      </c>
      <c r="I105" s="5" t="inlineStr">
        <is>
          <t>E</t>
        </is>
      </c>
      <c r="J105" s="5" t="n">
        <v>0.7</v>
      </c>
      <c r="K105" s="5" t="inlineStr"/>
      <c r="L105" s="5" t="inlineStr"/>
      <c r="M105" s="5" t="inlineStr"/>
      <c r="N105" s="5" t="inlineStr"/>
      <c r="O105" s="5" t="inlineStr"/>
      <c r="P105" s="5" t="inlineStr"/>
      <c r="Q105" s="5" t="inlineStr"/>
      <c r="R105" s="6" t="inlineStr"/>
      <c r="S105" s="5" t="inlineStr"/>
      <c r="T105" s="5" t="inlineStr"/>
      <c r="U105" s="5" t="inlineStr"/>
      <c r="V105" s="5" t="inlineStr"/>
    </row>
    <row r="106">
      <c r="A106" s="5" t="inlineStr">
        <is>
          <t>b5-ilk-konser</t>
        </is>
      </c>
      <c r="B106" s="5" t="n">
        <v>5</v>
      </c>
      <c r="C106" s="5" t="inlineStr">
        <is>
          <t>17 yaş 4 ay</t>
        </is>
      </c>
      <c r="D106" s="5" t="inlineStr">
        <is>
          <t>🎤</t>
        </is>
      </c>
      <c r="E106" s="6" t="inlineStr">
        <is>
          <t>İlk Konser</t>
        </is>
      </c>
      <c r="F106" s="6" t="inlineStr">
        <is>
          <t>Hayatının ilk konseri. Kapılar açılalı iki saat oldu, sahneye çıkılmasına iki saat var. Sen dört saattir aynı yerdesin.</t>
        </is>
      </c>
      <c r="G106" s="5" t="inlineStr">
        <is>
          <t>stadyum</t>
        </is>
      </c>
      <c r="H106" s="5" t="inlineStr">
        <is>
          <t>sosyal</t>
        </is>
      </c>
      <c r="I106" s="5" t="inlineStr"/>
      <c r="J106" s="5" t="inlineStr"/>
      <c r="K106" s="5" t="inlineStr"/>
      <c r="L106" s="5" t="inlineStr"/>
      <c r="M106" s="5" t="inlineStr"/>
      <c r="N106" s="5" t="inlineStr"/>
      <c r="O106" s="5" t="inlineStr"/>
      <c r="P106" s="5" t="inlineStr"/>
      <c r="Q106" s="5" t="inlineStr"/>
      <c r="R106" s="6" t="inlineStr"/>
      <c r="S106" s="5" t="inlineStr"/>
      <c r="T106" s="5" t="inlineStr"/>
      <c r="U106" s="5" t="inlineStr"/>
      <c r="V106" s="5" t="inlineStr"/>
    </row>
    <row r="107">
      <c r="A107" s="5" t="inlineStr">
        <is>
          <t>b5-ev-partisi</t>
        </is>
      </c>
      <c r="B107" s="5" t="n">
        <v>5</v>
      </c>
      <c r="C107" s="5" t="inlineStr">
        <is>
          <t>17 yaş 5 ay</t>
        </is>
      </c>
      <c r="D107" s="5" t="inlineStr">
        <is>
          <t>🎉</t>
        </is>
      </c>
      <c r="E107" s="6" t="inlineStr">
        <is>
          <t>Küçük Bir Toplantı</t>
        </is>
      </c>
      <c r="F107" s="6" t="inlineStr">
        <is>
          <t>Bir arkadaşın ailesi hafta sonu şehir dışında. 'Küçük bir toplantı' planlandı. Davetli sayısı mesaj grubunda saatte ikiye katlanıyor.</t>
        </is>
      </c>
      <c r="G107" s="5" t="inlineStr">
        <is>
          <t>apartman</t>
        </is>
      </c>
      <c r="H107" s="5" t="inlineStr">
        <is>
          <t>sosyal</t>
        </is>
      </c>
      <c r="I107" s="5" t="inlineStr"/>
      <c r="J107" s="5" t="inlineStr"/>
      <c r="K107" s="5" t="inlineStr"/>
      <c r="L107" s="5" t="inlineStr"/>
      <c r="M107" s="5" t="inlineStr"/>
      <c r="N107" s="5" t="inlineStr"/>
      <c r="O107" s="5" t="inlineStr"/>
      <c r="P107" s="5" t="inlineStr"/>
      <c r="Q107" s="5" t="inlineStr"/>
      <c r="R107" s="6" t="inlineStr"/>
      <c r="S107" s="5" t="inlineStr"/>
      <c r="T107" s="5" t="inlineStr"/>
      <c r="U107" s="5" t="inlineStr"/>
      <c r="V107" s="5" t="inlineStr"/>
    </row>
    <row r="108">
      <c r="A108" s="5" t="inlineStr">
        <is>
          <t>b5-kurye-isi</t>
        </is>
      </c>
      <c r="B108" s="5" t="n">
        <v>5</v>
      </c>
      <c r="C108" s="5" t="inlineStr">
        <is>
          <t>17 yaş 6 ay</t>
        </is>
      </c>
      <c r="D108" s="5" t="inlineStr">
        <is>
          <t>🚲</t>
        </is>
      </c>
      <c r="E108" s="6" t="inlineStr">
        <is>
          <t>Bisikletli Kurye</t>
        </is>
      </c>
      <c r="F108" s="6" t="inlineStr">
        <is>
          <t>Yemek siparişi uygulamasında bisikletli kurye oldun. Uygulama teslimatın on dört dakika süreceğini söylüyor. Yokuştan hiç bahsetmiyor.</t>
        </is>
      </c>
      <c r="G108" s="5" t="inlineStr">
        <is>
          <t>trafik</t>
        </is>
      </c>
      <c r="H108" s="5" t="inlineStr">
        <is>
          <t>para</t>
        </is>
      </c>
      <c r="I108" s="5" t="inlineStr"/>
      <c r="J108" s="5" t="inlineStr"/>
      <c r="K108" s="5" t="inlineStr"/>
      <c r="L108" s="5" t="inlineStr"/>
      <c r="M108" s="5" t="inlineStr"/>
      <c r="N108" s="5" t="inlineStr"/>
      <c r="O108" s="5" t="inlineStr"/>
      <c r="P108" s="5" t="inlineStr"/>
      <c r="Q108" s="5" t="inlineStr"/>
      <c r="R108" s="6" t="inlineStr"/>
      <c r="S108" s="5" t="inlineStr"/>
      <c r="T108" s="5" t="inlineStr"/>
      <c r="U108" s="5" t="inlineStr"/>
      <c r="V108" s="5" t="inlineStr"/>
    </row>
    <row r="109">
      <c r="A109" s="5" t="inlineStr">
        <is>
          <t>b5-ozel-ders</t>
        </is>
      </c>
      <c r="B109" s="5" t="n">
        <v>5</v>
      </c>
      <c r="C109" s="5" t="inlineStr">
        <is>
          <t>17 yaş 7 ay</t>
        </is>
      </c>
      <c r="D109" s="5" t="inlineStr">
        <is>
          <t>📐</t>
        </is>
      </c>
      <c r="E109" s="6" t="inlineStr">
        <is>
          <t>Özel Ders</t>
        </is>
      </c>
      <c r="F109" s="6" t="inlineStr">
        <is>
          <t>Matematik için özel öğretmen tutuldu. Saat ücretini duyar duymaz dakika başına maliyeti hesapladın. Matematikte ilk ilerleme.</t>
        </is>
      </c>
      <c r="G109" s="5" t="inlineStr">
        <is>
          <t>ev</t>
        </is>
      </c>
      <c r="H109" s="5" t="inlineStr">
        <is>
          <t>para</t>
        </is>
      </c>
      <c r="I109" s="5" t="inlineStr"/>
      <c r="J109" s="5" t="inlineStr"/>
      <c r="K109" s="5" t="inlineStr"/>
      <c r="L109" s="5" t="inlineStr">
        <is>
          <t>okulu-birakti</t>
        </is>
      </c>
      <c r="M109" s="5" t="inlineStr"/>
      <c r="N109" s="5" t="inlineStr"/>
      <c r="O109" s="5" t="inlineStr"/>
      <c r="P109" s="5" t="inlineStr"/>
      <c r="Q109" s="5" t="inlineStr"/>
      <c r="R109" s="6" t="inlineStr"/>
      <c r="S109" s="5" t="inlineStr"/>
      <c r="T109" s="5" t="inlineStr"/>
      <c r="U109" s="5" t="inlineStr"/>
      <c r="V109" s="5" t="inlineStr"/>
    </row>
    <row r="110">
      <c r="A110" s="5" t="inlineStr">
        <is>
          <t>b5-rehberlik</t>
        </is>
      </c>
      <c r="B110" s="5" t="n">
        <v>5</v>
      </c>
      <c r="C110" s="5" t="inlineStr">
        <is>
          <t>17 yaş 8 ay</t>
        </is>
      </c>
      <c r="D110" s="5" t="inlineStr">
        <is>
          <t>🧭</t>
        </is>
      </c>
      <c r="E110" s="6" t="inlineStr">
        <is>
          <t>Meslek Testi</t>
        </is>
      </c>
      <c r="F110" s="6" t="inlineStr">
        <is>
          <t>Rehberlik servisi meslek eğilim testi uyguladı. Sonuca göre sana en uygun meslek: deniz feneri bekçisi. Fenerler otomatik çalışıyor artık.</t>
        </is>
      </c>
      <c r="G110" s="5" t="inlineStr">
        <is>
          <t>sinif</t>
        </is>
      </c>
      <c r="H110" s="5" t="inlineStr">
        <is>
          <t>okul-iş</t>
        </is>
      </c>
      <c r="I110" s="5" t="inlineStr"/>
      <c r="J110" s="5" t="inlineStr"/>
      <c r="K110" s="5" t="inlineStr"/>
      <c r="L110" s="5" t="inlineStr">
        <is>
          <t>okulu-birakti</t>
        </is>
      </c>
      <c r="M110" s="5" t="inlineStr"/>
      <c r="N110" s="5" t="inlineStr"/>
      <c r="O110" s="5" t="inlineStr"/>
      <c r="P110" s="5" t="inlineStr"/>
      <c r="Q110" s="5" t="inlineStr"/>
      <c r="R110" s="6" t="inlineStr"/>
      <c r="S110" s="5" t="inlineStr"/>
      <c r="T110" s="5" t="inlineStr"/>
      <c r="U110" s="5" t="inlineStr"/>
      <c r="V110" s="5" t="inlineStr"/>
    </row>
    <row r="111">
      <c r="A111" s="5" t="inlineStr">
        <is>
          <t>b5-telefon-detoksu</t>
        </is>
      </c>
      <c r="B111" s="5" t="n">
        <v>5</v>
      </c>
      <c r="C111" s="5" t="inlineStr">
        <is>
          <t>17 yaş 9 ay</t>
        </is>
      </c>
      <c r="D111" s="5" t="inlineStr">
        <is>
          <t>📵</t>
        </is>
      </c>
      <c r="E111" s="6" t="inlineStr">
        <is>
          <t>Telefon Emanette</t>
        </is>
      </c>
      <c r="F111" s="6" t="inlineStr">
        <is>
          <t>Sınava iki ay kala aile kararı: telefonun emanete alındı. Gerekçe: odak. Teslim tutanağı: yok.</t>
        </is>
      </c>
      <c r="G111" s="5" t="inlineStr">
        <is>
          <t>ev</t>
        </is>
      </c>
      <c r="H111" s="5" t="inlineStr">
        <is>
          <t>ev</t>
        </is>
      </c>
      <c r="I111" s="5" t="inlineStr"/>
      <c r="J111" s="5" t="inlineStr"/>
      <c r="K111" s="5" t="inlineStr"/>
      <c r="L111" s="5" t="inlineStr"/>
      <c r="M111" s="5" t="inlineStr"/>
      <c r="N111" s="5" t="inlineStr"/>
      <c r="O111" s="5" t="inlineStr"/>
      <c r="P111" s="5" t="inlineStr"/>
      <c r="Q111" s="5" t="inlineStr"/>
      <c r="R111" s="6" t="inlineStr"/>
      <c r="S111" s="5" t="inlineStr"/>
      <c r="T111" s="5" t="inlineStr"/>
      <c r="U111" s="5" t="inlineStr"/>
      <c r="V111" s="5" t="inlineStr"/>
    </row>
    <row r="112">
      <c r="A112" s="5" t="inlineStr">
        <is>
          <t>b5-universite-sinavi</t>
        </is>
      </c>
      <c r="B112" s="5" t="n">
        <v>5</v>
      </c>
      <c r="C112" s="5" t="inlineStr">
        <is>
          <t>17 yaş 10 ay</t>
        </is>
      </c>
      <c r="D112" s="5" t="inlineStr">
        <is>
          <t>✏️</t>
        </is>
      </c>
      <c r="E112" s="6" t="inlineStr">
        <is>
          <t>Büyük Makarya Sınavı</t>
        </is>
      </c>
      <c r="F112" s="6" t="inlineStr">
        <is>
          <t>Üniversite sınavı sabahı. Kalem, silgi, kimlik ve on yedi yıllık aile beklentisi. Son ikisi sıraya sığmıyor.</t>
        </is>
      </c>
      <c r="G112" s="5" t="inlineStr">
        <is>
          <t>sinif</t>
        </is>
      </c>
      <c r="H112" s="5" t="inlineStr">
        <is>
          <t>okul-iş</t>
        </is>
      </c>
      <c r="I112" s="5" t="inlineStr">
        <is>
          <t>E</t>
        </is>
      </c>
      <c r="J112" s="5" t="inlineStr"/>
      <c r="K112" s="5" t="inlineStr"/>
      <c r="L112" s="5" t="inlineStr">
        <is>
          <t>okulu-birakti</t>
        </is>
      </c>
      <c r="M112" s="5" t="inlineStr"/>
      <c r="N112" s="5" t="inlineStr"/>
      <c r="O112" s="5" t="inlineStr"/>
      <c r="P112" s="5" t="inlineStr"/>
      <c r="Q112" s="5" t="n">
        <v>3</v>
      </c>
      <c r="R112" s="6" t="inlineStr">
        <is>
          <t>On yedi yıl bu sabaha çıkıyordu. Bu salondan iki ayrı hayat çıkar ve geri dönüş yok.</t>
        </is>
      </c>
      <c r="S112" s="5" t="inlineStr">
        <is>
          <t>Üniversiteli hayat</t>
        </is>
      </c>
      <c r="T112" s="5" t="inlineStr">
        <is>
          <t>Başka bir gençlik</t>
        </is>
      </c>
      <c r="U112" s="5" t="inlineStr"/>
      <c r="V112" s="5" t="inlineStr"/>
    </row>
    <row r="113">
      <c r="A113" s="5" t="inlineStr">
        <is>
          <t>b5-mezuniyet-balosu</t>
        </is>
      </c>
      <c r="B113" s="5" t="n">
        <v>5</v>
      </c>
      <c r="C113" s="5" t="inlineStr">
        <is>
          <t>17 yaş 11 ay</t>
        </is>
      </c>
      <c r="D113" s="5" t="inlineStr">
        <is>
          <t>🕺</t>
        </is>
      </c>
      <c r="E113" s="6" t="inlineStr">
        <is>
          <t>Mezuniyet Balosu</t>
        </is>
      </c>
      <c r="F113" s="6" t="inlineStr">
        <is>
          <t>Mezuniyet balosu. Salon kiralandı, kıyafetler alındı, fotoğrafçı hazır. Dans pistine ilk adımı atacak kişi henüz belli değil.</t>
        </is>
      </c>
      <c r="G113" s="5" t="inlineStr">
        <is>
          <t>dugun-salonu</t>
        </is>
      </c>
      <c r="H113" s="5" t="inlineStr">
        <is>
          <t>sosyal</t>
        </is>
      </c>
      <c r="I113" s="5" t="inlineStr"/>
      <c r="J113" s="5" t="inlineStr"/>
      <c r="K113" s="5" t="inlineStr"/>
      <c r="L113" s="5" t="inlineStr">
        <is>
          <t>okulu-birakti</t>
        </is>
      </c>
      <c r="M113" s="5" t="inlineStr"/>
      <c r="N113" s="5" t="inlineStr"/>
      <c r="O113" s="5" t="inlineStr"/>
      <c r="P113" s="5" t="inlineStr"/>
      <c r="Q113" s="5" t="inlineStr"/>
      <c r="R113" s="6" t="inlineStr"/>
      <c r="S113" s="5" t="inlineStr"/>
      <c r="T113" s="5" t="inlineStr"/>
      <c r="U113" s="5" t="inlineStr"/>
      <c r="V113" s="5" t="inlineStr"/>
    </row>
    <row r="114">
      <c r="A114" s="5" t="inlineStr">
        <is>
          <t>b5-tercih-listesi</t>
        </is>
      </c>
      <c r="B114" s="5" t="n">
        <v>5</v>
      </c>
      <c r="C114" s="5" t="inlineStr">
        <is>
          <t>17 yaş 11 ay</t>
        </is>
      </c>
      <c r="D114" s="5" t="inlineStr">
        <is>
          <t>📋</t>
        </is>
      </c>
      <c r="E114" s="6" t="inlineStr">
        <is>
          <t>Tercih Listesi</t>
        </is>
      </c>
      <c r="F114" s="6" t="inlineStr">
        <is>
          <t>Tercih dönemi. Yirmi dört satırlık bir liste, bir aile meclisi ve bir kuzen: 'Ben olsam şöyle yapardım.' Kuzen hiç tercih yapmamış.</t>
        </is>
      </c>
      <c r="G114" s="5" t="inlineStr">
        <is>
          <t>ev</t>
        </is>
      </c>
      <c r="H114" s="5" t="inlineStr">
        <is>
          <t>ev</t>
        </is>
      </c>
      <c r="I114" s="5" t="inlineStr">
        <is>
          <t>E</t>
        </is>
      </c>
      <c r="J114" s="5" t="inlineStr"/>
      <c r="K114" s="5" t="inlineStr">
        <is>
          <t>universiteli</t>
        </is>
      </c>
      <c r="L114" s="5" t="inlineStr">
        <is>
          <t>okulu-birakti</t>
        </is>
      </c>
      <c r="M114" s="5" t="inlineStr"/>
      <c r="N114" s="5" t="inlineStr"/>
      <c r="O114" s="5" t="inlineStr"/>
      <c r="P114" s="5" t="inlineStr"/>
      <c r="Q114" s="5" t="inlineStr"/>
      <c r="R114" s="6" t="inlineStr"/>
      <c r="S114" s="5" t="inlineStr"/>
      <c r="T114" s="5" t="inlineStr"/>
      <c r="U114" s="5" t="inlineStr"/>
      <c r="V114" s="5" t="inlineStr"/>
    </row>
    <row r="115">
      <c r="A115" s="5" t="inlineStr">
        <is>
          <t>b5-mezuniyet</t>
        </is>
      </c>
      <c r="B115" s="5" t="n">
        <v>5</v>
      </c>
      <c r="C115" s="5" t="inlineStr">
        <is>
          <t>18 yaş</t>
        </is>
      </c>
      <c r="D115" s="5" t="inlineStr">
        <is>
          <t>🎓</t>
        </is>
      </c>
      <c r="E115" s="6" t="inlineStr">
        <is>
          <t>Lise Mezuniyeti</t>
        </is>
      </c>
      <c r="F115" s="6" t="inlineStr">
        <is>
          <t>Lise mezuniyet töreni. Kepler havaya atılacak. Kimsenin kendi kepini geri bulamayacağı resmî olarak bilinen bir gerçek.</t>
        </is>
      </c>
      <c r="G115" s="5" t="inlineStr">
        <is>
          <t>okul-bahcesi</t>
        </is>
      </c>
      <c r="H115" s="5" t="inlineStr">
        <is>
          <t>okul-iş</t>
        </is>
      </c>
      <c r="I115" s="5" t="inlineStr">
        <is>
          <t>E</t>
        </is>
      </c>
      <c r="J115" s="5" t="inlineStr"/>
      <c r="K115" s="5" t="inlineStr"/>
      <c r="L115" s="5" t="inlineStr">
        <is>
          <t>okulu-birakti</t>
        </is>
      </c>
      <c r="M115" s="5" t="inlineStr"/>
      <c r="N115" s="5" t="inlineStr"/>
      <c r="O115" s="5" t="inlineStr"/>
      <c r="P115" s="5" t="inlineStr"/>
      <c r="Q115" s="5" t="inlineStr"/>
      <c r="R115" s="6" t="inlineStr"/>
      <c r="S115" s="5" t="inlineStr"/>
      <c r="T115" s="5" t="inlineStr"/>
      <c r="U115" s="5" t="inlineStr"/>
      <c r="V115" s="5" t="inlineStr"/>
    </row>
    <row r="116">
      <c r="A116" s="5" t="inlineStr">
        <is>
          <t>b5-ehliyet-kursu</t>
        </is>
      </c>
      <c r="B116" s="5" t="n">
        <v>5</v>
      </c>
      <c r="C116" s="5" t="inlineStr">
        <is>
          <t>18 yaş</t>
        </is>
      </c>
      <c r="D116" s="5" t="inlineStr">
        <is>
          <t>🚗</t>
        </is>
      </c>
      <c r="E116" s="6" t="inlineStr">
        <is>
          <t>Ehliyet Kursu</t>
        </is>
      </c>
      <c r="F116" s="6" t="inlineStr">
        <is>
          <t>Ehliyet kursuna yazıldın. Direksiyon hocası ilk derste frene kendi ayağını bastı. İkinci derste de. Bu bir alışkanlık.</t>
        </is>
      </c>
      <c r="G116" s="5" t="inlineStr">
        <is>
          <t>trafik</t>
        </is>
      </c>
      <c r="H116" s="5" t="inlineStr">
        <is>
          <t>para</t>
        </is>
      </c>
      <c r="I116" s="5" t="inlineStr"/>
      <c r="J116" s="5" t="inlineStr"/>
      <c r="K116" s="5" t="inlineStr"/>
      <c r="L116" s="5" t="inlineStr"/>
      <c r="M116" s="5" t="inlineStr"/>
      <c r="N116" s="5" t="inlineStr"/>
      <c r="O116" s="5" t="inlineStr"/>
      <c r="P116" s="5" t="inlineStr"/>
      <c r="Q116" s="5" t="inlineStr"/>
      <c r="R116" s="6" t="inlineStr"/>
      <c r="S116" s="5" t="inlineStr"/>
      <c r="T116" s="5" t="inlineStr"/>
      <c r="U116" s="5" t="inlineStr"/>
      <c r="V116" s="5" t="inlineStr"/>
    </row>
    <row r="117">
      <c r="A117" s="5" t="inlineStr">
        <is>
          <t>b5-tek-basina-tatil</t>
        </is>
      </c>
      <c r="B117" s="5" t="n">
        <v>5</v>
      </c>
      <c r="C117" s="5" t="inlineStr">
        <is>
          <t>18 yaş</t>
        </is>
      </c>
      <c r="D117" s="5" t="inlineStr">
        <is>
          <t>🧳</t>
        </is>
      </c>
      <c r="E117" s="6" t="inlineStr">
        <is>
          <t>Ailesiz İlk Tatil</t>
        </is>
      </c>
      <c r="F117" s="6" t="inlineStr">
        <is>
          <t>İlk kez ailesiz tatil. Arkadaşlarla sahil kasabasında bir pansiyon. Aile grubu saat başı 'Vardınız mı?' yazıyor. Varalı iki gün oldu.</t>
        </is>
      </c>
      <c r="G117" s="5" t="inlineStr">
        <is>
          <t>yazlik</t>
        </is>
      </c>
      <c r="H117" s="5" t="inlineStr">
        <is>
          <t>para</t>
        </is>
      </c>
      <c r="I117" s="5" t="inlineStr"/>
      <c r="J117" s="5" t="inlineStr"/>
      <c r="K117" s="5" t="inlineStr"/>
      <c r="L117" s="5" t="inlineStr"/>
      <c r="M117" s="5" t="inlineStr"/>
      <c r="N117" s="5" t="inlineStr"/>
      <c r="O117" s="5" t="inlineStr"/>
      <c r="P117" s="5" t="inlineStr"/>
      <c r="Q117" s="5" t="inlineStr"/>
      <c r="R117" s="6" t="inlineStr"/>
      <c r="S117" s="5" t="inlineStr"/>
      <c r="T117" s="5" t="inlineStr"/>
      <c r="U117" s="5" t="inlineStr"/>
      <c r="V117" s="5" t="inlineStr"/>
    </row>
    <row r="118">
      <c r="A118" s="5" t="inlineStr">
        <is>
          <t>b6-yurt-odasi</t>
        </is>
      </c>
      <c r="B118" s="5" t="n">
        <v>6</v>
      </c>
      <c r="C118" s="5" t="inlineStr">
        <is>
          <t>18 yaş 1 ay</t>
        </is>
      </c>
      <c r="D118" s="5" t="inlineStr">
        <is>
          <t>🛏️</t>
        </is>
      </c>
      <c r="E118" s="6" t="inlineStr">
        <is>
          <t>Yurt Odası</t>
        </is>
      </c>
      <c r="F118" s="6" t="inlineStr">
        <is>
          <t>Dört kişilik odaya yerleştirildin. Dolap iki kişilik, priz bir kişilik, uyku düzenleri dört ayrı saat diliminde.</t>
        </is>
      </c>
      <c r="G118" s="5" t="inlineStr">
        <is>
          <t>universite</t>
        </is>
      </c>
      <c r="H118" s="5" t="inlineStr"/>
      <c r="I118" s="5" t="inlineStr">
        <is>
          <t>E</t>
        </is>
      </c>
      <c r="J118" s="5" t="inlineStr"/>
      <c r="K118" s="5" t="inlineStr">
        <is>
          <t>universiteli, baska-sehir</t>
        </is>
      </c>
      <c r="L118" s="5" t="inlineStr"/>
      <c r="M118" s="5" t="inlineStr"/>
      <c r="N118" s="5" t="inlineStr"/>
      <c r="O118" s="5" t="inlineStr"/>
      <c r="P118" s="5" t="inlineStr"/>
      <c r="Q118" s="5" t="inlineStr"/>
      <c r="R118" s="6" t="inlineStr"/>
      <c r="S118" s="5" t="inlineStr"/>
      <c r="T118" s="5" t="inlineStr"/>
      <c r="U118" s="5" t="inlineStr"/>
      <c r="V118" s="5" t="inlineStr"/>
    </row>
    <row r="119">
      <c r="A119" s="5" t="inlineStr">
        <is>
          <t>b6-ilk-tam-zamanli-is</t>
        </is>
      </c>
      <c r="B119" s="5" t="n">
        <v>6</v>
      </c>
      <c r="C119" s="5" t="inlineStr">
        <is>
          <t>18 yaş 3 ay</t>
        </is>
      </c>
      <c r="D119" s="5" t="inlineStr">
        <is>
          <t>🧾</t>
        </is>
      </c>
      <c r="E119" s="6" t="inlineStr">
        <is>
          <t>İlk Tam Zamanlı İş</t>
        </is>
      </c>
      <c r="F119" s="6" t="inlineStr">
        <is>
          <t>İlk tam zamanlı işin: mahallenin büyük hırdavatçısı. Sabah sekiz, akşam sekiz, arada bin kere 'Bir bakar mısın?'</t>
        </is>
      </c>
      <c r="G119" s="5" t="inlineStr">
        <is>
          <t>dukkan</t>
        </is>
      </c>
      <c r="H119" s="5" t="inlineStr"/>
      <c r="I119" s="5" t="inlineStr"/>
      <c r="J119" s="5" t="inlineStr"/>
      <c r="K119" s="5" t="inlineStr">
        <is>
          <t>universitesiz</t>
        </is>
      </c>
      <c r="L119" s="5" t="inlineStr">
        <is>
          <t>erken-askerlik, tezgah, abinin-adami</t>
        </is>
      </c>
      <c r="M119" s="5" t="inlineStr"/>
      <c r="N119" s="5" t="inlineStr"/>
      <c r="O119" s="5" t="inlineStr"/>
      <c r="P119" s="5" t="inlineStr"/>
      <c r="Q119" s="5" t="inlineStr"/>
      <c r="R119" s="6" t="inlineStr"/>
      <c r="S119" s="5" t="inlineStr"/>
      <c r="T119" s="5" t="inlineStr"/>
      <c r="U119" s="5" t="inlineStr"/>
      <c r="V119" s="5" t="inlineStr"/>
    </row>
    <row r="120">
      <c r="A120" s="5" t="inlineStr">
        <is>
          <t>b6-ehliyet</t>
        </is>
      </c>
      <c r="B120" s="5" t="n">
        <v>6</v>
      </c>
      <c r="C120" s="5" t="inlineStr">
        <is>
          <t>18 yaş 7 ay</t>
        </is>
      </c>
      <c r="D120" s="5" t="inlineStr">
        <is>
          <t>🚗</t>
        </is>
      </c>
      <c r="E120" s="6" t="inlineStr">
        <is>
          <t>Direksiyon Sınavı</t>
        </is>
      </c>
      <c r="F120" s="6" t="inlineStr">
        <is>
          <t>Direksiyon sınavı. Görevlinin elinde bir kalem, yüzünde otuz yıllık yorgunluk. Yokuş kalkışı seni bekliyor.</t>
        </is>
      </c>
      <c r="G120" s="5" t="inlineStr">
        <is>
          <t>trafik</t>
        </is>
      </c>
      <c r="H120" s="5" t="inlineStr"/>
      <c r="I120" s="5" t="inlineStr"/>
      <c r="J120" s="5" t="inlineStr"/>
      <c r="K120" s="5" t="inlineStr"/>
      <c r="L120" s="5" t="inlineStr"/>
      <c r="M120" s="5" t="inlineStr"/>
      <c r="N120" s="5" t="inlineStr"/>
      <c r="O120" s="5" t="inlineStr"/>
      <c r="P120" s="5" t="inlineStr"/>
      <c r="Q120" s="5" t="inlineStr"/>
      <c r="R120" s="6" t="inlineStr"/>
      <c r="S120" s="5" t="inlineStr"/>
      <c r="T120" s="5" t="inlineStr"/>
      <c r="U120" s="5" t="inlineStr"/>
      <c r="V120" s="5" t="inlineStr"/>
    </row>
    <row r="121">
      <c r="A121" s="5" t="inlineStr">
        <is>
          <t>b6-ilk-maas</t>
        </is>
      </c>
      <c r="B121" s="5" t="n">
        <v>6</v>
      </c>
      <c r="C121" s="5" t="inlineStr">
        <is>
          <t>18 yaş 11 ay</t>
        </is>
      </c>
      <c r="D121" s="5" t="inlineStr">
        <is>
          <t>💸</t>
        </is>
      </c>
      <c r="E121" s="6" t="inlineStr">
        <is>
          <t>İlk Maaş</t>
        </is>
      </c>
      <c r="F121" s="6" t="inlineStr">
        <is>
          <t>Bankadan mesaj: 'Hesabınıza para yatırılmıştır.' Hayatının en güzel cümlesi. Şimdilik.</t>
        </is>
      </c>
      <c r="G121" s="5" t="inlineStr">
        <is>
          <t>banka</t>
        </is>
      </c>
      <c r="H121" s="5" t="inlineStr"/>
      <c r="I121" s="5" t="inlineStr"/>
      <c r="J121" s="5" t="inlineStr"/>
      <c r="K121" s="5" t="inlineStr"/>
      <c r="L121" s="5" t="inlineStr">
        <is>
          <t>erken-askerlik</t>
        </is>
      </c>
      <c r="M121" s="5" t="inlineStr"/>
      <c r="N121" s="5" t="inlineStr"/>
      <c r="O121" s="5" t="inlineStr"/>
      <c r="P121" s="5" t="inlineStr"/>
      <c r="Q121" s="5" t="inlineStr"/>
      <c r="R121" s="6" t="inlineStr"/>
      <c r="S121" s="5" t="inlineStr"/>
      <c r="T121" s="5" t="inlineStr"/>
      <c r="U121" s="5" t="inlineStr"/>
      <c r="V121" s="5" t="inlineStr"/>
    </row>
    <row r="122">
      <c r="A122" s="5" t="inlineStr">
        <is>
          <t>b6-usta-cirak</t>
        </is>
      </c>
      <c r="B122" s="5" t="n">
        <v>6</v>
      </c>
      <c r="C122" s="5" t="inlineStr">
        <is>
          <t>19 yaş 2 ay</t>
        </is>
      </c>
      <c r="D122" s="5" t="inlineStr">
        <is>
          <t>🔧</t>
        </is>
      </c>
      <c r="E122" s="6" t="inlineStr">
        <is>
          <t>Usta ile Çırak</t>
        </is>
      </c>
      <c r="F122" s="6" t="inlineStr">
        <is>
          <t>Usta seni yanına aldı. İlk ders: 'Çay demlemeyi bilmeyen motor sökemez.' İkinci ders on dört gündür gelmedi.</t>
        </is>
      </c>
      <c r="G122" s="5" t="inlineStr">
        <is>
          <t>dukkan</t>
        </is>
      </c>
      <c r="H122" s="5" t="inlineStr"/>
      <c r="I122" s="5" t="inlineStr"/>
      <c r="J122" s="5" t="inlineStr"/>
      <c r="K122" s="5" t="inlineStr">
        <is>
          <t>universitesiz</t>
        </is>
      </c>
      <c r="L122" s="5" t="inlineStr">
        <is>
          <t>erken-askerlik</t>
        </is>
      </c>
      <c r="M122" s="5" t="inlineStr"/>
      <c r="N122" s="5" t="inlineStr"/>
      <c r="O122" s="5" t="inlineStr"/>
      <c r="P122" s="5" t="inlineStr"/>
      <c r="Q122" s="5" t="inlineStr"/>
      <c r="R122" s="6" t="inlineStr"/>
      <c r="S122" s="5" t="inlineStr"/>
      <c r="T122" s="5" t="inlineStr"/>
      <c r="U122" s="5" t="inlineStr"/>
      <c r="V122" s="5" t="inlineStr"/>
    </row>
    <row r="123">
      <c r="A123" s="5" t="inlineStr">
        <is>
          <t>b6-final-haftasi</t>
        </is>
      </c>
      <c r="B123" s="5" t="n">
        <v>6</v>
      </c>
      <c r="C123" s="5" t="inlineStr">
        <is>
          <t>19 yaş 5 ay</t>
        </is>
      </c>
      <c r="D123" s="5" t="inlineStr">
        <is>
          <t>📚</t>
        </is>
      </c>
      <c r="E123" s="6" t="inlineStr">
        <is>
          <t>Final Haftası</t>
        </is>
      </c>
      <c r="F123" s="6" t="inlineStr">
        <is>
          <t>Final haftası. Kütüphanede yer kalmadı, kafede priz kalmadı, sende not kalmadı.</t>
        </is>
      </c>
      <c r="G123" s="5" t="inlineStr">
        <is>
          <t>universite</t>
        </is>
      </c>
      <c r="H123" s="5" t="inlineStr"/>
      <c r="I123" s="5" t="inlineStr"/>
      <c r="J123" s="5" t="inlineStr"/>
      <c r="K123" s="5" t="inlineStr">
        <is>
          <t>universiteli</t>
        </is>
      </c>
      <c r="L123" s="5" t="inlineStr"/>
      <c r="M123" s="5" t="inlineStr"/>
      <c r="N123" s="5" t="inlineStr"/>
      <c r="O123" s="5" t="inlineStr"/>
      <c r="P123" s="5" t="inlineStr"/>
      <c r="Q123" s="5" t="inlineStr"/>
      <c r="R123" s="6" t="inlineStr"/>
      <c r="S123" s="5" t="inlineStr"/>
      <c r="T123" s="5" t="inlineStr"/>
      <c r="U123" s="5" t="inlineStr"/>
      <c r="V123" s="5" t="inlineStr"/>
    </row>
    <row r="124">
      <c r="A124" s="5" t="inlineStr">
        <is>
          <t>b6-kredi-karti</t>
        </is>
      </c>
      <c r="B124" s="5" t="n">
        <v>6</v>
      </c>
      <c r="C124" s="5" t="inlineStr">
        <is>
          <t>19 yaş 8 ay</t>
        </is>
      </c>
      <c r="D124" s="5" t="inlineStr">
        <is>
          <t>💳</t>
        </is>
      </c>
      <c r="E124" s="6" t="inlineStr">
        <is>
          <t>Size Özel Limit</t>
        </is>
      </c>
      <c r="F124" s="6" t="inlineStr">
        <is>
          <t>Banka aradı: 'Size özel limitli bir kart tanımladık.' Daha önce kimse sana özel bir şey tanımlamamıştı.</t>
        </is>
      </c>
      <c r="G124" s="5" t="inlineStr">
        <is>
          <t>banka</t>
        </is>
      </c>
      <c r="H124" s="5" t="inlineStr"/>
      <c r="I124" s="5" t="inlineStr"/>
      <c r="J124" s="5" t="inlineStr"/>
      <c r="K124" s="5" t="inlineStr"/>
      <c r="L124" s="5" t="inlineStr"/>
      <c r="M124" s="5" t="inlineStr"/>
      <c r="N124" s="5" t="inlineStr"/>
      <c r="O124" s="5" t="inlineStr"/>
      <c r="P124" s="5" t="inlineStr"/>
      <c r="Q124" s="5" t="inlineStr"/>
      <c r="R124" s="6" t="inlineStr"/>
      <c r="S124" s="5" t="inlineStr"/>
      <c r="T124" s="5" t="inlineStr"/>
      <c r="U124" s="5" t="inlineStr"/>
      <c r="V124" s="5" t="inlineStr"/>
    </row>
    <row r="125">
      <c r="A125" s="5" t="inlineStr">
        <is>
          <t>b6-ogrenci-kulubu</t>
        </is>
      </c>
      <c r="B125" s="5" t="n">
        <v>6</v>
      </c>
      <c r="C125" s="5" t="inlineStr">
        <is>
          <t>19 yaş 10 ay</t>
        </is>
      </c>
      <c r="D125" s="5" t="inlineStr">
        <is>
          <t>🎭</t>
        </is>
      </c>
      <c r="E125" s="6" t="inlineStr">
        <is>
          <t>Kulüp Tanıtım Günü</t>
        </is>
      </c>
      <c r="F125" s="6" t="inlineStr">
        <is>
          <t>Kulüp tanıtım günü. Kırk masa, kırk broşür, kırk ayrı 'Sadece bir toplantıya gel'.</t>
        </is>
      </c>
      <c r="G125" s="5" t="inlineStr">
        <is>
          <t>universite</t>
        </is>
      </c>
      <c r="H125" s="5" t="inlineStr"/>
      <c r="I125" s="5" t="inlineStr"/>
      <c r="J125" s="5" t="inlineStr"/>
      <c r="K125" s="5" t="inlineStr">
        <is>
          <t>universiteli</t>
        </is>
      </c>
      <c r="L125" s="5" t="inlineStr"/>
      <c r="M125" s="5" t="inlineStr"/>
      <c r="N125" s="5" t="inlineStr"/>
      <c r="O125" s="5" t="inlineStr"/>
      <c r="P125" s="5" t="inlineStr"/>
      <c r="Q125" s="5" t="inlineStr"/>
      <c r="R125" s="6" t="inlineStr"/>
      <c r="S125" s="5" t="inlineStr"/>
      <c r="T125" s="5" t="inlineStr"/>
      <c r="U125" s="5" t="inlineStr"/>
      <c r="V125" s="5" t="inlineStr"/>
    </row>
    <row r="126">
      <c r="A126" s="5" t="inlineStr">
        <is>
          <t>b6-gece-motor</t>
        </is>
      </c>
      <c r="B126" s="5" t="n">
        <v>6</v>
      </c>
      <c r="C126" s="5" t="inlineStr">
        <is>
          <t>19 yaş 11 ay</t>
        </is>
      </c>
      <c r="D126" s="5" t="inlineStr">
        <is>
          <t>🏍️</t>
        </is>
      </c>
      <c r="E126" s="6" t="inlineStr">
        <is>
          <t>Sahil Yolu, Gece Yarısı</t>
        </is>
      </c>
      <c r="F126" s="6" t="inlineStr">
        <is>
          <t>Gece yarısı sahil yolu. Arkadaşın ikinci el motosikletini gösteriyor: 'Sadece bir tur. Kim önce köprüye?'</t>
        </is>
      </c>
      <c r="G126" s="5" t="inlineStr">
        <is>
          <t>sahil</t>
        </is>
      </c>
      <c r="H126" s="5" t="inlineStr"/>
      <c r="I126" s="5" t="inlineStr"/>
      <c r="J126" s="5" t="inlineStr"/>
      <c r="K126" s="5" t="inlineStr"/>
      <c r="L126" s="5" t="inlineStr"/>
      <c r="M126" s="5" t="inlineStr"/>
      <c r="N126" s="5" t="inlineStr"/>
      <c r="O126" s="5" t="inlineStr"/>
      <c r="P126" s="5" t="inlineStr"/>
      <c r="Q126" s="5" t="inlineStr"/>
      <c r="R126" s="6" t="inlineStr"/>
      <c r="S126" s="5" t="inlineStr"/>
      <c r="T126" s="5" t="inlineStr"/>
      <c r="U126" s="5" t="inlineStr"/>
      <c r="V126" s="5" t="inlineStr"/>
    </row>
    <row r="127">
      <c r="A127" s="5" t="inlineStr">
        <is>
          <t>b6-gece-vardiyasi</t>
        </is>
      </c>
      <c r="B127" s="5" t="n">
        <v>6</v>
      </c>
      <c r="C127" s="5" t="inlineStr">
        <is>
          <t>20 yaş 1 ay</t>
        </is>
      </c>
      <c r="D127" s="5" t="inlineStr">
        <is>
          <t>🌙</t>
        </is>
      </c>
      <c r="E127" s="6" t="inlineStr">
        <is>
          <t>Gece Vardiyası</t>
        </is>
      </c>
      <c r="F127" s="6" t="inlineStr">
        <is>
          <t>Gece vardiyası başladı. Saat üçte gelen müşteriler iki türdür: ekmek arayanlar ve anlam arayanlar.</t>
        </is>
      </c>
      <c r="G127" s="5" t="inlineStr">
        <is>
          <t>market</t>
        </is>
      </c>
      <c r="H127" s="5" t="inlineStr"/>
      <c r="I127" s="5" t="inlineStr"/>
      <c r="J127" s="5" t="inlineStr"/>
      <c r="K127" s="5" t="inlineStr">
        <is>
          <t>universitesiz</t>
        </is>
      </c>
      <c r="L127" s="5" t="inlineStr"/>
      <c r="M127" s="5" t="inlineStr"/>
      <c r="N127" s="5" t="inlineStr"/>
      <c r="O127" s="5" t="inlineStr"/>
      <c r="P127" s="5" t="inlineStr"/>
      <c r="Q127" s="5" t="inlineStr"/>
      <c r="R127" s="6" t="inlineStr"/>
      <c r="S127" s="5" t="inlineStr"/>
      <c r="T127" s="5" t="inlineStr"/>
      <c r="U127" s="5" t="inlineStr"/>
      <c r="V127" s="5" t="inlineStr"/>
    </row>
    <row r="128">
      <c r="A128" s="5" t="inlineStr">
        <is>
          <t>b6-kiralik-ev</t>
        </is>
      </c>
      <c r="B128" s="5" t="n">
        <v>6</v>
      </c>
      <c r="C128" s="5" t="inlineStr">
        <is>
          <t>21 yaş 10 ay</t>
        </is>
      </c>
      <c r="D128" s="5" t="inlineStr">
        <is>
          <t>🏠</t>
        </is>
      </c>
      <c r="E128" s="6" t="inlineStr">
        <is>
          <t>İlk Kiralık Ev</t>
        </is>
      </c>
      <c r="F128" s="6" t="inlineStr">
        <is>
          <t>İlanda 'ferah, aydınlık, ulaşıma yakın' yazıyordu. Gerçekte: dar, loş, ileride durak yapılacak bir arsaya yakın.</t>
        </is>
      </c>
      <c r="G128" s="5" t="inlineStr">
        <is>
          <t>apartman</t>
        </is>
      </c>
      <c r="H128" s="5" t="inlineStr"/>
      <c r="I128" s="5" t="inlineStr"/>
      <c r="J128" s="5" t="inlineStr"/>
      <c r="K128" s="5" t="inlineStr">
        <is>
          <t>kiraci</t>
        </is>
      </c>
      <c r="L128" s="5" t="inlineStr"/>
      <c r="M128" s="5" t="inlineStr"/>
      <c r="N128" s="5" t="inlineStr"/>
      <c r="O128" s="5" t="inlineStr"/>
      <c r="P128" s="5" t="inlineStr"/>
      <c r="Q128" s="5" t="inlineStr"/>
      <c r="R128" s="6" t="inlineStr"/>
      <c r="S128" s="5" t="inlineStr"/>
      <c r="T128" s="5" t="inlineStr"/>
      <c r="U128" s="5" t="inlineStr"/>
      <c r="V128" s="5" t="inlineStr"/>
    </row>
    <row r="129">
      <c r="A129" s="5" t="inlineStr">
        <is>
          <t>b6-tasinma</t>
        </is>
      </c>
      <c r="B129" s="5" t="n">
        <v>6</v>
      </c>
      <c r="C129" s="5" t="inlineStr">
        <is>
          <t>21 yaş 11 ay</t>
        </is>
      </c>
      <c r="D129" s="5" t="inlineStr">
        <is>
          <t>📦</t>
        </is>
      </c>
      <c r="E129" s="6" t="inlineStr">
        <is>
          <t>Taşınma Günü</t>
        </is>
      </c>
      <c r="F129" s="6" t="inlineStr">
        <is>
          <t>Taşınma günü. Asansör yok, dördüncü kat, bir buzdolabı ve saat birde gelmesi gerekirken üçte 'Yoldayım' yazan arkadaşlar.</t>
        </is>
      </c>
      <c r="G129" s="5" t="inlineStr">
        <is>
          <t>apartman</t>
        </is>
      </c>
      <c r="H129" s="5" t="inlineStr"/>
      <c r="I129" s="5" t="inlineStr"/>
      <c r="J129" s="5" t="inlineStr"/>
      <c r="K129" s="5" t="inlineStr"/>
      <c r="L129" s="5" t="inlineStr"/>
      <c r="M129" s="5" t="inlineStr"/>
      <c r="N129" s="5" t="inlineStr"/>
      <c r="O129" s="5" t="inlineStr"/>
      <c r="P129" s="5" t="inlineStr"/>
      <c r="Q129" s="5" t="inlineStr"/>
      <c r="R129" s="6" t="inlineStr"/>
      <c r="S129" s="5" t="inlineStr"/>
      <c r="T129" s="5" t="inlineStr"/>
      <c r="U129" s="5" t="inlineStr">
        <is>
          <t>kiraci, ev-arkadasli, aile-dairesi</t>
        </is>
      </c>
      <c r="V129" s="5" t="inlineStr"/>
    </row>
    <row r="130">
      <c r="A130" s="5" t="inlineStr">
        <is>
          <t>b6-ev-arkadasi</t>
        </is>
      </c>
      <c r="B130" s="5" t="n">
        <v>6</v>
      </c>
      <c r="C130" s="5" t="inlineStr">
        <is>
          <t>22 yaş 2 ay</t>
        </is>
      </c>
      <c r="D130" s="5" t="inlineStr">
        <is>
          <t>🧽</t>
        </is>
      </c>
      <c r="E130" s="6" t="inlineStr">
        <is>
          <t>Ev Arkadaşı</t>
        </is>
      </c>
      <c r="F130" s="6" t="inlineStr">
        <is>
          <t>Ev arkadaşın harika biri. Tek sorun: bulaşık. Lavabodaki tabak kulesi kendi site yönetimini kurmak üzere.</t>
        </is>
      </c>
      <c r="G130" s="5" t="inlineStr">
        <is>
          <t>ev</t>
        </is>
      </c>
      <c r="H130" s="5" t="inlineStr"/>
      <c r="I130" s="5" t="inlineStr"/>
      <c r="J130" s="5" t="inlineStr"/>
      <c r="K130" s="5" t="inlineStr">
        <is>
          <t>ev-arkadasli</t>
        </is>
      </c>
      <c r="L130" s="5" t="inlineStr"/>
      <c r="M130" s="5" t="inlineStr"/>
      <c r="N130" s="5" t="inlineStr"/>
      <c r="O130" s="5" t="inlineStr"/>
      <c r="P130" s="5" t="inlineStr"/>
      <c r="Q130" s="5" t="inlineStr"/>
      <c r="R130" s="6" t="inlineStr"/>
      <c r="S130" s="5" t="inlineStr"/>
      <c r="T130" s="5" t="inlineStr"/>
      <c r="U130" s="5" t="inlineStr"/>
      <c r="V130" s="5" t="inlineStr"/>
    </row>
    <row r="131">
      <c r="A131" s="5" t="inlineStr">
        <is>
          <t>b6-staj</t>
        </is>
      </c>
      <c r="B131" s="5" t="n">
        <v>6</v>
      </c>
      <c r="C131" s="5" t="inlineStr">
        <is>
          <t>20 yaş 7 ay</t>
        </is>
      </c>
      <c r="D131" s="5" t="inlineStr">
        <is>
          <t>🗂️</t>
        </is>
      </c>
      <c r="E131" s="6" t="inlineStr">
        <is>
          <t>Zorunlu Staj</t>
        </is>
      </c>
      <c r="F131" s="6" t="inlineStr">
        <is>
          <t>Staj başladı. İlk gün bir masa, bir şifre ve 'Şimdilik etrafı izle' talimatı verildi. Şimdilik üç hafta sürdü.</t>
        </is>
      </c>
      <c r="G131" s="5" t="inlineStr">
        <is>
          <t>ofis</t>
        </is>
      </c>
      <c r="H131" s="5" t="inlineStr"/>
      <c r="I131" s="5" t="inlineStr"/>
      <c r="J131" s="5" t="inlineStr"/>
      <c r="K131" s="5" t="inlineStr">
        <is>
          <t>universiteli</t>
        </is>
      </c>
      <c r="L131" s="5" t="inlineStr"/>
      <c r="M131" s="5" t="inlineStr"/>
      <c r="N131" s="5" t="inlineStr"/>
      <c r="O131" s="5" t="inlineStr"/>
      <c r="P131" s="5" t="inlineStr"/>
      <c r="Q131" s="5" t="inlineStr"/>
      <c r="R131" s="6" t="inlineStr"/>
      <c r="S131" s="5" t="inlineStr"/>
      <c r="T131" s="5" t="inlineStr"/>
      <c r="U131" s="5" t="inlineStr"/>
      <c r="V131" s="5" t="inlineStr"/>
    </row>
    <row r="132">
      <c r="A132" s="5" t="inlineStr">
        <is>
          <t>b6-spor-salonu</t>
        </is>
      </c>
      <c r="B132" s="5" t="n">
        <v>6</v>
      </c>
      <c r="C132" s="5" t="inlineStr">
        <is>
          <t>21 yaş</t>
        </is>
      </c>
      <c r="D132" s="5" t="inlineStr">
        <is>
          <t>🏋️</t>
        </is>
      </c>
      <c r="E132" s="6" t="inlineStr">
        <is>
          <t>Yıllık Üyelik</t>
        </is>
      </c>
      <c r="F132" s="6" t="inlineStr">
        <is>
          <t>Spor salonu kampanyası: aylık fiyatın yarısına bir yıl. Gelecekteki kendine güvendin. O hâlâ gelmedi.</t>
        </is>
      </c>
      <c r="G132" s="5" t="inlineStr">
        <is>
          <t>carsi</t>
        </is>
      </c>
      <c r="H132" s="5" t="inlineStr"/>
      <c r="I132" s="5" t="inlineStr"/>
      <c r="J132" s="5" t="inlineStr"/>
      <c r="K132" s="5" t="inlineStr"/>
      <c r="L132" s="5" t="inlineStr"/>
      <c r="M132" s="5" t="inlineStr"/>
      <c r="N132" s="5" t="inlineStr"/>
      <c r="O132" s="5" t="inlineStr"/>
      <c r="P132" s="5" t="inlineStr"/>
      <c r="Q132" s="5" t="inlineStr"/>
      <c r="R132" s="6" t="inlineStr"/>
      <c r="S132" s="5" t="inlineStr"/>
      <c r="T132" s="5" t="inlineStr"/>
      <c r="U132" s="5" t="inlineStr"/>
      <c r="V132" s="5" t="inlineStr"/>
    </row>
    <row r="133">
      <c r="A133" s="5" t="inlineStr">
        <is>
          <t>b6-degisim-programi</t>
        </is>
      </c>
      <c r="B133" s="5" t="n">
        <v>6</v>
      </c>
      <c r="C133" s="5" t="inlineStr">
        <is>
          <t>21 yaş 2 ay</t>
        </is>
      </c>
      <c r="D133" s="5" t="inlineStr">
        <is>
          <t>✈️</t>
        </is>
      </c>
      <c r="E133" s="6" t="inlineStr">
        <is>
          <t>Değişim Programı</t>
        </is>
      </c>
      <c r="F133" s="6" t="inlineStr">
        <is>
          <t>Yurt dışı değişim programı ilanı çıktı. Bir dönem başka bir ülke. Başvuru formu sekiz sayfa, burs yarım maaş.</t>
        </is>
      </c>
      <c r="G133" s="5" t="inlineStr">
        <is>
          <t>universite</t>
        </is>
      </c>
      <c r="H133" s="5" t="inlineStr"/>
      <c r="I133" s="5" t="inlineStr"/>
      <c r="J133" s="5" t="inlineStr"/>
      <c r="K133" s="5" t="inlineStr">
        <is>
          <t>universiteli</t>
        </is>
      </c>
      <c r="L133" s="5" t="inlineStr"/>
      <c r="M133" s="5" t="inlineStr"/>
      <c r="N133" s="5" t="inlineStr"/>
      <c r="O133" s="5" t="inlineStr"/>
      <c r="P133" s="5" t="inlineStr"/>
      <c r="Q133" s="5" t="inlineStr"/>
      <c r="R133" s="6" t="inlineStr"/>
      <c r="S133" s="5" t="inlineStr"/>
      <c r="T133" s="5" t="inlineStr"/>
      <c r="U133" s="5" t="inlineStr"/>
      <c r="V133" s="5" t="inlineStr"/>
    </row>
    <row r="134">
      <c r="A134" s="5" t="inlineStr">
        <is>
          <t>b6-askerlik</t>
        </is>
      </c>
      <c r="B134" s="5" t="n">
        <v>6</v>
      </c>
      <c r="C134" s="5" t="inlineStr">
        <is>
          <t>20 yaş 3 ay</t>
        </is>
      </c>
      <c r="D134" s="5" t="inlineStr">
        <is>
          <t>🪖</t>
        </is>
      </c>
      <c r="E134" s="6" t="inlineStr">
        <is>
          <t>Celp Kâğıdı</t>
        </is>
      </c>
      <c r="F134" s="6" t="inlineStr">
        <is>
          <t>Posta kutusunda resmî bir zarf var. Annen zarfı ışığa tutup okudu, sonra ağladı, sonra “Saçını ben keserim” dedi. Mahallede üç yol konuşuluyor: gitmek, ödemek, bir de heyet.</t>
        </is>
      </c>
      <c r="G134" s="5" t="inlineStr">
        <is>
          <t>kisla</t>
        </is>
      </c>
      <c r="H134" s="5" t="inlineStr"/>
      <c r="I134" s="5" t="inlineStr">
        <is>
          <t>E</t>
        </is>
      </c>
      <c r="J134" s="5" t="inlineStr"/>
      <c r="K134" s="5" t="inlineStr">
        <is>
          <t>universitesiz</t>
        </is>
      </c>
      <c r="L134" s="5" t="inlineStr">
        <is>
          <t>erken-askerlik</t>
        </is>
      </c>
      <c r="M134" s="5" t="inlineStr"/>
      <c r="N134" s="5" t="inlineStr">
        <is>
          <t>erkek</t>
        </is>
      </c>
      <c r="O134" s="5" t="inlineStr"/>
      <c r="P134" s="5" t="inlineStr"/>
      <c r="Q134" s="5" t="n">
        <v>4</v>
      </c>
      <c r="R134" s="6" t="inlineStr">
        <is>
          <t>Celp kâğıdı geldi. Kimi kışlaya gider, kimi bankaya, kimi de heyete bir hikâye anlatır. Hangisinden döndüğün, sonraki yıllarda sofrada anlatacağın hikâyeyi belirler.</t>
        </is>
      </c>
      <c r="S134" s="5" t="inlineStr"/>
      <c r="T134" s="5" t="inlineStr"/>
      <c r="U134" s="5" t="inlineStr"/>
      <c r="V134" s="5" t="inlineStr"/>
    </row>
    <row r="135">
      <c r="A135" s="5" t="inlineStr">
        <is>
          <t>b6-okusaydin</t>
        </is>
      </c>
      <c r="B135" s="5" t="n">
        <v>6</v>
      </c>
      <c r="C135" s="5" t="inlineStr">
        <is>
          <t>21 yaş 5 ay</t>
        </is>
      </c>
      <c r="D135" s="5" t="inlineStr">
        <is>
          <t>👵</t>
        </is>
      </c>
      <c r="E135" s="6" t="inlineStr">
        <is>
          <t>Okusaydın Keşke</t>
        </is>
      </c>
      <c r="F135" s="6" t="inlineStr">
        <is>
          <t>Kuzenin düğünü. Masada dört akraba, dört ayrı cümle, tek anlam: 'Okusaydın keşke.'</t>
        </is>
      </c>
      <c r="G135" s="5" t="inlineStr">
        <is>
          <t>dugun-salonu</t>
        </is>
      </c>
      <c r="H135" s="5" t="inlineStr">
        <is>
          <t>sosyal</t>
        </is>
      </c>
      <c r="I135" s="5" t="inlineStr"/>
      <c r="J135" s="5" t="inlineStr"/>
      <c r="K135" s="5" t="inlineStr">
        <is>
          <t>universitesiz</t>
        </is>
      </c>
      <c r="L135" s="5" t="inlineStr"/>
      <c r="M135" s="5" t="inlineStr"/>
      <c r="N135" s="5" t="inlineStr"/>
      <c r="O135" s="5" t="inlineStr"/>
      <c r="P135" s="5" t="inlineStr"/>
      <c r="Q135" s="5" t="inlineStr"/>
      <c r="R135" s="6" t="inlineStr"/>
      <c r="S135" s="5" t="inlineStr"/>
      <c r="T135" s="5" t="inlineStr"/>
      <c r="U135" s="5" t="inlineStr"/>
      <c r="V135" s="5" t="inlineStr"/>
    </row>
    <row r="136">
      <c r="A136" s="5" t="inlineStr">
        <is>
          <t>b6-mezuniyet</t>
        </is>
      </c>
      <c r="B136" s="5" t="n">
        <v>6</v>
      </c>
      <c r="C136" s="5" t="inlineStr">
        <is>
          <t>21 yaş 11 ay</t>
        </is>
      </c>
      <c r="D136" s="5" t="inlineStr">
        <is>
          <t>🎓</t>
        </is>
      </c>
      <c r="E136" s="6" t="inlineStr">
        <is>
          <t>Mezuniyet Töreni</t>
        </is>
      </c>
      <c r="F136" s="6" t="inlineStr">
        <is>
          <t>Mezuniyet. Kep havaya atılacak, kılıf boş verilecek, asıl diplomayı üç hafta sonra bir memurdan alacaksın.</t>
        </is>
      </c>
      <c r="G136" s="5" t="inlineStr">
        <is>
          <t>universite</t>
        </is>
      </c>
      <c r="H136" s="5" t="inlineStr"/>
      <c r="I136" s="5" t="inlineStr"/>
      <c r="J136" s="5" t="inlineStr"/>
      <c r="K136" s="5" t="inlineStr">
        <is>
          <t>universiteli</t>
        </is>
      </c>
      <c r="L136" s="5" t="inlineStr"/>
      <c r="M136" s="5" t="inlineStr"/>
      <c r="N136" s="5" t="inlineStr"/>
      <c r="O136" s="5" t="inlineStr"/>
      <c r="P136" s="5" t="inlineStr"/>
      <c r="Q136" s="5" t="inlineStr"/>
      <c r="R136" s="6" t="inlineStr"/>
      <c r="S136" s="5" t="inlineStr"/>
      <c r="T136" s="5" t="inlineStr"/>
      <c r="U136" s="5" t="inlineStr"/>
      <c r="V136" s="5" t="inlineStr"/>
    </row>
    <row r="137">
      <c r="A137" s="5" t="inlineStr">
        <is>
          <t>b6-meslek-secimi</t>
        </is>
      </c>
      <c r="B137" s="5" t="n">
        <v>6</v>
      </c>
      <c r="C137" s="5" t="inlineStr">
        <is>
          <t>22 yaş</t>
        </is>
      </c>
      <c r="D137" s="5" t="inlineStr">
        <is>
          <t>🧭</t>
        </is>
      </c>
      <c r="E137" s="6" t="inlineStr">
        <is>
          <t>Hayat Yolu</t>
        </is>
      </c>
      <c r="F137" s="6" t="inlineStr">
        <is>
          <t>Diploma çerçevede. Aile masasında dört öneri var ve herkes kendi önerisinin “en garanti” olduğundan emin. Kuzen de bir öneri getirdi; kimse sormadı.</t>
        </is>
      </c>
      <c r="G137" s="5" t="inlineStr">
        <is>
          <t>ev</t>
        </is>
      </c>
      <c r="H137" s="5" t="inlineStr">
        <is>
          <t>okul-iş</t>
        </is>
      </c>
      <c r="I137" s="5" t="inlineStr">
        <is>
          <t>E</t>
        </is>
      </c>
      <c r="J137" s="5" t="inlineStr"/>
      <c r="K137" s="5" t="inlineStr">
        <is>
          <t>universiteli</t>
        </is>
      </c>
      <c r="L137" s="5" t="inlineStr">
        <is>
          <t>bolum-tip</t>
        </is>
      </c>
      <c r="M137" s="5" t="inlineStr"/>
      <c r="N137" s="5" t="inlineStr"/>
      <c r="O137" s="5" t="inlineStr"/>
      <c r="P137" s="5" t="inlineStr"/>
      <c r="Q137" s="5" t="n">
        <v>6</v>
      </c>
      <c r="R137" s="6" t="inlineStr">
        <is>
          <t>Diploman bir kapı açtı, önünde birkaç koridor var. Hangisine girersen gir, bir sonraki on beş yılın büyük kısmı o koridorda geçecek.</t>
        </is>
      </c>
      <c r="S137" s="5" t="inlineStr"/>
      <c r="T137" s="5" t="inlineStr"/>
      <c r="U137" s="5" t="inlineStr"/>
      <c r="V137" s="5" t="inlineStr"/>
    </row>
    <row r="138">
      <c r="A138" s="5" t="inlineStr">
        <is>
          <t>b6-flort-uygulamasi</t>
        </is>
      </c>
      <c r="B138" s="5" t="n">
        <v>6</v>
      </c>
      <c r="C138" s="5" t="inlineStr">
        <is>
          <t>22 yaş 1 ay</t>
        </is>
      </c>
      <c r="D138" s="5" t="inlineStr">
        <is>
          <t>📱</t>
        </is>
      </c>
      <c r="E138" s="6" t="inlineStr">
        <is>
          <t>Flört Uygulaması</t>
        </is>
      </c>
      <c r="F138" s="6" t="inlineStr">
        <is>
          <t>Arkadaşların seni bir flört uygulamasına kaydetti. Profil fotoğrafı lazım. Seçenekler: bulanık, eski, kuzenli.</t>
        </is>
      </c>
      <c r="G138" s="5" t="inlineStr">
        <is>
          <t>kafe</t>
        </is>
      </c>
      <c r="H138" s="5" t="inlineStr"/>
      <c r="I138" s="5" t="inlineStr"/>
      <c r="J138" s="5" t="inlineStr"/>
      <c r="K138" s="5" t="inlineStr"/>
      <c r="L138" s="5" t="inlineStr"/>
      <c r="M138" s="5" t="inlineStr"/>
      <c r="N138" s="5" t="inlineStr"/>
      <c r="O138" s="5" t="inlineStr"/>
      <c r="P138" s="5" t="inlineStr"/>
      <c r="Q138" s="5" t="inlineStr"/>
      <c r="R138" s="6" t="inlineStr"/>
      <c r="S138" s="5" t="inlineStr"/>
      <c r="T138" s="5" t="inlineStr"/>
      <c r="U138" s="5" t="inlineStr"/>
      <c r="V138" s="5" t="inlineStr"/>
    </row>
    <row r="139">
      <c r="A139" s="5" t="inlineStr">
        <is>
          <t>b6-kamp-atesi</t>
        </is>
      </c>
      <c r="B139" s="5" t="n">
        <v>6</v>
      </c>
      <c r="C139" s="5" t="inlineStr">
        <is>
          <t>22 yaş 4 ay</t>
        </is>
      </c>
      <c r="D139" s="5" t="inlineStr">
        <is>
          <t>🔥</t>
        </is>
      </c>
      <c r="E139" s="6" t="inlineStr">
        <is>
          <t>Kesin Güvenli</t>
        </is>
      </c>
      <c r="F139" s="6" t="inlineStr">
        <is>
          <t>Sahilde kamp. Biri odun topladı, biri çadır kurdu, biri 'Ben bu işi bilirim, kesin güvenli' dedi. Bu cümle hep aynı kişiden çıkar.</t>
        </is>
      </c>
      <c r="G139" s="5" t="inlineStr">
        <is>
          <t>sahil</t>
        </is>
      </c>
      <c r="H139" s="5" t="inlineStr"/>
      <c r="I139" s="5" t="inlineStr"/>
      <c r="J139" s="5" t="inlineStr"/>
      <c r="K139" s="5" t="inlineStr"/>
      <c r="L139" s="5" t="inlineStr"/>
      <c r="M139" s="5" t="inlineStr"/>
      <c r="N139" s="5" t="inlineStr"/>
      <c r="O139" s="5" t="inlineStr"/>
      <c r="P139" s="5" t="inlineStr"/>
      <c r="Q139" s="5" t="inlineStr"/>
      <c r="R139" s="6" t="inlineStr"/>
      <c r="S139" s="5" t="inlineStr"/>
      <c r="T139" s="5" t="inlineStr"/>
      <c r="U139" s="5" t="inlineStr"/>
      <c r="V139" s="5" t="inlineStr"/>
    </row>
    <row r="140">
      <c r="A140" s="5" t="inlineStr">
        <is>
          <t>mb-ilk-gun-karti</t>
        </is>
      </c>
      <c r="B140" s="5" t="n">
        <v>6</v>
      </c>
      <c r="C140" s="5" t="inlineStr">
        <is>
          <t>22 yaş 6 ay</t>
        </is>
      </c>
      <c r="D140" s="5" t="inlineStr">
        <is>
          <t>🪪</t>
        </is>
      </c>
      <c r="E140" s="6" t="inlineStr">
        <is>
          <t>İlk İş Günü</t>
        </is>
      </c>
      <c r="F140" s="6" t="inlineStr">
        <is>
          <t>İlk iş günün. Erişim kartın henüz tanımlanmadı. Turnike seni tanımıyor. Güvenlik de. Yeni ekibin de, henüz.</t>
        </is>
      </c>
      <c r="G140" s="5" t="inlineStr">
        <is>
          <t>ofis</t>
        </is>
      </c>
      <c r="H140" s="5" t="inlineStr"/>
      <c r="I140" s="5" t="inlineStr"/>
      <c r="J140" s="5" t="n">
        <v>1</v>
      </c>
      <c r="K140" s="5" t="inlineStr">
        <is>
          <t>meslek-beyazyaka</t>
        </is>
      </c>
      <c r="L140" s="5" t="inlineStr"/>
      <c r="M140" s="5" t="inlineStr"/>
      <c r="N140" s="5" t="inlineStr"/>
      <c r="O140" s="5" t="inlineStr"/>
      <c r="P140" s="5" t="inlineStr"/>
      <c r="Q140" s="5" t="inlineStr"/>
      <c r="R140" s="6" t="inlineStr"/>
      <c r="S140" s="5" t="inlineStr"/>
      <c r="T140" s="5" t="inlineStr"/>
      <c r="U140" s="5" t="inlineStr"/>
      <c r="V140" s="5" t="inlineStr"/>
    </row>
    <row r="141">
      <c r="A141" s="5" t="inlineStr">
        <is>
          <t>me-dukkan-acilisi</t>
        </is>
      </c>
      <c r="B141" s="5" t="n">
        <v>6</v>
      </c>
      <c r="C141" s="5" t="inlineStr">
        <is>
          <t>22 yaş 6 ay</t>
        </is>
      </c>
      <c r="D141" s="5" t="inlineStr">
        <is>
          <t>🏪</t>
        </is>
      </c>
      <c r="E141" s="6" t="inlineStr">
        <is>
          <t>Kepenk Açılıyor</t>
        </is>
      </c>
      <c r="F141" s="6" t="inlineStr">
        <is>
          <t>Dükkânın kepengi ilk kez kalktı. Raflar dolu, kasada bozuk para var, kapıda ilk müşteri bekliyor: sokak kedisi.</t>
        </is>
      </c>
      <c r="G141" s="5" t="inlineStr">
        <is>
          <t>dukkan</t>
        </is>
      </c>
      <c r="H141" s="5" t="inlineStr"/>
      <c r="I141" s="5" t="inlineStr">
        <is>
          <t>E</t>
        </is>
      </c>
      <c r="J141" s="5" t="inlineStr"/>
      <c r="K141" s="5" t="inlineStr">
        <is>
          <t>meslek-esnaf</t>
        </is>
      </c>
      <c r="L141" s="5" t="inlineStr">
        <is>
          <t>hat-koy</t>
        </is>
      </c>
      <c r="M141" s="5" t="inlineStr"/>
      <c r="N141" s="5" t="inlineStr"/>
      <c r="O141" s="5" t="inlineStr"/>
      <c r="P141" s="5" t="inlineStr"/>
      <c r="Q141" s="5" t="inlineStr"/>
      <c r="R141" s="6" t="inlineStr"/>
      <c r="S141" s="5" t="inlineStr"/>
      <c r="T141" s="5" t="inlineStr"/>
      <c r="U141" s="5" t="inlineStr"/>
      <c r="V141" s="5" t="inlineStr"/>
    </row>
    <row r="142">
      <c r="A142" s="5" t="inlineStr">
        <is>
          <t>mm-ilk-atama</t>
        </is>
      </c>
      <c r="B142" s="5" t="n">
        <v>6</v>
      </c>
      <c r="C142" s="5" t="inlineStr">
        <is>
          <t>22 yaş 6 ay</t>
        </is>
      </c>
      <c r="D142" s="5" t="inlineStr">
        <is>
          <t>🚌</t>
        </is>
      </c>
      <c r="E142" s="6" t="inlineStr">
        <is>
          <t>İlk Atama</t>
        </is>
      </c>
      <c r="F142" s="6" t="inlineStr">
        <is>
          <t>Atama sonucu açıklandı. Görev yerin, haritada üç kez yakınlaştırınca çıkan bir kasaba. Otobüs haftada iki gün.</t>
        </is>
      </c>
      <c r="G142" s="5" t="inlineStr">
        <is>
          <t>devlet-dairesi</t>
        </is>
      </c>
      <c r="H142" s="5" t="inlineStr"/>
      <c r="I142" s="5" t="inlineStr">
        <is>
          <t>E</t>
        </is>
      </c>
      <c r="J142" s="5" t="inlineStr"/>
      <c r="K142" s="5" t="inlineStr">
        <is>
          <t>meslek-memur</t>
        </is>
      </c>
      <c r="L142" s="5" t="inlineStr"/>
      <c r="M142" s="5" t="inlineStr"/>
      <c r="N142" s="5" t="inlineStr"/>
      <c r="O142" s="5" t="inlineStr"/>
      <c r="P142" s="5" t="inlineStr"/>
      <c r="Q142" s="5" t="inlineStr"/>
      <c r="R142" s="6" t="inlineStr"/>
      <c r="S142" s="5" t="inlineStr"/>
      <c r="T142" s="5" t="inlineStr"/>
      <c r="U142" s="5" t="inlineStr"/>
      <c r="V142" s="5" t="inlineStr"/>
    </row>
    <row r="143">
      <c r="A143" s="5" t="inlineStr">
        <is>
          <t>ms-ilk-musteri</t>
        </is>
      </c>
      <c r="B143" s="5" t="n">
        <v>6</v>
      </c>
      <c r="C143" s="5" t="inlineStr">
        <is>
          <t>22 yaş 8 ay</t>
        </is>
      </c>
      <c r="D143" s="5" t="inlineStr">
        <is>
          <t>☕</t>
        </is>
      </c>
      <c r="E143" s="6" t="inlineStr">
        <is>
          <t>İlk Müşteri</t>
        </is>
      </c>
      <c r="F143" s="6" t="inlineStr">
        <is>
          <t>İlk müşterin kafede buluşmak istedi. İşi uzun uzun anlattı, bütçeyi hiç anlatmadı. Sonra sordu: 'Siz ne kadar istersiniz?'</t>
        </is>
      </c>
      <c r="G143" s="5" t="inlineStr">
        <is>
          <t>kafe</t>
        </is>
      </c>
      <c r="H143" s="5" t="inlineStr"/>
      <c r="I143" s="5" t="inlineStr"/>
      <c r="J143" s="5" t="n">
        <v>1</v>
      </c>
      <c r="K143" s="5" t="inlineStr">
        <is>
          <t>meslek-serbest</t>
        </is>
      </c>
      <c r="L143" s="5" t="inlineStr"/>
      <c r="M143" s="5" t="inlineStr"/>
      <c r="N143" s="5" t="inlineStr"/>
      <c r="O143" s="5" t="inlineStr"/>
      <c r="P143" s="5" t="inlineStr"/>
      <c r="Q143" s="5" t="inlineStr"/>
      <c r="R143" s="6" t="inlineStr"/>
      <c r="S143" s="5" t="inlineStr"/>
      <c r="T143" s="5" t="inlineStr"/>
      <c r="U143" s="5" t="inlineStr"/>
      <c r="V143" s="5" t="inlineStr"/>
    </row>
    <row r="144">
      <c r="A144" s="5" t="inlineStr">
        <is>
          <t>b6-is-gorusmesi</t>
        </is>
      </c>
      <c r="B144" s="5" t="n">
        <v>6</v>
      </c>
      <c r="C144" s="5" t="inlineStr">
        <is>
          <t>23 yaş 2 ay</t>
        </is>
      </c>
      <c r="D144" s="5" t="inlineStr">
        <is>
          <t>🤝</t>
        </is>
      </c>
      <c r="E144" s="6" t="inlineStr">
        <is>
          <t>İş Görüşmesi</t>
        </is>
      </c>
      <c r="F144" s="6" t="inlineStr">
        <is>
          <t>Karşında üç kişi, önünde bir bardak su ve cevabı hiç bilinmeyen soru: 'Kendinizi beş yıl sonra nerede görüyorsunuz?'</t>
        </is>
      </c>
      <c r="G144" s="5" t="inlineStr">
        <is>
          <t>ofis</t>
        </is>
      </c>
      <c r="H144" s="5" t="inlineStr"/>
      <c r="I144" s="5" t="inlineStr"/>
      <c r="J144" s="5" t="inlineStr"/>
      <c r="K144" s="5" t="inlineStr"/>
      <c r="L144" s="5" t="inlineStr"/>
      <c r="M144" s="5" t="inlineStr"/>
      <c r="N144" s="5" t="inlineStr"/>
      <c r="O144" s="5" t="inlineStr"/>
      <c r="P144" s="5" t="inlineStr"/>
      <c r="Q144" s="5" t="inlineStr"/>
      <c r="R144" s="6" t="inlineStr"/>
      <c r="S144" s="5" t="inlineStr"/>
      <c r="T144" s="5" t="inlineStr"/>
      <c r="U144" s="5" t="inlineStr">
        <is>
          <t>meslek-beyazyaka</t>
        </is>
      </c>
      <c r="V144" s="5" t="inlineStr"/>
    </row>
    <row r="145">
      <c r="A145" s="5" t="inlineStr">
        <is>
          <t>mb-acik-ofis</t>
        </is>
      </c>
      <c r="B145" s="5" t="n">
        <v>6</v>
      </c>
      <c r="C145" s="5" t="inlineStr">
        <is>
          <t>23 yaş 6 ay</t>
        </is>
      </c>
      <c r="D145" s="5" t="inlineStr">
        <is>
          <t>🪑</t>
        </is>
      </c>
      <c r="E145" s="6" t="inlineStr">
        <is>
          <t>Açık Ofis</t>
        </is>
      </c>
      <c r="F145" s="6" t="inlineStr">
        <is>
          <t>İletişimi güçlendirmek için bütün duvarlar kaldırıldı. Artık herkes kulaklık takıyor.</t>
        </is>
      </c>
      <c r="G145" s="5" t="inlineStr">
        <is>
          <t>ofis</t>
        </is>
      </c>
      <c r="H145" s="5" t="inlineStr"/>
      <c r="I145" s="5" t="inlineStr"/>
      <c r="J145" s="5" t="n">
        <v>1</v>
      </c>
      <c r="K145" s="5" t="inlineStr">
        <is>
          <t>meslek-beyazyaka</t>
        </is>
      </c>
      <c r="L145" s="5" t="inlineStr"/>
      <c r="M145" s="5" t="inlineStr"/>
      <c r="N145" s="5" t="inlineStr"/>
      <c r="O145" s="5" t="inlineStr"/>
      <c r="P145" s="5" t="inlineStr"/>
      <c r="Q145" s="5" t="inlineStr"/>
      <c r="R145" s="6" t="inlineStr"/>
      <c r="S145" s="5" t="inlineStr"/>
      <c r="T145" s="5" t="inlineStr"/>
      <c r="U145" s="5" t="inlineStr"/>
      <c r="V145" s="5" t="inlineStr"/>
    </row>
    <row r="146">
      <c r="A146" s="5" t="inlineStr">
        <is>
          <t>b6-dugun-yagmuru</t>
        </is>
      </c>
      <c r="B146" s="5" t="n">
        <v>6</v>
      </c>
      <c r="C146" s="5" t="inlineStr">
        <is>
          <t>23 yaş 7 ay</t>
        </is>
      </c>
      <c r="D146" s="5" t="inlineStr">
        <is>
          <t>💍</t>
        </is>
      </c>
      <c r="E146" s="6" t="inlineStr">
        <is>
          <t>Dokuzuncu Düğün</t>
        </is>
      </c>
      <c r="F146" s="6" t="inlineStr">
        <is>
          <t>Bu yaz dokuzuncu düğün. Aynı salon, aynı orkestra, aynı pilav. Her masada aynı soru: 'Sıra sende, değil mi?'</t>
        </is>
      </c>
      <c r="G146" s="5" t="inlineStr">
        <is>
          <t>dugun-salonu</t>
        </is>
      </c>
      <c r="H146" s="5" t="inlineStr"/>
      <c r="I146" s="5" t="inlineStr"/>
      <c r="J146" s="5" t="n">
        <v>1.5</v>
      </c>
      <c r="K146" s="5" t="inlineStr"/>
      <c r="L146" s="5" t="inlineStr"/>
      <c r="M146" s="5" t="inlineStr"/>
      <c r="N146" s="5" t="inlineStr"/>
      <c r="O146" s="5" t="inlineStr"/>
      <c r="P146" s="5" t="inlineStr"/>
      <c r="Q146" s="5" t="inlineStr"/>
      <c r="R146" s="6" t="inlineStr"/>
      <c r="S146" s="5" t="inlineStr"/>
      <c r="T146" s="5" t="inlineStr"/>
      <c r="U146" s="5" t="inlineStr"/>
      <c r="V146" s="5" t="inlineStr"/>
    </row>
    <row r="147">
      <c r="A147" s="5" t="inlineStr">
        <is>
          <t>b6-dukkan-anahtari</t>
        </is>
      </c>
      <c r="B147" s="5" t="n">
        <v>6</v>
      </c>
      <c r="C147" s="5" t="inlineStr">
        <is>
          <t>23 yaş 8 ay</t>
        </is>
      </c>
      <c r="D147" s="5" t="inlineStr">
        <is>
          <t>🔑</t>
        </is>
      </c>
      <c r="E147" s="6" t="inlineStr">
        <is>
          <t>Dükkan Sana Emanet</t>
        </is>
      </c>
      <c r="F147" s="6" t="inlineStr">
        <is>
          <t>Usta bir haftalığına memlekete gidiyor. Anahtarı uzattı: 'Dükkan sana emanet. Kasaya dokunma.'</t>
        </is>
      </c>
      <c r="G147" s="5" t="inlineStr">
        <is>
          <t>dukkan</t>
        </is>
      </c>
      <c r="H147" s="5" t="inlineStr"/>
      <c r="I147" s="5" t="inlineStr"/>
      <c r="J147" s="5" t="inlineStr"/>
      <c r="K147" s="5" t="inlineStr">
        <is>
          <t>universitesiz</t>
        </is>
      </c>
      <c r="L147" s="5" t="inlineStr"/>
      <c r="M147" s="5" t="inlineStr"/>
      <c r="N147" s="5" t="inlineStr"/>
      <c r="O147" s="5" t="inlineStr"/>
      <c r="P147" s="5" t="inlineStr"/>
      <c r="Q147" s="5" t="inlineStr"/>
      <c r="R147" s="6" t="inlineStr"/>
      <c r="S147" s="5" t="inlineStr"/>
      <c r="T147" s="5" t="inlineStr"/>
      <c r="U147" s="5" t="inlineStr"/>
      <c r="V147" s="5" t="inlineStr"/>
    </row>
    <row r="148">
      <c r="A148" s="5" t="inlineStr">
        <is>
          <t>me-veresiye-defteri</t>
        </is>
      </c>
      <c r="B148" s="5" t="n">
        <v>6</v>
      </c>
      <c r="C148" s="5" t="inlineStr">
        <is>
          <t>23 yaş 8 ay</t>
        </is>
      </c>
      <c r="D148" s="5" t="inlineStr">
        <is>
          <t>📒</t>
        </is>
      </c>
      <c r="E148" s="6" t="inlineStr">
        <is>
          <t>Veresiye Defteri</t>
        </is>
      </c>
      <c r="F148" s="6" t="inlineStr">
        <is>
          <t>Tanıdık bir yüz kasaya geldi: 'Deftere yaz, ay başı veririm.' Takvimde ay başı var. Dükkânda henüz defter yok.</t>
        </is>
      </c>
      <c r="G148" s="5" t="inlineStr">
        <is>
          <t>dukkan</t>
        </is>
      </c>
      <c r="H148" s="5" t="inlineStr"/>
      <c r="I148" s="5" t="inlineStr"/>
      <c r="J148" s="5" t="inlineStr"/>
      <c r="K148" s="5" t="inlineStr">
        <is>
          <t>meslek-esnaf</t>
        </is>
      </c>
      <c r="L148" s="5" t="inlineStr"/>
      <c r="M148" s="5" t="inlineStr"/>
      <c r="N148" s="5" t="inlineStr"/>
      <c r="O148" s="5" t="inlineStr"/>
      <c r="P148" s="5" t="inlineStr"/>
      <c r="Q148" s="5" t="inlineStr"/>
      <c r="R148" s="6" t="inlineStr"/>
      <c r="S148" s="5" t="inlineStr"/>
      <c r="T148" s="5" t="inlineStr"/>
      <c r="U148" s="5" t="inlineStr"/>
      <c r="V148" s="5" t="inlineStr"/>
    </row>
    <row r="149">
      <c r="A149" s="5" t="inlineStr">
        <is>
          <t>mm-islak-imza</t>
        </is>
      </c>
      <c r="B149" s="5" t="n">
        <v>6</v>
      </c>
      <c r="C149" s="5" t="inlineStr">
        <is>
          <t>23 yaş 9 ay</t>
        </is>
      </c>
      <c r="D149" s="5" t="inlineStr">
        <is>
          <t>🖋️</t>
        </is>
      </c>
      <c r="E149" s="6" t="inlineStr">
        <is>
          <t>Islak İmza</t>
        </is>
      </c>
      <c r="F149" s="6" t="inlineStr">
        <is>
          <t>Masaya bir yığın evrak kondu. Hepsi ıslak imza bekliyor. Kalem kurumaya, sen ıslanmaya hazırsın.</t>
        </is>
      </c>
      <c r="G149" s="5" t="inlineStr">
        <is>
          <t>devlet-dairesi</t>
        </is>
      </c>
      <c r="H149" s="5" t="inlineStr"/>
      <c r="I149" s="5" t="inlineStr"/>
      <c r="J149" s="5" t="inlineStr"/>
      <c r="K149" s="5" t="inlineStr">
        <is>
          <t>meslek-memur</t>
        </is>
      </c>
      <c r="L149" s="5" t="inlineStr"/>
      <c r="M149" s="5" t="inlineStr"/>
      <c r="N149" s="5" t="inlineStr"/>
      <c r="O149" s="5" t="inlineStr"/>
      <c r="P149" s="5" t="inlineStr"/>
      <c r="Q149" s="5" t="inlineStr"/>
      <c r="R149" s="6" t="inlineStr"/>
      <c r="S149" s="5" t="inlineStr"/>
      <c r="T149" s="5" t="inlineStr"/>
      <c r="U149" s="5" t="inlineStr"/>
      <c r="V149" s="5" t="inlineStr"/>
    </row>
    <row r="150">
      <c r="A150" s="5" t="inlineStr">
        <is>
          <t>ms-gorunurluk-teklifi</t>
        </is>
      </c>
      <c r="B150" s="5" t="n">
        <v>6</v>
      </c>
      <c r="C150" s="5" t="inlineStr">
        <is>
          <t>24 yaş</t>
        </is>
      </c>
      <c r="D150" s="5" t="inlineStr">
        <is>
          <t>👀</t>
        </is>
      </c>
      <c r="E150" s="6" t="inlineStr">
        <is>
          <t>Görünürlük Teklifi</t>
        </is>
      </c>
      <c r="F150" s="6" t="inlineStr">
        <is>
          <t>Tanınmış bir etkinlik şirketi yazdı: 'Bütçemiz yok ama size müthiş bir görünürlük sağlarız.'</t>
        </is>
      </c>
      <c r="G150" s="5" t="inlineStr">
        <is>
          <t>ev</t>
        </is>
      </c>
      <c r="H150" s="5" t="inlineStr"/>
      <c r="I150" s="5" t="inlineStr"/>
      <c r="J150" s="5" t="n">
        <v>1</v>
      </c>
      <c r="K150" s="5" t="inlineStr">
        <is>
          <t>meslek-serbest</t>
        </is>
      </c>
      <c r="L150" s="5" t="inlineStr"/>
      <c r="M150" s="5" t="inlineStr"/>
      <c r="N150" s="5" t="inlineStr"/>
      <c r="O150" s="5" t="inlineStr"/>
      <c r="P150" s="5" t="inlineStr"/>
      <c r="Q150" s="5" t="inlineStr"/>
      <c r="R150" s="6" t="inlineStr"/>
      <c r="S150" s="5" t="inlineStr"/>
      <c r="T150" s="5" t="inlineStr"/>
      <c r="U150" s="5" t="inlineStr"/>
      <c r="V150" s="5" t="inlineStr"/>
    </row>
    <row r="151">
      <c r="A151" s="5" t="inlineStr">
        <is>
          <t>b6-taki-butcesi</t>
        </is>
      </c>
      <c r="B151" s="5" t="n">
        <v>6</v>
      </c>
      <c r="C151" s="5" t="inlineStr">
        <is>
          <t>24 yaş 1 ay</t>
        </is>
      </c>
      <c r="D151" s="5" t="inlineStr">
        <is>
          <t>💌</t>
        </is>
      </c>
      <c r="E151" s="6" t="inlineStr">
        <is>
          <t>Takı Bütçesi</t>
        </is>
      </c>
      <c r="F151" s="6" t="inlineStr">
        <is>
          <t>Kapıda üç davetiye var. Üçü aynı ay. 'Takı bütçesi' ve 'kira' aynı cümlede kullanılmaya başlandı.</t>
        </is>
      </c>
      <c r="G151" s="5" t="inlineStr">
        <is>
          <t>carsi</t>
        </is>
      </c>
      <c r="H151" s="5" t="inlineStr"/>
      <c r="I151" s="5" t="inlineStr"/>
      <c r="J151" s="5" t="inlineStr"/>
      <c r="K151" s="5" t="inlineStr"/>
      <c r="L151" s="5" t="inlineStr"/>
      <c r="M151" s="5" t="inlineStr"/>
      <c r="N151" s="5" t="inlineStr"/>
      <c r="O151" s="5" t="inlineStr"/>
      <c r="P151" s="5" t="inlineStr"/>
      <c r="Q151" s="5" t="inlineStr"/>
      <c r="R151" s="6" t="inlineStr"/>
      <c r="S151" s="5" t="inlineStr"/>
      <c r="T151" s="5" t="inlineStr"/>
      <c r="U151" s="5" t="inlineStr"/>
      <c r="V151" s="5" t="inlineStr"/>
    </row>
    <row r="152">
      <c r="A152" s="5" t="inlineStr">
        <is>
          <t>b6-ilk-araba</t>
        </is>
      </c>
      <c r="B152" s="5" t="n">
        <v>6</v>
      </c>
      <c r="C152" s="5" t="inlineStr">
        <is>
          <t>24 yaş 4 ay</t>
        </is>
      </c>
      <c r="D152" s="5" t="inlineStr">
        <is>
          <t>🚙</t>
        </is>
      </c>
      <c r="E152" s="6" t="inlineStr">
        <is>
          <t>İkinci El Araba</t>
        </is>
      </c>
      <c r="F152" s="6" t="inlineStr">
        <is>
          <t>İlan: 'Sahibinden, garajda durdu, hiç boya yok.' Araba sana üç kez göz kırptı. Biri far, ikisi arıza lambası.</t>
        </is>
      </c>
      <c r="G152" s="5" t="inlineStr">
        <is>
          <t>trafik</t>
        </is>
      </c>
      <c r="H152" s="5" t="inlineStr"/>
      <c r="I152" s="5" t="inlineStr"/>
      <c r="J152" s="5" t="inlineStr"/>
      <c r="K152" s="5" t="inlineStr"/>
      <c r="L152" s="5" t="inlineStr"/>
      <c r="M152" s="5" t="inlineStr"/>
      <c r="N152" s="5" t="inlineStr"/>
      <c r="O152" s="5" t="inlineStr"/>
      <c r="P152" s="5" t="inlineStr"/>
      <c r="Q152" s="5" t="inlineStr"/>
      <c r="R152" s="6" t="inlineStr"/>
      <c r="S152" s="5" t="inlineStr"/>
      <c r="T152" s="5" t="inlineStr"/>
      <c r="U152" s="5" t="inlineStr"/>
      <c r="V152" s="5" t="inlineStr"/>
    </row>
    <row r="153">
      <c r="A153" s="5" t="inlineStr">
        <is>
          <t>b6-uzaktan-calisma</t>
        </is>
      </c>
      <c r="B153" s="5" t="n">
        <v>6</v>
      </c>
      <c r="C153" s="5" t="inlineStr">
        <is>
          <t>24 yaş 9 ay</t>
        </is>
      </c>
      <c r="D153" s="5" t="inlineStr">
        <is>
          <t>💻</t>
        </is>
      </c>
      <c r="E153" s="6" t="inlineStr">
        <is>
          <t>Uzaktan Çalışma</t>
        </is>
      </c>
      <c r="F153" s="6" t="inlineStr">
        <is>
          <t>Şirket uzaktan çalışmaya geçti. Ofisin artık yatağın. Kamera açık, altında pijama, arkada kuruyan çamaşırlar.</t>
        </is>
      </c>
      <c r="G153" s="5" t="inlineStr">
        <is>
          <t>ev</t>
        </is>
      </c>
      <c r="H153" s="5" t="inlineStr"/>
      <c r="I153" s="5" t="inlineStr"/>
      <c r="J153" s="5" t="inlineStr"/>
      <c r="K153" s="5" t="inlineStr"/>
      <c r="L153" s="5" t="inlineStr"/>
      <c r="M153" s="5" t="inlineStr"/>
      <c r="N153" s="5" t="inlineStr"/>
      <c r="O153" s="5" t="inlineStr"/>
      <c r="P153" s="5" t="inlineStr"/>
      <c r="Q153" s="5" t="inlineStr"/>
      <c r="R153" s="6" t="inlineStr"/>
      <c r="S153" s="5" t="inlineStr"/>
      <c r="T153" s="5" t="inlineStr"/>
      <c r="U153" s="5" t="inlineStr">
        <is>
          <t>meslek-beyazyaka, meslek-serbest</t>
        </is>
      </c>
      <c r="V153" s="5" t="inlineStr"/>
    </row>
    <row r="154">
      <c r="A154" s="5" t="inlineStr">
        <is>
          <t>mb-kamera-kapali</t>
        </is>
      </c>
      <c r="B154" s="5" t="n">
        <v>6</v>
      </c>
      <c r="C154" s="5" t="inlineStr">
        <is>
          <t>25 yaş</t>
        </is>
      </c>
      <c r="D154" s="5" t="inlineStr">
        <is>
          <t>📹</t>
        </is>
      </c>
      <c r="E154" s="6" t="inlineStr">
        <is>
          <t>Kamera Kapalı</t>
        </is>
      </c>
      <c r="F154" s="6" t="inlineStr">
        <is>
          <t>Çevrim içi toplantı. Kameralar kapalı, mikrofonlar kapalı. Yöneticin adını söyledi. Pijamalısın.</t>
        </is>
      </c>
      <c r="G154" s="5" t="inlineStr">
        <is>
          <t>ev</t>
        </is>
      </c>
      <c r="H154" s="5" t="inlineStr"/>
      <c r="I154" s="5" t="inlineStr"/>
      <c r="J154" s="5" t="n">
        <v>1</v>
      </c>
      <c r="K154" s="5" t="inlineStr">
        <is>
          <t>meslek-beyazyaka</t>
        </is>
      </c>
      <c r="L154" s="5" t="inlineStr"/>
      <c r="M154" s="5" t="inlineStr"/>
      <c r="N154" s="5" t="inlineStr"/>
      <c r="O154" s="5" t="inlineStr"/>
      <c r="P154" s="5" t="inlineStr"/>
      <c r="Q154" s="5" t="inlineStr"/>
      <c r="R154" s="6" t="inlineStr"/>
      <c r="S154" s="5" t="inlineStr"/>
      <c r="T154" s="5" t="inlineStr"/>
      <c r="U154" s="5" t="inlineStr"/>
      <c r="V154" s="5" t="inlineStr"/>
    </row>
    <row r="155">
      <c r="A155" s="5" t="inlineStr">
        <is>
          <t>me-karsi-dukkan</t>
        </is>
      </c>
      <c r="B155" s="5" t="n">
        <v>6</v>
      </c>
      <c r="C155" s="5" t="inlineStr">
        <is>
          <t>25 yaş</t>
        </is>
      </c>
      <c r="D155" s="5" t="inlineStr">
        <is>
          <t>🎈</t>
        </is>
      </c>
      <c r="E155" s="6" t="inlineStr">
        <is>
          <t>Karşıya Aynısı Açıldı</t>
        </is>
      </c>
      <c r="F155" s="6" t="inlineStr">
        <is>
          <t>Tam karşına aynı işi yapan bir dükkân açıldı. Tabelası seninkinden büyük, açılış balonları seninkinden fazla.</t>
        </is>
      </c>
      <c r="G155" s="5" t="inlineStr">
        <is>
          <t>carsi</t>
        </is>
      </c>
      <c r="H155" s="5" t="inlineStr"/>
      <c r="I155" s="5" t="inlineStr"/>
      <c r="J155" s="5" t="inlineStr"/>
      <c r="K155" s="5" t="inlineStr">
        <is>
          <t>meslek-esnaf</t>
        </is>
      </c>
      <c r="L155" s="5" t="inlineStr"/>
      <c r="M155" s="5" t="inlineStr"/>
      <c r="N155" s="5" t="inlineStr"/>
      <c r="O155" s="5" t="inlineStr"/>
      <c r="P155" s="5" t="inlineStr"/>
      <c r="Q155" s="5" t="inlineStr"/>
      <c r="R155" s="6" t="inlineStr"/>
      <c r="S155" s="5" t="inlineStr"/>
      <c r="T155" s="5" t="inlineStr"/>
      <c r="U155" s="5" t="inlineStr"/>
      <c r="V155" s="5" t="inlineStr"/>
    </row>
    <row r="156">
      <c r="A156" s="5" t="inlineStr">
        <is>
          <t>mm-saat-1658</t>
        </is>
      </c>
      <c r="B156" s="5" t="n">
        <v>6</v>
      </c>
      <c r="C156" s="5" t="inlineStr">
        <is>
          <t>25 yaş</t>
        </is>
      </c>
      <c r="D156" s="5" t="inlineStr">
        <is>
          <t>🕔</t>
        </is>
      </c>
      <c r="E156" s="6" t="inlineStr">
        <is>
          <t>Saat 16.58</t>
        </is>
      </c>
      <c r="F156" s="6" t="inlineStr">
        <is>
          <t>Saat 16.58. Mesai 17.00'de bitiyor. Kapıdan elinde dosyayla bir vatandaş giriyor: 'Bir imza sadece.'</t>
        </is>
      </c>
      <c r="G156" s="5" t="inlineStr">
        <is>
          <t>devlet-dairesi</t>
        </is>
      </c>
      <c r="H156" s="5" t="inlineStr"/>
      <c r="I156" s="5" t="inlineStr"/>
      <c r="J156" s="5" t="inlineStr"/>
      <c r="K156" s="5" t="inlineStr">
        <is>
          <t>meslek-memur</t>
        </is>
      </c>
      <c r="L156" s="5" t="inlineStr"/>
      <c r="M156" s="5" t="inlineStr"/>
      <c r="N156" s="5" t="inlineStr"/>
      <c r="O156" s="5" t="inlineStr"/>
      <c r="P156" s="5" t="inlineStr"/>
      <c r="Q156" s="5" t="inlineStr"/>
      <c r="R156" s="6" t="inlineStr"/>
      <c r="S156" s="5" t="inlineStr"/>
      <c r="T156" s="5" t="inlineStr"/>
      <c r="U156" s="5" t="inlineStr"/>
      <c r="V156" s="5" t="inlineStr"/>
    </row>
    <row r="157">
      <c r="A157" s="5" t="inlineStr">
        <is>
          <t>b6-ev-sahibi-kavgasi</t>
        </is>
      </c>
      <c r="B157" s="5" t="n">
        <v>6</v>
      </c>
      <c r="C157" s="5" t="inlineStr">
        <is>
          <t>25 yaş 1 ay</t>
        </is>
      </c>
      <c r="D157" s="5" t="inlineStr">
        <is>
          <t>📜</t>
        </is>
      </c>
      <c r="E157" s="6" t="inlineStr">
        <is>
          <t>Kirayı Güncelleyelim</t>
        </is>
      </c>
      <c r="F157" s="6" t="inlineStr">
        <is>
          <t>Ev sahibi aradı: 'Kirayı biraz güncelleyelim.' Güncelleme neredeyse iki kat. Sözleşme bir kolide, koli bir dolapta.</t>
        </is>
      </c>
      <c r="G157" s="5" t="inlineStr">
        <is>
          <t>apartman</t>
        </is>
      </c>
      <c r="H157" s="5" t="inlineStr"/>
      <c r="I157" s="5" t="inlineStr"/>
      <c r="J157" s="5" t="inlineStr"/>
      <c r="K157" s="5" t="inlineStr"/>
      <c r="L157" s="5" t="inlineStr"/>
      <c r="M157" s="5" t="inlineStr"/>
      <c r="N157" s="5" t="inlineStr"/>
      <c r="O157" s="5" t="inlineStr"/>
      <c r="P157" s="5" t="inlineStr"/>
      <c r="Q157" s="5" t="inlineStr"/>
      <c r="R157" s="6" t="inlineStr"/>
      <c r="S157" s="5" t="inlineStr"/>
      <c r="T157" s="5" t="inlineStr"/>
      <c r="U157" s="5" t="inlineStr">
        <is>
          <t>kiraci, ev-arkadasli</t>
        </is>
      </c>
      <c r="V157" s="5" t="inlineStr"/>
    </row>
    <row r="158">
      <c r="A158" s="5" t="inlineStr">
        <is>
          <t>b6-kargo-takibi</t>
        </is>
      </c>
      <c r="B158" s="5" t="n">
        <v>6</v>
      </c>
      <c r="C158" s="5" t="inlineStr">
        <is>
          <t>25 yaş 4 ay</t>
        </is>
      </c>
      <c r="D158" s="5" t="inlineStr">
        <is>
          <t>📦</t>
        </is>
      </c>
      <c r="E158" s="6" t="inlineStr">
        <is>
          <t>Dağıtıma Çıktı</t>
        </is>
      </c>
      <c r="F158" s="6" t="inlineStr">
        <is>
          <t>Kargo üç gündür 'Dağıtıma çıktı'. Son hareket: 'Alıcı adreste bulunamadı.' Adrestesin. Kapıdasın. Pijamalısın.</t>
        </is>
      </c>
      <c r="G158" s="5" t="inlineStr">
        <is>
          <t>ev</t>
        </is>
      </c>
      <c r="H158" s="5" t="inlineStr"/>
      <c r="I158" s="5" t="inlineStr"/>
      <c r="J158" s="5" t="n">
        <v>1.5</v>
      </c>
      <c r="K158" s="5" t="inlineStr"/>
      <c r="L158" s="5" t="inlineStr"/>
      <c r="M158" s="5" t="inlineStr"/>
      <c r="N158" s="5" t="inlineStr"/>
      <c r="O158" s="5" t="inlineStr"/>
      <c r="P158" s="5" t="inlineStr"/>
      <c r="Q158" s="5" t="inlineStr"/>
      <c r="R158" s="6" t="inlineStr"/>
      <c r="S158" s="5" t="inlineStr"/>
      <c r="T158" s="5" t="inlineStr"/>
      <c r="U158" s="5" t="inlineStr"/>
      <c r="V158" s="5" t="inlineStr"/>
    </row>
    <row r="159">
      <c r="A159" s="5" t="inlineStr">
        <is>
          <t>ms-pijama-ekonomisi</t>
        </is>
      </c>
      <c r="B159" s="5" t="n">
        <v>6</v>
      </c>
      <c r="C159" s="5" t="inlineStr">
        <is>
          <t>25 yaş 6 ay</t>
        </is>
      </c>
      <c r="D159" s="5" t="inlineStr">
        <is>
          <t>🛋️</t>
        </is>
      </c>
      <c r="E159" s="6" t="inlineStr">
        <is>
          <t>Pijama Ekonomisi</t>
        </is>
      </c>
      <c r="F159" s="6" t="inlineStr">
        <is>
          <t>Ev ofistesin. Mesai saatin yok, bitişi de yok. Saat on beş, hâlâ pijamalısın ve bugün üç ayrı teslim tarihi var.</t>
        </is>
      </c>
      <c r="G159" s="5" t="inlineStr">
        <is>
          <t>ev</t>
        </is>
      </c>
      <c r="H159" s="5" t="inlineStr"/>
      <c r="I159" s="5" t="inlineStr"/>
      <c r="J159" s="5" t="n">
        <v>1</v>
      </c>
      <c r="K159" s="5" t="inlineStr">
        <is>
          <t>meslek-serbest</t>
        </is>
      </c>
      <c r="L159" s="5" t="inlineStr"/>
      <c r="M159" s="5" t="inlineStr"/>
      <c r="N159" s="5" t="inlineStr"/>
      <c r="O159" s="5" t="inlineStr"/>
      <c r="P159" s="5" t="inlineStr"/>
      <c r="Q159" s="5" t="inlineStr"/>
      <c r="R159" s="6" t="inlineStr"/>
      <c r="S159" s="5" t="inlineStr"/>
      <c r="T159" s="5" t="inlineStr"/>
      <c r="U159" s="5" t="inlineStr"/>
      <c r="V159" s="5" t="inlineStr"/>
    </row>
    <row r="160">
      <c r="A160" s="5" t="inlineStr">
        <is>
          <t>b6-ilk-vergi</t>
        </is>
      </c>
      <c r="B160" s="5" t="n">
        <v>6</v>
      </c>
      <c r="C160" s="5" t="inlineStr">
        <is>
          <t>25 yaş 8 ay</t>
        </is>
      </c>
      <c r="D160" s="5" t="inlineStr">
        <is>
          <t>🏛️</t>
        </is>
      </c>
      <c r="E160" s="6" t="inlineStr">
        <is>
          <t>İlk Vergi</t>
        </is>
      </c>
      <c r="F160" s="6" t="inlineStr">
        <is>
          <t>Vergi dairesinden bir yazı geldi. Konu: 'Bildirim.' İçinde üç sayfa, hiç cümle yok, sadece madde.</t>
        </is>
      </c>
      <c r="G160" s="5" t="inlineStr">
        <is>
          <t>devlet-dairesi</t>
        </is>
      </c>
      <c r="H160" s="5" t="inlineStr"/>
      <c r="I160" s="5" t="inlineStr"/>
      <c r="J160" s="5" t="inlineStr"/>
      <c r="K160" s="5" t="inlineStr"/>
      <c r="L160" s="5" t="inlineStr"/>
      <c r="M160" s="5" t="inlineStr"/>
      <c r="N160" s="5" t="inlineStr"/>
      <c r="O160" s="5" t="inlineStr"/>
      <c r="P160" s="5" t="inlineStr"/>
      <c r="Q160" s="5" t="inlineStr"/>
      <c r="R160" s="6" t="inlineStr"/>
      <c r="S160" s="5" t="inlineStr"/>
      <c r="T160" s="5" t="inlineStr"/>
      <c r="U160" s="5" t="inlineStr"/>
      <c r="V160" s="5" t="inlineStr"/>
    </row>
    <row r="161">
      <c r="A161" s="5" t="inlineStr">
        <is>
          <t>b6-kombi</t>
        </is>
      </c>
      <c r="B161" s="5" t="n">
        <v>6</v>
      </c>
      <c r="C161" s="5" t="inlineStr">
        <is>
          <t>26 yaş</t>
        </is>
      </c>
      <c r="D161" s="5" t="inlineStr">
        <is>
          <t>🛠️</t>
        </is>
      </c>
      <c r="E161" s="6" t="inlineStr">
        <is>
          <t>Kombi Arızası</t>
        </is>
      </c>
      <c r="F161" s="6" t="inlineStr">
        <is>
          <t>Kış ortası. Kombi bir arıza lambası yakıp sustu. Tamirci üç gün sonraya randevu verdi. Bir video 'Çok basit, iki vida' diyor.</t>
        </is>
      </c>
      <c r="G161" s="5" t="inlineStr">
        <is>
          <t>ev</t>
        </is>
      </c>
      <c r="H161" s="5" t="inlineStr"/>
      <c r="I161" s="5" t="inlineStr"/>
      <c r="J161" s="5" t="inlineStr"/>
      <c r="K161" s="5" t="inlineStr"/>
      <c r="L161" s="5" t="inlineStr"/>
      <c r="M161" s="5" t="inlineStr"/>
      <c r="N161" s="5" t="inlineStr"/>
      <c r="O161" s="5" t="inlineStr"/>
      <c r="P161" s="5" t="inlineStr"/>
      <c r="Q161" s="5" t="inlineStr"/>
      <c r="R161" s="6" t="inlineStr"/>
      <c r="S161" s="5" t="inlineStr"/>
      <c r="T161" s="5" t="inlineStr"/>
      <c r="U161" s="5" t="inlineStr"/>
      <c r="V161" s="5" t="inlineStr"/>
    </row>
    <row r="162">
      <c r="A162" s="5" t="inlineStr">
        <is>
          <t>b7-kira-artisi</t>
        </is>
      </c>
      <c r="B162" s="5" t="n">
        <v>7</v>
      </c>
      <c r="C162" s="5" t="inlineStr">
        <is>
          <t>26 yaş 3 ay</t>
        </is>
      </c>
      <c r="D162" s="5" t="inlineStr">
        <is>
          <t>🏠</t>
        </is>
      </c>
      <c r="E162" s="6" t="inlineStr">
        <is>
          <t>Kira Artışı</t>
        </is>
      </c>
      <c r="F162" s="6" t="inlineStr">
        <is>
          <t>Ev sahibi mesaj attı: 'Müsaitsen bir konuşalım.' Bu cümle tarih boyunca hiç iyi bir şeyle bitmedi.</t>
        </is>
      </c>
      <c r="G162" s="5" t="inlineStr">
        <is>
          <t>apartman</t>
        </is>
      </c>
      <c r="H162" s="5" t="inlineStr">
        <is>
          <t>para</t>
        </is>
      </c>
      <c r="I162" s="5" t="inlineStr"/>
      <c r="J162" s="5" t="n">
        <v>1</v>
      </c>
      <c r="K162" s="5" t="inlineStr"/>
      <c r="L162" s="5" t="inlineStr">
        <is>
          <t>ev-sahibi, evde-kaldi, aile-dairesi, hapis</t>
        </is>
      </c>
      <c r="M162" s="5" t="inlineStr"/>
      <c r="N162" s="5" t="inlineStr"/>
      <c r="O162" s="5" t="inlineStr"/>
      <c r="P162" s="5" t="inlineStr"/>
      <c r="Q162" s="5" t="inlineStr"/>
      <c r="R162" s="6" t="inlineStr"/>
      <c r="S162" s="5" t="inlineStr"/>
      <c r="T162" s="5" t="inlineStr"/>
      <c r="U162" s="5" t="inlineStr"/>
      <c r="V162" s="5" t="inlineStr"/>
    </row>
    <row r="163">
      <c r="A163" s="5" t="inlineStr">
        <is>
          <t>b7-eski-sinif-arkadasi</t>
        </is>
      </c>
      <c r="B163" s="5" t="n">
        <v>7</v>
      </c>
      <c r="C163" s="5" t="inlineStr">
        <is>
          <t>26 yaş 9 ay</t>
        </is>
      </c>
      <c r="D163" s="5" t="inlineStr">
        <is>
          <t>📱</t>
        </is>
      </c>
      <c r="E163" s="6" t="inlineStr">
        <is>
          <t>Eski Sınıf Arkadaşı</t>
        </is>
      </c>
      <c r="F163" s="6" t="inlineStr">
        <is>
          <t>Sınıfın en sessizi, kendi şirketinin açılış fotoğrafını paylaştı. Altında 400 tebrik var. Biri seninki olacak mı?</t>
        </is>
      </c>
      <c r="G163" s="5" t="inlineStr">
        <is>
          <t>kafe</t>
        </is>
      </c>
      <c r="H163" s="5" t="inlineStr">
        <is>
          <t>sosyal</t>
        </is>
      </c>
      <c r="I163" s="5" t="inlineStr"/>
      <c r="J163" s="5" t="n">
        <v>1</v>
      </c>
      <c r="K163" s="5" t="inlineStr"/>
      <c r="L163" s="5" t="inlineStr">
        <is>
          <t>hapis</t>
        </is>
      </c>
      <c r="M163" s="5" t="inlineStr"/>
      <c r="N163" s="5" t="inlineStr"/>
      <c r="O163" s="5" t="inlineStr"/>
      <c r="P163" s="5" t="inlineStr"/>
      <c r="Q163" s="5" t="inlineStr"/>
      <c r="R163" s="6" t="inlineStr"/>
      <c r="S163" s="5" t="inlineStr"/>
      <c r="T163" s="5" t="inlineStr"/>
      <c r="U163" s="5" t="inlineStr"/>
      <c r="V163" s="5" t="inlineStr"/>
    </row>
    <row r="164">
      <c r="A164" s="5" t="inlineStr">
        <is>
          <t>mb-eposta-yagmuru</t>
        </is>
      </c>
      <c r="B164" s="5" t="n">
        <v>7</v>
      </c>
      <c r="C164" s="5" t="inlineStr">
        <is>
          <t>27 yaş</t>
        </is>
      </c>
      <c r="D164" s="5" t="inlineStr">
        <is>
          <t>📧</t>
        </is>
      </c>
      <c r="E164" s="6" t="inlineStr">
        <is>
          <t>E-posta Yağmuru</t>
        </is>
      </c>
      <c r="F164" s="6" t="inlineStr">
        <is>
          <t>Tatilden döndün. Gelen kutunda bin dört yüz okunmamış e-posta var. Hepsinin konusunda 'ACİL' yazıyor.</t>
        </is>
      </c>
      <c r="G164" s="5" t="inlineStr">
        <is>
          <t>ofis</t>
        </is>
      </c>
      <c r="H164" s="5" t="inlineStr"/>
      <c r="I164" s="5" t="inlineStr"/>
      <c r="J164" s="5" t="n">
        <v>1</v>
      </c>
      <c r="K164" s="5" t="inlineStr">
        <is>
          <t>meslek-beyazyaka</t>
        </is>
      </c>
      <c r="L164" s="5" t="inlineStr">
        <is>
          <t>hapis</t>
        </is>
      </c>
      <c r="M164" s="5" t="inlineStr"/>
      <c r="N164" s="5" t="inlineStr"/>
      <c r="O164" s="5" t="inlineStr"/>
      <c r="P164" s="5" t="inlineStr"/>
      <c r="Q164" s="5" t="inlineStr"/>
      <c r="R164" s="6" t="inlineStr"/>
      <c r="S164" s="5" t="inlineStr"/>
      <c r="T164" s="5" t="inlineStr"/>
      <c r="U164" s="5" t="inlineStr"/>
      <c r="V164" s="5" t="inlineStr"/>
    </row>
    <row r="165">
      <c r="A165" s="5" t="inlineStr">
        <is>
          <t>me-kira-artisi</t>
        </is>
      </c>
      <c r="B165" s="5" t="n">
        <v>7</v>
      </c>
      <c r="C165" s="5" t="inlineStr">
        <is>
          <t>27 yaş</t>
        </is>
      </c>
      <c r="D165" s="5" t="inlineStr">
        <is>
          <t>🔑</t>
        </is>
      </c>
      <c r="E165" s="6" t="inlineStr">
        <is>
          <t>Dükkân Sahibinin Ziyareti</t>
        </is>
      </c>
      <c r="F165" s="6" t="inlineStr">
        <is>
          <t>Dükkân sahibi kapıda: 'Piyasa malum.' Piyasa malum değil ama rakam birazdan malum olacak.</t>
        </is>
      </c>
      <c r="G165" s="5" t="inlineStr">
        <is>
          <t>dukkan</t>
        </is>
      </c>
      <c r="H165" s="5" t="inlineStr"/>
      <c r="I165" s="5" t="inlineStr"/>
      <c r="J165" s="5" t="inlineStr"/>
      <c r="K165" s="5" t="inlineStr">
        <is>
          <t>meslek-esnaf</t>
        </is>
      </c>
      <c r="L165" s="5" t="inlineStr">
        <is>
          <t>hapis</t>
        </is>
      </c>
      <c r="M165" s="5" t="inlineStr"/>
      <c r="N165" s="5" t="inlineStr"/>
      <c r="O165" s="5" t="inlineStr"/>
      <c r="P165" s="5" t="inlineStr"/>
      <c r="Q165" s="5" t="inlineStr"/>
      <c r="R165" s="6" t="inlineStr"/>
      <c r="S165" s="5" t="inlineStr"/>
      <c r="T165" s="5" t="inlineStr"/>
      <c r="U165" s="5" t="inlineStr"/>
      <c r="V165" s="5" t="inlineStr"/>
    </row>
    <row r="166">
      <c r="A166" s="5" t="inlineStr">
        <is>
          <t>mm-yeni-mudur</t>
        </is>
      </c>
      <c r="B166" s="5" t="n">
        <v>7</v>
      </c>
      <c r="C166" s="5" t="inlineStr">
        <is>
          <t>27 yaş</t>
        </is>
      </c>
      <c r="D166" s="5" t="inlineStr">
        <is>
          <t>👔</t>
        </is>
      </c>
      <c r="E166" s="6" t="inlineStr">
        <is>
          <t>Yeni Müdür</t>
        </is>
      </c>
      <c r="F166" s="6" t="inlineStr">
        <is>
          <t>Eski müdürün tayini çıktı, yenisi geldi. İlk toplantıda 'Burada her şey değişecek' dedi. Değişen ilk şey kahve makinesinin yeri oldu.</t>
        </is>
      </c>
      <c r="G166" s="5" t="inlineStr">
        <is>
          <t>devlet-dairesi</t>
        </is>
      </c>
      <c r="H166" s="5" t="inlineStr"/>
      <c r="I166" s="5" t="inlineStr"/>
      <c r="J166" s="5" t="inlineStr"/>
      <c r="K166" s="5" t="inlineStr">
        <is>
          <t>meslek-memur</t>
        </is>
      </c>
      <c r="L166" s="5" t="inlineStr">
        <is>
          <t>hapis</t>
        </is>
      </c>
      <c r="M166" s="5" t="inlineStr"/>
      <c r="N166" s="5" t="inlineStr"/>
      <c r="O166" s="5" t="inlineStr"/>
      <c r="P166" s="5" t="inlineStr"/>
      <c r="Q166" s="5" t="inlineStr"/>
      <c r="R166" s="6" t="inlineStr"/>
      <c r="S166" s="5" t="inlineStr"/>
      <c r="T166" s="5" t="inlineStr"/>
      <c r="U166" s="5" t="inlineStr"/>
      <c r="V166" s="5" t="inlineStr"/>
    </row>
    <row r="167">
      <c r="A167" s="5" t="inlineStr">
        <is>
          <t>b7-trafik-cezasi</t>
        </is>
      </c>
      <c r="B167" s="5" t="n">
        <v>7</v>
      </c>
      <c r="C167" s="5" t="inlineStr">
        <is>
          <t>27 yaş 4 ay</t>
        </is>
      </c>
      <c r="D167" s="5" t="inlineStr">
        <is>
          <t>📸</t>
        </is>
      </c>
      <c r="E167" s="6" t="inlineStr">
        <is>
          <t>Kırmızı Işık Tartışması</t>
        </is>
      </c>
      <c r="F167" s="6" t="inlineStr">
        <is>
          <t>Postadan bir zarf geldi: bir fotoğrafın var. Işık kırmızı. Sen çok ciddi görünüyorsun.</t>
        </is>
      </c>
      <c r="G167" s="5" t="inlineStr">
        <is>
          <t>trafik</t>
        </is>
      </c>
      <c r="H167" s="5" t="inlineStr">
        <is>
          <t>para</t>
        </is>
      </c>
      <c r="I167" s="5" t="inlineStr"/>
      <c r="J167" s="5" t="n">
        <v>1</v>
      </c>
      <c r="K167" s="5" t="inlineStr"/>
      <c r="L167" s="5" t="inlineStr">
        <is>
          <t>hapis</t>
        </is>
      </c>
      <c r="M167" s="5" t="inlineStr"/>
      <c r="N167" s="5" t="inlineStr"/>
      <c r="O167" s="5" t="inlineStr"/>
      <c r="P167" s="5" t="inlineStr"/>
      <c r="Q167" s="5" t="inlineStr"/>
      <c r="R167" s="6" t="inlineStr"/>
      <c r="S167" s="5" t="inlineStr"/>
      <c r="T167" s="5" t="inlineStr"/>
      <c r="U167" s="5" t="inlineStr"/>
      <c r="V167" s="5" t="inlineStr"/>
    </row>
    <row r="168">
      <c r="A168" s="5" t="inlineStr">
        <is>
          <t>ms-fatura-kovalamaca</t>
        </is>
      </c>
      <c r="B168" s="5" t="n">
        <v>7</v>
      </c>
      <c r="C168" s="5" t="inlineStr">
        <is>
          <t>27 yaş 6 ay</t>
        </is>
      </c>
      <c r="D168" s="5" t="inlineStr">
        <is>
          <t>🧾</t>
        </is>
      </c>
      <c r="E168" s="6" t="inlineStr">
        <is>
          <t>Fatura Kovalamacası</t>
        </is>
      </c>
      <c r="F168" s="6" t="inlineStr">
        <is>
          <t>Faturayı keseli altmış gün oldu. Muhasebe 'Sistemde onay bekliyor' diyor. Sistemin kim olduğu bilinmiyor.</t>
        </is>
      </c>
      <c r="G168" s="5" t="inlineStr">
        <is>
          <t>ev</t>
        </is>
      </c>
      <c r="H168" s="5" t="inlineStr"/>
      <c r="I168" s="5" t="inlineStr"/>
      <c r="J168" s="5" t="n">
        <v>1</v>
      </c>
      <c r="K168" s="5" t="inlineStr">
        <is>
          <t>meslek-serbest</t>
        </is>
      </c>
      <c r="L168" s="5" t="inlineStr">
        <is>
          <t>hapis</t>
        </is>
      </c>
      <c r="M168" s="5" t="inlineStr"/>
      <c r="N168" s="5" t="inlineStr"/>
      <c r="O168" s="5" t="inlineStr"/>
      <c r="P168" s="5" t="inlineStr"/>
      <c r="Q168" s="5" t="inlineStr"/>
      <c r="R168" s="6" t="inlineStr"/>
      <c r="S168" s="5" t="inlineStr"/>
      <c r="T168" s="5" t="inlineStr"/>
      <c r="U168" s="5" t="inlineStr"/>
      <c r="V168" s="5" t="inlineStr"/>
    </row>
    <row r="169">
      <c r="A169" s="5" t="inlineStr">
        <is>
          <t>b7-araba-alma</t>
        </is>
      </c>
      <c r="B169" s="5" t="n">
        <v>7</v>
      </c>
      <c r="C169" s="5" t="inlineStr">
        <is>
          <t>27 yaş 10 ay</t>
        </is>
      </c>
      <c r="D169" s="5" t="inlineStr">
        <is>
          <t>🚗</t>
        </is>
      </c>
      <c r="E169" s="6" t="inlineStr">
        <is>
          <t>İkinci El Araba</t>
        </is>
      </c>
      <c r="F169" s="6" t="inlineStr">
        <is>
          <t>İlanda 'hanımefendi aracı, garaj arabası, keyif için satılık' yazıyor. Satıcı üç ayrı ilanda aynı cümleyi kullanmış.</t>
        </is>
      </c>
      <c r="G169" s="5" t="inlineStr">
        <is>
          <t>carsi</t>
        </is>
      </c>
      <c r="H169" s="5" t="inlineStr">
        <is>
          <t>para</t>
        </is>
      </c>
      <c r="I169" s="5" t="inlineStr"/>
      <c r="J169" s="5" t="n">
        <v>1</v>
      </c>
      <c r="K169" s="5" t="inlineStr"/>
      <c r="L169" s="5" t="inlineStr">
        <is>
          <t>hapis</t>
        </is>
      </c>
      <c r="M169" s="5" t="inlineStr"/>
      <c r="N169" s="5" t="inlineStr"/>
      <c r="O169" s="5" t="inlineStr"/>
      <c r="P169" s="5" t="inlineStr"/>
      <c r="Q169" s="5" t="inlineStr"/>
      <c r="R169" s="6" t="inlineStr"/>
      <c r="S169" s="5" t="inlineStr"/>
      <c r="T169" s="5" t="inlineStr"/>
      <c r="U169" s="5" t="inlineStr"/>
      <c r="V169" s="5" t="inlineStr"/>
    </row>
    <row r="170">
      <c r="A170" s="5" t="inlineStr">
        <is>
          <t>b7-ne-zaman-evleneceksin</t>
        </is>
      </c>
      <c r="B170" s="5" t="n">
        <v>7</v>
      </c>
      <c r="C170" s="5" t="inlineStr">
        <is>
          <t>28 yaş</t>
        </is>
      </c>
      <c r="D170" s="5" t="inlineStr">
        <is>
          <t>💬</t>
        </is>
      </c>
      <c r="E170" s="6" t="inlineStr">
        <is>
          <t>Ne Zaman Evleneceksin?</t>
        </is>
      </c>
      <c r="F170" s="6" t="inlineStr">
        <is>
          <t>Kuzeninin düğünü. Masaya gelen her akraba aynı soruyu, farklı bir tonda soruyor.</t>
        </is>
      </c>
      <c r="G170" s="5" t="inlineStr">
        <is>
          <t>dugun-salonu</t>
        </is>
      </c>
      <c r="H170" s="5" t="inlineStr">
        <is>
          <t>sosyal</t>
        </is>
      </c>
      <c r="I170" s="5" t="inlineStr"/>
      <c r="J170" s="5" t="n">
        <v>1</v>
      </c>
      <c r="K170" s="5" t="inlineStr"/>
      <c r="L170" s="5" t="inlineStr">
        <is>
          <t>evli, hapis</t>
        </is>
      </c>
      <c r="M170" s="5" t="inlineStr"/>
      <c r="N170" s="5" t="inlineStr"/>
      <c r="O170" s="5" t="inlineStr"/>
      <c r="P170" s="5" t="inlineStr"/>
      <c r="Q170" s="5" t="inlineStr"/>
      <c r="R170" s="6" t="inlineStr"/>
      <c r="S170" s="5" t="inlineStr"/>
      <c r="T170" s="5" t="inlineStr"/>
      <c r="U170" s="5" t="inlineStr"/>
      <c r="V170" s="5" t="inlineStr"/>
    </row>
    <row r="171">
      <c r="A171" s="5" t="inlineStr">
        <is>
          <t>b7-flort-uygulamasi</t>
        </is>
      </c>
      <c r="B171" s="5" t="n">
        <v>7</v>
      </c>
      <c r="C171" s="5" t="inlineStr">
        <is>
          <t>28 yaş 6 ay</t>
        </is>
      </c>
      <c r="D171" s="5" t="inlineStr">
        <is>
          <t>💘</t>
        </is>
      </c>
      <c r="E171" s="6" t="inlineStr">
        <is>
          <t>Flört Uygulaması Yorgunluğu</t>
        </is>
      </c>
      <c r="F171" s="6" t="inlineStr">
        <is>
          <t>Uygulamayı dördüncü kez yükledin. Profil fotoğrafın aynı. İnsanlar aynı. 'Seyahat etmeyi seviyorum' yazısı aynı.</t>
        </is>
      </c>
      <c r="G171" s="5" t="inlineStr">
        <is>
          <t>ev</t>
        </is>
      </c>
      <c r="H171" s="5" t="inlineStr"/>
      <c r="I171" s="5" t="inlineStr"/>
      <c r="J171" s="5" t="n">
        <v>1</v>
      </c>
      <c r="K171" s="5" t="inlineStr"/>
      <c r="L171" s="5" t="inlineStr">
        <is>
          <t>evli, hapis</t>
        </is>
      </c>
      <c r="M171" s="5" t="inlineStr"/>
      <c r="N171" s="5" t="inlineStr"/>
      <c r="O171" s="5" t="inlineStr"/>
      <c r="P171" s="5" t="inlineStr"/>
      <c r="Q171" s="5" t="inlineStr"/>
      <c r="R171" s="6" t="inlineStr"/>
      <c r="S171" s="5" t="inlineStr"/>
      <c r="T171" s="5" t="inlineStr"/>
      <c r="U171" s="5" t="inlineStr"/>
      <c r="V171" s="5" t="inlineStr"/>
    </row>
    <row r="172">
      <c r="A172" s="5" t="inlineStr">
        <is>
          <t>b7-evlilik-karari</t>
        </is>
      </c>
      <c r="B172" s="5" t="n">
        <v>7</v>
      </c>
      <c r="C172" s="5" t="inlineStr">
        <is>
          <t>29 yaş</t>
        </is>
      </c>
      <c r="D172" s="5" t="inlineStr">
        <is>
          <t>💍</t>
        </is>
      </c>
      <c r="E172" s="6" t="inlineStr">
        <is>
          <t>Bayram Sofrası Sorusu</t>
        </is>
      </c>
      <c r="F172" s="6" t="inlineStr">
        <is>
          <t>Bayram sofrası. Teyzen dolmayı tabağına koyarken sordu: “Eee?” Tek hece. Sofradaki on dört kişi çatalını bıraktı. Annen senin yerine cevap vermek üzere, baban kendi yerine susmak üzere.</t>
        </is>
      </c>
      <c r="G172" s="5" t="inlineStr">
        <is>
          <t>kafe</t>
        </is>
      </c>
      <c r="H172" s="5" t="inlineStr">
        <is>
          <t>sosyal</t>
        </is>
      </c>
      <c r="I172" s="5" t="inlineStr">
        <is>
          <t>E</t>
        </is>
      </c>
      <c r="J172" s="5" t="n">
        <v>1</v>
      </c>
      <c r="K172" s="5" t="inlineStr"/>
      <c r="L172" s="5" t="inlineStr">
        <is>
          <t>hapis</t>
        </is>
      </c>
      <c r="M172" s="5" t="inlineStr"/>
      <c r="N172" s="5" t="inlineStr"/>
      <c r="O172" s="5" t="inlineStr"/>
      <c r="P172" s="5" t="inlineStr"/>
      <c r="Q172" s="5" t="n">
        <v>7</v>
      </c>
      <c r="R172" s="6" t="inlineStr">
        <is>
          <t>Yirmili yaşların sonu bir soru sorar ve cevabı hayatın geri kalanında sofraya kimin oturacağını belirler. Kimi âşık olur, kimi annesine “Bir kahve içerim” der, kimi hiç evlenmez; kimi de karar vermeyi hiç bırakmaz.</t>
        </is>
      </c>
      <c r="S172" s="5" t="inlineStr"/>
      <c r="T172" s="5" t="inlineStr"/>
      <c r="U172" s="5" t="inlineStr"/>
      <c r="V172" s="5" t="inlineStr"/>
    </row>
    <row r="173">
      <c r="A173" s="5" t="inlineStr">
        <is>
          <t>mb-performans-karti</t>
        </is>
      </c>
      <c r="B173" s="5" t="n">
        <v>7</v>
      </c>
      <c r="C173" s="5" t="inlineStr">
        <is>
          <t>29 yaş</t>
        </is>
      </c>
      <c r="D173" s="5" t="inlineStr">
        <is>
          <t>📊</t>
        </is>
      </c>
      <c r="E173" s="6" t="inlineStr">
        <is>
          <t>Performans Değerlendirmesi</t>
        </is>
      </c>
      <c r="F173" s="6" t="inlineStr">
        <is>
          <t>Yıllık değerlendirme. Hedef kartında 'Sinerjiyi çeviklikle ölçeklendirmek' yazıyor. Kimse ne demek olduğunu bilmiyor.</t>
        </is>
      </c>
      <c r="G173" s="5" t="inlineStr">
        <is>
          <t>ofis</t>
        </is>
      </c>
      <c r="H173" s="5" t="inlineStr"/>
      <c r="I173" s="5" t="inlineStr"/>
      <c r="J173" s="5" t="n">
        <v>1</v>
      </c>
      <c r="K173" s="5" t="inlineStr">
        <is>
          <t>meslek-beyazyaka</t>
        </is>
      </c>
      <c r="L173" s="5" t="inlineStr">
        <is>
          <t>hapis</t>
        </is>
      </c>
      <c r="M173" s="5" t="inlineStr"/>
      <c r="N173" s="5" t="inlineStr"/>
      <c r="O173" s="5" t="inlineStr"/>
      <c r="P173" s="5" t="inlineStr"/>
      <c r="Q173" s="5" t="inlineStr"/>
      <c r="R173" s="6" t="inlineStr"/>
      <c r="S173" s="5" t="inlineStr"/>
      <c r="T173" s="5" t="inlineStr"/>
      <c r="U173" s="5" t="inlineStr"/>
      <c r="V173" s="5" t="inlineStr"/>
    </row>
    <row r="174">
      <c r="A174" s="5" t="inlineStr">
        <is>
          <t>me-zabita-denetimi</t>
        </is>
      </c>
      <c r="B174" s="5" t="n">
        <v>7</v>
      </c>
      <c r="C174" s="5" t="inlineStr">
        <is>
          <t>29 yaş</t>
        </is>
      </c>
      <c r="D174" s="5" t="inlineStr">
        <is>
          <t>📏</t>
        </is>
      </c>
      <c r="E174" s="6" t="inlineStr">
        <is>
          <t>Zabıta Denetimi</t>
        </is>
      </c>
      <c r="F174" s="6" t="inlineStr">
        <is>
          <t>Zabıta çarşıda. Kaldırıma taşan kasalar, tabelanın boyu ve tentenin gölgesi ölçülüyor. Gölgenin de yönetmeliği varmış.</t>
        </is>
      </c>
      <c r="G174" s="5" t="inlineStr">
        <is>
          <t>carsi</t>
        </is>
      </c>
      <c r="H174" s="5" t="inlineStr"/>
      <c r="I174" s="5" t="inlineStr"/>
      <c r="J174" s="5" t="inlineStr"/>
      <c r="K174" s="5" t="inlineStr">
        <is>
          <t>meslek-esnaf</t>
        </is>
      </c>
      <c r="L174" s="5" t="inlineStr">
        <is>
          <t>hapis</t>
        </is>
      </c>
      <c r="M174" s="5" t="inlineStr"/>
      <c r="N174" s="5" t="inlineStr"/>
      <c r="O174" s="5" t="inlineStr"/>
      <c r="P174" s="5" t="inlineStr"/>
      <c r="Q174" s="5" t="inlineStr"/>
      <c r="R174" s="6" t="inlineStr"/>
      <c r="S174" s="5" t="inlineStr"/>
      <c r="T174" s="5" t="inlineStr"/>
      <c r="U174" s="5" t="inlineStr"/>
      <c r="V174" s="5" t="inlineStr"/>
    </row>
    <row r="175">
      <c r="A175" s="5" t="inlineStr">
        <is>
          <t>b7-dugun-takilari</t>
        </is>
      </c>
      <c r="B175" s="5" t="n">
        <v>7</v>
      </c>
      <c r="C175" s="5" t="inlineStr">
        <is>
          <t>29 yaş 1 ay</t>
        </is>
      </c>
      <c r="D175" s="5" t="inlineStr">
        <is>
          <t>🪙</t>
        </is>
      </c>
      <c r="E175" s="6" t="inlineStr">
        <is>
          <t>Takı Merasimi</t>
        </is>
      </c>
      <c r="F175" s="6" t="inlineStr">
        <is>
          <t>Sahnede duruyorsun. Önünde yüz kişilik bir kuyruk, arkanda takı defterini tutan bir amca. Her şey kayıt altında.</t>
        </is>
      </c>
      <c r="G175" s="5" t="inlineStr">
        <is>
          <t>dugun-salonu</t>
        </is>
      </c>
      <c r="H175" s="5" t="inlineStr">
        <is>
          <t>para</t>
        </is>
      </c>
      <c r="I175" s="5" t="inlineStr"/>
      <c r="J175" s="5" t="n">
        <v>1</v>
      </c>
      <c r="K175" s="5" t="inlineStr">
        <is>
          <t>evli</t>
        </is>
      </c>
      <c r="L175" s="5" t="inlineStr">
        <is>
          <t>hapis</t>
        </is>
      </c>
      <c r="M175" s="5" t="inlineStr"/>
      <c r="N175" s="5" t="inlineStr"/>
      <c r="O175" s="5" t="inlineStr"/>
      <c r="P175" s="5" t="inlineStr"/>
      <c r="Q175" s="5" t="inlineStr"/>
      <c r="R175" s="6" t="inlineStr"/>
      <c r="S175" s="5" t="inlineStr"/>
      <c r="T175" s="5" t="inlineStr"/>
      <c r="U175" s="5" t="inlineStr"/>
      <c r="V175" s="5" t="inlineStr"/>
    </row>
    <row r="176">
      <c r="A176" s="5" t="inlineStr">
        <is>
          <t>b7-balayi</t>
        </is>
      </c>
      <c r="B176" s="5" t="n">
        <v>7</v>
      </c>
      <c r="C176" s="5" t="inlineStr">
        <is>
          <t>29 yaş 3 ay</t>
        </is>
      </c>
      <c r="D176" s="5" t="inlineStr">
        <is>
          <t>🏝️</t>
        </is>
      </c>
      <c r="E176" s="6" t="inlineStr">
        <is>
          <t>Balayı</t>
        </is>
      </c>
      <c r="F176" s="6" t="inlineStr">
        <is>
          <t>Her şey dahil otel. Bilekliğin turuncu. Bu, açık büfeye sınırsız giriş ama spa'ya sınırlı sempati anlamına geliyor.</t>
        </is>
      </c>
      <c r="G176" s="5" t="inlineStr">
        <is>
          <t>sahil</t>
        </is>
      </c>
      <c r="H176" s="5" t="inlineStr"/>
      <c r="I176" s="5" t="inlineStr"/>
      <c r="J176" s="5" t="n">
        <v>1</v>
      </c>
      <c r="K176" s="5" t="inlineStr">
        <is>
          <t>evli</t>
        </is>
      </c>
      <c r="L176" s="5" t="inlineStr">
        <is>
          <t>hapis</t>
        </is>
      </c>
      <c r="M176" s="5" t="inlineStr"/>
      <c r="N176" s="5" t="inlineStr"/>
      <c r="O176" s="5" t="inlineStr"/>
      <c r="P176" s="5" t="inlineStr"/>
      <c r="Q176" s="5" t="inlineStr"/>
      <c r="R176" s="6" t="inlineStr"/>
      <c r="S176" s="5" t="inlineStr"/>
      <c r="T176" s="5" t="inlineStr"/>
      <c r="U176" s="5" t="inlineStr"/>
      <c r="V176" s="5" t="inlineStr"/>
    </row>
    <row r="177">
      <c r="A177" s="5" t="inlineStr">
        <is>
          <t>ms-acilis-gecesi</t>
        </is>
      </c>
      <c r="B177" s="5" t="n">
        <v>7</v>
      </c>
      <c r="C177" s="5" t="inlineStr">
        <is>
          <t>29 yaş 6 ay</t>
        </is>
      </c>
      <c r="D177" s="5" t="inlineStr">
        <is>
          <t>🖼️</t>
        </is>
      </c>
      <c r="E177" s="6" t="inlineStr">
        <is>
          <t>Açılış Gecesi</t>
        </is>
      </c>
      <c r="F177" s="6" t="inlineStr">
        <is>
          <t>İlk kişisel sergin açıldı. İkramlar dizildi. Gelenler: annen, eski ev arkadaşın ve yanlış kapıya girmiş bir kurye.</t>
        </is>
      </c>
      <c r="G177" s="5" t="inlineStr">
        <is>
          <t>sahne</t>
        </is>
      </c>
      <c r="H177" s="5" t="inlineStr"/>
      <c r="I177" s="5" t="inlineStr"/>
      <c r="J177" s="5" t="n">
        <v>1</v>
      </c>
      <c r="K177" s="5" t="inlineStr">
        <is>
          <t>meslek-serbest</t>
        </is>
      </c>
      <c r="L177" s="5" t="inlineStr">
        <is>
          <t>hapis</t>
        </is>
      </c>
      <c r="M177" s="5" t="inlineStr"/>
      <c r="N177" s="5" t="inlineStr"/>
      <c r="O177" s="5" t="inlineStr"/>
      <c r="P177" s="5" t="inlineStr"/>
      <c r="Q177" s="5" t="inlineStr"/>
      <c r="R177" s="6" t="inlineStr"/>
      <c r="S177" s="5" t="inlineStr"/>
      <c r="T177" s="5" t="inlineStr"/>
      <c r="U177" s="5" t="inlineStr"/>
      <c r="V177" s="5" t="inlineStr"/>
    </row>
    <row r="178">
      <c r="A178" s="5" t="inlineStr">
        <is>
          <t>b7-bulasik-makinesi</t>
        </is>
      </c>
      <c r="B178" s="5" t="n">
        <v>7</v>
      </c>
      <c r="C178" s="5" t="inlineStr">
        <is>
          <t>29 yaş 8 ay</t>
        </is>
      </c>
      <c r="D178" s="5" t="inlineStr">
        <is>
          <t>🍽️</t>
        </is>
      </c>
      <c r="E178" s="6" t="inlineStr">
        <is>
          <t>Bulaşık Makinesi Nasıl Dizilir</t>
        </is>
      </c>
      <c r="F178" s="6" t="inlineStr">
        <is>
          <t>İlk büyük kavga. Konu: tabaklar. Eşin makineyi açtı, dizdiğin rafa baktı ve derin bir nefes aldı.</t>
        </is>
      </c>
      <c r="G178" s="5" t="inlineStr">
        <is>
          <t>mutfak</t>
        </is>
      </c>
      <c r="H178" s="5" t="inlineStr">
        <is>
          <t>ev</t>
        </is>
      </c>
      <c r="I178" s="5" t="inlineStr"/>
      <c r="J178" s="5" t="n">
        <v>1</v>
      </c>
      <c r="K178" s="5" t="inlineStr">
        <is>
          <t>evli</t>
        </is>
      </c>
      <c r="L178" s="5" t="inlineStr">
        <is>
          <t>hapis</t>
        </is>
      </c>
      <c r="M178" s="5" t="inlineStr"/>
      <c r="N178" s="5" t="inlineStr"/>
      <c r="O178" s="5" t="inlineStr"/>
      <c r="P178" s="5" t="inlineStr"/>
      <c r="Q178" s="5" t="inlineStr"/>
      <c r="R178" s="6" t="inlineStr"/>
      <c r="S178" s="5" t="inlineStr"/>
      <c r="T178" s="5" t="inlineStr"/>
      <c r="U178" s="5" t="inlineStr"/>
      <c r="V178" s="5" t="inlineStr"/>
    </row>
    <row r="179">
      <c r="A179" s="5" t="inlineStr">
        <is>
          <t>mm-sistem-coktu</t>
        </is>
      </c>
      <c r="B179" s="5" t="n">
        <v>7</v>
      </c>
      <c r="C179" s="5" t="inlineStr">
        <is>
          <t>30 yaş</t>
        </is>
      </c>
      <c r="D179" s="5" t="inlineStr">
        <is>
          <t>💻</t>
        </is>
      </c>
      <c r="E179" s="6" t="inlineStr">
        <is>
          <t>Yeni Sistem Çöktü</t>
        </is>
      </c>
      <c r="F179" s="6" t="inlineStr">
        <is>
          <t>Kurumun yeni dijital sistemi devreye girdi ve on bir dakika sonra çöktü. Ekranda 'Lütfen daha sonra tekrar deneyiniz' yazıyor. Sıra kapıya kadar.</t>
        </is>
      </c>
      <c r="G179" s="5" t="inlineStr">
        <is>
          <t>devlet-dairesi</t>
        </is>
      </c>
      <c r="H179" s="5" t="inlineStr"/>
      <c r="I179" s="5" t="inlineStr"/>
      <c r="J179" s="5" t="inlineStr"/>
      <c r="K179" s="5" t="inlineStr">
        <is>
          <t>meslek-memur</t>
        </is>
      </c>
      <c r="L179" s="5" t="inlineStr">
        <is>
          <t>hapis</t>
        </is>
      </c>
      <c r="M179" s="5" t="inlineStr"/>
      <c r="N179" s="5" t="inlineStr"/>
      <c r="O179" s="5" t="inlineStr"/>
      <c r="P179" s="5" t="inlineStr"/>
      <c r="Q179" s="5" t="inlineStr"/>
      <c r="R179" s="6" t="inlineStr"/>
      <c r="S179" s="5" t="inlineStr"/>
      <c r="T179" s="5" t="inlineStr"/>
      <c r="U179" s="5" t="inlineStr"/>
      <c r="V179" s="5" t="inlineStr"/>
    </row>
    <row r="180">
      <c r="A180" s="5" t="inlineStr">
        <is>
          <t>b7-kayinvalide</t>
        </is>
      </c>
      <c r="B180" s="5" t="n">
        <v>7</v>
      </c>
      <c r="C180" s="5" t="inlineStr">
        <is>
          <t>30 yaş 2 ay</t>
        </is>
      </c>
      <c r="D180" s="5" t="inlineStr">
        <is>
          <t>🫖</t>
        </is>
      </c>
      <c r="E180" s="6" t="inlineStr">
        <is>
          <t>Pazar Kahvaltısı</t>
        </is>
      </c>
      <c r="F180" s="6" t="inlineStr">
        <is>
          <t>Eşinin ailesi kahvaltıya geldi. Kayınvalide menemeni tattı, çatalı bıraktı ve 'Hmm' dedi. Hepsi bu.</t>
        </is>
      </c>
      <c r="G180" s="5" t="inlineStr">
        <is>
          <t>ev</t>
        </is>
      </c>
      <c r="H180" s="5" t="inlineStr">
        <is>
          <t>ev</t>
        </is>
      </c>
      <c r="I180" s="5" t="inlineStr"/>
      <c r="J180" s="5" t="n">
        <v>1</v>
      </c>
      <c r="K180" s="5" t="inlineStr">
        <is>
          <t>evli</t>
        </is>
      </c>
      <c r="L180" s="5" t="inlineStr">
        <is>
          <t>hapis</t>
        </is>
      </c>
      <c r="M180" s="5" t="inlineStr"/>
      <c r="N180" s="5" t="inlineStr"/>
      <c r="O180" s="5" t="inlineStr"/>
      <c r="P180" s="5" t="inlineStr"/>
      <c r="Q180" s="5" t="inlineStr"/>
      <c r="R180" s="6" t="inlineStr"/>
      <c r="S180" s="5" t="inlineStr"/>
      <c r="T180" s="5" t="inlineStr"/>
      <c r="U180" s="5" t="inlineStr"/>
      <c r="V180" s="5" t="inlineStr"/>
    </row>
    <row r="181">
      <c r="A181" s="5" t="inlineStr">
        <is>
          <t>b7-akraba-tanisma</t>
        </is>
      </c>
      <c r="B181" s="5" t="n">
        <v>7</v>
      </c>
      <c r="C181" s="5" t="inlineStr">
        <is>
          <t>30 yaş 4 ay</t>
        </is>
      </c>
      <c r="D181" s="5" t="inlineStr">
        <is>
          <t>☕</t>
        </is>
      </c>
      <c r="E181" s="6" t="inlineStr">
        <is>
          <t>Ayarlanmış Tanışma</t>
        </is>
      </c>
      <c r="F181" s="6" t="inlineStr">
        <is>
          <t>Teyzen 'Tesadüfen komşumun yeğeni de gelecek' dedi. Masada iki fincan, iki teyze ve hiç tesadüf yok.</t>
        </is>
      </c>
      <c r="G181" s="5" t="inlineStr">
        <is>
          <t>kafe</t>
        </is>
      </c>
      <c r="H181" s="5" t="inlineStr">
        <is>
          <t>sosyal</t>
        </is>
      </c>
      <c r="I181" s="5" t="inlineStr"/>
      <c r="J181" s="5" t="n">
        <v>1</v>
      </c>
      <c r="K181" s="5" t="inlineStr"/>
      <c r="L181" s="5" t="inlineStr">
        <is>
          <t>evli, hapis</t>
        </is>
      </c>
      <c r="M181" s="5" t="inlineStr"/>
      <c r="N181" s="5" t="inlineStr"/>
      <c r="O181" s="5" t="inlineStr"/>
      <c r="P181" s="5" t="inlineStr"/>
      <c r="Q181" s="5" t="inlineStr"/>
      <c r="R181" s="6" t="inlineStr"/>
      <c r="S181" s="5" t="inlineStr"/>
      <c r="T181" s="5" t="inlineStr"/>
      <c r="U181" s="5" t="inlineStr"/>
      <c r="V181" s="5" t="inlineStr"/>
    </row>
    <row r="182">
      <c r="A182" s="5" t="inlineStr">
        <is>
          <t>b7-ortak-hesap</t>
        </is>
      </c>
      <c r="B182" s="5" t="n">
        <v>7</v>
      </c>
      <c r="C182" s="5" t="inlineStr">
        <is>
          <t>30 yaş 7 ay</t>
        </is>
      </c>
      <c r="D182" s="5" t="inlineStr">
        <is>
          <t>🏦</t>
        </is>
      </c>
      <c r="E182" s="6" t="inlineStr">
        <is>
          <t>Ortak Hesap</t>
        </is>
      </c>
      <c r="F182" s="6" t="inlineStr">
        <is>
          <t>Bankada ortak hesap açılıyor. Temsilci soruyor: 'Harcama bildirimleri ikinize de gitsin mi?' Oda bir an sessiz.</t>
        </is>
      </c>
      <c r="G182" s="5" t="inlineStr">
        <is>
          <t>banka</t>
        </is>
      </c>
      <c r="H182" s="5" t="inlineStr">
        <is>
          <t>para</t>
        </is>
      </c>
      <c r="I182" s="5" t="inlineStr"/>
      <c r="J182" s="5" t="n">
        <v>1</v>
      </c>
      <c r="K182" s="5" t="inlineStr">
        <is>
          <t>evli</t>
        </is>
      </c>
      <c r="L182" s="5" t="inlineStr">
        <is>
          <t>hapis</t>
        </is>
      </c>
      <c r="M182" s="5" t="inlineStr"/>
      <c r="N182" s="5" t="inlineStr"/>
      <c r="O182" s="5" t="inlineStr"/>
      <c r="P182" s="5" t="inlineStr"/>
      <c r="Q182" s="5" t="inlineStr"/>
      <c r="R182" s="6" t="inlineStr"/>
      <c r="S182" s="5" t="inlineStr"/>
      <c r="T182" s="5" t="inlineStr"/>
      <c r="U182" s="5" t="inlineStr"/>
      <c r="V182" s="5" t="inlineStr"/>
    </row>
    <row r="183">
      <c r="A183" s="5" t="inlineStr">
        <is>
          <t>b7-spor-salonu</t>
        </is>
      </c>
      <c r="B183" s="5" t="n">
        <v>7</v>
      </c>
      <c r="C183" s="5" t="inlineStr">
        <is>
          <t>31 yaş</t>
        </is>
      </c>
      <c r="D183" s="5" t="inlineStr">
        <is>
          <t>🏋️</t>
        </is>
      </c>
      <c r="E183" s="6" t="inlineStr">
        <is>
          <t>Yıllık Üyelik</t>
        </is>
      </c>
      <c r="F183" s="6" t="inlineStr">
        <is>
          <t>Salon yıllık üyelikte büyük indirim yapıyor. Eğitmen, karın kaslarını sana göstermeden konuşmayı bitiremiyor.</t>
        </is>
      </c>
      <c r="G183" s="5" t="inlineStr">
        <is>
          <t>sokak</t>
        </is>
      </c>
      <c r="H183" s="5" t="inlineStr"/>
      <c r="I183" s="5" t="inlineStr"/>
      <c r="J183" s="5" t="n">
        <v>1</v>
      </c>
      <c r="K183" s="5" t="inlineStr"/>
      <c r="L183" s="5" t="inlineStr">
        <is>
          <t>hapis</t>
        </is>
      </c>
      <c r="M183" s="5" t="inlineStr"/>
      <c r="N183" s="5" t="inlineStr"/>
      <c r="O183" s="5" t="inlineStr"/>
      <c r="P183" s="5" t="inlineStr"/>
      <c r="Q183" s="5" t="inlineStr"/>
      <c r="R183" s="6" t="inlineStr"/>
      <c r="S183" s="5" t="inlineStr"/>
      <c r="T183" s="5" t="inlineStr"/>
      <c r="U183" s="5" t="inlineStr"/>
      <c r="V183" s="5" t="inlineStr"/>
    </row>
    <row r="184">
      <c r="A184" s="5" t="inlineStr">
        <is>
          <t>ms-viral</t>
        </is>
      </c>
      <c r="B184" s="5" t="n">
        <v>7</v>
      </c>
      <c r="C184" s="5" t="inlineStr">
        <is>
          <t>31 yaş</t>
        </is>
      </c>
      <c r="D184" s="5" t="inlineStr">
        <is>
          <t>📱</t>
        </is>
      </c>
      <c r="E184" s="6" t="inlineStr">
        <is>
          <t>Bir Anda Viral</t>
        </is>
      </c>
      <c r="F184" s="6" t="inlineStr">
        <is>
          <t>Sokakta yaptığın beş dakikalık performans kısa video uygulamasında iki milyon kez izlendi. Yorumlar: 'Kim bu?' ve 'Bunu ben de yaparım.'</t>
        </is>
      </c>
      <c r="G184" s="5" t="inlineStr">
        <is>
          <t>sokak</t>
        </is>
      </c>
      <c r="H184" s="5" t="inlineStr"/>
      <c r="I184" s="5" t="inlineStr"/>
      <c r="J184" s="5" t="n">
        <v>1</v>
      </c>
      <c r="K184" s="5" t="inlineStr">
        <is>
          <t>meslek-serbest</t>
        </is>
      </c>
      <c r="L184" s="5" t="inlineStr">
        <is>
          <t>hapis</t>
        </is>
      </c>
      <c r="M184" s="5" t="inlineStr"/>
      <c r="N184" s="5" t="inlineStr"/>
      <c r="O184" s="5" t="inlineStr"/>
      <c r="P184" s="5" t="inlineStr"/>
      <c r="Q184" s="5" t="inlineStr"/>
      <c r="R184" s="6" t="inlineStr"/>
      <c r="S184" s="5" t="inlineStr"/>
      <c r="T184" s="5" t="inlineStr"/>
      <c r="U184" s="5" t="inlineStr"/>
      <c r="V184" s="5" t="inlineStr"/>
    </row>
    <row r="185">
      <c r="A185" s="5" t="inlineStr">
        <is>
          <t>b7-cocuk-karari</t>
        </is>
      </c>
      <c r="B185" s="5" t="n">
        <v>7</v>
      </c>
      <c r="C185" s="5" t="inlineStr">
        <is>
          <t>31 yaş 6 ay</t>
        </is>
      </c>
      <c r="D185" s="5" t="inlineStr">
        <is>
          <t>🍼</t>
        </is>
      </c>
      <c r="E185" s="6" t="inlineStr">
        <is>
          <t>Çocuk Meselesi</t>
        </is>
      </c>
      <c r="F185" s="6" t="inlineStr">
        <is>
          <t>Akşam yemeğinde eşin çatalı bıraktı: 'Artık konuşmamız gereken bir şey var.' Arkada televizyon, bebek bezi reklamı yayınlıyor.</t>
        </is>
      </c>
      <c r="G185" s="5" t="inlineStr">
        <is>
          <t>ev</t>
        </is>
      </c>
      <c r="H185" s="5" t="inlineStr">
        <is>
          <t>ev</t>
        </is>
      </c>
      <c r="I185" s="5" t="inlineStr">
        <is>
          <t>E</t>
        </is>
      </c>
      <c r="J185" s="5" t="n">
        <v>1</v>
      </c>
      <c r="K185" s="5" t="inlineStr">
        <is>
          <t>evli</t>
        </is>
      </c>
      <c r="L185" s="5" t="inlineStr">
        <is>
          <t>hapis</t>
        </is>
      </c>
      <c r="M185" s="5" t="inlineStr"/>
      <c r="N185" s="5" t="inlineStr"/>
      <c r="O185" s="5" t="inlineStr"/>
      <c r="P185" s="5" t="inlineStr"/>
      <c r="Q185" s="5" t="n">
        <v>8</v>
      </c>
      <c r="R185" s="6" t="inlineStr">
        <is>
          <t>Bebek bezi reklamı tesadüf değil. Bu akşamdan sonra evde ya bir beşik ya da çok uzun bir seyahat planı olacak.</t>
        </is>
      </c>
      <c r="S185" s="5" t="inlineStr">
        <is>
          <t>Çocuklu hayat</t>
        </is>
      </c>
      <c r="T185" s="5" t="inlineStr">
        <is>
          <t>Şimdilik ikimiz</t>
        </is>
      </c>
      <c r="U185" s="5" t="inlineStr"/>
      <c r="V185" s="5" t="inlineStr"/>
    </row>
    <row r="186">
      <c r="A186" s="5" t="inlineStr">
        <is>
          <t>me-kasa-ve-pos</t>
        </is>
      </c>
      <c r="B186" s="5" t="n">
        <v>7</v>
      </c>
      <c r="C186" s="5" t="inlineStr">
        <is>
          <t>31 yaş 6 ay</t>
        </is>
      </c>
      <c r="D186" s="5" t="inlineStr">
        <is>
          <t>🪙</t>
        </is>
      </c>
      <c r="E186" s="6" t="inlineStr">
        <is>
          <t>Kasa ve Pos</t>
        </is>
      </c>
      <c r="F186" s="6" t="inlineStr">
        <is>
          <t>Müşteri 'Bozuğunuz var mı?' diye sorarken bozuk kutusu tezgâhtan kaydı. Bozukluklar dükkâna yayıldı; pos cihazı 'bağlantı bekleniyor' yazıyor.</t>
        </is>
      </c>
      <c r="G186" s="5" t="inlineStr">
        <is>
          <t>dukkan</t>
        </is>
      </c>
      <c r="H186" s="5" t="inlineStr"/>
      <c r="I186" s="5" t="inlineStr"/>
      <c r="J186" s="5" t="inlineStr"/>
      <c r="K186" s="5" t="inlineStr">
        <is>
          <t>meslek-esnaf</t>
        </is>
      </c>
      <c r="L186" s="5" t="inlineStr">
        <is>
          <t>hapis</t>
        </is>
      </c>
      <c r="M186" s="5" t="inlineStr"/>
      <c r="N186" s="5" t="inlineStr"/>
      <c r="O186" s="5" t="inlineStr"/>
      <c r="P186" s="5" t="inlineStr"/>
      <c r="Q186" s="5" t="inlineStr"/>
      <c r="R186" s="6" t="inlineStr"/>
      <c r="S186" s="5" t="inlineStr"/>
      <c r="T186" s="5" t="inlineStr"/>
      <c r="U186" s="5" t="inlineStr"/>
      <c r="V186" s="5" t="inlineStr"/>
    </row>
    <row r="187">
      <c r="A187" s="5" t="inlineStr">
        <is>
          <t>b7-tek-kisilik-tatil</t>
        </is>
      </c>
      <c r="B187" s="5" t="n">
        <v>7</v>
      </c>
      <c r="C187" s="5" t="inlineStr">
        <is>
          <t>31 yaş 9 ay</t>
        </is>
      </c>
      <c r="D187" s="5" t="inlineStr">
        <is>
          <t>🧳</t>
        </is>
      </c>
      <c r="E187" s="6" t="inlineStr">
        <is>
          <t>Tek Kişilik Tatil</t>
        </is>
      </c>
      <c r="F187" s="6" t="inlineStr">
        <is>
          <t>Otel resepsiyonu 'Kaç kişisiniz?' diye soruyor. Arkandaki çift de cevabını merak ediyor.</t>
        </is>
      </c>
      <c r="G187" s="5" t="inlineStr">
        <is>
          <t>sahil</t>
        </is>
      </c>
      <c r="H187" s="5" t="inlineStr"/>
      <c r="I187" s="5" t="inlineStr"/>
      <c r="J187" s="5" t="n">
        <v>1</v>
      </c>
      <c r="K187" s="5" t="inlineStr"/>
      <c r="L187" s="5" t="inlineStr">
        <is>
          <t>evli, hapis</t>
        </is>
      </c>
      <c r="M187" s="5" t="inlineStr"/>
      <c r="N187" s="5" t="inlineStr"/>
      <c r="O187" s="5" t="inlineStr"/>
      <c r="P187" s="5" t="inlineStr"/>
      <c r="Q187" s="5" t="inlineStr"/>
      <c r="R187" s="6" t="inlineStr"/>
      <c r="S187" s="5" t="inlineStr"/>
      <c r="T187" s="5" t="inlineStr"/>
      <c r="U187" s="5" t="inlineStr"/>
      <c r="V187" s="5" t="inlineStr"/>
    </row>
    <row r="188">
      <c r="A188" s="5" t="inlineStr">
        <is>
          <t>mb-terfi-yarisi</t>
        </is>
      </c>
      <c r="B188" s="5" t="n">
        <v>7</v>
      </c>
      <c r="C188" s="5" t="inlineStr">
        <is>
          <t>32 yaş</t>
        </is>
      </c>
      <c r="D188" s="5" t="inlineStr">
        <is>
          <t>🪜</t>
        </is>
      </c>
      <c r="E188" s="6" t="inlineStr">
        <is>
          <t>Terfi Yarışı</t>
        </is>
      </c>
      <c r="F188" s="6" t="inlineStr">
        <is>
          <t>Takım lideri kadrosu açıldı. İki aday var: sen ve her öğle yemeğinde yöneticiyle aynı masaya oturan kişi.</t>
        </is>
      </c>
      <c r="G188" s="5" t="inlineStr">
        <is>
          <t>ofis</t>
        </is>
      </c>
      <c r="H188" s="5" t="inlineStr"/>
      <c r="I188" s="5" t="inlineStr"/>
      <c r="J188" s="5" t="n">
        <v>1</v>
      </c>
      <c r="K188" s="5" t="inlineStr">
        <is>
          <t>meslek-beyazyaka</t>
        </is>
      </c>
      <c r="L188" s="5" t="inlineStr">
        <is>
          <t>hapis</t>
        </is>
      </c>
      <c r="M188" s="5" t="inlineStr"/>
      <c r="N188" s="5" t="inlineStr"/>
      <c r="O188" s="5" t="inlineStr"/>
      <c r="P188" s="5" t="inlineStr"/>
      <c r="Q188" s="5" t="inlineStr"/>
      <c r="R188" s="6" t="inlineStr"/>
      <c r="S188" s="5" t="inlineStr"/>
      <c r="T188" s="5" t="inlineStr"/>
      <c r="U188" s="5" t="inlineStr"/>
      <c r="V188" s="5" t="inlineStr"/>
    </row>
    <row r="189">
      <c r="A189" s="5" t="inlineStr">
        <is>
          <t>mm-lojman-kurasi</t>
        </is>
      </c>
      <c r="B189" s="5" t="n">
        <v>7</v>
      </c>
      <c r="C189" s="5" t="inlineStr">
        <is>
          <t>32 yaş</t>
        </is>
      </c>
      <c r="D189" s="5" t="inlineStr">
        <is>
          <t>🏢</t>
        </is>
      </c>
      <c r="E189" s="6" t="inlineStr">
        <is>
          <t>Lojman Kurası</t>
        </is>
      </c>
      <c r="F189" s="6" t="inlineStr">
        <is>
          <t>Lojman kurası çekilecek. Dört daire, kırk başvuru. Dairelerden biri müdürün alt katı; ötekilerin kaloriferi yok.</t>
        </is>
      </c>
      <c r="G189" s="5" t="inlineStr">
        <is>
          <t>apartman</t>
        </is>
      </c>
      <c r="H189" s="5" t="inlineStr"/>
      <c r="I189" s="5" t="inlineStr"/>
      <c r="J189" s="5" t="inlineStr"/>
      <c r="K189" s="5" t="inlineStr">
        <is>
          <t>meslek-memur</t>
        </is>
      </c>
      <c r="L189" s="5" t="inlineStr">
        <is>
          <t>hapis</t>
        </is>
      </c>
      <c r="M189" s="5" t="inlineStr"/>
      <c r="N189" s="5" t="inlineStr"/>
      <c r="O189" s="5" t="inlineStr"/>
      <c r="P189" s="5" t="inlineStr"/>
      <c r="Q189" s="5" t="inlineStr"/>
      <c r="R189" s="6" t="inlineStr"/>
      <c r="S189" s="5" t="inlineStr"/>
      <c r="T189" s="5" t="inlineStr"/>
      <c r="U189" s="5" t="inlineStr"/>
      <c r="V189" s="5" t="inlineStr"/>
    </row>
    <row r="190">
      <c r="A190" s="5" t="inlineStr">
        <is>
          <t>b7-bayram-rotasi</t>
        </is>
      </c>
      <c r="B190" s="5" t="n">
        <v>7</v>
      </c>
      <c r="C190" s="5" t="inlineStr">
        <is>
          <t>32 yaş 3 ay</t>
        </is>
      </c>
      <c r="D190" s="5" t="inlineStr">
        <is>
          <t>🧭</t>
        </is>
      </c>
      <c r="E190" s="6" t="inlineStr">
        <is>
          <t>Bayram Rotası</t>
        </is>
      </c>
      <c r="F190" s="6" t="inlineStr">
        <is>
          <t>Bayram geliyor. İki aile, iki şehir, dört gün. Eşin haritayı açtı. Sen takvimi açtın. Kimse konuşmuyor.</t>
        </is>
      </c>
      <c r="G190" s="5" t="inlineStr">
        <is>
          <t>trafik</t>
        </is>
      </c>
      <c r="H190" s="5" t="inlineStr">
        <is>
          <t>sosyal</t>
        </is>
      </c>
      <c r="I190" s="5" t="inlineStr"/>
      <c r="J190" s="5" t="n">
        <v>1</v>
      </c>
      <c r="K190" s="5" t="inlineStr">
        <is>
          <t>evli</t>
        </is>
      </c>
      <c r="L190" s="5" t="inlineStr">
        <is>
          <t>hapis</t>
        </is>
      </c>
      <c r="M190" s="5" t="inlineStr"/>
      <c r="N190" s="5" t="inlineStr"/>
      <c r="O190" s="5" t="inlineStr"/>
      <c r="P190" s="5" t="inlineStr"/>
      <c r="Q190" s="5" t="inlineStr"/>
      <c r="R190" s="6" t="inlineStr"/>
      <c r="S190" s="5" t="inlineStr"/>
      <c r="T190" s="5" t="inlineStr"/>
      <c r="U190" s="5" t="inlineStr"/>
      <c r="V190" s="5" t="inlineStr"/>
    </row>
    <row r="191">
      <c r="A191" s="5" t="inlineStr">
        <is>
          <t>b7-uykusuz-geceler</t>
        </is>
      </c>
      <c r="B191" s="5" t="n">
        <v>7</v>
      </c>
      <c r="C191" s="5" t="inlineStr">
        <is>
          <t>32 yaş 8 ay</t>
        </is>
      </c>
      <c r="D191" s="5" t="inlineStr">
        <is>
          <t>🌙</t>
        </is>
      </c>
      <c r="E191" s="6" t="inlineStr">
        <is>
          <t>Gece Vardiyası</t>
        </is>
      </c>
      <c r="F191" s="6" t="inlineStr">
        <is>
          <t>Saat 03:00. Bebek uyanık. Sen de uyanıksın. Bir zamanlar senin de ailen bu saatte seni izliyordu. Döngü tamamlandı.</t>
        </is>
      </c>
      <c r="G191" s="5" t="inlineStr">
        <is>
          <t>cocuk-odasi</t>
        </is>
      </c>
      <c r="H191" s="5" t="inlineStr">
        <is>
          <t>ev</t>
        </is>
      </c>
      <c r="I191" s="5" t="inlineStr"/>
      <c r="J191" s="5" t="n">
        <v>1</v>
      </c>
      <c r="K191" s="5" t="inlineStr">
        <is>
          <t>cocuklu</t>
        </is>
      </c>
      <c r="L191" s="5" t="inlineStr">
        <is>
          <t>hapis</t>
        </is>
      </c>
      <c r="M191" s="5" t="inlineStr"/>
      <c r="N191" s="5" t="inlineStr"/>
      <c r="O191" s="5" t="inlineStr"/>
      <c r="P191" s="5" t="inlineStr"/>
      <c r="Q191" s="5" t="inlineStr"/>
      <c r="R191" s="6" t="inlineStr"/>
      <c r="S191" s="5" t="inlineStr"/>
      <c r="T191" s="5" t="inlineStr"/>
      <c r="U191" s="5" t="inlineStr"/>
      <c r="V191" s="5" t="inlineStr"/>
    </row>
    <row r="192">
      <c r="A192" s="5" t="inlineStr">
        <is>
          <t>b7-site-toplantisi</t>
        </is>
      </c>
      <c r="B192" s="5" t="n">
        <v>7</v>
      </c>
      <c r="C192" s="5" t="inlineStr">
        <is>
          <t>33 yaş</t>
        </is>
      </c>
      <c r="D192" s="5" t="inlineStr">
        <is>
          <t>🏢</t>
        </is>
      </c>
      <c r="E192" s="6" t="inlineStr">
        <is>
          <t>Olağan Genel Kurul</t>
        </is>
      </c>
      <c r="F192" s="6" t="inlineStr">
        <is>
          <t>Site toplantısı. Gündem: aidat artışı, çatı yalıtımı, 4. kattaki komşunun ayakkabılığı. Bu toplantı üç saat sürecek.</t>
        </is>
      </c>
      <c r="G192" s="5" t="inlineStr">
        <is>
          <t>apartman</t>
        </is>
      </c>
      <c r="H192" s="5" t="inlineStr">
        <is>
          <t>para</t>
        </is>
      </c>
      <c r="I192" s="5" t="inlineStr"/>
      <c r="J192" s="5" t="n">
        <v>1</v>
      </c>
      <c r="K192" s="5" t="inlineStr"/>
      <c r="L192" s="5" t="inlineStr">
        <is>
          <t>hapis</t>
        </is>
      </c>
      <c r="M192" s="5" t="inlineStr"/>
      <c r="N192" s="5" t="inlineStr"/>
      <c r="O192" s="5" t="inlineStr"/>
      <c r="P192" s="5" t="inlineStr"/>
      <c r="Q192" s="5" t="inlineStr"/>
      <c r="R192" s="6" t="inlineStr"/>
      <c r="S192" s="5" t="inlineStr"/>
      <c r="T192" s="5" t="inlineStr"/>
      <c r="U192" s="5" t="inlineStr"/>
      <c r="V192" s="5" t="inlineStr"/>
    </row>
    <row r="193">
      <c r="A193" s="5" t="inlineStr">
        <is>
          <t>ms-yapay-zeka-rakip</t>
        </is>
      </c>
      <c r="B193" s="5" t="n">
        <v>7</v>
      </c>
      <c r="C193" s="5" t="inlineStr">
        <is>
          <t>33 yaş</t>
        </is>
      </c>
      <c r="D193" s="5" t="inlineStr">
        <is>
          <t>🦾</t>
        </is>
      </c>
      <c r="E193" s="6" t="inlineStr">
        <is>
          <t>Yapay Zekâ Rekabeti</t>
        </is>
      </c>
      <c r="F193" s="6" t="inlineStr">
        <is>
          <t>Müşteri yazdı: 'Yapay zekâ bunu beş saniyede yaptı. Siz neden beş gün istiyorsunuz?' Ekte altı parmaklı bir el var.</t>
        </is>
      </c>
      <c r="G193" s="5" t="inlineStr">
        <is>
          <t>ev</t>
        </is>
      </c>
      <c r="H193" s="5" t="inlineStr"/>
      <c r="I193" s="5" t="inlineStr"/>
      <c r="J193" s="5" t="n">
        <v>1</v>
      </c>
      <c r="K193" s="5" t="inlineStr">
        <is>
          <t>meslek-serbest</t>
        </is>
      </c>
      <c r="L193" s="5" t="inlineStr">
        <is>
          <t>hapis</t>
        </is>
      </c>
      <c r="M193" s="5" t="inlineStr"/>
      <c r="N193" s="5" t="inlineStr"/>
      <c r="O193" s="5" t="inlineStr"/>
      <c r="P193" s="5" t="inlineStr"/>
      <c r="Q193" s="5" t="inlineStr"/>
      <c r="R193" s="6" t="inlineStr"/>
      <c r="S193" s="5" t="inlineStr"/>
      <c r="T193" s="5" t="inlineStr"/>
      <c r="U193" s="5" t="inlineStr"/>
      <c r="V193" s="5" t="inlineStr"/>
    </row>
    <row r="194">
      <c r="A194" s="5" t="inlineStr">
        <is>
          <t>b7-ilk-kelime</t>
        </is>
      </c>
      <c r="B194" s="5" t="n">
        <v>7</v>
      </c>
      <c r="C194" s="5" t="inlineStr">
        <is>
          <t>33 yaş 4 ay</t>
        </is>
      </c>
      <c r="D194" s="5" t="inlineStr">
        <is>
          <t>🗣️</t>
        </is>
      </c>
      <c r="E194" s="6" t="inlineStr">
        <is>
          <t>İlk Kelime</t>
        </is>
      </c>
      <c r="F194" s="6" t="inlineStr">
        <is>
          <t>Bütün aile nefesini tutmuş. Çocuğun ağzını açtı. Kameralar hazır. Tarih yazılmak üzere.</t>
        </is>
      </c>
      <c r="G194" s="5" t="inlineStr">
        <is>
          <t>ev</t>
        </is>
      </c>
      <c r="H194" s="5" t="inlineStr">
        <is>
          <t>ev</t>
        </is>
      </c>
      <c r="I194" s="5" t="inlineStr"/>
      <c r="J194" s="5" t="n">
        <v>1</v>
      </c>
      <c r="K194" s="5" t="inlineStr">
        <is>
          <t>cocuklu</t>
        </is>
      </c>
      <c r="L194" s="5" t="inlineStr">
        <is>
          <t>hapis</t>
        </is>
      </c>
      <c r="M194" s="5" t="inlineStr"/>
      <c r="N194" s="5" t="inlineStr"/>
      <c r="O194" s="5" t="inlineStr"/>
      <c r="P194" s="5" t="inlineStr"/>
      <c r="Q194" s="5" t="inlineStr"/>
      <c r="R194" s="6" t="inlineStr"/>
      <c r="S194" s="5" t="inlineStr"/>
      <c r="T194" s="5" t="inlineStr"/>
      <c r="U194" s="5" t="inlineStr"/>
      <c r="V194" s="5" t="inlineStr"/>
    </row>
    <row r="195">
      <c r="A195" s="5" t="inlineStr">
        <is>
          <t>b7-cocuklu-dogum-gunu</t>
        </is>
      </c>
      <c r="B195" s="5" t="n">
        <v>7</v>
      </c>
      <c r="C195" s="5" t="inlineStr">
        <is>
          <t>33 yaş 8 ay</t>
        </is>
      </c>
      <c r="D195" s="5" t="inlineStr">
        <is>
          <t>🎈</t>
        </is>
      </c>
      <c r="E195" s="6" t="inlineStr">
        <is>
          <t>Beş Yaş Partisi</t>
        </is>
      </c>
      <c r="F195" s="6" t="inlineStr">
        <is>
          <t>Arkadaşının çocuğunun doğum günündesin. Tek çocuksuz yetişkin sensin. Bir çocuk sana 'Senin çocuğun hangisi?' diye soruyor.</t>
        </is>
      </c>
      <c r="G195" s="5" t="inlineStr">
        <is>
          <t>park</t>
        </is>
      </c>
      <c r="H195" s="5" t="inlineStr">
        <is>
          <t>sosyal</t>
        </is>
      </c>
      <c r="I195" s="5" t="inlineStr"/>
      <c r="J195" s="5" t="n">
        <v>1</v>
      </c>
      <c r="K195" s="5" t="inlineStr"/>
      <c r="L195" s="5" t="inlineStr">
        <is>
          <t>evli, hapis</t>
        </is>
      </c>
      <c r="M195" s="5" t="inlineStr"/>
      <c r="N195" s="5" t="inlineStr"/>
      <c r="O195" s="5" t="inlineStr"/>
      <c r="P195" s="5" t="inlineStr"/>
      <c r="Q195" s="5" t="inlineStr"/>
      <c r="R195" s="6" t="inlineStr"/>
      <c r="S195" s="5" t="inlineStr"/>
      <c r="T195" s="5" t="inlineStr"/>
      <c r="U195" s="5" t="inlineStr"/>
      <c r="V195" s="5" t="inlineStr"/>
    </row>
    <row r="196">
      <c r="A196" s="5" t="inlineStr">
        <is>
          <t>b7-ev-esyasi</t>
        </is>
      </c>
      <c r="B196" s="5" t="n">
        <v>7</v>
      </c>
      <c r="C196" s="5" t="inlineStr">
        <is>
          <t>34 yaş</t>
        </is>
      </c>
      <c r="D196" s="5" t="inlineStr">
        <is>
          <t>🛋️</t>
        </is>
      </c>
      <c r="E196" s="6" t="inlineStr">
        <is>
          <t>Koltuk Takımı</t>
        </is>
      </c>
      <c r="F196" s="6" t="inlineStr">
        <is>
          <t>Mobilya mağazasında üç saattir aynı iki koltuğa bakıyorsunuz. Satış danışmanı artık sizinle birlikte yaşlanıyor.</t>
        </is>
      </c>
      <c r="G196" s="5" t="inlineStr">
        <is>
          <t>carsi</t>
        </is>
      </c>
      <c r="H196" s="5" t="inlineStr">
        <is>
          <t>ev</t>
        </is>
      </c>
      <c r="I196" s="5" t="inlineStr"/>
      <c r="J196" s="5" t="n">
        <v>1</v>
      </c>
      <c r="K196" s="5" t="inlineStr">
        <is>
          <t>evli</t>
        </is>
      </c>
      <c r="L196" s="5" t="inlineStr">
        <is>
          <t>hapis</t>
        </is>
      </c>
      <c r="M196" s="5" t="inlineStr"/>
      <c r="N196" s="5" t="inlineStr"/>
      <c r="O196" s="5" t="inlineStr"/>
      <c r="P196" s="5" t="inlineStr"/>
      <c r="Q196" s="5" t="inlineStr"/>
      <c r="R196" s="6" t="inlineStr"/>
      <c r="S196" s="5" t="inlineStr"/>
      <c r="T196" s="5" t="inlineStr"/>
      <c r="U196" s="5" t="inlineStr"/>
      <c r="V196" s="5" t="inlineStr"/>
    </row>
    <row r="197">
      <c r="A197" s="5" t="inlineStr">
        <is>
          <t>mb-yillik-izin</t>
        </is>
      </c>
      <c r="B197" s="5" t="n">
        <v>7</v>
      </c>
      <c r="C197" s="5" t="inlineStr">
        <is>
          <t>34 yaş</t>
        </is>
      </c>
      <c r="D197" s="5" t="inlineStr">
        <is>
          <t>🏖️</t>
        </is>
      </c>
      <c r="E197" s="6" t="inlineStr">
        <is>
          <t>Yıllık İzin Savaşı</t>
        </is>
      </c>
      <c r="F197" s="6" t="inlineStr">
        <is>
          <t>İzin planlama sistemi açıldı. Bayram köprüsü için bütün ekip aynı saniyede tıkladı. Sistem çöktü.</t>
        </is>
      </c>
      <c r="G197" s="5" t="inlineStr">
        <is>
          <t>ofis</t>
        </is>
      </c>
      <c r="H197" s="5" t="inlineStr"/>
      <c r="I197" s="5" t="inlineStr"/>
      <c r="J197" s="5" t="n">
        <v>1</v>
      </c>
      <c r="K197" s="5" t="inlineStr">
        <is>
          <t>meslek-beyazyaka</t>
        </is>
      </c>
      <c r="L197" s="5" t="inlineStr">
        <is>
          <t>hapis</t>
        </is>
      </c>
      <c r="M197" s="5" t="inlineStr"/>
      <c r="N197" s="5" t="inlineStr"/>
      <c r="O197" s="5" t="inlineStr"/>
      <c r="P197" s="5" t="inlineStr"/>
      <c r="Q197" s="5" t="inlineStr"/>
      <c r="R197" s="6" t="inlineStr"/>
      <c r="S197" s="5" t="inlineStr"/>
      <c r="T197" s="5" t="inlineStr"/>
      <c r="U197" s="5" t="inlineStr"/>
      <c r="V197" s="5" t="inlineStr"/>
    </row>
    <row r="198">
      <c r="A198" s="5" t="inlineStr">
        <is>
          <t>me-cirak</t>
        </is>
      </c>
      <c r="B198" s="5" t="n">
        <v>7</v>
      </c>
      <c r="C198" s="5" t="inlineStr">
        <is>
          <t>34 yaş</t>
        </is>
      </c>
      <c r="D198" s="5" t="inlineStr">
        <is>
          <t>🧰</t>
        </is>
      </c>
      <c r="E198" s="6" t="inlineStr">
        <is>
          <t>Çırak Geldi</t>
        </is>
      </c>
      <c r="F198" s="6" t="inlineStr">
        <is>
          <t>Bir genç kapıda: 'Usta, eleman lazım mı?' Usta sensin. Bu kelimeyi ilk kez senin için kullandılar.</t>
        </is>
      </c>
      <c r="G198" s="5" t="inlineStr">
        <is>
          <t>dukkan</t>
        </is>
      </c>
      <c r="H198" s="5" t="inlineStr"/>
      <c r="I198" s="5" t="inlineStr"/>
      <c r="J198" s="5" t="inlineStr"/>
      <c r="K198" s="5" t="inlineStr">
        <is>
          <t>meslek-esnaf</t>
        </is>
      </c>
      <c r="L198" s="5" t="inlineStr">
        <is>
          <t>hapis</t>
        </is>
      </c>
      <c r="M198" s="5" t="inlineStr"/>
      <c r="N198" s="5" t="inlineStr"/>
      <c r="O198" s="5" t="inlineStr"/>
      <c r="P198" s="5" t="inlineStr"/>
      <c r="Q198" s="5" t="inlineStr"/>
      <c r="R198" s="6" t="inlineStr"/>
      <c r="S198" s="5" t="inlineStr"/>
      <c r="T198" s="5" t="inlineStr"/>
      <c r="U198" s="5" t="inlineStr"/>
      <c r="V198" s="5" t="inlineStr"/>
    </row>
    <row r="199">
      <c r="A199" s="5" t="inlineStr">
        <is>
          <t>b7-ev-kredisi</t>
        </is>
      </c>
      <c r="B199" s="5" t="n">
        <v>7</v>
      </c>
      <c r="C199" s="5" t="inlineStr">
        <is>
          <t>34 yaş 6 ay</t>
        </is>
      </c>
      <c r="D199" s="5" t="inlineStr">
        <is>
          <t>🔑</t>
        </is>
      </c>
      <c r="E199" s="6" t="inlineStr">
        <is>
          <t>Ev Meselesi</t>
        </is>
      </c>
      <c r="F199" s="6" t="inlineStr">
        <is>
          <t>Emlakçı “Bu fiyata bir daha bulamazsınız” dedi; dördüncü emlakçı. Banka temsilcisi yirmi yıllık bir tablo uzattı, son satırında yaşın 54. Annen telefonda: “Kiraya verilen para sokağa atılan paradır.”</t>
        </is>
      </c>
      <c r="G199" s="5" t="inlineStr">
        <is>
          <t>banka</t>
        </is>
      </c>
      <c r="H199" s="5" t="inlineStr">
        <is>
          <t>para</t>
        </is>
      </c>
      <c r="I199" s="5" t="inlineStr">
        <is>
          <t>E</t>
        </is>
      </c>
      <c r="J199" s="5" t="n">
        <v>1</v>
      </c>
      <c r="K199" s="5" t="inlineStr"/>
      <c r="L199" s="5" t="inlineStr">
        <is>
          <t>ev-sahibi, hapis</t>
        </is>
      </c>
      <c r="M199" s="5" t="inlineStr"/>
      <c r="N199" s="5" t="inlineStr"/>
      <c r="O199" s="5" t="inlineStr"/>
      <c r="P199" s="5" t="inlineStr"/>
      <c r="Q199" s="5" t="n">
        <v>9</v>
      </c>
      <c r="R199" s="6" t="inlineStr">
        <is>
          <t>Tapu, bu ülkede bir hayatın kısa özetidir. Kimi krediyle alır ve yirmi yıl bankayla evli kalır, kimi ailesinden alır ve her pazar ailesini ağırlar, kimi hiç almaz ve her yıl ev sahibinin mesajını bekler.</t>
        </is>
      </c>
      <c r="S199" s="5" t="inlineStr"/>
      <c r="T199" s="5" t="inlineStr"/>
      <c r="U199" s="5" t="inlineStr"/>
      <c r="V199" s="5" t="inlineStr"/>
    </row>
    <row r="200">
      <c r="A200" s="5" t="inlineStr">
        <is>
          <t>b7-kres-kaydi</t>
        </is>
      </c>
      <c r="B200" s="5" t="n">
        <v>7</v>
      </c>
      <c r="C200" s="5" t="inlineStr">
        <is>
          <t>34 yaş 10 ay</t>
        </is>
      </c>
      <c r="D200" s="5" t="inlineStr">
        <is>
          <t>🎒</t>
        </is>
      </c>
      <c r="E200" s="6" t="inlineStr">
        <is>
          <t>Kreş Kaydı</t>
        </is>
      </c>
      <c r="F200" s="6" t="inlineStr">
        <is>
          <t>Kreşin müdürü sorular soruyor: 'Çocuğunuzun sosyal becerileri nasıl?' Sonra: 'Sizinkiler nasıl?'</t>
        </is>
      </c>
      <c r="G200" s="5" t="inlineStr">
        <is>
          <t>okul</t>
        </is>
      </c>
      <c r="H200" s="5" t="inlineStr">
        <is>
          <t>okul-iş</t>
        </is>
      </c>
      <c r="I200" s="5" t="inlineStr"/>
      <c r="J200" s="5" t="n">
        <v>1</v>
      </c>
      <c r="K200" s="5" t="inlineStr">
        <is>
          <t>cocuklu</t>
        </is>
      </c>
      <c r="L200" s="5" t="inlineStr">
        <is>
          <t>hapis</t>
        </is>
      </c>
      <c r="M200" s="5" t="inlineStr"/>
      <c r="N200" s="5" t="inlineStr"/>
      <c r="O200" s="5" t="inlineStr"/>
      <c r="P200" s="5" t="inlineStr"/>
      <c r="Q200" s="5" t="inlineStr"/>
      <c r="R200" s="6" t="inlineStr"/>
      <c r="S200" s="5" t="inlineStr"/>
      <c r="T200" s="5" t="inlineStr"/>
      <c r="U200" s="5" t="inlineStr"/>
      <c r="V200" s="5" t="inlineStr"/>
    </row>
    <row r="201">
      <c r="A201" s="5" t="inlineStr">
        <is>
          <t>mm-kayip-dosya</t>
        </is>
      </c>
      <c r="B201" s="5" t="n">
        <v>7</v>
      </c>
      <c r="C201" s="5" t="inlineStr">
        <is>
          <t>35 yaş</t>
        </is>
      </c>
      <c r="D201" s="5" t="inlineStr">
        <is>
          <t>📁</t>
        </is>
      </c>
      <c r="E201" s="6" t="inlineStr">
        <is>
          <t>Kayıp Dosya</t>
        </is>
      </c>
      <c r="F201" s="6" t="inlineStr">
        <is>
          <t>Bir dosya kayboldu. Numarası belli, sahibi belli, rafı belli. Rafta sadece dosyanın boşluğu var.</t>
        </is>
      </c>
      <c r="G201" s="5" t="inlineStr">
        <is>
          <t>devlet-dairesi</t>
        </is>
      </c>
      <c r="H201" s="5" t="inlineStr"/>
      <c r="I201" s="5" t="inlineStr"/>
      <c r="J201" s="5" t="inlineStr"/>
      <c r="K201" s="5" t="inlineStr">
        <is>
          <t>meslek-memur</t>
        </is>
      </c>
      <c r="L201" s="5" t="inlineStr">
        <is>
          <t>hapis</t>
        </is>
      </c>
      <c r="M201" s="5" t="inlineStr"/>
      <c r="N201" s="5" t="inlineStr"/>
      <c r="O201" s="5" t="inlineStr"/>
      <c r="P201" s="5" t="inlineStr"/>
      <c r="Q201" s="5" t="inlineStr"/>
      <c r="R201" s="6" t="inlineStr"/>
      <c r="S201" s="5" t="inlineStr"/>
      <c r="T201" s="5" t="inlineStr"/>
      <c r="U201" s="5" t="inlineStr"/>
      <c r="V201" s="5" t="inlineStr"/>
    </row>
    <row r="202">
      <c r="A202" s="5" t="inlineStr">
        <is>
          <t>b7-saglik-kontrolu</t>
        </is>
      </c>
      <c r="B202" s="5" t="n">
        <v>7</v>
      </c>
      <c r="C202" s="5" t="inlineStr">
        <is>
          <t>35 yaş 3 ay</t>
        </is>
      </c>
      <c r="D202" s="5" t="inlineStr">
        <is>
          <t>🩺</t>
        </is>
      </c>
      <c r="E202" s="6" t="inlineStr">
        <is>
          <t>Genel Kontrol</t>
        </is>
      </c>
      <c r="F202" s="6" t="inlineStr">
        <is>
          <t>Doktor tahlil sonuçlarına bakıp 'Hmm' dedi. Sonra 'Spor yapıyor musunuz?' diye sordu. Cevap vermeden önce yüzün cevap verdi.</t>
        </is>
      </c>
      <c r="G202" s="5" t="inlineStr">
        <is>
          <t>hastane</t>
        </is>
      </c>
      <c r="H202" s="5" t="inlineStr"/>
      <c r="I202" s="5" t="inlineStr"/>
      <c r="J202" s="5" t="n">
        <v>1</v>
      </c>
      <c r="K202" s="5" t="inlineStr"/>
      <c r="L202" s="5" t="inlineStr">
        <is>
          <t>hapis</t>
        </is>
      </c>
      <c r="M202" s="5" t="inlineStr"/>
      <c r="N202" s="5" t="inlineStr"/>
      <c r="O202" s="5" t="inlineStr"/>
      <c r="P202" s="5" t="inlineStr"/>
      <c r="Q202" s="5" t="inlineStr"/>
      <c r="R202" s="6" t="inlineStr"/>
      <c r="S202" s="5" t="inlineStr"/>
      <c r="T202" s="5" t="inlineStr"/>
      <c r="U202" s="5" t="inlineStr"/>
      <c r="V202" s="5" t="inlineStr"/>
    </row>
    <row r="203">
      <c r="A203" s="5" t="inlineStr">
        <is>
          <t>b7-bekar-evi</t>
        </is>
      </c>
      <c r="B203" s="5" t="n">
        <v>7</v>
      </c>
      <c r="C203" s="5" t="inlineStr">
        <is>
          <t>35 yaş 8 ay</t>
        </is>
      </c>
      <c r="D203" s="5" t="inlineStr">
        <is>
          <t>🍜</t>
        </is>
      </c>
      <c r="E203" s="6" t="inlineStr">
        <is>
          <t>Bekâr Evi Ekonomisi</t>
        </is>
      </c>
      <c r="F203" s="6" t="inlineStr">
        <is>
          <t>Buzdolabında bir hardal, iki yumurta ve belirsiz bir tarihe ait bir tencere var. Yemek uygulaması seni 'altın üye' yaptı.</t>
        </is>
      </c>
      <c r="G203" s="5" t="inlineStr">
        <is>
          <t>mutfak</t>
        </is>
      </c>
      <c r="H203" s="5" t="inlineStr">
        <is>
          <t>para</t>
        </is>
      </c>
      <c r="I203" s="5" t="inlineStr"/>
      <c r="J203" s="5" t="n">
        <v>1</v>
      </c>
      <c r="K203" s="5" t="inlineStr"/>
      <c r="L203" s="5" t="inlineStr">
        <is>
          <t>evli, hapis</t>
        </is>
      </c>
      <c r="M203" s="5" t="inlineStr"/>
      <c r="N203" s="5" t="inlineStr"/>
      <c r="O203" s="5" t="inlineStr"/>
      <c r="P203" s="5" t="inlineStr"/>
      <c r="Q203" s="5" t="inlineStr"/>
      <c r="R203" s="6" t="inlineStr"/>
      <c r="S203" s="5" t="inlineStr"/>
      <c r="T203" s="5" t="inlineStr"/>
      <c r="U203" s="5" t="inlineStr"/>
      <c r="V203" s="5" t="inlineStr"/>
    </row>
    <row r="204">
      <c r="A204" s="5" t="inlineStr">
        <is>
          <t>b7-hastane-gecesi</t>
        </is>
      </c>
      <c r="B204" s="5" t="n">
        <v>7</v>
      </c>
      <c r="C204" s="5" t="inlineStr">
        <is>
          <t>36 yaş</t>
        </is>
      </c>
      <c r="D204" s="5" t="inlineStr">
        <is>
          <t>🚑</t>
        </is>
      </c>
      <c r="E204" s="6" t="inlineStr">
        <is>
          <t>Acil Servis, 02:40</t>
        </is>
      </c>
      <c r="F204" s="6" t="inlineStr">
        <is>
          <t>Çocuğun ateşi yükseldi. Acil serviste bekliyorsunuz. Karşındaki bekleme panosu senin sabrını ölçüyor.</t>
        </is>
      </c>
      <c r="G204" s="5" t="inlineStr">
        <is>
          <t>hastane</t>
        </is>
      </c>
      <c r="H204" s="5" t="inlineStr"/>
      <c r="I204" s="5" t="inlineStr"/>
      <c r="J204" s="5" t="n">
        <v>1</v>
      </c>
      <c r="K204" s="5" t="inlineStr">
        <is>
          <t>cocuklu</t>
        </is>
      </c>
      <c r="L204" s="5" t="inlineStr">
        <is>
          <t>hapis</t>
        </is>
      </c>
      <c r="M204" s="5" t="inlineStr"/>
      <c r="N204" s="5" t="inlineStr"/>
      <c r="O204" s="5" t="inlineStr"/>
      <c r="P204" s="5" t="inlineStr"/>
      <c r="Q204" s="5" t="inlineStr"/>
      <c r="R204" s="6" t="inlineStr"/>
      <c r="S204" s="5" t="inlineStr"/>
      <c r="T204" s="5" t="inlineStr"/>
      <c r="U204" s="5" t="inlineStr"/>
      <c r="V204" s="5" t="inlineStr"/>
    </row>
    <row r="205">
      <c r="A205" s="5" t="inlineStr">
        <is>
          <t>ms-gercek-is</t>
        </is>
      </c>
      <c r="B205" s="5" t="n">
        <v>7</v>
      </c>
      <c r="C205" s="5" t="inlineStr">
        <is>
          <t>36 yaş</t>
        </is>
      </c>
      <c r="D205" s="5" t="inlineStr">
        <is>
          <t>💍</t>
        </is>
      </c>
      <c r="E205" s="6" t="inlineStr">
        <is>
          <t>'Gerçek Bir İş'</t>
        </is>
      </c>
      <c r="F205" s="6" t="inlineStr">
        <is>
          <t>Bir akraba düğünündesin. Masadaki teyze sordu: 'Hâlâ o işi mi yapıyorsun? Gerçek bir işe ne zaman gireceksin?'</t>
        </is>
      </c>
      <c r="G205" s="5" t="inlineStr">
        <is>
          <t>dugun-salonu</t>
        </is>
      </c>
      <c r="H205" s="5" t="inlineStr">
        <is>
          <t>sosyal</t>
        </is>
      </c>
      <c r="I205" s="5" t="inlineStr"/>
      <c r="J205" s="5" t="n">
        <v>1</v>
      </c>
      <c r="K205" s="5" t="inlineStr">
        <is>
          <t>meslek-serbest</t>
        </is>
      </c>
      <c r="L205" s="5" t="inlineStr">
        <is>
          <t>hapis</t>
        </is>
      </c>
      <c r="M205" s="5" t="inlineStr"/>
      <c r="N205" s="5" t="inlineStr"/>
      <c r="O205" s="5" t="inlineStr"/>
      <c r="P205" s="5" t="inlineStr"/>
      <c r="Q205" s="5" t="inlineStr"/>
      <c r="R205" s="6" t="inlineStr"/>
      <c r="S205" s="5" t="inlineStr"/>
      <c r="T205" s="5" t="inlineStr"/>
      <c r="U205" s="5" t="inlineStr"/>
      <c r="V205" s="5" t="inlineStr"/>
    </row>
    <row r="206">
      <c r="A206" s="5" t="inlineStr">
        <is>
          <t>b7-mutfak-tadilati</t>
        </is>
      </c>
      <c r="B206" s="5" t="n">
        <v>7</v>
      </c>
      <c r="C206" s="5" t="inlineStr">
        <is>
          <t>36 yaş 6 ay</t>
        </is>
      </c>
      <c r="D206" s="5" t="inlineStr">
        <is>
          <t>🔨</t>
        </is>
      </c>
      <c r="E206" s="6" t="inlineStr">
        <is>
          <t>Mutfak Tadilatı</t>
        </is>
      </c>
      <c r="F206" s="6" t="inlineStr">
        <is>
          <t>Tadilat ustası dolap rengini soruyor. Sen 'antrasit' diyorsun, eşin 'krem'. Usta çayını bitirmeden sonuç bekliyor.</t>
        </is>
      </c>
      <c r="G206" s="5" t="inlineStr">
        <is>
          <t>mutfak</t>
        </is>
      </c>
      <c r="H206" s="5" t="inlineStr">
        <is>
          <t>ev</t>
        </is>
      </c>
      <c r="I206" s="5" t="inlineStr"/>
      <c r="J206" s="5" t="n">
        <v>1</v>
      </c>
      <c r="K206" s="5" t="inlineStr">
        <is>
          <t>evli</t>
        </is>
      </c>
      <c r="L206" s="5" t="inlineStr">
        <is>
          <t>hapis</t>
        </is>
      </c>
      <c r="M206" s="5" t="inlineStr"/>
      <c r="N206" s="5" t="inlineStr"/>
      <c r="O206" s="5" t="inlineStr"/>
      <c r="P206" s="5" t="inlineStr"/>
      <c r="Q206" s="5" t="inlineStr"/>
      <c r="R206" s="6" t="inlineStr"/>
      <c r="S206" s="5" t="inlineStr"/>
      <c r="T206" s="5" t="inlineStr"/>
      <c r="U206" s="5" t="inlineStr"/>
      <c r="V206" s="5" t="inlineStr"/>
    </row>
    <row r="207">
      <c r="A207" s="5" t="inlineStr">
        <is>
          <t>b7-ebeveyn-grubu</t>
        </is>
      </c>
      <c r="B207" s="5" t="n">
        <v>7</v>
      </c>
      <c r="C207" s="5" t="inlineStr">
        <is>
          <t>37 yaş</t>
        </is>
      </c>
      <c r="D207" s="5" t="inlineStr">
        <is>
          <t>📲</t>
        </is>
      </c>
      <c r="E207" s="6" t="inlineStr">
        <is>
          <t>Veli Mesaj Grubu</t>
        </is>
      </c>
      <c r="F207" s="6" t="inlineStr">
        <is>
          <t>Sınıfın veli grubunda 312 okunmamış mesaj var. Konu: öğretmen günü hediyesi. Sen hâlâ ilk mesajdasın.</t>
        </is>
      </c>
      <c r="G207" s="5" t="inlineStr">
        <is>
          <t>ev</t>
        </is>
      </c>
      <c r="H207" s="5" t="inlineStr">
        <is>
          <t>sosyal</t>
        </is>
      </c>
      <c r="I207" s="5" t="inlineStr"/>
      <c r="J207" s="5" t="n">
        <v>1</v>
      </c>
      <c r="K207" s="5" t="inlineStr">
        <is>
          <t>cocuklu</t>
        </is>
      </c>
      <c r="L207" s="5" t="inlineStr">
        <is>
          <t>hapis</t>
        </is>
      </c>
      <c r="M207" s="5" t="inlineStr"/>
      <c r="N207" s="5" t="inlineStr"/>
      <c r="O207" s="5" t="inlineStr"/>
      <c r="P207" s="5" t="inlineStr"/>
      <c r="Q207" s="5" t="inlineStr"/>
      <c r="R207" s="6" t="inlineStr"/>
      <c r="S207" s="5" t="inlineStr"/>
      <c r="T207" s="5" t="inlineStr"/>
      <c r="U207" s="5" t="inlineStr"/>
      <c r="V207" s="5" t="inlineStr"/>
    </row>
    <row r="208">
      <c r="A208" s="5" t="inlineStr">
        <is>
          <t>mb-takim-ruhu</t>
        </is>
      </c>
      <c r="B208" s="5" t="n">
        <v>7</v>
      </c>
      <c r="C208" s="5" t="inlineStr">
        <is>
          <t>37 yaş</t>
        </is>
      </c>
      <c r="D208" s="5" t="inlineStr">
        <is>
          <t>🤝</t>
        </is>
      </c>
      <c r="E208" s="6" t="inlineStr">
        <is>
          <t>Takım Ruhu Etkinliği</t>
        </is>
      </c>
      <c r="F208" s="6" t="inlineStr">
        <is>
          <t>Şirket motivasyon etkinliği: Hafta sonu, doğada. Katılım zorunlu değil ama 'takip ediliyor'.</t>
        </is>
      </c>
      <c r="G208" s="5" t="inlineStr">
        <is>
          <t>park</t>
        </is>
      </c>
      <c r="H208" s="5" t="inlineStr"/>
      <c r="I208" s="5" t="inlineStr"/>
      <c r="J208" s="5" t="n">
        <v>1</v>
      </c>
      <c r="K208" s="5" t="inlineStr">
        <is>
          <t>meslek-beyazyaka</t>
        </is>
      </c>
      <c r="L208" s="5" t="inlineStr">
        <is>
          <t>hapis</t>
        </is>
      </c>
      <c r="M208" s="5" t="inlineStr"/>
      <c r="N208" s="5" t="inlineStr"/>
      <c r="O208" s="5" t="inlineStr"/>
      <c r="P208" s="5" t="inlineStr"/>
      <c r="Q208" s="5" t="inlineStr"/>
      <c r="R208" s="6" t="inlineStr"/>
      <c r="S208" s="5" t="inlineStr"/>
      <c r="T208" s="5" t="inlineStr"/>
      <c r="U208" s="5" t="inlineStr"/>
      <c r="V208" s="5" t="inlineStr"/>
    </row>
    <row r="209">
      <c r="A209" s="5" t="inlineStr">
        <is>
          <t>me-indirim-sezonu</t>
        </is>
      </c>
      <c r="B209" s="5" t="n">
        <v>7</v>
      </c>
      <c r="C209" s="5" t="inlineStr">
        <is>
          <t>37 yaş</t>
        </is>
      </c>
      <c r="D209" s="5" t="inlineStr">
        <is>
          <t>🏷️</t>
        </is>
      </c>
      <c r="E209" s="6" t="inlineStr">
        <is>
          <t>İndirim Sezonu</t>
        </is>
      </c>
      <c r="F209" s="6" t="inlineStr">
        <is>
          <t>Büyük indirim haftası. Mahalle kapıda, pazarlık havada, sezonun son malı en üst rafta.</t>
        </is>
      </c>
      <c r="G209" s="5" t="inlineStr">
        <is>
          <t>dukkan</t>
        </is>
      </c>
      <c r="H209" s="5" t="inlineStr"/>
      <c r="I209" s="5" t="inlineStr"/>
      <c r="J209" s="5" t="inlineStr"/>
      <c r="K209" s="5" t="inlineStr">
        <is>
          <t>meslek-esnaf</t>
        </is>
      </c>
      <c r="L209" s="5" t="inlineStr">
        <is>
          <t>hapis</t>
        </is>
      </c>
      <c r="M209" s="5" t="inlineStr"/>
      <c r="N209" s="5" t="inlineStr"/>
      <c r="O209" s="5" t="inlineStr"/>
      <c r="P209" s="5" t="inlineStr"/>
      <c r="Q209" s="5" t="inlineStr"/>
      <c r="R209" s="6" t="inlineStr"/>
      <c r="S209" s="5" t="inlineStr"/>
      <c r="T209" s="5" t="inlineStr"/>
      <c r="U209" s="5" t="inlineStr"/>
      <c r="V209" s="5" t="inlineStr"/>
    </row>
    <row r="210">
      <c r="A210" s="5" t="inlineStr">
        <is>
          <t>b7-borc-batagi</t>
        </is>
      </c>
      <c r="B210" s="5" t="n">
        <v>7</v>
      </c>
      <c r="C210" s="5" t="inlineStr">
        <is>
          <t>37 yaş 6 ay</t>
        </is>
      </c>
      <c r="D210" s="5" t="inlineStr">
        <is>
          <t>💳</t>
        </is>
      </c>
      <c r="E210" s="6" t="inlineStr">
        <is>
          <t>Asgari Ödeme</t>
        </is>
      </c>
      <c r="F210" s="6" t="inlineStr">
        <is>
          <t>Kredi kartı ekstresi geldi. Asgari ödeme tutarı büyük harflerle, toplam borç küçük harflerle yazılmış.</t>
        </is>
      </c>
      <c r="G210" s="5" t="inlineStr">
        <is>
          <t>banka</t>
        </is>
      </c>
      <c r="H210" s="5" t="inlineStr">
        <is>
          <t>para</t>
        </is>
      </c>
      <c r="I210" s="5" t="inlineStr"/>
      <c r="J210" s="5" t="n">
        <v>1</v>
      </c>
      <c r="K210" s="5" t="inlineStr"/>
      <c r="L210" s="5" t="inlineStr">
        <is>
          <t>hapis</t>
        </is>
      </c>
      <c r="M210" s="5" t="inlineStr"/>
      <c r="N210" s="5" t="inlineStr"/>
      <c r="O210" s="5" t="inlineStr"/>
      <c r="P210" s="5" t="inlineStr"/>
      <c r="Q210" s="5" t="inlineStr"/>
      <c r="R210" s="6" t="inlineStr"/>
      <c r="S210" s="5" t="inlineStr"/>
      <c r="T210" s="5" t="inlineStr"/>
      <c r="U210" s="5" t="inlineStr"/>
      <c r="V210" s="5" t="inlineStr"/>
    </row>
    <row r="211">
      <c r="A211" s="5" t="inlineStr">
        <is>
          <t>b7-dogum-gunu-partisi</t>
        </is>
      </c>
      <c r="B211" s="5" t="n">
        <v>7</v>
      </c>
      <c r="C211" s="5" t="inlineStr">
        <is>
          <t>38 yaş</t>
        </is>
      </c>
      <c r="D211" s="5" t="inlineStr">
        <is>
          <t>🎂</t>
        </is>
      </c>
      <c r="E211" s="6" t="inlineStr">
        <is>
          <t>Tema: Uzay</t>
        </is>
      </c>
      <c r="F211" s="6" t="inlineStr">
        <is>
          <t>Çocuğunun doğum günü. Tema uzay. Sınıftaki diğer velilerin partisinde sihirbaz ve köpük makinesi vardı. Rekabet yüksek.</t>
        </is>
      </c>
      <c r="G211" s="5" t="inlineStr">
        <is>
          <t>park</t>
        </is>
      </c>
      <c r="H211" s="5" t="inlineStr">
        <is>
          <t>sosyal</t>
        </is>
      </c>
      <c r="I211" s="5" t="inlineStr"/>
      <c r="J211" s="5" t="n">
        <v>1</v>
      </c>
      <c r="K211" s="5" t="inlineStr">
        <is>
          <t>cocuklu</t>
        </is>
      </c>
      <c r="L211" s="5" t="inlineStr">
        <is>
          <t>hapis</t>
        </is>
      </c>
      <c r="M211" s="5" t="inlineStr"/>
      <c r="N211" s="5" t="inlineStr"/>
      <c r="O211" s="5" t="inlineStr"/>
      <c r="P211" s="5" t="inlineStr"/>
      <c r="Q211" s="5" t="inlineStr"/>
      <c r="R211" s="6" t="inlineStr"/>
      <c r="S211" s="5" t="inlineStr"/>
      <c r="T211" s="5" t="inlineStr"/>
      <c r="U211" s="5" t="inlineStr"/>
      <c r="V211" s="5" t="inlineStr"/>
    </row>
    <row r="212">
      <c r="A212" s="5" t="inlineStr">
        <is>
          <t>mm-kurum-piknigi</t>
        </is>
      </c>
      <c r="B212" s="5" t="n">
        <v>7</v>
      </c>
      <c r="C212" s="5" t="inlineStr">
        <is>
          <t>38 yaş</t>
        </is>
      </c>
      <c r="D212" s="5" t="inlineStr">
        <is>
          <t>🧺</t>
        </is>
      </c>
      <c r="E212" s="6" t="inlineStr">
        <is>
          <t>Kurum Pikniği</t>
        </is>
      </c>
      <c r="F212" s="6" t="inlineStr">
        <is>
          <t>Yıllık kurum pikniği. Müdürlük çimlere taşındı: mangal, voleybol ve yıllardır itirazlı sonuçlanan halat çekme finali.</t>
        </is>
      </c>
      <c r="G212" s="5" t="inlineStr">
        <is>
          <t>park</t>
        </is>
      </c>
      <c r="H212" s="5" t="inlineStr"/>
      <c r="I212" s="5" t="inlineStr"/>
      <c r="J212" s="5" t="inlineStr"/>
      <c r="K212" s="5" t="inlineStr">
        <is>
          <t>meslek-memur</t>
        </is>
      </c>
      <c r="L212" s="5" t="inlineStr">
        <is>
          <t>hapis</t>
        </is>
      </c>
      <c r="M212" s="5" t="inlineStr"/>
      <c r="N212" s="5" t="inlineStr"/>
      <c r="O212" s="5" t="inlineStr"/>
      <c r="P212" s="5" t="inlineStr"/>
      <c r="Q212" s="5" t="inlineStr"/>
      <c r="R212" s="6" t="inlineStr"/>
      <c r="S212" s="5" t="inlineStr"/>
      <c r="T212" s="5" t="inlineStr"/>
      <c r="U212" s="5" t="inlineStr"/>
      <c r="V212" s="5" t="inlineStr"/>
    </row>
    <row r="213">
      <c r="A213" s="5" t="inlineStr">
        <is>
          <t>b7-yil-donumu</t>
        </is>
      </c>
      <c r="B213" s="5" t="n">
        <v>7</v>
      </c>
      <c r="C213" s="5" t="inlineStr">
        <is>
          <t>39 yaş</t>
        </is>
      </c>
      <c r="D213" s="5" t="inlineStr">
        <is>
          <t>🥂</t>
        </is>
      </c>
      <c r="E213" s="6" t="inlineStr">
        <is>
          <t>Evlilik Yıl Dönümü</t>
        </is>
      </c>
      <c r="F213" s="6" t="inlineStr">
        <is>
          <t>Telefon hatırlatıcısı: 'Yıl dönümü – bugün.' Hatırlatıcının kurulma tarihi: bugün, sabah 11:47.</t>
        </is>
      </c>
      <c r="G213" s="5" t="inlineStr">
        <is>
          <t>kafe</t>
        </is>
      </c>
      <c r="H213" s="5" t="inlineStr">
        <is>
          <t>ev</t>
        </is>
      </c>
      <c r="I213" s="5" t="inlineStr"/>
      <c r="J213" s="5" t="n">
        <v>1</v>
      </c>
      <c r="K213" s="5" t="inlineStr">
        <is>
          <t>evli</t>
        </is>
      </c>
      <c r="L213" s="5" t="inlineStr">
        <is>
          <t>hapis</t>
        </is>
      </c>
      <c r="M213" s="5" t="inlineStr"/>
      <c r="N213" s="5" t="inlineStr"/>
      <c r="O213" s="5" t="inlineStr"/>
      <c r="P213" s="5" t="inlineStr"/>
      <c r="Q213" s="5" t="inlineStr"/>
      <c r="R213" s="6" t="inlineStr"/>
      <c r="S213" s="5" t="inlineStr"/>
      <c r="T213" s="5" t="inlineStr"/>
      <c r="U213" s="5" t="inlineStr"/>
      <c r="V213" s="5" t="inlineStr"/>
    </row>
    <row r="214">
      <c r="A214" s="5" t="inlineStr">
        <is>
          <t>b8-kirk-yas</t>
        </is>
      </c>
      <c r="B214" s="5" t="n">
        <v>8</v>
      </c>
      <c r="C214" s="5" t="inlineStr">
        <is>
          <t>40 yaş</t>
        </is>
      </c>
      <c r="D214" s="5" t="inlineStr">
        <is>
          <t>🎂</t>
        </is>
      </c>
      <c r="E214" s="6" t="inlineStr">
        <is>
          <t>Kırk Yaş Envanteri</t>
        </is>
      </c>
      <c r="F214" s="6" t="inlineStr">
        <is>
          <t>Kırk yaşına girdin. Sistem otomatik bir envanter raporu hazırladı: iki diz, bir bel, dolu bir galeri, yarım kalmış üç hobi.</t>
        </is>
      </c>
      <c r="G214" s="5" t="inlineStr">
        <is>
          <t>ev</t>
        </is>
      </c>
      <c r="H214" s="5" t="inlineStr"/>
      <c r="I214" s="5" t="inlineStr">
        <is>
          <t>E</t>
        </is>
      </c>
      <c r="J214" s="5" t="n">
        <v>1</v>
      </c>
      <c r="K214" s="5" t="inlineStr"/>
      <c r="L214" s="5" t="inlineStr">
        <is>
          <t>hapis</t>
        </is>
      </c>
      <c r="M214" s="5" t="inlineStr"/>
      <c r="N214" s="5" t="inlineStr"/>
      <c r="O214" s="5" t="inlineStr"/>
      <c r="P214" s="5" t="inlineStr"/>
      <c r="Q214" s="5" t="inlineStr"/>
      <c r="R214" s="6" t="inlineStr"/>
      <c r="S214" s="5" t="inlineStr"/>
      <c r="T214" s="5" t="inlineStr"/>
      <c r="U214" s="5" t="inlineStr"/>
      <c r="V214" s="5" t="inlineStr"/>
    </row>
    <row r="215">
      <c r="A215" s="5" t="inlineStr">
        <is>
          <t>b8-motosiklet</t>
        </is>
      </c>
      <c r="B215" s="5" t="n">
        <v>8</v>
      </c>
      <c r="C215" s="5" t="inlineStr">
        <is>
          <t>40 yaş 6 ay</t>
        </is>
      </c>
      <c r="D215" s="5" t="inlineStr">
        <is>
          <t>🏍️</t>
        </is>
      </c>
      <c r="E215" s="6" t="inlineStr">
        <is>
          <t>Motosiklet Hevesi</t>
        </is>
      </c>
      <c r="F215" s="6" t="inlineStr">
        <is>
          <t>Galerideki motosiklet sana bakıyor. Sen de ona. Satıcı ikinizi de izliyor; komisyonun kokusunu almış.</t>
        </is>
      </c>
      <c r="G215" s="5" t="inlineStr">
        <is>
          <t>carsi</t>
        </is>
      </c>
      <c r="H215" s="5" t="inlineStr"/>
      <c r="I215" s="5" t="inlineStr"/>
      <c r="J215" s="5" t="n">
        <v>1</v>
      </c>
      <c r="K215" s="5" t="inlineStr"/>
      <c r="L215" s="5" t="inlineStr">
        <is>
          <t>hapis</t>
        </is>
      </c>
      <c r="M215" s="5" t="inlineStr"/>
      <c r="N215" s="5" t="inlineStr"/>
      <c r="O215" s="5" t="inlineStr"/>
      <c r="P215" s="5" t="inlineStr"/>
      <c r="Q215" s="5" t="inlineStr"/>
      <c r="R215" s="6" t="inlineStr"/>
      <c r="S215" s="5" t="inlineStr"/>
      <c r="T215" s="5" t="inlineStr"/>
      <c r="U215" s="5" t="inlineStr"/>
      <c r="V215" s="5" t="inlineStr"/>
    </row>
    <row r="216">
      <c r="A216" s="5" t="inlineStr">
        <is>
          <t>b8-sac-meselesi</t>
        </is>
      </c>
      <c r="B216" s="5" t="n">
        <v>8</v>
      </c>
      <c r="C216" s="5" t="inlineStr">
        <is>
          <t>41 yaş</t>
        </is>
      </c>
      <c r="D216" s="5" t="inlineStr">
        <is>
          <t>💈</t>
        </is>
      </c>
      <c r="E216" s="6" t="inlineStr">
        <is>
          <t>Saç Meselesi</t>
        </is>
      </c>
      <c r="F216" s="6" t="inlineStr">
        <is>
          <t>Berber aynayı arkana tuttu. Tepede, haritalarda 'açık alan' diye geçen bir bölge oluşmuş.</t>
        </is>
      </c>
      <c r="G216" s="5" t="inlineStr">
        <is>
          <t>dukkan</t>
        </is>
      </c>
      <c r="H216" s="5" t="inlineStr"/>
      <c r="I216" s="5" t="inlineStr"/>
      <c r="J216" s="5" t="n">
        <v>1</v>
      </c>
      <c r="K216" s="5" t="inlineStr"/>
      <c r="L216" s="5" t="inlineStr">
        <is>
          <t>hapis</t>
        </is>
      </c>
      <c r="M216" s="5" t="inlineStr"/>
      <c r="N216" s="5" t="inlineStr"/>
      <c r="O216" s="5" t="inlineStr"/>
      <c r="P216" s="5" t="inlineStr"/>
      <c r="Q216" s="5" t="inlineStr"/>
      <c r="R216" s="6" t="inlineStr"/>
      <c r="S216" s="5" t="inlineStr"/>
      <c r="T216" s="5" t="inlineStr"/>
      <c r="U216" s="5" t="inlineStr"/>
      <c r="V216" s="5" t="inlineStr"/>
    </row>
    <row r="217">
      <c r="A217" s="5" t="inlineStr">
        <is>
          <t>ms-sigortasiz-hayat</t>
        </is>
      </c>
      <c r="B217" s="5" t="n">
        <v>8</v>
      </c>
      <c r="C217" s="5" t="inlineStr">
        <is>
          <t>41 yaş</t>
        </is>
      </c>
      <c r="D217" s="5" t="inlineStr">
        <is>
          <t>🩹</t>
        </is>
      </c>
      <c r="E217" s="6" t="inlineStr">
        <is>
          <t>Sigortasız Hayat</t>
        </is>
      </c>
      <c r="F217" s="6" t="inlineStr">
        <is>
          <t>Sosyal güvenlik kurumu bir yazı gönderdi: Yıllardır prim yatmamış. Emeklilik takvimin henüz başlamamış bile.</t>
        </is>
      </c>
      <c r="G217" s="5" t="inlineStr">
        <is>
          <t>devlet-dairesi</t>
        </is>
      </c>
      <c r="H217" s="5" t="inlineStr"/>
      <c r="I217" s="5" t="inlineStr"/>
      <c r="J217" s="5" t="n">
        <v>1</v>
      </c>
      <c r="K217" s="5" t="inlineStr">
        <is>
          <t>meslek-serbest</t>
        </is>
      </c>
      <c r="L217" s="5" t="inlineStr">
        <is>
          <t>hapis</t>
        </is>
      </c>
      <c r="M217" s="5" t="inlineStr"/>
      <c r="N217" s="5" t="inlineStr"/>
      <c r="O217" s="5" t="inlineStr"/>
      <c r="P217" s="5" t="inlineStr"/>
      <c r="Q217" s="5" t="inlineStr"/>
      <c r="R217" s="6" t="inlineStr"/>
      <c r="S217" s="5" t="inlineStr"/>
      <c r="T217" s="5" t="inlineStr"/>
      <c r="U217" s="5" t="inlineStr"/>
      <c r="V217" s="5" t="inlineStr"/>
    </row>
    <row r="218">
      <c r="A218" s="5" t="inlineStr">
        <is>
          <t>b8-ergen-telefon</t>
        </is>
      </c>
      <c r="B218" s="5" t="n">
        <v>8</v>
      </c>
      <c r="C218" s="5" t="inlineStr">
        <is>
          <t>41 yaş 6 ay</t>
        </is>
      </c>
      <c r="D218" s="5" t="inlineStr">
        <is>
          <t>📱</t>
        </is>
      </c>
      <c r="E218" s="6" t="inlineStr">
        <is>
          <t>Çocuğun Telefonu</t>
        </is>
      </c>
      <c r="F218" s="6" t="inlineStr">
        <is>
          <t>Çocuğun telefonu masada titriyor. Ekran kilitli. Kilit ekranındaki fotoğrafta sen yoksun.</t>
        </is>
      </c>
      <c r="G218" s="5" t="inlineStr">
        <is>
          <t>cocuk-odasi</t>
        </is>
      </c>
      <c r="H218" s="5" t="inlineStr">
        <is>
          <t>ev</t>
        </is>
      </c>
      <c r="I218" s="5" t="inlineStr"/>
      <c r="J218" s="5" t="n">
        <v>1</v>
      </c>
      <c r="K218" s="5" t="inlineStr">
        <is>
          <t>cocuklu</t>
        </is>
      </c>
      <c r="L218" s="5" t="inlineStr">
        <is>
          <t>hapis</t>
        </is>
      </c>
      <c r="M218" s="5" t="inlineStr"/>
      <c r="N218" s="5" t="inlineStr"/>
      <c r="O218" s="5" t="inlineStr"/>
      <c r="P218" s="5" t="inlineStr"/>
      <c r="Q218" s="5" t="inlineStr"/>
      <c r="R218" s="6" t="inlineStr"/>
      <c r="S218" s="5" t="inlineStr"/>
      <c r="T218" s="5" t="inlineStr"/>
      <c r="U218" s="5" t="inlineStr"/>
      <c r="V218" s="5" t="inlineStr"/>
    </row>
    <row r="219">
      <c r="A219" s="5" t="inlineStr">
        <is>
          <t>b8-metabolizma</t>
        </is>
      </c>
      <c r="B219" s="5" t="n">
        <v>8</v>
      </c>
      <c r="C219" s="5" t="inlineStr">
        <is>
          <t>42 yaş</t>
        </is>
      </c>
      <c r="D219" s="5" t="inlineStr">
        <is>
          <t>⚖️</t>
        </is>
      </c>
      <c r="E219" s="6" t="inlineStr">
        <is>
          <t>Metabolizma Raporu</t>
        </is>
      </c>
      <c r="F219" s="6" t="inlineStr">
        <is>
          <t>Dün akşam bir dilim fazla ekmek yedin. Tartı bunu bu sabah, resmî yazıyla bildirdi.</t>
        </is>
      </c>
      <c r="G219" s="5" t="inlineStr">
        <is>
          <t>mutfak</t>
        </is>
      </c>
      <c r="H219" s="5" t="inlineStr"/>
      <c r="I219" s="5" t="inlineStr"/>
      <c r="J219" s="5" t="n">
        <v>1</v>
      </c>
      <c r="K219" s="5" t="inlineStr"/>
      <c r="L219" s="5" t="inlineStr">
        <is>
          <t>hapis</t>
        </is>
      </c>
      <c r="M219" s="5" t="inlineStr"/>
      <c r="N219" s="5" t="inlineStr"/>
      <c r="O219" s="5" t="inlineStr"/>
      <c r="P219" s="5" t="inlineStr"/>
      <c r="Q219" s="5" t="inlineStr"/>
      <c r="R219" s="6" t="inlineStr"/>
      <c r="S219" s="5" t="inlineStr"/>
      <c r="T219" s="5" t="inlineStr"/>
      <c r="U219" s="5" t="inlineStr"/>
      <c r="V219" s="5" t="inlineStr"/>
    </row>
    <row r="220">
      <c r="A220" s="5" t="inlineStr">
        <is>
          <t>mb-yapay-zeka</t>
        </is>
      </c>
      <c r="B220" s="5" t="n">
        <v>8</v>
      </c>
      <c r="C220" s="5" t="inlineStr">
        <is>
          <t>42 yaş</t>
        </is>
      </c>
      <c r="D220" s="5" t="inlineStr">
        <is>
          <t>🤖</t>
        </is>
      </c>
      <c r="E220" s="6" t="inlineStr">
        <is>
          <t>Yapay Zekâ Devralıyor</t>
        </is>
      </c>
      <c r="F220" s="6" t="inlineStr">
        <is>
          <t>Şirket yeni bir yapay zekâ aracı aldı. Senin işini üç saniyede yapıyor. Onu eğitecek kişi de sensin.</t>
        </is>
      </c>
      <c r="G220" s="5" t="inlineStr">
        <is>
          <t>ofis</t>
        </is>
      </c>
      <c r="H220" s="5" t="inlineStr"/>
      <c r="I220" s="5" t="inlineStr"/>
      <c r="J220" s="5" t="n">
        <v>1</v>
      </c>
      <c r="K220" s="5" t="inlineStr">
        <is>
          <t>meslek-beyazyaka</t>
        </is>
      </c>
      <c r="L220" s="5" t="inlineStr">
        <is>
          <t>hapis</t>
        </is>
      </c>
      <c r="M220" s="5" t="inlineStr"/>
      <c r="N220" s="5" t="inlineStr"/>
      <c r="O220" s="5" t="inlineStr"/>
      <c r="P220" s="5" t="inlineStr"/>
      <c r="Q220" s="5" t="inlineStr"/>
      <c r="R220" s="6" t="inlineStr"/>
      <c r="S220" s="5" t="inlineStr"/>
      <c r="T220" s="5" t="inlineStr"/>
      <c r="U220" s="5" t="inlineStr"/>
      <c r="V220" s="5" t="inlineStr"/>
    </row>
    <row r="221">
      <c r="A221" s="5" t="inlineStr">
        <is>
          <t>me-haber-merkezi</t>
        </is>
      </c>
      <c r="B221" s="5" t="n">
        <v>8</v>
      </c>
      <c r="C221" s="5" t="inlineStr">
        <is>
          <t>42 yaş</t>
        </is>
      </c>
      <c r="D221" s="5" t="inlineStr">
        <is>
          <t>🗣️</t>
        </is>
      </c>
      <c r="E221" s="6" t="inlineStr">
        <is>
          <t>Mahallenin Haber Merkezi</t>
        </is>
      </c>
      <c r="F221" s="6" t="inlineStr">
        <is>
          <t>Kasan artık mahallenin haber masası. Kim nişanlandı, kimin kiracısı çıktı, apartmanda kim kime küs: ilk sen duyuyorsun.</t>
        </is>
      </c>
      <c r="G221" s="5" t="inlineStr">
        <is>
          <t>dukkan</t>
        </is>
      </c>
      <c r="H221" s="5" t="inlineStr"/>
      <c r="I221" s="5" t="inlineStr"/>
      <c r="J221" s="5" t="inlineStr"/>
      <c r="K221" s="5" t="inlineStr">
        <is>
          <t>meslek-esnaf</t>
        </is>
      </c>
      <c r="L221" s="5" t="inlineStr">
        <is>
          <t>hapis</t>
        </is>
      </c>
      <c r="M221" s="5" t="inlineStr"/>
      <c r="N221" s="5" t="inlineStr"/>
      <c r="O221" s="5" t="inlineStr"/>
      <c r="P221" s="5" t="inlineStr"/>
      <c r="Q221" s="5" t="inlineStr"/>
      <c r="R221" s="6" t="inlineStr"/>
      <c r="S221" s="5" t="inlineStr"/>
      <c r="T221" s="5" t="inlineStr"/>
      <c r="U221" s="5" t="inlineStr"/>
      <c r="V221" s="5" t="inlineStr"/>
    </row>
    <row r="222">
      <c r="A222" s="5" t="inlineStr">
        <is>
          <t>mm-performans-formu</t>
        </is>
      </c>
      <c r="B222" s="5" t="n">
        <v>8</v>
      </c>
      <c r="C222" s="5" t="inlineStr">
        <is>
          <t>42 yaş</t>
        </is>
      </c>
      <c r="D222" s="5" t="inlineStr">
        <is>
          <t>📊</t>
        </is>
      </c>
      <c r="E222" s="6" t="inlineStr">
        <is>
          <t>Performans Formu</t>
        </is>
      </c>
      <c r="F222" s="6" t="inlineStr">
        <is>
          <t>Yıllık performans formu geldi. Kırk iki soru, beş seçenek. Hepsinin anlamı: 'Beklentileri karşılıyor.'</t>
        </is>
      </c>
      <c r="G222" s="5" t="inlineStr">
        <is>
          <t>devlet-dairesi</t>
        </is>
      </c>
      <c r="H222" s="5" t="inlineStr"/>
      <c r="I222" s="5" t="inlineStr"/>
      <c r="J222" s="5" t="inlineStr"/>
      <c r="K222" s="5" t="inlineStr">
        <is>
          <t>meslek-memur</t>
        </is>
      </c>
      <c r="L222" s="5" t="inlineStr">
        <is>
          <t>hapis</t>
        </is>
      </c>
      <c r="M222" s="5" t="inlineStr"/>
      <c r="N222" s="5" t="inlineStr"/>
      <c r="O222" s="5" t="inlineStr"/>
      <c r="P222" s="5" t="inlineStr"/>
      <c r="Q222" s="5" t="inlineStr"/>
      <c r="R222" s="6" t="inlineStr"/>
      <c r="S222" s="5" t="inlineStr"/>
      <c r="T222" s="5" t="inlineStr"/>
      <c r="U222" s="5" t="inlineStr"/>
      <c r="V222" s="5" t="inlineStr"/>
    </row>
    <row r="223">
      <c r="A223" s="5" t="inlineStr">
        <is>
          <t>b8-gozluk</t>
        </is>
      </c>
      <c r="B223" s="5" t="n">
        <v>8</v>
      </c>
      <c r="C223" s="5" t="inlineStr">
        <is>
          <t>42 yaş 6 ay</t>
        </is>
      </c>
      <c r="D223" s="5" t="inlineStr">
        <is>
          <t>👓</t>
        </is>
      </c>
      <c r="E223" s="6" t="inlineStr">
        <is>
          <t>Gözlük Dönemi</t>
        </is>
      </c>
      <c r="F223" s="6" t="inlineStr">
        <is>
          <t>Marketteki etiketi okumak için kolunu uzattın. Kol yetmedi. Kolunun uzunluğu resmen yetersiz bulundu.</t>
        </is>
      </c>
      <c r="G223" s="5" t="inlineStr">
        <is>
          <t>market</t>
        </is>
      </c>
      <c r="H223" s="5" t="inlineStr"/>
      <c r="I223" s="5" t="inlineStr"/>
      <c r="J223" s="5" t="n">
        <v>1</v>
      </c>
      <c r="K223" s="5" t="inlineStr"/>
      <c r="L223" s="5" t="inlineStr">
        <is>
          <t>hapis</t>
        </is>
      </c>
      <c r="M223" s="5" t="inlineStr"/>
      <c r="N223" s="5" t="inlineStr"/>
      <c r="O223" s="5" t="inlineStr"/>
      <c r="P223" s="5" t="inlineStr"/>
      <c r="Q223" s="5" t="inlineStr"/>
      <c r="R223" s="6" t="inlineStr"/>
      <c r="S223" s="5" t="inlineStr"/>
      <c r="T223" s="5" t="inlineStr"/>
      <c r="U223" s="5" t="inlineStr"/>
      <c r="V223" s="5" t="inlineStr"/>
    </row>
    <row r="224">
      <c r="A224" s="5" t="inlineStr">
        <is>
          <t>b8-bayram-sofrasi</t>
        </is>
      </c>
      <c r="B224" s="5" t="n">
        <v>8</v>
      </c>
      <c r="C224" s="5" t="inlineStr">
        <is>
          <t>43 yaş</t>
        </is>
      </c>
      <c r="D224" s="5" t="inlineStr">
        <is>
          <t>🍽️</t>
        </is>
      </c>
      <c r="E224" s="6" t="inlineStr">
        <is>
          <t>Bayram Sofrası</t>
        </is>
      </c>
      <c r="F224" s="6" t="inlineStr">
        <is>
          <t>Sarmalar sayıldı, hatırlar soruldu. Sofranın ucundaki amca çatalını bıraktı: 'Şu tarla meselesini konuşalım.'</t>
        </is>
      </c>
      <c r="G224" s="5" t="inlineStr">
        <is>
          <t>ev</t>
        </is>
      </c>
      <c r="H224" s="5" t="inlineStr">
        <is>
          <t>sosyal</t>
        </is>
      </c>
      <c r="I224" s="5" t="inlineStr"/>
      <c r="J224" s="5" t="n">
        <v>1</v>
      </c>
      <c r="K224" s="5" t="inlineStr"/>
      <c r="L224" s="5" t="inlineStr">
        <is>
          <t>hapis</t>
        </is>
      </c>
      <c r="M224" s="5" t="inlineStr"/>
      <c r="N224" s="5" t="inlineStr"/>
      <c r="O224" s="5" t="inlineStr"/>
      <c r="P224" s="5" t="inlineStr"/>
      <c r="Q224" s="5" t="inlineStr"/>
      <c r="R224" s="6" t="inlineStr"/>
      <c r="S224" s="5" t="inlineStr"/>
      <c r="T224" s="5" t="inlineStr"/>
      <c r="U224" s="5" t="inlineStr"/>
      <c r="V224" s="5" t="inlineStr"/>
    </row>
    <row r="225">
      <c r="A225" s="5" t="inlineStr">
        <is>
          <t>b8-hastane-otoparki</t>
        </is>
      </c>
      <c r="B225" s="5" t="n">
        <v>8</v>
      </c>
      <c r="C225" s="5" t="inlineStr">
        <is>
          <t>43 yaş 6 ay</t>
        </is>
      </c>
      <c r="D225" s="5" t="inlineStr">
        <is>
          <t>🅿️</t>
        </is>
      </c>
      <c r="E225" s="6" t="inlineStr">
        <is>
          <t>Hastane Otoparkı</t>
        </is>
      </c>
      <c r="F225" s="6" t="inlineStr">
        <is>
          <t>Annenin kontrol randevusu 10.00'da. Saat 09.40. Otoparkta tek boş yer var; üzerinde 'Başhekim' yazıyor.</t>
        </is>
      </c>
      <c r="G225" s="5" t="inlineStr">
        <is>
          <t>hastane</t>
        </is>
      </c>
      <c r="H225" s="5" t="inlineStr">
        <is>
          <t>ev</t>
        </is>
      </c>
      <c r="I225" s="5" t="inlineStr"/>
      <c r="J225" s="5" t="n">
        <v>1</v>
      </c>
      <c r="K225" s="5" t="inlineStr"/>
      <c r="L225" s="5" t="inlineStr">
        <is>
          <t>hapis</t>
        </is>
      </c>
      <c r="M225" s="5" t="inlineStr"/>
      <c r="N225" s="5" t="inlineStr"/>
      <c r="O225" s="5" t="inlineStr"/>
      <c r="P225" s="5" t="inlineStr"/>
      <c r="Q225" s="5" t="inlineStr"/>
      <c r="R225" s="6" t="inlineStr"/>
      <c r="S225" s="5" t="inlineStr"/>
      <c r="T225" s="5" t="inlineStr"/>
      <c r="U225" s="5" t="inlineStr"/>
      <c r="V225" s="5" t="inlineStr"/>
    </row>
    <row r="226">
      <c r="A226" s="5" t="inlineStr">
        <is>
          <t>b8-bekar-orta-yas</t>
        </is>
      </c>
      <c r="B226" s="5" t="n">
        <v>8</v>
      </c>
      <c r="C226" s="5" t="inlineStr">
        <is>
          <t>44 yaş</t>
        </is>
      </c>
      <c r="D226" s="5" t="inlineStr">
        <is>
          <t>🛋️</t>
        </is>
      </c>
      <c r="E226" s="6" t="inlineStr">
        <is>
          <t>Bekâr ve Orta Yaş</t>
        </is>
      </c>
      <c r="F226" s="6" t="inlineStr">
        <is>
          <t>Akrabalar artık 'Ne zaman evleneceksin?' diye sormuyor. Sadece bakıyorlar. Bakış, sorudan uzun sürüyor.</t>
        </is>
      </c>
      <c r="G226" s="5" t="inlineStr">
        <is>
          <t>ev</t>
        </is>
      </c>
      <c r="H226" s="5" t="inlineStr"/>
      <c r="I226" s="5" t="inlineStr"/>
      <c r="J226" s="5" t="n">
        <v>1</v>
      </c>
      <c r="K226" s="5" t="inlineStr"/>
      <c r="L226" s="5" t="inlineStr">
        <is>
          <t>evli, hapis</t>
        </is>
      </c>
      <c r="M226" s="5" t="inlineStr"/>
      <c r="N226" s="5" t="inlineStr"/>
      <c r="O226" s="5" t="inlineStr"/>
      <c r="P226" s="5" t="inlineStr"/>
      <c r="Q226" s="5" t="inlineStr"/>
      <c r="R226" s="6" t="inlineStr"/>
      <c r="S226" s="5" t="inlineStr"/>
      <c r="T226" s="5" t="inlineStr"/>
      <c r="U226" s="5" t="inlineStr"/>
      <c r="V226" s="5" t="inlineStr"/>
    </row>
    <row r="227">
      <c r="A227" s="5" t="inlineStr">
        <is>
          <t>ms-fon-basvurusu</t>
        </is>
      </c>
      <c r="B227" s="5" t="n">
        <v>8</v>
      </c>
      <c r="C227" s="5" t="inlineStr">
        <is>
          <t>44 yaş</t>
        </is>
      </c>
      <c r="D227" s="5" t="inlineStr">
        <is>
          <t>📝</t>
        </is>
      </c>
      <c r="E227" s="6" t="inlineStr">
        <is>
          <t>Fon Başvurusu</t>
        </is>
      </c>
      <c r="F227" s="6" t="inlineStr">
        <is>
          <t>Bir kültür fonu başvurusu açıldı. Form kırk iki sayfa. Proje özeti yüz elli kelimeyi geçmemeli. Hayatın geçiyor.</t>
        </is>
      </c>
      <c r="G227" s="5" t="inlineStr">
        <is>
          <t>ev</t>
        </is>
      </c>
      <c r="H227" s="5" t="inlineStr"/>
      <c r="I227" s="5" t="inlineStr"/>
      <c r="J227" s="5" t="n">
        <v>1</v>
      </c>
      <c r="K227" s="5" t="inlineStr">
        <is>
          <t>meslek-serbest</t>
        </is>
      </c>
      <c r="L227" s="5" t="inlineStr">
        <is>
          <t>hapis</t>
        </is>
      </c>
      <c r="M227" s="5" t="inlineStr"/>
      <c r="N227" s="5" t="inlineStr"/>
      <c r="O227" s="5" t="inlineStr"/>
      <c r="P227" s="5" t="inlineStr"/>
      <c r="Q227" s="5" t="inlineStr"/>
      <c r="R227" s="6" t="inlineStr"/>
      <c r="S227" s="5" t="inlineStr"/>
      <c r="T227" s="5" t="inlineStr"/>
      <c r="U227" s="5" t="inlineStr"/>
      <c r="V227" s="5" t="inlineStr"/>
    </row>
    <row r="228">
      <c r="A228" s="5" t="inlineStr">
        <is>
          <t>b8-doktor-stres</t>
        </is>
      </c>
      <c r="B228" s="5" t="n">
        <v>8</v>
      </c>
      <c r="C228" s="5" t="inlineStr">
        <is>
          <t>44 yaş 6 ay</t>
        </is>
      </c>
      <c r="D228" s="5" t="inlineStr">
        <is>
          <t>🩺</t>
        </is>
      </c>
      <c r="E228" s="6" t="inlineStr">
        <is>
          <t>Stres Yapmayın</t>
        </is>
      </c>
      <c r="F228" s="6" t="inlineStr">
        <is>
          <t>Tahlil sonuçları masada. Doktor ekrana bakıp tavsiyesini verdi: 'Stres yapmayın.' Bu cümle için ayrıca ücret alınmadı.</t>
        </is>
      </c>
      <c r="G228" s="5" t="inlineStr">
        <is>
          <t>hastane</t>
        </is>
      </c>
      <c r="H228" s="5" t="inlineStr"/>
      <c r="I228" s="5" t="inlineStr"/>
      <c r="J228" s="5" t="n">
        <v>1</v>
      </c>
      <c r="K228" s="5" t="inlineStr"/>
      <c r="L228" s="5" t="inlineStr">
        <is>
          <t>hapis</t>
        </is>
      </c>
      <c r="M228" s="5" t="inlineStr"/>
      <c r="N228" s="5" t="inlineStr"/>
      <c r="O228" s="5" t="inlineStr"/>
      <c r="P228" s="5" t="inlineStr"/>
      <c r="Q228" s="5" t="inlineStr"/>
      <c r="R228" s="6" t="inlineStr"/>
      <c r="S228" s="5" t="inlineStr"/>
      <c r="T228" s="5" t="inlineStr"/>
      <c r="U228" s="5" t="inlineStr"/>
      <c r="V228" s="5" t="inlineStr"/>
    </row>
    <row r="229">
      <c r="A229" s="5" t="inlineStr">
        <is>
          <t>b8-cocuk-sinav</t>
        </is>
      </c>
      <c r="B229" s="5" t="n">
        <v>8</v>
      </c>
      <c r="C229" s="5" t="inlineStr">
        <is>
          <t>45 yaş</t>
        </is>
      </c>
      <c r="D229" s="5" t="inlineStr">
        <is>
          <t>📝</t>
        </is>
      </c>
      <c r="E229" s="6" t="inlineStr">
        <is>
          <t>Çocuğun Büyük Sınavı</t>
        </is>
      </c>
      <c r="F229" s="6" t="inlineStr">
        <is>
          <t>Çocuğun üniversite sınavı yarın sabah. Sen, sınava girmeyecek biri için fazla uykusuzsun.</t>
        </is>
      </c>
      <c r="G229" s="5" t="inlineStr">
        <is>
          <t>okul</t>
        </is>
      </c>
      <c r="H229" s="5" t="inlineStr">
        <is>
          <t>okul-iş</t>
        </is>
      </c>
      <c r="I229" s="5" t="inlineStr"/>
      <c r="J229" s="5" t="n">
        <v>1</v>
      </c>
      <c r="K229" s="5" t="inlineStr">
        <is>
          <t>cocuklu</t>
        </is>
      </c>
      <c r="L229" s="5" t="inlineStr">
        <is>
          <t>hapis</t>
        </is>
      </c>
      <c r="M229" s="5" t="inlineStr"/>
      <c r="N229" s="5" t="inlineStr"/>
      <c r="O229" s="5" t="inlineStr"/>
      <c r="P229" s="5" t="inlineStr"/>
      <c r="Q229" s="5" t="inlineStr"/>
      <c r="R229" s="6" t="inlineStr"/>
      <c r="S229" s="5" t="inlineStr"/>
      <c r="T229" s="5" t="inlineStr"/>
      <c r="U229" s="5" t="inlineStr"/>
      <c r="V229" s="5" t="inlineStr"/>
    </row>
    <row r="230">
      <c r="A230" s="5" t="inlineStr">
        <is>
          <t>mb-kisa-gorusme</t>
        </is>
      </c>
      <c r="B230" s="5" t="n">
        <v>8</v>
      </c>
      <c r="C230" s="5" t="inlineStr">
        <is>
          <t>45 yaş</t>
        </is>
      </c>
      <c r="D230" s="5" t="inlineStr">
        <is>
          <t>🚪</t>
        </is>
      </c>
      <c r="E230" s="6" t="inlineStr">
        <is>
          <t>Kısa Bir Görüşme</t>
        </is>
      </c>
      <c r="F230" s="6" t="inlineStr">
        <is>
          <t>Yeniden yapılanma e-postası geldi. Bir saat sonra takviminde on beş dakikalık bir toplantı belirdi: 'Kısa bir görüşme.'</t>
        </is>
      </c>
      <c r="G230" s="5" t="inlineStr">
        <is>
          <t>ofis</t>
        </is>
      </c>
      <c r="H230" s="5" t="inlineStr"/>
      <c r="I230" s="5" t="inlineStr"/>
      <c r="J230" s="5" t="n">
        <v>1</v>
      </c>
      <c r="K230" s="5" t="inlineStr">
        <is>
          <t>meslek-beyazyaka</t>
        </is>
      </c>
      <c r="L230" s="5" t="inlineStr">
        <is>
          <t>hapis</t>
        </is>
      </c>
      <c r="M230" s="5" t="inlineStr"/>
      <c r="N230" s="5" t="inlineStr"/>
      <c r="O230" s="5" t="inlineStr"/>
      <c r="P230" s="5" t="inlineStr"/>
      <c r="Q230" s="5" t="inlineStr"/>
      <c r="R230" s="6" t="inlineStr"/>
      <c r="S230" s="5" t="inlineStr"/>
      <c r="T230" s="5" t="inlineStr"/>
      <c r="U230" s="5" t="inlineStr"/>
      <c r="V230" s="5" t="inlineStr"/>
    </row>
    <row r="231">
      <c r="A231" s="5" t="inlineStr">
        <is>
          <t>me-internet-satis</t>
        </is>
      </c>
      <c r="B231" s="5" t="n">
        <v>8</v>
      </c>
      <c r="C231" s="5" t="inlineStr">
        <is>
          <t>45 yaş</t>
        </is>
      </c>
      <c r="D231" s="5" t="inlineStr">
        <is>
          <t>📦</t>
        </is>
      </c>
      <c r="E231" s="6" t="inlineStr">
        <is>
          <t>Dükkân İnternete Taşınıyor</t>
        </is>
      </c>
      <c r="F231" s="6" t="inlineStr">
        <is>
          <t>Müşteriler 'Sitenizden bakarız' diyor. Sitende şu an yalnızca dükkânın kapı fotoğrafı var; kapı da kapalı.</t>
        </is>
      </c>
      <c r="G231" s="5" t="inlineStr">
        <is>
          <t>dukkan</t>
        </is>
      </c>
      <c r="H231" s="5" t="inlineStr"/>
      <c r="I231" s="5" t="inlineStr"/>
      <c r="J231" s="5" t="inlineStr"/>
      <c r="K231" s="5" t="inlineStr">
        <is>
          <t>meslek-esnaf</t>
        </is>
      </c>
      <c r="L231" s="5" t="inlineStr">
        <is>
          <t>hapis</t>
        </is>
      </c>
      <c r="M231" s="5" t="inlineStr"/>
      <c r="N231" s="5" t="inlineStr"/>
      <c r="O231" s="5" t="inlineStr"/>
      <c r="P231" s="5" t="inlineStr"/>
      <c r="Q231" s="5" t="inlineStr"/>
      <c r="R231" s="6" t="inlineStr"/>
      <c r="S231" s="5" t="inlineStr"/>
      <c r="T231" s="5" t="inlineStr"/>
      <c r="U231" s="5" t="inlineStr"/>
      <c r="V231" s="5" t="inlineStr"/>
    </row>
    <row r="232">
      <c r="A232" s="5" t="inlineStr">
        <is>
          <t>mm-terfi-sinavi</t>
        </is>
      </c>
      <c r="B232" s="5" t="n">
        <v>8</v>
      </c>
      <c r="C232" s="5" t="inlineStr">
        <is>
          <t>45 yaş</t>
        </is>
      </c>
      <c r="D232" s="5" t="inlineStr">
        <is>
          <t>📝</t>
        </is>
      </c>
      <c r="E232" s="6" t="inlineStr">
        <is>
          <t>Terfi Sınavı</t>
        </is>
      </c>
      <c r="F232" s="6" t="inlineStr">
        <is>
          <t>Şube müdürlüğü için terfi sınavı açıldı. Konular: mevzuat, mevzuattaki değişiklikler ve değişikliklerdeki değişiklikler.</t>
        </is>
      </c>
      <c r="G232" s="5" t="inlineStr">
        <is>
          <t>devlet-dairesi</t>
        </is>
      </c>
      <c r="H232" s="5" t="inlineStr"/>
      <c r="I232" s="5" t="inlineStr"/>
      <c r="J232" s="5" t="inlineStr"/>
      <c r="K232" s="5" t="inlineStr">
        <is>
          <t>meslek-memur</t>
        </is>
      </c>
      <c r="L232" s="5" t="inlineStr">
        <is>
          <t>hapis</t>
        </is>
      </c>
      <c r="M232" s="5" t="inlineStr"/>
      <c r="N232" s="5" t="inlineStr"/>
      <c r="O232" s="5" t="inlineStr"/>
      <c r="P232" s="5" t="inlineStr"/>
      <c r="Q232" s="5" t="inlineStr"/>
      <c r="R232" s="6" t="inlineStr"/>
      <c r="S232" s="5" t="inlineStr"/>
      <c r="T232" s="5" t="inlineStr"/>
      <c r="U232" s="5" t="inlineStr"/>
      <c r="V232" s="5" t="inlineStr"/>
    </row>
    <row r="233">
      <c r="A233" s="5" t="inlineStr">
        <is>
          <t>b8-dijital-para</t>
        </is>
      </c>
      <c r="B233" s="5" t="n">
        <v>8</v>
      </c>
      <c r="C233" s="5" t="inlineStr">
        <is>
          <t>45 yaş 6 ay</t>
        </is>
      </c>
      <c r="D233" s="5" t="inlineStr">
        <is>
          <t>🪙</t>
        </is>
      </c>
      <c r="E233" s="6" t="inlineStr">
        <is>
          <t>Dijital Para Heyecanı</t>
        </is>
      </c>
      <c r="F233" s="6" t="inlineStr">
        <is>
          <t>Eski bir arkadaş aradı: 'Yeni bir dijital para çıktı, hâlâ erken!' Erken olan tek şey saat: 07.12.</t>
        </is>
      </c>
      <c r="G233" s="5" t="inlineStr">
        <is>
          <t>ev</t>
        </is>
      </c>
      <c r="H233" s="5" t="inlineStr">
        <is>
          <t>para</t>
        </is>
      </c>
      <c r="I233" s="5" t="inlineStr"/>
      <c r="J233" s="5" t="n">
        <v>1</v>
      </c>
      <c r="K233" s="5" t="inlineStr">
        <is>
          <t>borclu</t>
        </is>
      </c>
      <c r="L233" s="5" t="inlineStr">
        <is>
          <t>hapis</t>
        </is>
      </c>
      <c r="M233" s="5" t="inlineStr"/>
      <c r="N233" s="5" t="inlineStr"/>
      <c r="O233" s="5" t="inlineStr"/>
      <c r="P233" s="5" t="inlineStr"/>
      <c r="Q233" s="5" t="inlineStr"/>
      <c r="R233" s="6" t="inlineStr"/>
      <c r="S233" s="5" t="inlineStr"/>
      <c r="T233" s="5" t="inlineStr"/>
      <c r="U233" s="5" t="inlineStr"/>
      <c r="V233" s="5" t="inlineStr"/>
    </row>
    <row r="234">
      <c r="A234" s="5" t="inlineStr">
        <is>
          <t>b8-o-cumle</t>
        </is>
      </c>
      <c r="B234" s="5" t="n">
        <v>8</v>
      </c>
      <c r="C234" s="5" t="inlineStr">
        <is>
          <t>46 yaş</t>
        </is>
      </c>
      <c r="D234" s="5" t="inlineStr">
        <is>
          <t>🗣️</t>
        </is>
      </c>
      <c r="E234" s="6" t="inlineStr">
        <is>
          <t>O Cümle</t>
        </is>
      </c>
      <c r="F234" s="6" t="inlineStr">
        <is>
          <t>Çocuk 'Sıkılıyorum' dedi. İçinde bir cümle yükseliyor: anne-babandan duyup asla kurmayacağına yemin ettiğin cümle.</t>
        </is>
      </c>
      <c r="G234" s="5" t="inlineStr">
        <is>
          <t>mutfak</t>
        </is>
      </c>
      <c r="H234" s="5" t="inlineStr">
        <is>
          <t>ev</t>
        </is>
      </c>
      <c r="I234" s="5" t="inlineStr"/>
      <c r="J234" s="5" t="n">
        <v>1</v>
      </c>
      <c r="K234" s="5" t="inlineStr">
        <is>
          <t>cocuklu</t>
        </is>
      </c>
      <c r="L234" s="5" t="inlineStr">
        <is>
          <t>hapis</t>
        </is>
      </c>
      <c r="M234" s="5" t="inlineStr"/>
      <c r="N234" s="5" t="inlineStr"/>
      <c r="O234" s="5" t="inlineStr"/>
      <c r="P234" s="5" t="inlineStr"/>
      <c r="Q234" s="5" t="inlineStr"/>
      <c r="R234" s="6" t="inlineStr"/>
      <c r="S234" s="5" t="inlineStr"/>
      <c r="T234" s="5" t="inlineStr"/>
      <c r="U234" s="5" t="inlineStr"/>
      <c r="V234" s="5" t="inlineStr"/>
    </row>
    <row r="235">
      <c r="A235" s="5" t="inlineStr">
        <is>
          <t>b8-evli-rutin</t>
        </is>
      </c>
      <c r="B235" s="5" t="n">
        <v>8</v>
      </c>
      <c r="C235" s="5" t="inlineStr">
        <is>
          <t>46 yaş 6 ay</t>
        </is>
      </c>
      <c r="D235" s="5" t="inlineStr">
        <is>
          <t>💍</t>
        </is>
      </c>
      <c r="E235" s="6" t="inlineStr">
        <is>
          <t>Evlilik Rutini</t>
        </is>
      </c>
      <c r="F235" s="6" t="inlineStr">
        <is>
          <t>Akşam yemeği. Eşinle ikiniz de telefona bakıyorsunuz. Az önce birbirinize aynı videoyu göndermişsiniz.</t>
        </is>
      </c>
      <c r="G235" s="5" t="inlineStr">
        <is>
          <t>ev</t>
        </is>
      </c>
      <c r="H235" s="5" t="inlineStr"/>
      <c r="I235" s="5" t="inlineStr"/>
      <c r="J235" s="5" t="n">
        <v>1</v>
      </c>
      <c r="K235" s="5" t="inlineStr">
        <is>
          <t>evli</t>
        </is>
      </c>
      <c r="L235" s="5" t="inlineStr">
        <is>
          <t>hapis</t>
        </is>
      </c>
      <c r="M235" s="5" t="inlineStr"/>
      <c r="N235" s="5" t="inlineStr"/>
      <c r="O235" s="5" t="inlineStr"/>
      <c r="P235" s="5" t="inlineStr"/>
      <c r="Q235" s="5" t="inlineStr"/>
      <c r="R235" s="6" t="inlineStr"/>
      <c r="S235" s="5" t="inlineStr"/>
      <c r="T235" s="5" t="inlineStr"/>
      <c r="U235" s="5" t="inlineStr"/>
      <c r="V235" s="5" t="inlineStr"/>
    </row>
    <row r="236">
      <c r="A236" s="5" t="inlineStr">
        <is>
          <t>b8-cocuk-odasi</t>
        </is>
      </c>
      <c r="B236" s="5" t="n">
        <v>8</v>
      </c>
      <c r="C236" s="5" t="inlineStr">
        <is>
          <t>47 yaş</t>
        </is>
      </c>
      <c r="D236" s="5" t="inlineStr">
        <is>
          <t>🧦</t>
        </is>
      </c>
      <c r="E236" s="6" t="inlineStr">
        <is>
          <t>Çocuğun Odası</t>
        </is>
      </c>
      <c r="F236" s="6" t="inlineStr">
        <is>
          <t>Çocuğun odasına girdin. Zemin görünmüyor. Bir yerlerden iki haftadır kayıp bir tabak sesleniyor.</t>
        </is>
      </c>
      <c r="G236" s="5" t="inlineStr">
        <is>
          <t>cocuk-odasi</t>
        </is>
      </c>
      <c r="H236" s="5" t="inlineStr">
        <is>
          <t>ev</t>
        </is>
      </c>
      <c r="I236" s="5" t="inlineStr"/>
      <c r="J236" s="5" t="n">
        <v>1</v>
      </c>
      <c r="K236" s="5" t="inlineStr">
        <is>
          <t>cocuklu</t>
        </is>
      </c>
      <c r="L236" s="5" t="inlineStr">
        <is>
          <t>hapis</t>
        </is>
      </c>
      <c r="M236" s="5" t="inlineStr"/>
      <c r="N236" s="5" t="inlineStr"/>
      <c r="O236" s="5" t="inlineStr"/>
      <c r="P236" s="5" t="inlineStr"/>
      <c r="Q236" s="5" t="inlineStr"/>
      <c r="R236" s="6" t="inlineStr"/>
      <c r="S236" s="5" t="inlineStr"/>
      <c r="T236" s="5" t="inlineStr"/>
      <c r="U236" s="5" t="inlineStr"/>
      <c r="V236" s="5" t="inlineStr"/>
    </row>
    <row r="237">
      <c r="A237" s="5" t="inlineStr">
        <is>
          <t>ms-eski-musteri</t>
        </is>
      </c>
      <c r="B237" s="5" t="n">
        <v>8</v>
      </c>
      <c r="C237" s="5" t="inlineStr">
        <is>
          <t>47 yaş</t>
        </is>
      </c>
      <c r="D237" s="5" t="inlineStr">
        <is>
          <t>🔁</t>
        </is>
      </c>
      <c r="E237" s="6" t="inlineStr">
        <is>
          <t>Eski Müşteri</t>
        </is>
      </c>
      <c r="F237" s="6" t="inlineStr">
        <is>
          <t>On beş yıl önce ödeme yapmayan müşteri yazdı: 'Selam! Yeni bir işimiz var, sizi çok özledik.'</t>
        </is>
      </c>
      <c r="G237" s="5" t="inlineStr">
        <is>
          <t>kafe</t>
        </is>
      </c>
      <c r="H237" s="5" t="inlineStr"/>
      <c r="I237" s="5" t="inlineStr"/>
      <c r="J237" s="5" t="n">
        <v>1</v>
      </c>
      <c r="K237" s="5" t="inlineStr">
        <is>
          <t>meslek-serbest</t>
        </is>
      </c>
      <c r="L237" s="5" t="inlineStr">
        <is>
          <t>hapis</t>
        </is>
      </c>
      <c r="M237" s="5" t="inlineStr"/>
      <c r="N237" s="5" t="inlineStr"/>
      <c r="O237" s="5" t="inlineStr"/>
      <c r="P237" s="5" t="inlineStr"/>
      <c r="Q237" s="5" t="inlineStr"/>
      <c r="R237" s="6" t="inlineStr"/>
      <c r="S237" s="5" t="inlineStr"/>
      <c r="T237" s="5" t="inlineStr"/>
      <c r="U237" s="5" t="inlineStr"/>
      <c r="V237" s="5" t="inlineStr"/>
    </row>
    <row r="238">
      <c r="A238" s="5" t="inlineStr">
        <is>
          <t>b8-lise-bulusmasi</t>
        </is>
      </c>
      <c r="B238" s="5" t="n">
        <v>8</v>
      </c>
      <c r="C238" s="5" t="inlineStr">
        <is>
          <t>47 yaş 6 ay</t>
        </is>
      </c>
      <c r="D238" s="5" t="inlineStr">
        <is>
          <t>🎓</t>
        </is>
      </c>
      <c r="E238" s="6" t="inlineStr">
        <is>
          <t>25. Yıl Buluşması</t>
        </is>
      </c>
      <c r="F238" s="6" t="inlineStr">
        <is>
          <t>Lise mezunlarının 25. yıl buluşması. Yaka kartında adın yazıyor; herkes önce kartına, sonra saçına bakıyor.</t>
        </is>
      </c>
      <c r="G238" s="5" t="inlineStr">
        <is>
          <t>dugun-salonu</t>
        </is>
      </c>
      <c r="H238" s="5" t="inlineStr">
        <is>
          <t>sosyal</t>
        </is>
      </c>
      <c r="I238" s="5" t="inlineStr">
        <is>
          <t>E</t>
        </is>
      </c>
      <c r="J238" s="5" t="n">
        <v>1</v>
      </c>
      <c r="K238" s="5" t="inlineStr"/>
      <c r="L238" s="5" t="inlineStr">
        <is>
          <t>hapis, okulu-birakti</t>
        </is>
      </c>
      <c r="M238" s="5" t="inlineStr"/>
      <c r="N238" s="5" t="inlineStr"/>
      <c r="O238" s="5" t="inlineStr"/>
      <c r="P238" s="5" t="inlineStr"/>
      <c r="Q238" s="5" t="inlineStr"/>
      <c r="R238" s="6" t="inlineStr"/>
      <c r="S238" s="5" t="inlineStr"/>
      <c r="T238" s="5" t="inlineStr"/>
      <c r="U238" s="5" t="inlineStr"/>
      <c r="V238" s="5" t="inlineStr"/>
    </row>
    <row r="239">
      <c r="A239" s="5" t="inlineStr">
        <is>
          <t>b8-sahte-haber</t>
        </is>
      </c>
      <c r="B239" s="5" t="n">
        <v>8</v>
      </c>
      <c r="C239" s="5" t="inlineStr">
        <is>
          <t>48 yaş</t>
        </is>
      </c>
      <c r="D239" s="5" t="inlineStr">
        <is>
          <t>📲</t>
        </is>
      </c>
      <c r="E239" s="6" t="inlineStr">
        <is>
          <t>Aile Grubunda Sahte Haber</t>
        </is>
      </c>
      <c r="F239" s="6" t="inlineStr">
        <is>
          <t>Aile grubunda bir akraba yazdı: 'Yarın 15.00'te bütün telefonlar patlayacak, kapatın!' Mesaj gece 03.12'de, on dört kez iletilmiş.</t>
        </is>
      </c>
      <c r="G239" s="5" t="inlineStr">
        <is>
          <t>ev</t>
        </is>
      </c>
      <c r="H239" s="5" t="inlineStr"/>
      <c r="I239" s="5" t="inlineStr"/>
      <c r="J239" s="5" t="n">
        <v>1</v>
      </c>
      <c r="K239" s="5" t="inlineStr"/>
      <c r="L239" s="5" t="inlineStr">
        <is>
          <t>hapis</t>
        </is>
      </c>
      <c r="M239" s="5" t="inlineStr"/>
      <c r="N239" s="5" t="inlineStr"/>
      <c r="O239" s="5" t="inlineStr"/>
      <c r="P239" s="5" t="inlineStr"/>
      <c r="Q239" s="5" t="inlineStr"/>
      <c r="R239" s="6" t="inlineStr"/>
      <c r="S239" s="5" t="inlineStr"/>
      <c r="T239" s="5" t="inlineStr"/>
      <c r="U239" s="5" t="inlineStr"/>
      <c r="V239" s="5" t="inlineStr"/>
    </row>
    <row r="240">
      <c r="A240" s="5" t="inlineStr">
        <is>
          <t>mb-asansorde-genel-mudur</t>
        </is>
      </c>
      <c r="B240" s="5" t="n">
        <v>8</v>
      </c>
      <c r="C240" s="5" t="inlineStr">
        <is>
          <t>48 yaş</t>
        </is>
      </c>
      <c r="D240" s="5" t="inlineStr">
        <is>
          <t>🛗</t>
        </is>
      </c>
      <c r="E240" s="6" t="inlineStr">
        <is>
          <t>Asansörde Genel Müdür</t>
        </is>
      </c>
      <c r="F240" s="6" t="inlineStr">
        <is>
          <t>Asansör yirmi üçüncü katta durdu, genel müdür bindi, kapı kapandı ve asansör arızalandı. Teknisyen kırk dakika uzakta.</t>
        </is>
      </c>
      <c r="G240" s="5" t="inlineStr">
        <is>
          <t>ofis</t>
        </is>
      </c>
      <c r="H240" s="5" t="inlineStr"/>
      <c r="I240" s="5" t="inlineStr"/>
      <c r="J240" s="5" t="n">
        <v>1</v>
      </c>
      <c r="K240" s="5" t="inlineStr">
        <is>
          <t>meslek-beyazyaka</t>
        </is>
      </c>
      <c r="L240" s="5" t="inlineStr">
        <is>
          <t>hapis</t>
        </is>
      </c>
      <c r="M240" s="5" t="inlineStr"/>
      <c r="N240" s="5" t="inlineStr"/>
      <c r="O240" s="5" t="inlineStr"/>
      <c r="P240" s="5" t="inlineStr"/>
      <c r="Q240" s="5" t="inlineStr"/>
      <c r="R240" s="6" t="inlineStr"/>
      <c r="S240" s="5" t="inlineStr"/>
      <c r="T240" s="5" t="inlineStr"/>
      <c r="U240" s="5" t="inlineStr"/>
      <c r="V240" s="5" t="inlineStr"/>
    </row>
    <row r="241">
      <c r="A241" s="5" t="inlineStr">
        <is>
          <t>me-tek-yildiz</t>
        </is>
      </c>
      <c r="B241" s="5" t="n">
        <v>8</v>
      </c>
      <c r="C241" s="5" t="inlineStr">
        <is>
          <t>48 yaş</t>
        </is>
      </c>
      <c r="D241" s="5" t="inlineStr">
        <is>
          <t>⭐</t>
        </is>
      </c>
      <c r="E241" s="6" t="inlineStr">
        <is>
          <t>Tek Yıldızlı Yorum</t>
        </is>
      </c>
      <c r="F241" s="6" t="inlineStr">
        <is>
          <t>Dükkânın sayfasına tek yıldız geldi: 'Esnaf güler yüzlü değil.' Yorumun saati gece 03.14. Dükkân o saatte kapalı.</t>
        </is>
      </c>
      <c r="G241" s="5" t="inlineStr">
        <is>
          <t>dukkan</t>
        </is>
      </c>
      <c r="H241" s="5" t="inlineStr"/>
      <c r="I241" s="5" t="inlineStr"/>
      <c r="J241" s="5" t="inlineStr"/>
      <c r="K241" s="5" t="inlineStr">
        <is>
          <t>meslek-esnaf</t>
        </is>
      </c>
      <c r="L241" s="5" t="inlineStr">
        <is>
          <t>hapis</t>
        </is>
      </c>
      <c r="M241" s="5" t="inlineStr"/>
      <c r="N241" s="5" t="inlineStr"/>
      <c r="O241" s="5" t="inlineStr"/>
      <c r="P241" s="5" t="inlineStr"/>
      <c r="Q241" s="5" t="inlineStr"/>
      <c r="R241" s="6" t="inlineStr"/>
      <c r="S241" s="5" t="inlineStr"/>
      <c r="T241" s="5" t="inlineStr"/>
      <c r="U241" s="5" t="inlineStr"/>
      <c r="V241" s="5" t="inlineStr"/>
    </row>
    <row r="242">
      <c r="A242" s="5" t="inlineStr">
        <is>
          <t>mm-vatandasla-diyalog</t>
        </is>
      </c>
      <c r="B242" s="5" t="n">
        <v>8</v>
      </c>
      <c r="C242" s="5" t="inlineStr">
        <is>
          <t>48 yaş</t>
        </is>
      </c>
      <c r="D242" s="5" t="inlineStr">
        <is>
          <t>🙋</t>
        </is>
      </c>
      <c r="E242" s="6" t="inlineStr">
        <is>
          <t>Kimin Nesi Olduğunu Bilmiyorsun</t>
        </is>
      </c>
      <c r="F242" s="6" t="inlineStr">
        <is>
          <t>Vatandaş masaya eğildi: 'Siz benim kim olduğumu biliyor musunuz?' Bilmiyorsun. Ama bu cümleyi yirmi yıldır bekliyordun.</t>
        </is>
      </c>
      <c r="G242" s="5" t="inlineStr">
        <is>
          <t>devlet-dairesi</t>
        </is>
      </c>
      <c r="H242" s="5" t="inlineStr"/>
      <c r="I242" s="5" t="inlineStr"/>
      <c r="J242" s="5" t="inlineStr"/>
      <c r="K242" s="5" t="inlineStr">
        <is>
          <t>meslek-memur</t>
        </is>
      </c>
      <c r="L242" s="5" t="inlineStr">
        <is>
          <t>hapis</t>
        </is>
      </c>
      <c r="M242" s="5" t="inlineStr"/>
      <c r="N242" s="5" t="inlineStr"/>
      <c r="O242" s="5" t="inlineStr"/>
      <c r="P242" s="5" t="inlineStr"/>
      <c r="Q242" s="5" t="inlineStr"/>
      <c r="R242" s="6" t="inlineStr"/>
      <c r="S242" s="5" t="inlineStr"/>
      <c r="T242" s="5" t="inlineStr"/>
      <c r="U242" s="5" t="inlineStr"/>
      <c r="V242" s="5" t="inlineStr"/>
    </row>
    <row r="243">
      <c r="A243" s="5" t="inlineStr">
        <is>
          <t>b8-yeni-hobi</t>
        </is>
      </c>
      <c r="B243" s="5" t="n">
        <v>8</v>
      </c>
      <c r="C243" s="5" t="inlineStr">
        <is>
          <t>48 yaş 6 ay</t>
        </is>
      </c>
      <c r="D243" s="5" t="inlineStr">
        <is>
          <t>🪂</t>
        </is>
      </c>
      <c r="E243" s="6" t="inlineStr">
        <is>
          <t>Yeni Hobi</t>
        </is>
      </c>
      <c r="F243" s="6" t="inlineStr">
        <is>
          <t>Yeni bir hobinin zamanı geldi. Adaylar: ekşi maya, bağlama, yamaç paraşütü. Üçü de sonunda bir köşeye yığılacak.</t>
        </is>
      </c>
      <c r="G243" s="5" t="inlineStr">
        <is>
          <t>park</t>
        </is>
      </c>
      <c r="H243" s="5" t="inlineStr"/>
      <c r="I243" s="5" t="inlineStr"/>
      <c r="J243" s="5" t="n">
        <v>1</v>
      </c>
      <c r="K243" s="5" t="inlineStr"/>
      <c r="L243" s="5" t="inlineStr">
        <is>
          <t>hapis</t>
        </is>
      </c>
      <c r="M243" s="5" t="inlineStr"/>
      <c r="N243" s="5" t="inlineStr"/>
      <c r="O243" s="5" t="inlineStr"/>
      <c r="P243" s="5" t="inlineStr"/>
      <c r="Q243" s="5" t="inlineStr"/>
      <c r="R243" s="6" t="inlineStr"/>
      <c r="S243" s="5" t="inlineStr"/>
      <c r="T243" s="5" t="inlineStr"/>
      <c r="U243" s="5" t="inlineStr"/>
      <c r="V243" s="5" t="inlineStr"/>
    </row>
    <row r="244">
      <c r="A244" s="5" t="inlineStr">
        <is>
          <t>b8-maraton</t>
        </is>
      </c>
      <c r="B244" s="5" t="n">
        <v>8</v>
      </c>
      <c r="C244" s="5" t="inlineStr">
        <is>
          <t>49 yaş</t>
        </is>
      </c>
      <c r="D244" s="5" t="inlineStr">
        <is>
          <t>🏃</t>
        </is>
      </c>
      <c r="E244" s="6" t="inlineStr">
        <is>
          <t>Maraton Hevesi</t>
        </is>
      </c>
      <c r="F244" s="6" t="inlineStr">
        <is>
          <t>İlk maratonuna kayıt oldun. Göğüs numaran 4471. Kaç kişinin önünde bitireceğine dair bir taahhüt verilmedi.</t>
        </is>
      </c>
      <c r="G244" s="5" t="inlineStr">
        <is>
          <t>sokak</t>
        </is>
      </c>
      <c r="H244" s="5" t="inlineStr"/>
      <c r="I244" s="5" t="inlineStr"/>
      <c r="J244" s="5" t="n">
        <v>1</v>
      </c>
      <c r="K244" s="5" t="inlineStr">
        <is>
          <t>sporcu</t>
        </is>
      </c>
      <c r="L244" s="5" t="inlineStr">
        <is>
          <t>hapis</t>
        </is>
      </c>
      <c r="M244" s="5" t="inlineStr"/>
      <c r="N244" s="5" t="inlineStr"/>
      <c r="O244" s="5" t="inlineStr"/>
      <c r="P244" s="5" t="inlineStr"/>
      <c r="Q244" s="5" t="inlineStr"/>
      <c r="R244" s="6" t="inlineStr"/>
      <c r="S244" s="5" t="inlineStr"/>
      <c r="T244" s="5" t="inlineStr"/>
      <c r="U244" s="5" t="inlineStr"/>
      <c r="V244" s="5" t="inlineStr"/>
    </row>
    <row r="245">
      <c r="A245" s="5" t="inlineStr">
        <is>
          <t>b8-yeniden-egitim</t>
        </is>
      </c>
      <c r="B245" s="5" t="n">
        <v>8</v>
      </c>
      <c r="C245" s="5" t="inlineStr">
        <is>
          <t>49 yaş 6 ay</t>
        </is>
      </c>
      <c r="D245" s="5" t="inlineStr">
        <is>
          <t>🎒</t>
        </is>
      </c>
      <c r="E245" s="6" t="inlineStr">
        <is>
          <t>Yeniden Öğrenci</t>
        </is>
      </c>
      <c r="F245" s="6" t="inlineStr">
        <is>
          <t>Kariyer değiştirmeye karar verdin. Kayıt ekranındasın. Şifre en az bir büyük harf, bir rakam ve bir miktar gençlik istiyor.</t>
        </is>
      </c>
      <c r="G245" s="5" t="inlineStr">
        <is>
          <t>universite</t>
        </is>
      </c>
      <c r="H245" s="5" t="inlineStr">
        <is>
          <t>okul-iş</t>
        </is>
      </c>
      <c r="I245" s="5" t="inlineStr"/>
      <c r="J245" s="5" t="n">
        <v>1</v>
      </c>
      <c r="K245" s="5" t="inlineStr"/>
      <c r="L245" s="5" t="inlineStr">
        <is>
          <t>hapis</t>
        </is>
      </c>
      <c r="M245" s="5" t="inlineStr"/>
      <c r="N245" s="5" t="inlineStr"/>
      <c r="O245" s="5" t="inlineStr"/>
      <c r="P245" s="5" t="inlineStr"/>
      <c r="Q245" s="5" t="inlineStr"/>
      <c r="R245" s="6" t="inlineStr"/>
      <c r="S245" s="5" t="inlineStr"/>
      <c r="T245" s="5" t="inlineStr"/>
      <c r="U245" s="5" t="inlineStr"/>
      <c r="V245" s="5" t="inlineStr"/>
    </row>
    <row r="246">
      <c r="A246" s="5" t="inlineStr">
        <is>
          <t>b8-yazlik</t>
        </is>
      </c>
      <c r="B246" s="5" t="n">
        <v>8</v>
      </c>
      <c r="C246" s="5" t="inlineStr">
        <is>
          <t>50 yaş</t>
        </is>
      </c>
      <c r="D246" s="5" t="inlineStr">
        <is>
          <t>🏖️</t>
        </is>
      </c>
      <c r="E246" s="6" t="inlineStr">
        <is>
          <t>Yazlık Hayali</t>
        </is>
      </c>
      <c r="F246" s="6" t="inlineStr">
        <is>
          <t>Sahil kasabasında bir yazlık satılık. İlan: 'Denize yürüme mesafesinde.' Mesafe tanımlanmamış.</t>
        </is>
      </c>
      <c r="G246" s="5" t="inlineStr">
        <is>
          <t>yazlik</t>
        </is>
      </c>
      <c r="H246" s="5" t="inlineStr">
        <is>
          <t>para</t>
        </is>
      </c>
      <c r="I246" s="5" t="inlineStr"/>
      <c r="J246" s="5" t="n">
        <v>1</v>
      </c>
      <c r="K246" s="5" t="inlineStr"/>
      <c r="L246" s="5" t="inlineStr">
        <is>
          <t>hapis</t>
        </is>
      </c>
      <c r="M246" s="5" t="inlineStr"/>
      <c r="N246" s="5" t="inlineStr"/>
      <c r="O246" s="5" t="inlineStr"/>
      <c r="P246" s="5" t="inlineStr"/>
      <c r="Q246" s="5" t="inlineStr"/>
      <c r="R246" s="6" t="inlineStr"/>
      <c r="S246" s="5" t="inlineStr"/>
      <c r="T246" s="5" t="inlineStr"/>
      <c r="U246" s="5" t="inlineStr"/>
      <c r="V246" s="5" t="inlineStr"/>
    </row>
    <row r="247">
      <c r="A247" s="5" t="inlineStr">
        <is>
          <t>b8-ilac-kutusu</t>
        </is>
      </c>
      <c r="B247" s="5" t="n">
        <v>8</v>
      </c>
      <c r="C247" s="5" t="inlineStr">
        <is>
          <t>50 yaş 6 ay</t>
        </is>
      </c>
      <c r="D247" s="5" t="inlineStr">
        <is>
          <t>💊</t>
        </is>
      </c>
      <c r="E247" s="6" t="inlineStr">
        <is>
          <t>İlaç Kutusu Düzeni</t>
        </is>
      </c>
      <c r="F247" s="6" t="inlineStr">
        <is>
          <t>Anne-baban için haftalık ilaç kutusu aldın. Yedi gün, üç öğün, yirmi bir göz. Masada on dört farklı kutu seni bekliyor.</t>
        </is>
      </c>
      <c r="G247" s="5" t="inlineStr">
        <is>
          <t>ev</t>
        </is>
      </c>
      <c r="H247" s="5" t="inlineStr">
        <is>
          <t>ev</t>
        </is>
      </c>
      <c r="I247" s="5" t="inlineStr"/>
      <c r="J247" s="5" t="n">
        <v>1</v>
      </c>
      <c r="K247" s="5" t="inlineStr"/>
      <c r="L247" s="5" t="inlineStr">
        <is>
          <t>hapis</t>
        </is>
      </c>
      <c r="M247" s="5" t="inlineStr"/>
      <c r="N247" s="5" t="inlineStr"/>
      <c r="O247" s="5" t="inlineStr"/>
      <c r="P247" s="5" t="inlineStr"/>
      <c r="Q247" s="5" t="inlineStr"/>
      <c r="R247" s="6" t="inlineStr"/>
      <c r="S247" s="5" t="inlineStr"/>
      <c r="T247" s="5" t="inlineStr"/>
      <c r="U247" s="5" t="inlineStr"/>
      <c r="V247" s="5" t="inlineStr"/>
    </row>
    <row r="248">
      <c r="A248" s="5" t="inlineStr">
        <is>
          <t>b8-site-yoneticisi</t>
        </is>
      </c>
      <c r="B248" s="5" t="n">
        <v>8</v>
      </c>
      <c r="C248" s="5" t="inlineStr">
        <is>
          <t>51 yaş</t>
        </is>
      </c>
      <c r="D248" s="5" t="inlineStr">
        <is>
          <t>🏢</t>
        </is>
      </c>
      <c r="E248" s="6" t="inlineStr">
        <is>
          <t>Site Yönetim Toplantısı</t>
        </is>
      </c>
      <c r="F248" s="6" t="inlineStr">
        <is>
          <t>Yıllık site toplantısı. Gündem: aidat, otopark, kedi mama kabı. Aday yok; herkes sana bakıyor, çünkü geç kaldın.</t>
        </is>
      </c>
      <c r="G248" s="5" t="inlineStr">
        <is>
          <t>apartman</t>
        </is>
      </c>
      <c r="H248" s="5" t="inlineStr"/>
      <c r="I248" s="5" t="inlineStr"/>
      <c r="J248" s="5" t="n">
        <v>1</v>
      </c>
      <c r="K248" s="5" t="inlineStr"/>
      <c r="L248" s="5" t="inlineStr">
        <is>
          <t>hapis</t>
        </is>
      </c>
      <c r="M248" s="5" t="inlineStr"/>
      <c r="N248" s="5" t="inlineStr"/>
      <c r="O248" s="5" t="inlineStr"/>
      <c r="P248" s="5" t="inlineStr"/>
      <c r="Q248" s="5" t="inlineStr"/>
      <c r="R248" s="6" t="inlineStr"/>
      <c r="S248" s="5" t="inlineStr"/>
      <c r="T248" s="5" t="inlineStr"/>
      <c r="U248" s="5" t="inlineStr"/>
      <c r="V248" s="5" t="inlineStr"/>
    </row>
    <row r="249">
      <c r="A249" s="5" t="inlineStr">
        <is>
          <t>mb-genc-yonetici</t>
        </is>
      </c>
      <c r="B249" s="5" t="n">
        <v>8</v>
      </c>
      <c r="C249" s="5" t="inlineStr">
        <is>
          <t>51 yaş</t>
        </is>
      </c>
      <c r="D249" s="5" t="inlineStr">
        <is>
          <t>🧑‍💼</t>
        </is>
      </c>
      <c r="E249" s="6" t="inlineStr">
        <is>
          <t>Yeni Yöneticin</t>
        </is>
      </c>
      <c r="F249" s="6" t="inlineStr">
        <is>
          <t>Yeni yöneticin atandı. O doğduğunda sen bu şirkette stajyerdin. İlk toplantıda 'Eski yöntemleri bırakalım' dedi.</t>
        </is>
      </c>
      <c r="G249" s="5" t="inlineStr">
        <is>
          <t>ofis</t>
        </is>
      </c>
      <c r="H249" s="5" t="inlineStr"/>
      <c r="I249" s="5" t="inlineStr"/>
      <c r="J249" s="5" t="n">
        <v>1</v>
      </c>
      <c r="K249" s="5" t="inlineStr">
        <is>
          <t>meslek-beyazyaka</t>
        </is>
      </c>
      <c r="L249" s="5" t="inlineStr">
        <is>
          <t>hapis</t>
        </is>
      </c>
      <c r="M249" s="5" t="inlineStr"/>
      <c r="N249" s="5" t="inlineStr"/>
      <c r="O249" s="5" t="inlineStr"/>
      <c r="P249" s="5" t="inlineStr"/>
      <c r="Q249" s="5" t="inlineStr"/>
      <c r="R249" s="6" t="inlineStr"/>
      <c r="S249" s="5" t="inlineStr"/>
      <c r="T249" s="5" t="inlineStr"/>
      <c r="U249" s="5" t="inlineStr"/>
      <c r="V249" s="5" t="inlineStr"/>
    </row>
    <row r="250">
      <c r="A250" s="5" t="inlineStr">
        <is>
          <t>ms-atolye-kirasi</t>
        </is>
      </c>
      <c r="B250" s="5" t="n">
        <v>8</v>
      </c>
      <c r="C250" s="5" t="inlineStr">
        <is>
          <t>51 yaş</t>
        </is>
      </c>
      <c r="D250" s="5" t="inlineStr">
        <is>
          <t>🏚️</t>
        </is>
      </c>
      <c r="E250" s="6" t="inlineStr">
        <is>
          <t>Atölye Kirası</t>
        </is>
      </c>
      <c r="F250" s="6" t="inlineStr">
        <is>
          <t>Bodrum katındaki atölyenin kirası üçe katlandı. Ev sahibi gerekçesini açıkladı: 'Artık burası sanat mahallesi.'</t>
        </is>
      </c>
      <c r="G250" s="5" t="inlineStr">
        <is>
          <t>apartman</t>
        </is>
      </c>
      <c r="H250" s="5" t="inlineStr"/>
      <c r="I250" s="5" t="inlineStr"/>
      <c r="J250" s="5" t="n">
        <v>1</v>
      </c>
      <c r="K250" s="5" t="inlineStr">
        <is>
          <t>meslek-serbest</t>
        </is>
      </c>
      <c r="L250" s="5" t="inlineStr">
        <is>
          <t>hapis</t>
        </is>
      </c>
      <c r="M250" s="5" t="inlineStr"/>
      <c r="N250" s="5" t="inlineStr"/>
      <c r="O250" s="5" t="inlineStr"/>
      <c r="P250" s="5" t="inlineStr"/>
      <c r="Q250" s="5" t="inlineStr"/>
      <c r="R250" s="6" t="inlineStr"/>
      <c r="S250" s="5" t="inlineStr"/>
      <c r="T250" s="5" t="inlineStr"/>
      <c r="U250" s="5" t="inlineStr"/>
      <c r="V250" s="5" t="inlineStr"/>
    </row>
    <row r="251">
      <c r="A251" s="5" t="inlineStr">
        <is>
          <t>b8-bakim-evraki</t>
        </is>
      </c>
      <c r="B251" s="5" t="n">
        <v>8</v>
      </c>
      <c r="C251" s="5" t="inlineStr">
        <is>
          <t>51 yaş 6 ay</t>
        </is>
      </c>
      <c r="D251" s="5" t="inlineStr">
        <is>
          <t>📋</t>
        </is>
      </c>
      <c r="E251" s="6" t="inlineStr">
        <is>
          <t>Bakım Evrakı</t>
        </is>
      </c>
      <c r="F251" s="6" t="inlineStr">
        <is>
          <t>Anne-babanın bakım işlemleri için sosyal güvenlik kurumundasın. Sıra numaran 347. Ekran bir süredir 112 yazıyor.</t>
        </is>
      </c>
      <c r="G251" s="5" t="inlineStr">
        <is>
          <t>devlet-dairesi</t>
        </is>
      </c>
      <c r="H251" s="5" t="inlineStr">
        <is>
          <t>ev</t>
        </is>
      </c>
      <c r="I251" s="5" t="inlineStr"/>
      <c r="J251" s="5" t="n">
        <v>1</v>
      </c>
      <c r="K251" s="5" t="inlineStr"/>
      <c r="L251" s="5" t="inlineStr">
        <is>
          <t>hapis</t>
        </is>
      </c>
      <c r="M251" s="5" t="inlineStr"/>
      <c r="N251" s="5" t="inlineStr"/>
      <c r="O251" s="5" t="inlineStr"/>
      <c r="P251" s="5" t="inlineStr"/>
      <c r="Q251" s="5" t="inlineStr"/>
      <c r="R251" s="6" t="inlineStr"/>
      <c r="S251" s="5" t="inlineStr"/>
      <c r="T251" s="5" t="inlineStr"/>
      <c r="U251" s="5" t="inlineStr"/>
      <c r="V251" s="5" t="inlineStr"/>
    </row>
    <row r="252">
      <c r="A252" s="5" t="inlineStr">
        <is>
          <t>b8-ikinci-bahar</t>
        </is>
      </c>
      <c r="B252" s="5" t="n">
        <v>8</v>
      </c>
      <c r="C252" s="5" t="inlineStr">
        <is>
          <t>52 yaş</t>
        </is>
      </c>
      <c r="D252" s="5" t="inlineStr">
        <is>
          <t>💐</t>
        </is>
      </c>
      <c r="E252" s="6" t="inlineStr">
        <is>
          <t>İkinci Bahar</t>
        </is>
      </c>
      <c r="F252" s="6" t="inlineStr">
        <is>
          <t>Bir arkadaşın 'Tanıştırayım mı?' dedi. Buluşma kafede, saat 19.00. Yirmi yıllık tecrüben var ve hiçbiri işe yaramıyor.</t>
        </is>
      </c>
      <c r="G252" s="5" t="inlineStr">
        <is>
          <t>kafe</t>
        </is>
      </c>
      <c r="H252" s="5" t="inlineStr"/>
      <c r="I252" s="5" t="inlineStr"/>
      <c r="J252" s="5" t="n">
        <v>1</v>
      </c>
      <c r="K252" s="5" t="inlineStr">
        <is>
          <t>bosandi</t>
        </is>
      </c>
      <c r="L252" s="5" t="inlineStr">
        <is>
          <t>hapis</t>
        </is>
      </c>
      <c r="M252" s="5" t="inlineStr"/>
      <c r="N252" s="5" t="inlineStr"/>
      <c r="O252" s="5" t="inlineStr"/>
      <c r="P252" s="5" t="inlineStr"/>
      <c r="Q252" s="5" t="inlineStr"/>
      <c r="R252" s="6" t="inlineStr"/>
      <c r="S252" s="5" t="inlineStr"/>
      <c r="T252" s="5" t="inlineStr"/>
      <c r="U252" s="5" t="inlineStr"/>
      <c r="V252" s="5" t="inlineStr"/>
    </row>
    <row r="253">
      <c r="A253" s="5" t="inlineStr">
        <is>
          <t>me-dernek-secimi</t>
        </is>
      </c>
      <c r="B253" s="5" t="n">
        <v>8</v>
      </c>
      <c r="C253" s="5" t="inlineStr">
        <is>
          <t>52 yaş</t>
        </is>
      </c>
      <c r="D253" s="5" t="inlineStr">
        <is>
          <t>🗳️</t>
        </is>
      </c>
      <c r="E253" s="6" t="inlineStr">
        <is>
          <t>Esnaf Derneği Seçimi</t>
        </is>
      </c>
      <c r="F253" s="6" t="inlineStr">
        <is>
          <t>Çarşının esnaf derneği seçime gidiyor. Adaylar belli: yirmi yıllık başkan ve yirmi yıllık başkanın 'yenilikçi' listesi.</t>
        </is>
      </c>
      <c r="G253" s="5" t="inlineStr">
        <is>
          <t>carsi</t>
        </is>
      </c>
      <c r="H253" s="5" t="inlineStr"/>
      <c r="I253" s="5" t="inlineStr"/>
      <c r="J253" s="5" t="inlineStr"/>
      <c r="K253" s="5" t="inlineStr">
        <is>
          <t>meslek-esnaf</t>
        </is>
      </c>
      <c r="L253" s="5" t="inlineStr">
        <is>
          <t>hapis</t>
        </is>
      </c>
      <c r="M253" s="5" t="inlineStr"/>
      <c r="N253" s="5" t="inlineStr"/>
      <c r="O253" s="5" t="inlineStr"/>
      <c r="P253" s="5" t="inlineStr"/>
      <c r="Q253" s="5" t="inlineStr"/>
      <c r="R253" s="6" t="inlineStr"/>
      <c r="S253" s="5" t="inlineStr"/>
      <c r="T253" s="5" t="inlineStr"/>
      <c r="U253" s="5" t="inlineStr"/>
      <c r="V253" s="5" t="inlineStr"/>
    </row>
    <row r="254">
      <c r="A254" s="5" t="inlineStr">
        <is>
          <t>mm-ikinci-is-hayali</t>
        </is>
      </c>
      <c r="B254" s="5" t="n">
        <v>8</v>
      </c>
      <c r="C254" s="5" t="inlineStr">
        <is>
          <t>52 yaş</t>
        </is>
      </c>
      <c r="D254" s="5" t="inlineStr">
        <is>
          <t>☕</t>
        </is>
      </c>
      <c r="E254" s="6" t="inlineStr">
        <is>
          <t>İkinci İş Hayali</t>
        </is>
      </c>
      <c r="F254" s="6" t="inlineStr">
        <is>
          <t>Öğle arasında yine aynı hayal: emekli olunca küçük bir kafe. Menü hazır, tabela hazır. Eksik tek şey emeklilik ve sermaye.</t>
        </is>
      </c>
      <c r="G254" s="5" t="inlineStr">
        <is>
          <t>kafe</t>
        </is>
      </c>
      <c r="H254" s="5" t="inlineStr"/>
      <c r="I254" s="5" t="inlineStr"/>
      <c r="J254" s="5" t="inlineStr"/>
      <c r="K254" s="5" t="inlineStr">
        <is>
          <t>meslek-memur</t>
        </is>
      </c>
      <c r="L254" s="5" t="inlineStr">
        <is>
          <t>hapis</t>
        </is>
      </c>
      <c r="M254" s="5" t="inlineStr"/>
      <c r="N254" s="5" t="inlineStr"/>
      <c r="O254" s="5" t="inlineStr"/>
      <c r="P254" s="5" t="inlineStr"/>
      <c r="Q254" s="5" t="inlineStr"/>
      <c r="R254" s="6" t="inlineStr"/>
      <c r="S254" s="5" t="inlineStr"/>
      <c r="T254" s="5" t="inlineStr"/>
      <c r="U254" s="5" t="inlineStr"/>
      <c r="V254" s="5" t="inlineStr"/>
    </row>
    <row r="255">
      <c r="A255" s="5" t="inlineStr">
        <is>
          <t>b8-cocuk-fenomen</t>
        </is>
      </c>
      <c r="B255" s="5" t="n">
        <v>8</v>
      </c>
      <c r="C255" s="5" t="inlineStr">
        <is>
          <t>52 yaş 6 ay</t>
        </is>
      </c>
      <c r="D255" s="5" t="inlineStr">
        <is>
          <t>🎥</t>
        </is>
      </c>
      <c r="E255" s="6" t="inlineStr">
        <is>
          <t>Çocuğun Fenomen Oldu</t>
        </is>
      </c>
      <c r="F255" s="6" t="inlineStr">
        <is>
          <t>Çocuğun kısa video uygulamasında fenomen oldu. En çok izlenen videosunun adı: 'Ebeveynim teknolojiyle savaşıyor.' Başrolde sen varsın.</t>
        </is>
      </c>
      <c r="G255" s="5" t="inlineStr">
        <is>
          <t>ev</t>
        </is>
      </c>
      <c r="H255" s="5" t="inlineStr"/>
      <c r="I255" s="5" t="inlineStr"/>
      <c r="J255" s="5" t="n">
        <v>1</v>
      </c>
      <c r="K255" s="5" t="inlineStr">
        <is>
          <t>cocuklu</t>
        </is>
      </c>
      <c r="L255" s="5" t="inlineStr">
        <is>
          <t>hapis</t>
        </is>
      </c>
      <c r="M255" s="5" t="inlineStr"/>
      <c r="N255" s="5" t="inlineStr"/>
      <c r="O255" s="5" t="inlineStr"/>
      <c r="P255" s="5" t="inlineStr"/>
      <c r="Q255" s="5" t="inlineStr"/>
      <c r="R255" s="6" t="inlineStr"/>
      <c r="S255" s="5" t="inlineStr"/>
      <c r="T255" s="5" t="inlineStr"/>
      <c r="U255" s="5" t="inlineStr"/>
      <c r="V255" s="5" t="inlineStr"/>
    </row>
    <row r="256">
      <c r="A256" s="5" t="inlineStr">
        <is>
          <t>b8-yapay-zeka-egitimi</t>
        </is>
      </c>
      <c r="B256" s="5" t="n">
        <v>8</v>
      </c>
      <c r="C256" s="5" t="inlineStr">
        <is>
          <t>53 yaş</t>
        </is>
      </c>
      <c r="D256" s="5" t="inlineStr">
        <is>
          <t>🤖</t>
        </is>
      </c>
      <c r="E256" s="6" t="inlineStr">
        <is>
          <t>Yapay Zekâ Eğitimi</t>
        </is>
      </c>
      <c r="F256" s="6" t="inlineStr">
        <is>
          <t>Şirket herkese yapay zekâ eğitimi zorunlu tuttu. Eğitmen yirmi üç yaşında. İlk sorusu sana: 'Bilgisayarı açabiliyor musunuz?'</t>
        </is>
      </c>
      <c r="G256" s="5" t="inlineStr">
        <is>
          <t>ofis</t>
        </is>
      </c>
      <c r="H256" s="5" t="inlineStr">
        <is>
          <t>okul-iş</t>
        </is>
      </c>
      <c r="I256" s="5" t="inlineStr"/>
      <c r="J256" s="5" t="n">
        <v>1</v>
      </c>
      <c r="K256" s="5" t="inlineStr"/>
      <c r="L256" s="5" t="inlineStr">
        <is>
          <t>hapis</t>
        </is>
      </c>
      <c r="M256" s="5" t="inlineStr"/>
      <c r="N256" s="5" t="inlineStr"/>
      <c r="O256" s="5" t="inlineStr"/>
      <c r="P256" s="5" t="inlineStr"/>
      <c r="Q256" s="5" t="inlineStr"/>
      <c r="R256" s="6" t="inlineStr"/>
      <c r="S256" s="5" t="inlineStr"/>
      <c r="T256" s="5" t="inlineStr"/>
      <c r="U256" s="5" t="inlineStr"/>
      <c r="V256" s="5" t="inlineStr"/>
    </row>
    <row r="257">
      <c r="A257" s="5" t="inlineStr">
        <is>
          <t>b8-emeklilik-hesabi</t>
        </is>
      </c>
      <c r="B257" s="5" t="n">
        <v>8</v>
      </c>
      <c r="C257" s="5" t="inlineStr">
        <is>
          <t>53 yaş 6 ay</t>
        </is>
      </c>
      <c r="D257" s="5" t="inlineStr">
        <is>
          <t>🧮</t>
        </is>
      </c>
      <c r="E257" s="6" t="inlineStr">
        <is>
          <t>Emekliliğe Kaç Gün?</t>
        </is>
      </c>
      <c r="F257" s="6" t="inlineStr">
        <is>
          <t>Emeklilik hesaplama ekranına bilgilerini girdin. Sonuç: 'Hesaplanamadı.' Yeniden denedin: 'Tahmini: yakında.' Yakın tanımlanmamış.</t>
        </is>
      </c>
      <c r="G257" s="5" t="inlineStr">
        <is>
          <t>banka</t>
        </is>
      </c>
      <c r="H257" s="5" t="inlineStr">
        <is>
          <t>para</t>
        </is>
      </c>
      <c r="I257" s="5" t="inlineStr"/>
      <c r="J257" s="5" t="n">
        <v>1</v>
      </c>
      <c r="K257" s="5" t="inlineStr"/>
      <c r="L257" s="5" t="inlineStr">
        <is>
          <t>hapis</t>
        </is>
      </c>
      <c r="M257" s="5" t="inlineStr"/>
      <c r="N257" s="5" t="inlineStr"/>
      <c r="O257" s="5" t="inlineStr"/>
      <c r="P257" s="5" t="inlineStr"/>
      <c r="Q257" s="5" t="inlineStr"/>
      <c r="R257" s="6" t="inlineStr"/>
      <c r="S257" s="5" t="inlineStr"/>
      <c r="T257" s="5" t="inlineStr"/>
      <c r="U257" s="5" t="inlineStr"/>
      <c r="V257" s="5" t="inlineStr"/>
    </row>
    <row r="258">
      <c r="A258" s="5" t="inlineStr">
        <is>
          <t>b8-bos-yuva</t>
        </is>
      </c>
      <c r="B258" s="5" t="n">
        <v>8</v>
      </c>
      <c r="C258" s="5" t="inlineStr">
        <is>
          <t>54 yaş</t>
        </is>
      </c>
      <c r="D258" s="5" t="inlineStr">
        <is>
          <t>🚪</t>
        </is>
      </c>
      <c r="E258" s="6" t="inlineStr">
        <is>
          <t>Boş Yuva</t>
        </is>
      </c>
      <c r="F258" s="6" t="inlineStr">
        <is>
          <t>Çocuk okumak için başka bir şehre taşındı. Oda toplu. Çok toplu. Rahatsız edici derecede toplu.</t>
        </is>
      </c>
      <c r="G258" s="5" t="inlineStr">
        <is>
          <t>cocuk-odasi</t>
        </is>
      </c>
      <c r="H258" s="5" t="inlineStr">
        <is>
          <t>ev</t>
        </is>
      </c>
      <c r="I258" s="5" t="inlineStr"/>
      <c r="J258" s="5" t="n">
        <v>1</v>
      </c>
      <c r="K258" s="5" t="inlineStr">
        <is>
          <t>cocuklu</t>
        </is>
      </c>
      <c r="L258" s="5" t="inlineStr">
        <is>
          <t>hapis</t>
        </is>
      </c>
      <c r="M258" s="5" t="inlineStr"/>
      <c r="N258" s="5" t="inlineStr"/>
      <c r="O258" s="5" t="inlineStr"/>
      <c r="P258" s="5" t="inlineStr"/>
      <c r="Q258" s="5" t="inlineStr"/>
      <c r="R258" s="6" t="inlineStr"/>
      <c r="S258" s="5" t="inlineStr"/>
      <c r="T258" s="5" t="inlineStr"/>
      <c r="U258" s="5" t="inlineStr"/>
      <c r="V258" s="5" t="inlineStr"/>
    </row>
    <row r="259">
      <c r="A259" s="5" t="inlineStr">
        <is>
          <t>b8-son-taksit</t>
        </is>
      </c>
      <c r="B259" s="5" t="n">
        <v>8</v>
      </c>
      <c r="C259" s="5" t="inlineStr">
        <is>
          <t>54 yaş 6 ay</t>
        </is>
      </c>
      <c r="D259" s="5" t="inlineStr">
        <is>
          <t>🏦</t>
        </is>
      </c>
      <c r="E259" s="6" t="inlineStr">
        <is>
          <t>Son Taksit</t>
        </is>
      </c>
      <c r="F259" s="6" t="inlineStr">
        <is>
          <t>Konut kredisinin son taksiti ödendi. Banka bir tebrik mesajı gönderdi. Hemen ardından yeni bir kredi teklifi.</t>
        </is>
      </c>
      <c r="G259" s="5" t="inlineStr">
        <is>
          <t>banka</t>
        </is>
      </c>
      <c r="H259" s="5" t="inlineStr">
        <is>
          <t>para</t>
        </is>
      </c>
      <c r="I259" s="5" t="inlineStr"/>
      <c r="J259" s="5" t="n">
        <v>1</v>
      </c>
      <c r="K259" s="5" t="inlineStr">
        <is>
          <t>ev-sahibi</t>
        </is>
      </c>
      <c r="L259" s="5" t="inlineStr">
        <is>
          <t>hapis</t>
        </is>
      </c>
      <c r="M259" s="5" t="inlineStr"/>
      <c r="N259" s="5" t="inlineStr"/>
      <c r="O259" s="5" t="inlineStr"/>
      <c r="P259" s="5" t="inlineStr"/>
      <c r="Q259" s="5" t="inlineStr"/>
      <c r="R259" s="6" t="inlineStr"/>
      <c r="S259" s="5" t="inlineStr"/>
      <c r="T259" s="5" t="inlineStr"/>
      <c r="U259" s="5" t="inlineStr"/>
      <c r="V259" s="5" t="inlineStr"/>
    </row>
    <row r="260">
      <c r="A260" s="5" t="inlineStr">
        <is>
          <t>b9-yazi-boyutu</t>
        </is>
      </c>
      <c r="B260" s="5" t="n">
        <v>9</v>
      </c>
      <c r="C260" s="5" t="inlineStr">
        <is>
          <t>55 yaş</t>
        </is>
      </c>
      <c r="D260" s="5" t="inlineStr">
        <is>
          <t>🔍</t>
        </is>
      </c>
      <c r="E260" s="6" t="inlineStr">
        <is>
          <t>Yazı Boyutu</t>
        </is>
      </c>
      <c r="F260" s="6" t="inlineStr">
        <is>
          <t>Telefondaki mesajı okumak için kolunu uzattın. Kol yetmedi. Kolun uzunluğu bir kurumsal sınıra ulaştı.</t>
        </is>
      </c>
      <c r="G260" s="5" t="inlineStr">
        <is>
          <t>ev</t>
        </is>
      </c>
      <c r="H260" s="5" t="inlineStr"/>
      <c r="I260" s="5" t="inlineStr"/>
      <c r="J260" s="5" t="inlineStr"/>
      <c r="K260" s="5" t="inlineStr"/>
      <c r="L260" s="5" t="inlineStr">
        <is>
          <t>hapis</t>
        </is>
      </c>
      <c r="M260" s="5" t="inlineStr"/>
      <c r="N260" s="5" t="inlineStr"/>
      <c r="O260" s="5" t="inlineStr"/>
      <c r="P260" s="5" t="inlineStr"/>
      <c r="Q260" s="5" t="inlineStr"/>
      <c r="R260" s="6" t="inlineStr"/>
      <c r="S260" s="5" t="inlineStr"/>
      <c r="T260" s="5" t="inlineStr"/>
      <c r="U260" s="5" t="inlineStr"/>
      <c r="V260" s="5" t="inlineStr"/>
    </row>
    <row r="261">
      <c r="A261" s="5" t="inlineStr">
        <is>
          <t>b9-gunaydin-gorselleri</t>
        </is>
      </c>
      <c r="B261" s="5" t="n">
        <v>9</v>
      </c>
      <c r="C261" s="5" t="inlineStr">
        <is>
          <t>55 yaş 6 ay</t>
        </is>
      </c>
      <c r="D261" s="5" t="inlineStr">
        <is>
          <t>🌹</t>
        </is>
      </c>
      <c r="E261" s="6" t="inlineStr">
        <is>
          <t>Günaydın Görselleri</t>
        </is>
      </c>
      <c r="F261" s="6" t="inlineStr">
        <is>
          <t>Aile mesaj grubuna parıldayan bir gül ve 'Hayırlı Salılar' yazısı gönderdin. Kimse cevap vermedi. Okundu bilgisi yirmi üç.</t>
        </is>
      </c>
      <c r="G261" s="5" t="inlineStr">
        <is>
          <t>ev</t>
        </is>
      </c>
      <c r="H261" s="5" t="inlineStr"/>
      <c r="I261" s="5" t="inlineStr"/>
      <c r="J261" s="5" t="inlineStr"/>
      <c r="K261" s="5" t="inlineStr"/>
      <c r="L261" s="5" t="inlineStr">
        <is>
          <t>hapis</t>
        </is>
      </c>
      <c r="M261" s="5" t="inlineStr"/>
      <c r="N261" s="5" t="inlineStr"/>
      <c r="O261" s="5" t="inlineStr"/>
      <c r="P261" s="5" t="inlineStr"/>
      <c r="Q261" s="5" t="inlineStr"/>
      <c r="R261" s="6" t="inlineStr"/>
      <c r="S261" s="5" t="inlineStr"/>
      <c r="T261" s="5" t="inlineStr"/>
      <c r="U261" s="5" t="inlineStr"/>
      <c r="V261" s="5" t="inlineStr"/>
    </row>
    <row r="262">
      <c r="A262" s="5" t="inlineStr">
        <is>
          <t>b9-sabah-yuruyusu</t>
        </is>
      </c>
      <c r="B262" s="5" t="n">
        <v>9</v>
      </c>
      <c r="C262" s="5" t="inlineStr">
        <is>
          <t>56 yaş</t>
        </is>
      </c>
      <c r="D262" s="5" t="inlineStr">
        <is>
          <t>👟</t>
        </is>
      </c>
      <c r="E262" s="6" t="inlineStr">
        <is>
          <t>Sabah Yürüyüş Grubu</t>
        </is>
      </c>
      <c r="F262" s="6" t="inlineStr">
        <is>
          <t>Parkta her sabah altıda yürüyen bir grup var. Kuralları yazılı değil ama herkes biliyor: en önde yürüyen, o günün gündemini belirler.</t>
        </is>
      </c>
      <c r="G262" s="5" t="inlineStr">
        <is>
          <t>park</t>
        </is>
      </c>
      <c r="H262" s="5" t="inlineStr"/>
      <c r="I262" s="5" t="inlineStr"/>
      <c r="J262" s="5" t="inlineStr"/>
      <c r="K262" s="5" t="inlineStr"/>
      <c r="L262" s="5" t="inlineStr">
        <is>
          <t>hapis</t>
        </is>
      </c>
      <c r="M262" s="5" t="inlineStr"/>
      <c r="N262" s="5" t="inlineStr"/>
      <c r="O262" s="5" t="inlineStr"/>
      <c r="P262" s="5" t="inlineStr"/>
      <c r="Q262" s="5" t="inlineStr"/>
      <c r="R262" s="6" t="inlineStr"/>
      <c r="S262" s="5" t="inlineStr"/>
      <c r="T262" s="5" t="inlineStr"/>
      <c r="U262" s="5" t="inlineStr"/>
      <c r="V262" s="5" t="inlineStr"/>
    </row>
    <row r="263">
      <c r="A263" s="5" t="inlineStr">
        <is>
          <t>mb-emeklilik-hesabi</t>
        </is>
      </c>
      <c r="B263" s="5" t="n">
        <v>9</v>
      </c>
      <c r="C263" s="5" t="inlineStr">
        <is>
          <t>56 yaş</t>
        </is>
      </c>
      <c r="D263" s="5" t="inlineStr">
        <is>
          <t>🧮</t>
        </is>
      </c>
      <c r="E263" s="6" t="inlineStr">
        <is>
          <t>Emeklilik Hesabı</t>
        </is>
      </c>
      <c r="F263" s="6" t="inlineStr">
        <is>
          <t>Sosyal güvenlik kurumundan emeklilik tarihini sordun. Ekrandaki tarih, senden daha yorgun görünüyor.</t>
        </is>
      </c>
      <c r="G263" s="5" t="inlineStr">
        <is>
          <t>devlet-dairesi</t>
        </is>
      </c>
      <c r="H263" s="5" t="inlineStr">
        <is>
          <t>para</t>
        </is>
      </c>
      <c r="I263" s="5" t="inlineStr"/>
      <c r="J263" s="5" t="n">
        <v>1</v>
      </c>
      <c r="K263" s="5" t="inlineStr">
        <is>
          <t>meslek-beyazyaka</t>
        </is>
      </c>
      <c r="L263" s="5" t="inlineStr">
        <is>
          <t>hapis</t>
        </is>
      </c>
      <c r="M263" s="5" t="inlineStr"/>
      <c r="N263" s="5" t="inlineStr"/>
      <c r="O263" s="5" t="inlineStr"/>
      <c r="P263" s="5" t="inlineStr"/>
      <c r="Q263" s="5" t="inlineStr"/>
      <c r="R263" s="6" t="inlineStr"/>
      <c r="S263" s="5" t="inlineStr"/>
      <c r="T263" s="5" t="inlineStr"/>
      <c r="U263" s="5" t="inlineStr"/>
      <c r="V263" s="5" t="inlineStr"/>
    </row>
    <row r="264">
      <c r="A264" s="5" t="inlineStr">
        <is>
          <t>mm-gun-sayaci</t>
        </is>
      </c>
      <c r="B264" s="5" t="n">
        <v>9</v>
      </c>
      <c r="C264" s="5" t="inlineStr">
        <is>
          <t>56 yaş</t>
        </is>
      </c>
      <c r="D264" s="5" t="inlineStr">
        <is>
          <t>⏳</t>
        </is>
      </c>
      <c r="E264" s="6" t="inlineStr">
        <is>
          <t>Emekliliğe Kalan Gün</t>
        </is>
      </c>
      <c r="F264" s="6" t="inlineStr">
        <is>
          <t>Masanın köşesine bir kâğıt yapıştırdın: 'Emekliliğe 1.460 gün.' Her sabah bir çizgi çekiyorsun.</t>
        </is>
      </c>
      <c r="G264" s="5" t="inlineStr">
        <is>
          <t>devlet-dairesi</t>
        </is>
      </c>
      <c r="H264" s="5" t="inlineStr"/>
      <c r="I264" s="5" t="inlineStr"/>
      <c r="J264" s="5" t="inlineStr"/>
      <c r="K264" s="5" t="inlineStr">
        <is>
          <t>meslek-memur</t>
        </is>
      </c>
      <c r="L264" s="5" t="inlineStr">
        <is>
          <t>hapis</t>
        </is>
      </c>
      <c r="M264" s="5" t="inlineStr"/>
      <c r="N264" s="5" t="inlineStr"/>
      <c r="O264" s="5" t="inlineStr"/>
      <c r="P264" s="5" t="inlineStr"/>
      <c r="Q264" s="5" t="inlineStr"/>
      <c r="R264" s="6" t="inlineStr"/>
      <c r="S264" s="5" t="inlineStr"/>
      <c r="T264" s="5" t="inlineStr"/>
      <c r="U264" s="5" t="inlineStr"/>
      <c r="V264" s="5" t="inlineStr"/>
    </row>
    <row r="265">
      <c r="A265" s="5" t="inlineStr">
        <is>
          <t>b9-doktor-randevusu</t>
        </is>
      </c>
      <c r="B265" s="5" t="n">
        <v>9</v>
      </c>
      <c r="C265" s="5" t="inlineStr">
        <is>
          <t>56 yaş 6 ay</t>
        </is>
      </c>
      <c r="D265" s="5" t="inlineStr">
        <is>
          <t>📅</t>
        </is>
      </c>
      <c r="E265" s="6" t="inlineStr">
        <is>
          <t>Randevu Uygulaması</t>
        </is>
      </c>
      <c r="F265" s="6" t="inlineStr">
        <is>
          <t>Hastane randevusu için uygulamayı açtın. İlk boş randevu dört ay sonra, başka bir şehirde, saat 07.10'da.</t>
        </is>
      </c>
      <c r="G265" s="5" t="inlineStr">
        <is>
          <t>hastane</t>
        </is>
      </c>
      <c r="H265" s="5" t="inlineStr"/>
      <c r="I265" s="5" t="inlineStr"/>
      <c r="J265" s="5" t="inlineStr"/>
      <c r="K265" s="5" t="inlineStr"/>
      <c r="L265" s="5" t="inlineStr">
        <is>
          <t>hapis</t>
        </is>
      </c>
      <c r="M265" s="5" t="inlineStr"/>
      <c r="N265" s="5" t="inlineStr"/>
      <c r="O265" s="5" t="inlineStr"/>
      <c r="P265" s="5" t="inlineStr"/>
      <c r="Q265" s="5" t="inlineStr"/>
      <c r="R265" s="6" t="inlineStr"/>
      <c r="S265" s="5" t="inlineStr"/>
      <c r="T265" s="5" t="inlineStr"/>
      <c r="U265" s="5" t="inlineStr"/>
      <c r="V265" s="5" t="inlineStr"/>
    </row>
    <row r="266">
      <c r="A266" s="5" t="inlineStr">
        <is>
          <t>b9-ilk-torun</t>
        </is>
      </c>
      <c r="B266" s="5" t="n">
        <v>9</v>
      </c>
      <c r="C266" s="5" t="inlineStr">
        <is>
          <t>57 yaş</t>
        </is>
      </c>
      <c r="D266" s="5" t="inlineStr">
        <is>
          <t>👶</t>
        </is>
      </c>
      <c r="E266" s="6" t="inlineStr">
        <is>
          <t>İlk Torun</t>
        </is>
      </c>
      <c r="F266" s="6" t="inlineStr">
        <is>
          <t>Hastane koridorunda bir kapı açıldı ve sana bir bebek uzatıldı. Unvanın bir kademe yükseldi; maaşın değişmedi.</t>
        </is>
      </c>
      <c r="G266" s="5" t="inlineStr">
        <is>
          <t>hastane</t>
        </is>
      </c>
      <c r="H266" s="5" t="inlineStr"/>
      <c r="I266" s="5" t="inlineStr"/>
      <c r="J266" s="5" t="inlineStr"/>
      <c r="K266" s="5" t="inlineStr">
        <is>
          <t>cocuklu</t>
        </is>
      </c>
      <c r="L266" s="5" t="inlineStr">
        <is>
          <t>hapis</t>
        </is>
      </c>
      <c r="M266" s="5" t="inlineStr"/>
      <c r="N266" s="5" t="inlineStr"/>
      <c r="O266" s="5" t="inlineStr"/>
      <c r="P266" s="5" t="inlineStr"/>
      <c r="Q266" s="5" t="inlineStr"/>
      <c r="R266" s="6" t="inlineStr"/>
      <c r="S266" s="5" t="inlineStr"/>
      <c r="T266" s="5" t="inlineStr"/>
      <c r="U266" s="5" t="inlineStr"/>
      <c r="V266" s="5" t="inlineStr"/>
    </row>
    <row r="267">
      <c r="A267" s="5" t="inlineStr">
        <is>
          <t>ms-emeklilik-yok</t>
        </is>
      </c>
      <c r="B267" s="5" t="n">
        <v>9</v>
      </c>
      <c r="C267" s="5" t="inlineStr">
        <is>
          <t>57 yaş</t>
        </is>
      </c>
      <c r="D267" s="5" t="inlineStr">
        <is>
          <t>♾️</t>
        </is>
      </c>
      <c r="E267" s="6" t="inlineStr">
        <is>
          <t>Emeklilik Diye Bir Şey</t>
        </is>
      </c>
      <c r="F267" s="6" t="inlineStr">
        <is>
          <t>Yaşıtların emekliliğini hesaplıyor. Sen ay sonunu hesaplıyorsun. Serbest çalışanlar için emeklilik, anlatılan bir efsane.</t>
        </is>
      </c>
      <c r="G267" s="5" t="inlineStr">
        <is>
          <t>ev</t>
        </is>
      </c>
      <c r="H267" s="5" t="inlineStr">
        <is>
          <t>para</t>
        </is>
      </c>
      <c r="I267" s="5" t="inlineStr"/>
      <c r="J267" s="5" t="n">
        <v>1</v>
      </c>
      <c r="K267" s="5" t="inlineStr">
        <is>
          <t>meslek-serbest</t>
        </is>
      </c>
      <c r="L267" s="5" t="inlineStr">
        <is>
          <t>hapis</t>
        </is>
      </c>
      <c r="M267" s="5" t="inlineStr"/>
      <c r="N267" s="5" t="inlineStr"/>
      <c r="O267" s="5" t="inlineStr"/>
      <c r="P267" s="5" t="inlineStr"/>
      <c r="Q267" s="5" t="inlineStr"/>
      <c r="R267" s="6" t="inlineStr"/>
      <c r="S267" s="5" t="inlineStr"/>
      <c r="T267" s="5" t="inlineStr"/>
      <c r="U267" s="5" t="inlineStr"/>
      <c r="V267" s="5" t="inlineStr"/>
    </row>
    <row r="268">
      <c r="A268" s="5" t="inlineStr">
        <is>
          <t>me-defterin-son-sayfasi</t>
        </is>
      </c>
      <c r="B268" s="5" t="n">
        <v>9</v>
      </c>
      <c r="C268" s="5" t="inlineStr">
        <is>
          <t>57 yaş</t>
        </is>
      </c>
      <c r="D268" s="5" t="inlineStr">
        <is>
          <t>📒</t>
        </is>
      </c>
      <c r="E268" s="6" t="inlineStr">
        <is>
          <t>Defterin Son Sayfası</t>
        </is>
      </c>
      <c r="F268" s="6" t="inlineStr">
        <is>
          <t>Veresiye defteri son sayfaya geldi. Sayfalar sararmış; bazı isimler taşınmış, bazıları hâlâ 'ay başı' diyor.</t>
        </is>
      </c>
      <c r="G268" s="5" t="inlineStr">
        <is>
          <t>dukkan</t>
        </is>
      </c>
      <c r="H268" s="5" t="inlineStr"/>
      <c r="I268" s="5" t="inlineStr"/>
      <c r="J268" s="5" t="inlineStr"/>
      <c r="K268" s="5" t="inlineStr">
        <is>
          <t>meslek-esnaf</t>
        </is>
      </c>
      <c r="L268" s="5" t="inlineStr">
        <is>
          <t>hapis</t>
        </is>
      </c>
      <c r="M268" s="5" t="inlineStr"/>
      <c r="N268" s="5" t="inlineStr"/>
      <c r="O268" s="5" t="inlineStr"/>
      <c r="P268" s="5" t="inlineStr"/>
      <c r="Q268" s="5" t="inlineStr"/>
      <c r="R268" s="6" t="inlineStr"/>
      <c r="S268" s="5" t="inlineStr"/>
      <c r="T268" s="5" t="inlineStr"/>
      <c r="U268" s="5" t="inlineStr"/>
      <c r="V268" s="5" t="inlineStr"/>
    </row>
    <row r="269">
      <c r="A269" s="5" t="inlineStr">
        <is>
          <t>b9-genclere-tavsiye</t>
        </is>
      </c>
      <c r="B269" s="5" t="n">
        <v>9</v>
      </c>
      <c r="C269" s="5" t="inlineStr">
        <is>
          <t>57 yaş 6 ay</t>
        </is>
      </c>
      <c r="D269" s="5" t="inlineStr">
        <is>
          <t>🗣️</t>
        </is>
      </c>
      <c r="E269" s="6" t="inlineStr">
        <is>
          <t>Gençlere Tavsiye</t>
        </is>
      </c>
      <c r="F269" s="6" t="inlineStr">
        <is>
          <t>Kafede yan masadaki genç, iş hayatını anlatıyor. Senin bu konuda otuz yıllık bir tecrübe dosyan var. Kimse dosya istemedi.</t>
        </is>
      </c>
      <c r="G269" s="5" t="inlineStr">
        <is>
          <t>kafe</t>
        </is>
      </c>
      <c r="H269" s="5" t="inlineStr"/>
      <c r="I269" s="5" t="inlineStr"/>
      <c r="J269" s="5" t="inlineStr"/>
      <c r="K269" s="5" t="inlineStr"/>
      <c r="L269" s="5" t="inlineStr">
        <is>
          <t>hapis</t>
        </is>
      </c>
      <c r="M269" s="5" t="inlineStr"/>
      <c r="N269" s="5" t="inlineStr"/>
      <c r="O269" s="5" t="inlineStr"/>
      <c r="P269" s="5" t="inlineStr"/>
      <c r="Q269" s="5" t="inlineStr"/>
      <c r="R269" s="6" t="inlineStr"/>
      <c r="S269" s="5" t="inlineStr"/>
      <c r="T269" s="5" t="inlineStr"/>
      <c r="U269" s="5" t="inlineStr"/>
      <c r="V269" s="5" t="inlineStr"/>
    </row>
    <row r="270">
      <c r="A270" s="5" t="inlineStr">
        <is>
          <t>b9-lise-bulusmasi</t>
        </is>
      </c>
      <c r="B270" s="5" t="n">
        <v>9</v>
      </c>
      <c r="C270" s="5" t="inlineStr">
        <is>
          <t>58 yaş</t>
        </is>
      </c>
      <c r="D270" s="5" t="inlineStr">
        <is>
          <t>🎓</t>
        </is>
      </c>
      <c r="E270" s="6" t="inlineStr">
        <is>
          <t>Lise Buluşması Sonrası</t>
        </is>
      </c>
      <c r="F270" s="6" t="inlineStr">
        <is>
          <t>Kırkıncı yıl buluşması bitti. Herkesin yaka kartı vardı, çünkü kimse kimseyi tanıyamadı. Şimdi eve dönüş yolundasın.</t>
        </is>
      </c>
      <c r="G270" s="5" t="inlineStr">
        <is>
          <t>dugun-salonu</t>
        </is>
      </c>
      <c r="H270" s="5" t="inlineStr"/>
      <c r="I270" s="5" t="inlineStr"/>
      <c r="J270" s="5" t="inlineStr"/>
      <c r="K270" s="5" t="inlineStr"/>
      <c r="L270" s="5" t="inlineStr">
        <is>
          <t>hapis, okulu-birakti</t>
        </is>
      </c>
      <c r="M270" s="5" t="inlineStr"/>
      <c r="N270" s="5" t="inlineStr"/>
      <c r="O270" s="5" t="inlineStr"/>
      <c r="P270" s="5" t="inlineStr"/>
      <c r="Q270" s="5" t="inlineStr"/>
      <c r="R270" s="6" t="inlineStr"/>
      <c r="S270" s="5" t="inlineStr"/>
      <c r="T270" s="5" t="inlineStr"/>
      <c r="U270" s="5" t="inlineStr"/>
      <c r="V270" s="5" t="inlineStr"/>
    </row>
    <row r="271">
      <c r="A271" s="5" t="inlineStr">
        <is>
          <t>b9-eski-ask</t>
        </is>
      </c>
      <c r="B271" s="5" t="n">
        <v>9</v>
      </c>
      <c r="C271" s="5" t="inlineStr">
        <is>
          <t>58 yaş 6 ay</t>
        </is>
      </c>
      <c r="D271" s="5" t="inlineStr">
        <is>
          <t>🛒</t>
        </is>
      </c>
      <c r="E271" s="6" t="inlineStr">
        <is>
          <t>Eski Aşk</t>
        </is>
      </c>
      <c r="F271" s="6" t="inlineStr">
        <is>
          <t>Marketin konserve reyonunda bir yüz tanıdık geldi. Lisedeki ilk aşkın. İkiniz de aynı anda aynı nohut kutusuna uzandınız.</t>
        </is>
      </c>
      <c r="G271" s="5" t="inlineStr">
        <is>
          <t>market</t>
        </is>
      </c>
      <c r="H271" s="5" t="inlineStr"/>
      <c r="I271" s="5" t="inlineStr"/>
      <c r="J271" s="5" t="inlineStr"/>
      <c r="K271" s="5" t="inlineStr"/>
      <c r="L271" s="5" t="inlineStr">
        <is>
          <t>hapis</t>
        </is>
      </c>
      <c r="M271" s="5" t="inlineStr"/>
      <c r="N271" s="5" t="inlineStr"/>
      <c r="O271" s="5" t="inlineStr"/>
      <c r="P271" s="5" t="inlineStr"/>
      <c r="Q271" s="5" t="inlineStr"/>
      <c r="R271" s="6" t="inlineStr"/>
      <c r="S271" s="5" t="inlineStr"/>
      <c r="T271" s="5" t="inlineStr"/>
      <c r="U271" s="5" t="inlineStr"/>
      <c r="V271" s="5" t="inlineStr"/>
    </row>
    <row r="272">
      <c r="A272" s="5" t="inlineStr">
        <is>
          <t>b9-balkon-tarimi</t>
        </is>
      </c>
      <c r="B272" s="5" t="n">
        <v>9</v>
      </c>
      <c r="C272" s="5" t="inlineStr">
        <is>
          <t>59 yaş</t>
        </is>
      </c>
      <c r="D272" s="5" t="inlineStr">
        <is>
          <t>🍅</t>
        </is>
      </c>
      <c r="E272" s="6" t="inlineStr">
        <is>
          <t>Balkon Tarımı</t>
        </is>
      </c>
      <c r="F272" s="6" t="inlineStr">
        <is>
          <t>Balkona dört saksı domates diktin. Bütçeye göre her domatesin maliyeti bir market poşeti dolusu domatese eşit.</t>
        </is>
      </c>
      <c r="G272" s="5" t="inlineStr">
        <is>
          <t>apartman</t>
        </is>
      </c>
      <c r="H272" s="5" t="inlineStr"/>
      <c r="I272" s="5" t="inlineStr"/>
      <c r="J272" s="5" t="inlineStr"/>
      <c r="K272" s="5" t="inlineStr"/>
      <c r="L272" s="5" t="inlineStr">
        <is>
          <t>hapis</t>
        </is>
      </c>
      <c r="M272" s="5" t="inlineStr"/>
      <c r="N272" s="5" t="inlineStr"/>
      <c r="O272" s="5" t="inlineStr"/>
      <c r="P272" s="5" t="inlineStr"/>
      <c r="Q272" s="5" t="inlineStr"/>
      <c r="R272" s="6" t="inlineStr"/>
      <c r="S272" s="5" t="inlineStr"/>
      <c r="T272" s="5" t="inlineStr"/>
      <c r="U272" s="5" t="inlineStr"/>
      <c r="V272" s="5" t="inlineStr"/>
    </row>
    <row r="273">
      <c r="A273" s="5" t="inlineStr">
        <is>
          <t>mm-devir-teslim</t>
        </is>
      </c>
      <c r="B273" s="5" t="n">
        <v>9</v>
      </c>
      <c r="C273" s="5" t="inlineStr">
        <is>
          <t>59 yaş</t>
        </is>
      </c>
      <c r="D273" s="5" t="inlineStr">
        <is>
          <t>📂</t>
        </is>
      </c>
      <c r="E273" s="6" t="inlineStr">
        <is>
          <t>Devir Teslim</t>
        </is>
      </c>
      <c r="F273" s="6" t="inlineStr">
        <is>
          <t>Yerine gelecek genç memur karşında. Otuz yıllık bilgiyi iki haftada aktarman bekleniyor. Tutanakla.</t>
        </is>
      </c>
      <c r="G273" s="5" t="inlineStr">
        <is>
          <t>devlet-dairesi</t>
        </is>
      </c>
      <c r="H273" s="5" t="inlineStr"/>
      <c r="I273" s="5" t="inlineStr"/>
      <c r="J273" s="5" t="inlineStr"/>
      <c r="K273" s="5" t="inlineStr">
        <is>
          <t>meslek-memur</t>
        </is>
      </c>
      <c r="L273" s="5" t="inlineStr">
        <is>
          <t>hapis</t>
        </is>
      </c>
      <c r="M273" s="5" t="inlineStr"/>
      <c r="N273" s="5" t="inlineStr"/>
      <c r="O273" s="5" t="inlineStr"/>
      <c r="P273" s="5" t="inlineStr"/>
      <c r="Q273" s="5" t="inlineStr"/>
      <c r="R273" s="6" t="inlineStr"/>
      <c r="S273" s="5" t="inlineStr"/>
      <c r="T273" s="5" t="inlineStr"/>
      <c r="U273" s="5" t="inlineStr"/>
      <c r="V273" s="5" t="inlineStr"/>
    </row>
    <row r="274">
      <c r="A274" s="5" t="inlineStr">
        <is>
          <t>b9-yapay-zeka-asistani</t>
        </is>
      </c>
      <c r="B274" s="5" t="n">
        <v>9</v>
      </c>
      <c r="C274" s="5" t="inlineStr">
        <is>
          <t>59 yaş 6 ay</t>
        </is>
      </c>
      <c r="D274" s="5" t="inlineStr">
        <is>
          <t>🤖</t>
        </is>
      </c>
      <c r="E274" s="6" t="inlineStr">
        <is>
          <t>Yapay Zekâ Asistanı</t>
        </is>
      </c>
      <c r="F274" s="6" t="inlineStr">
        <is>
          <t>Çocuğun telefona bir yapay zekâ asistanı kurdu. 'İstediğin her şeyi sor' dedi. Sordun. Asistan 'Anlayamadım' dedi. Sesini yükselttin.</t>
        </is>
      </c>
      <c r="G274" s="5" t="inlineStr">
        <is>
          <t>ev</t>
        </is>
      </c>
      <c r="H274" s="5" t="inlineStr"/>
      <c r="I274" s="5" t="inlineStr"/>
      <c r="J274" s="5" t="inlineStr"/>
      <c r="K274" s="5" t="inlineStr"/>
      <c r="L274" s="5" t="inlineStr">
        <is>
          <t>hapis</t>
        </is>
      </c>
      <c r="M274" s="5" t="inlineStr"/>
      <c r="N274" s="5" t="inlineStr"/>
      <c r="O274" s="5" t="inlineStr"/>
      <c r="P274" s="5" t="inlineStr"/>
      <c r="Q274" s="5" t="inlineStr"/>
      <c r="R274" s="6" t="inlineStr"/>
      <c r="S274" s="5" t="inlineStr"/>
      <c r="T274" s="5" t="inlineStr"/>
      <c r="U274" s="5" t="inlineStr"/>
      <c r="V274" s="5" t="inlineStr"/>
    </row>
    <row r="275">
      <c r="A275" s="5" t="inlineStr">
        <is>
          <t>b9-torun-nobeti</t>
        </is>
      </c>
      <c r="B275" s="5" t="n">
        <v>9</v>
      </c>
      <c r="C275" s="5" t="inlineStr">
        <is>
          <t>60 yaş</t>
        </is>
      </c>
      <c r="D275" s="5" t="inlineStr">
        <is>
          <t>🧸</t>
        </is>
      </c>
      <c r="E275" s="6" t="inlineStr">
        <is>
          <t>Torun Nöbeti</t>
        </is>
      </c>
      <c r="F275" s="6" t="inlineStr">
        <is>
          <t>Çocuğun iş seyahatine çıktı. Torun sende üç gün kalacak. Talimatlar listesi dört sayfa, ekran süresi tablosu dahil.</t>
        </is>
      </c>
      <c r="G275" s="5" t="inlineStr">
        <is>
          <t>cocuk-odasi</t>
        </is>
      </c>
      <c r="H275" s="5" t="inlineStr"/>
      <c r="I275" s="5" t="inlineStr"/>
      <c r="J275" s="5" t="inlineStr"/>
      <c r="K275" s="5" t="inlineStr">
        <is>
          <t>torunlu</t>
        </is>
      </c>
      <c r="L275" s="5" t="inlineStr">
        <is>
          <t>hapis</t>
        </is>
      </c>
      <c r="M275" s="5" t="inlineStr"/>
      <c r="N275" s="5" t="inlineStr"/>
      <c r="O275" s="5" t="inlineStr"/>
      <c r="P275" s="5" t="inlineStr"/>
      <c r="Q275" s="5" t="inlineStr"/>
      <c r="R275" s="6" t="inlineStr"/>
      <c r="S275" s="5" t="inlineStr"/>
      <c r="T275" s="5" t="inlineStr"/>
      <c r="U275" s="5" t="inlineStr"/>
      <c r="V275" s="5" t="inlineStr"/>
    </row>
    <row r="276">
      <c r="A276" s="5" t="inlineStr">
        <is>
          <t>mb-devir-teslim</t>
        </is>
      </c>
      <c r="B276" s="5" t="n">
        <v>9</v>
      </c>
      <c r="C276" s="5" t="inlineStr">
        <is>
          <t>60 yaş</t>
        </is>
      </c>
      <c r="D276" s="5" t="inlineStr">
        <is>
          <t>📦</t>
        </is>
      </c>
      <c r="E276" s="6" t="inlineStr">
        <is>
          <t>Devir Teslim</t>
        </is>
      </c>
      <c r="F276" s="6" t="inlineStr">
        <is>
          <t>Otuz yıllık işini yerine gelecek kişiye iki haftada devretmen isteniyor. Dosyaların yarısı yalnızca senin kafanda.</t>
        </is>
      </c>
      <c r="G276" s="5" t="inlineStr">
        <is>
          <t>ofis</t>
        </is>
      </c>
      <c r="H276" s="5" t="inlineStr"/>
      <c r="I276" s="5" t="inlineStr"/>
      <c r="J276" s="5" t="n">
        <v>1</v>
      </c>
      <c r="K276" s="5" t="inlineStr">
        <is>
          <t>meslek-beyazyaka</t>
        </is>
      </c>
      <c r="L276" s="5" t="inlineStr">
        <is>
          <t>hapis</t>
        </is>
      </c>
      <c r="M276" s="5" t="inlineStr"/>
      <c r="N276" s="5" t="inlineStr"/>
      <c r="O276" s="5" t="inlineStr"/>
      <c r="P276" s="5" t="inlineStr"/>
      <c r="Q276" s="5" t="inlineStr"/>
      <c r="R276" s="6" t="inlineStr"/>
      <c r="S276" s="5" t="inlineStr"/>
      <c r="T276" s="5" t="inlineStr"/>
      <c r="U276" s="5" t="inlineStr"/>
      <c r="V276" s="5" t="inlineStr"/>
    </row>
    <row r="277">
      <c r="A277" s="5" t="inlineStr">
        <is>
          <t>me-mudavim</t>
        </is>
      </c>
      <c r="B277" s="5" t="n">
        <v>9</v>
      </c>
      <c r="C277" s="5" t="inlineStr">
        <is>
          <t>60 yaş</t>
        </is>
      </c>
      <c r="D277" s="5" t="inlineStr">
        <is>
          <t>☕</t>
        </is>
      </c>
      <c r="E277" s="6" t="inlineStr">
        <is>
          <t>Yirmi Yıllık Müdavim</t>
        </is>
      </c>
      <c r="F277" s="6" t="inlineStr">
        <is>
          <t>Her sabah 08.10'da gelen müdavim bugün 08.40'ta geldi. Otuz dakikalık gecikme için mahallede iki arama yapıldı, bir grup toplantısı düzenlendi.</t>
        </is>
      </c>
      <c r="G277" s="5" t="inlineStr">
        <is>
          <t>dukkan</t>
        </is>
      </c>
      <c r="H277" s="5" t="inlineStr"/>
      <c r="I277" s="5" t="inlineStr"/>
      <c r="J277" s="5" t="inlineStr"/>
      <c r="K277" s="5" t="inlineStr">
        <is>
          <t>meslek-esnaf</t>
        </is>
      </c>
      <c r="L277" s="5" t="inlineStr">
        <is>
          <t>hapis</t>
        </is>
      </c>
      <c r="M277" s="5" t="inlineStr"/>
      <c r="N277" s="5" t="inlineStr"/>
      <c r="O277" s="5" t="inlineStr"/>
      <c r="P277" s="5" t="inlineStr"/>
      <c r="Q277" s="5" t="inlineStr"/>
      <c r="R277" s="6" t="inlineStr"/>
      <c r="S277" s="5" t="inlineStr"/>
      <c r="T277" s="5" t="inlineStr"/>
      <c r="U277" s="5" t="inlineStr"/>
      <c r="V277" s="5" t="inlineStr"/>
    </row>
    <row r="278">
      <c r="A278" s="5" t="inlineStr">
        <is>
          <t>b9-kahvehane-tavla</t>
        </is>
      </c>
      <c r="B278" s="5" t="n">
        <v>9</v>
      </c>
      <c r="C278" s="5" t="inlineStr">
        <is>
          <t>60 yaş 6 ay</t>
        </is>
      </c>
      <c r="D278" s="5" t="inlineStr">
        <is>
          <t>🎲</t>
        </is>
      </c>
      <c r="E278" s="6" t="inlineStr">
        <is>
          <t>Kahvehane Tavla Ligi</t>
        </is>
      </c>
      <c r="F278" s="6" t="inlineStr">
        <is>
          <t>Mahalle kahvehanesinde gayriresmî bir tavla ligi var. Puan tablosu duvarda tebeşirle yazılı. Senin adın henüz yok.</t>
        </is>
      </c>
      <c r="G278" s="5" t="inlineStr">
        <is>
          <t>kafe</t>
        </is>
      </c>
      <c r="H278" s="5" t="inlineStr"/>
      <c r="I278" s="5" t="inlineStr"/>
      <c r="J278" s="5" t="inlineStr"/>
      <c r="K278" s="5" t="inlineStr"/>
      <c r="L278" s="5" t="inlineStr">
        <is>
          <t>hapis</t>
        </is>
      </c>
      <c r="M278" s="5" t="inlineStr"/>
      <c r="N278" s="5" t="inlineStr"/>
      <c r="O278" s="5" t="inlineStr"/>
      <c r="P278" s="5" t="inlineStr"/>
      <c r="Q278" s="5" t="inlineStr"/>
      <c r="R278" s="6" t="inlineStr"/>
      <c r="S278" s="5" t="inlineStr"/>
      <c r="T278" s="5" t="inlineStr"/>
      <c r="U278" s="5" t="inlineStr"/>
      <c r="V278" s="5" t="inlineStr"/>
    </row>
    <row r="279">
      <c r="A279" s="5" t="inlineStr">
        <is>
          <t>b9-emeklilik</t>
        </is>
      </c>
      <c r="B279" s="5" t="n">
        <v>9</v>
      </c>
      <c r="C279" s="5" t="inlineStr">
        <is>
          <t>61 yaş</t>
        </is>
      </c>
      <c r="D279" s="5" t="inlineStr">
        <is>
          <t>🎂</t>
        </is>
      </c>
      <c r="E279" s="6" t="inlineStr">
        <is>
          <t>Emeklilik</t>
        </is>
      </c>
      <c r="F279" s="6" t="inlineStr">
        <is>
          <t>Son gün. Bir pasta, bir plaket ve üstünde adın yanlış yazılmış bir veda kartı. İkramiye yarın hesaba yatacak; aile grubunda şimdiden üç kişi “Bir planım var” yazdı.</t>
        </is>
      </c>
      <c r="G279" s="5" t="inlineStr">
        <is>
          <t>ofis</t>
        </is>
      </c>
      <c r="H279" s="5" t="inlineStr"/>
      <c r="I279" s="5" t="inlineStr">
        <is>
          <t>E</t>
        </is>
      </c>
      <c r="J279" s="5" t="inlineStr"/>
      <c r="K279" s="5" t="inlineStr"/>
      <c r="L279" s="5" t="inlineStr">
        <is>
          <t>hapis</t>
        </is>
      </c>
      <c r="M279" s="5" t="inlineStr"/>
      <c r="N279" s="5" t="inlineStr"/>
      <c r="O279" s="5" t="inlineStr"/>
      <c r="P279" s="5" t="inlineStr"/>
      <c r="Q279" s="5" t="n">
        <v>12</v>
      </c>
      <c r="R279" s="6" t="inlineStr">
        <is>
          <t>Kırk yıllık bir meslek bir pastayla biter. Ama emeklilik herkes için aynı değildir: kimi kahvehanenin efsanesi olur, kimi bir site kapısının bekçisi, kimi yazlığın kalıcı sakini. Ve kimi emekli olmayı reddeder.</t>
        </is>
      </c>
      <c r="S279" s="5" t="inlineStr"/>
      <c r="T279" s="5" t="inlineStr"/>
      <c r="U279" s="5" t="inlineStr"/>
      <c r="V279" s="5" t="inlineStr"/>
    </row>
    <row r="280">
      <c r="A280" s="5" t="inlineStr">
        <is>
          <t>ms-retrospektif</t>
        </is>
      </c>
      <c r="B280" s="5" t="n">
        <v>9</v>
      </c>
      <c r="C280" s="5" t="inlineStr">
        <is>
          <t>61 yaş</t>
        </is>
      </c>
      <c r="D280" s="5" t="inlineStr">
        <is>
          <t>🏛️</t>
        </is>
      </c>
      <c r="E280" s="6" t="inlineStr">
        <is>
          <t>Retrospektif Sergi</t>
        </is>
      </c>
      <c r="F280" s="6" t="inlineStr">
        <is>
          <t>Bir galeri retrospektif sergini açıyor. Kırk yılın eserleri tek salonda. Duvarda, 'görünürlük' karşılığı yaptığın ilk iş de var.</t>
        </is>
      </c>
      <c r="G280" s="5" t="inlineStr">
        <is>
          <t>sahne</t>
        </is>
      </c>
      <c r="H280" s="5" t="inlineStr"/>
      <c r="I280" s="5" t="inlineStr"/>
      <c r="J280" s="5" t="n">
        <v>1</v>
      </c>
      <c r="K280" s="5" t="inlineStr">
        <is>
          <t>meslek-serbest</t>
        </is>
      </c>
      <c r="L280" s="5" t="inlineStr">
        <is>
          <t>hapis</t>
        </is>
      </c>
      <c r="M280" s="5" t="inlineStr"/>
      <c r="N280" s="5" t="inlineStr"/>
      <c r="O280" s="5" t="inlineStr"/>
      <c r="P280" s="5" t="inlineStr"/>
      <c r="Q280" s="5" t="inlineStr"/>
      <c r="R280" s="6" t="inlineStr"/>
      <c r="S280" s="5" t="inlineStr"/>
      <c r="T280" s="5" t="inlineStr"/>
      <c r="U280" s="5" t="inlineStr"/>
      <c r="V280" s="5" t="inlineStr"/>
    </row>
    <row r="281">
      <c r="A281" s="5" t="inlineStr">
        <is>
          <t>b9-pazar-arabasi</t>
        </is>
      </c>
      <c r="B281" s="5" t="n">
        <v>9</v>
      </c>
      <c r="C281" s="5" t="inlineStr">
        <is>
          <t>61 yaş 6 ay</t>
        </is>
      </c>
      <c r="D281" s="5" t="inlineStr">
        <is>
          <t>🛒</t>
        </is>
      </c>
      <c r="E281" s="6" t="inlineStr">
        <is>
          <t>Semt Pazarı</t>
        </is>
      </c>
      <c r="F281" s="6" t="inlineStr">
        <is>
          <t>Emekli olunca semt pazarı hafta sonu değil, çarşamba sabahı yapılan bir operasyona dönüştü. Pazar arabası tekerlekleri yağlandı.</t>
        </is>
      </c>
      <c r="G281" s="5" t="inlineStr">
        <is>
          <t>carsi</t>
        </is>
      </c>
      <c r="H281" s="5" t="inlineStr"/>
      <c r="I281" s="5" t="inlineStr"/>
      <c r="J281" s="5" t="inlineStr"/>
      <c r="K281" s="5" t="inlineStr"/>
      <c r="L281" s="5" t="inlineStr">
        <is>
          <t>hapis</t>
        </is>
      </c>
      <c r="M281" s="5" t="inlineStr"/>
      <c r="N281" s="5" t="inlineStr"/>
      <c r="O281" s="5" t="inlineStr"/>
      <c r="P281" s="5" t="inlineStr"/>
      <c r="Q281" s="5" t="inlineStr"/>
      <c r="R281" s="6" t="inlineStr"/>
      <c r="S281" s="5" t="inlineStr"/>
      <c r="T281" s="5" t="inlineStr"/>
      <c r="U281" s="5" t="inlineStr"/>
      <c r="V281" s="5" t="inlineStr"/>
    </row>
    <row r="282">
      <c r="A282" s="5" t="inlineStr">
        <is>
          <t>b9-ikramiye</t>
        </is>
      </c>
      <c r="B282" s="5" t="n">
        <v>9</v>
      </c>
      <c r="C282" s="5" t="inlineStr">
        <is>
          <t>62 yaş</t>
        </is>
      </c>
      <c r="D282" s="5" t="inlineStr">
        <is>
          <t>💰</t>
        </is>
      </c>
      <c r="E282" s="6" t="inlineStr">
        <is>
          <t>İkramiye Ne Olacak?</t>
        </is>
      </c>
      <c r="F282" s="6" t="inlineStr">
        <is>
          <t>İkramiye hesaba yattı. Hayatında ilk kez bu kadar parayı bir arada gördün. Banka görevlisi 'Değerlendirmek ister misiniz?' diye soruyor.</t>
        </is>
      </c>
      <c r="G282" s="5" t="inlineStr">
        <is>
          <t>banka</t>
        </is>
      </c>
      <c r="H282" s="5" t="inlineStr"/>
      <c r="I282" s="5" t="inlineStr"/>
      <c r="J282" s="5" t="inlineStr"/>
      <c r="K282" s="5" t="inlineStr">
        <is>
          <t>emekli</t>
        </is>
      </c>
      <c r="L282" s="5" t="inlineStr">
        <is>
          <t>hapis</t>
        </is>
      </c>
      <c r="M282" s="5" t="inlineStr"/>
      <c r="N282" s="5" t="inlineStr"/>
      <c r="O282" s="5" t="inlineStr"/>
      <c r="P282" s="5" t="inlineStr"/>
      <c r="Q282" s="5" t="inlineStr"/>
      <c r="R282" s="6" t="inlineStr"/>
      <c r="S282" s="5" t="inlineStr"/>
      <c r="T282" s="5" t="inlineStr"/>
      <c r="U282" s="5" t="inlineStr"/>
      <c r="V282" s="5" t="inlineStr"/>
    </row>
    <row r="283">
      <c r="A283" s="5" t="inlineStr">
        <is>
          <t>mm-son-is-gunu</t>
        </is>
      </c>
      <c r="B283" s="5" t="n">
        <v>9</v>
      </c>
      <c r="C283" s="5" t="inlineStr">
        <is>
          <t>62 yaş</t>
        </is>
      </c>
      <c r="D283" s="5" t="inlineStr">
        <is>
          <t>🎂</t>
        </is>
      </c>
      <c r="E283" s="6" t="inlineStr">
        <is>
          <t>Son İş Günü</t>
        </is>
      </c>
      <c r="F283" s="6" t="inlineStr">
        <is>
          <t>Masanda veda pastası; üstünde adın ve yanlış yazılmış soyadın. Müdür bir konuşma yapmanı bekliyor.</t>
        </is>
      </c>
      <c r="G283" s="5" t="inlineStr">
        <is>
          <t>devlet-dairesi</t>
        </is>
      </c>
      <c r="H283" s="5" t="inlineStr"/>
      <c r="I283" s="5" t="inlineStr"/>
      <c r="J283" s="5" t="inlineStr"/>
      <c r="K283" s="5" t="inlineStr">
        <is>
          <t>meslek-memur</t>
        </is>
      </c>
      <c r="L283" s="5" t="inlineStr">
        <is>
          <t>hapis</t>
        </is>
      </c>
      <c r="M283" s="5" t="inlineStr"/>
      <c r="N283" s="5" t="inlineStr"/>
      <c r="O283" s="5" t="inlineStr"/>
      <c r="P283" s="5" t="inlineStr"/>
      <c r="Q283" s="5" t="inlineStr"/>
      <c r="R283" s="6" t="inlineStr"/>
      <c r="S283" s="5" t="inlineStr"/>
      <c r="T283" s="5" t="inlineStr"/>
      <c r="U283" s="5" t="inlineStr"/>
      <c r="V283" s="5" t="inlineStr"/>
    </row>
    <row r="284">
      <c r="A284" s="5" t="inlineStr">
        <is>
          <t>b9-es-7-24</t>
        </is>
      </c>
      <c r="B284" s="5" t="n">
        <v>9</v>
      </c>
      <c r="C284" s="5" t="inlineStr">
        <is>
          <t>62 yaş 6 ay</t>
        </is>
      </c>
      <c r="D284" s="5" t="inlineStr">
        <is>
          <t>🛋️</t>
        </is>
      </c>
      <c r="E284" s="6" t="inlineStr">
        <is>
          <t>Eşle Yedi Yirmi Dört</t>
        </is>
      </c>
      <c r="F284" s="6" t="inlineStr">
        <is>
          <t>Emekli oldun. Eşin de. Otuz yıllık evliliğin ilk yirmi dört saati aynı odada geçti. İkinci gün kumanda için bir protokol gerekti.</t>
        </is>
      </c>
      <c r="G284" s="5" t="inlineStr">
        <is>
          <t>ev</t>
        </is>
      </c>
      <c r="H284" s="5" t="inlineStr"/>
      <c r="I284" s="5" t="inlineStr"/>
      <c r="J284" s="5" t="inlineStr"/>
      <c r="K284" s="5" t="inlineStr">
        <is>
          <t>evli</t>
        </is>
      </c>
      <c r="L284" s="5" t="inlineStr">
        <is>
          <t>hapis</t>
        </is>
      </c>
      <c r="M284" s="5" t="inlineStr"/>
      <c r="N284" s="5" t="inlineStr"/>
      <c r="O284" s="5" t="inlineStr"/>
      <c r="P284" s="5" t="inlineStr"/>
      <c r="Q284" s="5" t="inlineStr"/>
      <c r="R284" s="6" t="inlineStr"/>
      <c r="S284" s="5" t="inlineStr"/>
      <c r="T284" s="5" t="inlineStr"/>
      <c r="U284" s="5" t="inlineStr"/>
      <c r="V284" s="5" t="inlineStr"/>
    </row>
    <row r="285">
      <c r="A285" s="5" t="inlineStr">
        <is>
          <t>b9-yalniz-emeklilik</t>
        </is>
      </c>
      <c r="B285" s="5" t="n">
        <v>9</v>
      </c>
      <c r="C285" s="5" t="inlineStr">
        <is>
          <t>63 yaş</t>
        </is>
      </c>
      <c r="D285" s="5" t="inlineStr">
        <is>
          <t>🍵</t>
        </is>
      </c>
      <c r="E285" s="6" t="inlineStr">
        <is>
          <t>Yalnız Emeklilik</t>
        </is>
      </c>
      <c r="F285" s="6" t="inlineStr">
        <is>
          <t>Ev sessiz. Çaydanlık senin için kaynıyor, bulaşık senin için birikiyor. Kumanda tartışmasız senin; bu da bir çeşit yalnızlık.</t>
        </is>
      </c>
      <c r="G285" s="5" t="inlineStr">
        <is>
          <t>ev</t>
        </is>
      </c>
      <c r="H285" s="5" t="inlineStr"/>
      <c r="I285" s="5" t="inlineStr"/>
      <c r="J285" s="5" t="inlineStr"/>
      <c r="K285" s="5" t="inlineStr"/>
      <c r="L285" s="5" t="inlineStr">
        <is>
          <t>evli, hapis</t>
        </is>
      </c>
      <c r="M285" s="5" t="inlineStr"/>
      <c r="N285" s="5" t="inlineStr"/>
      <c r="O285" s="5" t="inlineStr"/>
      <c r="P285" s="5" t="inlineStr"/>
      <c r="Q285" s="5" t="inlineStr"/>
      <c r="R285" s="6" t="inlineStr"/>
      <c r="S285" s="5" t="inlineStr"/>
      <c r="T285" s="5" t="inlineStr"/>
      <c r="U285" s="5" t="inlineStr"/>
      <c r="V285" s="5" t="inlineStr"/>
    </row>
    <row r="286">
      <c r="A286" s="5" t="inlineStr">
        <is>
          <t>mb-veda-plaketi</t>
        </is>
      </c>
      <c r="B286" s="5" t="n">
        <v>9</v>
      </c>
      <c r="C286" s="5" t="inlineStr">
        <is>
          <t>63 yaş</t>
        </is>
      </c>
      <c r="D286" s="5" t="inlineStr">
        <is>
          <t>🏅</t>
        </is>
      </c>
      <c r="E286" s="6" t="inlineStr">
        <is>
          <t>Veda Plaketi</t>
        </is>
      </c>
      <c r="F286" s="6" t="inlineStr">
        <is>
          <t>Emeklilik partin: bir pasta, üç konuşma ve bir plaket. Plakette adın yanlış yazılmış.</t>
        </is>
      </c>
      <c r="G286" s="5" t="inlineStr">
        <is>
          <t>ofis</t>
        </is>
      </c>
      <c r="H286" s="5" t="inlineStr"/>
      <c r="I286" s="5" t="inlineStr"/>
      <c r="J286" s="5" t="n">
        <v>1</v>
      </c>
      <c r="K286" s="5" t="inlineStr">
        <is>
          <t>meslek-beyazyaka</t>
        </is>
      </c>
      <c r="L286" s="5" t="inlineStr">
        <is>
          <t>hapis</t>
        </is>
      </c>
      <c r="M286" s="5" t="inlineStr"/>
      <c r="N286" s="5" t="inlineStr"/>
      <c r="O286" s="5" t="inlineStr"/>
      <c r="P286" s="5" t="inlineStr"/>
      <c r="Q286" s="5" t="inlineStr"/>
      <c r="R286" s="6" t="inlineStr"/>
      <c r="S286" s="5" t="inlineStr"/>
      <c r="T286" s="5" t="inlineStr"/>
      <c r="U286" s="5" t="inlineStr"/>
      <c r="V286" s="5" t="inlineStr"/>
    </row>
    <row r="287">
      <c r="A287" s="5" t="inlineStr">
        <is>
          <t>me-dukkani-devret</t>
        </is>
      </c>
      <c r="B287" s="5" t="n">
        <v>9</v>
      </c>
      <c r="C287" s="5" t="inlineStr">
        <is>
          <t>63 yaş</t>
        </is>
      </c>
      <c r="D287" s="5" t="inlineStr">
        <is>
          <t>🤝</t>
        </is>
      </c>
      <c r="E287" s="6" t="inlineStr">
        <is>
          <t>Dükkânı Devretmek</t>
        </is>
      </c>
      <c r="F287" s="6" t="inlineStr">
        <is>
          <t>Camda 'Devren kiralık' yazıyor. Talipliler geldi: biri hava parasını soruyor, biri rafları sayıyor, biri sadece çay içmeye gelmiş.</t>
        </is>
      </c>
      <c r="G287" s="5" t="inlineStr">
        <is>
          <t>dukkan</t>
        </is>
      </c>
      <c r="H287" s="5" t="inlineStr"/>
      <c r="I287" s="5" t="inlineStr"/>
      <c r="J287" s="5" t="inlineStr"/>
      <c r="K287" s="5" t="inlineStr">
        <is>
          <t>meslek-esnaf</t>
        </is>
      </c>
      <c r="L287" s="5" t="inlineStr">
        <is>
          <t>hapis</t>
        </is>
      </c>
      <c r="M287" s="5" t="inlineStr"/>
      <c r="N287" s="5" t="inlineStr"/>
      <c r="O287" s="5" t="inlineStr"/>
      <c r="P287" s="5" t="inlineStr"/>
      <c r="Q287" s="5" t="inlineStr"/>
      <c r="R287" s="6" t="inlineStr"/>
      <c r="S287" s="5" t="inlineStr"/>
      <c r="T287" s="5" t="inlineStr"/>
      <c r="U287" s="5" t="inlineStr"/>
      <c r="V287" s="5" t="inlineStr"/>
    </row>
    <row r="288">
      <c r="A288" s="5" t="inlineStr">
        <is>
          <t>b9-tavla-finali</t>
        </is>
      </c>
      <c r="B288" s="5" t="n">
        <v>9</v>
      </c>
      <c r="C288" s="5" t="inlineStr">
        <is>
          <t>63 yaş 6 ay</t>
        </is>
      </c>
      <c r="D288" s="5" t="inlineStr">
        <is>
          <t>🏆</t>
        </is>
      </c>
      <c r="E288" s="6" t="inlineStr">
        <is>
          <t>Tavla Finali</t>
        </is>
      </c>
      <c r="F288" s="6" t="inlineStr">
        <is>
          <t>Kahvehane liginde final günü. Masanın etrafında kırk kişi, ellerinde çay. Son zar senin. Kahvehane sahibi televizyonu kapattı.</t>
        </is>
      </c>
      <c r="G288" s="5" t="inlineStr">
        <is>
          <t>kafe</t>
        </is>
      </c>
      <c r="H288" s="5" t="inlineStr"/>
      <c r="I288" s="5" t="inlineStr"/>
      <c r="J288" s="5" t="inlineStr"/>
      <c r="K288" s="5" t="inlineStr"/>
      <c r="L288" s="5" t="inlineStr">
        <is>
          <t>hapis</t>
        </is>
      </c>
      <c r="M288" s="5" t="inlineStr"/>
      <c r="N288" s="5" t="inlineStr"/>
      <c r="O288" s="5" t="inlineStr"/>
      <c r="P288" s="5" t="inlineStr"/>
      <c r="Q288" s="5" t="inlineStr"/>
      <c r="R288" s="6" t="inlineStr"/>
      <c r="S288" s="5" t="inlineStr"/>
      <c r="T288" s="5" t="inlineStr"/>
      <c r="U288" s="5" t="inlineStr"/>
      <c r="V288" s="5" t="inlineStr"/>
    </row>
    <row r="289">
      <c r="A289" s="5" t="inlineStr">
        <is>
          <t>b9-torunun-tableti</t>
        </is>
      </c>
      <c r="B289" s="5" t="n">
        <v>9</v>
      </c>
      <c r="C289" s="5" t="inlineStr">
        <is>
          <t>64 yaş</t>
        </is>
      </c>
      <c r="D289" s="5" t="inlineStr">
        <is>
          <t>📱</t>
        </is>
      </c>
      <c r="E289" s="6" t="inlineStr">
        <is>
          <t>Torunun Tableti</t>
        </is>
      </c>
      <c r="F289" s="6" t="inlineStr">
        <is>
          <t>Torunun tableti bozuldu ve sana verildi: 'Sen tamir edersin.' Tamir etmek için tablette bir oyunun şifresini bulman lazım. Şifre de tabletin içinde.</t>
        </is>
      </c>
      <c r="G289" s="5" t="inlineStr">
        <is>
          <t>ev</t>
        </is>
      </c>
      <c r="H289" s="5" t="inlineStr"/>
      <c r="I289" s="5" t="inlineStr"/>
      <c r="J289" s="5" t="inlineStr"/>
      <c r="K289" s="5" t="inlineStr">
        <is>
          <t>torunlu</t>
        </is>
      </c>
      <c r="L289" s="5" t="inlineStr">
        <is>
          <t>hapis</t>
        </is>
      </c>
      <c r="M289" s="5" t="inlineStr"/>
      <c r="N289" s="5" t="inlineStr"/>
      <c r="O289" s="5" t="inlineStr"/>
      <c r="P289" s="5" t="inlineStr"/>
      <c r="Q289" s="5" t="inlineStr"/>
      <c r="R289" s="6" t="inlineStr"/>
      <c r="S289" s="5" t="inlineStr"/>
      <c r="T289" s="5" t="inlineStr"/>
      <c r="U289" s="5" t="inlineStr"/>
      <c r="V289" s="5" t="inlineStr"/>
    </row>
    <row r="290">
      <c r="A290" s="5" t="inlineStr">
        <is>
          <t>mm-eski-daire</t>
        </is>
      </c>
      <c r="B290" s="5" t="n">
        <v>9</v>
      </c>
      <c r="C290" s="5" t="inlineStr">
        <is>
          <t>64 yaş</t>
        </is>
      </c>
      <c r="D290" s="5" t="inlineStr">
        <is>
          <t>🏛️</t>
        </is>
      </c>
      <c r="E290" s="6" t="inlineStr">
        <is>
          <t>Masanın Öbür Tarafı</t>
        </is>
      </c>
      <c r="F290" s="6" t="inlineStr">
        <is>
          <t>Emeklilik işlemin için eski dairene gittin. Bu kez masanın öbür tarafındasın. Genç memur dosyana baktı: 'Yarın gelin.'</t>
        </is>
      </c>
      <c r="G290" s="5" t="inlineStr">
        <is>
          <t>devlet-dairesi</t>
        </is>
      </c>
      <c r="H290" s="5" t="inlineStr"/>
      <c r="I290" s="5" t="inlineStr"/>
      <c r="J290" s="5" t="inlineStr"/>
      <c r="K290" s="5" t="inlineStr">
        <is>
          <t>meslek-memur, emekli</t>
        </is>
      </c>
      <c r="L290" s="5" t="inlineStr">
        <is>
          <t>hapis</t>
        </is>
      </c>
      <c r="M290" s="5" t="inlineStr"/>
      <c r="N290" s="5" t="inlineStr"/>
      <c r="O290" s="5" t="inlineStr"/>
      <c r="P290" s="5" t="inlineStr"/>
      <c r="Q290" s="5" t="inlineStr"/>
      <c r="R290" s="6" t="inlineStr"/>
      <c r="S290" s="5" t="inlineStr"/>
      <c r="T290" s="5" t="inlineStr"/>
      <c r="U290" s="5" t="inlineStr"/>
      <c r="V290" s="5" t="inlineStr"/>
    </row>
    <row r="291">
      <c r="A291" s="5" t="inlineStr">
        <is>
          <t>b9-yazlik-komsulari</t>
        </is>
      </c>
      <c r="B291" s="5" t="n">
        <v>9</v>
      </c>
      <c r="C291" s="5" t="inlineStr">
        <is>
          <t>64 yaş 6 ay</t>
        </is>
      </c>
      <c r="D291" s="5" t="inlineStr">
        <is>
          <t>🏖️</t>
        </is>
      </c>
      <c r="E291" s="6" t="inlineStr">
        <is>
          <t>Yazlık Komşuları</t>
        </is>
      </c>
      <c r="F291" s="6" t="inlineStr">
        <is>
          <t>Yazlık sitesinde yeni sezon başladı. Yan komşu, üst komşu ve site yöneticisi aynı anda bahçe çitinin öbür tarafında. Konu: senin hortumun.</t>
        </is>
      </c>
      <c r="G291" s="5" t="inlineStr">
        <is>
          <t>yazlik</t>
        </is>
      </c>
      <c r="H291" s="5" t="inlineStr"/>
      <c r="I291" s="5" t="inlineStr"/>
      <c r="J291" s="5" t="inlineStr"/>
      <c r="K291" s="5" t="inlineStr"/>
      <c r="L291" s="5" t="inlineStr">
        <is>
          <t>hapis</t>
        </is>
      </c>
      <c r="M291" s="5" t="inlineStr"/>
      <c r="N291" s="5" t="inlineStr"/>
      <c r="O291" s="5" t="inlineStr"/>
      <c r="P291" s="5" t="inlineStr"/>
      <c r="Q291" s="5" t="inlineStr"/>
      <c r="R291" s="6" t="inlineStr"/>
      <c r="S291" s="5" t="inlineStr"/>
      <c r="T291" s="5" t="inlineStr"/>
      <c r="U291" s="5" t="inlineStr"/>
      <c r="V291" s="5" t="inlineStr"/>
    </row>
    <row r="292">
      <c r="A292" s="5" t="inlineStr">
        <is>
          <t>b9-ikinci-kariyer</t>
        </is>
      </c>
      <c r="B292" s="5" t="n">
        <v>9</v>
      </c>
      <c r="C292" s="5" t="inlineStr">
        <is>
          <t>65 yaş</t>
        </is>
      </c>
      <c r="D292" s="5" t="inlineStr">
        <is>
          <t>💼</t>
        </is>
      </c>
      <c r="E292" s="6" t="inlineStr">
        <is>
          <t>İkinci Kariyer</t>
        </is>
      </c>
      <c r="F292" s="6" t="inlineStr">
        <is>
          <t>Emeklisin ama emekli maaşı markete yetmiyor. Eski bir tanıdık 'Yarım gün gelsene' dedi. Yarım gün, tam gün olarak başlıyor.</t>
        </is>
      </c>
      <c r="G292" s="5" t="inlineStr">
        <is>
          <t>dukkan</t>
        </is>
      </c>
      <c r="H292" s="5" t="inlineStr"/>
      <c r="I292" s="5" t="inlineStr"/>
      <c r="J292" s="5" t="inlineStr"/>
      <c r="K292" s="5" t="inlineStr">
        <is>
          <t>emekli</t>
        </is>
      </c>
      <c r="L292" s="5" t="inlineStr">
        <is>
          <t>hapis</t>
        </is>
      </c>
      <c r="M292" s="5" t="inlineStr"/>
      <c r="N292" s="5" t="inlineStr"/>
      <c r="O292" s="5" t="inlineStr"/>
      <c r="P292" s="5" t="inlineStr"/>
      <c r="Q292" s="5" t="inlineStr"/>
      <c r="R292" s="6" t="inlineStr"/>
      <c r="S292" s="5" t="inlineStr"/>
      <c r="T292" s="5" t="inlineStr"/>
      <c r="U292" s="5" t="inlineStr"/>
      <c r="V292" s="5" t="inlineStr"/>
    </row>
    <row r="293">
      <c r="A293" s="5" t="inlineStr">
        <is>
          <t>ms-son-perde</t>
        </is>
      </c>
      <c r="B293" s="5" t="n">
        <v>9</v>
      </c>
      <c r="C293" s="5" t="inlineStr">
        <is>
          <t>65 yaş</t>
        </is>
      </c>
      <c r="D293" s="5" t="inlineStr">
        <is>
          <t>🎭</t>
        </is>
      </c>
      <c r="E293" s="6" t="inlineStr">
        <is>
          <t>Son Perde</t>
        </is>
      </c>
      <c r="F293" s="6" t="inlineStr">
        <is>
          <t>Son büyük projen: kırk yılı tek gecede özetleyen bir gösteri. Salon dolu. İlk açılışındaki üç kişilik kalabalık yüze katlanmış.</t>
        </is>
      </c>
      <c r="G293" s="5" t="inlineStr">
        <is>
          <t>sahne</t>
        </is>
      </c>
      <c r="H293" s="5" t="inlineStr"/>
      <c r="I293" s="5" t="inlineStr"/>
      <c r="J293" s="5" t="n">
        <v>1</v>
      </c>
      <c r="K293" s="5" t="inlineStr">
        <is>
          <t>meslek-serbest</t>
        </is>
      </c>
      <c r="L293" s="5" t="inlineStr">
        <is>
          <t>hapis</t>
        </is>
      </c>
      <c r="M293" s="5" t="inlineStr"/>
      <c r="N293" s="5" t="inlineStr"/>
      <c r="O293" s="5" t="inlineStr"/>
      <c r="P293" s="5" t="inlineStr"/>
      <c r="Q293" s="5" t="inlineStr"/>
      <c r="R293" s="6" t="inlineStr"/>
      <c r="S293" s="5" t="inlineStr"/>
      <c r="T293" s="5" t="inlineStr"/>
      <c r="U293" s="5" t="inlineStr"/>
      <c r="V293" s="5" t="inlineStr"/>
    </row>
    <row r="294">
      <c r="A294" s="5" t="inlineStr">
        <is>
          <t>b9-noter-miras</t>
        </is>
      </c>
      <c r="B294" s="5" t="n">
        <v>9</v>
      </c>
      <c r="C294" s="5" t="inlineStr">
        <is>
          <t>65 yaş 6 ay</t>
        </is>
      </c>
      <c r="D294" s="5" t="inlineStr">
        <is>
          <t>📜</t>
        </is>
      </c>
      <c r="E294" s="6" t="inlineStr">
        <is>
          <t>Noterde Miras Planı</t>
        </is>
      </c>
      <c r="F294" s="6" t="inlineStr">
        <is>
          <t>Noterdesin. Çocuklarına bırakacağın şeyleri kâğıda döktün. Liste kısa. Noter yine de her maddeyi yüksek sesle okuyor.</t>
        </is>
      </c>
      <c r="G294" s="5" t="inlineStr">
        <is>
          <t>devlet-dairesi</t>
        </is>
      </c>
      <c r="H294" s="5" t="inlineStr"/>
      <c r="I294" s="5" t="inlineStr"/>
      <c r="J294" s="5" t="inlineStr"/>
      <c r="K294" s="5" t="inlineStr"/>
      <c r="L294" s="5" t="inlineStr">
        <is>
          <t>hapis</t>
        </is>
      </c>
      <c r="M294" s="5" t="inlineStr"/>
      <c r="N294" s="5" t="inlineStr"/>
      <c r="O294" s="5" t="inlineStr"/>
      <c r="P294" s="5" t="inlineStr"/>
      <c r="Q294" s="5" t="inlineStr"/>
      <c r="R294" s="6" t="inlineStr"/>
      <c r="S294" s="5" t="inlineStr"/>
      <c r="T294" s="5" t="inlineStr"/>
      <c r="U294" s="5" t="inlineStr"/>
      <c r="V294" s="5" t="inlineStr"/>
    </row>
    <row r="295">
      <c r="A295" s="5" t="inlineStr">
        <is>
          <t>b9-dev-kabak</t>
        </is>
      </c>
      <c r="B295" s="5" t="n">
        <v>9</v>
      </c>
      <c r="C295" s="5" t="inlineStr">
        <is>
          <t>66 yaş</t>
        </is>
      </c>
      <c r="D295" s="5" t="inlineStr">
        <is>
          <t>🎃</t>
        </is>
      </c>
      <c r="E295" s="6" t="inlineStr">
        <is>
          <t>Dev Kabak Hasadı</t>
        </is>
      </c>
      <c r="F295" s="6" t="inlineStr">
        <is>
          <t>Yazlığın bahçesindeki kabak büyüdü. Sonra daha da büyüdü. Şimdi bahçe kapısından çıkmıyor. Belediye mahalle yarışması düzenliyor.</t>
        </is>
      </c>
      <c r="G295" s="5" t="inlineStr">
        <is>
          <t>yazlik</t>
        </is>
      </c>
      <c r="H295" s="5" t="inlineStr"/>
      <c r="I295" s="5" t="inlineStr"/>
      <c r="J295" s="5" t="inlineStr"/>
      <c r="K295" s="5" t="inlineStr"/>
      <c r="L295" s="5" t="inlineStr">
        <is>
          <t>hapis</t>
        </is>
      </c>
      <c r="M295" s="5" t="inlineStr"/>
      <c r="N295" s="5" t="inlineStr"/>
      <c r="O295" s="5" t="inlineStr"/>
      <c r="P295" s="5" t="inlineStr"/>
      <c r="Q295" s="5" t="inlineStr"/>
      <c r="R295" s="6" t="inlineStr"/>
      <c r="S295" s="5" t="inlineStr"/>
      <c r="T295" s="5" t="inlineStr"/>
      <c r="U295" s="5" t="inlineStr"/>
      <c r="V295" s="5" t="inlineStr"/>
    </row>
    <row r="296">
      <c r="A296" s="5" t="inlineStr">
        <is>
          <t>me-son-kepenk</t>
        </is>
      </c>
      <c r="B296" s="5" t="n">
        <v>9</v>
      </c>
      <c r="C296" s="5" t="inlineStr">
        <is>
          <t>66 yaş</t>
        </is>
      </c>
      <c r="D296" s="5" t="inlineStr">
        <is>
          <t>🔒</t>
        </is>
      </c>
      <c r="E296" s="6" t="inlineStr">
        <is>
          <t>Son Kepenk</t>
        </is>
      </c>
      <c r="F296" s="6" t="inlineStr">
        <is>
          <t>Son iş günü. Kepengin sesi otuz küsur yıldır aynı. Mahalle bunu bir tören sanıyor; sen yağlamayı unuttuğunu biliyorsun.</t>
        </is>
      </c>
      <c r="G296" s="5" t="inlineStr">
        <is>
          <t>carsi</t>
        </is>
      </c>
      <c r="H296" s="5" t="inlineStr"/>
      <c r="I296" s="5" t="inlineStr"/>
      <c r="J296" s="5" t="inlineStr"/>
      <c r="K296" s="5" t="inlineStr">
        <is>
          <t>meslek-esnaf</t>
        </is>
      </c>
      <c r="L296" s="5" t="inlineStr">
        <is>
          <t>hapis</t>
        </is>
      </c>
      <c r="M296" s="5" t="inlineStr"/>
      <c r="N296" s="5" t="inlineStr"/>
      <c r="O296" s="5" t="inlineStr"/>
      <c r="P296" s="5" t="inlineStr"/>
      <c r="Q296" s="5" t="inlineStr"/>
      <c r="R296" s="6" t="inlineStr"/>
      <c r="S296" s="5" t="inlineStr"/>
      <c r="T296" s="5" t="inlineStr"/>
      <c r="U296" s="5" t="inlineStr"/>
      <c r="V296" s="5" t="inlineStr"/>
    </row>
    <row r="297">
      <c r="A297" s="5" t="inlineStr">
        <is>
          <t>b9-emekli-seyahati</t>
        </is>
      </c>
      <c r="B297" s="5" t="n">
        <v>9</v>
      </c>
      <c r="C297" s="5" t="inlineStr">
        <is>
          <t>66 yaş 6 ay</t>
        </is>
      </c>
      <c r="D297" s="5" t="inlineStr">
        <is>
          <t>🚌</t>
        </is>
      </c>
      <c r="E297" s="6" t="inlineStr">
        <is>
          <t>Emekli Seyahati</t>
        </is>
      </c>
      <c r="F297" s="6" t="inlineStr">
        <is>
          <t>Emekliler derneğinin dört günlük turu. Otobüs sabah beşte kalkıyor. Programda yedi müze, üç hediyelik eşya dükkânı ve bir 'sürpriz durak' var.</t>
        </is>
      </c>
      <c r="G297" s="5" t="inlineStr">
        <is>
          <t>toplu-tasima</t>
        </is>
      </c>
      <c r="H297" s="5" t="inlineStr"/>
      <c r="I297" s="5" t="inlineStr"/>
      <c r="J297" s="5" t="inlineStr"/>
      <c r="K297" s="5" t="inlineStr"/>
      <c r="L297" s="5" t="inlineStr">
        <is>
          <t>hapis</t>
        </is>
      </c>
      <c r="M297" s="5" t="inlineStr"/>
      <c r="N297" s="5" t="inlineStr"/>
      <c r="O297" s="5" t="inlineStr"/>
      <c r="P297" s="5" t="inlineStr"/>
      <c r="Q297" s="5" t="inlineStr"/>
      <c r="R297" s="6" t="inlineStr"/>
      <c r="S297" s="5" t="inlineStr"/>
      <c r="T297" s="5" t="inlineStr"/>
      <c r="U297" s="5" t="inlineStr"/>
      <c r="V297" s="5" t="inlineStr"/>
    </row>
    <row r="298">
      <c r="A298" s="5" t="inlineStr">
        <is>
          <t>b9-sifre-unuttum</t>
        </is>
      </c>
      <c r="B298" s="5" t="n">
        <v>9</v>
      </c>
      <c r="C298" s="5" t="inlineStr">
        <is>
          <t>67 yaş</t>
        </is>
      </c>
      <c r="D298" s="5" t="inlineStr">
        <is>
          <t>🔐</t>
        </is>
      </c>
      <c r="E298" s="6" t="inlineStr">
        <is>
          <t>Şifremi Unuttum</t>
        </is>
      </c>
      <c r="F298" s="6" t="inlineStr">
        <is>
          <t>Mobil bankacılık şifreni unuttun. Sıfırlamak için bir kod gönderildi. Kod, eski telefonuna. Eski telefon, torunda. Torun, okulda.</t>
        </is>
      </c>
      <c r="G298" s="5" t="inlineStr">
        <is>
          <t>banka</t>
        </is>
      </c>
      <c r="H298" s="5" t="inlineStr"/>
      <c r="I298" s="5" t="inlineStr"/>
      <c r="J298" s="5" t="inlineStr"/>
      <c r="K298" s="5" t="inlineStr"/>
      <c r="L298" s="5" t="inlineStr">
        <is>
          <t>hapis</t>
        </is>
      </c>
      <c r="M298" s="5" t="inlineStr"/>
      <c r="N298" s="5" t="inlineStr"/>
      <c r="O298" s="5" t="inlineStr"/>
      <c r="P298" s="5" t="inlineStr"/>
      <c r="Q298" s="5" t="inlineStr"/>
      <c r="R298" s="6" t="inlineStr"/>
      <c r="S298" s="5" t="inlineStr"/>
      <c r="T298" s="5" t="inlineStr"/>
      <c r="U298" s="5" t="inlineStr"/>
      <c r="V298" s="5" t="inlineStr"/>
    </row>
    <row r="299">
      <c r="A299" s="5" t="inlineStr">
        <is>
          <t>mb-son-kisa-gorusme</t>
        </is>
      </c>
      <c r="B299" s="5" t="n">
        <v>9</v>
      </c>
      <c r="C299" s="5" t="inlineStr">
        <is>
          <t>67 yaş</t>
        </is>
      </c>
      <c r="D299" s="5" t="inlineStr">
        <is>
          <t>☎️</t>
        </is>
      </c>
      <c r="E299" s="6" t="inlineStr">
        <is>
          <t>Son Bir Kısa Görüşme</t>
        </is>
      </c>
      <c r="F299" s="6" t="inlineStr">
        <is>
          <t>Şirketten ayrılalı yıllar oldu. Eski şirketin aradı: 'Kısa bir görüşme yapabilir miyiz?' Nabzın hâlâ yükseliyor.</t>
        </is>
      </c>
      <c r="G299" s="5" t="inlineStr">
        <is>
          <t>kafe</t>
        </is>
      </c>
      <c r="H299" s="5" t="inlineStr"/>
      <c r="I299" s="5" t="inlineStr"/>
      <c r="J299" s="5" t="n">
        <v>1</v>
      </c>
      <c r="K299" s="5" t="inlineStr">
        <is>
          <t>meslek-beyazyaka</t>
        </is>
      </c>
      <c r="L299" s="5" t="inlineStr">
        <is>
          <t>hapis</t>
        </is>
      </c>
      <c r="M299" s="5" t="inlineStr"/>
      <c r="N299" s="5" t="inlineStr"/>
      <c r="O299" s="5" t="inlineStr"/>
      <c r="P299" s="5" t="inlineStr"/>
      <c r="Q299" s="5" t="inlineStr"/>
      <c r="R299" s="6" t="inlineStr"/>
      <c r="S299" s="5" t="inlineStr"/>
      <c r="T299" s="5" t="inlineStr"/>
      <c r="U299" s="5" t="inlineStr"/>
      <c r="V299" s="5" t="inlineStr"/>
    </row>
    <row r="300">
      <c r="A300" s="5" t="inlineStr">
        <is>
          <t>b9-site-toplantisi</t>
        </is>
      </c>
      <c r="B300" s="5" t="n">
        <v>9</v>
      </c>
      <c r="C300" s="5" t="inlineStr">
        <is>
          <t>68 yaş</t>
        </is>
      </c>
      <c r="D300" s="5" t="inlineStr">
        <is>
          <t>🏢</t>
        </is>
      </c>
      <c r="E300" s="6" t="inlineStr">
        <is>
          <t>Apartman Toplantısı</t>
        </is>
      </c>
      <c r="F300" s="6" t="inlineStr">
        <is>
          <t>Yıllık apartman toplantısı. Gündem: aidat artışı, asansör, çatı ve 'yönetici seçimi'. Herkes sana bakıyor, çünkü evde olan tek kişi sensin.</t>
        </is>
      </c>
      <c r="G300" s="5" t="inlineStr">
        <is>
          <t>apartman</t>
        </is>
      </c>
      <c r="H300" s="5" t="inlineStr"/>
      <c r="I300" s="5" t="inlineStr"/>
      <c r="J300" s="5" t="inlineStr"/>
      <c r="K300" s="5" t="inlineStr"/>
      <c r="L300" s="5" t="inlineStr">
        <is>
          <t>hapis</t>
        </is>
      </c>
      <c r="M300" s="5" t="inlineStr"/>
      <c r="N300" s="5" t="inlineStr"/>
      <c r="O300" s="5" t="inlineStr"/>
      <c r="P300" s="5" t="inlineStr"/>
      <c r="Q300" s="5" t="inlineStr"/>
      <c r="R300" s="6" t="inlineStr"/>
      <c r="S300" s="5" t="inlineStr"/>
      <c r="T300" s="5" t="inlineStr"/>
      <c r="U300" s="5" t="inlineStr"/>
      <c r="V300" s="5" t="inlineStr"/>
    </row>
    <row r="301">
      <c r="A301" s="5" t="inlineStr">
        <is>
          <t>b9-torunun-sorusu</t>
        </is>
      </c>
      <c r="B301" s="5" t="n">
        <v>9</v>
      </c>
      <c r="C301" s="5" t="inlineStr">
        <is>
          <t>69 yaş</t>
        </is>
      </c>
      <c r="D301" s="5" t="inlineStr">
        <is>
          <t>❓</t>
        </is>
      </c>
      <c r="E301" s="6" t="inlineStr">
        <is>
          <t>Torunun Sorusu</t>
        </is>
      </c>
      <c r="F301" s="6" t="inlineStr">
        <is>
          <t>Torun parkta sana baktı: 'Sen gençken telefon var mıydı?' Cevabın tarih dersi olacak.</t>
        </is>
      </c>
      <c r="G301" s="5" t="inlineStr">
        <is>
          <t>park</t>
        </is>
      </c>
      <c r="H301" s="5" t="inlineStr"/>
      <c r="I301" s="5" t="inlineStr"/>
      <c r="J301" s="5" t="inlineStr"/>
      <c r="K301" s="5" t="inlineStr">
        <is>
          <t>torunlu</t>
        </is>
      </c>
      <c r="L301" s="5" t="inlineStr">
        <is>
          <t>hapis</t>
        </is>
      </c>
      <c r="M301" s="5" t="inlineStr"/>
      <c r="N301" s="5" t="inlineStr"/>
      <c r="O301" s="5" t="inlineStr"/>
      <c r="P301" s="5" t="inlineStr"/>
      <c r="Q301" s="5" t="inlineStr"/>
      <c r="R301" s="6" t="inlineStr"/>
      <c r="S301" s="5" t="inlineStr"/>
      <c r="T301" s="5" t="inlineStr"/>
      <c r="U301" s="5" t="inlineStr"/>
      <c r="V301" s="5" t="inlineStr"/>
    </row>
    <row r="302">
      <c r="A302" s="5" t="inlineStr">
        <is>
          <t>ms-son-roportaj</t>
        </is>
      </c>
      <c r="B302" s="5" t="n">
        <v>9</v>
      </c>
      <c r="C302" s="5" t="inlineStr">
        <is>
          <t>69 yaş</t>
        </is>
      </c>
      <c r="D302" s="5" t="inlineStr">
        <is>
          <t>🎙️</t>
        </is>
      </c>
      <c r="E302" s="6" t="inlineStr">
        <is>
          <t>Son Röportaj</t>
        </is>
      </c>
      <c r="F302" s="6" t="inlineStr">
        <is>
          <t>Bir sanat öğrencisi tezi için seninle görüşüyor. İlk sorusu: 'Bütün bu yıllar boyunca nasıl geçindiniz?'</t>
        </is>
      </c>
      <c r="G302" s="5" t="inlineStr">
        <is>
          <t>kafe</t>
        </is>
      </c>
      <c r="H302" s="5" t="inlineStr"/>
      <c r="I302" s="5" t="inlineStr"/>
      <c r="J302" s="5" t="n">
        <v>1</v>
      </c>
      <c r="K302" s="5" t="inlineStr">
        <is>
          <t>meslek-serbest</t>
        </is>
      </c>
      <c r="L302" s="5" t="inlineStr">
        <is>
          <t>hapis</t>
        </is>
      </c>
      <c r="M302" s="5" t="inlineStr"/>
      <c r="N302" s="5" t="inlineStr"/>
      <c r="O302" s="5" t="inlineStr"/>
      <c r="P302" s="5" t="inlineStr"/>
      <c r="Q302" s="5" t="inlineStr"/>
      <c r="R302" s="6" t="inlineStr"/>
      <c r="S302" s="5" t="inlineStr"/>
      <c r="T302" s="5" t="inlineStr"/>
      <c r="U302" s="5" t="inlineStr"/>
      <c r="V302" s="5" t="inlineStr"/>
    </row>
    <row r="303">
      <c r="A303" s="5" t="inlineStr">
        <is>
          <t>b9-hayat-muhasebesi</t>
        </is>
      </c>
      <c r="B303" s="5" t="n">
        <v>9</v>
      </c>
      <c r="C303" s="5" t="inlineStr">
        <is>
          <t>70 yaş</t>
        </is>
      </c>
      <c r="D303" s="5" t="inlineStr">
        <is>
          <t>📸</t>
        </is>
      </c>
      <c r="E303" s="6" t="inlineStr">
        <is>
          <t>Fotoğraf Albümü</t>
        </is>
      </c>
      <c r="F303" s="6" t="inlineStr">
        <is>
          <t>Yetmişinci yaş günün. Çocukların eski fotoğraf albümlerini dijitalleştirmiş ve bir slayt gösterisi hazırlamış. Fon müziği seçimini sana sormamışlar.</t>
        </is>
      </c>
      <c r="G303" s="5" t="inlineStr">
        <is>
          <t>ev</t>
        </is>
      </c>
      <c r="H303" s="5" t="inlineStr"/>
      <c r="I303" s="5" t="inlineStr"/>
      <c r="J303" s="5" t="inlineStr"/>
      <c r="K303" s="5" t="inlineStr"/>
      <c r="L303" s="5" t="inlineStr">
        <is>
          <t>hapis</t>
        </is>
      </c>
      <c r="M303" s="5" t="inlineStr"/>
      <c r="N303" s="5" t="inlineStr"/>
      <c r="O303" s="5" t="inlineStr"/>
      <c r="P303" s="5" t="inlineStr"/>
      <c r="Q303" s="5" t="inlineStr"/>
      <c r="R303" s="6" t="inlineStr"/>
      <c r="S303" s="5" t="inlineStr"/>
      <c r="T303" s="5" t="inlineStr"/>
      <c r="U303" s="5" t="inlineStr"/>
      <c r="V303" s="5" t="inlineStr"/>
    </row>
    <row r="304">
      <c r="A304" s="5" t="inlineStr">
        <is>
          <t>b10-noter-vasiyet</t>
        </is>
      </c>
      <c r="B304" s="5" t="n">
        <v>10</v>
      </c>
      <c r="C304" s="5" t="inlineStr">
        <is>
          <t>70 yaş</t>
        </is>
      </c>
      <c r="D304" s="5" t="inlineStr">
        <is>
          <t>📜</t>
        </is>
      </c>
      <c r="E304" s="6" t="inlineStr">
        <is>
          <t>Vasiyet</t>
        </is>
      </c>
      <c r="F304" s="6" t="inlineStr">
        <is>
          <t>Noterde sıra numarası aldın. Önündeki üç kişi de vasiyet yazdırıyor. Bekleme salonu bir hayat özeti fuarına dönüştü.</t>
        </is>
      </c>
      <c r="G304" s="5" t="inlineStr">
        <is>
          <t>devlet-dairesi</t>
        </is>
      </c>
      <c r="H304" s="5" t="inlineStr"/>
      <c r="I304" s="5" t="inlineStr"/>
      <c r="J304" s="5" t="n">
        <v>1</v>
      </c>
      <c r="K304" s="5" t="inlineStr"/>
      <c r="L304" s="5" t="inlineStr"/>
      <c r="M304" s="5" t="inlineStr"/>
      <c r="N304" s="5" t="inlineStr"/>
      <c r="O304" s="5" t="inlineStr"/>
      <c r="P304" s="5" t="inlineStr"/>
      <c r="Q304" s="5" t="inlineStr"/>
      <c r="R304" s="6" t="inlineStr"/>
      <c r="S304" s="5" t="inlineStr"/>
      <c r="T304" s="5" t="inlineStr"/>
      <c r="U304" s="5" t="inlineStr"/>
      <c r="V304" s="5" t="inlineStr"/>
    </row>
    <row r="305">
      <c r="A305" s="5" t="inlineStr">
        <is>
          <t>b10-miras-provasi</t>
        </is>
      </c>
      <c r="B305" s="5" t="n">
        <v>10</v>
      </c>
      <c r="C305" s="5" t="inlineStr">
        <is>
          <t>71 yaş</t>
        </is>
      </c>
      <c r="D305" s="5" t="inlineStr">
        <is>
          <t>🍽️</t>
        </is>
      </c>
      <c r="E305" s="6" t="inlineStr">
        <is>
          <t>Miras Provası</t>
        </is>
      </c>
      <c r="F305" s="6" t="inlineStr">
        <is>
          <t>Pazar yemeğinde biri vitrindeki takımı sordu. Masada kimse bir şey demedi ama herkes aynı anda çatalını bıraktı.</t>
        </is>
      </c>
      <c r="G305" s="5" t="inlineStr">
        <is>
          <t>ev</t>
        </is>
      </c>
      <c r="H305" s="5" t="inlineStr"/>
      <c r="I305" s="5" t="inlineStr"/>
      <c r="J305" s="5" t="n">
        <v>1</v>
      </c>
      <c r="K305" s="5" t="inlineStr">
        <is>
          <t>cocuklu</t>
        </is>
      </c>
      <c r="L305" s="5" t="inlineStr"/>
      <c r="M305" s="5" t="inlineStr"/>
      <c r="N305" s="5" t="inlineStr"/>
      <c r="O305" s="5" t="inlineStr"/>
      <c r="P305" s="5" t="inlineStr"/>
      <c r="Q305" s="5" t="inlineStr"/>
      <c r="R305" s="6" t="inlineStr"/>
      <c r="S305" s="5" t="inlineStr"/>
      <c r="T305" s="5" t="inlineStr"/>
      <c r="U305" s="5" t="inlineStr"/>
      <c r="V305" s="5" t="inlineStr"/>
    </row>
    <row r="306">
      <c r="A306" s="5" t="inlineStr">
        <is>
          <t>b10-teknoloji-kursu</t>
        </is>
      </c>
      <c r="B306" s="5" t="n">
        <v>10</v>
      </c>
      <c r="C306" s="5" t="inlineStr">
        <is>
          <t>72 yaş</t>
        </is>
      </c>
      <c r="D306" s="5" t="inlineStr">
        <is>
          <t>📱</t>
        </is>
      </c>
      <c r="E306" s="6" t="inlineStr">
        <is>
          <t>Teknoloji Kursu</t>
        </is>
      </c>
      <c r="F306" s="6" t="inlineStr">
        <is>
          <t>Belediyenin yaşlılar için teknoloji kursundasın. Eğitmen yirmi iki yaşında ve 'ekran görüntüsü' kelimesini on dördüncü kez söylüyor.</t>
        </is>
      </c>
      <c r="G306" s="5" t="inlineStr">
        <is>
          <t>sinif</t>
        </is>
      </c>
      <c r="H306" s="5" t="inlineStr"/>
      <c r="I306" s="5" t="inlineStr"/>
      <c r="J306" s="5" t="n">
        <v>1</v>
      </c>
      <c r="K306" s="5" t="inlineStr"/>
      <c r="L306" s="5" t="inlineStr"/>
      <c r="M306" s="5" t="inlineStr"/>
      <c r="N306" s="5" t="inlineStr"/>
      <c r="O306" s="5" t="inlineStr"/>
      <c r="P306" s="5" t="inlineStr"/>
      <c r="Q306" s="5" t="inlineStr"/>
      <c r="R306" s="6" t="inlineStr"/>
      <c r="S306" s="5" t="inlineStr"/>
      <c r="T306" s="5" t="inlineStr"/>
      <c r="U306" s="5" t="inlineStr"/>
      <c r="V306" s="5" t="inlineStr"/>
    </row>
    <row r="307">
      <c r="A307" s="5" t="inlineStr">
        <is>
          <t>b10-balkon-kulesi</t>
        </is>
      </c>
      <c r="B307" s="5" t="n">
        <v>10</v>
      </c>
      <c r="C307" s="5" t="inlineStr">
        <is>
          <t>73 yaş</t>
        </is>
      </c>
      <c r="D307" s="5" t="inlineStr">
        <is>
          <t>🔭</t>
        </is>
      </c>
      <c r="E307" s="6" t="inlineStr">
        <is>
          <t>Balkon Gözlem Kulesi</t>
        </is>
      </c>
      <c r="F307" s="6" t="inlineStr">
        <is>
          <t>Balkona bir sandalye ve bir çay termosu yerleştirildi. Sokak artık denetim altında.</t>
        </is>
      </c>
      <c r="G307" s="5" t="inlineStr">
        <is>
          <t>apartman</t>
        </is>
      </c>
      <c r="H307" s="5" t="inlineStr"/>
      <c r="I307" s="5" t="inlineStr"/>
      <c r="J307" s="5" t="n">
        <v>1</v>
      </c>
      <c r="K307" s="5" t="inlineStr"/>
      <c r="L307" s="5" t="inlineStr"/>
      <c r="M307" s="5" t="inlineStr"/>
      <c r="N307" s="5" t="inlineStr"/>
      <c r="O307" s="5" t="inlineStr"/>
      <c r="P307" s="5" t="inlineStr"/>
      <c r="Q307" s="5" t="inlineStr"/>
      <c r="R307" s="6" t="inlineStr"/>
      <c r="S307" s="5" t="inlineStr"/>
      <c r="T307" s="5" t="inlineStr"/>
      <c r="U307" s="5" t="inlineStr"/>
      <c r="V307" s="5" t="inlineStr"/>
    </row>
    <row r="308">
      <c r="A308" s="5" t="inlineStr">
        <is>
          <t>b10-sinif-bulusmasi</t>
        </is>
      </c>
      <c r="B308" s="5" t="n">
        <v>10</v>
      </c>
      <c r="C308" s="5" t="inlineStr">
        <is>
          <t>74 yaş</t>
        </is>
      </c>
      <c r="D308" s="5" t="inlineStr">
        <is>
          <t>🏫</t>
        </is>
      </c>
      <c r="E308" s="6" t="inlineStr">
        <is>
          <t>Sınıf Buluşması</t>
        </is>
      </c>
      <c r="F308" s="6" t="inlineStr">
        <is>
          <t>İlkokul sınıfından biri grup kurdu. Otuz iki kişiden on bir kişi geldi. Herkes birbirinin fotoğrafına bakıp doğru kişiyi arıyor.</t>
        </is>
      </c>
      <c r="G308" s="5" t="inlineStr">
        <is>
          <t>kafe</t>
        </is>
      </c>
      <c r="H308" s="5" t="inlineStr"/>
      <c r="I308" s="5" t="inlineStr"/>
      <c r="J308" s="5" t="n">
        <v>1</v>
      </c>
      <c r="K308" s="5" t="inlineStr"/>
      <c r="L308" s="5" t="inlineStr"/>
      <c r="M308" s="5" t="inlineStr"/>
      <c r="N308" s="5" t="inlineStr"/>
      <c r="O308" s="5" t="inlineStr"/>
      <c r="P308" s="5" t="inlineStr"/>
      <c r="Q308" s="5" t="inlineStr"/>
      <c r="R308" s="6" t="inlineStr"/>
      <c r="S308" s="5" t="inlineStr"/>
      <c r="T308" s="5" t="inlineStr"/>
      <c r="U308" s="5" t="inlineStr"/>
      <c r="V308" s="5" t="inlineStr"/>
    </row>
    <row r="309">
      <c r="A309" s="5" t="inlineStr">
        <is>
          <t>b10-doktor-gomersiniz</t>
        </is>
      </c>
      <c r="B309" s="5" t="n">
        <v>10</v>
      </c>
      <c r="C309" s="5" t="inlineStr">
        <is>
          <t>75 yaş</t>
        </is>
      </c>
      <c r="D309" s="5" t="inlineStr">
        <is>
          <t>🩺</t>
        </is>
      </c>
      <c r="E309" s="6" t="inlineStr">
        <is>
          <t>Siz Bizi Gömersiniz</t>
        </is>
      </c>
      <c r="F309" s="6" t="inlineStr">
        <is>
          <t>Doktor tahlillere baktı, gözlüğünü çıkardı ve 'Siz bizi gömersiniz' dedi. Tıp dilinde bu bir iltifattır.</t>
        </is>
      </c>
      <c r="G309" s="5" t="inlineStr">
        <is>
          <t>hastane</t>
        </is>
      </c>
      <c r="H309" s="5" t="inlineStr"/>
      <c r="I309" s="5" t="inlineStr"/>
      <c r="J309" s="5" t="n">
        <v>1</v>
      </c>
      <c r="K309" s="5" t="inlineStr"/>
      <c r="L309" s="5" t="inlineStr"/>
      <c r="M309" s="5" t="inlineStr"/>
      <c r="N309" s="5" t="inlineStr"/>
      <c r="O309" s="5" t="inlineStr"/>
      <c r="P309" s="5" t="inlineStr"/>
      <c r="Q309" s="5" t="inlineStr"/>
      <c r="R309" s="6" t="inlineStr"/>
      <c r="S309" s="5" t="inlineStr"/>
      <c r="T309" s="5" t="inlineStr"/>
      <c r="U309" s="5" t="inlineStr"/>
      <c r="V309" s="5" t="inlineStr"/>
    </row>
    <row r="310">
      <c r="A310" s="5" t="inlineStr">
        <is>
          <t>b10-bayram-harcligi</t>
        </is>
      </c>
      <c r="B310" s="5" t="n">
        <v>10</v>
      </c>
      <c r="C310" s="5" t="inlineStr">
        <is>
          <t>75 yaş 6 ay</t>
        </is>
      </c>
      <c r="D310" s="5" t="inlineStr">
        <is>
          <t>💶</t>
        </is>
      </c>
      <c r="E310" s="6" t="inlineStr">
        <is>
          <t>Bayram Harçlığı</t>
        </is>
      </c>
      <c r="F310" s="6" t="inlineStr">
        <is>
          <t>Emekli maaşı yattı. Bayram sabahı kapıda sıra oluştu. Döngü tamamlandı: artık zarfları dağıtan sensin.</t>
        </is>
      </c>
      <c r="G310" s="5" t="inlineStr">
        <is>
          <t>ev</t>
        </is>
      </c>
      <c r="H310" s="5" t="inlineStr"/>
      <c r="I310" s="5" t="inlineStr"/>
      <c r="J310" s="5" t="n">
        <v>1</v>
      </c>
      <c r="K310" s="5" t="inlineStr"/>
      <c r="L310" s="5" t="inlineStr"/>
      <c r="M310" s="5" t="inlineStr"/>
      <c r="N310" s="5" t="inlineStr"/>
      <c r="O310" s="5" t="inlineStr"/>
      <c r="P310" s="5" t="inlineStr"/>
      <c r="Q310" s="5" t="inlineStr"/>
      <c r="R310" s="6" t="inlineStr"/>
      <c r="S310" s="5" t="inlineStr"/>
      <c r="T310" s="5" t="inlineStr"/>
      <c r="U310" s="5" t="inlineStr"/>
      <c r="V310" s="5" t="inlineStr"/>
    </row>
    <row r="311">
      <c r="A311" s="5" t="inlineStr">
        <is>
          <t>b10-dijital-miras</t>
        </is>
      </c>
      <c r="B311" s="5" t="n">
        <v>10</v>
      </c>
      <c r="C311" s="5" t="inlineStr">
        <is>
          <t>76 yaş</t>
        </is>
      </c>
      <c r="D311" s="5" t="inlineStr">
        <is>
          <t>🔐</t>
        </is>
      </c>
      <c r="E311" s="6" t="inlineStr">
        <is>
          <t>Dijital Miras</t>
        </is>
      </c>
      <c r="F311" s="6" t="inlineStr">
        <is>
          <t>Torun şifrelerini soruyor 'bir gün lazım olur diye'. Kırk yılın şifresi, yarısı kedinin adı, yarısı doğum tarihi.</t>
        </is>
      </c>
      <c r="G311" s="5" t="inlineStr">
        <is>
          <t>ev</t>
        </is>
      </c>
      <c r="H311" s="5" t="inlineStr"/>
      <c r="I311" s="5" t="inlineStr"/>
      <c r="J311" s="5" t="n">
        <v>1</v>
      </c>
      <c r="K311" s="5" t="inlineStr"/>
      <c r="L311" s="5" t="inlineStr"/>
      <c r="M311" s="5" t="inlineStr"/>
      <c r="N311" s="5" t="inlineStr"/>
      <c r="O311" s="5" t="inlineStr"/>
      <c r="P311" s="5" t="inlineStr"/>
      <c r="Q311" s="5" t="inlineStr"/>
      <c r="R311" s="6" t="inlineStr"/>
      <c r="S311" s="5" t="inlineStr"/>
      <c r="T311" s="5" t="inlineStr"/>
      <c r="U311" s="5" t="inlineStr"/>
      <c r="V311" s="5" t="inlineStr"/>
    </row>
    <row r="312">
      <c r="A312" s="5" t="inlineStr">
        <is>
          <t>b10-mezar-parseli</t>
        </is>
      </c>
      <c r="B312" s="5" t="n">
        <v>10</v>
      </c>
      <c r="C312" s="5" t="inlineStr">
        <is>
          <t>77 yaş</t>
        </is>
      </c>
      <c r="D312" s="5" t="inlineStr">
        <is>
          <t>🌳</t>
        </is>
      </c>
      <c r="E312" s="6" t="inlineStr">
        <is>
          <t>Manzaralı Parsel</t>
        </is>
      </c>
      <c r="F312" s="6" t="inlineStr">
        <is>
          <t>Belediye yeni parsel satışı açtı. Görevli haritayı açtı: 'Bu taraf manzaralı, o taraf otoparka bakıyor.'</t>
        </is>
      </c>
      <c r="G312" s="5" t="inlineStr">
        <is>
          <t>mezarlik</t>
        </is>
      </c>
      <c r="H312" s="5" t="inlineStr"/>
      <c r="I312" s="5" t="inlineStr"/>
      <c r="J312" s="5" t="n">
        <v>1</v>
      </c>
      <c r="K312" s="5" t="inlineStr"/>
      <c r="L312" s="5" t="inlineStr"/>
      <c r="M312" s="5" t="inlineStr"/>
      <c r="N312" s="5" t="inlineStr"/>
      <c r="O312" s="5" t="inlineStr"/>
      <c r="P312" s="5" t="inlineStr"/>
      <c r="Q312" s="5" t="inlineStr"/>
      <c r="R312" s="6" t="inlineStr"/>
      <c r="S312" s="5" t="inlineStr"/>
      <c r="T312" s="5" t="inlineStr"/>
      <c r="U312" s="5" t="inlineStr"/>
      <c r="V312" s="5" t="inlineStr"/>
    </row>
    <row r="313">
      <c r="A313" s="5" t="inlineStr">
        <is>
          <t>b10-danismanlik</t>
        </is>
      </c>
      <c r="B313" s="5" t="n">
        <v>10</v>
      </c>
      <c r="C313" s="5" t="inlineStr">
        <is>
          <t>77 yaş 6 ay</t>
        </is>
      </c>
      <c r="D313" s="5" t="inlineStr">
        <is>
          <t>💼</t>
        </is>
      </c>
      <c r="E313" s="6" t="inlineStr">
        <is>
          <t>Eski İşyerinden Telefon</t>
        </is>
      </c>
      <c r="F313" s="6" t="inlineStr">
        <is>
          <t>Eski işyerin aradı. Bir dosya kaybolmuş ve onu en son senin gördüğüne dair bir söylenti var. Söylenti doğru.</t>
        </is>
      </c>
      <c r="G313" s="5" t="inlineStr">
        <is>
          <t>ofis</t>
        </is>
      </c>
      <c r="H313" s="5" t="inlineStr"/>
      <c r="I313" s="5" t="inlineStr"/>
      <c r="J313" s="5" t="n">
        <v>1</v>
      </c>
      <c r="K313" s="5" t="inlineStr"/>
      <c r="L313" s="5" t="inlineStr"/>
      <c r="M313" s="5" t="inlineStr"/>
      <c r="N313" s="5" t="inlineStr"/>
      <c r="O313" s="5" t="inlineStr"/>
      <c r="P313" s="5" t="inlineStr"/>
      <c r="Q313" s="5" t="inlineStr"/>
      <c r="R313" s="6" t="inlineStr"/>
      <c r="S313" s="5" t="inlineStr"/>
      <c r="T313" s="5" t="inlineStr"/>
      <c r="U313" s="5" t="inlineStr"/>
      <c r="V313" s="5" t="inlineStr"/>
    </row>
    <row r="314">
      <c r="A314" s="5" t="inlineStr">
        <is>
          <t>b10-eski-dost-cenazesi</t>
        </is>
      </c>
      <c r="B314" s="5" t="n">
        <v>10</v>
      </c>
      <c r="C314" s="5" t="inlineStr">
        <is>
          <t>78 yaş</t>
        </is>
      </c>
      <c r="D314" s="5" t="inlineStr">
        <is>
          <t>🕊️</t>
        </is>
      </c>
      <c r="E314" s="6" t="inlineStr">
        <is>
          <t>Eski Dostun Cenazesi</t>
        </is>
      </c>
      <c r="F314" s="6" t="inlineStr">
        <is>
          <t>Uzun yılların dostu gitti. Cenazede kim ne diyor, not alıyorsun. Kendi cenazen için bir referans dosyası.</t>
        </is>
      </c>
      <c r="G314" s="5" t="inlineStr">
        <is>
          <t>mezarlik</t>
        </is>
      </c>
      <c r="H314" s="5" t="inlineStr"/>
      <c r="I314" s="5" t="inlineStr"/>
      <c r="J314" s="5" t="n">
        <v>1</v>
      </c>
      <c r="K314" s="5" t="inlineStr"/>
      <c r="L314" s="5" t="inlineStr"/>
      <c r="M314" s="5" t="inlineStr"/>
      <c r="N314" s="5" t="inlineStr"/>
      <c r="O314" s="5" t="inlineStr"/>
      <c r="P314" s="5" t="inlineStr"/>
      <c r="Q314" s="5" t="inlineStr"/>
      <c r="R314" s="6" t="inlineStr"/>
      <c r="S314" s="5" t="inlineStr"/>
      <c r="T314" s="5" t="inlineStr"/>
      <c r="U314" s="5" t="inlineStr"/>
      <c r="V314" s="5" t="inlineStr"/>
    </row>
    <row r="315">
      <c r="A315" s="5" t="inlineStr">
        <is>
          <t>b10-ani-defteri</t>
        </is>
      </c>
      <c r="B315" s="5" t="n">
        <v>10</v>
      </c>
      <c r="C315" s="5" t="inlineStr">
        <is>
          <t>79 yaş</t>
        </is>
      </c>
      <c r="D315" s="5" t="inlineStr">
        <is>
          <t>📓</t>
        </is>
      </c>
      <c r="E315" s="6" t="inlineStr">
        <is>
          <t>Anı Defteri</t>
        </is>
      </c>
      <c r="F315" s="6" t="inlineStr">
        <is>
          <t>Anılarını yazmaya karar verdin. İlk sayfa hazır: 'Her şey bir vazoyla başladı.' Aile editörlük kurulu kurdu.</t>
        </is>
      </c>
      <c r="G315" s="5" t="inlineStr">
        <is>
          <t>ev</t>
        </is>
      </c>
      <c r="H315" s="5" t="inlineStr"/>
      <c r="I315" s="5" t="inlineStr"/>
      <c r="J315" s="5" t="n">
        <v>1</v>
      </c>
      <c r="K315" s="5" t="inlineStr"/>
      <c r="L315" s="5" t="inlineStr"/>
      <c r="M315" s="5" t="inlineStr"/>
      <c r="N315" s="5" t="inlineStr"/>
      <c r="O315" s="5" t="inlineStr"/>
      <c r="P315" s="5" t="inlineStr"/>
      <c r="Q315" s="5" t="inlineStr"/>
      <c r="R315" s="6" t="inlineStr"/>
      <c r="S315" s="5" t="inlineStr"/>
      <c r="T315" s="5" t="inlineStr"/>
      <c r="U315" s="5" t="inlineStr"/>
      <c r="V315" s="5" t="inlineStr"/>
    </row>
    <row r="316">
      <c r="A316" s="5" t="inlineStr">
        <is>
          <t>b10-seksen-yas-partisi</t>
        </is>
      </c>
      <c r="B316" s="5" t="n">
        <v>10</v>
      </c>
      <c r="C316" s="5" t="inlineStr">
        <is>
          <t>80 yaş</t>
        </is>
      </c>
      <c r="D316" s="5" t="inlineStr">
        <is>
          <t>🎂</t>
        </is>
      </c>
      <c r="E316" s="6" t="inlineStr">
        <is>
          <t>Seksenlik Parti</t>
        </is>
      </c>
      <c r="F316" s="6" t="inlineStr">
        <is>
          <t>Pastanın üstüne bütün mumlar dikildi. Güvenlik gerekçesiyle kapı açık bırakıldı. Herkes telefonlarını kaldırdı.</t>
        </is>
      </c>
      <c r="G316" s="5" t="inlineStr">
        <is>
          <t>ev</t>
        </is>
      </c>
      <c r="H316" s="5" t="inlineStr"/>
      <c r="I316" s="5" t="inlineStr">
        <is>
          <t>E</t>
        </is>
      </c>
      <c r="J316" s="5" t="n">
        <v>1</v>
      </c>
      <c r="K316" s="5" t="inlineStr"/>
      <c r="L316" s="5" t="inlineStr"/>
      <c r="M316" s="5" t="inlineStr"/>
      <c r="N316" s="5" t="inlineStr"/>
      <c r="O316" s="5" t="inlineStr"/>
      <c r="P316" s="5" t="inlineStr"/>
      <c r="Q316" s="5" t="inlineStr"/>
      <c r="R316" s="6" t="inlineStr"/>
      <c r="S316" s="5" t="inlineStr"/>
      <c r="T316" s="5" t="inlineStr"/>
      <c r="U316" s="5" t="inlineStr"/>
      <c r="V316" s="5" t="inlineStr"/>
    </row>
    <row r="317">
      <c r="A317" s="5" t="inlineStr">
        <is>
          <t>b10-huzurevi-turu</t>
        </is>
      </c>
      <c r="B317" s="5" t="n">
        <v>10</v>
      </c>
      <c r="C317" s="5" t="inlineStr">
        <is>
          <t>81 yaş</t>
        </is>
      </c>
      <c r="D317" s="5" t="inlineStr">
        <is>
          <t>🏡</t>
        </is>
      </c>
      <c r="E317" s="6" t="inlineStr">
        <is>
          <t>Huzurevi Turu</t>
        </is>
      </c>
      <c r="F317" s="6" t="inlineStr">
        <is>
          <t>Bir huzurevine tanıtım turuna geldin. Görevli bir otel gibi anlatıyor. Çay saati, bahçe, briç masası ve kırk kişilik bir dedikodu ağı.</t>
        </is>
      </c>
      <c r="G317" s="5" t="inlineStr">
        <is>
          <t>huzurevi</t>
        </is>
      </c>
      <c r="H317" s="5" t="inlineStr"/>
      <c r="I317" s="5" t="inlineStr"/>
      <c r="J317" s="5" t="n">
        <v>1</v>
      </c>
      <c r="K317" s="5" t="inlineStr"/>
      <c r="L317" s="5" t="inlineStr"/>
      <c r="M317" s="5" t="inlineStr"/>
      <c r="N317" s="5" t="inlineStr"/>
      <c r="O317" s="5" t="inlineStr"/>
      <c r="P317" s="5" t="inlineStr"/>
      <c r="Q317" s="5" t="inlineStr"/>
      <c r="R317" s="6" t="inlineStr"/>
      <c r="S317" s="5" t="inlineStr"/>
      <c r="T317" s="5" t="inlineStr"/>
      <c r="U317" s="5" t="inlineStr"/>
      <c r="V317" s="5" t="inlineStr"/>
    </row>
    <row r="318">
      <c r="A318" s="5" t="inlineStr">
        <is>
          <t>b10-torunun-dugunu</t>
        </is>
      </c>
      <c r="B318" s="5" t="n">
        <v>10</v>
      </c>
      <c r="C318" s="5" t="inlineStr">
        <is>
          <t>82 yaş</t>
        </is>
      </c>
      <c r="D318" s="5" t="inlineStr">
        <is>
          <t>💍</t>
        </is>
      </c>
      <c r="E318" s="6" t="inlineStr">
        <is>
          <t>Torunun Düğünü</t>
        </is>
      </c>
      <c r="F318" s="6" t="inlineStr">
        <is>
          <t>Torun evleniyor. Masan en önde, pistin tam yanında. Sana bir mikrofon, bir de koltuk ayrıldı.</t>
        </is>
      </c>
      <c r="G318" s="5" t="inlineStr">
        <is>
          <t>dugun-salonu</t>
        </is>
      </c>
      <c r="H318" s="5" t="inlineStr"/>
      <c r="I318" s="5" t="inlineStr"/>
      <c r="J318" s="5" t="n">
        <v>1</v>
      </c>
      <c r="K318" s="5" t="inlineStr">
        <is>
          <t>torunlu</t>
        </is>
      </c>
      <c r="L318" s="5" t="inlineStr"/>
      <c r="M318" s="5" t="inlineStr"/>
      <c r="N318" s="5" t="inlineStr"/>
      <c r="O318" s="5" t="inlineStr"/>
      <c r="P318" s="5" t="inlineStr"/>
      <c r="Q318" s="5" t="inlineStr"/>
      <c r="R318" s="6" t="inlineStr"/>
      <c r="S318" s="5" t="inlineStr"/>
      <c r="T318" s="5" t="inlineStr"/>
      <c r="U318" s="5" t="inlineStr"/>
      <c r="V318" s="5" t="inlineStr"/>
    </row>
    <row r="319">
      <c r="A319" s="5" t="inlineStr">
        <is>
          <t>b10-yapay-zeka-kitap</t>
        </is>
      </c>
      <c r="B319" s="5" t="n">
        <v>10</v>
      </c>
      <c r="C319" s="5" t="inlineStr">
        <is>
          <t>83 yaş</t>
        </is>
      </c>
      <c r="D319" s="5" t="inlineStr">
        <is>
          <t>🤖</t>
        </is>
      </c>
      <c r="E319" s="6" t="inlineStr">
        <is>
          <t>Hayatının Kitabı</t>
        </is>
      </c>
      <c r="F319" s="6" t="inlineStr">
        <is>
          <t>Torun bir yapay zekâyla hayat hikâyeni kitaplaştırıyor. Makine her anını 'dönüştürücü bir yolculuk' olarak özetliyor.</t>
        </is>
      </c>
      <c r="G319" s="5" t="inlineStr">
        <is>
          <t>ev</t>
        </is>
      </c>
      <c r="H319" s="5" t="inlineStr"/>
      <c r="I319" s="5" t="inlineStr"/>
      <c r="J319" s="5" t="n">
        <v>1</v>
      </c>
      <c r="K319" s="5" t="inlineStr">
        <is>
          <t>torunlu</t>
        </is>
      </c>
      <c r="L319" s="5" t="inlineStr"/>
      <c r="M319" s="5" t="inlineStr"/>
      <c r="N319" s="5" t="inlineStr"/>
      <c r="O319" s="5" t="inlineStr"/>
      <c r="P319" s="5" t="inlineStr"/>
      <c r="Q319" s="5" t="inlineStr"/>
      <c r="R319" s="6" t="inlineStr"/>
      <c r="S319" s="5" t="inlineStr"/>
      <c r="T319" s="5" t="inlineStr"/>
      <c r="U319" s="5" t="inlineStr"/>
      <c r="V319" s="5" t="inlineStr"/>
    </row>
    <row r="320">
      <c r="A320" s="5" t="inlineStr">
        <is>
          <t>b10-eski-ev</t>
        </is>
      </c>
      <c r="B320" s="5" t="n">
        <v>10</v>
      </c>
      <c r="C320" s="5" t="inlineStr">
        <is>
          <t>84 yaş</t>
        </is>
      </c>
      <c r="D320" s="5" t="inlineStr">
        <is>
          <t>🏚️</t>
        </is>
      </c>
      <c r="E320" s="6" t="inlineStr">
        <is>
          <t>Eski Evin Önünde</t>
        </is>
      </c>
      <c r="F320" s="6" t="inlineStr">
        <is>
          <t>Çocukluğunun geçtiği sokaktan geçiyorsun. Ev hâlâ orada, ama pencerede başkasının perdesi var.</t>
        </is>
      </c>
      <c r="G320" s="5" t="inlineStr">
        <is>
          <t>sokak</t>
        </is>
      </c>
      <c r="H320" s="5" t="inlineStr"/>
      <c r="I320" s="5" t="inlineStr"/>
      <c r="J320" s="5" t="n">
        <v>1</v>
      </c>
      <c r="K320" s="5" t="inlineStr"/>
      <c r="L320" s="5" t="inlineStr"/>
      <c r="M320" s="5" t="inlineStr"/>
      <c r="N320" s="5" t="inlineStr"/>
      <c r="O320" s="5" t="inlineStr"/>
      <c r="P320" s="5" t="inlineStr"/>
      <c r="Q320" s="5" t="inlineStr"/>
      <c r="R320" s="6" t="inlineStr"/>
      <c r="S320" s="5" t="inlineStr"/>
      <c r="T320" s="5" t="inlineStr"/>
      <c r="U320" s="5" t="inlineStr"/>
      <c r="V320" s="5" t="inlineStr"/>
    </row>
    <row r="321">
      <c r="A321" s="5" t="inlineStr">
        <is>
          <t>b10-son-dans</t>
        </is>
      </c>
      <c r="B321" s="5" t="n">
        <v>10</v>
      </c>
      <c r="C321" s="5" t="inlineStr">
        <is>
          <t>85 yaş</t>
        </is>
      </c>
      <c r="D321" s="5" t="inlineStr">
        <is>
          <t>💃</t>
        </is>
      </c>
      <c r="E321" s="6" t="inlineStr">
        <is>
          <t>Son Dans</t>
        </is>
      </c>
      <c r="F321" s="6" t="inlineStr">
        <is>
          <t>Radyoda gençliğinden bir şarkı çalıyor. Eşin elini uzattı. Salonun halısı, eski düğün salonunun pisti oldu.</t>
        </is>
      </c>
      <c r="G321" s="5" t="inlineStr">
        <is>
          <t>ev</t>
        </is>
      </c>
      <c r="H321" s="5" t="inlineStr"/>
      <c r="I321" s="5" t="inlineStr"/>
      <c r="J321" s="5" t="n">
        <v>1</v>
      </c>
      <c r="K321" s="5" t="inlineStr">
        <is>
          <t>evli</t>
        </is>
      </c>
      <c r="L321" s="5" t="inlineStr"/>
      <c r="M321" s="5" t="inlineStr"/>
      <c r="N321" s="5" t="inlineStr"/>
      <c r="O321" s="5" t="inlineStr"/>
      <c r="P321" s="5" t="inlineStr"/>
      <c r="Q321" s="5" t="inlineStr"/>
      <c r="R321" s="6" t="inlineStr"/>
      <c r="S321" s="5" t="inlineStr"/>
      <c r="T321" s="5" t="inlineStr"/>
      <c r="U321" s="5" t="inlineStr"/>
      <c r="V321" s="5" t="inlineStr"/>
    </row>
    <row r="322">
      <c r="A322" s="5" t="inlineStr">
        <is>
          <t>b10-yalniz-ozgur</t>
        </is>
      </c>
      <c r="B322" s="5" t="n">
        <v>10</v>
      </c>
      <c r="C322" s="5" t="inlineStr">
        <is>
          <t>85 yaş 6 ay</t>
        </is>
      </c>
      <c r="D322" s="5" t="inlineStr">
        <is>
          <t>🪑</t>
        </is>
      </c>
      <c r="E322" s="6" t="inlineStr">
        <is>
          <t>Yalnız ama Özgür</t>
        </is>
      </c>
      <c r="F322" s="6" t="inlineStr">
        <is>
          <t>Kimseye hesap vermeden akşam yemeğini saat beşte yedin. Kumandanın tek sahibi sensin. Evde kimse 'Işığı kapattın mı?' demiyor.</t>
        </is>
      </c>
      <c r="G322" s="5" t="inlineStr">
        <is>
          <t>ev</t>
        </is>
      </c>
      <c r="H322" s="5" t="inlineStr"/>
      <c r="I322" s="5" t="inlineStr"/>
      <c r="J322" s="5" t="n">
        <v>1</v>
      </c>
      <c r="K322" s="5" t="inlineStr"/>
      <c r="L322" s="5" t="inlineStr">
        <is>
          <t>evli</t>
        </is>
      </c>
      <c r="M322" s="5" t="inlineStr"/>
      <c r="N322" s="5" t="inlineStr"/>
      <c r="O322" s="5" t="inlineStr"/>
      <c r="P322" s="5" t="inlineStr"/>
      <c r="Q322" s="5" t="inlineStr"/>
      <c r="R322" s="6" t="inlineStr"/>
      <c r="S322" s="5" t="inlineStr"/>
      <c r="T322" s="5" t="inlineStr"/>
      <c r="U322" s="5" t="inlineStr"/>
      <c r="V322" s="5" t="inlineStr"/>
    </row>
    <row r="323">
      <c r="A323" s="5" t="inlineStr">
        <is>
          <t>b10-komsu-kedisi</t>
        </is>
      </c>
      <c r="B323" s="5" t="n">
        <v>10</v>
      </c>
      <c r="C323" s="5" t="inlineStr">
        <is>
          <t>86 yaş</t>
        </is>
      </c>
      <c r="D323" s="5" t="inlineStr">
        <is>
          <t>🐈</t>
        </is>
      </c>
      <c r="E323" s="6" t="inlineStr">
        <is>
          <t>Balkondaki Kedi</t>
        </is>
      </c>
      <c r="F323" s="6" t="inlineStr">
        <is>
          <t>Balkonuna her gün aynı kedi geliyor. Oturuyor, bakıyor, gidiyor. Bir denetim yapıyor olabilir.</t>
        </is>
      </c>
      <c r="G323" s="5" t="inlineStr">
        <is>
          <t>apartman</t>
        </is>
      </c>
      <c r="H323" s="5" t="inlineStr"/>
      <c r="I323" s="5" t="inlineStr"/>
      <c r="J323" s="5" t="n">
        <v>1</v>
      </c>
      <c r="K323" s="5" t="inlineStr"/>
      <c r="L323" s="5" t="inlineStr"/>
      <c r="M323" s="5" t="inlineStr"/>
      <c r="N323" s="5" t="inlineStr"/>
      <c r="O323" s="5" t="inlineStr"/>
      <c r="P323" s="5" t="inlineStr"/>
      <c r="Q323" s="5" t="inlineStr"/>
      <c r="R323" s="6" t="inlineStr"/>
      <c r="S323" s="5" t="inlineStr"/>
      <c r="T323" s="5" t="inlineStr"/>
      <c r="U323" s="5" t="inlineStr"/>
      <c r="V323" s="5" t="inlineStr"/>
    </row>
    <row r="324">
      <c r="A324" s="5" t="inlineStr">
        <is>
          <t>b10-sabah-yuruyusu</t>
        </is>
      </c>
      <c r="B324" s="5" t="n">
        <v>10</v>
      </c>
      <c r="C324" s="5" t="inlineStr">
        <is>
          <t>87 yaş</t>
        </is>
      </c>
      <c r="D324" s="5" t="inlineStr">
        <is>
          <t>🚶</t>
        </is>
      </c>
      <c r="E324" s="6" t="inlineStr">
        <is>
          <t>Sabah Yürüyüşü Grubu</t>
        </is>
      </c>
      <c r="F324" s="6" t="inlineStr">
        <is>
          <t>Parktaki sabah yürüyüş grubuna katıldın. Grubun gayriresmî bir hız sıralaması var. Kimse konuşmuyor ama herkes biliyor.</t>
        </is>
      </c>
      <c r="G324" s="5" t="inlineStr">
        <is>
          <t>park</t>
        </is>
      </c>
      <c r="H324" s="5" t="inlineStr"/>
      <c r="I324" s="5" t="inlineStr"/>
      <c r="J324" s="5" t="n">
        <v>1</v>
      </c>
      <c r="K324" s="5" t="inlineStr"/>
      <c r="L324" s="5" t="inlineStr"/>
      <c r="M324" s="5" t="inlineStr"/>
      <c r="N324" s="5" t="inlineStr"/>
      <c r="O324" s="5" t="inlineStr"/>
      <c r="P324" s="5" t="inlineStr"/>
      <c r="Q324" s="5" t="inlineStr"/>
      <c r="R324" s="6" t="inlineStr"/>
      <c r="S324" s="5" t="inlineStr"/>
      <c r="T324" s="5" t="inlineStr"/>
      <c r="U324" s="5" t="inlineStr"/>
      <c r="V324" s="5" t="inlineStr"/>
    </row>
    <row r="325">
      <c r="A325" s="5" t="inlineStr">
        <is>
          <t>b10-son-taksit</t>
        </is>
      </c>
      <c r="B325" s="5" t="n">
        <v>10</v>
      </c>
      <c r="C325" s="5" t="inlineStr">
        <is>
          <t>88 yaş</t>
        </is>
      </c>
      <c r="D325" s="5" t="inlineStr">
        <is>
          <t>🏦</t>
        </is>
      </c>
      <c r="E325" s="6" t="inlineStr">
        <is>
          <t>Son Taksit</t>
        </is>
      </c>
      <c r="F325" s="6" t="inlineStr">
        <is>
          <t>Bankadan bir mektup geldi: son taksit ödendi. Kırk yıl süren bir ilişki bir cümleyle bitti.</t>
        </is>
      </c>
      <c r="G325" s="5" t="inlineStr">
        <is>
          <t>banka</t>
        </is>
      </c>
      <c r="H325" s="5" t="inlineStr"/>
      <c r="I325" s="5" t="inlineStr"/>
      <c r="J325" s="5" t="n">
        <v>1</v>
      </c>
      <c r="K325" s="5" t="inlineStr"/>
      <c r="L325" s="5" t="inlineStr"/>
      <c r="M325" s="5" t="inlineStr"/>
      <c r="N325" s="5" t="inlineStr"/>
      <c r="O325" s="5" t="inlineStr"/>
      <c r="P325" s="5" t="inlineStr"/>
      <c r="Q325" s="5" t="inlineStr"/>
      <c r="R325" s="6" t="inlineStr"/>
      <c r="S325" s="5" t="inlineStr"/>
      <c r="T325" s="5" t="inlineStr"/>
      <c r="U325" s="5" t="inlineStr"/>
      <c r="V325" s="5" t="inlineStr"/>
    </row>
    <row r="326">
      <c r="A326" s="5" t="inlineStr">
        <is>
          <t>b10-ehliyet-yenileme</t>
        </is>
      </c>
      <c r="B326" s="5" t="n">
        <v>10</v>
      </c>
      <c r="C326" s="5" t="inlineStr">
        <is>
          <t>90 yaş</t>
        </is>
      </c>
      <c r="D326" s="5" t="inlineStr">
        <is>
          <t>🚗</t>
        </is>
      </c>
      <c r="E326" s="6" t="inlineStr">
        <is>
          <t>Ehliyet Yenileme</t>
        </is>
      </c>
      <c r="F326" s="6" t="inlineStr">
        <is>
          <t>Ehliyetinin süresi doldu. Yenileme için göz muayenesi, refleks testi ve memurun sana şaşkın bakışı gerekiyor.</t>
        </is>
      </c>
      <c r="G326" s="5" t="inlineStr">
        <is>
          <t>devlet-dairesi</t>
        </is>
      </c>
      <c r="H326" s="5" t="inlineStr"/>
      <c r="I326" s="5" t="inlineStr"/>
      <c r="J326" s="5" t="n">
        <v>1</v>
      </c>
      <c r="K326" s="5" t="inlineStr"/>
      <c r="L326" s="5" t="inlineStr"/>
      <c r="M326" s="5" t="inlineStr"/>
      <c r="N326" s="5" t="inlineStr"/>
      <c r="O326" s="5" t="inlineStr"/>
      <c r="P326" s="5" t="inlineStr"/>
      <c r="Q326" s="5" t="inlineStr"/>
      <c r="R326" s="6" t="inlineStr"/>
      <c r="S326" s="5" t="inlineStr"/>
      <c r="T326" s="5" t="inlineStr"/>
      <c r="U326" s="5" t="inlineStr"/>
      <c r="V326" s="5" t="inlineStr"/>
    </row>
    <row r="327">
      <c r="A327" s="5" t="inlineStr">
        <is>
          <t>b10-mahallenin-en-yaslisi</t>
        </is>
      </c>
      <c r="B327" s="5" t="n">
        <v>10</v>
      </c>
      <c r="C327" s="5" t="inlineStr">
        <is>
          <t>92 yaş</t>
        </is>
      </c>
      <c r="D327" s="5" t="inlineStr">
        <is>
          <t>🏅</t>
        </is>
      </c>
      <c r="E327" s="6" t="inlineStr">
        <is>
          <t>Mahallenin En Yaşlısı</t>
        </is>
      </c>
      <c r="F327" s="6" t="inlineStr">
        <is>
          <t>Belediye seni 'Mahallenin En Yaşlı Sakini' seçti. Plaket için bir tören ve kısa bir konuşma bekleniyor.</t>
        </is>
      </c>
      <c r="G327" s="5" t="inlineStr">
        <is>
          <t>devlet-dairesi</t>
        </is>
      </c>
      <c r="H327" s="5" t="inlineStr"/>
      <c r="I327" s="5" t="inlineStr"/>
      <c r="J327" s="5" t="n">
        <v>1</v>
      </c>
      <c r="K327" s="5" t="inlineStr"/>
      <c r="L327" s="5" t="inlineStr"/>
      <c r="M327" s="5" t="inlineStr"/>
      <c r="N327" s="5" t="inlineStr"/>
      <c r="O327" s="5" t="inlineStr"/>
      <c r="P327" s="5" t="inlineStr"/>
      <c r="Q327" s="5" t="inlineStr"/>
      <c r="R327" s="6" t="inlineStr"/>
      <c r="S327" s="5" t="inlineStr"/>
      <c r="T327" s="5" t="inlineStr"/>
      <c r="U327" s="5" t="inlineStr"/>
      <c r="V327" s="5" t="inlineStr"/>
    </row>
    <row r="328">
      <c r="A328" s="5" t="inlineStr">
        <is>
          <t>b10-mezar-tasi-fotografi</t>
        </is>
      </c>
      <c r="B328" s="5" t="n">
        <v>10</v>
      </c>
      <c r="C328" s="5" t="inlineStr">
        <is>
          <t>94 yaş</t>
        </is>
      </c>
      <c r="D328" s="5" t="inlineStr">
        <is>
          <t>📸</t>
        </is>
      </c>
      <c r="E328" s="6" t="inlineStr">
        <is>
          <t>Mezar Taşı Fotoğrafı</t>
        </is>
      </c>
      <c r="F328" s="6" t="inlineStr">
        <is>
          <t>Fotoğrafçıdasın. Mezar taşı için bir portre çektireceksin. Fotoğrafçı 'Gülümseyelim mi, ciddi mi olalım?' diye sordu.</t>
        </is>
      </c>
      <c r="G328" s="5" t="inlineStr">
        <is>
          <t>dukkan</t>
        </is>
      </c>
      <c r="H328" s="5" t="inlineStr"/>
      <c r="I328" s="5" t="inlineStr"/>
      <c r="J328" s="5" t="n">
        <v>1</v>
      </c>
      <c r="K328" s="5" t="inlineStr"/>
      <c r="L328" s="5" t="inlineStr"/>
      <c r="M328" s="5" t="inlineStr"/>
      <c r="N328" s="5" t="inlineStr"/>
      <c r="O328" s="5" t="inlineStr"/>
      <c r="P328" s="5" t="inlineStr"/>
      <c r="Q328" s="5" t="inlineStr"/>
      <c r="R328" s="6" t="inlineStr"/>
      <c r="S328" s="5" t="inlineStr"/>
      <c r="T328" s="5" t="inlineStr"/>
      <c r="U328" s="5" t="inlineStr"/>
      <c r="V328" s="5" t="inlineStr"/>
    </row>
    <row r="329">
      <c r="A329" s="5" t="inlineStr">
        <is>
          <t>son-soz</t>
        </is>
      </c>
      <c r="B329" s="5" t="n">
        <v>10</v>
      </c>
      <c r="C329" s="5" t="inlineStr">
        <is>
          <t>100 yaş</t>
        </is>
      </c>
      <c r="D329" s="5" t="inlineStr">
        <is>
          <t>🕯️</t>
        </is>
      </c>
      <c r="E329" s="6" t="inlineStr">
        <is>
          <t>Son Söz</t>
        </is>
      </c>
      <c r="F329" s="6" t="inlineStr">
        <is>
          <t>Oda sessiz. Pencereden ışık vuruyor. Etrafında birkaç yüz, birkaç telefon ve bir çaydanlık var. Söyleyeceğin son cümle kayda geçecek.</t>
        </is>
      </c>
      <c r="G329" s="5" t="inlineStr">
        <is>
          <t>ev</t>
        </is>
      </c>
      <c r="H329" s="5" t="inlineStr"/>
      <c r="I329" s="5" t="inlineStr">
        <is>
          <t>E</t>
        </is>
      </c>
      <c r="J329" s="5" t="n">
        <v>1</v>
      </c>
      <c r="K329" s="5" t="inlineStr"/>
      <c r="L329" s="5" t="inlineStr"/>
      <c r="M329" s="5" t="inlineStr"/>
      <c r="N329" s="5" t="inlineStr"/>
      <c r="O329" s="5" t="inlineStr"/>
      <c r="P329" s="5" t="inlineStr"/>
      <c r="Q329" s="5" t="inlineStr"/>
      <c r="R329" s="6" t="inlineStr"/>
      <c r="S329" s="5" t="inlineStr"/>
      <c r="T329" s="5" t="inlineStr"/>
      <c r="U329" s="5" t="inlineStr"/>
      <c r="V329" s="5" t="inlineStr"/>
    </row>
    <row r="330">
      <c r="A330" s="5" t="inlineStr">
        <is>
          <t>sokak-mi-ekran-mi</t>
        </is>
      </c>
      <c r="B330" s="5" t="n">
        <v>2</v>
      </c>
      <c r="C330" s="5" t="inlineStr">
        <is>
          <t>4 yaş 3 ay</t>
        </is>
      </c>
      <c r="D330" s="5" t="inlineStr">
        <is>
          <t>⚽</t>
        </is>
      </c>
      <c r="E330" s="6" t="inlineStr">
        <is>
          <t>Sokak mı, Ekran mı?</t>
        </is>
      </c>
      <c r="F330" s="6" t="inlineStr">
        <is>
          <t>Aşağıdan top sesi ve “Hadi insene!” diye bağıran çocuklar geliyor. Masada şarjı yüzde yüz bir tablet duruyor. İkisi de seni çağırıyor; biri daha yüksek sesle.</t>
        </is>
      </c>
      <c r="G330" s="5" t="inlineStr">
        <is>
          <t>sokak</t>
        </is>
      </c>
      <c r="H330" s="5" t="inlineStr">
        <is>
          <t>sosyal</t>
        </is>
      </c>
      <c r="I330" s="5" t="inlineStr">
        <is>
          <t>E</t>
        </is>
      </c>
      <c r="J330" s="5" t="inlineStr"/>
      <c r="K330" s="5" t="inlineStr"/>
      <c r="L330" s="5" t="inlineStr"/>
      <c r="M330" s="5" t="inlineStr"/>
      <c r="N330" s="5" t="inlineStr"/>
      <c r="O330" s="5" t="inlineStr"/>
      <c r="P330" s="5" t="inlineStr"/>
      <c r="Q330" s="5" t="inlineStr"/>
      <c r="R330" s="6" t="inlineStr"/>
      <c r="S330" s="5" t="inlineStr"/>
      <c r="T330" s="5" t="inlineStr"/>
      <c r="U330" s="5" t="inlineStr"/>
      <c r="V330" s="5" t="inlineStr"/>
    </row>
    <row r="331">
      <c r="A331" s="5" t="inlineStr">
        <is>
          <t>b5-sehir-secimi</t>
        </is>
      </c>
      <c r="B331" s="5" t="n">
        <v>5</v>
      </c>
      <c r="C331" s="5" t="inlineStr">
        <is>
          <t>17 yaş 11 ay</t>
        </is>
      </c>
      <c r="D331" s="5" t="inlineStr">
        <is>
          <t>🚌</t>
        </is>
      </c>
      <c r="E331" s="6" t="inlineStr">
        <is>
          <t>Hangi Şehir?</t>
        </is>
      </c>
      <c r="F331" s="6" t="inlineStr">
        <is>
          <t>Listenin en üstünde iki satır var: biri evden otobüsle kırk dakika, diğeri gece otobüsüyle on iki saat. Annen ikincisini okuyunca sessizleşti.</t>
        </is>
      </c>
      <c r="G331" s="5" t="inlineStr">
        <is>
          <t>ev</t>
        </is>
      </c>
      <c r="H331" s="5" t="inlineStr">
        <is>
          <t>ev</t>
        </is>
      </c>
      <c r="I331" s="5" t="inlineStr">
        <is>
          <t>E</t>
        </is>
      </c>
      <c r="J331" s="5" t="inlineStr"/>
      <c r="K331" s="5" t="inlineStr">
        <is>
          <t>universiteli</t>
        </is>
      </c>
      <c r="L331" s="5" t="inlineStr"/>
      <c r="M331" s="5" t="inlineStr"/>
      <c r="N331" s="5" t="inlineStr"/>
      <c r="O331" s="5" t="inlineStr"/>
      <c r="P331" s="5" t="inlineStr"/>
      <c r="Q331" s="5" t="inlineStr"/>
      <c r="R331" s="6" t="inlineStr"/>
      <c r="S331" s="5" t="inlineStr"/>
      <c r="T331" s="5" t="inlineStr"/>
      <c r="U331" s="5" t="inlineStr"/>
      <c r="V331" s="5" t="inlineStr"/>
    </row>
    <row r="332">
      <c r="A332" s="5" t="inlineStr">
        <is>
          <t>b5-kazanamayinca</t>
        </is>
      </c>
      <c r="B332" s="5" t="n">
        <v>5</v>
      </c>
      <c r="C332" s="5" t="inlineStr">
        <is>
          <t>17 yaş 11 ay</t>
        </is>
      </c>
      <c r="D332" s="5" t="inlineStr">
        <is>
          <t>📋</t>
        </is>
      </c>
      <c r="E332" s="6" t="inlineStr">
        <is>
          <t>Sonuçlar Açıklandı</t>
        </is>
      </c>
      <c r="F332" s="6" t="inlineStr">
        <is>
          <t>Adın listede yok. Aile grubunda üç ayrı teselli mesajı, bir de halanın oğlunun yerleştiği bölümün fotoğrafı. Şimdi ne olacak?</t>
        </is>
      </c>
      <c r="G332" s="5" t="inlineStr">
        <is>
          <t>ev</t>
        </is>
      </c>
      <c r="H332" s="5" t="inlineStr">
        <is>
          <t>ev</t>
        </is>
      </c>
      <c r="I332" s="5" t="inlineStr">
        <is>
          <t>E</t>
        </is>
      </c>
      <c r="J332" s="5" t="inlineStr"/>
      <c r="K332" s="5" t="inlineStr"/>
      <c r="L332" s="5" t="inlineStr">
        <is>
          <t>universiteli, okulu-birakti, yurtdisi-universite, sinava-girmedi</t>
        </is>
      </c>
      <c r="M332" s="5" t="inlineStr"/>
      <c r="N332" s="5" t="inlineStr"/>
      <c r="O332" s="5" t="inlineStr"/>
      <c r="P332" s="5" t="inlineStr"/>
      <c r="Q332" s="5" t="inlineStr"/>
      <c r="R332" s="6" t="inlineStr"/>
      <c r="S332" s="5" t="inlineStr"/>
      <c r="T332" s="5" t="inlineStr"/>
      <c r="U332" s="5" t="inlineStr"/>
      <c r="V332" s="5" t="inlineStr"/>
    </row>
    <row r="333">
      <c r="A333" s="5" t="inlineStr">
        <is>
          <t>b5-havalimani</t>
        </is>
      </c>
      <c r="B333" s="5" t="n">
        <v>5</v>
      </c>
      <c r="C333" s="5" t="inlineStr">
        <is>
          <t>18 yaş</t>
        </is>
      </c>
      <c r="D333" s="5" t="inlineStr">
        <is>
          <t>✈️</t>
        </is>
      </c>
      <c r="E333" s="6" t="inlineStr">
        <is>
          <t>Havalimanı</t>
        </is>
      </c>
      <c r="F333" s="6" t="inlineStr">
        <is>
          <t>Uçuş saati 06.40. Uğurlamaya on iki akraba geldi; biri sadece havalimanını görmek için. Valizde üç kavanoz reçel, kalbinde bir yumru.</t>
        </is>
      </c>
      <c r="G333" s="5" t="inlineStr">
        <is>
          <t>toplu-tasima</t>
        </is>
      </c>
      <c r="H333" s="5" t="inlineStr">
        <is>
          <t>sosyal</t>
        </is>
      </c>
      <c r="I333" s="5" t="inlineStr">
        <is>
          <t>E</t>
        </is>
      </c>
      <c r="J333" s="5" t="inlineStr"/>
      <c r="K333" s="5" t="inlineStr">
        <is>
          <t>yurtdisi-universite</t>
        </is>
      </c>
      <c r="L333" s="5" t="inlineStr"/>
      <c r="M333" s="5" t="inlineStr"/>
      <c r="N333" s="5" t="inlineStr"/>
      <c r="O333" s="5" t="inlineStr"/>
      <c r="P333" s="5" t="inlineStr"/>
      <c r="Q333" s="5" t="inlineStr"/>
      <c r="R333" s="6" t="inlineStr"/>
      <c r="S333" s="5" t="inlineStr"/>
      <c r="T333" s="5" t="inlineStr"/>
      <c r="U333" s="5" t="inlineStr"/>
      <c r="V333" s="5" t="inlineStr"/>
    </row>
    <row r="334">
      <c r="A334" s="5" t="inlineStr">
        <is>
          <t>b5-atolye-staji</t>
        </is>
      </c>
      <c r="B334" s="5" t="n">
        <v>5</v>
      </c>
      <c r="C334" s="5" t="inlineStr">
        <is>
          <t>16 yaş 3 ay</t>
        </is>
      </c>
      <c r="D334" s="5" t="inlineStr">
        <is>
          <t>🔧</t>
        </is>
      </c>
      <c r="E334" s="6" t="inlineStr">
        <is>
          <t>Atölyede Staj</t>
        </is>
      </c>
      <c r="F334" s="6" t="inlineStr">
        <is>
          <t>Meslek lisesinde staj başladı. Atölye şefi seni tezgâhın başına koydu ve tek bir kural koydu: “Bozma, yeter.”</t>
        </is>
      </c>
      <c r="G334" s="5" t="inlineStr">
        <is>
          <t>dukkan</t>
        </is>
      </c>
      <c r="H334" s="5" t="inlineStr">
        <is>
          <t>okul-iş</t>
        </is>
      </c>
      <c r="I334" s="5" t="inlineStr">
        <is>
          <t>E</t>
        </is>
      </c>
      <c r="J334" s="5" t="inlineStr"/>
      <c r="K334" s="5" t="inlineStr">
        <is>
          <t>meslek-lisesi</t>
        </is>
      </c>
      <c r="L334" s="5" t="inlineStr">
        <is>
          <t>okulu-birakti</t>
        </is>
      </c>
      <c r="M334" s="5" t="inlineStr"/>
      <c r="N334" s="5" t="inlineStr"/>
      <c r="O334" s="5" t="inlineStr"/>
      <c r="P334" s="5" t="inlineStr"/>
      <c r="Q334" s="5" t="inlineStr"/>
      <c r="R334" s="6" t="inlineStr"/>
      <c r="S334" s="5" t="inlineStr"/>
      <c r="T334" s="5" t="inlineStr"/>
      <c r="U334" s="5" t="inlineStr"/>
      <c r="V334" s="5" t="inlineStr"/>
    </row>
    <row r="335">
      <c r="A335" s="5" t="inlineStr">
        <is>
          <t>b5-cay-ocagi</t>
        </is>
      </c>
      <c r="B335" s="5" t="n">
        <v>5</v>
      </c>
      <c r="C335" s="5" t="inlineStr">
        <is>
          <t>15 yaş 1 ay</t>
        </is>
      </c>
      <c r="D335" s="5" t="inlineStr">
        <is>
          <t>🫖</t>
        </is>
      </c>
      <c r="E335" s="6" t="inlineStr">
        <is>
          <t>Çay Ocağının Yeni Çırağı</t>
        </is>
      </c>
      <c r="F335" s="6" t="inlineStr">
        <is>
          <t>Abiler seni çarşıdaki çay ocağına yerleştirdi. Maaş yok, bahşiş var; bahşişin yarısı da abilerin.</t>
        </is>
      </c>
      <c r="G335" s="5" t="inlineStr">
        <is>
          <t>carsi</t>
        </is>
      </c>
      <c r="H335" s="5" t="inlineStr">
        <is>
          <t>para</t>
        </is>
      </c>
      <c r="I335" s="5" t="inlineStr">
        <is>
          <t>E</t>
        </is>
      </c>
      <c r="J335" s="5" t="inlineStr"/>
      <c r="K335" s="5" t="inlineStr">
        <is>
          <t>okulu-birakti</t>
        </is>
      </c>
      <c r="L335" s="5" t="inlineStr"/>
      <c r="M335" s="5" t="inlineStr"/>
      <c r="N335" s="5" t="inlineStr"/>
      <c r="O335" s="5" t="inlineStr"/>
      <c r="P335" s="5" t="inlineStr"/>
      <c r="Q335" s="5" t="inlineStr"/>
      <c r="R335" s="6" t="inlineStr"/>
      <c r="S335" s="5" t="inlineStr"/>
      <c r="T335" s="5" t="inlineStr"/>
      <c r="U335" s="5" t="inlineStr"/>
      <c r="V335" s="5" t="inlineStr"/>
    </row>
    <row r="336">
      <c r="A336" s="5" t="inlineStr">
        <is>
          <t>b5-sanayi-ciragi</t>
        </is>
      </c>
      <c r="B336" s="5" t="n">
        <v>5</v>
      </c>
      <c r="C336" s="5" t="inlineStr">
        <is>
          <t>15 yaş 7 ay</t>
        </is>
      </c>
      <c r="D336" s="5" t="inlineStr">
        <is>
          <t>🔩</t>
        </is>
      </c>
      <c r="E336" s="6" t="inlineStr">
        <is>
          <t>Sanayide Çıraklık</t>
        </is>
      </c>
      <c r="F336" s="6" t="inlineStr">
        <is>
          <t>Annen, abilerden uzaklaşasın diye seni sanayideki bir ustanın yanına verdi. Usta ilk gün tek cümle kurdu: “Çay demle, sonra bakarız.”</t>
        </is>
      </c>
      <c r="G336" s="5" t="inlineStr">
        <is>
          <t>dukkan</t>
        </is>
      </c>
      <c r="H336" s="5" t="inlineStr">
        <is>
          <t>okul-iş</t>
        </is>
      </c>
      <c r="I336" s="5" t="inlineStr">
        <is>
          <t>E</t>
        </is>
      </c>
      <c r="J336" s="5" t="inlineStr"/>
      <c r="K336" s="5" t="inlineStr">
        <is>
          <t>okulu-birakti</t>
        </is>
      </c>
      <c r="L336" s="5" t="inlineStr"/>
      <c r="M336" s="5" t="inlineStr"/>
      <c r="N336" s="5" t="inlineStr"/>
      <c r="O336" s="5" t="inlineStr"/>
      <c r="P336" s="5" t="inlineStr"/>
      <c r="Q336" s="5" t="inlineStr"/>
      <c r="R336" s="6" t="inlineStr"/>
      <c r="S336" s="5" t="inlineStr"/>
      <c r="T336" s="5" t="inlineStr"/>
      <c r="U336" s="5" t="inlineStr"/>
      <c r="V336" s="5" t="inlineStr"/>
    </row>
    <row r="337">
      <c r="A337" s="5" t="inlineStr">
        <is>
          <t>b5-bilet-karaborsasi</t>
        </is>
      </c>
      <c r="B337" s="5" t="n">
        <v>5</v>
      </c>
      <c r="C337" s="5" t="inlineStr">
        <is>
          <t>16 yaş 5 ay</t>
        </is>
      </c>
      <c r="D337" s="5" t="inlineStr">
        <is>
          <t>🎟️</t>
        </is>
      </c>
      <c r="E337" s="6" t="inlineStr">
        <is>
          <t>Stat Önünde</t>
        </is>
      </c>
      <c r="F337" s="6" t="inlineStr">
        <is>
          <t>Büyük maç günü. Abi eline yirmi bilet tutuşturdu: “Stat önünde sat. Fiyatı sen bilirsin. Ama benim fiyatımı da bilirsin.”</t>
        </is>
      </c>
      <c r="G337" s="5" t="inlineStr">
        <is>
          <t>stadyum</t>
        </is>
      </c>
      <c r="H337" s="5" t="inlineStr">
        <is>
          <t>para</t>
        </is>
      </c>
      <c r="I337" s="5" t="inlineStr">
        <is>
          <t>E</t>
        </is>
      </c>
      <c r="J337" s="5" t="inlineStr"/>
      <c r="K337" s="5" t="inlineStr">
        <is>
          <t>okulu-birakti</t>
        </is>
      </c>
      <c r="L337" s="5" t="inlineStr"/>
      <c r="M337" s="5" t="inlineStr"/>
      <c r="N337" s="5" t="inlineStr"/>
      <c r="O337" s="5" t="inlineStr"/>
      <c r="P337" s="5" t="inlineStr"/>
      <c r="Q337" s="5" t="inlineStr"/>
      <c r="R337" s="6" t="inlineStr"/>
      <c r="S337" s="5" t="inlineStr"/>
      <c r="T337" s="5" t="inlineStr"/>
      <c r="U337" s="5" t="inlineStr"/>
      <c r="V337" s="5" t="inlineStr"/>
    </row>
    <row r="338">
      <c r="A338" s="5" t="inlineStr">
        <is>
          <t>b5-acik-lise</t>
        </is>
      </c>
      <c r="B338" s="5" t="n">
        <v>5</v>
      </c>
      <c r="C338" s="5" t="inlineStr">
        <is>
          <t>16 yaş 8 ay</t>
        </is>
      </c>
      <c r="D338" s="5" t="inlineStr">
        <is>
          <t>📬</t>
        </is>
      </c>
      <c r="E338" s="6" t="inlineStr">
        <is>
          <t>Akşam Lisesi Broşürü</t>
        </is>
      </c>
      <c r="F338" s="6" t="inlineStr">
        <is>
          <t>Kapıdan bir broşür atıldı: “Liseyi akşamları bitirin, gündüz çalışın.” Annen broşürü mutfak masasına koydu ve bir şey demedi. Demesine gerek yoktu.</t>
        </is>
      </c>
      <c r="G338" s="5" t="inlineStr">
        <is>
          <t>ev</t>
        </is>
      </c>
      <c r="H338" s="5" t="inlineStr">
        <is>
          <t>okul-iş</t>
        </is>
      </c>
      <c r="I338" s="5" t="inlineStr">
        <is>
          <t>E</t>
        </is>
      </c>
      <c r="J338" s="5" t="inlineStr"/>
      <c r="K338" s="5" t="inlineStr">
        <is>
          <t>okulu-birakti</t>
        </is>
      </c>
      <c r="L338" s="5" t="inlineStr"/>
      <c r="M338" s="5" t="inlineStr"/>
      <c r="N338" s="5" t="inlineStr"/>
      <c r="O338" s="5" t="inlineStr"/>
      <c r="P338" s="5" t="inlineStr"/>
      <c r="Q338" s="5" t="inlineStr"/>
      <c r="R338" s="6" t="inlineStr"/>
      <c r="S338" s="5" t="inlineStr"/>
      <c r="T338" s="5" t="inlineStr"/>
      <c r="U338" s="5" t="inlineStr"/>
      <c r="V338" s="5" t="inlineStr"/>
    </row>
    <row r="339">
      <c r="A339" s="5" t="inlineStr">
        <is>
          <t>b6-askerlik-mezun</t>
        </is>
      </c>
      <c r="B339" s="5" t="n">
        <v>6</v>
      </c>
      <c r="C339" s="5" t="inlineStr">
        <is>
          <t>22 yaş 4 ay</t>
        </is>
      </c>
      <c r="D339" s="5" t="inlineStr">
        <is>
          <t>🪖</t>
        </is>
      </c>
      <c r="E339" s="6" t="inlineStr">
        <is>
          <t>Mezunun Celbi</t>
        </is>
      </c>
      <c r="F339" s="6" t="inlineStr">
        <is>
          <t>Diploma çerçeveye girdi, tecil süresi çöpe. Zarfta “kısa dönem” yazıyor. Annen “Kısa ne kadar kısa?” diye sordu; kimse bilmiyordu.</t>
        </is>
      </c>
      <c r="G339" s="5" t="inlineStr">
        <is>
          <t>kisla</t>
        </is>
      </c>
      <c r="H339" s="5" t="inlineStr"/>
      <c r="I339" s="5" t="inlineStr">
        <is>
          <t>E</t>
        </is>
      </c>
      <c r="J339" s="5" t="inlineStr"/>
      <c r="K339" s="5" t="inlineStr">
        <is>
          <t>universiteli</t>
        </is>
      </c>
      <c r="L339" s="5" t="inlineStr">
        <is>
          <t>bolum-tip</t>
        </is>
      </c>
      <c r="M339" s="5" t="inlineStr"/>
      <c r="N339" s="5" t="inlineStr">
        <is>
          <t>erkek</t>
        </is>
      </c>
      <c r="O339" s="5" t="inlineStr"/>
      <c r="P339" s="5" t="inlineStr"/>
      <c r="Q339" s="5" t="n">
        <v>4</v>
      </c>
      <c r="R339" s="6" t="inlineStr">
        <is>
          <t>Diplomalı askerlik de askerliktir. Kimi kışlada ders verir, kimi bankada öder, kimi heyete bir hikâye anlatır. Dönüşte seni aynı iş bekliyor olacak mı, belli değil.</t>
        </is>
      </c>
      <c r="S339" s="5" t="inlineStr"/>
      <c r="T339" s="5" t="inlineStr"/>
      <c r="U339" s="5" t="inlineStr"/>
      <c r="V339" s="5" t="inlineStr"/>
    </row>
    <row r="340">
      <c r="A340" s="5" t="inlineStr">
        <is>
          <t>b6-kisla</t>
        </is>
      </c>
      <c r="B340" s="5" t="n">
        <v>6</v>
      </c>
      <c r="C340" s="5" t="inlineStr">
        <is>
          <t>20 yaş 5 ay</t>
        </is>
      </c>
      <c r="D340" s="5" t="inlineStr">
        <is>
          <t>🎖️</t>
        </is>
      </c>
      <c r="E340" s="6" t="inlineStr">
        <is>
          <t>Kışlada Bir Gece</t>
        </is>
      </c>
      <c r="F340" s="6" t="inlineStr">
        <is>
          <t>Saçlar kısa, botlar büyük, nöbet listesi uzun. Bölükte tek sabit cümle var: “Birazdan açıklama yapılacak.” Açıklama yapılmıyor; sadece bekleniyor.</t>
        </is>
      </c>
      <c r="G340" s="5" t="inlineStr">
        <is>
          <t>kisla</t>
        </is>
      </c>
      <c r="H340" s="5" t="inlineStr"/>
      <c r="I340" s="5" t="inlineStr">
        <is>
          <t>E</t>
        </is>
      </c>
      <c r="J340" s="5" t="inlineStr"/>
      <c r="K340" s="5" t="inlineStr">
        <is>
          <t>askerlik-yapti, universitesiz</t>
        </is>
      </c>
      <c r="L340" s="5" t="inlineStr">
        <is>
          <t>erken-askerlik</t>
        </is>
      </c>
      <c r="M340" s="5" t="inlineStr"/>
      <c r="N340" s="5" t="inlineStr"/>
      <c r="O340" s="5" t="inlineStr"/>
      <c r="P340" s="5" t="inlineStr"/>
      <c r="Q340" s="5" t="inlineStr"/>
      <c r="R340" s="6" t="inlineStr"/>
      <c r="S340" s="5" t="inlineStr"/>
      <c r="T340" s="5" t="inlineStr"/>
      <c r="U340" s="5" t="inlineStr"/>
      <c r="V340" s="5" t="inlineStr"/>
    </row>
    <row r="341">
      <c r="A341" s="5" t="inlineStr">
        <is>
          <t>b6-erken-askerlik</t>
        </is>
      </c>
      <c r="B341" s="5" t="n">
        <v>6</v>
      </c>
      <c r="C341" s="5" t="inlineStr">
        <is>
          <t>18 yaş 3 ay</t>
        </is>
      </c>
      <c r="D341" s="5" t="inlineStr">
        <is>
          <t>🪖</t>
        </is>
      </c>
      <c r="E341" s="6" t="inlineStr">
        <is>
          <t>On Sekizinde Kışla</t>
        </is>
      </c>
      <c r="F341" s="6" t="inlineStr">
        <is>
          <t>Arkadaşların tercih listesi yaparken sen nöbet listesine yazıldın. Bölükte senden küçük kimse yok; komutan sana “Yavrum” diyor, sonra bağırıyor.</t>
        </is>
      </c>
      <c r="G341" s="5" t="inlineStr">
        <is>
          <t>kisla</t>
        </is>
      </c>
      <c r="H341" s="5" t="inlineStr"/>
      <c r="I341" s="5" t="inlineStr">
        <is>
          <t>E</t>
        </is>
      </c>
      <c r="J341" s="5" t="inlineStr"/>
      <c r="K341" s="5" t="inlineStr">
        <is>
          <t>erken-askerlik</t>
        </is>
      </c>
      <c r="L341" s="5" t="inlineStr"/>
      <c r="M341" s="5" t="inlineStr"/>
      <c r="N341" s="5" t="inlineStr"/>
      <c r="O341" s="5" t="inlineStr"/>
      <c r="P341" s="5" t="inlineStr"/>
      <c r="Q341" s="5" t="n">
        <v>4</v>
      </c>
      <c r="R341" s="6" t="inlineStr">
        <is>
          <t>Sınav olmadı, kışla oldu. Kimi burada disiplin bulur, kimi bir kantin tekeli, kimi de bir ömürlük arkadaş. Dönüşte kim olacağın bu aylarda şekillenir.</t>
        </is>
      </c>
      <c r="S341" s="5" t="inlineStr"/>
      <c r="T341" s="5" t="inlineStr"/>
      <c r="U341" s="5" t="inlineStr"/>
      <c r="V341" s="5" t="inlineStr"/>
    </row>
    <row r="342">
      <c r="A342" s="5" t="inlineStr">
        <is>
          <t>b6-tezkere</t>
        </is>
      </c>
      <c r="B342" s="5" t="n">
        <v>6</v>
      </c>
      <c r="C342" s="5" t="inlineStr">
        <is>
          <t>19 yaş 9 ay</t>
        </is>
      </c>
      <c r="D342" s="5" t="inlineStr">
        <is>
          <t>🎒</t>
        </is>
      </c>
      <c r="E342" s="6" t="inlineStr">
        <is>
          <t>Tezkere</t>
        </is>
      </c>
      <c r="F342" s="6" t="inlineStr">
        <is>
          <t>Tezkereni aldın. Otobüste on iki saat, kafanda tek soru: “Şimdi ne?” Arkadaşların ikinci sınıfa geçmiş, sen hâlâ “Rahat!” komutunu bekliyorsun.</t>
        </is>
      </c>
      <c r="G342" s="5" t="inlineStr">
        <is>
          <t>toplu-tasima</t>
        </is>
      </c>
      <c r="H342" s="5" t="inlineStr"/>
      <c r="I342" s="5" t="inlineStr">
        <is>
          <t>E</t>
        </is>
      </c>
      <c r="J342" s="5" t="inlineStr"/>
      <c r="K342" s="5" t="inlineStr">
        <is>
          <t>erken-askerlik</t>
        </is>
      </c>
      <c r="L342" s="5" t="inlineStr"/>
      <c r="M342" s="5" t="inlineStr"/>
      <c r="N342" s="5" t="inlineStr"/>
      <c r="O342" s="5" t="inlineStr"/>
      <c r="P342" s="5" t="inlineStr"/>
      <c r="Q342" s="5" t="inlineStr"/>
      <c r="R342" s="6" t="inlineStr"/>
      <c r="S342" s="5" t="inlineStr"/>
      <c r="T342" s="5" t="inlineStr"/>
      <c r="U342" s="5" t="inlineStr"/>
      <c r="V342" s="5" t="inlineStr"/>
    </row>
    <row r="343">
      <c r="A343" s="5" t="inlineStr">
        <is>
          <t>b6-ikinci-sinav</t>
        </is>
      </c>
      <c r="B343" s="5" t="n">
        <v>6</v>
      </c>
      <c r="C343" s="5" t="inlineStr">
        <is>
          <t>18 yaş 6 ay</t>
        </is>
      </c>
      <c r="D343" s="5" t="inlineStr">
        <is>
          <t>✏️</t>
        </is>
      </c>
      <c r="E343" s="6" t="inlineStr">
        <is>
          <t>Büyük Sınav · İkinci Deneme</t>
        </is>
      </c>
      <c r="F343" s="6" t="inlineStr">
        <is>
          <t>Bir yıl dershane, bir yıl “Bu sefer olacak”. Aynı salon, aynı kalem, farklı bir sen. Arka sırada geçen yıl yanında oturan çocuk da var; o da kalmış.</t>
        </is>
      </c>
      <c r="G343" s="5" t="inlineStr">
        <is>
          <t>sinif</t>
        </is>
      </c>
      <c r="H343" s="5" t="inlineStr">
        <is>
          <t>okul-iş</t>
        </is>
      </c>
      <c r="I343" s="5" t="inlineStr">
        <is>
          <t>E</t>
        </is>
      </c>
      <c r="J343" s="5" t="inlineStr"/>
      <c r="K343" s="5" t="inlineStr">
        <is>
          <t>mezuna-kaldi</t>
        </is>
      </c>
      <c r="L343" s="5" t="inlineStr"/>
      <c r="M343" s="5" t="inlineStr"/>
      <c r="N343" s="5" t="inlineStr"/>
      <c r="O343" s="5" t="inlineStr"/>
      <c r="P343" s="5" t="inlineStr"/>
      <c r="Q343" s="5" t="n">
        <v>3</v>
      </c>
      <c r="R343" s="6" t="inlineStr">
        <is>
          <t>İkinci kez bu salondasın. Bu sefer geri dönüş yok: ya üniversite, ya bir daha hiç dönmeyeceğin bir çalışma hayatı.</t>
        </is>
      </c>
      <c r="S343" s="5" t="inlineStr">
        <is>
          <t>Üniversiteli hayat (bir yıl gecikmeyle)</t>
        </is>
      </c>
      <c r="T343" s="5" t="inlineStr">
        <is>
          <t>Sınavsız bir hayat</t>
        </is>
      </c>
      <c r="U343" s="5" t="inlineStr"/>
      <c r="V343" s="5" t="inlineStr"/>
    </row>
    <row r="344">
      <c r="A344" s="5" t="inlineStr">
        <is>
          <t>b6-ikinci-tercih</t>
        </is>
      </c>
      <c r="B344" s="5" t="n">
        <v>6</v>
      </c>
      <c r="C344" s="5" t="inlineStr">
        <is>
          <t>18 yaş 7 ay</t>
        </is>
      </c>
      <c r="D344" s="5" t="inlineStr">
        <is>
          <t>📝</t>
        </is>
      </c>
      <c r="E344" s="6" t="inlineStr">
        <is>
          <t>İkinci Tercih Listesi</t>
        </is>
      </c>
      <c r="F344" s="6" t="inlineStr">
        <is>
          <t>Geçen yıl yazamadığın liste bu yıl masada. Kuzen yine fikir veriyor. Bu sefer kuzen de tercih yapmış; bölümüne sormuyorsun.</t>
        </is>
      </c>
      <c r="G344" s="5" t="inlineStr">
        <is>
          <t>ev</t>
        </is>
      </c>
      <c r="H344" s="5" t="inlineStr"/>
      <c r="I344" s="5" t="inlineStr">
        <is>
          <t>E</t>
        </is>
      </c>
      <c r="J344" s="5" t="inlineStr"/>
      <c r="K344" s="5" t="inlineStr">
        <is>
          <t>universiteli, mezuna-kaldi</t>
        </is>
      </c>
      <c r="L344" s="5" t="inlineStr"/>
      <c r="M344" s="5" t="inlineStr"/>
      <c r="N344" s="5" t="inlineStr"/>
      <c r="O344" s="5" t="inlineStr"/>
      <c r="P344" s="5" t="inlineStr"/>
      <c r="Q344" s="5" t="inlineStr"/>
      <c r="R344" s="6" t="inlineStr"/>
      <c r="S344" s="5" t="inlineStr"/>
      <c r="T344" s="5" t="inlineStr"/>
      <c r="U344" s="5" t="inlineStr"/>
      <c r="V344" s="5" t="inlineStr"/>
    </row>
    <row r="345">
      <c r="A345" s="5" t="inlineStr">
        <is>
          <t>b6-tezgah-ilk-yil</t>
        </is>
      </c>
      <c r="B345" s="5" t="n">
        <v>6</v>
      </c>
      <c r="C345" s="5" t="inlineStr">
        <is>
          <t>18 yaş 4 ay</t>
        </is>
      </c>
      <c r="D345" s="5" t="inlineStr">
        <is>
          <t>🧺</t>
        </is>
      </c>
      <c r="E345" s="6" t="inlineStr">
        <is>
          <t>Kuzenin Tezgâhı</t>
        </is>
      </c>
      <c r="F345" s="6" t="inlineStr">
        <is>
          <t>Kuzenin seni tezgâhın arkasına koydu: “Sen sadece gülümse, fiyatı ben söylerim.” Üçüncü gün kuzen tuvaletteyken bir müşteri fiyat sordu.</t>
        </is>
      </c>
      <c r="G345" s="5" t="inlineStr">
        <is>
          <t>carsi</t>
        </is>
      </c>
      <c r="H345" s="5" t="inlineStr">
        <is>
          <t>para</t>
        </is>
      </c>
      <c r="I345" s="5" t="inlineStr">
        <is>
          <t>E</t>
        </is>
      </c>
      <c r="J345" s="5" t="inlineStr"/>
      <c r="K345" s="5" t="inlineStr">
        <is>
          <t>tezgah</t>
        </is>
      </c>
      <c r="L345" s="5" t="inlineStr"/>
      <c r="M345" s="5" t="inlineStr"/>
      <c r="N345" s="5" t="inlineStr"/>
      <c r="O345" s="5" t="inlineStr"/>
      <c r="P345" s="5" t="inlineStr"/>
      <c r="Q345" s="5" t="inlineStr"/>
      <c r="R345" s="6" t="inlineStr"/>
      <c r="S345" s="5" t="inlineStr"/>
      <c r="T345" s="5" t="inlineStr"/>
      <c r="U345" s="5" t="inlineStr"/>
      <c r="V345" s="5" t="inlineStr"/>
    </row>
    <row r="346">
      <c r="A346" s="5" t="inlineStr">
        <is>
          <t>b6-abinin-cantasi</t>
        </is>
      </c>
      <c r="B346" s="5" t="n">
        <v>6</v>
      </c>
      <c r="C346" s="5" t="inlineStr">
        <is>
          <t>19 yaş 1 ay</t>
        </is>
      </c>
      <c r="D346" s="5" t="inlineStr">
        <is>
          <t>💼</t>
        </is>
      </c>
      <c r="E346" s="6" t="inlineStr">
        <is>
          <t>Açma, Götür</t>
        </is>
      </c>
      <c r="F346" s="6" t="inlineStr">
        <is>
          <t>Abi eline bir spor çantası tutuşturdu: “Sanayinin arkasındaki kahveye bırak. Açma.” Çanta hafif. Hafif olması seni daha çok düşündürüyor.</t>
        </is>
      </c>
      <c r="G346" s="5" t="inlineStr">
        <is>
          <t>sokak</t>
        </is>
      </c>
      <c r="H346" s="5" t="inlineStr"/>
      <c r="I346" s="5" t="inlineStr">
        <is>
          <t>E</t>
        </is>
      </c>
      <c r="J346" s="5" t="inlineStr"/>
      <c r="K346" s="5" t="inlineStr">
        <is>
          <t>abinin-adami</t>
        </is>
      </c>
      <c r="L346" s="5" t="inlineStr"/>
      <c r="M346" s="5" t="inlineStr"/>
      <c r="N346" s="5" t="inlineStr"/>
      <c r="O346" s="5" t="inlineStr"/>
      <c r="P346" s="5" t="inlineStr"/>
      <c r="Q346" s="5" t="inlineStr"/>
      <c r="R346" s="6" t="inlineStr"/>
      <c r="S346" s="5" t="inlineStr"/>
      <c r="T346" s="5" t="inlineStr"/>
      <c r="U346" s="5" t="inlineStr"/>
      <c r="V346" s="5" t="inlineStr"/>
    </row>
    <row r="347">
      <c r="A347" s="5" t="inlineStr">
        <is>
          <t>b6-karakol-gecesi</t>
        </is>
      </c>
      <c r="B347" s="5" t="n">
        <v>6</v>
      </c>
      <c r="C347" s="5" t="inlineStr">
        <is>
          <t>20 yaş 6 ay</t>
        </is>
      </c>
      <c r="D347" s="5" t="inlineStr">
        <is>
          <t>🚨</t>
        </is>
      </c>
      <c r="E347" s="6" t="inlineStr">
        <is>
          <t>Nezarette Bir Gece</t>
        </is>
      </c>
      <c r="F347" s="6" t="inlineStr">
        <is>
          <t>Stat önündeki bir kalabalıktan sonra kendini karakolun bankında buldun. Yanında bir tavuk dönerci, bir düğün davulcusu ve kimsenin neden orada olduğunu bilmediği bir amca var.</t>
        </is>
      </c>
      <c r="G347" s="5" t="inlineStr">
        <is>
          <t>sokak</t>
        </is>
      </c>
      <c r="H347" s="5" t="inlineStr"/>
      <c r="I347" s="5" t="inlineStr"/>
      <c r="J347" s="5" t="n">
        <v>1.5</v>
      </c>
      <c r="K347" s="5" t="inlineStr"/>
      <c r="L347" s="5" t="inlineStr"/>
      <c r="M347" s="5" t="inlineStr"/>
      <c r="N347" s="5" t="inlineStr"/>
      <c r="O347" s="5" t="inlineStr"/>
      <c r="P347" s="5" t="inlineStr"/>
      <c r="Q347" s="5" t="inlineStr"/>
      <c r="R347" s="6" t="inlineStr"/>
      <c r="S347" s="5" t="inlineStr"/>
      <c r="T347" s="5" t="inlineStr"/>
      <c r="U347" s="5" t="inlineStr">
        <is>
          <t>abinin-adami, karaborsaci</t>
        </is>
      </c>
      <c r="V347" s="5" t="inlineStr"/>
    </row>
    <row r="348">
      <c r="A348" s="5" t="inlineStr">
        <is>
          <t>b6-gurbet-ilk-kis</t>
        </is>
      </c>
      <c r="B348" s="5" t="n">
        <v>6</v>
      </c>
      <c r="C348" s="5" t="inlineStr">
        <is>
          <t>18 yaş 5 ay</t>
        </is>
      </c>
      <c r="D348" s="5" t="inlineStr">
        <is>
          <t>❄️</t>
        </is>
      </c>
      <c r="E348" s="6" t="inlineStr">
        <is>
          <t>Öte Diyar'da İlk Kış</t>
        </is>
      </c>
      <c r="F348" s="6" t="inlineStr">
        <is>
          <t>Saat dörtte hava karardı. Yurttaki ortak mutfakta kimse kimseye selam vermiyor. Valizdeki üç kavanoz reçelden biri bitti; diğer ikisini kimseyle paylaşmıyorsun.</t>
        </is>
      </c>
      <c r="G348" s="5" t="inlineStr">
        <is>
          <t>universite</t>
        </is>
      </c>
      <c r="H348" s="5" t="inlineStr"/>
      <c r="I348" s="5" t="inlineStr">
        <is>
          <t>E</t>
        </is>
      </c>
      <c r="J348" s="5" t="inlineStr"/>
      <c r="K348" s="5" t="inlineStr">
        <is>
          <t>yurtdisi-universite</t>
        </is>
      </c>
      <c r="L348" s="5" t="inlineStr"/>
      <c r="M348" s="5" t="inlineStr"/>
      <c r="N348" s="5" t="inlineStr"/>
      <c r="O348" s="5" t="inlineStr"/>
      <c r="P348" s="5" t="inlineStr"/>
      <c r="Q348" s="5" t="inlineStr"/>
      <c r="R348" s="6" t="inlineStr"/>
      <c r="S348" s="5" t="inlineStr"/>
      <c r="T348" s="5" t="inlineStr"/>
      <c r="U348" s="5" t="inlineStr"/>
      <c r="V348" s="5" t="inlineStr"/>
    </row>
    <row r="349">
      <c r="A349" s="5" t="inlineStr">
        <is>
          <t>b6-gurbet-garson</t>
        </is>
      </c>
      <c r="B349" s="5" t="n">
        <v>6</v>
      </c>
      <c r="C349" s="5" t="inlineStr">
        <is>
          <t>19 yaş 7 ay</t>
        </is>
      </c>
      <c r="D349" s="5" t="inlineStr">
        <is>
          <t>☕</t>
        </is>
      </c>
      <c r="E349" s="6" t="inlineStr">
        <is>
          <t>Burs Yetmeyince</t>
        </is>
      </c>
      <c r="F349" s="6" t="inlineStr">
        <is>
          <t>Burs kiranın yarısını karşılıyor, diğer yarısını bir kafe. Müdür tabak taşımanı istiyor, müşteriler kahve sanatı. Sen ikisini de ilk kez görüyorsun.</t>
        </is>
      </c>
      <c r="G349" s="5" t="inlineStr">
        <is>
          <t>kafe</t>
        </is>
      </c>
      <c r="H349" s="5" t="inlineStr"/>
      <c r="I349" s="5" t="inlineStr"/>
      <c r="J349" s="5" t="n">
        <v>2</v>
      </c>
      <c r="K349" s="5" t="inlineStr">
        <is>
          <t>yurtdisi-universite</t>
        </is>
      </c>
      <c r="L349" s="5" t="inlineStr"/>
      <c r="M349" s="5" t="inlineStr"/>
      <c r="N349" s="5" t="inlineStr"/>
      <c r="O349" s="5" t="inlineStr"/>
      <c r="P349" s="5" t="inlineStr"/>
      <c r="Q349" s="5" t="inlineStr"/>
      <c r="R349" s="6" t="inlineStr"/>
      <c r="S349" s="5" t="inlineStr"/>
      <c r="T349" s="5" t="inlineStr"/>
      <c r="U349" s="5" t="inlineStr"/>
      <c r="V349" s="5" t="inlineStr"/>
    </row>
    <row r="350">
      <c r="A350" s="5" t="inlineStr">
        <is>
          <t>b6-gurbet-bayram</t>
        </is>
      </c>
      <c r="B350" s="5" t="n">
        <v>6</v>
      </c>
      <c r="C350" s="5" t="inlineStr">
        <is>
          <t>20 yaş 9 ay</t>
        </is>
      </c>
      <c r="D350" s="5" t="inlineStr">
        <is>
          <t>📱</t>
        </is>
      </c>
      <c r="E350" s="6" t="inlineStr">
        <is>
          <t>Ekrandan Bayram</t>
        </is>
      </c>
      <c r="F350" s="6" t="inlineStr">
        <is>
          <t>Bayram sabahı görüntülü arama. Ekranda on dört akraba, hepsi aynı anda konuşuyor. Annen telefonu sofraya dikmiş; sen de sofradasın, pikselli.</t>
        </is>
      </c>
      <c r="G350" s="5" t="inlineStr">
        <is>
          <t>ev</t>
        </is>
      </c>
      <c r="H350" s="5" t="inlineStr"/>
      <c r="I350" s="5" t="inlineStr"/>
      <c r="J350" s="5" t="n">
        <v>2</v>
      </c>
      <c r="K350" s="5" t="inlineStr">
        <is>
          <t>yurtdisi-universite</t>
        </is>
      </c>
      <c r="L350" s="5" t="inlineStr"/>
      <c r="M350" s="5" t="inlineStr"/>
      <c r="N350" s="5" t="inlineStr"/>
      <c r="O350" s="5" t="inlineStr"/>
      <c r="P350" s="5" t="inlineStr"/>
      <c r="Q350" s="5" t="inlineStr"/>
      <c r="R350" s="6" t="inlineStr"/>
      <c r="S350" s="5" t="inlineStr"/>
      <c r="T350" s="5" t="inlineStr"/>
      <c r="U350" s="5" t="inlineStr"/>
      <c r="V350" s="5" t="inlineStr"/>
    </row>
    <row r="351">
      <c r="A351" s="5" t="inlineStr">
        <is>
          <t>b6-donus-bileti</t>
        </is>
      </c>
      <c r="B351" s="5" t="n">
        <v>6</v>
      </c>
      <c r="C351" s="5" t="inlineStr">
        <is>
          <t>22 yaş</t>
        </is>
      </c>
      <c r="D351" s="5" t="inlineStr">
        <is>
          <t>✈️</t>
        </is>
      </c>
      <c r="E351" s="6" t="inlineStr">
        <is>
          <t>Dönüş Bileti</t>
        </is>
      </c>
      <c r="F351" s="6" t="inlineStr">
        <is>
          <t>Diploma elinde. Bir yanda Öte Diyar'ın iş ilanları, öbür yanda annenin “Odan hazır” mesajı. Bilet sitesinde iki sekme açık: tek yön ve gidiş-dönüş.</t>
        </is>
      </c>
      <c r="G351" s="5" t="inlineStr">
        <is>
          <t>universite</t>
        </is>
      </c>
      <c r="H351" s="5" t="inlineStr"/>
      <c r="I351" s="5" t="inlineStr">
        <is>
          <t>E</t>
        </is>
      </c>
      <c r="J351" s="5" t="inlineStr"/>
      <c r="K351" s="5" t="inlineStr">
        <is>
          <t>yurtdisi-universite</t>
        </is>
      </c>
      <c r="L351" s="5" t="inlineStr"/>
      <c r="M351" s="5" t="inlineStr"/>
      <c r="N351" s="5" t="inlineStr"/>
      <c r="O351" s="5" t="inlineStr"/>
      <c r="P351" s="5" t="inlineStr"/>
      <c r="Q351" s="5" t="n">
        <v>6</v>
      </c>
      <c r="R351" s="6" t="inlineStr">
        <is>
          <t>Dört yıl geçti. Burada kalırsan “gurbetçi” olursun, dönersen “yurt dışı görmüş.” İkisi de bir ömür sürer ve ikisi de biraz eksik.</t>
        </is>
      </c>
      <c r="S351" s="5" t="inlineStr"/>
      <c r="T351" s="5" t="inlineStr"/>
      <c r="U351" s="5" t="inlineStr"/>
      <c r="V351" s="5" t="inlineStr"/>
    </row>
    <row r="352">
      <c r="A352" s="5" t="inlineStr">
        <is>
          <t>b6-evden-okul</t>
        </is>
      </c>
      <c r="B352" s="5" t="n">
        <v>6</v>
      </c>
      <c r="C352" s="5" t="inlineStr">
        <is>
          <t>18 yaş 2 ay</t>
        </is>
      </c>
      <c r="D352" s="5" t="inlineStr">
        <is>
          <t>🕘</t>
        </is>
      </c>
      <c r="E352" s="6" t="inlineStr">
        <is>
          <t>Sokağa Çıkma Saati</t>
        </is>
      </c>
      <c r="F352" s="6" t="inlineStr">
        <is>
          <t>Üniversiteye evden gidiyorsun. Kampüste herkes özgür, sende saat on bir sınırı var. Annen “Yurt olsa kapı kapanırdı, burada kapı ben” dedi.</t>
        </is>
      </c>
      <c r="G352" s="5" t="inlineStr">
        <is>
          <t>ev</t>
        </is>
      </c>
      <c r="H352" s="5" t="inlineStr">
        <is>
          <t>ev</t>
        </is>
      </c>
      <c r="I352" s="5" t="inlineStr">
        <is>
          <t>E</t>
        </is>
      </c>
      <c r="J352" s="5" t="inlineStr"/>
      <c r="K352" s="5" t="inlineStr">
        <is>
          <t>universiteli, ayni-sehir</t>
        </is>
      </c>
      <c r="L352" s="5" t="inlineStr"/>
      <c r="M352" s="5" t="inlineStr"/>
      <c r="N352" s="5" t="inlineStr"/>
      <c r="O352" s="5" t="inlineStr"/>
      <c r="P352" s="5" t="inlineStr"/>
      <c r="Q352" s="5" t="inlineStr"/>
      <c r="R352" s="6" t="inlineStr"/>
      <c r="S352" s="5" t="inlineStr"/>
      <c r="T352" s="5" t="inlineStr"/>
      <c r="U352" s="5" t="inlineStr"/>
      <c r="V352" s="5" t="inlineStr"/>
    </row>
    <row r="353">
      <c r="A353" s="5" t="inlineStr">
        <is>
          <t>b6-bolum-ilk-yil</t>
        </is>
      </c>
      <c r="B353" s="5" t="n">
        <v>6</v>
      </c>
      <c r="C353" s="5" t="inlineStr">
        <is>
          <t>18 yaş 9 ay</t>
        </is>
      </c>
      <c r="D353" s="5" t="inlineStr">
        <is>
          <t>🎓</t>
        </is>
      </c>
      <c r="E353" s="6" t="inlineStr">
        <is>
          <t>Bölümün İlk Yılı</t>
        </is>
      </c>
      <c r="F353" s="6" t="inlineStr">
        <is>
          <t>İlk yıl bitmek üzere. Bölümün sana ne olduğunu, sen de bölümüne ne olmadığını yavaş yavaş anlatıyorsunuz. Konuşma henüz bitmedi.</t>
        </is>
      </c>
      <c r="G353" s="5" t="inlineStr">
        <is>
          <t>universite</t>
        </is>
      </c>
      <c r="H353" s="5" t="inlineStr"/>
      <c r="I353" s="5" t="inlineStr">
        <is>
          <t>E</t>
        </is>
      </c>
      <c r="J353" s="5" t="inlineStr"/>
      <c r="K353" s="5" t="inlineStr">
        <is>
          <t>universiteli</t>
        </is>
      </c>
      <c r="L353" s="5" t="inlineStr"/>
      <c r="M353" s="5" t="inlineStr"/>
      <c r="N353" s="5" t="inlineStr"/>
      <c r="O353" s="5" t="inlineStr"/>
      <c r="P353" s="5" t="inlineStr"/>
      <c r="Q353" s="5" t="inlineStr"/>
      <c r="R353" s="6" t="inlineStr"/>
      <c r="S353" s="5" t="inlineStr"/>
      <c r="T353" s="5" t="inlineStr"/>
      <c r="U353" s="5" t="inlineStr"/>
      <c r="V353" s="5" t="inlineStr"/>
    </row>
    <row r="354">
      <c r="A354" s="5" t="inlineStr">
        <is>
          <t>b6-evden-cikis</t>
        </is>
      </c>
      <c r="B354" s="5" t="n">
        <v>6</v>
      </c>
      <c r="C354" s="5" t="inlineStr">
        <is>
          <t>21 yaş 9 ay</t>
        </is>
      </c>
      <c r="D354" s="5" t="inlineStr">
        <is>
          <t>🔑</t>
        </is>
      </c>
      <c r="E354" s="6" t="inlineStr">
        <is>
          <t>Kendi Kapın</t>
        </is>
      </c>
      <c r="F354" s="6" t="inlineStr">
        <is>
          <t>Annen “Evlenince çıkarsın” diyor. Baban “Ben senin yaşında…” diye başlıyor, cümleyi hiç bitirmiyor. Emlakçı ise çoktan “Tam size göre bir yer var” diye mesaj attı.</t>
        </is>
      </c>
      <c r="G354" s="5" t="inlineStr">
        <is>
          <t>ev</t>
        </is>
      </c>
      <c r="H354" s="5" t="inlineStr">
        <is>
          <t>ev</t>
        </is>
      </c>
      <c r="I354" s="5" t="inlineStr">
        <is>
          <t>E</t>
        </is>
      </c>
      <c r="J354" s="5" t="inlineStr"/>
      <c r="K354" s="5" t="inlineStr"/>
      <c r="L354" s="5" t="inlineStr">
        <is>
          <t>yurtdisi-universite</t>
        </is>
      </c>
      <c r="M354" s="5" t="inlineStr"/>
      <c r="N354" s="5" t="inlineStr"/>
      <c r="O354" s="5" t="inlineStr"/>
      <c r="P354" s="5" t="inlineStr"/>
      <c r="Q354" s="5" t="n">
        <v>5</v>
      </c>
      <c r="R354" s="6" t="inlineStr">
        <is>
          <t>Bu kapıdan ya anahtarla çıkarsın ya da yıllarca aynı odada kalırsın. Kira bir faturadır; aile evi de bir fatura, sadece başka bir para birimiyle ödenir.</t>
        </is>
      </c>
      <c r="S354" s="5" t="inlineStr"/>
      <c r="T354" s="5" t="inlineStr"/>
      <c r="U354" s="5" t="inlineStr"/>
      <c r="V354" s="5" t="inlineStr"/>
    </row>
    <row r="355">
      <c r="A355" s="5" t="inlineStr">
        <is>
          <t>b6-evde-kalmak</t>
        </is>
      </c>
      <c r="B355" s="5" t="n">
        <v>6</v>
      </c>
      <c r="C355" s="5" t="inlineStr">
        <is>
          <t>23 yaş 4 ay</t>
        </is>
      </c>
      <c r="D355" s="5" t="inlineStr">
        <is>
          <t>🛏️</t>
        </is>
      </c>
      <c r="E355" s="6" t="inlineStr">
        <is>
          <t>Hâlâ Çocuk Odası</t>
        </is>
      </c>
      <c r="F355" s="6" t="inlineStr">
        <is>
          <t>Yirmi üç yaşındasın ve odanın kapısında hâlâ ilkokulda yapıştırdığın çıkartma var. Annen odanı misafirlere “Çocuğun odası” diye gösteriyor. Çocuk sensin.</t>
        </is>
      </c>
      <c r="G355" s="5" t="inlineStr">
        <is>
          <t>ev</t>
        </is>
      </c>
      <c r="H355" s="5" t="inlineStr">
        <is>
          <t>ev</t>
        </is>
      </c>
      <c r="I355" s="5" t="inlineStr"/>
      <c r="J355" s="5" t="n">
        <v>2</v>
      </c>
      <c r="K355" s="5" t="inlineStr">
        <is>
          <t>evde-kaldi</t>
        </is>
      </c>
      <c r="L355" s="5" t="inlineStr"/>
      <c r="M355" s="5" t="inlineStr"/>
      <c r="N355" s="5" t="inlineStr"/>
      <c r="O355" s="5" t="inlineStr"/>
      <c r="P355" s="5" t="inlineStr"/>
      <c r="Q355" s="5" t="inlineStr"/>
      <c r="R355" s="6" t="inlineStr"/>
      <c r="S355" s="5" t="inlineStr"/>
      <c r="T355" s="5" t="inlineStr"/>
      <c r="U355" s="5" t="inlineStr"/>
      <c r="V355" s="5" t="inlineStr"/>
    </row>
    <row r="356">
      <c r="A356" s="5" t="inlineStr">
        <is>
          <t>b6-hayat-yolu</t>
        </is>
      </c>
      <c r="B356" s="5" t="n">
        <v>6</v>
      </c>
      <c r="C356" s="5" t="inlineStr">
        <is>
          <t>22 yaş</t>
        </is>
      </c>
      <c r="D356" s="5" t="inlineStr">
        <is>
          <t>🧭</t>
        </is>
      </c>
      <c r="E356" s="6" t="inlineStr">
        <is>
          <t>Hayat Yolu</t>
        </is>
      </c>
      <c r="F356" s="6" t="inlineStr">
        <is>
          <t>Dört yıldır çalışıyorsun. Diplomalı akranların şimdi iş arıyor; sen ise hangi işin senin olacağına karar vermek üzeresin. Mahallede herkesin bir önerisi var, çarşıda herkesin bir tanıdığı.</t>
        </is>
      </c>
      <c r="G356" s="5" t="inlineStr">
        <is>
          <t>carsi</t>
        </is>
      </c>
      <c r="H356" s="5" t="inlineStr">
        <is>
          <t>para</t>
        </is>
      </c>
      <c r="I356" s="5" t="inlineStr">
        <is>
          <t>E</t>
        </is>
      </c>
      <c r="J356" s="5" t="inlineStr"/>
      <c r="K356" s="5" t="inlineStr">
        <is>
          <t>universitesiz</t>
        </is>
      </c>
      <c r="L356" s="5" t="inlineStr"/>
      <c r="M356" s="5" t="inlineStr"/>
      <c r="N356" s="5" t="inlineStr"/>
      <c r="O356" s="5" t="inlineStr"/>
      <c r="P356" s="5" t="inlineStr"/>
      <c r="Q356" s="5" t="n">
        <v>6</v>
      </c>
      <c r="R356" s="6" t="inlineStr">
        <is>
          <t>Diploman yok ama dört yıllık bir tecrüben var. Buradan sonra ya kendi tezgâhın olur, ya bir devlet kapısı, ya da başkasının işi. Mahalle her birini başka bir isimle anar.</t>
        </is>
      </c>
      <c r="S356" s="5" t="inlineStr"/>
      <c r="T356" s="5" t="inlineStr"/>
      <c r="U356" s="5" t="inlineStr"/>
      <c r="V356" s="5" t="inlineStr"/>
    </row>
    <row r="357">
      <c r="A357" s="5" t="inlineStr">
        <is>
          <t>b6-hekimlik-yolu</t>
        </is>
      </c>
      <c r="B357" s="5" t="n">
        <v>6</v>
      </c>
      <c r="C357" s="5" t="inlineStr">
        <is>
          <t>24 yaş</t>
        </is>
      </c>
      <c r="D357" s="5" t="inlineStr">
        <is>
          <t>🩺</t>
        </is>
      </c>
      <c r="E357" s="6" t="inlineStr">
        <is>
          <t>Önlüğün Rengi</t>
        </is>
      </c>
      <c r="F357" s="6" t="inlineStr">
        <is>
          <t>Altı yıl bitti. Beyaz önlüğün cebinde bir steteskop, bir kalem ve anneannenin gönderdiği muska var. Aile grubunda artık resmen doktorsun; teyzen röntgen atmaya başladı bile.</t>
        </is>
      </c>
      <c r="G357" s="5" t="inlineStr">
        <is>
          <t>hastane</t>
        </is>
      </c>
      <c r="H357" s="5" t="inlineStr"/>
      <c r="I357" s="5" t="inlineStr">
        <is>
          <t>E</t>
        </is>
      </c>
      <c r="J357" s="5" t="inlineStr"/>
      <c r="K357" s="5" t="inlineStr">
        <is>
          <t>universiteli, bolum-tip</t>
        </is>
      </c>
      <c r="L357" s="5" t="inlineStr"/>
      <c r="M357" s="5" t="inlineStr"/>
      <c r="N357" s="5" t="inlineStr"/>
      <c r="O357" s="5" t="inlineStr"/>
      <c r="P357" s="5" t="inlineStr"/>
      <c r="Q357" s="5" t="n">
        <v>6</v>
      </c>
      <c r="R357" s="6" t="inlineStr">
        <is>
          <t>Hekimliğin birçok koridoru var: devletin kalabalık acili, özel hastanenin sakin katları, bir de uçakla gidilen koridorlar. Hangisini seçersen, ömrünün nöbetleri orada geçecek.</t>
        </is>
      </c>
      <c r="S357" s="5" t="inlineStr"/>
      <c r="T357" s="5" t="inlineStr"/>
      <c r="U357" s="5" t="inlineStr"/>
      <c r="V357" s="5" t="inlineStr"/>
    </row>
    <row r="358">
      <c r="A358" s="5" t="inlineStr">
        <is>
          <t>b6-polis-devriye</t>
        </is>
      </c>
      <c r="B358" s="5" t="n">
        <v>6</v>
      </c>
      <c r="C358" s="5" t="inlineStr">
        <is>
          <t>22 yaş 5 ay</t>
        </is>
      </c>
      <c r="D358" s="5" t="inlineStr">
        <is>
          <t>🚓</t>
        </is>
      </c>
      <c r="E358" s="6" t="inlineStr">
        <is>
          <t>İlk Devriye</t>
        </is>
      </c>
      <c r="F358" s="6" t="inlineStr">
        <is>
          <t>İlk devriye. Ekip arkadaşın otuz yıllık bir komiser muavini; telsizi yalnızca maç skorunu öğrenmek için açıyor. Çarşıda bir kavga ihbarı var: iki manav, bir kasa domates.</t>
        </is>
      </c>
      <c r="G358" s="5" t="inlineStr">
        <is>
          <t>sokak</t>
        </is>
      </c>
      <c r="H358" s="5" t="inlineStr"/>
      <c r="I358" s="5" t="inlineStr">
        <is>
          <t>E</t>
        </is>
      </c>
      <c r="J358" s="5" t="inlineStr"/>
      <c r="K358" s="5" t="inlineStr">
        <is>
          <t>hat-polis</t>
        </is>
      </c>
      <c r="L358" s="5" t="inlineStr"/>
      <c r="M358" s="5" t="inlineStr"/>
      <c r="N358" s="5" t="inlineStr"/>
      <c r="O358" s="5" t="inlineStr"/>
      <c r="P358" s="5" t="inlineStr"/>
      <c r="Q358" s="5" t="inlineStr"/>
      <c r="R358" s="6" t="inlineStr"/>
      <c r="S358" s="5" t="inlineStr"/>
      <c r="T358" s="5" t="inlineStr"/>
      <c r="U358" s="5" t="inlineStr"/>
      <c r="V358" s="5" t="inlineStr"/>
    </row>
    <row r="359">
      <c r="A359" s="5" t="inlineStr">
        <is>
          <t>b6-yargi-kurs</t>
        </is>
      </c>
      <c r="B359" s="5" t="n">
        <v>6</v>
      </c>
      <c r="C359" s="5" t="inlineStr">
        <is>
          <t>22 yaş 6 ay</t>
        </is>
      </c>
      <c r="D359" s="5" t="inlineStr">
        <is>
          <t>⚖️</t>
        </is>
      </c>
      <c r="E359" s="6" t="inlineStr">
        <is>
          <t>Adaylık Dönemi</t>
        </is>
      </c>
      <c r="F359" s="6" t="inlineStr">
        <is>
          <t>Hâkim adayısın. Bir kıdemlinin yanında duruşma izliyorsun. İlk dosya: iki komşu, bir ceviz ağacı, yirmi yıllık bir kin. Ağaç duruşmaya gelmedi.</t>
        </is>
      </c>
      <c r="G359" s="5" t="inlineStr">
        <is>
          <t>mahkeme</t>
        </is>
      </c>
      <c r="H359" s="5" t="inlineStr"/>
      <c r="I359" s="5" t="inlineStr">
        <is>
          <t>E</t>
        </is>
      </c>
      <c r="J359" s="5" t="inlineStr"/>
      <c r="K359" s="5" t="inlineStr">
        <is>
          <t>hat-yargi</t>
        </is>
      </c>
      <c r="L359" s="5" t="inlineStr"/>
      <c r="M359" s="5" t="inlineStr"/>
      <c r="N359" s="5" t="inlineStr"/>
      <c r="O359" s="5" t="inlineStr"/>
      <c r="P359" s="5" t="inlineStr"/>
      <c r="Q359" s="5" t="inlineStr"/>
      <c r="R359" s="6" t="inlineStr"/>
      <c r="S359" s="5" t="inlineStr"/>
      <c r="T359" s="5" t="inlineStr"/>
      <c r="U359" s="5" t="inlineStr"/>
      <c r="V359" s="5" t="inlineStr"/>
    </row>
    <row r="360">
      <c r="A360" s="5" t="inlineStr">
        <is>
          <t>b6-hekim-ilk-nobet</t>
        </is>
      </c>
      <c r="B360" s="5" t="n">
        <v>6</v>
      </c>
      <c r="C360" s="5" t="inlineStr">
        <is>
          <t>24 yaş 3 ay</t>
        </is>
      </c>
      <c r="D360" s="5" t="inlineStr">
        <is>
          <t>🌙</t>
        </is>
      </c>
      <c r="E360" s="6" t="inlineStr">
        <is>
          <t>İlk Nöbet</t>
        </is>
      </c>
      <c r="F360" s="6" t="inlineStr">
        <is>
          <t>Gece üç. Acilde yedi hasta, iki hemşire, sen. Birinci sedyede ağrı, ikincide kaygı, üçüncüde “internette okudum” var. Dördüncüdeki amca sadece çay istiyor.</t>
        </is>
      </c>
      <c r="G360" s="5" t="inlineStr">
        <is>
          <t>hastane</t>
        </is>
      </c>
      <c r="H360" s="5" t="inlineStr"/>
      <c r="I360" s="5" t="inlineStr">
        <is>
          <t>E</t>
        </is>
      </c>
      <c r="J360" s="5" t="inlineStr"/>
      <c r="K360" s="5" t="inlineStr">
        <is>
          <t>hat-hekim</t>
        </is>
      </c>
      <c r="L360" s="5" t="inlineStr"/>
      <c r="M360" s="5" t="inlineStr"/>
      <c r="N360" s="5" t="inlineStr"/>
      <c r="O360" s="5" t="inlineStr"/>
      <c r="P360" s="5" t="inlineStr"/>
      <c r="Q360" s="5" t="inlineStr"/>
      <c r="R360" s="6" t="inlineStr"/>
      <c r="S360" s="5" t="inlineStr"/>
      <c r="T360" s="5" t="inlineStr"/>
      <c r="U360" s="5" t="inlineStr"/>
      <c r="V360" s="5" t="inlineStr"/>
    </row>
    <row r="361">
      <c r="A361" s="5" t="inlineStr">
        <is>
          <t>b6-cete-paravan</t>
        </is>
      </c>
      <c r="B361" s="5" t="n">
        <v>6</v>
      </c>
      <c r="C361" s="5" t="inlineStr">
        <is>
          <t>23 yaş 2 ay</t>
        </is>
      </c>
      <c r="D361" s="5" t="inlineStr">
        <is>
          <t>🧽</t>
        </is>
      </c>
      <c r="E361" s="6" t="inlineStr">
        <is>
          <t>Oto Yıkamanın Defteri</t>
        </is>
      </c>
      <c r="F361" s="6" t="inlineStr">
        <is>
          <t>Oto yıkamada iki defter var: biri vergi dairesi için, biri abi için. İkisinde de aynı tarih, farklı rakamlar. Bugün müfettiş geliyor; hangi defteri açacağın sana kalmış.</t>
        </is>
      </c>
      <c r="G361" s="5" t="inlineStr">
        <is>
          <t>dukkan</t>
        </is>
      </c>
      <c r="H361" s="5" t="inlineStr"/>
      <c r="I361" s="5" t="inlineStr">
        <is>
          <t>E</t>
        </is>
      </c>
      <c r="J361" s="5" t="inlineStr"/>
      <c r="K361" s="5" t="inlineStr">
        <is>
          <t>hat-cete</t>
        </is>
      </c>
      <c r="L361" s="5" t="inlineStr"/>
      <c r="M361" s="5" t="inlineStr"/>
      <c r="N361" s="5" t="inlineStr"/>
      <c r="O361" s="5" t="inlineStr"/>
      <c r="P361" s="5" t="inlineStr"/>
      <c r="Q361" s="5" t="inlineStr"/>
      <c r="R361" s="6" t="inlineStr"/>
      <c r="S361" s="5" t="inlineStr"/>
      <c r="T361" s="5" t="inlineStr"/>
      <c r="U361" s="5" t="inlineStr"/>
      <c r="V361" s="5" t="inlineStr"/>
    </row>
    <row r="362">
      <c r="A362" s="5" t="inlineStr">
        <is>
          <t>b6-sohret-ilk-rol</t>
        </is>
      </c>
      <c r="B362" s="5" t="n">
        <v>6</v>
      </c>
      <c r="C362" s="5" t="inlineStr">
        <is>
          <t>22 yaş 7 ay</t>
        </is>
      </c>
      <c r="D362" s="5" t="inlineStr">
        <is>
          <t>🎬</t>
        </is>
      </c>
      <c r="E362" s="6" t="inlineStr">
        <is>
          <t>Setteki İlk Gün</t>
        </is>
      </c>
      <c r="F362" s="6" t="inlineStr">
        <is>
          <t>Set sabah altıda başladı. Rolün: kafede oturan genç. Repliğin: “Hesap lütfen.” Yönetmen on dördüncü tekrarda “Biraz daha hesap iste” dedi.</t>
        </is>
      </c>
      <c r="G362" s="5" t="inlineStr">
        <is>
          <t>sahne</t>
        </is>
      </c>
      <c r="H362" s="5" t="inlineStr"/>
      <c r="I362" s="5" t="inlineStr">
        <is>
          <t>E</t>
        </is>
      </c>
      <c r="J362" s="5" t="inlineStr"/>
      <c r="K362" s="5" t="inlineStr">
        <is>
          <t>hat-sohret</t>
        </is>
      </c>
      <c r="L362" s="5" t="inlineStr"/>
      <c r="M362" s="5" t="inlineStr"/>
      <c r="N362" s="5" t="inlineStr"/>
      <c r="O362" s="5" t="inlineStr"/>
      <c r="P362" s="5" t="inlineStr"/>
      <c r="Q362" s="5" t="inlineStr"/>
      <c r="R362" s="6" t="inlineStr"/>
      <c r="S362" s="5" t="inlineStr"/>
      <c r="T362" s="5" t="inlineStr"/>
      <c r="U362" s="5" t="inlineStr"/>
      <c r="V362" s="5" t="inlineStr"/>
    </row>
    <row r="363">
      <c r="A363" s="5" t="inlineStr">
        <is>
          <t>b6-koy-ilk-hasat</t>
        </is>
      </c>
      <c r="B363" s="5" t="n">
        <v>6</v>
      </c>
      <c r="C363" s="5" t="inlineStr">
        <is>
          <t>22 yaş 6 ay</t>
        </is>
      </c>
      <c r="D363" s="5" t="inlineStr">
        <is>
          <t>🍅</t>
        </is>
      </c>
      <c r="E363" s="6" t="inlineStr">
        <is>
          <t>İlk Hasat</t>
        </is>
      </c>
      <c r="F363" s="6" t="inlineStr">
        <is>
          <t>Domatesler kızardı, biberler olgunlaştı, dedenin traktörü üçüncü denemede çalıştı. Şimdi bir sorun var: bunları kime, kaça satacaksın?</t>
        </is>
      </c>
      <c r="G363" s="5" t="inlineStr">
        <is>
          <t>yazlik</t>
        </is>
      </c>
      <c r="H363" s="5" t="inlineStr"/>
      <c r="I363" s="5" t="inlineStr">
        <is>
          <t>E</t>
        </is>
      </c>
      <c r="J363" s="5" t="inlineStr"/>
      <c r="K363" s="5" t="inlineStr">
        <is>
          <t>hat-koy</t>
        </is>
      </c>
      <c r="L363" s="5" t="inlineStr"/>
      <c r="M363" s="5" t="inlineStr"/>
      <c r="N363" s="5" t="inlineStr"/>
      <c r="O363" s="5" t="inlineStr"/>
      <c r="P363" s="5" t="inlineStr"/>
      <c r="Q363" s="5" t="inlineStr"/>
      <c r="R363" s="6" t="inlineStr"/>
      <c r="S363" s="5" t="inlineStr"/>
      <c r="T363" s="5" t="inlineStr"/>
      <c r="U363" s="5" t="inlineStr"/>
      <c r="V363" s="5" t="inlineStr"/>
    </row>
    <row r="364">
      <c r="A364" s="5" t="inlineStr">
        <is>
          <t>b6-usta-kendi-tezgahi</t>
        </is>
      </c>
      <c r="B364" s="5" t="n">
        <v>6</v>
      </c>
      <c r="C364" s="5" t="inlineStr">
        <is>
          <t>22 yaş 6 ay</t>
        </is>
      </c>
      <c r="D364" s="5" t="inlineStr">
        <is>
          <t>🔧</t>
        </is>
      </c>
      <c r="E364" s="6" t="inlineStr">
        <is>
          <t>Kendi Tezgâhın</t>
        </is>
      </c>
      <c r="F364" s="6" t="inlineStr">
        <is>
          <t>Sanayideki dükkânında ilk müşteri: bir taksici. Arabasından bir ses geliyor; “Tık tık tık, sonra vıyyy.” Taksici sesi taklit ederken çevredeki üç usta durup dinledi.</t>
        </is>
      </c>
      <c r="G364" s="5" t="inlineStr">
        <is>
          <t>dukkan</t>
        </is>
      </c>
      <c r="H364" s="5" t="inlineStr"/>
      <c r="I364" s="5" t="inlineStr">
        <is>
          <t>E</t>
        </is>
      </c>
      <c r="J364" s="5" t="inlineStr"/>
      <c r="K364" s="5" t="inlineStr">
        <is>
          <t>hat-usta</t>
        </is>
      </c>
      <c r="L364" s="5" t="inlineStr"/>
      <c r="M364" s="5" t="inlineStr"/>
      <c r="N364" s="5" t="inlineStr"/>
      <c r="O364" s="5" t="inlineStr"/>
      <c r="P364" s="5" t="inlineStr"/>
      <c r="Q364" s="5" t="inlineStr"/>
      <c r="R364" s="6" t="inlineStr"/>
      <c r="S364" s="5" t="inlineStr"/>
      <c r="T364" s="5" t="inlineStr"/>
      <c r="U364" s="5" t="inlineStr"/>
      <c r="V364" s="5" t="inlineStr"/>
    </row>
    <row r="365">
      <c r="A365" s="5" t="inlineStr">
        <is>
          <t>b6-dolandirici-ilk-is</t>
        </is>
      </c>
      <c r="B365" s="5" t="n">
        <v>6</v>
      </c>
      <c r="C365" s="5" t="inlineStr">
        <is>
          <t>22 yaş 6 ay</t>
        </is>
      </c>
      <c r="D365" s="5" t="inlineStr">
        <is>
          <t>📞</t>
        </is>
      </c>
      <c r="E365" s="6" t="inlineStr">
        <is>
          <t>Size Özel Fırsat</t>
        </is>
      </c>
      <c r="F365" s="6" t="inlineStr">
        <is>
          <t>Masanda üç telefon, duvarda bir “Başarı” posteri. Bugün ilk büyük müşterin arıyor: emekli bir öğretmen, birikimini “değerlendirmek” istiyor. Sesi annenin sesine benziyor.</t>
        </is>
      </c>
      <c r="G365" s="5" t="inlineStr">
        <is>
          <t>ofis</t>
        </is>
      </c>
      <c r="H365" s="5" t="inlineStr"/>
      <c r="I365" s="5" t="inlineStr">
        <is>
          <t>E</t>
        </is>
      </c>
      <c r="J365" s="5" t="inlineStr"/>
      <c r="K365" s="5" t="inlineStr">
        <is>
          <t>hat-dolandirici</t>
        </is>
      </c>
      <c r="L365" s="5" t="inlineStr"/>
      <c r="M365" s="5" t="inlineStr"/>
      <c r="N365" s="5" t="inlineStr"/>
      <c r="O365" s="5" t="inlineStr"/>
      <c r="P365" s="5" t="inlineStr"/>
      <c r="Q365" s="5" t="inlineStr"/>
      <c r="R365" s="6" t="inlineStr"/>
      <c r="S365" s="5" t="inlineStr"/>
      <c r="T365" s="5" t="inlineStr"/>
      <c r="U365" s="5" t="inlineStr"/>
      <c r="V365" s="5" t="inlineStr"/>
    </row>
    <row r="366">
      <c r="A366" s="5" t="inlineStr">
        <is>
          <t>b6-girisim-sunumu</t>
        </is>
      </c>
      <c r="B366" s="5" t="n">
        <v>6</v>
      </c>
      <c r="C366" s="5" t="inlineStr">
        <is>
          <t>23 yaş</t>
        </is>
      </c>
      <c r="D366" s="5" t="inlineStr">
        <is>
          <t>📊</t>
        </is>
      </c>
      <c r="E366" s="6" t="inlineStr">
        <is>
          <t>Yatırımcı Sunumu</t>
        </is>
      </c>
      <c r="F366" s="6" t="inlineStr">
        <is>
          <t>Yirmi dakikan var. Karşında üç yatırımcı; biri telefonunda, biri kahvesinde, biri senin slaytındaki yazım hatasında. Şirketin şu an bir fikir, bir logo ve senden ibaret.</t>
        </is>
      </c>
      <c r="G366" s="5" t="inlineStr">
        <is>
          <t>ofis</t>
        </is>
      </c>
      <c r="H366" s="5" t="inlineStr"/>
      <c r="I366" s="5" t="inlineStr">
        <is>
          <t>E</t>
        </is>
      </c>
      <c r="J366" s="5" t="inlineStr"/>
      <c r="K366" s="5" t="inlineStr">
        <is>
          <t>hat-girisimci</t>
        </is>
      </c>
      <c r="L366" s="5" t="inlineStr"/>
      <c r="M366" s="5" t="inlineStr"/>
      <c r="N366" s="5" t="inlineStr"/>
      <c r="O366" s="5" t="inlineStr"/>
      <c r="P366" s="5" t="inlineStr"/>
      <c r="Q366" s="5" t="inlineStr"/>
      <c r="R366" s="6" t="inlineStr"/>
      <c r="S366" s="5" t="inlineStr"/>
      <c r="T366" s="5" t="inlineStr"/>
      <c r="U366" s="5" t="inlineStr"/>
      <c r="V366" s="5" t="inlineStr"/>
    </row>
    <row r="367">
      <c r="A367" s="5" t="inlineStr">
        <is>
          <t>b6-goc-ilk-kira</t>
        </is>
      </c>
      <c r="B367" s="5" t="n">
        <v>6</v>
      </c>
      <c r="C367" s="5" t="inlineStr">
        <is>
          <t>22 yaş 6 ay</t>
        </is>
      </c>
      <c r="D367" s="5" t="inlineStr">
        <is>
          <t>🏙️</t>
        </is>
      </c>
      <c r="E367" s="6" t="inlineStr">
        <is>
          <t>Gurbette İlk Kontrat</t>
        </is>
      </c>
      <c r="F367" s="6" t="inlineStr">
        <is>
          <t>Öte Diyar'da ilk kira sözleşmen önünde. Otuz dört sayfa, dördüncü sayfada çöp ayrıştırma kuralları, yirminci sayfada “Balkonda mangal yasaktır.” Annen soruyor: “Balkon var mı?”</t>
        </is>
      </c>
      <c r="G367" s="5" t="inlineStr">
        <is>
          <t>ofis</t>
        </is>
      </c>
      <c r="H367" s="5" t="inlineStr"/>
      <c r="I367" s="5" t="inlineStr">
        <is>
          <t>E</t>
        </is>
      </c>
      <c r="J367" s="5" t="inlineStr"/>
      <c r="K367" s="5" t="inlineStr">
        <is>
          <t>hat-goc</t>
        </is>
      </c>
      <c r="L367" s="5" t="inlineStr"/>
      <c r="M367" s="5" t="inlineStr"/>
      <c r="N367" s="5" t="inlineStr"/>
      <c r="O367" s="5" t="inlineStr"/>
      <c r="P367" s="5" t="inlineStr"/>
      <c r="Q367" s="5" t="inlineStr"/>
      <c r="R367" s="6" t="inlineStr"/>
      <c r="S367" s="5" t="inlineStr"/>
      <c r="T367" s="5" t="inlineStr"/>
      <c r="U367" s="5" t="inlineStr"/>
      <c r="V367" s="5" t="inlineStr"/>
    </row>
    <row r="368">
      <c r="A368" s="5" t="inlineStr">
        <is>
          <t>b7-polis-asayis</t>
        </is>
      </c>
      <c r="B368" s="5" t="n">
        <v>7</v>
      </c>
      <c r="C368" s="5" t="inlineStr">
        <is>
          <t>28 yaş 4 ay</t>
        </is>
      </c>
      <c r="D368" s="5" t="inlineStr">
        <is>
          <t>🚲</t>
        </is>
      </c>
      <c r="E368" s="6" t="inlineStr">
        <is>
          <t>Asayişte İlk Dosya</t>
        </is>
      </c>
      <c r="F368" s="6" t="inlineStr">
        <is>
          <t>Asayişe geçtin. İlk dosya: mahallede bir haftada on dört bisiklet kayboldu. Tanık yok, iz yok. Yalnızca her sabah aynı köşede duran bir simitçi var; her şeyi görmüş gibi bakıyor.</t>
        </is>
      </c>
      <c r="G368" s="5" t="inlineStr">
        <is>
          <t>karakol</t>
        </is>
      </c>
      <c r="H368" s="5" t="inlineStr"/>
      <c r="I368" s="5" t="inlineStr"/>
      <c r="J368" s="5" t="n">
        <v>3</v>
      </c>
      <c r="K368" s="5" t="inlineStr"/>
      <c r="L368" s="5" t="inlineStr">
        <is>
          <t>hapis</t>
        </is>
      </c>
      <c r="M368" s="5" t="inlineStr"/>
      <c r="N368" s="5" t="inlineStr"/>
      <c r="O368" s="5" t="inlineStr"/>
      <c r="P368" s="5" t="inlineStr"/>
      <c r="Q368" s="5" t="inlineStr"/>
      <c r="R368" s="6" t="inlineStr"/>
      <c r="S368" s="5" t="inlineStr"/>
      <c r="T368" s="5" t="inlineStr"/>
      <c r="U368" s="5" t="inlineStr"/>
      <c r="V368" s="5" t="inlineStr">
        <is>
          <t>polis</t>
        </is>
      </c>
    </row>
    <row r="369">
      <c r="A369" s="5" t="inlineStr">
        <is>
          <t>b7-polis-komiserlik</t>
        </is>
      </c>
      <c r="B369" s="5" t="n">
        <v>7</v>
      </c>
      <c r="C369" s="5" t="inlineStr">
        <is>
          <t>32 yaş 6 ay</t>
        </is>
      </c>
      <c r="D369" s="5" t="inlineStr">
        <is>
          <t>🎂</t>
        </is>
      </c>
      <c r="E369" s="6" t="inlineStr">
        <is>
          <t>Çalınan Gelin Pastası</t>
        </is>
      </c>
      <c r="F369" s="6" t="inlineStr">
        <is>
          <t>Komiser oldun, masan cam kenarında. İlk dosyan: bir düğün salonundan gelin pastası çalınmış. Şüpheliler damadın annesi, gelinin annesi ve pastacı. Üçü de birbirini gösteriyor.</t>
        </is>
      </c>
      <c r="G369" s="5" t="inlineStr">
        <is>
          <t>dugun-salonu</t>
        </is>
      </c>
      <c r="H369" s="5" t="inlineStr"/>
      <c r="I369" s="5" t="inlineStr"/>
      <c r="J369" s="5" t="n">
        <v>3</v>
      </c>
      <c r="K369" s="5" t="inlineStr"/>
      <c r="L369" s="5" t="inlineStr">
        <is>
          <t>hapis</t>
        </is>
      </c>
      <c r="M369" s="5" t="inlineStr"/>
      <c r="N369" s="5" t="inlineStr"/>
      <c r="O369" s="5" t="inlineStr"/>
      <c r="P369" s="5" t="inlineStr"/>
      <c r="Q369" s="5" t="inlineStr"/>
      <c r="R369" s="6" t="inlineStr"/>
      <c r="S369" s="5" t="inlineStr"/>
      <c r="T369" s="5" t="inlineStr"/>
      <c r="U369" s="5" t="inlineStr"/>
      <c r="V369" s="5" t="inlineStr">
        <is>
          <t>polis</t>
        </is>
      </c>
    </row>
    <row r="370">
      <c r="A370" s="5" t="inlineStr">
        <is>
          <t>b7-polis-ekip</t>
        </is>
      </c>
      <c r="B370" s="5" t="n">
        <v>7</v>
      </c>
      <c r="C370" s="5" t="inlineStr">
        <is>
          <t>37 yaş 3 ay</t>
        </is>
      </c>
      <c r="D370" s="5" t="inlineStr">
        <is>
          <t>🐈</t>
        </is>
      </c>
      <c r="E370" s="6" t="inlineStr">
        <is>
          <t>Ekip Artık Senin</t>
        </is>
      </c>
      <c r="F370" s="6" t="inlineStr">
        <is>
          <t>Büro amiri oldun: altı polis, bir çaycı, bir de kimsenin sahiplenmediği karakol kedisi. İlk sabah toplantısında herkes seni tartıyor; kedi hariç, o masanda uyuyor.</t>
        </is>
      </c>
      <c r="G370" s="5" t="inlineStr">
        <is>
          <t>karakol</t>
        </is>
      </c>
      <c r="H370" s="5" t="inlineStr"/>
      <c r="I370" s="5" t="inlineStr"/>
      <c r="J370" s="5" t="n">
        <v>3</v>
      </c>
      <c r="K370" s="5" t="inlineStr"/>
      <c r="L370" s="5" t="inlineStr">
        <is>
          <t>hapis</t>
        </is>
      </c>
      <c r="M370" s="5" t="inlineStr"/>
      <c r="N370" s="5" t="inlineStr"/>
      <c r="O370" s="5" t="inlineStr"/>
      <c r="P370" s="5" t="inlineStr"/>
      <c r="Q370" s="5" t="inlineStr"/>
      <c r="R370" s="6" t="inlineStr"/>
      <c r="S370" s="5" t="inlineStr"/>
      <c r="T370" s="5" t="inlineStr"/>
      <c r="U370" s="5" t="inlineStr"/>
      <c r="V370" s="5" t="inlineStr">
        <is>
          <t>polis</t>
        </is>
      </c>
    </row>
    <row r="371">
      <c r="A371" s="5" t="inlineStr">
        <is>
          <t>b8-polis-mudurluk</t>
        </is>
      </c>
      <c r="B371" s="5" t="n">
        <v>8</v>
      </c>
      <c r="C371" s="5" t="inlineStr">
        <is>
          <t>44 yaş</t>
        </is>
      </c>
      <c r="D371" s="5" t="inlineStr">
        <is>
          <t>🎖️</t>
        </is>
      </c>
      <c r="E371" s="6" t="inlineStr">
        <is>
          <t>Emniyet Müdürlüğü Mülakatı</t>
        </is>
      </c>
      <c r="F371" s="6" t="inlineStr">
        <is>
          <t>Emniyet müdürlüğü mülakatındasın. Beş kişilik kurul, önünde yirmi yıllık dosyan. Başkan gözlüğünü indirdi: “Sizi neden seçelim?” Arkada bir vantilatör cevabını bekler gibi dönüyor.</t>
        </is>
      </c>
      <c r="G371" s="5" t="inlineStr">
        <is>
          <t>devlet-dairesi</t>
        </is>
      </c>
      <c r="H371" s="5" t="inlineStr"/>
      <c r="I371" s="5" t="inlineStr"/>
      <c r="J371" s="5" t="n">
        <v>3</v>
      </c>
      <c r="K371" s="5" t="inlineStr"/>
      <c r="L371" s="5" t="inlineStr">
        <is>
          <t>hapis</t>
        </is>
      </c>
      <c r="M371" s="5" t="inlineStr"/>
      <c r="N371" s="5" t="inlineStr"/>
      <c r="O371" s="5" t="inlineStr"/>
      <c r="P371" s="5" t="inlineStr"/>
      <c r="Q371" s="5" t="inlineStr"/>
      <c r="R371" s="6" t="inlineStr"/>
      <c r="S371" s="5" t="inlineStr"/>
      <c r="T371" s="5" t="inlineStr"/>
      <c r="U371" s="5" t="inlineStr"/>
      <c r="V371" s="5" t="inlineStr">
        <is>
          <t>polis</t>
        </is>
      </c>
    </row>
    <row r="372">
      <c r="A372" s="5" t="inlineStr">
        <is>
          <t>b8-polis-teftis</t>
        </is>
      </c>
      <c r="B372" s="5" t="n">
        <v>8</v>
      </c>
      <c r="C372" s="5" t="inlineStr">
        <is>
          <t>48 yaş 6 ay</t>
        </is>
      </c>
      <c r="D372" s="5" t="inlineStr">
        <is>
          <t>📁</t>
        </is>
      </c>
      <c r="E372" s="6" t="inlineStr">
        <is>
          <t>Teftiş Geldi</t>
        </is>
      </c>
      <c r="F372" s="6" t="inlineStr">
        <is>
          <t>Teftiş kurulu geldi; eski dosyaların hepsi yeniden açılıyor. Müfettiş genç, titiz ve hiç gülümsemiyor. Arşiv odasında yirmi yılın tozu, bir de adını hatırlamadığın dosyalar var.</t>
        </is>
      </c>
      <c r="G372" s="5" t="inlineStr">
        <is>
          <t>karakol</t>
        </is>
      </c>
      <c r="H372" s="5" t="inlineStr"/>
      <c r="I372" s="5" t="inlineStr"/>
      <c r="J372" s="5" t="n">
        <v>3</v>
      </c>
      <c r="K372" s="5" t="inlineStr"/>
      <c r="L372" s="5" t="inlineStr">
        <is>
          <t>hapis</t>
        </is>
      </c>
      <c r="M372" s="5" t="inlineStr"/>
      <c r="N372" s="5" t="inlineStr"/>
      <c r="O372" s="5" t="inlineStr"/>
      <c r="P372" s="5" t="inlineStr"/>
      <c r="Q372" s="5" t="inlineStr"/>
      <c r="R372" s="6" t="inlineStr"/>
      <c r="S372" s="5" t="inlineStr"/>
      <c r="T372" s="5" t="inlineStr"/>
      <c r="U372" s="5" t="inlineStr"/>
      <c r="V372" s="5" t="inlineStr">
        <is>
          <t>polis</t>
        </is>
      </c>
    </row>
    <row r="373">
      <c r="A373" s="5" t="inlineStr">
        <is>
          <t>b9-polis-veda</t>
        </is>
      </c>
      <c r="B373" s="5" t="n">
        <v>9</v>
      </c>
      <c r="C373" s="5" t="inlineStr">
        <is>
          <t>62 yaş 6 ay</t>
        </is>
      </c>
      <c r="D373" s="5" t="inlineStr">
        <is>
          <t>🏅</t>
        </is>
      </c>
      <c r="E373" s="6" t="inlineStr">
        <is>
          <t>Son Tören</t>
        </is>
      </c>
      <c r="F373" s="6" t="inlineStr">
        <is>
          <t>Emekliliğe üç ay var. Teşkilat veda töreni hazırlıyor: kürsü, plaket, konuşman için beş dakika. Mahallede de başka bir hazırlık var; simitçiler bir şey fısıldaşıyor.</t>
        </is>
      </c>
      <c r="G373" s="5" t="inlineStr">
        <is>
          <t>karakol</t>
        </is>
      </c>
      <c r="H373" s="5" t="inlineStr"/>
      <c r="I373" s="5" t="inlineStr"/>
      <c r="J373" s="5" t="n">
        <v>3</v>
      </c>
      <c r="K373" s="5" t="inlineStr"/>
      <c r="L373" s="5" t="inlineStr">
        <is>
          <t>hapis</t>
        </is>
      </c>
      <c r="M373" s="5" t="inlineStr"/>
      <c r="N373" s="5" t="inlineStr"/>
      <c r="O373" s="5" t="inlineStr"/>
      <c r="P373" s="5" t="inlineStr"/>
      <c r="Q373" s="5" t="inlineStr"/>
      <c r="R373" s="6" t="inlineStr"/>
      <c r="S373" s="5" t="inlineStr"/>
      <c r="T373" s="5" t="inlineStr"/>
      <c r="U373" s="5" t="inlineStr"/>
      <c r="V373" s="5" t="inlineStr">
        <is>
          <t>polis</t>
        </is>
      </c>
    </row>
    <row r="374">
      <c r="A374" s="5" t="inlineStr">
        <is>
          <t>b7-yargi-horoz</t>
        </is>
      </c>
      <c r="B374" s="5" t="n">
        <v>7</v>
      </c>
      <c r="C374" s="5" t="inlineStr">
        <is>
          <t>28 yaş 2 ay</t>
        </is>
      </c>
      <c r="D374" s="5" t="inlineStr">
        <is>
          <t>🐓</t>
        </is>
      </c>
      <c r="E374" s="6" t="inlineStr">
        <is>
          <t>Horoz Davası</t>
        </is>
      </c>
      <c r="F374" s="6" t="inlineStr">
        <is>
          <t>Küçük bir kasabanın tek hâkimisin. Bugünkü dava: bir horoz sabah dörtte ötüyor, komşu uyuyamıyor. Sahibi “Horoz bu, saat değil” diyor. Salon dolu; kasabada başka bir şey olmuyor.</t>
        </is>
      </c>
      <c r="G374" s="5" t="inlineStr">
        <is>
          <t>mahkeme</t>
        </is>
      </c>
      <c r="H374" s="5" t="inlineStr"/>
      <c r="I374" s="5" t="inlineStr"/>
      <c r="J374" s="5" t="n">
        <v>3</v>
      </c>
      <c r="K374" s="5" t="inlineStr"/>
      <c r="L374" s="5" t="inlineStr">
        <is>
          <t>hapis</t>
        </is>
      </c>
      <c r="M374" s="5" t="inlineStr"/>
      <c r="N374" s="5" t="inlineStr"/>
      <c r="O374" s="5" t="inlineStr"/>
      <c r="P374" s="5" t="inlineStr"/>
      <c r="Q374" s="5" t="inlineStr"/>
      <c r="R374" s="6" t="inlineStr"/>
      <c r="S374" s="5" t="inlineStr"/>
      <c r="T374" s="5" t="inlineStr"/>
      <c r="U374" s="5" t="inlineStr"/>
      <c r="V374" s="5" t="inlineStr">
        <is>
          <t>yargi</t>
        </is>
      </c>
    </row>
    <row r="375">
      <c r="A375" s="5" t="inlineStr">
        <is>
          <t>b7-yargi-aidat</t>
        </is>
      </c>
      <c r="B375" s="5" t="n">
        <v>7</v>
      </c>
      <c r="C375" s="5" t="inlineStr">
        <is>
          <t>32 yaş</t>
        </is>
      </c>
      <c r="D375" s="5" t="inlineStr">
        <is>
          <t>🛗</t>
        </is>
      </c>
      <c r="E375" s="6" t="inlineStr">
        <is>
          <t>On Bir Yıllık Aidat</t>
        </is>
      </c>
      <c r="F375" s="6" t="inlineStr">
        <is>
          <t>Büyük şehir adliyesine tayin oldun. Masanda dört yüz dosya var; en eskisi on bir yıllık bir apartman aidatı davası. Borç, otuz yıl önceki bir asansör tamirinden. Asansör hâlâ bozuk.</t>
        </is>
      </c>
      <c r="G375" s="5" t="inlineStr">
        <is>
          <t>apartman</t>
        </is>
      </c>
      <c r="H375" s="5" t="inlineStr"/>
      <c r="I375" s="5" t="inlineStr"/>
      <c r="J375" s="5" t="n">
        <v>3</v>
      </c>
      <c r="K375" s="5" t="inlineStr"/>
      <c r="L375" s="5" t="inlineStr">
        <is>
          <t>hapis</t>
        </is>
      </c>
      <c r="M375" s="5" t="inlineStr"/>
      <c r="N375" s="5" t="inlineStr"/>
      <c r="O375" s="5" t="inlineStr"/>
      <c r="P375" s="5" t="inlineStr"/>
      <c r="Q375" s="5" t="inlineStr"/>
      <c r="R375" s="6" t="inlineStr"/>
      <c r="S375" s="5" t="inlineStr"/>
      <c r="T375" s="5" t="inlineStr"/>
      <c r="U375" s="5" t="inlineStr"/>
      <c r="V375" s="5" t="inlineStr">
        <is>
          <t>yargi</t>
        </is>
      </c>
    </row>
    <row r="376">
      <c r="A376" s="5" t="inlineStr">
        <is>
          <t>b7-yargi-kedi</t>
        </is>
      </c>
      <c r="B376" s="5" t="n">
        <v>7</v>
      </c>
      <c r="C376" s="5" t="inlineStr">
        <is>
          <t>37 yaş</t>
        </is>
      </c>
      <c r="D376" s="5" t="inlineStr">
        <is>
          <t>🐈</t>
        </is>
      </c>
      <c r="E376" s="6" t="inlineStr">
        <is>
          <t>Kedinin Velayeti</t>
        </is>
      </c>
      <c r="F376" s="6" t="inlineStr">
        <is>
          <t>Bir kedi iki komşunun evinde de besleniyor; ikisi de “Benim kedim” diyor. Biri Pamuk demiş, öbürü Paşa. Kedi duruşmaya getirildi; ikisine de gitmiyor, cübbenin ucuyla oynuyor.</t>
        </is>
      </c>
      <c r="G376" s="5" t="inlineStr">
        <is>
          <t>mahkeme</t>
        </is>
      </c>
      <c r="H376" s="5" t="inlineStr"/>
      <c r="I376" s="5" t="inlineStr"/>
      <c r="J376" s="5" t="n">
        <v>3</v>
      </c>
      <c r="K376" s="5" t="inlineStr"/>
      <c r="L376" s="5" t="inlineStr">
        <is>
          <t>hapis</t>
        </is>
      </c>
      <c r="M376" s="5" t="inlineStr"/>
      <c r="N376" s="5" t="inlineStr"/>
      <c r="O376" s="5" t="inlineStr"/>
      <c r="P376" s="5" t="inlineStr"/>
      <c r="Q376" s="5" t="inlineStr"/>
      <c r="R376" s="6" t="inlineStr"/>
      <c r="S376" s="5" t="inlineStr"/>
      <c r="T376" s="5" t="inlineStr"/>
      <c r="U376" s="5" t="inlineStr"/>
      <c r="V376" s="5" t="inlineStr">
        <is>
          <t>yargi</t>
        </is>
      </c>
    </row>
    <row r="377">
      <c r="A377" s="5" t="inlineStr">
        <is>
          <t>b8-yargi-yuksek</t>
        </is>
      </c>
      <c r="B377" s="5" t="n">
        <v>8</v>
      </c>
      <c r="C377" s="5" t="inlineStr">
        <is>
          <t>44 yaş 6 ay</t>
        </is>
      </c>
      <c r="D377" s="5" t="inlineStr">
        <is>
          <t>🏛️</t>
        </is>
      </c>
      <c r="E377" s="6" t="inlineStr">
        <is>
          <t>Yüksek Mahkeme Kapısı</t>
        </is>
      </c>
      <c r="F377" s="6" t="inlineStr">
        <is>
          <t>Yüksek mahkeme üyeliğine adaysın. Seçim kurulu kararlarını okuyacak; hangilerini sunacağın sana kalmış. Masada iki klasör: biri sade ve sağlam, öbürü tuhaf ama unutulmaz.</t>
        </is>
      </c>
      <c r="G377" s="5" t="inlineStr">
        <is>
          <t>mahkeme</t>
        </is>
      </c>
      <c r="H377" s="5" t="inlineStr"/>
      <c r="I377" s="5" t="inlineStr"/>
      <c r="J377" s="5" t="n">
        <v>3</v>
      </c>
      <c r="K377" s="5" t="inlineStr"/>
      <c r="L377" s="5" t="inlineStr">
        <is>
          <t>hapis</t>
        </is>
      </c>
      <c r="M377" s="5" t="inlineStr"/>
      <c r="N377" s="5" t="inlineStr"/>
      <c r="O377" s="5" t="inlineStr"/>
      <c r="P377" s="5" t="inlineStr"/>
      <c r="Q377" s="5" t="inlineStr"/>
      <c r="R377" s="6" t="inlineStr"/>
      <c r="S377" s="5" t="inlineStr"/>
      <c r="T377" s="5" t="inlineStr"/>
      <c r="U377" s="5" t="inlineStr"/>
      <c r="V377" s="5" t="inlineStr">
        <is>
          <t>yargi</t>
        </is>
      </c>
    </row>
    <row r="378">
      <c r="A378" s="5" t="inlineStr">
        <is>
          <t>b8-yargi-denetim</t>
        </is>
      </c>
      <c r="B378" s="5" t="n">
        <v>8</v>
      </c>
      <c r="C378" s="5" t="inlineStr">
        <is>
          <t>49 yaş</t>
        </is>
      </c>
      <c r="D378" s="5" t="inlineStr">
        <is>
          <t>🔍</t>
        </is>
      </c>
      <c r="E378" s="6" t="inlineStr">
        <is>
          <t>Eski Kararlar Masada</t>
        </is>
      </c>
      <c r="F378" s="6" t="inlineStr">
        <is>
          <t>Hâkimler kurulu eski kararlarını inceliyor. Müfettiş tek tek soruyor: bu neden böyle, şu neden şöyle. Masada yirmi yılın dosyaları; içlerinden biri ötekilerden kalın.</t>
        </is>
      </c>
      <c r="G378" s="5" t="inlineStr">
        <is>
          <t>mahkeme</t>
        </is>
      </c>
      <c r="H378" s="5" t="inlineStr"/>
      <c r="I378" s="5" t="inlineStr"/>
      <c r="J378" s="5" t="n">
        <v>3</v>
      </c>
      <c r="K378" s="5" t="inlineStr"/>
      <c r="L378" s="5" t="inlineStr">
        <is>
          <t>hapis</t>
        </is>
      </c>
      <c r="M378" s="5" t="inlineStr"/>
      <c r="N378" s="5" t="inlineStr"/>
      <c r="O378" s="5" t="inlineStr"/>
      <c r="P378" s="5" t="inlineStr"/>
      <c r="Q378" s="5" t="inlineStr"/>
      <c r="R378" s="6" t="inlineStr"/>
      <c r="S378" s="5" t="inlineStr"/>
      <c r="T378" s="5" t="inlineStr"/>
      <c r="U378" s="5" t="inlineStr"/>
      <c r="V378" s="5" t="inlineStr">
        <is>
          <t>yargi</t>
        </is>
      </c>
    </row>
    <row r="379">
      <c r="A379" s="5" t="inlineStr">
        <is>
          <t>b9-yargi-ceviz</t>
        </is>
      </c>
      <c r="B379" s="5" t="n">
        <v>9</v>
      </c>
      <c r="C379" s="5" t="inlineStr">
        <is>
          <t>64 yaş</t>
        </is>
      </c>
      <c r="D379" s="5" t="inlineStr">
        <is>
          <t>🌰</t>
        </is>
      </c>
      <c r="E379" s="6" t="inlineStr">
        <is>
          <t>Son Dosya: Ceviz Ağacı</t>
        </is>
      </c>
      <c r="F379" s="6" t="inlineStr">
        <is>
          <t>Emekliliğe bir dosya kaldı. Kapağı açtın: iki komşu, bir ceviz ağacı. Adaylığında izlediğin davanın ta kendisi; taraflar artık torunlar. Kırk yıl geçmiş; ağaç büyümüş, kin de.</t>
        </is>
      </c>
      <c r="G379" s="5" t="inlineStr">
        <is>
          <t>mahkeme</t>
        </is>
      </c>
      <c r="H379" s="5" t="inlineStr"/>
      <c r="I379" s="5" t="inlineStr"/>
      <c r="J379" s="5" t="n">
        <v>3</v>
      </c>
      <c r="K379" s="5" t="inlineStr"/>
      <c r="L379" s="5" t="inlineStr">
        <is>
          <t>hapis</t>
        </is>
      </c>
      <c r="M379" s="5" t="inlineStr"/>
      <c r="N379" s="5" t="inlineStr"/>
      <c r="O379" s="5" t="inlineStr"/>
      <c r="P379" s="5" t="inlineStr"/>
      <c r="Q379" s="5" t="inlineStr"/>
      <c r="R379" s="6" t="inlineStr"/>
      <c r="S379" s="5" t="inlineStr"/>
      <c r="T379" s="5" t="inlineStr"/>
      <c r="U379" s="5" t="inlineStr"/>
      <c r="V379" s="5" t="inlineStr">
        <is>
          <t>yargi</t>
        </is>
      </c>
    </row>
    <row r="380">
      <c r="A380" s="5" t="inlineStr">
        <is>
          <t>b7-hekim-ilce</t>
        </is>
      </c>
      <c r="B380" s="5" t="n">
        <v>7</v>
      </c>
      <c r="C380" s="5" t="inlineStr">
        <is>
          <t>27 yaş 6 ay</t>
        </is>
      </c>
      <c r="D380" s="5" t="inlineStr">
        <is>
          <t>🏥</t>
        </is>
      </c>
      <c r="E380" s="6" t="inlineStr">
        <is>
          <t>İlçenin Tek Doktoru</t>
        </is>
      </c>
      <c r="F380" s="6" t="inlineStr">
        <is>
          <t>Mecburi hizmettesin; ilçe hastanesinin tek doktoru sensin. Bakkal tansiyonunu, muhtar dizini, belediye başkanı her şeyi soruyor. Aile grubundan da sabah sabah teyzenin dizinin fotoğrafı geldi.</t>
        </is>
      </c>
      <c r="G380" s="5" t="inlineStr">
        <is>
          <t>hastane</t>
        </is>
      </c>
      <c r="H380" s="5" t="inlineStr"/>
      <c r="I380" s="5" t="inlineStr"/>
      <c r="J380" s="5" t="n">
        <v>3</v>
      </c>
      <c r="K380" s="5" t="inlineStr"/>
      <c r="L380" s="5" t="inlineStr">
        <is>
          <t>hapis</t>
        </is>
      </c>
      <c r="M380" s="5" t="inlineStr"/>
      <c r="N380" s="5" t="inlineStr"/>
      <c r="O380" s="5" t="inlineStr"/>
      <c r="P380" s="5" t="inlineStr"/>
      <c r="Q380" s="5" t="inlineStr"/>
      <c r="R380" s="6" t="inlineStr"/>
      <c r="S380" s="5" t="inlineStr"/>
      <c r="T380" s="5" t="inlineStr"/>
      <c r="U380" s="5" t="inlineStr"/>
      <c r="V380" s="5" t="inlineStr">
        <is>
          <t>hekim</t>
        </is>
      </c>
    </row>
    <row r="381">
      <c r="A381" s="5" t="inlineStr">
        <is>
          <t>b7-hekim-uzmanlik</t>
        </is>
      </c>
      <c r="B381" s="5" t="n">
        <v>7</v>
      </c>
      <c r="C381" s="5" t="inlineStr">
        <is>
          <t>31 yaş 8 ay</t>
        </is>
      </c>
      <c r="D381" s="5" t="inlineStr">
        <is>
          <t>🩺</t>
        </is>
      </c>
      <c r="E381" s="6" t="inlineStr">
        <is>
          <t>Vizitte Hocanın Sorusu</t>
        </is>
      </c>
      <c r="F381" s="6" t="inlineStr">
        <is>
          <t>Uzmanlık eğitimindesin. Sabah vizitinde hoca otuz kişinin önünde durup sana döndü: “Bu hastada ne düşünüyorsun?” Hasta da merakla bakıyor. Otuz altı saattir uyumadın.</t>
        </is>
      </c>
      <c r="G381" s="5" t="inlineStr">
        <is>
          <t>hastane</t>
        </is>
      </c>
      <c r="H381" s="5" t="inlineStr"/>
      <c r="I381" s="5" t="inlineStr"/>
      <c r="J381" s="5" t="n">
        <v>3</v>
      </c>
      <c r="K381" s="5" t="inlineStr"/>
      <c r="L381" s="5" t="inlineStr">
        <is>
          <t>hapis</t>
        </is>
      </c>
      <c r="M381" s="5" t="inlineStr"/>
      <c r="N381" s="5" t="inlineStr"/>
      <c r="O381" s="5" t="inlineStr"/>
      <c r="P381" s="5" t="inlineStr"/>
      <c r="Q381" s="5" t="inlineStr"/>
      <c r="R381" s="6" t="inlineStr"/>
      <c r="S381" s="5" t="inlineStr"/>
      <c r="T381" s="5" t="inlineStr"/>
      <c r="U381" s="5" t="inlineStr"/>
      <c r="V381" s="5" t="inlineStr">
        <is>
          <t>hekim</t>
        </is>
      </c>
    </row>
    <row r="382">
      <c r="A382" s="5" t="inlineStr">
        <is>
          <t>b7-hekim-hasta-yakini</t>
        </is>
      </c>
      <c r="B382" s="5" t="n">
        <v>7</v>
      </c>
      <c r="C382" s="5" t="inlineStr">
        <is>
          <t>37 yaş 6 ay</t>
        </is>
      </c>
      <c r="D382" s="5" t="inlineStr">
        <is>
          <t>👨‍👩‍👧‍👦</t>
        </is>
      </c>
      <c r="E382" s="6" t="inlineStr">
        <is>
          <t>Koridorda On Bir Yakın</t>
        </is>
      </c>
      <c r="F382" s="6" t="inlineStr">
        <is>
          <t>Servise bir amca yattı; koridorda on bir yakını var. Her biri durumu ayrı soruyor, her birine ayrı anlatıyorsun. On ikincisi telefonda, hoparlörde. Amcanın kendisi uyuyor, keyfi yerinde.</t>
        </is>
      </c>
      <c r="G382" s="5" t="inlineStr">
        <is>
          <t>hastane</t>
        </is>
      </c>
      <c r="H382" s="5" t="inlineStr"/>
      <c r="I382" s="5" t="inlineStr"/>
      <c r="J382" s="5" t="n">
        <v>3</v>
      </c>
      <c r="K382" s="5" t="inlineStr"/>
      <c r="L382" s="5" t="inlineStr">
        <is>
          <t>hapis</t>
        </is>
      </c>
      <c r="M382" s="5" t="inlineStr"/>
      <c r="N382" s="5" t="inlineStr"/>
      <c r="O382" s="5" t="inlineStr"/>
      <c r="P382" s="5" t="inlineStr"/>
      <c r="Q382" s="5" t="inlineStr"/>
      <c r="R382" s="6" t="inlineStr"/>
      <c r="S382" s="5" t="inlineStr"/>
      <c r="T382" s="5" t="inlineStr"/>
      <c r="U382" s="5" t="inlineStr"/>
      <c r="V382" s="5" t="inlineStr">
        <is>
          <t>hekim</t>
        </is>
      </c>
    </row>
    <row r="383">
      <c r="A383" s="5" t="inlineStr">
        <is>
          <t>b8-hekim-profesorluk</t>
        </is>
      </c>
      <c r="B383" s="5" t="n">
        <v>8</v>
      </c>
      <c r="C383" s="5" t="inlineStr">
        <is>
          <t>45 yaş</t>
        </is>
      </c>
      <c r="D383" s="5" t="inlineStr">
        <is>
          <t>📚</t>
        </is>
      </c>
      <c r="E383" s="6" t="inlineStr">
        <is>
          <t>Profesörlük Dosyası</t>
        </is>
      </c>
      <c r="F383" s="6" t="inlineStr">
        <is>
          <t>Profesörlük dosyana bir makale eksik. Laboratuvarda yarım bir çalışma, masada yarım bir çay, evde yarım kalmış akşam yemekleri. Jüri üç ay sonra toplanıyor; aile grubu “Profesör olunca ne değişiyor?” diye soruyor.</t>
        </is>
      </c>
      <c r="G383" s="5" t="inlineStr">
        <is>
          <t>universite</t>
        </is>
      </c>
      <c r="H383" s="5" t="inlineStr"/>
      <c r="I383" s="5" t="inlineStr"/>
      <c r="J383" s="5" t="n">
        <v>3</v>
      </c>
      <c r="K383" s="5" t="inlineStr"/>
      <c r="L383" s="5" t="inlineStr">
        <is>
          <t>hapis</t>
        </is>
      </c>
      <c r="M383" s="5" t="inlineStr"/>
      <c r="N383" s="5" t="inlineStr"/>
      <c r="O383" s="5" t="inlineStr"/>
      <c r="P383" s="5" t="inlineStr"/>
      <c r="Q383" s="5" t="inlineStr"/>
      <c r="R383" s="6" t="inlineStr"/>
      <c r="S383" s="5" t="inlineStr"/>
      <c r="T383" s="5" t="inlineStr"/>
      <c r="U383" s="5" t="inlineStr"/>
      <c r="V383" s="5" t="inlineStr">
        <is>
          <t>hekim</t>
        </is>
      </c>
    </row>
    <row r="384">
      <c r="A384" s="5" t="inlineStr">
        <is>
          <t>b8-hekim-aile-grubu</t>
        </is>
      </c>
      <c r="B384" s="5" t="n">
        <v>8</v>
      </c>
      <c r="C384" s="5" t="inlineStr">
        <is>
          <t>50 yaş 3 ay</t>
        </is>
      </c>
      <c r="D384" s="5" t="inlineStr">
        <is>
          <t>📱</t>
        </is>
      </c>
      <c r="E384" s="6" t="inlineStr">
        <is>
          <t>Aile Grubunda Yüz Kırk Kişi</t>
        </is>
      </c>
      <c r="F384" s="6" t="inlineStr">
        <is>
          <t>Aile grubu yüz kırk kişiye ulaştı. Bu sabahki mesajlar: kuzenin öksürüğü, halanın tansiyonu, eniştenin “Bu hap neydi?” fotoğrafı ve yeni katılan biri: “Doktor bu grupta mı?”</t>
        </is>
      </c>
      <c r="G384" s="5" t="inlineStr">
        <is>
          <t>ev</t>
        </is>
      </c>
      <c r="H384" s="5" t="inlineStr"/>
      <c r="I384" s="5" t="inlineStr"/>
      <c r="J384" s="5" t="n">
        <v>3</v>
      </c>
      <c r="K384" s="5" t="inlineStr"/>
      <c r="L384" s="5" t="inlineStr">
        <is>
          <t>hapis</t>
        </is>
      </c>
      <c r="M384" s="5" t="inlineStr"/>
      <c r="N384" s="5" t="inlineStr"/>
      <c r="O384" s="5" t="inlineStr"/>
      <c r="P384" s="5" t="inlineStr"/>
      <c r="Q384" s="5" t="inlineStr"/>
      <c r="R384" s="6" t="inlineStr"/>
      <c r="S384" s="5" t="inlineStr"/>
      <c r="T384" s="5" t="inlineStr"/>
      <c r="U384" s="5" t="inlineStr"/>
      <c r="V384" s="5" t="inlineStr">
        <is>
          <t>hekim</t>
        </is>
      </c>
    </row>
    <row r="385">
      <c r="A385" s="5" t="inlineStr">
        <is>
          <t>b9-hekim-son-vizit</t>
        </is>
      </c>
      <c r="B385" s="5" t="n">
        <v>9</v>
      </c>
      <c r="C385" s="5" t="inlineStr">
        <is>
          <t>63 yaş 6 ay</t>
        </is>
      </c>
      <c r="D385" s="5" t="inlineStr">
        <is>
          <t>🥼</t>
        </is>
      </c>
      <c r="E385" s="6" t="inlineStr">
        <is>
          <t>Son Vizit</t>
        </is>
      </c>
      <c r="F385" s="6" t="inlineStr">
        <is>
          <t>Emeklilikten önceki son vizit. Arkanda yirmi asistan, hepsi bir zamanlar senin olduğun kadar uykusuz. Bir yatağın başında durdun; asistanlar nefesini tuttu. Son sorunu soracaksın.</t>
        </is>
      </c>
      <c r="G385" s="5" t="inlineStr">
        <is>
          <t>hastane</t>
        </is>
      </c>
      <c r="H385" s="5" t="inlineStr"/>
      <c r="I385" s="5" t="inlineStr"/>
      <c r="J385" s="5" t="n">
        <v>3</v>
      </c>
      <c r="K385" s="5" t="inlineStr"/>
      <c r="L385" s="5" t="inlineStr">
        <is>
          <t>hapis</t>
        </is>
      </c>
      <c r="M385" s="5" t="inlineStr"/>
      <c r="N385" s="5" t="inlineStr"/>
      <c r="O385" s="5" t="inlineStr"/>
      <c r="P385" s="5" t="inlineStr"/>
      <c r="Q385" s="5" t="inlineStr"/>
      <c r="R385" s="6" t="inlineStr"/>
      <c r="S385" s="5" t="inlineStr"/>
      <c r="T385" s="5" t="inlineStr"/>
      <c r="U385" s="5" t="inlineStr"/>
      <c r="V385" s="5" t="inlineStr">
        <is>
          <t>hekim</t>
        </is>
      </c>
    </row>
    <row r="386">
      <c r="A386" s="5" t="inlineStr">
        <is>
          <t>k10-polis</t>
        </is>
      </c>
      <c r="B386" s="5" t="n">
        <v>7</v>
      </c>
      <c r="C386" s="5" t="inlineStr">
        <is>
          <t>35 yaş</t>
        </is>
      </c>
      <c r="D386" s="5" t="inlineStr">
        <is>
          <t>✉️</t>
        </is>
      </c>
      <c r="E386" s="6" t="inlineStr">
        <is>
          <t>Rüşvet Zarfı</t>
        </is>
      </c>
      <c r="F386" s="6" t="inlineStr">
        <is>
          <t>Büyük bir inşaat dosyası senin masanda. Müteahhidin adamı bir kahve içip gitti; fincan tabağının altında kalın bir zarf kaldı. Karakolda kimse görmedi. Sen gördün; zarf da seni görüyor gibi.</t>
        </is>
      </c>
      <c r="G386" s="5" t="inlineStr">
        <is>
          <t>karakol</t>
        </is>
      </c>
      <c r="H386" s="5" t="inlineStr"/>
      <c r="I386" s="5" t="inlineStr">
        <is>
          <t>E</t>
        </is>
      </c>
      <c r="J386" s="5" t="inlineStr"/>
      <c r="K386" s="5" t="inlineStr"/>
      <c r="L386" s="5" t="inlineStr">
        <is>
          <t>hapis</t>
        </is>
      </c>
      <c r="M386" s="5" t="inlineStr"/>
      <c r="N386" s="5" t="inlineStr"/>
      <c r="O386" s="5" t="inlineStr"/>
      <c r="P386" s="5" t="inlineStr"/>
      <c r="Q386" s="5" t="n">
        <v>10</v>
      </c>
      <c r="R386" s="6" t="inlineStr">
        <is>
          <t>Her polisin önüne bir gün bir zarf konur. Onu ne yaptığın, kalan yıllarını hangi tarafta geçireceğini belirler.</t>
        </is>
      </c>
      <c r="S386" s="5" t="inlineStr"/>
      <c r="T386" s="5" t="inlineStr"/>
      <c r="U386" s="5" t="inlineStr"/>
      <c r="V386" s="5" t="inlineStr">
        <is>
          <t>polis</t>
        </is>
      </c>
    </row>
    <row r="387">
      <c r="A387" s="5" t="inlineStr">
        <is>
          <t>k10-yargi</t>
        </is>
      </c>
      <c r="B387" s="5" t="n">
        <v>7</v>
      </c>
      <c r="C387" s="5" t="inlineStr">
        <is>
          <t>35 yaş</t>
        </is>
      </c>
      <c r="D387" s="5" t="inlineStr">
        <is>
          <t>⚖️</t>
        </is>
      </c>
      <c r="E387" s="6" t="inlineStr">
        <is>
          <t>Büyük Dosya</t>
        </is>
      </c>
      <c r="F387" s="6" t="inlineStr">
        <is>
          <t>Önünde şehrin en çok konuşulan dosyası var: dev bir alışveriş merkezi, bir mahalle parkı ve yüz yaşında bir çınar. Koridorda gazeteciler, telefonunda tanımadığın numaralar: “Çınar kesilse kimse ölmez.”</t>
        </is>
      </c>
      <c r="G387" s="5" t="inlineStr">
        <is>
          <t>mahkeme</t>
        </is>
      </c>
      <c r="H387" s="5" t="inlineStr"/>
      <c r="I387" s="5" t="inlineStr">
        <is>
          <t>E</t>
        </is>
      </c>
      <c r="J387" s="5" t="inlineStr"/>
      <c r="K387" s="5" t="inlineStr"/>
      <c r="L387" s="5" t="inlineStr">
        <is>
          <t>hapis</t>
        </is>
      </c>
      <c r="M387" s="5" t="inlineStr"/>
      <c r="N387" s="5" t="inlineStr"/>
      <c r="O387" s="5" t="inlineStr"/>
      <c r="P387" s="5" t="inlineStr"/>
      <c r="Q387" s="5" t="n">
        <v>10</v>
      </c>
      <c r="R387" s="6" t="inlineStr">
        <is>
          <t>Her hâkimin önüne bir gün herkesin konuştuğu dosya gelir. O dosyada ne yaptığın, cübbenin kalan ömrünü belirler.</t>
        </is>
      </c>
      <c r="S387" s="5" t="inlineStr"/>
      <c r="T387" s="5" t="inlineStr"/>
      <c r="U387" s="5" t="inlineStr"/>
      <c r="V387" s="5" t="inlineStr">
        <is>
          <t>yargi</t>
        </is>
      </c>
    </row>
    <row r="388">
      <c r="A388" s="5" t="inlineStr">
        <is>
          <t>k10-hekim</t>
        </is>
      </c>
      <c r="B388" s="5" t="n">
        <v>7</v>
      </c>
      <c r="C388" s="5" t="inlineStr">
        <is>
          <t>35 yaş</t>
        </is>
      </c>
      <c r="D388" s="5" t="inlineStr">
        <is>
          <t>🥼</t>
        </is>
      </c>
      <c r="E388" s="6" t="inlineStr">
        <is>
          <t>Önlüğün İkinci Rengi</t>
        </is>
      </c>
      <c r="F388" s="6" t="inlineStr">
        <is>
          <t>Uzmanlığının beşinci yılı. Aynı hafta üç teklif geldi: klinik şefliği sınavı, bir yatırımcıdan “Kendi kliniğini aç”, bir sabah programından “Haftada bir konuk doktor.” Posta kutunda da Öte Diyar'dan bir ilan.</t>
        </is>
      </c>
      <c r="G388" s="5" t="inlineStr">
        <is>
          <t>hastane</t>
        </is>
      </c>
      <c r="H388" s="5" t="inlineStr"/>
      <c r="I388" s="5" t="inlineStr">
        <is>
          <t>E</t>
        </is>
      </c>
      <c r="J388" s="5" t="inlineStr"/>
      <c r="K388" s="5" t="inlineStr"/>
      <c r="L388" s="5" t="inlineStr">
        <is>
          <t>hapis</t>
        </is>
      </c>
      <c r="M388" s="5" t="inlineStr"/>
      <c r="N388" s="5" t="inlineStr"/>
      <c r="O388" s="5" t="inlineStr"/>
      <c r="P388" s="5" t="inlineStr"/>
      <c r="Q388" s="5" t="n">
        <v>10</v>
      </c>
      <c r="R388" s="6" t="inlineStr">
        <is>
          <t>Her hekim bir gün beyaz önlüğe ikinci bir renk ekler. Seçtiğin renk, önlüğün son rengi olur.</t>
        </is>
      </c>
      <c r="S388" s="5" t="inlineStr"/>
      <c r="T388" s="5" t="inlineStr"/>
      <c r="U388" s="5" t="inlineStr"/>
      <c r="V388" s="5" t="inlineStr">
        <is>
          <t>hekim</t>
        </is>
      </c>
    </row>
    <row r="389">
      <c r="A389" s="5" t="inlineStr">
        <is>
          <t>k10-memur</t>
        </is>
      </c>
      <c r="B389" s="5" t="n">
        <v>7</v>
      </c>
      <c r="C389" s="5" t="inlineStr">
        <is>
          <t>35 yaş</t>
        </is>
      </c>
      <c r="D389" s="5" t="inlineStr">
        <is>
          <t>📋</t>
        </is>
      </c>
      <c r="E389" s="6" t="inlineStr">
        <is>
          <t>Tayin mi, Terfi mi?</t>
        </is>
      </c>
      <c r="F389" s="6" t="inlineStr">
        <is>
          <t>Müdür seni çağırdı, masaya iki kâğıt koydu: birinde memleketine tayin, öbüründe şube müdürlüğü sınavı. Bir de çalıştığın köy şubesinden bir mektup: “Siz gidince burası kapanır.”</t>
        </is>
      </c>
      <c r="G389" s="5" t="inlineStr">
        <is>
          <t>devlet-dairesi</t>
        </is>
      </c>
      <c r="H389" s="5" t="inlineStr"/>
      <c r="I389" s="5" t="inlineStr">
        <is>
          <t>E</t>
        </is>
      </c>
      <c r="J389" s="5" t="inlineStr"/>
      <c r="K389" s="5" t="inlineStr"/>
      <c r="L389" s="5" t="inlineStr">
        <is>
          <t>hapis</t>
        </is>
      </c>
      <c r="M389" s="5" t="inlineStr"/>
      <c r="N389" s="5" t="inlineStr"/>
      <c r="O389" s="5" t="inlineStr"/>
      <c r="P389" s="5" t="inlineStr"/>
      <c r="Q389" s="5" t="n">
        <v>10</v>
      </c>
      <c r="R389" s="6" t="inlineStr">
        <is>
          <t>Her memurun önüne bir gün iki kâğıt konur. Hangisini imzaladığın, emekliliğe kadar hangi masada oturacağını belirler.</t>
        </is>
      </c>
      <c r="S389" s="5" t="inlineStr"/>
      <c r="T389" s="5" t="inlineStr"/>
      <c r="U389" s="5" t="inlineStr"/>
      <c r="V389" s="5" t="inlineStr">
        <is>
          <t>memur</t>
        </is>
      </c>
    </row>
    <row r="390">
      <c r="A390" s="5" t="inlineStr">
        <is>
          <t>k10-beyazyaka</t>
        </is>
      </c>
      <c r="B390" s="5" t="n">
        <v>7</v>
      </c>
      <c r="C390" s="5" t="inlineStr">
        <is>
          <t>35 yaş</t>
        </is>
      </c>
      <c r="D390" s="5" t="inlineStr">
        <is>
          <t>📉</t>
        </is>
      </c>
      <c r="E390" s="6" t="inlineStr">
        <is>
          <t>Küçülme Dalgası</t>
        </is>
      </c>
      <c r="F390" s="6" t="inlineStr">
        <is>
          <t>Şirket “yeniden yapılanma” duyurdu; her katta üç kişiden biri gidecek. İnsan kaynakları toplantı odasına kutu taşıyor. Ekranında bir tazminat hesabı, yanında Öte Diyar ofisinin iç ilanı açık.</t>
        </is>
      </c>
      <c r="G390" s="5" t="inlineStr">
        <is>
          <t>ofis</t>
        </is>
      </c>
      <c r="H390" s="5" t="inlineStr"/>
      <c r="I390" s="5" t="inlineStr">
        <is>
          <t>E</t>
        </is>
      </c>
      <c r="J390" s="5" t="inlineStr"/>
      <c r="K390" s="5" t="inlineStr"/>
      <c r="L390" s="5" t="inlineStr">
        <is>
          <t>hapis</t>
        </is>
      </c>
      <c r="M390" s="5" t="inlineStr"/>
      <c r="N390" s="5" t="inlineStr"/>
      <c r="O390" s="5" t="inlineStr"/>
      <c r="P390" s="5" t="inlineStr"/>
      <c r="Q390" s="5" t="n">
        <v>10</v>
      </c>
      <c r="R390" s="6" t="inlineStr">
        <is>
          <t>Her plaza çalışanı bir gün bir küçülme dalgası görür. Dalgadan sonra nerede durduğun, kariyerinin geri kalanını belirler.</t>
        </is>
      </c>
      <c r="S390" s="5" t="inlineStr"/>
      <c r="T390" s="5" t="inlineStr"/>
      <c r="U390" s="5" t="inlineStr"/>
      <c r="V390" s="5" t="inlineStr">
        <is>
          <t>beyazyaka</t>
        </is>
      </c>
    </row>
    <row r="391">
      <c r="A391" s="5" t="inlineStr">
        <is>
          <t>b7-cete-tahsilat</t>
        </is>
      </c>
      <c r="B391" s="5" t="n">
        <v>7</v>
      </c>
      <c r="C391" s="5" t="inlineStr">
        <is>
          <t>28 yaş 6 ay</t>
        </is>
      </c>
      <c r="D391" s="5" t="inlineStr">
        <is>
          <t>🧾</t>
        </is>
      </c>
      <c r="E391" s="6" t="inlineStr">
        <is>
          <t>İlk Tahsilat</t>
        </is>
      </c>
      <c r="F391" s="6" t="inlineStr">
        <is>
          <t>Abi sana bir kâğıt verdi: “Kebapçı Nurettin üç aydır ödemiyor. Git, selamımı söyle.” Selamın ne kadar ağır olduğunu sormadın. Nurettin seni kapıda görünce hamur açmaya başladı; hızlı.</t>
        </is>
      </c>
      <c r="G391" s="5" t="inlineStr">
        <is>
          <t>carsi</t>
        </is>
      </c>
      <c r="H391" s="5" t="inlineStr"/>
      <c r="I391" s="5" t="inlineStr"/>
      <c r="J391" s="5" t="n">
        <v>3</v>
      </c>
      <c r="K391" s="5" t="inlineStr"/>
      <c r="L391" s="5" t="inlineStr">
        <is>
          <t>hapis</t>
        </is>
      </c>
      <c r="M391" s="5" t="inlineStr"/>
      <c r="N391" s="5" t="inlineStr"/>
      <c r="O391" s="5" t="inlineStr"/>
      <c r="P391" s="5" t="inlineStr"/>
      <c r="Q391" s="5" t="inlineStr"/>
      <c r="R391" s="6" t="inlineStr"/>
      <c r="S391" s="5" t="inlineStr"/>
      <c r="T391" s="5" t="inlineStr"/>
      <c r="U391" s="5" t="inlineStr"/>
      <c r="V391" s="5" t="inlineStr">
        <is>
          <t>cete</t>
        </is>
      </c>
    </row>
    <row r="392">
      <c r="A392" s="5" t="inlineStr">
        <is>
          <t>b7-cete-tefeci</t>
        </is>
      </c>
      <c r="B392" s="5" t="n">
        <v>7</v>
      </c>
      <c r="C392" s="5" t="inlineStr">
        <is>
          <t>32 yaş 6 ay</t>
        </is>
      </c>
      <c r="D392" s="5" t="inlineStr">
        <is>
          <t>📒</t>
        </is>
      </c>
      <c r="E392" s="6" t="inlineStr">
        <is>
          <t>Yıkamanın Arka Odası</t>
        </is>
      </c>
      <c r="F392" s="6" t="inlineStr">
        <is>
          <t>Oto yıkamanın arka odasına bir masa koydun. Mahalleli araba yıkatmaya gelip “Ay sonuna kadar biraz lazım” diyor. Defterin kalınlaşıyor; hesap makinenin yedi tuşu basmıyor.</t>
        </is>
      </c>
      <c r="G392" s="5" t="inlineStr">
        <is>
          <t>dukkan</t>
        </is>
      </c>
      <c r="H392" s="5" t="inlineStr"/>
      <c r="I392" s="5" t="inlineStr"/>
      <c r="J392" s="5" t="n">
        <v>3</v>
      </c>
      <c r="K392" s="5" t="inlineStr"/>
      <c r="L392" s="5" t="inlineStr">
        <is>
          <t>hapis</t>
        </is>
      </c>
      <c r="M392" s="5" t="inlineStr"/>
      <c r="N392" s="5" t="inlineStr"/>
      <c r="O392" s="5" t="inlineStr"/>
      <c r="P392" s="5" t="inlineStr"/>
      <c r="Q392" s="5" t="inlineStr"/>
      <c r="R392" s="6" t="inlineStr"/>
      <c r="S392" s="5" t="inlineStr"/>
      <c r="T392" s="5" t="inlineStr"/>
      <c r="U392" s="5" t="inlineStr"/>
      <c r="V392" s="5" t="inlineStr">
        <is>
          <t>cete</t>
        </is>
      </c>
    </row>
    <row r="393">
      <c r="A393" s="5" t="inlineStr">
        <is>
          <t>b7-cete-rakip</t>
        </is>
      </c>
      <c r="B393" s="5" t="n">
        <v>7</v>
      </c>
      <c r="C393" s="5" t="inlineStr">
        <is>
          <t>37 yaş</t>
        </is>
      </c>
      <c r="D393" s="5" t="inlineStr">
        <is>
          <t>🫧</t>
        </is>
      </c>
      <c r="E393" s="6" t="inlineStr">
        <is>
          <t>Karşı Kaldırımda Köpük</t>
        </is>
      </c>
      <c r="F393" s="6" t="inlineStr">
        <is>
          <t>Karşı kaldırıma yeni bir oto yıkama açıldı; adı seninkinin aynısı, bir harf fazlası var. Sahibi genç, hevesli ve abinin eski rakibinin yeğeni. Mahalle iki kaldırımın arasından bakıyor.</t>
        </is>
      </c>
      <c r="G393" s="5" t="inlineStr">
        <is>
          <t>sokak</t>
        </is>
      </c>
      <c r="H393" s="5" t="inlineStr"/>
      <c r="I393" s="5" t="inlineStr"/>
      <c r="J393" s="5" t="n">
        <v>3</v>
      </c>
      <c r="K393" s="5" t="inlineStr"/>
      <c r="L393" s="5" t="inlineStr">
        <is>
          <t>hapis</t>
        </is>
      </c>
      <c r="M393" s="5" t="inlineStr"/>
      <c r="N393" s="5" t="inlineStr"/>
      <c r="O393" s="5" t="inlineStr"/>
      <c r="P393" s="5" t="inlineStr"/>
      <c r="Q393" s="5" t="inlineStr"/>
      <c r="R393" s="6" t="inlineStr"/>
      <c r="S393" s="5" t="inlineStr"/>
      <c r="T393" s="5" t="inlineStr"/>
      <c r="U393" s="5" t="inlineStr"/>
      <c r="V393" s="5" t="inlineStr">
        <is>
          <t>cete</t>
        </is>
      </c>
    </row>
    <row r="394">
      <c r="A394" s="5" t="inlineStr">
        <is>
          <t>b8-cete-hatir-masasi</t>
        </is>
      </c>
      <c r="B394" s="5" t="n">
        <v>8</v>
      </c>
      <c r="C394" s="5" t="inlineStr">
        <is>
          <t>43 yaş</t>
        </is>
      </c>
      <c r="D394" s="5" t="inlineStr">
        <is>
          <t>🪑</t>
        </is>
      </c>
      <c r="E394" s="6" t="inlineStr">
        <is>
          <t>Hatır Masası</t>
        </is>
      </c>
      <c r="F394" s="6" t="inlineStr">
        <is>
          <t>Kahvenin köşe masası artık senin. Bugün iki aile geldi: aynı düğün salonunu aynı cumartesiye tutmuşlar. İki damat da sana bakıyor, iki kayınpeder de. Salon sahibi depoda saklanıyor.</t>
        </is>
      </c>
      <c r="G394" s="5" t="inlineStr">
        <is>
          <t>kafe</t>
        </is>
      </c>
      <c r="H394" s="5" t="inlineStr"/>
      <c r="I394" s="5" t="inlineStr"/>
      <c r="J394" s="5" t="n">
        <v>3</v>
      </c>
      <c r="K394" s="5" t="inlineStr"/>
      <c r="L394" s="5" t="inlineStr">
        <is>
          <t>hapis</t>
        </is>
      </c>
      <c r="M394" s="5" t="inlineStr"/>
      <c r="N394" s="5" t="inlineStr"/>
      <c r="O394" s="5" t="inlineStr"/>
      <c r="P394" s="5" t="inlineStr"/>
      <c r="Q394" s="5" t="inlineStr"/>
      <c r="R394" s="6" t="inlineStr"/>
      <c r="S394" s="5" t="inlineStr"/>
      <c r="T394" s="5" t="inlineStr"/>
      <c r="U394" s="5" t="inlineStr"/>
      <c r="V394" s="5" t="inlineStr">
        <is>
          <t>cete</t>
        </is>
      </c>
    </row>
    <row r="395">
      <c r="A395" s="5" t="inlineStr">
        <is>
          <t>b8-cete-abinin-emekliligi</t>
        </is>
      </c>
      <c r="B395" s="5" t="n">
        <v>8</v>
      </c>
      <c r="C395" s="5" t="inlineStr">
        <is>
          <t>48 yaş</t>
        </is>
      </c>
      <c r="D395" s="5" t="inlineStr">
        <is>
          <t>🗝️</t>
        </is>
      </c>
      <c r="E395" s="6" t="inlineStr">
        <is>
          <t>Abinin Son Çayı</t>
        </is>
      </c>
      <c r="F395" s="6" t="inlineStr">
        <is>
          <t>Abi yetmişini geçti, bastonla kahveye geldi. “Ben çekiliyorum. İşler senin olabilir; ama yeğenim de var.” Yeğen masanın öbür ucunda, yeni telefonuyla seni fotoğraflıyor.</t>
        </is>
      </c>
      <c r="G395" s="5" t="inlineStr">
        <is>
          <t>kafe</t>
        </is>
      </c>
      <c r="H395" s="5" t="inlineStr"/>
      <c r="I395" s="5" t="inlineStr"/>
      <c r="J395" s="5" t="n">
        <v>3</v>
      </c>
      <c r="K395" s="5" t="inlineStr"/>
      <c r="L395" s="5" t="inlineStr">
        <is>
          <t>hapis</t>
        </is>
      </c>
      <c r="M395" s="5" t="inlineStr"/>
      <c r="N395" s="5" t="inlineStr"/>
      <c r="O395" s="5" t="inlineStr"/>
      <c r="P395" s="5" t="inlineStr"/>
      <c r="Q395" s="5" t="inlineStr"/>
      <c r="R395" s="6" t="inlineStr"/>
      <c r="S395" s="5" t="inlineStr"/>
      <c r="T395" s="5" t="inlineStr"/>
      <c r="U395" s="5" t="inlineStr"/>
      <c r="V395" s="5" t="inlineStr">
        <is>
          <t>cete</t>
        </is>
      </c>
    </row>
    <row r="396">
      <c r="A396" s="5" t="inlineStr">
        <is>
          <t>b9-cete-kahvehane</t>
        </is>
      </c>
      <c r="B396" s="5" t="n">
        <v>9</v>
      </c>
      <c r="C396" s="5" t="inlineStr">
        <is>
          <t>63 yaş</t>
        </is>
      </c>
      <c r="D396" s="5" t="inlineStr">
        <is>
          <t>🎲</t>
        </is>
      </c>
      <c r="E396" s="6" t="inlineStr">
        <is>
          <t>Kahvehane Efsanesi</t>
        </is>
      </c>
      <c r="F396" s="6" t="inlineStr">
        <is>
          <t>Kahvede pencere kenarı hâlâ senin; sen gelmediğin günlerde de kimse oturmuyor. Mahallenin gençleri eski hikâyeleri soruyor. Anlattıkça köpük makinesi büyüyor, abi uzuyor, sen gençleşiyorsun.</t>
        </is>
      </c>
      <c r="G396" s="5" t="inlineStr">
        <is>
          <t>kafe</t>
        </is>
      </c>
      <c r="H396" s="5" t="inlineStr"/>
      <c r="I396" s="5" t="inlineStr"/>
      <c r="J396" s="5" t="n">
        <v>3</v>
      </c>
      <c r="K396" s="5" t="inlineStr"/>
      <c r="L396" s="5" t="inlineStr">
        <is>
          <t>hapis</t>
        </is>
      </c>
      <c r="M396" s="5" t="inlineStr"/>
      <c r="N396" s="5" t="inlineStr"/>
      <c r="O396" s="5" t="inlineStr"/>
      <c r="P396" s="5" t="inlineStr"/>
      <c r="Q396" s="5" t="inlineStr"/>
      <c r="R396" s="6" t="inlineStr"/>
      <c r="S396" s="5" t="inlineStr"/>
      <c r="T396" s="5" t="inlineStr"/>
      <c r="U396" s="5" t="inlineStr"/>
      <c r="V396" s="5" t="inlineStr">
        <is>
          <t>cete</t>
        </is>
      </c>
    </row>
    <row r="397">
      <c r="A397" s="5" t="inlineStr">
        <is>
          <t>b7-dolandirici-ilan</t>
        </is>
      </c>
      <c r="B397" s="5" t="n">
        <v>7</v>
      </c>
      <c r="C397" s="5" t="inlineStr">
        <is>
          <t>28 yaş</t>
        </is>
      </c>
      <c r="D397" s="5" t="inlineStr">
        <is>
          <t>📦</t>
        </is>
      </c>
      <c r="E397" s="6" t="inlineStr">
        <is>
          <t>Az Kullanılmış Manzara</t>
        </is>
      </c>
      <c r="F397" s="6" t="inlineStr">
        <is>
          <t>İlan sitesine “Sahibinden, az kullanılmış deniz manzarası” yazdın. Fotoğraf balkonundan; deniz iki apartman arasında bir parmak. Bir alıcı yazdı: “Kamyonla geliyorum, sökmeyi siz mi yaparsınız?”</t>
        </is>
      </c>
      <c r="G397" s="5" t="inlineStr">
        <is>
          <t>apartman</t>
        </is>
      </c>
      <c r="H397" s="5" t="inlineStr"/>
      <c r="I397" s="5" t="inlineStr"/>
      <c r="J397" s="5" t="n">
        <v>3</v>
      </c>
      <c r="K397" s="5" t="inlineStr"/>
      <c r="L397" s="5" t="inlineStr">
        <is>
          <t>hapis</t>
        </is>
      </c>
      <c r="M397" s="5" t="inlineStr"/>
      <c r="N397" s="5" t="inlineStr"/>
      <c r="O397" s="5" t="inlineStr"/>
      <c r="P397" s="5" t="inlineStr"/>
      <c r="Q397" s="5" t="inlineStr"/>
      <c r="R397" s="6" t="inlineStr"/>
      <c r="S397" s="5" t="inlineStr"/>
      <c r="T397" s="5" t="inlineStr"/>
      <c r="U397" s="5" t="inlineStr"/>
      <c r="V397" s="5" t="inlineStr">
        <is>
          <t>dolandirici</t>
        </is>
      </c>
    </row>
    <row r="398">
      <c r="A398" s="5" t="inlineStr">
        <is>
          <t>b7-dolandirici-kurs</t>
        </is>
      </c>
      <c r="B398" s="5" t="n">
        <v>7</v>
      </c>
      <c r="C398" s="5" t="inlineStr">
        <is>
          <t>32 yaş</t>
        </is>
      </c>
      <c r="D398" s="5" t="inlineStr">
        <is>
          <t>🎤</t>
        </is>
      </c>
      <c r="E398" s="6" t="inlineStr">
        <is>
          <t>Kolay Para Akademisi</t>
        </is>
      </c>
      <c r="F398" s="6" t="inlineStr">
        <is>
          <t>Bir düğün salonu kiraladın; arkada “Kolay Para Akademisi” pankartı, önde iki yüz sandalye. Kursun tek konusu kursun kendisi. Ön sırada bir teyze defterini açmış, kalemini hazırlamış.</t>
        </is>
      </c>
      <c r="G398" s="5" t="inlineStr">
        <is>
          <t>dugun-salonu</t>
        </is>
      </c>
      <c r="H398" s="5" t="inlineStr"/>
      <c r="I398" s="5" t="inlineStr"/>
      <c r="J398" s="5" t="n">
        <v>3</v>
      </c>
      <c r="K398" s="5" t="inlineStr"/>
      <c r="L398" s="5" t="inlineStr">
        <is>
          <t>hapis</t>
        </is>
      </c>
      <c r="M398" s="5" t="inlineStr"/>
      <c r="N398" s="5" t="inlineStr"/>
      <c r="O398" s="5" t="inlineStr"/>
      <c r="P398" s="5" t="inlineStr"/>
      <c r="Q398" s="5" t="inlineStr"/>
      <c r="R398" s="6" t="inlineStr"/>
      <c r="S398" s="5" t="inlineStr"/>
      <c r="T398" s="5" t="inlineStr"/>
      <c r="U398" s="5" t="inlineStr"/>
      <c r="V398" s="5" t="inlineStr">
        <is>
          <t>dolandirici</t>
        </is>
      </c>
    </row>
    <row r="399">
      <c r="A399" s="5" t="inlineStr">
        <is>
          <t>b7-dolandirici-kulup</t>
        </is>
      </c>
      <c r="B399" s="5" t="n">
        <v>7</v>
      </c>
      <c r="C399" s="5" t="inlineStr">
        <is>
          <t>37 yaş</t>
        </is>
      </c>
      <c r="D399" s="5" t="inlineStr">
        <is>
          <t>📈</t>
        </is>
      </c>
      <c r="E399" s="6" t="inlineStr">
        <is>
          <t>Altın Yaprak Yatırım Kulübü</t>
        </is>
      </c>
      <c r="F399" s="6" t="inlineStr">
        <is>
          <t>Yatırım kulübün her ay bir kafede toplanıyor. Üyeler bu ay “Kâr nerede?” diye soruyor. Elinde tek bir grafik var: kafenin peçetesine çizilmiş, yukarı gidiyor, tepesinde bir güneş.</t>
        </is>
      </c>
      <c r="G399" s="5" t="inlineStr">
        <is>
          <t>kafe</t>
        </is>
      </c>
      <c r="H399" s="5" t="inlineStr"/>
      <c r="I399" s="5" t="inlineStr"/>
      <c r="J399" s="5" t="n">
        <v>3</v>
      </c>
      <c r="K399" s="5" t="inlineStr"/>
      <c r="L399" s="5" t="inlineStr">
        <is>
          <t>hapis</t>
        </is>
      </c>
      <c r="M399" s="5" t="inlineStr"/>
      <c r="N399" s="5" t="inlineStr"/>
      <c r="O399" s="5" t="inlineStr"/>
      <c r="P399" s="5" t="inlineStr"/>
      <c r="Q399" s="5" t="inlineStr"/>
      <c r="R399" s="6" t="inlineStr"/>
      <c r="S399" s="5" t="inlineStr"/>
      <c r="T399" s="5" t="inlineStr"/>
      <c r="U399" s="5" t="inlineStr"/>
      <c r="V399" s="5" t="inlineStr">
        <is>
          <t>dolandirici</t>
        </is>
      </c>
    </row>
    <row r="400">
      <c r="A400" s="5" t="inlineStr">
        <is>
          <t>b8-dolandirici-kitap</t>
        </is>
      </c>
      <c r="B400" s="5" t="n">
        <v>8</v>
      </c>
      <c r="C400" s="5" t="inlineStr">
        <is>
          <t>44 yaş</t>
        </is>
      </c>
      <c r="D400" s="5" t="inlineStr">
        <is>
          <t>📚</t>
        </is>
      </c>
      <c r="E400" s="6" t="inlineStr">
        <is>
          <t>Zengin Olmanın Yedi Kısa Yolu</t>
        </is>
      </c>
      <c r="F400" s="6" t="inlineStr">
        <is>
          <t>Kitabın çıktı: “Zengin Olmanın Yedi Kısa Yolu.” Altı bölüm boş sayfa, yedincisi “Sabırlı ol.” Bir sabah programı seni canlı yayına çağırdı. Sunucu kitabı açık tutuyor; boş bir sayfada.</t>
        </is>
      </c>
      <c r="G400" s="5" t="inlineStr">
        <is>
          <t>studyo</t>
        </is>
      </c>
      <c r="H400" s="5" t="inlineStr"/>
      <c r="I400" s="5" t="inlineStr"/>
      <c r="J400" s="5" t="n">
        <v>3</v>
      </c>
      <c r="K400" s="5" t="inlineStr"/>
      <c r="L400" s="5" t="inlineStr">
        <is>
          <t>hapis</t>
        </is>
      </c>
      <c r="M400" s="5" t="inlineStr"/>
      <c r="N400" s="5" t="inlineStr"/>
      <c r="O400" s="5" t="inlineStr"/>
      <c r="P400" s="5" t="inlineStr"/>
      <c r="Q400" s="5" t="inlineStr"/>
      <c r="R400" s="6" t="inlineStr"/>
      <c r="S400" s="5" t="inlineStr"/>
      <c r="T400" s="5" t="inlineStr"/>
      <c r="U400" s="5" t="inlineStr"/>
      <c r="V400" s="5" t="inlineStr">
        <is>
          <t>dolandirici</t>
        </is>
      </c>
    </row>
    <row r="401">
      <c r="A401" s="5" t="inlineStr">
        <is>
          <t>b8-dolandirici-mektup</t>
        </is>
      </c>
      <c r="B401" s="5" t="n">
        <v>8</v>
      </c>
      <c r="C401" s="5" t="inlineStr">
        <is>
          <t>49 yaş</t>
        </is>
      </c>
      <c r="D401" s="5" t="inlineStr">
        <is>
          <t>✉️</t>
        </is>
      </c>
      <c r="E401" s="6" t="inlineStr">
        <is>
          <t>El Yazısıyla Bir Mektup</t>
        </is>
      </c>
      <c r="F401" s="6" t="inlineStr">
        <is>
          <t>Posta kutusunda el yazısıyla bir mektup var. Yıllar önce telefonda konuştuğun emekli öğretmenden: “Evladım, sesini bir haberde duydum. Hâlâ o işi mi yapıyorsun?” Zarfta bir de fotoğraf: öğretmen ve torunu.</t>
        </is>
      </c>
      <c r="G401" s="5" t="inlineStr">
        <is>
          <t>ev</t>
        </is>
      </c>
      <c r="H401" s="5" t="inlineStr"/>
      <c r="I401" s="5" t="inlineStr"/>
      <c r="J401" s="5" t="n">
        <v>3</v>
      </c>
      <c r="K401" s="5" t="inlineStr"/>
      <c r="L401" s="5" t="inlineStr">
        <is>
          <t>hapis</t>
        </is>
      </c>
      <c r="M401" s="5" t="inlineStr"/>
      <c r="N401" s="5" t="inlineStr"/>
      <c r="O401" s="5" t="inlineStr"/>
      <c r="P401" s="5" t="inlineStr"/>
      <c r="Q401" s="5" t="inlineStr"/>
      <c r="R401" s="6" t="inlineStr"/>
      <c r="S401" s="5" t="inlineStr"/>
      <c r="T401" s="5" t="inlineStr"/>
      <c r="U401" s="5" t="inlineStr"/>
      <c r="V401" s="5" t="inlineStr">
        <is>
          <t>dolandirici</t>
        </is>
      </c>
    </row>
    <row r="402">
      <c r="A402" s="5" t="inlineStr">
        <is>
          <t>b9-dolandirici-son-numara</t>
        </is>
      </c>
      <c r="B402" s="5" t="n">
        <v>9</v>
      </c>
      <c r="C402" s="5" t="inlineStr">
        <is>
          <t>64 yaş</t>
        </is>
      </c>
      <c r="D402" s="5" t="inlineStr">
        <is>
          <t>🧴</t>
        </is>
      </c>
      <c r="E402" s="6" t="inlineStr">
        <is>
          <t>Bankın Son Fırsatı</t>
        </is>
      </c>
      <c r="F402" s="6" t="inlineStr">
        <is>
          <t>Parkın bankında her sabah aynı emekliler oturuyor. Biri “gençleştiren krem” diye bir kavanozdan bahsetti; içinde ne olduğunu bilen yok. Herkes sana dönüyor: bu işlerden bir sen anlarsın.</t>
        </is>
      </c>
      <c r="G402" s="5" t="inlineStr">
        <is>
          <t>park</t>
        </is>
      </c>
      <c r="H402" s="5" t="inlineStr"/>
      <c r="I402" s="5" t="inlineStr"/>
      <c r="J402" s="5" t="n">
        <v>3</v>
      </c>
      <c r="K402" s="5" t="inlineStr"/>
      <c r="L402" s="5" t="inlineStr">
        <is>
          <t>hapis</t>
        </is>
      </c>
      <c r="M402" s="5" t="inlineStr"/>
      <c r="N402" s="5" t="inlineStr"/>
      <c r="O402" s="5" t="inlineStr"/>
      <c r="P402" s="5" t="inlineStr"/>
      <c r="Q402" s="5" t="inlineStr"/>
      <c r="R402" s="6" t="inlineStr"/>
      <c r="S402" s="5" t="inlineStr"/>
      <c r="T402" s="5" t="inlineStr"/>
      <c r="U402" s="5" t="inlineStr"/>
      <c r="V402" s="5" t="inlineStr">
        <is>
          <t>dolandirici</t>
        </is>
      </c>
    </row>
    <row r="403">
      <c r="A403" s="5" t="inlineStr">
        <is>
          <t>k10-cete</t>
        </is>
      </c>
      <c r="B403" s="5" t="n">
        <v>7</v>
      </c>
      <c r="C403" s="5" t="inlineStr">
        <is>
          <t>35 yaş</t>
        </is>
      </c>
      <c r="D403" s="5" t="inlineStr">
        <is>
          <t>🎯</t>
        </is>
      </c>
      <c r="E403" s="6" t="inlineStr">
        <is>
          <t>Büyük İş</t>
        </is>
      </c>
      <c r="F403" s="6" t="inlineStr">
        <is>
          <t>Abi seni kahvenin arka odasına çağırdı. Masada bir harita, bir anahtar, bir tespih: “Büyük iş bu. Sonra mahalle senin.” Oto yıkamanın köpük makinesi bu sabah kendiliğinden durdu. Bunu bir işaret saydın.</t>
        </is>
      </c>
      <c r="G403" s="5" t="inlineStr">
        <is>
          <t>kafe</t>
        </is>
      </c>
      <c r="H403" s="5" t="inlineStr"/>
      <c r="I403" s="5" t="inlineStr">
        <is>
          <t>E</t>
        </is>
      </c>
      <c r="J403" s="5" t="inlineStr"/>
      <c r="K403" s="5" t="inlineStr"/>
      <c r="L403" s="5" t="inlineStr">
        <is>
          <t>hapis</t>
        </is>
      </c>
      <c r="M403" s="5" t="inlineStr"/>
      <c r="N403" s="5" t="inlineStr"/>
      <c r="O403" s="5" t="inlineStr"/>
      <c r="P403" s="5" t="inlineStr"/>
      <c r="Q403" s="5" t="n">
        <v>10</v>
      </c>
      <c r="R403" s="6" t="inlineStr">
        <is>
          <t>Mahallenin kaderi üçe ayrılıyor: büyük iş, sade bir kepenk ya da bir komiserin masası. Hangisini seçtiğin, kalan yıllarını hangi masada, hangi adla geçireceğini belirleyecek.</t>
        </is>
      </c>
      <c r="S403" s="5" t="inlineStr"/>
      <c r="T403" s="5" t="inlineStr"/>
      <c r="U403" s="5" t="inlineStr"/>
      <c r="V403" s="5" t="inlineStr">
        <is>
          <t>cete</t>
        </is>
      </c>
    </row>
    <row r="404">
      <c r="A404" s="5" t="inlineStr">
        <is>
          <t>k10-dolandirici</t>
        </is>
      </c>
      <c r="B404" s="5" t="n">
        <v>7</v>
      </c>
      <c r="C404" s="5" t="inlineStr">
        <is>
          <t>35 yaş</t>
        </is>
      </c>
      <c r="D404" s="5" t="inlineStr">
        <is>
          <t>🧳</t>
        </is>
      </c>
      <c r="E404" s="6" t="inlineStr">
        <is>
          <t>Büyük Vurgun</t>
        </is>
      </c>
      <c r="F404" s="6" t="inlineStr">
        <is>
          <t>Kulübün kasasında hiç görmediğin kadar rakam var, hepsi başkalarının. Masada iki davetiye: biri Öte Diyar'a uçak bileti, biri Yeşil Balkon Partisi'nin açılış yemeği. Telefonda üçüncüsü çalıyor: annen.</t>
        </is>
      </c>
      <c r="G404" s="5" t="inlineStr">
        <is>
          <t>ofis</t>
        </is>
      </c>
      <c r="H404" s="5" t="inlineStr"/>
      <c r="I404" s="5" t="inlineStr">
        <is>
          <t>E</t>
        </is>
      </c>
      <c r="J404" s="5" t="inlineStr"/>
      <c r="K404" s="5" t="inlineStr"/>
      <c r="L404" s="5" t="inlineStr">
        <is>
          <t>hapis</t>
        </is>
      </c>
      <c r="M404" s="5" t="inlineStr"/>
      <c r="N404" s="5" t="inlineStr"/>
      <c r="O404" s="5" t="inlineStr"/>
      <c r="P404" s="5" t="inlineStr"/>
      <c r="Q404" s="5" t="n">
        <v>10</v>
      </c>
      <c r="R404" s="6" t="inlineStr">
        <is>
          <t>Bir kasa dolusu başkasının parası ve üç kapı: havalimanı, meclis yolu ya da sade bir hayat. Seçtiğin kapı, bundan sonra telefonun kimden çalacağını belirleyecek.</t>
        </is>
      </c>
      <c r="S404" s="5" t="inlineStr"/>
      <c r="T404" s="5" t="inlineStr"/>
      <c r="U404" s="5" t="inlineStr"/>
      <c r="V404" s="5" t="inlineStr">
        <is>
          <t>dolandirici</t>
        </is>
      </c>
    </row>
    <row r="405">
      <c r="A405" s="5" t="inlineStr">
        <is>
          <t>k10-esnaf</t>
        </is>
      </c>
      <c r="B405" s="5" t="n">
        <v>7</v>
      </c>
      <c r="C405" s="5" t="inlineStr">
        <is>
          <t>35 yaş</t>
        </is>
      </c>
      <c r="D405" s="5" t="inlineStr">
        <is>
          <t>🏪</t>
        </is>
      </c>
      <c r="E405" s="6" t="inlineStr">
        <is>
          <t>Karşıya Zincir Market Açıldı</t>
        </is>
      </c>
      <c r="F405" s="6" t="inlineStr">
        <is>
          <t>Dükkânının tam karşısına dev bir zincir market açıldı. Açılışta balon, müzik, yüzde elli indirim. Müşterilerin balon almaya gitti, poşetlerle döndü; sana utanarak selam verdiler.</t>
        </is>
      </c>
      <c r="G405" s="5" t="inlineStr">
        <is>
          <t>dukkan</t>
        </is>
      </c>
      <c r="H405" s="5" t="inlineStr"/>
      <c r="I405" s="5" t="inlineStr">
        <is>
          <t>E</t>
        </is>
      </c>
      <c r="J405" s="5" t="inlineStr"/>
      <c r="K405" s="5" t="inlineStr"/>
      <c r="L405" s="5" t="inlineStr">
        <is>
          <t>hapis</t>
        </is>
      </c>
      <c r="M405" s="5" t="inlineStr"/>
      <c r="N405" s="5" t="inlineStr"/>
      <c r="O405" s="5" t="inlineStr"/>
      <c r="P405" s="5" t="inlineStr"/>
      <c r="Q405" s="5" t="n">
        <v>10</v>
      </c>
      <c r="R405" s="6" t="inlineStr">
        <is>
          <t>Karşıya açılan market mahallenin dengesini değiştirdi. Kimi direnir, kimi karşıya geçer, kimi başka bir kapı çalar; hangisini seçtiğin, dükkânının ve senin geri kalan hayatını belirleyecek.</t>
        </is>
      </c>
      <c r="S405" s="5" t="inlineStr"/>
      <c r="T405" s="5" t="inlineStr"/>
      <c r="U405" s="5" t="inlineStr"/>
      <c r="V405" s="5" t="inlineStr">
        <is>
          <t>esnaf</t>
        </is>
      </c>
    </row>
    <row r="406">
      <c r="A406" s="5" t="inlineStr">
        <is>
          <t>k10-serbest</t>
        </is>
      </c>
      <c r="B406" s="5" t="n">
        <v>7</v>
      </c>
      <c r="C406" s="5" t="inlineStr">
        <is>
          <t>35 yaş</t>
        </is>
      </c>
      <c r="D406" s="5" t="inlineStr">
        <is>
          <t>📱</t>
        </is>
      </c>
      <c r="E406" s="6" t="inlineStr">
        <is>
          <t>Viral Oldun</t>
        </is>
      </c>
      <c r="F406" s="6" t="inlineStr">
        <is>
          <t>Dün akşam balkonda söylediğin bir cümleyi komşunun oğlu videoya çekmiş. Sabah uyandığında üç milyon kişi o cümleyi tekrar ediyordu. Cümle neydi, sen de hatırlamıyorsun; herkes sana soruyor.</t>
        </is>
      </c>
      <c r="G406" s="5" t="inlineStr">
        <is>
          <t>ev</t>
        </is>
      </c>
      <c r="H406" s="5" t="inlineStr"/>
      <c r="I406" s="5" t="inlineStr">
        <is>
          <t>E</t>
        </is>
      </c>
      <c r="J406" s="5" t="inlineStr"/>
      <c r="K406" s="5" t="inlineStr"/>
      <c r="L406" s="5" t="inlineStr">
        <is>
          <t>hapis</t>
        </is>
      </c>
      <c r="M406" s="5" t="inlineStr"/>
      <c r="N406" s="5" t="inlineStr"/>
      <c r="O406" s="5" t="inlineStr"/>
      <c r="P406" s="5" t="inlineStr"/>
      <c r="Q406" s="5" t="n">
        <v>10</v>
      </c>
      <c r="R406" s="6" t="inlineStr">
        <is>
          <t>Bir gecede herkes seni tanıdı. Bu şöhreti ya büyütürsün, ya işe çevirirsin ya da geçmesini beklersin; hangisini seçtiğin, hayatının geri kalanında kimin seni tanıyacağını belirleyecek.</t>
        </is>
      </c>
      <c r="S406" s="5" t="inlineStr"/>
      <c r="T406" s="5" t="inlineStr"/>
      <c r="U406" s="5" t="inlineStr"/>
      <c r="V406" s="5" t="inlineStr">
        <is>
          <t>serbest</t>
        </is>
      </c>
    </row>
    <row r="407">
      <c r="A407" s="5" t="inlineStr">
        <is>
          <t>b7-hapis-kogus-ilk-gun</t>
        </is>
      </c>
      <c r="B407" s="5" t="n">
        <v>7</v>
      </c>
      <c r="C407" s="5" t="inlineStr">
        <is>
          <t>35 yaş 3 ay</t>
        </is>
      </c>
      <c r="D407" s="5" t="inlineStr">
        <is>
          <t>🛏️</t>
        </is>
      </c>
      <c r="E407" s="6" t="inlineStr">
        <is>
          <t>Koğuşta İlk Gün</t>
        </is>
      </c>
      <c r="F407" s="6" t="inlineStr">
        <is>
          <t>Koğuşta on dört yatak, bir çay ocağı ve bir tavla var. Ocağın başındaki adam kimin çayı kaç şekerli içtiğini ezbere biliyor. Sana da sordu; cevabın burada nerede yatacağını belirleyecek gibi.</t>
        </is>
      </c>
      <c r="G407" s="5" t="inlineStr">
        <is>
          <t>cezaevi</t>
        </is>
      </c>
      <c r="H407" s="5" t="inlineStr"/>
      <c r="I407" s="5" t="inlineStr">
        <is>
          <t>E</t>
        </is>
      </c>
      <c r="J407" s="5" t="inlineStr"/>
      <c r="K407" s="5" t="inlineStr">
        <is>
          <t>hapis</t>
        </is>
      </c>
      <c r="L407" s="5" t="inlineStr"/>
      <c r="M407" s="5" t="inlineStr"/>
      <c r="N407" s="5" t="inlineStr"/>
      <c r="O407" s="5" t="inlineStr"/>
      <c r="P407" s="5" t="inlineStr"/>
      <c r="Q407" s="5" t="inlineStr"/>
      <c r="R407" s="6" t="inlineStr"/>
      <c r="S407" s="5" t="inlineStr"/>
      <c r="T407" s="5" t="inlineStr"/>
      <c r="U407" s="5" t="inlineStr"/>
      <c r="V407" s="5" t="inlineStr"/>
    </row>
    <row r="408">
      <c r="A408" s="5" t="inlineStr">
        <is>
          <t>b7-hapis-gorus-gunu</t>
        </is>
      </c>
      <c r="B408" s="5" t="n">
        <v>7</v>
      </c>
      <c r="C408" s="5" t="inlineStr">
        <is>
          <t>36 yaş 3 ay</t>
        </is>
      </c>
      <c r="D408" s="5" t="inlineStr">
        <is>
          <t>🪟</t>
        </is>
      </c>
      <c r="E408" s="6" t="inlineStr">
        <is>
          <t>Görüş Günü</t>
        </is>
      </c>
      <c r="F408" s="6" t="inlineStr">
        <is>
          <t>Görüş günü. Camın arkasında bir telefon ahizesi, önünde yirmi dakika. Annen poşet dolusu yiyecek getirmiş; kapıda yarısını geri çevirmişler. Kalanını bir sandalyeye dizmiş, tek tek gösteriyor.</t>
        </is>
      </c>
      <c r="G408" s="5" t="inlineStr">
        <is>
          <t>cezaevi</t>
        </is>
      </c>
      <c r="H408" s="5" t="inlineStr"/>
      <c r="I408" s="5" t="inlineStr">
        <is>
          <t>E</t>
        </is>
      </c>
      <c r="J408" s="5" t="inlineStr"/>
      <c r="K408" s="5" t="inlineStr">
        <is>
          <t>hapis</t>
        </is>
      </c>
      <c r="L408" s="5" t="inlineStr"/>
      <c r="M408" s="5" t="inlineStr"/>
      <c r="N408" s="5" t="inlineStr"/>
      <c r="O408" s="5" t="inlineStr"/>
      <c r="P408" s="5" t="inlineStr"/>
      <c r="Q408" s="5" t="inlineStr"/>
      <c r="R408" s="6" t="inlineStr"/>
      <c r="S408" s="5" t="inlineStr"/>
      <c r="T408" s="5" t="inlineStr"/>
      <c r="U408" s="5" t="inlineStr"/>
      <c r="V408" s="5" t="inlineStr"/>
    </row>
    <row r="409">
      <c r="A409" s="5" t="inlineStr">
        <is>
          <t>b7-hapis-islah-kursu</t>
        </is>
      </c>
      <c r="B409" s="5" t="n">
        <v>7</v>
      </c>
      <c r="C409" s="5" t="inlineStr">
        <is>
          <t>37 yaş 3 ay</t>
        </is>
      </c>
      <c r="D409" s="5" t="inlineStr">
        <is>
          <t>🧼</t>
        </is>
      </c>
      <c r="E409" s="6" t="inlineStr">
        <is>
          <t>Islah Kursu</t>
        </is>
      </c>
      <c r="F409" s="6" t="inlineStr">
        <is>
          <t>Kurs dönemi başladı. Seçenekler: sabun yapımı, ahşap oymacılığı ve “Kişisel Gelişim”; hocası da bir mahkûm, eskiden seminer veriyormuş. Koğuş hangi kursa yazılacağını merakla izliyor.</t>
        </is>
      </c>
      <c r="G409" s="5" t="inlineStr">
        <is>
          <t>cezaevi</t>
        </is>
      </c>
      <c r="H409" s="5" t="inlineStr"/>
      <c r="I409" s="5" t="inlineStr">
        <is>
          <t>E</t>
        </is>
      </c>
      <c r="J409" s="5" t="inlineStr"/>
      <c r="K409" s="5" t="inlineStr">
        <is>
          <t>hapis</t>
        </is>
      </c>
      <c r="L409" s="5" t="inlineStr"/>
      <c r="M409" s="5" t="inlineStr"/>
      <c r="N409" s="5" t="inlineStr"/>
      <c r="O409" s="5" t="inlineStr"/>
      <c r="P409" s="5" t="inlineStr"/>
      <c r="Q409" s="5" t="inlineStr"/>
      <c r="R409" s="6" t="inlineStr"/>
      <c r="S409" s="5" t="inlineStr"/>
      <c r="T409" s="5" t="inlineStr"/>
      <c r="U409" s="5" t="inlineStr"/>
      <c r="V409" s="5" t="inlineStr"/>
    </row>
    <row r="410">
      <c r="A410" s="5" t="inlineStr">
        <is>
          <t>b7-hapis-af-soylentisi</t>
        </is>
      </c>
      <c r="B410" s="5" t="n">
        <v>7</v>
      </c>
      <c r="C410" s="5" t="inlineStr">
        <is>
          <t>38 yaş 3 ay</t>
        </is>
      </c>
      <c r="D410" s="5" t="inlineStr">
        <is>
          <t>📻</t>
        </is>
      </c>
      <c r="E410" s="6" t="inlineStr">
        <is>
          <t>Af Söylentisi</t>
        </is>
      </c>
      <c r="F410" s="6" t="inlineStr">
        <is>
          <t>Koğuşta bir radyo var; radyonun sesi kısık, söylentinin sesi yüksek. “Af çıkacakmış” diyor biri, öbürü “Bayrama kadar.” Çaycı söylentiyi takvime işlemiş. Herkes sana dönüyor: “Sen ne duydun?”</t>
        </is>
      </c>
      <c r="G410" s="5" t="inlineStr">
        <is>
          <t>cezaevi</t>
        </is>
      </c>
      <c r="H410" s="5" t="inlineStr"/>
      <c r="I410" s="5" t="inlineStr">
        <is>
          <t>E</t>
        </is>
      </c>
      <c r="J410" s="5" t="inlineStr"/>
      <c r="K410" s="5" t="inlineStr">
        <is>
          <t>hapis</t>
        </is>
      </c>
      <c r="L410" s="5" t="inlineStr"/>
      <c r="M410" s="5" t="inlineStr"/>
      <c r="N410" s="5" t="inlineStr"/>
      <c r="O410" s="5" t="inlineStr"/>
      <c r="P410" s="5" t="inlineStr"/>
      <c r="Q410" s="5" t="inlineStr"/>
      <c r="R410" s="6" t="inlineStr"/>
      <c r="S410" s="5" t="inlineStr"/>
      <c r="T410" s="5" t="inlineStr"/>
      <c r="U410" s="5" t="inlineStr"/>
      <c r="V410" s="5" t="inlineStr"/>
    </row>
    <row r="411">
      <c r="A411" s="5" t="inlineStr">
        <is>
          <t>b7-cezaevi-kapisi</t>
        </is>
      </c>
      <c r="B411" s="5" t="n">
        <v>7</v>
      </c>
      <c r="C411" s="5" t="inlineStr">
        <is>
          <t>39 yaş</t>
        </is>
      </c>
      <c r="D411" s="5" t="inlineStr">
        <is>
          <t>🚪</t>
        </is>
      </c>
      <c r="E411" s="6" t="inlineStr">
        <is>
          <t>Cezaevi Kapısı</t>
        </is>
      </c>
      <c r="F411" s="6" t="inlineStr">
        <is>
          <t>Tahliye kâğıdın imzalandı. Elinde bir poşet eşya var. Dışarıda hava hatırladığından daha büyük. Otobüs durağına yürürken her adımda başka bir plan kuruyorsun.</t>
        </is>
      </c>
      <c r="G411" s="5" t="inlineStr">
        <is>
          <t>cezaevi</t>
        </is>
      </c>
      <c r="H411" s="5" t="inlineStr"/>
      <c r="I411" s="5" t="inlineStr">
        <is>
          <t>E</t>
        </is>
      </c>
      <c r="J411" s="5" t="inlineStr"/>
      <c r="K411" s="5" t="inlineStr">
        <is>
          <t>hapis</t>
        </is>
      </c>
      <c r="L411" s="5" t="inlineStr"/>
      <c r="M411" s="5" t="inlineStr"/>
      <c r="N411" s="5" t="inlineStr"/>
      <c r="O411" s="5" t="inlineStr"/>
      <c r="P411" s="5" t="inlineStr"/>
      <c r="Q411" s="5" t="inlineStr"/>
      <c r="R411" s="6" t="inlineStr"/>
      <c r="S411" s="5" t="inlineStr"/>
      <c r="T411" s="5" t="inlineStr"/>
      <c r="U411" s="5" t="inlineStr"/>
      <c r="V411" s="5" t="inlineStr"/>
    </row>
    <row r="412">
      <c r="A412" s="5" t="inlineStr">
        <is>
          <t>b8-hapis-tavla-turnuvasi</t>
        </is>
      </c>
      <c r="B412" s="5" t="n">
        <v>8</v>
      </c>
      <c r="C412" s="5" t="inlineStr">
        <is>
          <t>41 yaş</t>
        </is>
      </c>
      <c r="D412" s="5" t="inlineStr">
        <is>
          <t>🎲</t>
        </is>
      </c>
      <c r="E412" s="6" t="inlineStr">
        <is>
          <t>Koğuşlar Arası Tavla</t>
        </is>
      </c>
      <c r="F412" s="6" t="inlineStr">
        <is>
          <t>Yıllık tavla turnuvası. Koğuşunun temsilcisi sensin; rakibin otuz yıldır içeride olan, zarlarına “Zübeyde” ile “Nuriye” diyen Hikmet Amca. Bütün koğuş kapının arkasından izliyor.</t>
        </is>
      </c>
      <c r="G412" s="5" t="inlineStr">
        <is>
          <t>cezaevi</t>
        </is>
      </c>
      <c r="H412" s="5" t="inlineStr"/>
      <c r="I412" s="5" t="inlineStr">
        <is>
          <t>E</t>
        </is>
      </c>
      <c r="J412" s="5" t="inlineStr"/>
      <c r="K412" s="5" t="inlineStr">
        <is>
          <t>hapis</t>
        </is>
      </c>
      <c r="L412" s="5" t="inlineStr"/>
      <c r="M412" s="5" t="inlineStr"/>
      <c r="N412" s="5" t="inlineStr"/>
      <c r="O412" s="5" t="inlineStr"/>
      <c r="P412" s="5" t="inlineStr"/>
      <c r="Q412" s="5" t="inlineStr"/>
      <c r="R412" s="6" t="inlineStr"/>
      <c r="S412" s="5" t="inlineStr"/>
      <c r="T412" s="5" t="inlineStr"/>
      <c r="U412" s="5" t="inlineStr"/>
      <c r="V412" s="5" t="inlineStr"/>
    </row>
    <row r="413">
      <c r="A413" s="5" t="inlineStr">
        <is>
          <t>b8-hapis-mektup</t>
        </is>
      </c>
      <c r="B413" s="5" t="n">
        <v>8</v>
      </c>
      <c r="C413" s="5" t="inlineStr">
        <is>
          <t>51 yaş 6 ay</t>
        </is>
      </c>
      <c r="D413" s="5" t="inlineStr">
        <is>
          <t>✉️</t>
        </is>
      </c>
      <c r="E413" s="6" t="inlineStr">
        <is>
          <t>Mektup Saati</t>
        </is>
      </c>
      <c r="F413" s="6" t="inlineStr">
        <is>
          <t>Koğuşta mektup saati. Koğuşun yarısı kendi mektubunu sana yazdırmak istiyor: genç bir çocuk annesine, yaşlı bir adam eski sevgilisine, biri de vergi dairesine yazacak.</t>
        </is>
      </c>
      <c r="G413" s="5" t="inlineStr">
        <is>
          <t>cezaevi</t>
        </is>
      </c>
      <c r="H413" s="5" t="inlineStr"/>
      <c r="I413" s="5" t="inlineStr">
        <is>
          <t>E</t>
        </is>
      </c>
      <c r="J413" s="5" t="inlineStr"/>
      <c r="K413" s="5" t="inlineStr">
        <is>
          <t>hapis</t>
        </is>
      </c>
      <c r="L413" s="5" t="inlineStr"/>
      <c r="M413" s="5" t="inlineStr"/>
      <c r="N413" s="5" t="inlineStr"/>
      <c r="O413" s="5" t="inlineStr"/>
      <c r="P413" s="5" t="inlineStr"/>
      <c r="Q413" s="5" t="inlineStr"/>
      <c r="R413" s="6" t="inlineStr"/>
      <c r="S413" s="5" t="inlineStr"/>
      <c r="T413" s="5" t="inlineStr"/>
      <c r="U413" s="5" t="inlineStr"/>
      <c r="V413" s="5" t="inlineStr"/>
    </row>
    <row r="414">
      <c r="A414" s="5" t="inlineStr">
        <is>
          <t>b8-hapis-cay-ocagi</t>
        </is>
      </c>
      <c r="B414" s="5" t="n">
        <v>8</v>
      </c>
      <c r="C414" s="5" t="inlineStr">
        <is>
          <t>52 yaş 6 ay</t>
        </is>
      </c>
      <c r="D414" s="5" t="inlineStr">
        <is>
          <t>🫖</t>
        </is>
      </c>
      <c r="E414" s="6" t="inlineStr">
        <is>
          <t>Çay Ocağının Varisi</t>
        </is>
      </c>
      <c r="F414" s="6" t="inlineStr">
        <is>
          <t>Koğuşun eski çaycısı tahliye oluyor. Demliği sana mı, genç ve hırslı Erol'a mı bırakacağını düşünüyor. Koğuşta bu bir taç giyme töreni kadar önemli; daha da önemli, taç çay demlemiyor.</t>
        </is>
      </c>
      <c r="G414" s="5" t="inlineStr">
        <is>
          <t>cezaevi</t>
        </is>
      </c>
      <c r="H414" s="5" t="inlineStr"/>
      <c r="I414" s="5" t="inlineStr">
        <is>
          <t>E</t>
        </is>
      </c>
      <c r="J414" s="5" t="inlineStr"/>
      <c r="K414" s="5" t="inlineStr">
        <is>
          <t>hapis</t>
        </is>
      </c>
      <c r="L414" s="5" t="inlineStr"/>
      <c r="M414" s="5" t="inlineStr"/>
      <c r="N414" s="5" t="inlineStr"/>
      <c r="O414" s="5" t="inlineStr"/>
      <c r="P414" s="5" t="inlineStr"/>
      <c r="Q414" s="5" t="inlineStr"/>
      <c r="R414" s="6" t="inlineStr"/>
      <c r="S414" s="5" t="inlineStr"/>
      <c r="T414" s="5" t="inlineStr"/>
      <c r="U414" s="5" t="inlineStr"/>
      <c r="V414" s="5" t="inlineStr"/>
    </row>
    <row r="415">
      <c r="A415" s="5" t="inlineStr">
        <is>
          <t>b8-hapis-gorus-gunu</t>
        </is>
      </c>
      <c r="B415" s="5" t="n">
        <v>8</v>
      </c>
      <c r="C415" s="5" t="inlineStr">
        <is>
          <t>53 yaş 6 ay</t>
        </is>
      </c>
      <c r="D415" s="5" t="inlineStr">
        <is>
          <t>🪟</t>
        </is>
      </c>
      <c r="E415" s="6" t="inlineStr">
        <is>
          <t>Uzun Yılların Görüşü</t>
        </is>
      </c>
      <c r="F415" s="6" t="inlineStr">
        <is>
          <t>Görüş günü. Camın arkasında bu kez poşet değil, bir albüm var. Seni ziyaret edenler yaşlanmış, sen de. Ahize eskisi gibi cızırtılı; tek fark, artık ikiniz de gözlük takıyorsunuz.</t>
        </is>
      </c>
      <c r="G415" s="5" t="inlineStr">
        <is>
          <t>cezaevi</t>
        </is>
      </c>
      <c r="H415" s="5" t="inlineStr"/>
      <c r="I415" s="5" t="inlineStr">
        <is>
          <t>E</t>
        </is>
      </c>
      <c r="J415" s="5" t="inlineStr"/>
      <c r="K415" s="5" t="inlineStr">
        <is>
          <t>hapis</t>
        </is>
      </c>
      <c r="L415" s="5" t="inlineStr"/>
      <c r="M415" s="5" t="inlineStr"/>
      <c r="N415" s="5" t="inlineStr"/>
      <c r="O415" s="5" t="inlineStr"/>
      <c r="P415" s="5" t="inlineStr"/>
      <c r="Q415" s="5" t="inlineStr"/>
      <c r="R415" s="6" t="inlineStr"/>
      <c r="S415" s="5" t="inlineStr"/>
      <c r="T415" s="5" t="inlineStr"/>
      <c r="U415" s="5" t="inlineStr"/>
      <c r="V415" s="5" t="inlineStr"/>
    </row>
    <row r="416">
      <c r="A416" s="5" t="inlineStr">
        <is>
          <t>b8-cezaevi-kapisi</t>
        </is>
      </c>
      <c r="B416" s="5" t="n">
        <v>8</v>
      </c>
      <c r="C416" s="5" t="inlineStr">
        <is>
          <t>54 yaş</t>
        </is>
      </c>
      <c r="D416" s="5" t="inlineStr">
        <is>
          <t>🚪</t>
        </is>
      </c>
      <c r="E416" s="6" t="inlineStr">
        <is>
          <t>Tahliye Sabahı</t>
        </is>
      </c>
      <c r="F416" s="6" t="inlineStr">
        <is>
          <t>Yıllar sonra kapı açıldı. Poşetinde bir çay bardağı, bir zar ve bir deste mektup var. Otobüslerin rengi değişmiş, telefonların boyu değişmiş. Koğuştan biri pencereden bağırdı: “Unutma bizi!”</t>
        </is>
      </c>
      <c r="G416" s="5" t="inlineStr">
        <is>
          <t>cezaevi</t>
        </is>
      </c>
      <c r="H416" s="5" t="inlineStr"/>
      <c r="I416" s="5" t="inlineStr">
        <is>
          <t>E</t>
        </is>
      </c>
      <c r="J416" s="5" t="inlineStr"/>
      <c r="K416" s="5" t="inlineStr">
        <is>
          <t>hapis</t>
        </is>
      </c>
      <c r="L416" s="5" t="inlineStr"/>
      <c r="M416" s="5" t="inlineStr"/>
      <c r="N416" s="5" t="inlineStr"/>
      <c r="O416" s="5" t="inlineStr"/>
      <c r="P416" s="5" t="inlineStr"/>
      <c r="Q416" s="5" t="inlineStr"/>
      <c r="R416" s="6" t="inlineStr"/>
      <c r="S416" s="5" t="inlineStr"/>
      <c r="T416" s="5" t="inlineStr"/>
      <c r="U416" s="5" t="inlineStr"/>
      <c r="V416" s="5" t="inlineStr"/>
    </row>
    <row r="417">
      <c r="A417" s="5" t="inlineStr">
        <is>
          <t>b9-cezaevi-kapisi</t>
        </is>
      </c>
      <c r="B417" s="5" t="n">
        <v>9</v>
      </c>
      <c r="C417" s="5" t="inlineStr">
        <is>
          <t>56 yaş</t>
        </is>
      </c>
      <c r="D417" s="5" t="inlineStr">
        <is>
          <t>🚪</t>
        </is>
      </c>
      <c r="E417" s="6" t="inlineStr">
        <is>
          <t>Geç Gelen Tahliye</t>
        </is>
      </c>
      <c r="F417" s="6" t="inlineStr">
        <is>
          <t>Kapı açıldığında saçlarının rengi girdiğin günkünden farklıydı. Poşette bir gözlük, bir tavla zarı ve kırk üç mektup var. Otobüs durağında bir genç sana yer verdi; ilk kez bunun ne demek olduğunu düşündün.</t>
        </is>
      </c>
      <c r="G417" s="5" t="inlineStr">
        <is>
          <t>cezaevi</t>
        </is>
      </c>
      <c r="H417" s="5" t="inlineStr"/>
      <c r="I417" s="5" t="inlineStr">
        <is>
          <t>E</t>
        </is>
      </c>
      <c r="J417" s="5" t="inlineStr"/>
      <c r="K417" s="5" t="inlineStr">
        <is>
          <t>hapis</t>
        </is>
      </c>
      <c r="L417" s="5" t="inlineStr"/>
      <c r="M417" s="5" t="inlineStr"/>
      <c r="N417" s="5" t="inlineStr"/>
      <c r="O417" s="5" t="inlineStr"/>
      <c r="P417" s="5" t="inlineStr"/>
      <c r="Q417" s="5" t="inlineStr"/>
      <c r="R417" s="6" t="inlineStr"/>
      <c r="S417" s="5" t="inlineStr"/>
      <c r="T417" s="5" t="inlineStr"/>
      <c r="U417" s="5" t="inlineStr"/>
      <c r="V417" s="5" t="inlineStr"/>
    </row>
    <row r="418">
      <c r="A418" s="5" t="inlineStr">
        <is>
          <t>b7-sohret-secmeler</t>
        </is>
      </c>
      <c r="B418" s="5" t="n">
        <v>7</v>
      </c>
      <c r="C418" s="5" t="inlineStr">
        <is>
          <t>28 yaş</t>
        </is>
      </c>
      <c r="D418" s="5" t="inlineStr">
        <is>
          <t>🎭</t>
        </is>
      </c>
      <c r="E418" s="6" t="inlineStr">
        <is>
          <t>Akşam Kuşağı Seçmeleri</t>
        </is>
      </c>
      <c r="F418" s="6" t="inlineStr">
        <is>
          <t>Akşam kuşağı dizisi için seçmeler. Koridorda senin gibi kırk kişi, hepsinin elinde aynı sayfa: “Ağabey, o arsayı babam bana bıraktı!” Sıra sende. Yapımcı sandviç yiyor.</t>
        </is>
      </c>
      <c r="G418" s="5" t="inlineStr">
        <is>
          <t>studyo</t>
        </is>
      </c>
      <c r="H418" s="5" t="inlineStr"/>
      <c r="I418" s="5" t="inlineStr"/>
      <c r="J418" s="5" t="n">
        <v>3</v>
      </c>
      <c r="K418" s="5" t="inlineStr"/>
      <c r="L418" s="5" t="inlineStr">
        <is>
          <t>hapis</t>
        </is>
      </c>
      <c r="M418" s="5" t="inlineStr"/>
      <c r="N418" s="5" t="inlineStr"/>
      <c r="O418" s="5" t="inlineStr"/>
      <c r="P418" s="5" t="inlineStr"/>
      <c r="Q418" s="5" t="inlineStr"/>
      <c r="R418" s="6" t="inlineStr"/>
      <c r="S418" s="5" t="inlineStr"/>
      <c r="T418" s="5" t="inlineStr"/>
      <c r="U418" s="5" t="inlineStr"/>
      <c r="V418" s="5" t="inlineStr">
        <is>
          <t>sohret</t>
        </is>
      </c>
    </row>
    <row r="419">
      <c r="A419" s="5" t="inlineStr">
        <is>
          <t>b7-sohret-reklam</t>
        </is>
      </c>
      <c r="B419" s="5" t="n">
        <v>7</v>
      </c>
      <c r="C419" s="5" t="inlineStr">
        <is>
          <t>32 yaş 6 ay</t>
        </is>
      </c>
      <c r="D419" s="5" t="inlineStr">
        <is>
          <t>📱</t>
        </is>
      </c>
      <c r="E419" s="6" t="inlineStr">
        <is>
          <t>Deterjan Reklamı</t>
        </is>
      </c>
      <c r="F419" s="6" t="inlineStr">
        <is>
          <t>Kısa video uygulamasında bir videon patladı: markette domates seçerken söylediğin tek bir cümle. Şimdi bir deterjan firması seni reklam yüzü yapmak istiyor. Sözleşmede “leke tutmama” maddesi var.</t>
        </is>
      </c>
      <c r="G419" s="5" t="inlineStr">
        <is>
          <t>studyo</t>
        </is>
      </c>
      <c r="H419" s="5" t="inlineStr"/>
      <c r="I419" s="5" t="inlineStr"/>
      <c r="J419" s="5" t="n">
        <v>3</v>
      </c>
      <c r="K419" s="5" t="inlineStr"/>
      <c r="L419" s="5" t="inlineStr">
        <is>
          <t>hapis</t>
        </is>
      </c>
      <c r="M419" s="5" t="inlineStr"/>
      <c r="N419" s="5" t="inlineStr"/>
      <c r="O419" s="5" t="inlineStr"/>
      <c r="P419" s="5" t="inlineStr"/>
      <c r="Q419" s="5" t="inlineStr"/>
      <c r="R419" s="6" t="inlineStr"/>
      <c r="S419" s="5" t="inlineStr"/>
      <c r="T419" s="5" t="inlineStr"/>
      <c r="U419" s="5" t="inlineStr"/>
      <c r="V419" s="5" t="inlineStr">
        <is>
          <t>sohret</t>
        </is>
      </c>
    </row>
    <row r="420">
      <c r="A420" s="5" t="inlineStr">
        <is>
          <t>b7-sohret-taninma</t>
        </is>
      </c>
      <c r="B420" s="5" t="n">
        <v>7</v>
      </c>
      <c r="C420" s="5" t="inlineStr">
        <is>
          <t>37 yaş</t>
        </is>
      </c>
      <c r="D420" s="5" t="inlineStr">
        <is>
          <t>🛒</t>
        </is>
      </c>
      <c r="E420" s="6" t="inlineStr">
        <is>
          <t>Markette Tanınmak</t>
        </is>
      </c>
      <c r="F420" s="6" t="inlineStr">
        <is>
          <t>Kasa sırası. Önündeki teyze dönüp gözlerini kısıyor: “Seni bir yerden tanıyorum. Ya dizide oynuyorsun ya da damadımın bankadaki arkadaşısın.” Sıra ilerlemiyor; herkes cevabını bekliyor.</t>
        </is>
      </c>
      <c r="G420" s="5" t="inlineStr">
        <is>
          <t>market</t>
        </is>
      </c>
      <c r="H420" s="5" t="inlineStr"/>
      <c r="I420" s="5" t="inlineStr"/>
      <c r="J420" s="5" t="n">
        <v>3</v>
      </c>
      <c r="K420" s="5" t="inlineStr"/>
      <c r="L420" s="5" t="inlineStr">
        <is>
          <t>hapis</t>
        </is>
      </c>
      <c r="M420" s="5" t="inlineStr"/>
      <c r="N420" s="5" t="inlineStr"/>
      <c r="O420" s="5" t="inlineStr"/>
      <c r="P420" s="5" t="inlineStr"/>
      <c r="Q420" s="5" t="inlineStr"/>
      <c r="R420" s="6" t="inlineStr"/>
      <c r="S420" s="5" t="inlineStr"/>
      <c r="T420" s="5" t="inlineStr"/>
      <c r="U420" s="5" t="inlineStr"/>
      <c r="V420" s="5" t="inlineStr">
        <is>
          <t>sohret</t>
        </is>
      </c>
    </row>
    <row r="421">
      <c r="A421" s="5" t="inlineStr">
        <is>
          <t>b8-sohret-kapak</t>
        </is>
      </c>
      <c r="B421" s="5" t="n">
        <v>8</v>
      </c>
      <c r="C421" s="5" t="inlineStr">
        <is>
          <t>44 yaş</t>
        </is>
      </c>
      <c r="D421" s="5" t="inlineStr">
        <is>
          <t>📰</t>
        </is>
      </c>
      <c r="E421" s="6" t="inlineStr">
        <is>
          <t>Magazin Kapağı</t>
        </is>
      </c>
      <c r="F421" s="6" t="inlineStr">
        <is>
          <t>Bir magazin dergisi kapağını sana ayırdı. Fotoğrafçı “Doğal ol” diyor, stilist üstüne üç kat ceket giydiriyor. Kapak başlığı hâlâ belli değil; editör seninle konuşup karar verecek.</t>
        </is>
      </c>
      <c r="G421" s="5" t="inlineStr">
        <is>
          <t>studyo</t>
        </is>
      </c>
      <c r="H421" s="5" t="inlineStr"/>
      <c r="I421" s="5" t="inlineStr"/>
      <c r="J421" s="5" t="n">
        <v>3</v>
      </c>
      <c r="K421" s="5" t="inlineStr"/>
      <c r="L421" s="5" t="inlineStr">
        <is>
          <t>hapis</t>
        </is>
      </c>
      <c r="M421" s="5" t="inlineStr"/>
      <c r="N421" s="5" t="inlineStr"/>
      <c r="O421" s="5" t="inlineStr"/>
      <c r="P421" s="5" t="inlineStr"/>
      <c r="Q421" s="5" t="inlineStr"/>
      <c r="R421" s="6" t="inlineStr"/>
      <c r="S421" s="5" t="inlineStr"/>
      <c r="T421" s="5" t="inlineStr"/>
      <c r="U421" s="5" t="inlineStr"/>
      <c r="V421" s="5" t="inlineStr">
        <is>
          <t>sohret</t>
        </is>
      </c>
    </row>
    <row r="422">
      <c r="A422" s="5" t="inlineStr">
        <is>
          <t>b8-sohret-program</t>
        </is>
      </c>
      <c r="B422" s="5" t="n">
        <v>8</v>
      </c>
      <c r="C422" s="5" t="inlineStr">
        <is>
          <t>52 yaş</t>
        </is>
      </c>
      <c r="D422" s="5" t="inlineStr">
        <is>
          <t>🎙️</t>
        </is>
      </c>
      <c r="E422" s="6" t="inlineStr">
        <is>
          <t>Kendi Programın</t>
        </is>
      </c>
      <c r="F422" s="6" t="inlineStr">
        <is>
          <t>Bir kanal sana akşam kuşağında sohbet programı teklif etti. Adı henüz yok, dekoru var: iki koltuk, bir sehpa, sahte bir kütüphane. Yapımcı ilk konuğu soruyor; sen de ilk cümleyi.</t>
        </is>
      </c>
      <c r="G422" s="5" t="inlineStr">
        <is>
          <t>studyo</t>
        </is>
      </c>
      <c r="H422" s="5" t="inlineStr"/>
      <c r="I422" s="5" t="inlineStr"/>
      <c r="J422" s="5" t="n">
        <v>3</v>
      </c>
      <c r="K422" s="5" t="inlineStr"/>
      <c r="L422" s="5" t="inlineStr">
        <is>
          <t>hapis</t>
        </is>
      </c>
      <c r="M422" s="5" t="inlineStr"/>
      <c r="N422" s="5" t="inlineStr"/>
      <c r="O422" s="5" t="inlineStr"/>
      <c r="P422" s="5" t="inlineStr"/>
      <c r="Q422" s="5" t="inlineStr"/>
      <c r="R422" s="6" t="inlineStr"/>
      <c r="S422" s="5" t="inlineStr"/>
      <c r="T422" s="5" t="inlineStr"/>
      <c r="U422" s="5" t="inlineStr"/>
      <c r="V422" s="5" t="inlineStr">
        <is>
          <t>sohret</t>
        </is>
      </c>
    </row>
    <row r="423">
      <c r="A423" s="5" t="inlineStr">
        <is>
          <t>b9-sohret-juri</t>
        </is>
      </c>
      <c r="B423" s="5" t="n">
        <v>9</v>
      </c>
      <c r="C423" s="5" t="inlineStr">
        <is>
          <t>60 yaş</t>
        </is>
      </c>
      <c r="D423" s="5" t="inlineStr">
        <is>
          <t>🏆</t>
        </is>
      </c>
      <c r="E423" s="6" t="inlineStr">
        <is>
          <t>Jüri Koltuğu</t>
        </is>
      </c>
      <c r="F423" s="6" t="inlineStr">
        <is>
          <t>Yarışma programında jürisin. Yarışmacı kırk yıl önceki dizinden senin repliğini okuyor, yanlış. Yanındaki jüri fısıldıyor: “Nerede o eski diziler?” Akşam da “Nerede O Eski Yıldızlar” programına konuksun.</t>
        </is>
      </c>
      <c r="G423" s="5" t="inlineStr">
        <is>
          <t>studyo</t>
        </is>
      </c>
      <c r="H423" s="5" t="inlineStr"/>
      <c r="I423" s="5" t="inlineStr"/>
      <c r="J423" s="5" t="n">
        <v>3</v>
      </c>
      <c r="K423" s="5" t="inlineStr"/>
      <c r="L423" s="5" t="inlineStr">
        <is>
          <t>hapis</t>
        </is>
      </c>
      <c r="M423" s="5" t="inlineStr"/>
      <c r="N423" s="5" t="inlineStr"/>
      <c r="O423" s="5" t="inlineStr"/>
      <c r="P423" s="5" t="inlineStr"/>
      <c r="Q423" s="5" t="inlineStr"/>
      <c r="R423" s="6" t="inlineStr"/>
      <c r="S423" s="5" t="inlineStr"/>
      <c r="T423" s="5" t="inlineStr"/>
      <c r="U423" s="5" t="inlineStr"/>
      <c r="V423" s="5" t="inlineStr">
        <is>
          <t>sohret</t>
        </is>
      </c>
    </row>
    <row r="424">
      <c r="A424" s="5" t="inlineStr">
        <is>
          <t>b7-girisim-garaj</t>
        </is>
      </c>
      <c r="B424" s="5" t="n">
        <v>7</v>
      </c>
      <c r="C424" s="5" t="inlineStr">
        <is>
          <t>28 yaş 6 ay</t>
        </is>
      </c>
      <c r="D424" s="5" t="inlineStr">
        <is>
          <t>🔧</t>
        </is>
      </c>
      <c r="E424" s="6" t="inlineStr">
        <is>
          <t>Garajdaki Şirket</t>
        </is>
      </c>
      <c r="F424" s="6" t="inlineStr">
        <is>
          <t>Şirketin, babanın garajında. Masa bir kapı, sunucu eski buzdolabının üstünde, çalışanlar sen ve kuzen. Kuzen maaş istemiyor ama şirket arabası istiyor; araba da babanın.</t>
        </is>
      </c>
      <c r="G424" s="5" t="inlineStr">
        <is>
          <t>ev</t>
        </is>
      </c>
      <c r="H424" s="5" t="inlineStr"/>
      <c r="I424" s="5" t="inlineStr"/>
      <c r="J424" s="5" t="n">
        <v>3</v>
      </c>
      <c r="K424" s="5" t="inlineStr"/>
      <c r="L424" s="5" t="inlineStr">
        <is>
          <t>hapis</t>
        </is>
      </c>
      <c r="M424" s="5" t="inlineStr"/>
      <c r="N424" s="5" t="inlineStr"/>
      <c r="O424" s="5" t="inlineStr"/>
      <c r="P424" s="5" t="inlineStr"/>
      <c r="Q424" s="5" t="inlineStr"/>
      <c r="R424" s="6" t="inlineStr"/>
      <c r="S424" s="5" t="inlineStr"/>
      <c r="T424" s="5" t="inlineStr"/>
      <c r="U424" s="5" t="inlineStr"/>
      <c r="V424" s="5" t="inlineStr">
        <is>
          <t>girisimci</t>
        </is>
      </c>
    </row>
    <row r="425">
      <c r="A425" s="5" t="inlineStr">
        <is>
          <t>b7-girisim-pivot</t>
        </is>
      </c>
      <c r="B425" s="5" t="n">
        <v>7</v>
      </c>
      <c r="C425" s="5" t="inlineStr">
        <is>
          <t>33 yaş</t>
        </is>
      </c>
      <c r="D425" s="5" t="inlineStr">
        <is>
          <t>🔄</t>
        </is>
      </c>
      <c r="E425" s="6" t="inlineStr">
        <is>
          <t>Pivot Zamanı</t>
        </is>
      </c>
      <c r="F425" s="6" t="inlineStr">
        <is>
          <t>Rakip bir girişim senin ürününü yapay zekâyla, yarı fiyatına, iki haftada yapmış. Yatırımcın toplantıda tek kelime söylüyor: “Pivot.” Hangi yöne döneceğini sormuyor; sadece dönmeni istiyor.</t>
        </is>
      </c>
      <c r="G425" s="5" t="inlineStr">
        <is>
          <t>ofis</t>
        </is>
      </c>
      <c r="H425" s="5" t="inlineStr"/>
      <c r="I425" s="5" t="inlineStr"/>
      <c r="J425" s="5" t="n">
        <v>3</v>
      </c>
      <c r="K425" s="5" t="inlineStr"/>
      <c r="L425" s="5" t="inlineStr">
        <is>
          <t>hapis</t>
        </is>
      </c>
      <c r="M425" s="5" t="inlineStr"/>
      <c r="N425" s="5" t="inlineStr"/>
      <c r="O425" s="5" t="inlineStr"/>
      <c r="P425" s="5" t="inlineStr"/>
      <c r="Q425" s="5" t="inlineStr"/>
      <c r="R425" s="6" t="inlineStr"/>
      <c r="S425" s="5" t="inlineStr"/>
      <c r="T425" s="5" t="inlineStr"/>
      <c r="U425" s="5" t="inlineStr"/>
      <c r="V425" s="5" t="inlineStr">
        <is>
          <t>girisimci</t>
        </is>
      </c>
    </row>
    <row r="426">
      <c r="A426" s="5" t="inlineStr">
        <is>
          <t>b7-girisim-ekosistem</t>
        </is>
      </c>
      <c r="B426" s="5" t="n">
        <v>7</v>
      </c>
      <c r="C426" s="5" t="inlineStr">
        <is>
          <t>38 yaş</t>
        </is>
      </c>
      <c r="D426" s="5" t="inlineStr">
        <is>
          <t>🚀</t>
        </is>
      </c>
      <c r="E426" s="6" t="inlineStr">
        <is>
          <t>Ekosistem Buluşması</t>
        </is>
      </c>
      <c r="F426" s="6" t="inlineStr">
        <is>
          <t>Ekosistem buluşması: yüz kişi, üç yüz kartvizit, tek mikrofon. Herkes “sektörü sarsmaktan” bahsediyor; sarsılan tek şey kahve makinesi. Moderatör sana dönüyor: “Başarının sırrı neydi?”</t>
        </is>
      </c>
      <c r="G426" s="5" t="inlineStr">
        <is>
          <t>kafe</t>
        </is>
      </c>
      <c r="H426" s="5" t="inlineStr"/>
      <c r="I426" s="5" t="inlineStr"/>
      <c r="J426" s="5" t="n">
        <v>3</v>
      </c>
      <c r="K426" s="5" t="inlineStr"/>
      <c r="L426" s="5" t="inlineStr">
        <is>
          <t>hapis</t>
        </is>
      </c>
      <c r="M426" s="5" t="inlineStr"/>
      <c r="N426" s="5" t="inlineStr"/>
      <c r="O426" s="5" t="inlineStr"/>
      <c r="P426" s="5" t="inlineStr"/>
      <c r="Q426" s="5" t="inlineStr"/>
      <c r="R426" s="6" t="inlineStr"/>
      <c r="S426" s="5" t="inlineStr"/>
      <c r="T426" s="5" t="inlineStr"/>
      <c r="U426" s="5" t="inlineStr"/>
      <c r="V426" s="5" t="inlineStr">
        <is>
          <t>girisimci</t>
        </is>
      </c>
    </row>
    <row r="427">
      <c r="A427" s="5" t="inlineStr">
        <is>
          <t>b8-girisim-kurul</t>
        </is>
      </c>
      <c r="B427" s="5" t="n">
        <v>8</v>
      </c>
      <c r="C427" s="5" t="inlineStr">
        <is>
          <t>43 yaş</t>
        </is>
      </c>
      <c r="D427" s="5" t="inlineStr">
        <is>
          <t>📈</t>
        </is>
      </c>
      <c r="E427" s="6" t="inlineStr">
        <is>
          <t>Yönetim Kurulu</t>
        </is>
      </c>
      <c r="F427" s="6" t="inlineStr">
        <is>
          <t>Şirket büyüdü: iki kat ofis, bir masa tenisi, adını bilmediğin kırk çalışan. Kurul toplantısında biri “kültür” sunumu yapıyor. Yirminci slaytta senin fotoğrafın var; altında “Kurucu (tarihî)” yazıyor.</t>
        </is>
      </c>
      <c r="G427" s="5" t="inlineStr">
        <is>
          <t>ofis</t>
        </is>
      </c>
      <c r="H427" s="5" t="inlineStr"/>
      <c r="I427" s="5" t="inlineStr"/>
      <c r="J427" s="5" t="n">
        <v>3</v>
      </c>
      <c r="K427" s="5" t="inlineStr"/>
      <c r="L427" s="5" t="inlineStr">
        <is>
          <t>hapis</t>
        </is>
      </c>
      <c r="M427" s="5" t="inlineStr"/>
      <c r="N427" s="5" t="inlineStr"/>
      <c r="O427" s="5" t="inlineStr"/>
      <c r="P427" s="5" t="inlineStr"/>
      <c r="Q427" s="5" t="inlineStr"/>
      <c r="R427" s="6" t="inlineStr"/>
      <c r="S427" s="5" t="inlineStr"/>
      <c r="T427" s="5" t="inlineStr"/>
      <c r="U427" s="5" t="inlineStr"/>
      <c r="V427" s="5" t="inlineStr">
        <is>
          <t>girisimci</t>
        </is>
      </c>
    </row>
    <row r="428">
      <c r="A428" s="5" t="inlineStr">
        <is>
          <t>b8-girisim-kader</t>
        </is>
      </c>
      <c r="B428" s="5" t="n">
        <v>8</v>
      </c>
      <c r="C428" s="5" t="inlineStr">
        <is>
          <t>48 yaş</t>
        </is>
      </c>
      <c r="D428" s="5" t="inlineStr">
        <is>
          <t>⚖️</t>
        </is>
      </c>
      <c r="E428" s="6" t="inlineStr">
        <is>
          <t>Holding ya da Konkordato</t>
        </is>
      </c>
      <c r="F428" s="6" t="inlineStr">
        <is>
          <t>Banka müdürünün masasında iki dosya: birinde “grup şirketleri”, diğerinde “yapılandırma” yazıyor. “Hangisi olacağı bu hafta belli olur” diyor. Çay geldi; müdürünki cam bardakta, seninki kartonda.</t>
        </is>
      </c>
      <c r="G428" s="5" t="inlineStr">
        <is>
          <t>banka</t>
        </is>
      </c>
      <c r="H428" s="5" t="inlineStr"/>
      <c r="I428" s="5" t="inlineStr"/>
      <c r="J428" s="5" t="n">
        <v>3</v>
      </c>
      <c r="K428" s="5" t="inlineStr"/>
      <c r="L428" s="5" t="inlineStr">
        <is>
          <t>hapis</t>
        </is>
      </c>
      <c r="M428" s="5" t="inlineStr"/>
      <c r="N428" s="5" t="inlineStr"/>
      <c r="O428" s="5" t="inlineStr"/>
      <c r="P428" s="5" t="inlineStr"/>
      <c r="Q428" s="5" t="inlineStr"/>
      <c r="R428" s="6" t="inlineStr"/>
      <c r="S428" s="5" t="inlineStr"/>
      <c r="T428" s="5" t="inlineStr"/>
      <c r="U428" s="5" t="inlineStr"/>
      <c r="V428" s="5" t="inlineStr">
        <is>
          <t>girisimci</t>
        </is>
      </c>
    </row>
    <row r="429">
      <c r="A429" s="5" t="inlineStr">
        <is>
          <t>b9-girisim-nasihat</t>
        </is>
      </c>
      <c r="B429" s="5" t="n">
        <v>9</v>
      </c>
      <c r="C429" s="5" t="inlineStr">
        <is>
          <t>61 yaş</t>
        </is>
      </c>
      <c r="D429" s="5" t="inlineStr">
        <is>
          <t>🎓</t>
        </is>
      </c>
      <c r="E429" s="6" t="inlineStr">
        <is>
          <t>Genç Girişimcilere Nasihat</t>
        </is>
      </c>
      <c r="F429" s="6" t="inlineStr">
        <is>
          <t>Üniversitede genç girişimcilere konuşacaksın. Salonda yüz genç; hepsinin şirketi var, hiçbirinin müşterisi yok. İlk soru ön sıradan: “Emekli olunca ne yapacaksınız?” Soran, emeklilere uygulama yapıyor.</t>
        </is>
      </c>
      <c r="G429" s="5" t="inlineStr">
        <is>
          <t>universite</t>
        </is>
      </c>
      <c r="H429" s="5" t="inlineStr"/>
      <c r="I429" s="5" t="inlineStr"/>
      <c r="J429" s="5" t="n">
        <v>3</v>
      </c>
      <c r="K429" s="5" t="inlineStr"/>
      <c r="L429" s="5" t="inlineStr">
        <is>
          <t>hapis</t>
        </is>
      </c>
      <c r="M429" s="5" t="inlineStr"/>
      <c r="N429" s="5" t="inlineStr"/>
      <c r="O429" s="5" t="inlineStr"/>
      <c r="P429" s="5" t="inlineStr"/>
      <c r="Q429" s="5" t="inlineStr"/>
      <c r="R429" s="6" t="inlineStr"/>
      <c r="S429" s="5" t="inlineStr"/>
      <c r="T429" s="5" t="inlineStr"/>
      <c r="U429" s="5" t="inlineStr"/>
      <c r="V429" s="5" t="inlineStr">
        <is>
          <t>girisimci</t>
        </is>
      </c>
    </row>
    <row r="430">
      <c r="A430" s="5" t="inlineStr">
        <is>
          <t>b7-politika-cay</t>
        </is>
      </c>
      <c r="B430" s="5" t="n">
        <v>7</v>
      </c>
      <c r="C430" s="5" t="inlineStr">
        <is>
          <t>36 yaş 6 ay</t>
        </is>
      </c>
      <c r="D430" s="5" t="inlineStr">
        <is>
          <t>🫖</t>
        </is>
      </c>
      <c r="E430" s="6" t="inlineStr">
        <is>
          <t>Gençlik Kollarının En Yaşlısı</t>
        </is>
      </c>
      <c r="F430" s="6" t="inlineStr">
        <is>
          <t>Yeşil Balkon Partisi'nin gençlik kollarına katıldın; otuz altı yaşınla en yaşlı gençsin. İlk görevin: mahalle mitingi için iki yüz bardak çay. Semaver bir tane, il başkanı yolda.</t>
        </is>
      </c>
      <c r="G430" s="5" t="inlineStr">
        <is>
          <t>sokak</t>
        </is>
      </c>
      <c r="H430" s="5" t="inlineStr"/>
      <c r="I430" s="5" t="inlineStr"/>
      <c r="J430" s="5" t="n">
        <v>3</v>
      </c>
      <c r="K430" s="5" t="inlineStr"/>
      <c r="L430" s="5" t="inlineStr">
        <is>
          <t>hapis</t>
        </is>
      </c>
      <c r="M430" s="5" t="inlineStr"/>
      <c r="N430" s="5" t="inlineStr"/>
      <c r="O430" s="5" t="inlineStr"/>
      <c r="P430" s="5" t="inlineStr"/>
      <c r="Q430" s="5" t="inlineStr"/>
      <c r="R430" s="6" t="inlineStr"/>
      <c r="S430" s="5" t="inlineStr"/>
      <c r="T430" s="5" t="inlineStr"/>
      <c r="U430" s="5" t="inlineStr"/>
      <c r="V430" s="5" t="inlineStr">
        <is>
          <t>politika</t>
        </is>
      </c>
    </row>
    <row r="431">
      <c r="A431" s="5" t="inlineStr">
        <is>
          <t>b7-politika-kaldirim</t>
        </is>
      </c>
      <c r="B431" s="5" t="n">
        <v>7</v>
      </c>
      <c r="C431" s="5" t="inlineStr">
        <is>
          <t>38 yaş 6 ay</t>
        </is>
      </c>
      <c r="D431" s="5" t="inlineStr">
        <is>
          <t>🧱</t>
        </is>
      </c>
      <c r="E431" s="6" t="inlineStr">
        <is>
          <t>Kaldırım Vaadi</t>
        </is>
      </c>
      <c r="F431" s="6" t="inlineStr">
        <is>
          <t>Belediye meclis üyeliğine adaysın. Bölgende tek mesele var: kırk yıldır yapılmayan bir kaldırım. Rakip aday Çınar Altı Hareketi'nden; o da kaldırım vaat ediyor, üstelik iki taraflı.</t>
        </is>
      </c>
      <c r="G431" s="5" t="inlineStr">
        <is>
          <t>sokak</t>
        </is>
      </c>
      <c r="H431" s="5" t="inlineStr"/>
      <c r="I431" s="5" t="inlineStr"/>
      <c r="J431" s="5" t="n">
        <v>3</v>
      </c>
      <c r="K431" s="5" t="inlineStr"/>
      <c r="L431" s="5" t="inlineStr">
        <is>
          <t>hapis</t>
        </is>
      </c>
      <c r="M431" s="5" t="inlineStr"/>
      <c r="N431" s="5" t="inlineStr"/>
      <c r="O431" s="5" t="inlineStr"/>
      <c r="P431" s="5" t="inlineStr"/>
      <c r="Q431" s="5" t="inlineStr"/>
      <c r="R431" s="6" t="inlineStr"/>
      <c r="S431" s="5" t="inlineStr"/>
      <c r="T431" s="5" t="inlineStr"/>
      <c r="U431" s="5" t="inlineStr"/>
      <c r="V431" s="5" t="inlineStr">
        <is>
          <t>politika</t>
        </is>
      </c>
    </row>
    <row r="432">
      <c r="A432" s="5" t="inlineStr">
        <is>
          <t>b8-politika-otobus</t>
        </is>
      </c>
      <c r="B432" s="5" t="n">
        <v>8</v>
      </c>
      <c r="C432" s="5" t="inlineStr">
        <is>
          <t>43 yaş</t>
        </is>
      </c>
      <c r="D432" s="5" t="inlineStr">
        <is>
          <t>🚌</t>
        </is>
      </c>
      <c r="E432" s="6" t="inlineStr">
        <is>
          <t>Seçim Otobüsü</t>
        </is>
      </c>
      <c r="F432" s="6" t="inlineStr">
        <is>
          <t>Belediye başkan adayısın. Parti bir seçim otobüsü verdi: tepesinde hoparlör, yanında dev fotoğrafın, içinde yalnızca şoföre çalışan bir klima. Günde on iki mahalle, her mahallede aynı şarkı.</t>
        </is>
      </c>
      <c r="G432" s="5" t="inlineStr">
        <is>
          <t>trafik</t>
        </is>
      </c>
      <c r="H432" s="5" t="inlineStr"/>
      <c r="I432" s="5" t="inlineStr"/>
      <c r="J432" s="5" t="n">
        <v>3</v>
      </c>
      <c r="K432" s="5" t="inlineStr"/>
      <c r="L432" s="5" t="inlineStr">
        <is>
          <t>hapis</t>
        </is>
      </c>
      <c r="M432" s="5" t="inlineStr"/>
      <c r="N432" s="5" t="inlineStr"/>
      <c r="O432" s="5" t="inlineStr"/>
      <c r="P432" s="5" t="inlineStr"/>
      <c r="Q432" s="5" t="inlineStr"/>
      <c r="R432" s="6" t="inlineStr"/>
      <c r="S432" s="5" t="inlineStr"/>
      <c r="T432" s="5" t="inlineStr"/>
      <c r="U432" s="5" t="inlineStr"/>
      <c r="V432" s="5" t="inlineStr">
        <is>
          <t>politika</t>
        </is>
      </c>
    </row>
    <row r="433">
      <c r="A433" s="5" t="inlineStr">
        <is>
          <t>b8-politika-tartisma</t>
        </is>
      </c>
      <c r="B433" s="5" t="n">
        <v>8</v>
      </c>
      <c r="C433" s="5" t="inlineStr">
        <is>
          <t>47 yaş</t>
        </is>
      </c>
      <c r="D433" s="5" t="inlineStr">
        <is>
          <t>📺</t>
        </is>
      </c>
      <c r="E433" s="6" t="inlineStr">
        <is>
          <t>Gece Yarısı Tartışması</t>
        </is>
      </c>
      <c r="F433" s="6" t="inlineStr">
        <is>
          <t>Gece yarısı tartışma programı. Masada dört konuk, tek bardak su; sunucunun kırmızı bir zili var. Konu: “Kavşaklara göbek mi, ışık mı?” Karşındaki göbeği savunuyor. Sen parti adına henüz karar vermedin.</t>
        </is>
      </c>
      <c r="G433" s="5" t="inlineStr">
        <is>
          <t>studyo</t>
        </is>
      </c>
      <c r="H433" s="5" t="inlineStr"/>
      <c r="I433" s="5" t="inlineStr"/>
      <c r="J433" s="5" t="n">
        <v>3</v>
      </c>
      <c r="K433" s="5" t="inlineStr"/>
      <c r="L433" s="5" t="inlineStr">
        <is>
          <t>hapis</t>
        </is>
      </c>
      <c r="M433" s="5" t="inlineStr"/>
      <c r="N433" s="5" t="inlineStr"/>
      <c r="O433" s="5" t="inlineStr"/>
      <c r="P433" s="5" t="inlineStr"/>
      <c r="Q433" s="5" t="inlineStr"/>
      <c r="R433" s="6" t="inlineStr"/>
      <c r="S433" s="5" t="inlineStr"/>
      <c r="T433" s="5" t="inlineStr"/>
      <c r="U433" s="5" t="inlineStr"/>
      <c r="V433" s="5" t="inlineStr">
        <is>
          <t>politika</t>
        </is>
      </c>
    </row>
    <row r="434">
      <c r="A434" s="5" t="inlineStr">
        <is>
          <t>b8-politika-kurdele</t>
        </is>
      </c>
      <c r="B434" s="5" t="n">
        <v>8</v>
      </c>
      <c r="C434" s="5" t="inlineStr">
        <is>
          <t>53 yaş</t>
        </is>
      </c>
      <c r="D434" s="5" t="inlineStr">
        <is>
          <t>🎀</t>
        </is>
      </c>
      <c r="E434" s="6" t="inlineStr">
        <is>
          <t>Kör Makas</t>
        </is>
      </c>
      <c r="F434" s="6" t="inlineStr">
        <is>
          <t>Bir mahalle çeşmesinin açılışı. Kurdeleyi kesecek kişi gelmedi; makas sana uzatıldı. Makas kör, kurdele kalın, kalabalık sabırsız, çeşmeden henüz su akmıyor.</t>
        </is>
      </c>
      <c r="G434" s="5" t="inlineStr">
        <is>
          <t>sokak</t>
        </is>
      </c>
      <c r="H434" s="5" t="inlineStr"/>
      <c r="I434" s="5" t="inlineStr"/>
      <c r="J434" s="5" t="n">
        <v>3</v>
      </c>
      <c r="K434" s="5" t="inlineStr"/>
      <c r="L434" s="5" t="inlineStr">
        <is>
          <t>hapis</t>
        </is>
      </c>
      <c r="M434" s="5" t="inlineStr"/>
      <c r="N434" s="5" t="inlineStr"/>
      <c r="O434" s="5" t="inlineStr"/>
      <c r="P434" s="5" t="inlineStr"/>
      <c r="Q434" s="5" t="inlineStr"/>
      <c r="R434" s="6" t="inlineStr"/>
      <c r="S434" s="5" t="inlineStr"/>
      <c r="T434" s="5" t="inlineStr"/>
      <c r="U434" s="5" t="inlineStr"/>
      <c r="V434" s="5" t="inlineStr">
        <is>
          <t>politika</t>
        </is>
      </c>
    </row>
    <row r="435">
      <c r="A435" s="5" t="inlineStr">
        <is>
          <t>b9-politika-ani</t>
        </is>
      </c>
      <c r="B435" s="5" t="n">
        <v>9</v>
      </c>
      <c r="C435" s="5" t="inlineStr">
        <is>
          <t>58 yaş</t>
        </is>
      </c>
      <c r="D435" s="5" t="inlineStr">
        <is>
          <t>📖</t>
        </is>
      </c>
      <c r="E435" s="6" t="inlineStr">
        <is>
          <t>Anı Kitabı</t>
        </is>
      </c>
      <c r="F435" s="6" t="inlineStr">
        <is>
          <t>Anı kitabını yazıyorsun. Yayınevi üç şey istiyor: bir sır, bir kavga, bir de ciddi ama sıcak bir kapak fotoğrafı. Sende çok miting çayı, iki kaldırım ve bir seçim otobüsü var. Sır yok.</t>
        </is>
      </c>
      <c r="G435" s="5" t="inlineStr">
        <is>
          <t>ev</t>
        </is>
      </c>
      <c r="H435" s="5" t="inlineStr"/>
      <c r="I435" s="5" t="inlineStr"/>
      <c r="J435" s="5" t="n">
        <v>3</v>
      </c>
      <c r="K435" s="5" t="inlineStr"/>
      <c r="L435" s="5" t="inlineStr">
        <is>
          <t>hapis</t>
        </is>
      </c>
      <c r="M435" s="5" t="inlineStr"/>
      <c r="N435" s="5" t="inlineStr"/>
      <c r="O435" s="5" t="inlineStr"/>
      <c r="P435" s="5" t="inlineStr"/>
      <c r="Q435" s="5" t="inlineStr"/>
      <c r="R435" s="6" t="inlineStr"/>
      <c r="S435" s="5" t="inlineStr"/>
      <c r="T435" s="5" t="inlineStr"/>
      <c r="U435" s="5" t="inlineStr"/>
      <c r="V435" s="5" t="inlineStr">
        <is>
          <t>politika</t>
        </is>
      </c>
    </row>
    <row r="436">
      <c r="A436" s="5" t="inlineStr">
        <is>
          <t>b9-politika-kahve</t>
        </is>
      </c>
      <c r="B436" s="5" t="n">
        <v>9</v>
      </c>
      <c r="C436" s="5" t="inlineStr">
        <is>
          <t>66 yaş</t>
        </is>
      </c>
      <c r="D436" s="5" t="inlineStr">
        <is>
          <t>🪑</t>
        </is>
      </c>
      <c r="E436" s="6" t="inlineStr">
        <is>
          <t>Başkanım</t>
        </is>
      </c>
      <c r="F436" s="6" t="inlineStr">
        <is>
          <t>Kahvede sana “Başkanım” diyorlar; neyin başkanı olduğunu kimse sormuyor. Masana üç ricacı geldi: biri kaldırım istiyor, biri torununa iş, biri de kedisinin belediyeden yediği cezayı kaldırmanı.</t>
        </is>
      </c>
      <c r="G436" s="5" t="inlineStr">
        <is>
          <t>kafe</t>
        </is>
      </c>
      <c r="H436" s="5" t="inlineStr"/>
      <c r="I436" s="5" t="inlineStr"/>
      <c r="J436" s="5" t="n">
        <v>3</v>
      </c>
      <c r="K436" s="5" t="inlineStr"/>
      <c r="L436" s="5" t="inlineStr">
        <is>
          <t>hapis</t>
        </is>
      </c>
      <c r="M436" s="5" t="inlineStr"/>
      <c r="N436" s="5" t="inlineStr"/>
      <c r="O436" s="5" t="inlineStr"/>
      <c r="P436" s="5" t="inlineStr"/>
      <c r="Q436" s="5" t="inlineStr"/>
      <c r="R436" s="6" t="inlineStr"/>
      <c r="S436" s="5" t="inlineStr"/>
      <c r="T436" s="5" t="inlineStr"/>
      <c r="U436" s="5" t="inlineStr"/>
      <c r="V436" s="5" t="inlineStr">
        <is>
          <t>politika</t>
        </is>
      </c>
    </row>
    <row r="437">
      <c r="A437" s="5" t="inlineStr">
        <is>
          <t>k10-sohret</t>
        </is>
      </c>
      <c r="B437" s="5" t="n">
        <v>7</v>
      </c>
      <c r="C437" s="5" t="inlineStr">
        <is>
          <t>35 yaş</t>
        </is>
      </c>
      <c r="D437" s="5" t="inlineStr">
        <is>
          <t>💥</t>
        </is>
      </c>
      <c r="E437" s="6" t="inlineStr">
        <is>
          <t>Skandal</t>
        </is>
      </c>
      <c r="F437" s="6" t="inlineStr">
        <is>
          <t>Bir restoranda garsona “Beni tanımıyor musun?” derken çekilmiş on saniyelik video her yerde. Sponsorlar arıyor, yapımcı aramıyor. Kısa video uygulamasında adın bir fiile dönüştü.</t>
        </is>
      </c>
      <c r="G437" s="5" t="inlineStr">
        <is>
          <t>studyo</t>
        </is>
      </c>
      <c r="H437" s="5" t="inlineStr"/>
      <c r="I437" s="5" t="inlineStr">
        <is>
          <t>E</t>
        </is>
      </c>
      <c r="J437" s="5" t="inlineStr"/>
      <c r="K437" s="5" t="inlineStr"/>
      <c r="L437" s="5" t="inlineStr">
        <is>
          <t>hapis</t>
        </is>
      </c>
      <c r="M437" s="5" t="inlineStr"/>
      <c r="N437" s="5" t="inlineStr"/>
      <c r="O437" s="5" t="inlineStr"/>
      <c r="P437" s="5" t="inlineStr"/>
      <c r="Q437" s="5" t="n">
        <v>10</v>
      </c>
      <c r="R437" s="6" t="inlineStr">
        <is>
          <t>Şöhretin ilk büyük sınavı: bu karardan sonra ya ekranda kalırsın ya da ekrandan tamamen çıkarsın.</t>
        </is>
      </c>
      <c r="S437" s="5" t="inlineStr"/>
      <c r="T437" s="5" t="inlineStr"/>
      <c r="U437" s="5" t="inlineStr"/>
      <c r="V437" s="5" t="inlineStr">
        <is>
          <t>sohret</t>
        </is>
      </c>
    </row>
    <row r="438">
      <c r="A438" s="5" t="inlineStr">
        <is>
          <t>k10-girisimci</t>
        </is>
      </c>
      <c r="B438" s="5" t="n">
        <v>7</v>
      </c>
      <c r="C438" s="5" t="inlineStr">
        <is>
          <t>35 yaş</t>
        </is>
      </c>
      <c r="D438" s="5" t="inlineStr">
        <is>
          <t>💰</t>
        </is>
      </c>
      <c r="E438" s="6" t="inlineStr">
        <is>
          <t>Yatırım Turu</t>
        </is>
      </c>
      <c r="F438" s="6" t="inlineStr">
        <is>
          <t>Yatırım turu masada. Bir fon şirketinin yarısını istiyor; karşılığında para ve “ekosisteme erişim”. Bir holding şirketin tamamını istiyor. Kasada üç aylık maaş var, kuzende hâlâ şirket arabası isteği.</t>
        </is>
      </c>
      <c r="G438" s="5" t="inlineStr">
        <is>
          <t>ofis</t>
        </is>
      </c>
      <c r="H438" s="5" t="inlineStr"/>
      <c r="I438" s="5" t="inlineStr">
        <is>
          <t>E</t>
        </is>
      </c>
      <c r="J438" s="5" t="inlineStr"/>
      <c r="K438" s="5" t="inlineStr"/>
      <c r="L438" s="5" t="inlineStr">
        <is>
          <t>hapis</t>
        </is>
      </c>
      <c r="M438" s="5" t="inlineStr"/>
      <c r="N438" s="5" t="inlineStr"/>
      <c r="O438" s="5" t="inlineStr"/>
      <c r="P438" s="5" t="inlineStr"/>
      <c r="Q438" s="5" t="n">
        <v>10</v>
      </c>
      <c r="R438" s="6" t="inlineStr">
        <is>
          <t>Şirketinin kaderi bu masada belirleniyor: ya büyüyecek, ya el değiştirecek, ya da sen şehirden gideceksin.</t>
        </is>
      </c>
      <c r="S438" s="5" t="inlineStr"/>
      <c r="T438" s="5" t="inlineStr"/>
      <c r="U438" s="5" t="inlineStr"/>
      <c r="V438" s="5" t="inlineStr">
        <is>
          <t>girisimci</t>
        </is>
      </c>
    </row>
    <row r="439">
      <c r="A439" s="5" t="inlineStr">
        <is>
          <t>k10-politika</t>
        </is>
      </c>
      <c r="B439" s="5" t="n">
        <v>8</v>
      </c>
      <c r="C439" s="5" t="inlineStr">
        <is>
          <t>51 yaş</t>
        </is>
      </c>
      <c r="D439" s="5" t="inlineStr">
        <is>
          <t>🗳️</t>
        </is>
      </c>
      <c r="E439" s="6" t="inlineStr">
        <is>
          <t>Seçim Gecesi</t>
        </is>
      </c>
      <c r="F439" s="6" t="inlineStr">
        <is>
          <t>Makarya Meclisi seçimine üç gün var, anketler başa baş. Bir müteahhit sonuç ne olursa olsun “bir ihaleyi konuşmak” istiyor. Parti ise son miting için kalabalık, çay ve seni istiyor.</t>
        </is>
      </c>
      <c r="G439" s="5" t="inlineStr">
        <is>
          <t>ofis</t>
        </is>
      </c>
      <c r="H439" s="5" t="inlineStr"/>
      <c r="I439" s="5" t="inlineStr">
        <is>
          <t>E</t>
        </is>
      </c>
      <c r="J439" s="5" t="inlineStr"/>
      <c r="K439" s="5" t="inlineStr"/>
      <c r="L439" s="5" t="inlineStr">
        <is>
          <t>hapis</t>
        </is>
      </c>
      <c r="M439" s="5" t="inlineStr"/>
      <c r="N439" s="5" t="inlineStr"/>
      <c r="O439" s="5" t="inlineStr"/>
      <c r="P439" s="5" t="inlineStr"/>
      <c r="Q439" s="5" t="n">
        <v>10</v>
      </c>
      <c r="R439" s="6" t="inlineStr">
        <is>
          <t>Makarya Meclisi seçimi: bu karar seni ya Meclis'e, ya televizyona, ya da parmaklıkların arkasına götürür.</t>
        </is>
      </c>
      <c r="S439" s="5" t="inlineStr"/>
      <c r="T439" s="5" t="inlineStr"/>
      <c r="U439" s="5" t="inlineStr"/>
      <c r="V439" s="5" t="inlineStr">
        <is>
          <t>politika</t>
        </is>
      </c>
    </row>
    <row r="440">
      <c r="A440" s="5" t="inlineStr">
        <is>
          <t>b7-goc-oturma-izni</t>
        </is>
      </c>
      <c r="B440" s="5" t="n">
        <v>7</v>
      </c>
      <c r="C440" s="5" t="inlineStr">
        <is>
          <t>28 yaş 6 ay</t>
        </is>
      </c>
      <c r="D440" s="5" t="inlineStr">
        <is>
          <t>🛂</t>
        </is>
      </c>
      <c r="E440" s="6" t="inlineStr">
        <is>
          <t>Oturma İzni Yenileme</t>
        </is>
      </c>
      <c r="F440" s="6" t="inlineStr">
        <is>
          <t>Oturma iznin iki ay sonra bitiyor, ilk boş randevu üç ay sonra. Formun yedinci kutusu “Babanızın ikinci adı” diyor. Babanın ikinci adı yok. Memur, kutunun boş bırakılamayacağını iki dilde de açıkladı.</t>
        </is>
      </c>
      <c r="G440" s="5" t="inlineStr">
        <is>
          <t>devlet-dairesi</t>
        </is>
      </c>
      <c r="H440" s="5" t="inlineStr"/>
      <c r="I440" s="5" t="inlineStr"/>
      <c r="J440" s="5" t="n">
        <v>3</v>
      </c>
      <c r="K440" s="5" t="inlineStr"/>
      <c r="L440" s="5" t="inlineStr">
        <is>
          <t>hapis</t>
        </is>
      </c>
      <c r="M440" s="5" t="inlineStr"/>
      <c r="N440" s="5" t="inlineStr"/>
      <c r="O440" s="5" t="inlineStr"/>
      <c r="P440" s="5" t="inlineStr"/>
      <c r="Q440" s="5" t="inlineStr"/>
      <c r="R440" s="6" t="inlineStr"/>
      <c r="S440" s="5" t="inlineStr"/>
      <c r="T440" s="5" t="inlineStr"/>
      <c r="U440" s="5" t="inlineStr"/>
      <c r="V440" s="5" t="inlineStr">
        <is>
          <t>goc</t>
        </is>
      </c>
    </row>
    <row r="441">
      <c r="A441" s="5" t="inlineStr">
        <is>
          <t>b7-goc-akrabalar</t>
        </is>
      </c>
      <c r="B441" s="5" t="n">
        <v>7</v>
      </c>
      <c r="C441" s="5" t="inlineStr">
        <is>
          <t>32 yaş</t>
        </is>
      </c>
      <c r="D441" s="5" t="inlineStr">
        <is>
          <t>🧳</t>
        </is>
      </c>
      <c r="E441" s="6" t="inlineStr">
        <is>
          <t>Gurbetçi Geldi</t>
        </is>
      </c>
      <c r="F441" s="6" t="inlineStr">
        <is>
          <t>Yaz izninde memlekettesin. Karşılamaya on bir akraba gelmiş; biri valizleri sayıyor. Akşam sofrada teyzen “Orada herkes zengin” dedi, amcan arabanı sordu, kuzen de bir iş fikri anlatmaya başladı.</t>
        </is>
      </c>
      <c r="G441" s="5" t="inlineStr">
        <is>
          <t>ev</t>
        </is>
      </c>
      <c r="H441" s="5" t="inlineStr"/>
      <c r="I441" s="5" t="inlineStr"/>
      <c r="J441" s="5" t="n">
        <v>3</v>
      </c>
      <c r="K441" s="5" t="inlineStr"/>
      <c r="L441" s="5" t="inlineStr">
        <is>
          <t>hapis</t>
        </is>
      </c>
      <c r="M441" s="5" t="inlineStr"/>
      <c r="N441" s="5" t="inlineStr"/>
      <c r="O441" s="5" t="inlineStr"/>
      <c r="P441" s="5" t="inlineStr"/>
      <c r="Q441" s="5" t="inlineStr"/>
      <c r="R441" s="6" t="inlineStr"/>
      <c r="S441" s="5" t="inlineStr"/>
      <c r="T441" s="5" t="inlineStr"/>
      <c r="U441" s="5" t="inlineStr"/>
      <c r="V441" s="5" t="inlineStr">
        <is>
          <t>goc</t>
        </is>
      </c>
    </row>
    <row r="442">
      <c r="A442" s="5" t="inlineStr">
        <is>
          <t>b7-goc-bayram-sofrasi</t>
        </is>
      </c>
      <c r="B442" s="5" t="n">
        <v>7</v>
      </c>
      <c r="C442" s="5" t="inlineStr">
        <is>
          <t>37 yaş</t>
        </is>
      </c>
      <c r="D442" s="5" t="inlineStr">
        <is>
          <t>🍬</t>
        </is>
      </c>
      <c r="E442" s="6" t="inlineStr">
        <is>
          <t>Gurbette Bayram Sofrası</t>
        </is>
      </c>
      <c r="F442" s="6" t="inlineStr">
        <is>
          <t>Bayram sabahı. Evinde on iki Makaryalı, üç Öte Diyarlı komşu ve bir ekran var; ekranda annen. Komşular baklavanın neden “bayram” olduğunu soruyor, annen de ekrandan şerbetin kıvamını.</t>
        </is>
      </c>
      <c r="G442" s="5" t="inlineStr">
        <is>
          <t>ev</t>
        </is>
      </c>
      <c r="H442" s="5" t="inlineStr"/>
      <c r="I442" s="5" t="inlineStr"/>
      <c r="J442" s="5" t="n">
        <v>3</v>
      </c>
      <c r="K442" s="5" t="inlineStr"/>
      <c r="L442" s="5" t="inlineStr">
        <is>
          <t>hapis</t>
        </is>
      </c>
      <c r="M442" s="5" t="inlineStr"/>
      <c r="N442" s="5" t="inlineStr"/>
      <c r="O442" s="5" t="inlineStr"/>
      <c r="P442" s="5" t="inlineStr"/>
      <c r="Q442" s="5" t="inlineStr"/>
      <c r="R442" s="6" t="inlineStr"/>
      <c r="S442" s="5" t="inlineStr"/>
      <c r="T442" s="5" t="inlineStr"/>
      <c r="U442" s="5" t="inlineStr"/>
      <c r="V442" s="5" t="inlineStr">
        <is>
          <t>goc</t>
        </is>
      </c>
    </row>
    <row r="443">
      <c r="A443" s="5" t="inlineStr">
        <is>
          <t>k10-goc</t>
        </is>
      </c>
      <c r="B443" s="5" t="n">
        <v>7</v>
      </c>
      <c r="C443" s="5" t="inlineStr">
        <is>
          <t>35 yaş</t>
        </is>
      </c>
      <c r="D443" s="5" t="inlineStr">
        <is>
          <t>🛂</t>
        </is>
      </c>
      <c r="E443" s="6" t="inlineStr">
        <is>
          <t>Kalıcı mı, Dönüş mü?</t>
        </is>
      </c>
      <c r="F443" s="6" t="inlineStr">
        <is>
          <t>Öte Diyar'da on yılı doldurdun. Vatandaşlık formu masada, kırk iki sayfa. Annen telefonda “Artık dön” dedi, patronun “Kalıcı kadro” dedi. Bir arkadaşın da mahalledeki dükkânını devretmek istiyor.</t>
        </is>
      </c>
      <c r="G443" s="5" t="inlineStr">
        <is>
          <t>devlet-dairesi</t>
        </is>
      </c>
      <c r="H443" s="5" t="inlineStr"/>
      <c r="I443" s="5" t="inlineStr">
        <is>
          <t>E</t>
        </is>
      </c>
      <c r="J443" s="5" t="inlineStr"/>
      <c r="K443" s="5" t="inlineStr"/>
      <c r="L443" s="5" t="inlineStr">
        <is>
          <t>hapis</t>
        </is>
      </c>
      <c r="M443" s="5" t="inlineStr"/>
      <c r="N443" s="5" t="inlineStr"/>
      <c r="O443" s="5" t="inlineStr"/>
      <c r="P443" s="5" t="inlineStr"/>
      <c r="Q443" s="5" t="n">
        <v>10</v>
      </c>
      <c r="R443" s="6" t="inlineStr">
        <is>
          <t>On yıl bir karar ister. Pasaport, dönüş bileti ya da kendi tabelan: hangisini seçersen seç, iki memleketten biri seni bundan sonra misafir sayacak.</t>
        </is>
      </c>
      <c r="S443" s="5" t="inlineStr"/>
      <c r="T443" s="5" t="inlineStr"/>
      <c r="U443" s="5" t="inlineStr"/>
      <c r="V443" s="5" t="inlineStr"/>
    </row>
    <row r="444">
      <c r="A444" s="5" t="inlineStr">
        <is>
          <t>b8-goc-dil-okulu</t>
        </is>
      </c>
      <c r="B444" s="5" t="n">
        <v>8</v>
      </c>
      <c r="C444" s="5" t="inlineStr">
        <is>
          <t>44 yaş</t>
        </is>
      </c>
      <c r="D444" s="5" t="inlineStr">
        <is>
          <t>📚</t>
        </is>
      </c>
      <c r="E444" s="6" t="inlineStr">
        <is>
          <t>Hafta Sonu Dil Okulu</t>
        </is>
      </c>
      <c r="F444" s="6" t="inlineStr">
        <is>
          <t>Makaryalılar Derneği bodrumda hafta sonu okulu açtı; öğretmen bulunamadı, sen oldun. Sınıfta dokuz çocuk var. Hepsi “Makarya” kelimesini Öte Diyar aksanıyla söylüyor, “teyze”nin ne işe yaradığını soruyor.</t>
        </is>
      </c>
      <c r="G444" s="5" t="inlineStr">
        <is>
          <t>apartman</t>
        </is>
      </c>
      <c r="H444" s="5" t="inlineStr"/>
      <c r="I444" s="5" t="inlineStr"/>
      <c r="J444" s="5" t="n">
        <v>3</v>
      </c>
      <c r="K444" s="5" t="inlineStr"/>
      <c r="L444" s="5" t="inlineStr">
        <is>
          <t>hapis</t>
        </is>
      </c>
      <c r="M444" s="5" t="inlineStr"/>
      <c r="N444" s="5" t="inlineStr"/>
      <c r="O444" s="5" t="inlineStr"/>
      <c r="P444" s="5" t="inlineStr"/>
      <c r="Q444" s="5" t="inlineStr"/>
      <c r="R444" s="6" t="inlineStr"/>
      <c r="S444" s="5" t="inlineStr"/>
      <c r="T444" s="5" t="inlineStr"/>
      <c r="U444" s="5" t="inlineStr"/>
      <c r="V444" s="5" t="inlineStr">
        <is>
          <t>goc</t>
        </is>
      </c>
    </row>
    <row r="445">
      <c r="A445" s="5" t="inlineStr">
        <is>
          <t>b8-goc-donsem-mi</t>
        </is>
      </c>
      <c r="B445" s="5" t="n">
        <v>8</v>
      </c>
      <c r="C445" s="5" t="inlineStr">
        <is>
          <t>51 yaş</t>
        </is>
      </c>
      <c r="D445" s="5" t="inlineStr">
        <is>
          <t>🧭</t>
        </is>
      </c>
      <c r="E445" s="6" t="inlineStr">
        <is>
          <t>Dönsem mi?</t>
        </is>
      </c>
      <c r="F445" s="6" t="inlineStr">
        <is>
          <t>Gece üçte uyandın ve memleketteki fırının kokusunu hatırladın. Sabah kahvaltıda kendi kendine sordun: “Dönsem mi?” Bu soruyu on yedi yıldır her kış soruyorsun. Cevap her yaz değişiyor.</t>
        </is>
      </c>
      <c r="G445" s="5" t="inlineStr">
        <is>
          <t>ev</t>
        </is>
      </c>
      <c r="H445" s="5" t="inlineStr"/>
      <c r="I445" s="5" t="inlineStr"/>
      <c r="J445" s="5" t="n">
        <v>3</v>
      </c>
      <c r="K445" s="5" t="inlineStr"/>
      <c r="L445" s="5" t="inlineStr">
        <is>
          <t>hapis</t>
        </is>
      </c>
      <c r="M445" s="5" t="inlineStr"/>
      <c r="N445" s="5" t="inlineStr"/>
      <c r="O445" s="5" t="inlineStr"/>
      <c r="P445" s="5" t="inlineStr"/>
      <c r="Q445" s="5" t="inlineStr"/>
      <c r="R445" s="6" t="inlineStr"/>
      <c r="S445" s="5" t="inlineStr"/>
      <c r="T445" s="5" t="inlineStr"/>
      <c r="U445" s="5" t="inlineStr"/>
      <c r="V445" s="5" t="inlineStr">
        <is>
          <t>goc</t>
        </is>
      </c>
    </row>
    <row r="446">
      <c r="A446" s="5" t="inlineStr">
        <is>
          <t>b9-goc-iki-dilde-emeklilik</t>
        </is>
      </c>
      <c r="B446" s="5" t="n">
        <v>9</v>
      </c>
      <c r="C446" s="5" t="inlineStr">
        <is>
          <t>62 yaş</t>
        </is>
      </c>
      <c r="D446" s="5" t="inlineStr">
        <is>
          <t>🏖️</t>
        </is>
      </c>
      <c r="E446" s="6" t="inlineStr">
        <is>
          <t>İki Dilde Emeklilik</t>
        </is>
      </c>
      <c r="F446" s="6" t="inlineStr">
        <is>
          <t>Emeklilik dosyan iki ülkeye bölünmüş: yıllarının bir kısmı burada, bir kısmı orada. İki kurum da öbüründen bir yazı istiyor. İki yazı da ötekinin önce gelmesini bekliyor.</t>
        </is>
      </c>
      <c r="G446" s="5" t="inlineStr">
        <is>
          <t>devlet-dairesi</t>
        </is>
      </c>
      <c r="H446" s="5" t="inlineStr"/>
      <c r="I446" s="5" t="inlineStr"/>
      <c r="J446" s="5" t="n">
        <v>3</v>
      </c>
      <c r="K446" s="5" t="inlineStr"/>
      <c r="L446" s="5" t="inlineStr">
        <is>
          <t>hapis</t>
        </is>
      </c>
      <c r="M446" s="5" t="inlineStr"/>
      <c r="N446" s="5" t="inlineStr"/>
      <c r="O446" s="5" t="inlineStr"/>
      <c r="P446" s="5" t="inlineStr"/>
      <c r="Q446" s="5" t="inlineStr"/>
      <c r="R446" s="6" t="inlineStr"/>
      <c r="S446" s="5" t="inlineStr"/>
      <c r="T446" s="5" t="inlineStr"/>
      <c r="U446" s="5" t="inlineStr"/>
      <c r="V446" s="5" t="inlineStr">
        <is>
          <t>goc</t>
        </is>
      </c>
    </row>
    <row r="447">
      <c r="A447" s="5" t="inlineStr">
        <is>
          <t>b7-koy-keciler</t>
        </is>
      </c>
      <c r="B447" s="5" t="n">
        <v>7</v>
      </c>
      <c r="C447" s="5" t="inlineStr">
        <is>
          <t>28 yaş</t>
        </is>
      </c>
      <c r="D447" s="5" t="inlineStr">
        <is>
          <t>🐐</t>
        </is>
      </c>
      <c r="E447" s="6" t="inlineStr">
        <is>
          <t>Keçilerle Tanışma</t>
        </is>
      </c>
      <c r="F447" s="6" t="inlineStr">
        <is>
          <t>Dedenin on dört keçisi artık senin. En yaşlısı kapı mandalını açmayı biliyor, en genci dama çıkmayı. Bu sabah sürü komşunun bahçesinde; komşu da kapıda, elinde yarısı yenmiş bir lahana.</t>
        </is>
      </c>
      <c r="G447" s="5" t="inlineStr">
        <is>
          <t>koy</t>
        </is>
      </c>
      <c r="H447" s="5" t="inlineStr"/>
      <c r="I447" s="5" t="inlineStr"/>
      <c r="J447" s="5" t="n">
        <v>3</v>
      </c>
      <c r="K447" s="5" t="inlineStr"/>
      <c r="L447" s="5" t="inlineStr">
        <is>
          <t>hapis</t>
        </is>
      </c>
      <c r="M447" s="5" t="inlineStr"/>
      <c r="N447" s="5" t="inlineStr"/>
      <c r="O447" s="5" t="inlineStr"/>
      <c r="P447" s="5" t="inlineStr"/>
      <c r="Q447" s="5" t="inlineStr"/>
      <c r="R447" s="6" t="inlineStr"/>
      <c r="S447" s="5" t="inlineStr"/>
      <c r="T447" s="5" t="inlineStr"/>
      <c r="U447" s="5" t="inlineStr"/>
      <c r="V447" s="5" t="inlineStr">
        <is>
          <t>koy</t>
        </is>
      </c>
    </row>
    <row r="448">
      <c r="A448" s="5" t="inlineStr">
        <is>
          <t>b7-koy-kooperatif</t>
        </is>
      </c>
      <c r="B448" s="5" t="n">
        <v>7</v>
      </c>
      <c r="C448" s="5" t="inlineStr">
        <is>
          <t>32 yaş</t>
        </is>
      </c>
      <c r="D448" s="5" t="inlineStr">
        <is>
          <t>🥛</t>
        </is>
      </c>
      <c r="E448" s="6" t="inlineStr">
        <is>
          <t>Kooperatif Toplantısı</t>
        </is>
      </c>
      <c r="F448" s="6" t="inlineStr">
        <is>
          <t>Toplantı yedide başlayacaktı; sekizde çay geldi, dokuzda gündeme geçildi. Gündem: yeni süt tankı. İlk kırk dakika eski tankın neden bozulduğu, sonraki kırk dakika hava durumu konuşuldu.</t>
        </is>
      </c>
      <c r="G448" s="5" t="inlineStr">
        <is>
          <t>koy</t>
        </is>
      </c>
      <c r="H448" s="5" t="inlineStr"/>
      <c r="I448" s="5" t="inlineStr"/>
      <c r="J448" s="5" t="n">
        <v>3</v>
      </c>
      <c r="K448" s="5" t="inlineStr"/>
      <c r="L448" s="5" t="inlineStr">
        <is>
          <t>hapis</t>
        </is>
      </c>
      <c r="M448" s="5" t="inlineStr"/>
      <c r="N448" s="5" t="inlineStr"/>
      <c r="O448" s="5" t="inlineStr"/>
      <c r="P448" s="5" t="inlineStr"/>
      <c r="Q448" s="5" t="inlineStr"/>
      <c r="R448" s="6" t="inlineStr"/>
      <c r="S448" s="5" t="inlineStr"/>
      <c r="T448" s="5" t="inlineStr"/>
      <c r="U448" s="5" t="inlineStr"/>
      <c r="V448" s="5" t="inlineStr">
        <is>
          <t>koy</t>
        </is>
      </c>
    </row>
    <row r="449">
      <c r="A449" s="5" t="inlineStr">
        <is>
          <t>b7-koy-sehirliler</t>
        </is>
      </c>
      <c r="B449" s="5" t="n">
        <v>7</v>
      </c>
      <c r="C449" s="5" t="inlineStr">
        <is>
          <t>37 yaş</t>
        </is>
      </c>
      <c r="D449" s="5" t="inlineStr">
        <is>
          <t>🐓</t>
        </is>
      </c>
      <c r="E449" s="6" t="inlineStr">
        <is>
          <t>Şehirliler Geldi</t>
        </is>
      </c>
      <c r="F449" s="6" t="inlineStr">
        <is>
          <t>Köyün girişindeki tarlayı şehirli bir çift aldı. İlk hafta horozdan şikâyet ettiler, ikinci hafta “organik” yumurta sordular, üçüncü hafta bir tabela astılar: “Sessiz Bölge.” Horoz tabelayı okumadı.</t>
        </is>
      </c>
      <c r="G449" s="5" t="inlineStr">
        <is>
          <t>koy</t>
        </is>
      </c>
      <c r="H449" s="5" t="inlineStr"/>
      <c r="I449" s="5" t="inlineStr"/>
      <c r="J449" s="5" t="n">
        <v>3</v>
      </c>
      <c r="K449" s="5" t="inlineStr"/>
      <c r="L449" s="5" t="inlineStr">
        <is>
          <t>hapis</t>
        </is>
      </c>
      <c r="M449" s="5" t="inlineStr"/>
      <c r="N449" s="5" t="inlineStr"/>
      <c r="O449" s="5" t="inlineStr"/>
      <c r="P449" s="5" t="inlineStr"/>
      <c r="Q449" s="5" t="inlineStr"/>
      <c r="R449" s="6" t="inlineStr"/>
      <c r="S449" s="5" t="inlineStr"/>
      <c r="T449" s="5" t="inlineStr"/>
      <c r="U449" s="5" t="inlineStr"/>
      <c r="V449" s="5" t="inlineStr">
        <is>
          <t>koy</t>
        </is>
      </c>
    </row>
    <row r="450">
      <c r="A450" s="5" t="inlineStr">
        <is>
          <t>k10-koy</t>
        </is>
      </c>
      <c r="B450" s="5" t="n">
        <v>7</v>
      </c>
      <c r="C450" s="5" t="inlineStr">
        <is>
          <t>35 yaş</t>
        </is>
      </c>
      <c r="D450" s="5" t="inlineStr">
        <is>
          <t>🌾</t>
        </is>
      </c>
      <c r="E450" s="6" t="inlineStr">
        <is>
          <t>Köy Seni Kabul Etti mi?</t>
        </is>
      </c>
      <c r="F450" s="6" t="inlineStr">
        <is>
          <t>Kahvede artık sana “bizim çocuk” diyorlar ama çayı ilk sen koymuyorsun. Bu kış muhtarlık seçimi var, kooperatif başkansız, keçiler kameraya meraklı. Şehirden de bir iş teklifi geldi.</t>
        </is>
      </c>
      <c r="G450" s="5" t="inlineStr">
        <is>
          <t>koy</t>
        </is>
      </c>
      <c r="H450" s="5" t="inlineStr"/>
      <c r="I450" s="5" t="inlineStr">
        <is>
          <t>E</t>
        </is>
      </c>
      <c r="J450" s="5" t="inlineStr"/>
      <c r="K450" s="5" t="inlineStr"/>
      <c r="L450" s="5" t="inlineStr">
        <is>
          <t>hapis</t>
        </is>
      </c>
      <c r="M450" s="5" t="inlineStr"/>
      <c r="N450" s="5" t="inlineStr"/>
      <c r="O450" s="5" t="inlineStr"/>
      <c r="P450" s="5" t="inlineStr"/>
      <c r="Q450" s="5" t="n">
        <v>10</v>
      </c>
      <c r="R450" s="6" t="inlineStr">
        <is>
          <t>Köyde ya kalıcı olursun ya da hep “döndü, gidecek” denen kişi. Mühür, kooperatif defteri, telefon kamerası ya da şehir bileti: köy seni hangisiyle hatırlayacak?</t>
        </is>
      </c>
      <c r="S450" s="5" t="inlineStr"/>
      <c r="T450" s="5" t="inlineStr"/>
      <c r="U450" s="5" t="inlineStr"/>
      <c r="V450" s="5" t="inlineStr"/>
    </row>
    <row r="451">
      <c r="A451" s="5" t="inlineStr">
        <is>
          <t>b8-koy-muhtarlik-secimi</t>
        </is>
      </c>
      <c r="B451" s="5" t="n">
        <v>8</v>
      </c>
      <c r="C451" s="5" t="inlineStr">
        <is>
          <t>46 yaş</t>
        </is>
      </c>
      <c r="D451" s="5" t="inlineStr">
        <is>
          <t>🗳️</t>
        </is>
      </c>
      <c r="E451" s="6" t="inlineStr">
        <is>
          <t>Muhtarlık Seçimi</t>
        </is>
      </c>
      <c r="F451" s="6" t="inlineStr">
        <is>
          <t>Seçim yaklaştı. Köy kahvesinde iki masa var: biri seni destekliyor, öbürü rakibini; ikisi aynı çaydanlıktan içiyor. Rakibin kuzenin. Vaatler şimdiden sobanın boyutuna geldi.</t>
        </is>
      </c>
      <c r="G451" s="5" t="inlineStr">
        <is>
          <t>koy</t>
        </is>
      </c>
      <c r="H451" s="5" t="inlineStr"/>
      <c r="I451" s="5" t="inlineStr"/>
      <c r="J451" s="5" t="n">
        <v>3</v>
      </c>
      <c r="K451" s="5" t="inlineStr"/>
      <c r="L451" s="5" t="inlineStr">
        <is>
          <t>hapis</t>
        </is>
      </c>
      <c r="M451" s="5" t="inlineStr"/>
      <c r="N451" s="5" t="inlineStr"/>
      <c r="O451" s="5" t="inlineStr"/>
      <c r="P451" s="5" t="inlineStr"/>
      <c r="Q451" s="5" t="inlineStr"/>
      <c r="R451" s="6" t="inlineStr"/>
      <c r="S451" s="5" t="inlineStr"/>
      <c r="T451" s="5" t="inlineStr"/>
      <c r="U451" s="5" t="inlineStr"/>
      <c r="V451" s="5" t="inlineStr">
        <is>
          <t>koy</t>
        </is>
      </c>
    </row>
    <row r="452">
      <c r="A452" s="5" t="inlineStr">
        <is>
          <t>b8-koy-unlu-koylu</t>
        </is>
      </c>
      <c r="B452" s="5" t="n">
        <v>8</v>
      </c>
      <c r="C452" s="5" t="inlineStr">
        <is>
          <t>52 yaş</t>
        </is>
      </c>
      <c r="D452" s="5" t="inlineStr">
        <is>
          <t>📺</t>
        </is>
      </c>
      <c r="E452" s="6" t="inlineStr">
        <is>
          <t>Ünlü Köylü</t>
        </is>
      </c>
      <c r="F452" s="6" t="inlineStr">
        <is>
          <t>Bir televizyon ekibi köyü “Kaybolan Tatlar” belgeseli için çekmeye geldi. Yönetmen köyün en sıradan hâlini istiyor. Köy ise en iyi kıyafetlerini giydi, meydanı yıkadı, keçilere kurdele taktı.</t>
        </is>
      </c>
      <c r="G452" s="5" t="inlineStr">
        <is>
          <t>koy</t>
        </is>
      </c>
      <c r="H452" s="5" t="inlineStr"/>
      <c r="I452" s="5" t="inlineStr"/>
      <c r="J452" s="5" t="n">
        <v>3</v>
      </c>
      <c r="K452" s="5" t="inlineStr"/>
      <c r="L452" s="5" t="inlineStr">
        <is>
          <t>hapis</t>
        </is>
      </c>
      <c r="M452" s="5" t="inlineStr"/>
      <c r="N452" s="5" t="inlineStr"/>
      <c r="O452" s="5" t="inlineStr"/>
      <c r="P452" s="5" t="inlineStr"/>
      <c r="Q452" s="5" t="inlineStr"/>
      <c r="R452" s="6" t="inlineStr"/>
      <c r="S452" s="5" t="inlineStr"/>
      <c r="T452" s="5" t="inlineStr"/>
      <c r="U452" s="5" t="inlineStr"/>
      <c r="V452" s="5" t="inlineStr">
        <is>
          <t>koy</t>
        </is>
      </c>
    </row>
    <row r="453">
      <c r="A453" s="5" t="inlineStr">
        <is>
          <t>b9-koy-cinarin-alti</t>
        </is>
      </c>
      <c r="B453" s="5" t="n">
        <v>9</v>
      </c>
      <c r="C453" s="5" t="inlineStr">
        <is>
          <t>61 yaş</t>
        </is>
      </c>
      <c r="D453" s="5" t="inlineStr">
        <is>
          <t>🌳</t>
        </is>
      </c>
      <c r="E453" s="6" t="inlineStr">
        <is>
          <t>Çınarın Altında</t>
        </is>
      </c>
      <c r="F453" s="6" t="inlineStr">
        <is>
          <t>Köy çınarının altında artık sana ayrılmış bir sandalye var. Gençler şehre gidiyor, yazın şehirden çocuklar geliyor, kışın sen ve keçiler kalıyorsunuz. Bu sabah köyün gençlerinden biri danışmaya geldi.</t>
        </is>
      </c>
      <c r="G453" s="5" t="inlineStr">
        <is>
          <t>koy</t>
        </is>
      </c>
      <c r="H453" s="5" t="inlineStr"/>
      <c r="I453" s="5" t="inlineStr"/>
      <c r="J453" s="5" t="n">
        <v>3</v>
      </c>
      <c r="K453" s="5" t="inlineStr"/>
      <c r="L453" s="5" t="inlineStr">
        <is>
          <t>hapis</t>
        </is>
      </c>
      <c r="M453" s="5" t="inlineStr"/>
      <c r="N453" s="5" t="inlineStr"/>
      <c r="O453" s="5" t="inlineStr"/>
      <c r="P453" s="5" t="inlineStr"/>
      <c r="Q453" s="5" t="inlineStr"/>
      <c r="R453" s="6" t="inlineStr"/>
      <c r="S453" s="5" t="inlineStr"/>
      <c r="T453" s="5" t="inlineStr"/>
      <c r="U453" s="5" t="inlineStr"/>
      <c r="V453" s="5" t="inlineStr">
        <is>
          <t>koy</t>
        </is>
      </c>
    </row>
    <row r="454">
      <c r="A454" s="5" t="inlineStr">
        <is>
          <t>b7-usta-ilk-cirak</t>
        </is>
      </c>
      <c r="B454" s="5" t="n">
        <v>7</v>
      </c>
      <c r="C454" s="5" t="inlineStr">
        <is>
          <t>28 yaş</t>
        </is>
      </c>
      <c r="D454" s="5" t="inlineStr">
        <is>
          <t>🧰</t>
        </is>
      </c>
      <c r="E454" s="6" t="inlineStr">
        <is>
          <t>İlk Çırağın</t>
        </is>
      </c>
      <c r="F454" s="6" t="inlineStr">
        <is>
          <t>Bir müşterinin yeğeni çırak olarak kapına geldi. On altı yaşında, telefon elinden düşmüyor. Anahtar takımının sırasını bilmiyor ama her şeyin videosunu çekiyor. İlk gün bir bijon kaybetti, bir takipçi kazandı.</t>
        </is>
      </c>
      <c r="G454" s="5" t="inlineStr">
        <is>
          <t>dukkan</t>
        </is>
      </c>
      <c r="H454" s="5" t="inlineStr"/>
      <c r="I454" s="5" t="inlineStr"/>
      <c r="J454" s="5" t="n">
        <v>3</v>
      </c>
      <c r="K454" s="5" t="inlineStr"/>
      <c r="L454" s="5" t="inlineStr">
        <is>
          <t>hapis</t>
        </is>
      </c>
      <c r="M454" s="5" t="inlineStr"/>
      <c r="N454" s="5" t="inlineStr"/>
      <c r="O454" s="5" t="inlineStr"/>
      <c r="P454" s="5" t="inlineStr"/>
      <c r="Q454" s="5" t="inlineStr"/>
      <c r="R454" s="6" t="inlineStr"/>
      <c r="S454" s="5" t="inlineStr"/>
      <c r="T454" s="5" t="inlineStr"/>
      <c r="U454" s="5" t="inlineStr"/>
      <c r="V454" s="5" t="inlineStr">
        <is>
          <t>usta</t>
        </is>
      </c>
    </row>
    <row r="455">
      <c r="A455" s="5" t="inlineStr">
        <is>
          <t>b7-usta-karsi-dukkan</t>
        </is>
      </c>
      <c r="B455" s="5" t="n">
        <v>7</v>
      </c>
      <c r="C455" s="5" t="inlineStr">
        <is>
          <t>32 yaş</t>
        </is>
      </c>
      <c r="D455" s="5" t="inlineStr">
        <is>
          <t>🔌</t>
        </is>
      </c>
      <c r="E455" s="6" t="inlineStr">
        <is>
          <t>Karşı Dükkân</t>
        </is>
      </c>
      <c r="F455" s="6" t="inlineStr">
        <is>
          <t>Karşına bir dükkân açıldı; camında “Bilgisayarlı arıza tespiti” yazıyor. Müşteriler önce oraya gidiyor, cihaz arızayı buluyor, tamir için sana geliyorlar. Karşının ustası da arada sana danışıyor, gizlice.</t>
        </is>
      </c>
      <c r="G455" s="5" t="inlineStr">
        <is>
          <t>dukkan</t>
        </is>
      </c>
      <c r="H455" s="5" t="inlineStr"/>
      <c r="I455" s="5" t="inlineStr"/>
      <c r="J455" s="5" t="n">
        <v>3</v>
      </c>
      <c r="K455" s="5" t="inlineStr"/>
      <c r="L455" s="5" t="inlineStr">
        <is>
          <t>hapis</t>
        </is>
      </c>
      <c r="M455" s="5" t="inlineStr"/>
      <c r="N455" s="5" t="inlineStr"/>
      <c r="O455" s="5" t="inlineStr"/>
      <c r="P455" s="5" t="inlineStr"/>
      <c r="Q455" s="5" t="inlineStr"/>
      <c r="R455" s="6" t="inlineStr"/>
      <c r="S455" s="5" t="inlineStr"/>
      <c r="T455" s="5" t="inlineStr"/>
      <c r="U455" s="5" t="inlineStr"/>
      <c r="V455" s="5" t="inlineStr">
        <is>
          <t>usta</t>
        </is>
      </c>
    </row>
    <row r="456">
      <c r="A456" s="5" t="inlineStr">
        <is>
          <t>b7-usta-sanayi-hakemi</t>
        </is>
      </c>
      <c r="B456" s="5" t="n">
        <v>7</v>
      </c>
      <c r="C456" s="5" t="inlineStr">
        <is>
          <t>37 yaş</t>
        </is>
      </c>
      <c r="D456" s="5" t="inlineStr">
        <is>
          <t>⚖️</t>
        </is>
      </c>
      <c r="E456" s="6" t="inlineStr">
        <is>
          <t>Sanayinin Hakemi</t>
        </is>
      </c>
      <c r="F456" s="6" t="inlineStr">
        <is>
          <t>Sanayide iki usta aynı park yeri için bir haftadır küs. Biri kaportacı, biri boyacı; müşterileri ortak. Site yönetimi çözemedi. İki usta da sana geldi: “Sen ne dersen o.”</t>
        </is>
      </c>
      <c r="G456" s="5" t="inlineStr">
        <is>
          <t>dukkan</t>
        </is>
      </c>
      <c r="H456" s="5" t="inlineStr"/>
      <c r="I456" s="5" t="inlineStr"/>
      <c r="J456" s="5" t="n">
        <v>3</v>
      </c>
      <c r="K456" s="5" t="inlineStr"/>
      <c r="L456" s="5" t="inlineStr">
        <is>
          <t>hapis</t>
        </is>
      </c>
      <c r="M456" s="5" t="inlineStr"/>
      <c r="N456" s="5" t="inlineStr"/>
      <c r="O456" s="5" t="inlineStr"/>
      <c r="P456" s="5" t="inlineStr"/>
      <c r="Q456" s="5" t="inlineStr"/>
      <c r="R456" s="6" t="inlineStr"/>
      <c r="S456" s="5" t="inlineStr"/>
      <c r="T456" s="5" t="inlineStr"/>
      <c r="U456" s="5" t="inlineStr"/>
      <c r="V456" s="5" t="inlineStr">
        <is>
          <t>usta</t>
        </is>
      </c>
    </row>
    <row r="457">
      <c r="A457" s="5" t="inlineStr">
        <is>
          <t>k10-usta</t>
        </is>
      </c>
      <c r="B457" s="5" t="n">
        <v>7</v>
      </c>
      <c r="C457" s="5" t="inlineStr">
        <is>
          <t>35 yaş</t>
        </is>
      </c>
      <c r="D457" s="5" t="inlineStr">
        <is>
          <t>🏗️</t>
        </is>
      </c>
      <c r="E457" s="6" t="inlineStr">
        <is>
          <t>Sanayi Taşınıyor</t>
        </is>
      </c>
      <c r="F457" s="6" t="inlineStr">
        <is>
          <t>Belediye sanayiyi şehrin dışına, yeni bir siteye taşıyor. Yeni dükkânlar geniş, kiraları da. Bir fabrika seni usta başı istiyor. Eski müşterilerin ise “Nereye gidersen geliriz” diyor, adresi sormadan.</t>
        </is>
      </c>
      <c r="G457" s="5" t="inlineStr">
        <is>
          <t>dukkan</t>
        </is>
      </c>
      <c r="H457" s="5" t="inlineStr"/>
      <c r="I457" s="5" t="inlineStr">
        <is>
          <t>E</t>
        </is>
      </c>
      <c r="J457" s="5" t="inlineStr"/>
      <c r="K457" s="5" t="inlineStr"/>
      <c r="L457" s="5" t="inlineStr">
        <is>
          <t>hapis</t>
        </is>
      </c>
      <c r="M457" s="5" t="inlineStr"/>
      <c r="N457" s="5" t="inlineStr"/>
      <c r="O457" s="5" t="inlineStr"/>
      <c r="P457" s="5" t="inlineStr"/>
      <c r="Q457" s="5" t="n">
        <v>10</v>
      </c>
      <c r="R457" s="6" t="inlineStr">
        <is>
          <t>Kepenk yer değiştiriyor. Yeni sitede büyüyebilir, bir fabrikanın maaşlı ustası olabilir ya da adını bir markaya çevirebilirsin. Eski sanayinin sesi bir daha aynı olmayacak.</t>
        </is>
      </c>
      <c r="S457" s="5" t="inlineStr"/>
      <c r="T457" s="5" t="inlineStr"/>
      <c r="U457" s="5" t="inlineStr"/>
      <c r="V457" s="5" t="inlineStr"/>
    </row>
    <row r="458">
      <c r="A458" s="5" t="inlineStr">
        <is>
          <t>b8-usta-sessiz-motor</t>
        </is>
      </c>
      <c r="B458" s="5" t="n">
        <v>8</v>
      </c>
      <c r="C458" s="5" t="inlineStr">
        <is>
          <t>45 yaş</t>
        </is>
      </c>
      <c r="D458" s="5" t="inlineStr">
        <is>
          <t>🔋</t>
        </is>
      </c>
      <c r="E458" s="6" t="inlineStr">
        <is>
          <t>Sessiz Motor</t>
        </is>
      </c>
      <c r="F458" s="6" t="inlineStr">
        <is>
          <t>Tezgâhına ilk elektrikli araç geldi. Kaputu açtın; motor yok gibi, ses hiç yok. Yirmi yıldır arızayı kulağınla buluyordun. Sahibi “Bir tık sesi var” diyor; sen duymuyorsun, kalfan duyuyor.</t>
        </is>
      </c>
      <c r="G458" s="5" t="inlineStr">
        <is>
          <t>dukkan</t>
        </is>
      </c>
      <c r="H458" s="5" t="inlineStr"/>
      <c r="I458" s="5" t="inlineStr"/>
      <c r="J458" s="5" t="n">
        <v>3</v>
      </c>
      <c r="K458" s="5" t="inlineStr"/>
      <c r="L458" s="5" t="inlineStr">
        <is>
          <t>hapis</t>
        </is>
      </c>
      <c r="M458" s="5" t="inlineStr"/>
      <c r="N458" s="5" t="inlineStr"/>
      <c r="O458" s="5" t="inlineStr"/>
      <c r="P458" s="5" t="inlineStr"/>
      <c r="Q458" s="5" t="inlineStr"/>
      <c r="R458" s="6" t="inlineStr"/>
      <c r="S458" s="5" t="inlineStr"/>
      <c r="T458" s="5" t="inlineStr"/>
      <c r="U458" s="5" t="inlineStr"/>
      <c r="V458" s="5" t="inlineStr">
        <is>
          <t>usta</t>
        </is>
      </c>
    </row>
    <row r="459">
      <c r="A459" s="5" t="inlineStr">
        <is>
          <t>b8-usta-ustalarin-ustasi</t>
        </is>
      </c>
      <c r="B459" s="5" t="n">
        <v>8</v>
      </c>
      <c r="C459" s="5" t="inlineStr">
        <is>
          <t>51 yaş</t>
        </is>
      </c>
      <c r="D459" s="5" t="inlineStr">
        <is>
          <t>🏅</t>
        </is>
      </c>
      <c r="E459" s="6" t="inlineStr">
        <is>
          <t>Ustaların Ustası</t>
        </is>
      </c>
      <c r="F459" s="6" t="inlineStr">
        <is>
          <t>Yanında yetişen bir çırak karşı sırada kendi dükkânını açtı. Tabelada “Ustası:” yazıyor, yanında senin adın. Kurdeleyi sana kestirmek istiyor. Makası da senin tezgâhından almış, sormadan.</t>
        </is>
      </c>
      <c r="G459" s="5" t="inlineStr">
        <is>
          <t>dukkan</t>
        </is>
      </c>
      <c r="H459" s="5" t="inlineStr"/>
      <c r="I459" s="5" t="inlineStr"/>
      <c r="J459" s="5" t="n">
        <v>3</v>
      </c>
      <c r="K459" s="5" t="inlineStr"/>
      <c r="L459" s="5" t="inlineStr">
        <is>
          <t>hapis</t>
        </is>
      </c>
      <c r="M459" s="5" t="inlineStr"/>
      <c r="N459" s="5" t="inlineStr"/>
      <c r="O459" s="5" t="inlineStr"/>
      <c r="P459" s="5" t="inlineStr"/>
      <c r="Q459" s="5" t="inlineStr"/>
      <c r="R459" s="6" t="inlineStr"/>
      <c r="S459" s="5" t="inlineStr"/>
      <c r="T459" s="5" t="inlineStr"/>
      <c r="U459" s="5" t="inlineStr"/>
      <c r="V459" s="5" t="inlineStr">
        <is>
          <t>usta</t>
        </is>
      </c>
    </row>
    <row r="460">
      <c r="A460" s="5" t="inlineStr">
        <is>
          <t>b9-usta-son-kepenk</t>
        </is>
      </c>
      <c r="B460" s="5" t="n">
        <v>9</v>
      </c>
      <c r="C460" s="5" t="inlineStr">
        <is>
          <t>63 yaş</t>
        </is>
      </c>
      <c r="D460" s="5" t="inlineStr">
        <is>
          <t>🔑</t>
        </is>
      </c>
      <c r="E460" s="6" t="inlineStr">
        <is>
          <t>Son Kepenk</t>
        </is>
      </c>
      <c r="F460" s="6" t="inlineStr">
        <is>
          <t>Emeklilik evrakın hazır, dükkânın devri konuşuluyor. Ama her sabah telefon çalıyor: “Usta, bir ses var.” Arayanlar sesi taklit ediyor, sen telefonda teşhis koyuyorsun. Kalfan buna “uzaktan çalışma” diyor.</t>
        </is>
      </c>
      <c r="G460" s="5" t="inlineStr">
        <is>
          <t>dukkan</t>
        </is>
      </c>
      <c r="H460" s="5" t="inlineStr"/>
      <c r="I460" s="5" t="inlineStr"/>
      <c r="J460" s="5" t="n">
        <v>3</v>
      </c>
      <c r="K460" s="5" t="inlineStr"/>
      <c r="L460" s="5" t="inlineStr">
        <is>
          <t>hapis</t>
        </is>
      </c>
      <c r="M460" s="5" t="inlineStr"/>
      <c r="N460" s="5" t="inlineStr"/>
      <c r="O460" s="5" t="inlineStr"/>
      <c r="P460" s="5" t="inlineStr"/>
      <c r="Q460" s="5" t="inlineStr"/>
      <c r="R460" s="6" t="inlineStr"/>
      <c r="S460" s="5" t="inlineStr"/>
      <c r="T460" s="5" t="inlineStr"/>
      <c r="U460" s="5" t="inlineStr"/>
      <c r="V460" s="5" t="inlineStr">
        <is>
          <t>usta</t>
        </is>
      </c>
    </row>
    <row r="461">
      <c r="A461" s="5" t="inlineStr">
        <is>
          <t>b7-kiz-isteme</t>
        </is>
      </c>
      <c r="B461" s="5" t="n">
        <v>7</v>
      </c>
      <c r="C461" s="5" t="inlineStr">
        <is>
          <t>29 yaş 2 ay</t>
        </is>
      </c>
      <c r="D461" s="5" t="inlineStr">
        <is>
          <t>☕</t>
        </is>
      </c>
      <c r="E461" s="6" t="inlineStr">
        <is>
          <t>Tuzlu Kahve</t>
        </is>
      </c>
      <c r="F461" s="6" t="inlineStr">
        <is>
          <t>Kız istemeye gittiniz. Annen çikolatayı taşıyor, baban cümleyi. Kahveler geldi; seninkinin rengi biraz farklı. Salondaki herkes senin yüzüne bakıyor.</t>
        </is>
      </c>
      <c r="G461" s="5" t="inlineStr">
        <is>
          <t>ev</t>
        </is>
      </c>
      <c r="H461" s="5" t="inlineStr"/>
      <c r="I461" s="5" t="inlineStr">
        <is>
          <t>E</t>
        </is>
      </c>
      <c r="J461" s="5" t="inlineStr"/>
      <c r="K461" s="5" t="inlineStr">
        <is>
          <t>ask-evliligi</t>
        </is>
      </c>
      <c r="L461" s="5" t="inlineStr">
        <is>
          <t>hapis</t>
        </is>
      </c>
      <c r="M461" s="5" t="inlineStr"/>
      <c r="N461" s="5" t="inlineStr"/>
      <c r="O461" s="5" t="inlineStr"/>
      <c r="P461" s="5" t="inlineStr"/>
      <c r="Q461" s="5" t="inlineStr"/>
      <c r="R461" s="6" t="inlineStr"/>
      <c r="S461" s="5" t="inlineStr"/>
      <c r="T461" s="5" t="inlineStr"/>
      <c r="U461" s="5" t="inlineStr"/>
      <c r="V461" s="5" t="inlineStr"/>
    </row>
    <row r="462">
      <c r="A462" s="5" t="inlineStr">
        <is>
          <t>b7-gorucu-kahve</t>
        </is>
      </c>
      <c r="B462" s="5" t="n">
        <v>7</v>
      </c>
      <c r="C462" s="5" t="inlineStr">
        <is>
          <t>29 yaş 1 ay</t>
        </is>
      </c>
      <c r="D462" s="5" t="inlineStr">
        <is>
          <t>🫖</t>
        </is>
      </c>
      <c r="E462" s="6" t="inlineStr">
        <is>
          <t>Sadece Bir Kahve</t>
        </is>
      </c>
      <c r="F462" s="6" t="inlineStr">
        <is>
          <t>Annenin arkadaşının kızının teyzesinin önerisi. Pastanede karşı karşıya oturuyorsunuz; iki anne iki masa ötede, gazete okuyormuş gibi yapıyor. Gazete ters.</t>
        </is>
      </c>
      <c r="G462" s="5" t="inlineStr">
        <is>
          <t>kafe</t>
        </is>
      </c>
      <c r="H462" s="5" t="inlineStr"/>
      <c r="I462" s="5" t="inlineStr">
        <is>
          <t>E</t>
        </is>
      </c>
      <c r="J462" s="5" t="inlineStr"/>
      <c r="K462" s="5" t="inlineStr">
        <is>
          <t>gorucu</t>
        </is>
      </c>
      <c r="L462" s="5" t="inlineStr">
        <is>
          <t>hapis</t>
        </is>
      </c>
      <c r="M462" s="5" t="inlineStr"/>
      <c r="N462" s="5" t="inlineStr"/>
      <c r="O462" s="5" t="inlineStr"/>
      <c r="P462" s="5" t="inlineStr"/>
      <c r="Q462" s="5" t="inlineStr"/>
      <c r="R462" s="6" t="inlineStr"/>
      <c r="S462" s="5" t="inlineStr"/>
      <c r="T462" s="5" t="inlineStr"/>
      <c r="U462" s="5" t="inlineStr"/>
      <c r="V462" s="5" t="inlineStr"/>
    </row>
    <row r="463">
      <c r="A463" s="5" t="inlineStr">
        <is>
          <t>b7-capkin-rezervasyon</t>
        </is>
      </c>
      <c r="B463" s="5" t="n">
        <v>7</v>
      </c>
      <c r="C463" s="5" t="inlineStr">
        <is>
          <t>30 yaş 6 ay</t>
        </is>
      </c>
      <c r="D463" s="5" t="inlineStr">
        <is>
          <t>🌹</t>
        </is>
      </c>
      <c r="E463" s="6" t="inlineStr">
        <is>
          <t>Aynı Restoran, Üç Akşam</t>
        </is>
      </c>
      <c r="F463" s="6" t="inlineStr">
        <is>
          <t>Pazartesi, çarşamba, cuma. Aynı restoran, aynı masa, üç ayrı isim. Garson artık menüyü getirmiyor; sadece “Bugün kim?” diye soruyor. Bu akşam biri erken geldi.</t>
        </is>
      </c>
      <c r="G463" s="5" t="inlineStr">
        <is>
          <t>kafe</t>
        </is>
      </c>
      <c r="H463" s="5" t="inlineStr"/>
      <c r="I463" s="5" t="inlineStr"/>
      <c r="J463" s="5" t="n">
        <v>3</v>
      </c>
      <c r="K463" s="5" t="inlineStr">
        <is>
          <t>capkin</t>
        </is>
      </c>
      <c r="L463" s="5" t="inlineStr">
        <is>
          <t>evli, hapis</t>
        </is>
      </c>
      <c r="M463" s="5" t="inlineStr"/>
      <c r="N463" s="5" t="inlineStr"/>
      <c r="O463" s="5" t="inlineStr"/>
      <c r="P463" s="5" t="inlineStr"/>
      <c r="Q463" s="5" t="inlineStr"/>
      <c r="R463" s="6" t="inlineStr"/>
      <c r="S463" s="5" t="inlineStr"/>
      <c r="T463" s="5" t="inlineStr"/>
      <c r="U463" s="5" t="inlineStr"/>
      <c r="V463" s="5" t="inlineStr"/>
    </row>
    <row r="464">
      <c r="A464" s="5" t="inlineStr">
        <is>
          <t>b8-capkin-orta-yas</t>
        </is>
      </c>
      <c r="B464" s="5" t="n">
        <v>8</v>
      </c>
      <c r="C464" s="5" t="inlineStr">
        <is>
          <t>44 yaş</t>
        </is>
      </c>
      <c r="D464" s="5" t="inlineStr">
        <is>
          <t>🥂</t>
        </is>
      </c>
      <c r="E464" s="6" t="inlineStr">
        <is>
          <t>Hâlâ Aynı Restoran</t>
        </is>
      </c>
      <c r="F464" s="6" t="inlineStr">
        <is>
          <t>Kırk dört yaşındasın ve restoranın garsonu emekli oldu. Yerine gelen genç senin masanı “Efsane masa” diye biliyor. Bu akşam karşına oturan kişi, yirmi yıl önceki bir buluşmanın kızı.</t>
        </is>
      </c>
      <c r="G464" s="5" t="inlineStr">
        <is>
          <t>kafe</t>
        </is>
      </c>
      <c r="H464" s="5" t="inlineStr"/>
      <c r="I464" s="5" t="inlineStr"/>
      <c r="J464" s="5" t="n">
        <v>3</v>
      </c>
      <c r="K464" s="5" t="inlineStr">
        <is>
          <t>capkin</t>
        </is>
      </c>
      <c r="L464" s="5" t="inlineStr">
        <is>
          <t>evli, hapis</t>
        </is>
      </c>
      <c r="M464" s="5" t="inlineStr"/>
      <c r="N464" s="5" t="inlineStr"/>
      <c r="O464" s="5" t="inlineStr"/>
      <c r="P464" s="5" t="inlineStr"/>
      <c r="Q464" s="5" t="inlineStr"/>
      <c r="R464" s="6" t="inlineStr"/>
      <c r="S464" s="5" t="inlineStr"/>
      <c r="T464" s="5" t="inlineStr"/>
      <c r="U464" s="5" t="inlineStr"/>
      <c r="V464" s="5" t="inlineStr"/>
    </row>
    <row r="465">
      <c r="A465" s="5" t="inlineStr">
        <is>
          <t>b7-evin-oglu</t>
        </is>
      </c>
      <c r="B465" s="5" t="n">
        <v>7</v>
      </c>
      <c r="C465" s="5" t="inlineStr">
        <is>
          <t>35 yaş 6 ay</t>
        </is>
      </c>
      <c r="D465" s="5" t="inlineStr">
        <is>
          <t>🛏️</t>
        </is>
      </c>
      <c r="E465" s="6" t="inlineStr">
        <is>
          <t>Evin Oğlu</t>
        </is>
      </c>
      <c r="F465" s="6" t="inlineStr">
        <is>
          <t>Otuz beş yaşındasın ve annenin evindesin. Odanın kapısında hâlâ ilkokul çıkartması var. Annen misafirlere seni “Bizim evin oğlu” diye tanıtıyor; misafirler bunu bir iltifat mı, bir teşhis mi, çözemiyor.</t>
        </is>
      </c>
      <c r="G465" s="5" t="inlineStr">
        <is>
          <t>ev</t>
        </is>
      </c>
      <c r="H465" s="5" t="inlineStr"/>
      <c r="I465" s="5" t="inlineStr">
        <is>
          <t>E</t>
        </is>
      </c>
      <c r="J465" s="5" t="inlineStr"/>
      <c r="K465" s="5" t="inlineStr">
        <is>
          <t>evde-kaldi</t>
        </is>
      </c>
      <c r="L465" s="5" t="inlineStr">
        <is>
          <t>evli, hapis</t>
        </is>
      </c>
      <c r="M465" s="5" t="inlineStr"/>
      <c r="N465" s="5" t="inlineStr"/>
      <c r="O465" s="5" t="inlineStr"/>
      <c r="P465" s="5" t="inlineStr"/>
      <c r="Q465" s="5" t="inlineStr"/>
      <c r="R465" s="6" t="inlineStr"/>
      <c r="S465" s="5" t="inlineStr"/>
      <c r="T465" s="5" t="inlineStr"/>
      <c r="U465" s="5" t="inlineStr"/>
      <c r="V465" s="5" t="inlineStr"/>
    </row>
    <row r="466">
      <c r="A466" s="5" t="inlineStr">
        <is>
          <t>b8-evin-oglu-orta</t>
        </is>
      </c>
      <c r="B466" s="5" t="n">
        <v>8</v>
      </c>
      <c r="C466" s="5" t="inlineStr">
        <is>
          <t>46 yaş</t>
        </is>
      </c>
      <c r="D466" s="5" t="inlineStr">
        <is>
          <t>🍲</t>
        </is>
      </c>
      <c r="E466" s="6" t="inlineStr">
        <is>
          <t>Annenin Tencere Takvimi</t>
        </is>
      </c>
      <c r="F466" s="6" t="inlineStr">
        <is>
          <t>Kırk altı yaşındasın. Annen hâlâ pazartesi mercimek, salı taze fasulye yapıyor. Takvimi bozan tek şey sensin: dün geç geldin, annen fasulyeyi perşembeye erteledi.</t>
        </is>
      </c>
      <c r="G466" s="5" t="inlineStr">
        <is>
          <t>ev</t>
        </is>
      </c>
      <c r="H466" s="5" t="inlineStr"/>
      <c r="I466" s="5" t="inlineStr"/>
      <c r="J466" s="5" t="n">
        <v>3</v>
      </c>
      <c r="K466" s="5" t="inlineStr">
        <is>
          <t>evin-oglu</t>
        </is>
      </c>
      <c r="L466" s="5" t="inlineStr">
        <is>
          <t>evli, hapis</t>
        </is>
      </c>
      <c r="M466" s="5" t="inlineStr"/>
      <c r="N466" s="5" t="inlineStr"/>
      <c r="O466" s="5" t="inlineStr"/>
      <c r="P466" s="5" t="inlineStr"/>
      <c r="Q466" s="5" t="inlineStr"/>
      <c r="R466" s="6" t="inlineStr"/>
      <c r="S466" s="5" t="inlineStr"/>
      <c r="T466" s="5" t="inlineStr"/>
      <c r="U466" s="5" t="inlineStr"/>
      <c r="V466" s="5" t="inlineStr"/>
    </row>
    <row r="467">
      <c r="A467" s="5" t="inlineStr">
        <is>
          <t>kriz-7</t>
        </is>
      </c>
      <c r="B467" s="5" t="n">
        <v>7</v>
      </c>
      <c r="C467" s="5" t="inlineStr">
        <is>
          <t>30 yaş</t>
        </is>
      </c>
      <c r="D467" s="5" t="inlineStr">
        <is>
          <t>🌀</t>
        </is>
      </c>
      <c r="E467" s="6" t="inlineStr">
        <is>
          <t>Üçüncü Tökezleme</t>
        </is>
      </c>
      <c r="F467" s="6" t="inlineStr">
        <is>
          <t>Son aylarda elini neye attıysan ters gitti. Maaş gecikti, taksit gelmedi, bir kapı yüzüne kapandı. Mutfak masasında bir kâğıt var; üstünde senin el yazınla tek kelime: “Şimdi?”</t>
        </is>
      </c>
      <c r="G467" s="5" t="inlineStr">
        <is>
          <t>ev</t>
        </is>
      </c>
      <c r="H467" s="5" t="inlineStr"/>
      <c r="I467" s="5" t="inlineStr"/>
      <c r="J467" s="5" t="inlineStr"/>
      <c r="K467" s="5" t="inlineStr"/>
      <c r="L467" s="5" t="inlineStr">
        <is>
          <t>hapis</t>
        </is>
      </c>
      <c r="M467" s="5" t="inlineStr"/>
      <c r="N467" s="5" t="inlineStr"/>
      <c r="O467" s="5" t="inlineStr"/>
      <c r="P467" s="5" t="inlineStr"/>
      <c r="Q467" s="5" t="inlineStr"/>
      <c r="R467" s="6" t="inlineStr"/>
      <c r="S467" s="5" t="inlineStr"/>
      <c r="T467" s="5" t="inlineStr"/>
      <c r="U467" s="5" t="inlineStr"/>
      <c r="V467" s="5" t="inlineStr"/>
    </row>
    <row r="468">
      <c r="A468" s="5" t="inlineStr">
        <is>
          <t>kriz-8</t>
        </is>
      </c>
      <c r="B468" s="5" t="n">
        <v>8</v>
      </c>
      <c r="C468" s="5" t="inlineStr">
        <is>
          <t>47 yaş</t>
        </is>
      </c>
      <c r="D468" s="5" t="inlineStr">
        <is>
          <t>🌀</t>
        </is>
      </c>
      <c r="E468" s="6" t="inlineStr">
        <is>
          <t>Ortası Çöktü</t>
        </is>
      </c>
      <c r="F468" s="6" t="inlineStr">
        <is>
          <t>Kırklı yaşların ortasında her şey aynı anda sallandı: iş, hesap, bel. Banka mesaj attı, doktor mesaj attı, aile grubu mesaj attı. Sadece biri iyi haber: kargo yolda.</t>
        </is>
      </c>
      <c r="G468" s="5" t="inlineStr">
        <is>
          <t>ev</t>
        </is>
      </c>
      <c r="H468" s="5" t="inlineStr"/>
      <c r="I468" s="5" t="inlineStr"/>
      <c r="J468" s="5" t="inlineStr"/>
      <c r="K468" s="5" t="inlineStr"/>
      <c r="L468" s="5" t="inlineStr">
        <is>
          <t>hapis</t>
        </is>
      </c>
      <c r="M468" s="5" t="inlineStr"/>
      <c r="N468" s="5" t="inlineStr"/>
      <c r="O468" s="5" t="inlineStr"/>
      <c r="P468" s="5" t="inlineStr"/>
      <c r="Q468" s="5" t="inlineStr"/>
      <c r="R468" s="6" t="inlineStr"/>
      <c r="S468" s="5" t="inlineStr"/>
      <c r="T468" s="5" t="inlineStr"/>
      <c r="U468" s="5" t="inlineStr"/>
      <c r="V468" s="5" t="inlineStr"/>
    </row>
    <row r="469">
      <c r="A469" s="5" t="inlineStr">
        <is>
          <t>kriz-9</t>
        </is>
      </c>
      <c r="B469" s="5" t="n">
        <v>9</v>
      </c>
      <c r="C469" s="5" t="inlineStr">
        <is>
          <t>60 yaş</t>
        </is>
      </c>
      <c r="D469" s="5" t="inlineStr">
        <is>
          <t>🌀</t>
        </is>
      </c>
      <c r="E469" s="6" t="inlineStr">
        <is>
          <t>Emekliliğe Beş Kala</t>
        </is>
      </c>
      <c r="F469" s="6" t="inlineStr">
        <is>
          <t>Emekliliğine beş yıl kala hesaplar tutmadı. Birikim eridi, prim eksik çıktı, çocuklar “Sen bilirsin” dedi. Takvim sana değil, sen takvime bakıyorsun.</t>
        </is>
      </c>
      <c r="G469" s="5" t="inlineStr">
        <is>
          <t>ev</t>
        </is>
      </c>
      <c r="H469" s="5" t="inlineStr"/>
      <c r="I469" s="5" t="inlineStr"/>
      <c r="J469" s="5" t="inlineStr"/>
      <c r="K469" s="5" t="inlineStr"/>
      <c r="L469" s="5" t="inlineStr">
        <is>
          <t>hapis</t>
        </is>
      </c>
      <c r="M469" s="5" t="inlineStr"/>
      <c r="N469" s="5" t="inlineStr"/>
      <c r="O469" s="5" t="inlineStr"/>
      <c r="P469" s="5" t="inlineStr"/>
      <c r="Q469" s="5" t="inlineStr"/>
      <c r="R469" s="6" t="inlineStr"/>
      <c r="S469" s="5" t="inlineStr"/>
      <c r="T469" s="5" t="inlineStr"/>
      <c r="U469" s="5" t="inlineStr"/>
      <c r="V469" s="5" t="inlineStr"/>
    </row>
    <row r="470">
      <c r="A470" s="5" t="inlineStr">
        <is>
          <t>b8-orta-yas</t>
        </is>
      </c>
      <c r="B470" s="5" t="n">
        <v>8</v>
      </c>
      <c r="C470" s="5" t="inlineStr">
        <is>
          <t>44 yaş</t>
        </is>
      </c>
      <c r="D470" s="5" t="inlineStr">
        <is>
          <t>🏍️</t>
        </is>
      </c>
      <c r="E470" s="6" t="inlineStr">
        <is>
          <t>Aynadaki Soru</t>
        </is>
      </c>
      <c r="F470" s="6" t="inlineStr">
        <is>
          <t>Sabah aynaya baktın; ayna bir soru sordu: “Bu kadar mı?” Galerideki motosiklet, köydeki dedenin tarlası ve masandaki terfi dosyası aynı anda aklına geldi.</t>
        </is>
      </c>
      <c r="G470" s="5" t="inlineStr">
        <is>
          <t>ev</t>
        </is>
      </c>
      <c r="H470" s="5" t="inlineStr"/>
      <c r="I470" s="5" t="inlineStr">
        <is>
          <t>E</t>
        </is>
      </c>
      <c r="J470" s="5" t="inlineStr"/>
      <c r="K470" s="5" t="inlineStr"/>
      <c r="L470" s="5" t="inlineStr">
        <is>
          <t>hapis</t>
        </is>
      </c>
      <c r="M470" s="5" t="inlineStr"/>
      <c r="N470" s="5" t="inlineStr"/>
      <c r="O470" s="5" t="inlineStr"/>
      <c r="P470" s="5" t="inlineStr"/>
      <c r="Q470" s="5" t="n">
        <v>11</v>
      </c>
      <c r="R470" s="6" t="inlineStr">
        <is>
          <t>Kırkların ortası bir kavşaktır: kimi her şeyi bırakır, kimi zirveye son bir kez oynar, kimi motosiklet alır. Burada seçtiğin, ellili yaşlarını kimin olarak geçireceğini belirler.</t>
        </is>
      </c>
      <c r="S470" s="5" t="inlineStr"/>
      <c r="T470" s="5" t="inlineStr"/>
      <c r="U470" s="5" t="inlineStr"/>
      <c r="V470" s="5" t="inlineStr"/>
    </row>
    <row r="471">
      <c r="A471" s="5" t="inlineStr">
        <is>
          <t>b8-buyuk-firsat</t>
        </is>
      </c>
      <c r="B471" s="5" t="n">
        <v>8</v>
      </c>
      <c r="C471" s="5" t="inlineStr">
        <is>
          <t>50 yaş</t>
        </is>
      </c>
      <c r="D471" s="5" t="inlineStr">
        <is>
          <t>📞</t>
        </is>
      </c>
      <c r="E471" s="6" t="inlineStr">
        <is>
          <t>Aynı Hafta Üç Telefon</t>
        </is>
      </c>
      <c r="F471" s="6" t="inlineStr">
        <is>
          <t>Ellinci yaş gününün haftasında üç telefon geldi: bir parti il başkanı, Öte Diyar'dan bir şirket ve bir yarışma programının yapımcısı. Üçü de aynı cümleyle başladı: “Sizi çok konuşuyoruz.”</t>
        </is>
      </c>
      <c r="G471" s="5" t="inlineStr">
        <is>
          <t>ev</t>
        </is>
      </c>
      <c r="H471" s="5" t="inlineStr"/>
      <c r="I471" s="5" t="inlineStr">
        <is>
          <t>E</t>
        </is>
      </c>
      <c r="J471" s="5" t="inlineStr"/>
      <c r="K471" s="5" t="inlineStr"/>
      <c r="L471" s="5" t="inlineStr">
        <is>
          <t>hapis</t>
        </is>
      </c>
      <c r="M471" s="5" t="inlineStr"/>
      <c r="N471" s="5" t="inlineStr"/>
      <c r="O471" s="5" t="inlineStr"/>
      <c r="P471" s="5" t="inlineStr"/>
      <c r="Q471" s="5" t="inlineStr"/>
      <c r="R471" s="6" t="inlineStr"/>
      <c r="S471" s="5" t="inlineStr"/>
      <c r="T471" s="5" t="inlineStr"/>
      <c r="U471" s="5" t="inlineStr"/>
      <c r="V471" s="5" t="inlineStr"/>
    </row>
    <row r="472">
      <c r="A472" s="5" t="inlineStr">
        <is>
          <t>b7-erken-tahliye</t>
        </is>
      </c>
      <c r="B472" s="5" t="n">
        <v>7</v>
      </c>
      <c r="C472" s="5" t="inlineStr">
        <is>
          <t>36 yaş 6 ay</t>
        </is>
      </c>
      <c r="D472" s="5" t="inlineStr">
        <is>
          <t>🚪</t>
        </is>
      </c>
      <c r="E472" s="6" t="inlineStr">
        <is>
          <t>Erken Tahliye</t>
        </is>
      </c>
      <c r="F472" s="6" t="inlineStr">
        <is>
          <t>Mahalleden gelen dilekçeler, kefil mektupları ve bir de muhtarın ziyareti işe yaradı: cezan kısaldı. Gardiyan eşyalarını bir poşete koydu. Poşet, girdiğin gün getirdiğinden hafif.</t>
        </is>
      </c>
      <c r="G472" s="5" t="inlineStr">
        <is>
          <t>cezaevi</t>
        </is>
      </c>
      <c r="H472" s="5" t="inlineStr"/>
      <c r="I472" s="5" t="inlineStr">
        <is>
          <t>E</t>
        </is>
      </c>
      <c r="J472" s="5" t="inlineStr"/>
      <c r="K472" s="5" t="inlineStr">
        <is>
          <t>hapis, ceza-indirimi</t>
        </is>
      </c>
      <c r="L472" s="5" t="inlineStr"/>
      <c r="M472" s="5" t="inlineStr"/>
      <c r="N472" s="5" t="inlineStr"/>
      <c r="O472" s="5" t="inlineStr"/>
      <c r="P472" s="5" t="inlineStr"/>
      <c r="Q472" s="5" t="inlineStr"/>
      <c r="R472" s="6" t="inlineStr"/>
      <c r="S472" s="5" t="inlineStr"/>
      <c r="T472" s="5" t="inlineStr"/>
      <c r="U472" s="5" t="inlineStr"/>
      <c r="V472" s="5" t="inlineStr"/>
    </row>
    <row r="473">
      <c r="A473" s="5" t="inlineStr">
        <is>
          <t>b8-erken-tahliye</t>
        </is>
      </c>
      <c r="B473" s="5" t="n">
        <v>8</v>
      </c>
      <c r="C473" s="5" t="inlineStr">
        <is>
          <t>52 yaş</t>
        </is>
      </c>
      <c r="D473" s="5" t="inlineStr">
        <is>
          <t>🚪</t>
        </is>
      </c>
      <c r="E473" s="6" t="inlineStr">
        <is>
          <t>Erken Tahliye</t>
        </is>
      </c>
      <c r="F473" s="6" t="inlineStr">
        <is>
          <t>Mahalleden gelen dilekçeler, kefil mektupları ve bir de muhtarın ziyareti işe yaradı: cezan kısaldı. Gardiyan eşyalarını bir poşete koydu. Poşet, girdiğin gün getirdiğinden hafif.</t>
        </is>
      </c>
      <c r="G473" s="5" t="inlineStr">
        <is>
          <t>cezaevi</t>
        </is>
      </c>
      <c r="H473" s="5" t="inlineStr"/>
      <c r="I473" s="5" t="inlineStr">
        <is>
          <t>E</t>
        </is>
      </c>
      <c r="J473" s="5" t="inlineStr"/>
      <c r="K473" s="5" t="inlineStr">
        <is>
          <t>hapis, ceza-indirimi</t>
        </is>
      </c>
      <c r="L473" s="5" t="inlineStr"/>
      <c r="M473" s="5" t="inlineStr"/>
      <c r="N473" s="5" t="inlineStr"/>
      <c r="O473" s="5" t="inlineStr"/>
      <c r="P473" s="5" t="inlineStr"/>
      <c r="Q473" s="5" t="inlineStr"/>
      <c r="R473" s="6" t="inlineStr"/>
      <c r="S473" s="5" t="inlineStr"/>
      <c r="T473" s="5" t="inlineStr"/>
      <c r="U473" s="5" t="inlineStr"/>
      <c r="V473" s="5" t="inlineStr"/>
    </row>
  </sheetData>
  <autoFilter ref="A1:V473"/>
  <dataValidations count="6">
    <dataValidation sqref="B2:B872" showDropDown="0" showInputMessage="0" showErrorMessage="1" allowBlank="1" errorTitle="Geçersiz değer" error="Listeden bir değer seçin." type="list">
      <formula1>"1,2,3,4,5,6,7,8,9,10"</formula1>
    </dataValidation>
    <dataValidation sqref="G2:G872" showDropDown="0" showInputMessage="0" showErrorMessage="1" allowBlank="1" errorTitle="Geçersiz değer" error="Listeden bir değer seçin." type="list">
      <formula1>"ev,mutfak,cocuk-odasi,okul,sinif,okul-bahcesi,sokak,park,bakkal,market,carsi,ofis,dukkan,devlet-dairesi,hastane,dugun-salonu,kafe,toplu-tasima,trafik,universite,kisla,banka,apartman,sahil,huzurevi,mezarlik,yazlik,stadyum,sahne,mahkeme,karakol,cezaevi,koy,havalimani,meclis,studyo"</formula1>
    </dataValidation>
    <dataValidation sqref="H2:H872" showDropDown="0" showInputMessage="0" showErrorMessage="1" allowBlank="1" errorTitle="Geçersiz değer" error="Listeden bir değer seçin." type="list">
      <formula1>"ev,para,sosyal,okul-iş"</formula1>
    </dataValidation>
    <dataValidation sqref="I2:I872" showDropDown="0" showInputMessage="0" showErrorMessage="1" allowBlank="1" errorTitle="Geçersiz değer" error="Listeden bir değer seçin." type="list">
      <formula1>"E"</formula1>
    </dataValidation>
    <dataValidation sqref="N2:N872" showDropDown="0" showInputMessage="0" showErrorMessage="1" allowBlank="1" errorTitle="Geçersiz değer" error="Listeden bir değer seçin." type="list">
      <formula1>"erkek,kız"</formula1>
    </dataValidation>
    <dataValidation sqref="Q2:Q872" showDropDown="0" showInputMessage="0" showErrorMessage="1" allowBlank="1" errorTitle="Geçersiz değer" error="Listeden bir değer seçin." type="list">
      <formula1>"1,2,3,4,5,6,7,8,9,10,11,12"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7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 customWidth="1" min="2" max="2"/>
    <col width="34" customWidth="1" min="3" max="3"/>
    <col width="13" customWidth="1" min="4" max="4"/>
    <col width="10" customWidth="1" min="5" max="5"/>
    <col width="20" customWidth="1" min="6" max="6"/>
    <col width="44" customWidth="1" min="7" max="7"/>
    <col width="44" customWidth="1" min="8" max="8"/>
    <col width="44" customWidth="1" min="9" max="9"/>
    <col width="44" customWidth="1" min="10" max="10"/>
    <col width="44" customWidth="1" min="11" max="11"/>
    <col width="36" customWidth="1" min="12" max="12"/>
    <col width="11" customWidth="1" min="13" max="13"/>
    <col width="20" customWidth="1" min="14" max="14"/>
    <col width="34" customWidth="1" min="15" max="15"/>
    <col width="30" customWidth="1" min="16" max="16"/>
    <col width="18" customWidth="1" min="17" max="17"/>
    <col width="18" customWidth="1" min="18" max="18"/>
    <col width="13" customWidth="1" min="19" max="19"/>
    <col width="18" customWidth="1" min="20" max="20"/>
    <col width="16" customWidth="1" min="21" max="21"/>
    <col width="16" customWidth="1" min="22" max="22"/>
    <col width="16" customWidth="1" min="23" max="23"/>
    <col width="14" customWidth="1" min="24" max="24"/>
    <col width="9" customWidth="1" min="25" max="25"/>
    <col width="4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s>
  <sheetData>
    <row r="1" ht="32" customHeight="1">
      <c r="A1" s="4" t="inlineStr">
        <is>
          <t>Olay ID</t>
        </is>
      </c>
      <c r="B1" s="4" t="inlineStr">
        <is>
          <t>Sıra</t>
        </is>
      </c>
      <c r="C1" s="4" t="inlineStr">
        <is>
          <t>Seçim metni</t>
        </is>
      </c>
      <c r="D1" s="4" t="inlineStr">
        <is>
          <t>Stat</t>
        </is>
      </c>
      <c r="E1" s="4" t="inlineStr">
        <is>
          <t>Zorluk</t>
        </is>
      </c>
      <c r="F1" s="4" t="inlineStr">
        <is>
          <t>Kesin etki</t>
        </is>
      </c>
      <c r="G1" s="4" t="inlineStr">
        <is>
          <t>Kesin sonuç metni</t>
        </is>
      </c>
      <c r="H1" s="4" t="inlineStr">
        <is>
          <t>Başarı</t>
        </is>
      </c>
      <c r="I1" s="4" t="inlineStr">
        <is>
          <t>Kritik başarı</t>
        </is>
      </c>
      <c r="J1" s="4" t="inlineStr">
        <is>
          <t>Başarısız</t>
        </is>
      </c>
      <c r="K1" s="4" t="inlineStr">
        <is>
          <t>Kritik hata</t>
        </is>
      </c>
      <c r="L1" s="4" t="inlineStr">
        <is>
          <t>Yarım (mini oyun)</t>
        </is>
      </c>
      <c r="M1" s="4" t="inlineStr">
        <is>
          <t>Mini oyun</t>
        </is>
      </c>
      <c r="N1" s="4" t="inlineStr">
        <is>
          <t>Mini oyun başlığı</t>
        </is>
      </c>
      <c r="O1" s="4" t="inlineStr">
        <is>
          <t>Mini oyun ipucu</t>
        </is>
      </c>
      <c r="P1" s="4" t="inlineStr">
        <is>
          <t>Mini oyun ayarı</t>
        </is>
      </c>
      <c r="Q1" s="4" t="inlineStr">
        <is>
          <t>Gereken özellik</t>
        </is>
      </c>
      <c r="R1" s="4" t="inlineStr">
        <is>
          <t>Gereken hafıza</t>
        </is>
      </c>
      <c r="S1" s="4" t="inlineStr">
        <is>
          <t>İç ses açar</t>
        </is>
      </c>
      <c r="T1" s="4" t="inlineStr">
        <is>
          <t>Kazandırdığı özellik</t>
        </is>
      </c>
      <c r="U1" s="4" t="inlineStr">
        <is>
          <t>Seçince hafıza</t>
        </is>
      </c>
      <c r="V1" s="4" t="inlineStr">
        <is>
          <t>Başarıda hafıza</t>
        </is>
      </c>
      <c r="W1" s="4" t="inlineStr">
        <is>
          <t>Kritik hatada hafıza</t>
        </is>
      </c>
      <c r="X1" s="4" t="inlineStr">
        <is>
          <t>Silinen hafıza</t>
        </is>
      </c>
      <c r="Y1" s="4" t="inlineStr">
        <is>
          <t>Ölüm riski %</t>
        </is>
      </c>
      <c r="Z1" s="4" t="inlineStr">
        <is>
          <t>Ölüm sebebi</t>
        </is>
      </c>
      <c r="AA1" s="4" t="inlineStr">
        <is>
          <t>Aile desteği</t>
        </is>
      </c>
      <c r="AB1" s="4" t="inlineStr">
        <is>
          <t>Başarısızlıkta hafıza</t>
        </is>
      </c>
      <c r="AC1" s="4" t="inlineStr">
        <is>
          <t>Gereken varlık</t>
        </is>
      </c>
      <c r="AD1" s="4" t="inlineStr">
        <is>
          <t>Kazanç kademesi</t>
        </is>
      </c>
      <c r="AE1" s="4" t="inlineStr">
        <is>
          <t>Gereken aile desteği</t>
        </is>
      </c>
      <c r="AF1" s="4" t="inlineStr">
        <is>
          <t>Varlık kaybı</t>
        </is>
      </c>
      <c r="AG1" s="4" t="inlineStr">
        <is>
          <t>Engelleyen hafıza</t>
        </is>
      </c>
      <c r="AH1" s="4" t="inlineStr">
        <is>
          <t>Gereken stat</t>
        </is>
      </c>
    </row>
    <row r="2">
      <c r="A2" s="5" t="inlineStr">
        <is>
          <t>dogum</t>
        </is>
      </c>
      <c r="B2" s="5" t="n">
        <v>1</v>
      </c>
      <c r="C2" s="6" t="inlineStr">
        <is>
          <t>Ağla</t>
        </is>
      </c>
      <c r="D2" s="5" t="inlineStr"/>
      <c r="E2" s="5" t="inlineStr"/>
      <c r="F2" s="5" t="inlineStr">
        <is>
          <t>Çene +2</t>
        </is>
      </c>
      <c r="G2" s="6" t="inlineStr">
        <is>
          <t>İlk basın açıklamanı yaptın.</t>
        </is>
      </c>
      <c r="H2" s="6" t="inlineStr"/>
      <c r="I2" s="6" t="inlineStr"/>
      <c r="J2" s="6" t="inlineStr"/>
      <c r="K2" s="6" t="inlineStr"/>
      <c r="L2" s="6" t="inlineStr"/>
      <c r="M2" s="5" t="inlineStr"/>
      <c r="N2" s="5" t="inlineStr"/>
      <c r="O2" s="6" t="inlineStr"/>
      <c r="P2" s="6" t="inlineStr"/>
      <c r="Q2" s="5" t="inlineStr"/>
      <c r="R2" s="5" t="inlineStr"/>
      <c r="S2" s="5" t="inlineStr"/>
      <c r="T2" s="5" t="inlineStr"/>
      <c r="U2" s="5" t="inlineStr"/>
      <c r="V2" s="5" t="inlineStr"/>
      <c r="W2" s="5" t="inlineStr"/>
      <c r="X2" s="5" t="inlineStr"/>
      <c r="Y2" s="5" t="inlineStr"/>
      <c r="Z2" s="6" t="inlineStr"/>
      <c r="AA2" s="5" t="inlineStr"/>
      <c r="AB2" s="5" t="inlineStr"/>
      <c r="AC2" s="5" t="inlineStr"/>
      <c r="AD2" s="5" t="inlineStr"/>
      <c r="AE2" s="5" t="inlineStr"/>
      <c r="AF2" s="5" t="inlineStr"/>
      <c r="AG2" s="5" t="inlineStr"/>
      <c r="AH2" s="5" t="inlineStr"/>
    </row>
    <row r="3">
      <c r="A3" s="5" t="inlineStr">
        <is>
          <t>dogum</t>
        </is>
      </c>
      <c r="B3" s="5" t="n">
        <v>2</v>
      </c>
      <c r="C3" s="6" t="inlineStr">
        <is>
          <t>Daha çok ağla</t>
        </is>
      </c>
      <c r="D3" s="5" t="inlineStr">
        <is>
          <t>Çene</t>
        </is>
      </c>
      <c r="E3" s="5" t="inlineStr">
        <is>
          <t>Orta</t>
        </is>
      </c>
      <c r="F3" s="5" t="inlineStr"/>
      <c r="G3" s="6" t="inlineStr"/>
      <c r="H3" s="6" t="inlineStr">
        <is>
          <t>Ses seviyesinin bir müzakere aracı olabileceğini keşfettin.</t>
        </is>
      </c>
      <c r="I3" s="6" t="inlineStr">
        <is>
          <t>Doğumhanedeki herkes aynı anda sustu, sonra hepsi sana koştu. İlk günden masada söz hakkın var.</t>
        </is>
      </c>
      <c r="J3" s="6" t="inlineStr">
        <is>
          <t>Daha çok ağladın ama yandaki bebek senden yüksek sesliydi. İlk gün, ilk rekabet.</t>
        </is>
      </c>
      <c r="K3" s="6" t="inlineStr">
        <is>
          <t>O kadar ağladın ki hıçkırık tuttu. İlk basın toplantın teknik arızayla sona erdi.</t>
        </is>
      </c>
      <c r="L3" s="6" t="inlineStr"/>
      <c r="M3" s="5" t="inlineStr"/>
      <c r="N3" s="5" t="inlineStr"/>
      <c r="O3" s="6" t="inlineStr"/>
      <c r="P3" s="6" t="inlineStr"/>
      <c r="Q3" s="5" t="inlineStr"/>
      <c r="R3" s="5" t="inlineStr"/>
      <c r="S3" s="5" t="inlineStr"/>
      <c r="T3" s="5" t="inlineStr">
        <is>
          <t>Ses Yükseltince Oluyor</t>
        </is>
      </c>
      <c r="U3" s="5" t="inlineStr"/>
      <c r="V3" s="5" t="inlineStr"/>
      <c r="W3" s="5" t="inlineStr"/>
      <c r="X3" s="5" t="inlineStr"/>
      <c r="Y3" s="5" t="inlineStr"/>
      <c r="Z3" s="6" t="inlineStr"/>
      <c r="AA3" s="5" t="inlineStr"/>
      <c r="AB3" s="5" t="inlineStr"/>
      <c r="AC3" s="5" t="inlineStr"/>
      <c r="AD3" s="5" t="inlineStr"/>
      <c r="AE3" s="5" t="inlineStr"/>
      <c r="AF3" s="5" t="inlineStr"/>
      <c r="AG3" s="5" t="inlineStr"/>
      <c r="AH3" s="5" t="inlineStr"/>
    </row>
    <row r="4">
      <c r="A4" s="5" t="inlineStr">
        <is>
          <t>dogum</t>
        </is>
      </c>
      <c r="B4" s="5" t="n">
        <v>3</v>
      </c>
      <c r="C4" s="6" t="inlineStr">
        <is>
          <t>Etrafı izle</t>
        </is>
      </c>
      <c r="D4" s="5" t="inlineStr">
        <is>
          <t>Sosyal Radar</t>
        </is>
      </c>
      <c r="E4" s="5" t="inlineStr">
        <is>
          <t>Orta</t>
        </is>
      </c>
      <c r="F4" s="5" t="inlineStr"/>
      <c r="G4" s="6" t="inlineStr"/>
      <c r="H4" s="6" t="inlineStr">
        <is>
          <t>Konuşmadan önce ortamı okumayı seçtin. İyi refleks, kötü zamanlama.</t>
        </is>
      </c>
      <c r="I4" s="6" t="inlineStr">
        <is>
          <t>Odadaki altı kişiyi tek tek süzdün. Hemşire seni “müfettiş” diye çağırmaya başladı.</t>
        </is>
      </c>
      <c r="J4" s="6" t="inlineStr">
        <is>
          <t>Etrafı izledin ama ışıklar fazla parlaktı. Gördüğün tek şey tavandı.</t>
        </is>
      </c>
      <c r="K4" s="6" t="inlineStr">
        <is>
          <t>İzlemeye öyle daldın ki doktor uyuduğunu sandı ve seni sarsarak uyandırdı.</t>
        </is>
      </c>
      <c r="L4" s="6" t="inlineStr"/>
      <c r="M4" s="5" t="inlineStr"/>
      <c r="N4" s="5" t="inlineStr"/>
      <c r="O4" s="6" t="inlineStr"/>
      <c r="P4" s="6" t="inlineStr"/>
      <c r="Q4" s="5" t="inlineStr"/>
      <c r="R4" s="5" t="inlineStr"/>
      <c r="S4" s="5" t="inlineStr"/>
      <c r="T4" s="5" t="inlineStr">
        <is>
          <t>Sessiz Gözlemci</t>
        </is>
      </c>
      <c r="U4" s="5" t="inlineStr"/>
      <c r="V4" s="5" t="inlineStr"/>
      <c r="W4" s="5" t="inlineStr"/>
      <c r="X4" s="5" t="inlineStr"/>
      <c r="Y4" s="5" t="inlineStr"/>
      <c r="Z4" s="6" t="inlineStr"/>
      <c r="AA4" s="5" t="inlineStr"/>
      <c r="AB4" s="5" t="inlineStr"/>
      <c r="AC4" s="5" t="inlineStr"/>
      <c r="AD4" s="5" t="inlineStr"/>
      <c r="AE4" s="5" t="inlineStr"/>
      <c r="AF4" s="5" t="inlineStr"/>
      <c r="AG4" s="5" t="inlineStr"/>
      <c r="AH4" s="5" t="inlineStr"/>
    </row>
    <row r="5">
      <c r="A5" s="5" t="inlineStr">
        <is>
          <t>dogum</t>
        </is>
      </c>
      <c r="B5" s="5" t="n">
        <v>4</v>
      </c>
      <c r="C5" s="6" t="inlineStr">
        <is>
          <t>Sessiz kal</t>
        </is>
      </c>
      <c r="D5" s="5" t="inlineStr"/>
      <c r="E5" s="5" t="inlineStr"/>
      <c r="F5" s="5" t="inlineStr">
        <is>
          <t>Sosyal Radar +2</t>
        </is>
      </c>
      <c r="G5" s="6" t="inlineStr">
        <is>
          <t>Herkes endişelendi. Sen sadece veri topluyordun.</t>
        </is>
      </c>
      <c r="H5" s="6" t="inlineStr"/>
      <c r="I5" s="6" t="inlineStr"/>
      <c r="J5" s="6" t="inlineStr"/>
      <c r="K5" s="6" t="inlineStr"/>
      <c r="L5" s="6" t="inlineStr"/>
      <c r="M5" s="5" t="inlineStr"/>
      <c r="N5" s="5" t="inlineStr"/>
      <c r="O5" s="6" t="inlineStr"/>
      <c r="P5" s="6" t="inlineStr"/>
      <c r="Q5" s="5" t="inlineStr"/>
      <c r="R5" s="5" t="inlineStr"/>
      <c r="S5" s="5" t="inlineStr"/>
      <c r="T5" s="5" t="inlineStr"/>
      <c r="U5" s="5" t="inlineStr"/>
      <c r="V5" s="5" t="inlineStr"/>
      <c r="W5" s="5" t="inlineStr"/>
      <c r="X5" s="5" t="inlineStr"/>
      <c r="Y5" s="5" t="inlineStr"/>
      <c r="Z5" s="6" t="inlineStr"/>
      <c r="AA5" s="5" t="inlineStr"/>
      <c r="AB5" s="5" t="inlineStr"/>
      <c r="AC5" s="5" t="inlineStr"/>
      <c r="AD5" s="5" t="inlineStr"/>
      <c r="AE5" s="5" t="inlineStr"/>
      <c r="AF5" s="5" t="inlineStr"/>
      <c r="AG5" s="5" t="inlineStr"/>
      <c r="AH5" s="5" t="inlineStr"/>
    </row>
    <row r="6">
      <c r="A6" s="5" t="inlineStr">
        <is>
          <t>gece-vardiyasi</t>
        </is>
      </c>
      <c r="B6" s="5" t="n">
        <v>1</v>
      </c>
      <c r="C6" s="6" t="inlineStr">
        <is>
          <t>Kendi kendine uyu</t>
        </is>
      </c>
      <c r="D6" s="5" t="inlineStr">
        <is>
          <t>Dayanıklılık</t>
        </is>
      </c>
      <c r="E6" s="5" t="inlineStr">
        <is>
          <t>Zor</t>
        </is>
      </c>
      <c r="F6" s="5" t="inlineStr"/>
      <c r="G6" s="6" t="inlineStr"/>
      <c r="H6" s="6" t="inlineStr">
        <is>
          <t>Kısa süreliğine ev ekonomisine katkıda bulundun.</t>
        </is>
      </c>
      <c r="I6" s="6" t="inlineStr">
        <is>
          <t>Sabaha kadar deliksiz uyudun. Ailen seni 'Ayın Çalışanı' ilan etmeyi düşündü.</t>
        </is>
      </c>
      <c r="J6" s="6" t="inlineStr">
        <is>
          <t>Uyumaya çalıştın. Uyku seni reddetti.</t>
        </is>
      </c>
      <c r="K6" s="6" t="inlineStr">
        <is>
          <t>Kendi kendine uyumaya çalışırken kendi kendini uyandırdın. Vardiya uzadı.</t>
        </is>
      </c>
      <c r="L6" s="6" t="inlineStr">
        <is>
          <t>Yarım saat uyudun. Ev halkı bunu tam bir gece gibi kutladı.</t>
        </is>
      </c>
      <c r="M6" s="5" t="inlineStr">
        <is>
          <t>rhythm</t>
        </is>
      </c>
      <c r="N6" s="5" t="inlineStr">
        <is>
          <t>Ninni Ritmi</t>
        </is>
      </c>
      <c r="O6" s="6" t="inlineStr">
        <is>
          <t>Ay ışığı her parladığında dokun. Ritmi tut, uyku gelsin.</t>
        </is>
      </c>
      <c r="P6" s="6" t="inlineStr"/>
      <c r="Q6" s="5" t="inlineStr"/>
      <c r="R6" s="5" t="inlineStr"/>
      <c r="S6" s="5" t="inlineStr"/>
      <c r="T6" s="5" t="inlineStr"/>
      <c r="U6" s="5" t="inlineStr"/>
      <c r="V6" s="5" t="inlineStr"/>
      <c r="W6" s="5" t="inlineStr"/>
      <c r="X6" s="5" t="inlineStr"/>
      <c r="Y6" s="5" t="inlineStr"/>
      <c r="Z6" s="6" t="inlineStr"/>
      <c r="AA6" s="5" t="inlineStr"/>
      <c r="AB6" s="5" t="inlineStr"/>
      <c r="AC6" s="5" t="inlineStr"/>
      <c r="AD6" s="5" t="inlineStr"/>
      <c r="AE6" s="5" t="inlineStr"/>
      <c r="AF6" s="5" t="inlineStr"/>
      <c r="AG6" s="5" t="inlineStr"/>
      <c r="AH6" s="5" t="inlineStr"/>
    </row>
    <row r="7">
      <c r="A7" s="5" t="inlineStr">
        <is>
          <t>gece-vardiyasi</t>
        </is>
      </c>
      <c r="B7" s="5" t="n">
        <v>2</v>
      </c>
      <c r="C7" s="6" t="inlineStr">
        <is>
          <t>Ağlayarak yardım çağır</t>
        </is>
      </c>
      <c r="D7" s="5" t="inlineStr">
        <is>
          <t>Çene</t>
        </is>
      </c>
      <c r="E7" s="5" t="inlineStr">
        <is>
          <t>Çok Kolay</t>
        </is>
      </c>
      <c r="F7" s="5" t="inlineStr"/>
      <c r="G7" s="6" t="inlineStr"/>
      <c r="H7" s="6" t="inlineStr">
        <is>
          <t>Gece ekibini başarıyla göreve çağırdın.</t>
        </is>
      </c>
      <c r="I7" s="6" t="inlineStr">
        <is>
          <t>Tek bir 'ıngaa' ile tüm ev halkı toplandı. Yönetim becerilerin not edildi.</t>
        </is>
      </c>
      <c r="J7" s="6" t="inlineStr">
        <is>
          <t>Ağladın ama ses kapıya ulaşmadı. Talebin sıraya alındı.</t>
        </is>
      </c>
      <c r="K7" s="6" t="inlineStr">
        <is>
          <t>Ağladın, yanlış kişi uyandı. Sonra komşu uyandı. Toplantı sabaha sarktı.</t>
        </is>
      </c>
      <c r="L7" s="6" t="inlineStr"/>
      <c r="M7" s="5" t="inlineStr"/>
      <c r="N7" s="5" t="inlineStr"/>
      <c r="O7" s="6" t="inlineStr"/>
      <c r="P7" s="6" t="inlineStr"/>
      <c r="Q7" s="5" t="inlineStr"/>
      <c r="R7" s="5" t="inlineStr"/>
      <c r="S7" s="5" t="inlineStr"/>
      <c r="T7" s="5" t="inlineStr"/>
      <c r="U7" s="5" t="inlineStr"/>
      <c r="V7" s="5" t="inlineStr"/>
      <c r="W7" s="5" t="inlineStr"/>
      <c r="X7" s="5" t="inlineStr"/>
      <c r="Y7" s="5" t="inlineStr"/>
      <c r="Z7" s="6" t="inlineStr"/>
      <c r="AA7" s="5" t="inlineStr"/>
      <c r="AB7" s="5" t="inlineStr"/>
      <c r="AC7" s="5" t="inlineStr"/>
      <c r="AD7" s="5" t="inlineStr"/>
      <c r="AE7" s="5" t="inlineStr"/>
      <c r="AF7" s="5" t="inlineStr"/>
      <c r="AG7" s="5" t="inlineStr"/>
      <c r="AH7" s="5" t="inlineStr"/>
    </row>
    <row r="8">
      <c r="A8" s="5" t="inlineStr">
        <is>
          <t>gece-vardiyasi</t>
        </is>
      </c>
      <c r="B8" s="5" t="n">
        <v>3</v>
      </c>
      <c r="C8" s="6" t="inlineStr">
        <is>
          <t>Sessizce bekle</t>
        </is>
      </c>
      <c r="D8" s="5" t="inlineStr"/>
      <c r="E8" s="5" t="inlineStr"/>
      <c r="F8" s="5" t="inlineStr">
        <is>
          <t>Sosyal Radar +1</t>
        </is>
      </c>
      <c r="G8" s="6" t="inlineStr">
        <is>
          <t>Bir süre bekledin. Dünya dönmeye devam etti.</t>
        </is>
      </c>
      <c r="H8" s="6" t="inlineStr"/>
      <c r="I8" s="6" t="inlineStr"/>
      <c r="J8" s="6" t="inlineStr"/>
      <c r="K8" s="6" t="inlineStr"/>
      <c r="L8" s="6" t="inlineStr"/>
      <c r="M8" s="5" t="inlineStr"/>
      <c r="N8" s="5" t="inlineStr"/>
      <c r="O8" s="6" t="inlineStr"/>
      <c r="P8" s="6" t="inlineStr"/>
      <c r="Q8" s="5" t="inlineStr"/>
      <c r="R8" s="5" t="inlineStr"/>
      <c r="S8" s="5" t="inlineStr"/>
      <c r="T8" s="5" t="inlineStr"/>
      <c r="U8" s="5" t="inlineStr"/>
      <c r="V8" s="5" t="inlineStr"/>
      <c r="W8" s="5" t="inlineStr"/>
      <c r="X8" s="5" t="inlineStr"/>
      <c r="Y8" s="5" t="inlineStr"/>
      <c r="Z8" s="6" t="inlineStr"/>
      <c r="AA8" s="5" t="inlineStr"/>
      <c r="AB8" s="5" t="inlineStr"/>
      <c r="AC8" s="5" t="inlineStr"/>
      <c r="AD8" s="5" t="inlineStr"/>
      <c r="AE8" s="5" t="inlineStr"/>
      <c r="AF8" s="5" t="inlineStr"/>
      <c r="AG8" s="5" t="inlineStr"/>
      <c r="AH8" s="5" t="inlineStr"/>
    </row>
    <row r="9">
      <c r="A9" s="5" t="inlineStr">
        <is>
          <t>yabanci-krizi</t>
        </is>
      </c>
      <c r="B9" s="5" t="n">
        <v>1</v>
      </c>
      <c r="C9" s="6" t="inlineStr">
        <is>
          <t>Anneni ara</t>
        </is>
      </c>
      <c r="D9" s="5" t="inlineStr">
        <is>
          <t>Sosyal Radar</t>
        </is>
      </c>
      <c r="E9" s="5" t="inlineStr">
        <is>
          <t>Kolay</t>
        </is>
      </c>
      <c r="F9" s="5" t="inlineStr"/>
      <c r="G9" s="6" t="inlineStr"/>
      <c r="H9" s="6" t="inlineStr">
        <is>
          <t>Güvenli limanı doğru tespit ettin.</t>
        </is>
      </c>
      <c r="I9" s="6" t="inlineStr">
        <is>
          <t>Anneni tek bakışta buldun; yabancı, hiç yaklaşmamış gibi geri çekildi.</t>
        </is>
      </c>
      <c r="J9" s="6" t="inlineStr">
        <is>
          <t>Anneni aradın. Bulduğun kişi halanmış.</t>
        </is>
      </c>
      <c r="K9" s="6" t="inlineStr">
        <is>
          <t>Anne diye kucağına atladığın kişi yabancının ta kendisiydi.</t>
        </is>
      </c>
      <c r="L9" s="6" t="inlineStr"/>
      <c r="M9" s="5" t="inlineStr"/>
      <c r="N9" s="5" t="inlineStr"/>
      <c r="O9" s="6" t="inlineStr"/>
      <c r="P9" s="6" t="inlineStr"/>
      <c r="Q9" s="5" t="inlineStr"/>
      <c r="R9" s="5" t="inlineStr"/>
      <c r="S9" s="5" t="inlineStr"/>
      <c r="T9" s="5" t="inlineStr"/>
      <c r="U9" s="5" t="inlineStr"/>
      <c r="V9" s="5" t="inlineStr"/>
      <c r="W9" s="5" t="inlineStr"/>
      <c r="X9" s="5" t="inlineStr"/>
      <c r="Y9" s="5" t="inlineStr"/>
      <c r="Z9" s="6" t="inlineStr"/>
      <c r="AA9" s="5" t="inlineStr"/>
      <c r="AB9" s="5" t="inlineStr"/>
      <c r="AC9" s="5" t="inlineStr"/>
      <c r="AD9" s="5" t="inlineStr"/>
      <c r="AE9" s="5" t="inlineStr"/>
      <c r="AF9" s="5" t="inlineStr"/>
      <c r="AG9" s="5" t="inlineStr"/>
      <c r="AH9" s="5" t="inlineStr"/>
    </row>
    <row r="10">
      <c r="A10" s="5" t="inlineStr">
        <is>
          <t>yabanci-krizi</t>
        </is>
      </c>
      <c r="B10" s="5" t="n">
        <v>2</v>
      </c>
      <c r="C10" s="6" t="inlineStr">
        <is>
          <t>Gözlüğüne saldır</t>
        </is>
      </c>
      <c r="D10" s="5" t="inlineStr">
        <is>
          <t>Cesaret</t>
        </is>
      </c>
      <c r="E10" s="5" t="inlineStr">
        <is>
          <t>Orta</t>
        </is>
      </c>
      <c r="F10" s="5" t="inlineStr"/>
      <c r="G10" s="6" t="inlineStr"/>
      <c r="H10" s="6" t="inlineStr">
        <is>
          <t>Bir hamlede gözlüğü kaptın. Diplomatik ilişkiler kısa süreliğine askıya alındı.</t>
        </is>
      </c>
      <c r="I10" s="6" t="inlineStr">
        <is>
          <t>Gözlük elinde. Kadın ne olduğunu anlayana kadar sen çoktan zaferini ilan ettin.</t>
        </is>
      </c>
      <c r="J10" s="6" t="inlineStr">
        <is>
          <t>Kadın senden hızlı çıktı.</t>
        </is>
      </c>
      <c r="K10" s="6" t="inlineStr">
        <is>
          <t>Gözlüğe uzandın; onun yerine kendi burnunu yakaladın.</t>
        </is>
      </c>
      <c r="L10" s="6" t="inlineStr">
        <is>
          <t>Parmakların çerçeveye değdi ama gözlük sende kalmadı.</t>
        </is>
      </c>
      <c r="M10" s="5" t="inlineStr">
        <is>
          <t>timing</t>
        </is>
      </c>
      <c r="N10" s="5" t="inlineStr">
        <is>
          <t>Gözlüğü Kap!</t>
        </is>
      </c>
      <c r="O10" s="6" t="inlineStr">
        <is>
          <t>Kırmızı işareti yeşil alanda durdur.</t>
        </is>
      </c>
      <c r="P10" s="6" t="inlineStr"/>
      <c r="Q10" s="5" t="inlineStr"/>
      <c r="R10" s="5" t="inlineStr"/>
      <c r="S10" s="5" t="inlineStr"/>
      <c r="T10" s="5" t="inlineStr"/>
      <c r="U10" s="5" t="inlineStr"/>
      <c r="V10" s="5" t="inlineStr"/>
      <c r="W10" s="5" t="inlineStr"/>
      <c r="X10" s="5" t="inlineStr"/>
      <c r="Y10" s="5" t="inlineStr"/>
      <c r="Z10" s="6" t="inlineStr"/>
      <c r="AA10" s="5" t="inlineStr"/>
      <c r="AB10" s="5" t="inlineStr"/>
      <c r="AC10" s="5" t="inlineStr"/>
      <c r="AD10" s="5" t="inlineStr"/>
      <c r="AE10" s="5" t="inlineStr"/>
      <c r="AF10" s="5" t="inlineStr"/>
      <c r="AG10" s="5" t="inlineStr"/>
      <c r="AH10" s="5" t="inlineStr"/>
    </row>
    <row r="11">
      <c r="A11" s="5" t="inlineStr">
        <is>
          <t>yabanci-krizi</t>
        </is>
      </c>
      <c r="B11" s="5" t="n">
        <v>3</v>
      </c>
      <c r="C11" s="6" t="inlineStr">
        <is>
          <t>Kabullen</t>
        </is>
      </c>
      <c r="D11" s="5" t="inlineStr"/>
      <c r="E11" s="5" t="inlineStr"/>
      <c r="F11" s="5" t="inlineStr">
        <is>
          <t>Sosyal Radar +1</t>
        </is>
      </c>
      <c r="G11" s="6" t="inlineStr">
        <is>
          <t>Krizi düşük profille atlattın.</t>
        </is>
      </c>
      <c r="H11" s="6" t="inlineStr"/>
      <c r="I11" s="6" t="inlineStr"/>
      <c r="J11" s="6" t="inlineStr"/>
      <c r="K11" s="6" t="inlineStr"/>
      <c r="L11" s="6" t="inlineStr"/>
      <c r="M11" s="5" t="inlineStr"/>
      <c r="N11" s="5" t="inlineStr"/>
      <c r="O11" s="6" t="inlineStr"/>
      <c r="P11" s="6" t="inlineStr"/>
      <c r="Q11" s="5" t="inlineStr"/>
      <c r="R11" s="5" t="inlineStr"/>
      <c r="S11" s="5" t="inlineStr"/>
      <c r="T11" s="5" t="inlineStr"/>
      <c r="U11" s="5" t="inlineStr"/>
      <c r="V11" s="5" t="inlineStr"/>
      <c r="W11" s="5" t="inlineStr"/>
      <c r="X11" s="5" t="inlineStr"/>
      <c r="Y11" s="5" t="inlineStr"/>
      <c r="Z11" s="6" t="inlineStr"/>
      <c r="AA11" s="5" t="inlineStr"/>
      <c r="AB11" s="5" t="inlineStr"/>
      <c r="AC11" s="5" t="inlineStr"/>
      <c r="AD11" s="5" t="inlineStr"/>
      <c r="AE11" s="5" t="inlineStr"/>
      <c r="AF11" s="5" t="inlineStr"/>
      <c r="AG11" s="5" t="inlineStr"/>
      <c r="AH11" s="5" t="inlineStr"/>
    </row>
    <row r="12">
      <c r="A12" s="5" t="inlineStr">
        <is>
          <t>yabanci-krizi</t>
        </is>
      </c>
      <c r="B12" s="5" t="n">
        <v>4</v>
      </c>
      <c r="C12" s="6" t="inlineStr">
        <is>
          <t>Ağla</t>
        </is>
      </c>
      <c r="D12" s="5" t="inlineStr"/>
      <c r="E12" s="5" t="inlineStr"/>
      <c r="F12" s="5" t="inlineStr">
        <is>
          <t>Çene +1</t>
        </is>
      </c>
      <c r="G12" s="6" t="inlineStr">
        <is>
          <t>Toplantı erken sona erdi.</t>
        </is>
      </c>
      <c r="H12" s="6" t="inlineStr"/>
      <c r="I12" s="6" t="inlineStr"/>
      <c r="J12" s="6" t="inlineStr"/>
      <c r="K12" s="6" t="inlineStr"/>
      <c r="L12" s="6" t="inlineStr"/>
      <c r="M12" s="5" t="inlineStr"/>
      <c r="N12" s="5" t="inlineStr"/>
      <c r="O12" s="6" t="inlineStr"/>
      <c r="P12" s="6" t="inlineStr"/>
      <c r="Q12" s="5" t="inlineStr"/>
      <c r="R12" s="5" t="inlineStr"/>
      <c r="S12" s="5" t="inlineStr"/>
      <c r="T12" s="5" t="inlineStr"/>
      <c r="U12" s="5" t="inlineStr"/>
      <c r="V12" s="5" t="inlineStr"/>
      <c r="W12" s="5" t="inlineStr"/>
      <c r="X12" s="5" t="inlineStr"/>
      <c r="Y12" s="5" t="inlineStr"/>
      <c r="Z12" s="6" t="inlineStr"/>
      <c r="AA12" s="5" t="inlineStr"/>
      <c r="AB12" s="5" t="inlineStr"/>
      <c r="AC12" s="5" t="inlineStr"/>
      <c r="AD12" s="5" t="inlineStr"/>
      <c r="AE12" s="5" t="inlineStr"/>
      <c r="AF12" s="5" t="inlineStr"/>
      <c r="AG12" s="5" t="inlineStr"/>
      <c r="AH12" s="5" t="inlineStr"/>
    </row>
    <row r="13">
      <c r="A13" s="5" t="inlineStr">
        <is>
          <t>yasak-nesne</t>
        </is>
      </c>
      <c r="B13" s="5" t="n">
        <v>1</v>
      </c>
      <c r="C13" s="6" t="inlineStr">
        <is>
          <t>Dokunma</t>
        </is>
      </c>
      <c r="D13" s="5" t="inlineStr"/>
      <c r="E13" s="5" t="inlineStr"/>
      <c r="F13" s="5" t="inlineStr">
        <is>
          <t>İtibar +1</t>
        </is>
      </c>
      <c r="G13" s="6" t="inlineStr">
        <is>
          <t>İlk kez bir yasağı uyguladın.</t>
        </is>
      </c>
      <c r="H13" s="6" t="inlineStr"/>
      <c r="I13" s="6" t="inlineStr"/>
      <c r="J13" s="6" t="inlineStr"/>
      <c r="K13" s="6" t="inlineStr"/>
      <c r="L13" s="6" t="inlineStr"/>
      <c r="M13" s="5" t="inlineStr"/>
      <c r="N13" s="5" t="inlineStr"/>
      <c r="O13" s="6" t="inlineStr"/>
      <c r="P13" s="6" t="inlineStr"/>
      <c r="Q13" s="5" t="inlineStr"/>
      <c r="R13" s="5" t="inlineStr"/>
      <c r="S13" s="5" t="inlineStr"/>
      <c r="T13" s="5" t="inlineStr"/>
      <c r="U13" s="5" t="inlineStr"/>
      <c r="V13" s="5" t="inlineStr"/>
      <c r="W13" s="5" t="inlineStr"/>
      <c r="X13" s="5" t="inlineStr"/>
      <c r="Y13" s="5" t="inlineStr"/>
      <c r="Z13" s="6" t="inlineStr"/>
      <c r="AA13" s="5" t="inlineStr"/>
      <c r="AB13" s="5" t="inlineStr"/>
      <c r="AC13" s="5" t="inlineStr"/>
      <c r="AD13" s="5" t="inlineStr"/>
      <c r="AE13" s="5" t="inlineStr"/>
      <c r="AF13" s="5" t="inlineStr"/>
      <c r="AG13" s="5" t="inlineStr"/>
      <c r="AH13" s="5" t="inlineStr"/>
    </row>
    <row r="14">
      <c r="A14" s="5" t="inlineStr">
        <is>
          <t>yasak-nesne</t>
        </is>
      </c>
      <c r="B14" s="5" t="n">
        <v>2</v>
      </c>
      <c r="C14" s="6" t="inlineStr">
        <is>
          <t>Anne çıkana kadar bekle</t>
        </is>
      </c>
      <c r="D14" s="5" t="inlineStr">
        <is>
          <t>Kurnazlık</t>
        </is>
      </c>
      <c r="E14" s="5" t="inlineStr">
        <is>
          <t>Kolay</t>
        </is>
      </c>
      <c r="F14" s="5" t="inlineStr"/>
      <c r="G14" s="6" t="inlineStr"/>
      <c r="H14" s="6" t="inlineStr">
        <is>
          <t>Zamanlama kavramını keşfettin.</t>
        </is>
      </c>
      <c r="I14" s="6" t="inlineStr">
        <is>
          <t>Anne çıktı, sen aldın, anne döndü, nesne yerindeydi. Kimse hiçbir şey anlamadı.</t>
        </is>
      </c>
      <c r="J14" s="6" t="inlineStr">
        <is>
          <t>Beklerken uyuyakaldın. Fırsat penceresi kapandı.</t>
        </is>
      </c>
      <c r="K14" s="6" t="inlineStr">
        <is>
          <t>Anne çıkmadı. Sadece çıkıyormuş gibi yaptı. Seni izliyordu.</t>
        </is>
      </c>
      <c r="L14" s="6" t="inlineStr"/>
      <c r="M14" s="5" t="inlineStr"/>
      <c r="N14" s="5" t="inlineStr"/>
      <c r="O14" s="6" t="inlineStr"/>
      <c r="P14" s="6" t="inlineStr"/>
      <c r="Q14" s="5" t="inlineStr"/>
      <c r="R14" s="5" t="inlineStr"/>
      <c r="S14" s="5" t="inlineStr"/>
      <c r="T14" s="5" t="inlineStr"/>
      <c r="U14" s="5" t="inlineStr"/>
      <c r="V14" s="5" t="inlineStr"/>
      <c r="W14" s="5" t="inlineStr"/>
      <c r="X14" s="5" t="inlineStr"/>
      <c r="Y14" s="5" t="inlineStr"/>
      <c r="Z14" s="6" t="inlineStr"/>
      <c r="AA14" s="5" t="inlineStr"/>
      <c r="AB14" s="5" t="inlineStr"/>
      <c r="AC14" s="5" t="inlineStr"/>
      <c r="AD14" s="5" t="inlineStr"/>
      <c r="AE14" s="5" t="inlineStr"/>
      <c r="AF14" s="5" t="inlineStr"/>
      <c r="AG14" s="5" t="inlineStr"/>
      <c r="AH14" s="5" t="inlineStr"/>
    </row>
    <row r="15">
      <c r="A15" s="5" t="inlineStr">
        <is>
          <t>yasak-nesne</t>
        </is>
      </c>
      <c r="B15" s="5" t="n">
        <v>3</v>
      </c>
      <c r="C15" s="6" t="inlineStr">
        <is>
          <t>Direkt al</t>
        </is>
      </c>
      <c r="D15" s="5" t="inlineStr">
        <is>
          <t>Pişkinlik</t>
        </is>
      </c>
      <c r="E15" s="5" t="inlineStr">
        <is>
          <t>Kolay</t>
        </is>
      </c>
      <c r="F15" s="5" t="inlineStr"/>
      <c r="G15" s="6" t="inlineStr"/>
      <c r="H15" s="6" t="inlineStr">
        <is>
          <t>Mülkiyet hukukuna farklı bir yorum getirdin.</t>
        </is>
      </c>
      <c r="I15" s="6" t="inlineStr">
        <is>
          <t>Aldın ve kimse itiraz edemedi. Yüz ifaden tüm soruları cevapladı.</t>
        </is>
      </c>
      <c r="J15" s="6" t="inlineStr">
        <is>
          <t>Uzandın. Masa senden uzunmuş.</t>
        </is>
      </c>
      <c r="K15" s="6" t="inlineStr">
        <is>
          <t>Aldın, düşürdün, kırıldı. Hukuk sisteminde yeni dosya açıldı.</t>
        </is>
      </c>
      <c r="L15" s="6" t="inlineStr"/>
      <c r="M15" s="5" t="inlineStr"/>
      <c r="N15" s="5" t="inlineStr"/>
      <c r="O15" s="6" t="inlineStr"/>
      <c r="P15" s="6" t="inlineStr"/>
      <c r="Q15" s="5" t="inlineStr"/>
      <c r="R15" s="5" t="inlineStr"/>
      <c r="S15" s="5" t="inlineStr"/>
      <c r="T15" s="5" t="inlineStr"/>
      <c r="U15" s="5" t="inlineStr"/>
      <c r="V15" s="5" t="inlineStr"/>
      <c r="W15" s="5" t="inlineStr"/>
      <c r="X15" s="5" t="inlineStr"/>
      <c r="Y15" s="5" t="inlineStr"/>
      <c r="Z15" s="6" t="inlineStr"/>
      <c r="AA15" s="5" t="inlineStr"/>
      <c r="AB15" s="5" t="inlineStr"/>
      <c r="AC15" s="5" t="inlineStr"/>
      <c r="AD15" s="5" t="inlineStr"/>
      <c r="AE15" s="5" t="inlineStr"/>
      <c r="AF15" s="5" t="inlineStr"/>
      <c r="AG15" s="5" t="inlineStr"/>
      <c r="AH15" s="5" t="inlineStr"/>
    </row>
    <row r="16">
      <c r="A16" s="5" t="inlineStr">
        <is>
          <t>ilk-kelime</t>
        </is>
      </c>
      <c r="B16" s="5" t="n">
        <v>1</v>
      </c>
      <c r="C16" s="6" t="inlineStr">
        <is>
          <t>Anne</t>
        </is>
      </c>
      <c r="D16" s="5" t="inlineStr"/>
      <c r="E16" s="5" t="inlineStr"/>
      <c r="F16" s="5" t="inlineStr">
        <is>
          <t>İtibar +1</t>
        </is>
      </c>
      <c r="G16" s="6" t="inlineStr">
        <is>
          <t>Diplomatik olarak güvenli bir başlangıç.</t>
        </is>
      </c>
      <c r="H16" s="6" t="inlineStr"/>
      <c r="I16" s="6" t="inlineStr"/>
      <c r="J16" s="6" t="inlineStr"/>
      <c r="K16" s="6" t="inlineStr"/>
      <c r="L16" s="6" t="inlineStr"/>
      <c r="M16" s="5" t="inlineStr"/>
      <c r="N16" s="5" t="inlineStr"/>
      <c r="O16" s="6" t="inlineStr"/>
      <c r="P16" s="6" t="inlineStr"/>
      <c r="Q16" s="5" t="inlineStr"/>
      <c r="R16" s="5" t="inlineStr"/>
      <c r="S16" s="5" t="inlineStr"/>
      <c r="T16" s="5" t="inlineStr"/>
      <c r="U16" s="5" t="inlineStr"/>
      <c r="V16" s="5" t="inlineStr"/>
      <c r="W16" s="5" t="inlineStr"/>
      <c r="X16" s="5" t="inlineStr"/>
      <c r="Y16" s="5" t="inlineStr"/>
      <c r="Z16" s="6" t="inlineStr"/>
      <c r="AA16" s="5" t="inlineStr"/>
      <c r="AB16" s="5" t="inlineStr"/>
      <c r="AC16" s="5" t="inlineStr"/>
      <c r="AD16" s="5" t="inlineStr"/>
      <c r="AE16" s="5" t="inlineStr"/>
      <c r="AF16" s="5" t="inlineStr"/>
      <c r="AG16" s="5" t="inlineStr"/>
      <c r="AH16" s="5" t="inlineStr"/>
    </row>
    <row r="17">
      <c r="A17" s="5" t="inlineStr">
        <is>
          <t>ilk-kelime</t>
        </is>
      </c>
      <c r="B17" s="5" t="n">
        <v>2</v>
      </c>
      <c r="C17" s="6" t="inlineStr">
        <is>
          <t>Baba</t>
        </is>
      </c>
      <c r="D17" s="5" t="inlineStr"/>
      <c r="E17" s="5" t="inlineStr"/>
      <c r="F17" s="5" t="inlineStr">
        <is>
          <t>Çene +1</t>
        </is>
      </c>
      <c r="G17" s="6" t="inlineStr">
        <is>
          <t>Salonda kısa süreli bir zafer havası oluştu.</t>
        </is>
      </c>
      <c r="H17" s="6" t="inlineStr"/>
      <c r="I17" s="6" t="inlineStr"/>
      <c r="J17" s="6" t="inlineStr"/>
      <c r="K17" s="6" t="inlineStr"/>
      <c r="L17" s="6" t="inlineStr"/>
      <c r="M17" s="5" t="inlineStr"/>
      <c r="N17" s="5" t="inlineStr"/>
      <c r="O17" s="6" t="inlineStr"/>
      <c r="P17" s="6" t="inlineStr"/>
      <c r="Q17" s="5" t="inlineStr"/>
      <c r="R17" s="5" t="inlineStr"/>
      <c r="S17" s="5" t="inlineStr"/>
      <c r="T17" s="5" t="inlineStr"/>
      <c r="U17" s="5" t="inlineStr"/>
      <c r="V17" s="5" t="inlineStr"/>
      <c r="W17" s="5" t="inlineStr"/>
      <c r="X17" s="5" t="inlineStr"/>
      <c r="Y17" s="5" t="inlineStr"/>
      <c r="Z17" s="6" t="inlineStr"/>
      <c r="AA17" s="5" t="inlineStr"/>
      <c r="AB17" s="5" t="inlineStr"/>
      <c r="AC17" s="5" t="inlineStr"/>
      <c r="AD17" s="5" t="inlineStr"/>
      <c r="AE17" s="5" t="inlineStr"/>
      <c r="AF17" s="5" t="inlineStr"/>
      <c r="AG17" s="5" t="inlineStr"/>
      <c r="AH17" s="5" t="inlineStr"/>
    </row>
    <row r="18">
      <c r="A18" s="5" t="inlineStr">
        <is>
          <t>ilk-kelime</t>
        </is>
      </c>
      <c r="B18" s="5" t="n">
        <v>3</v>
      </c>
      <c r="C18" s="6" t="inlineStr">
        <is>
          <t>Mama</t>
        </is>
      </c>
      <c r="D18" s="5" t="inlineStr"/>
      <c r="E18" s="5" t="inlineStr"/>
      <c r="F18" s="5" t="inlineStr">
        <is>
          <t>Dayanıklılık +1</t>
        </is>
      </c>
      <c r="G18" s="6" t="inlineStr">
        <is>
          <t>Önceliklerini açıkça belirttin.</t>
        </is>
      </c>
      <c r="H18" s="6" t="inlineStr"/>
      <c r="I18" s="6" t="inlineStr"/>
      <c r="J18" s="6" t="inlineStr"/>
      <c r="K18" s="6" t="inlineStr"/>
      <c r="L18" s="6" t="inlineStr"/>
      <c r="M18" s="5" t="inlineStr"/>
      <c r="N18" s="5" t="inlineStr"/>
      <c r="O18" s="6" t="inlineStr"/>
      <c r="P18" s="6" t="inlineStr"/>
      <c r="Q18" s="5" t="inlineStr"/>
      <c r="R18" s="5" t="inlineStr"/>
      <c r="S18" s="5" t="inlineStr"/>
      <c r="T18" s="5" t="inlineStr"/>
      <c r="U18" s="5" t="inlineStr"/>
      <c r="V18" s="5" t="inlineStr"/>
      <c r="W18" s="5" t="inlineStr"/>
      <c r="X18" s="5" t="inlineStr"/>
      <c r="Y18" s="5" t="inlineStr"/>
      <c r="Z18" s="6" t="inlineStr"/>
      <c r="AA18" s="5" t="inlineStr"/>
      <c r="AB18" s="5" t="inlineStr"/>
      <c r="AC18" s="5" t="inlineStr"/>
      <c r="AD18" s="5" t="inlineStr"/>
      <c r="AE18" s="5" t="inlineStr"/>
      <c r="AF18" s="5" t="inlineStr"/>
      <c r="AG18" s="5" t="inlineStr"/>
      <c r="AH18" s="5" t="inlineStr"/>
    </row>
    <row r="19">
      <c r="A19" s="5" t="inlineStr">
        <is>
          <t>ilk-kelime</t>
        </is>
      </c>
      <c r="B19" s="5" t="n">
        <v>4</v>
      </c>
      <c r="C19" s="6" t="inlineStr">
        <is>
          <t>Para</t>
        </is>
      </c>
      <c r="D19" s="5" t="inlineStr">
        <is>
          <t>Kurnazlık</t>
        </is>
      </c>
      <c r="E19" s="5" t="inlineStr">
        <is>
          <t>Zor</t>
        </is>
      </c>
      <c r="F19" s="5" t="inlineStr"/>
      <c r="G19" s="6" t="inlineStr"/>
      <c r="H19" s="6" t="inlineStr">
        <is>
          <t>Aile bir an sessiz kaldı. Gelecek hakkında bazı sorular oluştu.</t>
        </is>
      </c>
      <c r="I19" s="6" t="inlineStr">
        <is>
          <t>“Para” dedin ve elini uzattın. Deden cüzdanını çıkardı. Aile bunu hâlâ konuşuyor.</t>
        </is>
      </c>
      <c r="J19" s="6" t="inlineStr">
        <is>
          <t>“Para” dedin ama televizyon açıktı, kimse duymadı. Yine de sen ne dediğini biliyorsun.</t>
        </is>
      </c>
      <c r="K19" s="6" t="inlineStr">
        <is>
          <t>“Para” dedin. Babaannen üç gün boyunca seni “küçük tefeci” diye çağırdı.</t>
        </is>
      </c>
      <c r="L19" s="6" t="inlineStr"/>
      <c r="M19" s="5" t="inlineStr"/>
      <c r="N19" s="5" t="inlineStr"/>
      <c r="O19" s="6" t="inlineStr"/>
      <c r="P19" s="6" t="inlineStr"/>
      <c r="Q19" s="5" t="inlineStr"/>
      <c r="R19" s="5" t="inlineStr"/>
      <c r="S19" s="5" t="inlineStr"/>
      <c r="T19" s="5" t="inlineStr">
        <is>
          <t>Erken Ekonomi Bilinci</t>
        </is>
      </c>
      <c r="U19" s="5" t="inlineStr">
        <is>
          <t>ilkKelimePara</t>
        </is>
      </c>
      <c r="V19" s="5" t="inlineStr"/>
      <c r="W19" s="5" t="inlineStr"/>
      <c r="X19" s="5" t="inlineStr"/>
      <c r="Y19" s="5" t="inlineStr"/>
      <c r="Z19" s="6" t="inlineStr"/>
      <c r="AA19" s="5" t="inlineStr"/>
      <c r="AB19" s="5" t="inlineStr"/>
      <c r="AC19" s="5" t="inlineStr"/>
      <c r="AD19" s="5" t="inlineStr"/>
      <c r="AE19" s="5" t="inlineStr"/>
      <c r="AF19" s="5" t="inlineStr"/>
      <c r="AG19" s="5" t="inlineStr"/>
      <c r="AH19" s="5" t="inlineStr"/>
    </row>
    <row r="20">
      <c r="A20" s="5" t="inlineStr">
        <is>
          <t>ilk-adimlar</t>
        </is>
      </c>
      <c r="B20" s="5" t="n">
        <v>1</v>
      </c>
      <c r="C20" s="6" t="inlineStr">
        <is>
          <t>Koşmayı dene</t>
        </is>
      </c>
      <c r="D20" s="5" t="inlineStr">
        <is>
          <t>Cesaret</t>
        </is>
      </c>
      <c r="E20" s="5" t="inlineStr">
        <is>
          <t>Kolay</t>
        </is>
      </c>
      <c r="F20" s="5" t="inlineStr"/>
      <c r="G20" s="6" t="inlineStr"/>
      <c r="H20" s="6" t="inlineStr">
        <is>
          <t>Yürümeden önce hızlanmayı tercih ettin. Adımlar sallantılı ama gerçek.</t>
        </is>
      </c>
      <c r="I20" s="6" t="inlineStr">
        <is>
          <t>İki ayağın da yerde, rüzgâr arkanda. Bir anlığına evren dengede.</t>
        </is>
      </c>
      <c r="J20" s="6" t="inlineStr">
        <is>
          <t>Denge seni henüz ikna etmedi.</t>
        </is>
      </c>
      <c r="K20" s="6" t="inlineStr">
        <is>
          <t>Bir adım attın. Yer senden daha hızlı davrandı.</t>
        </is>
      </c>
      <c r="L20" s="6" t="inlineStr">
        <is>
          <t>Bir adım, sonra güvenli bir oturuş.</t>
        </is>
      </c>
      <c r="M20" s="5" t="inlineStr">
        <is>
          <t>hold</t>
        </is>
      </c>
      <c r="N20" s="5" t="inlineStr">
        <is>
          <t>İlk Adımlar</t>
        </is>
      </c>
      <c r="O20" s="6" t="inlineStr">
        <is>
          <t>Basılı tut, gücü topla. Çubuk yeşil alana geldiğinde bırak.</t>
        </is>
      </c>
      <c r="P20" s="6" t="inlineStr"/>
      <c r="Q20" s="5" t="inlineStr"/>
      <c r="R20" s="5" t="inlineStr"/>
      <c r="S20" s="5" t="inlineStr"/>
      <c r="T20" s="5" t="inlineStr"/>
      <c r="U20" s="5" t="inlineStr"/>
      <c r="V20" s="5" t="inlineStr"/>
      <c r="W20" s="5" t="inlineStr"/>
      <c r="X20" s="5" t="inlineStr"/>
      <c r="Y20" s="5" t="inlineStr"/>
      <c r="Z20" s="6" t="inlineStr"/>
      <c r="AA20" s="5" t="inlineStr"/>
      <c r="AB20" s="5" t="inlineStr"/>
      <c r="AC20" s="5" t="inlineStr"/>
      <c r="AD20" s="5" t="inlineStr"/>
      <c r="AE20" s="5" t="inlineStr"/>
      <c r="AF20" s="5" t="inlineStr"/>
      <c r="AG20" s="5" t="inlineStr"/>
      <c r="AH20" s="5" t="inlineStr"/>
    </row>
    <row r="21">
      <c r="A21" s="5" t="inlineStr">
        <is>
          <t>ilk-adimlar</t>
        </is>
      </c>
      <c r="B21" s="5" t="n">
        <v>2</v>
      </c>
      <c r="C21" s="6" t="inlineStr">
        <is>
          <t>Mobilyaya tutun</t>
        </is>
      </c>
      <c r="D21" s="5" t="inlineStr">
        <is>
          <t>Dayanıklılık</t>
        </is>
      </c>
      <c r="E21" s="5" t="inlineStr">
        <is>
          <t>Çok Kolay</t>
        </is>
      </c>
      <c r="F21" s="5" t="inlineStr"/>
      <c r="G21" s="6" t="inlineStr"/>
      <c r="H21" s="6" t="inlineStr">
        <is>
          <t>Risk yönetimi bölümünü erken açtın.</t>
        </is>
      </c>
      <c r="I21" s="6" t="inlineStr">
        <is>
          <t>Koltuktan sehpaya, sehpadan kapıya: ilk lojistik hattını kurdun.</t>
        </is>
      </c>
      <c r="J21" s="6" t="inlineStr">
        <is>
          <t>Tuttuğun mobilya tekerlekliymiş.</t>
        </is>
      </c>
      <c r="K21" s="6" t="inlineStr">
        <is>
          <t>Tuttuğun şey masa örtüsüydü. Üstündekilerle birlikte indin.</t>
        </is>
      </c>
      <c r="L21" s="6" t="inlineStr"/>
      <c r="M21" s="5" t="inlineStr"/>
      <c r="N21" s="5" t="inlineStr"/>
      <c r="O21" s="6" t="inlineStr"/>
      <c r="P21" s="6" t="inlineStr"/>
      <c r="Q21" s="5" t="inlineStr"/>
      <c r="R21" s="5" t="inlineStr"/>
      <c r="S21" s="5" t="inlineStr"/>
      <c r="T21" s="5" t="inlineStr"/>
      <c r="U21" s="5" t="inlineStr"/>
      <c r="V21" s="5" t="inlineStr"/>
      <c r="W21" s="5" t="inlineStr"/>
      <c r="X21" s="5" t="inlineStr"/>
      <c r="Y21" s="5" t="inlineStr"/>
      <c r="Z21" s="6" t="inlineStr"/>
      <c r="AA21" s="5" t="inlineStr"/>
      <c r="AB21" s="5" t="inlineStr"/>
      <c r="AC21" s="5" t="inlineStr"/>
      <c r="AD21" s="5" t="inlineStr"/>
      <c r="AE21" s="5" t="inlineStr"/>
      <c r="AF21" s="5" t="inlineStr"/>
      <c r="AG21" s="5" t="inlineStr"/>
      <c r="AH21" s="5" t="inlineStr"/>
    </row>
    <row r="22">
      <c r="A22" s="5" t="inlineStr">
        <is>
          <t>ilk-adimlar</t>
        </is>
      </c>
      <c r="B22" s="5" t="n">
        <v>3</v>
      </c>
      <c r="C22" s="6" t="inlineStr">
        <is>
          <t>Önce diğerlerini izle</t>
        </is>
      </c>
      <c r="D22" s="5" t="inlineStr">
        <is>
          <t>Akıl</t>
        </is>
      </c>
      <c r="E22" s="5" t="inlineStr">
        <is>
          <t>Kolay</t>
        </is>
      </c>
      <c r="F22" s="5" t="inlineStr"/>
      <c r="G22" s="6" t="inlineStr"/>
      <c r="H22" s="6" t="inlineStr">
        <is>
          <t>Rakip analizi yaptın. Yöntem not edildi.</t>
        </is>
      </c>
      <c r="I22" s="6" t="inlineStr">
        <is>
          <t>Kediyi izledin: dört ayak daha dengeli, iki ayak daha prestijli. Prestij kazandı.</t>
        </is>
      </c>
      <c r="J22" s="6" t="inlineStr">
        <is>
          <t>İzledin, izledin. O sırada herkes oturuyordu.</t>
        </is>
      </c>
      <c r="K22" s="6" t="inlineStr">
        <is>
          <t>Örnek aldığın kişi dedendi. Bastonsuz model henüz piyasada yok.</t>
        </is>
      </c>
      <c r="L22" s="6" t="inlineStr"/>
      <c r="M22" s="5" t="inlineStr"/>
      <c r="N22" s="5" t="inlineStr"/>
      <c r="O22" s="6" t="inlineStr"/>
      <c r="P22" s="6" t="inlineStr"/>
      <c r="Q22" s="5" t="inlineStr"/>
      <c r="R22" s="5" t="inlineStr"/>
      <c r="S22" s="5" t="inlineStr"/>
      <c r="T22" s="5" t="inlineStr"/>
      <c r="U22" s="5" t="inlineStr"/>
      <c r="V22" s="5" t="inlineStr"/>
      <c r="W22" s="5" t="inlineStr"/>
      <c r="X22" s="5" t="inlineStr"/>
      <c r="Y22" s="5" t="inlineStr"/>
      <c r="Z22" s="6" t="inlineStr"/>
      <c r="AA22" s="5" t="inlineStr"/>
      <c r="AB22" s="5" t="inlineStr"/>
      <c r="AC22" s="5" t="inlineStr"/>
      <c r="AD22" s="5" t="inlineStr"/>
      <c r="AE22" s="5" t="inlineStr"/>
      <c r="AF22" s="5" t="inlineStr"/>
      <c r="AG22" s="5" t="inlineStr"/>
      <c r="AH22" s="5" t="inlineStr"/>
    </row>
    <row r="23">
      <c r="A23" s="5" t="inlineStr">
        <is>
          <t>masadaki-telefon</t>
        </is>
      </c>
      <c r="B23" s="5" t="n">
        <v>1</v>
      </c>
      <c r="C23" s="6" t="inlineStr">
        <is>
          <t>Dokunma</t>
        </is>
      </c>
      <c r="D23" s="5" t="inlineStr"/>
      <c r="E23" s="5" t="inlineStr"/>
      <c r="F23" s="5" t="inlineStr">
        <is>
          <t>İtibar +1</t>
        </is>
      </c>
      <c r="G23" s="6" t="inlineStr">
        <is>
          <t>Nadir görülen bir özdenetim anı.</t>
        </is>
      </c>
      <c r="H23" s="6" t="inlineStr"/>
      <c r="I23" s="6" t="inlineStr"/>
      <c r="J23" s="6" t="inlineStr"/>
      <c r="K23" s="6" t="inlineStr"/>
      <c r="L23" s="6" t="inlineStr"/>
      <c r="M23" s="5" t="inlineStr"/>
      <c r="N23" s="5" t="inlineStr"/>
      <c r="O23" s="6" t="inlineStr"/>
      <c r="P23" s="6" t="inlineStr"/>
      <c r="Q23" s="5" t="inlineStr"/>
      <c r="R23" s="5" t="inlineStr"/>
      <c r="S23" s="5" t="inlineStr"/>
      <c r="T23" s="5" t="inlineStr"/>
      <c r="U23" s="5" t="inlineStr"/>
      <c r="V23" s="5" t="inlineStr"/>
      <c r="W23" s="5" t="inlineStr"/>
      <c r="X23" s="5" t="inlineStr"/>
      <c r="Y23" s="5" t="inlineStr"/>
      <c r="Z23" s="6" t="inlineStr"/>
      <c r="AA23" s="5" t="inlineStr"/>
      <c r="AB23" s="5" t="inlineStr"/>
      <c r="AC23" s="5" t="inlineStr"/>
      <c r="AD23" s="5" t="inlineStr"/>
      <c r="AE23" s="5" t="inlineStr"/>
      <c r="AF23" s="5" t="inlineStr"/>
      <c r="AG23" s="5" t="inlineStr"/>
      <c r="AH23" s="5" t="inlineStr"/>
    </row>
    <row r="24">
      <c r="A24" s="5" t="inlineStr">
        <is>
          <t>masadaki-telefon</t>
        </is>
      </c>
      <c r="B24" s="5" t="n">
        <v>2</v>
      </c>
      <c r="C24" s="6" t="inlineStr">
        <is>
          <t>Ekranı kurcala</t>
        </is>
      </c>
      <c r="D24" s="5" t="inlineStr">
        <is>
          <t>Kurnazlık</t>
        </is>
      </c>
      <c r="E24" s="5" t="inlineStr">
        <is>
          <t>Kolay</t>
        </is>
      </c>
      <c r="F24" s="5" t="inlineStr"/>
      <c r="G24" s="6" t="inlineStr"/>
      <c r="H24" s="6" t="inlineStr">
        <is>
          <t>Teknoloji departmanına izinsiz giriş yaptın.</t>
        </is>
      </c>
      <c r="I24" s="6" t="inlineStr">
        <is>
          <t>Ekranı açtın ve babanın çalma listesini 'Ninniler' olarak güncelledin.</t>
        </is>
      </c>
      <c r="J24" s="6" t="inlineStr">
        <is>
          <t>Ekran kilitliydi. Sen de bir süre kilitlendin.</t>
        </is>
      </c>
      <c r="K24" s="6" t="inlineStr">
        <is>
          <t>Rastgele dokunuşlar babanın patronunu görüntülü aradı.</t>
        </is>
      </c>
      <c r="L24" s="6" t="inlineStr"/>
      <c r="M24" s="5" t="inlineStr"/>
      <c r="N24" s="5" t="inlineStr"/>
      <c r="O24" s="6" t="inlineStr"/>
      <c r="P24" s="6" t="inlineStr"/>
      <c r="Q24" s="5" t="inlineStr"/>
      <c r="R24" s="5" t="inlineStr"/>
      <c r="S24" s="5" t="inlineStr"/>
      <c r="T24" s="5" t="inlineStr"/>
      <c r="U24" s="5" t="inlineStr"/>
      <c r="V24" s="5" t="inlineStr"/>
      <c r="W24" s="5" t="inlineStr"/>
      <c r="X24" s="5" t="inlineStr"/>
      <c r="Y24" s="5" t="inlineStr"/>
      <c r="Z24" s="6" t="inlineStr"/>
      <c r="AA24" s="5" t="inlineStr"/>
      <c r="AB24" s="5" t="inlineStr"/>
      <c r="AC24" s="5" t="inlineStr"/>
      <c r="AD24" s="5" t="inlineStr"/>
      <c r="AE24" s="5" t="inlineStr"/>
      <c r="AF24" s="5" t="inlineStr"/>
      <c r="AG24" s="5" t="inlineStr"/>
      <c r="AH24" s="5" t="inlineStr"/>
    </row>
    <row r="25">
      <c r="A25" s="5" t="inlineStr">
        <is>
          <t>masadaki-telefon</t>
        </is>
      </c>
      <c r="B25" s="5" t="n">
        <v>3</v>
      </c>
      <c r="C25" s="6" t="inlineStr">
        <is>
          <t>Gizlice al</t>
        </is>
      </c>
      <c r="D25" s="5" t="inlineStr">
        <is>
          <t>Kurnazlık</t>
        </is>
      </c>
      <c r="E25" s="5" t="inlineStr">
        <is>
          <t>Zor</t>
        </is>
      </c>
      <c r="F25" s="5" t="inlineStr"/>
      <c r="G25" s="6" t="inlineStr"/>
      <c r="H25" s="6" t="inlineStr">
        <is>
          <t>Cihaz güvenliği kısa süreliğine çöktü.</t>
        </is>
      </c>
      <c r="I25" s="6" t="inlineStr">
        <is>
          <t>Telefonu aldın, bir oyun açtın, rekor kırdın. Kimse şifreyi nasıl bildiğini anlamadı.</t>
        </is>
      </c>
      <c r="J25" s="6" t="inlineStr">
        <is>
          <t>Telefon titreşti, sen irkildin, operasyon iptal.</t>
        </is>
      </c>
      <c r="K25" s="6" t="inlineStr">
        <is>
          <t>Telefonu aldın ve doğrudan su bardağına bıraktın. Pirinç torbası devreye girdi.</t>
        </is>
      </c>
      <c r="L25" s="6" t="inlineStr"/>
      <c r="M25" s="5" t="inlineStr"/>
      <c r="N25" s="5" t="inlineStr"/>
      <c r="O25" s="6" t="inlineStr"/>
      <c r="P25" s="6" t="inlineStr"/>
      <c r="Q25" s="5" t="inlineStr"/>
      <c r="R25" s="5" t="inlineStr"/>
      <c r="S25" s="5" t="inlineStr"/>
      <c r="T25" s="5" t="inlineStr">
        <is>
          <t>Teknoloji Merakı</t>
        </is>
      </c>
      <c r="U25" s="5" t="inlineStr"/>
      <c r="V25" s="5" t="inlineStr"/>
      <c r="W25" s="5" t="inlineStr"/>
      <c r="X25" s="5" t="inlineStr"/>
      <c r="Y25" s="5" t="inlineStr"/>
      <c r="Z25" s="6" t="inlineStr"/>
      <c r="AA25" s="5" t="inlineStr"/>
      <c r="AB25" s="5" t="inlineStr"/>
      <c r="AC25" s="5" t="inlineStr"/>
      <c r="AD25" s="5" t="inlineStr"/>
      <c r="AE25" s="5" t="inlineStr"/>
      <c r="AF25" s="5" t="inlineStr"/>
      <c r="AG25" s="5" t="inlineStr"/>
      <c r="AH25" s="5" t="inlineStr"/>
    </row>
    <row r="26">
      <c r="A26" s="5" t="inlineStr">
        <is>
          <t>dogum-gunu-pastasi</t>
        </is>
      </c>
      <c r="B26" s="5" t="n">
        <v>1</v>
      </c>
      <c r="C26" s="6" t="inlineStr">
        <is>
          <t>Bekle</t>
        </is>
      </c>
      <c r="D26" s="5" t="inlineStr">
        <is>
          <t>Dayanıklılık</t>
        </is>
      </c>
      <c r="E26" s="5" t="inlineStr">
        <is>
          <t>Kolay</t>
        </is>
      </c>
      <c r="F26" s="5" t="inlineStr"/>
      <c r="G26" s="6" t="inlineStr"/>
      <c r="H26" s="6" t="inlineStr">
        <is>
          <t>Pasta hâlâ orada. Sen de hâlâ buradasın.</t>
        </is>
      </c>
      <c r="I26" s="6" t="inlineStr">
        <is>
          <t>Sabrın ödüllendirildi: en büyük dilim, üstünde çilekle sana geldi.</t>
        </is>
      </c>
      <c r="J26" s="6" t="inlineStr">
        <is>
          <t>Bekledin, bekledin; sıra sana geldiğinde kremalı kısım bitmişti.</t>
        </is>
      </c>
      <c r="K26" s="6" t="inlineStr">
        <is>
          <t>Beklemekten sıkıldın ve pastanın yanında uyuyakaldın. Fotoğraflarda yüzün kremalı.</t>
        </is>
      </c>
      <c r="L26" s="6" t="inlineStr"/>
      <c r="M26" s="5" t="inlineStr"/>
      <c r="N26" s="5" t="inlineStr"/>
      <c r="O26" s="6" t="inlineStr"/>
      <c r="P26" s="6" t="inlineStr"/>
      <c r="Q26" s="5" t="inlineStr"/>
      <c r="R26" s="5" t="inlineStr"/>
      <c r="S26" s="5" t="inlineStr"/>
      <c r="T26" s="5" t="inlineStr"/>
      <c r="U26" s="5" t="inlineStr"/>
      <c r="V26" s="5" t="inlineStr"/>
      <c r="W26" s="5" t="inlineStr"/>
      <c r="X26" s="5" t="inlineStr"/>
      <c r="Y26" s="5" t="inlineStr"/>
      <c r="Z26" s="6" t="inlineStr"/>
      <c r="AA26" s="5" t="inlineStr"/>
      <c r="AB26" s="5" t="inlineStr"/>
      <c r="AC26" s="5" t="inlineStr"/>
      <c r="AD26" s="5" t="inlineStr"/>
      <c r="AE26" s="5" t="inlineStr"/>
      <c r="AF26" s="5" t="inlineStr"/>
      <c r="AG26" s="5" t="inlineStr"/>
      <c r="AH26" s="5" t="inlineStr"/>
    </row>
    <row r="27">
      <c r="A27" s="5" t="inlineStr">
        <is>
          <t>dogum-gunu-pastasi</t>
        </is>
      </c>
      <c r="B27" s="5" t="n">
        <v>2</v>
      </c>
      <c r="C27" s="6" t="inlineStr">
        <is>
          <t>Pastaya erken saldır</t>
        </is>
      </c>
      <c r="D27" s="5" t="inlineStr">
        <is>
          <t>Pişkinlik</t>
        </is>
      </c>
      <c r="E27" s="5" t="inlineStr">
        <is>
          <t>Orta</t>
        </is>
      </c>
      <c r="F27" s="5" t="inlineStr"/>
      <c r="G27" s="6" t="inlineStr"/>
      <c r="H27" s="6" t="inlineStr">
        <is>
          <t>Protokolü kremayla yeniden yazdın.</t>
        </is>
      </c>
      <c r="I27" s="6" t="inlineStr">
        <is>
          <t>Pastanın en güzel köşesi artık senin. Herkes alkışladı, çünkü başka seçenek yoktu.</t>
        </is>
      </c>
      <c r="J27" s="6" t="inlineStr">
        <is>
          <t>Uzandın, biri tabağı kaydırdı. Elin havayı kremaladı.</t>
        </is>
      </c>
      <c r="K27" s="6" t="inlineStr">
        <is>
          <t>Pastaya daldın. Pasta da sana daldı. Aile albümüne kalıcı kayıt.</t>
        </is>
      </c>
      <c r="L27" s="6" t="inlineStr"/>
      <c r="M27" s="5" t="inlineStr"/>
      <c r="N27" s="5" t="inlineStr"/>
      <c r="O27" s="6" t="inlineStr"/>
      <c r="P27" s="6" t="inlineStr"/>
      <c r="Q27" s="5" t="inlineStr"/>
      <c r="R27" s="5" t="inlineStr"/>
      <c r="S27" s="5" t="inlineStr"/>
      <c r="T27" s="5" t="inlineStr"/>
      <c r="U27" s="5" t="inlineStr"/>
      <c r="V27" s="5" t="inlineStr"/>
      <c r="W27" s="5" t="inlineStr"/>
      <c r="X27" s="5" t="inlineStr"/>
      <c r="Y27" s="5" t="inlineStr"/>
      <c r="Z27" s="6" t="inlineStr"/>
      <c r="AA27" s="5" t="inlineStr"/>
      <c r="AB27" s="5" t="inlineStr"/>
      <c r="AC27" s="5" t="inlineStr"/>
      <c r="AD27" s="5" t="inlineStr"/>
      <c r="AE27" s="5" t="inlineStr"/>
      <c r="AF27" s="5" t="inlineStr"/>
      <c r="AG27" s="5" t="inlineStr"/>
      <c r="AH27" s="5" t="inlineStr"/>
    </row>
    <row r="28">
      <c r="A28" s="5" t="inlineStr">
        <is>
          <t>dogum-gunu-pastasi</t>
        </is>
      </c>
      <c r="B28" s="5" t="n">
        <v>3</v>
      </c>
      <c r="C28" s="6" t="inlineStr">
        <is>
          <t>Mumları önce üfle</t>
        </is>
      </c>
      <c r="D28" s="5" t="inlineStr">
        <is>
          <t>Pişkinlik</t>
        </is>
      </c>
      <c r="E28" s="5" t="inlineStr">
        <is>
          <t>Orta</t>
        </is>
      </c>
      <c r="F28" s="5" t="inlineStr"/>
      <c r="G28" s="6" t="inlineStr"/>
      <c r="H28" s="6" t="inlineStr">
        <is>
          <t>Doğum günü sahibinin kim olduğu geçici olarak belirsizleşti.</t>
        </is>
      </c>
      <c r="I28" s="6" t="inlineStr">
        <is>
          <t>Mumları söndürdün, dilek tuttun, alkışları topladın. Hediyeler de yön değiştirmek üzere.</t>
        </is>
      </c>
      <c r="J28" s="6" t="inlineStr">
        <is>
          <t>Üfledin ama mumlar senden daha kararlıydı.</t>
        </is>
      </c>
      <c r="K28" s="6" t="inlineStr">
        <is>
          <t>Üfledin; mum yerine pastanın süsü uçtu. Doğum günü çocuğu ağlamaya başladı.</t>
        </is>
      </c>
      <c r="L28" s="6" t="inlineStr"/>
      <c r="M28" s="5" t="inlineStr"/>
      <c r="N28" s="5" t="inlineStr"/>
      <c r="O28" s="6" t="inlineStr"/>
      <c r="P28" s="6" t="inlineStr"/>
      <c r="Q28" s="5" t="inlineStr"/>
      <c r="R28" s="5" t="inlineStr"/>
      <c r="S28" s="5" t="inlineStr"/>
      <c r="T28" s="5" t="inlineStr">
        <is>
          <t>Sahne Sever</t>
        </is>
      </c>
      <c r="U28" s="5" t="inlineStr"/>
      <c r="V28" s="5" t="inlineStr"/>
      <c r="W28" s="5" t="inlineStr"/>
      <c r="X28" s="5" t="inlineStr"/>
      <c r="Y28" s="5" t="inlineStr"/>
      <c r="Z28" s="6" t="inlineStr"/>
      <c r="AA28" s="5" t="inlineStr"/>
      <c r="AB28" s="5" t="inlineStr"/>
      <c r="AC28" s="5" t="inlineStr"/>
      <c r="AD28" s="5" t="inlineStr"/>
      <c r="AE28" s="5" t="inlineStr"/>
      <c r="AF28" s="5" t="inlineStr"/>
      <c r="AG28" s="5" t="inlineStr"/>
      <c r="AH28" s="5" t="inlineStr"/>
    </row>
    <row r="29">
      <c r="A29" s="5" t="inlineStr">
        <is>
          <t>vazo-kirildi</t>
        </is>
      </c>
      <c r="B29" s="5" t="n">
        <v>1</v>
      </c>
      <c r="C29" s="6" t="inlineStr">
        <is>
          <t>Bekle</t>
        </is>
      </c>
      <c r="D29" s="5" t="inlineStr"/>
      <c r="E29" s="5" t="inlineStr"/>
      <c r="F29" s="5" t="inlineStr">
        <is>
          <t>İtibar +2</t>
        </is>
      </c>
      <c r="G29" s="6" t="inlineStr">
        <is>
          <t>Olay yeri incelemesine gönüllü oldun.</t>
        </is>
      </c>
      <c r="H29" s="6" t="inlineStr"/>
      <c r="I29" s="6" t="inlineStr"/>
      <c r="J29" s="6" t="inlineStr"/>
      <c r="K29" s="6" t="inlineStr"/>
      <c r="L29" s="6" t="inlineStr"/>
      <c r="M29" s="5" t="inlineStr"/>
      <c r="N29" s="5" t="inlineStr"/>
      <c r="O29" s="6" t="inlineStr"/>
      <c r="P29" s="6" t="inlineStr"/>
      <c r="Q29" s="5" t="inlineStr"/>
      <c r="R29" s="5" t="inlineStr"/>
      <c r="S29" s="5" t="inlineStr"/>
      <c r="T29" s="5" t="inlineStr"/>
      <c r="U29" s="5" t="inlineStr"/>
      <c r="V29" s="5" t="inlineStr"/>
      <c r="W29" s="5" t="inlineStr"/>
      <c r="X29" s="5" t="inlineStr"/>
      <c r="Y29" s="5" t="inlineStr"/>
      <c r="Z29" s="6" t="inlineStr"/>
      <c r="AA29" s="5" t="inlineStr"/>
      <c r="AB29" s="5" t="inlineStr"/>
      <c r="AC29" s="5" t="inlineStr"/>
      <c r="AD29" s="5" t="inlineStr"/>
      <c r="AE29" s="5" t="inlineStr"/>
      <c r="AF29" s="5" t="inlineStr"/>
      <c r="AG29" s="5" t="inlineStr"/>
      <c r="AH29" s="5" t="inlineStr"/>
    </row>
    <row r="30">
      <c r="A30" s="5" t="inlineStr">
        <is>
          <t>vazo-kirildi</t>
        </is>
      </c>
      <c r="B30" s="5" t="n">
        <v>2</v>
      </c>
      <c r="C30" s="6" t="inlineStr">
        <is>
          <t>Kaç</t>
        </is>
      </c>
      <c r="D30" s="5" t="inlineStr">
        <is>
          <t>Kurnazlık</t>
        </is>
      </c>
      <c r="E30" s="5" t="inlineStr">
        <is>
          <t>Orta</t>
        </is>
      </c>
      <c r="F30" s="5" t="inlineStr"/>
      <c r="G30" s="6" t="inlineStr"/>
      <c r="H30" s="6" t="inlineStr">
        <is>
          <t>Şüpheli olay yerinden uzaklaştı.</t>
        </is>
      </c>
      <c r="I30" s="6" t="inlineStr">
        <is>
          <t>Kaçtın ve üç dakika sonra 'Ne oldu?' diye içeri girdin. Ödüllük performans.</t>
        </is>
      </c>
      <c r="J30" s="6" t="inlineStr">
        <is>
          <t>Kaçarken terlikler ses yaptı. Şüpheli tespit edildi.</t>
        </is>
      </c>
      <c r="K30" s="6" t="inlineStr">
        <is>
          <t>Kaçarken ikinci vazoyu da devirdin. Dosya kabardı.</t>
        </is>
      </c>
      <c r="L30" s="6" t="inlineStr"/>
      <c r="M30" s="5" t="inlineStr"/>
      <c r="N30" s="5" t="inlineStr"/>
      <c r="O30" s="6" t="inlineStr"/>
      <c r="P30" s="6" t="inlineStr"/>
      <c r="Q30" s="5" t="inlineStr"/>
      <c r="R30" s="5" t="inlineStr"/>
      <c r="S30" s="5" t="inlineStr"/>
      <c r="T30" s="5" t="inlineStr"/>
      <c r="U30" s="5" t="inlineStr"/>
      <c r="V30" s="5" t="inlineStr"/>
      <c r="W30" s="5" t="inlineStr"/>
      <c r="X30" s="5" t="inlineStr"/>
      <c r="Y30" s="5" t="inlineStr"/>
      <c r="Z30" s="6" t="inlineStr"/>
      <c r="AA30" s="5" t="inlineStr"/>
      <c r="AB30" s="5" t="inlineStr"/>
      <c r="AC30" s="5" t="inlineStr"/>
      <c r="AD30" s="5" t="inlineStr"/>
      <c r="AE30" s="5" t="inlineStr"/>
      <c r="AF30" s="5" t="inlineStr"/>
      <c r="AG30" s="5" t="inlineStr"/>
      <c r="AH30" s="5" t="inlineStr"/>
    </row>
    <row r="31">
      <c r="A31" s="5" t="inlineStr">
        <is>
          <t>vazo-kirildi</t>
        </is>
      </c>
      <c r="B31" s="5" t="n">
        <v>3</v>
      </c>
      <c r="C31" s="6" t="inlineStr">
        <is>
          <t>Kediyi suçla</t>
        </is>
      </c>
      <c r="D31" s="5" t="inlineStr">
        <is>
          <t>Pişkinlik</t>
        </is>
      </c>
      <c r="E31" s="5" t="inlineStr">
        <is>
          <t>Çok Zor</t>
        </is>
      </c>
      <c r="F31" s="5" t="inlineStr"/>
      <c r="G31" s="6" t="inlineStr"/>
      <c r="H31" s="6" t="inlineStr">
        <is>
          <t>Savunma yaratıcıydı. Kedinin odada olmaması küçük bir ayrıntıydı.</t>
        </is>
      </c>
      <c r="I31" s="6" t="inlineStr">
        <is>
          <t>Kedi mahkûm edildi. Mama tayınları kısıldı. Sen o gece iki tatlı yedin.</t>
        </is>
      </c>
      <c r="J31" s="6" t="inlineStr">
        <is>
          <t>Kediye baktın. Kedi sana baktı. Ailen ikinize de baktı. Kimse ikna olmadı.</t>
        </is>
      </c>
      <c r="K31" s="6" t="inlineStr">
        <is>
          <t>Kediyi suçladın. Kedi o sırada annenin kucağındaydı.</t>
        </is>
      </c>
      <c r="L31" s="6" t="inlineStr"/>
      <c r="M31" s="5" t="inlineStr"/>
      <c r="N31" s="5" t="inlineStr"/>
      <c r="O31" s="6" t="inlineStr"/>
      <c r="P31" s="6" t="inlineStr"/>
      <c r="Q31" s="5" t="inlineStr"/>
      <c r="R31" s="5" t="inlineStr"/>
      <c r="S31" s="5" t="inlineStr"/>
      <c r="T31" s="5" t="inlineStr"/>
      <c r="U31" s="5" t="inlineStr">
        <is>
          <t>kediSuclu</t>
        </is>
      </c>
      <c r="V31" s="5" t="inlineStr"/>
      <c r="W31" s="5" t="inlineStr"/>
      <c r="X31" s="5" t="inlineStr"/>
      <c r="Y31" s="5" t="inlineStr"/>
      <c r="Z31" s="6" t="inlineStr"/>
      <c r="AA31" s="5" t="inlineStr"/>
      <c r="AB31" s="5" t="inlineStr"/>
      <c r="AC31" s="5" t="inlineStr"/>
      <c r="AD31" s="5" t="inlineStr"/>
      <c r="AE31" s="5" t="inlineStr"/>
      <c r="AF31" s="5" t="inlineStr"/>
      <c r="AG31" s="5" t="inlineStr"/>
      <c r="AH31" s="5" t="inlineStr"/>
    </row>
    <row r="32">
      <c r="A32" s="5" t="inlineStr">
        <is>
          <t>vazo-kirildi</t>
        </is>
      </c>
      <c r="B32" s="5" t="n">
        <v>4</v>
      </c>
      <c r="C32" s="6" t="inlineStr">
        <is>
          <t>Ayak seslerini say, tam zamanında ağla</t>
        </is>
      </c>
      <c r="D32" s="5" t="inlineStr">
        <is>
          <t>Çene</t>
        </is>
      </c>
      <c r="E32" s="5" t="inlineStr">
        <is>
          <t>Kolay</t>
        </is>
      </c>
      <c r="F32" s="5" t="inlineStr"/>
      <c r="G32" s="6" t="inlineStr"/>
      <c r="H32" s="6" t="inlineStr">
        <is>
          <t>Ağladın. Anne seni teselli etti. Vazo gündemin ikinci maddesine düştü.</t>
        </is>
      </c>
      <c r="I32" s="6" t="inlineStr">
        <is>
          <t>Ağladın; anne vazoyu değil seni sordu. Vazo resmî kayıtlara 'kaza' olarak geçti.</t>
        </is>
      </c>
      <c r="J32" s="6" t="inlineStr">
        <is>
          <t>Ağladın; anne önce vazoya baktı. Sonra sana. Sonra yine vazoya.</t>
        </is>
      </c>
      <c r="K32" s="6" t="inlineStr">
        <is>
          <t>Ağladın ama kediyle aynı anda. Anne ikinizi de şüpheli ilan etti.</t>
        </is>
      </c>
      <c r="L32" s="6" t="inlineStr"/>
      <c r="M32" s="5" t="inlineStr"/>
      <c r="N32" s="5" t="inlineStr"/>
      <c r="O32" s="6" t="inlineStr"/>
      <c r="P32" s="6" t="inlineStr"/>
      <c r="Q32" s="5" t="inlineStr"/>
      <c r="R32" s="5" t="inlineStr"/>
      <c r="S32" s="5" t="inlineStr">
        <is>
          <t>Sosyal Radar</t>
        </is>
      </c>
      <c r="T32" s="5" t="inlineStr"/>
      <c r="U32" s="5" t="inlineStr"/>
      <c r="V32" s="5" t="inlineStr"/>
      <c r="W32" s="5" t="inlineStr"/>
      <c r="X32" s="5" t="inlineStr"/>
      <c r="Y32" s="5" t="inlineStr"/>
      <c r="Z32" s="6" t="inlineStr"/>
      <c r="AA32" s="5" t="inlineStr"/>
      <c r="AB32" s="5" t="inlineStr"/>
      <c r="AC32" s="5" t="inlineStr"/>
      <c r="AD32" s="5" t="inlineStr"/>
      <c r="AE32" s="5" t="inlineStr"/>
      <c r="AF32" s="5" t="inlineStr"/>
      <c r="AG32" s="5" t="inlineStr"/>
      <c r="AH32" s="5" t="inlineStr"/>
    </row>
    <row r="33">
      <c r="A33" s="5" t="inlineStr">
        <is>
          <t>vazo-kirildi</t>
        </is>
      </c>
      <c r="B33" s="5" t="n">
        <v>5</v>
      </c>
      <c r="C33" s="6" t="inlineStr">
        <is>
          <t>Parçaları sakla</t>
        </is>
      </c>
      <c r="D33" s="5" t="inlineStr">
        <is>
          <t>Kurnazlık</t>
        </is>
      </c>
      <c r="E33" s="5" t="inlineStr">
        <is>
          <t>Orta</t>
        </is>
      </c>
      <c r="F33" s="5" t="inlineStr"/>
      <c r="G33" s="6" t="inlineStr"/>
      <c r="H33" s="6" t="inlineStr">
        <is>
          <t>Deliller toparlandı. Delil yönetimi departmanı kuruldu.</t>
        </is>
      </c>
      <c r="I33" s="6" t="inlineStr">
        <is>
          <t>Parçalar göz açıp kapayıncaya kadar kayboldu. Vazo hiç var olmamış gibi.</t>
        </is>
      </c>
      <c r="J33" s="6" t="inlineStr">
        <is>
          <t>Parçalar senden hızlı yayıldı.</t>
        </is>
      </c>
      <c r="K33" s="6" t="inlineStr">
        <is>
          <t>Parçaları toplarken daha fazla ses çıkardın. Ev halkı toplandı.</t>
        </is>
      </c>
      <c r="L33" s="6" t="inlineStr">
        <is>
          <t>Çoğunu sakladın ama bir parça hâlâ şüpheli biçimde ortada.</t>
        </is>
      </c>
      <c r="M33" s="5" t="inlineStr">
        <is>
          <t>collect</t>
        </is>
      </c>
      <c r="N33" s="5" t="inlineStr">
        <is>
          <t>Delilleri Topla</t>
        </is>
      </c>
      <c r="O33" s="6" t="inlineStr">
        <is>
          <t>Parçalar fark edilmeden önce hepsine dokun.</t>
        </is>
      </c>
      <c r="P33" s="6" t="inlineStr">
        <is>
          <t>{"piece": "🧩"}</t>
        </is>
      </c>
      <c r="Q33" s="5" t="inlineStr"/>
      <c r="R33" s="5" t="inlineStr"/>
      <c r="S33" s="5" t="inlineStr"/>
      <c r="T33" s="5" t="inlineStr"/>
      <c r="U33" s="5" t="inlineStr"/>
      <c r="V33" s="5" t="inlineStr"/>
      <c r="W33" s="5" t="inlineStr"/>
      <c r="X33" s="5" t="inlineStr"/>
      <c r="Y33" s="5" t="inlineStr"/>
      <c r="Z33" s="6" t="inlineStr"/>
      <c r="AA33" s="5" t="inlineStr"/>
      <c r="AB33" s="5" t="inlineStr"/>
      <c r="AC33" s="5" t="inlineStr"/>
      <c r="AD33" s="5" t="inlineStr"/>
      <c r="AE33" s="5" t="inlineStr"/>
      <c r="AF33" s="5" t="inlineStr"/>
      <c r="AG33" s="5" t="inlineStr"/>
      <c r="AH33" s="5" t="inlineStr"/>
    </row>
    <row r="34">
      <c r="A34" s="5" t="inlineStr">
        <is>
          <t>ilk-harclik</t>
        </is>
      </c>
      <c r="B34" s="5" t="n">
        <v>1</v>
      </c>
      <c r="C34" s="6" t="inlineStr">
        <is>
          <t>Annene ver</t>
        </is>
      </c>
      <c r="D34" s="5" t="inlineStr"/>
      <c r="E34" s="5" t="inlineStr"/>
      <c r="F34" s="5" t="inlineStr">
        <is>
          <t>İtibar +2</t>
        </is>
      </c>
      <c r="G34" s="6" t="inlineStr">
        <is>
          <t>Varlık yönetimini dışarıya devrettin.</t>
        </is>
      </c>
      <c r="H34" s="6" t="inlineStr"/>
      <c r="I34" s="6" t="inlineStr"/>
      <c r="J34" s="6" t="inlineStr"/>
      <c r="K34" s="6" t="inlineStr"/>
      <c r="L34" s="6" t="inlineStr"/>
      <c r="M34" s="5" t="inlineStr"/>
      <c r="N34" s="5" t="inlineStr"/>
      <c r="O34" s="6" t="inlineStr"/>
      <c r="P34" s="6" t="inlineStr"/>
      <c r="Q34" s="5" t="inlineStr"/>
      <c r="R34" s="5" t="inlineStr"/>
      <c r="S34" s="5" t="inlineStr"/>
      <c r="T34" s="5" t="inlineStr"/>
      <c r="U34" s="5" t="inlineStr"/>
      <c r="V34" s="5" t="inlineStr"/>
      <c r="W34" s="5" t="inlineStr"/>
      <c r="X34" s="5" t="inlineStr"/>
      <c r="Y34" s="5" t="inlineStr"/>
      <c r="Z34" s="6" t="inlineStr"/>
      <c r="AA34" s="5" t="inlineStr"/>
      <c r="AB34" s="5" t="inlineStr"/>
      <c r="AC34" s="5" t="inlineStr"/>
      <c r="AD34" s="5" t="inlineStr"/>
      <c r="AE34" s="5" t="inlineStr"/>
      <c r="AF34" s="5" t="inlineStr"/>
      <c r="AG34" s="5" t="inlineStr"/>
      <c r="AH34" s="5" t="inlineStr"/>
    </row>
    <row r="35">
      <c r="A35" s="5" t="inlineStr">
        <is>
          <t>ilk-harclik</t>
        </is>
      </c>
      <c r="B35" s="5" t="n">
        <v>2</v>
      </c>
      <c r="C35" s="6" t="inlineStr">
        <is>
          <t>Oyuncak iste</t>
        </is>
      </c>
      <c r="D35" s="5" t="inlineStr"/>
      <c r="E35" s="5" t="inlineStr"/>
      <c r="F35" s="5" t="inlineStr">
        <is>
          <t>Çene +1</t>
        </is>
      </c>
      <c r="G35" s="6" t="inlineStr">
        <is>
          <t>Likidite anında tüketime döndü.</t>
        </is>
      </c>
      <c r="H35" s="6" t="inlineStr"/>
      <c r="I35" s="6" t="inlineStr"/>
      <c r="J35" s="6" t="inlineStr"/>
      <c r="K35" s="6" t="inlineStr"/>
      <c r="L35" s="6" t="inlineStr"/>
      <c r="M35" s="5" t="inlineStr"/>
      <c r="N35" s="5" t="inlineStr"/>
      <c r="O35" s="6" t="inlineStr"/>
      <c r="P35" s="6" t="inlineStr"/>
      <c r="Q35" s="5" t="inlineStr"/>
      <c r="R35" s="5" t="inlineStr"/>
      <c r="S35" s="5" t="inlineStr"/>
      <c r="T35" s="5" t="inlineStr"/>
      <c r="U35" s="5" t="inlineStr"/>
      <c r="V35" s="5" t="inlineStr"/>
      <c r="W35" s="5" t="inlineStr"/>
      <c r="X35" s="5" t="inlineStr"/>
      <c r="Y35" s="5" t="inlineStr"/>
      <c r="Z35" s="6" t="inlineStr"/>
      <c r="AA35" s="5" t="inlineStr"/>
      <c r="AB35" s="5" t="inlineStr"/>
      <c r="AC35" s="5" t="inlineStr"/>
      <c r="AD35" s="5" t="inlineStr"/>
      <c r="AE35" s="5" t="inlineStr"/>
      <c r="AF35" s="5" t="inlineStr"/>
      <c r="AG35" s="5" t="inlineStr"/>
      <c r="AH35" s="5" t="inlineStr"/>
    </row>
    <row r="36">
      <c r="A36" s="5" t="inlineStr">
        <is>
          <t>ilk-harclik</t>
        </is>
      </c>
      <c r="B36" s="5" t="n">
        <v>3</v>
      </c>
      <c r="C36" s="6" t="inlineStr">
        <is>
          <t>Parayı sakla</t>
        </is>
      </c>
      <c r="D36" s="5" t="inlineStr">
        <is>
          <t>Kurnazlık</t>
        </is>
      </c>
      <c r="E36" s="5" t="inlineStr">
        <is>
          <t>Zor</t>
        </is>
      </c>
      <c r="F36" s="5" t="inlineStr"/>
      <c r="G36" s="6" t="inlineStr"/>
      <c r="H36" s="6" t="inlineStr">
        <is>
          <t>Makarya Merkez Bankası seni henüz izlemiyor.</t>
        </is>
      </c>
      <c r="I36" s="6" t="inlineStr">
        <is>
          <t>Parayı sakladın, bir hafta sonra unuttuğun bir sürpriz olarak buldun. Faiz kavramına ilk adım.</t>
        </is>
      </c>
      <c r="J36" s="6" t="inlineStr">
        <is>
          <t>Sakladığın yeri unuttun. Para artık evin ortak mirası.</t>
        </is>
      </c>
      <c r="K36" s="6" t="inlineStr">
        <is>
          <t>Parayı ağzına sakladın. Acil müdahale ekibi ve babaanne devreye girdi.</t>
        </is>
      </c>
      <c r="L36" s="6" t="inlineStr"/>
      <c r="M36" s="5" t="inlineStr"/>
      <c r="N36" s="5" t="inlineStr"/>
      <c r="O36" s="6" t="inlineStr"/>
      <c r="P36" s="6" t="inlineStr"/>
      <c r="Q36" s="5" t="inlineStr"/>
      <c r="R36" s="5" t="inlineStr"/>
      <c r="S36" s="5" t="inlineStr"/>
      <c r="T36" s="5" t="inlineStr">
        <is>
          <t>Yastık Altı Ekonomisti</t>
        </is>
      </c>
      <c r="U36" s="5" t="inlineStr"/>
      <c r="V36" s="5" t="inlineStr"/>
      <c r="W36" s="5" t="inlineStr"/>
      <c r="X36" s="5" t="inlineStr"/>
      <c r="Y36" s="5" t="inlineStr"/>
      <c r="Z36" s="6" t="inlineStr"/>
      <c r="AA36" s="5" t="inlineStr"/>
      <c r="AB36" s="5" t="inlineStr"/>
      <c r="AC36" s="5" t="inlineStr"/>
      <c r="AD36" s="5" t="inlineStr"/>
      <c r="AE36" s="5" t="inlineStr"/>
      <c r="AF36" s="5" t="inlineStr"/>
      <c r="AG36" s="5" t="inlineStr"/>
      <c r="AH36" s="5" t="inlineStr"/>
    </row>
    <row r="37">
      <c r="A37" s="5" t="inlineStr">
        <is>
          <t>ilk-harclik</t>
        </is>
      </c>
      <c r="B37" s="5" t="n">
        <v>4</v>
      </c>
      <c r="C37" s="6" t="inlineStr">
        <is>
          <t>Bir çocukla takas yap</t>
        </is>
      </c>
      <c r="D37" s="5" t="inlineStr">
        <is>
          <t>Çene</t>
        </is>
      </c>
      <c r="E37" s="5" t="inlineStr">
        <is>
          <t>Zor</t>
        </is>
      </c>
      <c r="F37" s="5" t="inlineStr"/>
      <c r="G37" s="6" t="inlineStr"/>
      <c r="H37" s="6" t="inlineStr">
        <is>
          <t>İlk mikro ticaret operasyonun gerçekleşti.</t>
        </is>
      </c>
      <c r="I37" s="6" t="inlineStr">
        <is>
          <t>İki bozuk parayı bir oyuncak arabaya çevirdin, sonra arabayı üç bozuk paraya. Kârdasın.</t>
        </is>
      </c>
      <c r="J37" s="6" t="inlineStr">
        <is>
          <t>Karşı taraf teklifini değerlendirmeye aldı. Hiç dönmedi.</t>
        </is>
      </c>
      <c r="K37" s="6" t="inlineStr">
        <is>
          <t>Takas ettin. Eline yarım bir kraker geçti. Kötü anlaşmaydı.</t>
        </is>
      </c>
      <c r="L37" s="6" t="inlineStr"/>
      <c r="M37" s="5" t="inlineStr"/>
      <c r="N37" s="5" t="inlineStr"/>
      <c r="O37" s="6" t="inlineStr"/>
      <c r="P37" s="6" t="inlineStr"/>
      <c r="Q37" s="5" t="inlineStr"/>
      <c r="R37" s="5" t="inlineStr"/>
      <c r="S37" s="5" t="inlineStr"/>
      <c r="T37" s="5" t="inlineStr">
        <is>
          <t>Küçük Tüccar</t>
        </is>
      </c>
      <c r="U37" s="5" t="inlineStr"/>
      <c r="V37" s="5" t="inlineStr"/>
      <c r="W37" s="5" t="inlineStr"/>
      <c r="X37" s="5" t="inlineStr"/>
      <c r="Y37" s="5" t="inlineStr"/>
      <c r="Z37" s="6" t="inlineStr"/>
      <c r="AA37" s="5" t="inlineStr"/>
      <c r="AB37" s="5" t="inlineStr"/>
      <c r="AC37" s="5" t="inlineStr"/>
      <c r="AD37" s="5" t="inlineStr"/>
      <c r="AE37" s="5" t="inlineStr"/>
      <c r="AF37" s="5" t="inlineStr"/>
      <c r="AG37" s="5" t="inlineStr"/>
      <c r="AH37" s="5" t="inlineStr"/>
    </row>
    <row r="38">
      <c r="A38" s="5" t="inlineStr">
        <is>
          <t>ilk-harclik</t>
        </is>
      </c>
      <c r="B38" s="5" t="n">
        <v>5</v>
      </c>
      <c r="C38" s="6" t="inlineStr">
        <is>
          <t>Faiz sor</t>
        </is>
      </c>
      <c r="D38" s="5" t="inlineStr">
        <is>
          <t>Kurnazlık</t>
        </is>
      </c>
      <c r="E38" s="5" t="inlineStr">
        <is>
          <t>Kolay</t>
        </is>
      </c>
      <c r="F38" s="5" t="inlineStr"/>
      <c r="G38" s="6" t="inlineStr"/>
      <c r="H38" s="6" t="inlineStr">
        <is>
          <t>“Bunu bir hafta tutarsam kaç olur?” diye sordun. Deden cebinden bir bozukluk daha çıkardı; faiz kavramı ailede ilk kez konuşuldu.</t>
        </is>
      </c>
      <c r="I38" s="6" t="inlineStr">
        <is>
          <t>Dedene, bir hafta sonra geri ödemesi şartıyla iki bozukluk borç verdin. Ödedi. Faiziyle.</t>
        </is>
      </c>
      <c r="J38" s="6" t="inlineStr">
        <is>
          <t>Faiz sordun. Kimse ne dediğini anlamadı, eline bir bisküvi tutuşturdular.</t>
        </is>
      </c>
      <c r="K38" s="6" t="inlineStr">
        <is>
          <t>Faiz istedin. Babaannen “Bu çocuk tefeci olacak” dedi ve paranın hepsine el koydu.</t>
        </is>
      </c>
      <c r="L38" s="6" t="inlineStr"/>
      <c r="M38" s="5" t="inlineStr"/>
      <c r="N38" s="5" t="inlineStr"/>
      <c r="O38" s="6" t="inlineStr"/>
      <c r="P38" s="6" t="inlineStr"/>
      <c r="Q38" s="5" t="inlineStr"/>
      <c r="R38" s="5" t="inlineStr">
        <is>
          <t>ilkKelimePara</t>
        </is>
      </c>
      <c r="S38" s="5" t="inlineStr"/>
      <c r="T38" s="5" t="inlineStr"/>
      <c r="U38" s="5" t="inlineStr"/>
      <c r="V38" s="5" t="inlineStr"/>
      <c r="W38" s="5" t="inlineStr"/>
      <c r="X38" s="5" t="inlineStr"/>
      <c r="Y38" s="5" t="inlineStr"/>
      <c r="Z38" s="6" t="inlineStr"/>
      <c r="AA38" s="5" t="inlineStr"/>
      <c r="AB38" s="5" t="inlineStr"/>
      <c r="AC38" s="5" t="inlineStr"/>
      <c r="AD38" s="5" t="inlineStr"/>
      <c r="AE38" s="5" t="inlineStr"/>
      <c r="AF38" s="5" t="inlineStr"/>
      <c r="AG38" s="5" t="inlineStr"/>
      <c r="AH38" s="5" t="inlineStr"/>
    </row>
    <row r="39">
      <c r="A39" s="5" t="inlineStr">
        <is>
          <t>oyuncak-krizi</t>
        </is>
      </c>
      <c r="B39" s="5" t="n">
        <v>1</v>
      </c>
      <c r="C39" s="6" t="inlineStr">
        <is>
          <t>Paylaş</t>
        </is>
      </c>
      <c r="D39" s="5" t="inlineStr"/>
      <c r="E39" s="5" t="inlineStr"/>
      <c r="F39" s="5" t="inlineStr">
        <is>
          <t>İtibar +2</t>
        </is>
      </c>
      <c r="G39" s="6" t="inlineStr">
        <is>
          <t>Paylaştın. Gerginlik bitti, oyuncak da bitti — artık ikisi de ortak.</t>
        </is>
      </c>
      <c r="H39" s="6" t="inlineStr"/>
      <c r="I39" s="6" t="inlineStr"/>
      <c r="J39" s="6" t="inlineStr"/>
      <c r="K39" s="6" t="inlineStr"/>
      <c r="L39" s="6" t="inlineStr"/>
      <c r="M39" s="5" t="inlineStr"/>
      <c r="N39" s="5" t="inlineStr"/>
      <c r="O39" s="6" t="inlineStr"/>
      <c r="P39" s="6" t="inlineStr"/>
      <c r="Q39" s="5" t="inlineStr"/>
      <c r="R39" s="5" t="inlineStr"/>
      <c r="S39" s="5" t="inlineStr"/>
      <c r="T39" s="5" t="inlineStr"/>
      <c r="U39" s="5" t="inlineStr"/>
      <c r="V39" s="5" t="inlineStr"/>
      <c r="W39" s="5" t="inlineStr"/>
      <c r="X39" s="5" t="inlineStr"/>
      <c r="Y39" s="5" t="inlineStr"/>
      <c r="Z39" s="6" t="inlineStr"/>
      <c r="AA39" s="5" t="inlineStr"/>
      <c r="AB39" s="5" t="inlineStr"/>
      <c r="AC39" s="5" t="inlineStr"/>
      <c r="AD39" s="5" t="inlineStr"/>
      <c r="AE39" s="5" t="inlineStr"/>
      <c r="AF39" s="5" t="inlineStr"/>
      <c r="AG39" s="5" t="inlineStr"/>
      <c r="AH39" s="5" t="inlineStr"/>
    </row>
    <row r="40">
      <c r="A40" s="5" t="inlineStr">
        <is>
          <t>oyuncak-krizi</t>
        </is>
      </c>
      <c r="B40" s="5" t="n">
        <v>2</v>
      </c>
      <c r="C40" s="6" t="inlineStr">
        <is>
          <t>Başka oyuncak teklif et</t>
        </is>
      </c>
      <c r="D40" s="5" t="inlineStr">
        <is>
          <t>Çene</t>
        </is>
      </c>
      <c r="E40" s="5" t="inlineStr">
        <is>
          <t>Kolay</t>
        </is>
      </c>
      <c r="F40" s="5" t="inlineStr"/>
      <c r="G40" s="6" t="inlineStr"/>
      <c r="H40" s="6" t="inlineStr">
        <is>
          <t>Takas diplomasisi işe yaradı; iki taraf da kazandığını sandı.</t>
        </is>
      </c>
      <c r="I40" s="6" t="inlineStr">
        <is>
          <t>Eski oyuncağını teklif ettin, yenisini geri aldın, karşı taraf sana teşekkür bile etti. Tarihe 'başarılı takas' olarak geçti.</t>
        </is>
      </c>
      <c r="J40" s="6" t="inlineStr">
        <is>
          <t>Teklifin reddedildi. Müzakere masası — yani kum havuzu — devrildi.</t>
        </is>
      </c>
      <c r="K40" s="6" t="inlineStr">
        <is>
          <t>Teklif ettiğin oyuncağı da aldı. Şimdi resmen iki oyuncak açığın var.</t>
        </is>
      </c>
      <c r="L40" s="6" t="inlineStr"/>
      <c r="M40" s="5" t="inlineStr"/>
      <c r="N40" s="5" t="inlineStr"/>
      <c r="O40" s="6" t="inlineStr"/>
      <c r="P40" s="6" t="inlineStr"/>
      <c r="Q40" s="5" t="inlineStr"/>
      <c r="R40" s="5" t="inlineStr"/>
      <c r="S40" s="5" t="inlineStr"/>
      <c r="T40" s="5" t="inlineStr"/>
      <c r="U40" s="5" t="inlineStr"/>
      <c r="V40" s="5" t="inlineStr"/>
      <c r="W40" s="5" t="inlineStr"/>
      <c r="X40" s="5" t="inlineStr"/>
      <c r="Y40" s="5" t="inlineStr"/>
      <c r="Z40" s="6" t="inlineStr"/>
      <c r="AA40" s="5" t="inlineStr"/>
      <c r="AB40" s="5" t="inlineStr"/>
      <c r="AC40" s="5" t="inlineStr"/>
      <c r="AD40" s="5" t="inlineStr"/>
      <c r="AE40" s="5" t="inlineStr"/>
      <c r="AF40" s="5" t="inlineStr"/>
      <c r="AG40" s="5" t="inlineStr"/>
      <c r="AH40" s="5" t="inlineStr"/>
    </row>
    <row r="41">
      <c r="A41" s="5" t="inlineStr">
        <is>
          <t>oyuncak-krizi</t>
        </is>
      </c>
      <c r="B41" s="5" t="n">
        <v>3</v>
      </c>
      <c r="C41" s="6" t="inlineStr">
        <is>
          <t>Elinden al</t>
        </is>
      </c>
      <c r="D41" s="5" t="inlineStr">
        <is>
          <t>Cesaret</t>
        </is>
      </c>
      <c r="E41" s="5" t="inlineStr">
        <is>
          <t>Orta</t>
        </is>
      </c>
      <c r="F41" s="5" t="inlineStr"/>
      <c r="G41" s="6" t="inlineStr"/>
      <c r="H41" s="6" t="inlineStr">
        <is>
          <t>Müzakere fiziksel aşamaya geçti; oyuncak nihayet sende.</t>
        </is>
      </c>
      <c r="I41" s="6" t="inlineStr">
        <is>
          <t>Tek hamlede aldın. Karşı taraf itiraz edecek kelimeyi daha bulamadan sen çoktan oynamaya başlamıştın.</t>
        </is>
      </c>
      <c r="J41" s="6" t="inlineStr">
        <is>
          <t>Çektin, o da çekti. Oyuncak artık ikiye bölünme tehdidiyle yaşıyor.</t>
        </is>
      </c>
      <c r="K41" s="6" t="inlineStr">
        <is>
          <t>Çektin, o bıraktı, sen düz popo üstü oturdun. Kum havuzu tarihine geçtin, ama yanlış sebepten.</t>
        </is>
      </c>
      <c r="L41" s="6" t="inlineStr"/>
      <c r="M41" s="5" t="inlineStr"/>
      <c r="N41" s="5" t="inlineStr"/>
      <c r="O41" s="6" t="inlineStr"/>
      <c r="P41" s="6" t="inlineStr"/>
      <c r="Q41" s="5" t="inlineStr"/>
      <c r="R41" s="5" t="inlineStr"/>
      <c r="S41" s="5" t="inlineStr"/>
      <c r="T41" s="5" t="inlineStr"/>
      <c r="U41" s="5" t="inlineStr"/>
      <c r="V41" s="5" t="inlineStr"/>
      <c r="W41" s="5" t="inlineStr"/>
      <c r="X41" s="5" t="inlineStr"/>
      <c r="Y41" s="5" t="inlineStr"/>
      <c r="Z41" s="6" t="inlineStr"/>
      <c r="AA41" s="5" t="inlineStr"/>
      <c r="AB41" s="5" t="inlineStr"/>
      <c r="AC41" s="5" t="inlineStr"/>
      <c r="AD41" s="5" t="inlineStr"/>
      <c r="AE41" s="5" t="inlineStr"/>
      <c r="AF41" s="5" t="inlineStr"/>
      <c r="AG41" s="5" t="inlineStr"/>
      <c r="AH41" s="5" t="inlineStr"/>
    </row>
    <row r="42">
      <c r="A42" s="5" t="inlineStr">
        <is>
          <t>oyuncak-krizi</t>
        </is>
      </c>
      <c r="B42" s="5" t="n">
        <v>4</v>
      </c>
      <c r="C42" s="6" t="inlineStr">
        <is>
          <t>Sıkılmasını bekle</t>
        </is>
      </c>
      <c r="D42" s="5" t="inlineStr">
        <is>
          <t>Dayanıklılık</t>
        </is>
      </c>
      <c r="E42" s="5" t="inlineStr">
        <is>
          <t>Kolay</t>
        </is>
      </c>
      <c r="F42" s="5" t="inlineStr"/>
      <c r="G42" s="6" t="inlineStr"/>
      <c r="H42" s="6" t="inlineStr">
        <is>
          <t>Zaman senden yana çalıştı; sabır, düşük bütçeli bir strateji.</t>
        </is>
      </c>
      <c r="I42" s="6" t="inlineStr">
        <is>
          <t>O sıkıldı, oyuncağı bıraktı, üstüne bir tane daha verdi — belli ki suçluluk duydu.</t>
        </is>
      </c>
      <c r="J42" s="6" t="inlineStr">
        <is>
          <t>O sıkılmadı. Sıkılan sendin, üstelik daha erken.</t>
        </is>
      </c>
      <c r="K42" s="6" t="inlineStr">
        <is>
          <t>Bekledin; bu arada oyuncak onun evine gitti. Sabrın yanlış adrese teslim edildi.</t>
        </is>
      </c>
      <c r="L42" s="6" t="inlineStr"/>
      <c r="M42" s="5" t="inlineStr"/>
      <c r="N42" s="5" t="inlineStr"/>
      <c r="O42" s="6" t="inlineStr"/>
      <c r="P42" s="6" t="inlineStr"/>
      <c r="Q42" s="5" t="inlineStr"/>
      <c r="R42" s="5" t="inlineStr"/>
      <c r="S42" s="5" t="inlineStr"/>
      <c r="T42" s="5" t="inlineStr"/>
      <c r="U42" s="5" t="inlineStr"/>
      <c r="V42" s="5" t="inlineStr"/>
      <c r="W42" s="5" t="inlineStr"/>
      <c r="X42" s="5" t="inlineStr"/>
      <c r="Y42" s="5" t="inlineStr"/>
      <c r="Z42" s="6" t="inlineStr"/>
      <c r="AA42" s="5" t="inlineStr"/>
      <c r="AB42" s="5" t="inlineStr"/>
      <c r="AC42" s="5" t="inlineStr"/>
      <c r="AD42" s="5" t="inlineStr"/>
      <c r="AE42" s="5" t="inlineStr"/>
      <c r="AF42" s="5" t="inlineStr"/>
      <c r="AG42" s="5" t="inlineStr"/>
      <c r="AH42" s="5" t="inlineStr"/>
    </row>
    <row r="43">
      <c r="A43" s="5" t="inlineStr">
        <is>
          <t>aile-toplantisi</t>
        </is>
      </c>
      <c r="B43" s="5" t="n">
        <v>1</v>
      </c>
      <c r="C43" s="6" t="inlineStr">
        <is>
          <t>Dinle</t>
        </is>
      </c>
      <c r="D43" s="5" t="inlineStr">
        <is>
          <t>Sosyal Radar</t>
        </is>
      </c>
      <c r="E43" s="5" t="inlineStr">
        <is>
          <t>Kolay</t>
        </is>
      </c>
      <c r="F43" s="5" t="inlineStr"/>
      <c r="G43" s="6" t="inlineStr"/>
      <c r="H43" s="6" t="inlineStr">
        <is>
          <t>Yetişkinlerin söylediklerinden çok söylemediklerini duydun.</t>
        </is>
      </c>
      <c r="I43" s="6" t="inlineStr">
        <is>
          <t>Toplantının gerçek gündemini senden başka kimse anlamadı: yaz tatili iptal değil, ertelenmiş.</t>
        </is>
      </c>
      <c r="J43" s="6" t="inlineStr">
        <is>
          <t>Dinledin ama kelimeler çok uzundu.</t>
        </is>
      </c>
      <c r="K43" s="6" t="inlineStr">
        <is>
          <t>Dinlerken duyduğun bir kelimeyi misafirlerin önünde tekrar ettin.</t>
        </is>
      </c>
      <c r="L43" s="6" t="inlineStr"/>
      <c r="M43" s="5" t="inlineStr"/>
      <c r="N43" s="5" t="inlineStr"/>
      <c r="O43" s="6" t="inlineStr"/>
      <c r="P43" s="6" t="inlineStr"/>
      <c r="Q43" s="5" t="inlineStr"/>
      <c r="R43" s="5" t="inlineStr"/>
      <c r="S43" s="5" t="inlineStr"/>
      <c r="T43" s="5" t="inlineStr"/>
      <c r="U43" s="5" t="inlineStr"/>
      <c r="V43" s="5" t="inlineStr"/>
      <c r="W43" s="5" t="inlineStr"/>
      <c r="X43" s="5" t="inlineStr"/>
      <c r="Y43" s="5" t="inlineStr"/>
      <c r="Z43" s="6" t="inlineStr"/>
      <c r="AA43" s="5" t="inlineStr"/>
      <c r="AB43" s="5" t="inlineStr"/>
      <c r="AC43" s="5" t="inlineStr"/>
      <c r="AD43" s="5" t="inlineStr"/>
      <c r="AE43" s="5" t="inlineStr"/>
      <c r="AF43" s="5" t="inlineStr"/>
      <c r="AG43" s="5" t="inlineStr"/>
      <c r="AH43" s="5" t="inlineStr"/>
    </row>
    <row r="44">
      <c r="A44" s="5" t="inlineStr">
        <is>
          <t>aile-toplantisi</t>
        </is>
      </c>
      <c r="B44" s="5" t="n">
        <v>2</v>
      </c>
      <c r="C44" s="6" t="inlineStr">
        <is>
          <t>İlgi çek</t>
        </is>
      </c>
      <c r="D44" s="5" t="inlineStr">
        <is>
          <t>Pişkinlik</t>
        </is>
      </c>
      <c r="E44" s="5" t="inlineStr">
        <is>
          <t>Orta</t>
        </is>
      </c>
      <c r="F44" s="5" t="inlineStr"/>
      <c r="G44" s="6" t="inlineStr"/>
      <c r="H44" s="6" t="inlineStr">
        <is>
          <t>Gündem başarıyla değiştirildi.</t>
        </is>
      </c>
      <c r="I44" s="6" t="inlineStr">
        <is>
          <t>Tüm toplantı senin şovuna dönüştü. Gündem maddeleri bir sonraki yıla ertelendi.</t>
        </is>
      </c>
      <c r="J44" s="6" t="inlineStr">
        <is>
          <t>Dans ettin, kimse bakmadı. Bütçe konuşuluyordu.</t>
        </is>
      </c>
      <c r="K44" s="6" t="inlineStr">
        <is>
          <t>İlgi çekmek için çaydanlığa uzandın. Toplantı acil durum toplantısına dönüştü.</t>
        </is>
      </c>
      <c r="L44" s="6" t="inlineStr"/>
      <c r="M44" s="5" t="inlineStr"/>
      <c r="N44" s="5" t="inlineStr"/>
      <c r="O44" s="6" t="inlineStr"/>
      <c r="P44" s="6" t="inlineStr"/>
      <c r="Q44" s="5" t="inlineStr"/>
      <c r="R44" s="5" t="inlineStr"/>
      <c r="S44" s="5" t="inlineStr"/>
      <c r="T44" s="5" t="inlineStr"/>
      <c r="U44" s="5" t="inlineStr"/>
      <c r="V44" s="5" t="inlineStr"/>
      <c r="W44" s="5" t="inlineStr"/>
      <c r="X44" s="5" t="inlineStr"/>
      <c r="Y44" s="5" t="inlineStr"/>
      <c r="Z44" s="6" t="inlineStr"/>
      <c r="AA44" s="5" t="inlineStr"/>
      <c r="AB44" s="5" t="inlineStr"/>
      <c r="AC44" s="5" t="inlineStr"/>
      <c r="AD44" s="5" t="inlineStr"/>
      <c r="AE44" s="5" t="inlineStr"/>
      <c r="AF44" s="5" t="inlineStr"/>
      <c r="AG44" s="5" t="inlineStr"/>
      <c r="AH44" s="5" t="inlineStr"/>
    </row>
    <row r="45">
      <c r="A45" s="5" t="inlineStr">
        <is>
          <t>aile-toplantisi</t>
        </is>
      </c>
      <c r="B45" s="5" t="n">
        <v>3</v>
      </c>
      <c r="C45" s="6" t="inlineStr">
        <is>
          <t>Oyuncağınla ilgilen</t>
        </is>
      </c>
      <c r="D45" s="5" t="inlineStr"/>
      <c r="E45" s="5" t="inlineStr"/>
      <c r="F45" s="5" t="inlineStr">
        <is>
          <t>Dayanıklılık +1</t>
        </is>
      </c>
      <c r="G45" s="6" t="inlineStr">
        <is>
          <t>Kriz yönetimini profesyonellere bıraktın.</t>
        </is>
      </c>
      <c r="H45" s="6" t="inlineStr"/>
      <c r="I45" s="6" t="inlineStr"/>
      <c r="J45" s="6" t="inlineStr"/>
      <c r="K45" s="6" t="inlineStr"/>
      <c r="L45" s="6" t="inlineStr"/>
      <c r="M45" s="5" t="inlineStr"/>
      <c r="N45" s="5" t="inlineStr"/>
      <c r="O45" s="6" t="inlineStr"/>
      <c r="P45" s="6" t="inlineStr"/>
      <c r="Q45" s="5" t="inlineStr"/>
      <c r="R45" s="5" t="inlineStr"/>
      <c r="S45" s="5" t="inlineStr"/>
      <c r="T45" s="5" t="inlineStr"/>
      <c r="U45" s="5" t="inlineStr"/>
      <c r="V45" s="5" t="inlineStr"/>
      <c r="W45" s="5" t="inlineStr"/>
      <c r="X45" s="5" t="inlineStr"/>
      <c r="Y45" s="5" t="inlineStr"/>
      <c r="Z45" s="6" t="inlineStr"/>
      <c r="AA45" s="5" t="inlineStr"/>
      <c r="AB45" s="5" t="inlineStr"/>
      <c r="AC45" s="5" t="inlineStr"/>
      <c r="AD45" s="5" t="inlineStr"/>
      <c r="AE45" s="5" t="inlineStr"/>
      <c r="AF45" s="5" t="inlineStr"/>
      <c r="AG45" s="5" t="inlineStr"/>
      <c r="AH45" s="5" t="inlineStr"/>
    </row>
    <row r="46">
      <c r="A46" s="5" t="inlineStr">
        <is>
          <t>parkta-sira</t>
        </is>
      </c>
      <c r="B46" s="5" t="n">
        <v>1</v>
      </c>
      <c r="C46" s="6" t="inlineStr">
        <is>
          <t>Sıraya gir</t>
        </is>
      </c>
      <c r="D46" s="5" t="inlineStr"/>
      <c r="E46" s="5" t="inlineStr"/>
      <c r="F46" s="5" t="inlineStr">
        <is>
          <t>İtibar +1</t>
        </is>
      </c>
      <c r="G46" s="6" t="inlineStr">
        <is>
          <t>Kurallı toplum deneyine katıldın.</t>
        </is>
      </c>
      <c r="H46" s="6" t="inlineStr"/>
      <c r="I46" s="6" t="inlineStr"/>
      <c r="J46" s="6" t="inlineStr"/>
      <c r="K46" s="6" t="inlineStr"/>
      <c r="L46" s="6" t="inlineStr"/>
      <c r="M46" s="5" t="inlineStr"/>
      <c r="N46" s="5" t="inlineStr"/>
      <c r="O46" s="6" t="inlineStr"/>
      <c r="P46" s="6" t="inlineStr"/>
      <c r="Q46" s="5" t="inlineStr"/>
      <c r="R46" s="5" t="inlineStr"/>
      <c r="S46" s="5" t="inlineStr"/>
      <c r="T46" s="5" t="inlineStr"/>
      <c r="U46" s="5" t="inlineStr"/>
      <c r="V46" s="5" t="inlineStr"/>
      <c r="W46" s="5" t="inlineStr"/>
      <c r="X46" s="5" t="inlineStr"/>
      <c r="Y46" s="5" t="inlineStr"/>
      <c r="Z46" s="6" t="inlineStr"/>
      <c r="AA46" s="5" t="inlineStr"/>
      <c r="AB46" s="5" t="inlineStr"/>
      <c r="AC46" s="5" t="inlineStr"/>
      <c r="AD46" s="5" t="inlineStr"/>
      <c r="AE46" s="5" t="inlineStr"/>
      <c r="AF46" s="5" t="inlineStr"/>
      <c r="AG46" s="5" t="inlineStr"/>
      <c r="AH46" s="5" t="inlineStr"/>
    </row>
    <row r="47">
      <c r="A47" s="5" t="inlineStr">
        <is>
          <t>parkta-sira</t>
        </is>
      </c>
      <c r="B47" s="5" t="n">
        <v>2</v>
      </c>
      <c r="C47" s="6" t="inlineStr">
        <is>
          <t>Öne geç</t>
        </is>
      </c>
      <c r="D47" s="5" t="inlineStr">
        <is>
          <t>Pişkinlik</t>
        </is>
      </c>
      <c r="E47" s="5" t="inlineStr">
        <is>
          <t>Orta</t>
        </is>
      </c>
      <c r="F47" s="5" t="inlineStr"/>
      <c r="G47" s="6" t="inlineStr"/>
      <c r="H47" s="6" t="inlineStr">
        <is>
          <t>Öne geçtin. Toplumsal tepki geldiğinde sen zaten aşağı kayıyordun.</t>
        </is>
      </c>
      <c r="I47" s="6" t="inlineStr">
        <is>
          <t>Öne geçtin ve kimse fark etmedi. Hatta biri sana yer verdi.</t>
        </is>
      </c>
      <c r="J47" s="6" t="inlineStr">
        <is>
          <t>Öne geçmeye çalıştın; sıradaki anneler komitesi seni geri gönderdi.</t>
        </is>
      </c>
      <c r="K47" s="6" t="inlineStr">
        <is>
          <t>Öne geçtin, kaydıraktan ters indin. Sıradakiler alkışladı.</t>
        </is>
      </c>
      <c r="L47" s="6" t="inlineStr">
        <is>
          <t>Yarıya kadar geldin. Sonra biri seni fark etti. Yarım zafer.</t>
        </is>
      </c>
      <c r="M47" s="5" t="inlineStr">
        <is>
          <t>lanes</t>
        </is>
      </c>
      <c r="N47" s="5" t="inlineStr">
        <is>
          <t>Sıranın Arasından Geç</t>
        </is>
      </c>
      <c r="O47" s="6" t="inlineStr">
        <is>
          <t>Sağa sola kaydırarak (ya da oklara basarak) çocuklara çarpmadan en öne ulaş.</t>
        </is>
      </c>
      <c r="P47" s="6" t="inlineStr"/>
      <c r="Q47" s="5" t="inlineStr"/>
      <c r="R47" s="5" t="inlineStr"/>
      <c r="S47" s="5" t="inlineStr"/>
      <c r="T47" s="5" t="inlineStr"/>
      <c r="U47" s="5" t="inlineStr"/>
      <c r="V47" s="5" t="inlineStr"/>
      <c r="W47" s="5" t="inlineStr"/>
      <c r="X47" s="5" t="inlineStr"/>
      <c r="Y47" s="5" t="inlineStr"/>
      <c r="Z47" s="6" t="inlineStr"/>
      <c r="AA47" s="5" t="inlineStr"/>
      <c r="AB47" s="5" t="inlineStr"/>
      <c r="AC47" s="5" t="inlineStr"/>
      <c r="AD47" s="5" t="inlineStr"/>
      <c r="AE47" s="5" t="inlineStr"/>
      <c r="AF47" s="5" t="inlineStr"/>
      <c r="AG47" s="5" t="inlineStr"/>
      <c r="AH47" s="5" t="inlineStr"/>
    </row>
    <row r="48">
      <c r="A48" s="5" t="inlineStr">
        <is>
          <t>parkta-sira</t>
        </is>
      </c>
      <c r="B48" s="5" t="n">
        <v>3</v>
      </c>
      <c r="C48" s="6" t="inlineStr">
        <is>
          <t>Konuşarak çöz</t>
        </is>
      </c>
      <c r="D48" s="5" t="inlineStr">
        <is>
          <t>Çene</t>
        </is>
      </c>
      <c r="E48" s="5" t="inlineStr">
        <is>
          <t>Kolay</t>
        </is>
      </c>
      <c r="F48" s="5" t="inlineStr"/>
      <c r="G48" s="6" t="inlineStr"/>
      <c r="H48" s="6" t="inlineStr">
        <is>
          <t>İki dakikalık diplomasi, üç dakikalık kaydırak.</t>
        </is>
      </c>
      <c r="I48" s="6" t="inlineStr">
        <is>
          <t>Konuştun ve sıradaki herkes sana geçiş hakkı verdi. Nedeni belirsiz.</t>
        </is>
      </c>
      <c r="J48" s="6" t="inlineStr">
        <is>
          <t>Konuştun; herkes dinledi, kimse kıpırdamadı.</t>
        </is>
      </c>
      <c r="K48" s="6" t="inlineStr">
        <is>
          <t>Konuşurken sıradaki yerini de kaybettin.</t>
        </is>
      </c>
      <c r="L48" s="6" t="inlineStr"/>
      <c r="M48" s="5" t="inlineStr"/>
      <c r="N48" s="5" t="inlineStr"/>
      <c r="O48" s="6" t="inlineStr"/>
      <c r="P48" s="6" t="inlineStr"/>
      <c r="Q48" s="5" t="inlineStr"/>
      <c r="R48" s="5" t="inlineStr"/>
      <c r="S48" s="5" t="inlineStr"/>
      <c r="T48" s="5" t="inlineStr"/>
      <c r="U48" s="5" t="inlineStr"/>
      <c r="V48" s="5" t="inlineStr"/>
      <c r="W48" s="5" t="inlineStr"/>
      <c r="X48" s="5" t="inlineStr"/>
      <c r="Y48" s="5" t="inlineStr"/>
      <c r="Z48" s="6" t="inlineStr"/>
      <c r="AA48" s="5" t="inlineStr"/>
      <c r="AB48" s="5" t="inlineStr"/>
      <c r="AC48" s="5" t="inlineStr"/>
      <c r="AD48" s="5" t="inlineStr"/>
      <c r="AE48" s="5" t="inlineStr"/>
      <c r="AF48" s="5" t="inlineStr"/>
      <c r="AG48" s="5" t="inlineStr"/>
      <c r="AH48" s="5" t="inlineStr"/>
    </row>
    <row r="49">
      <c r="A49" s="5" t="inlineStr">
        <is>
          <t>parkta-sira</t>
        </is>
      </c>
      <c r="B49" s="5" t="n">
        <v>4</v>
      </c>
      <c r="C49" s="6" t="inlineStr">
        <is>
          <t>Sistemi izle</t>
        </is>
      </c>
      <c r="D49" s="5" t="inlineStr">
        <is>
          <t>Sosyal Radar</t>
        </is>
      </c>
      <c r="E49" s="5" t="inlineStr">
        <is>
          <t>Kolay</t>
        </is>
      </c>
      <c r="F49" s="5" t="inlineStr"/>
      <c r="G49" s="6" t="inlineStr"/>
      <c r="H49" s="6" t="inlineStr">
        <is>
          <t>Kimin gerçekten sırada olduğunu anlamaya başladın.</t>
        </is>
      </c>
      <c r="I49" s="6" t="inlineStr">
        <is>
          <t>Sıranın aslında iki ayrı sıra olduğunu fark ettin ve boş olanına geçtin.</t>
        </is>
      </c>
      <c r="J49" s="6" t="inlineStr">
        <is>
          <t>İzledin; sistem çok karışıktı. Kaydırak kapandı.</t>
        </is>
      </c>
      <c r="K49" s="6" t="inlineStr">
        <is>
          <t>Sistemi izlerken salıncak kafana çarptı.</t>
        </is>
      </c>
      <c r="L49" s="6" t="inlineStr"/>
      <c r="M49" s="5" t="inlineStr"/>
      <c r="N49" s="5" t="inlineStr"/>
      <c r="O49" s="6" t="inlineStr"/>
      <c r="P49" s="6" t="inlineStr"/>
      <c r="Q49" s="5" t="inlineStr"/>
      <c r="R49" s="5" t="inlineStr"/>
      <c r="S49" s="5" t="inlineStr"/>
      <c r="T49" s="5" t="inlineStr"/>
      <c r="U49" s="5" t="inlineStr"/>
      <c r="V49" s="5" t="inlineStr"/>
      <c r="W49" s="5" t="inlineStr"/>
      <c r="X49" s="5" t="inlineStr"/>
      <c r="Y49" s="5" t="inlineStr"/>
      <c r="Z49" s="6" t="inlineStr"/>
      <c r="AA49" s="5" t="inlineStr"/>
      <c r="AB49" s="5" t="inlineStr"/>
      <c r="AC49" s="5" t="inlineStr"/>
      <c r="AD49" s="5" t="inlineStr"/>
      <c r="AE49" s="5" t="inlineStr"/>
      <c r="AF49" s="5" t="inlineStr"/>
      <c r="AG49" s="5" t="inlineStr"/>
      <c r="AH49" s="5" t="inlineStr"/>
    </row>
    <row r="50">
      <c r="A50" s="5" t="inlineStr">
        <is>
          <t>kim-yapti</t>
        </is>
      </c>
      <c r="B50" s="5" t="n">
        <v>1</v>
      </c>
      <c r="C50" s="6" t="inlineStr">
        <is>
          <t>Doğruyu söyle</t>
        </is>
      </c>
      <c r="D50" s="5" t="inlineStr"/>
      <c r="E50" s="5" t="inlineStr"/>
      <c r="F50" s="5" t="inlineStr">
        <is>
          <t>İtibar +2</t>
        </is>
      </c>
      <c r="G50" s="6" t="inlineStr">
        <is>
          <t>“Ben yaptım” dedin. Baban güneşe bir süre baktı, sonra fotoğrafını çekti. Duvar silindi; fotoğraf aile grubunda hâlâ duruyor.</t>
        </is>
      </c>
      <c r="H50" s="6" t="inlineStr"/>
      <c r="I50" s="6" t="inlineStr"/>
      <c r="J50" s="6" t="inlineStr"/>
      <c r="K50" s="6" t="inlineStr"/>
      <c r="L50" s="6" t="inlineStr"/>
      <c r="M50" s="5" t="inlineStr"/>
      <c r="N50" s="5" t="inlineStr"/>
      <c r="O50" s="6" t="inlineStr"/>
      <c r="P50" s="6" t="inlineStr"/>
      <c r="Q50" s="5" t="inlineStr"/>
      <c r="R50" s="5" t="inlineStr"/>
      <c r="S50" s="5" t="inlineStr"/>
      <c r="T50" s="5" t="inlineStr"/>
      <c r="U50" s="5" t="inlineStr"/>
      <c r="V50" s="5" t="inlineStr"/>
      <c r="W50" s="5" t="inlineStr"/>
      <c r="X50" s="5" t="inlineStr"/>
      <c r="Y50" s="5" t="inlineStr"/>
      <c r="Z50" s="6" t="inlineStr"/>
      <c r="AA50" s="5" t="inlineStr"/>
      <c r="AB50" s="5" t="inlineStr"/>
      <c r="AC50" s="5" t="inlineStr"/>
      <c r="AD50" s="5" t="inlineStr"/>
      <c r="AE50" s="5" t="inlineStr"/>
      <c r="AF50" s="5" t="inlineStr"/>
      <c r="AG50" s="5" t="inlineStr"/>
      <c r="AH50" s="5" t="inlineStr"/>
    </row>
    <row r="51">
      <c r="A51" s="5" t="inlineStr">
        <is>
          <t>kim-yapti</t>
        </is>
      </c>
      <c r="B51" s="5" t="n">
        <v>2</v>
      </c>
      <c r="C51" s="6" t="inlineStr">
        <is>
          <t>Bilmiyorum de</t>
        </is>
      </c>
      <c r="D51" s="5" t="inlineStr">
        <is>
          <t>Çene</t>
        </is>
      </c>
      <c r="E51" s="5" t="inlineStr">
        <is>
          <t>Orta</t>
        </is>
      </c>
      <c r="F51" s="5" t="inlineStr"/>
      <c r="G51" s="6" t="inlineStr"/>
      <c r="H51" s="6" t="inlineStr">
        <is>
          <t>“Bilmiyorum” dedin. Baban duvara, sonra sana baktı; soruşturma yemekten sonraya ertelendi. Yemekten sonra herkes unuttu.</t>
        </is>
      </c>
      <c r="I51" s="6" t="inlineStr">
        <is>
          <t>“Bilmiyorum” dedin; o kadar inandırıcıydın ki baban annene sordu. Annen de bilmiyordu. Dosya kapandı, sana dondurma verildi.</t>
        </is>
      </c>
      <c r="J51" s="6" t="inlineStr">
        <is>
          <t>“Bilmiyorum” dedin. Parmaklarındaki mavi mürekkep “Biliyorum” dedi.</t>
        </is>
      </c>
      <c r="K51" s="6" t="inlineStr">
        <is>
          <t>“Bilmiyorum” dedin ve hemen ardından “Ama güneşi ben çizmedim” ekledin. Kimse güneş dememişti.</t>
        </is>
      </c>
      <c r="L51" s="6" t="inlineStr"/>
      <c r="M51" s="5" t="inlineStr"/>
      <c r="N51" s="5" t="inlineStr"/>
      <c r="O51" s="6" t="inlineStr"/>
      <c r="P51" s="6" t="inlineStr"/>
      <c r="Q51" s="5" t="inlineStr"/>
      <c r="R51" s="5" t="inlineStr"/>
      <c r="S51" s="5" t="inlineStr"/>
      <c r="T51" s="5" t="inlineStr"/>
      <c r="U51" s="5" t="inlineStr"/>
      <c r="V51" s="5" t="inlineStr"/>
      <c r="W51" s="5" t="inlineStr"/>
      <c r="X51" s="5" t="inlineStr"/>
      <c r="Y51" s="5" t="inlineStr"/>
      <c r="Z51" s="6" t="inlineStr"/>
      <c r="AA51" s="5" t="inlineStr"/>
      <c r="AB51" s="5" t="inlineStr"/>
      <c r="AC51" s="5" t="inlineStr"/>
      <c r="AD51" s="5" t="inlineStr"/>
      <c r="AE51" s="5" t="inlineStr"/>
      <c r="AF51" s="5" t="inlineStr"/>
      <c r="AG51" s="5" t="inlineStr"/>
      <c r="AH51" s="5" t="inlineStr"/>
    </row>
    <row r="52">
      <c r="A52" s="5" t="inlineStr">
        <is>
          <t>kim-yapti</t>
        </is>
      </c>
      <c r="B52" s="5" t="n">
        <v>3</v>
      </c>
      <c r="C52" s="6" t="inlineStr">
        <is>
          <t>'Siz ne düşünüyorsunuz?' diye sor</t>
        </is>
      </c>
      <c r="D52" s="5" t="inlineStr">
        <is>
          <t>Akıl</t>
        </is>
      </c>
      <c r="E52" s="5" t="inlineStr">
        <is>
          <t>Orta</t>
        </is>
      </c>
      <c r="F52" s="5" t="inlineStr"/>
      <c r="G52" s="6" t="inlineStr"/>
      <c r="H52" s="6" t="inlineStr">
        <is>
          <t>“Sence kim yaptı?” diye sordun. Baban teorisini anlatırken imzanın kuzeninkine benzediğine kendisi karar verdi.</t>
        </is>
      </c>
      <c r="I52" s="6" t="inlineStr">
        <is>
          <t>Baban cevap verirken güneşin aslında çok güzel olduğunu fark etti. Duvar silinmedi; etrafına çerçeve çizildi.</t>
        </is>
      </c>
      <c r="J52" s="6" t="inlineStr">
        <is>
          <t>“Soruyu ben sordum” dedi baban. Kalemin kapağı hâlâ elinde.</t>
        </is>
      </c>
      <c r="K52" s="6" t="inlineStr">
        <is>
          <t>Soruyu sordun; baban “Sen yaptın” dedi ve kalemi cebinden çıkardı. Kendi sorunla yakalandın.</t>
        </is>
      </c>
      <c r="L52" s="6" t="inlineStr"/>
      <c r="M52" s="5" t="inlineStr"/>
      <c r="N52" s="5" t="inlineStr"/>
      <c r="O52" s="6" t="inlineStr"/>
      <c r="P52" s="6" t="inlineStr"/>
      <c r="Q52" s="5" t="inlineStr"/>
      <c r="R52" s="5" t="inlineStr"/>
      <c r="S52" s="5" t="inlineStr">
        <is>
          <t>Akıl</t>
        </is>
      </c>
      <c r="T52" s="5" t="inlineStr"/>
      <c r="U52" s="5" t="inlineStr"/>
      <c r="V52" s="5" t="inlineStr"/>
      <c r="W52" s="5" t="inlineStr"/>
      <c r="X52" s="5" t="inlineStr"/>
      <c r="Y52" s="5" t="inlineStr"/>
      <c r="Z52" s="6" t="inlineStr"/>
      <c r="AA52" s="5" t="inlineStr"/>
      <c r="AB52" s="5" t="inlineStr"/>
      <c r="AC52" s="5" t="inlineStr"/>
      <c r="AD52" s="5" t="inlineStr"/>
      <c r="AE52" s="5" t="inlineStr"/>
      <c r="AF52" s="5" t="inlineStr"/>
      <c r="AG52" s="5" t="inlineStr"/>
      <c r="AH52" s="5" t="inlineStr"/>
    </row>
    <row r="53">
      <c r="A53" s="5" t="inlineStr">
        <is>
          <t>kim-yapti</t>
        </is>
      </c>
      <c r="B53" s="5" t="n">
        <v>4</v>
      </c>
      <c r="C53" s="6" t="inlineStr">
        <is>
          <t>Başkasını suçla</t>
        </is>
      </c>
      <c r="D53" s="5" t="inlineStr">
        <is>
          <t>Pişkinlik</t>
        </is>
      </c>
      <c r="E53" s="5" t="inlineStr">
        <is>
          <t>Çok Zor</t>
        </is>
      </c>
      <c r="F53" s="5" t="inlineStr"/>
      <c r="G53" s="6" t="inlineStr"/>
      <c r="H53" s="6" t="inlineStr">
        <is>
          <t>Kuzeni suçladın. Kuzen geçen hafta da gelmişti; tarih tutuyordu. Dosya kuzenin annesine gönderildi.</t>
        </is>
      </c>
      <c r="I53" s="6" t="inlineStr">
        <is>
          <t>Kuzen o kadar suçlu göründü ki kendi annesi bile inandı. Kuzen hâlâ hangi güneşi çizdiğini hatırlamaya çalışıyor.</t>
        </is>
      </c>
      <c r="J53" s="6" t="inlineStr">
        <is>
          <t>Suçladığın kuzen o hafta tatildeydi. Güneşi oradan çizemezdi.</t>
        </is>
      </c>
      <c r="K53" s="6" t="inlineStr">
        <is>
          <t>Suçladığın kuzen, çizerken seni videoya çekmişti. Video aile grubunda; güneş de, sen de net.</t>
        </is>
      </c>
      <c r="L53" s="6" t="inlineStr"/>
      <c r="M53" s="5" t="inlineStr"/>
      <c r="N53" s="5" t="inlineStr"/>
      <c r="O53" s="6" t="inlineStr"/>
      <c r="P53" s="6" t="inlineStr"/>
      <c r="Q53" s="5" t="inlineStr"/>
      <c r="R53" s="5" t="inlineStr"/>
      <c r="S53" s="5" t="inlineStr"/>
      <c r="T53" s="5" t="inlineStr"/>
      <c r="U53" s="5" t="inlineStr">
        <is>
          <t>yalanci</t>
        </is>
      </c>
      <c r="V53" s="5" t="inlineStr"/>
      <c r="W53" s="5" t="inlineStr"/>
      <c r="X53" s="5" t="inlineStr"/>
      <c r="Y53" s="5" t="inlineStr"/>
      <c r="Z53" s="6" t="inlineStr"/>
      <c r="AA53" s="5" t="inlineStr"/>
      <c r="AB53" s="5" t="inlineStr"/>
      <c r="AC53" s="5" t="inlineStr"/>
      <c r="AD53" s="5" t="inlineStr"/>
      <c r="AE53" s="5" t="inlineStr"/>
      <c r="AF53" s="5" t="inlineStr"/>
      <c r="AG53" s="5" t="inlineStr"/>
      <c r="AH53" s="5" t="inlineStr"/>
    </row>
    <row r="54">
      <c r="A54" s="5" t="inlineStr">
        <is>
          <t>kim-yapti</t>
        </is>
      </c>
      <c r="B54" s="5" t="n">
        <v>5</v>
      </c>
      <c r="C54" s="6" t="inlineStr">
        <is>
          <t>Kediyi yine suçla</t>
        </is>
      </c>
      <c r="D54" s="5" t="inlineStr">
        <is>
          <t>Pişkinlik</t>
        </is>
      </c>
      <c r="E54" s="5" t="inlineStr">
        <is>
          <t>Zor</t>
        </is>
      </c>
      <c r="F54" s="5" t="inlineStr"/>
      <c r="G54" s="6" t="inlineStr"/>
      <c r="H54" s="6" t="inlineStr">
        <is>
          <t>Kedi ikinci kez mahkûm edildi. Patilerinde mürekkep yoktu ama kedi itiraz da etmedi. Artık sabıkalı.</t>
        </is>
      </c>
      <c r="I54" s="6" t="inlineStr">
        <is>
          <t>Kedi öyle ikna edici biçimde suçlandı ki bir haftalığına teyzene gönderildi. Ev sessiz, duvar temiz, sen memnun.</t>
        </is>
      </c>
      <c r="J54" s="6" t="inlineStr">
        <is>
          <t>“Kedi mi?” dedi baban. “Kedi keçeli kalemin kapağını nasıl açsın?”</t>
        </is>
      </c>
      <c r="K54" s="6" t="inlineStr">
        <is>
          <t>Kediyi suçladın. Kedinin patileri beyazdı, seninkiler mavi. Artık ikinizi ayrı ayrı sorguluyorlar.</t>
        </is>
      </c>
      <c r="L54" s="6" t="inlineStr"/>
      <c r="M54" s="5" t="inlineStr"/>
      <c r="N54" s="5" t="inlineStr"/>
      <c r="O54" s="6" t="inlineStr"/>
      <c r="P54" s="6" t="inlineStr"/>
      <c r="Q54" s="5" t="inlineStr"/>
      <c r="R54" s="5" t="inlineStr">
        <is>
          <t>kediSuclu</t>
        </is>
      </c>
      <c r="S54" s="5" t="inlineStr"/>
      <c r="T54" s="5" t="inlineStr"/>
      <c r="U54" s="5" t="inlineStr">
        <is>
          <t>yalanci</t>
        </is>
      </c>
      <c r="V54" s="5" t="inlineStr"/>
      <c r="W54" s="5" t="inlineStr"/>
      <c r="X54" s="5" t="inlineStr"/>
      <c r="Y54" s="5" t="inlineStr"/>
      <c r="Z54" s="6" t="inlineStr"/>
      <c r="AA54" s="5" t="inlineStr"/>
      <c r="AB54" s="5" t="inlineStr"/>
      <c r="AC54" s="5" t="inlineStr"/>
      <c r="AD54" s="5" t="inlineStr"/>
      <c r="AE54" s="5" t="inlineStr"/>
      <c r="AF54" s="5" t="inlineStr"/>
      <c r="AG54" s="5" t="inlineStr"/>
      <c r="AH54" s="5" t="inlineStr"/>
    </row>
    <row r="55">
      <c r="A55" s="5" t="inlineStr">
        <is>
          <t>kres-kapisi</t>
        </is>
      </c>
      <c r="B55" s="5" t="n">
        <v>1</v>
      </c>
      <c r="C55" s="6" t="inlineStr">
        <is>
          <t>Bacağına sarıl</t>
        </is>
      </c>
      <c r="D55" s="5" t="inlineStr"/>
      <c r="E55" s="5" t="inlineStr"/>
      <c r="F55" s="5" t="inlineStr">
        <is>
          <t>İtibar +1</t>
        </is>
      </c>
      <c r="G55" s="6" t="inlineStr">
        <is>
          <t>Ayrılık müzakeresi uzadı.</t>
        </is>
      </c>
      <c r="H55" s="6" t="inlineStr"/>
      <c r="I55" s="6" t="inlineStr"/>
      <c r="J55" s="6" t="inlineStr"/>
      <c r="K55" s="6" t="inlineStr"/>
      <c r="L55" s="6" t="inlineStr"/>
      <c r="M55" s="5" t="inlineStr"/>
      <c r="N55" s="5" t="inlineStr"/>
      <c r="O55" s="6" t="inlineStr"/>
      <c r="P55" s="6" t="inlineStr"/>
      <c r="Q55" s="5" t="inlineStr"/>
      <c r="R55" s="5" t="inlineStr"/>
      <c r="S55" s="5" t="inlineStr"/>
      <c r="T55" s="5" t="inlineStr"/>
      <c r="U55" s="5" t="inlineStr">
        <is>
          <t>yapiskan</t>
        </is>
      </c>
      <c r="V55" s="5" t="inlineStr"/>
      <c r="W55" s="5" t="inlineStr"/>
      <c r="X55" s="5" t="inlineStr"/>
      <c r="Y55" s="5" t="inlineStr"/>
      <c r="Z55" s="6" t="inlineStr"/>
      <c r="AA55" s="5" t="inlineStr"/>
      <c r="AB55" s="5" t="inlineStr"/>
      <c r="AC55" s="5" t="inlineStr"/>
      <c r="AD55" s="5" t="inlineStr"/>
      <c r="AE55" s="5" t="inlineStr"/>
      <c r="AF55" s="5" t="inlineStr"/>
      <c r="AG55" s="5" t="inlineStr"/>
      <c r="AH55" s="5" t="inlineStr"/>
    </row>
    <row r="56">
      <c r="A56" s="5" t="inlineStr">
        <is>
          <t>kres-kapisi</t>
        </is>
      </c>
      <c r="B56" s="5" t="n">
        <v>2</v>
      </c>
      <c r="C56" s="6" t="inlineStr">
        <is>
          <t>İçeri gir</t>
        </is>
      </c>
      <c r="D56" s="5" t="inlineStr">
        <is>
          <t>Cesaret</t>
        </is>
      </c>
      <c r="E56" s="5" t="inlineStr">
        <is>
          <t>Orta</t>
        </is>
      </c>
      <c r="F56" s="5" t="inlineStr"/>
      <c r="G56" s="6" t="inlineStr"/>
      <c r="H56" s="6" t="inlineStr">
        <is>
          <t>Yeni harita açıldı.</t>
        </is>
      </c>
      <c r="I56" s="6" t="inlineStr">
        <is>
          <t>İçeri girdin, arkana bakmadın, öğle yemeğinde masa başkanıydın.</t>
        </is>
      </c>
      <c r="J56" s="6" t="inlineStr">
        <is>
          <t>Kapıya kadar gittin, geri döndün. Plan B: yarın.</t>
        </is>
      </c>
      <c r="K56" s="6" t="inlineStr">
        <is>
          <t>İçeri girdin; yanlış sınıfa. Bir saat bebek grubunda kaldın.</t>
        </is>
      </c>
      <c r="L56" s="6" t="inlineStr"/>
      <c r="M56" s="5" t="inlineStr"/>
      <c r="N56" s="5" t="inlineStr"/>
      <c r="O56" s="6" t="inlineStr"/>
      <c r="P56" s="6" t="inlineStr"/>
      <c r="Q56" s="5" t="inlineStr"/>
      <c r="R56" s="5" t="inlineStr"/>
      <c r="S56" s="5" t="inlineStr"/>
      <c r="T56" s="5" t="inlineStr"/>
      <c r="U56" s="5" t="inlineStr"/>
      <c r="V56" s="5" t="inlineStr"/>
      <c r="W56" s="5" t="inlineStr"/>
      <c r="X56" s="5" t="inlineStr"/>
      <c r="Y56" s="5" t="inlineStr"/>
      <c r="Z56" s="6" t="inlineStr"/>
      <c r="AA56" s="5" t="inlineStr"/>
      <c r="AB56" s="5" t="inlineStr"/>
      <c r="AC56" s="5" t="inlineStr"/>
      <c r="AD56" s="5" t="inlineStr"/>
      <c r="AE56" s="5" t="inlineStr"/>
      <c r="AF56" s="5" t="inlineStr"/>
      <c r="AG56" s="5" t="inlineStr"/>
      <c r="AH56" s="5" t="inlineStr"/>
    </row>
    <row r="57">
      <c r="A57" s="5" t="inlineStr">
        <is>
          <t>kres-kapisi</t>
        </is>
      </c>
      <c r="B57" s="5" t="n">
        <v>3</v>
      </c>
      <c r="C57" s="6" t="inlineStr">
        <is>
          <t>Önce ortamı izle</t>
        </is>
      </c>
      <c r="D57" s="5" t="inlineStr">
        <is>
          <t>Sosyal Radar</t>
        </is>
      </c>
      <c r="E57" s="5" t="inlineStr">
        <is>
          <t>Kolay</t>
        </is>
      </c>
      <c r="F57" s="5" t="inlineStr"/>
      <c r="G57" s="6" t="inlineStr"/>
      <c r="H57" s="6" t="inlineStr">
        <is>
          <t>Kim kimdir, kim neye sahip, hızlıca kaydettin.</t>
        </is>
      </c>
      <c r="I57" s="6" t="inlineStr">
        <is>
          <t>Beş dakikada sınıfın haritasını çıkardın: en iyi oyuncak, en iyi köşe, en tatlı öğretmen.</t>
        </is>
      </c>
      <c r="J57" s="6" t="inlineStr">
        <is>
          <t>İzlerken kapı kapandı. Ortam içeride kaldı, sen dışarıda.</t>
        </is>
      </c>
      <c r="K57" s="6" t="inlineStr">
        <is>
          <t>İzlerken biri seni yeni oyuncak sandı.</t>
        </is>
      </c>
      <c r="L57" s="6" t="inlineStr"/>
      <c r="M57" s="5" t="inlineStr"/>
      <c r="N57" s="5" t="inlineStr"/>
      <c r="O57" s="6" t="inlineStr"/>
      <c r="P57" s="6" t="inlineStr"/>
      <c r="Q57" s="5" t="inlineStr"/>
      <c r="R57" s="5" t="inlineStr"/>
      <c r="S57" s="5" t="inlineStr"/>
      <c r="T57" s="5" t="inlineStr"/>
      <c r="U57" s="5" t="inlineStr"/>
      <c r="V57" s="5" t="inlineStr"/>
      <c r="W57" s="5" t="inlineStr"/>
      <c r="X57" s="5" t="inlineStr"/>
      <c r="Y57" s="5" t="inlineStr"/>
      <c r="Z57" s="6" t="inlineStr"/>
      <c r="AA57" s="5" t="inlineStr"/>
      <c r="AB57" s="5" t="inlineStr"/>
      <c r="AC57" s="5" t="inlineStr"/>
      <c r="AD57" s="5" t="inlineStr"/>
      <c r="AE57" s="5" t="inlineStr"/>
      <c r="AF57" s="5" t="inlineStr"/>
      <c r="AG57" s="5" t="inlineStr"/>
      <c r="AH57" s="5" t="inlineStr"/>
    </row>
    <row r="58">
      <c r="A58" s="5" t="inlineStr">
        <is>
          <t>kres-kapisi</t>
        </is>
      </c>
      <c r="B58" s="5" t="n">
        <v>4</v>
      </c>
      <c r="C58" s="6" t="inlineStr">
        <is>
          <t>Kapıda veda turu at</t>
        </is>
      </c>
      <c r="D58" s="5" t="inlineStr">
        <is>
          <t>Pişkinlik</t>
        </is>
      </c>
      <c r="E58" s="5" t="inlineStr">
        <is>
          <t>Orta</t>
        </is>
      </c>
      <c r="F58" s="5" t="inlineStr"/>
      <c r="G58" s="6" t="inlineStr"/>
      <c r="H58" s="6" t="inlineStr">
        <is>
          <t>Kapıda herkese tek tek el salladın. İki veli alkışladı, öğretmen bir şey not etti.</t>
        </is>
      </c>
      <c r="I58" s="6" t="inlineStr">
        <is>
          <t>Veda turun o kadar etkileyiciydi ki diğer çocuklar da el sallamaya başladı. Kreşin ilk sabahını sen yönettin.</t>
        </is>
      </c>
      <c r="J58" s="6" t="inlineStr">
        <is>
          <t>El salladın; kimse bakmadı. Herkes kendi ağlamasıyla meşguldü.</t>
        </is>
      </c>
      <c r="K58" s="6" t="inlineStr">
        <is>
          <t>Turu fazla uzattın. Kapı kapandı, sen dışarıda kaldın. Seyircisiz bir gösteri.</t>
        </is>
      </c>
      <c r="L58" s="6" t="inlineStr"/>
      <c r="M58" s="5" t="inlineStr"/>
      <c r="N58" s="5" t="inlineStr"/>
      <c r="O58" s="6" t="inlineStr"/>
      <c r="P58" s="6" t="inlineStr"/>
      <c r="Q58" s="5" t="inlineStr"/>
      <c r="R58" s="5" t="inlineStr"/>
      <c r="S58" s="5" t="inlineStr"/>
      <c r="T58" s="5" t="inlineStr">
        <is>
          <t>Sahne Sever</t>
        </is>
      </c>
      <c r="U58" s="5" t="inlineStr"/>
      <c r="V58" s="5" t="inlineStr"/>
      <c r="W58" s="5" t="inlineStr"/>
      <c r="X58" s="5" t="inlineStr"/>
      <c r="Y58" s="5" t="inlineStr"/>
      <c r="Z58" s="6" t="inlineStr"/>
      <c r="AA58" s="5" t="inlineStr"/>
      <c r="AB58" s="5" t="inlineStr"/>
      <c r="AC58" s="5" t="inlineStr"/>
      <c r="AD58" s="5" t="inlineStr"/>
      <c r="AE58" s="5" t="inlineStr"/>
      <c r="AF58" s="5" t="inlineStr"/>
      <c r="AG58" s="5" t="inlineStr"/>
      <c r="AH58" s="5" t="inlineStr"/>
    </row>
    <row r="59">
      <c r="A59" s="5" t="inlineStr">
        <is>
          <t>ilk-arkadas</t>
        </is>
      </c>
      <c r="B59" s="5" t="n">
        <v>1</v>
      </c>
      <c r="C59" s="6" t="inlineStr">
        <is>
          <t>İsmini söyle</t>
        </is>
      </c>
      <c r="D59" s="5" t="inlineStr"/>
      <c r="E59" s="5" t="inlineStr"/>
      <c r="F59" s="5" t="inlineStr">
        <is>
          <t>Çene +1</t>
        </is>
      </c>
      <c r="G59" s="6" t="inlineStr">
        <is>
          <t>Diplomatik ilişki kuruldu.</t>
        </is>
      </c>
      <c r="H59" s="6" t="inlineStr"/>
      <c r="I59" s="6" t="inlineStr"/>
      <c r="J59" s="6" t="inlineStr"/>
      <c r="K59" s="6" t="inlineStr"/>
      <c r="L59" s="6" t="inlineStr"/>
      <c r="M59" s="5" t="inlineStr"/>
      <c r="N59" s="5" t="inlineStr"/>
      <c r="O59" s="6" t="inlineStr"/>
      <c r="P59" s="6" t="inlineStr"/>
      <c r="Q59" s="5" t="inlineStr"/>
      <c r="R59" s="5" t="inlineStr"/>
      <c r="S59" s="5" t="inlineStr"/>
      <c r="T59" s="5" t="inlineStr"/>
      <c r="U59" s="5" t="inlineStr"/>
      <c r="V59" s="5" t="inlineStr"/>
      <c r="W59" s="5" t="inlineStr"/>
      <c r="X59" s="5" t="inlineStr"/>
      <c r="Y59" s="5" t="inlineStr"/>
      <c r="Z59" s="6" t="inlineStr"/>
      <c r="AA59" s="5" t="inlineStr"/>
      <c r="AB59" s="5" t="inlineStr"/>
      <c r="AC59" s="5" t="inlineStr"/>
      <c r="AD59" s="5" t="inlineStr"/>
      <c r="AE59" s="5" t="inlineStr"/>
      <c r="AF59" s="5" t="inlineStr"/>
      <c r="AG59" s="5" t="inlineStr"/>
      <c r="AH59" s="5" t="inlineStr"/>
    </row>
    <row r="60">
      <c r="A60" s="5" t="inlineStr">
        <is>
          <t>ilk-arkadas</t>
        </is>
      </c>
      <c r="B60" s="5" t="n">
        <v>2</v>
      </c>
      <c r="C60" s="6" t="inlineStr">
        <is>
          <t>Oyuncağını sor</t>
        </is>
      </c>
      <c r="D60" s="5" t="inlineStr">
        <is>
          <t>Çene</t>
        </is>
      </c>
      <c r="E60" s="5" t="inlineStr">
        <is>
          <t>Çok Kolay</t>
        </is>
      </c>
      <c r="F60" s="5" t="inlineStr"/>
      <c r="G60" s="6" t="inlineStr"/>
      <c r="H60" s="6" t="inlineStr">
        <is>
          <t>Ortak ilgi alanı bulundu.</t>
        </is>
      </c>
      <c r="I60" s="6" t="inlineStr">
        <is>
          <t>Oyuncağını sordun; sana koleksiyonunun tam envanterini sundu. Dostluk tescillendi.</t>
        </is>
      </c>
      <c r="J60" s="6" t="inlineStr">
        <is>
          <t>Sordun, cevap vermedi. Oyuncak daha ilginçti.</t>
        </is>
      </c>
      <c r="K60" s="6" t="inlineStr">
        <is>
          <t>Sordun; oyuncağın kendisine ait olduğunu yüksek sesle ilan etti.</t>
        </is>
      </c>
      <c r="L60" s="6" t="inlineStr"/>
      <c r="M60" s="5" t="inlineStr"/>
      <c r="N60" s="5" t="inlineStr"/>
      <c r="O60" s="6" t="inlineStr"/>
      <c r="P60" s="6" t="inlineStr"/>
      <c r="Q60" s="5" t="inlineStr"/>
      <c r="R60" s="5" t="inlineStr"/>
      <c r="S60" s="5" t="inlineStr"/>
      <c r="T60" s="5" t="inlineStr"/>
      <c r="U60" s="5" t="inlineStr"/>
      <c r="V60" s="5" t="inlineStr"/>
      <c r="W60" s="5" t="inlineStr"/>
      <c r="X60" s="5" t="inlineStr"/>
      <c r="Y60" s="5" t="inlineStr"/>
      <c r="Z60" s="6" t="inlineStr"/>
      <c r="AA60" s="5" t="inlineStr"/>
      <c r="AB60" s="5" t="inlineStr"/>
      <c r="AC60" s="5" t="inlineStr"/>
      <c r="AD60" s="5" t="inlineStr"/>
      <c r="AE60" s="5" t="inlineStr"/>
      <c r="AF60" s="5" t="inlineStr"/>
      <c r="AG60" s="5" t="inlineStr"/>
      <c r="AH60" s="5" t="inlineStr"/>
    </row>
    <row r="61">
      <c r="A61" s="5" t="inlineStr">
        <is>
          <t>ilk-arkadas</t>
        </is>
      </c>
      <c r="B61" s="5" t="n">
        <v>3</v>
      </c>
      <c r="C61" s="6" t="inlineStr">
        <is>
          <t>Konuşmadan yanında dur</t>
        </is>
      </c>
      <c r="D61" s="5" t="inlineStr">
        <is>
          <t>Sosyal Radar</t>
        </is>
      </c>
      <c r="E61" s="5" t="inlineStr">
        <is>
          <t>Kolay</t>
        </is>
      </c>
      <c r="F61" s="5" t="inlineStr"/>
      <c r="G61" s="6" t="inlineStr"/>
      <c r="H61" s="6" t="inlineStr">
        <is>
          <t>Sessizlik garip değildi. Bu iyi işaret.</t>
        </is>
      </c>
      <c r="I61" s="6" t="inlineStr">
        <is>
          <t>Hiç konuşmadınız. Ertesi gün aynı yerde buluştunuz. Gerçek dostluk.</t>
        </is>
      </c>
      <c r="J61" s="6" t="inlineStr">
        <is>
          <t>Sessizlik biraz garipti.</t>
        </is>
      </c>
      <c r="K61" s="6" t="inlineStr">
        <is>
          <t>Sessizce durdun; o da sessizce uzaklaştı.</t>
        </is>
      </c>
      <c r="L61" s="6" t="inlineStr"/>
      <c r="M61" s="5" t="inlineStr"/>
      <c r="N61" s="5" t="inlineStr"/>
      <c r="O61" s="6" t="inlineStr"/>
      <c r="P61" s="6" t="inlineStr"/>
      <c r="Q61" s="5" t="inlineStr"/>
      <c r="R61" s="5" t="inlineStr"/>
      <c r="S61" s="5" t="inlineStr"/>
      <c r="T61" s="5" t="inlineStr"/>
      <c r="U61" s="5" t="inlineStr"/>
      <c r="V61" s="5" t="inlineStr"/>
      <c r="W61" s="5" t="inlineStr"/>
      <c r="X61" s="5" t="inlineStr"/>
      <c r="Y61" s="5" t="inlineStr"/>
      <c r="Z61" s="6" t="inlineStr"/>
      <c r="AA61" s="5" t="inlineStr"/>
      <c r="AB61" s="5" t="inlineStr"/>
      <c r="AC61" s="5" t="inlineStr"/>
      <c r="AD61" s="5" t="inlineStr"/>
      <c r="AE61" s="5" t="inlineStr"/>
      <c r="AF61" s="5" t="inlineStr"/>
      <c r="AG61" s="5" t="inlineStr"/>
      <c r="AH61" s="5" t="inlineStr"/>
    </row>
    <row r="62">
      <c r="A62" s="5" t="inlineStr">
        <is>
          <t>oyuncagimi-aldi</t>
        </is>
      </c>
      <c r="B62" s="5" t="n">
        <v>1</v>
      </c>
      <c r="C62" s="6" t="inlineStr">
        <is>
          <t>Geri iste</t>
        </is>
      </c>
      <c r="D62" s="5" t="inlineStr">
        <is>
          <t>Çene</t>
        </is>
      </c>
      <c r="E62" s="5" t="inlineStr">
        <is>
          <t>Kolay</t>
        </is>
      </c>
      <c r="F62" s="5" t="inlineStr"/>
      <c r="G62" s="6" t="inlineStr"/>
      <c r="H62" s="6" t="inlineStr">
        <is>
          <t>Mülkiyet hakkını sözlü savundun.</t>
        </is>
      </c>
      <c r="I62" s="6" t="inlineStr">
        <is>
          <t>Öyle bir savunma yaptın ki oyuncağı özür dileyerek geri verdi.</t>
        </is>
      </c>
      <c r="J62" s="6" t="inlineStr">
        <is>
          <t>İstedin. Duymamış gibi yaptı.</t>
        </is>
      </c>
      <c r="K62" s="6" t="inlineStr">
        <is>
          <t>İstedin; o da senin diğer oyuncağını istedi. Dava büyüdü.</t>
        </is>
      </c>
      <c r="L62" s="6" t="inlineStr"/>
      <c r="M62" s="5" t="inlineStr"/>
      <c r="N62" s="5" t="inlineStr"/>
      <c r="O62" s="6" t="inlineStr"/>
      <c r="P62" s="6" t="inlineStr"/>
      <c r="Q62" s="5" t="inlineStr"/>
      <c r="R62" s="5" t="inlineStr"/>
      <c r="S62" s="5" t="inlineStr"/>
      <c r="T62" s="5" t="inlineStr"/>
      <c r="U62" s="5" t="inlineStr"/>
      <c r="V62" s="5" t="inlineStr"/>
      <c r="W62" s="5" t="inlineStr"/>
      <c r="X62" s="5" t="inlineStr"/>
      <c r="Y62" s="5" t="inlineStr"/>
      <c r="Z62" s="6" t="inlineStr"/>
      <c r="AA62" s="5" t="inlineStr"/>
      <c r="AB62" s="5" t="inlineStr"/>
      <c r="AC62" s="5" t="inlineStr"/>
      <c r="AD62" s="5" t="inlineStr"/>
      <c r="AE62" s="5" t="inlineStr"/>
      <c r="AF62" s="5" t="inlineStr"/>
      <c r="AG62" s="5" t="inlineStr"/>
      <c r="AH62" s="5" t="inlineStr"/>
    </row>
    <row r="63">
      <c r="A63" s="5" t="inlineStr">
        <is>
          <t>oyuncagimi-aldi</t>
        </is>
      </c>
      <c r="B63" s="5" t="n">
        <v>2</v>
      </c>
      <c r="C63" s="6" t="inlineStr">
        <is>
          <t>Elinden al</t>
        </is>
      </c>
      <c r="D63" s="5" t="inlineStr">
        <is>
          <t>Cesaret</t>
        </is>
      </c>
      <c r="E63" s="5" t="inlineStr">
        <is>
          <t>Orta</t>
        </is>
      </c>
      <c r="F63" s="5" t="inlineStr"/>
      <c r="G63" s="6" t="inlineStr"/>
      <c r="H63" s="6" t="inlineStr">
        <is>
          <t>Hızlı çözüm, uzun bakışmalar.</t>
        </is>
      </c>
      <c r="I63" s="6" t="inlineStr">
        <is>
          <t>Aldın. Karşı taraf bir daha bu konuyu açmadı.</t>
        </is>
      </c>
      <c r="J63" s="6" t="inlineStr">
        <is>
          <t>Aldın, geri aldı. Oyun berabere.</t>
        </is>
      </c>
      <c r="K63" s="6" t="inlineStr">
        <is>
          <t>Almaya çalışırken öğretmen tam o an döndü. Sadece seni gördü.</t>
        </is>
      </c>
      <c r="L63" s="6" t="inlineStr"/>
      <c r="M63" s="5" t="inlineStr"/>
      <c r="N63" s="5" t="inlineStr"/>
      <c r="O63" s="6" t="inlineStr"/>
      <c r="P63" s="6" t="inlineStr"/>
      <c r="Q63" s="5" t="inlineStr"/>
      <c r="R63" s="5" t="inlineStr"/>
      <c r="S63" s="5" t="inlineStr"/>
      <c r="T63" s="5" t="inlineStr"/>
      <c r="U63" s="5" t="inlineStr"/>
      <c r="V63" s="5" t="inlineStr"/>
      <c r="W63" s="5" t="inlineStr"/>
      <c r="X63" s="5" t="inlineStr"/>
      <c r="Y63" s="5" t="inlineStr"/>
      <c r="Z63" s="6" t="inlineStr"/>
      <c r="AA63" s="5" t="inlineStr"/>
      <c r="AB63" s="5" t="inlineStr"/>
      <c r="AC63" s="5" t="inlineStr"/>
      <c r="AD63" s="5" t="inlineStr"/>
      <c r="AE63" s="5" t="inlineStr"/>
      <c r="AF63" s="5" t="inlineStr"/>
      <c r="AG63" s="5" t="inlineStr"/>
      <c r="AH63" s="5" t="inlineStr"/>
    </row>
    <row r="64">
      <c r="A64" s="5" t="inlineStr">
        <is>
          <t>oyuncagimi-aldi</t>
        </is>
      </c>
      <c r="B64" s="5" t="n">
        <v>3</v>
      </c>
      <c r="C64" s="6" t="inlineStr">
        <is>
          <t>Takas öner</t>
        </is>
      </c>
      <c r="D64" s="5" t="inlineStr">
        <is>
          <t>Kurnazlık</t>
        </is>
      </c>
      <c r="E64" s="5" t="inlineStr">
        <is>
          <t>Kolay</t>
        </is>
      </c>
      <c r="F64" s="5" t="inlineStr"/>
      <c r="G64" s="6" t="inlineStr"/>
      <c r="H64" s="6" t="inlineStr">
        <is>
          <t>Piyasa mekanizması devreye girdi.</t>
        </is>
      </c>
      <c r="I64" s="6" t="inlineStr">
        <is>
          <t>Takas ettin ve üstüne bir de kurabiye aldın. Arbitraj.</t>
        </is>
      </c>
      <c r="J64" s="6" t="inlineStr">
        <is>
          <t>Teklifin reddedildi. Piyasa durgun.</t>
        </is>
      </c>
      <c r="K64" s="6" t="inlineStr">
        <is>
          <t>Takas ettin; eline geçen oyuncağın sahibi başka bir çocuk çıktı.</t>
        </is>
      </c>
      <c r="L64" s="6" t="inlineStr"/>
      <c r="M64" s="5" t="inlineStr"/>
      <c r="N64" s="5" t="inlineStr"/>
      <c r="O64" s="6" t="inlineStr"/>
      <c r="P64" s="6" t="inlineStr"/>
      <c r="Q64" s="5" t="inlineStr"/>
      <c r="R64" s="5" t="inlineStr"/>
      <c r="S64" s="5" t="inlineStr"/>
      <c r="T64" s="5" t="inlineStr"/>
      <c r="U64" s="5" t="inlineStr"/>
      <c r="V64" s="5" t="inlineStr"/>
      <c r="W64" s="5" t="inlineStr"/>
      <c r="X64" s="5" t="inlineStr"/>
      <c r="Y64" s="5" t="inlineStr"/>
      <c r="Z64" s="6" t="inlineStr"/>
      <c r="AA64" s="5" t="inlineStr"/>
      <c r="AB64" s="5" t="inlineStr"/>
      <c r="AC64" s="5" t="inlineStr"/>
      <c r="AD64" s="5" t="inlineStr"/>
      <c r="AE64" s="5" t="inlineStr"/>
      <c r="AF64" s="5" t="inlineStr"/>
      <c r="AG64" s="5" t="inlineStr"/>
      <c r="AH64" s="5" t="inlineStr"/>
    </row>
    <row r="65">
      <c r="A65" s="5" t="inlineStr">
        <is>
          <t>oyuncagimi-aldi</t>
        </is>
      </c>
      <c r="B65" s="5" t="n">
        <v>4</v>
      </c>
      <c r="C65" s="6" t="inlineStr">
        <is>
          <t>Öğretmene söyle</t>
        </is>
      </c>
      <c r="D65" s="5" t="inlineStr"/>
      <c r="E65" s="5" t="inlineStr"/>
      <c r="F65" s="5" t="inlineStr">
        <is>
          <t>İtibar +1</t>
        </is>
      </c>
      <c r="G65" s="6" t="inlineStr">
        <is>
          <t>Uyuşmazlık kurumsal kanala taşındı.</t>
        </is>
      </c>
      <c r="H65" s="6" t="inlineStr"/>
      <c r="I65" s="6" t="inlineStr"/>
      <c r="J65" s="6" t="inlineStr"/>
      <c r="K65" s="6" t="inlineStr"/>
      <c r="L65" s="6" t="inlineStr"/>
      <c r="M65" s="5" t="inlineStr"/>
      <c r="N65" s="5" t="inlineStr"/>
      <c r="O65" s="6" t="inlineStr"/>
      <c r="P65" s="6" t="inlineStr"/>
      <c r="Q65" s="5" t="inlineStr"/>
      <c r="R65" s="5" t="inlineStr"/>
      <c r="S65" s="5" t="inlineStr"/>
      <c r="T65" s="5" t="inlineStr"/>
      <c r="U65" s="5" t="inlineStr"/>
      <c r="V65" s="5" t="inlineStr"/>
      <c r="W65" s="5" t="inlineStr"/>
      <c r="X65" s="5" t="inlineStr"/>
      <c r="Y65" s="5" t="inlineStr"/>
      <c r="Z65" s="6" t="inlineStr"/>
      <c r="AA65" s="5" t="inlineStr"/>
      <c r="AB65" s="5" t="inlineStr"/>
      <c r="AC65" s="5" t="inlineStr"/>
      <c r="AD65" s="5" t="inlineStr"/>
      <c r="AE65" s="5" t="inlineStr"/>
      <c r="AF65" s="5" t="inlineStr"/>
      <c r="AG65" s="5" t="inlineStr"/>
      <c r="AH65" s="5" t="inlineStr"/>
    </row>
    <row r="66">
      <c r="A66" s="5" t="inlineStr">
        <is>
          <t>ogretmen-yanlis-anladi</t>
        </is>
      </c>
      <c r="B66" s="5" t="n">
        <v>1</v>
      </c>
      <c r="C66" s="6" t="inlineStr">
        <is>
          <t>Kendini anlat</t>
        </is>
      </c>
      <c r="D66" s="5" t="inlineStr">
        <is>
          <t>Çene</t>
        </is>
      </c>
      <c r="E66" s="5" t="inlineStr">
        <is>
          <t>Kolay</t>
        </is>
      </c>
      <c r="F66" s="5" t="inlineStr"/>
      <c r="G66" s="6" t="inlineStr"/>
      <c r="H66" s="6" t="inlineStr">
        <is>
          <t>Dosyaya kendi ifaden eklendi.</t>
        </is>
      </c>
      <c r="I66" s="6" t="inlineStr">
        <is>
          <t>Öyle net anlattın ki öğretmen sana teşekkür edip seni sınıf sözcüsü yaptı.</t>
        </is>
      </c>
      <c r="J66" s="6" t="inlineStr">
        <is>
          <t>Anlattın ama ağlamaklı ses tonu mesajın önüne geçti.</t>
        </is>
      </c>
      <c r="K66" s="6" t="inlineStr">
        <is>
          <t>Anlatırken olayı daha da karıştırdın. Artık sen de ne olduğunu bilmiyorsun.</t>
        </is>
      </c>
      <c r="L66" s="6" t="inlineStr"/>
      <c r="M66" s="5" t="inlineStr"/>
      <c r="N66" s="5" t="inlineStr"/>
      <c r="O66" s="6" t="inlineStr"/>
      <c r="P66" s="6" t="inlineStr"/>
      <c r="Q66" s="5" t="inlineStr"/>
      <c r="R66" s="5" t="inlineStr"/>
      <c r="S66" s="5" t="inlineStr"/>
      <c r="T66" s="5" t="inlineStr"/>
      <c r="U66" s="5" t="inlineStr"/>
      <c r="V66" s="5" t="inlineStr"/>
      <c r="W66" s="5" t="inlineStr"/>
      <c r="X66" s="5" t="inlineStr"/>
      <c r="Y66" s="5" t="inlineStr"/>
      <c r="Z66" s="6" t="inlineStr"/>
      <c r="AA66" s="5" t="inlineStr"/>
      <c r="AB66" s="5" t="inlineStr"/>
      <c r="AC66" s="5" t="inlineStr"/>
      <c r="AD66" s="5" t="inlineStr"/>
      <c r="AE66" s="5" t="inlineStr"/>
      <c r="AF66" s="5" t="inlineStr"/>
      <c r="AG66" s="5" t="inlineStr"/>
      <c r="AH66" s="5" t="inlineStr"/>
    </row>
    <row r="67">
      <c r="A67" s="5" t="inlineStr">
        <is>
          <t>ogretmen-yanlis-anladi</t>
        </is>
      </c>
      <c r="B67" s="5" t="n">
        <v>2</v>
      </c>
      <c r="C67" s="6" t="inlineStr">
        <is>
          <t>Sakin kal</t>
        </is>
      </c>
      <c r="D67" s="5" t="inlineStr">
        <is>
          <t>İtibar</t>
        </is>
      </c>
      <c r="E67" s="5" t="inlineStr">
        <is>
          <t>Kolay</t>
        </is>
      </c>
      <c r="F67" s="5" t="inlineStr"/>
      <c r="G67" s="6" t="inlineStr"/>
      <c r="H67" s="6" t="inlineStr">
        <is>
          <t>Gerilim büyümeden geçti.</t>
        </is>
      </c>
      <c r="I67" s="6" t="inlineStr">
        <is>
          <t>Sakin kaldın; öğretmen gerçeği kendisi fark etti ve özür diledi. Bu nadir görülür.</t>
        </is>
      </c>
      <c r="J67" s="6" t="inlineStr">
        <is>
          <t>Sakin kaldın ama içinden kaynıyordun. Yüzüne yansıdı.</t>
        </is>
      </c>
      <c r="K67" s="6" t="inlineStr">
        <is>
          <t>Sakin kaldın; suskunluğun itiraf sayıldı.</t>
        </is>
      </c>
      <c r="L67" s="6" t="inlineStr"/>
      <c r="M67" s="5" t="inlineStr"/>
      <c r="N67" s="5" t="inlineStr"/>
      <c r="O67" s="6" t="inlineStr"/>
      <c r="P67" s="6" t="inlineStr"/>
      <c r="Q67" s="5" t="inlineStr"/>
      <c r="R67" s="5" t="inlineStr"/>
      <c r="S67" s="5" t="inlineStr"/>
      <c r="T67" s="5" t="inlineStr"/>
      <c r="U67" s="5" t="inlineStr"/>
      <c r="V67" s="5" t="inlineStr"/>
      <c r="W67" s="5" t="inlineStr"/>
      <c r="X67" s="5" t="inlineStr"/>
      <c r="Y67" s="5" t="inlineStr"/>
      <c r="Z67" s="6" t="inlineStr"/>
      <c r="AA67" s="5" t="inlineStr"/>
      <c r="AB67" s="5" t="inlineStr"/>
      <c r="AC67" s="5" t="inlineStr"/>
      <c r="AD67" s="5" t="inlineStr"/>
      <c r="AE67" s="5" t="inlineStr"/>
      <c r="AF67" s="5" t="inlineStr"/>
      <c r="AG67" s="5" t="inlineStr"/>
      <c r="AH67" s="5" t="inlineStr"/>
    </row>
    <row r="68">
      <c r="A68" s="5" t="inlineStr">
        <is>
          <t>ogretmen-yanlis-anladi</t>
        </is>
      </c>
      <c r="B68" s="5" t="n">
        <v>3</v>
      </c>
      <c r="C68" s="6" t="inlineStr">
        <is>
          <t>Boş ver</t>
        </is>
      </c>
      <c r="D68" s="5" t="inlineStr"/>
      <c r="E68" s="5" t="inlineStr"/>
      <c r="F68" s="5" t="inlineStr">
        <is>
          <t>Dayanıklılık +1</t>
        </is>
      </c>
      <c r="G68" s="6" t="inlineStr">
        <is>
          <t>Her yanlış anlaşılma toplantı gerektirmiyor.</t>
        </is>
      </c>
      <c r="H68" s="6" t="inlineStr"/>
      <c r="I68" s="6" t="inlineStr"/>
      <c r="J68" s="6" t="inlineStr"/>
      <c r="K68" s="6" t="inlineStr"/>
      <c r="L68" s="6" t="inlineStr"/>
      <c r="M68" s="5" t="inlineStr"/>
      <c r="N68" s="5" t="inlineStr"/>
      <c r="O68" s="6" t="inlineStr"/>
      <c r="P68" s="6" t="inlineStr"/>
      <c r="Q68" s="5" t="inlineStr"/>
      <c r="R68" s="5" t="inlineStr"/>
      <c r="S68" s="5" t="inlineStr"/>
      <c r="T68" s="5" t="inlineStr"/>
      <c r="U68" s="5" t="inlineStr"/>
      <c r="V68" s="5" t="inlineStr"/>
      <c r="W68" s="5" t="inlineStr"/>
      <c r="X68" s="5" t="inlineStr"/>
      <c r="Y68" s="5" t="inlineStr"/>
      <c r="Z68" s="6" t="inlineStr"/>
      <c r="AA68" s="5" t="inlineStr"/>
      <c r="AB68" s="5" t="inlineStr"/>
      <c r="AC68" s="5" t="inlineStr"/>
      <c r="AD68" s="5" t="inlineStr"/>
      <c r="AE68" s="5" t="inlineStr"/>
      <c r="AF68" s="5" t="inlineStr"/>
      <c r="AG68" s="5" t="inlineStr"/>
      <c r="AH68" s="5" t="inlineStr"/>
    </row>
    <row r="69">
      <c r="A69" s="5" t="inlineStr">
        <is>
          <t>ogretmen-yanlis-anladi</t>
        </is>
      </c>
      <c r="B69" s="5" t="n">
        <v>4</v>
      </c>
      <c r="C69" s="6" t="inlineStr">
        <is>
          <t>Gerçek suçluyu gösteren ayrıntıyı hatırla</t>
        </is>
      </c>
      <c r="D69" s="5" t="inlineStr">
        <is>
          <t>Sosyal Radar</t>
        </is>
      </c>
      <c r="E69" s="5" t="inlineStr">
        <is>
          <t>Kolay</t>
        </is>
      </c>
      <c r="F69" s="5" t="inlineStr"/>
      <c r="G69" s="6" t="inlineStr"/>
      <c r="H69" s="6" t="inlineStr">
        <is>
          <t>Suçlunun elindeki boyayı hatırladın. Dosya yeniden açıldı.</t>
        </is>
      </c>
      <c r="I69" s="6" t="inlineStr">
        <is>
          <t>Ayrıntıları öyle sıraladın ki öğretmen seni sınıfın dedektifi ilan etti.</t>
        </is>
      </c>
      <c r="J69" s="6" t="inlineStr">
        <is>
          <t>Ayrıntıyı hatırladın ama kimse inanmadı.</t>
        </is>
      </c>
      <c r="K69" s="6" t="inlineStr">
        <is>
          <t>Yanlış ayrıntıyı hatırladın. Suçlu, masum bir boya kalemi oldu.</t>
        </is>
      </c>
      <c r="L69" s="6" t="inlineStr"/>
      <c r="M69" s="5" t="inlineStr"/>
      <c r="N69" s="5" t="inlineStr"/>
      <c r="O69" s="6" t="inlineStr"/>
      <c r="P69" s="6" t="inlineStr"/>
      <c r="Q69" s="5" t="inlineStr">
        <is>
          <t>Sessiz Gözlemci</t>
        </is>
      </c>
      <c r="R69" s="5" t="inlineStr"/>
      <c r="S69" s="5" t="inlineStr"/>
      <c r="T69" s="5" t="inlineStr"/>
      <c r="U69" s="5" t="inlineStr"/>
      <c r="V69" s="5" t="inlineStr"/>
      <c r="W69" s="5" t="inlineStr"/>
      <c r="X69" s="5" t="inlineStr"/>
      <c r="Y69" s="5" t="inlineStr"/>
      <c r="Z69" s="6" t="inlineStr"/>
      <c r="AA69" s="5" t="inlineStr"/>
      <c r="AB69" s="5" t="inlineStr"/>
      <c r="AC69" s="5" t="inlineStr"/>
      <c r="AD69" s="5" t="inlineStr"/>
      <c r="AE69" s="5" t="inlineStr"/>
      <c r="AF69" s="5" t="inlineStr"/>
      <c r="AG69" s="5" t="inlineStr"/>
      <c r="AH69" s="5" t="inlineStr"/>
    </row>
    <row r="70">
      <c r="A70" s="5" t="inlineStr">
        <is>
          <t>parkin-buyuk-cocugu</t>
        </is>
      </c>
      <c r="B70" s="5" t="n">
        <v>1</v>
      </c>
      <c r="C70" s="6" t="inlineStr">
        <is>
          <t>Başka yere git</t>
        </is>
      </c>
      <c r="D70" s="5" t="inlineStr"/>
      <c r="E70" s="5" t="inlineStr"/>
      <c r="F70" s="5" t="inlineStr">
        <is>
          <t>Dayanıklılık +1</t>
        </is>
      </c>
      <c r="G70" s="6" t="inlineStr">
        <is>
          <t>Kaynakları yeniden dağıttın.</t>
        </is>
      </c>
      <c r="H70" s="6" t="inlineStr"/>
      <c r="I70" s="6" t="inlineStr"/>
      <c r="J70" s="6" t="inlineStr"/>
      <c r="K70" s="6" t="inlineStr"/>
      <c r="L70" s="6" t="inlineStr"/>
      <c r="M70" s="5" t="inlineStr"/>
      <c r="N70" s="5" t="inlineStr"/>
      <c r="O70" s="6" t="inlineStr"/>
      <c r="P70" s="6" t="inlineStr"/>
      <c r="Q70" s="5" t="inlineStr"/>
      <c r="R70" s="5" t="inlineStr"/>
      <c r="S70" s="5" t="inlineStr"/>
      <c r="T70" s="5" t="inlineStr"/>
      <c r="U70" s="5" t="inlineStr"/>
      <c r="V70" s="5" t="inlineStr"/>
      <c r="W70" s="5" t="inlineStr"/>
      <c r="X70" s="5" t="inlineStr"/>
      <c r="Y70" s="5" t="inlineStr"/>
      <c r="Z70" s="6" t="inlineStr"/>
      <c r="AA70" s="5" t="inlineStr"/>
      <c r="AB70" s="5" t="inlineStr"/>
      <c r="AC70" s="5" t="inlineStr"/>
      <c r="AD70" s="5" t="inlineStr"/>
      <c r="AE70" s="5" t="inlineStr"/>
      <c r="AF70" s="5" t="inlineStr"/>
      <c r="AG70" s="5" t="inlineStr"/>
      <c r="AH70" s="5" t="inlineStr"/>
    </row>
    <row r="71">
      <c r="A71" s="5" t="inlineStr">
        <is>
          <t>parkin-buyuk-cocugu</t>
        </is>
      </c>
      <c r="B71" s="5" t="n">
        <v>2</v>
      </c>
      <c r="C71" s="6" t="inlineStr">
        <is>
          <t>'Herkesin burası' de</t>
        </is>
      </c>
      <c r="D71" s="5" t="inlineStr">
        <is>
          <t>Cesaret</t>
        </is>
      </c>
      <c r="E71" s="5" t="inlineStr">
        <is>
          <t>Zor</t>
        </is>
      </c>
      <c r="F71" s="5" t="inlineStr"/>
      <c r="G71" s="6" t="inlineStr"/>
      <c r="H71" s="6" t="inlineStr">
        <is>
          <t>Kamusal alan savunması yaptın. Büyük çocuk kenara çekildi.</t>
        </is>
      </c>
      <c r="I71" s="6" t="inlineStr">
        <is>
          <t>Konuşmanı bitirdiğinde parktaki tüm küçük çocuklar arkandaydı. Kaydırak halka açıldı.</t>
        </is>
      </c>
      <c r="J71" s="6" t="inlineStr">
        <is>
          <t>Söyledin. Büyük çocuk güldü. Biraz daha büyüyünce tekrar denersin.</t>
        </is>
      </c>
      <c r="K71" s="6" t="inlineStr">
        <is>
          <t>Söyledin. Büyük çocuk kaydıraktan kaydı ve tam önüne indi. Sessizlik.</t>
        </is>
      </c>
      <c r="L71" s="6" t="inlineStr"/>
      <c r="M71" s="5" t="inlineStr"/>
      <c r="N71" s="5" t="inlineStr"/>
      <c r="O71" s="6" t="inlineStr"/>
      <c r="P71" s="6" t="inlineStr"/>
      <c r="Q71" s="5" t="inlineStr"/>
      <c r="R71" s="5" t="inlineStr"/>
      <c r="S71" s="5" t="inlineStr"/>
      <c r="T71" s="5" t="inlineStr"/>
      <c r="U71" s="5" t="inlineStr"/>
      <c r="V71" s="5" t="inlineStr">
        <is>
          <t>cesurPark</t>
        </is>
      </c>
      <c r="W71" s="5" t="inlineStr"/>
      <c r="X71" s="5" t="inlineStr"/>
      <c r="Y71" s="5" t="inlineStr"/>
      <c r="Z71" s="6" t="inlineStr"/>
      <c r="AA71" s="5" t="inlineStr"/>
      <c r="AB71" s="5" t="inlineStr"/>
      <c r="AC71" s="5" t="inlineStr"/>
      <c r="AD71" s="5" t="inlineStr"/>
      <c r="AE71" s="5" t="inlineStr"/>
      <c r="AF71" s="5" t="inlineStr"/>
      <c r="AG71" s="5" t="inlineStr"/>
      <c r="AH71" s="5" t="inlineStr"/>
    </row>
    <row r="72">
      <c r="A72" s="5" t="inlineStr">
        <is>
          <t>parkin-buyuk-cocugu</t>
        </is>
      </c>
      <c r="B72" s="5" t="n">
        <v>3</v>
      </c>
      <c r="C72" s="6" t="inlineStr">
        <is>
          <t>Diğer çocukları ölç</t>
        </is>
      </c>
      <c r="D72" s="5" t="inlineStr">
        <is>
          <t>Sosyal Radar</t>
        </is>
      </c>
      <c r="E72" s="5" t="inlineStr">
        <is>
          <t>Orta</t>
        </is>
      </c>
      <c r="F72" s="5" t="inlineStr"/>
      <c r="G72" s="6" t="inlineStr"/>
      <c r="H72" s="6" t="inlineStr">
        <is>
          <t>Koalisyon ihtimalini değerlendirdin ve kurdun.</t>
        </is>
      </c>
      <c r="I72" s="6" t="inlineStr">
        <is>
          <t>Üç çocukla koalisyon kurdun. Büyük çocuk çoğunluğa boyun eğdi.</t>
        </is>
      </c>
      <c r="J72" s="6" t="inlineStr">
        <is>
          <t>Çocukları ölçtün; hepsi senden de küçüktü.</t>
        </is>
      </c>
      <c r="K72" s="6" t="inlineStr">
        <is>
          <t>Koalisyon kurdun; koalisyon büyük çocuğun tarafına geçti.</t>
        </is>
      </c>
      <c r="L72" s="6" t="inlineStr"/>
      <c r="M72" s="5" t="inlineStr"/>
      <c r="N72" s="5" t="inlineStr"/>
      <c r="O72" s="6" t="inlineStr"/>
      <c r="P72" s="6" t="inlineStr"/>
      <c r="Q72" s="5" t="inlineStr"/>
      <c r="R72" s="5" t="inlineStr"/>
      <c r="S72" s="5" t="inlineStr"/>
      <c r="T72" s="5" t="inlineStr"/>
      <c r="U72" s="5" t="inlineStr"/>
      <c r="V72" s="5" t="inlineStr"/>
      <c r="W72" s="5" t="inlineStr"/>
      <c r="X72" s="5" t="inlineStr"/>
      <c r="Y72" s="5" t="inlineStr"/>
      <c r="Z72" s="6" t="inlineStr"/>
      <c r="AA72" s="5" t="inlineStr"/>
      <c r="AB72" s="5" t="inlineStr"/>
      <c r="AC72" s="5" t="inlineStr"/>
      <c r="AD72" s="5" t="inlineStr"/>
      <c r="AE72" s="5" t="inlineStr"/>
      <c r="AF72" s="5" t="inlineStr"/>
      <c r="AG72" s="5" t="inlineStr"/>
      <c r="AH72" s="5" t="inlineStr"/>
    </row>
    <row r="73">
      <c r="A73" s="5" t="inlineStr">
        <is>
          <t>market-kasasi</t>
        </is>
      </c>
      <c r="B73" s="5" t="n">
        <v>1</v>
      </c>
      <c r="C73" s="6" t="inlineStr">
        <is>
          <t>Şekeri iste</t>
        </is>
      </c>
      <c r="D73" s="5" t="inlineStr"/>
      <c r="E73" s="5" t="inlineStr"/>
      <c r="F73" s="5" t="inlineStr">
        <is>
          <t>Çene +1</t>
        </is>
      </c>
      <c r="G73" s="6" t="inlineStr">
        <is>
          <t>Talep açıkça iletildi.</t>
        </is>
      </c>
      <c r="H73" s="6" t="inlineStr"/>
      <c r="I73" s="6" t="inlineStr"/>
      <c r="J73" s="6" t="inlineStr"/>
      <c r="K73" s="6" t="inlineStr"/>
      <c r="L73" s="6" t="inlineStr"/>
      <c r="M73" s="5" t="inlineStr"/>
      <c r="N73" s="5" t="inlineStr"/>
      <c r="O73" s="6" t="inlineStr"/>
      <c r="P73" s="6" t="inlineStr"/>
      <c r="Q73" s="5" t="inlineStr"/>
      <c r="R73" s="5" t="inlineStr"/>
      <c r="S73" s="5" t="inlineStr"/>
      <c r="T73" s="5" t="inlineStr"/>
      <c r="U73" s="5" t="inlineStr"/>
      <c r="V73" s="5" t="inlineStr"/>
      <c r="W73" s="5" t="inlineStr"/>
      <c r="X73" s="5" t="inlineStr"/>
      <c r="Y73" s="5" t="inlineStr"/>
      <c r="Z73" s="6" t="inlineStr"/>
      <c r="AA73" s="5" t="inlineStr"/>
      <c r="AB73" s="5" t="inlineStr"/>
      <c r="AC73" s="5" t="inlineStr"/>
      <c r="AD73" s="5" t="inlineStr"/>
      <c r="AE73" s="5" t="inlineStr"/>
      <c r="AF73" s="5" t="inlineStr"/>
      <c r="AG73" s="5" t="inlineStr"/>
      <c r="AH73" s="5" t="inlineStr"/>
    </row>
    <row r="74">
      <c r="A74" s="5" t="inlineStr">
        <is>
          <t>market-kasasi</t>
        </is>
      </c>
      <c r="B74" s="5" t="n">
        <v>2</v>
      </c>
      <c r="C74" s="6" t="inlineStr">
        <is>
          <t>Sepete gizlice koy</t>
        </is>
      </c>
      <c r="D74" s="5" t="inlineStr">
        <is>
          <t>Kurnazlık</t>
        </is>
      </c>
      <c r="E74" s="5" t="inlineStr">
        <is>
          <t>Orta</t>
        </is>
      </c>
      <c r="F74" s="5" t="inlineStr"/>
      <c r="G74" s="6" t="inlineStr"/>
      <c r="H74" s="6" t="inlineStr">
        <is>
          <t>Satın alma sürecine gölge operasyon eklendi.</t>
        </is>
      </c>
      <c r="I74" s="6" t="inlineStr">
        <is>
          <t>Şeker kasadan geçti, eve geldi, kimse fark etmedi. Kusursuz tedarik zinciri.</t>
        </is>
      </c>
      <c r="J74" s="6" t="inlineStr">
        <is>
          <t>Kasiyer şekeri gördü ve sana göz kırptı. Şeker rafa döndü.</t>
        </is>
      </c>
      <c r="K74" s="6" t="inlineStr">
        <is>
          <t>Sepete koyduğun şey şeker değil, pilmiş. Ailen çok şaşırdı.</t>
        </is>
      </c>
      <c r="L74" s="6" t="inlineStr"/>
      <c r="M74" s="5" t="inlineStr"/>
      <c r="N74" s="5" t="inlineStr"/>
      <c r="O74" s="6" t="inlineStr"/>
      <c r="P74" s="6" t="inlineStr"/>
      <c r="Q74" s="5" t="inlineStr"/>
      <c r="R74" s="5" t="inlineStr"/>
      <c r="S74" s="5" t="inlineStr"/>
      <c r="T74" s="5" t="inlineStr"/>
      <c r="U74" s="5" t="inlineStr"/>
      <c r="V74" s="5" t="inlineStr"/>
      <c r="W74" s="5" t="inlineStr"/>
      <c r="X74" s="5" t="inlineStr"/>
      <c r="Y74" s="5" t="inlineStr"/>
      <c r="Z74" s="6" t="inlineStr"/>
      <c r="AA74" s="5" t="inlineStr"/>
      <c r="AB74" s="5" t="inlineStr"/>
      <c r="AC74" s="5" t="inlineStr"/>
      <c r="AD74" s="5" t="inlineStr"/>
      <c r="AE74" s="5" t="inlineStr"/>
      <c r="AF74" s="5" t="inlineStr"/>
      <c r="AG74" s="5" t="inlineStr"/>
      <c r="AH74" s="5" t="inlineStr"/>
    </row>
    <row r="75">
      <c r="A75" s="5" t="inlineStr">
        <is>
          <t>market-kasasi</t>
        </is>
      </c>
      <c r="B75" s="5" t="n">
        <v>3</v>
      </c>
      <c r="C75" s="6" t="inlineStr">
        <is>
          <t>Dokunma</t>
        </is>
      </c>
      <c r="D75" s="5" t="inlineStr">
        <is>
          <t>İtibar</t>
        </is>
      </c>
      <c r="E75" s="5" t="inlineStr">
        <is>
          <t>Çok Kolay</t>
        </is>
      </c>
      <c r="F75" s="5" t="inlineStr"/>
      <c r="G75" s="6" t="inlineStr"/>
      <c r="H75" s="6" t="inlineStr">
        <is>
          <t>Perakende psikolojisine karşı ilk zafer.</t>
        </is>
      </c>
      <c r="I75" s="6" t="inlineStr">
        <is>
          <t>Dokunmadın; kasiyer ödül olarak sana bir şeker hediye etti. Sistem kendi silahıyla yenildi.</t>
        </is>
      </c>
      <c r="J75" s="6" t="inlineStr">
        <is>
          <t>Dokunmadın ama gözün şekerde kaldı. Kasiyer gördü, ailen gördü.</t>
        </is>
      </c>
      <c r="K75" s="6" t="inlineStr">
        <is>
          <t>Dokunmamaya çalışırken tüm şeker standını devirdin.</t>
        </is>
      </c>
      <c r="L75" s="6" t="inlineStr"/>
      <c r="M75" s="5" t="inlineStr"/>
      <c r="N75" s="5" t="inlineStr"/>
      <c r="O75" s="6" t="inlineStr"/>
      <c r="P75" s="6" t="inlineStr"/>
      <c r="Q75" s="5" t="inlineStr"/>
      <c r="R75" s="5" t="inlineStr"/>
      <c r="S75" s="5" t="inlineStr"/>
      <c r="T75" s="5" t="inlineStr"/>
      <c r="U75" s="5" t="inlineStr"/>
      <c r="V75" s="5" t="inlineStr"/>
      <c r="W75" s="5" t="inlineStr"/>
      <c r="X75" s="5" t="inlineStr"/>
      <c r="Y75" s="5" t="inlineStr"/>
      <c r="Z75" s="6" t="inlineStr"/>
      <c r="AA75" s="5" t="inlineStr"/>
      <c r="AB75" s="5" t="inlineStr"/>
      <c r="AC75" s="5" t="inlineStr"/>
      <c r="AD75" s="5" t="inlineStr"/>
      <c r="AE75" s="5" t="inlineStr"/>
      <c r="AF75" s="5" t="inlineStr"/>
      <c r="AG75" s="5" t="inlineStr"/>
      <c r="AH75" s="5" t="inlineStr"/>
    </row>
    <row r="76">
      <c r="A76" s="5" t="inlineStr">
        <is>
          <t>baskasinin-dogum-gunu</t>
        </is>
      </c>
      <c r="B76" s="5" t="n">
        <v>1</v>
      </c>
      <c r="C76" s="6" t="inlineStr">
        <is>
          <t>Alkışla</t>
        </is>
      </c>
      <c r="D76" s="5" t="inlineStr"/>
      <c r="E76" s="5" t="inlineStr"/>
      <c r="F76" s="5" t="inlineStr">
        <is>
          <t>İtibar +1</t>
        </is>
      </c>
      <c r="G76" s="6" t="inlineStr">
        <is>
          <t>Sisteme uyum gösterdin.</t>
        </is>
      </c>
      <c r="H76" s="6" t="inlineStr"/>
      <c r="I76" s="6" t="inlineStr"/>
      <c r="J76" s="6" t="inlineStr"/>
      <c r="K76" s="6" t="inlineStr"/>
      <c r="L76" s="6" t="inlineStr"/>
      <c r="M76" s="5" t="inlineStr"/>
      <c r="N76" s="5" t="inlineStr"/>
      <c r="O76" s="6" t="inlineStr"/>
      <c r="P76" s="6" t="inlineStr"/>
      <c r="Q76" s="5" t="inlineStr"/>
      <c r="R76" s="5" t="inlineStr"/>
      <c r="S76" s="5" t="inlineStr"/>
      <c r="T76" s="5" t="inlineStr"/>
      <c r="U76" s="5" t="inlineStr"/>
      <c r="V76" s="5" t="inlineStr"/>
      <c r="W76" s="5" t="inlineStr"/>
      <c r="X76" s="5" t="inlineStr"/>
      <c r="Y76" s="5" t="inlineStr"/>
      <c r="Z76" s="6" t="inlineStr"/>
      <c r="AA76" s="5" t="inlineStr"/>
      <c r="AB76" s="5" t="inlineStr"/>
      <c r="AC76" s="5" t="inlineStr"/>
      <c r="AD76" s="5" t="inlineStr"/>
      <c r="AE76" s="5" t="inlineStr"/>
      <c r="AF76" s="5" t="inlineStr"/>
      <c r="AG76" s="5" t="inlineStr"/>
      <c r="AH76" s="5" t="inlineStr"/>
    </row>
    <row r="77">
      <c r="A77" s="5" t="inlineStr">
        <is>
          <t>baskasinin-dogum-gunu</t>
        </is>
      </c>
      <c r="B77" s="5" t="n">
        <v>2</v>
      </c>
      <c r="C77" s="6" t="inlineStr">
        <is>
          <t>İlgi çek</t>
        </is>
      </c>
      <c r="D77" s="5" t="inlineStr">
        <is>
          <t>Pişkinlik</t>
        </is>
      </c>
      <c r="E77" s="5" t="inlineStr">
        <is>
          <t>Orta</t>
        </is>
      </c>
      <c r="F77" s="5" t="inlineStr"/>
      <c r="G77" s="6" t="inlineStr"/>
      <c r="H77" s="6" t="inlineStr">
        <is>
          <t>Spot ışığı kısa süreliğine yön değiştirdi.</t>
        </is>
      </c>
      <c r="I77" s="6" t="inlineStr">
        <is>
          <t>Sahneye çıktın, şarkıyı sen söyledin, fotoğraflarda ortadasın.</t>
        </is>
      </c>
      <c r="J77" s="6" t="inlineStr">
        <is>
          <t>İlgi çekmeye çalıştın; palyaço daha iyiydi.</t>
        </is>
      </c>
      <c r="K77" s="6" t="inlineStr">
        <is>
          <t>İlgi çekerken bir hediyeyi açtın. Senin değildi.</t>
        </is>
      </c>
      <c r="L77" s="6" t="inlineStr"/>
      <c r="M77" s="5" t="inlineStr"/>
      <c r="N77" s="5" t="inlineStr"/>
      <c r="O77" s="6" t="inlineStr"/>
      <c r="P77" s="6" t="inlineStr"/>
      <c r="Q77" s="5" t="inlineStr"/>
      <c r="R77" s="5" t="inlineStr"/>
      <c r="S77" s="5" t="inlineStr"/>
      <c r="T77" s="5" t="inlineStr"/>
      <c r="U77" s="5" t="inlineStr"/>
      <c r="V77" s="5" t="inlineStr"/>
      <c r="W77" s="5" t="inlineStr"/>
      <c r="X77" s="5" t="inlineStr"/>
      <c r="Y77" s="5" t="inlineStr"/>
      <c r="Z77" s="6" t="inlineStr"/>
      <c r="AA77" s="5" t="inlineStr"/>
      <c r="AB77" s="5" t="inlineStr"/>
      <c r="AC77" s="5" t="inlineStr"/>
      <c r="AD77" s="5" t="inlineStr"/>
      <c r="AE77" s="5" t="inlineStr"/>
      <c r="AF77" s="5" t="inlineStr"/>
      <c r="AG77" s="5" t="inlineStr"/>
      <c r="AH77" s="5" t="inlineStr"/>
    </row>
    <row r="78">
      <c r="A78" s="5" t="inlineStr">
        <is>
          <t>baskasinin-dogum-gunu</t>
        </is>
      </c>
      <c r="B78" s="5" t="n">
        <v>3</v>
      </c>
      <c r="C78" s="6" t="inlineStr">
        <is>
          <t>Pastaya odaklan</t>
        </is>
      </c>
      <c r="D78" s="5" t="inlineStr"/>
      <c r="E78" s="5" t="inlineStr"/>
      <c r="F78" s="5" t="inlineStr">
        <is>
          <t>Dayanıklılık +1</t>
        </is>
      </c>
      <c r="G78" s="6" t="inlineStr">
        <is>
          <t>Stratejik öncelikler net.</t>
        </is>
      </c>
      <c r="H78" s="6" t="inlineStr"/>
      <c r="I78" s="6" t="inlineStr"/>
      <c r="J78" s="6" t="inlineStr"/>
      <c r="K78" s="6" t="inlineStr"/>
      <c r="L78" s="6" t="inlineStr"/>
      <c r="M78" s="5" t="inlineStr"/>
      <c r="N78" s="5" t="inlineStr"/>
      <c r="O78" s="6" t="inlineStr"/>
      <c r="P78" s="6" t="inlineStr"/>
      <c r="Q78" s="5" t="inlineStr"/>
      <c r="R78" s="5" t="inlineStr"/>
      <c r="S78" s="5" t="inlineStr"/>
      <c r="T78" s="5" t="inlineStr"/>
      <c r="U78" s="5" t="inlineStr"/>
      <c r="V78" s="5" t="inlineStr"/>
      <c r="W78" s="5" t="inlineStr"/>
      <c r="X78" s="5" t="inlineStr"/>
      <c r="Y78" s="5" t="inlineStr"/>
      <c r="Z78" s="6" t="inlineStr"/>
      <c r="AA78" s="5" t="inlineStr"/>
      <c r="AB78" s="5" t="inlineStr"/>
      <c r="AC78" s="5" t="inlineStr"/>
      <c r="AD78" s="5" t="inlineStr"/>
      <c r="AE78" s="5" t="inlineStr"/>
      <c r="AF78" s="5" t="inlineStr"/>
      <c r="AG78" s="5" t="inlineStr"/>
      <c r="AH78" s="5" t="inlineStr"/>
    </row>
    <row r="79">
      <c r="A79" s="5" t="inlineStr">
        <is>
          <t>en-guzel-oyuncak</t>
        </is>
      </c>
      <c r="B79" s="5" t="n">
        <v>1</v>
      </c>
      <c r="C79" s="6" t="inlineStr">
        <is>
          <t>İste</t>
        </is>
      </c>
      <c r="D79" s="5" t="inlineStr">
        <is>
          <t>Çene</t>
        </is>
      </c>
      <c r="E79" s="5" t="inlineStr">
        <is>
          <t>Kolay</t>
        </is>
      </c>
      <c r="F79" s="5" t="inlineStr"/>
      <c r="G79" s="6" t="inlineStr"/>
      <c r="H79" s="6" t="inlineStr">
        <is>
          <t>Talebini medeni şekilde ilettin.</t>
        </is>
      </c>
      <c r="I79" s="6" t="inlineStr">
        <is>
          <t>İstedin; sahibi 'sen oyna' dedi ve bir de nasıl çalıştığını anlattı.</t>
        </is>
      </c>
      <c r="J79" s="6" t="inlineStr">
        <is>
          <t>İstedin; sıraya alındın. Sıra hiç gelmedi.</t>
        </is>
      </c>
      <c r="K79" s="6" t="inlineStr">
        <is>
          <t>İstedin, sahibi ağladı. Oyuncak dolaba kilitlendi.</t>
        </is>
      </c>
      <c r="L79" s="6" t="inlineStr"/>
      <c r="M79" s="5" t="inlineStr"/>
      <c r="N79" s="5" t="inlineStr"/>
      <c r="O79" s="6" t="inlineStr"/>
      <c r="P79" s="6" t="inlineStr"/>
      <c r="Q79" s="5" t="inlineStr"/>
      <c r="R79" s="5" t="inlineStr"/>
      <c r="S79" s="5" t="inlineStr"/>
      <c r="T79" s="5" t="inlineStr"/>
      <c r="U79" s="5" t="inlineStr"/>
      <c r="V79" s="5" t="inlineStr"/>
      <c r="W79" s="5" t="inlineStr"/>
      <c r="X79" s="5" t="inlineStr"/>
      <c r="Y79" s="5" t="inlineStr"/>
      <c r="Z79" s="6" t="inlineStr"/>
      <c r="AA79" s="5" t="inlineStr"/>
      <c r="AB79" s="5" t="inlineStr"/>
      <c r="AC79" s="5" t="inlineStr"/>
      <c r="AD79" s="5" t="inlineStr"/>
      <c r="AE79" s="5" t="inlineStr"/>
      <c r="AF79" s="5" t="inlineStr"/>
      <c r="AG79" s="5" t="inlineStr"/>
      <c r="AH79" s="5" t="inlineStr"/>
    </row>
    <row r="80">
      <c r="A80" s="5" t="inlineStr">
        <is>
          <t>en-guzel-oyuncak</t>
        </is>
      </c>
      <c r="B80" s="5" t="n">
        <v>2</v>
      </c>
      <c r="C80" s="6" t="inlineStr">
        <is>
          <t>Takas öner</t>
        </is>
      </c>
      <c r="D80" s="5" t="inlineStr">
        <is>
          <t>Kurnazlık</t>
        </is>
      </c>
      <c r="E80" s="5" t="inlineStr">
        <is>
          <t>Kolay</t>
        </is>
      </c>
      <c r="F80" s="5" t="inlineStr"/>
      <c r="G80" s="6" t="inlineStr"/>
      <c r="H80" s="6" t="inlineStr">
        <is>
          <t>Değer kavramı kişiden kişiye değişti.</t>
        </is>
      </c>
      <c r="I80" s="6" t="inlineStr">
        <is>
          <t>Sıradan bir kalemi 'nadir koleksiyon parçası' olarak sundun. Takas gerçekleşti.</t>
        </is>
      </c>
      <c r="J80" s="6" t="inlineStr">
        <is>
          <t>Teklifin kimseyi etkilemedi.</t>
        </is>
      </c>
      <c r="K80" s="6" t="inlineStr">
        <is>
          <t>Takas ettin; oyuncağın pili yokmuş.</t>
        </is>
      </c>
      <c r="L80" s="6" t="inlineStr"/>
      <c r="M80" s="5" t="inlineStr"/>
      <c r="N80" s="5" t="inlineStr"/>
      <c r="O80" s="6" t="inlineStr"/>
      <c r="P80" s="6" t="inlineStr"/>
      <c r="Q80" s="5" t="inlineStr"/>
      <c r="R80" s="5" t="inlineStr"/>
      <c r="S80" s="5" t="inlineStr"/>
      <c r="T80" s="5" t="inlineStr"/>
      <c r="U80" s="5" t="inlineStr"/>
      <c r="V80" s="5" t="inlineStr"/>
      <c r="W80" s="5" t="inlineStr"/>
      <c r="X80" s="5" t="inlineStr"/>
      <c r="Y80" s="5" t="inlineStr"/>
      <c r="Z80" s="6" t="inlineStr"/>
      <c r="AA80" s="5" t="inlineStr"/>
      <c r="AB80" s="5" t="inlineStr"/>
      <c r="AC80" s="5" t="inlineStr"/>
      <c r="AD80" s="5" t="inlineStr"/>
      <c r="AE80" s="5" t="inlineStr"/>
      <c r="AF80" s="5" t="inlineStr"/>
      <c r="AG80" s="5" t="inlineStr"/>
      <c r="AH80" s="5" t="inlineStr"/>
    </row>
    <row r="81">
      <c r="A81" s="5" t="inlineStr">
        <is>
          <t>en-guzel-oyuncak</t>
        </is>
      </c>
      <c r="B81" s="5" t="n">
        <v>3</v>
      </c>
      <c r="C81" s="6" t="inlineStr">
        <is>
          <t>Kendi oyuncağınla devam et</t>
        </is>
      </c>
      <c r="D81" s="5" t="inlineStr"/>
      <c r="E81" s="5" t="inlineStr"/>
      <c r="F81" s="5" t="inlineStr">
        <is>
          <t>Dayanıklılık +1</t>
        </is>
      </c>
      <c r="G81" s="6" t="inlineStr">
        <is>
          <t>Bir şeyi kaçırma korkusu henüz tam gelişmedi.</t>
        </is>
      </c>
      <c r="H81" s="6" t="inlineStr"/>
      <c r="I81" s="6" t="inlineStr"/>
      <c r="J81" s="6" t="inlineStr"/>
      <c r="K81" s="6" t="inlineStr"/>
      <c r="L81" s="6" t="inlineStr"/>
      <c r="M81" s="5" t="inlineStr"/>
      <c r="N81" s="5" t="inlineStr"/>
      <c r="O81" s="6" t="inlineStr"/>
      <c r="P81" s="6" t="inlineStr"/>
      <c r="Q81" s="5" t="inlineStr"/>
      <c r="R81" s="5" t="inlineStr"/>
      <c r="S81" s="5" t="inlineStr"/>
      <c r="T81" s="5" t="inlineStr"/>
      <c r="U81" s="5" t="inlineStr"/>
      <c r="V81" s="5" t="inlineStr"/>
      <c r="W81" s="5" t="inlineStr"/>
      <c r="X81" s="5" t="inlineStr"/>
      <c r="Y81" s="5" t="inlineStr"/>
      <c r="Z81" s="6" t="inlineStr"/>
      <c r="AA81" s="5" t="inlineStr"/>
      <c r="AB81" s="5" t="inlineStr"/>
      <c r="AC81" s="5" t="inlineStr"/>
      <c r="AD81" s="5" t="inlineStr"/>
      <c r="AE81" s="5" t="inlineStr"/>
      <c r="AF81" s="5" t="inlineStr"/>
      <c r="AG81" s="5" t="inlineStr"/>
      <c r="AH81" s="5" t="inlineStr"/>
    </row>
    <row r="82">
      <c r="A82" s="5" t="inlineStr">
        <is>
          <t>ilk-gercek-yalan</t>
        </is>
      </c>
      <c r="B82" s="5" t="n">
        <v>1</v>
      </c>
      <c r="C82" s="6" t="inlineStr">
        <is>
          <t>İtiraf et</t>
        </is>
      </c>
      <c r="D82" s="5" t="inlineStr"/>
      <c r="E82" s="5" t="inlineStr"/>
      <c r="F82" s="5" t="inlineStr">
        <is>
          <t>İtibar +2</t>
        </is>
      </c>
      <c r="G82" s="6" t="inlineStr">
        <is>
          <t>Dosya hızlı kapandı.</t>
        </is>
      </c>
      <c r="H82" s="6" t="inlineStr"/>
      <c r="I82" s="6" t="inlineStr"/>
      <c r="J82" s="6" t="inlineStr"/>
      <c r="K82" s="6" t="inlineStr"/>
      <c r="L82" s="6" t="inlineStr"/>
      <c r="M82" s="5" t="inlineStr"/>
      <c r="N82" s="5" t="inlineStr"/>
      <c r="O82" s="6" t="inlineStr"/>
      <c r="P82" s="6" t="inlineStr"/>
      <c r="Q82" s="5" t="inlineStr"/>
      <c r="R82" s="5" t="inlineStr"/>
      <c r="S82" s="5" t="inlineStr"/>
      <c r="T82" s="5" t="inlineStr"/>
      <c r="U82" s="5" t="inlineStr"/>
      <c r="V82" s="5" t="inlineStr"/>
      <c r="W82" s="5" t="inlineStr"/>
      <c r="X82" s="5" t="inlineStr"/>
      <c r="Y82" s="5" t="inlineStr"/>
      <c r="Z82" s="6" t="inlineStr"/>
      <c r="AA82" s="5" t="inlineStr"/>
      <c r="AB82" s="5" t="inlineStr"/>
      <c r="AC82" s="5" t="inlineStr"/>
      <c r="AD82" s="5" t="inlineStr"/>
      <c r="AE82" s="5" t="inlineStr"/>
      <c r="AF82" s="5" t="inlineStr"/>
      <c r="AG82" s="5" t="inlineStr"/>
      <c r="AH82" s="5" t="inlineStr"/>
    </row>
    <row r="83">
      <c r="A83" s="5" t="inlineStr">
        <is>
          <t>ilk-gercek-yalan</t>
        </is>
      </c>
      <c r="B83" s="5" t="n">
        <v>2</v>
      </c>
      <c r="C83" s="6" t="inlineStr">
        <is>
          <t>'Hayır' de</t>
        </is>
      </c>
      <c r="D83" s="5" t="inlineStr">
        <is>
          <t>Çene</t>
        </is>
      </c>
      <c r="E83" s="5" t="inlineStr">
        <is>
          <t>Zor</t>
        </is>
      </c>
      <c r="F83" s="5" t="inlineStr"/>
      <c r="G83" s="6" t="inlineStr"/>
      <c r="H83" s="6" t="inlineStr">
        <is>
          <t>Ses tonun gerçeğin yerine geçti.</t>
        </is>
      </c>
      <c r="I83" s="6" t="inlineStr">
        <is>
          <t>'Hayır' dedin; o kadar samimiydin ki karşındaki yetişkin kendisinden şüphelenmeye başladı.</t>
        </is>
      </c>
      <c r="J83" s="6" t="inlineStr">
        <is>
          <t>'Hayır' dedin, kulakların kızardı. Kulaklar yalan söylemiyor.</t>
        </is>
      </c>
      <c r="K83" s="6" t="inlineStr">
        <is>
          <t>'Hayır' dedin, sonra 'evet' dedin, sonra ağladın. Dosya kapanmadı, genişledi.</t>
        </is>
      </c>
      <c r="L83" s="6" t="inlineStr">
        <is>
          <t>Yüzün yarı yarıya ikna ediciydi. Yetişkin konuyu şimdilik kapattı ama dosyayı değil.</t>
        </is>
      </c>
      <c r="M83" s="5" t="inlineStr">
        <is>
          <t>poker</t>
        </is>
      </c>
      <c r="N83" s="5" t="inlineStr">
        <is>
          <t>Poker Yüzü</t>
        </is>
      </c>
      <c r="O83" s="6" t="inlineStr">
        <is>
          <t>Parmağını daireye koy ve 5 saniye boyunca dairenin içinde tut. Kıpırdama. Göz kırpma.</t>
        </is>
      </c>
      <c r="P83" s="6" t="inlineStr"/>
      <c r="Q83" s="5" t="inlineStr"/>
      <c r="R83" s="5" t="inlineStr"/>
      <c r="S83" s="5" t="inlineStr"/>
      <c r="T83" s="5" t="inlineStr"/>
      <c r="U83" s="5" t="inlineStr">
        <is>
          <t>yalanci</t>
        </is>
      </c>
      <c r="V83" s="5" t="inlineStr"/>
      <c r="W83" s="5" t="inlineStr"/>
      <c r="X83" s="5" t="inlineStr"/>
      <c r="Y83" s="5" t="inlineStr"/>
      <c r="Z83" s="6" t="inlineStr"/>
      <c r="AA83" s="5" t="inlineStr"/>
      <c r="AB83" s="5" t="inlineStr"/>
      <c r="AC83" s="5" t="inlineStr"/>
      <c r="AD83" s="5" t="inlineStr"/>
      <c r="AE83" s="5" t="inlineStr"/>
      <c r="AF83" s="5" t="inlineStr"/>
      <c r="AG83" s="5" t="inlineStr"/>
      <c r="AH83" s="5" t="inlineStr"/>
    </row>
    <row r="84">
      <c r="A84" s="5" t="inlineStr">
        <is>
          <t>ilk-gercek-yalan</t>
        </is>
      </c>
      <c r="B84" s="5" t="n">
        <v>3</v>
      </c>
      <c r="C84" s="6" t="inlineStr">
        <is>
          <t>'O kendi oldu' de</t>
        </is>
      </c>
      <c r="D84" s="5" t="inlineStr">
        <is>
          <t>Pişkinlik</t>
        </is>
      </c>
      <c r="E84" s="5" t="inlineStr">
        <is>
          <t>Çok Zor</t>
        </is>
      </c>
      <c r="F84" s="5" t="inlineStr"/>
      <c r="G84" s="6" t="inlineStr"/>
      <c r="H84" s="6" t="inlineStr">
        <is>
          <t>Nedensellik bilimine meydan okudun ve kazandın.</t>
        </is>
      </c>
      <c r="I84" s="6" t="inlineStr">
        <is>
          <t>Fizik kurallarını yeniden yazdın. Yetişkin bir an kendi kendine olabileceğine inandı.</t>
        </is>
      </c>
      <c r="J84" s="6" t="inlineStr">
        <is>
          <t>'Kendi oldu' dedin. Kimse gülmedi. Bir kişi gülmek üzereydi.</t>
        </is>
      </c>
      <c r="K84" s="6" t="inlineStr">
        <is>
          <t>'Kendi oldu' dedin; tam o sırada yine 'kendi oldu'. Elin hâlâ üstündeydi.</t>
        </is>
      </c>
      <c r="L84" s="6" t="inlineStr"/>
      <c r="M84" s="5" t="inlineStr"/>
      <c r="N84" s="5" t="inlineStr"/>
      <c r="O84" s="6" t="inlineStr"/>
      <c r="P84" s="6" t="inlineStr"/>
      <c r="Q84" s="5" t="inlineStr"/>
      <c r="R84" s="5" t="inlineStr"/>
      <c r="S84" s="5" t="inlineStr"/>
      <c r="T84" s="5" t="inlineStr"/>
      <c r="U84" s="5" t="inlineStr">
        <is>
          <t>yalanci</t>
        </is>
      </c>
      <c r="V84" s="5" t="inlineStr"/>
      <c r="W84" s="5" t="inlineStr"/>
      <c r="X84" s="5" t="inlineStr"/>
      <c r="Y84" s="5" t="inlineStr"/>
      <c r="Z84" s="6" t="inlineStr"/>
      <c r="AA84" s="5" t="inlineStr"/>
      <c r="AB84" s="5" t="inlineStr"/>
      <c r="AC84" s="5" t="inlineStr"/>
      <c r="AD84" s="5" t="inlineStr"/>
      <c r="AE84" s="5" t="inlineStr"/>
      <c r="AF84" s="5" t="inlineStr"/>
      <c r="AG84" s="5" t="inlineStr"/>
      <c r="AH84" s="5" t="inlineStr"/>
    </row>
    <row r="85">
      <c r="A85" s="5" t="inlineStr">
        <is>
          <t>mahalle-bakkali</t>
        </is>
      </c>
      <c r="B85" s="5" t="n">
        <v>1</v>
      </c>
      <c r="C85" s="6" t="inlineStr">
        <is>
          <t>Listeyi ver</t>
        </is>
      </c>
      <c r="D85" s="5" t="inlineStr"/>
      <c r="E85" s="5" t="inlineStr"/>
      <c r="F85" s="5" t="inlineStr">
        <is>
          <t>Dayanıklılık +1</t>
        </is>
      </c>
      <c r="G85" s="6" t="inlineStr">
        <is>
          <t>Operasyon standart prosedürle tamamlandı.</t>
        </is>
      </c>
      <c r="H85" s="6" t="inlineStr"/>
      <c r="I85" s="6" t="inlineStr"/>
      <c r="J85" s="6" t="inlineStr"/>
      <c r="K85" s="6" t="inlineStr"/>
      <c r="L85" s="6" t="inlineStr"/>
      <c r="M85" s="5" t="inlineStr"/>
      <c r="N85" s="5" t="inlineStr"/>
      <c r="O85" s="6" t="inlineStr"/>
      <c r="P85" s="6" t="inlineStr"/>
      <c r="Q85" s="5" t="inlineStr"/>
      <c r="R85" s="5" t="inlineStr"/>
      <c r="S85" s="5" t="inlineStr"/>
      <c r="T85" s="5" t="inlineStr"/>
      <c r="U85" s="5" t="inlineStr"/>
      <c r="V85" s="5" t="inlineStr"/>
      <c r="W85" s="5" t="inlineStr"/>
      <c r="X85" s="5" t="inlineStr"/>
      <c r="Y85" s="5" t="inlineStr"/>
      <c r="Z85" s="6" t="inlineStr"/>
      <c r="AA85" s="5" t="inlineStr"/>
      <c r="AB85" s="5" t="inlineStr"/>
      <c r="AC85" s="5" t="inlineStr"/>
      <c r="AD85" s="5" t="inlineStr"/>
      <c r="AE85" s="5" t="inlineStr"/>
      <c r="AF85" s="5" t="inlineStr"/>
      <c r="AG85" s="5" t="inlineStr"/>
      <c r="AH85" s="5" t="inlineStr"/>
    </row>
    <row r="86">
      <c r="A86" s="5" t="inlineStr">
        <is>
          <t>mahalle-bakkali</t>
        </is>
      </c>
      <c r="B86" s="5" t="n">
        <v>2</v>
      </c>
      <c r="C86" s="6" t="inlineStr">
        <is>
          <t>Fiyat sor</t>
        </is>
      </c>
      <c r="D86" s="5" t="inlineStr">
        <is>
          <t>Çene</t>
        </is>
      </c>
      <c r="E86" s="5" t="inlineStr">
        <is>
          <t>Çok Kolay</t>
        </is>
      </c>
      <c r="F86" s="5" t="inlineStr"/>
      <c r="G86" s="6" t="inlineStr"/>
      <c r="H86" s="6" t="inlineStr">
        <is>
          <t>Piyasa araştırması başladı.</t>
        </is>
      </c>
      <c r="I86" s="6" t="inlineStr">
        <is>
          <t>Fiyat sordun, bakkal indirim yaptı. Nedenini kendisi de bilmiyor.</t>
        </is>
      </c>
      <c r="J86" s="6" t="inlineStr">
        <is>
          <t>Sordun, bakkal duymadı. Radyo açıktı.</t>
        </is>
      </c>
      <c r="K86" s="6" t="inlineStr">
        <is>
          <t>Fiyat sordun, bakkal 'Paran yetmez' dedi. Haklıydı.</t>
        </is>
      </c>
      <c r="L86" s="6" t="inlineStr"/>
      <c r="M86" s="5" t="inlineStr"/>
      <c r="N86" s="5" t="inlineStr"/>
      <c r="O86" s="6" t="inlineStr"/>
      <c r="P86" s="6" t="inlineStr"/>
      <c r="Q86" s="5" t="inlineStr"/>
      <c r="R86" s="5" t="inlineStr"/>
      <c r="S86" s="5" t="inlineStr"/>
      <c r="T86" s="5" t="inlineStr"/>
      <c r="U86" s="5" t="inlineStr"/>
      <c r="V86" s="5" t="inlineStr"/>
      <c r="W86" s="5" t="inlineStr"/>
      <c r="X86" s="5" t="inlineStr"/>
      <c r="Y86" s="5" t="inlineStr"/>
      <c r="Z86" s="6" t="inlineStr"/>
      <c r="AA86" s="5" t="inlineStr"/>
      <c r="AB86" s="5" t="inlineStr"/>
      <c r="AC86" s="5" t="inlineStr"/>
      <c r="AD86" s="5" t="inlineStr"/>
      <c r="AE86" s="5" t="inlineStr"/>
      <c r="AF86" s="5" t="inlineStr"/>
      <c r="AG86" s="5" t="inlineStr"/>
      <c r="AH86" s="5" t="inlineStr"/>
    </row>
    <row r="87">
      <c r="A87" s="5" t="inlineStr">
        <is>
          <t>mahalle-bakkali</t>
        </is>
      </c>
      <c r="B87" s="5" t="n">
        <v>3</v>
      </c>
      <c r="C87" s="6" t="inlineStr">
        <is>
          <t>Para üstünü kontrol et</t>
        </is>
      </c>
      <c r="D87" s="5" t="inlineStr">
        <is>
          <t>Kurnazlık</t>
        </is>
      </c>
      <c r="E87" s="5" t="inlineStr">
        <is>
          <t>Zor</t>
        </is>
      </c>
      <c r="F87" s="5" t="inlineStr"/>
      <c r="G87" s="6" t="inlineStr"/>
      <c r="H87" s="6" t="inlineStr">
        <is>
          <t>İlk finansal denetimin başarıyla tamamlandı.</t>
        </is>
      </c>
      <c r="I87" s="6" t="inlineStr">
        <is>
          <t>Eksik para üstünü buldun. Bakkal seni gelecekteki muhasebecisi ilan etti.</t>
        </is>
      </c>
      <c r="J87" s="6" t="inlineStr">
        <is>
          <t>Saydın, bir daha saydın. Sonuç her seferinde farklı.</t>
        </is>
      </c>
      <c r="K87" s="6" t="inlineStr">
        <is>
          <t>Kontrol ederken paraları yere düşürdün. Bir tanesi rafın altına gitti.</t>
        </is>
      </c>
      <c r="L87" s="6" t="inlineStr"/>
      <c r="M87" s="5" t="inlineStr"/>
      <c r="N87" s="5" t="inlineStr"/>
      <c r="O87" s="6" t="inlineStr"/>
      <c r="P87" s="6" t="inlineStr"/>
      <c r="Q87" s="5" t="inlineStr"/>
      <c r="R87" s="5" t="inlineStr"/>
      <c r="S87" s="5" t="inlineStr"/>
      <c r="T87" s="5" t="inlineStr">
        <is>
          <t>Para Üstü Radarı</t>
        </is>
      </c>
      <c r="U87" s="5" t="inlineStr"/>
      <c r="V87" s="5" t="inlineStr"/>
      <c r="W87" s="5" t="inlineStr"/>
      <c r="X87" s="5" t="inlineStr"/>
      <c r="Y87" s="5" t="inlineStr"/>
      <c r="Z87" s="6" t="inlineStr"/>
      <c r="AA87" s="5" t="inlineStr"/>
      <c r="AB87" s="5" t="inlineStr"/>
      <c r="AC87" s="5" t="inlineStr"/>
      <c r="AD87" s="5" t="inlineStr"/>
      <c r="AE87" s="5" t="inlineStr"/>
      <c r="AF87" s="5" t="inlineStr"/>
      <c r="AG87" s="5" t="inlineStr"/>
      <c r="AH87" s="5" t="inlineStr"/>
    </row>
    <row r="88">
      <c r="A88" s="5" t="inlineStr">
        <is>
          <t>mahalle-bakkali</t>
        </is>
      </c>
      <c r="B88" s="5" t="n">
        <v>4</v>
      </c>
      <c r="C88" s="6" t="inlineStr">
        <is>
          <t>Veresiye defterine yazdır</t>
        </is>
      </c>
      <c r="D88" s="5" t="inlineStr">
        <is>
          <t>Çene</t>
        </is>
      </c>
      <c r="E88" s="5" t="inlineStr">
        <is>
          <t>Kolay</t>
        </is>
      </c>
      <c r="F88" s="5" t="inlineStr"/>
      <c r="G88" s="6" t="inlineStr"/>
      <c r="H88" s="6" t="inlineStr">
        <is>
          <t>Adın veresiye defterine girdi. Kredi notun oluştu.</t>
        </is>
      </c>
      <c r="I88" s="6" t="inlineStr">
        <is>
          <t>Bakkal defterine yazdı ve sana bir de sakız ikram etti. Seçkin müşteri.</t>
        </is>
      </c>
      <c r="J88" s="6" t="inlineStr">
        <is>
          <t>Bakkal defteri kapattı: 'Önce annen gelsin.'</t>
        </is>
      </c>
      <c r="K88" s="6" t="inlineStr">
        <is>
          <t>Defter açıldı; ailenin önceki borçları da yüksek sesle okundu. Ortam gerildi.</t>
        </is>
      </c>
      <c r="L88" s="6" t="inlineStr"/>
      <c r="M88" s="5" t="inlineStr"/>
      <c r="N88" s="5" t="inlineStr"/>
      <c r="O88" s="6" t="inlineStr"/>
      <c r="P88" s="6" t="inlineStr"/>
      <c r="Q88" s="5" t="inlineStr">
        <is>
          <t>Küçük Tüccar</t>
        </is>
      </c>
      <c r="R88" s="5" t="inlineStr"/>
      <c r="S88" s="5" t="inlineStr"/>
      <c r="T88" s="5" t="inlineStr"/>
      <c r="U88" s="5" t="inlineStr"/>
      <c r="V88" s="5" t="inlineStr"/>
      <c r="W88" s="5" t="inlineStr"/>
      <c r="X88" s="5" t="inlineStr"/>
      <c r="Y88" s="5" t="inlineStr"/>
      <c r="Z88" s="6" t="inlineStr"/>
      <c r="AA88" s="5" t="inlineStr"/>
      <c r="AB88" s="5" t="inlineStr"/>
      <c r="AC88" s="5" t="inlineStr"/>
      <c r="AD88" s="5" t="inlineStr"/>
      <c r="AE88" s="5" t="inlineStr"/>
      <c r="AF88" s="5" t="inlineStr"/>
      <c r="AG88" s="5" t="inlineStr"/>
      <c r="AH88" s="5" t="inlineStr"/>
    </row>
    <row r="89">
      <c r="A89" s="5" t="inlineStr">
        <is>
          <t>kaybolan-bozuk-para</t>
        </is>
      </c>
      <c r="B89" s="5" t="n">
        <v>1</v>
      </c>
      <c r="C89" s="6" t="inlineStr">
        <is>
          <t>Yetişkine ver</t>
        </is>
      </c>
      <c r="D89" s="5" t="inlineStr"/>
      <c r="E89" s="5" t="inlineStr"/>
      <c r="F89" s="5" t="inlineStr">
        <is>
          <t>İtibar +2</t>
        </is>
      </c>
      <c r="G89" s="6" t="inlineStr">
        <is>
          <t>Kayıp eşya prosedürü uygulandı.</t>
        </is>
      </c>
      <c r="H89" s="6" t="inlineStr"/>
      <c r="I89" s="6" t="inlineStr"/>
      <c r="J89" s="6" t="inlineStr"/>
      <c r="K89" s="6" t="inlineStr"/>
      <c r="L89" s="6" t="inlineStr"/>
      <c r="M89" s="5" t="inlineStr"/>
      <c r="N89" s="5" t="inlineStr"/>
      <c r="O89" s="6" t="inlineStr"/>
      <c r="P89" s="6" t="inlineStr"/>
      <c r="Q89" s="5" t="inlineStr"/>
      <c r="R89" s="5" t="inlineStr"/>
      <c r="S89" s="5" t="inlineStr"/>
      <c r="T89" s="5" t="inlineStr"/>
      <c r="U89" s="5" t="inlineStr"/>
      <c r="V89" s="5" t="inlineStr"/>
      <c r="W89" s="5" t="inlineStr"/>
      <c r="X89" s="5" t="inlineStr"/>
      <c r="Y89" s="5" t="inlineStr"/>
      <c r="Z89" s="6" t="inlineStr"/>
      <c r="AA89" s="5" t="inlineStr"/>
      <c r="AB89" s="5" t="inlineStr"/>
      <c r="AC89" s="5" t="inlineStr"/>
      <c r="AD89" s="5" t="inlineStr"/>
      <c r="AE89" s="5" t="inlineStr"/>
      <c r="AF89" s="5" t="inlineStr"/>
      <c r="AG89" s="5" t="inlineStr"/>
      <c r="AH89" s="5" t="inlineStr"/>
    </row>
    <row r="90">
      <c r="A90" s="5" t="inlineStr">
        <is>
          <t>kaybolan-bozuk-para</t>
        </is>
      </c>
      <c r="B90" s="5" t="n">
        <v>2</v>
      </c>
      <c r="C90" s="6" t="inlineStr">
        <is>
          <t>Cebe koy</t>
        </is>
      </c>
      <c r="D90" s="5" t="inlineStr">
        <is>
          <t>Kurnazlık</t>
        </is>
      </c>
      <c r="E90" s="5" t="inlineStr">
        <is>
          <t>Kolay</t>
        </is>
      </c>
      <c r="F90" s="5" t="inlineStr"/>
      <c r="G90" s="6" t="inlineStr"/>
      <c r="H90" s="6" t="inlineStr">
        <is>
          <t>Bütçeye beklenmedik gelir yazıldı.</t>
        </is>
      </c>
      <c r="I90" s="6" t="inlineStr">
        <is>
          <t>Tek bakışta doğru yeri buldun. Bozuk para sende ve kimse görmedi.</t>
        </is>
      </c>
      <c r="J90" s="6" t="inlineStr">
        <is>
          <t>Yanlış yere uzandın. Para başkasının oldu.</t>
        </is>
      </c>
      <c r="K90" s="6" t="inlineStr">
        <is>
          <t>Yanlış kutu. Bozuk para hâlâ kayıp; senin cebindeki de düştü.</t>
        </is>
      </c>
      <c r="L90" s="6" t="inlineStr">
        <is>
          <t>Parayı buldun ama biri de gördü.</t>
        </is>
      </c>
      <c r="M90" s="5" t="inlineStr">
        <is>
          <t>cups</t>
        </is>
      </c>
      <c r="N90" s="5" t="inlineStr">
        <is>
          <t>Bozuk Parayı Bul</t>
        </is>
      </c>
      <c r="O90" s="6" t="inlineStr">
        <is>
          <t>Paranın hangi kutunun altına girdiğini izle. Kutular karışacak.</t>
        </is>
      </c>
      <c r="P90" s="6" t="inlineStr"/>
      <c r="Q90" s="5" t="inlineStr"/>
      <c r="R90" s="5" t="inlineStr"/>
      <c r="S90" s="5" t="inlineStr"/>
      <c r="T90" s="5" t="inlineStr"/>
      <c r="U90" s="5" t="inlineStr"/>
      <c r="V90" s="5" t="inlineStr"/>
      <c r="W90" s="5" t="inlineStr"/>
      <c r="X90" s="5" t="inlineStr"/>
      <c r="Y90" s="5" t="inlineStr"/>
      <c r="Z90" s="6" t="inlineStr"/>
      <c r="AA90" s="5" t="inlineStr"/>
      <c r="AB90" s="5" t="inlineStr"/>
      <c r="AC90" s="5" t="inlineStr"/>
      <c r="AD90" s="5" t="inlineStr"/>
      <c r="AE90" s="5" t="inlineStr"/>
      <c r="AF90" s="5" t="inlineStr"/>
      <c r="AG90" s="5" t="inlineStr"/>
      <c r="AH90" s="5" t="inlineStr"/>
    </row>
    <row r="91">
      <c r="A91" s="5" t="inlineStr">
        <is>
          <t>kaybolan-bozuk-para</t>
        </is>
      </c>
      <c r="B91" s="5" t="n">
        <v>3</v>
      </c>
      <c r="C91" s="6" t="inlineStr">
        <is>
          <t>Olduğu yerde bırak</t>
        </is>
      </c>
      <c r="D91" s="5" t="inlineStr"/>
      <c r="E91" s="5" t="inlineStr"/>
      <c r="F91" s="5" t="inlineStr">
        <is>
          <t>İtibar +1</t>
        </is>
      </c>
      <c r="G91" s="6" t="inlineStr">
        <is>
          <t>Meseleyi evrene devrettin.</t>
        </is>
      </c>
      <c r="H91" s="6" t="inlineStr"/>
      <c r="I91" s="6" t="inlineStr"/>
      <c r="J91" s="6" t="inlineStr"/>
      <c r="K91" s="6" t="inlineStr"/>
      <c r="L91" s="6" t="inlineStr"/>
      <c r="M91" s="5" t="inlineStr"/>
      <c r="N91" s="5" t="inlineStr"/>
      <c r="O91" s="6" t="inlineStr"/>
      <c r="P91" s="6" t="inlineStr"/>
      <c r="Q91" s="5" t="inlineStr"/>
      <c r="R91" s="5" t="inlineStr"/>
      <c r="S91" s="5" t="inlineStr"/>
      <c r="T91" s="5" t="inlineStr"/>
      <c r="U91" s="5" t="inlineStr"/>
      <c r="V91" s="5" t="inlineStr"/>
      <c r="W91" s="5" t="inlineStr"/>
      <c r="X91" s="5" t="inlineStr"/>
      <c r="Y91" s="5" t="inlineStr"/>
      <c r="Z91" s="6" t="inlineStr"/>
      <c r="AA91" s="5" t="inlineStr"/>
      <c r="AB91" s="5" t="inlineStr"/>
      <c r="AC91" s="5" t="inlineStr"/>
      <c r="AD91" s="5" t="inlineStr"/>
      <c r="AE91" s="5" t="inlineStr"/>
      <c r="AF91" s="5" t="inlineStr"/>
      <c r="AG91" s="5" t="inlineStr"/>
      <c r="AH91" s="5" t="inlineStr"/>
    </row>
    <row r="92">
      <c r="A92" s="5" t="inlineStr">
        <is>
          <t>takim-seciliyor</t>
        </is>
      </c>
      <c r="B92" s="5" t="n">
        <v>1</v>
      </c>
      <c r="C92" s="6" t="inlineStr">
        <is>
          <t>Bekle</t>
        </is>
      </c>
      <c r="D92" s="5" t="inlineStr">
        <is>
          <t>Dayanıklılık</t>
        </is>
      </c>
      <c r="E92" s="5" t="inlineStr">
        <is>
          <t>Kolay</t>
        </is>
      </c>
      <c r="F92" s="5" t="inlineStr"/>
      <c r="G92" s="6" t="inlineStr"/>
      <c r="H92" s="6" t="inlineStr">
        <is>
          <t>Seçilme sırası karakter testi oldu; testi geçtin.</t>
        </is>
      </c>
      <c r="I92" s="6" t="inlineStr">
        <is>
          <t>Beklerken kaptanlardan biri seni ilk seçti. Sabır ödüllendi.</t>
        </is>
      </c>
      <c r="J92" s="6" t="inlineStr">
        <is>
          <t>Son seçilen oldun. Takıma kaleci olarak katıldın.</t>
        </is>
      </c>
      <c r="K92" s="6" t="inlineStr">
        <is>
          <t>Hiç seçilmedin. Top senindi. Oyun top olmadan başladı.</t>
        </is>
      </c>
      <c r="L92" s="6" t="inlineStr"/>
      <c r="M92" s="5" t="inlineStr"/>
      <c r="N92" s="5" t="inlineStr"/>
      <c r="O92" s="6" t="inlineStr"/>
      <c r="P92" s="6" t="inlineStr"/>
      <c r="Q92" s="5" t="inlineStr"/>
      <c r="R92" s="5" t="inlineStr"/>
      <c r="S92" s="5" t="inlineStr"/>
      <c r="T92" s="5" t="inlineStr"/>
      <c r="U92" s="5" t="inlineStr"/>
      <c r="V92" s="5" t="inlineStr"/>
      <c r="W92" s="5" t="inlineStr"/>
      <c r="X92" s="5" t="inlineStr"/>
      <c r="Y92" s="5" t="inlineStr"/>
      <c r="Z92" s="6" t="inlineStr"/>
      <c r="AA92" s="5" t="inlineStr"/>
      <c r="AB92" s="5" t="inlineStr"/>
      <c r="AC92" s="5" t="inlineStr"/>
      <c r="AD92" s="5" t="inlineStr"/>
      <c r="AE92" s="5" t="inlineStr"/>
      <c r="AF92" s="5" t="inlineStr"/>
      <c r="AG92" s="5" t="inlineStr"/>
      <c r="AH92" s="5" t="inlineStr"/>
    </row>
    <row r="93">
      <c r="A93" s="5" t="inlineStr">
        <is>
          <t>takim-seciliyor</t>
        </is>
      </c>
      <c r="B93" s="5" t="n">
        <v>2</v>
      </c>
      <c r="C93" s="6" t="inlineStr">
        <is>
          <t>'Beni al' de</t>
        </is>
      </c>
      <c r="D93" s="5" t="inlineStr">
        <is>
          <t>Çene</t>
        </is>
      </c>
      <c r="E93" s="5" t="inlineStr">
        <is>
          <t>Kolay</t>
        </is>
      </c>
      <c r="F93" s="5" t="inlineStr"/>
      <c r="G93" s="6" t="inlineStr"/>
      <c r="H93" s="6" t="inlineStr">
        <is>
          <t>Kendi pazarlamanı yaptın.</t>
        </is>
      </c>
      <c r="I93" s="6" t="inlineStr">
        <is>
          <t>Öyle bir tanıtım yaptın ki iki kaptan seni almak için tartıştı.</t>
        </is>
      </c>
      <c r="J93" s="6" t="inlineStr">
        <is>
          <t>'Beni al' dedin. Kaptan 'bakarız' dedi.</t>
        </is>
      </c>
      <c r="K93" s="6" t="inlineStr">
        <is>
          <t>'Beni al' dedin, karşı takım kaptanı aldı. Kendi takımın bunu fark etmedi bile.</t>
        </is>
      </c>
      <c r="L93" s="6" t="inlineStr"/>
      <c r="M93" s="5" t="inlineStr"/>
      <c r="N93" s="5" t="inlineStr"/>
      <c r="O93" s="6" t="inlineStr"/>
      <c r="P93" s="6" t="inlineStr"/>
      <c r="Q93" s="5" t="inlineStr"/>
      <c r="R93" s="5" t="inlineStr"/>
      <c r="S93" s="5" t="inlineStr"/>
      <c r="T93" s="5" t="inlineStr"/>
      <c r="U93" s="5" t="inlineStr"/>
      <c r="V93" s="5" t="inlineStr"/>
      <c r="W93" s="5" t="inlineStr"/>
      <c r="X93" s="5" t="inlineStr"/>
      <c r="Y93" s="5" t="inlineStr"/>
      <c r="Z93" s="6" t="inlineStr"/>
      <c r="AA93" s="5" t="inlineStr"/>
      <c r="AB93" s="5" t="inlineStr"/>
      <c r="AC93" s="5" t="inlineStr"/>
      <c r="AD93" s="5" t="inlineStr"/>
      <c r="AE93" s="5" t="inlineStr"/>
      <c r="AF93" s="5" t="inlineStr"/>
      <c r="AG93" s="5" t="inlineStr"/>
      <c r="AH93" s="5" t="inlineStr"/>
    </row>
    <row r="94">
      <c r="A94" s="5" t="inlineStr">
        <is>
          <t>takim-seciliyor</t>
        </is>
      </c>
      <c r="B94" s="5" t="n">
        <v>3</v>
      </c>
      <c r="C94" s="6" t="inlineStr">
        <is>
          <t>İyi oynayan çocuğa git</t>
        </is>
      </c>
      <c r="D94" s="5" t="inlineStr">
        <is>
          <t>Sosyal Radar</t>
        </is>
      </c>
      <c r="E94" s="5" t="inlineStr">
        <is>
          <t>Orta</t>
        </is>
      </c>
      <c r="F94" s="5" t="inlineStr"/>
      <c r="G94" s="6" t="inlineStr"/>
      <c r="H94" s="6" t="inlineStr">
        <is>
          <t>Doğru kişiyi hatırladın. Network etkisini erken keşfettin.</t>
        </is>
      </c>
      <c r="I94" s="6" t="inlineStr">
        <is>
          <t>Bir bakışta en güçlü oyuncuyu seçtin.</t>
        </is>
      </c>
      <c r="J94" s="6" t="inlineStr">
        <is>
          <t>Yanlış oyuncuyu seçtin.</t>
        </is>
      </c>
      <c r="K94" s="6" t="inlineStr">
        <is>
          <t>En zayıf seçeneği takım yıldızı ilan ettin.</t>
        </is>
      </c>
      <c r="L94" s="6" t="inlineStr">
        <is>
          <t>Fena değildi ama en iyisi değildi.</t>
        </is>
      </c>
      <c r="M94" s="5" t="inlineStr">
        <is>
          <t>memory</t>
        </is>
      </c>
      <c r="N94" s="5" t="inlineStr">
        <is>
          <t>Takımı Oku</t>
        </is>
      </c>
      <c r="O94" s="6" t="inlineStr">
        <is>
          <t>Çocukları kısa süre göreceksin. En iyi top kontrolü olanı hatırla.</t>
        </is>
      </c>
      <c r="P94" s="6" t="inlineStr"/>
      <c r="Q94" s="5" t="inlineStr"/>
      <c r="R94" s="5" t="inlineStr"/>
      <c r="S94" s="5" t="inlineStr"/>
      <c r="T94" s="5" t="inlineStr"/>
      <c r="U94" s="5" t="inlineStr"/>
      <c r="V94" s="5" t="inlineStr"/>
      <c r="W94" s="5" t="inlineStr"/>
      <c r="X94" s="5" t="inlineStr"/>
      <c r="Y94" s="5" t="inlineStr"/>
      <c r="Z94" s="6" t="inlineStr"/>
      <c r="AA94" s="5" t="inlineStr"/>
      <c r="AB94" s="5" t="inlineStr"/>
      <c r="AC94" s="5" t="inlineStr"/>
      <c r="AD94" s="5" t="inlineStr"/>
      <c r="AE94" s="5" t="inlineStr"/>
      <c r="AF94" s="5" t="inlineStr"/>
      <c r="AG94" s="5" t="inlineStr"/>
      <c r="AH94" s="5" t="inlineStr"/>
    </row>
    <row r="95">
      <c r="A95" s="5" t="inlineStr">
        <is>
          <t>sana-guluyorlar</t>
        </is>
      </c>
      <c r="B95" s="5" t="n">
        <v>1</v>
      </c>
      <c r="C95" s="6" t="inlineStr">
        <is>
          <t>Sus</t>
        </is>
      </c>
      <c r="D95" s="5" t="inlineStr"/>
      <c r="E95" s="5" t="inlineStr"/>
      <c r="F95" s="5" t="inlineStr">
        <is>
          <t>Dayanıklılık +1</t>
        </is>
      </c>
      <c r="G95" s="6" t="inlineStr">
        <is>
          <t>Olayın ömrünü kısalttın.</t>
        </is>
      </c>
      <c r="H95" s="6" t="inlineStr"/>
      <c r="I95" s="6" t="inlineStr"/>
      <c r="J95" s="6" t="inlineStr"/>
      <c r="K95" s="6" t="inlineStr"/>
      <c r="L95" s="6" t="inlineStr"/>
      <c r="M95" s="5" t="inlineStr"/>
      <c r="N95" s="5" t="inlineStr"/>
      <c r="O95" s="6" t="inlineStr"/>
      <c r="P95" s="6" t="inlineStr"/>
      <c r="Q95" s="5" t="inlineStr"/>
      <c r="R95" s="5" t="inlineStr"/>
      <c r="S95" s="5" t="inlineStr"/>
      <c r="T95" s="5" t="inlineStr"/>
      <c r="U95" s="5" t="inlineStr"/>
      <c r="V95" s="5" t="inlineStr"/>
      <c r="W95" s="5" t="inlineStr"/>
      <c r="X95" s="5" t="inlineStr"/>
      <c r="Y95" s="5" t="inlineStr"/>
      <c r="Z95" s="6" t="inlineStr"/>
      <c r="AA95" s="5" t="inlineStr"/>
      <c r="AB95" s="5" t="inlineStr"/>
      <c r="AC95" s="5" t="inlineStr"/>
      <c r="AD95" s="5" t="inlineStr"/>
      <c r="AE95" s="5" t="inlineStr"/>
      <c r="AF95" s="5" t="inlineStr"/>
      <c r="AG95" s="5" t="inlineStr"/>
      <c r="AH95" s="5" t="inlineStr"/>
    </row>
    <row r="96">
      <c r="A96" s="5" t="inlineStr">
        <is>
          <t>sana-guluyorlar</t>
        </is>
      </c>
      <c r="B96" s="5" t="n">
        <v>2</v>
      </c>
      <c r="C96" s="6" t="inlineStr">
        <is>
          <t>Kendine de gül</t>
        </is>
      </c>
      <c r="D96" s="5" t="inlineStr">
        <is>
          <t>Pişkinlik</t>
        </is>
      </c>
      <c r="E96" s="5" t="inlineStr">
        <is>
          <t>Zor</t>
        </is>
      </c>
      <c r="F96" s="5" t="inlineStr"/>
      <c r="G96" s="6" t="inlineStr"/>
      <c r="H96" s="6" t="inlineStr">
        <is>
          <t>Silahı ellerinden aldın.</t>
        </is>
      </c>
      <c r="I96" s="6" t="inlineStr">
        <is>
          <t>Kendine güldün, herkes seninle güldü; bir saat sonra aynı espriyi onlar tekrar ediyordu.</t>
        </is>
      </c>
      <c r="J96" s="6" t="inlineStr">
        <is>
          <t>Güldün ama biraz geç. Kahkahalar çoktan bitmişti.</t>
        </is>
      </c>
      <c r="K96" s="6" t="inlineStr">
        <is>
          <t>Güldün, burnundan süt geldi. İkinci bir gülme dalgası başladı.</t>
        </is>
      </c>
      <c r="L96" s="6" t="inlineStr"/>
      <c r="M96" s="5" t="inlineStr"/>
      <c r="N96" s="5" t="inlineStr"/>
      <c r="O96" s="6" t="inlineStr"/>
      <c r="P96" s="6" t="inlineStr"/>
      <c r="Q96" s="5" t="inlineStr"/>
      <c r="R96" s="5" t="inlineStr"/>
      <c r="S96" s="5" t="inlineStr"/>
      <c r="T96" s="5" t="inlineStr">
        <is>
          <t>Kendine Gülebilir</t>
        </is>
      </c>
      <c r="U96" s="5" t="inlineStr"/>
      <c r="V96" s="5" t="inlineStr"/>
      <c r="W96" s="5" t="inlineStr"/>
      <c r="X96" s="5" t="inlineStr"/>
      <c r="Y96" s="5" t="inlineStr"/>
      <c r="Z96" s="6" t="inlineStr"/>
      <c r="AA96" s="5" t="inlineStr"/>
      <c r="AB96" s="5" t="inlineStr"/>
      <c r="AC96" s="5" t="inlineStr"/>
      <c r="AD96" s="5" t="inlineStr"/>
      <c r="AE96" s="5" t="inlineStr"/>
      <c r="AF96" s="5" t="inlineStr"/>
      <c r="AG96" s="5" t="inlineStr"/>
      <c r="AH96" s="5" t="inlineStr"/>
    </row>
    <row r="97">
      <c r="A97" s="5" t="inlineStr">
        <is>
          <t>sana-guluyorlar</t>
        </is>
      </c>
      <c r="B97" s="5" t="n">
        <v>3</v>
      </c>
      <c r="C97" s="6" t="inlineStr">
        <is>
          <t>Laf yetiştir</t>
        </is>
      </c>
      <c r="D97" s="5" t="inlineStr">
        <is>
          <t>Çene</t>
        </is>
      </c>
      <c r="E97" s="5" t="inlineStr">
        <is>
          <t>Zor</t>
        </is>
      </c>
      <c r="F97" s="5" t="inlineStr"/>
      <c r="G97" s="6" t="inlineStr"/>
      <c r="H97" s="6" t="inlineStr">
        <is>
          <t>Karşı ateş etkili oldu.</t>
        </is>
      </c>
      <c r="I97" s="6" t="inlineStr">
        <is>
          <t>Tek cümlelik cevabın okul bahçesinde efsaneye dönüştü.</t>
        </is>
      </c>
      <c r="J97" s="6" t="inlineStr">
        <is>
          <t>Cevabı buldun; eve gidince.</t>
        </is>
      </c>
      <c r="K97" s="6" t="inlineStr">
        <is>
          <t>Laf yetiştirdin, sonra kelimeleri karıştırdın. Gülme ikiye katlandı.</t>
        </is>
      </c>
      <c r="L97" s="6" t="inlineStr"/>
      <c r="M97" s="5" t="inlineStr"/>
      <c r="N97" s="5" t="inlineStr"/>
      <c r="O97" s="6" t="inlineStr"/>
      <c r="P97" s="6" t="inlineStr"/>
      <c r="Q97" s="5" t="inlineStr"/>
      <c r="R97" s="5" t="inlineStr"/>
      <c r="S97" s="5" t="inlineStr"/>
      <c r="T97" s="5" t="inlineStr"/>
      <c r="U97" s="5" t="inlineStr"/>
      <c r="V97" s="5" t="inlineStr"/>
      <c r="W97" s="5" t="inlineStr"/>
      <c r="X97" s="5" t="inlineStr"/>
      <c r="Y97" s="5" t="inlineStr"/>
      <c r="Z97" s="6" t="inlineStr"/>
      <c r="AA97" s="5" t="inlineStr"/>
      <c r="AB97" s="5" t="inlineStr"/>
      <c r="AC97" s="5" t="inlineStr"/>
      <c r="AD97" s="5" t="inlineStr"/>
      <c r="AE97" s="5" t="inlineStr"/>
      <c r="AF97" s="5" t="inlineStr"/>
      <c r="AG97" s="5" t="inlineStr"/>
      <c r="AH97" s="5" t="inlineStr"/>
    </row>
    <row r="98">
      <c r="A98" s="5" t="inlineStr">
        <is>
          <t>sana-guluyorlar</t>
        </is>
      </c>
      <c r="B98" s="5" t="n">
        <v>4</v>
      </c>
      <c r="C98" s="6" t="inlineStr">
        <is>
          <t>Sahneyi devral</t>
        </is>
      </c>
      <c r="D98" s="5" t="inlineStr">
        <is>
          <t>Pişkinlik</t>
        </is>
      </c>
      <c r="E98" s="5" t="inlineStr">
        <is>
          <t>Kolay</t>
        </is>
      </c>
      <c r="F98" s="5" t="inlineStr"/>
      <c r="G98" s="6" t="inlineStr"/>
      <c r="H98" s="6" t="inlineStr">
        <is>
          <t>Gülüşmeleri alkışa çevirdin. Artık gösterinin sahibisin.</t>
        </is>
      </c>
      <c r="I98" s="6" t="inlineStr">
        <is>
          <t>Doğaçlama bir şov yaptın. Ertesi gün tekrar istendi.</t>
        </is>
      </c>
      <c r="J98" s="6" t="inlineStr">
        <is>
          <t>Sahneyi devraldın; seyirci dağıldı.</t>
        </is>
      </c>
      <c r="K98" s="6" t="inlineStr">
        <is>
          <t>Sahneyi devraldın ve takıldın. Artık gerçekten gülüyorlar.</t>
        </is>
      </c>
      <c r="L98" s="6" t="inlineStr"/>
      <c r="M98" s="5" t="inlineStr"/>
      <c r="N98" s="5" t="inlineStr"/>
      <c r="O98" s="6" t="inlineStr"/>
      <c r="P98" s="6" t="inlineStr"/>
      <c r="Q98" s="5" t="inlineStr">
        <is>
          <t>Sahne Sever</t>
        </is>
      </c>
      <c r="R98" s="5" t="inlineStr"/>
      <c r="S98" s="5" t="inlineStr"/>
      <c r="T98" s="5" t="inlineStr"/>
      <c r="U98" s="5" t="inlineStr"/>
      <c r="V98" s="5" t="inlineStr"/>
      <c r="W98" s="5" t="inlineStr"/>
      <c r="X98" s="5" t="inlineStr"/>
      <c r="Y98" s="5" t="inlineStr"/>
      <c r="Z98" s="6" t="inlineStr"/>
      <c r="AA98" s="5" t="inlineStr"/>
      <c r="AB98" s="5" t="inlineStr"/>
      <c r="AC98" s="5" t="inlineStr"/>
      <c r="AD98" s="5" t="inlineStr"/>
      <c r="AE98" s="5" t="inlineStr"/>
      <c r="AF98" s="5" t="inlineStr"/>
      <c r="AG98" s="5" t="inlineStr"/>
      <c r="AH98" s="5" t="inlineStr"/>
    </row>
    <row r="99">
      <c r="A99" s="5" t="inlineStr">
        <is>
          <t>ilk-kucuk-sir</t>
        </is>
      </c>
      <c r="B99" s="5" t="n">
        <v>1</v>
      </c>
      <c r="C99" s="6" t="inlineStr">
        <is>
          <t>Sırrı tut</t>
        </is>
      </c>
      <c r="D99" s="5" t="inlineStr">
        <is>
          <t>İtibar</t>
        </is>
      </c>
      <c r="E99" s="5" t="inlineStr">
        <is>
          <t>Kolay</t>
        </is>
      </c>
      <c r="F99" s="5" t="inlineStr"/>
      <c r="G99" s="6" t="inlineStr"/>
      <c r="H99" s="6" t="inlineStr">
        <is>
          <t>Güven puanı görünmeden arttı.</t>
        </is>
      </c>
      <c r="I99" s="6" t="inlineStr">
        <is>
          <t>Sırrı tuttun. Arkadaşın sana ikinci, daha büyük bir sır verdi. Terfi aldın.</t>
        </is>
      </c>
      <c r="J99" s="6" t="inlineStr">
        <is>
          <t>Sırrı tuttun ama ağzından yarım kelime kaçtı.</t>
        </is>
      </c>
      <c r="K99" s="6" t="inlineStr">
        <is>
          <t>Sırrı tutmaya o kadar odaklandın ki uykunda söyledin.</t>
        </is>
      </c>
      <c r="L99" s="6" t="inlineStr"/>
      <c r="M99" s="5" t="inlineStr"/>
      <c r="N99" s="5" t="inlineStr"/>
      <c r="O99" s="6" t="inlineStr"/>
      <c r="P99" s="6" t="inlineStr"/>
      <c r="Q99" s="5" t="inlineStr"/>
      <c r="R99" s="5" t="inlineStr"/>
      <c r="S99" s="5" t="inlineStr"/>
      <c r="T99" s="5" t="inlineStr"/>
      <c r="U99" s="5" t="inlineStr"/>
      <c r="V99" s="5" t="inlineStr"/>
      <c r="W99" s="5" t="inlineStr"/>
      <c r="X99" s="5" t="inlineStr"/>
      <c r="Y99" s="5" t="inlineStr"/>
      <c r="Z99" s="6" t="inlineStr"/>
      <c r="AA99" s="5" t="inlineStr"/>
      <c r="AB99" s="5" t="inlineStr"/>
      <c r="AC99" s="5" t="inlineStr"/>
      <c r="AD99" s="5" t="inlineStr"/>
      <c r="AE99" s="5" t="inlineStr"/>
      <c r="AF99" s="5" t="inlineStr"/>
      <c r="AG99" s="5" t="inlineStr"/>
      <c r="AH99" s="5" t="inlineStr"/>
    </row>
    <row r="100">
      <c r="A100" s="5" t="inlineStr">
        <is>
          <t>ilk-kucuk-sir</t>
        </is>
      </c>
      <c r="B100" s="5" t="n">
        <v>2</v>
      </c>
      <c r="C100" s="6" t="inlineStr">
        <is>
          <t>Başkasına anlat</t>
        </is>
      </c>
      <c r="D100" s="5" t="inlineStr">
        <is>
          <t>Çene</t>
        </is>
      </c>
      <c r="E100" s="5" t="inlineStr">
        <is>
          <t>Orta</t>
        </is>
      </c>
      <c r="F100" s="5" t="inlineStr"/>
      <c r="G100" s="6" t="inlineStr"/>
      <c r="H100" s="6" t="inlineStr">
        <is>
          <t>Bilgi hızla dolaşıma girdi. Sen de bir anda popüler oldun.</t>
        </is>
      </c>
      <c r="I100" s="6" t="inlineStr">
        <is>
          <t>Sırrı öyle anlattın ki kimse kaynağın sen olduğunu bilmiyor. Profesyonel.</t>
        </is>
      </c>
      <c r="J100" s="6" t="inlineStr">
        <is>
          <t>Anlattın; dinleyen zaten biliyormuş.</t>
        </is>
      </c>
      <c r="K100" s="6" t="inlineStr">
        <is>
          <t>Anlattığın kişi, sırrın sahibinin en yakın arkadaşıydı.</t>
        </is>
      </c>
      <c r="L100" s="6" t="inlineStr"/>
      <c r="M100" s="5" t="inlineStr"/>
      <c r="N100" s="5" t="inlineStr"/>
      <c r="O100" s="6" t="inlineStr"/>
      <c r="P100" s="6" t="inlineStr"/>
      <c r="Q100" s="5" t="inlineStr"/>
      <c r="R100" s="5" t="inlineStr"/>
      <c r="S100" s="5" t="inlineStr"/>
      <c r="T100" s="5" t="inlineStr"/>
      <c r="U100" s="5" t="inlineStr">
        <is>
          <t>sirVerdi</t>
        </is>
      </c>
      <c r="V100" s="5" t="inlineStr"/>
      <c r="W100" s="5" t="inlineStr"/>
      <c r="X100" s="5" t="inlineStr"/>
      <c r="Y100" s="5" t="inlineStr"/>
      <c r="Z100" s="6" t="inlineStr"/>
      <c r="AA100" s="5" t="inlineStr"/>
      <c r="AB100" s="5" t="inlineStr"/>
      <c r="AC100" s="5" t="inlineStr"/>
      <c r="AD100" s="5" t="inlineStr"/>
      <c r="AE100" s="5" t="inlineStr"/>
      <c r="AF100" s="5" t="inlineStr"/>
      <c r="AG100" s="5" t="inlineStr"/>
      <c r="AH100" s="5" t="inlineStr"/>
    </row>
    <row r="101">
      <c r="A101" s="5" t="inlineStr">
        <is>
          <t>ilk-kucuk-sir</t>
        </is>
      </c>
      <c r="B101" s="5" t="n">
        <v>3</v>
      </c>
      <c r="C101" s="6" t="inlineStr">
        <is>
          <t>Önemini değerlendir</t>
        </is>
      </c>
      <c r="D101" s="5" t="inlineStr">
        <is>
          <t>Sosyal Radar</t>
        </is>
      </c>
      <c r="E101" s="5" t="inlineStr">
        <is>
          <t>Kolay</t>
        </is>
      </c>
      <c r="F101" s="5" t="inlineStr"/>
      <c r="G101" s="6" t="inlineStr"/>
      <c r="H101" s="6" t="inlineStr">
        <is>
          <t>Her sırrın aynı ağırlıkta olmadığını fark ettin.</t>
        </is>
      </c>
      <c r="I101" s="6" t="inlineStr">
        <is>
          <t>Sırrın aslında sır bile olmadığını fark ettin. Herkes biliyordu.</t>
        </is>
      </c>
      <c r="J101" s="6" t="inlineStr">
        <is>
          <t>Değerlendirmeye çalıştın; sır çok karışıktı.</t>
        </is>
      </c>
      <c r="K101" s="6" t="inlineStr">
        <is>
          <t>Değerlendirirken yüksek sesle düşündün.</t>
        </is>
      </c>
      <c r="L101" s="6" t="inlineStr"/>
      <c r="M101" s="5" t="inlineStr"/>
      <c r="N101" s="5" t="inlineStr"/>
      <c r="O101" s="6" t="inlineStr"/>
      <c r="P101" s="6" t="inlineStr"/>
      <c r="Q101" s="5" t="inlineStr"/>
      <c r="R101" s="5" t="inlineStr"/>
      <c r="S101" s="5" t="inlineStr"/>
      <c r="T101" s="5" t="inlineStr"/>
      <c r="U101" s="5" t="inlineStr"/>
      <c r="V101" s="5" t="inlineStr"/>
      <c r="W101" s="5" t="inlineStr"/>
      <c r="X101" s="5" t="inlineStr"/>
      <c r="Y101" s="5" t="inlineStr"/>
      <c r="Z101" s="6" t="inlineStr"/>
      <c r="AA101" s="5" t="inlineStr"/>
      <c r="AB101" s="5" t="inlineStr"/>
      <c r="AC101" s="5" t="inlineStr"/>
      <c r="AD101" s="5" t="inlineStr"/>
      <c r="AE101" s="5" t="inlineStr"/>
      <c r="AF101" s="5" t="inlineStr"/>
      <c r="AG101" s="5" t="inlineStr"/>
      <c r="AH101" s="5" t="inlineStr"/>
    </row>
    <row r="102">
      <c r="A102" s="5" t="inlineStr">
        <is>
          <t>aileler-kiyasliyor</t>
        </is>
      </c>
      <c r="B102" s="5" t="n">
        <v>1</v>
      </c>
      <c r="C102" s="6" t="inlineStr">
        <is>
          <t>Görmezden gel</t>
        </is>
      </c>
      <c r="D102" s="5" t="inlineStr">
        <is>
          <t>Dayanıklılık</t>
        </is>
      </c>
      <c r="E102" s="5" t="inlineStr">
        <is>
          <t>Kolay</t>
        </is>
      </c>
      <c r="F102" s="5" t="inlineStr"/>
      <c r="G102" s="6" t="inlineStr"/>
      <c r="H102" s="6" t="inlineStr">
        <is>
          <t>Yetişkin olimpiyatlarından çekildin.</t>
        </is>
      </c>
      <c r="I102" s="6" t="inlineStr">
        <is>
          <t>Görmezden geldin; yetişkinler senin olgunluğunu kıyaslamaya başladı. Kazandın.</t>
        </is>
      </c>
      <c r="J102" s="6" t="inlineStr">
        <is>
          <t>Görmezden gelmeye çalıştın; adın on kez geçti.</t>
        </is>
      </c>
      <c r="K102" s="6" t="inlineStr">
        <is>
          <t>Görmezden gelirken 'Bizimki okumayı söktü' cümlesini duydun. Sen sökmemiştin.</t>
        </is>
      </c>
      <c r="L102" s="6" t="inlineStr"/>
      <c r="M102" s="5" t="inlineStr"/>
      <c r="N102" s="5" t="inlineStr"/>
      <c r="O102" s="6" t="inlineStr"/>
      <c r="P102" s="6" t="inlineStr"/>
      <c r="Q102" s="5" t="inlineStr"/>
      <c r="R102" s="5" t="inlineStr"/>
      <c r="S102" s="5" t="inlineStr"/>
      <c r="T102" s="5" t="inlineStr"/>
      <c r="U102" s="5" t="inlineStr"/>
      <c r="V102" s="5" t="inlineStr"/>
      <c r="W102" s="5" t="inlineStr"/>
      <c r="X102" s="5" t="inlineStr"/>
      <c r="Y102" s="5" t="inlineStr"/>
      <c r="Z102" s="6" t="inlineStr"/>
      <c r="AA102" s="5" t="inlineStr"/>
      <c r="AB102" s="5" t="inlineStr"/>
      <c r="AC102" s="5" t="inlineStr"/>
      <c r="AD102" s="5" t="inlineStr"/>
      <c r="AE102" s="5" t="inlineStr"/>
      <c r="AF102" s="5" t="inlineStr"/>
      <c r="AG102" s="5" t="inlineStr"/>
      <c r="AH102" s="5" t="inlineStr"/>
    </row>
    <row r="103">
      <c r="A103" s="5" t="inlineStr">
        <is>
          <t>aileler-kiyasliyor</t>
        </is>
      </c>
      <c r="B103" s="5" t="n">
        <v>2</v>
      </c>
      <c r="C103" s="6" t="inlineStr">
        <is>
          <t>Bildiğini göster</t>
        </is>
      </c>
      <c r="D103" s="5" t="inlineStr">
        <is>
          <t>Pişkinlik</t>
        </is>
      </c>
      <c r="E103" s="5" t="inlineStr">
        <is>
          <t>Orta</t>
        </is>
      </c>
      <c r="F103" s="5" t="inlineStr"/>
      <c r="G103" s="6" t="inlineStr"/>
      <c r="H103" s="6" t="inlineStr">
        <is>
          <t>Rekabetin ortasına gönüllü girdin ve puan aldın.</t>
        </is>
      </c>
      <c r="I103" s="6" t="inlineStr">
        <is>
          <t>Alfabeyi tersten okudun. Karşı aile çocuğunu hemen kursa yazdırdı.</t>
        </is>
      </c>
      <c r="J103" s="6" t="inlineStr">
        <is>
          <t>Göstermeye çalıştın; heyecandan unuttun.</t>
        </is>
      </c>
      <c r="K103" s="6" t="inlineStr">
        <is>
          <t>Bildiğini gösterdin. Yanlış biliyormuşsun.</t>
        </is>
      </c>
      <c r="L103" s="6" t="inlineStr"/>
      <c r="M103" s="5" t="inlineStr"/>
      <c r="N103" s="5" t="inlineStr"/>
      <c r="O103" s="6" t="inlineStr"/>
      <c r="P103" s="6" t="inlineStr"/>
      <c r="Q103" s="5" t="inlineStr"/>
      <c r="R103" s="5" t="inlineStr"/>
      <c r="S103" s="5" t="inlineStr"/>
      <c r="T103" s="5" t="inlineStr"/>
      <c r="U103" s="5" t="inlineStr"/>
      <c r="V103" s="5" t="inlineStr"/>
      <c r="W103" s="5" t="inlineStr"/>
      <c r="X103" s="5" t="inlineStr"/>
      <c r="Y103" s="5" t="inlineStr"/>
      <c r="Z103" s="6" t="inlineStr"/>
      <c r="AA103" s="5" t="inlineStr"/>
      <c r="AB103" s="5" t="inlineStr"/>
      <c r="AC103" s="5" t="inlineStr"/>
      <c r="AD103" s="5" t="inlineStr"/>
      <c r="AE103" s="5" t="inlineStr"/>
      <c r="AF103" s="5" t="inlineStr"/>
      <c r="AG103" s="5" t="inlineStr"/>
      <c r="AH103" s="5" t="inlineStr"/>
    </row>
    <row r="104">
      <c r="A104" s="5" t="inlineStr">
        <is>
          <t>aileler-kiyasliyor</t>
        </is>
      </c>
      <c r="B104" s="5" t="n">
        <v>3</v>
      </c>
      <c r="C104" s="6" t="inlineStr">
        <is>
          <t>Yetişkinleri gözlemle</t>
        </is>
      </c>
      <c r="D104" s="5" t="inlineStr">
        <is>
          <t>Sosyal Radar</t>
        </is>
      </c>
      <c r="E104" s="5" t="inlineStr">
        <is>
          <t>Orta</t>
        </is>
      </c>
      <c r="F104" s="5" t="inlineStr"/>
      <c r="G104" s="6" t="inlineStr"/>
      <c r="H104" s="6" t="inlineStr">
        <is>
          <t>Bunun aslında çocuklarla ilgili olmadığını fark ettin.</t>
        </is>
      </c>
      <c r="I104" s="6" t="inlineStr">
        <is>
          <t>Kimin kiminle neden yarıştığını çözdün. Aile sosyolojisinde ilk makale.</t>
        </is>
      </c>
      <c r="J104" s="6" t="inlineStr">
        <is>
          <t>Gözlemledin. Sonuç: yetişkinler garip.</t>
        </is>
      </c>
      <c r="K104" s="6" t="inlineStr">
        <is>
          <t>Gözlemlerini yüksek sesle paylaştın. Misafirler erken kalktı.</t>
        </is>
      </c>
      <c r="L104" s="6" t="inlineStr"/>
      <c r="M104" s="5" t="inlineStr"/>
      <c r="N104" s="5" t="inlineStr"/>
      <c r="O104" s="6" t="inlineStr"/>
      <c r="P104" s="6" t="inlineStr"/>
      <c r="Q104" s="5" t="inlineStr"/>
      <c r="R104" s="5" t="inlineStr"/>
      <c r="S104" s="5" t="inlineStr"/>
      <c r="T104" s="5" t="inlineStr"/>
      <c r="U104" s="5" t="inlineStr"/>
      <c r="V104" s="5" t="inlineStr"/>
      <c r="W104" s="5" t="inlineStr"/>
      <c r="X104" s="5" t="inlineStr"/>
      <c r="Y104" s="5" t="inlineStr"/>
      <c r="Z104" s="6" t="inlineStr"/>
      <c r="AA104" s="5" t="inlineStr"/>
      <c r="AB104" s="5" t="inlineStr"/>
      <c r="AC104" s="5" t="inlineStr"/>
      <c r="AD104" s="5" t="inlineStr"/>
      <c r="AE104" s="5" t="inlineStr"/>
      <c r="AF104" s="5" t="inlineStr"/>
      <c r="AG104" s="5" t="inlineStr"/>
      <c r="AH104" s="5" t="inlineStr"/>
    </row>
    <row r="105">
      <c r="A105" s="5" t="inlineStr">
        <is>
          <t>kirilan-oyuncak</t>
        </is>
      </c>
      <c r="B105" s="5" t="n">
        <v>1</v>
      </c>
      <c r="C105" s="6" t="inlineStr">
        <is>
          <t>Hemen söyle</t>
        </is>
      </c>
      <c r="D105" s="5" t="inlineStr"/>
      <c r="E105" s="5" t="inlineStr"/>
      <c r="F105" s="5" t="inlineStr">
        <is>
          <t>İtibar +2</t>
        </is>
      </c>
      <c r="G105" s="6" t="inlineStr">
        <is>
          <t>Hasar raporu gecikmeden teslim edildi.</t>
        </is>
      </c>
      <c r="H105" s="6" t="inlineStr"/>
      <c r="I105" s="6" t="inlineStr"/>
      <c r="J105" s="6" t="inlineStr"/>
      <c r="K105" s="6" t="inlineStr"/>
      <c r="L105" s="6" t="inlineStr"/>
      <c r="M105" s="5" t="inlineStr"/>
      <c r="N105" s="5" t="inlineStr"/>
      <c r="O105" s="6" t="inlineStr"/>
      <c r="P105" s="6" t="inlineStr"/>
      <c r="Q105" s="5" t="inlineStr"/>
      <c r="R105" s="5" t="inlineStr"/>
      <c r="S105" s="5" t="inlineStr"/>
      <c r="T105" s="5" t="inlineStr"/>
      <c r="U105" s="5" t="inlineStr"/>
      <c r="V105" s="5" t="inlineStr"/>
      <c r="W105" s="5" t="inlineStr"/>
      <c r="X105" s="5" t="inlineStr"/>
      <c r="Y105" s="5" t="inlineStr"/>
      <c r="Z105" s="6" t="inlineStr"/>
      <c r="AA105" s="5" t="inlineStr"/>
      <c r="AB105" s="5" t="inlineStr"/>
      <c r="AC105" s="5" t="inlineStr"/>
      <c r="AD105" s="5" t="inlineStr"/>
      <c r="AE105" s="5" t="inlineStr"/>
      <c r="AF105" s="5" t="inlineStr"/>
      <c r="AG105" s="5" t="inlineStr"/>
      <c r="AH105" s="5" t="inlineStr"/>
    </row>
    <row r="106">
      <c r="A106" s="5" t="inlineStr">
        <is>
          <t>kirilan-oyuncak</t>
        </is>
      </c>
      <c r="B106" s="5" t="n">
        <v>2</v>
      </c>
      <c r="C106" s="6" t="inlineStr">
        <is>
          <t>Yerine koy, uzaklaş</t>
        </is>
      </c>
      <c r="D106" s="5" t="inlineStr">
        <is>
          <t>Kurnazlık</t>
        </is>
      </c>
      <c r="E106" s="5" t="inlineStr">
        <is>
          <t>Zor</t>
        </is>
      </c>
      <c r="F106" s="5" t="inlineStr"/>
      <c r="G106" s="6" t="inlineStr"/>
      <c r="H106" s="6" t="inlineStr">
        <is>
          <t>Olayın keşif saatini erteledin.</t>
        </is>
      </c>
      <c r="I106" s="6" t="inlineStr">
        <is>
          <t>Oyuncağı öyle yerleştirdin ki kırık, bir hafta sonra başkasının elinde ortaya çıktı.</t>
        </is>
      </c>
      <c r="J106" s="6" t="inlineStr">
        <is>
          <t>Yerine koydun; tam o sırada bir parça düştü.</t>
        </is>
      </c>
      <c r="K106" s="6" t="inlineStr">
        <is>
          <t>Uzaklaşırken çağrıldın: 'Bu ne?'</t>
        </is>
      </c>
      <c r="L106" s="6" t="inlineStr"/>
      <c r="M106" s="5" t="inlineStr"/>
      <c r="N106" s="5" t="inlineStr"/>
      <c r="O106" s="6" t="inlineStr"/>
      <c r="P106" s="6" t="inlineStr"/>
      <c r="Q106" s="5" t="inlineStr"/>
      <c r="R106" s="5" t="inlineStr"/>
      <c r="S106" s="5" t="inlineStr"/>
      <c r="T106" s="5" t="inlineStr"/>
      <c r="U106" s="5" t="inlineStr"/>
      <c r="V106" s="5" t="inlineStr"/>
      <c r="W106" s="5" t="inlineStr"/>
      <c r="X106" s="5" t="inlineStr"/>
      <c r="Y106" s="5" t="inlineStr"/>
      <c r="Z106" s="6" t="inlineStr"/>
      <c r="AA106" s="5" t="inlineStr"/>
      <c r="AB106" s="5" t="inlineStr"/>
      <c r="AC106" s="5" t="inlineStr"/>
      <c r="AD106" s="5" t="inlineStr"/>
      <c r="AE106" s="5" t="inlineStr"/>
      <c r="AF106" s="5" t="inlineStr"/>
      <c r="AG106" s="5" t="inlineStr"/>
      <c r="AH106" s="5" t="inlineStr"/>
    </row>
    <row r="107">
      <c r="A107" s="5" t="inlineStr">
        <is>
          <t>kirilan-oyuncak</t>
        </is>
      </c>
      <c r="B107" s="5" t="n">
        <v>3</v>
      </c>
      <c r="C107" s="6" t="inlineStr">
        <is>
          <t>Tamir etmeye çalış</t>
        </is>
      </c>
      <c r="D107" s="5" t="inlineStr">
        <is>
          <t>Akıl</t>
        </is>
      </c>
      <c r="E107" s="5" t="inlineStr">
        <is>
          <t>Orta</t>
        </is>
      </c>
      <c r="F107" s="5" t="inlineStr"/>
      <c r="G107" s="6" t="inlineStr"/>
      <c r="H107" s="6" t="inlineStr">
        <is>
          <t>Mühendislik departmanı kuruldu.</t>
        </is>
      </c>
      <c r="I107" s="6" t="inlineStr">
        <is>
          <t>Tamir ettin; oyuncak eskisinden iyi çalışıyor. Üstelik artık ışığı da yanıyor.</t>
        </is>
      </c>
      <c r="J107" s="6" t="inlineStr">
        <is>
          <t>Tamir ettin; bir parça arttı.</t>
        </is>
      </c>
      <c r="K107" s="6" t="inlineStr">
        <is>
          <t>Tamir ederken ikinci oyuncağı da söktün.</t>
        </is>
      </c>
      <c r="L107" s="6" t="inlineStr"/>
      <c r="M107" s="5" t="inlineStr"/>
      <c r="N107" s="5" t="inlineStr"/>
      <c r="O107" s="6" t="inlineStr"/>
      <c r="P107" s="6" t="inlineStr"/>
      <c r="Q107" s="5" t="inlineStr"/>
      <c r="R107" s="5" t="inlineStr"/>
      <c r="S107" s="5" t="inlineStr"/>
      <c r="T107" s="5" t="inlineStr"/>
      <c r="U107" s="5" t="inlineStr"/>
      <c r="V107" s="5" t="inlineStr"/>
      <c r="W107" s="5" t="inlineStr"/>
      <c r="X107" s="5" t="inlineStr"/>
      <c r="Y107" s="5" t="inlineStr"/>
      <c r="Z107" s="6" t="inlineStr"/>
      <c r="AA107" s="5" t="inlineStr"/>
      <c r="AB107" s="5" t="inlineStr"/>
      <c r="AC107" s="5" t="inlineStr"/>
      <c r="AD107" s="5" t="inlineStr"/>
      <c r="AE107" s="5" t="inlineStr"/>
      <c r="AF107" s="5" t="inlineStr"/>
      <c r="AG107" s="5" t="inlineStr"/>
      <c r="AH107" s="5" t="inlineStr"/>
    </row>
    <row r="108">
      <c r="A108" s="5" t="inlineStr">
        <is>
          <t>mahalle-turnuvasi</t>
        </is>
      </c>
      <c r="B108" s="5" t="n">
        <v>1</v>
      </c>
      <c r="C108" s="6" t="inlineStr">
        <is>
          <t>Yarış</t>
        </is>
      </c>
      <c r="D108" s="5" t="inlineStr">
        <is>
          <t>Dayanıklılık</t>
        </is>
      </c>
      <c r="E108" s="5" t="inlineStr">
        <is>
          <t>Orta</t>
        </is>
      </c>
      <c r="F108" s="5" t="inlineStr"/>
      <c r="G108" s="6" t="inlineStr"/>
      <c r="H108" s="6" t="inlineStr">
        <is>
          <t>Burun farkıyla öndesin. Zafer yine zaferdir.</t>
        </is>
      </c>
      <c r="I108" s="6" t="inlineStr">
        <is>
          <t>Bitiş çizgisine vardığında rakibin hâlâ yarı yoldaydı.</t>
        </is>
      </c>
      <c r="J108" s="6" t="inlineStr">
        <is>
          <t>Rakibin biraz daha hızlıydı.</t>
        </is>
      </c>
      <c r="K108" s="6" t="inlineStr">
        <is>
          <t>Başlangıçta ayakkabın çıktı. Yarış ayakkabısız devam etti.</t>
        </is>
      </c>
      <c r="L108" s="6" t="inlineStr">
        <is>
          <t>Neredeyse aynı anda vardınız.</t>
        </is>
      </c>
      <c r="M108" s="5" t="inlineStr">
        <is>
          <t>race</t>
        </is>
      </c>
      <c r="N108" s="5" t="inlineStr">
        <is>
          <t>Mahalle Yarışı</t>
        </is>
      </c>
      <c r="O108" s="6" t="inlineStr">
        <is>
          <t>5 saniye boyunca olabildiğince hızlı dokun.</t>
        </is>
      </c>
      <c r="P108" s="6" t="inlineStr"/>
      <c r="Q108" s="5" t="inlineStr"/>
      <c r="R108" s="5" t="inlineStr"/>
      <c r="S108" s="5" t="inlineStr"/>
      <c r="T108" s="5" t="inlineStr"/>
      <c r="U108" s="5" t="inlineStr"/>
      <c r="V108" s="5" t="inlineStr"/>
      <c r="W108" s="5" t="inlineStr"/>
      <c r="X108" s="5" t="inlineStr"/>
      <c r="Y108" s="5" t="inlineStr"/>
      <c r="Z108" s="6" t="inlineStr"/>
      <c r="AA108" s="5" t="inlineStr"/>
      <c r="AB108" s="5" t="inlineStr"/>
      <c r="AC108" s="5" t="inlineStr"/>
      <c r="AD108" s="5" t="inlineStr"/>
      <c r="AE108" s="5" t="inlineStr"/>
      <c r="AF108" s="5" t="inlineStr"/>
      <c r="AG108" s="5" t="inlineStr"/>
      <c r="AH108" s="5" t="inlineStr"/>
    </row>
    <row r="109">
      <c r="A109" s="5" t="inlineStr">
        <is>
          <t>mahalle-turnuvasi</t>
        </is>
      </c>
      <c r="B109" s="5" t="n">
        <v>2</v>
      </c>
      <c r="C109" s="6" t="inlineStr">
        <is>
          <t>Başlangıç avantajı bul</t>
        </is>
      </c>
      <c r="D109" s="5" t="inlineStr">
        <is>
          <t>Kurnazlık</t>
        </is>
      </c>
      <c r="E109" s="5" t="inlineStr">
        <is>
          <t>Zor</t>
        </is>
      </c>
      <c r="F109" s="5" t="inlineStr"/>
      <c r="G109" s="6" t="inlineStr"/>
      <c r="H109" s="6" t="inlineStr">
        <is>
          <t>Kurallarda küçük bir boşluk keşfettin.</t>
        </is>
      </c>
      <c r="I109" s="6" t="inlineStr">
        <is>
          <t>Boşluğu buldun, kullandın; kural kitabına senin adın eklendi.</t>
        </is>
      </c>
      <c r="J109" s="6" t="inlineStr">
        <is>
          <t>Boşluk bulamadın. Kurallar sıkıymış.</t>
        </is>
      </c>
      <c r="K109" s="6" t="inlineStr">
        <is>
          <t>Erken çıktın, diskalifiye edildin. Hakem mahalle bakkalıydı.</t>
        </is>
      </c>
      <c r="L109" s="6" t="inlineStr"/>
      <c r="M109" s="5" t="inlineStr"/>
      <c r="N109" s="5" t="inlineStr"/>
      <c r="O109" s="6" t="inlineStr"/>
      <c r="P109" s="6" t="inlineStr"/>
      <c r="Q109" s="5" t="inlineStr"/>
      <c r="R109" s="5" t="inlineStr"/>
      <c r="S109" s="5" t="inlineStr"/>
      <c r="T109" s="5" t="inlineStr"/>
      <c r="U109" s="5" t="inlineStr"/>
      <c r="V109" s="5" t="inlineStr"/>
      <c r="W109" s="5" t="inlineStr"/>
      <c r="X109" s="5" t="inlineStr"/>
      <c r="Y109" s="5" t="inlineStr"/>
      <c r="Z109" s="6" t="inlineStr"/>
      <c r="AA109" s="5" t="inlineStr"/>
      <c r="AB109" s="5" t="inlineStr"/>
      <c r="AC109" s="5" t="inlineStr"/>
      <c r="AD109" s="5" t="inlineStr"/>
      <c r="AE109" s="5" t="inlineStr"/>
      <c r="AF109" s="5" t="inlineStr"/>
      <c r="AG109" s="5" t="inlineStr"/>
      <c r="AH109" s="5" t="inlineStr"/>
    </row>
    <row r="110">
      <c r="A110" s="5" t="inlineStr">
        <is>
          <t>mahalle-turnuvasi</t>
        </is>
      </c>
      <c r="B110" s="5" t="n">
        <v>3</v>
      </c>
      <c r="C110" s="6" t="inlineStr">
        <is>
          <t>Hakem olmaya çalış</t>
        </is>
      </c>
      <c r="D110" s="5" t="inlineStr">
        <is>
          <t>Çene</t>
        </is>
      </c>
      <c r="E110" s="5" t="inlineStr">
        <is>
          <t>Zor</t>
        </is>
      </c>
      <c r="F110" s="5" t="inlineStr"/>
      <c r="G110" s="6" t="inlineStr"/>
      <c r="H110" s="6" t="inlineStr">
        <is>
          <t>Yarışmadın. Yarışın kurallarına karar verdin.</t>
        </is>
      </c>
      <c r="I110" s="6" t="inlineStr">
        <is>
          <t>Hakem oldun, ödül töreni düzenledin, madalyaları kendin dağıttın.</t>
        </is>
      </c>
      <c r="J110" s="6" t="inlineStr">
        <is>
          <t>Hakemlik başvurun reddedildi. Yarışçı olarak kaydedildin.</t>
        </is>
      </c>
      <c r="K110" s="6" t="inlineStr">
        <is>
          <t>Hakem oldun ama iki taraf da sana itiraz etti. Turnuva iptal.</t>
        </is>
      </c>
      <c r="L110" s="6" t="inlineStr"/>
      <c r="M110" s="5" t="inlineStr"/>
      <c r="N110" s="5" t="inlineStr"/>
      <c r="O110" s="6" t="inlineStr"/>
      <c r="P110" s="6" t="inlineStr"/>
      <c r="Q110" s="5" t="inlineStr"/>
      <c r="R110" s="5" t="inlineStr"/>
      <c r="S110" s="5" t="inlineStr"/>
      <c r="T110" s="5" t="inlineStr">
        <is>
          <t>Organizatör</t>
        </is>
      </c>
      <c r="U110" s="5" t="inlineStr"/>
      <c r="V110" s="5" t="inlineStr"/>
      <c r="W110" s="5" t="inlineStr"/>
      <c r="X110" s="5" t="inlineStr"/>
      <c r="Y110" s="5" t="inlineStr"/>
      <c r="Z110" s="6" t="inlineStr"/>
      <c r="AA110" s="5" t="inlineStr"/>
      <c r="AB110" s="5" t="inlineStr"/>
      <c r="AC110" s="5" t="inlineStr"/>
      <c r="AD110" s="5" t="inlineStr"/>
      <c r="AE110" s="5" t="inlineStr"/>
      <c r="AF110" s="5" t="inlineStr"/>
      <c r="AG110" s="5" t="inlineStr"/>
      <c r="AH110" s="5" t="inlineStr"/>
    </row>
    <row r="111">
      <c r="A111" s="5" t="inlineStr">
        <is>
          <t>mahalle-turnuvasi</t>
        </is>
      </c>
      <c r="B111" s="5" t="n">
        <v>4</v>
      </c>
      <c r="C111" s="6" t="inlineStr">
        <is>
          <t>Mahallenin kestirmesini kullan</t>
        </is>
      </c>
      <c r="D111" s="5" t="inlineStr">
        <is>
          <t>Kurnazlık</t>
        </is>
      </c>
      <c r="E111" s="5" t="inlineStr">
        <is>
          <t>Orta</t>
        </is>
      </c>
      <c r="F111" s="5" t="inlineStr"/>
      <c r="G111" s="6" t="inlineStr"/>
      <c r="H111" s="6" t="inlineStr">
        <is>
          <t>Yarışın ortasında bahçe duvarının arkasından çıktın. Kurallarda bununla ilgili bir madde yoktu.</t>
        </is>
      </c>
      <c r="I111" s="6" t="inlineStr">
        <is>
          <t>Kestirmeyi kullandın, birinci geldin. Hakem de mahalleden olduğu için itiraz eden çıkmadı.</t>
        </is>
      </c>
      <c r="J111" s="6" t="inlineStr">
        <is>
          <t>Kestirmeye saptın; duvarın arkasında komşunun köpeği vardı. Yarışın sonunu duvarın üstünden izledin.</t>
        </is>
      </c>
      <c r="K111" s="6" t="inlineStr">
        <is>
          <t>Kestirmeden çıktığında yarış bitmişti. Birinci sen değildin ama en çok çamura bulanan sendin.</t>
        </is>
      </c>
      <c r="L111" s="6" t="inlineStr"/>
      <c r="M111" s="5" t="inlineStr"/>
      <c r="N111" s="5" t="inlineStr"/>
      <c r="O111" s="6" t="inlineStr"/>
      <c r="P111" s="6" t="inlineStr"/>
      <c r="Q111" s="5" t="inlineStr"/>
      <c r="R111" s="5" t="inlineStr">
        <is>
          <t>mahalle-cocugu</t>
        </is>
      </c>
      <c r="S111" s="5" t="inlineStr"/>
      <c r="T111" s="5" t="inlineStr"/>
      <c r="U111" s="5" t="inlineStr"/>
      <c r="V111" s="5" t="inlineStr"/>
      <c r="W111" s="5" t="inlineStr"/>
      <c r="X111" s="5" t="inlineStr"/>
      <c r="Y111" s="5" t="inlineStr"/>
      <c r="Z111" s="6" t="inlineStr"/>
      <c r="AA111" s="5" t="inlineStr"/>
      <c r="AB111" s="5" t="inlineStr"/>
      <c r="AC111" s="5" t="inlineStr"/>
      <c r="AD111" s="5" t="inlineStr"/>
      <c r="AE111" s="5" t="inlineStr"/>
      <c r="AF111" s="5" t="inlineStr"/>
      <c r="AG111" s="5" t="inlineStr"/>
      <c r="AH111" s="5" t="inlineStr"/>
    </row>
    <row r="112">
      <c r="A112" s="5" t="inlineStr">
        <is>
          <t>harclik-pazarligi</t>
        </is>
      </c>
      <c r="B112" s="5" t="n">
        <v>1</v>
      </c>
      <c r="C112" s="6" t="inlineStr">
        <is>
          <t>Kabul et</t>
        </is>
      </c>
      <c r="D112" s="5" t="inlineStr"/>
      <c r="E112" s="5" t="inlineStr"/>
      <c r="F112" s="5" t="inlineStr">
        <is>
          <t>İtibar +1</t>
        </is>
      </c>
      <c r="G112" s="6" t="inlineStr">
        <is>
          <t>Sözleşme imzalandı.</t>
        </is>
      </c>
      <c r="H112" s="6" t="inlineStr"/>
      <c r="I112" s="6" t="inlineStr"/>
      <c r="J112" s="6" t="inlineStr"/>
      <c r="K112" s="6" t="inlineStr"/>
      <c r="L112" s="6" t="inlineStr"/>
      <c r="M112" s="5" t="inlineStr"/>
      <c r="N112" s="5" t="inlineStr"/>
      <c r="O112" s="6" t="inlineStr"/>
      <c r="P112" s="6" t="inlineStr"/>
      <c r="Q112" s="5" t="inlineStr"/>
      <c r="R112" s="5" t="inlineStr"/>
      <c r="S112" s="5" t="inlineStr"/>
      <c r="T112" s="5" t="inlineStr"/>
      <c r="U112" s="5" t="inlineStr"/>
      <c r="V112" s="5" t="inlineStr"/>
      <c r="W112" s="5" t="inlineStr"/>
      <c r="X112" s="5" t="inlineStr"/>
      <c r="Y112" s="5" t="inlineStr"/>
      <c r="Z112" s="6" t="inlineStr"/>
      <c r="AA112" s="5" t="inlineStr"/>
      <c r="AB112" s="5" t="inlineStr"/>
      <c r="AC112" s="5" t="inlineStr"/>
      <c r="AD112" s="5" t="inlineStr"/>
      <c r="AE112" s="5" t="inlineStr"/>
      <c r="AF112" s="5" t="inlineStr"/>
      <c r="AG112" s="5" t="inlineStr"/>
      <c r="AH112" s="5" t="inlineStr"/>
    </row>
    <row r="113">
      <c r="A113" s="5" t="inlineStr">
        <is>
          <t>harclik-pazarligi</t>
        </is>
      </c>
      <c r="B113" s="5" t="n">
        <v>2</v>
      </c>
      <c r="C113" s="6" t="inlineStr">
        <is>
          <t>Biraz daha iste</t>
        </is>
      </c>
      <c r="D113" s="5" t="inlineStr">
        <is>
          <t>Çene</t>
        </is>
      </c>
      <c r="E113" s="5" t="inlineStr">
        <is>
          <t>Zor</t>
        </is>
      </c>
      <c r="F113" s="5" t="inlineStr"/>
      <c r="G113" s="6" t="inlineStr"/>
      <c r="H113" s="6" t="inlineStr">
        <is>
          <t>Ücret pazarlığı başladı ve zam aldın.</t>
        </is>
      </c>
      <c r="I113" s="6" t="inlineStr">
        <is>
          <t>Yüzde elli zam aldın. Aile bütçesi yeniden düzenlendi.</t>
        </is>
      </c>
      <c r="J113" s="6" t="inlineStr">
        <is>
          <t>İstedin; 'büyüyünce' denildi.</t>
        </is>
      </c>
      <c r="K113" s="6" t="inlineStr">
        <is>
          <t>İstedin; harçlığın donduruldu ve denetime alındı.</t>
        </is>
      </c>
      <c r="L113" s="6" t="inlineStr"/>
      <c r="M113" s="5" t="inlineStr"/>
      <c r="N113" s="5" t="inlineStr"/>
      <c r="O113" s="6" t="inlineStr"/>
      <c r="P113" s="6" t="inlineStr"/>
      <c r="Q113" s="5" t="inlineStr"/>
      <c r="R113" s="5" t="inlineStr"/>
      <c r="S113" s="5" t="inlineStr"/>
      <c r="T113" s="5" t="inlineStr"/>
      <c r="U113" s="5" t="inlineStr"/>
      <c r="V113" s="5" t="inlineStr"/>
      <c r="W113" s="5" t="inlineStr"/>
      <c r="X113" s="5" t="inlineStr"/>
      <c r="Y113" s="5" t="inlineStr"/>
      <c r="Z113" s="6" t="inlineStr"/>
      <c r="AA113" s="5" t="inlineStr"/>
      <c r="AB113" s="5" t="inlineStr"/>
      <c r="AC113" s="5" t="inlineStr"/>
      <c r="AD113" s="5" t="inlineStr"/>
      <c r="AE113" s="5" t="inlineStr"/>
      <c r="AF113" s="5" t="inlineStr"/>
      <c r="AG113" s="5" t="inlineStr"/>
      <c r="AH113" s="5" t="inlineStr"/>
    </row>
    <row r="114">
      <c r="A114" s="5" t="inlineStr">
        <is>
          <t>harclik-pazarligi</t>
        </is>
      </c>
      <c r="B114" s="5" t="n">
        <v>3</v>
      </c>
      <c r="C114" s="6" t="inlineStr">
        <is>
          <t>Ev işi karşılığı teklif et</t>
        </is>
      </c>
      <c r="D114" s="5" t="inlineStr">
        <is>
          <t>Kurnazlık</t>
        </is>
      </c>
      <c r="E114" s="5" t="inlineStr">
        <is>
          <t>Zor</t>
        </is>
      </c>
      <c r="F114" s="5" t="inlineStr"/>
      <c r="G114" s="6" t="inlineStr"/>
      <c r="H114" s="6" t="inlineStr">
        <is>
          <t>Hizmet karşılığı gelir modeli doğdu.</t>
        </is>
      </c>
      <c r="I114" s="6" t="inlineStr">
        <is>
          <t>Sofra kurmak için tarife açıkladın, bulaşık için ek paket. Ailen kabul etti.</t>
        </is>
      </c>
      <c r="J114" s="6" t="inlineStr">
        <is>
          <t>Teklifin kabul edildi; ücretsiz stajyer olarak.</t>
        </is>
      </c>
      <c r="K114" s="6" t="inlineStr">
        <is>
          <t>Ev işi teklif ettin; tüm ev işleri sana verildi, ücret konusu ertelendi.</t>
        </is>
      </c>
      <c r="L114" s="6" t="inlineStr"/>
      <c r="M114" s="5" t="inlineStr"/>
      <c r="N114" s="5" t="inlineStr"/>
      <c r="O114" s="6" t="inlineStr"/>
      <c r="P114" s="6" t="inlineStr"/>
      <c r="Q114" s="5" t="inlineStr"/>
      <c r="R114" s="5" t="inlineStr"/>
      <c r="S114" s="5" t="inlineStr"/>
      <c r="T114" s="5" t="inlineStr">
        <is>
          <t>İş Modeli Kurar</t>
        </is>
      </c>
      <c r="U114" s="5" t="inlineStr"/>
      <c r="V114" s="5" t="inlineStr"/>
      <c r="W114" s="5" t="inlineStr"/>
      <c r="X114" s="5" t="inlineStr"/>
      <c r="Y114" s="5" t="inlineStr"/>
      <c r="Z114" s="6" t="inlineStr"/>
      <c r="AA114" s="5" t="inlineStr"/>
      <c r="AB114" s="5" t="inlineStr"/>
      <c r="AC114" s="5" t="inlineStr"/>
      <c r="AD114" s="5" t="inlineStr"/>
      <c r="AE114" s="5" t="inlineStr"/>
      <c r="AF114" s="5" t="inlineStr"/>
      <c r="AG114" s="5" t="inlineStr"/>
      <c r="AH114" s="5" t="inlineStr"/>
    </row>
    <row r="115">
      <c r="A115" s="5" t="inlineStr">
        <is>
          <t>harclik-pazarligi</t>
        </is>
      </c>
      <c r="B115" s="5" t="n">
        <v>4</v>
      </c>
      <c r="C115" s="6" t="inlineStr">
        <is>
          <t>Enflasyon farkı talep et</t>
        </is>
      </c>
      <c r="D115" s="5" t="inlineStr">
        <is>
          <t>Akıl</t>
        </is>
      </c>
      <c r="E115" s="5" t="inlineStr">
        <is>
          <t>Orta</t>
        </is>
      </c>
      <c r="F115" s="5" t="inlineStr"/>
      <c r="G115" s="6" t="inlineStr"/>
      <c r="H115" s="6" t="inlineStr">
        <is>
          <t>Enflasyon farkı talep ettin. Ailen şaşkınlıkla kabul etti.</t>
        </is>
      </c>
      <c r="I115" s="6" t="inlineStr">
        <is>
          <t>Farkı hesapladın, geriye dönük talep ettin, tahsil ettin.</t>
        </is>
      </c>
      <c r="J115" s="6" t="inlineStr">
        <is>
          <t>'Enflasyon' kelimesini doğru söyleyemedin. Dava düştü.</t>
        </is>
      </c>
      <c r="K115" s="6" t="inlineStr">
        <is>
          <t>Enflasyon farkı istedin; babanın maaş konuşması başladı. Kimse mutlu değil.</t>
        </is>
      </c>
      <c r="L115" s="6" t="inlineStr"/>
      <c r="M115" s="5" t="inlineStr"/>
      <c r="N115" s="5" t="inlineStr"/>
      <c r="O115" s="6" t="inlineStr"/>
      <c r="P115" s="6" t="inlineStr"/>
      <c r="Q115" s="5" t="inlineStr">
        <is>
          <t>Erken Ekonomi Bilinci</t>
        </is>
      </c>
      <c r="R115" s="5" t="inlineStr"/>
      <c r="S115" s="5" t="inlineStr"/>
      <c r="T115" s="5" t="inlineStr"/>
      <c r="U115" s="5" t="inlineStr"/>
      <c r="V115" s="5" t="inlineStr"/>
      <c r="W115" s="5" t="inlineStr"/>
      <c r="X115" s="5" t="inlineStr"/>
      <c r="Y115" s="5" t="inlineStr"/>
      <c r="Z115" s="6" t="inlineStr"/>
      <c r="AA115" s="5" t="inlineStr"/>
      <c r="AB115" s="5" t="inlineStr"/>
      <c r="AC115" s="5" t="inlineStr"/>
      <c r="AD115" s="5" t="inlineStr"/>
      <c r="AE115" s="5" t="inlineStr"/>
      <c r="AF115" s="5" t="inlineStr"/>
      <c r="AG115" s="5" t="inlineStr"/>
      <c r="AH115" s="5" t="inlineStr"/>
    </row>
    <row r="116">
      <c r="A116" s="5" t="inlineStr">
        <is>
          <t>okul-hazirligi</t>
        </is>
      </c>
      <c r="B116" s="5" t="n">
        <v>1</v>
      </c>
      <c r="C116" s="6" t="inlineStr">
        <is>
          <t>Harflerle ilgilen</t>
        </is>
      </c>
      <c r="D116" s="5" t="inlineStr">
        <is>
          <t>Akıl</t>
        </is>
      </c>
      <c r="E116" s="5" t="inlineStr">
        <is>
          <t>Kolay</t>
        </is>
      </c>
      <c r="F116" s="5" t="inlineStr"/>
      <c r="G116" s="6" t="inlineStr"/>
      <c r="H116" s="6" t="inlineStr">
        <is>
          <t>Sistemle ilk dostane temas.</t>
        </is>
      </c>
      <c r="I116" s="6" t="inlineStr">
        <is>
          <t>Harfleri öğrendin ve markette etiketleri okumaya başladın. Fiyatlar seni endişelendirdi.</t>
        </is>
      </c>
      <c r="J116" s="6" t="inlineStr">
        <is>
          <t>Harflerle ilgilendin; harfler seninle ilgilenmedi.</t>
        </is>
      </c>
      <c r="K116" s="6" t="inlineStr">
        <is>
          <t>B ile D'yi karıştırdın. Hâlâ karıştırıyorsun.</t>
        </is>
      </c>
      <c r="L116" s="6" t="inlineStr">
        <is>
          <t>Harf oldu ama biraz yamuk. Öğretmen yine de yıldız verdi.</t>
        </is>
      </c>
      <c r="M116" s="5" t="inlineStr">
        <is>
          <t>trace</t>
        </is>
      </c>
      <c r="N116" s="5" t="inlineStr">
        <is>
          <t>İlk Harf</t>
        </is>
      </c>
      <c r="O116" s="6" t="inlineStr">
        <is>
          <t>Parmağını kaldırmadan kesikli çizginin üstünden M harfini çiz.</t>
        </is>
      </c>
      <c r="P116" s="6" t="inlineStr"/>
      <c r="Q116" s="5" t="inlineStr"/>
      <c r="R116" s="5" t="inlineStr"/>
      <c r="S116" s="5" t="inlineStr"/>
      <c r="T116" s="5" t="inlineStr"/>
      <c r="U116" s="5" t="inlineStr"/>
      <c r="V116" s="5" t="inlineStr"/>
      <c r="W116" s="5" t="inlineStr"/>
      <c r="X116" s="5" t="inlineStr"/>
      <c r="Y116" s="5" t="inlineStr"/>
      <c r="Z116" s="6" t="inlineStr"/>
      <c r="AA116" s="5" t="inlineStr"/>
      <c r="AB116" s="5" t="inlineStr"/>
      <c r="AC116" s="5" t="inlineStr"/>
      <c r="AD116" s="5" t="inlineStr"/>
      <c r="AE116" s="5" t="inlineStr"/>
      <c r="AF116" s="5" t="inlineStr"/>
      <c r="AG116" s="5" t="inlineStr"/>
      <c r="AH116" s="5" t="inlineStr"/>
    </row>
    <row r="117">
      <c r="A117" s="5" t="inlineStr">
        <is>
          <t>okul-hazirligi</t>
        </is>
      </c>
      <c r="B117" s="5" t="n">
        <v>2</v>
      </c>
      <c r="C117" s="6" t="inlineStr">
        <is>
          <t>Çantayı kendin hazırla</t>
        </is>
      </c>
      <c r="D117" s="5" t="inlineStr">
        <is>
          <t>Dayanıklılık</t>
        </is>
      </c>
      <c r="E117" s="5" t="inlineStr">
        <is>
          <t>Kolay</t>
        </is>
      </c>
      <c r="F117" s="5" t="inlineStr"/>
      <c r="G117" s="6" t="inlineStr"/>
      <c r="H117" s="6" t="inlineStr">
        <is>
          <t>Operasyonel bağımsızlık arttı.</t>
        </is>
      </c>
      <c r="I117" s="6" t="inlineStr">
        <is>
          <t>Beslenme, kalem, yedek çorap. Ailen sana kendi çantasını da verdi.</t>
        </is>
      </c>
      <c r="J117" s="6" t="inlineStr">
        <is>
          <t>Çantayı hazırladın; içinde sadece oyuncak var.</t>
        </is>
      </c>
      <c r="K117" s="6" t="inlineStr">
        <is>
          <t>Çantayı öyle doldurdun ki kaldıramadın.</t>
        </is>
      </c>
      <c r="L117" s="6" t="inlineStr"/>
      <c r="M117" s="5" t="inlineStr"/>
      <c r="N117" s="5" t="inlineStr"/>
      <c r="O117" s="6" t="inlineStr"/>
      <c r="P117" s="6" t="inlineStr"/>
      <c r="Q117" s="5" t="inlineStr"/>
      <c r="R117" s="5" t="inlineStr"/>
      <c r="S117" s="5" t="inlineStr"/>
      <c r="T117" s="5" t="inlineStr"/>
      <c r="U117" s="5" t="inlineStr"/>
      <c r="V117" s="5" t="inlineStr"/>
      <c r="W117" s="5" t="inlineStr"/>
      <c r="X117" s="5" t="inlineStr"/>
      <c r="Y117" s="5" t="inlineStr"/>
      <c r="Z117" s="6" t="inlineStr"/>
      <c r="AA117" s="5" t="inlineStr"/>
      <c r="AB117" s="5" t="inlineStr"/>
      <c r="AC117" s="5" t="inlineStr"/>
      <c r="AD117" s="5" t="inlineStr"/>
      <c r="AE117" s="5" t="inlineStr"/>
      <c r="AF117" s="5" t="inlineStr"/>
      <c r="AG117" s="5" t="inlineStr"/>
      <c r="AH117" s="5" t="inlineStr"/>
    </row>
    <row r="118">
      <c r="A118" s="5" t="inlineStr">
        <is>
          <t>okul-hazirligi</t>
        </is>
      </c>
      <c r="B118" s="5" t="n">
        <v>3</v>
      </c>
      <c r="C118" s="6" t="inlineStr">
        <is>
          <t>Aileye bırak</t>
        </is>
      </c>
      <c r="D118" s="5" t="inlineStr"/>
      <c r="E118" s="5" t="inlineStr"/>
      <c r="F118" s="5" t="inlineStr">
        <is>
          <t>Sosyal Radar +1</t>
        </is>
      </c>
      <c r="G118" s="6" t="inlineStr">
        <is>
          <t>Görev dağılımı da bir yetkinliktir.</t>
        </is>
      </c>
      <c r="H118" s="6" t="inlineStr"/>
      <c r="I118" s="6" t="inlineStr"/>
      <c r="J118" s="6" t="inlineStr"/>
      <c r="K118" s="6" t="inlineStr"/>
      <c r="L118" s="6" t="inlineStr"/>
      <c r="M118" s="5" t="inlineStr"/>
      <c r="N118" s="5" t="inlineStr"/>
      <c r="O118" s="6" t="inlineStr"/>
      <c r="P118" s="6" t="inlineStr"/>
      <c r="Q118" s="5" t="inlineStr"/>
      <c r="R118" s="5" t="inlineStr"/>
      <c r="S118" s="5" t="inlineStr"/>
      <c r="T118" s="5" t="inlineStr"/>
      <c r="U118" s="5" t="inlineStr"/>
      <c r="V118" s="5" t="inlineStr"/>
      <c r="W118" s="5" t="inlineStr"/>
      <c r="X118" s="5" t="inlineStr"/>
      <c r="Y118" s="5" t="inlineStr"/>
      <c r="Z118" s="6" t="inlineStr"/>
      <c r="AA118" s="5" t="inlineStr"/>
      <c r="AB118" s="5" t="inlineStr"/>
      <c r="AC118" s="5" t="inlineStr"/>
      <c r="AD118" s="5" t="inlineStr"/>
      <c r="AE118" s="5" t="inlineStr"/>
      <c r="AF118" s="5" t="inlineStr"/>
      <c r="AG118" s="5" t="inlineStr"/>
      <c r="AH118" s="5" t="inlineStr"/>
    </row>
    <row r="119">
      <c r="A119" s="5" t="inlineStr">
        <is>
          <t>okul-hazirligi</t>
        </is>
      </c>
      <c r="B119" s="5" t="n">
        <v>4</v>
      </c>
      <c r="C119" s="6" t="inlineStr">
        <is>
          <t>Harfleri tabletten bildiğini göster</t>
        </is>
      </c>
      <c r="D119" s="5" t="inlineStr">
        <is>
          <t>Akıl</t>
        </is>
      </c>
      <c r="E119" s="5" t="inlineStr">
        <is>
          <t>Orta</t>
        </is>
      </c>
      <c r="F119" s="5" t="inlineStr"/>
      <c r="G119" s="6" t="inlineStr"/>
      <c r="H119" s="6" t="inlineStr">
        <is>
          <t>Harfleri tabletteki bir oyundan öğrenmiştin. Öğretmen “Bunu kim öğretti?” diye sordu; “Bir uygulama” dedin.</t>
        </is>
      </c>
      <c r="I119" s="6" t="inlineStr">
        <is>
          <t>Harfleri sayıp döktün, sonra hepsini sıraya dizdin. Öğretmen defterine “dijital yerli” diye not düştü.</t>
        </is>
      </c>
      <c r="J119" s="6" t="inlineStr">
        <is>
          <t>Harfleri biliyordun ama sadece dokunmatik ekranda. Kâğıt dokunuşuna tepki vermedi.</t>
        </is>
      </c>
      <c r="K119" s="6" t="inlineStr">
        <is>
          <t>Deftere harf yazmak yerine sayfayı kaydırmaya çalıştın. Defter yırtıldı, harfler dağıldı.</t>
        </is>
      </c>
      <c r="L119" s="6" t="inlineStr"/>
      <c r="M119" s="5" t="inlineStr"/>
      <c r="N119" s="5" t="inlineStr"/>
      <c r="O119" s="6" t="inlineStr"/>
      <c r="P119" s="6" t="inlineStr"/>
      <c r="Q119" s="5" t="inlineStr"/>
      <c r="R119" s="5" t="inlineStr">
        <is>
          <t>ekran-cocugu</t>
        </is>
      </c>
      <c r="S119" s="5" t="inlineStr"/>
      <c r="T119" s="5" t="inlineStr"/>
      <c r="U119" s="5" t="inlineStr"/>
      <c r="V119" s="5" t="inlineStr"/>
      <c r="W119" s="5" t="inlineStr"/>
      <c r="X119" s="5" t="inlineStr"/>
      <c r="Y119" s="5" t="inlineStr"/>
      <c r="Z119" s="6" t="inlineStr"/>
      <c r="AA119" s="5" t="inlineStr"/>
      <c r="AB119" s="5" t="inlineStr"/>
      <c r="AC119" s="5" t="inlineStr"/>
      <c r="AD119" s="5" t="inlineStr"/>
      <c r="AE119" s="5" t="inlineStr"/>
      <c r="AF119" s="5" t="inlineStr"/>
      <c r="AG119" s="5" t="inlineStr"/>
      <c r="AH119" s="5" t="inlineStr"/>
    </row>
    <row r="120">
      <c r="A120" s="5" t="inlineStr">
        <is>
          <t>tepsiyle-kayak</t>
        </is>
      </c>
      <c r="B120" s="5" t="n">
        <v>1</v>
      </c>
      <c r="C120" s="6" t="inlineStr">
        <is>
          <t>Pencereden izle</t>
        </is>
      </c>
      <c r="D120" s="5" t="inlineStr"/>
      <c r="E120" s="5" t="inlineStr"/>
      <c r="F120" s="5" t="inlineStr">
        <is>
          <t>Akıl +1</t>
        </is>
      </c>
      <c r="G120" s="6" t="inlineStr">
        <is>
          <t>Kar fiziğini güvenli bir mesafeden inceledin. Bilim böyle ilerler.</t>
        </is>
      </c>
      <c r="H120" s="6" t="inlineStr"/>
      <c r="I120" s="6" t="inlineStr"/>
      <c r="J120" s="6" t="inlineStr"/>
      <c r="K120" s="6" t="inlineStr"/>
      <c r="L120" s="6" t="inlineStr"/>
      <c r="M120" s="5" t="inlineStr"/>
      <c r="N120" s="5" t="inlineStr"/>
      <c r="O120" s="6" t="inlineStr"/>
      <c r="P120" s="6" t="inlineStr"/>
      <c r="Q120" s="5" t="inlineStr"/>
      <c r="R120" s="5" t="inlineStr"/>
      <c r="S120" s="5" t="inlineStr"/>
      <c r="T120" s="5" t="inlineStr"/>
      <c r="U120" s="5" t="inlineStr"/>
      <c r="V120" s="5" t="inlineStr"/>
      <c r="W120" s="5" t="inlineStr"/>
      <c r="X120" s="5" t="inlineStr"/>
      <c r="Y120" s="5" t="inlineStr"/>
      <c r="Z120" s="6" t="inlineStr"/>
      <c r="AA120" s="5" t="inlineStr"/>
      <c r="AB120" s="5" t="inlineStr"/>
      <c r="AC120" s="5" t="inlineStr"/>
      <c r="AD120" s="5" t="inlineStr"/>
      <c r="AE120" s="5" t="inlineStr"/>
      <c r="AF120" s="5" t="inlineStr"/>
      <c r="AG120" s="5" t="inlineStr"/>
      <c r="AH120" s="5" t="inlineStr"/>
    </row>
    <row r="121">
      <c r="A121" s="5" t="inlineStr">
        <is>
          <t>tepsiyle-kayak</t>
        </is>
      </c>
      <c r="B121" s="5" t="n">
        <v>2</v>
      </c>
      <c r="C121" s="6" t="inlineStr">
        <is>
          <t>Tepsiyle kay</t>
        </is>
      </c>
      <c r="D121" s="5" t="inlineStr">
        <is>
          <t>Cesaret</t>
        </is>
      </c>
      <c r="E121" s="5" t="inlineStr">
        <is>
          <t>Orta</t>
        </is>
      </c>
      <c r="F121" s="5" t="inlineStr"/>
      <c r="G121" s="6" t="inlineStr"/>
      <c r="H121" s="6" t="inlineStr">
        <is>
          <t>Yokuşu baştan sona kaydın. Mahalle seni alkışladı, annen seni aradı.</t>
        </is>
      </c>
      <c r="I121" s="6" t="inlineStr">
        <is>
          <t>Öyle bir kaydın ki yokuşun sonunda bir tur daha attın. Efsane doğdu.</t>
        </is>
      </c>
      <c r="J121" s="6" t="inlineStr">
        <is>
          <t>Tepsi döndü, sen döndün, yokuş dönmedi. Kar dolu bir kafayla eve vardın.</t>
        </is>
      </c>
      <c r="K121" s="6" t="inlineStr">
        <is>
          <t>Tepsi bir yöne, sen öbür yöne. Kolun alçıya alındı; alçının üstü mahallenin imza defterine döndü.</t>
        </is>
      </c>
      <c r="L121" s="6" t="inlineStr"/>
      <c r="M121" s="5" t="inlineStr"/>
      <c r="N121" s="5" t="inlineStr"/>
      <c r="O121" s="6" t="inlineStr"/>
      <c r="P121" s="6" t="inlineStr"/>
      <c r="Q121" s="5" t="inlineStr"/>
      <c r="R121" s="5" t="inlineStr"/>
      <c r="S121" s="5" t="inlineStr"/>
      <c r="T121" s="5" t="inlineStr"/>
      <c r="U121" s="5" t="inlineStr"/>
      <c r="V121" s="5" t="inlineStr"/>
      <c r="W121" s="5" t="inlineStr">
        <is>
          <t>alcili-kol</t>
        </is>
      </c>
      <c r="X121" s="5" t="inlineStr"/>
      <c r="Y121" s="5" t="inlineStr"/>
      <c r="Z121" s="6" t="inlineStr"/>
      <c r="AA121" s="5" t="inlineStr"/>
      <c r="AB121" s="5" t="inlineStr"/>
      <c r="AC121" s="5" t="inlineStr"/>
      <c r="AD121" s="5" t="inlineStr"/>
      <c r="AE121" s="5" t="inlineStr"/>
      <c r="AF121" s="5" t="inlineStr"/>
      <c r="AG121" s="5" t="inlineStr"/>
      <c r="AH121" s="5" t="inlineStr"/>
    </row>
    <row r="122">
      <c r="A122" s="5" t="inlineStr">
        <is>
          <t>tepsiyle-kayak</t>
        </is>
      </c>
      <c r="B122" s="5" t="n">
        <v>3</v>
      </c>
      <c r="C122" s="6" t="inlineStr">
        <is>
          <t>Tepsi kiralama işi kur</t>
        </is>
      </c>
      <c r="D122" s="5" t="inlineStr">
        <is>
          <t>Kurnazlık</t>
        </is>
      </c>
      <c r="E122" s="5" t="inlineStr">
        <is>
          <t>Orta</t>
        </is>
      </c>
      <c r="F122" s="5" t="inlineStr"/>
      <c r="G122" s="6" t="inlineStr"/>
      <c r="H122" s="6" t="inlineStr">
        <is>
          <t>Evden üç tepsi getirdin, tur başına bir şeker. Kış ekonomisi canlandı.</t>
        </is>
      </c>
      <c r="I122" s="6" t="inlineStr">
        <is>
          <t>Öğlene kadar tüm mahallenin tepsileri sende toplandı. Kar tekeli.</t>
        </is>
      </c>
      <c r="J122" s="6" t="inlineStr">
        <is>
          <t>Tepsileri kiraladın; kimse geri getirmedi.</t>
        </is>
      </c>
      <c r="K122" s="6" t="inlineStr">
        <is>
          <t>Kiraladığın tepsilerden biri annenin baklava tepsisiydi.</t>
        </is>
      </c>
      <c r="L122" s="6" t="inlineStr"/>
      <c r="M122" s="5" t="inlineStr"/>
      <c r="N122" s="5" t="inlineStr"/>
      <c r="O122" s="6" t="inlineStr"/>
      <c r="P122" s="6" t="inlineStr"/>
      <c r="Q122" s="5" t="inlineStr"/>
      <c r="R122" s="5" t="inlineStr"/>
      <c r="S122" s="5" t="inlineStr"/>
      <c r="T122" s="5" t="inlineStr"/>
      <c r="U122" s="5" t="inlineStr">
        <is>
          <t>tepsiTekeli</t>
        </is>
      </c>
      <c r="V122" s="5" t="inlineStr"/>
      <c r="W122" s="5" t="inlineStr"/>
      <c r="X122" s="5" t="inlineStr"/>
      <c r="Y122" s="5" t="inlineStr"/>
      <c r="Z122" s="6" t="inlineStr"/>
      <c r="AA122" s="5" t="inlineStr"/>
      <c r="AB122" s="5" t="inlineStr"/>
      <c r="AC122" s="5" t="inlineStr"/>
      <c r="AD122" s="5" t="inlineStr"/>
      <c r="AE122" s="5" t="inlineStr"/>
      <c r="AF122" s="5" t="inlineStr"/>
      <c r="AG122" s="5" t="inlineStr"/>
      <c r="AH122" s="5" t="inlineStr"/>
    </row>
    <row r="123">
      <c r="A123" s="5" t="inlineStr">
        <is>
          <t>tepsiyle-kayak</t>
        </is>
      </c>
      <c r="B123" s="5" t="n">
        <v>4</v>
      </c>
      <c r="C123" s="6" t="inlineStr">
        <is>
          <t>Kardan adam yap</t>
        </is>
      </c>
      <c r="D123" s="5" t="inlineStr">
        <is>
          <t>Dayanıklılık</t>
        </is>
      </c>
      <c r="E123" s="5" t="inlineStr">
        <is>
          <t>Kolay</t>
        </is>
      </c>
      <c r="F123" s="5" t="inlineStr"/>
      <c r="G123" s="6" t="inlineStr"/>
      <c r="H123" s="6" t="inlineStr">
        <is>
          <t>Sağlam bir kardan adam yaptın. Havuçlu, düğmeli, vakur.</t>
        </is>
      </c>
      <c r="I123" s="6" t="inlineStr">
        <is>
          <t>Kardan adamın o kadar iyi oldu ki mahalle muhtarı fotoğrafını çekti.</t>
        </is>
      </c>
      <c r="J123" s="6" t="inlineStr">
        <is>
          <t>Kardan adam yarıda eridi. Tam bir kardan yarım adam.</t>
        </is>
      </c>
      <c r="K123" s="6" t="inlineStr">
        <is>
          <t>Kardan adamın kafası düştü. Çocuklar bunu bir işaret olarak yorumladı.</t>
        </is>
      </c>
      <c r="L123" s="6" t="inlineStr"/>
      <c r="M123" s="5" t="inlineStr"/>
      <c r="N123" s="5" t="inlineStr"/>
      <c r="O123" s="6" t="inlineStr"/>
      <c r="P123" s="6" t="inlineStr"/>
      <c r="Q123" s="5" t="inlineStr"/>
      <c r="R123" s="5" t="inlineStr"/>
      <c r="S123" s="5" t="inlineStr"/>
      <c r="T123" s="5" t="inlineStr"/>
      <c r="U123" s="5" t="inlineStr"/>
      <c r="V123" s="5" t="inlineStr"/>
      <c r="W123" s="5" t="inlineStr"/>
      <c r="X123" s="5" t="inlineStr"/>
      <c r="Y123" s="5" t="inlineStr"/>
      <c r="Z123" s="6" t="inlineStr"/>
      <c r="AA123" s="5" t="inlineStr"/>
      <c r="AB123" s="5" t="inlineStr"/>
      <c r="AC123" s="5" t="inlineStr"/>
      <c r="AD123" s="5" t="inlineStr"/>
      <c r="AE123" s="5" t="inlineStr"/>
      <c r="AF123" s="5" t="inlineStr"/>
      <c r="AG123" s="5" t="inlineStr"/>
      <c r="AH123" s="5" t="inlineStr"/>
    </row>
    <row r="124">
      <c r="A124" s="5" t="inlineStr">
        <is>
          <t>ilkokul-kapisi</t>
        </is>
      </c>
      <c r="B124" s="5" t="n">
        <v>1</v>
      </c>
      <c r="C124" s="6" t="inlineStr">
        <is>
          <t>Cesurca gir</t>
        </is>
      </c>
      <c r="D124" s="5" t="inlineStr">
        <is>
          <t>Cesaret</t>
        </is>
      </c>
      <c r="E124" s="5" t="inlineStr">
        <is>
          <t>Orta</t>
        </is>
      </c>
      <c r="F124" s="5" t="inlineStr"/>
      <c r="G124" s="6" t="inlineStr"/>
      <c r="H124" s="6" t="inlineStr">
        <is>
          <t>Yeni sistem açıldı.</t>
        </is>
      </c>
      <c r="I124" s="6" t="inlineStr">
        <is>
          <t>İçeri girdin, öğretmene 'Günaydın' dedin, en öndeki sırayı aldın.</t>
        </is>
      </c>
      <c r="J124" s="6" t="inlineStr">
        <is>
          <t>Kapıda bir an durdun. Arkadaki kalabalık seni içeri itti.</t>
        </is>
      </c>
      <c r="K124" s="6" t="inlineStr">
        <is>
          <t>Cesurca girdin; tuvalete.</t>
        </is>
      </c>
      <c r="L124" s="6" t="inlineStr"/>
      <c r="M124" s="5" t="inlineStr"/>
      <c r="N124" s="5" t="inlineStr"/>
      <c r="O124" s="6" t="inlineStr"/>
      <c r="P124" s="6" t="inlineStr"/>
      <c r="Q124" s="5" t="inlineStr"/>
      <c r="R124" s="5" t="inlineStr"/>
      <c r="S124" s="5" t="inlineStr"/>
      <c r="T124" s="5" t="inlineStr"/>
      <c r="U124" s="5" t="inlineStr"/>
      <c r="V124" s="5" t="inlineStr"/>
      <c r="W124" s="5" t="inlineStr"/>
      <c r="X124" s="5" t="inlineStr"/>
      <c r="Y124" s="5" t="inlineStr"/>
      <c r="Z124" s="6" t="inlineStr"/>
      <c r="AA124" s="5" t="inlineStr"/>
      <c r="AB124" s="5" t="inlineStr"/>
      <c r="AC124" s="5" t="inlineStr"/>
      <c r="AD124" s="5" t="inlineStr"/>
      <c r="AE124" s="5" t="inlineStr"/>
      <c r="AF124" s="5" t="inlineStr"/>
      <c r="AG124" s="5" t="inlineStr"/>
      <c r="AH124" s="5" t="inlineStr"/>
    </row>
    <row r="125">
      <c r="A125" s="5" t="inlineStr">
        <is>
          <t>ilkokul-kapisi</t>
        </is>
      </c>
      <c r="B125" s="5" t="n">
        <v>2</v>
      </c>
      <c r="C125" s="6" t="inlineStr">
        <is>
          <t>Önce ortamı oku</t>
        </is>
      </c>
      <c r="D125" s="5" t="inlineStr">
        <is>
          <t>Sosyal Radar</t>
        </is>
      </c>
      <c r="E125" s="5" t="inlineStr">
        <is>
          <t>Orta</t>
        </is>
      </c>
      <c r="F125" s="5" t="inlineStr"/>
      <c r="G125" s="6" t="inlineStr"/>
      <c r="H125" s="6" t="inlineStr">
        <is>
          <t>Sınıfın görünmeyen haritasını çıkarmaya başladın.</t>
        </is>
      </c>
      <c r="I125" s="6" t="inlineStr">
        <is>
          <t>Kimin lider, kimin sessiz dahi, kimin kantincinin yeğeni olduğunu ilk gün öğrendin.</t>
        </is>
      </c>
      <c r="J125" s="6" t="inlineStr">
        <is>
          <t>Ortamı okudun; ortam seni okumadı.</t>
        </is>
      </c>
      <c r="K125" s="6" t="inlineStr">
        <is>
          <t>Ortamı okurken zil çaldı ve kapı kapandı.</t>
        </is>
      </c>
      <c r="L125" s="6" t="inlineStr"/>
      <c r="M125" s="5" t="inlineStr"/>
      <c r="N125" s="5" t="inlineStr"/>
      <c r="O125" s="6" t="inlineStr"/>
      <c r="P125" s="6" t="inlineStr"/>
      <c r="Q125" s="5" t="inlineStr"/>
      <c r="R125" s="5" t="inlineStr"/>
      <c r="S125" s="5" t="inlineStr"/>
      <c r="T125" s="5" t="inlineStr"/>
      <c r="U125" s="5" t="inlineStr"/>
      <c r="V125" s="5" t="inlineStr"/>
      <c r="W125" s="5" t="inlineStr"/>
      <c r="X125" s="5" t="inlineStr"/>
      <c r="Y125" s="5" t="inlineStr"/>
      <c r="Z125" s="6" t="inlineStr"/>
      <c r="AA125" s="5" t="inlineStr"/>
      <c r="AB125" s="5" t="inlineStr"/>
      <c r="AC125" s="5" t="inlineStr"/>
      <c r="AD125" s="5" t="inlineStr"/>
      <c r="AE125" s="5" t="inlineStr"/>
      <c r="AF125" s="5" t="inlineStr"/>
      <c r="AG125" s="5" t="inlineStr"/>
      <c r="AH125" s="5" t="inlineStr"/>
    </row>
    <row r="126">
      <c r="A126" s="5" t="inlineStr">
        <is>
          <t>ilkokul-kapisi</t>
        </is>
      </c>
      <c r="B126" s="5" t="n">
        <v>3</v>
      </c>
      <c r="C126" s="6" t="inlineStr">
        <is>
          <t>Sınıfı kendin bul</t>
        </is>
      </c>
      <c r="D126" s="5" t="inlineStr">
        <is>
          <t>Akıl</t>
        </is>
      </c>
      <c r="E126" s="5" t="inlineStr">
        <is>
          <t>Kolay</t>
        </is>
      </c>
      <c r="F126" s="5" t="inlineStr"/>
      <c r="G126" s="6" t="inlineStr"/>
      <c r="H126" s="6" t="inlineStr">
        <is>
          <t>Kapıyı buldun ve içeri girdin.</t>
        </is>
      </c>
      <c r="I126" s="6" t="inlineStr">
        <is>
          <t>İpucunu tek bakışta çözdün. Doğru sınıf, ilk sıra.</t>
        </is>
      </c>
      <c r="J126" s="6" t="inlineStr">
        <is>
          <t>Yanlış sınıfa girdin, sonra doğrusunu buldun.</t>
        </is>
      </c>
      <c r="K126" s="6" t="inlineStr">
        <is>
          <t>Yanlış sınıfa girdin. Herkes sana baktı. Dördüncü sınıftı.</t>
        </is>
      </c>
      <c r="L126" s="6" t="inlineStr">
        <is>
          <t>Doğru koridor, yanlış kapı; ama öğretmen seni yönlendirdi.</t>
        </is>
      </c>
      <c r="M126" s="5" t="inlineStr">
        <is>
          <t>doors</t>
        </is>
      </c>
      <c r="N126" s="5" t="inlineStr">
        <is>
          <t>Doğru Sınıfı Bul</t>
        </is>
      </c>
      <c r="O126" s="6" t="inlineStr">
        <is>
          <t>Sınıfının işaretini aklında tut. Birazdan kaybolacak.</t>
        </is>
      </c>
      <c r="P126" s="6" t="inlineStr"/>
      <c r="Q126" s="5" t="inlineStr"/>
      <c r="R126" s="5" t="inlineStr"/>
      <c r="S126" s="5" t="inlineStr"/>
      <c r="T126" s="5" t="inlineStr"/>
      <c r="U126" s="5" t="inlineStr"/>
      <c r="V126" s="5" t="inlineStr"/>
      <c r="W126" s="5" t="inlineStr"/>
      <c r="X126" s="5" t="inlineStr"/>
      <c r="Y126" s="5" t="inlineStr"/>
      <c r="Z126" s="6" t="inlineStr"/>
      <c r="AA126" s="5" t="inlineStr"/>
      <c r="AB126" s="5" t="inlineStr"/>
      <c r="AC126" s="5" t="inlineStr"/>
      <c r="AD126" s="5" t="inlineStr"/>
      <c r="AE126" s="5" t="inlineStr"/>
      <c r="AF126" s="5" t="inlineStr"/>
      <c r="AG126" s="5" t="inlineStr"/>
      <c r="AH126" s="5" t="inlineStr"/>
    </row>
    <row r="127">
      <c r="A127" s="5" t="inlineStr">
        <is>
          <t>ilk-ders</t>
        </is>
      </c>
      <c r="B127" s="5" t="n">
        <v>1</v>
      </c>
      <c r="C127" s="6" t="inlineStr">
        <is>
          <t>El kaldır</t>
        </is>
      </c>
      <c r="D127" s="5" t="inlineStr">
        <is>
          <t>Cesaret</t>
        </is>
      </c>
      <c r="E127" s="5" t="inlineStr">
        <is>
          <t>Kolay</t>
        </is>
      </c>
      <c r="F127" s="5" t="inlineStr"/>
      <c r="G127" s="6" t="inlineStr"/>
      <c r="H127" s="6" t="inlineStr">
        <is>
          <t>Tahtaya kalktın, adını yazdın. İlk kamu görevin.</t>
        </is>
      </c>
      <c r="I127" s="6" t="inlineStr">
        <is>
          <t>Tahtaya çıktın ve koca bir cümle yazdın. Öğretmen defterine yıldız koydu.</t>
        </is>
      </c>
      <c r="J127" s="6" t="inlineStr">
        <is>
          <t>El kaldırdın; öğretmen başkasını seçti.</t>
        </is>
      </c>
      <c r="K127" s="6" t="inlineStr">
        <is>
          <t>Tahtaya kalktın, kalemi ters tuttun.</t>
        </is>
      </c>
      <c r="L127" s="6" t="inlineStr"/>
      <c r="M127" s="5" t="inlineStr"/>
      <c r="N127" s="5" t="inlineStr"/>
      <c r="O127" s="6" t="inlineStr"/>
      <c r="P127" s="6" t="inlineStr"/>
      <c r="Q127" s="5" t="inlineStr"/>
      <c r="R127" s="5" t="inlineStr"/>
      <c r="S127" s="5" t="inlineStr"/>
      <c r="T127" s="5" t="inlineStr"/>
      <c r="U127" s="5" t="inlineStr"/>
      <c r="V127" s="5" t="inlineStr"/>
      <c r="W127" s="5" t="inlineStr"/>
      <c r="X127" s="5" t="inlineStr"/>
      <c r="Y127" s="5" t="inlineStr"/>
      <c r="Z127" s="6" t="inlineStr"/>
      <c r="AA127" s="5" t="inlineStr"/>
      <c r="AB127" s="5" t="inlineStr"/>
      <c r="AC127" s="5" t="inlineStr"/>
      <c r="AD127" s="5" t="inlineStr"/>
      <c r="AE127" s="5" t="inlineStr"/>
      <c r="AF127" s="5" t="inlineStr"/>
      <c r="AG127" s="5" t="inlineStr"/>
      <c r="AH127" s="5" t="inlineStr"/>
    </row>
    <row r="128">
      <c r="A128" s="5" t="inlineStr">
        <is>
          <t>ilk-ders</t>
        </is>
      </c>
      <c r="B128" s="5" t="n">
        <v>2</v>
      </c>
      <c r="C128" s="6" t="inlineStr">
        <is>
          <t>Sessizce defterine yaz</t>
        </is>
      </c>
      <c r="D128" s="5" t="inlineStr">
        <is>
          <t>Akıl</t>
        </is>
      </c>
      <c r="E128" s="5" t="inlineStr">
        <is>
          <t>Kolay</t>
        </is>
      </c>
      <c r="F128" s="5" t="inlineStr"/>
      <c r="G128" s="6" t="inlineStr"/>
      <c r="H128" s="6" t="inlineStr">
        <is>
          <t>Sessizce yaptın. Öğretmen defterini görünce kaşlarını kaldırdı.</t>
        </is>
      </c>
      <c r="I128" s="6" t="inlineStr">
        <is>
          <t>Defterin sınıfa örnek olarak gösterildi.</t>
        </is>
      </c>
      <c r="J128" s="6" t="inlineStr">
        <is>
          <t>Yazdın ama silgi de yazdı.</t>
        </is>
      </c>
      <c r="K128" s="6" t="inlineStr">
        <is>
          <t>Deftere değil sıraya yazdın.</t>
        </is>
      </c>
      <c r="L128" s="6" t="inlineStr"/>
      <c r="M128" s="5" t="inlineStr"/>
      <c r="N128" s="5" t="inlineStr"/>
      <c r="O128" s="6" t="inlineStr"/>
      <c r="P128" s="6" t="inlineStr"/>
      <c r="Q128" s="5" t="inlineStr"/>
      <c r="R128" s="5" t="inlineStr"/>
      <c r="S128" s="5" t="inlineStr"/>
      <c r="T128" s="5" t="inlineStr"/>
      <c r="U128" s="5" t="inlineStr"/>
      <c r="V128" s="5" t="inlineStr"/>
      <c r="W128" s="5" t="inlineStr"/>
      <c r="X128" s="5" t="inlineStr"/>
      <c r="Y128" s="5" t="inlineStr"/>
      <c r="Z128" s="6" t="inlineStr"/>
      <c r="AA128" s="5" t="inlineStr"/>
      <c r="AB128" s="5" t="inlineStr"/>
      <c r="AC128" s="5" t="inlineStr"/>
      <c r="AD128" s="5" t="inlineStr"/>
      <c r="AE128" s="5" t="inlineStr"/>
      <c r="AF128" s="5" t="inlineStr"/>
      <c r="AG128" s="5" t="inlineStr"/>
      <c r="AH128" s="5" t="inlineStr"/>
    </row>
    <row r="129">
      <c r="A129" s="5" t="inlineStr">
        <is>
          <t>ilk-ders</t>
        </is>
      </c>
      <c r="B129" s="5" t="n">
        <v>3</v>
      </c>
      <c r="C129" s="6" t="inlineStr">
        <is>
          <t>Yanındakine yardım et</t>
        </is>
      </c>
      <c r="D129" s="5" t="inlineStr"/>
      <c r="E129" s="5" t="inlineStr"/>
      <c r="F129" s="5" t="inlineStr">
        <is>
          <t>İtibar +1, Sosyal Radar +1</t>
        </is>
      </c>
      <c r="G129" s="6" t="inlineStr">
        <is>
          <t>İlk dayanışma ağın kuruldu.</t>
        </is>
      </c>
      <c r="H129" s="6" t="inlineStr"/>
      <c r="I129" s="6" t="inlineStr"/>
      <c r="J129" s="6" t="inlineStr"/>
      <c r="K129" s="6" t="inlineStr"/>
      <c r="L129" s="6" t="inlineStr"/>
      <c r="M129" s="5" t="inlineStr"/>
      <c r="N129" s="5" t="inlineStr"/>
      <c r="O129" s="6" t="inlineStr"/>
      <c r="P129" s="6" t="inlineStr"/>
      <c r="Q129" s="5" t="inlineStr"/>
      <c r="R129" s="5" t="inlineStr"/>
      <c r="S129" s="5" t="inlineStr"/>
      <c r="T129" s="5" t="inlineStr"/>
      <c r="U129" s="5" t="inlineStr"/>
      <c r="V129" s="5" t="inlineStr"/>
      <c r="W129" s="5" t="inlineStr"/>
      <c r="X129" s="5" t="inlineStr"/>
      <c r="Y129" s="5" t="inlineStr"/>
      <c r="Z129" s="6" t="inlineStr"/>
      <c r="AA129" s="5" t="inlineStr"/>
      <c r="AB129" s="5" t="inlineStr"/>
      <c r="AC129" s="5" t="inlineStr"/>
      <c r="AD129" s="5" t="inlineStr"/>
      <c r="AE129" s="5" t="inlineStr"/>
      <c r="AF129" s="5" t="inlineStr"/>
      <c r="AG129" s="5" t="inlineStr"/>
      <c r="AH129" s="5" t="inlineStr"/>
    </row>
    <row r="130">
      <c r="A130" s="5" t="inlineStr">
        <is>
          <t>ilk-ders</t>
        </is>
      </c>
      <c r="B130" s="5" t="n">
        <v>4</v>
      </c>
      <c r="C130" s="6" t="inlineStr">
        <is>
          <t>Tabletten öğrendiklerini göster</t>
        </is>
      </c>
      <c r="D130" s="5" t="inlineStr">
        <is>
          <t>Akıl</t>
        </is>
      </c>
      <c r="E130" s="5" t="inlineStr">
        <is>
          <t>Kolay</t>
        </is>
      </c>
      <c r="F130" s="5" t="inlineStr"/>
      <c r="G130" s="6" t="inlineStr"/>
      <c r="H130" s="6" t="inlineStr">
        <is>
          <t>Harfleri bir oyundan öğrendiğini anlattın. Öğretmen not aldı.</t>
        </is>
      </c>
      <c r="I130" s="6" t="inlineStr">
        <is>
          <t>Sınıfa harf oyunu tanıttın. Öğretmen dersin yarısını sana bıraktı.</t>
        </is>
      </c>
      <c r="J130" s="6" t="inlineStr">
        <is>
          <t>Anlatırken oyunun adını hatırlayamadın.</t>
        </is>
      </c>
      <c r="K130" s="6" t="inlineStr">
        <is>
          <t>Tabletten öğrendiğin şeyin reklam şarkısı olduğu anlaşıldı.</t>
        </is>
      </c>
      <c r="L130" s="6" t="inlineStr"/>
      <c r="M130" s="5" t="inlineStr"/>
      <c r="N130" s="5" t="inlineStr"/>
      <c r="O130" s="6" t="inlineStr"/>
      <c r="P130" s="6" t="inlineStr"/>
      <c r="Q130" s="5" t="inlineStr">
        <is>
          <t>Teknoloji Merakı</t>
        </is>
      </c>
      <c r="R130" s="5" t="inlineStr"/>
      <c r="S130" s="5" t="inlineStr"/>
      <c r="T130" s="5" t="inlineStr"/>
      <c r="U130" s="5" t="inlineStr"/>
      <c r="V130" s="5" t="inlineStr"/>
      <c r="W130" s="5" t="inlineStr"/>
      <c r="X130" s="5" t="inlineStr"/>
      <c r="Y130" s="5" t="inlineStr"/>
      <c r="Z130" s="6" t="inlineStr"/>
      <c r="AA130" s="5" t="inlineStr"/>
      <c r="AB130" s="5" t="inlineStr"/>
      <c r="AC130" s="5" t="inlineStr"/>
      <c r="AD130" s="5" t="inlineStr"/>
      <c r="AE130" s="5" t="inlineStr"/>
      <c r="AF130" s="5" t="inlineStr"/>
      <c r="AG130" s="5" t="inlineStr"/>
      <c r="AH130" s="5" t="inlineStr"/>
    </row>
    <row r="131">
      <c r="A131" s="5" t="inlineStr">
        <is>
          <t>sira-arkadasi</t>
        </is>
      </c>
      <c r="B131" s="5" t="n">
        <v>1</v>
      </c>
      <c r="C131" s="6" t="inlineStr">
        <is>
          <t>Kendini tanıt</t>
        </is>
      </c>
      <c r="D131" s="5" t="inlineStr">
        <is>
          <t>Çene</t>
        </is>
      </c>
      <c r="E131" s="5" t="inlineStr">
        <is>
          <t>Kolay</t>
        </is>
      </c>
      <c r="F131" s="5" t="inlineStr"/>
      <c r="G131" s="6" t="inlineStr"/>
      <c r="H131" s="6" t="inlineStr">
        <is>
          <t>Adını söyledin, o da söyledi. Diplomatik ilişkiler kuruldu.</t>
        </is>
      </c>
      <c r="I131" s="6" t="inlineStr">
        <is>
          <t>Tanıştınız, güldünüz, ortak düşman olarak matematiği seçtiniz. Ömürlük dostluk.</t>
        </is>
      </c>
      <c r="J131" s="6" t="inlineStr">
        <is>
          <t>Tanıttın; o kalem saymaya devam etti.</t>
        </is>
      </c>
      <c r="K131" s="6" t="inlineStr">
        <is>
          <t>Kendini tanıtırken adını yanlış söyledin. Tüm yıl öyle çağrıldın.</t>
        </is>
      </c>
      <c r="L131" s="6" t="inlineStr"/>
      <c r="M131" s="5" t="inlineStr"/>
      <c r="N131" s="5" t="inlineStr"/>
      <c r="O131" s="6" t="inlineStr"/>
      <c r="P131" s="6" t="inlineStr"/>
      <c r="Q131" s="5" t="inlineStr"/>
      <c r="R131" s="5" t="inlineStr"/>
      <c r="S131" s="5" t="inlineStr"/>
      <c r="T131" s="5" t="inlineStr"/>
      <c r="U131" s="5" t="inlineStr"/>
      <c r="V131" s="5" t="inlineStr"/>
      <c r="W131" s="5" t="inlineStr"/>
      <c r="X131" s="5" t="inlineStr"/>
      <c r="Y131" s="5" t="inlineStr"/>
      <c r="Z131" s="6" t="inlineStr"/>
      <c r="AA131" s="5" t="inlineStr"/>
      <c r="AB131" s="5" t="inlineStr"/>
      <c r="AC131" s="5" t="inlineStr"/>
      <c r="AD131" s="5" t="inlineStr"/>
      <c r="AE131" s="5" t="inlineStr"/>
      <c r="AF131" s="5" t="inlineStr"/>
      <c r="AG131" s="5" t="inlineStr"/>
      <c r="AH131" s="5" t="inlineStr"/>
    </row>
    <row r="132">
      <c r="A132" s="5" t="inlineStr">
        <is>
          <t>sira-arkadasi</t>
        </is>
      </c>
      <c r="B132" s="5" t="n">
        <v>2</v>
      </c>
      <c r="C132" s="6" t="inlineStr">
        <is>
          <t>Kalemlerini paylaş</t>
        </is>
      </c>
      <c r="D132" s="5" t="inlineStr"/>
      <c r="E132" s="5" t="inlineStr"/>
      <c r="F132" s="5" t="inlineStr">
        <is>
          <t>İtibar +1</t>
        </is>
      </c>
      <c r="G132" s="6" t="inlineStr">
        <is>
          <t>Kalem ekonomisinde güven tesis edildi.</t>
        </is>
      </c>
      <c r="H132" s="6" t="inlineStr"/>
      <c r="I132" s="6" t="inlineStr"/>
      <c r="J132" s="6" t="inlineStr"/>
      <c r="K132" s="6" t="inlineStr"/>
      <c r="L132" s="6" t="inlineStr"/>
      <c r="M132" s="5" t="inlineStr"/>
      <c r="N132" s="5" t="inlineStr"/>
      <c r="O132" s="6" t="inlineStr"/>
      <c r="P132" s="6" t="inlineStr"/>
      <c r="Q132" s="5" t="inlineStr"/>
      <c r="R132" s="5" t="inlineStr"/>
      <c r="S132" s="5" t="inlineStr"/>
      <c r="T132" s="5" t="inlineStr"/>
      <c r="U132" s="5" t="inlineStr"/>
      <c r="V132" s="5" t="inlineStr"/>
      <c r="W132" s="5" t="inlineStr"/>
      <c r="X132" s="5" t="inlineStr"/>
      <c r="Y132" s="5" t="inlineStr"/>
      <c r="Z132" s="6" t="inlineStr"/>
      <c r="AA132" s="5" t="inlineStr"/>
      <c r="AB132" s="5" t="inlineStr"/>
      <c r="AC132" s="5" t="inlineStr"/>
      <c r="AD132" s="5" t="inlineStr"/>
      <c r="AE132" s="5" t="inlineStr"/>
      <c r="AF132" s="5" t="inlineStr"/>
      <c r="AG132" s="5" t="inlineStr"/>
      <c r="AH132" s="5" t="inlineStr"/>
    </row>
    <row r="133">
      <c r="A133" s="5" t="inlineStr">
        <is>
          <t>sira-arkadasi</t>
        </is>
      </c>
      <c r="B133" s="5" t="n">
        <v>3</v>
      </c>
      <c r="C133" s="6" t="inlineStr">
        <is>
          <t>Sıraya sınır çiz</t>
        </is>
      </c>
      <c r="D133" s="5" t="inlineStr">
        <is>
          <t>Cesaret</t>
        </is>
      </c>
      <c r="E133" s="5" t="inlineStr">
        <is>
          <t>Orta</t>
        </is>
      </c>
      <c r="F133" s="5" t="inlineStr"/>
      <c r="G133" s="6" t="inlineStr"/>
      <c r="H133" s="6" t="inlineStr">
        <is>
          <t>Sıranın ortasına görünmez bir sınır çektin. İki taraf da saygı duydu.</t>
        </is>
      </c>
      <c r="I133" s="6" t="inlineStr">
        <is>
          <t>Sınırı çizdin, anlaşma imzaladınız, ek protokolle silgi ortak kullanıma açıldı.</t>
        </is>
      </c>
      <c r="J133" s="6" t="inlineStr">
        <is>
          <t>Sınırı çizdin; dirseği her gün sınırı ihlal etti.</t>
        </is>
      </c>
      <c r="K133" s="6" t="inlineStr">
        <is>
          <t>Sınırı kalemle sıraya çizdin. Müdür yardımcısı tanıştırıldı.</t>
        </is>
      </c>
      <c r="L133" s="6" t="inlineStr"/>
      <c r="M133" s="5" t="inlineStr"/>
      <c r="N133" s="5" t="inlineStr"/>
      <c r="O133" s="6" t="inlineStr"/>
      <c r="P133" s="6" t="inlineStr"/>
      <c r="Q133" s="5" t="inlineStr"/>
      <c r="R133" s="5" t="inlineStr"/>
      <c r="S133" s="5" t="inlineStr"/>
      <c r="T133" s="5" t="inlineStr"/>
      <c r="U133" s="5" t="inlineStr"/>
      <c r="V133" s="5" t="inlineStr"/>
      <c r="W133" s="5" t="inlineStr"/>
      <c r="X133" s="5" t="inlineStr"/>
      <c r="Y133" s="5" t="inlineStr"/>
      <c r="Z133" s="6" t="inlineStr"/>
      <c r="AA133" s="5" t="inlineStr"/>
      <c r="AB133" s="5" t="inlineStr"/>
      <c r="AC133" s="5" t="inlineStr"/>
      <c r="AD133" s="5" t="inlineStr"/>
      <c r="AE133" s="5" t="inlineStr"/>
      <c r="AF133" s="5" t="inlineStr"/>
      <c r="AG133" s="5" t="inlineStr"/>
      <c r="AH133" s="5" t="inlineStr"/>
    </row>
    <row r="134">
      <c r="A134" s="5" t="inlineStr">
        <is>
          <t>sira-arkadasi</t>
        </is>
      </c>
      <c r="B134" s="5" t="n">
        <v>4</v>
      </c>
      <c r="C134" s="6" t="inlineStr">
        <is>
          <t>Espriyle buzları kır</t>
        </is>
      </c>
      <c r="D134" s="5" t="inlineStr">
        <is>
          <t>Pişkinlik</t>
        </is>
      </c>
      <c r="E134" s="5" t="inlineStr">
        <is>
          <t>Çok Kolay</t>
        </is>
      </c>
      <c r="F134" s="5" t="inlineStr"/>
      <c r="G134" s="6" t="inlineStr"/>
      <c r="H134" s="6" t="inlineStr">
        <is>
          <t>Bir espri yaptın, o güldü. Sıra artık ortak bölge.</t>
        </is>
      </c>
      <c r="I134" s="6" t="inlineStr">
        <is>
          <t>Espriyi o kadar beğendi ki teneffüste başkalarına anlattı. Kaynak olarak seni gösterdi.</t>
        </is>
      </c>
      <c r="J134" s="6" t="inlineStr">
        <is>
          <t>Espri havada kaldı. Kalem saymaya devam edildi.</t>
        </is>
      </c>
      <c r="K134" s="6" t="inlineStr">
        <is>
          <t>Espri yaparken sandalyeden düştün. Aslında bu daha komikti.</t>
        </is>
      </c>
      <c r="L134" s="6" t="inlineStr"/>
      <c r="M134" s="5" t="inlineStr"/>
      <c r="N134" s="5" t="inlineStr"/>
      <c r="O134" s="6" t="inlineStr"/>
      <c r="P134" s="6" t="inlineStr"/>
      <c r="Q134" s="5" t="inlineStr">
        <is>
          <t>Kendine Gülebilir</t>
        </is>
      </c>
      <c r="R134" s="5" t="inlineStr"/>
      <c r="S134" s="5" t="inlineStr"/>
      <c r="T134" s="5" t="inlineStr"/>
      <c r="U134" s="5" t="inlineStr"/>
      <c r="V134" s="5" t="inlineStr"/>
      <c r="W134" s="5" t="inlineStr"/>
      <c r="X134" s="5" t="inlineStr"/>
      <c r="Y134" s="5" t="inlineStr"/>
      <c r="Z134" s="6" t="inlineStr"/>
      <c r="AA134" s="5" t="inlineStr"/>
      <c r="AB134" s="5" t="inlineStr"/>
      <c r="AC134" s="5" t="inlineStr"/>
      <c r="AD134" s="5" t="inlineStr"/>
      <c r="AE134" s="5" t="inlineStr"/>
      <c r="AF134" s="5" t="inlineStr"/>
      <c r="AG134" s="5" t="inlineStr"/>
      <c r="AH134" s="5" t="inlineStr"/>
    </row>
    <row r="135">
      <c r="A135" s="5" t="inlineStr">
        <is>
          <t>teneffus-kantini</t>
        </is>
      </c>
      <c r="B135" s="5" t="n">
        <v>1</v>
      </c>
      <c r="C135" s="6" t="inlineStr">
        <is>
          <t>Sırada bekle</t>
        </is>
      </c>
      <c r="D135" s="5" t="inlineStr"/>
      <c r="E135" s="5" t="inlineStr"/>
      <c r="F135" s="5" t="inlineStr">
        <is>
          <t>Dayanıklılık +1, İtibar +1</t>
        </is>
      </c>
      <c r="G135" s="6" t="inlineStr">
        <is>
          <t>Tost soğuktu ama vicdanın sıcak.</t>
        </is>
      </c>
      <c r="H135" s="6" t="inlineStr"/>
      <c r="I135" s="6" t="inlineStr"/>
      <c r="J135" s="6" t="inlineStr"/>
      <c r="K135" s="6" t="inlineStr"/>
      <c r="L135" s="6" t="inlineStr"/>
      <c r="M135" s="5" t="inlineStr"/>
      <c r="N135" s="5" t="inlineStr"/>
      <c r="O135" s="6" t="inlineStr"/>
      <c r="P135" s="6" t="inlineStr"/>
      <c r="Q135" s="5" t="inlineStr"/>
      <c r="R135" s="5" t="inlineStr"/>
      <c r="S135" s="5" t="inlineStr"/>
      <c r="T135" s="5" t="inlineStr"/>
      <c r="U135" s="5" t="inlineStr"/>
      <c r="V135" s="5" t="inlineStr"/>
      <c r="W135" s="5" t="inlineStr"/>
      <c r="X135" s="5" t="inlineStr"/>
      <c r="Y135" s="5" t="inlineStr"/>
      <c r="Z135" s="6" t="inlineStr"/>
      <c r="AA135" s="5" t="inlineStr"/>
      <c r="AB135" s="5" t="inlineStr"/>
      <c r="AC135" s="5" t="inlineStr"/>
      <c r="AD135" s="5" t="inlineStr"/>
      <c r="AE135" s="5" t="inlineStr"/>
      <c r="AF135" s="5" t="inlineStr"/>
      <c r="AG135" s="5" t="inlineStr"/>
      <c r="AH135" s="5" t="inlineStr"/>
    </row>
    <row r="136">
      <c r="A136" s="5" t="inlineStr">
        <is>
          <t>teneffus-kantini</t>
        </is>
      </c>
      <c r="B136" s="5" t="n">
        <v>2</v>
      </c>
      <c r="C136" s="6" t="inlineStr">
        <is>
          <t>Öndeki arkadaşına sipariş verdir</t>
        </is>
      </c>
      <c r="D136" s="5" t="inlineStr">
        <is>
          <t>Çene</t>
        </is>
      </c>
      <c r="E136" s="5" t="inlineStr">
        <is>
          <t>Orta</t>
        </is>
      </c>
      <c r="F136" s="5" t="inlineStr"/>
      <c r="G136" s="6" t="inlineStr"/>
      <c r="H136" s="6" t="inlineStr">
        <is>
          <t>Sipariş zincirini kurdun, tost sana ulaştı.</t>
        </is>
      </c>
      <c r="I136" s="6" t="inlineStr">
        <is>
          <t>Üç arkadaşının siparişini birleştirip toplu indirim aldın.</t>
        </is>
      </c>
      <c r="J136" s="6" t="inlineStr">
        <is>
          <t>Arkadaşın siparişi unuttu. Kendi tostunu yedi.</t>
        </is>
      </c>
      <c r="K136" s="6" t="inlineStr">
        <is>
          <t>Sipariş verdirdin; kantinci ikinizi de sıranın sonuna gönderdi.</t>
        </is>
      </c>
      <c r="L136" s="6" t="inlineStr">
        <is>
          <t>Siparişin yarısı doğru geldi. Tost geldi, ayran yerine su geldi.</t>
        </is>
      </c>
      <c r="M136" s="5" t="inlineStr">
        <is>
          <t>simon</t>
        </is>
      </c>
      <c r="N136" s="5" t="inlineStr">
        <is>
          <t>Siparişi Ezberle</t>
        </is>
      </c>
      <c r="O136" s="6" t="inlineStr">
        <is>
          <t>Arkadaşın siparişi bir kez söyleyecek. Aynı sırayla tekrar et.</t>
        </is>
      </c>
      <c r="P136" s="6" t="inlineStr"/>
      <c r="Q136" s="5" t="inlineStr"/>
      <c r="R136" s="5" t="inlineStr"/>
      <c r="S136" s="5" t="inlineStr"/>
      <c r="T136" s="5" t="inlineStr"/>
      <c r="U136" s="5" t="inlineStr"/>
      <c r="V136" s="5" t="inlineStr"/>
      <c r="W136" s="5" t="inlineStr"/>
      <c r="X136" s="5" t="inlineStr"/>
      <c r="Y136" s="5" t="inlineStr"/>
      <c r="Z136" s="6" t="inlineStr"/>
      <c r="AA136" s="5" t="inlineStr"/>
      <c r="AB136" s="5" t="inlineStr"/>
      <c r="AC136" s="5" t="inlineStr"/>
      <c r="AD136" s="5" t="inlineStr"/>
      <c r="AE136" s="5" t="inlineStr"/>
      <c r="AF136" s="5" t="inlineStr"/>
      <c r="AG136" s="5" t="inlineStr"/>
      <c r="AH136" s="5" t="inlineStr"/>
    </row>
    <row r="137">
      <c r="A137" s="5" t="inlineStr">
        <is>
          <t>teneffus-kantini</t>
        </is>
      </c>
      <c r="B137" s="5" t="n">
        <v>3</v>
      </c>
      <c r="C137" s="6" t="inlineStr">
        <is>
          <t>Kantinciye yardım et</t>
        </is>
      </c>
      <c r="D137" s="5" t="inlineStr">
        <is>
          <t>Dayanıklılık</t>
        </is>
      </c>
      <c r="E137" s="5" t="inlineStr">
        <is>
          <t>Orta</t>
        </is>
      </c>
      <c r="F137" s="5" t="inlineStr"/>
      <c r="G137" s="6" t="inlineStr"/>
      <c r="H137" s="6" t="inlineStr">
        <is>
          <t>Dökülen bozuklukları topladın. Kantinci seni sıranın önüne aldı.</t>
        </is>
      </c>
      <c r="I137" s="6" t="inlineStr">
        <is>
          <t>Kantinci sana ömür boyu 'ekstra kaşar' hakkı tanıdı.</t>
        </is>
      </c>
      <c r="J137" s="6" t="inlineStr">
        <is>
          <t>Topladın ama zil çaldı. Yardım ettin, aç kaldın.</t>
        </is>
      </c>
      <c r="K137" s="6" t="inlineStr">
        <is>
          <t>Yardım ederken peynir kasesini devirdin. Kantin geçici olarak kapandı.</t>
        </is>
      </c>
      <c r="L137" s="6" t="inlineStr">
        <is>
          <t>Çoğunu topladın; kantinci teşekkür etti ama sıra aynı.</t>
        </is>
      </c>
      <c r="M137" s="5" t="inlineStr">
        <is>
          <t>collect</t>
        </is>
      </c>
      <c r="N137" s="5" t="inlineStr">
        <is>
          <t>Bozuklukları Topla</t>
        </is>
      </c>
      <c r="O137" s="6" t="inlineStr">
        <is>
          <t>Yere saçılan paraları zil çalmadan topla.</t>
        </is>
      </c>
      <c r="P137" s="6" t="inlineStr">
        <is>
          <t>{"piece": "🪙"}</t>
        </is>
      </c>
      <c r="Q137" s="5" t="inlineStr"/>
      <c r="R137" s="5" t="inlineStr"/>
      <c r="S137" s="5" t="inlineStr"/>
      <c r="T137" s="5" t="inlineStr"/>
      <c r="U137" s="5" t="inlineStr"/>
      <c r="V137" s="5" t="inlineStr"/>
      <c r="W137" s="5" t="inlineStr"/>
      <c r="X137" s="5" t="inlineStr"/>
      <c r="Y137" s="5" t="inlineStr"/>
      <c r="Z137" s="6" t="inlineStr"/>
      <c r="AA137" s="5" t="inlineStr"/>
      <c r="AB137" s="5" t="inlineStr"/>
      <c r="AC137" s="5" t="inlineStr"/>
      <c r="AD137" s="5" t="inlineStr"/>
      <c r="AE137" s="5" t="inlineStr"/>
      <c r="AF137" s="5" t="inlineStr"/>
      <c r="AG137" s="5" t="inlineStr"/>
      <c r="AH137" s="5" t="inlineStr"/>
    </row>
    <row r="138">
      <c r="A138" s="5" t="inlineStr">
        <is>
          <t>teneffus-kantini</t>
        </is>
      </c>
      <c r="B138" s="5" t="n">
        <v>4</v>
      </c>
      <c r="C138" s="6" t="inlineStr">
        <is>
          <t>Kantincinin hesap hatasını düzelt</t>
        </is>
      </c>
      <c r="D138" s="5" t="inlineStr">
        <is>
          <t>Kurnazlık</t>
        </is>
      </c>
      <c r="E138" s="5" t="inlineStr">
        <is>
          <t>Kolay</t>
        </is>
      </c>
      <c r="F138" s="5" t="inlineStr"/>
      <c r="G138" s="6" t="inlineStr"/>
      <c r="H138" s="6" t="inlineStr">
        <is>
          <t>Kantincinin hesabındaki hatayı buldun. Sana 'Muhasebeci' lakabı takıldı.</t>
        </is>
      </c>
      <c r="I138" s="6" t="inlineStr">
        <is>
          <t>Hatayı buldun, kantinci ödül olarak sana çikolata verdi. Hata aslında senin lehineydi.</t>
        </is>
      </c>
      <c r="J138" s="6" t="inlineStr">
        <is>
          <t>Hatayı söyledin; kantinci 'Sen önce toplama öğren' dedi.</t>
        </is>
      </c>
      <c r="K138" s="6" t="inlineStr">
        <is>
          <t>Hatayı söyledin; hata yokmuş. Kuyruk seni izledi.</t>
        </is>
      </c>
      <c r="L138" s="6" t="inlineStr"/>
      <c r="M138" s="5" t="inlineStr"/>
      <c r="N138" s="5" t="inlineStr"/>
      <c r="O138" s="6" t="inlineStr"/>
      <c r="P138" s="6" t="inlineStr"/>
      <c r="Q138" s="5" t="inlineStr">
        <is>
          <t>Para Üstü Radarı</t>
        </is>
      </c>
      <c r="R138" s="5" t="inlineStr"/>
      <c r="S138" s="5" t="inlineStr"/>
      <c r="T138" s="5" t="inlineStr"/>
      <c r="U138" s="5" t="inlineStr"/>
      <c r="V138" s="5" t="inlineStr"/>
      <c r="W138" s="5" t="inlineStr"/>
      <c r="X138" s="5" t="inlineStr"/>
      <c r="Y138" s="5" t="inlineStr"/>
      <c r="Z138" s="6" t="inlineStr"/>
      <c r="AA138" s="5" t="inlineStr"/>
      <c r="AB138" s="5" t="inlineStr"/>
      <c r="AC138" s="5" t="inlineStr"/>
      <c r="AD138" s="5" t="inlineStr"/>
      <c r="AE138" s="5" t="inlineStr"/>
      <c r="AF138" s="5" t="inlineStr"/>
      <c r="AG138" s="5" t="inlineStr"/>
      <c r="AH138" s="5" t="inlineStr"/>
    </row>
    <row r="139">
      <c r="A139" s="5" t="inlineStr">
        <is>
          <t>teneffus-kantini</t>
        </is>
      </c>
      <c r="B139" s="5" t="n">
        <v>5</v>
      </c>
      <c r="C139" s="6" t="inlineStr">
        <is>
          <t>Kantinden toptan al, sınıfta sat</t>
        </is>
      </c>
      <c r="D139" s="5" t="inlineStr">
        <is>
          <t>Kurnazlık</t>
        </is>
      </c>
      <c r="E139" s="5" t="inlineStr">
        <is>
          <t>Orta</t>
        </is>
      </c>
      <c r="F139" s="5" t="inlineStr"/>
      <c r="G139" s="6" t="inlineStr"/>
      <c r="H139" s="6" t="inlineStr">
        <is>
          <t>Kantinden on paket kraker aldın, teneffüs bitmeden sınıfta bir buçuk fiyatına sattın. Kâr: bir kavanoz bilye.</t>
        </is>
      </c>
      <c r="I139" s="6" t="inlineStr">
        <is>
          <t>Teneffüs biterken kantinin en iyi müşterisi, sınıfın ise tek tedarikçisiydin. Kantinci seni rakip olarak not etti.</t>
        </is>
      </c>
      <c r="J139" s="6" t="inlineStr">
        <is>
          <t>Toptan aldın ama sınıfta kimsenin parası kalmamıştı. Akşama kadar on paket kraker yedin.</t>
        </is>
      </c>
      <c r="K139" s="6" t="inlineStr">
        <is>
          <t>Kantinci seni “karaborsacı” ilan edip müdüre şikâyet etti. Kariyerinin ilk soruşturması.</t>
        </is>
      </c>
      <c r="L139" s="6" t="inlineStr"/>
      <c r="M139" s="5" t="inlineStr"/>
      <c r="N139" s="5" t="inlineStr"/>
      <c r="O139" s="6" t="inlineStr"/>
      <c r="P139" s="6" t="inlineStr"/>
      <c r="Q139" s="5" t="inlineStr"/>
      <c r="R139" s="5" t="inlineStr"/>
      <c r="S139" s="5" t="inlineStr"/>
      <c r="T139" s="5" t="inlineStr"/>
      <c r="U139" s="5" t="inlineStr">
        <is>
          <t>teneffus-tuccari</t>
        </is>
      </c>
      <c r="V139" s="5" t="inlineStr"/>
      <c r="W139" s="5" t="inlineStr"/>
      <c r="X139" s="5" t="inlineStr"/>
      <c r="Y139" s="5" t="inlineStr"/>
      <c r="Z139" s="6" t="inlineStr"/>
      <c r="AA139" s="5" t="inlineStr"/>
      <c r="AB139" s="5" t="inlineStr"/>
      <c r="AC139" s="5" t="inlineStr"/>
      <c r="AD139" s="5" t="inlineStr"/>
      <c r="AE139" s="5" t="inlineStr"/>
      <c r="AF139" s="5" t="inlineStr"/>
      <c r="AG139" s="5" t="inlineStr"/>
      <c r="AH139" s="5" t="inlineStr"/>
    </row>
    <row r="140">
      <c r="A140" s="5" t="inlineStr">
        <is>
          <t>odev-nerede</t>
        </is>
      </c>
      <c r="B140" s="5" t="n">
        <v>1</v>
      </c>
      <c r="C140" s="6" t="inlineStr">
        <is>
          <t>Doğruyu söyle</t>
        </is>
      </c>
      <c r="D140" s="5" t="inlineStr"/>
      <c r="E140" s="5" t="inlineStr"/>
      <c r="F140" s="5" t="inlineStr">
        <is>
          <t>İtibar +2</t>
        </is>
      </c>
      <c r="G140" s="6" t="inlineStr">
        <is>
          <t>Öğretmen dürüstlüğünü not etti. Ödevi de not etti.</t>
        </is>
      </c>
      <c r="H140" s="6" t="inlineStr"/>
      <c r="I140" s="6" t="inlineStr"/>
      <c r="J140" s="6" t="inlineStr"/>
      <c r="K140" s="6" t="inlineStr"/>
      <c r="L140" s="6" t="inlineStr"/>
      <c r="M140" s="5" t="inlineStr"/>
      <c r="N140" s="5" t="inlineStr"/>
      <c r="O140" s="6" t="inlineStr"/>
      <c r="P140" s="6" t="inlineStr"/>
      <c r="Q140" s="5" t="inlineStr"/>
      <c r="R140" s="5" t="inlineStr"/>
      <c r="S140" s="5" t="inlineStr"/>
      <c r="T140" s="5" t="inlineStr"/>
      <c r="U140" s="5" t="inlineStr"/>
      <c r="V140" s="5" t="inlineStr"/>
      <c r="W140" s="5" t="inlineStr"/>
      <c r="X140" s="5" t="inlineStr"/>
      <c r="Y140" s="5" t="inlineStr"/>
      <c r="Z140" s="6" t="inlineStr"/>
      <c r="AA140" s="5" t="inlineStr"/>
      <c r="AB140" s="5" t="inlineStr"/>
      <c r="AC140" s="5" t="inlineStr"/>
      <c r="AD140" s="5" t="inlineStr"/>
      <c r="AE140" s="5" t="inlineStr"/>
      <c r="AF140" s="5" t="inlineStr"/>
      <c r="AG140" s="5" t="inlineStr"/>
      <c r="AH140" s="5" t="inlineStr"/>
    </row>
    <row r="141">
      <c r="A141" s="5" t="inlineStr">
        <is>
          <t>odev-nerede</t>
        </is>
      </c>
      <c r="B141" s="5" t="n">
        <v>2</v>
      </c>
      <c r="C141" s="6" t="inlineStr">
        <is>
          <t>Teneffüste yetiştir</t>
        </is>
      </c>
      <c r="D141" s="5" t="inlineStr">
        <is>
          <t>Akıl</t>
        </is>
      </c>
      <c r="E141" s="5" t="inlineStr">
        <is>
          <t>Orta</t>
        </is>
      </c>
      <c r="F141" s="5" t="inlineStr"/>
      <c r="G141" s="6" t="inlineStr"/>
      <c r="H141" s="6" t="inlineStr">
        <is>
          <t>On dakikada iki sayfa. Kalite tartışılır, teslim kesin.</t>
        </is>
      </c>
      <c r="I141" s="6" t="inlineStr">
        <is>
          <t>Teneffüste bitirdin; öğretmen 'En temiz ödev bu' dedi. Kimse sormadı.</t>
        </is>
      </c>
      <c r="J141" s="6" t="inlineStr">
        <is>
          <t>Yetiştiremedin; yarım ödev teslim edildi.</t>
        </is>
      </c>
      <c r="K141" s="6" t="inlineStr">
        <is>
          <t>Yazarken kalemin bitti. Sonra zil çaldı. Sonra silgin kayboldu.</t>
        </is>
      </c>
      <c r="L141" s="6" t="inlineStr"/>
      <c r="M141" s="5" t="inlineStr"/>
      <c r="N141" s="5" t="inlineStr"/>
      <c r="O141" s="6" t="inlineStr"/>
      <c r="P141" s="6" t="inlineStr"/>
      <c r="Q141" s="5" t="inlineStr"/>
      <c r="R141" s="5" t="inlineStr"/>
      <c r="S141" s="5" t="inlineStr"/>
      <c r="T141" s="5" t="inlineStr"/>
      <c r="U141" s="5" t="inlineStr"/>
      <c r="V141" s="5" t="inlineStr"/>
      <c r="W141" s="5" t="inlineStr"/>
      <c r="X141" s="5" t="inlineStr"/>
      <c r="Y141" s="5" t="inlineStr"/>
      <c r="Z141" s="6" t="inlineStr"/>
      <c r="AA141" s="5" t="inlineStr"/>
      <c r="AB141" s="5" t="inlineStr"/>
      <c r="AC141" s="5" t="inlineStr"/>
      <c r="AD141" s="5" t="inlineStr"/>
      <c r="AE141" s="5" t="inlineStr"/>
      <c r="AF141" s="5" t="inlineStr"/>
      <c r="AG141" s="5" t="inlineStr"/>
      <c r="AH141" s="5" t="inlineStr"/>
    </row>
    <row r="142">
      <c r="A142" s="5" t="inlineStr">
        <is>
          <t>odev-nerede</t>
        </is>
      </c>
      <c r="B142" s="5" t="n">
        <v>3</v>
      </c>
      <c r="C142" s="6" t="inlineStr">
        <is>
          <t>'Köpek yedi' de</t>
        </is>
      </c>
      <c r="D142" s="5" t="inlineStr">
        <is>
          <t>Pişkinlik</t>
        </is>
      </c>
      <c r="E142" s="5" t="inlineStr">
        <is>
          <t>Zor</t>
        </is>
      </c>
      <c r="F142" s="5" t="inlineStr"/>
      <c r="G142" s="6" t="inlineStr"/>
      <c r="H142" s="6" t="inlineStr">
        <is>
          <t>Öğretmen güldü ve bir gün ek süre verdi.</t>
        </is>
      </c>
      <c r="I142" s="6" t="inlineStr">
        <is>
          <t>Öyle anlattın ki öğretmen köpeğin sağlığını sordu. Ek süre ve geçmiş olsun dileği.</t>
        </is>
      </c>
      <c r="J142" s="6" t="inlineStr">
        <is>
          <t>'Sizin köpeğiniz yok ki' dedi öğretmen.</t>
        </is>
      </c>
      <c r="K142" s="6" t="inlineStr">
        <is>
          <t>Veli toplantısında köpek konusu açıldı. Köpeğiniz yoktu.</t>
        </is>
      </c>
      <c r="L142" s="6" t="inlineStr"/>
      <c r="M142" s="5" t="inlineStr"/>
      <c r="N142" s="5" t="inlineStr"/>
      <c r="O142" s="6" t="inlineStr"/>
      <c r="P142" s="6" t="inlineStr"/>
      <c r="Q142" s="5" t="inlineStr"/>
      <c r="R142" s="5" t="inlineStr"/>
      <c r="S142" s="5" t="inlineStr"/>
      <c r="T142" s="5" t="inlineStr"/>
      <c r="U142" s="5" t="inlineStr">
        <is>
          <t>yalanci</t>
        </is>
      </c>
      <c r="V142" s="5" t="inlineStr"/>
      <c r="W142" s="5" t="inlineStr"/>
      <c r="X142" s="5" t="inlineStr"/>
      <c r="Y142" s="5" t="inlineStr"/>
      <c r="Z142" s="6" t="inlineStr"/>
      <c r="AA142" s="5" t="inlineStr"/>
      <c r="AB142" s="5" t="inlineStr"/>
      <c r="AC142" s="5" t="inlineStr"/>
      <c r="AD142" s="5" t="inlineStr"/>
      <c r="AE142" s="5" t="inlineStr"/>
      <c r="AF142" s="5" t="inlineStr"/>
      <c r="AG142" s="5" t="inlineStr"/>
      <c r="AH142" s="5" t="inlineStr"/>
    </row>
    <row r="143">
      <c r="A143" s="5" t="inlineStr">
        <is>
          <t>sinif-baskani</t>
        </is>
      </c>
      <c r="B143" s="5" t="n">
        <v>1</v>
      </c>
      <c r="C143" s="6" t="inlineStr">
        <is>
          <t>Aday ol</t>
        </is>
      </c>
      <c r="D143" s="5" t="inlineStr">
        <is>
          <t>Cesaret</t>
        </is>
      </c>
      <c r="E143" s="5" t="inlineStr">
        <is>
          <t>Zor</t>
        </is>
      </c>
      <c r="F143" s="5" t="inlineStr"/>
      <c r="G143" s="6" t="inlineStr"/>
      <c r="H143" s="6" t="inlineStr">
        <is>
          <t>Seçildin. İlk icraatın: akvaryum için bağış kampanyası.</t>
        </is>
      </c>
      <c r="I143" s="6" t="inlineStr">
        <is>
          <t>Oyların çoğunu aldın. Rakibin tebrik etti, sonra yardımcın oldu.</t>
        </is>
      </c>
      <c r="J143" s="6" t="inlineStr">
        <is>
          <t>Aday oldun; iki oy aldın. Biri senin, biri sıra arkadaşının.</t>
        </is>
      </c>
      <c r="K143" s="6" t="inlineStr">
        <is>
          <t>Seçim konuşmasında 'Herkese dondurma' dedin. Öğretmen adaylığını iptal etti.</t>
        </is>
      </c>
      <c r="L143" s="6" t="inlineStr"/>
      <c r="M143" s="5" t="inlineStr"/>
      <c r="N143" s="5" t="inlineStr"/>
      <c r="O143" s="6" t="inlineStr"/>
      <c r="P143" s="6" t="inlineStr"/>
      <c r="Q143" s="5" t="inlineStr"/>
      <c r="R143" s="5" t="inlineStr"/>
      <c r="S143" s="5" t="inlineStr"/>
      <c r="T143" s="5" t="inlineStr">
        <is>
          <t>Seçim Makinesi</t>
        </is>
      </c>
      <c r="U143" s="5" t="inlineStr"/>
      <c r="V143" s="5" t="inlineStr">
        <is>
          <t>baskan</t>
        </is>
      </c>
      <c r="W143" s="5" t="inlineStr"/>
      <c r="X143" s="5" t="inlineStr"/>
      <c r="Y143" s="5" t="inlineStr"/>
      <c r="Z143" s="6" t="inlineStr"/>
      <c r="AA143" s="5" t="inlineStr"/>
      <c r="AB143" s="5" t="inlineStr"/>
      <c r="AC143" s="5" t="inlineStr"/>
      <c r="AD143" s="5" t="inlineStr"/>
      <c r="AE143" s="5" t="inlineStr"/>
      <c r="AF143" s="5" t="inlineStr"/>
      <c r="AG143" s="5" t="inlineStr"/>
      <c r="AH143" s="5" t="inlineStr"/>
    </row>
    <row r="144">
      <c r="A144" s="5" t="inlineStr">
        <is>
          <t>sinif-baskani</t>
        </is>
      </c>
      <c r="B144" s="5" t="n">
        <v>2</v>
      </c>
      <c r="C144" s="6" t="inlineStr">
        <is>
          <t>Arkadaşının kampanyasını yönet</t>
        </is>
      </c>
      <c r="D144" s="5" t="inlineStr">
        <is>
          <t>Sosyal Radar</t>
        </is>
      </c>
      <c r="E144" s="5" t="inlineStr">
        <is>
          <t>Orta</t>
        </is>
      </c>
      <c r="F144" s="5" t="inlineStr"/>
      <c r="G144" s="6" t="inlineStr"/>
      <c r="H144" s="6" t="inlineStr">
        <is>
          <t>Adayın kazandı. Sen gölge başkansın.</t>
        </is>
      </c>
      <c r="I144" s="6" t="inlineStr">
        <is>
          <t>Adayın açık farkla kazandı. Tüm kararlar önce sana danışılıyor.</t>
        </is>
      </c>
      <c r="J144" s="6" t="inlineStr">
        <is>
          <t>Adayın kaybetti. Kampanya analizi yapılacak.</t>
        </is>
      </c>
      <c r="K144" s="6" t="inlineStr">
        <is>
          <t>Adayın kaybetti ve suçu sana attı.</t>
        </is>
      </c>
      <c r="L144" s="6" t="inlineStr"/>
      <c r="M144" s="5" t="inlineStr"/>
      <c r="N144" s="5" t="inlineStr"/>
      <c r="O144" s="6" t="inlineStr"/>
      <c r="P144" s="6" t="inlineStr"/>
      <c r="Q144" s="5" t="inlineStr"/>
      <c r="R144" s="5" t="inlineStr"/>
      <c r="S144" s="5" t="inlineStr"/>
      <c r="T144" s="5" t="inlineStr"/>
      <c r="U144" s="5" t="inlineStr"/>
      <c r="V144" s="5" t="inlineStr"/>
      <c r="W144" s="5" t="inlineStr"/>
      <c r="X144" s="5" t="inlineStr"/>
      <c r="Y144" s="5" t="inlineStr"/>
      <c r="Z144" s="6" t="inlineStr"/>
      <c r="AA144" s="5" t="inlineStr"/>
      <c r="AB144" s="5" t="inlineStr"/>
      <c r="AC144" s="5" t="inlineStr"/>
      <c r="AD144" s="5" t="inlineStr"/>
      <c r="AE144" s="5" t="inlineStr"/>
      <c r="AF144" s="5" t="inlineStr"/>
      <c r="AG144" s="5" t="inlineStr"/>
      <c r="AH144" s="5" t="inlineStr"/>
    </row>
    <row r="145">
      <c r="A145" s="5" t="inlineStr">
        <is>
          <t>sinif-baskani</t>
        </is>
      </c>
      <c r="B145" s="5" t="n">
        <v>3</v>
      </c>
      <c r="C145" s="6" t="inlineStr">
        <is>
          <t>Oy ver, geç</t>
        </is>
      </c>
      <c r="D145" s="5" t="inlineStr"/>
      <c r="E145" s="5" t="inlineStr"/>
      <c r="F145" s="5" t="inlineStr">
        <is>
          <t>İtibar +1</t>
        </is>
      </c>
      <c r="G145" s="6" t="inlineStr">
        <is>
          <t>Demokrasiye katkıda bulundun. Akvaryum gelmedi.</t>
        </is>
      </c>
      <c r="H145" s="6" t="inlineStr"/>
      <c r="I145" s="6" t="inlineStr"/>
      <c r="J145" s="6" t="inlineStr"/>
      <c r="K145" s="6" t="inlineStr"/>
      <c r="L145" s="6" t="inlineStr"/>
      <c r="M145" s="5" t="inlineStr"/>
      <c r="N145" s="5" t="inlineStr"/>
      <c r="O145" s="6" t="inlineStr"/>
      <c r="P145" s="6" t="inlineStr"/>
      <c r="Q145" s="5" t="inlineStr"/>
      <c r="R145" s="5" t="inlineStr"/>
      <c r="S145" s="5" t="inlineStr"/>
      <c r="T145" s="5" t="inlineStr"/>
      <c r="U145" s="5" t="inlineStr"/>
      <c r="V145" s="5" t="inlineStr"/>
      <c r="W145" s="5" t="inlineStr"/>
      <c r="X145" s="5" t="inlineStr"/>
      <c r="Y145" s="5" t="inlineStr"/>
      <c r="Z145" s="6" t="inlineStr"/>
      <c r="AA145" s="5" t="inlineStr"/>
      <c r="AB145" s="5" t="inlineStr"/>
      <c r="AC145" s="5" t="inlineStr"/>
      <c r="AD145" s="5" t="inlineStr"/>
      <c r="AE145" s="5" t="inlineStr"/>
      <c r="AF145" s="5" t="inlineStr"/>
      <c r="AG145" s="5" t="inlineStr"/>
      <c r="AH145" s="5" t="inlineStr"/>
    </row>
    <row r="146">
      <c r="A146" s="5" t="inlineStr">
        <is>
          <t>sinif-baskani</t>
        </is>
      </c>
      <c r="B146" s="5" t="n">
        <v>4</v>
      </c>
      <c r="C146" s="6" t="inlineStr">
        <is>
          <t>Seçim kurulunu kur</t>
        </is>
      </c>
      <c r="D146" s="5" t="inlineStr">
        <is>
          <t>Çene</t>
        </is>
      </c>
      <c r="E146" s="5" t="inlineStr">
        <is>
          <t>Kolay</t>
        </is>
      </c>
      <c r="F146" s="5" t="inlineStr"/>
      <c r="G146" s="6" t="inlineStr"/>
      <c r="H146" s="6" t="inlineStr">
        <is>
          <t>Seçim kurulu başkanı oldun. Aday olmadan kazanmanın yolu.</t>
        </is>
      </c>
      <c r="I146" s="6" t="inlineStr">
        <is>
          <t>Sandığı sen tasarladın, oyları sen saydın, sonucu sen açıkladın. Tam yetki.</t>
        </is>
      </c>
      <c r="J146" s="6" t="inlineStr">
        <is>
          <t>Kurul kuruldu; kimse seni dinlemedi.</t>
        </is>
      </c>
      <c r="K146" s="6" t="inlineStr">
        <is>
          <t>Oyları sayarken iki kez saydın. Seçim yenilendi.</t>
        </is>
      </c>
      <c r="L146" s="6" t="inlineStr"/>
      <c r="M146" s="5" t="inlineStr"/>
      <c r="N146" s="5" t="inlineStr"/>
      <c r="O146" s="6" t="inlineStr"/>
      <c r="P146" s="6" t="inlineStr"/>
      <c r="Q146" s="5" t="inlineStr">
        <is>
          <t>Organizatör</t>
        </is>
      </c>
      <c r="R146" s="5" t="inlineStr"/>
      <c r="S146" s="5" t="inlineStr"/>
      <c r="T146" s="5" t="inlineStr"/>
      <c r="U146" s="5" t="inlineStr"/>
      <c r="V146" s="5" t="inlineStr"/>
      <c r="W146" s="5" t="inlineStr"/>
      <c r="X146" s="5" t="inlineStr"/>
      <c r="Y146" s="5" t="inlineStr"/>
      <c r="Z146" s="6" t="inlineStr"/>
      <c r="AA146" s="5" t="inlineStr"/>
      <c r="AB146" s="5" t="inlineStr"/>
      <c r="AC146" s="5" t="inlineStr"/>
      <c r="AD146" s="5" t="inlineStr"/>
      <c r="AE146" s="5" t="inlineStr"/>
      <c r="AF146" s="5" t="inlineStr"/>
      <c r="AG146" s="5" t="inlineStr"/>
      <c r="AH146" s="5" t="inlineStr"/>
    </row>
    <row r="147">
      <c r="A147" s="5" t="inlineStr">
        <is>
          <t>sinif-baskani</t>
        </is>
      </c>
      <c r="B147" s="5" t="n">
        <v>5</v>
      </c>
      <c r="C147" s="6" t="inlineStr">
        <is>
          <t>Seçim konuşması yap</t>
        </is>
      </c>
      <c r="D147" s="5" t="inlineStr">
        <is>
          <t>Pişkinlik</t>
        </is>
      </c>
      <c r="E147" s="5" t="inlineStr">
        <is>
          <t>Orta</t>
        </is>
      </c>
      <c r="F147" s="5" t="inlineStr"/>
      <c r="G147" s="6" t="inlineStr"/>
      <c r="H147" s="6" t="inlineStr">
        <is>
          <t>Konuşmanı yaptın; sınıf ayakta alkışladı.</t>
        </is>
      </c>
      <c r="I147" s="6" t="inlineStr">
        <is>
          <t>Konuşman o kadar etkiliydi ki diğer adaylar çekildi.</t>
        </is>
      </c>
      <c r="J147" s="6" t="inlineStr">
        <is>
          <t>Konuşman uzun sürdü; teneffüs zili yarıda kesti.</t>
        </is>
      </c>
      <c r="K147" s="6" t="inlineStr">
        <is>
          <t>Konuşmanın ortasında ne diyeceğini unuttun. Sessizlik 40 saniye sürdü.</t>
        </is>
      </c>
      <c r="L147" s="6" t="inlineStr"/>
      <c r="M147" s="5" t="inlineStr"/>
      <c r="N147" s="5" t="inlineStr"/>
      <c r="O147" s="6" t="inlineStr"/>
      <c r="P147" s="6" t="inlineStr"/>
      <c r="Q147" s="5" t="inlineStr">
        <is>
          <t>Sahne Sever</t>
        </is>
      </c>
      <c r="R147" s="5" t="inlineStr"/>
      <c r="S147" s="5" t="inlineStr"/>
      <c r="T147" s="5" t="inlineStr"/>
      <c r="U147" s="5" t="inlineStr"/>
      <c r="V147" s="5" t="inlineStr">
        <is>
          <t>baskan</t>
        </is>
      </c>
      <c r="W147" s="5" t="inlineStr"/>
      <c r="X147" s="5" t="inlineStr"/>
      <c r="Y147" s="5" t="inlineStr"/>
      <c r="Z147" s="6" t="inlineStr"/>
      <c r="AA147" s="5" t="inlineStr"/>
      <c r="AB147" s="5" t="inlineStr"/>
      <c r="AC147" s="5" t="inlineStr"/>
      <c r="AD147" s="5" t="inlineStr"/>
      <c r="AE147" s="5" t="inlineStr"/>
      <c r="AF147" s="5" t="inlineStr"/>
      <c r="AG147" s="5" t="inlineStr"/>
      <c r="AH147" s="5" t="inlineStr"/>
    </row>
    <row r="148">
      <c r="A148" s="5" t="inlineStr">
        <is>
          <t>davetiyeler</t>
        </is>
      </c>
      <c r="B148" s="5" t="n">
        <v>1</v>
      </c>
      <c r="C148" s="6" t="inlineStr">
        <is>
          <t>Umursama</t>
        </is>
      </c>
      <c r="D148" s="5" t="inlineStr"/>
      <c r="E148" s="5" t="inlineStr"/>
      <c r="F148" s="5" t="inlineStr">
        <is>
          <t>Dayanıklılık +2</t>
        </is>
      </c>
      <c r="G148" s="6" t="inlineStr">
        <is>
          <t>Davetiyesiz de hayat var. Hatta pastasız bile.</t>
        </is>
      </c>
      <c r="H148" s="6" t="inlineStr"/>
      <c r="I148" s="6" t="inlineStr"/>
      <c r="J148" s="6" t="inlineStr"/>
      <c r="K148" s="6" t="inlineStr"/>
      <c r="L148" s="6" t="inlineStr"/>
      <c r="M148" s="5" t="inlineStr"/>
      <c r="N148" s="5" t="inlineStr"/>
      <c r="O148" s="6" t="inlineStr"/>
      <c r="P148" s="6" t="inlineStr"/>
      <c r="Q148" s="5" t="inlineStr"/>
      <c r="R148" s="5" t="inlineStr"/>
      <c r="S148" s="5" t="inlineStr"/>
      <c r="T148" s="5" t="inlineStr"/>
      <c r="U148" s="5" t="inlineStr"/>
      <c r="V148" s="5" t="inlineStr"/>
      <c r="W148" s="5" t="inlineStr"/>
      <c r="X148" s="5" t="inlineStr"/>
      <c r="Y148" s="5" t="inlineStr"/>
      <c r="Z148" s="6" t="inlineStr"/>
      <c r="AA148" s="5" t="inlineStr"/>
      <c r="AB148" s="5" t="inlineStr"/>
      <c r="AC148" s="5" t="inlineStr"/>
      <c r="AD148" s="5" t="inlineStr"/>
      <c r="AE148" s="5" t="inlineStr"/>
      <c r="AF148" s="5" t="inlineStr"/>
      <c r="AG148" s="5" t="inlineStr"/>
      <c r="AH148" s="5" t="inlineStr"/>
    </row>
    <row r="149">
      <c r="A149" s="5" t="inlineStr">
        <is>
          <t>davetiyeler</t>
        </is>
      </c>
      <c r="B149" s="5" t="n">
        <v>2</v>
      </c>
      <c r="C149" s="6" t="inlineStr">
        <is>
          <t>Nedenini sor</t>
        </is>
      </c>
      <c r="D149" s="5" t="inlineStr">
        <is>
          <t>Çene</t>
        </is>
      </c>
      <c r="E149" s="5" t="inlineStr">
        <is>
          <t>Orta</t>
        </is>
      </c>
      <c r="F149" s="5" t="inlineStr"/>
      <c r="G149" s="6" t="inlineStr"/>
      <c r="H149" s="6" t="inlineStr">
        <is>
          <t>Sordun; davetiyen çantada unutulmuş.</t>
        </is>
      </c>
      <c r="I149" s="6" t="inlineStr">
        <is>
          <t>Sordun; sen 'onur konuğu' listesindeymişsin. Ayrı davetiye basılıyormuş.</t>
        </is>
      </c>
      <c r="J149" s="6" t="inlineStr">
        <is>
          <t>Sordun; cevap 'yer kalmadı' oldu.</t>
        </is>
      </c>
      <c r="K149" s="6" t="inlineStr">
        <is>
          <t>Sorarken sesin titredi; tüm sınıf duydu.</t>
        </is>
      </c>
      <c r="L149" s="6" t="inlineStr"/>
      <c r="M149" s="5" t="inlineStr"/>
      <c r="N149" s="5" t="inlineStr"/>
      <c r="O149" s="6" t="inlineStr"/>
      <c r="P149" s="6" t="inlineStr"/>
      <c r="Q149" s="5" t="inlineStr"/>
      <c r="R149" s="5" t="inlineStr"/>
      <c r="S149" s="5" t="inlineStr"/>
      <c r="T149" s="5" t="inlineStr"/>
      <c r="U149" s="5" t="inlineStr"/>
      <c r="V149" s="5" t="inlineStr"/>
      <c r="W149" s="5" t="inlineStr"/>
      <c r="X149" s="5" t="inlineStr"/>
      <c r="Y149" s="5" t="inlineStr"/>
      <c r="Z149" s="6" t="inlineStr"/>
      <c r="AA149" s="5" t="inlineStr"/>
      <c r="AB149" s="5" t="inlineStr"/>
      <c r="AC149" s="5" t="inlineStr"/>
      <c r="AD149" s="5" t="inlineStr"/>
      <c r="AE149" s="5" t="inlineStr"/>
      <c r="AF149" s="5" t="inlineStr"/>
      <c r="AG149" s="5" t="inlineStr"/>
      <c r="AH149" s="5" t="inlineStr"/>
    </row>
    <row r="150">
      <c r="A150" s="5" t="inlineStr">
        <is>
          <t>davetiyeler</t>
        </is>
      </c>
      <c r="B150" s="5" t="n">
        <v>3</v>
      </c>
      <c r="C150" s="6" t="inlineStr">
        <is>
          <t>Aynı gün kendi partini planla</t>
        </is>
      </c>
      <c r="D150" s="5" t="inlineStr">
        <is>
          <t>Kurnazlık</t>
        </is>
      </c>
      <c r="E150" s="5" t="inlineStr">
        <is>
          <t>Orta</t>
        </is>
      </c>
      <c r="F150" s="5" t="inlineStr"/>
      <c r="G150" s="6" t="inlineStr"/>
      <c r="H150" s="6" t="inlineStr">
        <is>
          <t>Aynı gün kendi partini ilan ettin. Katılım oranı yüzde elli.</t>
        </is>
      </c>
      <c r="I150" s="6" t="inlineStr">
        <is>
          <t>Partinde havuz olduğunu duyurdun. Diğer parti ertelendi.</t>
        </is>
      </c>
      <c r="J150" s="6" t="inlineStr">
        <is>
          <t>Parti planladın; kimse gelmedi, çünkü herkes öbür partideydi.</t>
        </is>
      </c>
      <c r="K150" s="6" t="inlineStr">
        <is>
          <t>Parti planladın; ailen haberdar değildi.</t>
        </is>
      </c>
      <c r="L150" s="6" t="inlineStr"/>
      <c r="M150" s="5" t="inlineStr"/>
      <c r="N150" s="5" t="inlineStr"/>
      <c r="O150" s="6" t="inlineStr"/>
      <c r="P150" s="6" t="inlineStr"/>
      <c r="Q150" s="5" t="inlineStr"/>
      <c r="R150" s="5" t="inlineStr"/>
      <c r="S150" s="5" t="inlineStr"/>
      <c r="T150" s="5" t="inlineStr"/>
      <c r="U150" s="5" t="inlineStr"/>
      <c r="V150" s="5" t="inlineStr"/>
      <c r="W150" s="5" t="inlineStr"/>
      <c r="X150" s="5" t="inlineStr"/>
      <c r="Y150" s="5" t="inlineStr"/>
      <c r="Z150" s="6" t="inlineStr"/>
      <c r="AA150" s="5" t="inlineStr"/>
      <c r="AB150" s="5" t="inlineStr"/>
      <c r="AC150" s="5" t="inlineStr"/>
      <c r="AD150" s="5" t="inlineStr"/>
      <c r="AE150" s="5" t="inlineStr"/>
      <c r="AF150" s="5" t="inlineStr"/>
      <c r="AG150" s="5" t="inlineStr"/>
      <c r="AH150" s="5" t="inlineStr"/>
    </row>
    <row r="151">
      <c r="A151" s="5" t="inlineStr">
        <is>
          <t>davetiyeler</t>
        </is>
      </c>
      <c r="B151" s="5" t="n">
        <v>4</v>
      </c>
      <c r="C151" s="6" t="inlineStr">
        <is>
          <t>Kimin gerçekten gideceğini tahmin et</t>
        </is>
      </c>
      <c r="D151" s="5" t="inlineStr">
        <is>
          <t>Sosyal Radar</t>
        </is>
      </c>
      <c r="E151" s="5" t="inlineStr">
        <is>
          <t>Kolay</t>
        </is>
      </c>
      <c r="F151" s="5" t="inlineStr"/>
      <c r="G151" s="6" t="inlineStr"/>
      <c r="H151" s="6" t="inlineStr">
        <is>
          <t>Partiye yarısının gitmeyeceğini tahmin ettin. Haklıydın.</t>
        </is>
      </c>
      <c r="I151" s="6" t="inlineStr">
        <is>
          <t>Tahminin o kadar isabetliydi ki parti sahibi davetiye listesini sana danıştı.</t>
        </is>
      </c>
      <c r="J151" s="6" t="inlineStr">
        <is>
          <t>Tahmin ettin; yanıldın. Herkes gitti.</t>
        </is>
      </c>
      <c r="K151" s="6" t="inlineStr">
        <is>
          <t>Tahminini yüksek sesle söyledin. Parti sahibi duydu.</t>
        </is>
      </c>
      <c r="L151" s="6" t="inlineStr"/>
      <c r="M151" s="5" t="inlineStr"/>
      <c r="N151" s="5" t="inlineStr"/>
      <c r="O151" s="6" t="inlineStr"/>
      <c r="P151" s="6" t="inlineStr"/>
      <c r="Q151" s="5" t="inlineStr">
        <is>
          <t>Odayı Okur</t>
        </is>
      </c>
      <c r="R151" s="5" t="inlineStr"/>
      <c r="S151" s="5" t="inlineStr"/>
      <c r="T151" s="5" t="inlineStr"/>
      <c r="U151" s="5" t="inlineStr"/>
      <c r="V151" s="5" t="inlineStr"/>
      <c r="W151" s="5" t="inlineStr"/>
      <c r="X151" s="5" t="inlineStr"/>
      <c r="Y151" s="5" t="inlineStr"/>
      <c r="Z151" s="6" t="inlineStr"/>
      <c r="AA151" s="5" t="inlineStr"/>
      <c r="AB151" s="5" t="inlineStr"/>
      <c r="AC151" s="5" t="inlineStr"/>
      <c r="AD151" s="5" t="inlineStr"/>
      <c r="AE151" s="5" t="inlineStr"/>
      <c r="AF151" s="5" t="inlineStr"/>
      <c r="AG151" s="5" t="inlineStr"/>
      <c r="AH151" s="5" t="inlineStr"/>
    </row>
    <row r="152">
      <c r="A152" s="5" t="inlineStr">
        <is>
          <t>bayram-harcligi</t>
        </is>
      </c>
      <c r="B152" s="5" t="n">
        <v>1</v>
      </c>
      <c r="C152" s="6" t="inlineStr">
        <is>
          <t>Ailene teslim et</t>
        </is>
      </c>
      <c r="D152" s="5" t="inlineStr"/>
      <c r="E152" s="5" t="inlineStr"/>
      <c r="F152" s="5" t="inlineStr">
        <is>
          <t>İtibar +2</t>
        </is>
      </c>
      <c r="G152" s="6" t="inlineStr">
        <is>
          <t>Varlıklar merkez bankasına aktarıldı. Faiz oranı belirsiz.</t>
        </is>
      </c>
      <c r="H152" s="6" t="inlineStr"/>
      <c r="I152" s="6" t="inlineStr"/>
      <c r="J152" s="6" t="inlineStr"/>
      <c r="K152" s="6" t="inlineStr"/>
      <c r="L152" s="6" t="inlineStr"/>
      <c r="M152" s="5" t="inlineStr"/>
      <c r="N152" s="5" t="inlineStr"/>
      <c r="O152" s="6" t="inlineStr"/>
      <c r="P152" s="6" t="inlineStr"/>
      <c r="Q152" s="5" t="inlineStr"/>
      <c r="R152" s="5" t="inlineStr"/>
      <c r="S152" s="5" t="inlineStr"/>
      <c r="T152" s="5" t="inlineStr"/>
      <c r="U152" s="5" t="inlineStr"/>
      <c r="V152" s="5" t="inlineStr"/>
      <c r="W152" s="5" t="inlineStr"/>
      <c r="X152" s="5" t="inlineStr"/>
      <c r="Y152" s="5" t="inlineStr"/>
      <c r="Z152" s="6" t="inlineStr"/>
      <c r="AA152" s="5" t="inlineStr"/>
      <c r="AB152" s="5" t="inlineStr"/>
      <c r="AC152" s="5" t="inlineStr"/>
      <c r="AD152" s="5" t="inlineStr"/>
      <c r="AE152" s="5" t="inlineStr"/>
      <c r="AF152" s="5" t="inlineStr"/>
      <c r="AG152" s="5" t="inlineStr"/>
      <c r="AH152" s="5" t="inlineStr"/>
    </row>
    <row r="153">
      <c r="A153" s="5" t="inlineStr">
        <is>
          <t>bayram-harcligi</t>
        </is>
      </c>
      <c r="B153" s="5" t="n">
        <v>2</v>
      </c>
      <c r="C153" s="6" t="inlineStr">
        <is>
          <t>Hepsini harca</t>
        </is>
      </c>
      <c r="D153" s="5" t="inlineStr">
        <is>
          <t>Pişkinlik</t>
        </is>
      </c>
      <c r="E153" s="5" t="inlineStr">
        <is>
          <t>Kolay</t>
        </is>
      </c>
      <c r="F153" s="5" t="inlineStr"/>
      <c r="G153" s="6" t="inlineStr"/>
      <c r="H153" s="6" t="inlineStr">
        <is>
          <t>Bir günde mahalle ekonomisini canlandırdın.</t>
        </is>
      </c>
      <c r="I153" s="6" t="inlineStr">
        <is>
          <t>Bakkal, oyuncakçı ve simitçi aynı gün rekor kırdı. Sana teşekkür kartı gönderildi.</t>
        </is>
      </c>
      <c r="J153" s="6" t="inlineStr">
        <is>
          <t>Harcadın; aldıklarının yarısı ertesi gün bozuldu.</t>
        </is>
      </c>
      <c r="K153" s="6" t="inlineStr">
        <is>
          <t>Hepsini tek bir oyuncağa harcadın. Oyuncak ilk gün kırıldı.</t>
        </is>
      </c>
      <c r="L153" s="6" t="inlineStr"/>
      <c r="M153" s="5" t="inlineStr"/>
      <c r="N153" s="5" t="inlineStr"/>
      <c r="O153" s="6" t="inlineStr"/>
      <c r="P153" s="6" t="inlineStr"/>
      <c r="Q153" s="5" t="inlineStr"/>
      <c r="R153" s="5" t="inlineStr"/>
      <c r="S153" s="5" t="inlineStr"/>
      <c r="T153" s="5" t="inlineStr"/>
      <c r="U153" s="5" t="inlineStr"/>
      <c r="V153" s="5" t="inlineStr"/>
      <c r="W153" s="5" t="inlineStr"/>
      <c r="X153" s="5" t="inlineStr"/>
      <c r="Y153" s="5" t="inlineStr"/>
      <c r="Z153" s="6" t="inlineStr"/>
      <c r="AA153" s="5" t="inlineStr"/>
      <c r="AB153" s="5" t="inlineStr"/>
      <c r="AC153" s="5" t="inlineStr"/>
      <c r="AD153" s="5" t="inlineStr"/>
      <c r="AE153" s="5" t="inlineStr"/>
      <c r="AF153" s="5" t="inlineStr"/>
      <c r="AG153" s="5" t="inlineStr"/>
      <c r="AH153" s="5" t="inlineStr"/>
    </row>
    <row r="154">
      <c r="A154" s="5" t="inlineStr">
        <is>
          <t>bayram-harcligi</t>
        </is>
      </c>
      <c r="B154" s="5" t="n">
        <v>3</v>
      </c>
      <c r="C154" s="6" t="inlineStr">
        <is>
          <t>Akrabalarla ikinci tur yap</t>
        </is>
      </c>
      <c r="D154" s="5" t="inlineStr">
        <is>
          <t>Çene</t>
        </is>
      </c>
      <c r="E154" s="5" t="inlineStr">
        <is>
          <t>Orta</t>
        </is>
      </c>
      <c r="F154" s="5" t="inlineStr"/>
      <c r="G154" s="6" t="inlineStr"/>
      <c r="H154" s="6" t="inlineStr">
        <is>
          <t>İkinci el öpme turuyla bütçeyi ikiye katladın.</t>
        </is>
      </c>
      <c r="I154" s="6" t="inlineStr">
        <is>
          <t>Uzak akrabaları bile ziyaret listesine ekledin. Bayram cirosu rekor.</t>
        </is>
      </c>
      <c r="J154" s="6" t="inlineStr">
        <is>
          <t>İkinci turda 'Sen gelmiştin ya' dediler.</t>
        </is>
      </c>
      <c r="K154" s="6" t="inlineStr">
        <is>
          <t>İkinci tur fark edildi. Zarflar geri çağrıldı.</t>
        </is>
      </c>
      <c r="L154" s="6" t="inlineStr"/>
      <c r="M154" s="5" t="inlineStr"/>
      <c r="N154" s="5" t="inlineStr"/>
      <c r="O154" s="6" t="inlineStr"/>
      <c r="P154" s="6" t="inlineStr"/>
      <c r="Q154" s="5" t="inlineStr"/>
      <c r="R154" s="5" t="inlineStr"/>
      <c r="S154" s="5" t="inlineStr"/>
      <c r="T154" s="5" t="inlineStr"/>
      <c r="U154" s="5" t="inlineStr"/>
      <c r="V154" s="5" t="inlineStr"/>
      <c r="W154" s="5" t="inlineStr"/>
      <c r="X154" s="5" t="inlineStr"/>
      <c r="Y154" s="5" t="inlineStr"/>
      <c r="Z154" s="6" t="inlineStr"/>
      <c r="AA154" s="5" t="inlineStr"/>
      <c r="AB154" s="5" t="inlineStr"/>
      <c r="AC154" s="5" t="inlineStr"/>
      <c r="AD154" s="5" t="inlineStr"/>
      <c r="AE154" s="5" t="inlineStr"/>
      <c r="AF154" s="5" t="inlineStr"/>
      <c r="AG154" s="5" t="inlineStr"/>
      <c r="AH154" s="5" t="inlineStr"/>
    </row>
    <row r="155">
      <c r="A155" s="5" t="inlineStr">
        <is>
          <t>bayram-harcligi</t>
        </is>
      </c>
      <c r="B155" s="5" t="n">
        <v>4</v>
      </c>
      <c r="C155" s="6" t="inlineStr">
        <is>
          <t>Kumbaraya at, kimseye söyleme</t>
        </is>
      </c>
      <c r="D155" s="5" t="inlineStr">
        <is>
          <t>Kurnazlık</t>
        </is>
      </c>
      <c r="E155" s="5" t="inlineStr">
        <is>
          <t>Kolay</t>
        </is>
      </c>
      <c r="F155" s="5" t="inlineStr"/>
      <c r="G155" s="6" t="inlineStr"/>
      <c r="H155" s="6" t="inlineStr">
        <is>
          <t>Kumbara ağırlaştı. Kimse bilmiyor.</t>
        </is>
      </c>
      <c r="I155" s="6" t="inlineStr">
        <is>
          <t>Kumbara o kadar doldu ki ikinci kumbara açıldı. Yastık altı büyüyor.</t>
        </is>
      </c>
      <c r="J155" s="6" t="inlineStr">
        <is>
          <t>Kumbarayı açmak için çekiç gerekti.</t>
        </is>
      </c>
      <c r="K155" s="6" t="inlineStr">
        <is>
          <t>Kumbarayı sakladığın yeri kuzenin buldu.</t>
        </is>
      </c>
      <c r="L155" s="6" t="inlineStr"/>
      <c r="M155" s="5" t="inlineStr"/>
      <c r="N155" s="5" t="inlineStr"/>
      <c r="O155" s="6" t="inlineStr"/>
      <c r="P155" s="6" t="inlineStr"/>
      <c r="Q155" s="5" t="inlineStr">
        <is>
          <t>Yastık Altı Ekonomisti</t>
        </is>
      </c>
      <c r="R155" s="5" t="inlineStr"/>
      <c r="S155" s="5" t="inlineStr"/>
      <c r="T155" s="5" t="inlineStr"/>
      <c r="U155" s="5" t="inlineStr"/>
      <c r="V155" s="5" t="inlineStr"/>
      <c r="W155" s="5" t="inlineStr"/>
      <c r="X155" s="5" t="inlineStr"/>
      <c r="Y155" s="5" t="inlineStr"/>
      <c r="Z155" s="6" t="inlineStr"/>
      <c r="AA155" s="5" t="inlineStr"/>
      <c r="AB155" s="5" t="inlineStr"/>
      <c r="AC155" s="5" t="inlineStr"/>
      <c r="AD155" s="5" t="inlineStr"/>
      <c r="AE155" s="5" t="inlineStr"/>
      <c r="AF155" s="5" t="inlineStr"/>
      <c r="AG155" s="5" t="inlineStr"/>
      <c r="AH155" s="5" t="inlineStr"/>
    </row>
    <row r="156">
      <c r="A156" s="5" t="inlineStr">
        <is>
          <t>bayram-harcligi</t>
        </is>
      </c>
      <c r="B156" s="5" t="n">
        <v>5</v>
      </c>
      <c r="C156" s="6" t="inlineStr">
        <is>
          <t>Harçlıkla limonata standı kur</t>
        </is>
      </c>
      <c r="D156" s="5" t="inlineStr">
        <is>
          <t>Kurnazlık</t>
        </is>
      </c>
      <c r="E156" s="5" t="inlineStr">
        <is>
          <t>Zor</t>
        </is>
      </c>
      <c r="F156" s="5" t="inlineStr"/>
      <c r="G156" s="6" t="inlineStr"/>
      <c r="H156" s="6" t="inlineStr">
        <is>
          <t>Sermayeyi limona çevirdin, limonu kâra.</t>
        </is>
      </c>
      <c r="I156" s="6" t="inlineStr">
        <is>
          <t>Stant o kadar tuttu ki mahallede ikinci şube açıldı.</t>
        </is>
      </c>
      <c r="J156" s="6" t="inlineStr">
        <is>
          <t>Limonata ekşi oldu. Tek müşteri annendi.</t>
        </is>
      </c>
      <c r="K156" s="6" t="inlineStr">
        <is>
          <t>Şekeri unuttun. Sağlık müfettişi (baban) standı kapattı.</t>
        </is>
      </c>
      <c r="L156" s="6" t="inlineStr"/>
      <c r="M156" s="5" t="inlineStr"/>
      <c r="N156" s="5" t="inlineStr"/>
      <c r="O156" s="6" t="inlineStr"/>
      <c r="P156" s="6" t="inlineStr"/>
      <c r="Q156" s="5" t="inlineStr">
        <is>
          <t>İş Modeli Kurar</t>
        </is>
      </c>
      <c r="R156" s="5" t="inlineStr"/>
      <c r="S156" s="5" t="inlineStr"/>
      <c r="T156" s="5" t="inlineStr">
        <is>
          <t>Limonata Baronu</t>
        </is>
      </c>
      <c r="U156" s="5" t="inlineStr"/>
      <c r="V156" s="5" t="inlineStr"/>
      <c r="W156" s="5" t="inlineStr"/>
      <c r="X156" s="5" t="inlineStr"/>
      <c r="Y156" s="5" t="inlineStr"/>
      <c r="Z156" s="6" t="inlineStr"/>
      <c r="AA156" s="5" t="inlineStr"/>
      <c r="AB156" s="5" t="inlineStr"/>
      <c r="AC156" s="5" t="inlineStr"/>
      <c r="AD156" s="5" t="inlineStr"/>
      <c r="AE156" s="5" t="inlineStr"/>
      <c r="AF156" s="5" t="inlineStr"/>
      <c r="AG156" s="5" t="inlineStr"/>
      <c r="AH156" s="5" t="inlineStr"/>
    </row>
    <row r="157">
      <c r="A157" s="5" t="inlineStr">
        <is>
          <t>balkondaki-ucurtma</t>
        </is>
      </c>
      <c r="B157" s="5" t="n">
        <v>1</v>
      </c>
      <c r="C157" s="6" t="inlineStr">
        <is>
          <t>Vazgeç, yenisini iste</t>
        </is>
      </c>
      <c r="D157" s="5" t="inlineStr"/>
      <c r="E157" s="5" t="inlineStr"/>
      <c r="F157" s="5" t="inlineStr">
        <is>
          <t>Çene +1</t>
        </is>
      </c>
      <c r="G157" s="6" t="inlineStr">
        <is>
          <t>Yeni uçurtma talebin aile bütçe komisyonuna gönderildi. Gündem yoğun.</t>
        </is>
      </c>
      <c r="H157" s="6" t="inlineStr"/>
      <c r="I157" s="6" t="inlineStr"/>
      <c r="J157" s="6" t="inlineStr"/>
      <c r="K157" s="6" t="inlineStr"/>
      <c r="L157" s="6" t="inlineStr"/>
      <c r="M157" s="5" t="inlineStr"/>
      <c r="N157" s="5" t="inlineStr"/>
      <c r="O157" s="6" t="inlineStr"/>
      <c r="P157" s="6" t="inlineStr"/>
      <c r="Q157" s="5" t="inlineStr"/>
      <c r="R157" s="5" t="inlineStr"/>
      <c r="S157" s="5" t="inlineStr"/>
      <c r="T157" s="5" t="inlineStr"/>
      <c r="U157" s="5" t="inlineStr"/>
      <c r="V157" s="5" t="inlineStr"/>
      <c r="W157" s="5" t="inlineStr"/>
      <c r="X157" s="5" t="inlineStr"/>
      <c r="Y157" s="5" t="inlineStr"/>
      <c r="Z157" s="6" t="inlineStr"/>
      <c r="AA157" s="5" t="inlineStr"/>
      <c r="AB157" s="5" t="inlineStr"/>
      <c r="AC157" s="5" t="inlineStr"/>
      <c r="AD157" s="5" t="inlineStr"/>
      <c r="AE157" s="5" t="inlineStr"/>
      <c r="AF157" s="5" t="inlineStr"/>
      <c r="AG157" s="5" t="inlineStr"/>
      <c r="AH157" s="5" t="inlineStr"/>
    </row>
    <row r="158">
      <c r="A158" s="5" t="inlineStr">
        <is>
          <t>balkondaki-ucurtma</t>
        </is>
      </c>
      <c r="B158" s="5" t="n">
        <v>2</v>
      </c>
      <c r="C158" s="6" t="inlineStr">
        <is>
          <t>Süpürge sapıyla kurtar</t>
        </is>
      </c>
      <c r="D158" s="5" t="inlineStr">
        <is>
          <t>Akıl</t>
        </is>
      </c>
      <c r="E158" s="5" t="inlineStr">
        <is>
          <t>Orta</t>
        </is>
      </c>
      <c r="F158" s="5" t="inlineStr"/>
      <c r="G158" s="6" t="inlineStr"/>
      <c r="H158" s="6" t="inlineStr">
        <is>
          <t>Süpürge, sandalye ve bir bant rulosuyla mühendislik harikası kurdun. Uçurtma kurtuldu.</t>
        </is>
      </c>
      <c r="I158" s="6" t="inlineStr">
        <is>
          <t>Uçurtmayı kurtardın; üstüne komşunun balkonundan düşen bir top da geldi. Bonus.</t>
        </is>
      </c>
      <c r="J158" s="6" t="inlineStr">
        <is>
          <t>Süpürge kısa geldi. Sandalye de. Sen de.</t>
        </is>
      </c>
      <c r="K158" s="6" t="inlineStr">
        <is>
          <t>Süpürge sapı balkona takıldı. Artık orada bir uçurtma ve bir süpürge var.</t>
        </is>
      </c>
      <c r="L158" s="6" t="inlineStr"/>
      <c r="M158" s="5" t="inlineStr"/>
      <c r="N158" s="5" t="inlineStr"/>
      <c r="O158" s="6" t="inlineStr"/>
      <c r="P158" s="6" t="inlineStr"/>
      <c r="Q158" s="5" t="inlineStr"/>
      <c r="R158" s="5" t="inlineStr"/>
      <c r="S158" s="5" t="inlineStr"/>
      <c r="T158" s="5" t="inlineStr"/>
      <c r="U158" s="5" t="inlineStr"/>
      <c r="V158" s="5" t="inlineStr"/>
      <c r="W158" s="5" t="inlineStr"/>
      <c r="X158" s="5" t="inlineStr"/>
      <c r="Y158" s="5" t="inlineStr"/>
      <c r="Z158" s="6" t="inlineStr"/>
      <c r="AA158" s="5" t="inlineStr"/>
      <c r="AB158" s="5" t="inlineStr"/>
      <c r="AC158" s="5" t="inlineStr"/>
      <c r="AD158" s="5" t="inlineStr"/>
      <c r="AE158" s="5" t="inlineStr"/>
      <c r="AF158" s="5" t="inlineStr"/>
      <c r="AG158" s="5" t="inlineStr"/>
      <c r="AH158" s="5" t="inlineStr"/>
    </row>
    <row r="159">
      <c r="A159" s="5" t="inlineStr">
        <is>
          <t>balkondaki-ucurtma</t>
        </is>
      </c>
      <c r="B159" s="5" t="n">
        <v>3</v>
      </c>
      <c r="C159" s="6" t="inlineStr">
        <is>
          <t>Kapıcıyı ikna et</t>
        </is>
      </c>
      <c r="D159" s="5" t="inlineStr">
        <is>
          <t>Çene</t>
        </is>
      </c>
      <c r="E159" s="5" t="inlineStr">
        <is>
          <t>Kolay</t>
        </is>
      </c>
      <c r="F159" s="5" t="inlineStr"/>
      <c r="G159" s="6" t="inlineStr"/>
      <c r="H159" s="6" t="inlineStr">
        <is>
          <t>Kapıcı yedek anahtarla çıktı ve uçurtmayı indirdi. Bürokrasi bazen işler.</t>
        </is>
      </c>
      <c r="I159" s="6" t="inlineStr">
        <is>
          <t>Kapıcı uçurtmayı indirdi, üstüne bir de nasıl daha iyi uçurulacağını gösterdi.</t>
        </is>
      </c>
      <c r="J159" s="6" t="inlineStr">
        <is>
          <t>Kapıcı 'Sahibi gelsin' dedi. Sahibi üç hafta sonra geliyor.</t>
        </is>
      </c>
      <c r="K159" s="6" t="inlineStr">
        <is>
          <t>Kapıcıyı ikna ettin; kapıcı korkuluktan düştü, iyi ki çalılar vardı. Uçurtma hâlâ orada.</t>
        </is>
      </c>
      <c r="L159" s="6" t="inlineStr"/>
      <c r="M159" s="5" t="inlineStr"/>
      <c r="N159" s="5" t="inlineStr"/>
      <c r="O159" s="6" t="inlineStr"/>
      <c r="P159" s="6" t="inlineStr"/>
      <c r="Q159" s="5" t="inlineStr"/>
      <c r="R159" s="5" t="inlineStr"/>
      <c r="S159" s="5" t="inlineStr"/>
      <c r="T159" s="5" t="inlineStr"/>
      <c r="U159" s="5" t="inlineStr"/>
      <c r="V159" s="5" t="inlineStr"/>
      <c r="W159" s="5" t="inlineStr"/>
      <c r="X159" s="5" t="inlineStr"/>
      <c r="Y159" s="5" t="inlineStr"/>
      <c r="Z159" s="6" t="inlineStr"/>
      <c r="AA159" s="5" t="inlineStr"/>
      <c r="AB159" s="5" t="inlineStr"/>
      <c r="AC159" s="5" t="inlineStr"/>
      <c r="AD159" s="5" t="inlineStr"/>
      <c r="AE159" s="5" t="inlineStr"/>
      <c r="AF159" s="5" t="inlineStr"/>
      <c r="AG159" s="5" t="inlineStr"/>
      <c r="AH159" s="5" t="inlineStr"/>
    </row>
    <row r="160">
      <c r="A160" s="5" t="inlineStr">
        <is>
          <t>balkondaki-ucurtma</t>
        </is>
      </c>
      <c r="B160" s="5" t="n">
        <v>4</v>
      </c>
      <c r="C160" s="6" t="inlineStr">
        <is>
          <t>Korkuluğa tırman</t>
        </is>
      </c>
      <c r="D160" s="5" t="inlineStr">
        <is>
          <t>Cesaret</t>
        </is>
      </c>
      <c r="E160" s="5" t="inlineStr">
        <is>
          <t>Zor</t>
        </is>
      </c>
      <c r="F160" s="5" t="inlineStr"/>
      <c r="G160" s="6" t="inlineStr"/>
      <c r="H160" s="6" t="inlineStr">
        <is>
          <t>Tırmandın, uzandın, aldın. Aşağıdakiler nefeslerini ancak sen inince bıraktı.</t>
        </is>
      </c>
      <c r="I160" s="6" t="inlineStr">
        <is>
          <t>Tırmandın, uçurtmayı aldın ve balkondan uçurarak indirdin. Mahalle bunu yıllarca anlattı.</t>
        </is>
      </c>
      <c r="J160" s="6" t="inlineStr">
        <is>
          <t>Yarıya kadar tırmandın, sonra aşağı baktın. Aşağı bakmak hataydı.</t>
        </is>
      </c>
      <c r="K160" s="6" t="inlineStr">
        <is>
          <t>Tırmandın, ayağın kaydı, bir saksıya tutundun. Saksı dayandı, bileğin dayanmadı. Altı hafta alçı.</t>
        </is>
      </c>
      <c r="L160" s="6" t="inlineStr"/>
      <c r="M160" s="5" t="inlineStr"/>
      <c r="N160" s="5" t="inlineStr"/>
      <c r="O160" s="6" t="inlineStr"/>
      <c r="P160" s="6" t="inlineStr"/>
      <c r="Q160" s="5" t="inlineStr"/>
      <c r="R160" s="5" t="inlineStr"/>
      <c r="S160" s="5" t="inlineStr"/>
      <c r="T160" s="5" t="inlineStr"/>
      <c r="U160" s="5" t="inlineStr"/>
      <c r="V160" s="5" t="inlineStr"/>
      <c r="W160" s="5" t="inlineStr">
        <is>
          <t>alcili-kol</t>
        </is>
      </c>
      <c r="X160" s="5" t="inlineStr"/>
      <c r="Y160" s="5" t="inlineStr"/>
      <c r="Z160" s="6" t="inlineStr"/>
      <c r="AA160" s="5" t="inlineStr"/>
      <c r="AB160" s="5" t="inlineStr"/>
      <c r="AC160" s="5" t="inlineStr"/>
      <c r="AD160" s="5" t="inlineStr"/>
      <c r="AE160" s="5" t="inlineStr"/>
      <c r="AF160" s="5" t="inlineStr"/>
      <c r="AG160" s="5" t="inlineStr"/>
      <c r="AH160" s="5" t="inlineStr"/>
    </row>
    <row r="161">
      <c r="A161" s="5" t="inlineStr">
        <is>
          <t>mahalle-maci</t>
        </is>
      </c>
      <c r="B161" s="5" t="n">
        <v>1</v>
      </c>
      <c r="C161" s="6" t="inlineStr">
        <is>
          <t>Şut çek</t>
        </is>
      </c>
      <c r="D161" s="5" t="inlineStr">
        <is>
          <t>Cesaret</t>
        </is>
      </c>
      <c r="E161" s="5" t="inlineStr">
        <is>
          <t>Orta</t>
        </is>
      </c>
      <c r="F161" s="5" t="inlineStr"/>
      <c r="G161" s="6" t="inlineStr"/>
      <c r="H161" s="6" t="inlineStr">
        <is>
          <t>Gol! Cam sağlam. Mahalle sallandı.</t>
        </is>
      </c>
      <c r="I161" s="6" t="inlineStr">
        <is>
          <t>Köşeye gol. Komşu bile balkondan alkışladı.</t>
        </is>
      </c>
      <c r="J161" s="6" t="inlineStr">
        <is>
          <t>Top kaleciye gitti. Maç berabere bitti.</t>
        </is>
      </c>
      <c r="K161" s="6" t="inlineStr">
        <is>
          <t>Top cama gitti. Komşu kapıya geldi. Maç ertelendi.</t>
        </is>
      </c>
      <c r="L161" s="6" t="inlineStr">
        <is>
          <t>Direk! Cam sağlam, skor aynı.</t>
        </is>
      </c>
      <c r="M161" s="5" t="inlineStr">
        <is>
          <t>timing</t>
        </is>
      </c>
      <c r="N161" s="5" t="inlineStr">
        <is>
          <t>Şut Çek!</t>
        </is>
      </c>
      <c r="O161" s="6" t="inlineStr">
        <is>
          <t>Kırmızı işareti yeşil alanda durdur.</t>
        </is>
      </c>
      <c r="P161" s="6" t="inlineStr"/>
      <c r="Q161" s="5" t="inlineStr"/>
      <c r="R161" s="5" t="inlineStr"/>
      <c r="S161" s="5" t="inlineStr"/>
      <c r="T161" s="5" t="inlineStr"/>
      <c r="U161" s="5" t="inlineStr"/>
      <c r="V161" s="5" t="inlineStr"/>
      <c r="W161" s="5" t="inlineStr">
        <is>
          <t>camKirildi</t>
        </is>
      </c>
      <c r="X161" s="5" t="inlineStr"/>
      <c r="Y161" s="5" t="inlineStr"/>
      <c r="Z161" s="6" t="inlineStr"/>
      <c r="AA161" s="5" t="inlineStr"/>
      <c r="AB161" s="5" t="inlineStr"/>
      <c r="AC161" s="5" t="inlineStr"/>
      <c r="AD161" s="5" t="inlineStr"/>
      <c r="AE161" s="5" t="inlineStr"/>
      <c r="AF161" s="5" t="inlineStr"/>
      <c r="AG161" s="5" t="inlineStr"/>
      <c r="AH161" s="5" t="inlineStr"/>
    </row>
    <row r="162">
      <c r="A162" s="5" t="inlineStr">
        <is>
          <t>mahalle-maci</t>
        </is>
      </c>
      <c r="B162" s="5" t="n">
        <v>2</v>
      </c>
      <c r="C162" s="6" t="inlineStr">
        <is>
          <t>Pas ver</t>
        </is>
      </c>
      <c r="D162" s="5" t="inlineStr">
        <is>
          <t>Sosyal Radar</t>
        </is>
      </c>
      <c r="E162" s="5" t="inlineStr">
        <is>
          <t>Zor</t>
        </is>
      </c>
      <c r="F162" s="5" t="inlineStr"/>
      <c r="G162" s="6" t="inlineStr"/>
      <c r="H162" s="6" t="inlineStr">
        <is>
          <t>Pas verdin, arkadaşın attı. Asist de bir sanattır.</t>
        </is>
      </c>
      <c r="I162" s="6" t="inlineStr">
        <is>
          <t>Öyle bir pas verdin ki arkadaşın boş kaleye attı. Herkes seni kucakladı.</t>
        </is>
      </c>
      <c r="J162" s="6" t="inlineStr">
        <is>
          <t>Pas verdin; top karşı takıma gitti.</t>
        </is>
      </c>
      <c r="K162" s="6" t="inlineStr">
        <is>
          <t>Pas verdin; top komşunun camına gitti.</t>
        </is>
      </c>
      <c r="L162" s="6" t="inlineStr"/>
      <c r="M162" s="5" t="inlineStr"/>
      <c r="N162" s="5" t="inlineStr"/>
      <c r="O162" s="6" t="inlineStr"/>
      <c r="P162" s="6" t="inlineStr"/>
      <c r="Q162" s="5" t="inlineStr"/>
      <c r="R162" s="5" t="inlineStr"/>
      <c r="S162" s="5" t="inlineStr"/>
      <c r="T162" s="5" t="inlineStr">
        <is>
          <t>Asist Ustası</t>
        </is>
      </c>
      <c r="U162" s="5" t="inlineStr"/>
      <c r="V162" s="5" t="inlineStr"/>
      <c r="W162" s="5" t="inlineStr">
        <is>
          <t>camKirildi</t>
        </is>
      </c>
      <c r="X162" s="5" t="inlineStr"/>
      <c r="Y162" s="5" t="inlineStr"/>
      <c r="Z162" s="6" t="inlineStr"/>
      <c r="AA162" s="5" t="inlineStr"/>
      <c r="AB162" s="5" t="inlineStr"/>
      <c r="AC162" s="5" t="inlineStr"/>
      <c r="AD162" s="5" t="inlineStr"/>
      <c r="AE162" s="5" t="inlineStr"/>
      <c r="AF162" s="5" t="inlineStr"/>
      <c r="AG162" s="5" t="inlineStr"/>
      <c r="AH162" s="5" t="inlineStr"/>
    </row>
    <row r="163">
      <c r="A163" s="5" t="inlineStr">
        <is>
          <t>mahalle-maci</t>
        </is>
      </c>
      <c r="B163" s="5" t="n">
        <v>3</v>
      </c>
      <c r="C163" s="6" t="inlineStr">
        <is>
          <t>Camı düşün, yavaş vur</t>
        </is>
      </c>
      <c r="D163" s="5" t="inlineStr"/>
      <c r="E163" s="5" t="inlineStr"/>
      <c r="F163" s="5" t="inlineStr">
        <is>
          <t>İtibar +1, Dayanıklılık +1</t>
        </is>
      </c>
      <c r="G163" s="6" t="inlineStr">
        <is>
          <t>Top kaleye yavaşça yuvarlandı. Kaleci aldı. Cam teşekkür etti.</t>
        </is>
      </c>
      <c r="H163" s="6" t="inlineStr"/>
      <c r="I163" s="6" t="inlineStr"/>
      <c r="J163" s="6" t="inlineStr"/>
      <c r="K163" s="6" t="inlineStr"/>
      <c r="L163" s="6" t="inlineStr"/>
      <c r="M163" s="5" t="inlineStr"/>
      <c r="N163" s="5" t="inlineStr"/>
      <c r="O163" s="6" t="inlineStr"/>
      <c r="P163" s="6" t="inlineStr"/>
      <c r="Q163" s="5" t="inlineStr"/>
      <c r="R163" s="5" t="inlineStr"/>
      <c r="S163" s="5" t="inlineStr"/>
      <c r="T163" s="5" t="inlineStr"/>
      <c r="U163" s="5" t="inlineStr"/>
      <c r="V163" s="5" t="inlineStr"/>
      <c r="W163" s="5" t="inlineStr"/>
      <c r="X163" s="5" t="inlineStr"/>
      <c r="Y163" s="5" t="inlineStr"/>
      <c r="Z163" s="6" t="inlineStr"/>
      <c r="AA163" s="5" t="inlineStr"/>
      <c r="AB163" s="5" t="inlineStr"/>
      <c r="AC163" s="5" t="inlineStr"/>
      <c r="AD163" s="5" t="inlineStr"/>
      <c r="AE163" s="5" t="inlineStr"/>
      <c r="AF163" s="5" t="inlineStr"/>
      <c r="AG163" s="5" t="inlineStr"/>
      <c r="AH163" s="5" t="inlineStr"/>
    </row>
    <row r="164">
      <c r="A164" s="5" t="inlineStr">
        <is>
          <t>kedi-istiyoruz</t>
        </is>
      </c>
      <c r="B164" s="5" t="n">
        <v>1</v>
      </c>
      <c r="C164" s="6" t="inlineStr">
        <is>
          <t>Duygusal konuşma yap</t>
        </is>
      </c>
      <c r="D164" s="5" t="inlineStr">
        <is>
          <t>Çene</t>
        </is>
      </c>
      <c r="E164" s="5" t="inlineStr">
        <is>
          <t>Orta</t>
        </is>
      </c>
      <c r="F164" s="5" t="inlineStr"/>
      <c r="G164" s="6" t="inlineStr"/>
      <c r="H164" s="6" t="inlineStr">
        <is>
          <t>Gözlerin doldu, sesin titredi. Kedi onaylandı.</t>
        </is>
      </c>
      <c r="I164" s="6" t="inlineStr">
        <is>
          <t>Konuşma sırasında babaannen ağladı. Bir değil iki kedi onaylandı.</t>
        </is>
      </c>
      <c r="J164" s="6" t="inlineStr">
        <is>
          <t>Konuşman etkileyiciydi ama karar 'yazın bakarız'.</t>
        </is>
      </c>
      <c r="K164" s="6" t="inlineStr">
        <is>
          <t>Konuşurken 'Söz, her gün ben temizleyeceğim' dedin. Kayıt altına alındı. Kedi gelmedi.</t>
        </is>
      </c>
      <c r="L164" s="6" t="inlineStr"/>
      <c r="M164" s="5" t="inlineStr"/>
      <c r="N164" s="5" t="inlineStr"/>
      <c r="O164" s="6" t="inlineStr"/>
      <c r="P164" s="6" t="inlineStr"/>
      <c r="Q164" s="5" t="inlineStr"/>
      <c r="R164" s="5" t="inlineStr"/>
      <c r="S164" s="5" t="inlineStr"/>
      <c r="T164" s="5" t="inlineStr"/>
      <c r="U164" s="5" t="inlineStr"/>
      <c r="V164" s="5" t="inlineStr">
        <is>
          <t>kediGeldi</t>
        </is>
      </c>
      <c r="W164" s="5" t="inlineStr"/>
      <c r="X164" s="5" t="inlineStr"/>
      <c r="Y164" s="5" t="inlineStr"/>
      <c r="Z164" s="6" t="inlineStr"/>
      <c r="AA164" s="5" t="inlineStr"/>
      <c r="AB164" s="5" t="inlineStr"/>
      <c r="AC164" s="5" t="inlineStr"/>
      <c r="AD164" s="5" t="inlineStr"/>
      <c r="AE164" s="5" t="inlineStr"/>
      <c r="AF164" s="5" t="inlineStr"/>
      <c r="AG164" s="5" t="inlineStr"/>
      <c r="AH164" s="5" t="inlineStr"/>
    </row>
    <row r="165">
      <c r="A165" s="5" t="inlineStr">
        <is>
          <t>kedi-istiyoruz</t>
        </is>
      </c>
      <c r="B165" s="5" t="n">
        <v>2</v>
      </c>
      <c r="C165" s="6" t="inlineStr">
        <is>
          <t>Sorumluluk planı sun</t>
        </is>
      </c>
      <c r="D165" s="5" t="inlineStr">
        <is>
          <t>Akıl</t>
        </is>
      </c>
      <c r="E165" s="5" t="inlineStr">
        <is>
          <t>Orta</t>
        </is>
      </c>
      <c r="F165" s="5" t="inlineStr"/>
      <c r="G165" s="6" t="inlineStr"/>
      <c r="H165" s="6" t="inlineStr">
        <is>
          <t>Mama, kum, veteriner: üç maddelik plan sundun. Kedi onaylandı.</t>
        </is>
      </c>
      <c r="I165" s="6" t="inlineStr">
        <is>
          <t>Tablolu, bütçeli bir plan sundun. Ailen kedi yerine seni işe almayı düşündü.</t>
        </is>
      </c>
      <c r="J165" s="6" t="inlineStr">
        <is>
          <t>Plan iyiydi ama bütçe onaylanmadı.</t>
        </is>
      </c>
      <c r="K165" s="6" t="inlineStr">
        <is>
          <t>Planın ilk maddesi 'Kediye telefon alalım' idi. Oturum kapandı.</t>
        </is>
      </c>
      <c r="L165" s="6" t="inlineStr"/>
      <c r="M165" s="5" t="inlineStr"/>
      <c r="N165" s="5" t="inlineStr"/>
      <c r="O165" s="6" t="inlineStr"/>
      <c r="P165" s="6" t="inlineStr"/>
      <c r="Q165" s="5" t="inlineStr"/>
      <c r="R165" s="5" t="inlineStr"/>
      <c r="S165" s="5" t="inlineStr"/>
      <c r="T165" s="5" t="inlineStr"/>
      <c r="U165" s="5" t="inlineStr"/>
      <c r="V165" s="5" t="inlineStr">
        <is>
          <t>kediGeldi</t>
        </is>
      </c>
      <c r="W165" s="5" t="inlineStr"/>
      <c r="X165" s="5" t="inlineStr"/>
      <c r="Y165" s="5" t="inlineStr"/>
      <c r="Z165" s="6" t="inlineStr"/>
      <c r="AA165" s="5" t="inlineStr"/>
      <c r="AB165" s="5" t="inlineStr"/>
      <c r="AC165" s="5" t="inlineStr"/>
      <c r="AD165" s="5" t="inlineStr"/>
      <c r="AE165" s="5" t="inlineStr"/>
      <c r="AF165" s="5" t="inlineStr"/>
      <c r="AG165" s="5" t="inlineStr"/>
      <c r="AH165" s="5" t="inlineStr"/>
    </row>
    <row r="166">
      <c r="A166" s="5" t="inlineStr">
        <is>
          <t>kedi-istiyoruz</t>
        </is>
      </c>
      <c r="B166" s="5" t="n">
        <v>3</v>
      </c>
      <c r="C166" s="6" t="inlineStr">
        <is>
          <t>Büyükanneyi ikna et</t>
        </is>
      </c>
      <c r="D166" s="5" t="inlineStr">
        <is>
          <t>Sosyal Radar</t>
        </is>
      </c>
      <c r="E166" s="5" t="inlineStr">
        <is>
          <t>Orta</t>
        </is>
      </c>
      <c r="F166" s="5" t="inlineStr"/>
      <c r="G166" s="6" t="inlineStr"/>
      <c r="H166" s="6" t="inlineStr">
        <is>
          <t>Büyükanneyi yanına çektin. Oturum bitmeden karar çıktı.</t>
        </is>
      </c>
      <c r="I166" s="6" t="inlineStr">
        <is>
          <t>Büyükanne kediyi kendisi getirdi. Tartışma bile olmadı.</t>
        </is>
      </c>
      <c r="J166" s="6" t="inlineStr">
        <is>
          <t>Büyükanne kuş istiyormuş.</t>
        </is>
      </c>
      <c r="K166" s="6" t="inlineStr">
        <is>
          <t>Büyükanne ikna oldu; kendi evine kedi aldı.</t>
        </is>
      </c>
      <c r="L166" s="6" t="inlineStr"/>
      <c r="M166" s="5" t="inlineStr"/>
      <c r="N166" s="5" t="inlineStr"/>
      <c r="O166" s="6" t="inlineStr"/>
      <c r="P166" s="6" t="inlineStr"/>
      <c r="Q166" s="5" t="inlineStr"/>
      <c r="R166" s="5" t="inlineStr"/>
      <c r="S166" s="5" t="inlineStr"/>
      <c r="T166" s="5" t="inlineStr"/>
      <c r="U166" s="5" t="inlineStr"/>
      <c r="V166" s="5" t="inlineStr">
        <is>
          <t>kediGeldi</t>
        </is>
      </c>
      <c r="W166" s="5" t="inlineStr"/>
      <c r="X166" s="5" t="inlineStr"/>
      <c r="Y166" s="5" t="inlineStr"/>
      <c r="Z166" s="6" t="inlineStr"/>
      <c r="AA166" s="5" t="inlineStr"/>
      <c r="AB166" s="5" t="inlineStr"/>
      <c r="AC166" s="5" t="inlineStr"/>
      <c r="AD166" s="5" t="inlineStr"/>
      <c r="AE166" s="5" t="inlineStr"/>
      <c r="AF166" s="5" t="inlineStr"/>
      <c r="AG166" s="5" t="inlineStr"/>
      <c r="AH166" s="5" t="inlineStr"/>
    </row>
    <row r="167">
      <c r="A167" s="5" t="inlineStr">
        <is>
          <t>kedi-istiyoruz</t>
        </is>
      </c>
      <c r="B167" s="5" t="n">
        <v>4</v>
      </c>
      <c r="C167" s="6" t="inlineStr">
        <is>
          <t>Vazo için kediden resmen özür dile</t>
        </is>
      </c>
      <c r="D167" s="5" t="inlineStr"/>
      <c r="E167" s="5" t="inlineStr"/>
      <c r="F167" s="5" t="inlineStr">
        <is>
          <t>İtibar +3</t>
        </is>
      </c>
      <c r="G167" s="6" t="inlineStr">
        <is>
          <t>Yıllar sonra gelen itiraf. Aile duygulandı, oturum oybirliğiyle sonuçlandı. Kedi geliyor.</t>
        </is>
      </c>
      <c r="H167" s="6" t="inlineStr"/>
      <c r="I167" s="6" t="inlineStr"/>
      <c r="J167" s="6" t="inlineStr"/>
      <c r="K167" s="6" t="inlineStr"/>
      <c r="L167" s="6" t="inlineStr"/>
      <c r="M167" s="5" t="inlineStr"/>
      <c r="N167" s="5" t="inlineStr"/>
      <c r="O167" s="6" t="inlineStr"/>
      <c r="P167" s="6" t="inlineStr"/>
      <c r="Q167" s="5" t="inlineStr"/>
      <c r="R167" s="5" t="inlineStr">
        <is>
          <t>kediSuclu</t>
        </is>
      </c>
      <c r="S167" s="5" t="inlineStr"/>
      <c r="T167" s="5" t="inlineStr"/>
      <c r="U167" s="5" t="inlineStr">
        <is>
          <t>kediGeldi</t>
        </is>
      </c>
      <c r="V167" s="5" t="inlineStr"/>
      <c r="W167" s="5" t="inlineStr"/>
      <c r="X167" s="5" t="inlineStr"/>
      <c r="Y167" s="5" t="inlineStr"/>
      <c r="Z167" s="6" t="inlineStr"/>
      <c r="AA167" s="5" t="inlineStr"/>
      <c r="AB167" s="5" t="inlineStr"/>
      <c r="AC167" s="5" t="inlineStr"/>
      <c r="AD167" s="5" t="inlineStr"/>
      <c r="AE167" s="5" t="inlineStr"/>
      <c r="AF167" s="5" t="inlineStr"/>
      <c r="AG167" s="5" t="inlineStr"/>
      <c r="AH167" s="5" t="inlineStr"/>
    </row>
    <row r="168">
      <c r="A168" s="5" t="inlineStr">
        <is>
          <t>tablet-saati</t>
        </is>
      </c>
      <c r="B168" s="5" t="n">
        <v>1</v>
      </c>
      <c r="C168" s="6" t="inlineStr">
        <is>
          <t>Süreye uy</t>
        </is>
      </c>
      <c r="D168" s="5" t="inlineStr"/>
      <c r="E168" s="5" t="inlineStr"/>
      <c r="F168" s="5" t="inlineStr">
        <is>
          <t>İtibar +1, Dayanıklılık +1</t>
        </is>
      </c>
      <c r="G168" s="6" t="inlineStr">
        <is>
          <t>Canavar yarına kaldı. İrade bugün kazandı.</t>
        </is>
      </c>
      <c r="H168" s="6" t="inlineStr"/>
      <c r="I168" s="6" t="inlineStr"/>
      <c r="J168" s="6" t="inlineStr"/>
      <c r="K168" s="6" t="inlineStr"/>
      <c r="L168" s="6" t="inlineStr"/>
      <c r="M168" s="5" t="inlineStr"/>
      <c r="N168" s="5" t="inlineStr"/>
      <c r="O168" s="6" t="inlineStr"/>
      <c r="P168" s="6" t="inlineStr"/>
      <c r="Q168" s="5" t="inlineStr"/>
      <c r="R168" s="5" t="inlineStr"/>
      <c r="S168" s="5" t="inlineStr"/>
      <c r="T168" s="5" t="inlineStr"/>
      <c r="U168" s="5" t="inlineStr"/>
      <c r="V168" s="5" t="inlineStr"/>
      <c r="W168" s="5" t="inlineStr"/>
      <c r="X168" s="5" t="inlineStr"/>
      <c r="Y168" s="5" t="inlineStr"/>
      <c r="Z168" s="6" t="inlineStr"/>
      <c r="AA168" s="5" t="inlineStr"/>
      <c r="AB168" s="5" t="inlineStr"/>
      <c r="AC168" s="5" t="inlineStr"/>
      <c r="AD168" s="5" t="inlineStr"/>
      <c r="AE168" s="5" t="inlineStr"/>
      <c r="AF168" s="5" t="inlineStr"/>
      <c r="AG168" s="5" t="inlineStr"/>
      <c r="AH168" s="5" t="inlineStr"/>
    </row>
    <row r="169">
      <c r="A169" s="5" t="inlineStr">
        <is>
          <t>tablet-saati</t>
        </is>
      </c>
      <c r="B169" s="5" t="n">
        <v>2</v>
      </c>
      <c r="C169" s="6" t="inlineStr">
        <is>
          <t>Beş dakika daha iste</t>
        </is>
      </c>
      <c r="D169" s="5" t="inlineStr">
        <is>
          <t>Çene</t>
        </is>
      </c>
      <c r="E169" s="5" t="inlineStr">
        <is>
          <t>Kolay</t>
        </is>
      </c>
      <c r="F169" s="5" t="inlineStr"/>
      <c r="G169" s="6" t="inlineStr"/>
      <c r="H169" s="6" t="inlineStr">
        <is>
          <t>Beş dakika aldın, canavarı yendin.</t>
        </is>
      </c>
      <c r="I169" s="6" t="inlineStr">
        <is>
          <t>Beş dakika istedin, on beş aldın. Pazarlık dersi.</t>
        </is>
      </c>
      <c r="J169" s="6" t="inlineStr">
        <is>
          <t>Beş dakika istedin; 'Yarın' dendi.</t>
        </is>
      </c>
      <c r="K169" s="6" t="inlineStr">
        <is>
          <t>Beş dakika istedin; ertesi günün süresi de kesildi.</t>
        </is>
      </c>
      <c r="L169" s="6" t="inlineStr"/>
      <c r="M169" s="5" t="inlineStr"/>
      <c r="N169" s="5" t="inlineStr"/>
      <c r="O169" s="6" t="inlineStr"/>
      <c r="P169" s="6" t="inlineStr"/>
      <c r="Q169" s="5" t="inlineStr"/>
      <c r="R169" s="5" t="inlineStr"/>
      <c r="S169" s="5" t="inlineStr"/>
      <c r="T169" s="5" t="inlineStr"/>
      <c r="U169" s="5" t="inlineStr"/>
      <c r="V169" s="5" t="inlineStr"/>
      <c r="W169" s="5" t="inlineStr"/>
      <c r="X169" s="5" t="inlineStr"/>
      <c r="Y169" s="5" t="inlineStr"/>
      <c r="Z169" s="6" t="inlineStr"/>
      <c r="AA169" s="5" t="inlineStr"/>
      <c r="AB169" s="5" t="inlineStr"/>
      <c r="AC169" s="5" t="inlineStr"/>
      <c r="AD169" s="5" t="inlineStr"/>
      <c r="AE169" s="5" t="inlineStr"/>
      <c r="AF169" s="5" t="inlineStr"/>
      <c r="AG169" s="5" t="inlineStr"/>
      <c r="AH169" s="5" t="inlineStr"/>
    </row>
    <row r="170">
      <c r="A170" s="5" t="inlineStr">
        <is>
          <t>tablet-saati</t>
        </is>
      </c>
      <c r="B170" s="5" t="n">
        <v>3</v>
      </c>
      <c r="C170" s="6" t="inlineStr">
        <is>
          <t>Saati gizlice geri al</t>
        </is>
      </c>
      <c r="D170" s="5" t="inlineStr">
        <is>
          <t>Kurnazlık</t>
        </is>
      </c>
      <c r="E170" s="5" t="inlineStr">
        <is>
          <t>Zor</t>
        </is>
      </c>
      <c r="F170" s="5" t="inlineStr"/>
      <c r="G170" s="6" t="inlineStr"/>
      <c r="H170" s="6" t="inlineStr">
        <is>
          <t>Tabletin saati bir saat geri gitti. Canavar yenildi.</t>
        </is>
      </c>
      <c r="I170" s="6" t="inlineStr">
        <is>
          <t>Saati geri aldın, canavarı yendin, iz bırakmadın. Kusursuz operasyon.</t>
        </is>
      </c>
      <c r="J170" s="6" t="inlineStr">
        <is>
          <t>Saati geri aldın; alarm çaldı.</t>
        </is>
      </c>
      <c r="K170" s="6" t="inlineStr">
        <is>
          <t>Saati geri aldın; ertesi sabah ailen işe bir saat geç kaldı.</t>
        </is>
      </c>
      <c r="L170" s="6" t="inlineStr"/>
      <c r="M170" s="5" t="inlineStr"/>
      <c r="N170" s="5" t="inlineStr"/>
      <c r="O170" s="6" t="inlineStr"/>
      <c r="P170" s="6" t="inlineStr"/>
      <c r="Q170" s="5" t="inlineStr"/>
      <c r="R170" s="5" t="inlineStr"/>
      <c r="S170" s="5" t="inlineStr"/>
      <c r="T170" s="5" t="inlineStr"/>
      <c r="U170" s="5" t="inlineStr"/>
      <c r="V170" s="5" t="inlineStr"/>
      <c r="W170" s="5" t="inlineStr"/>
      <c r="X170" s="5" t="inlineStr"/>
      <c r="Y170" s="5" t="inlineStr"/>
      <c r="Z170" s="6" t="inlineStr"/>
      <c r="AA170" s="5" t="inlineStr"/>
      <c r="AB170" s="5" t="inlineStr"/>
      <c r="AC170" s="5" t="inlineStr"/>
      <c r="AD170" s="5" t="inlineStr"/>
      <c r="AE170" s="5" t="inlineStr"/>
      <c r="AF170" s="5" t="inlineStr"/>
      <c r="AG170" s="5" t="inlineStr"/>
      <c r="AH170" s="5" t="inlineStr"/>
    </row>
    <row r="171">
      <c r="A171" s="5" t="inlineStr">
        <is>
          <t>tablet-saati</t>
        </is>
      </c>
      <c r="B171" s="5" t="n">
        <v>4</v>
      </c>
      <c r="C171" s="6" t="inlineStr">
        <is>
          <t>Ebeveyn kilidini çöz</t>
        </is>
      </c>
      <c r="D171" s="5" t="inlineStr">
        <is>
          <t>Akıl</t>
        </is>
      </c>
      <c r="E171" s="5" t="inlineStr">
        <is>
          <t>Zor</t>
        </is>
      </c>
      <c r="F171" s="5" t="inlineStr"/>
      <c r="G171" s="6" t="inlineStr"/>
      <c r="H171" s="6" t="inlineStr">
        <is>
          <t>Kilidi çözdün. Sınırsız ekran, sınırsız sorumluluk.</t>
        </is>
      </c>
      <c r="I171" s="6" t="inlineStr">
        <is>
          <t>Kilidi çözdün ve ailenin telefonuna ekran süresi koydun.</t>
        </is>
      </c>
      <c r="J171" s="6" t="inlineStr">
        <is>
          <t>Kilit çözülmedi; tablet 10 dakika kilitlendi.</t>
        </is>
      </c>
      <c r="K171" s="6" t="inlineStr">
        <is>
          <t>Kilidi çözmeye çalışırken tableti fabrika ayarlarına döndürdün.</t>
        </is>
      </c>
      <c r="L171" s="6" t="inlineStr"/>
      <c r="M171" s="5" t="inlineStr"/>
      <c r="N171" s="5" t="inlineStr"/>
      <c r="O171" s="6" t="inlineStr"/>
      <c r="P171" s="6" t="inlineStr"/>
      <c r="Q171" s="5" t="inlineStr">
        <is>
          <t>Teknoloji Merakı</t>
        </is>
      </c>
      <c r="R171" s="5" t="inlineStr"/>
      <c r="S171" s="5" t="inlineStr"/>
      <c r="T171" s="5" t="inlineStr">
        <is>
          <t>Kilit Kırıcı</t>
        </is>
      </c>
      <c r="U171" s="5" t="inlineStr"/>
      <c r="V171" s="5" t="inlineStr"/>
      <c r="W171" s="5" t="inlineStr"/>
      <c r="X171" s="5" t="inlineStr"/>
      <c r="Y171" s="5" t="inlineStr"/>
      <c r="Z171" s="6" t="inlineStr"/>
      <c r="AA171" s="5" t="inlineStr"/>
      <c r="AB171" s="5" t="inlineStr"/>
      <c r="AC171" s="5" t="inlineStr"/>
      <c r="AD171" s="5" t="inlineStr"/>
      <c r="AE171" s="5" t="inlineStr"/>
      <c r="AF171" s="5" t="inlineStr"/>
      <c r="AG171" s="5" t="inlineStr"/>
      <c r="AH171" s="5" t="inlineStr"/>
    </row>
    <row r="172">
      <c r="A172" s="5" t="inlineStr">
        <is>
          <t>veli-toplantisi</t>
        </is>
      </c>
      <c r="B172" s="5" t="n">
        <v>1</v>
      </c>
      <c r="C172" s="6" t="inlineStr">
        <is>
          <t>Kapıyı dinle</t>
        </is>
      </c>
      <c r="D172" s="5" t="inlineStr">
        <is>
          <t>Sosyal Radar</t>
        </is>
      </c>
      <c r="E172" s="5" t="inlineStr">
        <is>
          <t>Orta</t>
        </is>
      </c>
      <c r="F172" s="5" t="inlineStr"/>
      <c r="G172" s="6" t="inlineStr"/>
      <c r="H172" s="6" t="inlineStr">
        <is>
          <t>Kilit cümleleri duydun: 'zeki' ve 'biraz konuşkan'. Hazırlıklısın.</t>
        </is>
      </c>
      <c r="I172" s="6" t="inlineStr">
        <is>
          <t>Her şeyi duydun ve ailen çıkmadan savunmanı hazırladın.</t>
        </is>
      </c>
      <c r="J172" s="6" t="inlineStr">
        <is>
          <t>Hiçbir şey duyamadın. Kapı çok kalınmış.</t>
        </is>
      </c>
      <c r="K172" s="6" t="inlineStr">
        <is>
          <t>Kapıya yaslandın, kapı açıldı. İçeri düştün.</t>
        </is>
      </c>
      <c r="L172" s="6" t="inlineStr"/>
      <c r="M172" s="5" t="inlineStr"/>
      <c r="N172" s="5" t="inlineStr"/>
      <c r="O172" s="6" t="inlineStr"/>
      <c r="P172" s="6" t="inlineStr"/>
      <c r="Q172" s="5" t="inlineStr"/>
      <c r="R172" s="5" t="inlineStr"/>
      <c r="S172" s="5" t="inlineStr"/>
      <c r="T172" s="5" t="inlineStr"/>
      <c r="U172" s="5" t="inlineStr"/>
      <c r="V172" s="5" t="inlineStr"/>
      <c r="W172" s="5" t="inlineStr"/>
      <c r="X172" s="5" t="inlineStr"/>
      <c r="Y172" s="5" t="inlineStr"/>
      <c r="Z172" s="6" t="inlineStr"/>
      <c r="AA172" s="5" t="inlineStr"/>
      <c r="AB172" s="5" t="inlineStr"/>
      <c r="AC172" s="5" t="inlineStr"/>
      <c r="AD172" s="5" t="inlineStr"/>
      <c r="AE172" s="5" t="inlineStr"/>
      <c r="AF172" s="5" t="inlineStr"/>
      <c r="AG172" s="5" t="inlineStr"/>
      <c r="AH172" s="5" t="inlineStr"/>
    </row>
    <row r="173">
      <c r="A173" s="5" t="inlineStr">
        <is>
          <t>veli-toplantisi</t>
        </is>
      </c>
      <c r="B173" s="5" t="n">
        <v>2</v>
      </c>
      <c r="C173" s="6" t="inlineStr">
        <is>
          <t>Öğretmene önceden çiçek götür</t>
        </is>
      </c>
      <c r="D173" s="5" t="inlineStr">
        <is>
          <t>Pişkinlik</t>
        </is>
      </c>
      <c r="E173" s="5" t="inlineStr">
        <is>
          <t>Orta</t>
        </is>
      </c>
      <c r="F173" s="5" t="inlineStr"/>
      <c r="G173" s="6" t="inlineStr"/>
      <c r="H173" s="6" t="inlineStr">
        <is>
          <t>Çiçek kabul edildi. Toplantının tonu yumuşadı.</t>
        </is>
      </c>
      <c r="I173" s="6" t="inlineStr">
        <is>
          <t>Öğretmen çiçeği vazoya koydu ve toplantıyı 'Ne kadar kibar bir çocuk' diye açtı.</t>
        </is>
      </c>
      <c r="J173" s="6" t="inlineStr">
        <is>
          <t>Çiçeği verdin; öğretmen alerjikmiş.</t>
        </is>
      </c>
      <c r="K173" s="6" t="inlineStr">
        <is>
          <t>Çiçeği okul bahçesinden kopardığın anlaşıldı.</t>
        </is>
      </c>
      <c r="L173" s="6" t="inlineStr"/>
      <c r="M173" s="5" t="inlineStr"/>
      <c r="N173" s="5" t="inlineStr"/>
      <c r="O173" s="6" t="inlineStr"/>
      <c r="P173" s="6" t="inlineStr"/>
      <c r="Q173" s="5" t="inlineStr"/>
      <c r="R173" s="5" t="inlineStr"/>
      <c r="S173" s="5" t="inlineStr"/>
      <c r="T173" s="5" t="inlineStr"/>
      <c r="U173" s="5" t="inlineStr"/>
      <c r="V173" s="5" t="inlineStr"/>
      <c r="W173" s="5" t="inlineStr"/>
      <c r="X173" s="5" t="inlineStr"/>
      <c r="Y173" s="5" t="inlineStr"/>
      <c r="Z173" s="6" t="inlineStr"/>
      <c r="AA173" s="5" t="inlineStr"/>
      <c r="AB173" s="5" t="inlineStr"/>
      <c r="AC173" s="5" t="inlineStr"/>
      <c r="AD173" s="5" t="inlineStr"/>
      <c r="AE173" s="5" t="inlineStr"/>
      <c r="AF173" s="5" t="inlineStr"/>
      <c r="AG173" s="5" t="inlineStr"/>
      <c r="AH173" s="5" t="inlineStr"/>
    </row>
    <row r="174">
      <c r="A174" s="5" t="inlineStr">
        <is>
          <t>veli-toplantisi</t>
        </is>
      </c>
      <c r="B174" s="5" t="n">
        <v>3</v>
      </c>
      <c r="C174" s="6" t="inlineStr">
        <is>
          <t>Sonucu bekle</t>
        </is>
      </c>
      <c r="D174" s="5" t="inlineStr"/>
      <c r="E174" s="5" t="inlineStr"/>
      <c r="F174" s="5" t="inlineStr">
        <is>
          <t>Dayanıklılık +1</t>
        </is>
      </c>
      <c r="G174" s="6" t="inlineStr">
        <is>
          <t>Kontrol edemediğin şeyleri beklemeyi öğrendin.</t>
        </is>
      </c>
      <c r="H174" s="6" t="inlineStr"/>
      <c r="I174" s="6" t="inlineStr"/>
      <c r="J174" s="6" t="inlineStr"/>
      <c r="K174" s="6" t="inlineStr"/>
      <c r="L174" s="6" t="inlineStr"/>
      <c r="M174" s="5" t="inlineStr"/>
      <c r="N174" s="5" t="inlineStr"/>
      <c r="O174" s="6" t="inlineStr"/>
      <c r="P174" s="6" t="inlineStr"/>
      <c r="Q174" s="5" t="inlineStr"/>
      <c r="R174" s="5" t="inlineStr"/>
      <c r="S174" s="5" t="inlineStr"/>
      <c r="T174" s="5" t="inlineStr"/>
      <c r="U174" s="5" t="inlineStr"/>
      <c r="V174" s="5" t="inlineStr"/>
      <c r="W174" s="5" t="inlineStr"/>
      <c r="X174" s="5" t="inlineStr"/>
      <c r="Y174" s="5" t="inlineStr"/>
      <c r="Z174" s="6" t="inlineStr"/>
      <c r="AA174" s="5" t="inlineStr"/>
      <c r="AB174" s="5" t="inlineStr"/>
      <c r="AC174" s="5" t="inlineStr"/>
      <c r="AD174" s="5" t="inlineStr"/>
      <c r="AE174" s="5" t="inlineStr"/>
      <c r="AF174" s="5" t="inlineStr"/>
      <c r="AG174" s="5" t="inlineStr"/>
      <c r="AH174" s="5" t="inlineStr"/>
    </row>
    <row r="175">
      <c r="A175" s="5" t="inlineStr">
        <is>
          <t>veli-toplantisi</t>
        </is>
      </c>
      <c r="B175" s="5" t="n">
        <v>4</v>
      </c>
      <c r="C175" s="6" t="inlineStr">
        <is>
          <t>Ailenin yüzünden sonucu oku</t>
        </is>
      </c>
      <c r="D175" s="5" t="inlineStr">
        <is>
          <t>Sosyal Radar</t>
        </is>
      </c>
      <c r="E175" s="5" t="inlineStr">
        <is>
          <t>Kolay</t>
        </is>
      </c>
      <c r="F175" s="5" t="inlineStr"/>
      <c r="G175" s="6" t="inlineStr"/>
      <c r="H175" s="6" t="inlineStr">
        <is>
          <t>Kapıdan çıkarken yüzlerine baktın. Sonuç iyi. Rahatladın.</t>
        </is>
      </c>
      <c r="I175" s="6" t="inlineStr">
        <is>
          <t>Yüz ifadesinden sadece sonucu değil, akşam yemeğini de tahmin ettin.</t>
        </is>
      </c>
      <c r="J175" s="6" t="inlineStr">
        <is>
          <t>Yüzleri hiçbir şey söylemiyordu.</t>
        </is>
      </c>
      <c r="K175" s="6" t="inlineStr">
        <is>
          <t>'İyi geçti' diye sevinçle koştun. İyi geçmemişti.</t>
        </is>
      </c>
      <c r="L175" s="6" t="inlineStr"/>
      <c r="M175" s="5" t="inlineStr"/>
      <c r="N175" s="5" t="inlineStr"/>
      <c r="O175" s="6" t="inlineStr"/>
      <c r="P175" s="6" t="inlineStr"/>
      <c r="Q175" s="5" t="inlineStr">
        <is>
          <t>Odayı Okur</t>
        </is>
      </c>
      <c r="R175" s="5" t="inlineStr"/>
      <c r="S175" s="5" t="inlineStr"/>
      <c r="T175" s="5" t="inlineStr"/>
      <c r="U175" s="5" t="inlineStr"/>
      <c r="V175" s="5" t="inlineStr"/>
      <c r="W175" s="5" t="inlineStr"/>
      <c r="X175" s="5" t="inlineStr"/>
      <c r="Y175" s="5" t="inlineStr"/>
      <c r="Z175" s="6" t="inlineStr"/>
      <c r="AA175" s="5" t="inlineStr"/>
      <c r="AB175" s="5" t="inlineStr"/>
      <c r="AC175" s="5" t="inlineStr"/>
      <c r="AD175" s="5" t="inlineStr"/>
      <c r="AE175" s="5" t="inlineStr"/>
      <c r="AF175" s="5" t="inlineStr"/>
      <c r="AG175" s="5" t="inlineStr"/>
      <c r="AH175" s="5" t="inlineStr"/>
    </row>
    <row r="176">
      <c r="A176" s="5" t="inlineStr">
        <is>
          <t>karne-gunu</t>
        </is>
      </c>
      <c r="B176" s="5" t="n">
        <v>1</v>
      </c>
      <c r="C176" s="6" t="inlineStr">
        <is>
          <t>Karneyi gururla göster</t>
        </is>
      </c>
      <c r="D176" s="5" t="inlineStr">
        <is>
          <t>Pişkinlik</t>
        </is>
      </c>
      <c r="E176" s="5" t="inlineStr">
        <is>
          <t>Kolay</t>
        </is>
      </c>
      <c r="F176" s="5" t="inlineStr"/>
      <c r="G176" s="6" t="inlineStr"/>
      <c r="H176" s="6" t="inlineStr">
        <is>
          <t>Karneyi kapıda açtın. Alkış geldi.</t>
        </is>
      </c>
      <c r="I176" s="6" t="inlineStr">
        <is>
          <t>Karneyi gösterdin; ailen fotoğrafını çekip aile grubuna gönderdi.</t>
        </is>
      </c>
      <c r="J176" s="6" t="inlineStr">
        <is>
          <t>Karneyi gösterdin; tek zayıf not da görüldü.</t>
        </is>
      </c>
      <c r="K176" s="6" t="inlineStr">
        <is>
          <t>Karneyi gösterirken yere düşürdün. Kedi üstüne oturdu.</t>
        </is>
      </c>
      <c r="L176" s="6" t="inlineStr"/>
      <c r="M176" s="5" t="inlineStr"/>
      <c r="N176" s="5" t="inlineStr"/>
      <c r="O176" s="6" t="inlineStr"/>
      <c r="P176" s="6" t="inlineStr"/>
      <c r="Q176" s="5" t="inlineStr"/>
      <c r="R176" s="5" t="inlineStr"/>
      <c r="S176" s="5" t="inlineStr"/>
      <c r="T176" s="5" t="inlineStr"/>
      <c r="U176" s="5" t="inlineStr"/>
      <c r="V176" s="5" t="inlineStr"/>
      <c r="W176" s="5" t="inlineStr"/>
      <c r="X176" s="5" t="inlineStr"/>
      <c r="Y176" s="5" t="inlineStr"/>
      <c r="Z176" s="6" t="inlineStr"/>
      <c r="AA176" s="5" t="inlineStr"/>
      <c r="AB176" s="5" t="inlineStr"/>
      <c r="AC176" s="5" t="inlineStr"/>
      <c r="AD176" s="5" t="inlineStr"/>
      <c r="AE176" s="5" t="inlineStr"/>
      <c r="AF176" s="5" t="inlineStr"/>
      <c r="AG176" s="5" t="inlineStr"/>
      <c r="AH176" s="5" t="inlineStr"/>
    </row>
    <row r="177">
      <c r="A177" s="5" t="inlineStr">
        <is>
          <t>karne-gunu</t>
        </is>
      </c>
      <c r="B177" s="5" t="n">
        <v>2</v>
      </c>
      <c r="C177" s="6" t="inlineStr">
        <is>
          <t>Önce iyi haberleri anlat</t>
        </is>
      </c>
      <c r="D177" s="5" t="inlineStr">
        <is>
          <t>Çene</t>
        </is>
      </c>
      <c r="E177" s="5" t="inlineStr">
        <is>
          <t>Orta</t>
        </is>
      </c>
      <c r="F177" s="5" t="inlineStr"/>
      <c r="G177" s="6" t="inlineStr"/>
      <c r="H177" s="6" t="inlineStr">
        <is>
          <t>İyi haberlerle başladın; kötü haber gölgede kaldı.</t>
        </is>
      </c>
      <c r="I177" s="6" t="inlineStr">
        <is>
          <t>Sunumun o kadar iyiydi ki karneyi açmalarına gerek kalmadı.</t>
        </is>
      </c>
      <c r="J177" s="6" t="inlineStr">
        <is>
          <t>İyi haberleri anlattın; karne yine de açıldı.</t>
        </is>
      </c>
      <c r="K177" s="6" t="inlineStr">
        <is>
          <t>İyi haber bulamadın. Sessizlik uzadı.</t>
        </is>
      </c>
      <c r="L177" s="6" t="inlineStr"/>
      <c r="M177" s="5" t="inlineStr"/>
      <c r="N177" s="5" t="inlineStr"/>
      <c r="O177" s="6" t="inlineStr"/>
      <c r="P177" s="6" t="inlineStr"/>
      <c r="Q177" s="5" t="inlineStr"/>
      <c r="R177" s="5" t="inlineStr"/>
      <c r="S177" s="5" t="inlineStr"/>
      <c r="T177" s="5" t="inlineStr"/>
      <c r="U177" s="5" t="inlineStr"/>
      <c r="V177" s="5" t="inlineStr"/>
      <c r="W177" s="5" t="inlineStr"/>
      <c r="X177" s="5" t="inlineStr"/>
      <c r="Y177" s="5" t="inlineStr"/>
      <c r="Z177" s="6" t="inlineStr"/>
      <c r="AA177" s="5" t="inlineStr"/>
      <c r="AB177" s="5" t="inlineStr"/>
      <c r="AC177" s="5" t="inlineStr"/>
      <c r="AD177" s="5" t="inlineStr"/>
      <c r="AE177" s="5" t="inlineStr"/>
      <c r="AF177" s="5" t="inlineStr"/>
      <c r="AG177" s="5" t="inlineStr"/>
      <c r="AH177" s="5" t="inlineStr"/>
    </row>
    <row r="178">
      <c r="A178" s="5" t="inlineStr">
        <is>
          <t>karne-gunu</t>
        </is>
      </c>
      <c r="B178" s="5" t="n">
        <v>3</v>
      </c>
      <c r="C178" s="6" t="inlineStr">
        <is>
          <t>İmzayı yarına ertele</t>
        </is>
      </c>
      <c r="D178" s="5" t="inlineStr">
        <is>
          <t>Kurnazlık</t>
        </is>
      </c>
      <c r="E178" s="5" t="inlineStr">
        <is>
          <t>Zor</t>
        </is>
      </c>
      <c r="F178" s="5" t="inlineStr"/>
      <c r="G178" s="6" t="inlineStr"/>
      <c r="H178" s="6" t="inlineStr">
        <is>
          <t>İmza bir gün ertelendi. Bu bir günü iyi kullandın.</t>
        </is>
      </c>
      <c r="I178" s="6" t="inlineStr">
        <is>
          <t>Karne tatil boyunca 'kayıp' kaldı ve ilk gün imzalı bulundu. Kimse nasıl olduğunu sormadı.</t>
        </is>
      </c>
      <c r="J178" s="6" t="inlineStr">
        <is>
          <t>Ertelemeye çalıştın; öğretmen aradı.</t>
        </is>
      </c>
      <c r="K178" s="6" t="inlineStr">
        <is>
          <t>Ertelemeye çalıştın; karne çantadan çıktı ve herkesin önünde açıldı.</t>
        </is>
      </c>
      <c r="L178" s="6" t="inlineStr"/>
      <c r="M178" s="5" t="inlineStr"/>
      <c r="N178" s="5" t="inlineStr"/>
      <c r="O178" s="6" t="inlineStr"/>
      <c r="P178" s="6" t="inlineStr"/>
      <c r="Q178" s="5" t="inlineStr"/>
      <c r="R178" s="5" t="inlineStr"/>
      <c r="S178" s="5" t="inlineStr"/>
      <c r="T178" s="5" t="inlineStr"/>
      <c r="U178" s="5" t="inlineStr"/>
      <c r="V178" s="5" t="inlineStr"/>
      <c r="W178" s="5" t="inlineStr"/>
      <c r="X178" s="5" t="inlineStr"/>
      <c r="Y178" s="5" t="inlineStr"/>
      <c r="Z178" s="6" t="inlineStr"/>
      <c r="AA178" s="5" t="inlineStr"/>
      <c r="AB178" s="5" t="inlineStr"/>
      <c r="AC178" s="5" t="inlineStr"/>
      <c r="AD178" s="5" t="inlineStr"/>
      <c r="AE178" s="5" t="inlineStr"/>
      <c r="AF178" s="5" t="inlineStr"/>
      <c r="AG178" s="5" t="inlineStr"/>
      <c r="AH178" s="5" t="inlineStr"/>
    </row>
    <row r="179">
      <c r="A179" s="5" t="inlineStr">
        <is>
          <t>karne-gunu</t>
        </is>
      </c>
      <c r="B179" s="5" t="n">
        <v>4</v>
      </c>
      <c r="C179" s="6" t="inlineStr">
        <is>
          <t>Olduğu gibi ver</t>
        </is>
      </c>
      <c r="D179" s="5" t="inlineStr"/>
      <c r="E179" s="5" t="inlineStr"/>
      <c r="F179" s="5" t="inlineStr">
        <is>
          <t>İtibar +1</t>
        </is>
      </c>
      <c r="G179" s="6" t="inlineStr">
        <is>
          <t>Karne teslim edildi. Değerlendirme aile meclisinde.</t>
        </is>
      </c>
      <c r="H179" s="6" t="inlineStr"/>
      <c r="I179" s="6" t="inlineStr"/>
      <c r="J179" s="6" t="inlineStr"/>
      <c r="K179" s="6" t="inlineStr"/>
      <c r="L179" s="6" t="inlineStr"/>
      <c r="M179" s="5" t="inlineStr"/>
      <c r="N179" s="5" t="inlineStr"/>
      <c r="O179" s="6" t="inlineStr"/>
      <c r="P179" s="6" t="inlineStr"/>
      <c r="Q179" s="5" t="inlineStr"/>
      <c r="R179" s="5" t="inlineStr"/>
      <c r="S179" s="5" t="inlineStr"/>
      <c r="T179" s="5" t="inlineStr"/>
      <c r="U179" s="5" t="inlineStr"/>
      <c r="V179" s="5" t="inlineStr"/>
      <c r="W179" s="5" t="inlineStr"/>
      <c r="X179" s="5" t="inlineStr"/>
      <c r="Y179" s="5" t="inlineStr"/>
      <c r="Z179" s="6" t="inlineStr"/>
      <c r="AA179" s="5" t="inlineStr"/>
      <c r="AB179" s="5" t="inlineStr"/>
      <c r="AC179" s="5" t="inlineStr"/>
      <c r="AD179" s="5" t="inlineStr"/>
      <c r="AE179" s="5" t="inlineStr"/>
      <c r="AF179" s="5" t="inlineStr"/>
      <c r="AG179" s="5" t="inlineStr"/>
      <c r="AH179" s="5" t="inlineStr"/>
    </row>
    <row r="180">
      <c r="A180" s="5" t="inlineStr">
        <is>
          <t>karne-gunu</t>
        </is>
      </c>
      <c r="B180" s="5" t="n">
        <v>5</v>
      </c>
      <c r="C180" s="6" t="inlineStr">
        <is>
          <t>Karne hediyesini pazarlıkla büyüt</t>
        </is>
      </c>
      <c r="D180" s="5" t="inlineStr">
        <is>
          <t>Çene</t>
        </is>
      </c>
      <c r="E180" s="5" t="inlineStr">
        <is>
          <t>Orta</t>
        </is>
      </c>
      <c r="F180" s="5" t="inlineStr"/>
      <c r="G180" s="6" t="inlineStr"/>
      <c r="H180" s="6" t="inlineStr">
        <is>
          <t>Hediye pazarlığına oturdun: iki pekiyiye bir oyuncak, bir takdire iki. Babanın hesap makinesi çıktı.</t>
        </is>
      </c>
      <c r="I180" s="6" t="inlineStr">
        <is>
          <t>Karneden önce ailene bir sözleşme imzalatmıştın. Madde üç: her pekiyiye bir dondurma. Temmuz ortasında dondurmalık tükendi.</t>
        </is>
      </c>
      <c r="J180" s="6" t="inlineStr">
        <is>
          <t>Pazarlığa başladın; annen karneye baktı ve pazarlığı kapattı.</t>
        </is>
      </c>
      <c r="K180" s="6" t="inlineStr">
        <is>
          <t>Karneyi pazarlık kozu yaptın ama kozun içinde bir de “geliştirilmeli” vardı. Masa devrildi.</t>
        </is>
      </c>
      <c r="L180" s="6" t="inlineStr"/>
      <c r="M180" s="5" t="inlineStr"/>
      <c r="N180" s="5" t="inlineStr"/>
      <c r="O180" s="6" t="inlineStr"/>
      <c r="P180" s="6" t="inlineStr"/>
      <c r="Q180" s="5" t="inlineStr"/>
      <c r="R180" s="5" t="inlineStr">
        <is>
          <t>teneffus-tuccari</t>
        </is>
      </c>
      <c r="S180" s="5" t="inlineStr"/>
      <c r="T180" s="5" t="inlineStr"/>
      <c r="U180" s="5" t="inlineStr"/>
      <c r="V180" s="5" t="inlineStr"/>
      <c r="W180" s="5" t="inlineStr"/>
      <c r="X180" s="5" t="inlineStr"/>
      <c r="Y180" s="5" t="inlineStr"/>
      <c r="Z180" s="6" t="inlineStr"/>
      <c r="AA180" s="5" t="inlineStr"/>
      <c r="AB180" s="5" t="inlineStr"/>
      <c r="AC180" s="5" t="inlineStr"/>
      <c r="AD180" s="5" t="inlineStr"/>
      <c r="AE180" s="5" t="inlineStr"/>
      <c r="AF180" s="5" t="inlineStr"/>
      <c r="AG180" s="5" t="inlineStr"/>
      <c r="AH180" s="5" t="inlineStr"/>
    </row>
    <row r="181">
      <c r="A181" s="5" t="inlineStr">
        <is>
          <t>b4-ilk-telefon</t>
        </is>
      </c>
      <c r="B181" s="5" t="n">
        <v>1</v>
      </c>
      <c r="C181" s="6" t="inlineStr">
        <is>
          <t>Kurallara uy</t>
        </is>
      </c>
      <c r="D181" s="5" t="inlineStr"/>
      <c r="E181" s="5" t="inlineStr"/>
      <c r="F181" s="5" t="inlineStr">
        <is>
          <t>İtibar +2</t>
        </is>
      </c>
      <c r="G181" s="6" t="inlineStr">
        <is>
          <t>Kullanım koşullarını okumadan kabul ettin. Hayatının geri kalanı için iyi bir antrenman.</t>
        </is>
      </c>
      <c r="H181" s="6" t="inlineStr"/>
      <c r="I181" s="6" t="inlineStr"/>
      <c r="J181" s="6" t="inlineStr"/>
      <c r="K181" s="6" t="inlineStr"/>
      <c r="L181" s="6" t="inlineStr"/>
      <c r="M181" s="5" t="inlineStr"/>
      <c r="N181" s="5" t="inlineStr"/>
      <c r="O181" s="6" t="inlineStr"/>
      <c r="P181" s="6" t="inlineStr"/>
      <c r="Q181" s="5" t="inlineStr"/>
      <c r="R181" s="5" t="inlineStr"/>
      <c r="S181" s="5" t="inlineStr"/>
      <c r="T181" s="5" t="inlineStr"/>
      <c r="U181" s="5" t="inlineStr"/>
      <c r="V181" s="5" t="inlineStr"/>
      <c r="W181" s="5" t="inlineStr"/>
      <c r="X181" s="5" t="inlineStr"/>
      <c r="Y181" s="5" t="inlineStr"/>
      <c r="Z181" s="6" t="inlineStr"/>
      <c r="AA181" s="5" t="inlineStr"/>
      <c r="AB181" s="5" t="inlineStr"/>
      <c r="AC181" s="5" t="inlineStr"/>
      <c r="AD181" s="5" t="inlineStr"/>
      <c r="AE181" s="5" t="inlineStr"/>
      <c r="AF181" s="5" t="inlineStr"/>
      <c r="AG181" s="5" t="inlineStr"/>
      <c r="AH181" s="5" t="inlineStr"/>
    </row>
    <row r="182">
      <c r="A182" s="5" t="inlineStr">
        <is>
          <t>b4-ilk-telefon</t>
        </is>
      </c>
      <c r="B182" s="5" t="n">
        <v>2</v>
      </c>
      <c r="C182" s="6" t="inlineStr">
        <is>
          <t>Ekran süresini pazarlık et</t>
        </is>
      </c>
      <c r="D182" s="5" t="inlineStr">
        <is>
          <t>Çene</t>
        </is>
      </c>
      <c r="E182" s="5" t="inlineStr">
        <is>
          <t>Orta</t>
        </is>
      </c>
      <c r="F182" s="5" t="inlineStr"/>
      <c r="G182" s="6" t="inlineStr"/>
      <c r="H182" s="6" t="inlineStr">
        <is>
          <t>Günlük süre bir buçuk saate çıktı. Hafta sonu için ek protokol imzalandı.</t>
        </is>
      </c>
      <c r="I182" s="6" t="inlineStr">
        <is>
          <t>Hafta içi iki saat, hafta sonu serbest, bayramlarda genel af. Ailen metni okumadan onayladı.</t>
        </is>
      </c>
      <c r="J182" s="6" t="inlineStr">
        <is>
          <t>'Hafta sonu bakarız' denildi. Hafta sonu bakılmadı.</t>
        </is>
      </c>
      <c r="K182" s="6" t="inlineStr">
        <is>
          <t>Pazarlık uzadı; telefon 'soğuma süresi' adıyla bir haftalığına dolaba kaldırıldı. Dolap kilitli.</t>
        </is>
      </c>
      <c r="L182" s="6" t="inlineStr"/>
      <c r="M182" s="5" t="inlineStr"/>
      <c r="N182" s="5" t="inlineStr"/>
      <c r="O182" s="6" t="inlineStr"/>
      <c r="P182" s="6" t="inlineStr"/>
      <c r="Q182" s="5" t="inlineStr"/>
      <c r="R182" s="5" t="inlineStr"/>
      <c r="S182" s="5" t="inlineStr"/>
      <c r="T182" s="5" t="inlineStr"/>
      <c r="U182" s="5" t="inlineStr"/>
      <c r="V182" s="5" t="inlineStr"/>
      <c r="W182" s="5" t="inlineStr"/>
      <c r="X182" s="5" t="inlineStr"/>
      <c r="Y182" s="5" t="inlineStr"/>
      <c r="Z182" s="6" t="inlineStr"/>
      <c r="AA182" s="5" t="inlineStr"/>
      <c r="AB182" s="5" t="inlineStr"/>
      <c r="AC182" s="5" t="inlineStr"/>
      <c r="AD182" s="5" t="inlineStr"/>
      <c r="AE182" s="5" t="inlineStr"/>
      <c r="AF182" s="5" t="inlineStr"/>
      <c r="AG182" s="5" t="inlineStr"/>
      <c r="AH182" s="5" t="inlineStr"/>
    </row>
    <row r="183">
      <c r="A183" s="5" t="inlineStr">
        <is>
          <t>b4-ilk-telefon</t>
        </is>
      </c>
      <c r="B183" s="5" t="n">
        <v>3</v>
      </c>
      <c r="C183" s="6" t="inlineStr">
        <is>
          <t>Denetim şifresini çöz</t>
        </is>
      </c>
      <c r="D183" s="5" t="inlineStr">
        <is>
          <t>Kurnazlık</t>
        </is>
      </c>
      <c r="E183" s="5" t="inlineStr">
        <is>
          <t>Zor</t>
        </is>
      </c>
      <c r="F183" s="5" t="inlineStr"/>
      <c r="G183" s="6" t="inlineStr"/>
      <c r="H183" s="6" t="inlineStr">
        <is>
          <t>Denetim uygulaması hâlâ çalışıyor. Sadece artık senin için çalışıyor.</t>
        </is>
      </c>
      <c r="I183" s="6" t="inlineStr">
        <is>
          <t>Ailene her akşam 'Bugün 3 saat kitap okundu' raporu gidiyor. Ailen seninle gurur duyuyor. Evde kitap yok.</t>
        </is>
      </c>
      <c r="J183" s="6" t="inlineStr">
        <is>
          <t>Üç yanlış deneme. Telefon 'Bir yetişkinden izin iste' ekranında donup kaldı.</t>
        </is>
      </c>
      <c r="K183" s="6" t="inlineStr">
        <is>
          <t>Yanlış şifreyi o kadar çok denedin ki bütün aile cihazlarına 'Çocuğunuz denetimi aşmaya çalışıyor' bildirimi gitti. Babaanneninkine de.</t>
        </is>
      </c>
      <c r="L183" s="6" t="inlineStr"/>
      <c r="M183" s="5" t="inlineStr"/>
      <c r="N183" s="5" t="inlineStr"/>
      <c r="O183" s="6" t="inlineStr"/>
      <c r="P183" s="6" t="inlineStr"/>
      <c r="Q183" s="5" t="inlineStr"/>
      <c r="R183" s="5" t="inlineStr"/>
      <c r="S183" s="5" t="inlineStr">
        <is>
          <t>Kurnazlık</t>
        </is>
      </c>
      <c r="T183" s="5" t="inlineStr">
        <is>
          <t>Ekran Yerlisi</t>
        </is>
      </c>
      <c r="U183" s="5" t="inlineStr"/>
      <c r="V183" s="5" t="inlineStr"/>
      <c r="W183" s="5" t="inlineStr"/>
      <c r="X183" s="5" t="inlineStr"/>
      <c r="Y183" s="5" t="inlineStr"/>
      <c r="Z183" s="6" t="inlineStr"/>
      <c r="AA183" s="5" t="inlineStr"/>
      <c r="AB183" s="5" t="inlineStr"/>
      <c r="AC183" s="5" t="inlineStr"/>
      <c r="AD183" s="5" t="inlineStr"/>
      <c r="AE183" s="5" t="inlineStr"/>
      <c r="AF183" s="5" t="inlineStr"/>
      <c r="AG183" s="5" t="inlineStr"/>
      <c r="AH183" s="5" t="inlineStr"/>
    </row>
    <row r="184">
      <c r="A184" s="5" t="inlineStr">
        <is>
          <t>b4-ilk-telefon</t>
        </is>
      </c>
      <c r="B184" s="5" t="n">
        <v>4</v>
      </c>
      <c r="C184" s="6" t="inlineStr">
        <is>
          <t>Dedenin telefonunu da kur</t>
        </is>
      </c>
      <c r="D184" s="5" t="inlineStr">
        <is>
          <t>Akıl</t>
        </is>
      </c>
      <c r="E184" s="5" t="inlineStr">
        <is>
          <t>Kolay</t>
        </is>
      </c>
      <c r="F184" s="5" t="inlineStr"/>
      <c r="G184" s="6" t="inlineStr"/>
      <c r="H184" s="6" t="inlineStr">
        <is>
          <t>Dedenin telefonunu da kurdun. Ailenin yeni bilgi işlem müdürü sensin. Maaş yok.</t>
        </is>
      </c>
      <c r="I184" s="6" t="inlineStr">
        <is>
          <t>Dedeye yazıyı büyütmeyi öğrettin; dede sana ek harçlık tanımladı. Dijital dönüşüm kârlı çıktı.</t>
        </is>
      </c>
      <c r="J184" s="6" t="inlineStr">
        <is>
          <t>Dedenin telefonunda her şeyi ayarladın. Dede ertesi sabah hepsini sildi.</t>
        </is>
      </c>
      <c r="K184" s="6" t="inlineStr">
        <is>
          <t>Yanlış bir yere bastın; dede artık her mesajı sesli gönderiyor. Her birini. Sabah altıda.</t>
        </is>
      </c>
      <c r="L184" s="6" t="inlineStr"/>
      <c r="M184" s="5" t="inlineStr"/>
      <c r="N184" s="5" t="inlineStr"/>
      <c r="O184" s="6" t="inlineStr"/>
      <c r="P184" s="6" t="inlineStr"/>
      <c r="Q184" s="5" t="inlineStr">
        <is>
          <t>Teknoloji Merakı</t>
        </is>
      </c>
      <c r="R184" s="5" t="inlineStr"/>
      <c r="S184" s="5" t="inlineStr"/>
      <c r="T184" s="5" t="inlineStr"/>
      <c r="U184" s="5" t="inlineStr"/>
      <c r="V184" s="5" t="inlineStr"/>
      <c r="W184" s="5" t="inlineStr"/>
      <c r="X184" s="5" t="inlineStr"/>
      <c r="Y184" s="5" t="inlineStr"/>
      <c r="Z184" s="6" t="inlineStr"/>
      <c r="AA184" s="5" t="inlineStr"/>
      <c r="AB184" s="5" t="inlineStr"/>
      <c r="AC184" s="5" t="inlineStr"/>
      <c r="AD184" s="5" t="inlineStr"/>
      <c r="AE184" s="5" t="inlineStr"/>
      <c r="AF184" s="5" t="inlineStr"/>
      <c r="AG184" s="5" t="inlineStr"/>
      <c r="AH184" s="5" t="inlineStr"/>
    </row>
    <row r="185">
      <c r="A185" s="5" t="inlineStr">
        <is>
          <t>b4-aile-grubu</t>
        </is>
      </c>
      <c r="B185" s="5" t="n">
        <v>1</v>
      </c>
      <c r="C185" s="6" t="inlineStr">
        <is>
          <t>Grubu sessize al</t>
        </is>
      </c>
      <c r="D185" s="5" t="inlineStr"/>
      <c r="E185" s="5" t="inlineStr"/>
      <c r="F185" s="5" t="inlineStr">
        <is>
          <t>Kurnazlık +1</t>
        </is>
      </c>
      <c r="G185" s="6" t="inlineStr">
        <is>
          <t>Grubu bir yıllığına sessize aldın. Grup bunu fark etmedi. Sen de grubun ne dediğini.</t>
        </is>
      </c>
      <c r="H185" s="6" t="inlineStr"/>
      <c r="I185" s="6" t="inlineStr"/>
      <c r="J185" s="6" t="inlineStr"/>
      <c r="K185" s="6" t="inlineStr"/>
      <c r="L185" s="6" t="inlineStr"/>
      <c r="M185" s="5" t="inlineStr"/>
      <c r="N185" s="5" t="inlineStr"/>
      <c r="O185" s="6" t="inlineStr"/>
      <c r="P185" s="6" t="inlineStr"/>
      <c r="Q185" s="5" t="inlineStr"/>
      <c r="R185" s="5" t="inlineStr"/>
      <c r="S185" s="5" t="inlineStr"/>
      <c r="T185" s="5" t="inlineStr"/>
      <c r="U185" s="5" t="inlineStr"/>
      <c r="V185" s="5" t="inlineStr"/>
      <c r="W185" s="5" t="inlineStr"/>
      <c r="X185" s="5" t="inlineStr"/>
      <c r="Y185" s="5" t="inlineStr"/>
      <c r="Z185" s="6" t="inlineStr"/>
      <c r="AA185" s="5" t="inlineStr"/>
      <c r="AB185" s="5" t="inlineStr"/>
      <c r="AC185" s="5" t="inlineStr"/>
      <c r="AD185" s="5" t="inlineStr"/>
      <c r="AE185" s="5" t="inlineStr"/>
      <c r="AF185" s="5" t="inlineStr"/>
      <c r="AG185" s="5" t="inlineStr"/>
      <c r="AH185" s="5" t="inlineStr"/>
    </row>
    <row r="186">
      <c r="A186" s="5" t="inlineStr">
        <is>
          <t>b4-aile-grubu</t>
        </is>
      </c>
      <c r="B186" s="5" t="n">
        <v>2</v>
      </c>
      <c r="C186" s="6" t="inlineStr">
        <is>
          <t>Herkese günaydın yaz</t>
        </is>
      </c>
      <c r="D186" s="5" t="inlineStr">
        <is>
          <t>Çene</t>
        </is>
      </c>
      <c r="E186" s="5" t="inlineStr">
        <is>
          <t>Kolay</t>
        </is>
      </c>
      <c r="F186" s="5" t="inlineStr"/>
      <c r="G186" s="6" t="inlineStr"/>
      <c r="H186" s="6" t="inlineStr">
        <is>
          <t>Günaydın yazdın. Dokuz teyze kalp bıraktı. Aile içi onay oranın tavan.</t>
        </is>
      </c>
      <c r="I186" s="6" t="inlineStr">
        <is>
          <t>Günaydını çiçekli görselle attın; babaanne onu alıp başka bir aile grubuna iletti. Artık iki grupta ünlüsün.</t>
        </is>
      </c>
      <c r="J186" s="6" t="inlineStr">
        <is>
          <t>Günaydın yazdın. Saat 11.40'tı. Grup bunu not etti.</t>
        </is>
      </c>
      <c r="K186" s="6" t="inlineStr">
        <is>
          <t>Otomatik düzeltme 'Günaydın'ı 'Gün bitti' yaptı. Üç akraba seni ayrı ayrı aradı.</t>
        </is>
      </c>
      <c r="L186" s="6" t="inlineStr"/>
      <c r="M186" s="5" t="inlineStr"/>
      <c r="N186" s="5" t="inlineStr"/>
      <c r="O186" s="6" t="inlineStr"/>
      <c r="P186" s="6" t="inlineStr"/>
      <c r="Q186" s="5" t="inlineStr"/>
      <c r="R186" s="5" t="inlineStr"/>
      <c r="S186" s="5" t="inlineStr"/>
      <c r="T186" s="5" t="inlineStr"/>
      <c r="U186" s="5" t="inlineStr"/>
      <c r="V186" s="5" t="inlineStr"/>
      <c r="W186" s="5" t="inlineStr"/>
      <c r="X186" s="5" t="inlineStr"/>
      <c r="Y186" s="5" t="inlineStr"/>
      <c r="Z186" s="6" t="inlineStr"/>
      <c r="AA186" s="5" t="inlineStr"/>
      <c r="AB186" s="5" t="inlineStr"/>
      <c r="AC186" s="5" t="inlineStr"/>
      <c r="AD186" s="5" t="inlineStr"/>
      <c r="AE186" s="5" t="inlineStr"/>
      <c r="AF186" s="5" t="inlineStr"/>
      <c r="AG186" s="5" t="inlineStr"/>
      <c r="AH186" s="5" t="inlineStr"/>
    </row>
    <row r="187">
      <c r="A187" s="5" t="inlineStr">
        <is>
          <t>b4-aile-grubu</t>
        </is>
      </c>
      <c r="B187" s="5" t="n">
        <v>3</v>
      </c>
      <c r="C187" s="6" t="inlineStr">
        <is>
          <t>Grubun adını değiştir</t>
        </is>
      </c>
      <c r="D187" s="5" t="inlineStr">
        <is>
          <t>Pişkinlik</t>
        </is>
      </c>
      <c r="E187" s="5" t="inlineStr">
        <is>
          <t>Orta</t>
        </is>
      </c>
      <c r="F187" s="5" t="inlineStr"/>
      <c r="G187" s="6" t="inlineStr"/>
      <c r="H187" s="6" t="inlineStr">
        <is>
          <t>Grubun adı artık 'Aile Meclisi'. Kimse geri değiştiremiyor, çünkü kimse nasıl yapıldığını bilmiyor.</t>
        </is>
      </c>
      <c r="I187" s="6" t="inlineStr">
        <is>
          <t>Adı değiştirdin, kendini de yönetici yaptın. Aile içi yetki devri sessizce gerçekleşti.</t>
        </is>
      </c>
      <c r="J187" s="6" t="inlineStr">
        <is>
          <t>Halan on dakika içinde eski adı geri getirdi ve 'Bu kimin işi?' yazdı.</t>
        </is>
      </c>
      <c r="K187" s="6" t="inlineStr">
        <is>
          <t>Adı değiştirecekken gruptan çıktın. Aile bunu resmî bir tavır olarak kayda geçirdi.</t>
        </is>
      </c>
      <c r="L187" s="6" t="inlineStr"/>
      <c r="M187" s="5" t="inlineStr"/>
      <c r="N187" s="5" t="inlineStr"/>
      <c r="O187" s="6" t="inlineStr"/>
      <c r="P187" s="6" t="inlineStr"/>
      <c r="Q187" s="5" t="inlineStr"/>
      <c r="R187" s="5" t="inlineStr"/>
      <c r="S187" s="5" t="inlineStr"/>
      <c r="T187" s="5" t="inlineStr"/>
      <c r="U187" s="5" t="inlineStr"/>
      <c r="V187" s="5" t="inlineStr"/>
      <c r="W187" s="5" t="inlineStr"/>
      <c r="X187" s="5" t="inlineStr"/>
      <c r="Y187" s="5" t="inlineStr"/>
      <c r="Z187" s="6" t="inlineStr"/>
      <c r="AA187" s="5" t="inlineStr"/>
      <c r="AB187" s="5" t="inlineStr"/>
      <c r="AC187" s="5" t="inlineStr"/>
      <c r="AD187" s="5" t="inlineStr"/>
      <c r="AE187" s="5" t="inlineStr"/>
      <c r="AF187" s="5" t="inlineStr"/>
      <c r="AG187" s="5" t="inlineStr"/>
      <c r="AH187" s="5" t="inlineStr"/>
    </row>
    <row r="188">
      <c r="A188" s="5" t="inlineStr">
        <is>
          <t>b4-oyun-faturasi</t>
        </is>
      </c>
      <c r="B188" s="5" t="n">
        <v>1</v>
      </c>
      <c r="C188" s="6" t="inlineStr">
        <is>
          <t>Kılıçsız devam et</t>
        </is>
      </c>
      <c r="D188" s="5" t="inlineStr"/>
      <c r="E188" s="5" t="inlineStr"/>
      <c r="F188" s="5" t="inlineStr">
        <is>
          <t>Dayanıklılık +1</t>
        </is>
      </c>
      <c r="G188" s="6" t="inlineStr">
        <is>
          <t>Kılıçsız savaştın. Oyun seni 'ücretsiz oyuncu' olarak etiketledi. Toplum da ileride aynısını yapacak.</t>
        </is>
      </c>
      <c r="H188" s="6" t="inlineStr"/>
      <c r="I188" s="6" t="inlineStr"/>
      <c r="J188" s="6" t="inlineStr"/>
      <c r="K188" s="6" t="inlineStr"/>
      <c r="L188" s="6" t="inlineStr"/>
      <c r="M188" s="5" t="inlineStr"/>
      <c r="N188" s="5" t="inlineStr"/>
      <c r="O188" s="6" t="inlineStr"/>
      <c r="P188" s="6" t="inlineStr"/>
      <c r="Q188" s="5" t="inlineStr"/>
      <c r="R188" s="5" t="inlineStr"/>
      <c r="S188" s="5" t="inlineStr"/>
      <c r="T188" s="5" t="inlineStr"/>
      <c r="U188" s="5" t="inlineStr"/>
      <c r="V188" s="5" t="inlineStr"/>
      <c r="W188" s="5" t="inlineStr"/>
      <c r="X188" s="5" t="inlineStr"/>
      <c r="Y188" s="5" t="inlineStr"/>
      <c r="Z188" s="6" t="inlineStr"/>
      <c r="AA188" s="5" t="inlineStr"/>
      <c r="AB188" s="5" t="inlineStr"/>
      <c r="AC188" s="5" t="inlineStr"/>
      <c r="AD188" s="5" t="inlineStr"/>
      <c r="AE188" s="5" t="inlineStr"/>
      <c r="AF188" s="5" t="inlineStr"/>
      <c r="AG188" s="5" t="inlineStr"/>
      <c r="AH188" s="5" t="inlineStr"/>
    </row>
    <row r="189">
      <c r="A189" s="5" t="inlineStr">
        <is>
          <t>b4-oyun-faturasi</t>
        </is>
      </c>
      <c r="B189" s="5" t="n">
        <v>2</v>
      </c>
      <c r="C189" s="6" t="inlineStr">
        <is>
          <t>Ailenden izin iste</t>
        </is>
      </c>
      <c r="D189" s="5" t="inlineStr">
        <is>
          <t>Çene</t>
        </is>
      </c>
      <c r="E189" s="5" t="inlineStr">
        <is>
          <t>Orta</t>
        </is>
      </c>
      <c r="F189" s="5" t="inlineStr"/>
      <c r="G189" s="6" t="inlineStr"/>
      <c r="H189" s="6" t="inlineStr">
        <is>
          <t>'Tek seferlik' diye sunum yaptın. İzin çıktı.</t>
        </is>
      </c>
      <c r="I189" s="6" t="inlineStr">
        <is>
          <t>Kılıcın 'eğitim amaçlı' olduğunu anlattın. Kılıçla birlikte bir kalkan da onaylandı.</t>
        </is>
      </c>
      <c r="J189" s="6" t="inlineStr">
        <is>
          <t>'Gerçek bir kılıç mı?' diye sordu annen. Konu teknik açıklamada boğuldu.</t>
        </is>
      </c>
      <c r="K189" s="6" t="inlineStr">
        <is>
          <t>İzin istedin; annen hesap dökümünü açtı ve önceki üç 'küçük' alımı buldu. Sen de şaşırdın.</t>
        </is>
      </c>
      <c r="L189" s="6" t="inlineStr"/>
      <c r="M189" s="5" t="inlineStr"/>
      <c r="N189" s="5" t="inlineStr"/>
      <c r="O189" s="6" t="inlineStr"/>
      <c r="P189" s="6" t="inlineStr"/>
      <c r="Q189" s="5" t="inlineStr"/>
      <c r="R189" s="5" t="inlineStr"/>
      <c r="S189" s="5" t="inlineStr"/>
      <c r="T189" s="5" t="inlineStr"/>
      <c r="U189" s="5" t="inlineStr"/>
      <c r="V189" s="5" t="inlineStr"/>
      <c r="W189" s="5" t="inlineStr"/>
      <c r="X189" s="5" t="inlineStr"/>
      <c r="Y189" s="5" t="inlineStr"/>
      <c r="Z189" s="6" t="inlineStr"/>
      <c r="AA189" s="5" t="inlineStr"/>
      <c r="AB189" s="5" t="inlineStr"/>
      <c r="AC189" s="5" t="inlineStr"/>
      <c r="AD189" s="5" t="inlineStr"/>
      <c r="AE189" s="5" t="inlineStr"/>
      <c r="AF189" s="5" t="inlineStr"/>
      <c r="AG189" s="5" t="inlineStr"/>
      <c r="AH189" s="5" t="inlineStr"/>
    </row>
    <row r="190">
      <c r="A190" s="5" t="inlineStr">
        <is>
          <t>b4-oyun-faturasi</t>
        </is>
      </c>
      <c r="B190" s="5" t="n">
        <v>3</v>
      </c>
      <c r="C190" s="6" t="inlineStr">
        <is>
          <t>Harçlıktan öde</t>
        </is>
      </c>
      <c r="D190" s="5" t="inlineStr">
        <is>
          <t>Akıl</t>
        </is>
      </c>
      <c r="E190" s="5" t="inlineStr">
        <is>
          <t>Kolay</t>
        </is>
      </c>
      <c r="F190" s="5" t="inlineStr"/>
      <c r="G190" s="6" t="inlineStr"/>
      <c r="H190" s="6" t="inlineStr">
        <is>
          <t>Yastık altı fonundan ödedin. İlk dijital varlık yatırımın.</t>
        </is>
      </c>
      <c r="I190" s="6" t="inlineStr">
        <is>
          <t>Kılıcı aldın, bir hafta sonra oyun içi pazarda iki katına sattın. Yastık altı dijitalleşti.</t>
        </is>
      </c>
      <c r="J190" s="6" t="inlineStr">
        <is>
          <t>Kılıcı aldın. Ertesi gün güncellemeyle kılıçlar bedava oldu.</t>
        </is>
      </c>
      <c r="K190" s="6" t="inlineStr">
        <is>
          <t>'Otomatik yenile'yi işaretlemişsin. Kılıç her ay yeniden satın alınıyor. Hâlâ.</t>
        </is>
      </c>
      <c r="L190" s="6" t="inlineStr"/>
      <c r="M190" s="5" t="inlineStr"/>
      <c r="N190" s="5" t="inlineStr"/>
      <c r="O190" s="6" t="inlineStr"/>
      <c r="P190" s="6" t="inlineStr"/>
      <c r="Q190" s="5" t="inlineStr">
        <is>
          <t>Yastık Altı Ekonomisti</t>
        </is>
      </c>
      <c r="R190" s="5" t="inlineStr"/>
      <c r="S190" s="5" t="inlineStr"/>
      <c r="T190" s="5" t="inlineStr"/>
      <c r="U190" s="5" t="inlineStr"/>
      <c r="V190" s="5" t="inlineStr"/>
      <c r="W190" s="5" t="inlineStr"/>
      <c r="X190" s="5" t="inlineStr"/>
      <c r="Y190" s="5" t="inlineStr"/>
      <c r="Z190" s="6" t="inlineStr"/>
      <c r="AA190" s="5" t="inlineStr"/>
      <c r="AB190" s="5" t="inlineStr"/>
      <c r="AC190" s="5" t="inlineStr"/>
      <c r="AD190" s="5" t="inlineStr"/>
      <c r="AE190" s="5" t="inlineStr"/>
      <c r="AF190" s="5" t="inlineStr"/>
      <c r="AG190" s="5" t="inlineStr"/>
      <c r="AH190" s="5" t="inlineStr"/>
    </row>
    <row r="191">
      <c r="A191" s="5" t="inlineStr">
        <is>
          <t>b4-oyun-faturasi</t>
        </is>
      </c>
      <c r="B191" s="5" t="n">
        <v>4</v>
      </c>
      <c r="C191" s="6" t="inlineStr">
        <is>
          <t>Annen uyurken parmağını kullan</t>
        </is>
      </c>
      <c r="D191" s="5" t="inlineStr">
        <is>
          <t>Kurnazlık</t>
        </is>
      </c>
      <c r="E191" s="5" t="inlineStr">
        <is>
          <t>Zor</t>
        </is>
      </c>
      <c r="F191" s="5" t="inlineStr"/>
      <c r="G191" s="6" t="inlineStr"/>
      <c r="H191" s="6" t="inlineStr">
        <is>
          <t>Ödeme onaylandı. Annen uykusunda gülümsedi. Kılıç parlıyor.</t>
        </is>
      </c>
      <c r="I191" s="6" t="inlineStr">
        <is>
          <t>Kılıç, kalkan ve bir ejderha. Annen hâlâ uyuyor. Ekstrenin gelmesine yirmi sekiz gün var.</t>
        </is>
      </c>
      <c r="J191" s="6" t="inlineStr">
        <is>
          <t>Annen uyandı. Parmağı da.</t>
        </is>
      </c>
      <c r="K191" s="6" t="inlineStr">
        <is>
          <t>Parmağı sen bastırdın, 'Hepsini al'a da sen bastın. Ay sonu ekstresi aile meclisinde projeksiyonla sunuldu.</t>
        </is>
      </c>
      <c r="L191" s="6" t="inlineStr"/>
      <c r="M191" s="5" t="inlineStr"/>
      <c r="N191" s="5" t="inlineStr"/>
      <c r="O191" s="6" t="inlineStr"/>
      <c r="P191" s="6" t="inlineStr"/>
      <c r="Q191" s="5" t="inlineStr"/>
      <c r="R191" s="5" t="inlineStr"/>
      <c r="S191" s="5" t="inlineStr">
        <is>
          <t>Kurnazlık</t>
        </is>
      </c>
      <c r="T191" s="5" t="inlineStr"/>
      <c r="U191" s="5" t="inlineStr"/>
      <c r="V191" s="5" t="inlineStr"/>
      <c r="W191" s="5" t="inlineStr">
        <is>
          <t>oyun-faturasi</t>
        </is>
      </c>
      <c r="X191" s="5" t="inlineStr"/>
      <c r="Y191" s="5" t="inlineStr"/>
      <c r="Z191" s="6" t="inlineStr"/>
      <c r="AA191" s="5" t="inlineStr"/>
      <c r="AB191" s="5" t="inlineStr"/>
      <c r="AC191" s="5" t="inlineStr"/>
      <c r="AD191" s="5" t="inlineStr"/>
      <c r="AE191" s="5" t="inlineStr"/>
      <c r="AF191" s="5" t="inlineStr"/>
      <c r="AG191" s="5" t="inlineStr"/>
      <c r="AH191" s="5" t="inlineStr"/>
    </row>
    <row r="192">
      <c r="A192" s="5" t="inlineStr">
        <is>
          <t>b4-flut</t>
        </is>
      </c>
      <c r="B192" s="5" t="n">
        <v>1</v>
      </c>
      <c r="C192" s="6" t="inlineStr">
        <is>
          <t>Yalnızca derste çal</t>
        </is>
      </c>
      <c r="D192" s="5" t="inlineStr"/>
      <c r="E192" s="5" t="inlineStr"/>
      <c r="F192" s="5" t="inlineStr">
        <is>
          <t>İtibar +1</t>
        </is>
      </c>
      <c r="G192" s="6" t="inlineStr">
        <is>
          <t>Flüt yalnızca derste çalındı. Evde ömür boyu müzikal bir ateşkes ilan edildi.</t>
        </is>
      </c>
      <c r="H192" s="6" t="inlineStr"/>
      <c r="I192" s="6" t="inlineStr"/>
      <c r="J192" s="6" t="inlineStr"/>
      <c r="K192" s="6" t="inlineStr"/>
      <c r="L192" s="6" t="inlineStr"/>
      <c r="M192" s="5" t="inlineStr"/>
      <c r="N192" s="5" t="inlineStr"/>
      <c r="O192" s="6" t="inlineStr"/>
      <c r="P192" s="6" t="inlineStr"/>
      <c r="Q192" s="5" t="inlineStr"/>
      <c r="R192" s="5" t="inlineStr"/>
      <c r="S192" s="5" t="inlineStr"/>
      <c r="T192" s="5" t="inlineStr"/>
      <c r="U192" s="5" t="inlineStr"/>
      <c r="V192" s="5" t="inlineStr"/>
      <c r="W192" s="5" t="inlineStr"/>
      <c r="X192" s="5" t="inlineStr"/>
      <c r="Y192" s="5" t="inlineStr"/>
      <c r="Z192" s="6" t="inlineStr"/>
      <c r="AA192" s="5" t="inlineStr"/>
      <c r="AB192" s="5" t="inlineStr"/>
      <c r="AC192" s="5" t="inlineStr"/>
      <c r="AD192" s="5" t="inlineStr"/>
      <c r="AE192" s="5" t="inlineStr"/>
      <c r="AF192" s="5" t="inlineStr"/>
      <c r="AG192" s="5" t="inlineStr"/>
      <c r="AH192" s="5" t="inlineStr"/>
    </row>
    <row r="193">
      <c r="A193" s="5" t="inlineStr">
        <is>
          <t>b4-flut</t>
        </is>
      </c>
      <c r="B193" s="5" t="n">
        <v>2</v>
      </c>
      <c r="C193" s="6" t="inlineStr">
        <is>
          <t>Her akşam çalış</t>
        </is>
      </c>
      <c r="D193" s="5" t="inlineStr">
        <is>
          <t>Dayanıklılık</t>
        </is>
      </c>
      <c r="E193" s="5" t="inlineStr">
        <is>
          <t>Orta</t>
        </is>
      </c>
      <c r="F193" s="5" t="inlineStr"/>
      <c r="G193" s="6" t="inlineStr"/>
      <c r="H193" s="6" t="inlineStr">
        <is>
          <t>Üç ayın sonunda bir şarkıyı baştan sona çalabiliyorsun. Komşular da biliyor. Hepsi.</t>
        </is>
      </c>
      <c r="I193" s="6" t="inlineStr">
        <is>
          <t>Okul konserinde solo verdin. Annen ağladı. Sevinçten, büyük ihtimalle.</t>
        </is>
      </c>
      <c r="J193" s="6" t="inlineStr">
        <is>
          <t>Her akşam çaldın; apartman grubunda 'Kaynağı belirsiz ıslık' konulu bir başlık açıldı.</t>
        </is>
      </c>
      <c r="K193" s="6" t="inlineStr">
        <is>
          <t>Her akşam çaldın. Kedi evi terk etmeyi düşündü. Komşu kapıya kulak tıkacı bıraktı. İmzasız.</t>
        </is>
      </c>
      <c r="L193" s="6" t="inlineStr"/>
      <c r="M193" s="5" t="inlineStr"/>
      <c r="N193" s="5" t="inlineStr"/>
      <c r="O193" s="6" t="inlineStr"/>
      <c r="P193" s="6" t="inlineStr"/>
      <c r="Q193" s="5" t="inlineStr"/>
      <c r="R193" s="5" t="inlineStr"/>
      <c r="S193" s="5" t="inlineStr"/>
      <c r="T193" s="5" t="inlineStr"/>
      <c r="U193" s="5" t="inlineStr"/>
      <c r="V193" s="5" t="inlineStr"/>
      <c r="W193" s="5" t="inlineStr"/>
      <c r="X193" s="5" t="inlineStr"/>
      <c r="Y193" s="5" t="inlineStr"/>
      <c r="Z193" s="6" t="inlineStr"/>
      <c r="AA193" s="5" t="inlineStr"/>
      <c r="AB193" s="5" t="inlineStr"/>
      <c r="AC193" s="5" t="inlineStr"/>
      <c r="AD193" s="5" t="inlineStr"/>
      <c r="AE193" s="5" t="inlineStr"/>
      <c r="AF193" s="5" t="inlineStr"/>
      <c r="AG193" s="5" t="inlineStr"/>
      <c r="AH193" s="5" t="inlineStr"/>
    </row>
    <row r="194">
      <c r="A194" s="5" t="inlineStr">
        <is>
          <t>b4-flut</t>
        </is>
      </c>
      <c r="B194" s="5" t="n">
        <v>3</v>
      </c>
      <c r="C194" s="6" t="inlineStr">
        <is>
          <t>Flütü 'kaybet'</t>
        </is>
      </c>
      <c r="D194" s="5" t="inlineStr">
        <is>
          <t>Kurnazlık</t>
        </is>
      </c>
      <c r="E194" s="5" t="inlineStr">
        <is>
          <t>Orta</t>
        </is>
      </c>
      <c r="F194" s="5" t="inlineStr"/>
      <c r="G194" s="6" t="inlineStr"/>
      <c r="H194" s="6" t="inlineStr">
        <is>
          <t>Flüt kayboldu. Öğretmen sana ritim tahtası verdi. Daha kötü müydü, emin değilsin.</t>
        </is>
      </c>
      <c r="I194" s="6" t="inlineStr">
        <is>
          <t>Flüt kayboldu, yenisi alınamadı, sen derste nota yazımından tam not aldın. Kayıp, fırsata dönüştü.</t>
        </is>
      </c>
      <c r="J194" s="6" t="inlineStr">
        <is>
          <t>Flüt kayboldu. Babaanne yenisini aldı. İki flütün var.</t>
        </is>
      </c>
      <c r="K194" s="6" t="inlineStr">
        <is>
          <t>Flütü kaybettin; babaanne kanepenin altından buldu ve öğretmene 'Bunu mu arıyordunuz?' diye getirdi.</t>
        </is>
      </c>
      <c r="L194" s="6" t="inlineStr"/>
      <c r="M194" s="5" t="inlineStr"/>
      <c r="N194" s="5" t="inlineStr"/>
      <c r="O194" s="6" t="inlineStr"/>
      <c r="P194" s="6" t="inlineStr"/>
      <c r="Q194" s="5" t="inlineStr"/>
      <c r="R194" s="5" t="inlineStr"/>
      <c r="S194" s="5" t="inlineStr"/>
      <c r="T194" s="5" t="inlineStr"/>
      <c r="U194" s="5" t="inlineStr"/>
      <c r="V194" s="5" t="inlineStr"/>
      <c r="W194" s="5" t="inlineStr">
        <is>
          <t>yalanci</t>
        </is>
      </c>
      <c r="X194" s="5" t="inlineStr"/>
      <c r="Y194" s="5" t="inlineStr"/>
      <c r="Z194" s="6" t="inlineStr"/>
      <c r="AA194" s="5" t="inlineStr"/>
      <c r="AB194" s="5" t="inlineStr"/>
      <c r="AC194" s="5" t="inlineStr"/>
      <c r="AD194" s="5" t="inlineStr"/>
      <c r="AE194" s="5" t="inlineStr"/>
      <c r="AF194" s="5" t="inlineStr"/>
      <c r="AG194" s="5" t="inlineStr"/>
      <c r="AH194" s="5" t="inlineStr"/>
    </row>
    <row r="195">
      <c r="A195" s="5" t="inlineStr">
        <is>
          <t>b4-flut</t>
        </is>
      </c>
      <c r="B195" s="5" t="n">
        <v>4</v>
      </c>
      <c r="C195" s="6" t="inlineStr">
        <is>
          <t>Okul gösterisinde solo iste</t>
        </is>
      </c>
      <c r="D195" s="5" t="inlineStr">
        <is>
          <t>Pişkinlik</t>
        </is>
      </c>
      <c r="E195" s="5" t="inlineStr">
        <is>
          <t>Zor</t>
        </is>
      </c>
      <c r="F195" s="5" t="inlineStr"/>
      <c r="G195" s="6" t="inlineStr"/>
      <c r="H195" s="6" t="inlineStr">
        <is>
          <t>Solo verildi. Sahnede üç nota, üç alkış. Oran bire bir.</t>
        </is>
      </c>
      <c r="I195" s="6" t="inlineStr">
        <is>
          <t>Solon o kadar iyi geçti ki okulun bütün törenleri artık seninle açılıyor.</t>
        </is>
      </c>
      <c r="J195" s="6" t="inlineStr">
        <is>
          <t>Solo istedin; öğretmen seni 'ikinci flüt' yaptı. İkinci flüt yok. Sensin.</t>
        </is>
      </c>
      <c r="K195" s="6" t="inlineStr">
        <is>
          <t>Solonun ortasında flütten ıslık yerine hıçkırık sesi çıktı. Salon güldü, sonra alkışladı. Lakap: 'Hıçkırık'.</t>
        </is>
      </c>
      <c r="L195" s="6" t="inlineStr"/>
      <c r="M195" s="5" t="inlineStr"/>
      <c r="N195" s="5" t="inlineStr"/>
      <c r="O195" s="6" t="inlineStr"/>
      <c r="P195" s="6" t="inlineStr"/>
      <c r="Q195" s="5" t="inlineStr">
        <is>
          <t>Sahne Sever</t>
        </is>
      </c>
      <c r="R195" s="5" t="inlineStr"/>
      <c r="S195" s="5" t="inlineStr"/>
      <c r="T195" s="5" t="inlineStr"/>
      <c r="U195" s="5" t="inlineStr"/>
      <c r="V195" s="5" t="inlineStr"/>
      <c r="W195" s="5" t="inlineStr">
        <is>
          <t>lakapli</t>
        </is>
      </c>
      <c r="X195" s="5" t="inlineStr"/>
      <c r="Y195" s="5" t="inlineStr"/>
      <c r="Z195" s="6" t="inlineStr"/>
      <c r="AA195" s="5" t="inlineStr"/>
      <c r="AB195" s="5" t="inlineStr"/>
      <c r="AC195" s="5" t="inlineStr"/>
      <c r="AD195" s="5" t="inlineStr"/>
      <c r="AE195" s="5" t="inlineStr"/>
      <c r="AF195" s="5" t="inlineStr"/>
      <c r="AG195" s="5" t="inlineStr"/>
      <c r="AH195" s="5" t="inlineStr"/>
    </row>
    <row r="196">
      <c r="A196" s="5" t="inlineStr">
        <is>
          <t>b4-sinif-grubu</t>
        </is>
      </c>
      <c r="B196" s="5" t="n">
        <v>1</v>
      </c>
      <c r="C196" s="6" t="inlineStr">
        <is>
          <t>Hiçbir şey yazma</t>
        </is>
      </c>
      <c r="D196" s="5" t="inlineStr"/>
      <c r="E196" s="5" t="inlineStr"/>
      <c r="F196" s="5" t="inlineStr">
        <is>
          <t>Sosyal Radar +1</t>
        </is>
      </c>
      <c r="G196" s="6" t="inlineStr">
        <is>
          <t>Okudun, yazmadın. Grubun en güvenilir üyesi oldun. Güvenilirlik, sessizliğin kurumsal adıdır.</t>
        </is>
      </c>
      <c r="H196" s="6" t="inlineStr"/>
      <c r="I196" s="6" t="inlineStr"/>
      <c r="J196" s="6" t="inlineStr"/>
      <c r="K196" s="6" t="inlineStr"/>
      <c r="L196" s="6" t="inlineStr"/>
      <c r="M196" s="5" t="inlineStr"/>
      <c r="N196" s="5" t="inlineStr"/>
      <c r="O196" s="6" t="inlineStr"/>
      <c r="P196" s="6" t="inlineStr"/>
      <c r="Q196" s="5" t="inlineStr"/>
      <c r="R196" s="5" t="inlineStr"/>
      <c r="S196" s="5" t="inlineStr"/>
      <c r="T196" s="5" t="inlineStr"/>
      <c r="U196" s="5" t="inlineStr"/>
      <c r="V196" s="5" t="inlineStr"/>
      <c r="W196" s="5" t="inlineStr"/>
      <c r="X196" s="5" t="inlineStr"/>
      <c r="Y196" s="5" t="inlineStr"/>
      <c r="Z196" s="6" t="inlineStr"/>
      <c r="AA196" s="5" t="inlineStr"/>
      <c r="AB196" s="5" t="inlineStr"/>
      <c r="AC196" s="5" t="inlineStr"/>
      <c r="AD196" s="5" t="inlineStr"/>
      <c r="AE196" s="5" t="inlineStr"/>
      <c r="AF196" s="5" t="inlineStr"/>
      <c r="AG196" s="5" t="inlineStr"/>
      <c r="AH196" s="5" t="inlineStr"/>
    </row>
    <row r="197">
      <c r="A197" s="5" t="inlineStr">
        <is>
          <t>b4-sinif-grubu</t>
        </is>
      </c>
      <c r="B197" s="5" t="n">
        <v>2</v>
      </c>
      <c r="C197" s="6" t="inlineStr">
        <is>
          <t>Mesajları süz</t>
        </is>
      </c>
      <c r="D197" s="5" t="inlineStr">
        <is>
          <t>Sosyal Radar</t>
        </is>
      </c>
      <c r="E197" s="5" t="inlineStr">
        <is>
          <t>Zor</t>
        </is>
      </c>
      <c r="F197" s="5" t="inlineStr"/>
      <c r="G197" s="6" t="inlineStr"/>
      <c r="H197" s="6" t="inlineStr">
        <is>
          <t>Gönderdiğin her şey işe yaradı, sildiğin her şey silinmeyi hak etti. Grup seni yönetici sanıyor.</t>
        </is>
      </c>
      <c r="I197" s="6" t="inlineStr">
        <is>
          <t>Gecenin tek faydalı mesajlarını sen attın. Öğretmen ertesi gün grubu 'örnek iletişim' diye sınıfa okuttu.</t>
        </is>
      </c>
      <c r="J197" s="6" t="inlineStr">
        <is>
          <t>Doğru mesajları gönderdin, bir tane yanlışı da. Hangisi olduğunu herkes biliyor.</t>
        </is>
      </c>
      <c r="K197" s="6" t="inlineStr">
        <is>
          <t>Öğretmenin hırkası hakkındaki mesaj gitti. Ertesi gün öğretmen o hırkayla derse girdi ve sadece sana baktı.</t>
        </is>
      </c>
      <c r="L197" s="6" t="inlineStr">
        <is>
          <t>Çoğunu doğru ayırdın. Bir mesaj 'Bu mesaj silindi' olarak kaldı; en çok o konuşuldu.</t>
        </is>
      </c>
      <c r="M197" s="5" t="inlineStr">
        <is>
          <t>swipe</t>
        </is>
      </c>
      <c r="N197" s="5" t="inlineStr">
        <is>
          <t>Gönder ya da Sil</t>
        </is>
      </c>
      <c r="O197" s="6" t="inlineStr">
        <is>
          <t>Kartları hızla ayır: işe yarayanı gönder, pişman olacağını sil.</t>
        </is>
      </c>
      <c r="P197" s="6" t="inlineStr">
        <is>
          <t>{"left": "Sil", "right": "Gönder", "items": [{"t": "Yarın sınav var mı?", "right": true}, {"t": "Öğretmen yine aynı hırkayı giymiş", "right": false}, {"t": "Ödev sayfa kaç?", "right": true}, {"t": "Bence arka sıradaki, ön sıradakinden hoşlanıyor", "right": false}, {"t": "Doğum günün kutlu olsun!", "right": true}, {"t": "Bu grupta öğretmenin kızı yok, değil mi?", "right": false}, {"t": "Beden eğitimi kıyafeti lazım mı?", "right": true}, {"t": "Sesli mesaj (4 dakika, ağlıyorsun)", "right": false}]}</t>
        </is>
      </c>
      <c r="Q197" s="5" t="inlineStr"/>
      <c r="R197" s="5" t="inlineStr"/>
      <c r="S197" s="5" t="inlineStr"/>
      <c r="T197" s="5" t="inlineStr">
        <is>
          <t>Grup Diplomatı</t>
        </is>
      </c>
      <c r="U197" s="5" t="inlineStr"/>
      <c r="V197" s="5" t="inlineStr"/>
      <c r="W197" s="5" t="inlineStr"/>
      <c r="X197" s="5" t="inlineStr"/>
      <c r="Y197" s="5" t="inlineStr"/>
      <c r="Z197" s="6" t="inlineStr"/>
      <c r="AA197" s="5" t="inlineStr"/>
      <c r="AB197" s="5" t="inlineStr"/>
      <c r="AC197" s="5" t="inlineStr"/>
      <c r="AD197" s="5" t="inlineStr"/>
      <c r="AE197" s="5" t="inlineStr"/>
      <c r="AF197" s="5" t="inlineStr"/>
      <c r="AG197" s="5" t="inlineStr"/>
      <c r="AH197" s="5" t="inlineStr"/>
    </row>
    <row r="198">
      <c r="A198" s="5" t="inlineStr">
        <is>
          <t>b4-sinif-grubu</t>
        </is>
      </c>
      <c r="B198" s="5" t="n">
        <v>3</v>
      </c>
      <c r="C198" s="6" t="inlineStr">
        <is>
          <t>Dram başlat</t>
        </is>
      </c>
      <c r="D198" s="5" t="inlineStr">
        <is>
          <t>Pişkinlik</t>
        </is>
      </c>
      <c r="E198" s="5" t="inlineStr">
        <is>
          <t>Orta</t>
        </is>
      </c>
      <c r="F198" s="5" t="inlineStr"/>
      <c r="G198" s="6" t="inlineStr"/>
      <c r="H198" s="6" t="inlineStr">
        <is>
          <t>'Burada konuşulanlar dışarı taşınıyor' yazdın. Grup iki saat boyunca kendini denetledi.</t>
        </is>
      </c>
      <c r="I198" s="6" t="inlineStr">
        <is>
          <t>Taraflar oluştu, sen arabulucu ilan edildin. Kriz yönetiminde erken deneyim.</t>
        </is>
      </c>
      <c r="J198" s="6" t="inlineStr">
        <is>
          <t>Dram başlattın; kimse katılmadı. Mesajın okundu ve orada öylece kaldı.</t>
        </is>
      </c>
      <c r="K198" s="6" t="inlineStr">
        <is>
          <t>Bütün grup sana döndü. Ertesi gün 'Asıl Sınıf Grubu' diye yeni bir grup kuruldu. Sen yoksun.</t>
        </is>
      </c>
      <c r="L198" s="6" t="inlineStr"/>
      <c r="M198" s="5" t="inlineStr"/>
      <c r="N198" s="5" t="inlineStr"/>
      <c r="O198" s="6" t="inlineStr"/>
      <c r="P198" s="6" t="inlineStr"/>
      <c r="Q198" s="5" t="inlineStr"/>
      <c r="R198" s="5" t="inlineStr"/>
      <c r="S198" s="5" t="inlineStr"/>
      <c r="T198" s="5" t="inlineStr"/>
      <c r="U198" s="5" t="inlineStr"/>
      <c r="V198" s="5" t="inlineStr"/>
      <c r="W198" s="5" t="inlineStr"/>
      <c r="X198" s="5" t="inlineStr"/>
      <c r="Y198" s="5" t="inlineStr"/>
      <c r="Z198" s="6" t="inlineStr"/>
      <c r="AA198" s="5" t="inlineStr"/>
      <c r="AB198" s="5" t="inlineStr"/>
      <c r="AC198" s="5" t="inlineStr"/>
      <c r="AD198" s="5" t="inlineStr"/>
      <c r="AE198" s="5" t="inlineStr"/>
      <c r="AF198" s="5" t="inlineStr"/>
      <c r="AG198" s="5" t="inlineStr"/>
      <c r="AH198" s="5" t="inlineStr"/>
    </row>
    <row r="199">
      <c r="A199" s="5" t="inlineStr">
        <is>
          <t>b4-sinif-grubu</t>
        </is>
      </c>
      <c r="B199" s="5" t="n">
        <v>4</v>
      </c>
      <c r="C199" s="6" t="inlineStr">
        <is>
          <t>Öğretmenin kızını özelden uyar</t>
        </is>
      </c>
      <c r="D199" s="5" t="inlineStr">
        <is>
          <t>Sosyal Radar</t>
        </is>
      </c>
      <c r="E199" s="5" t="inlineStr">
        <is>
          <t>Kolay</t>
        </is>
      </c>
      <c r="F199" s="5" t="inlineStr"/>
      <c r="G199" s="6" t="inlineStr"/>
      <c r="H199" s="6" t="inlineStr">
        <is>
          <t>Özelden 'Bu grubu annene gösterme lütfen' yazdın. Anlaşma sağlandı.</t>
        </is>
      </c>
      <c r="I199" s="6" t="inlineStr">
        <is>
          <t>Gizli bir ateşkes imzaladınız. Karşılığında ödev defterine erişim kazandın.</t>
        </is>
      </c>
      <c r="J199" s="6" t="inlineStr">
        <is>
          <t>Uyardın; o da ekran görüntüsünü annesine 'Bak, uyardılar' diye attı.</t>
        </is>
      </c>
      <c r="K199" s="6" t="inlineStr">
        <is>
          <t>Özelden yazacaktın, gruba yazdın: 'Öğretmenin kızı bu grupta mı?' Otuz sekiz kişi okudu, bir kişi annesine iletti.</t>
        </is>
      </c>
      <c r="L199" s="6" t="inlineStr"/>
      <c r="M199" s="5" t="inlineStr"/>
      <c r="N199" s="5" t="inlineStr"/>
      <c r="O199" s="6" t="inlineStr"/>
      <c r="P199" s="6" t="inlineStr"/>
      <c r="Q199" s="5" t="inlineStr"/>
      <c r="R199" s="5" t="inlineStr"/>
      <c r="S199" s="5" t="inlineStr">
        <is>
          <t>Sosyal Radar</t>
        </is>
      </c>
      <c r="T199" s="5" t="inlineStr"/>
      <c r="U199" s="5" t="inlineStr"/>
      <c r="V199" s="5" t="inlineStr"/>
      <c r="W199" s="5" t="inlineStr"/>
      <c r="X199" s="5" t="inlineStr"/>
      <c r="Y199" s="5" t="inlineStr"/>
      <c r="Z199" s="6" t="inlineStr"/>
      <c r="AA199" s="5" t="inlineStr"/>
      <c r="AB199" s="5" t="inlineStr"/>
      <c r="AC199" s="5" t="inlineStr"/>
      <c r="AD199" s="5" t="inlineStr"/>
      <c r="AE199" s="5" t="inlineStr"/>
      <c r="AF199" s="5" t="inlineStr"/>
      <c r="AG199" s="5" t="inlineStr"/>
      <c r="AH199" s="5" t="inlineStr"/>
    </row>
    <row r="200">
      <c r="A200" s="5" t="inlineStr">
        <is>
          <t>b4-kisa-video</t>
        </is>
      </c>
      <c r="B200" s="5" t="n">
        <v>1</v>
      </c>
      <c r="C200" s="6" t="inlineStr">
        <is>
          <t>İzle, beğen, geç</t>
        </is>
      </c>
      <c r="D200" s="5" t="inlineStr"/>
      <c r="E200" s="5" t="inlineStr"/>
      <c r="F200" s="5" t="inlineStr">
        <is>
          <t>Akıl +1</t>
        </is>
      </c>
      <c r="G200" s="6" t="inlineStr">
        <is>
          <t>Üç saat video izledin. Hiçbirini hatırlamıyorsun. Çağın ruhunu yakaladın.</t>
        </is>
      </c>
      <c r="H200" s="6" t="inlineStr"/>
      <c r="I200" s="6" t="inlineStr"/>
      <c r="J200" s="6" t="inlineStr"/>
      <c r="K200" s="6" t="inlineStr"/>
      <c r="L200" s="6" t="inlineStr"/>
      <c r="M200" s="5" t="inlineStr"/>
      <c r="N200" s="5" t="inlineStr"/>
      <c r="O200" s="6" t="inlineStr"/>
      <c r="P200" s="6" t="inlineStr"/>
      <c r="Q200" s="5" t="inlineStr"/>
      <c r="R200" s="5" t="inlineStr"/>
      <c r="S200" s="5" t="inlineStr"/>
      <c r="T200" s="5" t="inlineStr"/>
      <c r="U200" s="5" t="inlineStr"/>
      <c r="V200" s="5" t="inlineStr"/>
      <c r="W200" s="5" t="inlineStr"/>
      <c r="X200" s="5" t="inlineStr"/>
      <c r="Y200" s="5" t="inlineStr"/>
      <c r="Z200" s="6" t="inlineStr"/>
      <c r="AA200" s="5" t="inlineStr"/>
      <c r="AB200" s="5" t="inlineStr"/>
      <c r="AC200" s="5" t="inlineStr"/>
      <c r="AD200" s="5" t="inlineStr"/>
      <c r="AE200" s="5" t="inlineStr"/>
      <c r="AF200" s="5" t="inlineStr"/>
      <c r="AG200" s="5" t="inlineStr"/>
      <c r="AH200" s="5" t="inlineStr"/>
    </row>
    <row r="201">
      <c r="A201" s="5" t="inlineStr">
        <is>
          <t>b4-kisa-video</t>
        </is>
      </c>
      <c r="B201" s="5" t="n">
        <v>2</v>
      </c>
      <c r="C201" s="6" t="inlineStr">
        <is>
          <t>Dansı çek</t>
        </is>
      </c>
      <c r="D201" s="5" t="inlineStr">
        <is>
          <t>Pişkinlik</t>
        </is>
      </c>
      <c r="E201" s="5" t="inlineStr">
        <is>
          <t>Orta</t>
        </is>
      </c>
      <c r="F201" s="5" t="inlineStr"/>
      <c r="G201" s="6" t="inlineStr"/>
      <c r="H201" s="6" t="inlineStr">
        <is>
          <t>Video 400 kez izlendi. 380'i annen.</t>
        </is>
      </c>
      <c r="I201" s="6" t="inlineStr">
        <is>
          <t>Video başka bir şehre ulaştı; orada bir çocuk seni taklit etti. Artık bir trendin var.</t>
        </is>
      </c>
      <c r="J201" s="6" t="inlineStr">
        <is>
          <t>Dansın ortasında babaannen kadraja girdi, elinde çay. Video onun videosu oldu.</t>
        </is>
      </c>
      <c r="K201" s="6" t="inlineStr">
        <is>
          <t>'Yalnızca ben' diye paylaştığını sandın. 'Herkes' diye paylaşmışsın. Okul, dansı teneffüste sana geri yaptı. Yeni adın: 'Dans'.</t>
        </is>
      </c>
      <c r="L201" s="6" t="inlineStr"/>
      <c r="M201" s="5" t="inlineStr"/>
      <c r="N201" s="5" t="inlineStr"/>
      <c r="O201" s="6" t="inlineStr"/>
      <c r="P201" s="6" t="inlineStr"/>
      <c r="Q201" s="5" t="inlineStr"/>
      <c r="R201" s="5" t="inlineStr"/>
      <c r="S201" s="5" t="inlineStr"/>
      <c r="T201" s="5" t="inlineStr"/>
      <c r="U201" s="5" t="inlineStr"/>
      <c r="V201" s="5" t="inlineStr"/>
      <c r="W201" s="5" t="inlineStr">
        <is>
          <t>lakapli</t>
        </is>
      </c>
      <c r="X201" s="5" t="inlineStr"/>
      <c r="Y201" s="5" t="inlineStr"/>
      <c r="Z201" s="6" t="inlineStr"/>
      <c r="AA201" s="5" t="inlineStr"/>
      <c r="AB201" s="5" t="inlineStr"/>
      <c r="AC201" s="5" t="inlineStr"/>
      <c r="AD201" s="5" t="inlineStr"/>
      <c r="AE201" s="5" t="inlineStr"/>
      <c r="AF201" s="5" t="inlineStr"/>
      <c r="AG201" s="5" t="inlineStr"/>
      <c r="AH201" s="5" t="inlineStr"/>
    </row>
    <row r="202">
      <c r="A202" s="5" t="inlineStr">
        <is>
          <t>b4-kisa-video</t>
        </is>
      </c>
      <c r="B202" s="5" t="n">
        <v>3</v>
      </c>
      <c r="C202" s="6" t="inlineStr">
        <is>
          <t>Trendin parodisini çek</t>
        </is>
      </c>
      <c r="D202" s="5" t="inlineStr">
        <is>
          <t>Kurnazlık</t>
        </is>
      </c>
      <c r="E202" s="5" t="inlineStr">
        <is>
          <t>Orta</t>
        </is>
      </c>
      <c r="F202" s="5" t="inlineStr"/>
      <c r="G202" s="6" t="inlineStr"/>
      <c r="H202" s="6" t="inlineStr">
        <is>
          <t>Dansı kravatla, rapor sunar gibi yaptın. Yorumlar: 'Bu çocuk büyüyünce müdür olur.'</t>
        </is>
      </c>
      <c r="I202" s="6" t="inlineStr">
        <is>
          <t>Parodin asıl trendden çok izlendi. Trendi başlatan çocuk sana özelden 'Neden?' yazdı.</t>
        </is>
      </c>
      <c r="J202" s="6" t="inlineStr">
        <is>
          <t>Parodi anlaşılmadı. Yorumlar: 'Dans güzel ama biraz sert.'</t>
        </is>
      </c>
      <c r="K202" s="6" t="inlineStr">
        <is>
          <t>Parodinin parodisi yapıldı, onun da parodisi. Zincirin en altında, en az izlenen sensin.</t>
        </is>
      </c>
      <c r="L202" s="6" t="inlineStr"/>
      <c r="M202" s="5" t="inlineStr"/>
      <c r="N202" s="5" t="inlineStr"/>
      <c r="O202" s="6" t="inlineStr"/>
      <c r="P202" s="6" t="inlineStr"/>
      <c r="Q202" s="5" t="inlineStr"/>
      <c r="R202" s="5" t="inlineStr"/>
      <c r="S202" s="5" t="inlineStr"/>
      <c r="T202" s="5" t="inlineStr"/>
      <c r="U202" s="5" t="inlineStr"/>
      <c r="V202" s="5" t="inlineStr"/>
      <c r="W202" s="5" t="inlineStr"/>
      <c r="X202" s="5" t="inlineStr"/>
      <c r="Y202" s="5" t="inlineStr"/>
      <c r="Z202" s="6" t="inlineStr"/>
      <c r="AA202" s="5" t="inlineStr"/>
      <c r="AB202" s="5" t="inlineStr"/>
      <c r="AC202" s="5" t="inlineStr"/>
      <c r="AD202" s="5" t="inlineStr"/>
      <c r="AE202" s="5" t="inlineStr"/>
      <c r="AF202" s="5" t="inlineStr"/>
      <c r="AG202" s="5" t="inlineStr"/>
      <c r="AH202" s="5" t="inlineStr"/>
    </row>
    <row r="203">
      <c r="A203" s="5" t="inlineStr">
        <is>
          <t>b4-kisa-video</t>
        </is>
      </c>
      <c r="B203" s="5" t="n">
        <v>4</v>
      </c>
      <c r="C203" s="6" t="inlineStr">
        <is>
          <t>Babaanneyi de çek</t>
        </is>
      </c>
      <c r="D203" s="5" t="inlineStr">
        <is>
          <t>Çene</t>
        </is>
      </c>
      <c r="E203" s="5" t="inlineStr">
        <is>
          <t>Kolay</t>
        </is>
      </c>
      <c r="F203" s="5" t="inlineStr"/>
      <c r="G203" s="6" t="inlineStr"/>
      <c r="H203" s="6" t="inlineStr">
        <is>
          <t>Babaanneye dansı öğrettin. Video ondan çok izlendi; sen menajer oldun.</t>
        </is>
      </c>
      <c r="I203" s="6" t="inlineStr">
        <is>
          <t>Babaannenin videosu bütün aile gruplarında dolaştı. Babaannenin artık hayranları var, senin yüzde onun.</t>
        </is>
      </c>
      <c r="J203" s="6" t="inlineStr">
        <is>
          <t>Babaanne adımları öğrendi ama çekime girmedi. 'Ben bunu akşam dizisinde gördüm' dedi, konu kapandı.</t>
        </is>
      </c>
      <c r="K203" s="6" t="inlineStr">
        <is>
          <t>Babaanne dansı kusursuz yaptı, sen arkada yere düştün. Video o düşüşle ünlendi.</t>
        </is>
      </c>
      <c r="L203" s="6" t="inlineStr"/>
      <c r="M203" s="5" t="inlineStr"/>
      <c r="N203" s="5" t="inlineStr"/>
      <c r="O203" s="6" t="inlineStr"/>
      <c r="P203" s="6" t="inlineStr"/>
      <c r="Q203" s="5" t="inlineStr">
        <is>
          <t>Sahne Sever</t>
        </is>
      </c>
      <c r="R203" s="5" t="inlineStr"/>
      <c r="S203" s="5" t="inlineStr"/>
      <c r="T203" s="5" t="inlineStr"/>
      <c r="U203" s="5" t="inlineStr"/>
      <c r="V203" s="5" t="inlineStr"/>
      <c r="W203" s="5" t="inlineStr"/>
      <c r="X203" s="5" t="inlineStr"/>
      <c r="Y203" s="5" t="inlineStr"/>
      <c r="Z203" s="6" t="inlineStr"/>
      <c r="AA203" s="5" t="inlineStr"/>
      <c r="AB203" s="5" t="inlineStr"/>
      <c r="AC203" s="5" t="inlineStr"/>
      <c r="AD203" s="5" t="inlineStr"/>
      <c r="AE203" s="5" t="inlineStr"/>
      <c r="AF203" s="5" t="inlineStr"/>
      <c r="AG203" s="5" t="inlineStr"/>
      <c r="AH203" s="5" t="inlineStr"/>
    </row>
    <row r="204">
      <c r="A204" s="5" t="inlineStr">
        <is>
          <t>b4-kuzen-kiyaslama</t>
        </is>
      </c>
      <c r="B204" s="5" t="n">
        <v>1</v>
      </c>
      <c r="C204" s="6" t="inlineStr">
        <is>
          <t>Kuzenini tebrik et</t>
        </is>
      </c>
      <c r="D204" s="5" t="inlineStr"/>
      <c r="E204" s="5" t="inlineStr"/>
      <c r="F204" s="5" t="inlineStr">
        <is>
          <t>İtibar +1</t>
        </is>
      </c>
      <c r="G204" s="6" t="inlineStr">
        <is>
          <t>Kuzenini tebrik ettin. Kuzen şaşırdı; bunu ona ilk söyleyen aile üyesi sendin.</t>
        </is>
      </c>
      <c r="H204" s="6" t="inlineStr"/>
      <c r="I204" s="6" t="inlineStr"/>
      <c r="J204" s="6" t="inlineStr"/>
      <c r="K204" s="6" t="inlineStr"/>
      <c r="L204" s="6" t="inlineStr"/>
      <c r="M204" s="5" t="inlineStr"/>
      <c r="N204" s="5" t="inlineStr"/>
      <c r="O204" s="6" t="inlineStr"/>
      <c r="P204" s="6" t="inlineStr"/>
      <c r="Q204" s="5" t="inlineStr"/>
      <c r="R204" s="5" t="inlineStr"/>
      <c r="S204" s="5" t="inlineStr"/>
      <c r="T204" s="5" t="inlineStr"/>
      <c r="U204" s="5" t="inlineStr"/>
      <c r="V204" s="5" t="inlineStr"/>
      <c r="W204" s="5" t="inlineStr"/>
      <c r="X204" s="5" t="inlineStr"/>
      <c r="Y204" s="5" t="inlineStr"/>
      <c r="Z204" s="6" t="inlineStr"/>
      <c r="AA204" s="5" t="inlineStr"/>
      <c r="AB204" s="5" t="inlineStr"/>
      <c r="AC204" s="5" t="inlineStr"/>
      <c r="AD204" s="5" t="inlineStr"/>
      <c r="AE204" s="5" t="inlineStr"/>
      <c r="AF204" s="5" t="inlineStr"/>
      <c r="AG204" s="5" t="inlineStr"/>
      <c r="AH204" s="5" t="inlineStr"/>
    </row>
    <row r="205">
      <c r="A205" s="5" t="inlineStr">
        <is>
          <t>b4-kuzen-kiyaslama</t>
        </is>
      </c>
      <c r="B205" s="5" t="n">
        <v>2</v>
      </c>
      <c r="C205" s="6" t="inlineStr">
        <is>
          <t>Karşı hamle yap</t>
        </is>
      </c>
      <c r="D205" s="5" t="inlineStr">
        <is>
          <t>Çene</t>
        </is>
      </c>
      <c r="E205" s="5" t="inlineStr">
        <is>
          <t>Orta</t>
        </is>
      </c>
      <c r="F205" s="5" t="inlineStr"/>
      <c r="G205" s="6" t="inlineStr"/>
      <c r="H205" s="6" t="inlineStr">
        <is>
          <t>'Ben de bilim fuarına hazırlanıyorum' dedin. Sofranın ekseni sana döndü.</t>
        </is>
      </c>
      <c r="I205" s="6" t="inlineStr">
        <is>
          <t>Başarılarını öyle sundun ki teyzen konuyu değiştirdi ve 'Çay isteyen?' diye kalktı.</t>
        </is>
      </c>
      <c r="J205" s="6" t="inlineStr">
        <is>
          <t>Başarılarını saydın. Bitince teyzen 'Ha, bir de yüzmede ikinci oldu' dedi.</t>
        </is>
      </c>
      <c r="K205" s="6" t="inlineStr">
        <is>
          <t>Karşı hamle olarak piyano çaldığını söyledin. Salonda piyano vardı.</t>
        </is>
      </c>
      <c r="L205" s="6" t="inlineStr"/>
      <c r="M205" s="5" t="inlineStr"/>
      <c r="N205" s="5" t="inlineStr"/>
      <c r="O205" s="6" t="inlineStr"/>
      <c r="P205" s="6" t="inlineStr"/>
      <c r="Q205" s="5" t="inlineStr"/>
      <c r="R205" s="5" t="inlineStr"/>
      <c r="S205" s="5" t="inlineStr"/>
      <c r="T205" s="5" t="inlineStr"/>
      <c r="U205" s="5" t="inlineStr"/>
      <c r="V205" s="5" t="inlineStr"/>
      <c r="W205" s="5" t="inlineStr"/>
      <c r="X205" s="5" t="inlineStr"/>
      <c r="Y205" s="5" t="inlineStr"/>
      <c r="Z205" s="6" t="inlineStr"/>
      <c r="AA205" s="5" t="inlineStr"/>
      <c r="AB205" s="5" t="inlineStr"/>
      <c r="AC205" s="5" t="inlineStr"/>
      <c r="AD205" s="5" t="inlineStr"/>
      <c r="AE205" s="5" t="inlineStr"/>
      <c r="AF205" s="5" t="inlineStr"/>
      <c r="AG205" s="5" t="inlineStr"/>
      <c r="AH205" s="5" t="inlineStr"/>
    </row>
    <row r="206">
      <c r="A206" s="5" t="inlineStr">
        <is>
          <t>b4-kuzen-kiyaslama</t>
        </is>
      </c>
      <c r="B206" s="5" t="n">
        <v>3</v>
      </c>
      <c r="C206" s="6" t="inlineStr">
        <is>
          <t>Kuzenle ittifak kur</t>
        </is>
      </c>
      <c r="D206" s="5" t="inlineStr">
        <is>
          <t>Sosyal Radar</t>
        </is>
      </c>
      <c r="E206" s="5" t="inlineStr">
        <is>
          <t>Zor</t>
        </is>
      </c>
      <c r="F206" s="5" t="inlineStr"/>
      <c r="G206" s="6" t="inlineStr"/>
      <c r="H206" s="6" t="inlineStr">
        <is>
          <t>Balkonda anlaştınız: kimse kimseyi geçmeyecek. Gizli barış imzalandı.</t>
        </is>
      </c>
      <c r="I206" s="6" t="inlineStr">
        <is>
          <t>Ortak açıklama yaptınız: 'İkimiz de ortalama olmak istiyoruz.' Anneler uzun süre konuşmadı.</t>
        </is>
      </c>
      <c r="J206" s="6" t="inlineStr">
        <is>
          <t>İttifak teklif ettin; kuzen bunu da annesine anlattı.</t>
        </is>
      </c>
      <c r="K206" s="6" t="inlineStr">
        <is>
          <t>İttifak kurdunuz; ertesi yıl kuzen yine birinci oldu. Ortalamada yalnız kaldın.</t>
        </is>
      </c>
      <c r="L206" s="6" t="inlineStr"/>
      <c r="M206" s="5" t="inlineStr"/>
      <c r="N206" s="5" t="inlineStr"/>
      <c r="O206" s="6" t="inlineStr"/>
      <c r="P206" s="6" t="inlineStr"/>
      <c r="Q206" s="5" t="inlineStr"/>
      <c r="R206" s="5" t="inlineStr"/>
      <c r="S206" s="5" t="inlineStr"/>
      <c r="T206" s="5" t="inlineStr"/>
      <c r="U206" s="5" t="inlineStr"/>
      <c r="V206" s="5" t="inlineStr"/>
      <c r="W206" s="5" t="inlineStr"/>
      <c r="X206" s="5" t="inlineStr"/>
      <c r="Y206" s="5" t="inlineStr"/>
      <c r="Z206" s="6" t="inlineStr"/>
      <c r="AA206" s="5" t="inlineStr"/>
      <c r="AB206" s="5" t="inlineStr"/>
      <c r="AC206" s="5" t="inlineStr"/>
      <c r="AD206" s="5" t="inlineStr"/>
      <c r="AE206" s="5" t="inlineStr"/>
      <c r="AF206" s="5" t="inlineStr"/>
      <c r="AG206" s="5" t="inlineStr"/>
      <c r="AH206" s="5" t="inlineStr"/>
    </row>
    <row r="207">
      <c r="A207" s="5" t="inlineStr">
        <is>
          <t>b4-kuzen-kiyaslama</t>
        </is>
      </c>
      <c r="B207" s="5" t="n">
        <v>4</v>
      </c>
      <c r="C207" s="6" t="inlineStr">
        <is>
          <t>Başkanlık dönemini hatırlat</t>
        </is>
      </c>
      <c r="D207" s="5" t="inlineStr">
        <is>
          <t>Pişkinlik</t>
        </is>
      </c>
      <c r="E207" s="5" t="inlineStr">
        <is>
          <t>Kolay</t>
        </is>
      </c>
      <c r="F207" s="5" t="inlineStr"/>
      <c r="G207" s="6" t="inlineStr"/>
      <c r="H207" s="6" t="inlineStr">
        <is>
          <t>'Ben seçilmiş bir yöneticiydim' dedin. Sofrada ağır bir sessizlik oldu. Puan sende.</t>
        </is>
      </c>
      <c r="I207" s="6" t="inlineStr">
        <is>
          <t>Başkanlık icraatlarını madde madde saydın. Teyzen kuzenine 'Sen neden aday olmadın?' diye sordu. Taraf değiştirdin.</t>
        </is>
      </c>
      <c r="J207" s="6" t="inlineStr">
        <is>
          <t>Başkanlık dönemini anlattın. Teyzen 'Akvaryum geldi mi?' diye sordu. Gelmemişti.</t>
        </is>
      </c>
      <c r="K207" s="6" t="inlineStr">
        <is>
          <t>Başkanlığı anlatırken kuzenin, seni o seçimde kendisinin yenemeyeceği için aday olmadığını söyledi. Herkes inandı.</t>
        </is>
      </c>
      <c r="L207" s="6" t="inlineStr"/>
      <c r="M207" s="5" t="inlineStr"/>
      <c r="N207" s="5" t="inlineStr"/>
      <c r="O207" s="6" t="inlineStr"/>
      <c r="P207" s="6" t="inlineStr"/>
      <c r="Q207" s="5" t="inlineStr"/>
      <c r="R207" s="5" t="inlineStr">
        <is>
          <t>baskan</t>
        </is>
      </c>
      <c r="S207" s="5" t="inlineStr"/>
      <c r="T207" s="5" t="inlineStr"/>
      <c r="U207" s="5" t="inlineStr"/>
      <c r="V207" s="5" t="inlineStr"/>
      <c r="W207" s="5" t="inlineStr"/>
      <c r="X207" s="5" t="inlineStr"/>
      <c r="Y207" s="5" t="inlineStr"/>
      <c r="Z207" s="6" t="inlineStr"/>
      <c r="AA207" s="5" t="inlineStr"/>
      <c r="AB207" s="5" t="inlineStr"/>
      <c r="AC207" s="5" t="inlineStr"/>
      <c r="AD207" s="5" t="inlineStr"/>
      <c r="AE207" s="5" t="inlineStr"/>
      <c r="AF207" s="5" t="inlineStr"/>
      <c r="AG207" s="5" t="inlineStr"/>
      <c r="AH207" s="5" t="inlineStr"/>
    </row>
    <row r="208">
      <c r="A208" s="5" t="inlineStr">
        <is>
          <t>b4-ekran-suresi</t>
        </is>
      </c>
      <c r="B208" s="5" t="n">
        <v>1</v>
      </c>
      <c r="C208" s="6" t="inlineStr">
        <is>
          <t>İtiraf et</t>
        </is>
      </c>
      <c r="D208" s="5" t="inlineStr"/>
      <c r="E208" s="5" t="inlineStr"/>
      <c r="F208" s="5" t="inlineStr">
        <is>
          <t>İtibar +1</t>
        </is>
      </c>
      <c r="G208" s="6" t="inlineStr">
        <is>
          <t>Hesap makinesinin içinde gizli bir oyun olduğunu itiraf ettin. Ailen etkilendi ve biraz korktu.</t>
        </is>
      </c>
      <c r="H208" s="6" t="inlineStr"/>
      <c r="I208" s="6" t="inlineStr"/>
      <c r="J208" s="6" t="inlineStr"/>
      <c r="K208" s="6" t="inlineStr"/>
      <c r="L208" s="6" t="inlineStr"/>
      <c r="M208" s="5" t="inlineStr"/>
      <c r="N208" s="5" t="inlineStr"/>
      <c r="O208" s="6" t="inlineStr"/>
      <c r="P208" s="6" t="inlineStr"/>
      <c r="Q208" s="5" t="inlineStr"/>
      <c r="R208" s="5" t="inlineStr"/>
      <c r="S208" s="5" t="inlineStr"/>
      <c r="T208" s="5" t="inlineStr"/>
      <c r="U208" s="5" t="inlineStr"/>
      <c r="V208" s="5" t="inlineStr"/>
      <c r="W208" s="5" t="inlineStr"/>
      <c r="X208" s="5" t="inlineStr"/>
      <c r="Y208" s="5" t="inlineStr"/>
      <c r="Z208" s="6" t="inlineStr"/>
      <c r="AA208" s="5" t="inlineStr"/>
      <c r="AB208" s="5" t="inlineStr"/>
      <c r="AC208" s="5" t="inlineStr"/>
      <c r="AD208" s="5" t="inlineStr"/>
      <c r="AE208" s="5" t="inlineStr"/>
      <c r="AF208" s="5" t="inlineStr"/>
      <c r="AG208" s="5" t="inlineStr"/>
      <c r="AH208" s="5" t="inlineStr"/>
    </row>
    <row r="209">
      <c r="A209" s="5" t="inlineStr">
        <is>
          <t>b4-ekran-suresi</t>
        </is>
      </c>
      <c r="B209" s="5" t="n">
        <v>2</v>
      </c>
      <c r="C209" s="6" t="inlineStr">
        <is>
          <t>Matematik çalıştığını söyle</t>
        </is>
      </c>
      <c r="D209" s="5" t="inlineStr">
        <is>
          <t>Pişkinlik</t>
        </is>
      </c>
      <c r="E209" s="5" t="inlineStr">
        <is>
          <t>Zor</t>
        </is>
      </c>
      <c r="F209" s="5" t="inlineStr"/>
      <c r="G209" s="6" t="inlineStr"/>
      <c r="H209" s="6" t="inlineStr">
        <is>
          <t>'Çarpım tablosu' dedin. Ailen raporu gururla aile grubuna attı.</t>
        </is>
      </c>
      <c r="I209" s="6" t="inlineStr">
        <is>
          <t>Ailen seni ödüllendirdi: ek ekran süresi. Hesap makinesi için.</t>
        </is>
      </c>
      <c r="J209" s="6" t="inlineStr">
        <is>
          <t>Baban hesap makinesini açtı. Karşısına bir uzay gemisi çıktı.</t>
        </is>
      </c>
      <c r="K209" s="6" t="inlineStr">
        <is>
          <t>Baban hesap makinesinde iki artı iki yaptı. Ekranda 'Seviye 47' yazdı.</t>
        </is>
      </c>
      <c r="L209" s="6" t="inlineStr"/>
      <c r="M209" s="5" t="inlineStr"/>
      <c r="N209" s="5" t="inlineStr"/>
      <c r="O209" s="6" t="inlineStr"/>
      <c r="P209" s="6" t="inlineStr"/>
      <c r="Q209" s="5" t="inlineStr"/>
      <c r="R209" s="5" t="inlineStr"/>
      <c r="S209" s="5" t="inlineStr"/>
      <c r="T209" s="5" t="inlineStr"/>
      <c r="U209" s="5" t="inlineStr"/>
      <c r="V209" s="5" t="inlineStr"/>
      <c r="W209" s="5" t="inlineStr"/>
      <c r="X209" s="5" t="inlineStr"/>
      <c r="Y209" s="5" t="inlineStr"/>
      <c r="Z209" s="6" t="inlineStr"/>
      <c r="AA209" s="5" t="inlineStr"/>
      <c r="AB209" s="5" t="inlineStr"/>
      <c r="AC209" s="5" t="inlineStr"/>
      <c r="AD209" s="5" t="inlineStr"/>
      <c r="AE209" s="5" t="inlineStr"/>
      <c r="AF209" s="5" t="inlineStr"/>
      <c r="AG209" s="5" t="inlineStr"/>
      <c r="AH209" s="5" t="inlineStr"/>
    </row>
    <row r="210">
      <c r="A210" s="5" t="inlineStr">
        <is>
          <t>b4-ekran-suresi</t>
        </is>
      </c>
      <c r="B210" s="5" t="n">
        <v>3</v>
      </c>
      <c r="C210" s="6" t="inlineStr">
        <is>
          <t>Raporu ayarlardan düzelt</t>
        </is>
      </c>
      <c r="D210" s="5" t="inlineStr">
        <is>
          <t>Kurnazlık</t>
        </is>
      </c>
      <c r="E210" s="5" t="inlineStr">
        <is>
          <t>Orta</t>
        </is>
      </c>
      <c r="F210" s="5" t="inlineStr"/>
      <c r="G210" s="6" t="inlineStr"/>
      <c r="H210" s="6" t="inlineStr">
        <is>
          <t>Rapor artık 'Kitap: 4 saat' diyor. Evde tek kitap var, o da telefon rehberi.</t>
        </is>
      </c>
      <c r="I210" s="6" t="inlineStr">
        <is>
          <t>Raporu düzelttin, ailenin raporunu da görünür yaptın. Babanın ekran süresi on bir saat. Toplantı ertelendi.</t>
        </is>
      </c>
      <c r="J210" s="6" t="inlineStr">
        <is>
          <t>Ayarları değiştirdin; rapor şimdi Japonca.</t>
        </is>
      </c>
      <c r="K210" s="6" t="inlineStr">
        <is>
          <t>Telefon fabrika ayarlarına döndü. Fotoğraflar, yazışmalar ve üç yıllık oyun kaydı devlet sırrı gibi yok oldu.</t>
        </is>
      </c>
      <c r="L210" s="6" t="inlineStr"/>
      <c r="M210" s="5" t="inlineStr"/>
      <c r="N210" s="5" t="inlineStr"/>
      <c r="O210" s="6" t="inlineStr"/>
      <c r="P210" s="6" t="inlineStr"/>
      <c r="Q210" s="5" t="inlineStr">
        <is>
          <t>Ekran Yerlisi</t>
        </is>
      </c>
      <c r="R210" s="5" t="inlineStr"/>
      <c r="S210" s="5" t="inlineStr"/>
      <c r="T210" s="5" t="inlineStr"/>
      <c r="U210" s="5" t="inlineStr"/>
      <c r="V210" s="5" t="inlineStr"/>
      <c r="W210" s="5" t="inlineStr"/>
      <c r="X210" s="5" t="inlineStr"/>
      <c r="Y210" s="5" t="inlineStr"/>
      <c r="Z210" s="6" t="inlineStr"/>
      <c r="AA210" s="5" t="inlineStr"/>
      <c r="AB210" s="5" t="inlineStr"/>
      <c r="AC210" s="5" t="inlineStr"/>
      <c r="AD210" s="5" t="inlineStr"/>
      <c r="AE210" s="5" t="inlineStr"/>
      <c r="AF210" s="5" t="inlineStr"/>
      <c r="AG210" s="5" t="inlineStr"/>
      <c r="AH210" s="5" t="inlineStr"/>
    </row>
    <row r="211">
      <c r="A211" s="5" t="inlineStr">
        <is>
          <t>b4-ekran-suresi</t>
        </is>
      </c>
      <c r="B211" s="5" t="n">
        <v>4</v>
      </c>
      <c r="C211" s="6" t="inlineStr">
        <is>
          <t>Gizli oyunu babana da kur</t>
        </is>
      </c>
      <c r="D211" s="5" t="inlineStr">
        <is>
          <t>Çene</t>
        </is>
      </c>
      <c r="E211" s="5" t="inlineStr">
        <is>
          <t>Kolay</t>
        </is>
      </c>
      <c r="F211" s="5" t="inlineStr"/>
      <c r="G211" s="6" t="inlineStr"/>
      <c r="H211" s="6" t="inlineStr">
        <is>
          <t>Babana da kurdun. Artık ikiniz de 'matematik çalışıyorsunuz'. Ortak bir sır, ortak bir skor tablosu.</t>
        </is>
      </c>
      <c r="I211" s="6" t="inlineStr">
        <is>
          <t>Baban oyuna öyle daldı ki ekran süresi kuralını unuttu. Evde yeni bir denetim boşluğu doğdu.</t>
        </is>
      </c>
      <c r="J211" s="6" t="inlineStr">
        <is>
          <t>Babana kurdun; baban 'Bu ne saçmalık' dedi ve üç saat oynadı. Kural yine sana uygulandı.</t>
        </is>
      </c>
      <c r="K211" s="6" t="inlineStr">
        <is>
          <t>Baban seviyeni geçti ve ekran görüntüsünü aile grubuna attı. Hesap makinesinin sırrı artık 34 kişide.</t>
        </is>
      </c>
      <c r="L211" s="6" t="inlineStr"/>
      <c r="M211" s="5" t="inlineStr"/>
      <c r="N211" s="5" t="inlineStr"/>
      <c r="O211" s="6" t="inlineStr"/>
      <c r="P211" s="6" t="inlineStr"/>
      <c r="Q211" s="5" t="inlineStr"/>
      <c r="R211" s="5" t="inlineStr"/>
      <c r="S211" s="5" t="inlineStr">
        <is>
          <t>Kurnazlık</t>
        </is>
      </c>
      <c r="T211" s="5" t="inlineStr"/>
      <c r="U211" s="5" t="inlineStr"/>
      <c r="V211" s="5" t="inlineStr"/>
      <c r="W211" s="5" t="inlineStr"/>
      <c r="X211" s="5" t="inlineStr"/>
      <c r="Y211" s="5" t="inlineStr"/>
      <c r="Z211" s="6" t="inlineStr"/>
      <c r="AA211" s="5" t="inlineStr"/>
      <c r="AB211" s="5" t="inlineStr"/>
      <c r="AC211" s="5" t="inlineStr"/>
      <c r="AD211" s="5" t="inlineStr"/>
      <c r="AE211" s="5" t="inlineStr"/>
      <c r="AF211" s="5" t="inlineStr"/>
      <c r="AG211" s="5" t="inlineStr"/>
      <c r="AH211" s="5" t="inlineStr"/>
    </row>
    <row r="212">
      <c r="A212" s="5" t="inlineStr">
        <is>
          <t>b4-mahalle-haraccilari</t>
        </is>
      </c>
      <c r="B212" s="5" t="n">
        <v>1</v>
      </c>
      <c r="C212" s="6" t="inlineStr">
        <is>
          <t>Harçlığı ver, yanlarına otur</t>
        </is>
      </c>
      <c r="D212" s="5" t="inlineStr"/>
      <c r="E212" s="5" t="inlineStr"/>
      <c r="F212" s="5" t="inlineStr">
        <is>
          <t>Pişkinlik +1</t>
        </is>
      </c>
      <c r="G212" s="6" t="inlineStr">
        <is>
          <t>Harçlığı verdin ve yanlarına oturdun. Ortadaki “Sen akıllı çocuksun” dedi. Ertesi gün harçlığın sana geri döndü; ama artık onların harçlığıydı.</t>
        </is>
      </c>
      <c r="H212" s="6" t="inlineStr"/>
      <c r="I212" s="6" t="inlineStr"/>
      <c r="J212" s="6" t="inlineStr"/>
      <c r="K212" s="6" t="inlineStr"/>
      <c r="L212" s="6" t="inlineStr"/>
      <c r="M212" s="5" t="inlineStr"/>
      <c r="N212" s="5" t="inlineStr"/>
      <c r="O212" s="6" t="inlineStr"/>
      <c r="P212" s="6" t="inlineStr"/>
      <c r="Q212" s="5" t="inlineStr"/>
      <c r="R212" s="5" t="inlineStr"/>
      <c r="S212" s="5" t="inlineStr"/>
      <c r="T212" s="5" t="inlineStr"/>
      <c r="U212" s="5" t="inlineStr">
        <is>
          <t>mahalle-abileri</t>
        </is>
      </c>
      <c r="V212" s="5" t="inlineStr"/>
      <c r="W212" s="5" t="inlineStr"/>
      <c r="X212" s="5" t="inlineStr"/>
      <c r="Y212" s="5" t="inlineStr"/>
      <c r="Z212" s="6" t="inlineStr"/>
      <c r="AA212" s="5" t="inlineStr">
        <is>
          <t>hepsi -1</t>
        </is>
      </c>
      <c r="AB212" s="5" t="inlineStr"/>
      <c r="AC212" s="5" t="inlineStr"/>
      <c r="AD212" s="5" t="inlineStr"/>
      <c r="AE212" s="5" t="inlineStr"/>
      <c r="AF212" s="5" t="inlineStr"/>
      <c r="AG212" s="5" t="inlineStr"/>
      <c r="AH212" s="5" t="inlineStr"/>
    </row>
    <row r="213">
      <c r="A213" s="5" t="inlineStr">
        <is>
          <t>b4-mahalle-haraccilari</t>
        </is>
      </c>
      <c r="B213" s="5" t="n">
        <v>2</v>
      </c>
      <c r="C213" s="6" t="inlineStr">
        <is>
          <t>Kaç</t>
        </is>
      </c>
      <c r="D213" s="5" t="inlineStr">
        <is>
          <t>Dayanıklılık</t>
        </is>
      </c>
      <c r="E213" s="5" t="inlineStr">
        <is>
          <t>Orta</t>
        </is>
      </c>
      <c r="F213" s="5" t="inlineStr"/>
      <c r="G213" s="6" t="inlineStr"/>
      <c r="H213" s="6" t="inlineStr">
        <is>
          <t>Kaçtın. Harçlık cepte, telefon elde. Ama o köşe artık sana kapalı.</t>
        </is>
      </c>
      <c r="I213" s="6" t="inlineStr">
        <is>
          <t>Öyle kaçtın ki arkandan alkışladılar. Mahallede adın 'Rüzgâr'. Köşe yine de kapalı.</t>
        </is>
      </c>
      <c r="J213" s="6" t="inlineStr">
        <is>
          <t>Kaçtın ama cebinden bozukluk döküldü. Harçlığının yarısı yol boyunca vergilendirildi.</t>
        </is>
      </c>
      <c r="K213" s="6" t="inlineStr">
        <is>
          <t>Yanlış sokağa saptın; çıkmaz sokaktı. Ayrıntılar sahne dışında. Sonuç: o sokaktan bir daha geçmiyorsun.</t>
        </is>
      </c>
      <c r="L213" s="6" t="inlineStr">
        <is>
          <t>Yakalanmadın ama tam da kurtulmadın. Harçlığın yarısı ve saygınlığın çeyreği gitti.</t>
        </is>
      </c>
      <c r="M213" s="5" t="inlineStr">
        <is>
          <t>lanes</t>
        </is>
      </c>
      <c r="N213" s="5" t="inlineStr">
        <is>
          <t>Köşeden Kaç</t>
        </is>
      </c>
      <c r="O213" s="6" t="inlineStr">
        <is>
          <t>Sağa sola kayarak engellere çarpmadan eve ulaş.</t>
        </is>
      </c>
      <c r="P213" s="6" t="inlineStr">
        <is>
          <t>{"obstacles": ["🛴", "🐕", "🗑️", "📦", "🛒"]}</t>
        </is>
      </c>
      <c r="Q213" s="5" t="inlineStr"/>
      <c r="R213" s="5" t="inlineStr"/>
      <c r="S213" s="5" t="inlineStr"/>
      <c r="T213" s="5" t="inlineStr"/>
      <c r="U213" s="5" t="inlineStr">
        <is>
          <t>haracci-dusmani</t>
        </is>
      </c>
      <c r="V213" s="5" t="inlineStr"/>
      <c r="W213" s="5" t="inlineStr">
        <is>
          <t>sokak-yasagi</t>
        </is>
      </c>
      <c r="X213" s="5" t="inlineStr"/>
      <c r="Y213" s="5" t="inlineStr"/>
      <c r="Z213" s="6" t="inlineStr"/>
      <c r="AA213" s="5" t="inlineStr"/>
      <c r="AB213" s="5" t="inlineStr"/>
      <c r="AC213" s="5" t="inlineStr"/>
      <c r="AD213" s="5" t="inlineStr"/>
      <c r="AE213" s="5" t="inlineStr"/>
      <c r="AF213" s="5" t="inlineStr"/>
      <c r="AG213" s="5" t="inlineStr"/>
      <c r="AH213" s="5" t="inlineStr"/>
    </row>
    <row r="214">
      <c r="A214" s="5" t="inlineStr">
        <is>
          <t>b4-mahalle-haraccilari</t>
        </is>
      </c>
      <c r="B214" s="5" t="n">
        <v>3</v>
      </c>
      <c r="C214" s="6" t="inlineStr">
        <is>
          <t>Pazarlık et</t>
        </is>
      </c>
      <c r="D214" s="5" t="inlineStr">
        <is>
          <t>Çene</t>
        </is>
      </c>
      <c r="E214" s="5" t="inlineStr">
        <is>
          <t>Zor</t>
        </is>
      </c>
      <c r="F214" s="5" t="inlineStr"/>
      <c r="G214" s="6" t="inlineStr"/>
      <c r="H214" s="6" t="inlineStr">
        <is>
          <t>Harçlığın yarısında anlaştınız. Telefon koruma altında. Mahalleye ticaret hukuku geldi.</t>
        </is>
      </c>
      <c r="I214" s="6" t="inlineStr">
        <is>
          <t>Onlara ödev yapmayı teklif ettin. Artık para vermiyorsun, para alıyorsun.</t>
        </is>
      </c>
      <c r="J214" s="6" t="inlineStr">
        <is>
          <t>Pazarlık ettin; borcun faize bağlandı.</t>
        </is>
      </c>
      <c r="K214" s="6" t="inlineStr">
        <is>
          <t>Pazarlık uzadıkça fiyat arttı. Harçlığı, şarj aletini ve yeni bir lakabı teslim ettin: 'Taksit'.</t>
        </is>
      </c>
      <c r="L214" s="6" t="inlineStr"/>
      <c r="M214" s="5" t="inlineStr"/>
      <c r="N214" s="5" t="inlineStr"/>
      <c r="O214" s="6" t="inlineStr"/>
      <c r="P214" s="6" t="inlineStr"/>
      <c r="Q214" s="5" t="inlineStr"/>
      <c r="R214" s="5" t="inlineStr"/>
      <c r="S214" s="5" t="inlineStr"/>
      <c r="T214" s="5" t="inlineStr"/>
      <c r="U214" s="5" t="inlineStr"/>
      <c r="V214" s="5" t="inlineStr"/>
      <c r="W214" s="5" t="inlineStr">
        <is>
          <t>lakapli</t>
        </is>
      </c>
      <c r="X214" s="5" t="inlineStr"/>
      <c r="Y214" s="5" t="inlineStr"/>
      <c r="Z214" s="6" t="inlineStr"/>
      <c r="AA214" s="5" t="inlineStr"/>
      <c r="AB214" s="5" t="inlineStr"/>
      <c r="AC214" s="5" t="inlineStr"/>
      <c r="AD214" s="5" t="inlineStr"/>
      <c r="AE214" s="5" t="inlineStr"/>
      <c r="AF214" s="5" t="inlineStr"/>
      <c r="AG214" s="5" t="inlineStr"/>
      <c r="AH214" s="5" t="inlineStr"/>
    </row>
    <row r="215">
      <c r="A215" s="5" t="inlineStr">
        <is>
          <t>b4-mahalle-haraccilari</t>
        </is>
      </c>
      <c r="B215" s="5" t="n">
        <v>4</v>
      </c>
      <c r="C215" s="6" t="inlineStr">
        <is>
          <t>'Bakkal amca annemin sınıf arkadaşı' de</t>
        </is>
      </c>
      <c r="D215" s="5" t="inlineStr">
        <is>
          <t>Sosyal Radar</t>
        </is>
      </c>
      <c r="E215" s="5" t="inlineStr">
        <is>
          <t>Kolay</t>
        </is>
      </c>
      <c r="F215" s="5" t="inlineStr"/>
      <c r="G215" s="6" t="inlineStr"/>
      <c r="H215" s="6" t="inlineStr">
        <is>
          <t>Ortadaki çocuk sessizce geri çekildi. Aile bağları bazen sigortadır.</t>
        </is>
      </c>
      <c r="I215" s="6" t="inlineStr">
        <is>
          <t>Ortadaki çocuk o akşam kapına bir çikolata bıraktı. Yanında el yazısı bir özür.</t>
        </is>
      </c>
      <c r="J215" s="6" t="inlineStr">
        <is>
          <t>'Bakkal bizi zaten sevmez' dediler. Sigorta kapsam dışı çıktı.</t>
        </is>
      </c>
      <c r="K215" s="6" t="inlineStr">
        <is>
          <t>Tam o sırada bakkal dükkândan çıkıp 'Ne oluyor?' dedi. Üçü birden seni gösterdi.</t>
        </is>
      </c>
      <c r="L215" s="6" t="inlineStr"/>
      <c r="M215" s="5" t="inlineStr"/>
      <c r="N215" s="5" t="inlineStr"/>
      <c r="O215" s="6" t="inlineStr"/>
      <c r="P215" s="6" t="inlineStr"/>
      <c r="Q215" s="5" t="inlineStr"/>
      <c r="R215" s="5" t="inlineStr"/>
      <c r="S215" s="5" t="inlineStr">
        <is>
          <t>Sosyal Radar</t>
        </is>
      </c>
      <c r="T215" s="5" t="inlineStr"/>
      <c r="U215" s="5" t="inlineStr"/>
      <c r="V215" s="5" t="inlineStr"/>
      <c r="W215" s="5" t="inlineStr">
        <is>
          <t>haracci-dusmani</t>
        </is>
      </c>
      <c r="X215" s="5" t="inlineStr"/>
      <c r="Y215" s="5" t="inlineStr"/>
      <c r="Z215" s="6" t="inlineStr"/>
      <c r="AA215" s="5" t="inlineStr"/>
      <c r="AB215" s="5" t="inlineStr"/>
      <c r="AC215" s="5" t="inlineStr"/>
      <c r="AD215" s="5" t="inlineStr"/>
      <c r="AE215" s="5" t="inlineStr"/>
      <c r="AF215" s="5" t="inlineStr"/>
      <c r="AG215" s="5" t="inlineStr"/>
      <c r="AH215" s="5" t="inlineStr"/>
    </row>
    <row r="216">
      <c r="A216" s="5" t="inlineStr">
        <is>
          <t>b4-mahalle-haraccilari</t>
        </is>
      </c>
      <c r="B216" s="5" t="n">
        <v>5</v>
      </c>
      <c r="C216" s="6" t="inlineStr">
        <is>
          <t>Ortadakine tek başına meydan oku</t>
        </is>
      </c>
      <c r="D216" s="5" t="inlineStr">
        <is>
          <t>Cesaret</t>
        </is>
      </c>
      <c r="E216" s="5" t="inlineStr">
        <is>
          <t>Zor</t>
        </is>
      </c>
      <c r="F216" s="5" t="inlineStr"/>
      <c r="G216" s="6" t="inlineStr"/>
      <c r="H216" s="6" t="inlineStr">
        <is>
          <t>'Yalnızken de böyle misin?' dedin. Değildi. Grup dağıldı.</t>
        </is>
      </c>
      <c r="I216" s="6" t="inlineStr">
        <is>
          <t>Meydan okudun; ortadaki çocuk ertesi gün başka mahalleye taşındıklarını söyledi. Tesadüf olabilir.</t>
        </is>
      </c>
      <c r="J216" s="6" t="inlineStr">
        <is>
          <t>Meydan okudun. Telefonunu aldılar; ertesi gün bakkala bıraktılar. Mesaj alındı.</t>
        </is>
      </c>
      <c r="K216" s="6" t="inlineStr">
        <is>
          <t>Ayrıntılar sahne dışında. Sonuç: telefon ekranı çatlak, lakabın 'Kahraman' ve tonu ironik.</t>
        </is>
      </c>
      <c r="L216" s="6" t="inlineStr"/>
      <c r="M216" s="5" t="inlineStr"/>
      <c r="N216" s="5" t="inlineStr"/>
      <c r="O216" s="6" t="inlineStr"/>
      <c r="P216" s="6" t="inlineStr"/>
      <c r="Q216" s="5" t="inlineStr"/>
      <c r="R216" s="5" t="inlineStr">
        <is>
          <t>cesurPark</t>
        </is>
      </c>
      <c r="S216" s="5" t="inlineStr"/>
      <c r="T216" s="5" t="inlineStr"/>
      <c r="U216" s="5" t="inlineStr">
        <is>
          <t>haracci-dusmani</t>
        </is>
      </c>
      <c r="V216" s="5" t="inlineStr"/>
      <c r="W216" s="5" t="inlineStr">
        <is>
          <t>lakapli</t>
        </is>
      </c>
      <c r="X216" s="5" t="inlineStr"/>
      <c r="Y216" s="5" t="inlineStr"/>
      <c r="Z216" s="6" t="inlineStr"/>
      <c r="AA216" s="5" t="inlineStr"/>
      <c r="AB216" s="5" t="inlineStr"/>
      <c r="AC216" s="5" t="inlineStr"/>
      <c r="AD216" s="5" t="inlineStr"/>
      <c r="AE216" s="5" t="inlineStr"/>
      <c r="AF216" s="5" t="inlineStr"/>
      <c r="AG216" s="5" t="inlineStr"/>
      <c r="AH216" s="5" t="inlineStr"/>
    </row>
    <row r="217">
      <c r="A217" s="5" t="inlineStr">
        <is>
          <t>b4-mahalle-haraccilari</t>
        </is>
      </c>
      <c r="B217" s="5" t="n">
        <v>6</v>
      </c>
      <c r="C217" s="6" t="inlineStr">
        <is>
          <t>Eve dön, kitaplara göm</t>
        </is>
      </c>
      <c r="D217" s="5" t="inlineStr">
        <is>
          <t>Akıl</t>
        </is>
      </c>
      <c r="E217" s="5" t="inlineStr">
        <is>
          <t>Orta</t>
        </is>
      </c>
      <c r="F217" s="5" t="inlineStr"/>
      <c r="G217" s="6" t="inlineStr"/>
      <c r="H217" s="6" t="inlineStr">
        <is>
          <t>Köşeyi dolaşmak yerine kütüphaneye giden yolu keşfettin. Yol daha uzun ama kimse harçlık sormuyor.</t>
        </is>
      </c>
      <c r="I217" s="6" t="inlineStr">
        <is>
          <t>O yıl kütüphanenin en sadık üyesiydin. Kütüphaneci sana kendi anahtarının yedeğini verdi.</t>
        </is>
      </c>
      <c r="J217" s="6" t="inlineStr">
        <is>
          <t>Eve döndün ama kitap açılmadı; köşedekiler aklından çıkmadı.</t>
        </is>
      </c>
      <c r="K217" s="6" t="inlineStr">
        <is>
          <t>Kitaplara gömüldün, dersler iyi gitti; ama mahallede lakabın “Kütüphane” oldu.</t>
        </is>
      </c>
      <c r="L217" s="6" t="inlineStr"/>
      <c r="M217" s="5" t="inlineStr"/>
      <c r="N217" s="5" t="inlineStr"/>
      <c r="O217" s="6" t="inlineStr"/>
      <c r="P217" s="6" t="inlineStr"/>
      <c r="Q217" s="5" t="inlineStr"/>
      <c r="R217" s="5" t="inlineStr"/>
      <c r="S217" s="5" t="inlineStr"/>
      <c r="T217" s="5" t="inlineStr">
        <is>
          <t>Kitap Kurdu</t>
        </is>
      </c>
      <c r="U217" s="5" t="inlineStr"/>
      <c r="V217" s="5" t="inlineStr"/>
      <c r="W217" s="5" t="inlineStr"/>
      <c r="X217" s="5" t="inlineStr"/>
      <c r="Y217" s="5" t="inlineStr"/>
      <c r="Z217" s="6" t="inlineStr"/>
      <c r="AA217" s="5" t="inlineStr"/>
      <c r="AB217" s="5" t="inlineStr"/>
      <c r="AC217" s="5" t="inlineStr"/>
      <c r="AD217" s="5" t="inlineStr"/>
      <c r="AE217" s="5" t="inlineStr"/>
      <c r="AF217" s="5" t="inlineStr"/>
      <c r="AG217" s="5" t="inlineStr"/>
      <c r="AH217" s="5" t="inlineStr"/>
    </row>
    <row r="218">
      <c r="A218" s="5" t="inlineStr">
        <is>
          <t>b4-sivilce</t>
        </is>
      </c>
      <c r="B218" s="5" t="n">
        <v>1</v>
      </c>
      <c r="C218" s="6" t="inlineStr">
        <is>
          <t>Olduğu gibi git</t>
        </is>
      </c>
      <c r="D218" s="5" t="inlineStr"/>
      <c r="E218" s="5" t="inlineStr"/>
      <c r="F218" s="5" t="inlineStr">
        <is>
          <t>Dayanıklılık +1</t>
        </is>
      </c>
      <c r="G218" s="6" t="inlineStr">
        <is>
          <t>Fotoğraf çekildi. Sivilce de. Yıllığa ikiniz birlikte girdiniz.</t>
        </is>
      </c>
      <c r="H218" s="6" t="inlineStr"/>
      <c r="I218" s="6" t="inlineStr"/>
      <c r="J218" s="6" t="inlineStr"/>
      <c r="K218" s="6" t="inlineStr"/>
      <c r="L218" s="6" t="inlineStr"/>
      <c r="M218" s="5" t="inlineStr"/>
      <c r="N218" s="5" t="inlineStr"/>
      <c r="O218" s="6" t="inlineStr"/>
      <c r="P218" s="6" t="inlineStr"/>
      <c r="Q218" s="5" t="inlineStr"/>
      <c r="R218" s="5" t="inlineStr"/>
      <c r="S218" s="5" t="inlineStr"/>
      <c r="T218" s="5" t="inlineStr"/>
      <c r="U218" s="5" t="inlineStr"/>
      <c r="V218" s="5" t="inlineStr"/>
      <c r="W218" s="5" t="inlineStr"/>
      <c r="X218" s="5" t="inlineStr"/>
      <c r="Y218" s="5" t="inlineStr"/>
      <c r="Z218" s="6" t="inlineStr"/>
      <c r="AA218" s="5" t="inlineStr"/>
      <c r="AB218" s="5" t="inlineStr"/>
      <c r="AC218" s="5" t="inlineStr"/>
      <c r="AD218" s="5" t="inlineStr"/>
      <c r="AE218" s="5" t="inlineStr"/>
      <c r="AF218" s="5" t="inlineStr"/>
      <c r="AG218" s="5" t="inlineStr"/>
      <c r="AH218" s="5" t="inlineStr"/>
    </row>
    <row r="219">
      <c r="A219" s="5" t="inlineStr">
        <is>
          <t>b4-sivilce</t>
        </is>
      </c>
      <c r="B219" s="5" t="n">
        <v>2</v>
      </c>
      <c r="C219" s="6" t="inlineStr">
        <is>
          <t>Annenin kapatıcısını kullan</t>
        </is>
      </c>
      <c r="D219" s="5" t="inlineStr">
        <is>
          <t>Kurnazlık</t>
        </is>
      </c>
      <c r="E219" s="5" t="inlineStr">
        <is>
          <t>Orta</t>
        </is>
      </c>
      <c r="F219" s="5" t="inlineStr"/>
      <c r="G219" s="6" t="inlineStr"/>
      <c r="H219" s="6" t="inlineStr">
        <is>
          <t>Sivilce görünmüyor. Sadece alnında hafif bir ton farkı var.</t>
        </is>
      </c>
      <c r="I219" s="6" t="inlineStr">
        <is>
          <t>Kusursuz uyguladın. Fotoğrafçı 'Ne güzel cilt' dedi. Annen kapatıcının azaldığını hâlâ bilmiyor.</t>
        </is>
      </c>
      <c r="J219" s="6" t="inlineStr">
        <is>
          <t>Yanlış tonu seçtin. Alnında bej bir ada oluştu.</t>
        </is>
      </c>
      <c r="K219" s="6" t="inlineStr">
        <is>
          <t>Kapatıcı sandığın şey annenin göz farıymış. Yıllıkta alnında parlak mor bir yıldız var. Sonsuza dek.</t>
        </is>
      </c>
      <c r="L219" s="6" t="inlineStr"/>
      <c r="M219" s="5" t="inlineStr"/>
      <c r="N219" s="5" t="inlineStr"/>
      <c r="O219" s="6" t="inlineStr"/>
      <c r="P219" s="6" t="inlineStr"/>
      <c r="Q219" s="5" t="inlineStr"/>
      <c r="R219" s="5" t="inlineStr"/>
      <c r="S219" s="5" t="inlineStr"/>
      <c r="T219" s="5" t="inlineStr"/>
      <c r="U219" s="5" t="inlineStr"/>
      <c r="V219" s="5" t="inlineStr"/>
      <c r="W219" s="5" t="inlineStr"/>
      <c r="X219" s="5" t="inlineStr"/>
      <c r="Y219" s="5" t="inlineStr"/>
      <c r="Z219" s="6" t="inlineStr"/>
      <c r="AA219" s="5" t="inlineStr"/>
      <c r="AB219" s="5" t="inlineStr"/>
      <c r="AC219" s="5" t="inlineStr"/>
      <c r="AD219" s="5" t="inlineStr"/>
      <c r="AE219" s="5" t="inlineStr"/>
      <c r="AF219" s="5" t="inlineStr"/>
      <c r="AG219" s="5" t="inlineStr"/>
      <c r="AH219" s="5" t="inlineStr"/>
    </row>
    <row r="220">
      <c r="A220" s="5" t="inlineStr">
        <is>
          <t>b4-sivilce</t>
        </is>
      </c>
      <c r="B220" s="5" t="n">
        <v>3</v>
      </c>
      <c r="C220" s="6" t="inlineStr">
        <is>
          <t>Bere tak</t>
        </is>
      </c>
      <c r="D220" s="5" t="inlineStr">
        <is>
          <t>Pişkinlik</t>
        </is>
      </c>
      <c r="E220" s="5" t="inlineStr">
        <is>
          <t>Kolay</t>
        </is>
      </c>
      <c r="F220" s="5" t="inlineStr"/>
      <c r="G220" s="6" t="inlineStr"/>
      <c r="H220" s="6" t="inlineStr">
        <is>
          <t>Bereyle poz verdin. Tarz sanıldı.</t>
        </is>
      </c>
      <c r="I220" s="6" t="inlineStr">
        <is>
          <t>Ertesi hafta sınıfın yarısı bereyle geldi. Trendi bir sivilce başlattı.</t>
        </is>
      </c>
      <c r="J220" s="6" t="inlineStr">
        <is>
          <t>Fotoğrafçı bereni çıkarttı.</t>
        </is>
      </c>
      <c r="K220" s="6" t="inlineStr">
        <is>
          <t>Fotoğrafçı bereni çıkarttı; statik elektrikten saçların dikildi. Sivilce ikinci planda kaldı. Saçların birinci.</t>
        </is>
      </c>
      <c r="L220" s="6" t="inlineStr"/>
      <c r="M220" s="5" t="inlineStr"/>
      <c r="N220" s="5" t="inlineStr"/>
      <c r="O220" s="6" t="inlineStr"/>
      <c r="P220" s="6" t="inlineStr"/>
      <c r="Q220" s="5" t="inlineStr"/>
      <c r="R220" s="5" t="inlineStr"/>
      <c r="S220" s="5" t="inlineStr"/>
      <c r="T220" s="5" t="inlineStr"/>
      <c r="U220" s="5" t="inlineStr"/>
      <c r="V220" s="5" t="inlineStr"/>
      <c r="W220" s="5" t="inlineStr"/>
      <c r="X220" s="5" t="inlineStr"/>
      <c r="Y220" s="5" t="inlineStr"/>
      <c r="Z220" s="6" t="inlineStr"/>
      <c r="AA220" s="5" t="inlineStr"/>
      <c r="AB220" s="5" t="inlineStr"/>
      <c r="AC220" s="5" t="inlineStr"/>
      <c r="AD220" s="5" t="inlineStr"/>
      <c r="AE220" s="5" t="inlineStr"/>
      <c r="AF220" s="5" t="inlineStr"/>
      <c r="AG220" s="5" t="inlineStr"/>
      <c r="AH220" s="5" t="inlineStr"/>
    </row>
    <row r="221">
      <c r="A221" s="5" t="inlineStr">
        <is>
          <t>b4-sivilce</t>
        </is>
      </c>
      <c r="B221" s="5" t="n">
        <v>4</v>
      </c>
      <c r="C221" s="6" t="inlineStr">
        <is>
          <t>Sivilceye isim ver</t>
        </is>
      </c>
      <c r="D221" s="5" t="inlineStr">
        <is>
          <t>Çene</t>
        </is>
      </c>
      <c r="E221" s="5" t="inlineStr">
        <is>
          <t>Kolay</t>
        </is>
      </c>
      <c r="F221" s="5" t="inlineStr"/>
      <c r="G221" s="6" t="inlineStr"/>
      <c r="H221" s="6" t="inlineStr">
        <is>
          <t>Sivilceye 'Müdür Bey' dedin. Sınıf gün boyu ona selam verdi. Kimse seninle dalga geçemedi, çünkü önce sen geçtin.</t>
        </is>
      </c>
      <c r="I221" s="6" t="inlineStr">
        <is>
          <t>Müdür Bey'in resmî bir veda töreni yapıldı. Sınıf alkışladı. Başka hiçbir sivilce bu kadar sevilmedi.</t>
        </is>
      </c>
      <c r="J221" s="6" t="inlineStr">
        <is>
          <t>İsmi koydun; ertesi gün Müdür Bey'in bir yardımcısı çıktı.</t>
        </is>
      </c>
      <c r="K221" s="6" t="inlineStr">
        <is>
          <t>Sivilceye verdiğin isim sana geçti. Artık sen 'Müdür Bey'sin.</t>
        </is>
      </c>
      <c r="L221" s="6" t="inlineStr"/>
      <c r="M221" s="5" t="inlineStr"/>
      <c r="N221" s="5" t="inlineStr"/>
      <c r="O221" s="6" t="inlineStr"/>
      <c r="P221" s="6" t="inlineStr"/>
      <c r="Q221" s="5" t="inlineStr">
        <is>
          <t>Kendine Gülebilir</t>
        </is>
      </c>
      <c r="R221" s="5" t="inlineStr"/>
      <c r="S221" s="5" t="inlineStr"/>
      <c r="T221" s="5" t="inlineStr"/>
      <c r="U221" s="5" t="inlineStr"/>
      <c r="V221" s="5" t="inlineStr"/>
      <c r="W221" s="5" t="inlineStr"/>
      <c r="X221" s="5" t="inlineStr"/>
      <c r="Y221" s="5" t="inlineStr"/>
      <c r="Z221" s="6" t="inlineStr"/>
      <c r="AA221" s="5" t="inlineStr"/>
      <c r="AB221" s="5" t="inlineStr"/>
      <c r="AC221" s="5" t="inlineStr"/>
      <c r="AD221" s="5" t="inlineStr"/>
      <c r="AE221" s="5" t="inlineStr"/>
      <c r="AF221" s="5" t="inlineStr"/>
      <c r="AG221" s="5" t="inlineStr"/>
      <c r="AH221" s="5" t="inlineStr"/>
    </row>
    <row r="222">
      <c r="A222" s="5" t="inlineStr">
        <is>
          <t>b4-ses-catlamasi</t>
        </is>
      </c>
      <c r="B222" s="5" t="n">
        <v>1</v>
      </c>
      <c r="C222" s="6" t="inlineStr">
        <is>
          <t>Fısıltıyla oku</t>
        </is>
      </c>
      <c r="D222" s="5" t="inlineStr"/>
      <c r="E222" s="5" t="inlineStr"/>
      <c r="F222" s="5" t="inlineStr">
        <is>
          <t>Kurnazlık +1</t>
        </is>
      </c>
      <c r="G222" s="6" t="inlineStr">
        <is>
          <t>Fısıltıyla okudun. Öğretmen 'Daha yüksek' dedi. Yüksek okudun. Ses çatladı. Plan kısmen işledi.</t>
        </is>
      </c>
      <c r="H222" s="6" t="inlineStr"/>
      <c r="I222" s="6" t="inlineStr"/>
      <c r="J222" s="6" t="inlineStr"/>
      <c r="K222" s="6" t="inlineStr"/>
      <c r="L222" s="6" t="inlineStr"/>
      <c r="M222" s="5" t="inlineStr"/>
      <c r="N222" s="5" t="inlineStr"/>
      <c r="O222" s="6" t="inlineStr"/>
      <c r="P222" s="6" t="inlineStr"/>
      <c r="Q222" s="5" t="inlineStr"/>
      <c r="R222" s="5" t="inlineStr"/>
      <c r="S222" s="5" t="inlineStr"/>
      <c r="T222" s="5" t="inlineStr"/>
      <c r="U222" s="5" t="inlineStr"/>
      <c r="V222" s="5" t="inlineStr"/>
      <c r="W222" s="5" t="inlineStr"/>
      <c r="X222" s="5" t="inlineStr"/>
      <c r="Y222" s="5" t="inlineStr"/>
      <c r="Z222" s="6" t="inlineStr"/>
      <c r="AA222" s="5" t="inlineStr"/>
      <c r="AB222" s="5" t="inlineStr"/>
      <c r="AC222" s="5" t="inlineStr"/>
      <c r="AD222" s="5" t="inlineStr"/>
      <c r="AE222" s="5" t="inlineStr"/>
      <c r="AF222" s="5" t="inlineStr"/>
      <c r="AG222" s="5" t="inlineStr"/>
      <c r="AH222" s="5" t="inlineStr"/>
    </row>
    <row r="223">
      <c r="A223" s="5" t="inlineStr">
        <is>
          <t>b4-ses-catlamasi</t>
        </is>
      </c>
      <c r="B223" s="5" t="n">
        <v>2</v>
      </c>
      <c r="C223" s="6" t="inlineStr">
        <is>
          <t>Normal oku</t>
        </is>
      </c>
      <c r="D223" s="5" t="inlineStr">
        <is>
          <t>Dayanıklılık</t>
        </is>
      </c>
      <c r="E223" s="5" t="inlineStr">
        <is>
          <t>Orta</t>
        </is>
      </c>
      <c r="F223" s="5" t="inlineStr"/>
      <c r="G223" s="6" t="inlineStr"/>
      <c r="H223" s="6" t="inlineStr">
        <is>
          <t>Ses çatlamadı. Paragraf bitti. Sınıf kayıtsız. Bu yaşta en büyük başarı.</t>
        </is>
      </c>
      <c r="I223" s="6" t="inlineStr">
        <is>
          <t>Paragrafı pürüzsüz okudun; öğretmen 'Ne güzel tok bir ses' dedi. Sınıf ilk kez seni dinledi.</t>
        </is>
      </c>
      <c r="J223" s="6" t="inlineStr">
        <is>
          <t>'Makarya'nın başlıca ürünleri...' derken ses kanarya tonuna çıktı. Sınıf kanaryayı sevdi.</t>
        </is>
      </c>
      <c r="K223" s="6" t="inlineStr">
        <is>
          <t>Ses çatladı, sen durdun, sınıf durdu, öğretmen devam etmeni istedi. Lakabın o günden beri 'Kanarya'.</t>
        </is>
      </c>
      <c r="L223" s="6" t="inlineStr"/>
      <c r="M223" s="5" t="inlineStr"/>
      <c r="N223" s="5" t="inlineStr"/>
      <c r="O223" s="6" t="inlineStr"/>
      <c r="P223" s="6" t="inlineStr"/>
      <c r="Q223" s="5" t="inlineStr"/>
      <c r="R223" s="5" t="inlineStr"/>
      <c r="S223" s="5" t="inlineStr"/>
      <c r="T223" s="5" t="inlineStr"/>
      <c r="U223" s="5" t="inlineStr"/>
      <c r="V223" s="5" t="inlineStr"/>
      <c r="W223" s="5" t="inlineStr">
        <is>
          <t>lakapli</t>
        </is>
      </c>
      <c r="X223" s="5" t="inlineStr"/>
      <c r="Y223" s="5" t="inlineStr"/>
      <c r="Z223" s="6" t="inlineStr"/>
      <c r="AA223" s="5" t="inlineStr"/>
      <c r="AB223" s="5" t="inlineStr"/>
      <c r="AC223" s="5" t="inlineStr"/>
      <c r="AD223" s="5" t="inlineStr"/>
      <c r="AE223" s="5" t="inlineStr"/>
      <c r="AF223" s="5" t="inlineStr"/>
      <c r="AG223" s="5" t="inlineStr"/>
      <c r="AH223" s="5" t="inlineStr"/>
    </row>
    <row r="224">
      <c r="A224" s="5" t="inlineStr">
        <is>
          <t>b4-ses-catlamasi</t>
        </is>
      </c>
      <c r="B224" s="5" t="n">
        <v>3</v>
      </c>
      <c r="C224" s="6" t="inlineStr">
        <is>
          <t>Bas sesle oku</t>
        </is>
      </c>
      <c r="D224" s="5" t="inlineStr">
        <is>
          <t>Pişkinlik</t>
        </is>
      </c>
      <c r="E224" s="5" t="inlineStr">
        <is>
          <t>Zor</t>
        </is>
      </c>
      <c r="F224" s="5" t="inlineStr"/>
      <c r="G224" s="6" t="inlineStr"/>
      <c r="H224" s="6" t="inlineStr">
        <is>
          <t>Haber spikeri tonunda okudun. Öğretmen seni tören sunucusu yaptı.</t>
        </is>
      </c>
      <c r="I224" s="6" t="inlineStr">
        <is>
          <t>O kadar tok okudun ki müdür yardımcısı sınıfa girip anonsu senin yapmanı istedi. Okulun resmî sesisin.</t>
        </is>
      </c>
      <c r="J224" s="6" t="inlineStr">
        <is>
          <t>Bas başladın, tiz bitirdin. Tek cümlede iki kişi konuştu.</t>
        </is>
      </c>
      <c r="K224" s="6" t="inlineStr">
        <is>
          <t>Bas başladın, öksürdün, soprano devam ettin. Müzik öğretmeni seni koroya yazdı. En ön sıraya.</t>
        </is>
      </c>
      <c r="L224" s="6" t="inlineStr"/>
      <c r="M224" s="5" t="inlineStr"/>
      <c r="N224" s="5" t="inlineStr"/>
      <c r="O224" s="6" t="inlineStr"/>
      <c r="P224" s="6" t="inlineStr"/>
      <c r="Q224" s="5" t="inlineStr"/>
      <c r="R224" s="5" t="inlineStr"/>
      <c r="S224" s="5" t="inlineStr"/>
      <c r="T224" s="5" t="inlineStr"/>
      <c r="U224" s="5" t="inlineStr"/>
      <c r="V224" s="5" t="inlineStr"/>
      <c r="W224" s="5" t="inlineStr"/>
      <c r="X224" s="5" t="inlineStr"/>
      <c r="Y224" s="5" t="inlineStr"/>
      <c r="Z224" s="6" t="inlineStr"/>
      <c r="AA224" s="5" t="inlineStr"/>
      <c r="AB224" s="5" t="inlineStr"/>
      <c r="AC224" s="5" t="inlineStr"/>
      <c r="AD224" s="5" t="inlineStr"/>
      <c r="AE224" s="5" t="inlineStr"/>
      <c r="AF224" s="5" t="inlineStr"/>
      <c r="AG224" s="5" t="inlineStr"/>
      <c r="AH224" s="5" t="inlineStr"/>
    </row>
    <row r="225">
      <c r="A225" s="5" t="inlineStr">
        <is>
          <t>b4-ses-catlamasi</t>
        </is>
      </c>
      <c r="B225" s="5" t="n">
        <v>4</v>
      </c>
      <c r="C225" s="6" t="inlineStr">
        <is>
          <t>Çatlamayı şova çevir</t>
        </is>
      </c>
      <c r="D225" s="5" t="inlineStr">
        <is>
          <t>Pişkinlik</t>
        </is>
      </c>
      <c r="E225" s="5" t="inlineStr">
        <is>
          <t>Kolay</t>
        </is>
      </c>
      <c r="F225" s="5" t="inlineStr"/>
      <c r="G225" s="6" t="inlineStr"/>
      <c r="H225" s="6" t="inlineStr">
        <is>
          <t>Ses çatlayınca eğilip selam verdin. Sınıf alkışladı. Olay performans sanatı olarak kayda geçti.</t>
        </is>
      </c>
      <c r="I225" s="6" t="inlineStr">
        <is>
          <t>Her çatlamada farklı bir karakterin sesini yaptın. Paragraf bir radyo tiyatrosuna döndü.</t>
        </is>
      </c>
      <c r="J225" s="6" t="inlineStr">
        <is>
          <t>Şova çevirdin; öğretmen 'Tekrar baştan' dedi. Gösteri iki kez oynandı, ikincisi daha kötü.</t>
        </is>
      </c>
      <c r="K225" s="6" t="inlineStr">
        <is>
          <t>Şova çevirdin, sınıf coştu, müdür koridordan geçti. Performans 'disiplin' başlığıyla arşivlendi.</t>
        </is>
      </c>
      <c r="L225" s="6" t="inlineStr"/>
      <c r="M225" s="5" t="inlineStr"/>
      <c r="N225" s="5" t="inlineStr"/>
      <c r="O225" s="6" t="inlineStr"/>
      <c r="P225" s="6" t="inlineStr"/>
      <c r="Q225" s="5" t="inlineStr">
        <is>
          <t>Sahne Sever</t>
        </is>
      </c>
      <c r="R225" s="5" t="inlineStr"/>
      <c r="S225" s="5" t="inlineStr"/>
      <c r="T225" s="5" t="inlineStr"/>
      <c r="U225" s="5" t="inlineStr"/>
      <c r="V225" s="5" t="inlineStr"/>
      <c r="W225" s="5" t="inlineStr"/>
      <c r="X225" s="5" t="inlineStr"/>
      <c r="Y225" s="5" t="inlineStr"/>
      <c r="Z225" s="6" t="inlineStr"/>
      <c r="AA225" s="5" t="inlineStr"/>
      <c r="AB225" s="5" t="inlineStr"/>
      <c r="AC225" s="5" t="inlineStr"/>
      <c r="AD225" s="5" t="inlineStr"/>
      <c r="AE225" s="5" t="inlineStr"/>
      <c r="AF225" s="5" t="inlineStr"/>
      <c r="AG225" s="5" t="inlineStr"/>
      <c r="AH225" s="5" t="inlineStr"/>
    </row>
    <row r="226">
      <c r="A226" s="5" t="inlineStr">
        <is>
          <t>b4-ogretmenler-gunu</t>
        </is>
      </c>
      <c r="B226" s="5" t="n">
        <v>1</v>
      </c>
      <c r="C226" s="6" t="inlineStr">
        <is>
          <t>Elle kart yaz</t>
        </is>
      </c>
      <c r="D226" s="5" t="inlineStr"/>
      <c r="E226" s="5" t="inlineStr"/>
      <c r="F226" s="5" t="inlineStr">
        <is>
          <t>İtibar +2</t>
        </is>
      </c>
      <c r="G226" s="6" t="inlineStr">
        <is>
          <t>El yazısıyla bir kart verdin. Öğretmen çantasına koydu. Yıllar sonra da orada olacak.</t>
        </is>
      </c>
      <c r="H226" s="6" t="inlineStr"/>
      <c r="I226" s="6" t="inlineStr"/>
      <c r="J226" s="6" t="inlineStr"/>
      <c r="K226" s="6" t="inlineStr"/>
      <c r="L226" s="6" t="inlineStr"/>
      <c r="M226" s="5" t="inlineStr"/>
      <c r="N226" s="5" t="inlineStr"/>
      <c r="O226" s="6" t="inlineStr"/>
      <c r="P226" s="6" t="inlineStr"/>
      <c r="Q226" s="5" t="inlineStr"/>
      <c r="R226" s="5" t="inlineStr"/>
      <c r="S226" s="5" t="inlineStr"/>
      <c r="T226" s="5" t="inlineStr"/>
      <c r="U226" s="5" t="inlineStr"/>
      <c r="V226" s="5" t="inlineStr"/>
      <c r="W226" s="5" t="inlineStr"/>
      <c r="X226" s="5" t="inlineStr"/>
      <c r="Y226" s="5" t="inlineStr"/>
      <c r="Z226" s="6" t="inlineStr"/>
      <c r="AA226" s="5" t="inlineStr"/>
      <c r="AB226" s="5" t="inlineStr"/>
      <c r="AC226" s="5" t="inlineStr"/>
      <c r="AD226" s="5" t="inlineStr"/>
      <c r="AE226" s="5" t="inlineStr"/>
      <c r="AF226" s="5" t="inlineStr"/>
      <c r="AG226" s="5" t="inlineStr"/>
      <c r="AH226" s="5" t="inlineStr"/>
    </row>
    <row r="227">
      <c r="A227" s="5" t="inlineStr">
        <is>
          <t>b4-ogretmenler-gunu</t>
        </is>
      </c>
      <c r="B227" s="5" t="n">
        <v>2</v>
      </c>
      <c r="C227" s="6" t="inlineStr">
        <is>
          <t>Hediyeyi sen seç</t>
        </is>
      </c>
      <c r="D227" s="5" t="inlineStr">
        <is>
          <t>Sosyal Radar</t>
        </is>
      </c>
      <c r="E227" s="5" t="inlineStr">
        <is>
          <t>Orta</t>
        </is>
      </c>
      <c r="F227" s="5" t="inlineStr"/>
      <c r="G227" s="6" t="inlineStr"/>
      <c r="H227" s="6" t="inlineStr">
        <is>
          <t>Öğretmenin sevdiği çiçeği buldun. Masada tek canlı hediye sizinkiydi.</t>
        </is>
      </c>
      <c r="I227" s="6" t="inlineStr">
        <is>
          <t>Öğretmen hediyeyi açınca gözleri doldu ve 'Bunu nereden bildiniz?' dedi. Kimse sana sormadı ama herkes biliyor.</t>
        </is>
      </c>
      <c r="J227" s="6" t="inlineStr">
        <is>
          <t>Kupa aldınız. Öğretmenin masasında o yıl dokuz kupa vardı.</t>
        </is>
      </c>
      <c r="K227" s="6" t="inlineStr">
        <is>
          <t>Hediye paketini sınıfta açtınız; içinden geçen yılın öğretmenler günü kartı çıktı. Geri dönüşüm fark edildi.</t>
        </is>
      </c>
      <c r="L227" s="6" t="inlineStr"/>
      <c r="M227" s="5" t="inlineStr"/>
      <c r="N227" s="5" t="inlineStr"/>
      <c r="O227" s="6" t="inlineStr"/>
      <c r="P227" s="6" t="inlineStr"/>
      <c r="Q227" s="5" t="inlineStr"/>
      <c r="R227" s="5" t="inlineStr"/>
      <c r="S227" s="5" t="inlineStr"/>
      <c r="T227" s="5" t="inlineStr"/>
      <c r="U227" s="5" t="inlineStr"/>
      <c r="V227" s="5" t="inlineStr"/>
      <c r="W227" s="5" t="inlineStr"/>
      <c r="X227" s="5" t="inlineStr"/>
      <c r="Y227" s="5" t="inlineStr"/>
      <c r="Z227" s="6" t="inlineStr"/>
      <c r="AA227" s="5" t="inlineStr"/>
      <c r="AB227" s="5" t="inlineStr"/>
      <c r="AC227" s="5" t="inlineStr"/>
      <c r="AD227" s="5" t="inlineStr"/>
      <c r="AE227" s="5" t="inlineStr"/>
      <c r="AF227" s="5" t="inlineStr"/>
      <c r="AG227" s="5" t="inlineStr"/>
      <c r="AH227" s="5" t="inlineStr"/>
    </row>
    <row r="228">
      <c r="A228" s="5" t="inlineStr">
        <is>
          <t>b4-ogretmenler-gunu</t>
        </is>
      </c>
      <c r="B228" s="5" t="n">
        <v>3</v>
      </c>
      <c r="C228" s="6" t="inlineStr">
        <is>
          <t>Para toplamayı üstlen</t>
        </is>
      </c>
      <c r="D228" s="5" t="inlineStr">
        <is>
          <t>Çene</t>
        </is>
      </c>
      <c r="E228" s="5" t="inlineStr">
        <is>
          <t>Orta</t>
        </is>
      </c>
      <c r="F228" s="5" t="inlineStr"/>
      <c r="G228" s="6" t="inlineStr"/>
      <c r="H228" s="6" t="inlineStr">
        <is>
          <t>Paraları topladın, deftere yazdın, üstünü iade ettin. Veliler seni muhasebeci ilan etti.</t>
        </is>
      </c>
      <c r="I228" s="6" t="inlineStr">
        <is>
          <t>Toplamı hedefin üstüne çıkardın ve kalan parayla sınıfa pasta aldın. Veli grubu ilk kez hemfikir.</t>
        </is>
      </c>
      <c r="J228" s="6" t="inlineStr">
        <is>
          <t>Üç kişi 'Sonra veririm' dedi. Sonra gelmedi.</t>
        </is>
      </c>
      <c r="K228" s="6" t="inlineStr">
        <is>
          <t>Toplanan parayı cebinde unuttun. Pantolon yıkandı. Para temiz ama sayısı belirsiz.</t>
        </is>
      </c>
      <c r="L228" s="6" t="inlineStr"/>
      <c r="M228" s="5" t="inlineStr"/>
      <c r="N228" s="5" t="inlineStr"/>
      <c r="O228" s="6" t="inlineStr"/>
      <c r="P228" s="6" t="inlineStr"/>
      <c r="Q228" s="5" t="inlineStr">
        <is>
          <t>Organizatör</t>
        </is>
      </c>
      <c r="R228" s="5" t="inlineStr"/>
      <c r="S228" s="5" t="inlineStr"/>
      <c r="T228" s="5" t="inlineStr"/>
      <c r="U228" s="5" t="inlineStr"/>
      <c r="V228" s="5" t="inlineStr"/>
      <c r="W228" s="5" t="inlineStr"/>
      <c r="X228" s="5" t="inlineStr"/>
      <c r="Y228" s="5" t="inlineStr"/>
      <c r="Z228" s="6" t="inlineStr"/>
      <c r="AA228" s="5" t="inlineStr"/>
      <c r="AB228" s="5" t="inlineStr"/>
      <c r="AC228" s="5" t="inlineStr"/>
      <c r="AD228" s="5" t="inlineStr"/>
      <c r="AE228" s="5" t="inlineStr"/>
      <c r="AF228" s="5" t="inlineStr"/>
      <c r="AG228" s="5" t="inlineStr"/>
      <c r="AH228" s="5" t="inlineStr"/>
    </row>
    <row r="229">
      <c r="A229" s="5" t="inlineStr">
        <is>
          <t>b4-ogretmenler-gunu</t>
        </is>
      </c>
      <c r="B229" s="5" t="n">
        <v>4</v>
      </c>
      <c r="C229" s="6" t="inlineStr">
        <is>
          <t>Veli grubunu yatıştır</t>
        </is>
      </c>
      <c r="D229" s="5" t="inlineStr">
        <is>
          <t>Çene</t>
        </is>
      </c>
      <c r="E229" s="5" t="inlineStr">
        <is>
          <t>Zor</t>
        </is>
      </c>
      <c r="F229" s="5" t="inlineStr"/>
      <c r="G229" s="6" t="inlineStr"/>
      <c r="H229" s="6" t="inlineStr">
        <is>
          <t>Annene 'Katılmak isteyen katılsın, isteyen kart yazsın' yazdırdın. Grup sakinleşti.</t>
        </is>
      </c>
      <c r="I229" s="6" t="inlineStr">
        <is>
          <t>Önerin kabul edildi ve grubun adı 'Yapıcı Veliler' oldu. Arka planda sen varsın.</t>
        </is>
      </c>
      <c r="J229" s="6" t="inlineStr">
        <is>
          <t>Annene yazdırdın; bir veli 'Çocuk mu yazıyor bunları?' diye sordu.</t>
        </is>
      </c>
      <c r="K229" s="6" t="inlineStr">
        <is>
          <t>Annen mesajı senin cümlelerinle gönderdi ama sonuna 'Böyle yaz dedi' diye ekledi.</t>
        </is>
      </c>
      <c r="L229" s="6" t="inlineStr"/>
      <c r="M229" s="5" t="inlineStr"/>
      <c r="N229" s="5" t="inlineStr"/>
      <c r="O229" s="6" t="inlineStr"/>
      <c r="P229" s="6" t="inlineStr"/>
      <c r="Q229" s="5" t="inlineStr">
        <is>
          <t>Grup Diplomatı</t>
        </is>
      </c>
      <c r="R229" s="5" t="inlineStr"/>
      <c r="S229" s="5" t="inlineStr"/>
      <c r="T229" s="5" t="inlineStr"/>
      <c r="U229" s="5" t="inlineStr"/>
      <c r="V229" s="5" t="inlineStr"/>
      <c r="W229" s="5" t="inlineStr"/>
      <c r="X229" s="5" t="inlineStr"/>
      <c r="Y229" s="5" t="inlineStr"/>
      <c r="Z229" s="6" t="inlineStr"/>
      <c r="AA229" s="5" t="inlineStr"/>
      <c r="AB229" s="5" t="inlineStr"/>
      <c r="AC229" s="5" t="inlineStr"/>
      <c r="AD229" s="5" t="inlineStr"/>
      <c r="AE229" s="5" t="inlineStr"/>
      <c r="AF229" s="5" t="inlineStr"/>
      <c r="AG229" s="5" t="inlineStr"/>
      <c r="AH229" s="5" t="inlineStr"/>
    </row>
    <row r="230">
      <c r="A230" s="5" t="inlineStr">
        <is>
          <t>b4-ilk-hoslanti</t>
        </is>
      </c>
      <c r="B230" s="5" t="n">
        <v>1</v>
      </c>
      <c r="C230" s="6" t="inlineStr">
        <is>
          <t>Hiçbir şey yapma</t>
        </is>
      </c>
      <c r="D230" s="5" t="inlineStr"/>
      <c r="E230" s="5" t="inlineStr"/>
      <c r="F230" s="5" t="inlineStr">
        <is>
          <t>Dayanıklılık +1</t>
        </is>
      </c>
      <c r="G230" s="6" t="inlineStr">
        <is>
          <t>Hiçbir şey yapmadın. Üç ay boyunca o beğeniyi yorumladın. Tez olurdu.</t>
        </is>
      </c>
      <c r="H230" s="6" t="inlineStr"/>
      <c r="I230" s="6" t="inlineStr"/>
      <c r="J230" s="6" t="inlineStr"/>
      <c r="K230" s="6" t="inlineStr"/>
      <c r="L230" s="6" t="inlineStr"/>
      <c r="M230" s="5" t="inlineStr"/>
      <c r="N230" s="5" t="inlineStr"/>
      <c r="O230" s="6" t="inlineStr"/>
      <c r="P230" s="6" t="inlineStr"/>
      <c r="Q230" s="5" t="inlineStr"/>
      <c r="R230" s="5" t="inlineStr"/>
      <c r="S230" s="5" t="inlineStr"/>
      <c r="T230" s="5" t="inlineStr"/>
      <c r="U230" s="5" t="inlineStr"/>
      <c r="V230" s="5" t="inlineStr"/>
      <c r="W230" s="5" t="inlineStr"/>
      <c r="X230" s="5" t="inlineStr"/>
      <c r="Y230" s="5" t="inlineStr"/>
      <c r="Z230" s="6" t="inlineStr"/>
      <c r="AA230" s="5" t="inlineStr"/>
      <c r="AB230" s="5" t="inlineStr"/>
      <c r="AC230" s="5" t="inlineStr"/>
      <c r="AD230" s="5" t="inlineStr"/>
      <c r="AE230" s="5" t="inlineStr"/>
      <c r="AF230" s="5" t="inlineStr"/>
      <c r="AG230" s="5" t="inlineStr"/>
      <c r="AH230" s="5" t="inlineStr"/>
    </row>
    <row r="231">
      <c r="A231" s="5" t="inlineStr">
        <is>
          <t>b4-ilk-hoslanti</t>
        </is>
      </c>
      <c r="B231" s="5" t="n">
        <v>2</v>
      </c>
      <c r="C231" s="6" t="inlineStr">
        <is>
          <t>İlk mesajı at</t>
        </is>
      </c>
      <c r="D231" s="5" t="inlineStr">
        <is>
          <t>Cesaret</t>
        </is>
      </c>
      <c r="E231" s="5" t="inlineStr">
        <is>
          <t>Zor</t>
        </is>
      </c>
      <c r="F231" s="5" t="inlineStr"/>
      <c r="G231" s="6" t="inlineStr"/>
      <c r="H231" s="6" t="inlineStr">
        <is>
          <t>'Selam' yazdın. 'Selam' geldi. Tarihî bir yazışma başladı.</t>
        </is>
      </c>
      <c r="I231" s="6" t="inlineStr">
        <is>
          <t>Mesaj attın, cevap emojiyle geldi. Ertesi gün koridorda ilk kez yan yana yürüdünüz.</t>
        </is>
      </c>
      <c r="J231" s="6" t="inlineStr">
        <is>
          <t>'Selam' yazdın. Okundu. Üç gündür 'yazıyor...' görünüyor.</t>
        </is>
      </c>
      <c r="K231" s="6" t="inlineStr">
        <is>
          <t>Yazdın, sildin, yazdın. Silinen hâli gitti: 'Seni özlüyorum sanırım.' Hiç konuşmamıştınız.</t>
        </is>
      </c>
      <c r="L231" s="6" t="inlineStr"/>
      <c r="M231" s="5" t="inlineStr"/>
      <c r="N231" s="5" t="inlineStr"/>
      <c r="O231" s="6" t="inlineStr"/>
      <c r="P231" s="6" t="inlineStr"/>
      <c r="Q231" s="5" t="inlineStr"/>
      <c r="R231" s="5" t="inlineStr"/>
      <c r="S231" s="5" t="inlineStr"/>
      <c r="T231" s="5" t="inlineStr"/>
      <c r="U231" s="5" t="inlineStr"/>
      <c r="V231" s="5" t="inlineStr">
        <is>
          <t>ilk-mesaj</t>
        </is>
      </c>
      <c r="W231" s="5" t="inlineStr"/>
      <c r="X231" s="5" t="inlineStr"/>
      <c r="Y231" s="5" t="inlineStr"/>
      <c r="Z231" s="6" t="inlineStr"/>
      <c r="AA231" s="5" t="inlineStr"/>
      <c r="AB231" s="5" t="inlineStr"/>
      <c r="AC231" s="5" t="inlineStr"/>
      <c r="AD231" s="5" t="inlineStr"/>
      <c r="AE231" s="5" t="inlineStr"/>
      <c r="AF231" s="5" t="inlineStr"/>
      <c r="AG231" s="5" t="inlineStr"/>
      <c r="AH231" s="5" t="inlineStr"/>
    </row>
    <row r="232">
      <c r="A232" s="5" t="inlineStr">
        <is>
          <t>b4-ilk-hoslanti</t>
        </is>
      </c>
      <c r="B232" s="5" t="n">
        <v>3</v>
      </c>
      <c r="C232" s="6" t="inlineStr">
        <is>
          <t>Hikâyesine emoji bırak</t>
        </is>
      </c>
      <c r="D232" s="5" t="inlineStr">
        <is>
          <t>Kurnazlık</t>
        </is>
      </c>
      <c r="E232" s="5" t="inlineStr">
        <is>
          <t>Kolay</t>
        </is>
      </c>
      <c r="F232" s="5" t="inlineStr"/>
      <c r="G232" s="6" t="inlineStr"/>
      <c r="H232" s="6" t="inlineStr">
        <is>
          <t>Ateş emojisi bıraktın. Karşılığında kalp geldi. Diplomatik ilişkiler kuruldu.</t>
        </is>
      </c>
      <c r="I232" s="6" t="inlineStr">
        <is>
          <t>Emojine cevap olarak özel mesaj geldi: 'Sen de mi bu şarkıyı seviyorsun?' Sevmiyordun. Artık seviyorsun.</t>
        </is>
      </c>
      <c r="J232" s="6" t="inlineStr">
        <is>
          <t>Emoji bıraktın. O da herkese aynı emojiyi bırakıyormuş.</t>
        </is>
      </c>
      <c r="K232" s="6" t="inlineStr">
        <is>
          <t>Ateş bırakacaktın, itfaiyeci gitti. Anlamını kimse çözemedi. Sen de.</t>
        </is>
      </c>
      <c r="L232" s="6" t="inlineStr"/>
      <c r="M232" s="5" t="inlineStr"/>
      <c r="N232" s="5" t="inlineStr"/>
      <c r="O232" s="6" t="inlineStr"/>
      <c r="P232" s="6" t="inlineStr"/>
      <c r="Q232" s="5" t="inlineStr"/>
      <c r="R232" s="5" t="inlineStr"/>
      <c r="S232" s="5" t="inlineStr"/>
      <c r="T232" s="5" t="inlineStr"/>
      <c r="U232" s="5" t="inlineStr"/>
      <c r="V232" s="5" t="inlineStr"/>
      <c r="W232" s="5" t="inlineStr"/>
      <c r="X232" s="5" t="inlineStr"/>
      <c r="Y232" s="5" t="inlineStr"/>
      <c r="Z232" s="6" t="inlineStr"/>
      <c r="AA232" s="5" t="inlineStr"/>
      <c r="AB232" s="5" t="inlineStr"/>
      <c r="AC232" s="5" t="inlineStr"/>
      <c r="AD232" s="5" t="inlineStr"/>
      <c r="AE232" s="5" t="inlineStr"/>
      <c r="AF232" s="5" t="inlineStr"/>
      <c r="AG232" s="5" t="inlineStr"/>
      <c r="AH232" s="5" t="inlineStr"/>
    </row>
    <row r="233">
      <c r="A233" s="5" t="inlineStr">
        <is>
          <t>b4-ilk-hoslanti</t>
        </is>
      </c>
      <c r="B233" s="5" t="n">
        <v>4</v>
      </c>
      <c r="C233" s="6" t="inlineStr">
        <is>
          <t>Ortak arkadaşa sor</t>
        </is>
      </c>
      <c r="D233" s="5" t="inlineStr">
        <is>
          <t>Sosyal Radar</t>
        </is>
      </c>
      <c r="E233" s="5" t="inlineStr">
        <is>
          <t>Kolay</t>
        </is>
      </c>
      <c r="F233" s="5" t="inlineStr"/>
      <c r="G233" s="6" t="inlineStr"/>
      <c r="H233" s="6" t="inlineStr">
        <is>
          <t>Ortak arkadaş bilgi getirdi: 'O da senin hikâyeni ilk izleyen oluyormuş.' İstihbarat olumlu.</t>
        </is>
      </c>
      <c r="I233" s="6" t="inlineStr">
        <is>
          <t>Ortak arkadaş ortamı öyle hazırladı ki teneffüste yanınıza iki kişilik boşluk bırakıldı.</t>
        </is>
      </c>
      <c r="J233" s="6" t="inlineStr">
        <is>
          <t>Ortak arkadaş 'Bilmiyorum, sorayım mı?' dedi. Sormamasını rica ettin. Sordu.</t>
        </is>
      </c>
      <c r="K233" s="6" t="inlineStr">
        <is>
          <t>Ortak arkadaş soruyu olduğu gibi iletti. İmla hatasıyla.</t>
        </is>
      </c>
      <c r="L233" s="6" t="inlineStr"/>
      <c r="M233" s="5" t="inlineStr"/>
      <c r="N233" s="5" t="inlineStr"/>
      <c r="O233" s="6" t="inlineStr"/>
      <c r="P233" s="6" t="inlineStr"/>
      <c r="Q233" s="5" t="inlineStr"/>
      <c r="R233" s="5" t="inlineStr"/>
      <c r="S233" s="5" t="inlineStr">
        <is>
          <t>Sosyal Radar</t>
        </is>
      </c>
      <c r="T233" s="5" t="inlineStr"/>
      <c r="U233" s="5" t="inlineStr"/>
      <c r="V233" s="5" t="inlineStr">
        <is>
          <t>ilk-mesaj</t>
        </is>
      </c>
      <c r="W233" s="5" t="inlineStr"/>
      <c r="X233" s="5" t="inlineStr"/>
      <c r="Y233" s="5" t="inlineStr"/>
      <c r="Z233" s="6" t="inlineStr"/>
      <c r="AA233" s="5" t="inlineStr"/>
      <c r="AB233" s="5" t="inlineStr"/>
      <c r="AC233" s="5" t="inlineStr"/>
      <c r="AD233" s="5" t="inlineStr"/>
      <c r="AE233" s="5" t="inlineStr"/>
      <c r="AF233" s="5" t="inlineStr"/>
      <c r="AG233" s="5" t="inlineStr"/>
      <c r="AH233" s="5" t="inlineStr"/>
    </row>
    <row r="234">
      <c r="A234" s="5" t="inlineStr">
        <is>
          <t>b4-grup-odevi</t>
        </is>
      </c>
      <c r="B234" s="5" t="n">
        <v>1</v>
      </c>
      <c r="C234" s="6" t="inlineStr">
        <is>
          <t>Hepsini sen yap</t>
        </is>
      </c>
      <c r="D234" s="5" t="inlineStr"/>
      <c r="E234" s="5" t="inlineStr"/>
      <c r="F234" s="5" t="inlineStr">
        <is>
          <t>Dayanıklılık +2</t>
        </is>
      </c>
      <c r="G234" s="6" t="inlineStr">
        <is>
          <t>Ödevi tek başına yaptın. Sunumda üç kişi 'biz' dedi. Kurumsal hayata erken giriş.</t>
        </is>
      </c>
      <c r="H234" s="6" t="inlineStr"/>
      <c r="I234" s="6" t="inlineStr"/>
      <c r="J234" s="6" t="inlineStr"/>
      <c r="K234" s="6" t="inlineStr"/>
      <c r="L234" s="6" t="inlineStr"/>
      <c r="M234" s="5" t="inlineStr"/>
      <c r="N234" s="5" t="inlineStr"/>
      <c r="O234" s="6" t="inlineStr"/>
      <c r="P234" s="6" t="inlineStr"/>
      <c r="Q234" s="5" t="inlineStr"/>
      <c r="R234" s="5" t="inlineStr"/>
      <c r="S234" s="5" t="inlineStr"/>
      <c r="T234" s="5" t="inlineStr"/>
      <c r="U234" s="5" t="inlineStr"/>
      <c r="V234" s="5" t="inlineStr"/>
      <c r="W234" s="5" t="inlineStr"/>
      <c r="X234" s="5" t="inlineStr"/>
      <c r="Y234" s="5" t="inlineStr"/>
      <c r="Z234" s="6" t="inlineStr"/>
      <c r="AA234" s="5" t="inlineStr"/>
      <c r="AB234" s="5" t="inlineStr"/>
      <c r="AC234" s="5" t="inlineStr"/>
      <c r="AD234" s="5" t="inlineStr"/>
      <c r="AE234" s="5" t="inlineStr"/>
      <c r="AF234" s="5" t="inlineStr"/>
      <c r="AG234" s="5" t="inlineStr"/>
      <c r="AH234" s="5" t="inlineStr"/>
    </row>
    <row r="235">
      <c r="A235" s="5" t="inlineStr">
        <is>
          <t>b4-grup-odevi</t>
        </is>
      </c>
      <c r="B235" s="5" t="n">
        <v>2</v>
      </c>
      <c r="C235" s="6" t="inlineStr">
        <is>
          <t>Görev dağıt</t>
        </is>
      </c>
      <c r="D235" s="5" t="inlineStr">
        <is>
          <t>Çene</t>
        </is>
      </c>
      <c r="E235" s="5" t="inlineStr">
        <is>
          <t>Zor</t>
        </is>
      </c>
      <c r="F235" s="5" t="inlineStr"/>
      <c r="G235" s="6" t="inlineStr"/>
      <c r="H235" s="6" t="inlineStr">
        <is>
          <t>Herkese bir slayt verdin. Üç slayt geldi, biri başka bir ödevdendi ama geldi.</t>
        </is>
      </c>
      <c r="I235" s="6" t="inlineStr">
        <is>
          <t>Görevleri öyle dağıttın ki herkes kendi fikriymiş gibi çalıştı. Yöneticiliğin temel ilkesi.</t>
        </is>
      </c>
      <c r="J235" s="6" t="inlineStr">
        <is>
          <t>Görev dağıttın; üç kişi 'Tamam' yazdı ve bir daha hiçbir şey yazmadı.</t>
        </is>
      </c>
      <c r="K235" s="6" t="inlineStr">
        <is>
          <t>Görev dağıttın; biri sana 'Sen de mi öğretmensin?' yazdı. Grup ondan yana çıktı. Ödev yine sende.</t>
        </is>
      </c>
      <c r="L235" s="6" t="inlineStr"/>
      <c r="M235" s="5" t="inlineStr"/>
      <c r="N235" s="5" t="inlineStr"/>
      <c r="O235" s="6" t="inlineStr"/>
      <c r="P235" s="6" t="inlineStr"/>
      <c r="Q235" s="5" t="inlineStr"/>
      <c r="R235" s="5" t="inlineStr"/>
      <c r="S235" s="5" t="inlineStr"/>
      <c r="T235" s="5" t="inlineStr">
        <is>
          <t>Grup Diplomatı</t>
        </is>
      </c>
      <c r="U235" s="5" t="inlineStr"/>
      <c r="V235" s="5" t="inlineStr"/>
      <c r="W235" s="5" t="inlineStr"/>
      <c r="X235" s="5" t="inlineStr"/>
      <c r="Y235" s="5" t="inlineStr"/>
      <c r="Z235" s="6" t="inlineStr"/>
      <c r="AA235" s="5" t="inlineStr"/>
      <c r="AB235" s="5" t="inlineStr"/>
      <c r="AC235" s="5" t="inlineStr"/>
      <c r="AD235" s="5" t="inlineStr"/>
      <c r="AE235" s="5" t="inlineStr"/>
      <c r="AF235" s="5" t="inlineStr"/>
      <c r="AG235" s="5" t="inlineStr"/>
      <c r="AH235" s="5" t="inlineStr"/>
    </row>
    <row r="236">
      <c r="A236" s="5" t="inlineStr">
        <is>
          <t>b4-grup-odevi</t>
        </is>
      </c>
      <c r="B236" s="5" t="n">
        <v>3</v>
      </c>
      <c r="C236" s="6" t="inlineStr">
        <is>
          <t>En sessiz olana alan aç</t>
        </is>
      </c>
      <c r="D236" s="5" t="inlineStr">
        <is>
          <t>Sosyal Radar</t>
        </is>
      </c>
      <c r="E236" s="5" t="inlineStr">
        <is>
          <t>Kolay</t>
        </is>
      </c>
      <c r="F236" s="5" t="inlineStr"/>
      <c r="G236" s="6" t="inlineStr"/>
      <c r="H236" s="6" t="inlineStr">
        <is>
          <t>Sessiz arkadaşa 'Sen başlar mısın?' dedin. Ertesi sabah ödev bitmişti. Kusursuz.</t>
        </is>
      </c>
      <c r="I236" s="6" t="inlineStr">
        <is>
          <t>Sessiz arkadaş ödevi bitirdi, sunumu da yaptı. Öğretmen 'Grup çalışması böyle olur' dedi. Hiç yoktu.</t>
        </is>
      </c>
      <c r="J236" s="6" t="inlineStr">
        <is>
          <t>Alan açtın; o da sessizce alanda bekledi.</t>
        </is>
      </c>
      <c r="K236" s="6" t="inlineStr">
        <is>
          <t>Alan açtın, o da ödevi yaptı ve kapağa sadece kendi adını yazdı. Haklıydı da.</t>
        </is>
      </c>
      <c r="L236" s="6" t="inlineStr"/>
      <c r="M236" s="5" t="inlineStr"/>
      <c r="N236" s="5" t="inlineStr"/>
      <c r="O236" s="6" t="inlineStr"/>
      <c r="P236" s="6" t="inlineStr"/>
      <c r="Q236" s="5" t="inlineStr"/>
      <c r="R236" s="5" t="inlineStr"/>
      <c r="S236" s="5" t="inlineStr">
        <is>
          <t>Sosyal Radar</t>
        </is>
      </c>
      <c r="T236" s="5" t="inlineStr"/>
      <c r="U236" s="5" t="inlineStr"/>
      <c r="V236" s="5" t="inlineStr"/>
      <c r="W236" s="5" t="inlineStr"/>
      <c r="X236" s="5" t="inlineStr"/>
      <c r="Y236" s="5" t="inlineStr"/>
      <c r="Z236" s="6" t="inlineStr"/>
      <c r="AA236" s="5" t="inlineStr"/>
      <c r="AB236" s="5" t="inlineStr"/>
      <c r="AC236" s="5" t="inlineStr"/>
      <c r="AD236" s="5" t="inlineStr"/>
      <c r="AE236" s="5" t="inlineStr"/>
      <c r="AF236" s="5" t="inlineStr"/>
      <c r="AG236" s="5" t="inlineStr"/>
      <c r="AH236" s="5" t="inlineStr"/>
    </row>
    <row r="237">
      <c r="A237" s="5" t="inlineStr">
        <is>
          <t>b4-grup-odevi</t>
        </is>
      </c>
      <c r="B237" s="5" t="n">
        <v>4</v>
      </c>
      <c r="C237" s="6" t="inlineStr">
        <is>
          <t>Son gece ortaya çık</t>
        </is>
      </c>
      <c r="D237" s="5" t="inlineStr">
        <is>
          <t>Pişkinlik</t>
        </is>
      </c>
      <c r="E237" s="5" t="inlineStr">
        <is>
          <t>Orta</t>
        </is>
      </c>
      <c r="F237" s="5" t="inlineStr"/>
      <c r="G237" s="6" t="inlineStr"/>
      <c r="H237" s="6" t="inlineStr">
        <is>
          <t>Gece yarısı 'Ben kapağı yaparım' yazdın. Kapak güzeldi. Katkın tescillendi.</t>
        </is>
      </c>
      <c r="I237" s="6" t="inlineStr">
        <is>
          <t>Kapağı öyle yaptın ki öğretmen sadece kapağa not verdi. En yüksek notu da sen aldın.</t>
        </is>
      </c>
      <c r="J237" s="6" t="inlineStr">
        <is>
          <t>Gece yarısı geldin; ödev çoktan bitmişti. Grup seni 'Kapak Sorumlusu' olarak kaydetti. Kapak da bitmişti.</t>
        </is>
      </c>
      <c r="K237" s="6" t="inlineStr">
        <is>
          <t>Gece yarısı geldin, yanlış dosyayı yükledin. Teslim edilen ödev: geçen yazki tatil fotoğrafların.</t>
        </is>
      </c>
      <c r="L237" s="6" t="inlineStr"/>
      <c r="M237" s="5" t="inlineStr"/>
      <c r="N237" s="5" t="inlineStr"/>
      <c r="O237" s="6" t="inlineStr"/>
      <c r="P237" s="6" t="inlineStr"/>
      <c r="Q237" s="5" t="inlineStr"/>
      <c r="R237" s="5" t="inlineStr"/>
      <c r="S237" s="5" t="inlineStr"/>
      <c r="T237" s="5" t="inlineStr"/>
      <c r="U237" s="5" t="inlineStr"/>
      <c r="V237" s="5" t="inlineStr"/>
      <c r="W237" s="5" t="inlineStr"/>
      <c r="X237" s="5" t="inlineStr"/>
      <c r="Y237" s="5" t="inlineStr"/>
      <c r="Z237" s="6" t="inlineStr"/>
      <c r="AA237" s="5" t="inlineStr"/>
      <c r="AB237" s="5" t="inlineStr"/>
      <c r="AC237" s="5" t="inlineStr"/>
      <c r="AD237" s="5" t="inlineStr"/>
      <c r="AE237" s="5" t="inlineStr"/>
      <c r="AF237" s="5" t="inlineStr"/>
      <c r="AG237" s="5" t="inlineStr"/>
      <c r="AH237" s="5" t="inlineStr"/>
    </row>
    <row r="238">
      <c r="A238" s="5" t="inlineStr">
        <is>
          <t>b4-okul-gezisi</t>
        </is>
      </c>
      <c r="B238" s="5" t="n">
        <v>1</v>
      </c>
      <c r="C238" s="6" t="inlineStr">
        <is>
          <t>Öğretmenin yanına otur</t>
        </is>
      </c>
      <c r="D238" s="5" t="inlineStr"/>
      <c r="E238" s="5" t="inlineStr"/>
      <c r="F238" s="5" t="inlineStr">
        <is>
          <t>İtibar +1</t>
        </is>
      </c>
      <c r="G238" s="6" t="inlineStr">
        <is>
          <t>Öğretmenin yanında oturdun. Üç saat boyunca emeklilik planlarını dinledin. Değerli bir staj.</t>
        </is>
      </c>
      <c r="H238" s="6" t="inlineStr"/>
      <c r="I238" s="6" t="inlineStr"/>
      <c r="J238" s="6" t="inlineStr"/>
      <c r="K238" s="6" t="inlineStr"/>
      <c r="L238" s="6" t="inlineStr"/>
      <c r="M238" s="5" t="inlineStr"/>
      <c r="N238" s="5" t="inlineStr"/>
      <c r="O238" s="6" t="inlineStr"/>
      <c r="P238" s="6" t="inlineStr"/>
      <c r="Q238" s="5" t="inlineStr"/>
      <c r="R238" s="5" t="inlineStr"/>
      <c r="S238" s="5" t="inlineStr"/>
      <c r="T238" s="5" t="inlineStr"/>
      <c r="U238" s="5" t="inlineStr"/>
      <c r="V238" s="5" t="inlineStr"/>
      <c r="W238" s="5" t="inlineStr"/>
      <c r="X238" s="5" t="inlineStr"/>
      <c r="Y238" s="5" t="inlineStr"/>
      <c r="Z238" s="6" t="inlineStr"/>
      <c r="AA238" s="5" t="inlineStr"/>
      <c r="AB238" s="5" t="inlineStr"/>
      <c r="AC238" s="5" t="inlineStr"/>
      <c r="AD238" s="5" t="inlineStr"/>
      <c r="AE238" s="5" t="inlineStr"/>
      <c r="AF238" s="5" t="inlineStr"/>
      <c r="AG238" s="5" t="inlineStr"/>
      <c r="AH238" s="5" t="inlineStr"/>
    </row>
    <row r="239">
      <c r="A239" s="5" t="inlineStr">
        <is>
          <t>b4-okul-gezisi</t>
        </is>
      </c>
      <c r="B239" s="5" t="n">
        <v>2</v>
      </c>
      <c r="C239" s="6" t="inlineStr">
        <is>
          <t>Arka koltuğu kap</t>
        </is>
      </c>
      <c r="D239" s="5" t="inlineStr">
        <is>
          <t>Kurnazlık</t>
        </is>
      </c>
      <c r="E239" s="5" t="inlineStr">
        <is>
          <t>Orta</t>
        </is>
      </c>
      <c r="F239" s="5" t="inlineStr"/>
      <c r="G239" s="6" t="inlineStr"/>
      <c r="H239" s="6" t="inlineStr">
        <is>
          <t>Arka koltuktasın. Statü onaylandı.</t>
        </is>
      </c>
      <c r="I239" s="6" t="inlineStr">
        <is>
          <t>Arka koltuğun ortasını kaptın; otobüsün gayriresmî başkanı oldun. Şarkıları sen seçiyorsun.</t>
        </is>
      </c>
      <c r="J239" s="6" t="inlineStr">
        <is>
          <t>Arka koltuğa vardığında son yer bir çantaya verilmişti. Çanta daha popülerdi.</t>
        </is>
      </c>
      <c r="K239" s="6" t="inlineStr">
        <is>
          <t>Arka koltuğu kaptın, yol virajlıydı. Gezi fotoğraflarının hepsinde yeşilsin.</t>
        </is>
      </c>
      <c r="L239" s="6" t="inlineStr"/>
      <c r="M239" s="5" t="inlineStr"/>
      <c r="N239" s="5" t="inlineStr"/>
      <c r="O239" s="6" t="inlineStr"/>
      <c r="P239" s="6" t="inlineStr"/>
      <c r="Q239" s="5" t="inlineStr"/>
      <c r="R239" s="5" t="inlineStr"/>
      <c r="S239" s="5" t="inlineStr"/>
      <c r="T239" s="5" t="inlineStr"/>
      <c r="U239" s="5" t="inlineStr"/>
      <c r="V239" s="5" t="inlineStr"/>
      <c r="W239" s="5" t="inlineStr"/>
      <c r="X239" s="5" t="inlineStr"/>
      <c r="Y239" s="5" t="inlineStr"/>
      <c r="Z239" s="6" t="inlineStr"/>
      <c r="AA239" s="5" t="inlineStr"/>
      <c r="AB239" s="5" t="inlineStr"/>
      <c r="AC239" s="5" t="inlineStr"/>
      <c r="AD239" s="5" t="inlineStr"/>
      <c r="AE239" s="5" t="inlineStr"/>
      <c r="AF239" s="5" t="inlineStr"/>
      <c r="AG239" s="5" t="inlineStr"/>
      <c r="AH239" s="5" t="inlineStr"/>
    </row>
    <row r="240">
      <c r="A240" s="5" t="inlineStr">
        <is>
          <t>b4-okul-gezisi</t>
        </is>
      </c>
      <c r="B240" s="5" t="n">
        <v>3</v>
      </c>
      <c r="C240" s="6" t="inlineStr">
        <is>
          <t>Otobüste şarkı başlat</t>
        </is>
      </c>
      <c r="D240" s="5" t="inlineStr">
        <is>
          <t>Çene</t>
        </is>
      </c>
      <c r="E240" s="5" t="inlineStr">
        <is>
          <t>Orta</t>
        </is>
      </c>
      <c r="F240" s="5" t="inlineStr"/>
      <c r="G240" s="6" t="inlineStr"/>
      <c r="H240" s="6" t="inlineStr">
        <is>
          <t>Başlattığın şarkıyı otobüsün yarısı söyledi. Yarısı çoğunluk sayılır.</t>
        </is>
      </c>
      <c r="I240" s="6" t="inlineStr">
        <is>
          <t>Şarkı dönüş yolunda da söylendi. Şoför bile katıldı.</t>
        </is>
      </c>
      <c r="J240" s="6" t="inlineStr">
        <is>
          <t>Şarkıyı başlattın; iki kişi katıldı. İkisi de sözleri bilmiyordu.</t>
        </is>
      </c>
      <c r="K240" s="6" t="inlineStr">
        <is>
          <t>Şarkıyı başlattın; kimse katılmadı. İki saatlik yolun ilk dört dakikasıydı.</t>
        </is>
      </c>
      <c r="L240" s="6" t="inlineStr"/>
      <c r="M240" s="5" t="inlineStr"/>
      <c r="N240" s="5" t="inlineStr"/>
      <c r="O240" s="6" t="inlineStr"/>
      <c r="P240" s="6" t="inlineStr"/>
      <c r="Q240" s="5" t="inlineStr"/>
      <c r="R240" s="5" t="inlineStr"/>
      <c r="S240" s="5" t="inlineStr"/>
      <c r="T240" s="5" t="inlineStr"/>
      <c r="U240" s="5" t="inlineStr"/>
      <c r="V240" s="5" t="inlineStr"/>
      <c r="W240" s="5" t="inlineStr"/>
      <c r="X240" s="5" t="inlineStr"/>
      <c r="Y240" s="5" t="inlineStr"/>
      <c r="Z240" s="6" t="inlineStr"/>
      <c r="AA240" s="5" t="inlineStr"/>
      <c r="AB240" s="5" t="inlineStr"/>
      <c r="AC240" s="5" t="inlineStr"/>
      <c r="AD240" s="5" t="inlineStr"/>
      <c r="AE240" s="5" t="inlineStr"/>
      <c r="AF240" s="5" t="inlineStr"/>
      <c r="AG240" s="5" t="inlineStr"/>
      <c r="AH240" s="5" t="inlineStr"/>
    </row>
    <row r="241">
      <c r="A241" s="5" t="inlineStr">
        <is>
          <t>b4-okul-gezisi</t>
        </is>
      </c>
      <c r="B241" s="5" t="n">
        <v>4</v>
      </c>
      <c r="C241" s="6" t="inlineStr">
        <is>
          <t>Sayımı sen yap</t>
        </is>
      </c>
      <c r="D241" s="5" t="inlineStr">
        <is>
          <t>Akıl</t>
        </is>
      </c>
      <c r="E241" s="5" t="inlineStr">
        <is>
          <t>Kolay</t>
        </is>
      </c>
      <c r="F241" s="5" t="inlineStr"/>
      <c r="G241" s="6" t="inlineStr"/>
      <c r="H241" s="6" t="inlineStr">
        <is>
          <t>Sayımı yaptın, bir kişi eksikti. Tuvalette bulundu. Öğretmen seni yardımcı ilan etti.</t>
        </is>
      </c>
      <c r="I241" s="6" t="inlineStr">
        <is>
          <t>Sayımı yaptın, iki kişinin başka okulun otobüsüne bindiğini fark ettin. Uluslararası kriz önlendi.</t>
        </is>
      </c>
      <c r="J241" s="6" t="inlineStr">
        <is>
          <t>Sayımı yaptın, sayı yine tutmadı. Sorun metotta değilmiş.</t>
        </is>
      </c>
      <c r="K241" s="6" t="inlineStr">
        <is>
          <t>Sayımı yaptın, bir kişi eksik çıktı. Kendini saymamıştın.</t>
        </is>
      </c>
      <c r="L241" s="6" t="inlineStr"/>
      <c r="M241" s="5" t="inlineStr"/>
      <c r="N241" s="5" t="inlineStr"/>
      <c r="O241" s="6" t="inlineStr"/>
      <c r="P241" s="6" t="inlineStr"/>
      <c r="Q241" s="5" t="inlineStr">
        <is>
          <t>Organizatör</t>
        </is>
      </c>
      <c r="R241" s="5" t="inlineStr"/>
      <c r="S241" s="5" t="inlineStr"/>
      <c r="T241" s="5" t="inlineStr"/>
      <c r="U241" s="5" t="inlineStr"/>
      <c r="V241" s="5" t="inlineStr"/>
      <c r="W241" s="5" t="inlineStr"/>
      <c r="X241" s="5" t="inlineStr"/>
      <c r="Y241" s="5" t="inlineStr"/>
      <c r="Z241" s="6" t="inlineStr"/>
      <c r="AA241" s="5" t="inlineStr"/>
      <c r="AB241" s="5" t="inlineStr"/>
      <c r="AC241" s="5" t="inlineStr"/>
      <c r="AD241" s="5" t="inlineStr"/>
      <c r="AE241" s="5" t="inlineStr"/>
      <c r="AF241" s="5" t="inlineStr"/>
      <c r="AG241" s="5" t="inlineStr"/>
      <c r="AH241" s="5" t="inlineStr"/>
    </row>
    <row r="242">
      <c r="A242" s="5" t="inlineStr">
        <is>
          <t>b4-ayna</t>
        </is>
      </c>
      <c r="B242" s="5" t="n">
        <v>1</v>
      </c>
      <c r="C242" s="6" t="inlineStr">
        <is>
          <t>Saçı bırak, çık</t>
        </is>
      </c>
      <c r="D242" s="5" t="inlineStr"/>
      <c r="E242" s="5" t="inlineStr"/>
      <c r="F242" s="5" t="inlineStr">
        <is>
          <t>Dayanıklılık +1</t>
        </is>
      </c>
      <c r="G242" s="6" t="inlineStr">
        <is>
          <t>Saçı olduğu gibi bıraktın. Kimse fark etmedi. Bu da bir cevap.</t>
        </is>
      </c>
      <c r="H242" s="6" t="inlineStr"/>
      <c r="I242" s="6" t="inlineStr"/>
      <c r="J242" s="6" t="inlineStr"/>
      <c r="K242" s="6" t="inlineStr"/>
      <c r="L242" s="6" t="inlineStr"/>
      <c r="M242" s="5" t="inlineStr"/>
      <c r="N242" s="5" t="inlineStr"/>
      <c r="O242" s="6" t="inlineStr"/>
      <c r="P242" s="6" t="inlineStr"/>
      <c r="Q242" s="5" t="inlineStr"/>
      <c r="R242" s="5" t="inlineStr"/>
      <c r="S242" s="5" t="inlineStr"/>
      <c r="T242" s="5" t="inlineStr"/>
      <c r="U242" s="5" t="inlineStr"/>
      <c r="V242" s="5" t="inlineStr"/>
      <c r="W242" s="5" t="inlineStr"/>
      <c r="X242" s="5" t="inlineStr"/>
      <c r="Y242" s="5" t="inlineStr"/>
      <c r="Z242" s="6" t="inlineStr"/>
      <c r="AA242" s="5" t="inlineStr"/>
      <c r="AB242" s="5" t="inlineStr"/>
      <c r="AC242" s="5" t="inlineStr"/>
      <c r="AD242" s="5" t="inlineStr"/>
      <c r="AE242" s="5" t="inlineStr"/>
      <c r="AF242" s="5" t="inlineStr"/>
      <c r="AG242" s="5" t="inlineStr"/>
      <c r="AH242" s="5" t="inlineStr"/>
    </row>
    <row r="243">
      <c r="A243" s="5" t="inlineStr">
        <is>
          <t>b4-ayna</t>
        </is>
      </c>
      <c r="B243" s="5" t="n">
        <v>2</v>
      </c>
      <c r="C243" s="6" t="inlineStr">
        <is>
          <t>Babanın jölesini kullan</t>
        </is>
      </c>
      <c r="D243" s="5" t="inlineStr">
        <is>
          <t>Kurnazlık</t>
        </is>
      </c>
      <c r="E243" s="5" t="inlineStr">
        <is>
          <t>Orta</t>
        </is>
      </c>
      <c r="F243" s="5" t="inlineStr"/>
      <c r="G243" s="6" t="inlineStr"/>
      <c r="H243" s="6" t="inlineStr">
        <is>
          <t>Saç yerinde, akşama kadar. Rüzgâr bile izin istiyor.</t>
        </is>
      </c>
      <c r="I243" s="6" t="inlineStr">
        <is>
          <t>Saç öyle oturdu ki sınıfta biri 'Nereye yaptırdın?' diye sordu. Cevabın: 'Babama.'</t>
        </is>
      </c>
      <c r="J243" s="6" t="inlineStr">
        <is>
          <t>Jöleyi fazla koydun. Saçın öğle arasına kadar tek parça hâlinde durdu.</t>
        </is>
      </c>
      <c r="K243" s="6" t="inlineStr">
        <is>
          <t>Jöle sandığın şey tıraş köpüğüydü. Okula bulut gibi gittin. 'Bulut' lakabı üç yıl sürdü.</t>
        </is>
      </c>
      <c r="L243" s="6" t="inlineStr"/>
      <c r="M243" s="5" t="inlineStr"/>
      <c r="N243" s="5" t="inlineStr"/>
      <c r="O243" s="6" t="inlineStr"/>
      <c r="P243" s="6" t="inlineStr"/>
      <c r="Q243" s="5" t="inlineStr"/>
      <c r="R243" s="5" t="inlineStr"/>
      <c r="S243" s="5" t="inlineStr"/>
      <c r="T243" s="5" t="inlineStr"/>
      <c r="U243" s="5" t="inlineStr"/>
      <c r="V243" s="5" t="inlineStr"/>
      <c r="W243" s="5" t="inlineStr">
        <is>
          <t>lakapli</t>
        </is>
      </c>
      <c r="X243" s="5" t="inlineStr"/>
      <c r="Y243" s="5" t="inlineStr"/>
      <c r="Z243" s="6" t="inlineStr"/>
      <c r="AA243" s="5" t="inlineStr"/>
      <c r="AB243" s="5" t="inlineStr"/>
      <c r="AC243" s="5" t="inlineStr"/>
      <c r="AD243" s="5" t="inlineStr"/>
      <c r="AE243" s="5" t="inlineStr"/>
      <c r="AF243" s="5" t="inlineStr"/>
      <c r="AG243" s="5" t="inlineStr"/>
      <c r="AH243" s="5" t="inlineStr"/>
    </row>
    <row r="244">
      <c r="A244" s="5" t="inlineStr">
        <is>
          <t>b4-ayna</t>
        </is>
      </c>
      <c r="B244" s="5" t="n">
        <v>3</v>
      </c>
      <c r="C244" s="6" t="inlineStr">
        <is>
          <t>Kuaförde yeni tarz iste</t>
        </is>
      </c>
      <c r="D244" s="5" t="inlineStr">
        <is>
          <t>Cesaret</t>
        </is>
      </c>
      <c r="E244" s="5" t="inlineStr">
        <is>
          <t>Orta</t>
        </is>
      </c>
      <c r="F244" s="5" t="inlineStr"/>
      <c r="G244" s="6" t="inlineStr"/>
      <c r="H244" s="6" t="inlineStr">
        <is>
          <t>Kuaföre fotoğraf gösterdin. Sonuç fotoğrafa benziyor. Uzaktan.</t>
        </is>
      </c>
      <c r="I244" s="6" t="inlineStr">
        <is>
          <t>Kuaför fotoğraftakinden daha iyisini yaptı. Pazartesi okulun koridoru yavaşladı.</t>
        </is>
      </c>
      <c r="J244" s="6" t="inlineStr">
        <is>
          <t>Kuaför gösterdiğin fotoğrafı yorumladı. Yorumu serbestti.</t>
        </is>
      </c>
      <c r="K244" s="6" t="inlineStr">
        <is>
          <t>Kuaför 'Güven bana' dedi. Güvendin. Sonuç, annenin gençlik fotoğrafındaki saç modeli.</t>
        </is>
      </c>
      <c r="L244" s="6" t="inlineStr"/>
      <c r="M244" s="5" t="inlineStr"/>
      <c r="N244" s="5" t="inlineStr"/>
      <c r="O244" s="6" t="inlineStr"/>
      <c r="P244" s="6" t="inlineStr"/>
      <c r="Q244" s="5" t="inlineStr"/>
      <c r="R244" s="5" t="inlineStr"/>
      <c r="S244" s="5" t="inlineStr"/>
      <c r="T244" s="5" t="inlineStr"/>
      <c r="U244" s="5" t="inlineStr"/>
      <c r="V244" s="5" t="inlineStr"/>
      <c r="W244" s="5" t="inlineStr"/>
      <c r="X244" s="5" t="inlineStr"/>
      <c r="Y244" s="5" t="inlineStr"/>
      <c r="Z244" s="6" t="inlineStr"/>
      <c r="AA244" s="5" t="inlineStr"/>
      <c r="AB244" s="5" t="inlineStr"/>
      <c r="AC244" s="5" t="inlineStr"/>
      <c r="AD244" s="5" t="inlineStr"/>
      <c r="AE244" s="5" t="inlineStr"/>
      <c r="AF244" s="5" t="inlineStr"/>
      <c r="AG244" s="5" t="inlineStr"/>
      <c r="AH244" s="5" t="inlineStr"/>
    </row>
    <row r="245">
      <c r="A245" s="5" t="inlineStr">
        <is>
          <t>b4-ayna</t>
        </is>
      </c>
      <c r="B245" s="5" t="n">
        <v>4</v>
      </c>
      <c r="C245" s="6" t="inlineStr">
        <is>
          <t>Kardeşten ayna süresi satın al</t>
        </is>
      </c>
      <c r="D245" s="5" t="inlineStr">
        <is>
          <t>Çene</t>
        </is>
      </c>
      <c r="E245" s="5" t="inlineStr">
        <is>
          <t>Kolay</t>
        </is>
      </c>
      <c r="F245" s="5" t="inlineStr"/>
      <c r="G245" s="6" t="inlineStr"/>
      <c r="H245" s="6" t="inlineStr">
        <is>
          <t>Sıradaki kardeşine beş dakika için bir çikolata verdin. İlk zaman piyasası kuruldu.</t>
        </is>
      </c>
      <c r="I245" s="6" t="inlineStr">
        <is>
          <t>Banyo sırasını bütün aileye saatlik olarak kiraladın. Sabahları trafik düzeldi.</t>
        </is>
      </c>
      <c r="J245" s="6" t="inlineStr">
        <is>
          <t>Kardeşin teklifi kabul etti, çikolatayı yedi, sırayı vermedi.</t>
        </is>
      </c>
      <c r="K245" s="6" t="inlineStr">
        <is>
          <t>Kardeşin fiyatı artırdı. Ay sonunda harçlığının yarısı banyo sırasına gidiyordu.</t>
        </is>
      </c>
      <c r="L245" s="6" t="inlineStr"/>
      <c r="M245" s="5" t="inlineStr"/>
      <c r="N245" s="5" t="inlineStr"/>
      <c r="O245" s="6" t="inlineStr"/>
      <c r="P245" s="6" t="inlineStr"/>
      <c r="Q245" s="5" t="inlineStr">
        <is>
          <t>Küçük Tüccar</t>
        </is>
      </c>
      <c r="R245" s="5" t="inlineStr"/>
      <c r="S245" s="5" t="inlineStr"/>
      <c r="T245" s="5" t="inlineStr"/>
      <c r="U245" s="5" t="inlineStr"/>
      <c r="V245" s="5" t="inlineStr"/>
      <c r="W245" s="5" t="inlineStr"/>
      <c r="X245" s="5" t="inlineStr"/>
      <c r="Y245" s="5" t="inlineStr"/>
      <c r="Z245" s="6" t="inlineStr"/>
      <c r="AA245" s="5" t="inlineStr"/>
      <c r="AB245" s="5" t="inlineStr"/>
      <c r="AC245" s="5" t="inlineStr"/>
      <c r="AD245" s="5" t="inlineStr"/>
      <c r="AE245" s="5" t="inlineStr"/>
      <c r="AF245" s="5" t="inlineStr"/>
      <c r="AG245" s="5" t="inlineStr"/>
      <c r="AH245" s="5" t="inlineStr"/>
    </row>
    <row r="246">
      <c r="A246" s="5" t="inlineStr">
        <is>
          <t>b4-bilim-fuari</t>
        </is>
      </c>
      <c r="B246" s="5" t="n">
        <v>1</v>
      </c>
      <c r="C246" s="6" t="inlineStr">
        <is>
          <t>Yanardağ yap</t>
        </is>
      </c>
      <c r="D246" s="5" t="inlineStr"/>
      <c r="E246" s="5" t="inlineStr"/>
      <c r="F246" s="5" t="inlineStr">
        <is>
          <t>Akıl +1</t>
        </is>
      </c>
      <c r="G246" s="6" t="inlineStr">
        <is>
          <t>Karbonatlı yanardağı sundun. Jüri on dördüncü kez etkilendi.</t>
        </is>
      </c>
      <c r="H246" s="6" t="inlineStr"/>
      <c r="I246" s="6" t="inlineStr"/>
      <c r="J246" s="6" t="inlineStr"/>
      <c r="K246" s="6" t="inlineStr"/>
      <c r="L246" s="6" t="inlineStr"/>
      <c r="M246" s="5" t="inlineStr"/>
      <c r="N246" s="5" t="inlineStr"/>
      <c r="O246" s="6" t="inlineStr"/>
      <c r="P246" s="6" t="inlineStr"/>
      <c r="Q246" s="5" t="inlineStr"/>
      <c r="R246" s="5" t="inlineStr"/>
      <c r="S246" s="5" t="inlineStr"/>
      <c r="T246" s="5" t="inlineStr"/>
      <c r="U246" s="5" t="inlineStr"/>
      <c r="V246" s="5" t="inlineStr"/>
      <c r="W246" s="5" t="inlineStr"/>
      <c r="X246" s="5" t="inlineStr"/>
      <c r="Y246" s="5" t="inlineStr"/>
      <c r="Z246" s="6" t="inlineStr"/>
      <c r="AA246" s="5" t="inlineStr"/>
      <c r="AB246" s="5" t="inlineStr"/>
      <c r="AC246" s="5" t="inlineStr"/>
      <c r="AD246" s="5" t="inlineStr"/>
      <c r="AE246" s="5" t="inlineStr"/>
      <c r="AF246" s="5" t="inlineStr"/>
      <c r="AG246" s="5" t="inlineStr"/>
      <c r="AH246" s="5" t="inlineStr"/>
    </row>
    <row r="247">
      <c r="A247" s="5" t="inlineStr">
        <is>
          <t>b4-bilim-fuari</t>
        </is>
      </c>
      <c r="B247" s="5" t="n">
        <v>2</v>
      </c>
      <c r="C247" s="6" t="inlineStr">
        <is>
          <t>Kendi projeni yap</t>
        </is>
      </c>
      <c r="D247" s="5" t="inlineStr">
        <is>
          <t>Akıl</t>
        </is>
      </c>
      <c r="E247" s="5" t="inlineStr">
        <is>
          <t>Zor</t>
        </is>
      </c>
      <c r="F247" s="5" t="inlineStr"/>
      <c r="G247" s="6" t="inlineStr"/>
      <c r="H247" s="6" t="inlineStr">
        <is>
          <t>Bitkilerin müziğe tepkisini ölçtün. Sonuç: tepki yok. Jüri dürüstlüğünü ödüllendirdi.</t>
        </is>
      </c>
      <c r="I247" s="6" t="inlineStr">
        <is>
          <t>Apartmanın aidat ödeme davranışını grafikledin. Birinci oldun; site yönetimi raporu istedi.</t>
        </is>
      </c>
      <c r="J247" s="6" t="inlineStr">
        <is>
          <t>Proje yetişmedi. Masada yalnızca başlık vardı: 'Hipotez'.</t>
        </is>
      </c>
      <c r="K247" s="6" t="inlineStr">
        <is>
          <t>Posterin koridor boyunca süzüldü ve müdürün kahvesine indi. Deney beklenmedik biçimde başarılı.</t>
        </is>
      </c>
      <c r="L247" s="6" t="inlineStr"/>
      <c r="M247" s="5" t="inlineStr"/>
      <c r="N247" s="5" t="inlineStr"/>
      <c r="O247" s="6" t="inlineStr"/>
      <c r="P247" s="6" t="inlineStr"/>
      <c r="Q247" s="5" t="inlineStr"/>
      <c r="R247" s="5" t="inlineStr"/>
      <c r="S247" s="5" t="inlineStr"/>
      <c r="T247" s="5" t="inlineStr"/>
      <c r="U247" s="5" t="inlineStr"/>
      <c r="V247" s="5" t="inlineStr">
        <is>
          <t>fuar-birincisi</t>
        </is>
      </c>
      <c r="W247" s="5" t="inlineStr"/>
      <c r="X247" s="5" t="inlineStr"/>
      <c r="Y247" s="5" t="inlineStr"/>
      <c r="Z247" s="6" t="inlineStr"/>
      <c r="AA247" s="5" t="inlineStr"/>
      <c r="AB247" s="5" t="inlineStr"/>
      <c r="AC247" s="5" t="inlineStr"/>
      <c r="AD247" s="5" t="inlineStr"/>
      <c r="AE247" s="5" t="inlineStr"/>
      <c r="AF247" s="5" t="inlineStr"/>
      <c r="AG247" s="5" t="inlineStr"/>
      <c r="AH247" s="5" t="inlineStr"/>
    </row>
    <row r="248">
      <c r="A248" s="5" t="inlineStr">
        <is>
          <t>b4-bilim-fuari</t>
        </is>
      </c>
      <c r="B248" s="5" t="n">
        <v>3</v>
      </c>
      <c r="C248" s="6" t="inlineStr">
        <is>
          <t>Jüriye soru sor</t>
        </is>
      </c>
      <c r="D248" s="5" t="inlineStr">
        <is>
          <t>Çene</t>
        </is>
      </c>
      <c r="E248" s="5" t="inlineStr">
        <is>
          <t>Kolay</t>
        </is>
      </c>
      <c r="F248" s="5" t="inlineStr"/>
      <c r="G248" s="6" t="inlineStr"/>
      <c r="H248" s="6" t="inlineStr">
        <is>
          <t>'Sizce neden hep yanardağ yapılıyor?' diye sordun. Jüri üyesi yirmi dakika konuştu, sonra sana puan verdi.</t>
        </is>
      </c>
      <c r="I248" s="6" t="inlineStr">
        <is>
          <t>Soru o kadar yerindeydi ki jüri üyesi seni gelecek yılın jürisine yazdı. Sen de birinci oldun.</t>
        </is>
      </c>
      <c r="J248" s="6" t="inlineStr">
        <is>
          <t>Soru sordun; jüri 'Önce senin projeni görelim' dedi. Projen yanardağdı.</t>
        </is>
      </c>
      <c r="K248" s="6" t="inlineStr">
        <is>
          <t>Soruyu sordun; jüri üyesinin kendi çocuğunun yanardağ yaptığı ortaya çıktı. İlişkiler gerildi.</t>
        </is>
      </c>
      <c r="L248" s="6" t="inlineStr"/>
      <c r="M248" s="5" t="inlineStr"/>
      <c r="N248" s="5" t="inlineStr"/>
      <c r="O248" s="6" t="inlineStr"/>
      <c r="P248" s="6" t="inlineStr"/>
      <c r="Q248" s="5" t="inlineStr"/>
      <c r="R248" s="5" t="inlineStr"/>
      <c r="S248" s="5" t="inlineStr">
        <is>
          <t>Akıl</t>
        </is>
      </c>
      <c r="T248" s="5" t="inlineStr"/>
      <c r="U248" s="5" t="inlineStr"/>
      <c r="V248" s="5" t="inlineStr">
        <is>
          <t>fuar-birincisi</t>
        </is>
      </c>
      <c r="W248" s="5" t="inlineStr"/>
      <c r="X248" s="5" t="inlineStr"/>
      <c r="Y248" s="5" t="inlineStr"/>
      <c r="Z248" s="6" t="inlineStr"/>
      <c r="AA248" s="5" t="inlineStr"/>
      <c r="AB248" s="5" t="inlineStr"/>
      <c r="AC248" s="5" t="inlineStr"/>
      <c r="AD248" s="5" t="inlineStr"/>
      <c r="AE248" s="5" t="inlineStr"/>
      <c r="AF248" s="5" t="inlineStr"/>
      <c r="AG248" s="5" t="inlineStr"/>
      <c r="AH248" s="5" t="inlineStr"/>
    </row>
    <row r="249">
      <c r="A249" s="5" t="inlineStr">
        <is>
          <t>b4-bilim-fuari</t>
        </is>
      </c>
      <c r="B249" s="5" t="n">
        <v>4</v>
      </c>
      <c r="C249" s="6" t="inlineStr">
        <is>
          <t>Başkasının projesine ortak ol</t>
        </is>
      </c>
      <c r="D249" s="5" t="inlineStr">
        <is>
          <t>Sosyal Radar</t>
        </is>
      </c>
      <c r="E249" s="5" t="inlineStr">
        <is>
          <t>Orta</t>
        </is>
      </c>
      <c r="F249" s="5" t="inlineStr"/>
      <c r="G249" s="6" t="inlineStr"/>
      <c r="H249" s="6" t="inlineStr">
        <is>
          <t>Ortaklık kurdun. Posterde adın küçük puntoyla var.</t>
        </is>
      </c>
      <c r="I249" s="6" t="inlineStr">
        <is>
          <t>Ortaklaşa birinci oldunuz. Madalyayı sen taşıdın.</t>
        </is>
      </c>
      <c r="J249" s="6" t="inlineStr">
        <is>
          <t>Ortak olduğun proje de yanardağmış.</t>
        </is>
      </c>
      <c r="K249" s="6" t="inlineStr">
        <is>
          <t>Ortak olduğun projeyi velisi yapmış. Jüri velinin adını sordu. Sen söyledin.</t>
        </is>
      </c>
      <c r="L249" s="6" t="inlineStr"/>
      <c r="M249" s="5" t="inlineStr"/>
      <c r="N249" s="5" t="inlineStr"/>
      <c r="O249" s="6" t="inlineStr"/>
      <c r="P249" s="6" t="inlineStr"/>
      <c r="Q249" s="5" t="inlineStr"/>
      <c r="R249" s="5" t="inlineStr"/>
      <c r="S249" s="5" t="inlineStr"/>
      <c r="T249" s="5" t="inlineStr"/>
      <c r="U249" s="5" t="inlineStr"/>
      <c r="V249" s="5" t="inlineStr"/>
      <c r="W249" s="5" t="inlineStr"/>
      <c r="X249" s="5" t="inlineStr"/>
      <c r="Y249" s="5" t="inlineStr"/>
      <c r="Z249" s="6" t="inlineStr"/>
      <c r="AA249" s="5" t="inlineStr"/>
      <c r="AB249" s="5" t="inlineStr"/>
      <c r="AC249" s="5" t="inlineStr"/>
      <c r="AD249" s="5" t="inlineStr"/>
      <c r="AE249" s="5" t="inlineStr"/>
      <c r="AF249" s="5" t="inlineStr"/>
      <c r="AG249" s="5" t="inlineStr"/>
      <c r="AH249" s="5" t="inlineStr"/>
    </row>
    <row r="250">
      <c r="A250" s="5" t="inlineStr">
        <is>
          <t>b4-kotu-not</t>
        </is>
      </c>
      <c r="B250" s="5" t="n">
        <v>1</v>
      </c>
      <c r="C250" s="6" t="inlineStr">
        <is>
          <t>Kâğıdı masaya koy</t>
        </is>
      </c>
      <c r="D250" s="5" t="inlineStr"/>
      <c r="E250" s="5" t="inlineStr"/>
      <c r="F250" s="5" t="inlineStr">
        <is>
          <t>İtibar +2</t>
        </is>
      </c>
      <c r="G250" s="6" t="inlineStr">
        <is>
          <t>Kâğıdı masaya koydun. Sessizlik oldu. Sonra baban kendi karnesinden bahsetti. Ailede şeffaflık dönemi açıldı.</t>
        </is>
      </c>
      <c r="H250" s="6" t="inlineStr"/>
      <c r="I250" s="6" t="inlineStr"/>
      <c r="J250" s="6" t="inlineStr"/>
      <c r="K250" s="6" t="inlineStr"/>
      <c r="L250" s="6" t="inlineStr"/>
      <c r="M250" s="5" t="inlineStr"/>
      <c r="N250" s="5" t="inlineStr"/>
      <c r="O250" s="6" t="inlineStr"/>
      <c r="P250" s="6" t="inlineStr"/>
      <c r="Q250" s="5" t="inlineStr"/>
      <c r="R250" s="5" t="inlineStr"/>
      <c r="S250" s="5" t="inlineStr"/>
      <c r="T250" s="5" t="inlineStr"/>
      <c r="U250" s="5" t="inlineStr"/>
      <c r="V250" s="5" t="inlineStr"/>
      <c r="W250" s="5" t="inlineStr"/>
      <c r="X250" s="5" t="inlineStr"/>
      <c r="Y250" s="5" t="inlineStr"/>
      <c r="Z250" s="6" t="inlineStr"/>
      <c r="AA250" s="5" t="inlineStr"/>
      <c r="AB250" s="5" t="inlineStr"/>
      <c r="AC250" s="5" t="inlineStr"/>
      <c r="AD250" s="5" t="inlineStr"/>
      <c r="AE250" s="5" t="inlineStr"/>
      <c r="AF250" s="5" t="inlineStr"/>
      <c r="AG250" s="5" t="inlineStr"/>
      <c r="AH250" s="5" t="inlineStr"/>
    </row>
    <row r="251">
      <c r="A251" s="5" t="inlineStr">
        <is>
          <t>b4-kotu-not</t>
        </is>
      </c>
      <c r="B251" s="5" t="n">
        <v>2</v>
      </c>
      <c r="C251" s="6" t="inlineStr">
        <is>
          <t>Poker yüzünü tak</t>
        </is>
      </c>
      <c r="D251" s="5" t="inlineStr">
        <is>
          <t>Pişkinlik</t>
        </is>
      </c>
      <c r="E251" s="5" t="inlineStr">
        <is>
          <t>Zor</t>
        </is>
      </c>
      <c r="F251" s="5" t="inlineStr"/>
      <c r="G251" s="6" t="inlineStr"/>
      <c r="H251" s="6" t="inlineStr">
        <is>
          <t>Yemeğin sonuna kadar kıpırdamadın. Kâğıt çantada, sır güvende, pilav bitti.</t>
        </is>
      </c>
      <c r="I251" s="6" t="inlineStr">
        <is>
          <t>O kadar sakindin ki annen 'Bu çocuk bir şey başarmış' dedi ve tatlı çıkardı. Tatlı suçluluk tadındaydı.</t>
        </is>
      </c>
      <c r="J251" s="6" t="inlineStr">
        <is>
          <t>'Çantanda ne var?' sorusunda gözün kaydı. Çanta masaya getirildi.</t>
        </is>
      </c>
      <c r="K251" s="6" t="inlineStr">
        <is>
          <t>'Bana bak bakayım' dendiğinde 'Matematik değil!' dedin. Kimse matematik sormamıştı.</t>
        </is>
      </c>
      <c r="L251" s="6" t="inlineStr">
        <is>
          <t>Yemeği kazasız bitirdin ama annen 'Yarın konuşuruz' dedi. Duruşma ertelendi.</t>
        </is>
      </c>
      <c r="M251" s="5" t="inlineStr">
        <is>
          <t>poker</t>
        </is>
      </c>
      <c r="N251" s="5" t="inlineStr">
        <is>
          <t>Akşam Yemeği Sorgusu</t>
        </is>
      </c>
      <c r="O251" s="6" t="inlineStr">
        <is>
          <t>Parmağını daireye koy ve kıpırdatma. Sorular üstüne gelecek.</t>
        </is>
      </c>
      <c r="P251" s="6" t="inlineStr">
        <is>
          <t>{"questions": ["Okul nasıl?", "Sınavlar ne zaman?", "Neden bu kadar sessizsin?", "Çantanda ne var?", "Bana bak bakayım."]}</t>
        </is>
      </c>
      <c r="Q251" s="5" t="inlineStr"/>
      <c r="R251" s="5" t="inlineStr"/>
      <c r="S251" s="5" t="inlineStr"/>
      <c r="T251" s="5" t="inlineStr"/>
      <c r="U251" s="5" t="inlineStr"/>
      <c r="V251" s="5" t="inlineStr"/>
      <c r="W251" s="5" t="inlineStr">
        <is>
          <t>yalanci</t>
        </is>
      </c>
      <c r="X251" s="5" t="inlineStr"/>
      <c r="Y251" s="5" t="inlineStr"/>
      <c r="Z251" s="6" t="inlineStr"/>
      <c r="AA251" s="5" t="inlineStr"/>
      <c r="AB251" s="5" t="inlineStr"/>
      <c r="AC251" s="5" t="inlineStr"/>
      <c r="AD251" s="5" t="inlineStr"/>
      <c r="AE251" s="5" t="inlineStr"/>
      <c r="AF251" s="5" t="inlineStr"/>
      <c r="AG251" s="5" t="inlineStr"/>
      <c r="AH251" s="5" t="inlineStr"/>
    </row>
    <row r="252">
      <c r="A252" s="5" t="inlineStr">
        <is>
          <t>b4-kotu-not</t>
        </is>
      </c>
      <c r="B252" s="5" t="n">
        <v>3</v>
      </c>
      <c r="C252" s="6" t="inlineStr">
        <is>
          <t>İmzayı taklit et</t>
        </is>
      </c>
      <c r="D252" s="5" t="inlineStr">
        <is>
          <t>Kurnazlık</t>
        </is>
      </c>
      <c r="E252" s="5" t="inlineStr">
        <is>
          <t>Zor</t>
        </is>
      </c>
      <c r="F252" s="5" t="inlineStr"/>
      <c r="G252" s="6" t="inlineStr"/>
      <c r="H252" s="6" t="inlineStr">
        <is>
          <t>İmza kusursuz. Kâğıt teslim edildi. Kalbin biraz ağır.</t>
        </is>
      </c>
      <c r="I252" s="6" t="inlineStr">
        <is>
          <t>İmza o kadar iyiydi ki annen sonradan bir resmî evrakta seninkini örnek aldı.</t>
        </is>
      </c>
      <c r="J252" s="6" t="inlineStr">
        <is>
          <t>İmza fazla düzgündü. Öğretmen 'Annen hiç böyle imza atmaz' dedi.</t>
        </is>
      </c>
      <c r="K252" s="6" t="inlineStr">
        <is>
          <t>Annenin değil, yanlışlıkla öğretmenin imzasını taklit ettin. Öğretmen kendi imzasını tanıdı ama ikna olmadı.</t>
        </is>
      </c>
      <c r="L252" s="6" t="inlineStr"/>
      <c r="M252" s="5" t="inlineStr"/>
      <c r="N252" s="5" t="inlineStr"/>
      <c r="O252" s="6" t="inlineStr"/>
      <c r="P252" s="6" t="inlineStr"/>
      <c r="Q252" s="5" t="inlineStr">
        <is>
          <t>Açık Bulur</t>
        </is>
      </c>
      <c r="R252" s="5" t="inlineStr"/>
      <c r="S252" s="5" t="inlineStr"/>
      <c r="T252" s="5" t="inlineStr"/>
      <c r="U252" s="5" t="inlineStr"/>
      <c r="V252" s="5" t="inlineStr"/>
      <c r="W252" s="5" t="inlineStr">
        <is>
          <t>yalanci</t>
        </is>
      </c>
      <c r="X252" s="5" t="inlineStr"/>
      <c r="Y252" s="5" t="inlineStr"/>
      <c r="Z252" s="6" t="inlineStr"/>
      <c r="AA252" s="5" t="inlineStr"/>
      <c r="AB252" s="5" t="inlineStr"/>
      <c r="AC252" s="5" t="inlineStr"/>
      <c r="AD252" s="5" t="inlineStr"/>
      <c r="AE252" s="5" t="inlineStr"/>
      <c r="AF252" s="5" t="inlineStr"/>
      <c r="AG252" s="5" t="inlineStr"/>
      <c r="AH252" s="5" t="inlineStr"/>
    </row>
    <row r="253">
      <c r="A253" s="5" t="inlineStr">
        <is>
          <t>b4-kotu-not</t>
        </is>
      </c>
      <c r="B253" s="5" t="n">
        <v>4</v>
      </c>
      <c r="C253" s="6" t="inlineStr">
        <is>
          <t>Önce babaanneye göster</t>
        </is>
      </c>
      <c r="D253" s="5" t="inlineStr">
        <is>
          <t>Sosyal Radar</t>
        </is>
      </c>
      <c r="E253" s="5" t="inlineStr">
        <is>
          <t>Orta</t>
        </is>
      </c>
      <c r="F253" s="5" t="inlineStr"/>
      <c r="G253" s="6" t="inlineStr"/>
      <c r="H253" s="6" t="inlineStr">
        <is>
          <t>Babaanne kâğıda baktı: 'Babanın notlarını bir bilsen.' Kalkanın hazır.</t>
        </is>
      </c>
      <c r="I253" s="6" t="inlineStr">
        <is>
          <t>Babaanne akşam yemeğinde babanın ortaokul karnesini masaya koydu. Gündem değişti.</t>
        </is>
      </c>
      <c r="J253" s="6" t="inlineStr">
        <is>
          <t>Babaanne kâğıdı gördü ve doğrudan annene götürdü. Kalkan değil, kurye çıktı.</t>
        </is>
      </c>
      <c r="K253" s="6" t="inlineStr">
        <is>
          <t>Babaanne o kadar sevindi ki kâğıdı aile grubuna attı. 'Torunum sınava girmiş' notuyla.</t>
        </is>
      </c>
      <c r="L253" s="6" t="inlineStr"/>
      <c r="M253" s="5" t="inlineStr"/>
      <c r="N253" s="5" t="inlineStr"/>
      <c r="O253" s="6" t="inlineStr"/>
      <c r="P253" s="6" t="inlineStr"/>
      <c r="Q253" s="5" t="inlineStr"/>
      <c r="R253" s="5" t="inlineStr"/>
      <c r="S253" s="5" t="inlineStr"/>
      <c r="T253" s="5" t="inlineStr"/>
      <c r="U253" s="5" t="inlineStr"/>
      <c r="V253" s="5" t="inlineStr"/>
      <c r="W253" s="5" t="inlineStr"/>
      <c r="X253" s="5" t="inlineStr"/>
      <c r="Y253" s="5" t="inlineStr"/>
      <c r="Z253" s="6" t="inlineStr"/>
      <c r="AA253" s="5" t="inlineStr"/>
      <c r="AB253" s="5" t="inlineStr"/>
      <c r="AC253" s="5" t="inlineStr"/>
      <c r="AD253" s="5" t="inlineStr"/>
      <c r="AE253" s="5" t="inlineStr"/>
      <c r="AF253" s="5" t="inlineStr"/>
      <c r="AG253" s="5" t="inlineStr"/>
      <c r="AH253" s="5" t="inlineStr"/>
    </row>
    <row r="254">
      <c r="A254" s="5" t="inlineStr">
        <is>
          <t>b4-kedinin-hesabi</t>
        </is>
      </c>
      <c r="B254" s="5" t="n">
        <v>1</v>
      </c>
      <c r="C254" s="6" t="inlineStr">
        <is>
          <t>Kediyi rahat bırak</t>
        </is>
      </c>
      <c r="D254" s="5" t="inlineStr"/>
      <c r="E254" s="5" t="inlineStr"/>
      <c r="F254" s="5" t="inlineStr">
        <is>
          <t>İtibar +1</t>
        </is>
      </c>
      <c r="G254" s="6" t="inlineStr">
        <is>
          <t>Hesabı kapattın. Kedi kariyerini bıraktı ve yeniden kalorifer peteğine döndü. Mutlu görünüyor.</t>
        </is>
      </c>
      <c r="H254" s="6" t="inlineStr"/>
      <c r="I254" s="6" t="inlineStr"/>
      <c r="J254" s="6" t="inlineStr"/>
      <c r="K254" s="6" t="inlineStr"/>
      <c r="L254" s="6" t="inlineStr"/>
      <c r="M254" s="5" t="inlineStr"/>
      <c r="N254" s="5" t="inlineStr"/>
      <c r="O254" s="6" t="inlineStr"/>
      <c r="P254" s="6" t="inlineStr"/>
      <c r="Q254" s="5" t="inlineStr"/>
      <c r="R254" s="5" t="inlineStr"/>
      <c r="S254" s="5" t="inlineStr"/>
      <c r="T254" s="5" t="inlineStr"/>
      <c r="U254" s="5" t="inlineStr"/>
      <c r="V254" s="5" t="inlineStr"/>
      <c r="W254" s="5" t="inlineStr"/>
      <c r="X254" s="5" t="inlineStr"/>
      <c r="Y254" s="5" t="inlineStr"/>
      <c r="Z254" s="6" t="inlineStr"/>
      <c r="AA254" s="5" t="inlineStr"/>
      <c r="AB254" s="5" t="inlineStr"/>
      <c r="AC254" s="5" t="inlineStr"/>
      <c r="AD254" s="5" t="inlineStr"/>
      <c r="AE254" s="5" t="inlineStr"/>
      <c r="AF254" s="5" t="inlineStr"/>
      <c r="AG254" s="5" t="inlineStr"/>
      <c r="AH254" s="5" t="inlineStr"/>
    </row>
    <row r="255">
      <c r="A255" s="5" t="inlineStr">
        <is>
          <t>b4-kedinin-hesabi</t>
        </is>
      </c>
      <c r="B255" s="5" t="n">
        <v>2</v>
      </c>
      <c r="C255" s="6" t="inlineStr">
        <is>
          <t>Kedinin menajeri ol</t>
        </is>
      </c>
      <c r="D255" s="5" t="inlineStr">
        <is>
          <t>Çene</t>
        </is>
      </c>
      <c r="E255" s="5" t="inlineStr">
        <is>
          <t>Orta</t>
        </is>
      </c>
      <c r="F255" s="5" t="inlineStr"/>
      <c r="G255" s="6" t="inlineStr"/>
      <c r="H255" s="6" t="inlineStr">
        <is>
          <t>Bir mama firması iki koli mama gönderdi. Menajer payın: bir koli. Yemedin.</t>
        </is>
      </c>
      <c r="I255" s="6" t="inlineStr">
        <is>
          <t>Kedinin takvimi dolu. Sabah çekim, öğlen uyku, akşam kutu açılışı. Sen artık kedinin asistanısın.</t>
        </is>
      </c>
      <c r="J255" s="6" t="inlineStr">
        <is>
          <t>Kedi çekimlere gelmedi. Menajer olarak ilk krizin, oyuncunun kanepenin altında olması.</t>
        </is>
      </c>
      <c r="K255" s="6" t="inlineStr">
        <is>
          <t>Kedi çekim sırasında kamerayı masadan itti. Video en çok izlenen videon oldu. Senin telefonun kırıldı.</t>
        </is>
      </c>
      <c r="L255" s="6" t="inlineStr"/>
      <c r="M255" s="5" t="inlineStr"/>
      <c r="N255" s="5" t="inlineStr"/>
      <c r="O255" s="6" t="inlineStr"/>
      <c r="P255" s="6" t="inlineStr"/>
      <c r="Q255" s="5" t="inlineStr"/>
      <c r="R255" s="5" t="inlineStr"/>
      <c r="S255" s="5" t="inlineStr"/>
      <c r="T255" s="5" t="inlineStr"/>
      <c r="U255" s="5" t="inlineStr"/>
      <c r="V255" s="5" t="inlineStr">
        <is>
          <t>fenomen</t>
        </is>
      </c>
      <c r="W255" s="5" t="inlineStr"/>
      <c r="X255" s="5" t="inlineStr"/>
      <c r="Y255" s="5" t="inlineStr"/>
      <c r="Z255" s="6" t="inlineStr"/>
      <c r="AA255" s="5" t="inlineStr"/>
      <c r="AB255" s="5" t="inlineStr"/>
      <c r="AC255" s="5" t="inlineStr"/>
      <c r="AD255" s="5" t="inlineStr"/>
      <c r="AE255" s="5" t="inlineStr"/>
      <c r="AF255" s="5" t="inlineStr"/>
      <c r="AG255" s="5" t="inlineStr"/>
      <c r="AH255" s="5" t="inlineStr"/>
    </row>
    <row r="256">
      <c r="A256" s="5" t="inlineStr">
        <is>
          <t>b4-kedinin-hesabi</t>
        </is>
      </c>
      <c r="B256" s="5" t="n">
        <v>3</v>
      </c>
      <c r="C256" s="6" t="inlineStr">
        <is>
          <t>Kendin de kadraja gir</t>
        </is>
      </c>
      <c r="D256" s="5" t="inlineStr">
        <is>
          <t>Pişkinlik</t>
        </is>
      </c>
      <c r="E256" s="5" t="inlineStr">
        <is>
          <t>Zor</t>
        </is>
      </c>
      <c r="F256" s="5" t="inlineStr"/>
      <c r="G256" s="6" t="inlineStr"/>
      <c r="H256" s="6" t="inlineStr">
        <is>
          <t>Kediyle ortak içerik üretiyorsunuz. Yorumların yarısı sana. Yarısı iyi.</t>
        </is>
      </c>
      <c r="I256" s="6" t="inlineStr">
        <is>
          <t>Kedi ve sen: resmî ikili. Takipçiler ikinize ayrı ayrı doğum günü mesajı atıyor.</t>
        </is>
      </c>
      <c r="J256" s="6" t="inlineStr">
        <is>
          <t>Kadraja girdin; izlenmeler yarıya düştü. Veri acımasız.</t>
        </is>
      </c>
      <c r="K256" s="6" t="inlineStr">
        <is>
          <t>Yorumlar: 'Kediyi göster, arkadaki çocuk çekilsin.' Arkadaki çocuk sensin.</t>
        </is>
      </c>
      <c r="L256" s="6" t="inlineStr"/>
      <c r="M256" s="5" t="inlineStr"/>
      <c r="N256" s="5" t="inlineStr"/>
      <c r="O256" s="6" t="inlineStr"/>
      <c r="P256" s="6" t="inlineStr"/>
      <c r="Q256" s="5" t="inlineStr"/>
      <c r="R256" s="5" t="inlineStr"/>
      <c r="S256" s="5" t="inlineStr"/>
      <c r="T256" s="5" t="inlineStr"/>
      <c r="U256" s="5" t="inlineStr"/>
      <c r="V256" s="5" t="inlineStr">
        <is>
          <t>fenomen</t>
        </is>
      </c>
      <c r="W256" s="5" t="inlineStr"/>
      <c r="X256" s="5" t="inlineStr"/>
      <c r="Y256" s="5" t="inlineStr"/>
      <c r="Z256" s="6" t="inlineStr"/>
      <c r="AA256" s="5" t="inlineStr"/>
      <c r="AB256" s="5" t="inlineStr"/>
      <c r="AC256" s="5" t="inlineStr"/>
      <c r="AD256" s="5" t="inlineStr"/>
      <c r="AE256" s="5" t="inlineStr"/>
      <c r="AF256" s="5" t="inlineStr"/>
      <c r="AG256" s="5" t="inlineStr"/>
      <c r="AH256" s="5" t="inlineStr"/>
    </row>
    <row r="257">
      <c r="A257" s="5" t="inlineStr">
        <is>
          <t>b4-dershane</t>
        </is>
      </c>
      <c r="B257" s="5" t="n">
        <v>1</v>
      </c>
      <c r="C257" s="6" t="inlineStr">
        <is>
          <t>Kabul et</t>
        </is>
      </c>
      <c r="D257" s="5" t="inlineStr"/>
      <c r="E257" s="5" t="inlineStr"/>
      <c r="F257" s="5" t="inlineStr">
        <is>
          <t>Dayanıklılık +2</t>
        </is>
      </c>
      <c r="G257" s="6" t="inlineStr">
        <is>
          <t>Kayıt yapıldı. Cumartesi sabahların resmen tahsis edildi.</t>
        </is>
      </c>
      <c r="H257" s="6" t="inlineStr"/>
      <c r="I257" s="6" t="inlineStr"/>
      <c r="J257" s="6" t="inlineStr"/>
      <c r="K257" s="6" t="inlineStr"/>
      <c r="L257" s="6" t="inlineStr"/>
      <c r="M257" s="5" t="inlineStr"/>
      <c r="N257" s="5" t="inlineStr"/>
      <c r="O257" s="6" t="inlineStr"/>
      <c r="P257" s="6" t="inlineStr"/>
      <c r="Q257" s="5" t="inlineStr"/>
      <c r="R257" s="5" t="inlineStr"/>
      <c r="S257" s="5" t="inlineStr"/>
      <c r="T257" s="5" t="inlineStr"/>
      <c r="U257" s="5" t="inlineStr">
        <is>
          <t>dershaneli</t>
        </is>
      </c>
      <c r="V257" s="5" t="inlineStr"/>
      <c r="W257" s="5" t="inlineStr"/>
      <c r="X257" s="5" t="inlineStr"/>
      <c r="Y257" s="5" t="inlineStr"/>
      <c r="Z257" s="6" t="inlineStr"/>
      <c r="AA257" s="5" t="inlineStr"/>
      <c r="AB257" s="5" t="inlineStr"/>
      <c r="AC257" s="5" t="inlineStr"/>
      <c r="AD257" s="5" t="inlineStr"/>
      <c r="AE257" s="5" t="inlineStr"/>
      <c r="AF257" s="5" t="inlineStr"/>
      <c r="AG257" s="5" t="inlineStr"/>
      <c r="AH257" s="5" t="inlineStr"/>
    </row>
    <row r="258">
      <c r="A258" s="5" t="inlineStr">
        <is>
          <t>b4-dershane</t>
        </is>
      </c>
      <c r="B258" s="5" t="n">
        <v>2</v>
      </c>
      <c r="C258" s="6" t="inlineStr">
        <is>
          <t>Özel öğretmen iste</t>
        </is>
      </c>
      <c r="D258" s="5" t="inlineStr">
        <is>
          <t>Çene</t>
        </is>
      </c>
      <c r="E258" s="5" t="inlineStr">
        <is>
          <t>Orta</t>
        </is>
      </c>
      <c r="F258" s="5" t="inlineStr"/>
      <c r="G258" s="6" t="inlineStr"/>
      <c r="H258" s="6" t="inlineStr">
        <is>
          <t>Özel öğretmen haftada iki gün geliyor ve her seferinde çayı övüyor.</t>
        </is>
      </c>
      <c r="I258" s="6" t="inlineStr">
        <is>
          <t>Özel öğretmen o kadar iyi çıktı ki ailen onu kuzenle paylaşıyor. Maliyet bölündü, prestij sende.</t>
        </is>
      </c>
      <c r="J258" s="6" t="inlineStr">
        <is>
          <t>Özel öğretmen geldi; senden çok babanla konuşuyor.</t>
        </is>
      </c>
      <c r="K258" s="6" t="inlineStr">
        <is>
          <t>Hem dershane hem özel ders geldi. Aile bütçe tablosunda senin adına yeni bir sekme açıldı.</t>
        </is>
      </c>
      <c r="L258" s="6" t="inlineStr"/>
      <c r="M258" s="5" t="inlineStr"/>
      <c r="N258" s="5" t="inlineStr"/>
      <c r="O258" s="6" t="inlineStr"/>
      <c r="P258" s="6" t="inlineStr"/>
      <c r="Q258" s="5" t="inlineStr"/>
      <c r="R258" s="5" t="inlineStr"/>
      <c r="S258" s="5" t="inlineStr"/>
      <c r="T258" s="5" t="inlineStr"/>
      <c r="U258" s="5" t="inlineStr"/>
      <c r="V258" s="5" t="inlineStr"/>
      <c r="W258" s="5" t="inlineStr">
        <is>
          <t>dershaneli</t>
        </is>
      </c>
      <c r="X258" s="5" t="inlineStr"/>
      <c r="Y258" s="5" t="inlineStr"/>
      <c r="Z258" s="6" t="inlineStr"/>
      <c r="AA258" s="5" t="inlineStr"/>
      <c r="AB258" s="5" t="inlineStr"/>
      <c r="AC258" s="5" t="inlineStr"/>
      <c r="AD258" s="5" t="inlineStr"/>
      <c r="AE258" s="5" t="inlineStr"/>
      <c r="AF258" s="5" t="inlineStr"/>
      <c r="AG258" s="5" t="inlineStr"/>
      <c r="AH258" s="5" t="inlineStr"/>
    </row>
    <row r="259">
      <c r="A259" s="5" t="inlineStr">
        <is>
          <t>b4-dershane</t>
        </is>
      </c>
      <c r="B259" s="5" t="n">
        <v>3</v>
      </c>
      <c r="C259" s="6" t="inlineStr">
        <is>
          <t>Kendi kendine çalışacağını söyle</t>
        </is>
      </c>
      <c r="D259" s="5" t="inlineStr">
        <is>
          <t>Pişkinlik</t>
        </is>
      </c>
      <c r="E259" s="5" t="inlineStr">
        <is>
          <t>Zor</t>
        </is>
      </c>
      <c r="F259" s="5" t="inlineStr"/>
      <c r="G259" s="6" t="inlineStr"/>
      <c r="H259" s="6" t="inlineStr">
        <is>
          <t>Ailen denemeye razı oldu. Üç ay süren var.</t>
        </is>
      </c>
      <c r="I259" s="6" t="inlineStr">
        <is>
          <t>Plana o kadar inandılar ki dershane parasının bir kısmı 'başarı fonu' olarak ayrıldı.</t>
        </is>
      </c>
      <c r="J259" s="6" t="inlineStr">
        <is>
          <t>Ailen seni takvime bağladı ve oda kapısına 'Açık Kalacak' kuralı getirdi.</t>
        </is>
      </c>
      <c r="K259" s="6" t="inlineStr">
        <is>
          <t>İlk deneme sonucunun ardından ailen dershaneye yıllık kayıt yaptırdı. Peşin.</t>
        </is>
      </c>
      <c r="L259" s="6" t="inlineStr"/>
      <c r="M259" s="5" t="inlineStr"/>
      <c r="N259" s="5" t="inlineStr"/>
      <c r="O259" s="6" t="inlineStr"/>
      <c r="P259" s="6" t="inlineStr"/>
      <c r="Q259" s="5" t="inlineStr"/>
      <c r="R259" s="5" t="inlineStr"/>
      <c r="S259" s="5" t="inlineStr"/>
      <c r="T259" s="5" t="inlineStr"/>
      <c r="U259" s="5" t="inlineStr"/>
      <c r="V259" s="5" t="inlineStr"/>
      <c r="W259" s="5" t="inlineStr">
        <is>
          <t>dershaneli</t>
        </is>
      </c>
      <c r="X259" s="5" t="inlineStr"/>
      <c r="Y259" s="5" t="inlineStr"/>
      <c r="Z259" s="6" t="inlineStr"/>
      <c r="AA259" s="5" t="inlineStr"/>
      <c r="AB259" s="5" t="inlineStr"/>
      <c r="AC259" s="5" t="inlineStr"/>
      <c r="AD259" s="5" t="inlineStr"/>
      <c r="AE259" s="5" t="inlineStr"/>
      <c r="AF259" s="5" t="inlineStr"/>
      <c r="AG259" s="5" t="inlineStr"/>
      <c r="AH259" s="5" t="inlineStr"/>
    </row>
    <row r="260">
      <c r="A260" s="5" t="inlineStr">
        <is>
          <t>b4-dershane</t>
        </is>
      </c>
      <c r="B260" s="5" t="n">
        <v>4</v>
      </c>
      <c r="C260" s="6" t="inlineStr">
        <is>
          <t>Kardeş ve kuzen indirimi araştır</t>
        </is>
      </c>
      <c r="D260" s="5" t="inlineStr">
        <is>
          <t>Akıl</t>
        </is>
      </c>
      <c r="E260" s="5" t="inlineStr">
        <is>
          <t>Kolay</t>
        </is>
      </c>
      <c r="F260" s="5" t="inlineStr"/>
      <c r="G260" s="6" t="inlineStr"/>
      <c r="H260" s="6" t="inlineStr">
        <is>
          <t>Kardeş, kuzen ve komşu çocuğu indirimini birleştirdin. Fiyat üçte bir düştü.</t>
        </is>
      </c>
      <c r="I260" s="6" t="inlineStr">
        <is>
          <t>İndirimleri öyle birleştirdin ki dershane sana danışmanlık teklif etti.</t>
        </is>
      </c>
      <c r="J260" s="6" t="inlineStr">
        <is>
          <t>İndirimler birleşmiyormuş. Küçük puntoda yazıyordu.</t>
        </is>
      </c>
      <c r="K260" s="6" t="inlineStr">
        <is>
          <t>İndirim için kuzenini de kaydettirdin. Kuzen her denemede senden yüksek aldı.</t>
        </is>
      </c>
      <c r="L260" s="6" t="inlineStr"/>
      <c r="M260" s="5" t="inlineStr"/>
      <c r="N260" s="5" t="inlineStr"/>
      <c r="O260" s="6" t="inlineStr"/>
      <c r="P260" s="6" t="inlineStr"/>
      <c r="Q260" s="5" t="inlineStr">
        <is>
          <t>Erken Ekonomi Bilinci</t>
        </is>
      </c>
      <c r="R260" s="5" t="inlineStr"/>
      <c r="S260" s="5" t="inlineStr"/>
      <c r="T260" s="5" t="inlineStr"/>
      <c r="U260" s="5" t="inlineStr">
        <is>
          <t>dershaneli</t>
        </is>
      </c>
      <c r="V260" s="5" t="inlineStr"/>
      <c r="W260" s="5" t="inlineStr"/>
      <c r="X260" s="5" t="inlineStr"/>
      <c r="Y260" s="5" t="inlineStr"/>
      <c r="Z260" s="6" t="inlineStr"/>
      <c r="AA260" s="5" t="inlineStr"/>
      <c r="AB260" s="5" t="inlineStr"/>
      <c r="AC260" s="5" t="inlineStr"/>
      <c r="AD260" s="5" t="inlineStr"/>
      <c r="AE260" s="5" t="inlineStr"/>
      <c r="AF260" s="5" t="inlineStr"/>
      <c r="AG260" s="5" t="inlineStr"/>
      <c r="AH260" s="5" t="inlineStr"/>
    </row>
    <row r="261">
      <c r="A261" s="5" t="inlineStr">
        <is>
          <t>b4-yanlis-grup</t>
        </is>
      </c>
      <c r="B261" s="5" t="n">
        <v>1</v>
      </c>
      <c r="C261" s="6" t="inlineStr">
        <is>
          <t>Telefonu kapat, uyu</t>
        </is>
      </c>
      <c r="D261" s="5" t="inlineStr"/>
      <c r="E261" s="5" t="inlineStr"/>
      <c r="F261" s="5" t="inlineStr">
        <is>
          <t>Dayanıklılık +1</t>
        </is>
      </c>
      <c r="G261" s="6" t="inlineStr">
        <is>
          <t>Telefonu kapatıp uyudun. Sabah grup kararını vermişti: artık yemeği sen seçiyorsun. Her gün.</t>
        </is>
      </c>
      <c r="H261" s="6" t="inlineStr"/>
      <c r="I261" s="6" t="inlineStr"/>
      <c r="J261" s="6" t="inlineStr"/>
      <c r="K261" s="6" t="inlineStr"/>
      <c r="L261" s="6" t="inlineStr"/>
      <c r="M261" s="5" t="inlineStr"/>
      <c r="N261" s="5" t="inlineStr"/>
      <c r="O261" s="6" t="inlineStr"/>
      <c r="P261" s="6" t="inlineStr"/>
      <c r="Q261" s="5" t="inlineStr"/>
      <c r="R261" s="5" t="inlineStr"/>
      <c r="S261" s="5" t="inlineStr"/>
      <c r="T261" s="5" t="inlineStr"/>
      <c r="U261" s="5" t="inlineStr">
        <is>
          <t>yanlis-grup</t>
        </is>
      </c>
      <c r="V261" s="5" t="inlineStr"/>
      <c r="W261" s="5" t="inlineStr"/>
      <c r="X261" s="5" t="inlineStr"/>
      <c r="Y261" s="5" t="inlineStr"/>
      <c r="Z261" s="6" t="inlineStr"/>
      <c r="AA261" s="5" t="inlineStr"/>
      <c r="AB261" s="5" t="inlineStr"/>
      <c r="AC261" s="5" t="inlineStr"/>
      <c r="AD261" s="5" t="inlineStr"/>
      <c r="AE261" s="5" t="inlineStr"/>
      <c r="AF261" s="5" t="inlineStr"/>
      <c r="AG261" s="5" t="inlineStr"/>
      <c r="AH261" s="5" t="inlineStr"/>
    </row>
    <row r="262">
      <c r="A262" s="5" t="inlineStr">
        <is>
          <t>b4-yanlis-grup</t>
        </is>
      </c>
      <c r="B262" s="5" t="n">
        <v>2</v>
      </c>
      <c r="C262" s="6" t="inlineStr">
        <is>
          <t>Herkesten sil</t>
        </is>
      </c>
      <c r="D262" s="5" t="inlineStr">
        <is>
          <t>Kurnazlık</t>
        </is>
      </c>
      <c r="E262" s="5" t="inlineStr">
        <is>
          <t>Orta</t>
        </is>
      </c>
      <c r="F262" s="5" t="inlineStr"/>
      <c r="G262" s="6" t="inlineStr"/>
      <c r="H262" s="6" t="inlineStr">
        <is>
          <t>Grupta yalnızca 'Bu mesaj silindi' kaldı. Aile üç gün boyunca neyin silindiğini tahmin etti.</t>
        </is>
      </c>
      <c r="I262" s="6" t="inlineStr">
        <is>
          <t>Sildin; kimse görmemişti. Tek iz, halanın 'Ne sildin?' sorusu. O da cevapsız kaldı.</t>
        </is>
      </c>
      <c r="J262" s="6" t="inlineStr">
        <is>
          <t>Sildin ama dayın çoktan ekran görüntüsü alıp altına 'Hahaha' yazmıştı.</t>
        </is>
      </c>
      <c r="K262" s="6" t="inlineStr">
        <is>
          <t>'Herkesten sil' yerine 'Benden sil'e bastın. Mesaj grupta duruyor. Sen artık göremiyorsun.</t>
        </is>
      </c>
      <c r="L262" s="6" t="inlineStr"/>
      <c r="M262" s="5" t="inlineStr"/>
      <c r="N262" s="5" t="inlineStr"/>
      <c r="O262" s="6" t="inlineStr"/>
      <c r="P262" s="6" t="inlineStr"/>
      <c r="Q262" s="5" t="inlineStr"/>
      <c r="R262" s="5" t="inlineStr"/>
      <c r="S262" s="5" t="inlineStr"/>
      <c r="T262" s="5" t="inlineStr"/>
      <c r="U262" s="5" t="inlineStr"/>
      <c r="V262" s="5" t="inlineStr"/>
      <c r="W262" s="5" t="inlineStr">
        <is>
          <t>yanlis-grup</t>
        </is>
      </c>
      <c r="X262" s="5" t="inlineStr"/>
      <c r="Y262" s="5" t="inlineStr"/>
      <c r="Z262" s="6" t="inlineStr"/>
      <c r="AA262" s="5" t="inlineStr"/>
      <c r="AB262" s="5" t="inlineStr"/>
      <c r="AC262" s="5" t="inlineStr"/>
      <c r="AD262" s="5" t="inlineStr"/>
      <c r="AE262" s="5" t="inlineStr"/>
      <c r="AF262" s="5" t="inlineStr"/>
      <c r="AG262" s="5" t="inlineStr"/>
      <c r="AH262" s="5" t="inlineStr"/>
    </row>
    <row r="263">
      <c r="A263" s="5" t="inlineStr">
        <is>
          <t>b4-yanlis-grup</t>
        </is>
      </c>
      <c r="B263" s="5" t="n">
        <v>3</v>
      </c>
      <c r="C263" s="6" t="inlineStr">
        <is>
          <t>Arkasını topla</t>
        </is>
      </c>
      <c r="D263" s="5" t="inlineStr">
        <is>
          <t>Çene</t>
        </is>
      </c>
      <c r="E263" s="5" t="inlineStr">
        <is>
          <t>Orta</t>
        </is>
      </c>
      <c r="F263" s="5" t="inlineStr"/>
      <c r="G263" s="6" t="inlineStr"/>
      <c r="H263" s="6" t="inlineStr">
        <is>
          <t>'…ve çok seviyorum!' diye ekledin. Annen kalp bıraktı. Yemek bir hafta daha tekrarlandı.</t>
        </is>
      </c>
      <c r="I263" s="6" t="inlineStr">
        <is>
          <t>Devamını öyle getirdin ki mesaj annene bir methiye oldu. Annen tarifi gruba paylaştı. Tarif yayıldı.</t>
        </is>
      </c>
      <c r="J263" s="6" t="inlineStr">
        <is>
          <t>'Şaka şaka' yazdın. Kimse gülmedi. Annen 'Görüşürüz' yazdı.</t>
        </is>
      </c>
      <c r="K263" s="6" t="inlineStr">
        <is>
          <t>Toplamaya çalışırken ikinci mesajı da yanlış gruba attın: 'Bizimkiler hiçbir şey anlamaz.'</t>
        </is>
      </c>
      <c r="L263" s="6" t="inlineStr"/>
      <c r="M263" s="5" t="inlineStr"/>
      <c r="N263" s="5" t="inlineStr"/>
      <c r="O263" s="6" t="inlineStr"/>
      <c r="P263" s="6" t="inlineStr"/>
      <c r="Q263" s="5" t="inlineStr"/>
      <c r="R263" s="5" t="inlineStr"/>
      <c r="S263" s="5" t="inlineStr"/>
      <c r="T263" s="5" t="inlineStr"/>
      <c r="U263" s="5" t="inlineStr"/>
      <c r="V263" s="5" t="inlineStr"/>
      <c r="W263" s="5" t="inlineStr">
        <is>
          <t>yanlis-grup</t>
        </is>
      </c>
      <c r="X263" s="5" t="inlineStr"/>
      <c r="Y263" s="5" t="inlineStr"/>
      <c r="Z263" s="6" t="inlineStr"/>
      <c r="AA263" s="5" t="inlineStr"/>
      <c r="AB263" s="5" t="inlineStr"/>
      <c r="AC263" s="5" t="inlineStr"/>
      <c r="AD263" s="5" t="inlineStr"/>
      <c r="AE263" s="5" t="inlineStr"/>
      <c r="AF263" s="5" t="inlineStr"/>
      <c r="AG263" s="5" t="inlineStr"/>
      <c r="AH263" s="5" t="inlineStr"/>
    </row>
    <row r="264">
      <c r="A264" s="5" t="inlineStr">
        <is>
          <t>b4-yanlis-grup</t>
        </is>
      </c>
      <c r="B264" s="5" t="n">
        <v>4</v>
      </c>
      <c r="C264" s="6" t="inlineStr">
        <is>
          <t>Annenin telefonundan da sil</t>
        </is>
      </c>
      <c r="D264" s="5" t="inlineStr">
        <is>
          <t>Kurnazlık</t>
        </is>
      </c>
      <c r="E264" s="5" t="inlineStr">
        <is>
          <t>Kolay</t>
        </is>
      </c>
      <c r="F264" s="5" t="inlineStr"/>
      <c r="G264" s="6" t="inlineStr"/>
      <c r="H264" s="6" t="inlineStr">
        <is>
          <t>Tezgâha süzüldün, telefonu çevirdin, mesajı sildin. Annen soğan doğramaya devam etti.</t>
        </is>
      </c>
      <c r="I264" s="6" t="inlineStr">
        <is>
          <t>Mesajı sildin, bir de annenin sabah attığı çiçekli günaydını beğendin. Kusursuz örtü operasyonu.</t>
        </is>
      </c>
      <c r="J264" s="6" t="inlineStr">
        <is>
          <t>Telefonu çevirdiğinde annen dönüp 'Ne arıyorsun?' dedi. 'Saat kaç?' dedin. Duvarda saat var.</t>
        </is>
      </c>
      <c r="K264" s="6" t="inlineStr">
        <is>
          <t>Telefonu çevirdin, sesli mesaj kaydı başladı. Annenin 'Ne yapıyorsun?' sorusu ve senin cevabın aile grubuna gitti.</t>
        </is>
      </c>
      <c r="L264" s="6" t="inlineStr"/>
      <c r="M264" s="5" t="inlineStr"/>
      <c r="N264" s="5" t="inlineStr"/>
      <c r="O264" s="6" t="inlineStr"/>
      <c r="P264" s="6" t="inlineStr"/>
      <c r="Q264" s="5" t="inlineStr"/>
      <c r="R264" s="5" t="inlineStr"/>
      <c r="S264" s="5" t="inlineStr">
        <is>
          <t>Kurnazlık</t>
        </is>
      </c>
      <c r="T264" s="5" t="inlineStr"/>
      <c r="U264" s="5" t="inlineStr"/>
      <c r="V264" s="5" t="inlineStr"/>
      <c r="W264" s="5" t="inlineStr"/>
      <c r="X264" s="5" t="inlineStr"/>
      <c r="Y264" s="5" t="inlineStr"/>
      <c r="Z264" s="6" t="inlineStr"/>
      <c r="AA264" s="5" t="inlineStr"/>
      <c r="AB264" s="5" t="inlineStr"/>
      <c r="AC264" s="5" t="inlineStr"/>
      <c r="AD264" s="5" t="inlineStr"/>
      <c r="AE264" s="5" t="inlineStr"/>
      <c r="AF264" s="5" t="inlineStr"/>
      <c r="AG264" s="5" t="inlineStr"/>
      <c r="AH264" s="5" t="inlineStr"/>
    </row>
    <row r="265">
      <c r="A265" s="5" t="inlineStr">
        <is>
          <t>b4-apartman-toplantisi</t>
        </is>
      </c>
      <c r="B265" s="5" t="n">
        <v>1</v>
      </c>
      <c r="C265" s="6" t="inlineStr">
        <is>
          <t>Zarfı ver, makbuzu al, çık</t>
        </is>
      </c>
      <c r="D265" s="5" t="inlineStr"/>
      <c r="E265" s="5" t="inlineStr"/>
      <c r="F265" s="5" t="inlineStr">
        <is>
          <t>İtibar +1</t>
        </is>
      </c>
      <c r="G265" s="6" t="inlineStr">
        <is>
          <t>Zarfı verdin, makbuzu aldın, çıktın. Toplantıdan tek bir cümle duydun: “Çocuklar da artık top oynamasın.”</t>
        </is>
      </c>
      <c r="H265" s="6" t="inlineStr"/>
      <c r="I265" s="6" t="inlineStr"/>
      <c r="J265" s="6" t="inlineStr"/>
      <c r="K265" s="6" t="inlineStr"/>
      <c r="L265" s="6" t="inlineStr"/>
      <c r="M265" s="5" t="inlineStr"/>
      <c r="N265" s="5" t="inlineStr"/>
      <c r="O265" s="6" t="inlineStr"/>
      <c r="P265" s="6" t="inlineStr"/>
      <c r="Q265" s="5" t="inlineStr"/>
      <c r="R265" s="5" t="inlineStr"/>
      <c r="S265" s="5" t="inlineStr"/>
      <c r="T265" s="5" t="inlineStr"/>
      <c r="U265" s="5" t="inlineStr"/>
      <c r="V265" s="5" t="inlineStr"/>
      <c r="W265" s="5" t="inlineStr"/>
      <c r="X265" s="5" t="inlineStr"/>
      <c r="Y265" s="5" t="inlineStr"/>
      <c r="Z265" s="6" t="inlineStr"/>
      <c r="AA265" s="5" t="inlineStr"/>
      <c r="AB265" s="5" t="inlineStr"/>
      <c r="AC265" s="5" t="inlineStr"/>
      <c r="AD265" s="5" t="inlineStr"/>
      <c r="AE265" s="5" t="inlineStr"/>
      <c r="AF265" s="5" t="inlineStr"/>
      <c r="AG265" s="5" t="inlineStr"/>
      <c r="AH265" s="5" t="inlineStr"/>
    </row>
    <row r="266">
      <c r="A266" s="5" t="inlineStr">
        <is>
          <t>b4-apartman-toplantisi</t>
        </is>
      </c>
      <c r="B266" s="5" t="n">
        <v>2</v>
      </c>
      <c r="C266" s="6" t="inlineStr">
        <is>
          <t>Kapıda toplantıya kulak ver</t>
        </is>
      </c>
      <c r="D266" s="5" t="inlineStr">
        <is>
          <t>Sosyal Radar</t>
        </is>
      </c>
      <c r="E266" s="5" t="inlineStr">
        <is>
          <t>Kolay</t>
        </is>
      </c>
      <c r="F266" s="5" t="inlineStr"/>
      <c r="G266" s="6" t="inlineStr"/>
      <c r="H266" s="6" t="inlineStr">
        <is>
          <t>Kapıda iki dakika durdun, apartmanın bütün siyasetini öğrendin: aidat artacak, asansör bozuk kalacak, suçlu çocuklar.</t>
        </is>
      </c>
      <c r="I266" s="6" t="inlineStr">
        <is>
          <t>Beş dakikada kimin kime oy vereceğini çözdün. Akşam yemeğinde babana tam rapor verdin; baban seni danışman ilan etti.</t>
        </is>
      </c>
      <c r="J266" s="6" t="inlineStr">
        <is>
          <t>Kulak verdin ama yönetici kapıyı suratına kapattı. Makbuzu almayı da unuttun.</t>
        </is>
      </c>
      <c r="K266" s="6" t="inlineStr">
        <is>
          <t>Dinlerken yakalandın. Yönetici seni “casus” diye tutanağa geçirdi. Adın ilk kez resmî bir belgede.</t>
        </is>
      </c>
      <c r="L266" s="6" t="inlineStr"/>
      <c r="M266" s="5" t="inlineStr"/>
      <c r="N266" s="5" t="inlineStr"/>
      <c r="O266" s="6" t="inlineStr"/>
      <c r="P266" s="6" t="inlineStr"/>
      <c r="Q266" s="5" t="inlineStr"/>
      <c r="R266" s="5" t="inlineStr"/>
      <c r="S266" s="5" t="inlineStr"/>
      <c r="T266" s="5" t="inlineStr"/>
      <c r="U266" s="5" t="inlineStr"/>
      <c r="V266" s="5" t="inlineStr"/>
      <c r="W266" s="5" t="inlineStr"/>
      <c r="X266" s="5" t="inlineStr"/>
      <c r="Y266" s="5" t="inlineStr"/>
      <c r="Z266" s="6" t="inlineStr"/>
      <c r="AA266" s="5" t="inlineStr"/>
      <c r="AB266" s="5" t="inlineStr"/>
      <c r="AC266" s="5" t="inlineStr"/>
      <c r="AD266" s="5" t="inlineStr"/>
      <c r="AE266" s="5" t="inlineStr"/>
      <c r="AF266" s="5" t="inlineStr"/>
      <c r="AG266" s="5" t="inlineStr"/>
      <c r="AH266" s="5" t="inlineStr"/>
    </row>
    <row r="267">
      <c r="A267" s="5" t="inlineStr">
        <is>
          <t>b4-apartman-toplantisi</t>
        </is>
      </c>
      <c r="B267" s="5" t="n">
        <v>3</v>
      </c>
      <c r="C267" s="6" t="inlineStr">
        <is>
          <t>Top meselesinde çocukları savun</t>
        </is>
      </c>
      <c r="D267" s="5" t="inlineStr">
        <is>
          <t>Pişkinlik</t>
        </is>
      </c>
      <c r="E267" s="5" t="inlineStr">
        <is>
          <t>Orta</t>
        </is>
      </c>
      <c r="F267" s="5" t="inlineStr"/>
      <c r="G267" s="6" t="inlineStr"/>
      <c r="H267" s="6" t="inlineStr">
        <is>
          <t>“Top oynamazsak nerede oynayalım?” dedin. Sekiz yetişkin cevap veremedi. Bahçeye saat sınırıyla izin çıktı.</t>
        </is>
      </c>
      <c r="I267" s="6" t="inlineStr">
        <is>
          <t>Savunman öyle iyiydi ki toplantı bahçeye bir basket potası almaya karar verdi. Mahallede kahraman oldun.</t>
        </is>
      </c>
      <c r="J267" s="6" t="inlineStr">
        <is>
          <t>Savunmaya başladın; üçüncü kattaki teyze telefonundan kırık camın fotoğrafını açtı. Saklamış.</t>
        </is>
      </c>
      <c r="K267" s="6" t="inlineStr">
        <is>
          <t>Savunmanın ortasında aşağıdan top sesi geldi, ardından cam sesi. Sen değildin ama o gün sen oldun.</t>
        </is>
      </c>
      <c r="L267" s="6" t="inlineStr"/>
      <c r="M267" s="5" t="inlineStr"/>
      <c r="N267" s="5" t="inlineStr"/>
      <c r="O267" s="6" t="inlineStr"/>
      <c r="P267" s="6" t="inlineStr"/>
      <c r="Q267" s="5" t="inlineStr"/>
      <c r="R267" s="5" t="inlineStr"/>
      <c r="S267" s="5" t="inlineStr"/>
      <c r="T267" s="5" t="inlineStr"/>
      <c r="U267" s="5" t="inlineStr"/>
      <c r="V267" s="5" t="inlineStr"/>
      <c r="W267" s="5" t="inlineStr"/>
      <c r="X267" s="5" t="inlineStr"/>
      <c r="Y267" s="5" t="inlineStr"/>
      <c r="Z267" s="6" t="inlineStr"/>
      <c r="AA267" s="5" t="inlineStr"/>
      <c r="AB267" s="5" t="inlineStr"/>
      <c r="AC267" s="5" t="inlineStr"/>
      <c r="AD267" s="5" t="inlineStr"/>
      <c r="AE267" s="5" t="inlineStr"/>
      <c r="AF267" s="5" t="inlineStr"/>
      <c r="AG267" s="5" t="inlineStr"/>
      <c r="AH267" s="5" t="inlineStr"/>
    </row>
    <row r="268">
      <c r="A268" s="5" t="inlineStr">
        <is>
          <t>b4-apartman-toplantisi</t>
        </is>
      </c>
      <c r="B268" s="5" t="n">
        <v>4</v>
      </c>
      <c r="C268" s="6" t="inlineStr">
        <is>
          <t>Zarftan bir miktar kendine ayır</t>
        </is>
      </c>
      <c r="D268" s="5" t="inlineStr">
        <is>
          <t>Kurnazlık</t>
        </is>
      </c>
      <c r="E268" s="5" t="inlineStr">
        <is>
          <t>Zor</t>
        </is>
      </c>
      <c r="F268" s="5" t="inlineStr"/>
      <c r="G268" s="6" t="inlineStr"/>
      <c r="H268" s="6" t="inlineStr">
        <is>
          <t>Makbuzla zarf arasındaki farkı kimse fark etmedi. Aylık bir “kurye ücreti”n oldu.</t>
        </is>
      </c>
      <c r="I268" s="6" t="inlineStr">
        <is>
          <t>Yöneticiyle anlaştın: zarfı her ay sen getireceksin, o da makbuzu “yuvarlayacak”. İlk ortaklığın.</t>
        </is>
      </c>
      <c r="J268" s="6" t="inlineStr">
        <is>
          <t>Zarftan ayırdın, yönetici parayı saydı. Makbuzda eksik yazıyor; annen okuyacak.</t>
        </is>
      </c>
      <c r="K268" s="6" t="inlineStr">
        <is>
          <t>Zarftan ayırdın; yönetici annenin iş arkadaşının kocası çıktı. Akşam mutfakta tutanak tutuldu.</t>
        </is>
      </c>
      <c r="L268" s="6" t="inlineStr"/>
      <c r="M268" s="5" t="inlineStr"/>
      <c r="N268" s="5" t="inlineStr"/>
      <c r="O268" s="6" t="inlineStr"/>
      <c r="P268" s="6" t="inlineStr"/>
      <c r="Q268" s="5" t="inlineStr"/>
      <c r="R268" s="5" t="inlineStr"/>
      <c r="S268" s="5" t="inlineStr"/>
      <c r="T268" s="5" t="inlineStr"/>
      <c r="U268" s="5" t="inlineStr"/>
      <c r="V268" s="5" t="inlineStr"/>
      <c r="W268" s="5" t="inlineStr">
        <is>
          <t>yalanci</t>
        </is>
      </c>
      <c r="X268" s="5" t="inlineStr"/>
      <c r="Y268" s="5" t="inlineStr"/>
      <c r="Z268" s="6" t="inlineStr"/>
      <c r="AA268" s="5" t="inlineStr"/>
      <c r="AB268" s="5" t="inlineStr"/>
      <c r="AC268" s="5" t="inlineStr"/>
      <c r="AD268" s="5" t="inlineStr"/>
      <c r="AE268" s="5" t="inlineStr"/>
      <c r="AF268" s="5" t="inlineStr"/>
      <c r="AG268" s="5" t="inlineStr"/>
      <c r="AH268" s="5" t="inlineStr"/>
    </row>
    <row r="269">
      <c r="A269" s="5" t="inlineStr">
        <is>
          <t>b4-yz-odev</t>
        </is>
      </c>
      <c r="B269" s="5" t="n">
        <v>1</v>
      </c>
      <c r="C269" s="6" t="inlineStr">
        <is>
          <t>Kendin yaz</t>
        </is>
      </c>
      <c r="D269" s="5" t="inlineStr"/>
      <c r="E269" s="5" t="inlineStr"/>
      <c r="F269" s="5" t="inlineStr">
        <is>
          <t>İtibar +1, Akıl +1</t>
        </is>
      </c>
      <c r="G269" s="6" t="inlineStr">
        <is>
          <t>Kendin yazdın. İki imla hatası, bir dürüst cümle: 'Tatil kısaydı.' Öğretmen o cümlenin altını çizdi.</t>
        </is>
      </c>
      <c r="H269" s="6" t="inlineStr"/>
      <c r="I269" s="6" t="inlineStr"/>
      <c r="J269" s="6" t="inlineStr"/>
      <c r="K269" s="6" t="inlineStr"/>
      <c r="L269" s="6" t="inlineStr"/>
      <c r="M269" s="5" t="inlineStr"/>
      <c r="N269" s="5" t="inlineStr"/>
      <c r="O269" s="6" t="inlineStr"/>
      <c r="P269" s="6" t="inlineStr"/>
      <c r="Q269" s="5" t="inlineStr"/>
      <c r="R269" s="5" t="inlineStr"/>
      <c r="S269" s="5" t="inlineStr"/>
      <c r="T269" s="5" t="inlineStr"/>
      <c r="U269" s="5" t="inlineStr"/>
      <c r="V269" s="5" t="inlineStr"/>
      <c r="W269" s="5" t="inlineStr"/>
      <c r="X269" s="5" t="inlineStr"/>
      <c r="Y269" s="5" t="inlineStr"/>
      <c r="Z269" s="6" t="inlineStr"/>
      <c r="AA269" s="5" t="inlineStr"/>
      <c r="AB269" s="5" t="inlineStr"/>
      <c r="AC269" s="5" t="inlineStr"/>
      <c r="AD269" s="5" t="inlineStr"/>
      <c r="AE269" s="5" t="inlineStr"/>
      <c r="AF269" s="5" t="inlineStr"/>
      <c r="AG269" s="5" t="inlineStr"/>
      <c r="AH269" s="5" t="inlineStr"/>
    </row>
    <row r="270">
      <c r="A270" s="5" t="inlineStr">
        <is>
          <t>b4-yz-odev</t>
        </is>
      </c>
      <c r="B270" s="5" t="n">
        <v>2</v>
      </c>
      <c r="C270" s="6" t="inlineStr">
        <is>
          <t>Yapay zekâya yazdır</t>
        </is>
      </c>
      <c r="D270" s="5" t="inlineStr">
        <is>
          <t>Kurnazlık</t>
        </is>
      </c>
      <c r="E270" s="5" t="inlineStr">
        <is>
          <t>Orta</t>
        </is>
      </c>
      <c r="F270" s="5" t="inlineStr"/>
      <c r="G270" s="6" t="inlineStr"/>
      <c r="H270" s="6" t="inlineStr">
        <is>
          <t>Metin kusursuz. Öğretmen 'Çok gelişmişsin' dedi. İçinde bir şey sızladı, geçti.</t>
        </is>
      </c>
      <c r="I270" s="6" t="inlineStr">
        <is>
          <t>Yapay zekâya kendi imla hatalarını da ekletmeyi unutmadın. Öğretmen 'Tam senin tarzın' dedi. Tarzının artık bir yazılımı var.</t>
        </is>
      </c>
      <c r="J270" s="6" t="inlineStr">
        <is>
          <t>Metne göre tatilini yurt dışında, üç dil konuşarak geçirmişsin. Öğretmen aileni aradı ve tatili tebrik etti.</t>
        </is>
      </c>
      <c r="K270" s="6" t="inlineStr">
        <is>
          <t>Metnin son cümlesi: 'Başka bir konuda yardımcı olabilir miyim?' Öğretmen sınıfa sesli okudu.</t>
        </is>
      </c>
      <c r="L270" s="6" t="inlineStr"/>
      <c r="M270" s="5" t="inlineStr"/>
      <c r="N270" s="5" t="inlineStr"/>
      <c r="O270" s="6" t="inlineStr"/>
      <c r="P270" s="6" t="inlineStr"/>
      <c r="Q270" s="5" t="inlineStr"/>
      <c r="R270" s="5" t="inlineStr"/>
      <c r="S270" s="5" t="inlineStr"/>
      <c r="T270" s="5" t="inlineStr"/>
      <c r="U270" s="5" t="inlineStr">
        <is>
          <t>yz-odevci</t>
        </is>
      </c>
      <c r="V270" s="5" t="inlineStr"/>
      <c r="W270" s="5" t="inlineStr"/>
      <c r="X270" s="5" t="inlineStr"/>
      <c r="Y270" s="5" t="inlineStr"/>
      <c r="Z270" s="6" t="inlineStr"/>
      <c r="AA270" s="5" t="inlineStr"/>
      <c r="AB270" s="5" t="inlineStr"/>
      <c r="AC270" s="5" t="inlineStr"/>
      <c r="AD270" s="5" t="inlineStr"/>
      <c r="AE270" s="5" t="inlineStr"/>
      <c r="AF270" s="5" t="inlineStr"/>
      <c r="AG270" s="5" t="inlineStr"/>
      <c r="AH270" s="5" t="inlineStr"/>
    </row>
    <row r="271">
      <c r="A271" s="5" t="inlineStr">
        <is>
          <t>b4-yz-odev</t>
        </is>
      </c>
      <c r="B271" s="5" t="n">
        <v>3</v>
      </c>
      <c r="C271" s="6" t="inlineStr">
        <is>
          <t>Yazdır, sonra bozarak yeniden yaz</t>
        </is>
      </c>
      <c r="D271" s="5" t="inlineStr">
        <is>
          <t>Akıl</t>
        </is>
      </c>
      <c r="E271" s="5" t="inlineStr">
        <is>
          <t>Kolay</t>
        </is>
      </c>
      <c r="F271" s="5" t="inlineStr"/>
      <c r="G271" s="6" t="inlineStr"/>
      <c r="H271" s="6" t="inlineStr">
        <is>
          <t>'Ayrıca'ları sildin, iki hata ekledin. İnsan yapımı sertifikası aldın.</t>
        </is>
      </c>
      <c r="I271" s="6" t="inlineStr">
        <is>
          <t>Öyle bir yeniden yazdın ki makinenin metninden iyi oldu. Makine bile etkilenirdi.</t>
        </is>
      </c>
      <c r="J271" s="6" t="inlineStr">
        <is>
          <t>Bozarken bozdun. Metin artık ne sen, ne makine.</t>
        </is>
      </c>
      <c r="K271" s="6" t="inlineStr">
        <is>
          <t>'Ayrıca'ları sildin ama 'Bir yapay zekâ olarak ben de tatile gittim' cümlesini unuttun.</t>
        </is>
      </c>
      <c r="L271" s="6" t="inlineStr"/>
      <c r="M271" s="5" t="inlineStr"/>
      <c r="N271" s="5" t="inlineStr"/>
      <c r="O271" s="6" t="inlineStr"/>
      <c r="P271" s="6" t="inlineStr"/>
      <c r="Q271" s="5" t="inlineStr"/>
      <c r="R271" s="5" t="inlineStr"/>
      <c r="S271" s="5" t="inlineStr">
        <is>
          <t>Akıl</t>
        </is>
      </c>
      <c r="T271" s="5" t="inlineStr"/>
      <c r="U271" s="5" t="inlineStr">
        <is>
          <t>yz-odevci</t>
        </is>
      </c>
      <c r="V271" s="5" t="inlineStr"/>
      <c r="W271" s="5" t="inlineStr"/>
      <c r="X271" s="5" t="inlineStr"/>
      <c r="Y271" s="5" t="inlineStr"/>
      <c r="Z271" s="6" t="inlineStr"/>
      <c r="AA271" s="5" t="inlineStr"/>
      <c r="AB271" s="5" t="inlineStr"/>
      <c r="AC271" s="5" t="inlineStr"/>
      <c r="AD271" s="5" t="inlineStr"/>
      <c r="AE271" s="5" t="inlineStr"/>
      <c r="AF271" s="5" t="inlineStr"/>
      <c r="AG271" s="5" t="inlineStr"/>
      <c r="AH271" s="5" t="inlineStr"/>
    </row>
    <row r="272">
      <c r="A272" s="5" t="inlineStr">
        <is>
          <t>b4-yz-odev</t>
        </is>
      </c>
      <c r="B272" s="5" t="n">
        <v>4</v>
      </c>
      <c r="C272" s="6" t="inlineStr">
        <is>
          <t>Kaynak göstererek birlikte yaz</t>
        </is>
      </c>
      <c r="D272" s="5" t="inlineStr">
        <is>
          <t>Akıl</t>
        </is>
      </c>
      <c r="E272" s="5" t="inlineStr">
        <is>
          <t>Orta</t>
        </is>
      </c>
      <c r="F272" s="5" t="inlineStr"/>
      <c r="G272" s="6" t="inlineStr"/>
      <c r="H272" s="6" t="inlineStr">
        <is>
          <t>Altına 'Yapay zekâ ile birlikte hazırlanmıştır' yazdın. Öğretmen ne yapacağını bilemedi, tam not verdi.</t>
        </is>
      </c>
      <c r="I272" s="6" t="inlineStr">
        <is>
          <t>Öğretmen senden öğretmenler odasında sunum yapmanı istedi. İlk danışmanlık işin.</t>
        </is>
      </c>
      <c r="J272" s="6" t="inlineStr">
        <is>
          <t>Kaynak gösterdin; öğretmen kaynağı 'kopya' diye okudu.</t>
        </is>
      </c>
      <c r="K272" s="6" t="inlineStr">
        <is>
          <t>Okul yapay zekâ yönetmeliğini senin ödevin üzerinden yazdı. Adın Ek-1'de.</t>
        </is>
      </c>
      <c r="L272" s="6" t="inlineStr"/>
      <c r="M272" s="5" t="inlineStr"/>
      <c r="N272" s="5" t="inlineStr"/>
      <c r="O272" s="6" t="inlineStr"/>
      <c r="P272" s="6" t="inlineStr"/>
      <c r="Q272" s="5" t="inlineStr">
        <is>
          <t>Ekran Yerlisi</t>
        </is>
      </c>
      <c r="R272" s="5" t="inlineStr"/>
      <c r="S272" s="5" t="inlineStr"/>
      <c r="T272" s="5" t="inlineStr"/>
      <c r="U272" s="5" t="inlineStr"/>
      <c r="V272" s="5" t="inlineStr"/>
      <c r="W272" s="5" t="inlineStr"/>
      <c r="X272" s="5" t="inlineStr"/>
      <c r="Y272" s="5" t="inlineStr"/>
      <c r="Z272" s="6" t="inlineStr"/>
      <c r="AA272" s="5" t="inlineStr"/>
      <c r="AB272" s="5" t="inlineStr"/>
      <c r="AC272" s="5" t="inlineStr"/>
      <c r="AD272" s="5" t="inlineStr"/>
      <c r="AE272" s="5" t="inlineStr"/>
      <c r="AF272" s="5" t="inlineStr"/>
      <c r="AG272" s="5" t="inlineStr"/>
      <c r="AH272" s="5" t="inlineStr"/>
    </row>
    <row r="273">
      <c r="A273" s="5" t="inlineStr">
        <is>
          <t>b4-kisisel-oda</t>
        </is>
      </c>
      <c r="B273" s="5" t="n">
        <v>1</v>
      </c>
      <c r="C273" s="6" t="inlineStr">
        <is>
          <t>Paylaşmaya razı ol</t>
        </is>
      </c>
      <c r="D273" s="5" t="inlineStr"/>
      <c r="E273" s="5" t="inlineStr"/>
      <c r="F273" s="5" t="inlineStr">
        <is>
          <t>İtibar +1</t>
        </is>
      </c>
      <c r="G273" s="6" t="inlineStr">
        <is>
          <t>Odayı koşu bandıyla paylaştın. Bantta kıyafetlerin, sende kurumsal bir tevazu var.</t>
        </is>
      </c>
      <c r="H273" s="6" t="inlineStr"/>
      <c r="I273" s="6" t="inlineStr"/>
      <c r="J273" s="6" t="inlineStr"/>
      <c r="K273" s="6" t="inlineStr"/>
      <c r="L273" s="6" t="inlineStr"/>
      <c r="M273" s="5" t="inlineStr"/>
      <c r="N273" s="5" t="inlineStr"/>
      <c r="O273" s="6" t="inlineStr"/>
      <c r="P273" s="6" t="inlineStr"/>
      <c r="Q273" s="5" t="inlineStr"/>
      <c r="R273" s="5" t="inlineStr"/>
      <c r="S273" s="5" t="inlineStr"/>
      <c r="T273" s="5" t="inlineStr"/>
      <c r="U273" s="5" t="inlineStr"/>
      <c r="V273" s="5" t="inlineStr"/>
      <c r="W273" s="5" t="inlineStr"/>
      <c r="X273" s="5" t="inlineStr"/>
      <c r="Y273" s="5" t="inlineStr"/>
      <c r="Z273" s="6" t="inlineStr"/>
      <c r="AA273" s="5" t="inlineStr"/>
      <c r="AB273" s="5" t="inlineStr"/>
      <c r="AC273" s="5" t="inlineStr"/>
      <c r="AD273" s="5" t="inlineStr"/>
      <c r="AE273" s="5" t="inlineStr"/>
      <c r="AF273" s="5" t="inlineStr"/>
      <c r="AG273" s="5" t="inlineStr"/>
      <c r="AH273" s="5" t="inlineStr"/>
    </row>
    <row r="274">
      <c r="A274" s="5" t="inlineStr">
        <is>
          <t>b4-kisisel-oda</t>
        </is>
      </c>
      <c r="B274" s="5" t="n">
        <v>2</v>
      </c>
      <c r="C274" s="6" t="inlineStr">
        <is>
          <t>Resmî başvuru yap</t>
        </is>
      </c>
      <c r="D274" s="5" t="inlineStr">
        <is>
          <t>Akıl</t>
        </is>
      </c>
      <c r="E274" s="5" t="inlineStr">
        <is>
          <t>Orta</t>
        </is>
      </c>
      <c r="F274" s="5" t="inlineStr"/>
      <c r="G274" s="6" t="inlineStr"/>
      <c r="H274" s="6" t="inlineStr">
        <is>
          <t>Gerekçeli, imzalı, ekli bir dilekçe verdin. Aile meclisi odayı sana tahsis etti.</t>
        </is>
      </c>
      <c r="I274" s="6" t="inlineStr">
        <is>
          <t>Dilekçene kat planı ekledin. Oda senin; kapıya kilit, sana anahtar verildi.</t>
        </is>
      </c>
      <c r="J274" s="6" t="inlineStr">
        <is>
          <t>Dilekçe değerlendirmeye alındı. Hâlâ değerlendiriliyor.</t>
        </is>
      </c>
      <c r="K274" s="6" t="inlineStr">
        <is>
          <t>Dilekçeyi koşu bandının üstüne bıraktın. Hâlâ orada; kimse bandı kullanmıyor.</t>
        </is>
      </c>
      <c r="L274" s="6" t="inlineStr"/>
      <c r="M274" s="5" t="inlineStr"/>
      <c r="N274" s="5" t="inlineStr"/>
      <c r="O274" s="6" t="inlineStr"/>
      <c r="P274" s="6" t="inlineStr"/>
      <c r="Q274" s="5" t="inlineStr"/>
      <c r="R274" s="5" t="inlineStr"/>
      <c r="S274" s="5" t="inlineStr"/>
      <c r="T274" s="5" t="inlineStr"/>
      <c r="U274" s="5" t="inlineStr"/>
      <c r="V274" s="5" t="inlineStr">
        <is>
          <t>kendi-odasi</t>
        </is>
      </c>
      <c r="W274" s="5" t="inlineStr"/>
      <c r="X274" s="5" t="inlineStr"/>
      <c r="Y274" s="5" t="inlineStr"/>
      <c r="Z274" s="6" t="inlineStr"/>
      <c r="AA274" s="5" t="inlineStr"/>
      <c r="AB274" s="5" t="inlineStr"/>
      <c r="AC274" s="5" t="inlineStr"/>
      <c r="AD274" s="5" t="inlineStr"/>
      <c r="AE274" s="5" t="inlineStr"/>
      <c r="AF274" s="5" t="inlineStr"/>
      <c r="AG274" s="5" t="inlineStr"/>
      <c r="AH274" s="5" t="inlineStr"/>
    </row>
    <row r="275">
      <c r="A275" s="5" t="inlineStr">
        <is>
          <t>b4-kisisel-oda</t>
        </is>
      </c>
      <c r="B275" s="5" t="n">
        <v>3</v>
      </c>
      <c r="C275" s="6" t="inlineStr">
        <is>
          <t>Koşu bandını delil olarak sun</t>
        </is>
      </c>
      <c r="D275" s="5" t="inlineStr">
        <is>
          <t>Çene</t>
        </is>
      </c>
      <c r="E275" s="5" t="inlineStr">
        <is>
          <t>Kolay</t>
        </is>
      </c>
      <c r="F275" s="5" t="inlineStr"/>
      <c r="G275" s="6" t="inlineStr"/>
      <c r="H275" s="6" t="inlineStr">
        <is>
          <t>'Bant iki yıldır askılık' dedin. Baban itiraz edemedi. Bant balkona sürgün edildi.</t>
        </is>
      </c>
      <c r="I275" s="6" t="inlineStr">
        <is>
          <t>Bandın üstündeki kıyafetlerin fotoğrafını aile grubuna attın. Dava tek celsede bitti.</t>
        </is>
      </c>
      <c r="J275" s="6" t="inlineStr">
        <is>
          <t>Baban o akşam bantta yürüdü. Göstermelik ama yürüdü.</t>
        </is>
      </c>
      <c r="K275" s="6" t="inlineStr">
        <is>
          <t>Baban itiraz etti, sonra spora başladı. Oda artık ev spor salonu ve sen üye değilsin.</t>
        </is>
      </c>
      <c r="L275" s="6" t="inlineStr"/>
      <c r="M275" s="5" t="inlineStr"/>
      <c r="N275" s="5" t="inlineStr"/>
      <c r="O275" s="6" t="inlineStr"/>
      <c r="P275" s="6" t="inlineStr"/>
      <c r="Q275" s="5" t="inlineStr"/>
      <c r="R275" s="5" t="inlineStr"/>
      <c r="S275" s="5" t="inlineStr">
        <is>
          <t>Çene</t>
        </is>
      </c>
      <c r="T275" s="5" t="inlineStr"/>
      <c r="U275" s="5" t="inlineStr"/>
      <c r="V275" s="5" t="inlineStr">
        <is>
          <t>kendi-odasi</t>
        </is>
      </c>
      <c r="W275" s="5" t="inlineStr"/>
      <c r="X275" s="5" t="inlineStr"/>
      <c r="Y275" s="5" t="inlineStr"/>
      <c r="Z275" s="6" t="inlineStr"/>
      <c r="AA275" s="5" t="inlineStr"/>
      <c r="AB275" s="5" t="inlineStr"/>
      <c r="AC275" s="5" t="inlineStr"/>
      <c r="AD275" s="5" t="inlineStr"/>
      <c r="AE275" s="5" t="inlineStr"/>
      <c r="AF275" s="5" t="inlineStr"/>
      <c r="AG275" s="5" t="inlineStr"/>
      <c r="AH275" s="5" t="inlineStr"/>
    </row>
    <row r="276">
      <c r="A276" s="5" t="inlineStr">
        <is>
          <t>b4-kisisel-oda</t>
        </is>
      </c>
      <c r="B276" s="5" t="n">
        <v>4</v>
      </c>
      <c r="C276" s="6" t="inlineStr">
        <is>
          <t>Kediyi odaya yerleştir</t>
        </is>
      </c>
      <c r="D276" s="5" t="inlineStr">
        <is>
          <t>Kurnazlık</t>
        </is>
      </c>
      <c r="E276" s="5" t="inlineStr">
        <is>
          <t>Orta</t>
        </is>
      </c>
      <c r="F276" s="5" t="inlineStr"/>
      <c r="G276" s="6" t="inlineStr"/>
      <c r="H276" s="6" t="inlineStr">
        <is>
          <t>Kedi odayı sahiplendi, sen de kediyi. Oda fiilen ikinizin.</t>
        </is>
      </c>
      <c r="I276" s="6" t="inlineStr">
        <is>
          <t>Kedi odadan çıkmayınca ailen odayı ikinize tapuladı. Kediye de bir yastık düştü.</t>
        </is>
      </c>
      <c r="J276" s="6" t="inlineStr">
        <is>
          <t>Kedi odayı beğenmedi, salona döndü. Seni de götürdü.</t>
        </is>
      </c>
      <c r="K276" s="6" t="inlineStr">
        <is>
          <t>Kedi odayı sahiplendi. Yalnızca kedi. Artık kapıyı ondan izin alarak açıyorsun.</t>
        </is>
      </c>
      <c r="L276" s="6" t="inlineStr"/>
      <c r="M276" s="5" t="inlineStr"/>
      <c r="N276" s="5" t="inlineStr"/>
      <c r="O276" s="6" t="inlineStr"/>
      <c r="P276" s="6" t="inlineStr"/>
      <c r="Q276" s="5" t="inlineStr"/>
      <c r="R276" s="5" t="inlineStr">
        <is>
          <t>kediGeldi</t>
        </is>
      </c>
      <c r="S276" s="5" t="inlineStr"/>
      <c r="T276" s="5" t="inlineStr"/>
      <c r="U276" s="5" t="inlineStr"/>
      <c r="V276" s="5" t="inlineStr">
        <is>
          <t>kendi-odasi</t>
        </is>
      </c>
      <c r="W276" s="5" t="inlineStr"/>
      <c r="X276" s="5" t="inlineStr"/>
      <c r="Y276" s="5" t="inlineStr"/>
      <c r="Z276" s="6" t="inlineStr"/>
      <c r="AA276" s="5" t="inlineStr"/>
      <c r="AB276" s="5" t="inlineStr"/>
      <c r="AC276" s="5" t="inlineStr"/>
      <c r="AD276" s="5" t="inlineStr"/>
      <c r="AE276" s="5" t="inlineStr"/>
      <c r="AF276" s="5" t="inlineStr"/>
      <c r="AG276" s="5" t="inlineStr"/>
      <c r="AH276" s="5" t="inlineStr"/>
    </row>
    <row r="277">
      <c r="A277" s="5" t="inlineStr">
        <is>
          <t>b4-fenomen-denemesi</t>
        </is>
      </c>
      <c r="B277" s="5" t="n">
        <v>1</v>
      </c>
      <c r="C277" s="6" t="inlineStr">
        <is>
          <t>Hesabı gizliye al</t>
        </is>
      </c>
      <c r="D277" s="5" t="inlineStr"/>
      <c r="E277" s="5" t="inlineStr"/>
      <c r="F277" s="5" t="inlineStr">
        <is>
          <t>Kurnazlık +1</t>
        </is>
      </c>
      <c r="G277" s="6" t="inlineStr">
        <is>
          <t>Hesabı gizliye aldın. 47 takipçi seçkin bir kulübe dönüştü. Üyelik kapalı.</t>
        </is>
      </c>
      <c r="H277" s="6" t="inlineStr"/>
      <c r="I277" s="6" t="inlineStr"/>
      <c r="J277" s="6" t="inlineStr"/>
      <c r="K277" s="6" t="inlineStr"/>
      <c r="L277" s="6" t="inlineStr"/>
      <c r="M277" s="5" t="inlineStr"/>
      <c r="N277" s="5" t="inlineStr"/>
      <c r="O277" s="6" t="inlineStr"/>
      <c r="P277" s="6" t="inlineStr"/>
      <c r="Q277" s="5" t="inlineStr"/>
      <c r="R277" s="5" t="inlineStr"/>
      <c r="S277" s="5" t="inlineStr"/>
      <c r="T277" s="5" t="inlineStr"/>
      <c r="U277" s="5" t="inlineStr"/>
      <c r="V277" s="5" t="inlineStr"/>
      <c r="W277" s="5" t="inlineStr"/>
      <c r="X277" s="5" t="inlineStr"/>
      <c r="Y277" s="5" t="inlineStr"/>
      <c r="Z277" s="6" t="inlineStr"/>
      <c r="AA277" s="5" t="inlineStr"/>
      <c r="AB277" s="5" t="inlineStr"/>
      <c r="AC277" s="5" t="inlineStr"/>
      <c r="AD277" s="5" t="inlineStr"/>
      <c r="AE277" s="5" t="inlineStr"/>
      <c r="AF277" s="5" t="inlineStr"/>
      <c r="AG277" s="5" t="inlineStr"/>
      <c r="AH277" s="5" t="inlineStr"/>
    </row>
    <row r="278">
      <c r="A278" s="5" t="inlineStr">
        <is>
          <t>b4-fenomen-denemesi</t>
        </is>
      </c>
      <c r="B278" s="5" t="n">
        <v>2</v>
      </c>
      <c r="C278" s="6" t="inlineStr">
        <is>
          <t>Her gün video çek</t>
        </is>
      </c>
      <c r="D278" s="5" t="inlineStr">
        <is>
          <t>Dayanıklılık</t>
        </is>
      </c>
      <c r="E278" s="5" t="inlineStr">
        <is>
          <t>Zor</t>
        </is>
      </c>
      <c r="F278" s="5" t="inlineStr"/>
      <c r="G278" s="6" t="inlineStr"/>
      <c r="H278" s="6" t="inlineStr">
        <is>
          <t>Yüz gün aralıksız paylaştın. Takipçi dört haneye çıktı. Okulda imza isteyen oldu.</t>
        </is>
      </c>
      <c r="I278" s="6" t="inlineStr">
        <is>
          <t>Bir videon patladı. Mahalle kafesi sana 'iş birliği' için bedava tost teklif etti. İlk sponsorluğun.</t>
        </is>
      </c>
      <c r="J278" s="6" t="inlineStr">
        <is>
          <t>Kırk gün paylaştın, kırk birinci gün şifreyi unuttun. İnternette şu an iki sen var.</t>
        </is>
      </c>
      <c r="K278" s="6" t="inlineStr">
        <is>
          <t>En çok izlenen videon, annenin arkadan 'Yemek soğudu!' diye bağırdığı video. Takipçiler annenin hesabını istiyor.</t>
        </is>
      </c>
      <c r="L278" s="6" t="inlineStr"/>
      <c r="M278" s="5" t="inlineStr"/>
      <c r="N278" s="5" t="inlineStr"/>
      <c r="O278" s="6" t="inlineStr"/>
      <c r="P278" s="6" t="inlineStr"/>
      <c r="Q278" s="5" t="inlineStr"/>
      <c r="R278" s="5" t="inlineStr"/>
      <c r="S278" s="5" t="inlineStr"/>
      <c r="T278" s="5" t="inlineStr"/>
      <c r="U278" s="5" t="inlineStr"/>
      <c r="V278" s="5" t="inlineStr">
        <is>
          <t>fenomen</t>
        </is>
      </c>
      <c r="W278" s="5" t="inlineStr"/>
      <c r="X278" s="5" t="inlineStr"/>
      <c r="Y278" s="5" t="inlineStr"/>
      <c r="Z278" s="6" t="inlineStr"/>
      <c r="AA278" s="5" t="inlineStr"/>
      <c r="AB278" s="5" t="inlineStr"/>
      <c r="AC278" s="5" t="inlineStr"/>
      <c r="AD278" s="5" t="inlineStr"/>
      <c r="AE278" s="5" t="inlineStr"/>
      <c r="AF278" s="5" t="inlineStr"/>
      <c r="AG278" s="5" t="inlineStr"/>
      <c r="AH278" s="5" t="inlineStr"/>
    </row>
    <row r="279">
      <c r="A279" s="5" t="inlineStr">
        <is>
          <t>b4-fenomen-denemesi</t>
        </is>
      </c>
      <c r="B279" s="5" t="n">
        <v>3</v>
      </c>
      <c r="C279" s="6" t="inlineStr">
        <is>
          <t>Tartışmalı bir görüş paylaş</t>
        </is>
      </c>
      <c r="D279" s="5" t="inlineStr">
        <is>
          <t>Pişkinlik</t>
        </is>
      </c>
      <c r="E279" s="5" t="inlineStr">
        <is>
          <t>Orta</t>
        </is>
      </c>
      <c r="F279" s="5" t="inlineStr"/>
      <c r="G279" s="6" t="inlineStr"/>
      <c r="H279" s="6" t="inlineStr">
        <is>
          <t>'Pilav, makarnanın yanında olmaz' dedin. Yorumlar savaş alanı. Takipçi üç katına çıktı.</t>
        </is>
      </c>
      <c r="I279" s="6" t="inlineStr">
        <is>
          <t>Bir yemek sayfası seni alıntıladı. Artık bir 'duruşun' var.</t>
        </is>
      </c>
      <c r="J279" s="6" t="inlineStr">
        <is>
          <t>Görüşün kimseyi kızdırmadı. Herkes zaten aynı fikirdeymiş.</t>
        </is>
      </c>
      <c r="K279" s="6" t="inlineStr">
        <is>
          <t>Görüşün teyzeni kızdırdı. Aile grubunda üç gün pilav tartışıldı; adın hiç geçmeden.</t>
        </is>
      </c>
      <c r="L279" s="6" t="inlineStr"/>
      <c r="M279" s="5" t="inlineStr"/>
      <c r="N279" s="5" t="inlineStr"/>
      <c r="O279" s="6" t="inlineStr"/>
      <c r="P279" s="6" t="inlineStr"/>
      <c r="Q279" s="5" t="inlineStr"/>
      <c r="R279" s="5" t="inlineStr"/>
      <c r="S279" s="5" t="inlineStr"/>
      <c r="T279" s="5" t="inlineStr"/>
      <c r="U279" s="5" t="inlineStr"/>
      <c r="V279" s="5" t="inlineStr">
        <is>
          <t>fenomen</t>
        </is>
      </c>
      <c r="W279" s="5" t="inlineStr"/>
      <c r="X279" s="5" t="inlineStr"/>
      <c r="Y279" s="5" t="inlineStr"/>
      <c r="Z279" s="6" t="inlineStr"/>
      <c r="AA279" s="5" t="inlineStr"/>
      <c r="AB279" s="5" t="inlineStr"/>
      <c r="AC279" s="5" t="inlineStr"/>
      <c r="AD279" s="5" t="inlineStr"/>
      <c r="AE279" s="5" t="inlineStr"/>
      <c r="AF279" s="5" t="inlineStr"/>
      <c r="AG279" s="5" t="inlineStr"/>
      <c r="AH279" s="5" t="inlineStr"/>
    </row>
    <row r="280">
      <c r="A280" s="5" t="inlineStr">
        <is>
          <t>b4-fenomen-denemesi</t>
        </is>
      </c>
      <c r="B280" s="5" t="n">
        <v>4</v>
      </c>
      <c r="C280" s="6" t="inlineStr">
        <is>
          <t>Canlı yayın aç</t>
        </is>
      </c>
      <c r="D280" s="5" t="inlineStr">
        <is>
          <t>Pişkinlik</t>
        </is>
      </c>
      <c r="E280" s="5" t="inlineStr">
        <is>
          <t>Kolay</t>
        </is>
      </c>
      <c r="F280" s="5" t="inlineStr"/>
      <c r="G280" s="6" t="inlineStr"/>
      <c r="H280" s="6" t="inlineStr">
        <is>
          <t>Canlı yayında 38 kişiyle soru-cevap yaptın. 37'si soru sordu. Bir tanesi babaannendi.</t>
        </is>
      </c>
      <c r="I280" s="6" t="inlineStr">
        <is>
          <t>Canlı yayın okul dışına taştı; sonunda 'Yarın aynı saatte' dedin ve gerçekten 400 kişi geldi.</t>
        </is>
      </c>
      <c r="J280" s="6" t="inlineStr">
        <is>
          <t>Yayın açtın, sinyal gitti. 38 kişi donmuş yüzüne baktı.</t>
        </is>
      </c>
      <c r="K280" s="6" t="inlineStr">
        <is>
          <t>Canlı yayında 'Şu an çok kişi var' dedin; baban içeri girip 'Kimle konuşuyorsun?' diye sordu. Kesit ayrıca yayıldı.</t>
        </is>
      </c>
      <c r="L280" s="6" t="inlineStr"/>
      <c r="M280" s="5" t="inlineStr"/>
      <c r="N280" s="5" t="inlineStr"/>
      <c r="O280" s="6" t="inlineStr"/>
      <c r="P280" s="6" t="inlineStr"/>
      <c r="Q280" s="5" t="inlineStr"/>
      <c r="R280" s="5" t="inlineStr"/>
      <c r="S280" s="5" t="inlineStr">
        <is>
          <t>Pişkinlik</t>
        </is>
      </c>
      <c r="T280" s="5" t="inlineStr"/>
      <c r="U280" s="5" t="inlineStr"/>
      <c r="V280" s="5" t="inlineStr">
        <is>
          <t>fenomen</t>
        </is>
      </c>
      <c r="W280" s="5" t="inlineStr"/>
      <c r="X280" s="5" t="inlineStr"/>
      <c r="Y280" s="5" t="inlineStr"/>
      <c r="Z280" s="6" t="inlineStr"/>
      <c r="AA280" s="5" t="inlineStr"/>
      <c r="AB280" s="5" t="inlineStr"/>
      <c r="AC280" s="5" t="inlineStr"/>
      <c r="AD280" s="5" t="inlineStr"/>
      <c r="AE280" s="5" t="inlineStr"/>
      <c r="AF280" s="5" t="inlineStr"/>
      <c r="AG280" s="5" t="inlineStr"/>
      <c r="AH280" s="5" t="inlineStr"/>
    </row>
    <row r="281">
      <c r="A281" s="5" t="inlineStr">
        <is>
          <t>b4-haracci-rovans</t>
        </is>
      </c>
      <c r="B281" s="5" t="n">
        <v>1</v>
      </c>
      <c r="C281" s="6" t="inlineStr">
        <is>
          <t>Yolunu değiştir</t>
        </is>
      </c>
      <c r="D281" s="5" t="inlineStr"/>
      <c r="E281" s="5" t="inlineStr"/>
      <c r="F281" s="5" t="inlineStr">
        <is>
          <t>Dayanıklılık +1</t>
        </is>
      </c>
      <c r="G281" s="6" t="inlineStr">
        <is>
          <t>Başka sokaktan döndün. O sokak artık haritanda gri. Okul yolun ömür boyu dört dakika uzun.</t>
        </is>
      </c>
      <c r="H281" s="6" t="inlineStr"/>
      <c r="I281" s="6" t="inlineStr"/>
      <c r="J281" s="6" t="inlineStr"/>
      <c r="K281" s="6" t="inlineStr"/>
      <c r="L281" s="6" t="inlineStr"/>
      <c r="M281" s="5" t="inlineStr"/>
      <c r="N281" s="5" t="inlineStr"/>
      <c r="O281" s="6" t="inlineStr"/>
      <c r="P281" s="6" t="inlineStr"/>
      <c r="Q281" s="5" t="inlineStr"/>
      <c r="R281" s="5" t="inlineStr"/>
      <c r="S281" s="5" t="inlineStr"/>
      <c r="T281" s="5" t="inlineStr"/>
      <c r="U281" s="5" t="inlineStr">
        <is>
          <t>sokak-yasagi</t>
        </is>
      </c>
      <c r="V281" s="5" t="inlineStr"/>
      <c r="W281" s="5" t="inlineStr"/>
      <c r="X281" s="5" t="inlineStr"/>
      <c r="Y281" s="5" t="inlineStr"/>
      <c r="Z281" s="6" t="inlineStr"/>
      <c r="AA281" s="5" t="inlineStr"/>
      <c r="AB281" s="5" t="inlineStr"/>
      <c r="AC281" s="5" t="inlineStr"/>
      <c r="AD281" s="5" t="inlineStr"/>
      <c r="AE281" s="5" t="inlineStr"/>
      <c r="AF281" s="5" t="inlineStr"/>
      <c r="AG281" s="5" t="inlineStr"/>
      <c r="AH281" s="5" t="inlineStr"/>
    </row>
    <row r="282">
      <c r="A282" s="5" t="inlineStr">
        <is>
          <t>b4-haracci-rovans</t>
        </is>
      </c>
      <c r="B282" s="5" t="n">
        <v>2</v>
      </c>
      <c r="C282" s="6" t="inlineStr">
        <is>
          <t>Maç teklif et</t>
        </is>
      </c>
      <c r="D282" s="5" t="inlineStr">
        <is>
          <t>Cesaret</t>
        </is>
      </c>
      <c r="E282" s="5" t="inlineStr">
        <is>
          <t>Zor</t>
        </is>
      </c>
      <c r="F282" s="5" t="inlineStr"/>
      <c r="G282" s="6" t="inlineStr"/>
      <c r="H282" s="6" t="inlineStr">
        <is>
          <t>Maç yaptınız. Kaybettin ama dik durdun. Ertesi gün selam verdiler. Kısmi barış.</t>
        </is>
      </c>
      <c r="I282" s="6" t="inlineStr">
        <is>
          <t>Maçı kazandın. Seni takıma aldılar. Artık o köşede sen de duruyorsun; sadece harçlık istemiyorsun.</t>
        </is>
      </c>
      <c r="J282" s="6" t="inlineStr">
        <is>
          <t>'Biz iddiasına oynarız' dediler. İddia bütçen yoktu.</t>
        </is>
      </c>
      <c r="K282" s="6" t="inlineStr">
        <is>
          <t>İlk vuruşta topu bakkalın camına gönderdin. Artık yalnızca haraççılar değil, bakkal da seni tanıyor.</t>
        </is>
      </c>
      <c r="L282" s="6" t="inlineStr"/>
      <c r="M282" s="5" t="inlineStr"/>
      <c r="N282" s="5" t="inlineStr"/>
      <c r="O282" s="6" t="inlineStr"/>
      <c r="P282" s="6" t="inlineStr"/>
      <c r="Q282" s="5" t="inlineStr"/>
      <c r="R282" s="5" t="inlineStr"/>
      <c r="S282" s="5" t="inlineStr"/>
      <c r="T282" s="5" t="inlineStr"/>
      <c r="U282" s="5" t="inlineStr"/>
      <c r="V282" s="5" t="inlineStr"/>
      <c r="W282" s="5" t="inlineStr">
        <is>
          <t>sokak-yasagi</t>
        </is>
      </c>
      <c r="X282" s="5" t="inlineStr"/>
      <c r="Y282" s="5" t="inlineStr"/>
      <c r="Z282" s="6" t="inlineStr"/>
      <c r="AA282" s="5" t="inlineStr"/>
      <c r="AB282" s="5" t="inlineStr"/>
      <c r="AC282" s="5" t="inlineStr"/>
      <c r="AD282" s="5" t="inlineStr"/>
      <c r="AE282" s="5" t="inlineStr"/>
      <c r="AF282" s="5" t="inlineStr"/>
      <c r="AG282" s="5" t="inlineStr"/>
      <c r="AH282" s="5" t="inlineStr"/>
    </row>
    <row r="283">
      <c r="A283" s="5" t="inlineStr">
        <is>
          <t>b4-haracci-rovans</t>
        </is>
      </c>
      <c r="B283" s="5" t="n">
        <v>3</v>
      </c>
      <c r="C283" s="6" t="inlineStr">
        <is>
          <t>Karşılarında dik dur</t>
        </is>
      </c>
      <c r="D283" s="5" t="inlineStr">
        <is>
          <t>Cesaret</t>
        </is>
      </c>
      <c r="E283" s="5" t="inlineStr">
        <is>
          <t>Kolay</t>
        </is>
      </c>
      <c r="F283" s="5" t="inlineStr"/>
      <c r="G283" s="6" t="inlineStr"/>
      <c r="H283" s="6" t="inlineStr">
        <is>
          <t>Durdun, baktın. Onlar da baktı. Sonra top oynamaya devam ettiler. Soğuk barış.</t>
        </is>
      </c>
      <c r="I283" s="6" t="inlineStr">
        <is>
          <t>İçlerinden biri 'Bu bizim eski müşteri' dedi, gülüştüler, geçtin. Mezuniyet gibi bir şey.</t>
        </is>
      </c>
      <c r="J283" s="6" t="inlineStr">
        <is>
          <t>Dik durdun; biri 'Ne bakıyorsun?' dedi. Cevabın yoktu. Yürümeye devam ettin, biraz hızlı.</t>
        </is>
      </c>
      <c r="K283" s="6" t="inlineStr">
        <is>
          <t>Dik durdun ama sesin çatladı. O günden beri köşeden geçerken arkandan ıslık çalıyorlar.</t>
        </is>
      </c>
      <c r="L283" s="6" t="inlineStr"/>
      <c r="M283" s="5" t="inlineStr"/>
      <c r="N283" s="5" t="inlineStr"/>
      <c r="O283" s="6" t="inlineStr"/>
      <c r="P283" s="6" t="inlineStr"/>
      <c r="Q283" s="5" t="inlineStr"/>
      <c r="R283" s="5" t="inlineStr"/>
      <c r="S283" s="5" t="inlineStr">
        <is>
          <t>Cesaret</t>
        </is>
      </c>
      <c r="T283" s="5" t="inlineStr"/>
      <c r="U283" s="5" t="inlineStr"/>
      <c r="V283" s="5" t="inlineStr"/>
      <c r="W283" s="5" t="inlineStr">
        <is>
          <t>lakapli</t>
        </is>
      </c>
      <c r="X283" s="5" t="inlineStr"/>
      <c r="Y283" s="5" t="inlineStr"/>
      <c r="Z283" s="6" t="inlineStr"/>
      <c r="AA283" s="5" t="inlineStr"/>
      <c r="AB283" s="5" t="inlineStr"/>
      <c r="AC283" s="5" t="inlineStr"/>
      <c r="AD283" s="5" t="inlineStr"/>
      <c r="AE283" s="5" t="inlineStr"/>
      <c r="AF283" s="5" t="inlineStr"/>
      <c r="AG283" s="5" t="inlineStr"/>
      <c r="AH283" s="5" t="inlineStr"/>
    </row>
    <row r="284">
      <c r="A284" s="5" t="inlineStr">
        <is>
          <t>b4-haracci-rovans</t>
        </is>
      </c>
      <c r="B284" s="5" t="n">
        <v>4</v>
      </c>
      <c r="C284" s="6" t="inlineStr">
        <is>
          <t>Onlara iş teklif et</t>
        </is>
      </c>
      <c r="D284" s="5" t="inlineStr">
        <is>
          <t>Çene</t>
        </is>
      </c>
      <c r="E284" s="5" t="inlineStr">
        <is>
          <t>Orta</t>
        </is>
      </c>
      <c r="F284" s="5" t="inlineStr"/>
      <c r="G284" s="6" t="inlineStr"/>
      <c r="H284" s="6" t="inlineStr">
        <is>
          <t>Kantin sipariş servisine dağıtıcı olarak aldın. Haraç bitti, maaş başladı.</t>
        </is>
      </c>
      <c r="I284" s="6" t="inlineStr">
        <is>
          <t>Üçü de artık senin için çalışıyor. Mahalle ekonomisinde dikey entegrasyon.</t>
        </is>
      </c>
      <c r="J284" s="6" t="inlineStr">
        <is>
          <t>'Biz çalışmayız' dediler. Bu, haraç işinin temel prensibiymiş.</t>
        </is>
      </c>
      <c r="K284" s="6" t="inlineStr">
        <is>
          <t>İş teklif ettin; kabul ettiler, ilk gün kasayı alıp gittiler. Tecrübe böyle kazanılır.</t>
        </is>
      </c>
      <c r="L284" s="6" t="inlineStr"/>
      <c r="M284" s="5" t="inlineStr"/>
      <c r="N284" s="5" t="inlineStr"/>
      <c r="O284" s="6" t="inlineStr"/>
      <c r="P284" s="6" t="inlineStr"/>
      <c r="Q284" s="5" t="inlineStr">
        <is>
          <t>Kantin Ekonomisti</t>
        </is>
      </c>
      <c r="R284" s="5" t="inlineStr"/>
      <c r="S284" s="5" t="inlineStr"/>
      <c r="T284" s="5" t="inlineStr"/>
      <c r="U284" s="5" t="inlineStr"/>
      <c r="V284" s="5" t="inlineStr"/>
      <c r="W284" s="5" t="inlineStr"/>
      <c r="X284" s="5" t="inlineStr"/>
      <c r="Y284" s="5" t="inlineStr"/>
      <c r="Z284" s="6" t="inlineStr"/>
      <c r="AA284" s="5" t="inlineStr"/>
      <c r="AB284" s="5" t="inlineStr"/>
      <c r="AC284" s="5" t="inlineStr"/>
      <c r="AD284" s="5" t="inlineStr"/>
      <c r="AE284" s="5" t="inlineStr"/>
      <c r="AF284" s="5" t="inlineStr"/>
      <c r="AG284" s="5" t="inlineStr"/>
      <c r="AH284" s="5" t="inlineStr"/>
    </row>
    <row r="285">
      <c r="A285" s="5" t="inlineStr">
        <is>
          <t>b4-kantin-ekonomisi</t>
        </is>
      </c>
      <c r="B285" s="5" t="n">
        <v>1</v>
      </c>
      <c r="C285" s="6" t="inlineStr">
        <is>
          <t>Sandviçini evden hazırla</t>
        </is>
      </c>
      <c r="D285" s="5" t="inlineStr"/>
      <c r="E285" s="5" t="inlineStr"/>
      <c r="F285" s="5" t="inlineStr">
        <is>
          <t>Dayanıklılık +1</t>
        </is>
      </c>
      <c r="G285" s="6" t="inlineStr">
        <is>
          <t>Evden sandviç getirdin. Kâğıt havluya sarılı, kaşarı dağılmış ama bedava.</t>
        </is>
      </c>
      <c r="H285" s="6" t="inlineStr"/>
      <c r="I285" s="6" t="inlineStr"/>
      <c r="J285" s="6" t="inlineStr"/>
      <c r="K285" s="6" t="inlineStr"/>
      <c r="L285" s="6" t="inlineStr"/>
      <c r="M285" s="5" t="inlineStr"/>
      <c r="N285" s="5" t="inlineStr"/>
      <c r="O285" s="6" t="inlineStr"/>
      <c r="P285" s="6" t="inlineStr"/>
      <c r="Q285" s="5" t="inlineStr"/>
      <c r="R285" s="5" t="inlineStr"/>
      <c r="S285" s="5" t="inlineStr"/>
      <c r="T285" s="5" t="inlineStr"/>
      <c r="U285" s="5" t="inlineStr"/>
      <c r="V285" s="5" t="inlineStr"/>
      <c r="W285" s="5" t="inlineStr"/>
      <c r="X285" s="5" t="inlineStr"/>
      <c r="Y285" s="5" t="inlineStr"/>
      <c r="Z285" s="6" t="inlineStr"/>
      <c r="AA285" s="5" t="inlineStr"/>
      <c r="AB285" s="5" t="inlineStr"/>
      <c r="AC285" s="5" t="inlineStr"/>
      <c r="AD285" s="5" t="inlineStr"/>
      <c r="AE285" s="5" t="inlineStr"/>
      <c r="AF285" s="5" t="inlineStr"/>
      <c r="AG285" s="5" t="inlineStr"/>
      <c r="AH285" s="5" t="inlineStr"/>
    </row>
    <row r="286">
      <c r="A286" s="5" t="inlineStr">
        <is>
          <t>b4-kantin-ekonomisi</t>
        </is>
      </c>
      <c r="B286" s="5" t="n">
        <v>2</v>
      </c>
      <c r="C286" s="6" t="inlineStr">
        <is>
          <t>Sipariş servisi kur</t>
        </is>
      </c>
      <c r="D286" s="5" t="inlineStr">
        <is>
          <t>Kurnazlık</t>
        </is>
      </c>
      <c r="E286" s="5" t="inlineStr">
        <is>
          <t>Zor</t>
        </is>
      </c>
      <c r="F286" s="5" t="inlineStr"/>
      <c r="G286" s="6" t="inlineStr"/>
      <c r="H286" s="6" t="inlineStr">
        <is>
          <t>Kuyruğun önündekine toplu sipariş verdin, arkadakilere küçük bir hizmet bedeliyle dağıttın. Aracı kurum oldun.</t>
        </is>
      </c>
      <c r="I286" s="6" t="inlineStr">
        <is>
          <t>Teneffüs başlamadan siparişler hazır. Kantinci sana ayrı bir tezgâh verdi. Bayilik aldın.</t>
        </is>
      </c>
      <c r="J286" s="6" t="inlineStr">
        <is>
          <t>Tostlar karıştı. Kaşarlı isteyen sucukluyu aldı. Müşteri memnuniyeti sıfır.</t>
        </is>
      </c>
      <c r="K286" s="6" t="inlineStr">
        <is>
          <t>Kantinci servisini fark etti. Tezgâha 'Aracı yasak' yazısı asıldı. Altında senin fotoğrafın.</t>
        </is>
      </c>
      <c r="L286" s="6" t="inlineStr"/>
      <c r="M286" s="5" t="inlineStr"/>
      <c r="N286" s="5" t="inlineStr"/>
      <c r="O286" s="6" t="inlineStr"/>
      <c r="P286" s="6" t="inlineStr"/>
      <c r="Q286" s="5" t="inlineStr"/>
      <c r="R286" s="5" t="inlineStr"/>
      <c r="S286" s="5" t="inlineStr"/>
      <c r="T286" s="5" t="inlineStr">
        <is>
          <t>Kantin Ekonomisti</t>
        </is>
      </c>
      <c r="U286" s="5" t="inlineStr"/>
      <c r="V286" s="5" t="inlineStr"/>
      <c r="W286" s="5" t="inlineStr"/>
      <c r="X286" s="5" t="inlineStr"/>
      <c r="Y286" s="5" t="inlineStr"/>
      <c r="Z286" s="6" t="inlineStr"/>
      <c r="AA286" s="5" t="inlineStr"/>
      <c r="AB286" s="5" t="inlineStr"/>
      <c r="AC286" s="5" t="inlineStr"/>
      <c r="AD286" s="5" t="inlineStr"/>
      <c r="AE286" s="5" t="inlineStr"/>
      <c r="AF286" s="5" t="inlineStr"/>
      <c r="AG286" s="5" t="inlineStr"/>
      <c r="AH286" s="5" t="inlineStr"/>
    </row>
    <row r="287">
      <c r="A287" s="5" t="inlineStr">
        <is>
          <t>b4-kantin-ekonomisi</t>
        </is>
      </c>
      <c r="B287" s="5" t="n">
        <v>3</v>
      </c>
      <c r="C287" s="6" t="inlineStr">
        <is>
          <t>Kek yap, teneffüste sat</t>
        </is>
      </c>
      <c r="D287" s="5" t="inlineStr">
        <is>
          <t>Çene</t>
        </is>
      </c>
      <c r="E287" s="5" t="inlineStr">
        <is>
          <t>Orta</t>
        </is>
      </c>
      <c r="F287" s="5" t="inlineStr"/>
      <c r="G287" s="6" t="inlineStr"/>
      <c r="H287" s="6" t="inlineStr">
        <is>
          <t>Kekler ikinci teneffüste bitti. Annenin tarifi ilk kez ticarileşti.</t>
        </is>
      </c>
      <c r="I287" s="6" t="inlineStr">
        <is>
          <t>Kekler ilk teneffüste bitti. Kantin tost fiyatını indirdi. Piyasayı sen düzenledin.</t>
        </is>
      </c>
      <c r="J287" s="6" t="inlineStr">
        <is>
          <t>Kekleri kimse almadı. Hepsini sen yedin. Kâr yok, kalori var.</t>
        </is>
      </c>
      <c r="K287" s="6" t="inlineStr">
        <is>
          <t>Müdür yardımcısı da bir dilim aldı. Sonra ruhsatını sordu.</t>
        </is>
      </c>
      <c r="L287" s="6" t="inlineStr"/>
      <c r="M287" s="5" t="inlineStr"/>
      <c r="N287" s="5" t="inlineStr"/>
      <c r="O287" s="6" t="inlineStr"/>
      <c r="P287" s="6" t="inlineStr"/>
      <c r="Q287" s="5" t="inlineStr">
        <is>
          <t>Küçük Tüccar</t>
        </is>
      </c>
      <c r="R287" s="5" t="inlineStr"/>
      <c r="S287" s="5" t="inlineStr"/>
      <c r="T287" s="5" t="inlineStr"/>
      <c r="U287" s="5" t="inlineStr"/>
      <c r="V287" s="5" t="inlineStr"/>
      <c r="W287" s="5" t="inlineStr"/>
      <c r="X287" s="5" t="inlineStr"/>
      <c r="Y287" s="5" t="inlineStr"/>
      <c r="Z287" s="6" t="inlineStr"/>
      <c r="AA287" s="5" t="inlineStr"/>
      <c r="AB287" s="5" t="inlineStr"/>
      <c r="AC287" s="5" t="inlineStr"/>
      <c r="AD287" s="5" t="inlineStr"/>
      <c r="AE287" s="5" t="inlineStr"/>
      <c r="AF287" s="5" t="inlineStr"/>
      <c r="AG287" s="5" t="inlineStr"/>
      <c r="AH287" s="5" t="inlineStr"/>
    </row>
    <row r="288">
      <c r="A288" s="5" t="inlineStr">
        <is>
          <t>b4-kantin-ekonomisi</t>
        </is>
      </c>
      <c r="B288" s="5" t="n">
        <v>4</v>
      </c>
      <c r="C288" s="6" t="inlineStr">
        <is>
          <t>Kuyrukta yer sat</t>
        </is>
      </c>
      <c r="D288" s="5" t="inlineStr">
        <is>
          <t>Kurnazlık</t>
        </is>
      </c>
      <c r="E288" s="5" t="inlineStr">
        <is>
          <t>Zor</t>
        </is>
      </c>
      <c r="F288" s="5" t="inlineStr"/>
      <c r="G288" s="6" t="inlineStr"/>
      <c r="H288" s="6" t="inlineStr">
        <is>
          <t>Yerini sattın, yeniden girdin, yine sattın. Üç teneffüste bir haftalık harçlık.</t>
        </is>
      </c>
      <c r="I288" s="6" t="inlineStr">
        <is>
          <t>Kuyrukta yer satmak için arkadaşlarını da işe aldın. Kuyruk artık bir borsa.</t>
        </is>
      </c>
      <c r="J288" s="6" t="inlineStr">
        <is>
          <t>Yerini sattın; yeniden girdiğinde kantin kapanmıştı.</t>
        </is>
      </c>
      <c r="K288" s="6" t="inlineStr">
        <is>
          <t>Yer satarken zil çaldı. Kuyruktaki kimse yemek alamadı. Sorumlu olarak sen kayda geçtin.</t>
        </is>
      </c>
      <c r="L288" s="6" t="inlineStr"/>
      <c r="M288" s="5" t="inlineStr"/>
      <c r="N288" s="5" t="inlineStr"/>
      <c r="O288" s="6" t="inlineStr"/>
      <c r="P288" s="6" t="inlineStr"/>
      <c r="Q288" s="5" t="inlineStr"/>
      <c r="R288" s="5" t="inlineStr">
        <is>
          <t>tepsiTekeli</t>
        </is>
      </c>
      <c r="S288" s="5" t="inlineStr"/>
      <c r="T288" s="5" t="inlineStr"/>
      <c r="U288" s="5" t="inlineStr"/>
      <c r="V288" s="5" t="inlineStr"/>
      <c r="W288" s="5" t="inlineStr"/>
      <c r="X288" s="5" t="inlineStr"/>
      <c r="Y288" s="5" t="inlineStr"/>
      <c r="Z288" s="6" t="inlineStr"/>
      <c r="AA288" s="5" t="inlineStr"/>
      <c r="AB288" s="5" t="inlineStr"/>
      <c r="AC288" s="5" t="inlineStr"/>
      <c r="AD288" s="5" t="inlineStr"/>
      <c r="AE288" s="5" t="inlineStr"/>
      <c r="AF288" s="5" t="inlineStr"/>
      <c r="AG288" s="5" t="inlineStr"/>
      <c r="AH288" s="5" t="inlineStr"/>
    </row>
    <row r="289">
      <c r="A289" s="5" t="inlineStr">
        <is>
          <t>b4-kantin-ekonomisi</t>
        </is>
      </c>
      <c r="B289" s="5" t="n">
        <v>5</v>
      </c>
      <c r="C289" s="6" t="inlineStr">
        <is>
          <t>Kantinciyle kaynaş</t>
        </is>
      </c>
      <c r="D289" s="5" t="inlineStr">
        <is>
          <t>Sosyal Radar</t>
        </is>
      </c>
      <c r="E289" s="5" t="inlineStr">
        <is>
          <t>Kolay</t>
        </is>
      </c>
      <c r="F289" s="5" t="inlineStr"/>
      <c r="G289" s="6" t="inlineStr"/>
      <c r="H289" s="6" t="inlineStr">
        <is>
          <t>Kantinciye adıyla selam verdin. Tostun hep bir tık daha kaşarlı geliyor.</t>
        </is>
      </c>
      <c r="I289" s="6" t="inlineStr">
        <is>
          <t>Kantinci seni kuyruktan önce alıyor. Yalnız sen biliyorsun, herkes seziyor.</t>
        </is>
      </c>
      <c r="J289" s="6" t="inlineStr">
        <is>
          <t>Kantinci selamını aldı, fiyatı aynen aldı.</t>
        </is>
      </c>
      <c r="K289" s="6" t="inlineStr">
        <is>
          <t>Kaynaştın; artık her teneffüs dert anlatıyor. Tostu soğuk yiyorsun.</t>
        </is>
      </c>
      <c r="L289" s="6" t="inlineStr"/>
      <c r="M289" s="5" t="inlineStr"/>
      <c r="N289" s="5" t="inlineStr"/>
      <c r="O289" s="6" t="inlineStr"/>
      <c r="P289" s="6" t="inlineStr"/>
      <c r="Q289" s="5" t="inlineStr"/>
      <c r="R289" s="5" t="inlineStr"/>
      <c r="S289" s="5" t="inlineStr"/>
      <c r="T289" s="5" t="inlineStr"/>
      <c r="U289" s="5" t="inlineStr"/>
      <c r="V289" s="5" t="inlineStr"/>
      <c r="W289" s="5" t="inlineStr"/>
      <c r="X289" s="5" t="inlineStr"/>
      <c r="Y289" s="5" t="inlineStr"/>
      <c r="Z289" s="6" t="inlineStr"/>
      <c r="AA289" s="5" t="inlineStr"/>
      <c r="AB289" s="5" t="inlineStr"/>
      <c r="AC289" s="5" t="inlineStr"/>
      <c r="AD289" s="5" t="inlineStr"/>
      <c r="AE289" s="5" t="inlineStr"/>
      <c r="AF289" s="5" t="inlineStr"/>
      <c r="AG289" s="5" t="inlineStr"/>
      <c r="AH289" s="5" t="inlineStr"/>
    </row>
    <row r="290">
      <c r="A290" s="5" t="inlineStr">
        <is>
          <t>b4-bayram-yatirim</t>
        </is>
      </c>
      <c r="B290" s="5" t="n">
        <v>1</v>
      </c>
      <c r="C290" s="6" t="inlineStr">
        <is>
          <t>Ailene teslim et</t>
        </is>
      </c>
      <c r="D290" s="5" t="inlineStr"/>
      <c r="E290" s="5" t="inlineStr"/>
      <c r="F290" s="5" t="inlineStr">
        <is>
          <t>İtibar +1</t>
        </is>
      </c>
      <c r="G290" s="6" t="inlineStr">
        <is>
          <t>Para 'senin adına' bir yere konuldu. Konum gizli. Erişim yetkin yok.</t>
        </is>
      </c>
      <c r="H290" s="6" t="inlineStr"/>
      <c r="I290" s="6" t="inlineStr"/>
      <c r="J290" s="6" t="inlineStr"/>
      <c r="K290" s="6" t="inlineStr"/>
      <c r="L290" s="6" t="inlineStr"/>
      <c r="M290" s="5" t="inlineStr"/>
      <c r="N290" s="5" t="inlineStr"/>
      <c r="O290" s="6" t="inlineStr"/>
      <c r="P290" s="6" t="inlineStr"/>
      <c r="Q290" s="5" t="inlineStr"/>
      <c r="R290" s="5" t="inlineStr"/>
      <c r="S290" s="5" t="inlineStr"/>
      <c r="T290" s="5" t="inlineStr"/>
      <c r="U290" s="5" t="inlineStr"/>
      <c r="V290" s="5" t="inlineStr"/>
      <c r="W290" s="5" t="inlineStr"/>
      <c r="X290" s="5" t="inlineStr"/>
      <c r="Y290" s="5" t="inlineStr"/>
      <c r="Z290" s="6" t="inlineStr"/>
      <c r="AA290" s="5" t="inlineStr"/>
      <c r="AB290" s="5" t="inlineStr"/>
      <c r="AC290" s="5" t="inlineStr"/>
      <c r="AD290" s="5" t="inlineStr"/>
      <c r="AE290" s="5" t="inlineStr"/>
      <c r="AF290" s="5" t="inlineStr"/>
      <c r="AG290" s="5" t="inlineStr"/>
      <c r="AH290" s="5" t="inlineStr"/>
    </row>
    <row r="291">
      <c r="A291" s="5" t="inlineStr">
        <is>
          <t>b4-bayram-yatirim</t>
        </is>
      </c>
      <c r="B291" s="5" t="n">
        <v>2</v>
      </c>
      <c r="C291" s="6" t="inlineStr">
        <is>
          <t>Dijital paraya yatır</t>
        </is>
      </c>
      <c r="D291" s="5" t="inlineStr">
        <is>
          <t>Kurnazlık</t>
        </is>
      </c>
      <c r="E291" s="5" t="inlineStr">
        <is>
          <t>Zor</t>
        </is>
      </c>
      <c r="F291" s="5" t="inlineStr"/>
      <c r="G291" s="6" t="inlineStr"/>
      <c r="H291" s="6" t="inlineStr">
        <is>
          <t>İki hafta sonra yüzde otuz kârdaydın ve çıktın. Nadir görülen bir olgunluk.</t>
        </is>
      </c>
      <c r="I291" s="6" t="inlineStr">
        <is>
          <t>Tepede sattın. Arkadaşının abisi sana tavsiye sormaya başladı.</t>
        </is>
      </c>
      <c r="J291" s="6" t="inlineStr">
        <is>
          <t>Değer düştü. Arkadaşının abisinden 'Uzun vadeli düşün' mesajı geldi.</t>
        </is>
      </c>
      <c r="K291" s="6" t="inlineStr">
        <is>
          <t>Dijital paranın adı 'Mahalle Coin'di. Kurucusu arkadaşının abisiydi. Abi yeni bir telefon kullanıyor.</t>
        </is>
      </c>
      <c r="L291" s="6" t="inlineStr"/>
      <c r="M291" s="5" t="inlineStr"/>
      <c r="N291" s="5" t="inlineStr"/>
      <c r="O291" s="6" t="inlineStr"/>
      <c r="P291" s="6" t="inlineStr"/>
      <c r="Q291" s="5" t="inlineStr"/>
      <c r="R291" s="5" t="inlineStr"/>
      <c r="S291" s="5" t="inlineStr"/>
      <c r="T291" s="5" t="inlineStr"/>
      <c r="U291" s="5" t="inlineStr"/>
      <c r="V291" s="5" t="inlineStr"/>
      <c r="W291" s="5" t="inlineStr"/>
      <c r="X291" s="5" t="inlineStr"/>
      <c r="Y291" s="5" t="inlineStr"/>
      <c r="Z291" s="6" t="inlineStr"/>
      <c r="AA291" s="5" t="inlineStr"/>
      <c r="AB291" s="5" t="inlineStr"/>
      <c r="AC291" s="5" t="inlineStr"/>
      <c r="AD291" s="5" t="inlineStr"/>
      <c r="AE291" s="5" t="inlineStr"/>
      <c r="AF291" s="5" t="inlineStr"/>
      <c r="AG291" s="5" t="inlineStr"/>
      <c r="AH291" s="5" t="inlineStr"/>
    </row>
    <row r="292">
      <c r="A292" s="5" t="inlineStr">
        <is>
          <t>b4-bayram-yatirim</t>
        </is>
      </c>
      <c r="B292" s="5" t="n">
        <v>3</v>
      </c>
      <c r="C292" s="6" t="inlineStr">
        <is>
          <t>Kumbarada tut</t>
        </is>
      </c>
      <c r="D292" s="5" t="inlineStr">
        <is>
          <t>Akıl</t>
        </is>
      </c>
      <c r="E292" s="5" t="inlineStr">
        <is>
          <t>Kolay</t>
        </is>
      </c>
      <c r="F292" s="5" t="inlineStr"/>
      <c r="G292" s="6" t="inlineStr"/>
      <c r="H292" s="6" t="inlineStr">
        <is>
          <t>Kumbara ağırlaştı. Getiri yok ama kayıp da yok. Klasik yastık altı.</t>
        </is>
      </c>
      <c r="I292" s="6" t="inlineStr">
        <is>
          <t>Kumbarayı enflasyona karşı altına yatırmak için babaanneyle ortaklık kurdun. Babaanne bu işte ustaymış.</t>
        </is>
      </c>
      <c r="J292" s="6" t="inlineStr">
        <is>
          <t>Kumbarada tuttun. Bir yıl sonra aynı para bir tost daha az ediyordu.</t>
        </is>
      </c>
      <c r="K292" s="6" t="inlineStr">
        <is>
          <t>Kumbarayı sakladığın yeri kuzenin yine buldu. Kuzen artık bir dedektif.</t>
        </is>
      </c>
      <c r="L292" s="6" t="inlineStr"/>
      <c r="M292" s="5" t="inlineStr"/>
      <c r="N292" s="5" t="inlineStr"/>
      <c r="O292" s="6" t="inlineStr"/>
      <c r="P292" s="6" t="inlineStr"/>
      <c r="Q292" s="5" t="inlineStr">
        <is>
          <t>Yastık Altı Ekonomisti</t>
        </is>
      </c>
      <c r="R292" s="5" t="inlineStr"/>
      <c r="S292" s="5" t="inlineStr"/>
      <c r="T292" s="5" t="inlineStr"/>
      <c r="U292" s="5" t="inlineStr"/>
      <c r="V292" s="5" t="inlineStr"/>
      <c r="W292" s="5" t="inlineStr"/>
      <c r="X292" s="5" t="inlineStr"/>
      <c r="Y292" s="5" t="inlineStr"/>
      <c r="Z292" s="6" t="inlineStr"/>
      <c r="AA292" s="5" t="inlineStr"/>
      <c r="AB292" s="5" t="inlineStr"/>
      <c r="AC292" s="5" t="inlineStr"/>
      <c r="AD292" s="5" t="inlineStr"/>
      <c r="AE292" s="5" t="inlineStr"/>
      <c r="AF292" s="5" t="inlineStr"/>
      <c r="AG292" s="5" t="inlineStr"/>
      <c r="AH292" s="5" t="inlineStr"/>
    </row>
    <row r="293">
      <c r="A293" s="5" t="inlineStr">
        <is>
          <t>b4-bayram-yatirim</t>
        </is>
      </c>
      <c r="B293" s="5" t="n">
        <v>4</v>
      </c>
      <c r="C293" s="6" t="inlineStr">
        <is>
          <t>Ailene faizle borç ver</t>
        </is>
      </c>
      <c r="D293" s="5" t="inlineStr">
        <is>
          <t>Çene</t>
        </is>
      </c>
      <c r="E293" s="5" t="inlineStr">
        <is>
          <t>Orta</t>
        </is>
      </c>
      <c r="F293" s="5" t="inlineStr"/>
      <c r="G293" s="6" t="inlineStr"/>
      <c r="H293" s="6" t="inlineStr">
        <is>
          <t>Baban senet imzaladı, gülerek. Senet dolapta. Sen ciddisin.</t>
        </is>
      </c>
      <c r="I293" s="6" t="inlineStr">
        <is>
          <t>Faiz oranını pazarlıkla belirledin. Ailen her ay taksit ödüyor. Akşam yemeklerinde gergin bir kredi ilişkisi var.</t>
        </is>
      </c>
      <c r="J293" s="6" t="inlineStr">
        <is>
          <t>Geri ödeme 'ileride' olarak planlandı. İleridenin ne zaman olduğu belirtilmedi.</t>
        </is>
      </c>
      <c r="K293" s="6" t="inlineStr">
        <is>
          <t>Ailen parayı dershane taksitine saydı. Kendi eğitimini kredilendirmiş oldun.</t>
        </is>
      </c>
      <c r="L293" s="6" t="inlineStr"/>
      <c r="M293" s="5" t="inlineStr"/>
      <c r="N293" s="5" t="inlineStr"/>
      <c r="O293" s="6" t="inlineStr"/>
      <c r="P293" s="6" t="inlineStr"/>
      <c r="Q293" s="5" t="inlineStr"/>
      <c r="R293" s="5" t="inlineStr">
        <is>
          <t>ilkKelimePara</t>
        </is>
      </c>
      <c r="S293" s="5" t="inlineStr"/>
      <c r="T293" s="5" t="inlineStr"/>
      <c r="U293" s="5" t="inlineStr"/>
      <c r="V293" s="5" t="inlineStr"/>
      <c r="W293" s="5" t="inlineStr"/>
      <c r="X293" s="5" t="inlineStr"/>
      <c r="Y293" s="5" t="inlineStr"/>
      <c r="Z293" s="6" t="inlineStr"/>
      <c r="AA293" s="5" t="inlineStr"/>
      <c r="AB293" s="5" t="inlineStr"/>
      <c r="AC293" s="5" t="inlineStr"/>
      <c r="AD293" s="5" t="inlineStr"/>
      <c r="AE293" s="5" t="inlineStr"/>
      <c r="AF293" s="5" t="inlineStr"/>
      <c r="AG293" s="5" t="inlineStr"/>
      <c r="AH293" s="5" t="inlineStr"/>
    </row>
    <row r="294">
      <c r="A294" s="5" t="inlineStr">
        <is>
          <t>b4-ilk-bulusma</t>
        </is>
      </c>
      <c r="B294" s="5" t="n">
        <v>1</v>
      </c>
      <c r="C294" s="6" t="inlineStr">
        <is>
          <t>Grupla git</t>
        </is>
      </c>
      <c r="D294" s="5" t="inlineStr"/>
      <c r="E294" s="5" t="inlineStr"/>
      <c r="F294" s="5" t="inlineStr">
        <is>
          <t>Sosyal Radar +1</t>
        </is>
      </c>
      <c r="G294" s="6" t="inlineStr">
        <is>
          <t>Sekiz kişi gittiniz. Yan yana oturmayı başardınız. Sohbet diğer altı kişi arasında geçti.</t>
        </is>
      </c>
      <c r="H294" s="6" t="inlineStr"/>
      <c r="I294" s="6" t="inlineStr"/>
      <c r="J294" s="6" t="inlineStr"/>
      <c r="K294" s="6" t="inlineStr"/>
      <c r="L294" s="6" t="inlineStr"/>
      <c r="M294" s="5" t="inlineStr"/>
      <c r="N294" s="5" t="inlineStr"/>
      <c r="O294" s="6" t="inlineStr"/>
      <c r="P294" s="6" t="inlineStr"/>
      <c r="Q294" s="5" t="inlineStr"/>
      <c r="R294" s="5" t="inlineStr"/>
      <c r="S294" s="5" t="inlineStr"/>
      <c r="T294" s="5" t="inlineStr"/>
      <c r="U294" s="5" t="inlineStr"/>
      <c r="V294" s="5" t="inlineStr"/>
      <c r="W294" s="5" t="inlineStr"/>
      <c r="X294" s="5" t="inlineStr"/>
      <c r="Y294" s="5" t="inlineStr"/>
      <c r="Z294" s="6" t="inlineStr"/>
      <c r="AA294" s="5" t="inlineStr"/>
      <c r="AB294" s="5" t="inlineStr"/>
      <c r="AC294" s="5" t="inlineStr"/>
      <c r="AD294" s="5" t="inlineStr"/>
      <c r="AE294" s="5" t="inlineStr"/>
      <c r="AF294" s="5" t="inlineStr"/>
      <c r="AG294" s="5" t="inlineStr"/>
      <c r="AH294" s="5" t="inlineStr"/>
    </row>
    <row r="295">
      <c r="A295" s="5" t="inlineStr">
        <is>
          <t>b4-ilk-bulusma</t>
        </is>
      </c>
      <c r="B295" s="5" t="n">
        <v>2</v>
      </c>
      <c r="C295" s="6" t="inlineStr">
        <is>
          <t>Baş başa buluş</t>
        </is>
      </c>
      <c r="D295" s="5" t="inlineStr">
        <is>
          <t>Cesaret</t>
        </is>
      </c>
      <c r="E295" s="5" t="inlineStr">
        <is>
          <t>Zor</t>
        </is>
      </c>
      <c r="F295" s="5" t="inlineStr"/>
      <c r="G295" s="6" t="inlineStr"/>
      <c r="H295" s="6" t="inlineStr">
        <is>
          <t>Çarşıda dondurma yediniz. Kırk dakika, üç sessizlik, bir gülüş. Tarih yazıldı.</t>
        </is>
      </c>
      <c r="I295" s="6" t="inlineStr">
        <is>
          <t>El ele tutuştunuz. Üç saniye. Sonra ikiniz de ellerinizi cebe soktunuz ve bu konu bir daha hiç konuşulmadı.</t>
        </is>
      </c>
      <c r="J295" s="6" t="inlineStr">
        <is>
          <t>Buluştunuz. Annen tesadüfen aynı çarşıda alışveriş yapıyordu. Tesadüfen.</t>
        </is>
      </c>
      <c r="K295" s="6" t="inlineStr">
        <is>
          <t>Annen seni arabayla bıraktı, camı indirdi ve buluştuğun kişiye 'Merhaba canım, ne yiyeceksiniz?' diye sordu.</t>
        </is>
      </c>
      <c r="L295" s="6" t="inlineStr"/>
      <c r="M295" s="5" t="inlineStr"/>
      <c r="N295" s="5" t="inlineStr"/>
      <c r="O295" s="6" t="inlineStr"/>
      <c r="P295" s="6" t="inlineStr"/>
      <c r="Q295" s="5" t="inlineStr"/>
      <c r="R295" s="5" t="inlineStr"/>
      <c r="S295" s="5" t="inlineStr"/>
      <c r="T295" s="5" t="inlineStr"/>
      <c r="U295" s="5" t="inlineStr"/>
      <c r="V295" s="5" t="inlineStr"/>
      <c r="W295" s="5" t="inlineStr"/>
      <c r="X295" s="5" t="inlineStr"/>
      <c r="Y295" s="5" t="inlineStr"/>
      <c r="Z295" s="6" t="inlineStr"/>
      <c r="AA295" s="5" t="inlineStr"/>
      <c r="AB295" s="5" t="inlineStr"/>
      <c r="AC295" s="5" t="inlineStr"/>
      <c r="AD295" s="5" t="inlineStr"/>
      <c r="AE295" s="5" t="inlineStr"/>
      <c r="AF295" s="5" t="inlineStr"/>
      <c r="AG295" s="5" t="inlineStr"/>
      <c r="AH295" s="5" t="inlineStr"/>
    </row>
    <row r="296">
      <c r="A296" s="5" t="inlineStr">
        <is>
          <t>b4-ilk-bulusma</t>
        </is>
      </c>
      <c r="B296" s="5" t="n">
        <v>3</v>
      </c>
      <c r="C296" s="6" t="inlineStr">
        <is>
          <t>Mazeret uydur, ertele</t>
        </is>
      </c>
      <c r="D296" s="5" t="inlineStr">
        <is>
          <t>Kurnazlık</t>
        </is>
      </c>
      <c r="E296" s="5" t="inlineStr">
        <is>
          <t>Kolay</t>
        </is>
      </c>
      <c r="F296" s="5" t="inlineStr"/>
      <c r="G296" s="6" t="inlineStr"/>
      <c r="H296" s="6" t="inlineStr">
        <is>
          <t>'Dershane var' dedin. 'Olsun, sonra' dedi. Randevu korunuyor.</t>
        </is>
      </c>
      <c r="I296" s="6" t="inlineStr">
        <is>
          <t>Ertelediğin buluşmanın yerine daha iyi bir plan önerdin. Kabul edildi. Zaman kazandın, puan kazandın.</t>
        </is>
      </c>
      <c r="J296" s="6" t="inlineStr">
        <is>
          <t>'Dershane var' dedin. O da aynı dershaneye gidiyormuş.</t>
        </is>
      </c>
      <c r="K296" s="6" t="inlineStr">
        <is>
          <t>Mazeret uydurdun; o saatte kısa video uygulamasında canlı yayındaydın. İzleyicilerden biri oydu.</t>
        </is>
      </c>
      <c r="L296" s="6" t="inlineStr"/>
      <c r="M296" s="5" t="inlineStr"/>
      <c r="N296" s="5" t="inlineStr"/>
      <c r="O296" s="6" t="inlineStr"/>
      <c r="P296" s="6" t="inlineStr"/>
      <c r="Q296" s="5" t="inlineStr"/>
      <c r="R296" s="5" t="inlineStr"/>
      <c r="S296" s="5" t="inlineStr"/>
      <c r="T296" s="5" t="inlineStr"/>
      <c r="U296" s="5" t="inlineStr"/>
      <c r="V296" s="5" t="inlineStr"/>
      <c r="W296" s="5" t="inlineStr"/>
      <c r="X296" s="5" t="inlineStr"/>
      <c r="Y296" s="5" t="inlineStr"/>
      <c r="Z296" s="6" t="inlineStr"/>
      <c r="AA296" s="5" t="inlineStr"/>
      <c r="AB296" s="5" t="inlineStr"/>
      <c r="AC296" s="5" t="inlineStr"/>
      <c r="AD296" s="5" t="inlineStr"/>
      <c r="AE296" s="5" t="inlineStr"/>
      <c r="AF296" s="5" t="inlineStr"/>
      <c r="AG296" s="5" t="inlineStr"/>
      <c r="AH296" s="5" t="inlineStr"/>
    </row>
    <row r="297">
      <c r="A297" s="5" t="inlineStr">
        <is>
          <t>b4-spor-secmeleri</t>
        </is>
      </c>
      <c r="B297" s="5" t="n">
        <v>1</v>
      </c>
      <c r="C297" s="6" t="inlineStr">
        <is>
          <t>Tribünden izle</t>
        </is>
      </c>
      <c r="D297" s="5" t="inlineStr"/>
      <c r="E297" s="5" t="inlineStr"/>
      <c r="F297" s="5" t="inlineStr">
        <is>
          <t>Sosyal Radar +1</t>
        </is>
      </c>
      <c r="G297" s="6" t="inlineStr">
        <is>
          <t>Kimin seçildiğini, kimin ağladığını, kimin annesinin öğretmenle konuştuğunu not ettin. Arşivin zenginleşti.</t>
        </is>
      </c>
      <c r="H297" s="6" t="inlineStr"/>
      <c r="I297" s="6" t="inlineStr"/>
      <c r="J297" s="6" t="inlineStr"/>
      <c r="K297" s="6" t="inlineStr"/>
      <c r="L297" s="6" t="inlineStr"/>
      <c r="M297" s="5" t="inlineStr"/>
      <c r="N297" s="5" t="inlineStr"/>
      <c r="O297" s="6" t="inlineStr"/>
      <c r="P297" s="6" t="inlineStr"/>
      <c r="Q297" s="5" t="inlineStr"/>
      <c r="R297" s="5" t="inlineStr"/>
      <c r="S297" s="5" t="inlineStr"/>
      <c r="T297" s="5" t="inlineStr"/>
      <c r="U297" s="5" t="inlineStr"/>
      <c r="V297" s="5" t="inlineStr"/>
      <c r="W297" s="5" t="inlineStr"/>
      <c r="X297" s="5" t="inlineStr"/>
      <c r="Y297" s="5" t="inlineStr"/>
      <c r="Z297" s="6" t="inlineStr"/>
      <c r="AA297" s="5" t="inlineStr"/>
      <c r="AB297" s="5" t="inlineStr"/>
      <c r="AC297" s="5" t="inlineStr"/>
      <c r="AD297" s="5" t="inlineStr"/>
      <c r="AE297" s="5" t="inlineStr"/>
      <c r="AF297" s="5" t="inlineStr"/>
      <c r="AG297" s="5" t="inlineStr"/>
      <c r="AH297" s="5" t="inlineStr"/>
    </row>
    <row r="298">
      <c r="A298" s="5" t="inlineStr">
        <is>
          <t>b4-spor-secmeleri</t>
        </is>
      </c>
      <c r="B298" s="5" t="n">
        <v>2</v>
      </c>
      <c r="C298" s="6" t="inlineStr">
        <is>
          <t>Seçmelere katıl</t>
        </is>
      </c>
      <c r="D298" s="5" t="inlineStr">
        <is>
          <t>Dayanıklılık</t>
        </is>
      </c>
      <c r="E298" s="5" t="inlineStr">
        <is>
          <t>Zor</t>
        </is>
      </c>
      <c r="F298" s="5" t="inlineStr"/>
      <c r="G298" s="6" t="inlineStr"/>
      <c r="H298" s="6" t="inlineStr">
        <is>
          <t>Seçmeleri geçtin. Forma büyük geldi ama anlamı da büyük.</t>
        </is>
      </c>
      <c r="I298" s="6" t="inlineStr">
        <is>
          <t>İlk on bire seçildin. Öğretmenin yeğeni yedeğe düştü. Ailede kriz çıktı; senin ailende değil.</t>
        </is>
      </c>
      <c r="J298" s="6" t="inlineStr">
        <is>
          <t>Koştun, terledin, listeye giremedin. Öğretmen 'Karakterin iyi' dedi. Karakter takıma alınmıyor.</t>
        </is>
      </c>
      <c r="K298" s="6" t="inlineStr">
        <is>
          <t>Top kafana geldi, sen yere, düdük öğretmenin ağzından. Takıma değil, okulun yıl sonu videosuna seçildin.</t>
        </is>
      </c>
      <c r="L298" s="6" t="inlineStr"/>
      <c r="M298" s="5" t="inlineStr"/>
      <c r="N298" s="5" t="inlineStr"/>
      <c r="O298" s="6" t="inlineStr"/>
      <c r="P298" s="6" t="inlineStr"/>
      <c r="Q298" s="5" t="inlineStr"/>
      <c r="R298" s="5" t="inlineStr"/>
      <c r="S298" s="5" t="inlineStr"/>
      <c r="T298" s="5" t="inlineStr"/>
      <c r="U298" s="5" t="inlineStr"/>
      <c r="V298" s="5" t="inlineStr">
        <is>
          <t>takim-oyuncusu</t>
        </is>
      </c>
      <c r="W298" s="5" t="inlineStr"/>
      <c r="X298" s="5" t="inlineStr"/>
      <c r="Y298" s="5" t="inlineStr"/>
      <c r="Z298" s="6" t="inlineStr"/>
      <c r="AA298" s="5" t="inlineStr"/>
      <c r="AB298" s="5" t="inlineStr"/>
      <c r="AC298" s="5" t="inlineStr"/>
      <c r="AD298" s="5" t="inlineStr"/>
      <c r="AE298" s="5" t="inlineStr"/>
      <c r="AF298" s="5" t="inlineStr"/>
      <c r="AG298" s="5" t="inlineStr"/>
      <c r="AH298" s="5" t="inlineStr"/>
    </row>
    <row r="299">
      <c r="A299" s="5" t="inlineStr">
        <is>
          <t>b4-spor-secmeleri</t>
        </is>
      </c>
      <c r="B299" s="5" t="n">
        <v>3</v>
      </c>
      <c r="C299" s="6" t="inlineStr">
        <is>
          <t>Pas yeteneğini göster</t>
        </is>
      </c>
      <c r="D299" s="5" t="inlineStr">
        <is>
          <t>Sosyal Radar</t>
        </is>
      </c>
      <c r="E299" s="5" t="inlineStr">
        <is>
          <t>Orta</t>
        </is>
      </c>
      <c r="F299" s="5" t="inlineStr"/>
      <c r="G299" s="6" t="inlineStr"/>
      <c r="H299" s="6" t="inlineStr">
        <is>
          <t>Her pasın gol oldu. Öğretmen yeğenine 'Bak, böyle' dedi. Takımdasın.</t>
        </is>
      </c>
      <c r="I299" s="6" t="inlineStr">
        <is>
          <t>Yeğene üç asist yaptın. Öğretmen ikinizi de aldı ve seni kaptan yardımcısı yaptı. Diplomatik zafer.</t>
        </is>
      </c>
      <c r="J299" s="6" t="inlineStr">
        <is>
          <t>Paslarını kimse değerlendiremedi. İstatistik seni haklı çıkarıyor ama liste çıkarmıyor.</t>
        </is>
      </c>
      <c r="K299" s="6" t="inlineStr">
        <is>
          <t>Asist yaptığın top, kaleciye değil öğretmenin kahvesine gitti.</t>
        </is>
      </c>
      <c r="L299" s="6" t="inlineStr"/>
      <c r="M299" s="5" t="inlineStr"/>
      <c r="N299" s="5" t="inlineStr"/>
      <c r="O299" s="6" t="inlineStr"/>
      <c r="P299" s="6" t="inlineStr"/>
      <c r="Q299" s="5" t="inlineStr">
        <is>
          <t>Asist Ustası</t>
        </is>
      </c>
      <c r="R299" s="5" t="inlineStr"/>
      <c r="S299" s="5" t="inlineStr"/>
      <c r="T299" s="5" t="inlineStr"/>
      <c r="U299" s="5" t="inlineStr"/>
      <c r="V299" s="5" t="inlineStr">
        <is>
          <t>takim-oyuncusu</t>
        </is>
      </c>
      <c r="W299" s="5" t="inlineStr"/>
      <c r="X299" s="5" t="inlineStr"/>
      <c r="Y299" s="5" t="inlineStr"/>
      <c r="Z299" s="6" t="inlineStr"/>
      <c r="AA299" s="5" t="inlineStr"/>
      <c r="AB299" s="5" t="inlineStr"/>
      <c r="AC299" s="5" t="inlineStr"/>
      <c r="AD299" s="5" t="inlineStr"/>
      <c r="AE299" s="5" t="inlineStr"/>
      <c r="AF299" s="5" t="inlineStr"/>
      <c r="AG299" s="5" t="inlineStr"/>
      <c r="AH299" s="5" t="inlineStr"/>
    </row>
    <row r="300">
      <c r="A300" s="5" t="inlineStr">
        <is>
          <t>b4-spor-secmeleri</t>
        </is>
      </c>
      <c r="B300" s="5" t="n">
        <v>4</v>
      </c>
      <c r="C300" s="6" t="inlineStr">
        <is>
          <t>Takım menajeri ol</t>
        </is>
      </c>
      <c r="D300" s="5" t="inlineStr">
        <is>
          <t>Çene</t>
        </is>
      </c>
      <c r="E300" s="5" t="inlineStr">
        <is>
          <t>Kolay</t>
        </is>
      </c>
      <c r="F300" s="5" t="inlineStr"/>
      <c r="G300" s="6" t="inlineStr"/>
      <c r="H300" s="6" t="inlineStr">
        <is>
          <t>Oynamıyorsun ama formaları sen dağıtıyorsun. İktidar bazen malzeme odasındadır.</t>
        </is>
      </c>
      <c r="I300" s="6" t="inlineStr">
        <is>
          <t>Menajerliğin öyle iyi gitti ki öğretmen kadroyu sana danışıyor. Yeğen senin onayından geçti.</t>
        </is>
      </c>
      <c r="J300" s="6" t="inlineStr">
        <is>
          <t>Menajer oldun; kimse ne iş yaptığını bilmiyor. Sen de.</t>
        </is>
      </c>
      <c r="K300" s="6" t="inlineStr">
        <is>
          <t>Menajer oldun. İlk görevin su şişelerini taşımak. Son görevin de.</t>
        </is>
      </c>
      <c r="L300" s="6" t="inlineStr"/>
      <c r="M300" s="5" t="inlineStr"/>
      <c r="N300" s="5" t="inlineStr"/>
      <c r="O300" s="6" t="inlineStr"/>
      <c r="P300" s="6" t="inlineStr"/>
      <c r="Q300" s="5" t="inlineStr"/>
      <c r="R300" s="5" t="inlineStr"/>
      <c r="S300" s="5" t="inlineStr"/>
      <c r="T300" s="5" t="inlineStr"/>
      <c r="U300" s="5" t="inlineStr"/>
      <c r="V300" s="5" t="inlineStr"/>
      <c r="W300" s="5" t="inlineStr"/>
      <c r="X300" s="5" t="inlineStr"/>
      <c r="Y300" s="5" t="inlineStr"/>
      <c r="Z300" s="6" t="inlineStr"/>
      <c r="AA300" s="5" t="inlineStr"/>
      <c r="AB300" s="5" t="inlineStr"/>
      <c r="AC300" s="5" t="inlineStr"/>
      <c r="AD300" s="5" t="inlineStr"/>
      <c r="AE300" s="5" t="inlineStr"/>
      <c r="AF300" s="5" t="inlineStr"/>
      <c r="AG300" s="5" t="inlineStr"/>
      <c r="AH300" s="5" t="inlineStr"/>
    </row>
    <row r="301">
      <c r="A301" s="5" t="inlineStr">
        <is>
          <t>b4-eski-telefon</t>
        </is>
      </c>
      <c r="B301" s="5" t="n">
        <v>1</v>
      </c>
      <c r="C301" s="6" t="inlineStr">
        <is>
          <t>Kuzenine hediye et</t>
        </is>
      </c>
      <c r="D301" s="5" t="inlineStr"/>
      <c r="E301" s="5" t="inlineStr"/>
      <c r="F301" s="5" t="inlineStr">
        <is>
          <t>İtibar +1</t>
        </is>
      </c>
      <c r="G301" s="6" t="inlineStr">
        <is>
          <t>Eski telefonu kuzenine verdin. Kuzen onu senden daha iyi kullanıyor. Bunu kimse söylemedi ama herkes biliyor.</t>
        </is>
      </c>
      <c r="H301" s="6" t="inlineStr"/>
      <c r="I301" s="6" t="inlineStr"/>
      <c r="J301" s="6" t="inlineStr"/>
      <c r="K301" s="6" t="inlineStr"/>
      <c r="L301" s="6" t="inlineStr"/>
      <c r="M301" s="5" t="inlineStr"/>
      <c r="N301" s="5" t="inlineStr"/>
      <c r="O301" s="6" t="inlineStr"/>
      <c r="P301" s="6" t="inlineStr"/>
      <c r="Q301" s="5" t="inlineStr"/>
      <c r="R301" s="5" t="inlineStr"/>
      <c r="S301" s="5" t="inlineStr"/>
      <c r="T301" s="5" t="inlineStr"/>
      <c r="U301" s="5" t="inlineStr"/>
      <c r="V301" s="5" t="inlineStr"/>
      <c r="W301" s="5" t="inlineStr"/>
      <c r="X301" s="5" t="inlineStr"/>
      <c r="Y301" s="5" t="inlineStr"/>
      <c r="Z301" s="6" t="inlineStr"/>
      <c r="AA301" s="5" t="inlineStr"/>
      <c r="AB301" s="5" t="inlineStr"/>
      <c r="AC301" s="5" t="inlineStr"/>
      <c r="AD301" s="5" t="inlineStr"/>
      <c r="AE301" s="5" t="inlineStr"/>
      <c r="AF301" s="5" t="inlineStr"/>
      <c r="AG301" s="5" t="inlineStr"/>
      <c r="AH301" s="5" t="inlineStr"/>
    </row>
    <row r="302">
      <c r="A302" s="5" t="inlineStr">
        <is>
          <t>b4-eski-telefon</t>
        </is>
      </c>
      <c r="B302" s="5" t="n">
        <v>2</v>
      </c>
      <c r="C302" s="6" t="inlineStr">
        <is>
          <t>Pazarlığa gir</t>
        </is>
      </c>
      <c r="D302" s="5" t="inlineStr">
        <is>
          <t>Çene</t>
        </is>
      </c>
      <c r="E302" s="5" t="inlineStr">
        <is>
          <t>Orta</t>
        </is>
      </c>
      <c r="F302" s="5" t="inlineStr"/>
      <c r="G302" s="6" t="inlineStr"/>
      <c r="H302" s="6" t="inlineStr">
        <is>
          <t>İlan fiyatının biraz altında sattın. Alıcı memnun, sen memnun, piyasa sakin.</t>
        </is>
      </c>
      <c r="I302" s="6" t="inlineStr">
        <is>
          <t>Üç alıcıyı birbirine karşı oynattın. Telefon ilan fiyatının üstünde satıldı.</t>
        </is>
      </c>
      <c r="J302" s="6" t="inlineStr">
        <is>
          <t>'Son fiyat' dedin. Alıcı 'Tamam, düşüneyim' dedi. Hâlâ düşünüyor.</t>
        </is>
      </c>
      <c r="K302" s="6" t="inlineStr">
        <is>
          <t>Alıcı telefonu aldı, ertesi gün aynı telefonu iki katına ilana koydu. Fotoğraflar seninkiler.</t>
        </is>
      </c>
      <c r="L302" s="6" t="inlineStr"/>
      <c r="M302" s="5" t="inlineStr"/>
      <c r="N302" s="5" t="inlineStr"/>
      <c r="O302" s="6" t="inlineStr"/>
      <c r="P302" s="6" t="inlineStr"/>
      <c r="Q302" s="5" t="inlineStr"/>
      <c r="R302" s="5" t="inlineStr"/>
      <c r="S302" s="5" t="inlineStr"/>
      <c r="T302" s="5" t="inlineStr"/>
      <c r="U302" s="5" t="inlineStr"/>
      <c r="V302" s="5" t="inlineStr"/>
      <c r="W302" s="5" t="inlineStr"/>
      <c r="X302" s="5" t="inlineStr"/>
      <c r="Y302" s="5" t="inlineStr"/>
      <c r="Z302" s="6" t="inlineStr"/>
      <c r="AA302" s="5" t="inlineStr"/>
      <c r="AB302" s="5" t="inlineStr"/>
      <c r="AC302" s="5" t="inlineStr"/>
      <c r="AD302" s="5" t="inlineStr"/>
      <c r="AE302" s="5" t="inlineStr"/>
      <c r="AF302" s="5" t="inlineStr"/>
      <c r="AG302" s="5" t="inlineStr"/>
      <c r="AH302" s="5" t="inlineStr"/>
    </row>
    <row r="303">
      <c r="A303" s="5" t="inlineStr">
        <is>
          <t>b4-eski-telefon</t>
        </is>
      </c>
      <c r="B303" s="5" t="n">
        <v>3</v>
      </c>
      <c r="C303" s="6" t="inlineStr">
        <is>
          <t>Ekran çiziğini dürüstçe yaz</t>
        </is>
      </c>
      <c r="D303" s="5" t="inlineStr">
        <is>
          <t>İtibar</t>
        </is>
      </c>
      <c r="E303" s="5" t="inlineStr">
        <is>
          <t>Kolay</t>
        </is>
      </c>
      <c r="F303" s="5" t="inlineStr"/>
      <c r="G303" s="6" t="inlineStr"/>
      <c r="H303" s="6" t="inlineStr">
        <is>
          <t>İlana 'Ekranda çizik var' yazdın. Alıcı teşekkür etti ve fiyatı kırmadı.</t>
        </is>
      </c>
      <c r="I303" s="6" t="inlineStr">
        <is>
          <t>Dürüstlüğün alıcıyı öyle etkiledi ki sana kılıf hediye etti. Satıcı puanın tavan.</t>
        </is>
      </c>
      <c r="J303" s="6" t="inlineStr">
        <is>
          <t>Dürüst yazdın; herkes çiziğin fotoğrafını istedi. Kimse telefonun fotoğrafını istemedi.</t>
        </is>
      </c>
      <c r="K303" s="6" t="inlineStr">
        <is>
          <t>Çiziği yazdın. Alıcı 'Başka çizik var mı?' diye sordu. Saydın. Yedi tane çıktı.</t>
        </is>
      </c>
      <c r="L303" s="6" t="inlineStr"/>
      <c r="M303" s="5" t="inlineStr"/>
      <c r="N303" s="5" t="inlineStr"/>
      <c r="O303" s="6" t="inlineStr"/>
      <c r="P303" s="6" t="inlineStr"/>
      <c r="Q303" s="5" t="inlineStr"/>
      <c r="R303" s="5" t="inlineStr"/>
      <c r="S303" s="5" t="inlineStr"/>
      <c r="T303" s="5" t="inlineStr"/>
      <c r="U303" s="5" t="inlineStr"/>
      <c r="V303" s="5" t="inlineStr"/>
      <c r="W303" s="5" t="inlineStr"/>
      <c r="X303" s="5" t="inlineStr"/>
      <c r="Y303" s="5" t="inlineStr"/>
      <c r="Z303" s="6" t="inlineStr"/>
      <c r="AA303" s="5" t="inlineStr"/>
      <c r="AB303" s="5" t="inlineStr"/>
      <c r="AC303" s="5" t="inlineStr"/>
      <c r="AD303" s="5" t="inlineStr"/>
      <c r="AE303" s="5" t="inlineStr"/>
      <c r="AF303" s="5" t="inlineStr"/>
      <c r="AG303" s="5" t="inlineStr"/>
      <c r="AH303" s="5" t="inlineStr"/>
    </row>
    <row r="304">
      <c r="A304" s="5" t="inlineStr">
        <is>
          <t>b4-eski-telefon</t>
        </is>
      </c>
      <c r="B304" s="5" t="n">
        <v>4</v>
      </c>
      <c r="C304" s="6" t="inlineStr">
        <is>
          <t>Takas zinciri başlat</t>
        </is>
      </c>
      <c r="D304" s="5" t="inlineStr">
        <is>
          <t>Kurnazlık</t>
        </is>
      </c>
      <c r="E304" s="5" t="inlineStr">
        <is>
          <t>Zor</t>
        </is>
      </c>
      <c r="F304" s="5" t="inlineStr"/>
      <c r="G304" s="6" t="inlineStr"/>
      <c r="H304" s="6" t="inlineStr">
        <is>
          <t>Telefonu bisiklete, bisikleti kaykaya çevirdin. Kaykay güzel.</t>
        </is>
      </c>
      <c r="I304" s="6" t="inlineStr">
        <is>
          <t>Telefon bisiklete, bisiklet kaykaya, kaykay daha iyi bir telefona dönüştü. Zincir kapandı. Ailen sorgulamadı.</t>
        </is>
      </c>
      <c r="J304" s="6" t="inlineStr">
        <is>
          <t>Telefonu bisiklete çevirdin. Bisikletin zinciri yok.</t>
        </is>
      </c>
      <c r="K304" s="6" t="inlineStr">
        <is>
          <t>Zincir tersine döndü: telefonu verdin, eline bir kutu kartpostal geçti. Değeri tartışmalı, duygusal.</t>
        </is>
      </c>
      <c r="L304" s="6" t="inlineStr"/>
      <c r="M304" s="5" t="inlineStr"/>
      <c r="N304" s="5" t="inlineStr"/>
      <c r="O304" s="6" t="inlineStr"/>
      <c r="P304" s="6" t="inlineStr"/>
      <c r="Q304" s="5" t="inlineStr">
        <is>
          <t>Kantin Ekonomisti</t>
        </is>
      </c>
      <c r="R304" s="5" t="inlineStr"/>
      <c r="S304" s="5" t="inlineStr"/>
      <c r="T304" s="5" t="inlineStr"/>
      <c r="U304" s="5" t="inlineStr"/>
      <c r="V304" s="5" t="inlineStr"/>
      <c r="W304" s="5" t="inlineStr"/>
      <c r="X304" s="5" t="inlineStr"/>
      <c r="Y304" s="5" t="inlineStr"/>
      <c r="Z304" s="6" t="inlineStr"/>
      <c r="AA304" s="5" t="inlineStr"/>
      <c r="AB304" s="5" t="inlineStr"/>
      <c r="AC304" s="5" t="inlineStr"/>
      <c r="AD304" s="5" t="inlineStr"/>
      <c r="AE304" s="5" t="inlineStr"/>
      <c r="AF304" s="5" t="inlineStr"/>
      <c r="AG304" s="5" t="inlineStr"/>
      <c r="AH304" s="5" t="inlineStr"/>
    </row>
    <row r="305">
      <c r="A305" s="5" t="inlineStr">
        <is>
          <t>b4-yaz-tatili</t>
        </is>
      </c>
      <c r="B305" s="5" t="n">
        <v>1</v>
      </c>
      <c r="C305" s="6" t="inlineStr">
        <is>
          <t>İnternetsiz yaşa</t>
        </is>
      </c>
      <c r="D305" s="5" t="inlineStr"/>
      <c r="E305" s="5" t="inlineStr"/>
      <c r="F305" s="5" t="inlineStr">
        <is>
          <t>Dayanıklılık +2</t>
        </is>
      </c>
      <c r="G305" s="6" t="inlineStr">
        <is>
          <t>On beş gün internetsiz kaldın. Denizi, kumu ve babanın dört farklı mangal tekniğini keşfettin.</t>
        </is>
      </c>
      <c r="H305" s="6" t="inlineStr"/>
      <c r="I305" s="6" t="inlineStr"/>
      <c r="J305" s="6" t="inlineStr"/>
      <c r="K305" s="6" t="inlineStr"/>
      <c r="L305" s="6" t="inlineStr"/>
      <c r="M305" s="5" t="inlineStr"/>
      <c r="N305" s="5" t="inlineStr"/>
      <c r="O305" s="6" t="inlineStr"/>
      <c r="P305" s="6" t="inlineStr"/>
      <c r="Q305" s="5" t="inlineStr"/>
      <c r="R305" s="5" t="inlineStr"/>
      <c r="S305" s="5" t="inlineStr"/>
      <c r="T305" s="5" t="inlineStr"/>
      <c r="U305" s="5" t="inlineStr"/>
      <c r="V305" s="5" t="inlineStr"/>
      <c r="W305" s="5" t="inlineStr"/>
      <c r="X305" s="5" t="inlineStr"/>
      <c r="Y305" s="5" t="inlineStr"/>
      <c r="Z305" s="6" t="inlineStr"/>
      <c r="AA305" s="5" t="inlineStr"/>
      <c r="AB305" s="5" t="inlineStr"/>
      <c r="AC305" s="5" t="inlineStr"/>
      <c r="AD305" s="5" t="inlineStr"/>
      <c r="AE305" s="5" t="inlineStr"/>
      <c r="AF305" s="5" t="inlineStr"/>
      <c r="AG305" s="5" t="inlineStr"/>
      <c r="AH305" s="5" t="inlineStr"/>
    </row>
    <row r="306">
      <c r="A306" s="5" t="inlineStr">
        <is>
          <t>b4-yaz-tatili</t>
        </is>
      </c>
      <c r="B306" s="5" t="n">
        <v>2</v>
      </c>
      <c r="C306" s="6" t="inlineStr">
        <is>
          <t>Sinyal noktasını bul</t>
        </is>
      </c>
      <c r="D306" s="5" t="inlineStr">
        <is>
          <t>Kurnazlık</t>
        </is>
      </c>
      <c r="E306" s="5" t="inlineStr">
        <is>
          <t>Orta</t>
        </is>
      </c>
      <c r="F306" s="5" t="inlineStr"/>
      <c r="G306" s="6" t="inlineStr"/>
      <c r="H306" s="6" t="inlineStr">
        <is>
          <t>Merdiven sahanlığının tam ortasında iki çizgi buldun. Tatilin geri kalanı sahanlıkta geçti.</t>
        </is>
      </c>
      <c r="I306" s="6" t="inlineStr">
        <is>
          <t>Sitenin sinyal haritasını çıkardın. Komşu çocuklara nokta başı ücretle kiralıyorsun.</t>
        </is>
      </c>
      <c r="J306" s="6" t="inlineStr">
        <is>
          <t>Sinyali buldun: tek çizgi. Mesajın gittiğinde tatil bitmişti.</t>
        </is>
      </c>
      <c r="K306" s="6" t="inlineStr">
        <is>
          <t>Tam sinyali komşunun modemine yaslanınca buldun. Komşu şifreyi 'SinyalHirsizi' yaptı ve kapıya astı.</t>
        </is>
      </c>
      <c r="L306" s="6" t="inlineStr"/>
      <c r="M306" s="5" t="inlineStr"/>
      <c r="N306" s="5" t="inlineStr"/>
      <c r="O306" s="6" t="inlineStr"/>
      <c r="P306" s="6" t="inlineStr"/>
      <c r="Q306" s="5" t="inlineStr"/>
      <c r="R306" s="5" t="inlineStr"/>
      <c r="S306" s="5" t="inlineStr"/>
      <c r="T306" s="5" t="inlineStr"/>
      <c r="U306" s="5" t="inlineStr"/>
      <c r="V306" s="5" t="inlineStr"/>
      <c r="W306" s="5" t="inlineStr"/>
      <c r="X306" s="5" t="inlineStr"/>
      <c r="Y306" s="5" t="inlineStr"/>
      <c r="Z306" s="6" t="inlineStr"/>
      <c r="AA306" s="5" t="inlineStr"/>
      <c r="AB306" s="5" t="inlineStr"/>
      <c r="AC306" s="5" t="inlineStr"/>
      <c r="AD306" s="5" t="inlineStr"/>
      <c r="AE306" s="5" t="inlineStr"/>
      <c r="AF306" s="5" t="inlineStr"/>
      <c r="AG306" s="5" t="inlineStr"/>
      <c r="AH306" s="5" t="inlineStr"/>
    </row>
    <row r="307">
      <c r="A307" s="5" t="inlineStr">
        <is>
          <t>b4-yaz-tatili</t>
        </is>
      </c>
      <c r="B307" s="5" t="n">
        <v>3</v>
      </c>
      <c r="C307" s="6" t="inlineStr">
        <is>
          <t>Yan yazlıkla ittifak kur</t>
        </is>
      </c>
      <c r="D307" s="5" t="inlineStr">
        <is>
          <t>Sosyal Radar</t>
        </is>
      </c>
      <c r="E307" s="5" t="inlineStr">
        <is>
          <t>Kolay</t>
        </is>
      </c>
      <c r="F307" s="5" t="inlineStr"/>
      <c r="G307" s="6" t="inlineStr"/>
      <c r="H307" s="6" t="inlineStr">
        <is>
          <t>Tek ayak üstünde bir yaz arkadaşlığı kurdun. Eylülde koptunuz. Yazlık dostluklarının doğası bu.</t>
        </is>
      </c>
      <c r="I307" s="6" t="inlineStr">
        <is>
          <t>Yan yazlıktakilerle ortak bir sinyal kulesi kurdunuz: balkonlar arası çamaşır ipi ve bir teneke kutu. İşe yaramadı ama efsaneydi.</t>
        </is>
      </c>
      <c r="J307" s="6" t="inlineStr">
        <is>
          <t>Göz göze geldiniz, el salladınız, sinyal gitti. İkiniz de telefona döndünüz.</t>
        </is>
      </c>
      <c r="K307" s="6" t="inlineStr">
        <is>
          <t>İttifak kurdunuz; onların ailesi sizinkini akşam yemeğine çağırdı. Tatilin geri kalanı aileler arası sohbetle geçti.</t>
        </is>
      </c>
      <c r="L307" s="6" t="inlineStr"/>
      <c r="M307" s="5" t="inlineStr"/>
      <c r="N307" s="5" t="inlineStr"/>
      <c r="O307" s="6" t="inlineStr"/>
      <c r="P307" s="6" t="inlineStr"/>
      <c r="Q307" s="5" t="inlineStr"/>
      <c r="R307" s="5" t="inlineStr"/>
      <c r="S307" s="5" t="inlineStr">
        <is>
          <t>Sosyal Radar</t>
        </is>
      </c>
      <c r="T307" s="5" t="inlineStr"/>
      <c r="U307" s="5" t="inlineStr"/>
      <c r="V307" s="5" t="inlineStr"/>
      <c r="W307" s="5" t="inlineStr"/>
      <c r="X307" s="5" t="inlineStr"/>
      <c r="Y307" s="5" t="inlineStr"/>
      <c r="Z307" s="6" t="inlineStr"/>
      <c r="AA307" s="5" t="inlineStr"/>
      <c r="AB307" s="5" t="inlineStr"/>
      <c r="AC307" s="5" t="inlineStr"/>
      <c r="AD307" s="5" t="inlineStr"/>
      <c r="AE307" s="5" t="inlineStr"/>
      <c r="AF307" s="5" t="inlineStr"/>
      <c r="AG307" s="5" t="inlineStr"/>
      <c r="AH307" s="5" t="inlineStr"/>
    </row>
    <row r="308">
      <c r="A308" s="5" t="inlineStr">
        <is>
          <t>b4-yaz-tatili</t>
        </is>
      </c>
      <c r="B308" s="5" t="n">
        <v>4</v>
      </c>
      <c r="C308" s="6" t="inlineStr">
        <is>
          <t>Ailenden kafe internet parası iste</t>
        </is>
      </c>
      <c r="D308" s="5" t="inlineStr">
        <is>
          <t>Çene</t>
        </is>
      </c>
      <c r="E308" s="5" t="inlineStr">
        <is>
          <t>Orta</t>
        </is>
      </c>
      <c r="F308" s="5" t="inlineStr"/>
      <c r="G308" s="6" t="inlineStr"/>
      <c r="H308" s="6" t="inlineStr">
        <is>
          <t>Sahildeki kafenin internetine erişim onaylandı. Günde bir saat, bir gazoz karşılığında.</t>
        </is>
      </c>
      <c r="I308" s="6" t="inlineStr">
        <is>
          <t>Ailen kafeyi o kadar sevdi ki tatilin geri kalanını orada geçirdiniz. Aile yeniden bağlandı. İnternete.</t>
        </is>
      </c>
      <c r="J308" s="6" t="inlineStr">
        <is>
          <t>'Deniz var, kum var' denildi. İkisinde de sinyal yok.</t>
        </is>
      </c>
      <c r="K308" s="6" t="inlineStr">
        <is>
          <t>Kafeye gittin; kafenin şifresi yalnızca aile boyu menü alanlara veriliyordu. Baban menüyü aldı, şifreyi o kullandı.</t>
        </is>
      </c>
      <c r="L308" s="6" t="inlineStr"/>
      <c r="M308" s="5" t="inlineStr"/>
      <c r="N308" s="5" t="inlineStr"/>
      <c r="O308" s="6" t="inlineStr"/>
      <c r="P308" s="6" t="inlineStr"/>
      <c r="Q308" s="5" t="inlineStr"/>
      <c r="R308" s="5" t="inlineStr"/>
      <c r="S308" s="5" t="inlineStr"/>
      <c r="T308" s="5" t="inlineStr"/>
      <c r="U308" s="5" t="inlineStr"/>
      <c r="V308" s="5" t="inlineStr"/>
      <c r="W308" s="5" t="inlineStr"/>
      <c r="X308" s="5" t="inlineStr"/>
      <c r="Y308" s="5" t="inlineStr"/>
      <c r="Z308" s="6" t="inlineStr"/>
      <c r="AA308" s="5" t="inlineStr"/>
      <c r="AB308" s="5" t="inlineStr"/>
      <c r="AC308" s="5" t="inlineStr"/>
      <c r="AD308" s="5" t="inlineStr"/>
      <c r="AE308" s="5" t="inlineStr"/>
      <c r="AF308" s="5" t="inlineStr"/>
      <c r="AG308" s="5" t="inlineStr"/>
      <c r="AH308" s="5" t="inlineStr"/>
    </row>
    <row r="309">
      <c r="A309" s="5" t="inlineStr">
        <is>
          <t>b4-dershane-denemesi</t>
        </is>
      </c>
      <c r="B309" s="5" t="n">
        <v>1</v>
      </c>
      <c r="C309" s="6" t="inlineStr">
        <is>
          <t>Sıranı kabul et</t>
        </is>
      </c>
      <c r="D309" s="5" t="inlineStr"/>
      <c r="E309" s="5" t="inlineStr"/>
      <c r="F309" s="5" t="inlineStr">
        <is>
          <t>Dayanıklılık +1</t>
        </is>
      </c>
      <c r="G309" s="6" t="inlineStr">
        <is>
          <t>Sıranı gördün, not aldın, yürüdün. Bir sonraki deneme bir hafta sonra. Hayat bir deneme serisi.</t>
        </is>
      </c>
      <c r="H309" s="6" t="inlineStr"/>
      <c r="I309" s="6" t="inlineStr"/>
      <c r="J309" s="6" t="inlineStr"/>
      <c r="K309" s="6" t="inlineStr"/>
      <c r="L309" s="6" t="inlineStr"/>
      <c r="M309" s="5" t="inlineStr"/>
      <c r="N309" s="5" t="inlineStr"/>
      <c r="O309" s="6" t="inlineStr"/>
      <c r="P309" s="6" t="inlineStr"/>
      <c r="Q309" s="5" t="inlineStr"/>
      <c r="R309" s="5" t="inlineStr"/>
      <c r="S309" s="5" t="inlineStr"/>
      <c r="T309" s="5" t="inlineStr"/>
      <c r="U309" s="5" t="inlineStr"/>
      <c r="V309" s="5" t="inlineStr"/>
      <c r="W309" s="5" t="inlineStr"/>
      <c r="X309" s="5" t="inlineStr"/>
      <c r="Y309" s="5" t="inlineStr"/>
      <c r="Z309" s="6" t="inlineStr"/>
      <c r="AA309" s="5" t="inlineStr"/>
      <c r="AB309" s="5" t="inlineStr"/>
      <c r="AC309" s="5" t="inlineStr"/>
      <c r="AD309" s="5" t="inlineStr"/>
      <c r="AE309" s="5" t="inlineStr"/>
      <c r="AF309" s="5" t="inlineStr"/>
      <c r="AG309" s="5" t="inlineStr"/>
      <c r="AH309" s="5" t="inlineStr"/>
    </row>
    <row r="310">
      <c r="A310" s="5" t="inlineStr">
        <is>
          <t>b4-dershane-denemesi</t>
        </is>
      </c>
      <c r="B310" s="5" t="n">
        <v>2</v>
      </c>
      <c r="C310" s="6" t="inlineStr">
        <is>
          <t>Listeyi fotoğrafla, kırp, ailene at</t>
        </is>
      </c>
      <c r="D310" s="5" t="inlineStr">
        <is>
          <t>Kurnazlık</t>
        </is>
      </c>
      <c r="E310" s="5" t="inlineStr">
        <is>
          <t>Orta</t>
        </is>
      </c>
      <c r="F310" s="5" t="inlineStr"/>
      <c r="G310" s="6" t="inlineStr"/>
      <c r="H310" s="6" t="inlineStr">
        <is>
          <t>Fotoğrafı kırptın; üstündeki yirmi kişi kadraj dışında kaldı. Ailen seni ilk sırada sandı.</t>
        </is>
      </c>
      <c r="I310" s="6" t="inlineStr">
        <is>
          <t>Kırptığın fotoğraf aile grubunda dolaştı. Teyzen 'Bizimki de o dershaneye gitsin' dedi. Kuzen artık rakibin.</t>
        </is>
      </c>
      <c r="J310" s="6" t="inlineStr">
        <is>
          <t>Kırptın; üstteki satırdan yarım bir isim göründü. Ailen 'Bu kim?' diye sordu.</t>
        </is>
      </c>
      <c r="K310" s="6" t="inlineStr">
        <is>
          <t>Fazla kırptın. Fotoğrafta yalnızca adın ve altında 'Telafi Programı' yazısı kaldı.</t>
        </is>
      </c>
      <c r="L310" s="6" t="inlineStr"/>
      <c r="M310" s="5" t="inlineStr"/>
      <c r="N310" s="5" t="inlineStr"/>
      <c r="O310" s="6" t="inlineStr"/>
      <c r="P310" s="6" t="inlineStr"/>
      <c r="Q310" s="5" t="inlineStr"/>
      <c r="R310" s="5" t="inlineStr"/>
      <c r="S310" s="5" t="inlineStr"/>
      <c r="T310" s="5" t="inlineStr"/>
      <c r="U310" s="5" t="inlineStr"/>
      <c r="V310" s="5" t="inlineStr"/>
      <c r="W310" s="5" t="inlineStr"/>
      <c r="X310" s="5" t="inlineStr"/>
      <c r="Y310" s="5" t="inlineStr"/>
      <c r="Z310" s="6" t="inlineStr"/>
      <c r="AA310" s="5" t="inlineStr"/>
      <c r="AB310" s="5" t="inlineStr"/>
      <c r="AC310" s="5" t="inlineStr"/>
      <c r="AD310" s="5" t="inlineStr"/>
      <c r="AE310" s="5" t="inlineStr"/>
      <c r="AF310" s="5" t="inlineStr"/>
      <c r="AG310" s="5" t="inlineStr"/>
      <c r="AH310" s="5" t="inlineStr"/>
    </row>
    <row r="311">
      <c r="A311" s="5" t="inlineStr">
        <is>
          <t>b4-dershane-denemesi</t>
        </is>
      </c>
      <c r="B311" s="5" t="n">
        <v>3</v>
      </c>
      <c r="C311" s="6" t="inlineStr">
        <is>
          <t>Rehber öğretmenle konuş</t>
        </is>
      </c>
      <c r="D311" s="5" t="inlineStr">
        <is>
          <t>Çene</t>
        </is>
      </c>
      <c r="E311" s="5" t="inlineStr">
        <is>
          <t>Kolay</t>
        </is>
      </c>
      <c r="F311" s="5" t="inlineStr"/>
      <c r="G311" s="6" t="inlineStr"/>
      <c r="H311" s="6" t="inlineStr">
        <is>
          <t>Rehber öğretmen eksiklerini listeledi. Liste uzundu ama çizilebilir.</t>
        </is>
      </c>
      <c r="I311" s="6" t="inlineStr">
        <is>
          <t>Rehber öğretmen sana bir çalışma planı yaptı ve ailene 'Potansiyeli var' dedi. Potansiyel, her ailenin sevdiği kelime.</t>
        </is>
      </c>
      <c r="J311" s="6" t="inlineStr">
        <is>
          <t>Rehber öğretmen 'Daha çok çalışmalısın' dedi. Bu, ücretli bir bilgiydi.</t>
        </is>
      </c>
      <c r="K311" s="6" t="inlineStr">
        <is>
          <t>Rehber öğretmen konuşurken 'Hangi okuldan geliyordun?' diye sordu. İki yıldır oradasın.</t>
        </is>
      </c>
      <c r="L311" s="6" t="inlineStr"/>
      <c r="M311" s="5" t="inlineStr"/>
      <c r="N311" s="5" t="inlineStr"/>
      <c r="O311" s="6" t="inlineStr"/>
      <c r="P311" s="6" t="inlineStr"/>
      <c r="Q311" s="5" t="inlineStr"/>
      <c r="R311" s="5" t="inlineStr"/>
      <c r="S311" s="5" t="inlineStr"/>
      <c r="T311" s="5" t="inlineStr"/>
      <c r="U311" s="5" t="inlineStr"/>
      <c r="V311" s="5" t="inlineStr"/>
      <c r="W311" s="5" t="inlineStr"/>
      <c r="X311" s="5" t="inlineStr"/>
      <c r="Y311" s="5" t="inlineStr"/>
      <c r="Z311" s="6" t="inlineStr"/>
      <c r="AA311" s="5" t="inlineStr"/>
      <c r="AB311" s="5" t="inlineStr"/>
      <c r="AC311" s="5" t="inlineStr"/>
      <c r="AD311" s="5" t="inlineStr"/>
      <c r="AE311" s="5" t="inlineStr"/>
      <c r="AF311" s="5" t="inlineStr"/>
      <c r="AG311" s="5" t="inlineStr"/>
      <c r="AH311" s="5" t="inlineStr"/>
    </row>
    <row r="312">
      <c r="A312" s="5" t="inlineStr">
        <is>
          <t>b4-lise-sinavi</t>
        </is>
      </c>
      <c r="B312" s="5" t="n">
        <v>1</v>
      </c>
      <c r="C312" s="6" t="inlineStr">
        <is>
          <t>Meslek lisesini yaz</t>
        </is>
      </c>
      <c r="D312" s="5" t="inlineStr"/>
      <c r="E312" s="5" t="inlineStr"/>
      <c r="F312" s="5" t="inlineStr">
        <is>
          <t>Dayanıklılık +1, Kurnazlık +1</t>
        </is>
      </c>
      <c r="G312" s="6" t="inlineStr">
        <is>
          <t>Sınav formuna meslek lisesini yazdın. On beşinde priz takabilen, on altısında dükkân açabilen tek kişi olacaksın. Kuzenin “Yazık” dedi; kuzen hâlâ priz takamıyor.</t>
        </is>
      </c>
      <c r="H312" s="6" t="inlineStr"/>
      <c r="I312" s="6" t="inlineStr"/>
      <c r="J312" s="6" t="inlineStr"/>
      <c r="K312" s="6" t="inlineStr"/>
      <c r="L312" s="6" t="inlineStr"/>
      <c r="M312" s="5" t="inlineStr"/>
      <c r="N312" s="5" t="inlineStr"/>
      <c r="O312" s="6" t="inlineStr"/>
      <c r="P312" s="6" t="inlineStr"/>
      <c r="Q312" s="5" t="inlineStr"/>
      <c r="R312" s="5" t="inlineStr"/>
      <c r="S312" s="5" t="inlineStr"/>
      <c r="T312" s="5" t="inlineStr"/>
      <c r="U312" s="5" t="inlineStr">
        <is>
          <t>meslek-lisesi</t>
        </is>
      </c>
      <c r="V312" s="5" t="inlineStr"/>
      <c r="W312" s="5" t="inlineStr"/>
      <c r="X312" s="5" t="inlineStr"/>
      <c r="Y312" s="5" t="inlineStr"/>
      <c r="Z312" s="6" t="inlineStr"/>
      <c r="AA312" s="5" t="inlineStr">
        <is>
          <t>Keskin +1, Yalçın +1, Tan -1, Erdem -1, Varlı -1</t>
        </is>
      </c>
      <c r="AB312" s="5" t="inlineStr"/>
      <c r="AC312" s="5" t="inlineStr"/>
      <c r="AD312" s="5" t="inlineStr"/>
      <c r="AE312" s="5" t="inlineStr"/>
      <c r="AF312" s="5" t="inlineStr"/>
      <c r="AG312" s="5" t="inlineStr"/>
      <c r="AH312" s="5" t="inlineStr"/>
    </row>
    <row r="313">
      <c r="A313" s="5" t="inlineStr">
        <is>
          <t>b4-lise-sinavi</t>
        </is>
      </c>
      <c r="B313" s="5" t="n">
        <v>2</v>
      </c>
      <c r="C313" s="6" t="inlineStr">
        <is>
          <t>Hepsini çözmeye çalış</t>
        </is>
      </c>
      <c r="D313" s="5" t="inlineStr">
        <is>
          <t>Akıl</t>
        </is>
      </c>
      <c r="E313" s="5" t="inlineStr">
        <is>
          <t>Zor</t>
        </is>
      </c>
      <c r="F313" s="5" t="inlineStr"/>
      <c r="G313" s="6" t="inlineStr"/>
      <c r="H313" s="6" t="inlineStr">
        <is>
          <t>Sonuç geldi: iyi bir lise. Ailen sonucu, karne fotoğrafından bile hızlı aile grubuna attı.</t>
        </is>
      </c>
      <c r="I313" s="6" t="inlineStr">
        <is>
          <t>Derece yaptın. Okulun girişine pankartın asıldı. Pankarttaki fotoğraf, alnında sivilce olan gün çekilmiş.</t>
        </is>
      </c>
      <c r="J313" s="6" t="inlineStr">
        <is>
          <t>Son on soruda süre bitti. Mahalle lisesi seni kucakladı. En azından yakın.</t>
        </is>
      </c>
      <c r="K313" s="6" t="inlineStr">
        <is>
          <t>Optik formu bir satır kaydırarak doldurdun. Bütün cevaplar bir yukarıda. Sonuç belgesi seni 'ilginç' buldu.</t>
        </is>
      </c>
      <c r="L313" s="6" t="inlineStr"/>
      <c r="M313" s="5" t="inlineStr"/>
      <c r="N313" s="5" t="inlineStr"/>
      <c r="O313" s="6" t="inlineStr"/>
      <c r="P313" s="6" t="inlineStr"/>
      <c r="Q313" s="5" t="inlineStr"/>
      <c r="R313" s="5" t="inlineStr"/>
      <c r="S313" s="5" t="inlineStr"/>
      <c r="T313" s="5" t="inlineStr"/>
      <c r="U313" s="5" t="inlineStr"/>
      <c r="V313" s="5" t="inlineStr">
        <is>
          <t>iyi-lise</t>
        </is>
      </c>
      <c r="W313" s="5" t="inlineStr"/>
      <c r="X313" s="5" t="inlineStr"/>
      <c r="Y313" s="5" t="inlineStr"/>
      <c r="Z313" s="6" t="inlineStr"/>
      <c r="AA313" s="5" t="inlineStr"/>
      <c r="AB313" s="5" t="inlineStr">
        <is>
          <t>duz-lise</t>
        </is>
      </c>
      <c r="AC313" s="5" t="inlineStr"/>
      <c r="AD313" s="5" t="inlineStr"/>
      <c r="AE313" s="5" t="inlineStr"/>
      <c r="AF313" s="5" t="inlineStr"/>
      <c r="AG313" s="5" t="inlineStr"/>
      <c r="AH313" s="5" t="inlineStr"/>
    </row>
    <row r="314">
      <c r="A314" s="5" t="inlineStr">
        <is>
          <t>b4-lise-sinavi</t>
        </is>
      </c>
      <c r="B314" s="5" t="n">
        <v>3</v>
      </c>
      <c r="C314" s="6" t="inlineStr">
        <is>
          <t>Zorları atla, kolayları topla</t>
        </is>
      </c>
      <c r="D314" s="5" t="inlineStr">
        <is>
          <t>Kurnazlık</t>
        </is>
      </c>
      <c r="E314" s="5" t="inlineStr">
        <is>
          <t>Orta</t>
        </is>
      </c>
      <c r="F314" s="5" t="inlineStr"/>
      <c r="G314" s="6" t="inlineStr"/>
      <c r="H314" s="6" t="inlineStr">
        <is>
          <t>Stratejik atladın, akıllıca topladın. İyi bir lise, düşündüğünden hesaplı bir yoldan geldi.</t>
        </is>
      </c>
      <c r="I314" s="6" t="inlineStr">
        <is>
          <t>Atladığın sorulara dönmeye vaktin kaldı ve hepsini yaptın. Strateji ile şans aynı gün mesaiye geldi.</t>
        </is>
      </c>
      <c r="J314" s="6" t="inlineStr">
        <is>
          <t>Atladığın sorulara dönemedin. Atladıkların kolaymış.</t>
        </is>
      </c>
      <c r="K314" s="6" t="inlineStr">
        <is>
          <t>Kolayların hepsi aynı şık çıkınca şüphelendin ve değiştirdin. Hepsi gerçekten aynı şıktı.</t>
        </is>
      </c>
      <c r="L314" s="6" t="inlineStr"/>
      <c r="M314" s="5" t="inlineStr"/>
      <c r="N314" s="5" t="inlineStr"/>
      <c r="O314" s="6" t="inlineStr"/>
      <c r="P314" s="6" t="inlineStr"/>
      <c r="Q314" s="5" t="inlineStr"/>
      <c r="R314" s="5" t="inlineStr"/>
      <c r="S314" s="5" t="inlineStr"/>
      <c r="T314" s="5" t="inlineStr"/>
      <c r="U314" s="5" t="inlineStr"/>
      <c r="V314" s="5" t="inlineStr">
        <is>
          <t>iyi-lise</t>
        </is>
      </c>
      <c r="W314" s="5" t="inlineStr"/>
      <c r="X314" s="5" t="inlineStr"/>
      <c r="Y314" s="5" t="inlineStr"/>
      <c r="Z314" s="6" t="inlineStr"/>
      <c r="AA314" s="5" t="inlineStr"/>
      <c r="AB314" s="5" t="inlineStr">
        <is>
          <t>duz-lise</t>
        </is>
      </c>
      <c r="AC314" s="5" t="inlineStr"/>
      <c r="AD314" s="5" t="inlineStr"/>
      <c r="AE314" s="5" t="inlineStr"/>
      <c r="AF314" s="5" t="inlineStr"/>
      <c r="AG314" s="5" t="inlineStr"/>
      <c r="AH314" s="5" t="inlineStr"/>
    </row>
    <row r="315">
      <c r="A315" s="5" t="inlineStr">
        <is>
          <t>b4-lise-sinavi</t>
        </is>
      </c>
      <c r="B315" s="5" t="n">
        <v>4</v>
      </c>
      <c r="C315" s="6" t="inlineStr">
        <is>
          <t>Dershane taktiklerini uygula</t>
        </is>
      </c>
      <c r="D315" s="5" t="inlineStr">
        <is>
          <t>Akıl</t>
        </is>
      </c>
      <c r="E315" s="5" t="inlineStr">
        <is>
          <t>Orta</t>
        </is>
      </c>
      <c r="F315" s="5" t="inlineStr"/>
      <c r="G315" s="6" t="inlineStr"/>
      <c r="H315" s="6" t="inlineStr">
        <is>
          <t>Soru tiplerini tanıdın. Dershanenin cumartesileri karşılığını verdi. İyi bir lise.</t>
        </is>
      </c>
      <c r="I315" s="6" t="inlineStr">
        <is>
          <t>Soruların yarısı dershanede çözdüğün sorulara ikiz çıktı. Derece yaptın; dershane seni broşüre koydu. Küçük puntolu değil.</t>
        </is>
      </c>
      <c r="J315" s="6" t="inlineStr">
        <is>
          <t>Taktikler işledi ama süre yetmedi. Dershane bunu 'bir sonraki paketimiz' olarak değerlendirdi.</t>
        </is>
      </c>
      <c r="K315" s="6" t="inlineStr">
        <is>
          <t>Dershanenin 'Bu tip hiç çıkmaz' dediği soru tipi, sınavın yarısıydı.</t>
        </is>
      </c>
      <c r="L315" s="6" t="inlineStr"/>
      <c r="M315" s="5" t="inlineStr"/>
      <c r="N315" s="5" t="inlineStr"/>
      <c r="O315" s="6" t="inlineStr"/>
      <c r="P315" s="6" t="inlineStr"/>
      <c r="Q315" s="5" t="inlineStr"/>
      <c r="R315" s="5" t="inlineStr">
        <is>
          <t>dershaneli</t>
        </is>
      </c>
      <c r="S315" s="5" t="inlineStr"/>
      <c r="T315" s="5" t="inlineStr"/>
      <c r="U315" s="5" t="inlineStr"/>
      <c r="V315" s="5" t="inlineStr">
        <is>
          <t>iyi-lise</t>
        </is>
      </c>
      <c r="W315" s="5" t="inlineStr"/>
      <c r="X315" s="5" t="inlineStr"/>
      <c r="Y315" s="5" t="inlineStr"/>
      <c r="Z315" s="6" t="inlineStr"/>
      <c r="AA315" s="5" t="inlineStr"/>
      <c r="AB315" s="5" t="inlineStr">
        <is>
          <t>duz-lise</t>
        </is>
      </c>
      <c r="AC315" s="5" t="inlineStr"/>
      <c r="AD315" s="5" t="inlineStr"/>
      <c r="AE315" s="5" t="inlineStr"/>
      <c r="AF315" s="5" t="inlineStr"/>
      <c r="AG315" s="5" t="inlineStr"/>
      <c r="AH315" s="5" t="inlineStr"/>
    </row>
    <row r="316">
      <c r="A316" s="5" t="inlineStr">
        <is>
          <t>b4-lise-sinavi</t>
        </is>
      </c>
      <c r="B316" s="5" t="n">
        <v>5</v>
      </c>
      <c r="C316" s="6" t="inlineStr">
        <is>
          <t>Nefes al, sırayla ilerle</t>
        </is>
      </c>
      <c r="D316" s="5" t="inlineStr">
        <is>
          <t>Dayanıklılık</t>
        </is>
      </c>
      <c r="E316" s="5" t="inlineStr">
        <is>
          <t>Orta</t>
        </is>
      </c>
      <c r="F316" s="5" t="inlineStr"/>
      <c r="G316" s="6" t="inlineStr"/>
      <c r="H316" s="6" t="inlineStr">
        <is>
          <t>Paniklemedin. Soru soru ilerledin. İyi bir lise, sakinliğin ödülü.</t>
        </is>
      </c>
      <c r="I316" s="6" t="inlineStr">
        <is>
          <t>Salondaki herkes terlerken sen sakindin. Gözetmen bile sana bakıp rahatladı. Derece geldi.</t>
        </is>
      </c>
      <c r="J316" s="6" t="inlineStr">
        <is>
          <t>Sakindin, ama biraz fazla. Son sayfayı çevirmeye vakit kalmadı.</t>
        </is>
      </c>
      <c r="K316" s="6" t="inlineStr">
        <is>
          <t>Öyle sakindin ki bir ara uyuyakaldın. Gözetmen seni 'Süre bitti' anonsuyla uyandırdı.</t>
        </is>
      </c>
      <c r="L316" s="6" t="inlineStr"/>
      <c r="M316" s="5" t="inlineStr"/>
      <c r="N316" s="5" t="inlineStr"/>
      <c r="O316" s="6" t="inlineStr"/>
      <c r="P316" s="6" t="inlineStr"/>
      <c r="Q316" s="5" t="inlineStr">
        <is>
          <t>Kolay Dağılmaz</t>
        </is>
      </c>
      <c r="R316" s="5" t="inlineStr"/>
      <c r="S316" s="5" t="inlineStr"/>
      <c r="T316" s="5" t="inlineStr"/>
      <c r="U316" s="5" t="inlineStr"/>
      <c r="V316" s="5" t="inlineStr">
        <is>
          <t>iyi-lise</t>
        </is>
      </c>
      <c r="W316" s="5" t="inlineStr"/>
      <c r="X316" s="5" t="inlineStr"/>
      <c r="Y316" s="5" t="inlineStr"/>
      <c r="Z316" s="6" t="inlineStr"/>
      <c r="AA316" s="5" t="inlineStr"/>
      <c r="AB316" s="5" t="inlineStr">
        <is>
          <t>duz-lise</t>
        </is>
      </c>
      <c r="AC316" s="5" t="inlineStr"/>
      <c r="AD316" s="5" t="inlineStr"/>
      <c r="AE316" s="5" t="inlineStr"/>
      <c r="AF316" s="5" t="inlineStr"/>
      <c r="AG316" s="5" t="inlineStr"/>
      <c r="AH316" s="5" t="inlineStr"/>
    </row>
    <row r="317">
      <c r="A317" s="5" t="inlineStr">
        <is>
          <t>b4-lise-sinavi</t>
        </is>
      </c>
      <c r="B317" s="5" t="n">
        <v>6</v>
      </c>
      <c r="C317" s="6" t="inlineStr">
        <is>
          <t>Sınava girme, okulu bırak</t>
        </is>
      </c>
      <c r="D317" s="5" t="inlineStr"/>
      <c r="E317" s="5" t="inlineStr"/>
      <c r="F317" s="5" t="inlineStr">
        <is>
          <t>Cesaret +1</t>
        </is>
      </c>
      <c r="G317" s="6" t="inlineStr">
        <is>
          <t>Sınav sabahı köşedeki çay ocağına gittin. Abiler “Asıl okul burası” dedi. Annen o akşam hiç konuşmadı; baban da. Evde bir sessizlik okulu açıldı.</t>
        </is>
      </c>
      <c r="H317" s="6" t="inlineStr"/>
      <c r="I317" s="6" t="inlineStr"/>
      <c r="J317" s="6" t="inlineStr"/>
      <c r="K317" s="6" t="inlineStr"/>
      <c r="L317" s="6" t="inlineStr"/>
      <c r="M317" s="5" t="inlineStr"/>
      <c r="N317" s="5" t="inlineStr"/>
      <c r="O317" s="6" t="inlineStr"/>
      <c r="P317" s="6" t="inlineStr"/>
      <c r="Q317" s="5" t="inlineStr"/>
      <c r="R317" s="5" t="inlineStr">
        <is>
          <t>mahalle-abileri</t>
        </is>
      </c>
      <c r="S317" s="5" t="inlineStr"/>
      <c r="T317" s="5" t="inlineStr"/>
      <c r="U317" s="5" t="inlineStr">
        <is>
          <t>okulu-birakti</t>
        </is>
      </c>
      <c r="V317" s="5" t="inlineStr"/>
      <c r="W317" s="5" t="inlineStr"/>
      <c r="X317" s="5" t="inlineStr"/>
      <c r="Y317" s="5" t="inlineStr"/>
      <c r="Z317" s="6" t="inlineStr"/>
      <c r="AA317" s="5" t="inlineStr">
        <is>
          <t>hepsi -1</t>
        </is>
      </c>
      <c r="AB317" s="5" t="inlineStr"/>
      <c r="AC317" s="5" t="inlineStr"/>
      <c r="AD317" s="5" t="inlineStr"/>
      <c r="AE317" s="5" t="inlineStr"/>
      <c r="AF317" s="5" t="inlineStr"/>
      <c r="AG317" s="5" t="inlineStr"/>
      <c r="AH317" s="5" t="inlineStr"/>
    </row>
    <row r="318">
      <c r="A318" s="5" t="inlineStr">
        <is>
          <t>b5-lise-ilk-gun</t>
        </is>
      </c>
      <c r="B318" s="5" t="n">
        <v>1</v>
      </c>
      <c r="C318" s="6" t="inlineStr">
        <is>
          <t>Arka sıraya otur</t>
        </is>
      </c>
      <c r="D318" s="5" t="inlineStr"/>
      <c r="E318" s="5" t="inlineStr"/>
      <c r="F318" s="5" t="inlineStr">
        <is>
          <t>Pişkinlik +1</t>
        </is>
      </c>
      <c r="G318" s="6" t="inlineStr">
        <is>
          <t>Arka sıraya yerleştin. Pencere manzaralı, öğretmen görüşü sınırlı. Dört yıllık stratejik yatırım.</t>
        </is>
      </c>
      <c r="H318" s="6" t="inlineStr"/>
      <c r="I318" s="6" t="inlineStr"/>
      <c r="J318" s="6" t="inlineStr"/>
      <c r="K318" s="6" t="inlineStr"/>
      <c r="L318" s="6" t="inlineStr"/>
      <c r="M318" s="5" t="inlineStr"/>
      <c r="N318" s="5" t="inlineStr"/>
      <c r="O318" s="6" t="inlineStr"/>
      <c r="P318" s="6" t="inlineStr"/>
      <c r="Q318" s="5" t="inlineStr"/>
      <c r="R318" s="5" t="inlineStr"/>
      <c r="S318" s="5" t="inlineStr"/>
      <c r="T318" s="5" t="inlineStr"/>
      <c r="U318" s="5" t="inlineStr"/>
      <c r="V318" s="5" t="inlineStr"/>
      <c r="W318" s="5" t="inlineStr"/>
      <c r="X318" s="5" t="inlineStr"/>
      <c r="Y318" s="5" t="inlineStr"/>
      <c r="Z318" s="6" t="inlineStr"/>
      <c r="AA318" s="5" t="inlineStr"/>
      <c r="AB318" s="5" t="inlineStr"/>
      <c r="AC318" s="5" t="inlineStr"/>
      <c r="AD318" s="5" t="inlineStr"/>
      <c r="AE318" s="5" t="inlineStr"/>
      <c r="AF318" s="5" t="inlineStr"/>
      <c r="AG318" s="5" t="inlineStr"/>
      <c r="AH318" s="5" t="inlineStr"/>
    </row>
    <row r="319">
      <c r="A319" s="5" t="inlineStr">
        <is>
          <t>b5-lise-ilk-gun</t>
        </is>
      </c>
      <c r="B319" s="5" t="n">
        <v>2</v>
      </c>
      <c r="C319" s="6" t="inlineStr">
        <is>
          <t>Ön sıraya otur</t>
        </is>
      </c>
      <c r="D319" s="5" t="inlineStr"/>
      <c r="E319" s="5" t="inlineStr"/>
      <c r="F319" s="5" t="inlineStr">
        <is>
          <t>Akıl +1</t>
        </is>
      </c>
      <c r="G319" s="6" t="inlineStr">
        <is>
          <t>Ön sıraya oturdun. Tahtayı net görüyorsun. Tahta da seni.</t>
        </is>
      </c>
      <c r="H319" s="6" t="inlineStr"/>
      <c r="I319" s="6" t="inlineStr"/>
      <c r="J319" s="6" t="inlineStr"/>
      <c r="K319" s="6" t="inlineStr"/>
      <c r="L319" s="6" t="inlineStr"/>
      <c r="M319" s="5" t="inlineStr"/>
      <c r="N319" s="5" t="inlineStr"/>
      <c r="O319" s="6" t="inlineStr"/>
      <c r="P319" s="6" t="inlineStr"/>
      <c r="Q319" s="5" t="inlineStr"/>
      <c r="R319" s="5" t="inlineStr"/>
      <c r="S319" s="5" t="inlineStr"/>
      <c r="T319" s="5" t="inlineStr"/>
      <c r="U319" s="5" t="inlineStr"/>
      <c r="V319" s="5" t="inlineStr"/>
      <c r="W319" s="5" t="inlineStr"/>
      <c r="X319" s="5" t="inlineStr"/>
      <c r="Y319" s="5" t="inlineStr"/>
      <c r="Z319" s="6" t="inlineStr"/>
      <c r="AA319" s="5" t="inlineStr"/>
      <c r="AB319" s="5" t="inlineStr"/>
      <c r="AC319" s="5" t="inlineStr"/>
      <c r="AD319" s="5" t="inlineStr"/>
      <c r="AE319" s="5" t="inlineStr"/>
      <c r="AF319" s="5" t="inlineStr"/>
      <c r="AG319" s="5" t="inlineStr"/>
      <c r="AH319" s="5" t="inlineStr"/>
    </row>
    <row r="320">
      <c r="A320" s="5" t="inlineStr">
        <is>
          <t>b5-lise-ilk-gun</t>
        </is>
      </c>
      <c r="B320" s="5" t="n">
        <v>3</v>
      </c>
      <c r="C320" s="6" t="inlineStr">
        <is>
          <t>İlk teneffüste kendini tanıt</t>
        </is>
      </c>
      <c r="D320" s="5" t="inlineStr">
        <is>
          <t>Çene</t>
        </is>
      </c>
      <c r="E320" s="5" t="inlineStr">
        <is>
          <t>Orta</t>
        </is>
      </c>
      <c r="F320" s="5" t="inlineStr"/>
      <c r="G320" s="6" t="inlineStr"/>
      <c r="H320" s="6" t="inlineStr">
        <is>
          <t>Kendini tanıttın. Öğle arasında üç kişinin adını, iki kişinin sırrını biliyordun.</t>
        </is>
      </c>
      <c r="I320" s="6" t="inlineStr">
        <is>
          <t>İkinci gün sınıfın mesaj grubunu sen kurdun. Yöneticilik yetkisi yalnızca sende.</t>
        </is>
      </c>
      <c r="J320" s="6" t="inlineStr">
        <is>
          <t>Kendini tanıttın. Karşındakiler seni rehbere 'şu çok konuşan' diye kaydetti.</t>
        </is>
      </c>
      <c r="K320" s="6" t="inlineStr">
        <is>
          <t>Heyecanla herkese el salladın. Karşılık veren tek kişi müdür yardımcısıydı.</t>
        </is>
      </c>
      <c r="L320" s="6" t="inlineStr"/>
      <c r="M320" s="5" t="inlineStr"/>
      <c r="N320" s="5" t="inlineStr"/>
      <c r="O320" s="6" t="inlineStr"/>
      <c r="P320" s="6" t="inlineStr"/>
      <c r="Q320" s="5" t="inlineStr"/>
      <c r="R320" s="5" t="inlineStr"/>
      <c r="S320" s="5" t="inlineStr"/>
      <c r="T320" s="5" t="inlineStr"/>
      <c r="U320" s="5" t="inlineStr"/>
      <c r="V320" s="5" t="inlineStr"/>
      <c r="W320" s="5" t="inlineStr"/>
      <c r="X320" s="5" t="inlineStr"/>
      <c r="Y320" s="5" t="inlineStr"/>
      <c r="Z320" s="6" t="inlineStr"/>
      <c r="AA320" s="5" t="inlineStr"/>
      <c r="AB320" s="5" t="inlineStr"/>
      <c r="AC320" s="5" t="inlineStr"/>
      <c r="AD320" s="5" t="inlineStr"/>
      <c r="AE320" s="5" t="inlineStr"/>
      <c r="AF320" s="5" t="inlineStr"/>
      <c r="AG320" s="5" t="inlineStr"/>
      <c r="AH320" s="5" t="inlineStr"/>
    </row>
    <row r="321">
      <c r="A321" s="5" t="inlineStr">
        <is>
          <t>b5-lise-ilk-gun</t>
        </is>
      </c>
      <c r="B321" s="5" t="n">
        <v>4</v>
      </c>
      <c r="C321" s="6" t="inlineStr">
        <is>
          <t>Doğru masayı seç</t>
        </is>
      </c>
      <c r="D321" s="5" t="inlineStr">
        <is>
          <t>Sosyal Radar</t>
        </is>
      </c>
      <c r="E321" s="5" t="inlineStr">
        <is>
          <t>Kolay</t>
        </is>
      </c>
      <c r="F321" s="5" t="inlineStr"/>
      <c r="G321" s="6" t="inlineStr"/>
      <c r="H321" s="6" t="inlineStr">
        <is>
          <t>Doğru masaya oturdun. Dört yıllık sosyal sigortan yapıldı.</t>
        </is>
      </c>
      <c r="I321" s="6" t="inlineStr">
        <is>
          <t>Masadakiler seni ilk gün kabul etti; ikinci gün masaya yeni üye alımını sen onaylıyordun.</t>
        </is>
      </c>
      <c r="J321" s="6" t="inlineStr">
        <is>
          <t>Masayı doğru seçtin. Masadakiler ertesi gün başka masaya taşındı.</t>
        </is>
      </c>
      <c r="K321" s="6" t="inlineStr">
        <is>
          <t>Okulun en popüler masasına oturdun. Öğretmenler masasıymış.</t>
        </is>
      </c>
      <c r="L321" s="6" t="inlineStr"/>
      <c r="M321" s="5" t="inlineStr"/>
      <c r="N321" s="5" t="inlineStr"/>
      <c r="O321" s="6" t="inlineStr"/>
      <c r="P321" s="6" t="inlineStr"/>
      <c r="Q321" s="5" t="inlineStr"/>
      <c r="R321" s="5" t="inlineStr"/>
      <c r="S321" s="5" t="inlineStr">
        <is>
          <t>Sosyal Radar</t>
        </is>
      </c>
      <c r="T321" s="5" t="inlineStr"/>
      <c r="U321" s="5" t="inlineStr"/>
      <c r="V321" s="5" t="inlineStr"/>
      <c r="W321" s="5" t="inlineStr"/>
      <c r="X321" s="5" t="inlineStr"/>
      <c r="Y321" s="5" t="inlineStr"/>
      <c r="Z321" s="6" t="inlineStr"/>
      <c r="AA321" s="5" t="inlineStr"/>
      <c r="AB321" s="5" t="inlineStr"/>
      <c r="AC321" s="5" t="inlineStr"/>
      <c r="AD321" s="5" t="inlineStr"/>
      <c r="AE321" s="5" t="inlineStr"/>
      <c r="AF321" s="5" t="inlineStr"/>
      <c r="AG321" s="5" t="inlineStr"/>
      <c r="AH321" s="5" t="inlineStr"/>
    </row>
    <row r="322">
      <c r="A322" s="5" t="inlineStr">
        <is>
          <t>b5-sac-devrimi</t>
        </is>
      </c>
      <c r="B322" s="5" t="n">
        <v>1</v>
      </c>
      <c r="C322" s="6" t="inlineStr">
        <is>
          <t>Her zamanki gibi kestir</t>
        </is>
      </c>
      <c r="D322" s="5" t="inlineStr"/>
      <c r="E322" s="5" t="inlineStr"/>
      <c r="F322" s="5" t="inlineStr">
        <is>
          <t>Dayanıklılık +1</t>
        </is>
      </c>
      <c r="G322" s="6" t="inlineStr">
        <is>
          <t>Berber 'her zamanki gibi' dedi ve her zamanki gibi yaptı. Devrim bir dönem daha ertelendi.</t>
        </is>
      </c>
      <c r="H322" s="6" t="inlineStr"/>
      <c r="I322" s="6" t="inlineStr"/>
      <c r="J322" s="6" t="inlineStr"/>
      <c r="K322" s="6" t="inlineStr"/>
      <c r="L322" s="6" t="inlineStr"/>
      <c r="M322" s="5" t="inlineStr"/>
      <c r="N322" s="5" t="inlineStr"/>
      <c r="O322" s="6" t="inlineStr"/>
      <c r="P322" s="6" t="inlineStr"/>
      <c r="Q322" s="5" t="inlineStr"/>
      <c r="R322" s="5" t="inlineStr"/>
      <c r="S322" s="5" t="inlineStr"/>
      <c r="T322" s="5" t="inlineStr"/>
      <c r="U322" s="5" t="inlineStr"/>
      <c r="V322" s="5" t="inlineStr"/>
      <c r="W322" s="5" t="inlineStr"/>
      <c r="X322" s="5" t="inlineStr"/>
      <c r="Y322" s="5" t="inlineStr"/>
      <c r="Z322" s="6" t="inlineStr"/>
      <c r="AA322" s="5" t="inlineStr"/>
      <c r="AB322" s="5" t="inlineStr"/>
      <c r="AC322" s="5" t="inlineStr"/>
      <c r="AD322" s="5" t="inlineStr"/>
      <c r="AE322" s="5" t="inlineStr"/>
      <c r="AF322" s="5" t="inlineStr"/>
      <c r="AG322" s="5" t="inlineStr"/>
      <c r="AH322" s="5" t="inlineStr"/>
    </row>
    <row r="323">
      <c r="A323" s="5" t="inlineStr">
        <is>
          <t>b5-sac-devrimi</t>
        </is>
      </c>
      <c r="B323" s="5" t="n">
        <v>2</v>
      </c>
      <c r="C323" s="6" t="inlineStr">
        <is>
          <t>Fotoğraftakini iste</t>
        </is>
      </c>
      <c r="D323" s="5" t="inlineStr">
        <is>
          <t>Pişkinlik</t>
        </is>
      </c>
      <c r="E323" s="5" t="inlineStr">
        <is>
          <t>Zor</t>
        </is>
      </c>
      <c r="F323" s="5" t="inlineStr"/>
      <c r="G323" s="6" t="inlineStr"/>
      <c r="H323" s="6" t="inlineStr">
        <is>
          <t>Fotoğraftaki olmadı ama yeni bir şey oldu. Okulda iki kişi aynısını istedi.</t>
        </is>
      </c>
      <c r="I323" s="6" t="inlineStr">
        <is>
          <t>Saçın koridorda akım başlattı. Berbere artık 'o öğrencinin saçı' diye sipariş geliyor.</t>
        </is>
      </c>
      <c r="J323" s="6" t="inlineStr">
        <is>
          <t>Sonuç fotoğrafa benzemedi. Babanın gençlik fotoğrafına benzedi.</t>
        </is>
      </c>
      <c r="K323" s="6" t="inlineStr">
        <is>
          <t>Berber 'biraz alalım' dedi. Alınan kısım üç ay sonra geri geldi.</t>
        </is>
      </c>
      <c r="L323" s="6" t="inlineStr"/>
      <c r="M323" s="5" t="inlineStr"/>
      <c r="N323" s="5" t="inlineStr"/>
      <c r="O323" s="6" t="inlineStr"/>
      <c r="P323" s="6" t="inlineStr"/>
      <c r="Q323" s="5" t="inlineStr"/>
      <c r="R323" s="5" t="inlineStr"/>
      <c r="S323" s="5" t="inlineStr"/>
      <c r="T323" s="5" t="inlineStr"/>
      <c r="U323" s="5" t="inlineStr"/>
      <c r="V323" s="5" t="inlineStr"/>
      <c r="W323" s="5" t="inlineStr"/>
      <c r="X323" s="5" t="inlineStr"/>
      <c r="Y323" s="5" t="inlineStr"/>
      <c r="Z323" s="6" t="inlineStr"/>
      <c r="AA323" s="5" t="inlineStr"/>
      <c r="AB323" s="5" t="inlineStr"/>
      <c r="AC323" s="5" t="inlineStr"/>
      <c r="AD323" s="5" t="inlineStr"/>
      <c r="AE323" s="5" t="inlineStr"/>
      <c r="AF323" s="5" t="inlineStr"/>
      <c r="AG323" s="5" t="inlineStr"/>
      <c r="AH323" s="5" t="inlineStr"/>
    </row>
    <row r="324">
      <c r="A324" s="5" t="inlineStr">
        <is>
          <t>b5-sac-devrimi</t>
        </is>
      </c>
      <c r="B324" s="5" t="n">
        <v>3</v>
      </c>
      <c r="C324" s="6" t="inlineStr">
        <is>
          <t>Evde kendin kes</t>
        </is>
      </c>
      <c r="D324" s="5" t="inlineStr">
        <is>
          <t>Cesaret</t>
        </is>
      </c>
      <c r="E324" s="5" t="inlineStr">
        <is>
          <t>Orta</t>
        </is>
      </c>
      <c r="F324" s="5" t="inlineStr"/>
      <c r="G324" s="6" t="inlineStr"/>
      <c r="H324" s="6" t="inlineStr">
        <is>
          <t>Kendin kestin. Sonuç cesur ve simetrik değil. Ama cesur.</t>
        </is>
      </c>
      <c r="I324" s="6" t="inlineStr">
        <is>
          <t>Kimse berbere gitmediğini anlamadı. Kuzenlerden randevu talebi geliyor.</t>
        </is>
      </c>
      <c r="J324" s="6" t="inlineStr">
        <is>
          <t>Kendin kestin. Sağ taraf, sol taraftan bir hafta ileride.</t>
        </is>
      </c>
      <c r="K324" s="6" t="inlineStr">
        <is>
          <t>Aile kararıyla ertesi sabah berbere götürüldün. Berber uzun uzun sustu.</t>
        </is>
      </c>
      <c r="L324" s="6" t="inlineStr"/>
      <c r="M324" s="5" t="inlineStr"/>
      <c r="N324" s="5" t="inlineStr"/>
      <c r="O324" s="6" t="inlineStr"/>
      <c r="P324" s="6" t="inlineStr"/>
      <c r="Q324" s="5" t="inlineStr"/>
      <c r="R324" s="5" t="inlineStr"/>
      <c r="S324" s="5" t="inlineStr"/>
      <c r="T324" s="5" t="inlineStr"/>
      <c r="U324" s="5" t="inlineStr"/>
      <c r="V324" s="5" t="inlineStr"/>
      <c r="W324" s="5" t="inlineStr"/>
      <c r="X324" s="5" t="inlineStr"/>
      <c r="Y324" s="5" t="inlineStr"/>
      <c r="Z324" s="6" t="inlineStr"/>
      <c r="AA324" s="5" t="inlineStr"/>
      <c r="AB324" s="5" t="inlineStr"/>
      <c r="AC324" s="5" t="inlineStr"/>
      <c r="AD324" s="5" t="inlineStr"/>
      <c r="AE324" s="5" t="inlineStr"/>
      <c r="AF324" s="5" t="inlineStr"/>
      <c r="AG324" s="5" t="inlineStr"/>
      <c r="AH324" s="5" t="inlineStr"/>
    </row>
    <row r="325">
      <c r="A325" s="5" t="inlineStr">
        <is>
          <t>b5-sac-devrimi</t>
        </is>
      </c>
      <c r="B325" s="5" t="n">
        <v>4</v>
      </c>
      <c r="C325" s="6" t="inlineStr">
        <is>
          <t>Sonucu 'bilerek yaptım' diye sahiplen</t>
        </is>
      </c>
      <c r="D325" s="5" t="inlineStr">
        <is>
          <t>Pişkinlik</t>
        </is>
      </c>
      <c r="E325" s="5" t="inlineStr">
        <is>
          <t>Kolay</t>
        </is>
      </c>
      <c r="F325" s="5" t="inlineStr"/>
      <c r="G325" s="6" t="inlineStr"/>
      <c r="H325" s="6" t="inlineStr">
        <is>
          <t>Saç kötü oldu, sen 'bilerek yaptım' dedin. Herkes inandı.</t>
        </is>
      </c>
      <c r="I325" s="6" t="inlineStr">
        <is>
          <t>'Bu bir tarz' dedin. İkinci hafta gerçekten tarz oldu.</t>
        </is>
      </c>
      <c r="J325" s="6" t="inlineStr">
        <is>
          <t>'Bilerek yaptım' dedin. Kimse sormamıştı.</t>
        </is>
      </c>
      <c r="K325" s="6" t="inlineStr">
        <is>
          <t>'Bilerek yaptım' dedin. Berber yan koltuktan 'Hayır' dedi.</t>
        </is>
      </c>
      <c r="L325" s="6" t="inlineStr"/>
      <c r="M325" s="5" t="inlineStr"/>
      <c r="N325" s="5" t="inlineStr"/>
      <c r="O325" s="6" t="inlineStr"/>
      <c r="P325" s="6" t="inlineStr"/>
      <c r="Q325" s="5" t="inlineStr">
        <is>
          <t>Kendine Gülebilir</t>
        </is>
      </c>
      <c r="R325" s="5" t="inlineStr"/>
      <c r="S325" s="5" t="inlineStr"/>
      <c r="T325" s="5" t="inlineStr"/>
      <c r="U325" s="5" t="inlineStr"/>
      <c r="V325" s="5" t="inlineStr"/>
      <c r="W325" s="5" t="inlineStr"/>
      <c r="X325" s="5" t="inlineStr"/>
      <c r="Y325" s="5" t="inlineStr"/>
      <c r="Z325" s="6" t="inlineStr"/>
      <c r="AA325" s="5" t="inlineStr"/>
      <c r="AB325" s="5" t="inlineStr"/>
      <c r="AC325" s="5" t="inlineStr"/>
      <c r="AD325" s="5" t="inlineStr"/>
      <c r="AE325" s="5" t="inlineStr"/>
      <c r="AF325" s="5" t="inlineStr"/>
      <c r="AG325" s="5" t="inlineStr"/>
      <c r="AH325" s="5" t="inlineStr"/>
    </row>
    <row r="326">
      <c r="A326" s="5" t="inlineStr">
        <is>
          <t>b5-kulup-secimi</t>
        </is>
      </c>
      <c r="B326" s="5" t="n">
        <v>1</v>
      </c>
      <c r="C326" s="6" t="inlineStr">
        <is>
          <t>Formu vermeyi unut</t>
        </is>
      </c>
      <c r="D326" s="5" t="inlineStr"/>
      <c r="E326" s="5" t="inlineStr"/>
      <c r="F326" s="5" t="inlineStr">
        <is>
          <t>Dayanıklılık +1</t>
        </is>
      </c>
      <c r="G326" s="6" t="inlineStr">
        <is>
          <t>Formu vermedin. Sistem seni Çevre ve Geri Dönüşüm Kulübü'ne atadı. Dört yıl boyunca kâğıt topladın.</t>
        </is>
      </c>
      <c r="H326" s="6" t="inlineStr"/>
      <c r="I326" s="6" t="inlineStr"/>
      <c r="J326" s="6" t="inlineStr"/>
      <c r="K326" s="6" t="inlineStr"/>
      <c r="L326" s="6" t="inlineStr"/>
      <c r="M326" s="5" t="inlineStr"/>
      <c r="N326" s="5" t="inlineStr"/>
      <c r="O326" s="6" t="inlineStr"/>
      <c r="P326" s="6" t="inlineStr"/>
      <c r="Q326" s="5" t="inlineStr"/>
      <c r="R326" s="5" t="inlineStr"/>
      <c r="S326" s="5" t="inlineStr"/>
      <c r="T326" s="5" t="inlineStr"/>
      <c r="U326" s="5" t="inlineStr"/>
      <c r="V326" s="5" t="inlineStr"/>
      <c r="W326" s="5" t="inlineStr"/>
      <c r="X326" s="5" t="inlineStr"/>
      <c r="Y326" s="5" t="inlineStr"/>
      <c r="Z326" s="6" t="inlineStr"/>
      <c r="AA326" s="5" t="inlineStr"/>
      <c r="AB326" s="5" t="inlineStr"/>
      <c r="AC326" s="5" t="inlineStr"/>
      <c r="AD326" s="5" t="inlineStr"/>
      <c r="AE326" s="5" t="inlineStr"/>
      <c r="AF326" s="5" t="inlineStr"/>
      <c r="AG326" s="5" t="inlineStr"/>
      <c r="AH326" s="5" t="inlineStr"/>
    </row>
    <row r="327">
      <c r="A327" s="5" t="inlineStr">
        <is>
          <t>b5-kulup-secimi</t>
        </is>
      </c>
      <c r="B327" s="5" t="n">
        <v>2</v>
      </c>
      <c r="C327" s="6" t="inlineStr">
        <is>
          <t>Münazaraya yazıl</t>
        </is>
      </c>
      <c r="D327" s="5" t="inlineStr">
        <is>
          <t>Çene</t>
        </is>
      </c>
      <c r="E327" s="5" t="inlineStr">
        <is>
          <t>Orta</t>
        </is>
      </c>
      <c r="F327" s="5" t="inlineStr"/>
      <c r="G327" s="6" t="inlineStr"/>
      <c r="H327" s="6" t="inlineStr">
        <is>
          <t>İlk münazarada rakibini ikna ettin. Rakibin hâlâ neye ikna olduğunu bilmiyor.</t>
        </is>
      </c>
      <c r="I327" s="6" t="inlineStr">
        <is>
          <t>Taraflar kurayla değişti, yine kazandın. Evde de hiçbir tartışmayı kaybetmiyorsun artık.</t>
        </is>
      </c>
      <c r="J327" s="6" t="inlineStr">
        <is>
          <t>İlk münazarada rakibin tek kelime söyledi: 'Kaynak?' Kaynağın yoktu.</t>
        </is>
      </c>
      <c r="K327" s="6" t="inlineStr">
        <is>
          <t>Münazarada heyecandan rakip takımın tezini savundun. Çok ikna ediciydin.</t>
        </is>
      </c>
      <c r="L327" s="6" t="inlineStr"/>
      <c r="M327" s="5" t="inlineStr"/>
      <c r="N327" s="5" t="inlineStr"/>
      <c r="O327" s="6" t="inlineStr"/>
      <c r="P327" s="6" t="inlineStr"/>
      <c r="Q327" s="5" t="inlineStr"/>
      <c r="R327" s="5" t="inlineStr"/>
      <c r="S327" s="5" t="inlineStr"/>
      <c r="T327" s="5" t="inlineStr"/>
      <c r="U327" s="5" t="inlineStr"/>
      <c r="V327" s="5" t="inlineStr"/>
      <c r="W327" s="5" t="inlineStr"/>
      <c r="X327" s="5" t="inlineStr"/>
      <c r="Y327" s="5" t="inlineStr"/>
      <c r="Z327" s="6" t="inlineStr"/>
      <c r="AA327" s="5" t="inlineStr"/>
      <c r="AB327" s="5" t="inlineStr"/>
      <c r="AC327" s="5" t="inlineStr"/>
      <c r="AD327" s="5" t="inlineStr"/>
      <c r="AE327" s="5" t="inlineStr"/>
      <c r="AF327" s="5" t="inlineStr"/>
      <c r="AG327" s="5" t="inlineStr"/>
      <c r="AH327" s="5" t="inlineStr"/>
    </row>
    <row r="328">
      <c r="A328" s="5" t="inlineStr">
        <is>
          <t>b5-kulup-secimi</t>
        </is>
      </c>
      <c r="B328" s="5" t="n">
        <v>3</v>
      </c>
      <c r="C328" s="6" t="inlineStr">
        <is>
          <t>Tiyatro kulübüne gir</t>
        </is>
      </c>
      <c r="D328" s="5" t="inlineStr">
        <is>
          <t>Pişkinlik</t>
        </is>
      </c>
      <c r="E328" s="5" t="inlineStr">
        <is>
          <t>Kolay</t>
        </is>
      </c>
      <c r="F328" s="5" t="inlineStr"/>
      <c r="G328" s="6" t="inlineStr"/>
      <c r="H328" s="6" t="inlineStr">
        <is>
          <t>Başrolü aldın. Gösteri günü veliler ayağa kalktı; biri sadece çıkmak için.</t>
        </is>
      </c>
      <c r="I328" s="6" t="inlineStr">
        <is>
          <t>Gösteriden sonra bir öğretmen 'Bu öğrenci ileride bir şey olur' dedi. Ne olacağını söylemedi.</t>
        </is>
      </c>
      <c r="J328" s="6" t="inlineStr">
        <is>
          <t>Rolün 'Ağaç 2'. Repliğin yok ama iyi bir ağaçtın.</t>
        </is>
      </c>
      <c r="K328" s="6" t="inlineStr">
        <is>
          <t>Rolün 'Ağaç 2'. Gösterinin en sessiz anında ağaç olarak hapşırdın. Salon hatırlıyor.</t>
        </is>
      </c>
      <c r="L328" s="6" t="inlineStr"/>
      <c r="M328" s="5" t="inlineStr"/>
      <c r="N328" s="5" t="inlineStr"/>
      <c r="O328" s="6" t="inlineStr"/>
      <c r="P328" s="6" t="inlineStr"/>
      <c r="Q328" s="5" t="inlineStr">
        <is>
          <t>Sahne Sever</t>
        </is>
      </c>
      <c r="R328" s="5" t="inlineStr"/>
      <c r="S328" s="5" t="inlineStr"/>
      <c r="T328" s="5" t="inlineStr"/>
      <c r="U328" s="5" t="inlineStr"/>
      <c r="V328" s="5" t="inlineStr"/>
      <c r="W328" s="5" t="inlineStr"/>
      <c r="X328" s="5" t="inlineStr"/>
      <c r="Y328" s="5" t="inlineStr"/>
      <c r="Z328" s="6" t="inlineStr"/>
      <c r="AA328" s="5" t="inlineStr"/>
      <c r="AB328" s="5" t="inlineStr"/>
      <c r="AC328" s="5" t="inlineStr"/>
      <c r="AD328" s="5" t="inlineStr"/>
      <c r="AE328" s="5" t="inlineStr"/>
      <c r="AF328" s="5" t="inlineStr"/>
      <c r="AG328" s="5" t="inlineStr"/>
      <c r="AH328" s="5" t="inlineStr"/>
    </row>
    <row r="329">
      <c r="A329" s="5" t="inlineStr">
        <is>
          <t>b5-kulup-secimi</t>
        </is>
      </c>
      <c r="B329" s="5" t="n">
        <v>4</v>
      </c>
      <c r="C329" s="6" t="inlineStr">
        <is>
          <t>Kendi kulübünü kur</t>
        </is>
      </c>
      <c r="D329" s="5" t="inlineStr">
        <is>
          <t>Çene</t>
        </is>
      </c>
      <c r="E329" s="5" t="inlineStr">
        <is>
          <t>Orta</t>
        </is>
      </c>
      <c r="F329" s="5" t="inlineStr"/>
      <c r="G329" s="6" t="inlineStr"/>
      <c r="H329" s="6" t="inlineStr">
        <is>
          <t>Kantin Ekonomisi Kulübü'nü kurdun. Üç üye, bir başkan, sınırsız tost.</t>
        </is>
      </c>
      <c r="I329" s="6" t="inlineStr">
        <is>
          <t>Kulübün ikinci dönem okulun en kalabalık kulübü oldu. Rehber öğretmen formları sana onaylatıyor.</t>
        </is>
      </c>
      <c r="J329" s="6" t="inlineStr">
        <is>
          <t>Kulübü kurdun. Tek üye sensin. Toplantılar hep oy birliğiyle bitiyor.</t>
        </is>
      </c>
      <c r="K329" s="6" t="inlineStr">
        <is>
          <t>Kulüp dilekçen üç masa dolaştı ve seni satranç kulübüne yönlendirdi.</t>
        </is>
      </c>
      <c r="L329" s="6" t="inlineStr"/>
      <c r="M329" s="5" t="inlineStr"/>
      <c r="N329" s="5" t="inlineStr"/>
      <c r="O329" s="6" t="inlineStr"/>
      <c r="P329" s="6" t="inlineStr"/>
      <c r="Q329" s="5" t="inlineStr">
        <is>
          <t>Organizatör</t>
        </is>
      </c>
      <c r="R329" s="5" t="inlineStr"/>
      <c r="S329" s="5" t="inlineStr"/>
      <c r="T329" s="5" t="inlineStr"/>
      <c r="U329" s="5" t="inlineStr"/>
      <c r="V329" s="5" t="inlineStr"/>
      <c r="W329" s="5" t="inlineStr"/>
      <c r="X329" s="5" t="inlineStr"/>
      <c r="Y329" s="5" t="inlineStr"/>
      <c r="Z329" s="6" t="inlineStr"/>
      <c r="AA329" s="5" t="inlineStr"/>
      <c r="AB329" s="5" t="inlineStr"/>
      <c r="AC329" s="5" t="inlineStr"/>
      <c r="AD329" s="5" t="inlineStr"/>
      <c r="AE329" s="5" t="inlineStr"/>
      <c r="AF329" s="5" t="inlineStr"/>
      <c r="AG329" s="5" t="inlineStr"/>
      <c r="AH329" s="5" t="inlineStr"/>
    </row>
    <row r="330">
      <c r="A330" s="5" t="inlineStr">
        <is>
          <t>b5-dershane-kaydi</t>
        </is>
      </c>
      <c r="B330" s="5" t="n">
        <v>1</v>
      </c>
      <c r="C330" s="6" t="inlineStr">
        <is>
          <t>Önerilen paketi imzala</t>
        </is>
      </c>
      <c r="D330" s="5" t="inlineStr"/>
      <c r="E330" s="5" t="inlineStr"/>
      <c r="F330" s="5" t="inlineStr">
        <is>
          <t>Akıl +1</t>
        </is>
      </c>
      <c r="G330" s="6" t="inlineStr">
        <is>
          <t>En kapsamlı paket alındı. İçinde deneme sınavları, ek dersler ve dershane logolu bir kalem var.</t>
        </is>
      </c>
      <c r="H330" s="6" t="inlineStr"/>
      <c r="I330" s="6" t="inlineStr"/>
      <c r="J330" s="6" t="inlineStr"/>
      <c r="K330" s="6" t="inlineStr"/>
      <c r="L330" s="6" t="inlineStr"/>
      <c r="M330" s="5" t="inlineStr"/>
      <c r="N330" s="5" t="inlineStr"/>
      <c r="O330" s="6" t="inlineStr"/>
      <c r="P330" s="6" t="inlineStr"/>
      <c r="Q330" s="5" t="inlineStr"/>
      <c r="R330" s="5" t="inlineStr"/>
      <c r="S330" s="5" t="inlineStr"/>
      <c r="T330" s="5" t="inlineStr"/>
      <c r="U330" s="5" t="inlineStr"/>
      <c r="V330" s="5" t="inlineStr"/>
      <c r="W330" s="5" t="inlineStr"/>
      <c r="X330" s="5" t="inlineStr"/>
      <c r="Y330" s="5" t="inlineStr"/>
      <c r="Z330" s="6" t="inlineStr"/>
      <c r="AA330" s="5" t="inlineStr"/>
      <c r="AB330" s="5" t="inlineStr"/>
      <c r="AC330" s="5" t="inlineStr"/>
      <c r="AD330" s="5" t="inlineStr"/>
      <c r="AE330" s="5" t="inlineStr"/>
      <c r="AF330" s="5" t="inlineStr"/>
      <c r="AG330" s="5" t="inlineStr"/>
      <c r="AH330" s="5" t="inlineStr"/>
    </row>
    <row r="331">
      <c r="A331" s="5" t="inlineStr">
        <is>
          <t>b5-dershane-kaydi</t>
        </is>
      </c>
      <c r="B331" s="5" t="n">
        <v>2</v>
      </c>
      <c r="C331" s="6" t="inlineStr">
        <is>
          <t>İndirim koparmaya çalış</t>
        </is>
      </c>
      <c r="D331" s="5" t="inlineStr">
        <is>
          <t>Çene</t>
        </is>
      </c>
      <c r="E331" s="5" t="inlineStr">
        <is>
          <t>Orta</t>
        </is>
      </c>
      <c r="F331" s="5" t="inlineStr"/>
      <c r="G331" s="6" t="inlineStr"/>
      <c r="H331" s="6" t="inlineStr">
        <is>
          <t>İndirimi aldın. Danışman müdürü aradı, müdür 'bir kereliğine' dedi. Her kayıtta bir kereliğine diyor.</t>
        </is>
      </c>
      <c r="I331" s="6" t="inlineStr">
        <is>
          <t>Kardeş indirimi, erken kayıt indirimi ve komşu tavsiyesi indirimini birleştirdin. Kardeşin yok.</t>
        </is>
      </c>
      <c r="J331" s="6" t="inlineStr">
        <is>
          <t>İndirim istedin. Danışman 'Kalemi hediye edebiliriz' dedi.</t>
        </is>
      </c>
      <c r="K331" s="6" t="inlineStr">
        <is>
          <t>Pazarlık uzadı. Sonunda fiyat değişmedi ama paketin adına 'Plus' eklendi.</t>
        </is>
      </c>
      <c r="L331" s="6" t="inlineStr"/>
      <c r="M331" s="5" t="inlineStr"/>
      <c r="N331" s="5" t="inlineStr"/>
      <c r="O331" s="6" t="inlineStr"/>
      <c r="P331" s="6" t="inlineStr"/>
      <c r="Q331" s="5" t="inlineStr"/>
      <c r="R331" s="5" t="inlineStr"/>
      <c r="S331" s="5" t="inlineStr"/>
      <c r="T331" s="5" t="inlineStr"/>
      <c r="U331" s="5" t="inlineStr"/>
      <c r="V331" s="5" t="inlineStr"/>
      <c r="W331" s="5" t="inlineStr"/>
      <c r="X331" s="5" t="inlineStr"/>
      <c r="Y331" s="5" t="inlineStr"/>
      <c r="Z331" s="6" t="inlineStr"/>
      <c r="AA331" s="5" t="inlineStr"/>
      <c r="AB331" s="5" t="inlineStr"/>
      <c r="AC331" s="5" t="inlineStr"/>
      <c r="AD331" s="5" t="inlineStr"/>
      <c r="AE331" s="5" t="inlineStr"/>
      <c r="AF331" s="5" t="inlineStr"/>
      <c r="AG331" s="5" t="inlineStr"/>
      <c r="AH331" s="5" t="inlineStr"/>
    </row>
    <row r="332">
      <c r="A332" s="5" t="inlineStr">
        <is>
          <t>b5-dershane-kaydi</t>
        </is>
      </c>
      <c r="B332" s="5" t="n">
        <v>3</v>
      </c>
      <c r="C332" s="6" t="inlineStr">
        <is>
          <t>'Ben evde çalışırım' de</t>
        </is>
      </c>
      <c r="D332" s="5" t="inlineStr">
        <is>
          <t>Pişkinlik</t>
        </is>
      </c>
      <c r="E332" s="5" t="inlineStr">
        <is>
          <t>Zor</t>
        </is>
      </c>
      <c r="F332" s="5" t="inlineStr"/>
      <c r="G332" s="6" t="inlineStr"/>
      <c r="H332" s="6" t="inlineStr">
        <is>
          <t>Aileni ikna ettin. Tasarruf edilen para internet paketine aktarıldı.</t>
        </is>
      </c>
      <c r="I332" s="6" t="inlineStr">
        <is>
          <t>Aileni ikna ettin; evdeki en sessiz oda sana tahsis edildi. Kapısı kilitleniyor.</t>
        </is>
      </c>
      <c r="J332" s="6" t="inlineStr">
        <is>
          <t>'Evde çalışırım' dedin. Ailen seni tanıyordu.</t>
        </is>
      </c>
      <c r="K332" s="6" t="inlineStr">
        <is>
          <t>'Evde çalışırım' dedin. Ailen seni hem dershaneye hem de akşam etüdüne yazdırdı.</t>
        </is>
      </c>
      <c r="L332" s="6" t="inlineStr"/>
      <c r="M332" s="5" t="inlineStr"/>
      <c r="N332" s="5" t="inlineStr"/>
      <c r="O332" s="6" t="inlineStr"/>
      <c r="P332" s="6" t="inlineStr"/>
      <c r="Q332" s="5" t="inlineStr"/>
      <c r="R332" s="5" t="inlineStr"/>
      <c r="S332" s="5" t="inlineStr"/>
      <c r="T332" s="5" t="inlineStr"/>
      <c r="U332" s="5" t="inlineStr"/>
      <c r="V332" s="5" t="inlineStr"/>
      <c r="W332" s="5" t="inlineStr"/>
      <c r="X332" s="5" t="inlineStr"/>
      <c r="Y332" s="5" t="inlineStr"/>
      <c r="Z332" s="6" t="inlineStr"/>
      <c r="AA332" s="5" t="inlineStr"/>
      <c r="AB332" s="5" t="inlineStr"/>
      <c r="AC332" s="5" t="inlineStr"/>
      <c r="AD332" s="5" t="inlineStr"/>
      <c r="AE332" s="5" t="inlineStr"/>
      <c r="AF332" s="5" t="inlineStr"/>
      <c r="AG332" s="5" t="inlineStr"/>
      <c r="AH332" s="5" t="inlineStr"/>
    </row>
    <row r="333">
      <c r="A333" s="5" t="inlineStr">
        <is>
          <t>b5-dershane-kaydi</t>
        </is>
      </c>
      <c r="B333" s="5" t="n">
        <v>4</v>
      </c>
      <c r="C333" s="6" t="inlineStr">
        <is>
          <t>Maliyet-fayda tablosu sun</t>
        </is>
      </c>
      <c r="D333" s="5" t="inlineStr">
        <is>
          <t>Akıl</t>
        </is>
      </c>
      <c r="E333" s="5" t="inlineStr">
        <is>
          <t>Kolay</t>
        </is>
      </c>
      <c r="F333" s="5" t="inlineStr"/>
      <c r="G333" s="6" t="inlineStr"/>
      <c r="H333" s="6" t="inlineStr">
        <is>
          <t>Tablon ailede takdir topladı. Yine de yazdırıldın ama taksitle.</t>
        </is>
      </c>
      <c r="I333" s="6" t="inlineStr">
        <is>
          <t>Tablon sayesinde çevrim içi kursa geçildi. Artan para senin adına ayrıldı. Hesap annende.</t>
        </is>
      </c>
      <c r="J333" s="6" t="inlineStr">
        <is>
          <t>Analizini sundun. Ailen 'Bunları dershanede öğrenirsin' dedi.</t>
        </is>
      </c>
      <c r="K333" s="6" t="inlineStr">
        <is>
          <t>Tablonun sonunda dershane kârlı çıktı. Kendi analizinle mahkûm oldun.</t>
        </is>
      </c>
      <c r="L333" s="6" t="inlineStr"/>
      <c r="M333" s="5" t="inlineStr"/>
      <c r="N333" s="5" t="inlineStr"/>
      <c r="O333" s="6" t="inlineStr"/>
      <c r="P333" s="6" t="inlineStr"/>
      <c r="Q333" s="5" t="inlineStr">
        <is>
          <t>Erken Ekonomi Bilinci</t>
        </is>
      </c>
      <c r="R333" s="5" t="inlineStr"/>
      <c r="S333" s="5" t="inlineStr"/>
      <c r="T333" s="5" t="inlineStr"/>
      <c r="U333" s="5" t="inlineStr"/>
      <c r="V333" s="5" t="inlineStr"/>
      <c r="W333" s="5" t="inlineStr"/>
      <c r="X333" s="5" t="inlineStr"/>
      <c r="Y333" s="5" t="inlineStr"/>
      <c r="Z333" s="6" t="inlineStr"/>
      <c r="AA333" s="5" t="inlineStr"/>
      <c r="AB333" s="5" t="inlineStr"/>
      <c r="AC333" s="5" t="inlineStr"/>
      <c r="AD333" s="5" t="inlineStr"/>
      <c r="AE333" s="5" t="inlineStr"/>
      <c r="AF333" s="5" t="inlineStr"/>
      <c r="AG333" s="5" t="inlineStr"/>
      <c r="AH333" s="5" t="inlineStr"/>
    </row>
    <row r="334">
      <c r="A334" s="5" t="inlineStr">
        <is>
          <t>b5-sigara-teklifi</t>
        </is>
      </c>
      <c r="B334" s="5" t="n">
        <v>1</v>
      </c>
      <c r="C334" s="6" t="inlineStr">
        <is>
          <t>'Yok' de, yürü</t>
        </is>
      </c>
      <c r="D334" s="5" t="inlineStr"/>
      <c r="E334" s="5" t="inlineStr"/>
      <c r="F334" s="5" t="inlineStr">
        <is>
          <t>Cesaret +1</t>
        </is>
      </c>
      <c r="G334" s="6" t="inlineStr">
        <is>
          <t>'Yok' dedin ve yürüdün. Kimse arkandan bir şey demedi. Ertesi gün kimse hatırlamadı bile.</t>
        </is>
      </c>
      <c r="H334" s="6" t="inlineStr"/>
      <c r="I334" s="6" t="inlineStr"/>
      <c r="J334" s="6" t="inlineStr"/>
      <c r="K334" s="6" t="inlineStr"/>
      <c r="L334" s="6" t="inlineStr"/>
      <c r="M334" s="5" t="inlineStr"/>
      <c r="N334" s="5" t="inlineStr"/>
      <c r="O334" s="6" t="inlineStr"/>
      <c r="P334" s="6" t="inlineStr"/>
      <c r="Q334" s="5" t="inlineStr"/>
      <c r="R334" s="5" t="inlineStr"/>
      <c r="S334" s="5" t="inlineStr"/>
      <c r="T334" s="5" t="inlineStr"/>
      <c r="U334" s="5" t="inlineStr"/>
      <c r="V334" s="5" t="inlineStr"/>
      <c r="W334" s="5" t="inlineStr"/>
      <c r="X334" s="5" t="inlineStr"/>
      <c r="Y334" s="5" t="inlineStr"/>
      <c r="Z334" s="6" t="inlineStr"/>
      <c r="AA334" s="5" t="inlineStr"/>
      <c r="AB334" s="5" t="inlineStr"/>
      <c r="AC334" s="5" t="inlineStr"/>
      <c r="AD334" s="5" t="inlineStr"/>
      <c r="AE334" s="5" t="inlineStr"/>
      <c r="AF334" s="5" t="inlineStr"/>
      <c r="AG334" s="5" t="inlineStr"/>
      <c r="AH334" s="5" t="inlineStr"/>
    </row>
    <row r="335">
      <c r="A335" s="5" t="inlineStr">
        <is>
          <t>b5-sigara-teklifi</t>
        </is>
      </c>
      <c r="B335" s="5" t="n">
        <v>2</v>
      </c>
      <c r="C335" s="6" t="inlineStr">
        <is>
          <t>Al</t>
        </is>
      </c>
      <c r="D335" s="5" t="inlineStr"/>
      <c r="E335" s="5" t="inlineStr"/>
      <c r="F335" s="5" t="inlineStr">
        <is>
          <t>Pişkinlik +1</t>
        </is>
      </c>
      <c r="G335" s="6" t="inlineStr">
        <is>
          <t>Aldın ve öksürdün. Herkes görmemiş gibi yaptı. Uzun vadeli bir abonelik başlatıldı; iptal süreci ayrıca anlatılacak.</t>
        </is>
      </c>
      <c r="H335" s="6" t="inlineStr"/>
      <c r="I335" s="6" t="inlineStr"/>
      <c r="J335" s="6" t="inlineStr"/>
      <c r="K335" s="6" t="inlineStr"/>
      <c r="L335" s="6" t="inlineStr"/>
      <c r="M335" s="5" t="inlineStr"/>
      <c r="N335" s="5" t="inlineStr"/>
      <c r="O335" s="6" t="inlineStr"/>
      <c r="P335" s="6" t="inlineStr"/>
      <c r="Q335" s="5" t="inlineStr"/>
      <c r="R335" s="5" t="inlineStr"/>
      <c r="S335" s="5" t="inlineStr"/>
      <c r="T335" s="5" t="inlineStr"/>
      <c r="U335" s="5" t="inlineStr">
        <is>
          <t>sigara</t>
        </is>
      </c>
      <c r="V335" s="5" t="inlineStr"/>
      <c r="W335" s="5" t="inlineStr"/>
      <c r="X335" s="5" t="inlineStr"/>
      <c r="Y335" s="5" t="inlineStr"/>
      <c r="Z335" s="6" t="inlineStr"/>
      <c r="AA335" s="5" t="inlineStr"/>
      <c r="AB335" s="5" t="inlineStr"/>
      <c r="AC335" s="5" t="inlineStr"/>
      <c r="AD335" s="5" t="inlineStr"/>
      <c r="AE335" s="5" t="inlineStr"/>
      <c r="AF335" s="5" t="inlineStr"/>
      <c r="AG335" s="5" t="inlineStr"/>
      <c r="AH335" s="5" t="inlineStr"/>
    </row>
    <row r="336">
      <c r="A336" s="5" t="inlineStr">
        <is>
          <t>b5-sigara-teklifi</t>
        </is>
      </c>
      <c r="B336" s="5" t="n">
        <v>3</v>
      </c>
      <c r="C336" s="6" t="inlineStr">
        <is>
          <t>Esprili bir bahane bul</t>
        </is>
      </c>
      <c r="D336" s="5" t="inlineStr">
        <is>
          <t>Çene</t>
        </is>
      </c>
      <c r="E336" s="5" t="inlineStr">
        <is>
          <t>Orta</t>
        </is>
      </c>
      <c r="F336" s="5" t="inlineStr"/>
      <c r="G336" s="6" t="inlineStr"/>
      <c r="H336" s="6" t="inlineStr">
        <is>
          <t>'Nefesimi sınava saklıyorum' dedin. Güldüler, paket cebe geri girdi.</t>
        </is>
      </c>
      <c r="I336" s="6" t="inlineStr">
        <is>
          <t>Bahanen o kadar iyiydi ki gruptan ikisi de bıraktı. Duvarın dibi yarı yarıya boşaldı.</t>
        </is>
      </c>
      <c r="J336" s="6" t="inlineStr">
        <is>
          <t>Bahaneni kimse dinlemedi. Neyse ki kimse ısrar da etmedi.</t>
        </is>
      </c>
      <c r="K336" s="6" t="inlineStr">
        <is>
          <t>'Annem kokuyu alır' dedin. Lakabın bir yıl boyunca 'Annem Kokuyu Alır' oldu.</t>
        </is>
      </c>
      <c r="L336" s="6" t="inlineStr"/>
      <c r="M336" s="5" t="inlineStr"/>
      <c r="N336" s="5" t="inlineStr"/>
      <c r="O336" s="6" t="inlineStr"/>
      <c r="P336" s="6" t="inlineStr"/>
      <c r="Q336" s="5" t="inlineStr"/>
      <c r="R336" s="5" t="inlineStr"/>
      <c r="S336" s="5" t="inlineStr"/>
      <c r="T336" s="5" t="inlineStr"/>
      <c r="U336" s="5" t="inlineStr"/>
      <c r="V336" s="5" t="inlineStr"/>
      <c r="W336" s="5" t="inlineStr"/>
      <c r="X336" s="5" t="inlineStr"/>
      <c r="Y336" s="5" t="inlineStr"/>
      <c r="Z336" s="6" t="inlineStr"/>
      <c r="AA336" s="5" t="inlineStr"/>
      <c r="AB336" s="5" t="inlineStr"/>
      <c r="AC336" s="5" t="inlineStr"/>
      <c r="AD336" s="5" t="inlineStr"/>
      <c r="AE336" s="5" t="inlineStr"/>
      <c r="AF336" s="5" t="inlineStr"/>
      <c r="AG336" s="5" t="inlineStr"/>
      <c r="AH336" s="5" t="inlineStr"/>
    </row>
    <row r="337">
      <c r="A337" s="5" t="inlineStr">
        <is>
          <t>b5-sigara-teklifi</t>
        </is>
      </c>
      <c r="B337" s="5" t="n">
        <v>4</v>
      </c>
      <c r="C337" s="6" t="inlineStr">
        <is>
          <t>Konuyu değiştir</t>
        </is>
      </c>
      <c r="D337" s="5" t="inlineStr">
        <is>
          <t>Sosyal Radar</t>
        </is>
      </c>
      <c r="E337" s="5" t="inlineStr">
        <is>
          <t>Kolay</t>
        </is>
      </c>
      <c r="F337" s="5" t="inlineStr"/>
      <c r="G337" s="6" t="inlineStr"/>
      <c r="H337" s="6" t="inlineStr">
        <is>
          <t>'Dünkü maç kaç kaç bitti?' diye sordun. On dakika tartışıldı, paket unutuldu.</t>
        </is>
      </c>
      <c r="I337" s="6" t="inlineStr">
        <is>
          <t>Konuyu değiştirdin; grup duvar dibinden kantine taşındı. Tost daha iyi bir alışkanlıktı.</t>
        </is>
      </c>
      <c r="J337" s="6" t="inlineStr">
        <is>
          <t>Konuyu değiştirdin. Paket yine sana uzatıldı. Konu değişmedi.</t>
        </is>
      </c>
      <c r="K337" s="6" t="inlineStr">
        <is>
          <t>Konuyu değiştirmek için 'Müdür yardımcısı geliyor' dedin. Geldi. Hepiniz disiplin defterine girdiniz.</t>
        </is>
      </c>
      <c r="L337" s="6" t="inlineStr"/>
      <c r="M337" s="5" t="inlineStr"/>
      <c r="N337" s="5" t="inlineStr"/>
      <c r="O337" s="6" t="inlineStr"/>
      <c r="P337" s="6" t="inlineStr"/>
      <c r="Q337" s="5" t="inlineStr"/>
      <c r="R337" s="5" t="inlineStr"/>
      <c r="S337" s="5" t="inlineStr">
        <is>
          <t>Sosyal Radar</t>
        </is>
      </c>
      <c r="T337" s="5" t="inlineStr"/>
      <c r="U337" s="5" t="inlineStr"/>
      <c r="V337" s="5" t="inlineStr"/>
      <c r="W337" s="5" t="inlineStr"/>
      <c r="X337" s="5" t="inlineStr"/>
      <c r="Y337" s="5" t="inlineStr"/>
      <c r="Z337" s="6" t="inlineStr"/>
      <c r="AA337" s="5" t="inlineStr"/>
      <c r="AB337" s="5" t="inlineStr"/>
      <c r="AC337" s="5" t="inlineStr"/>
      <c r="AD337" s="5" t="inlineStr"/>
      <c r="AE337" s="5" t="inlineStr"/>
      <c r="AF337" s="5" t="inlineStr"/>
      <c r="AG337" s="5" t="inlineStr"/>
      <c r="AH337" s="5" t="inlineStr"/>
    </row>
    <row r="338">
      <c r="A338" s="5" t="inlineStr">
        <is>
          <t>b5-mesaj-grubu</t>
        </is>
      </c>
      <c r="B338" s="5" t="n">
        <v>1</v>
      </c>
      <c r="C338" s="6" t="inlineStr">
        <is>
          <t>Hiçbir şey olmamış gibi davran</t>
        </is>
      </c>
      <c r="D338" s="5" t="inlineStr"/>
      <c r="E338" s="5" t="inlineStr"/>
      <c r="F338" s="5" t="inlineStr">
        <is>
          <t>Dayanıklılık +1</t>
        </is>
      </c>
      <c r="G338" s="6" t="inlineStr">
        <is>
          <t>Hiçbir şey demedin. Bir ay sonra seni asıl gruba eklediler. Grup o gün sessize alındı.</t>
        </is>
      </c>
      <c r="H338" s="6" t="inlineStr"/>
      <c r="I338" s="6" t="inlineStr"/>
      <c r="J338" s="6" t="inlineStr"/>
      <c r="K338" s="6" t="inlineStr"/>
      <c r="L338" s="6" t="inlineStr"/>
      <c r="M338" s="5" t="inlineStr"/>
      <c r="N338" s="5" t="inlineStr"/>
      <c r="O338" s="6" t="inlineStr"/>
      <c r="P338" s="6" t="inlineStr"/>
      <c r="Q338" s="5" t="inlineStr"/>
      <c r="R338" s="5" t="inlineStr"/>
      <c r="S338" s="5" t="inlineStr"/>
      <c r="T338" s="5" t="inlineStr"/>
      <c r="U338" s="5" t="inlineStr"/>
      <c r="V338" s="5" t="inlineStr"/>
      <c r="W338" s="5" t="inlineStr"/>
      <c r="X338" s="5" t="inlineStr"/>
      <c r="Y338" s="5" t="inlineStr"/>
      <c r="Z338" s="6" t="inlineStr"/>
      <c r="AA338" s="5" t="inlineStr"/>
      <c r="AB338" s="5" t="inlineStr"/>
      <c r="AC338" s="5" t="inlineStr"/>
      <c r="AD338" s="5" t="inlineStr"/>
      <c r="AE338" s="5" t="inlineStr"/>
      <c r="AF338" s="5" t="inlineStr"/>
      <c r="AG338" s="5" t="inlineStr"/>
      <c r="AH338" s="5" t="inlineStr"/>
    </row>
    <row r="339">
      <c r="A339" s="5" t="inlineStr">
        <is>
          <t>b5-mesaj-grubu</t>
        </is>
      </c>
      <c r="B339" s="5" t="n">
        <v>2</v>
      </c>
      <c r="C339" s="6" t="inlineStr">
        <is>
          <t>Kendi grubunu kur</t>
        </is>
      </c>
      <c r="D339" s="5" t="inlineStr">
        <is>
          <t>Sosyal Radar</t>
        </is>
      </c>
      <c r="E339" s="5" t="inlineStr">
        <is>
          <t>Zor</t>
        </is>
      </c>
      <c r="F339" s="5" t="inlineStr"/>
      <c r="G339" s="6" t="inlineStr"/>
      <c r="H339" s="6" t="inlineStr">
        <is>
          <t>Kendi grubunu kurdun. Asıl grubun yarısı sana geçti.</t>
        </is>
      </c>
      <c r="I339" s="6" t="inlineStr">
        <is>
          <t>Grubun sınıfın yeni asıl grubu oldu. Eskisi artık 'eski grup' olarak anılıyor.</t>
        </is>
      </c>
      <c r="J339" s="6" t="inlineStr">
        <is>
          <t>Grubu kurdun. İki kişi katıldı, biri yanlışlıkla.</t>
        </is>
      </c>
      <c r="K339" s="6" t="inlineStr">
        <is>
          <t>Yeni grubun ilk mesajı asıl gruptaki biri hakkındaydı. Ekran görüntüsü on dakikada asıl gruba ulaştı.</t>
        </is>
      </c>
      <c r="L339" s="6" t="inlineStr"/>
      <c r="M339" s="5" t="inlineStr"/>
      <c r="N339" s="5" t="inlineStr"/>
      <c r="O339" s="6" t="inlineStr"/>
      <c r="P339" s="6" t="inlineStr"/>
      <c r="Q339" s="5" t="inlineStr"/>
      <c r="R339" s="5" t="inlineStr"/>
      <c r="S339" s="5" t="inlineStr"/>
      <c r="T339" s="5" t="inlineStr">
        <is>
          <t>Grup Yöneticisi</t>
        </is>
      </c>
      <c r="U339" s="5" t="inlineStr"/>
      <c r="V339" s="5" t="inlineStr"/>
      <c r="W339" s="5" t="inlineStr"/>
      <c r="X339" s="5" t="inlineStr"/>
      <c r="Y339" s="5" t="inlineStr"/>
      <c r="Z339" s="6" t="inlineStr"/>
      <c r="AA339" s="5" t="inlineStr"/>
      <c r="AB339" s="5" t="inlineStr"/>
      <c r="AC339" s="5" t="inlineStr"/>
      <c r="AD339" s="5" t="inlineStr"/>
      <c r="AE339" s="5" t="inlineStr"/>
      <c r="AF339" s="5" t="inlineStr"/>
      <c r="AG339" s="5" t="inlineStr"/>
      <c r="AH339" s="5" t="inlineStr"/>
    </row>
    <row r="340">
      <c r="A340" s="5" t="inlineStr">
        <is>
          <t>b5-mesaj-grubu</t>
        </is>
      </c>
      <c r="B340" s="5" t="n">
        <v>3</v>
      </c>
      <c r="C340" s="6" t="inlineStr">
        <is>
          <t>Birinden ekran görüntüsü iste</t>
        </is>
      </c>
      <c r="D340" s="5" t="inlineStr">
        <is>
          <t>Kurnazlık</t>
        </is>
      </c>
      <c r="E340" s="5" t="inlineStr">
        <is>
          <t>Orta</t>
        </is>
      </c>
      <c r="F340" s="5" t="inlineStr"/>
      <c r="G340" s="6" t="inlineStr"/>
      <c r="H340" s="6" t="inlineStr">
        <is>
          <t>Görüntüleri aldın. Asıl grupta konuşulan tek şey ödevmiş. Hayal kırıklığı.</t>
        </is>
      </c>
      <c r="I340" s="6" t="inlineStr">
        <is>
          <t>Görüntüler her hafta sana ulaşıyor ve kimsenin haberi yok. İstihbarat birimin kuruldu.</t>
        </is>
      </c>
      <c r="J340" s="6" t="inlineStr">
        <is>
          <t>Görüntü istediğin kişi 'Hangi grup?' dedi. O da yokmuş.</t>
        </is>
      </c>
      <c r="K340" s="6" t="inlineStr">
        <is>
          <t>Ekran görüntüsü talebini yanlışlıkla asıl grubun kendisine gönderdin. Artık orada konuşuluyorsun.</t>
        </is>
      </c>
      <c r="L340" s="6" t="inlineStr"/>
      <c r="M340" s="5" t="inlineStr"/>
      <c r="N340" s="5" t="inlineStr"/>
      <c r="O340" s="6" t="inlineStr"/>
      <c r="P340" s="6" t="inlineStr"/>
      <c r="Q340" s="5" t="inlineStr"/>
      <c r="R340" s="5" t="inlineStr"/>
      <c r="S340" s="5" t="inlineStr"/>
      <c r="T340" s="5" t="inlineStr"/>
      <c r="U340" s="5" t="inlineStr"/>
      <c r="V340" s="5" t="inlineStr"/>
      <c r="W340" s="5" t="inlineStr"/>
      <c r="X340" s="5" t="inlineStr"/>
      <c r="Y340" s="5" t="inlineStr"/>
      <c r="Z340" s="6" t="inlineStr"/>
      <c r="AA340" s="5" t="inlineStr"/>
      <c r="AB340" s="5" t="inlineStr"/>
      <c r="AC340" s="5" t="inlineStr"/>
      <c r="AD340" s="5" t="inlineStr"/>
      <c r="AE340" s="5" t="inlineStr"/>
      <c r="AF340" s="5" t="inlineStr"/>
      <c r="AG340" s="5" t="inlineStr"/>
      <c r="AH340" s="5" t="inlineStr"/>
    </row>
    <row r="341">
      <c r="A341" s="5" t="inlineStr">
        <is>
          <t>b5-mesaj-grubu</t>
        </is>
      </c>
      <c r="B341" s="5" t="n">
        <v>4</v>
      </c>
      <c r="C341" s="6" t="inlineStr">
        <is>
          <t>'Beni de ekleyin' yaz</t>
        </is>
      </c>
      <c r="D341" s="5" t="inlineStr">
        <is>
          <t>Pişkinlik</t>
        </is>
      </c>
      <c r="E341" s="5" t="inlineStr">
        <is>
          <t>Kolay</t>
        </is>
      </c>
      <c r="F341" s="5" t="inlineStr"/>
      <c r="G341" s="6" t="inlineStr"/>
      <c r="H341" s="6" t="inlineStr">
        <is>
          <t>Açıkça istedin, eklediler. Kimse zaten neden eklemediğini hatırlamıyordu.</t>
        </is>
      </c>
      <c r="I341" s="6" t="inlineStr">
        <is>
          <t>Eklendin ve bir hafta içinde yönetici yapıldın. Açık sözlülük ödüllendirildi.</t>
        </is>
      </c>
      <c r="J341" s="6" t="inlineStr">
        <is>
          <t>Eklediler. Ertesi gün grubun adı 'Asıl Asıl Grup' oldu.</t>
        </is>
      </c>
      <c r="K341" s="6" t="inlineStr">
        <is>
          <t>'Beni de ekleyin' yazdın. Genel gruba. Bütün sınıf bir asıl grup olduğunu öğrendi.</t>
        </is>
      </c>
      <c r="L341" s="6" t="inlineStr"/>
      <c r="M341" s="5" t="inlineStr"/>
      <c r="N341" s="5" t="inlineStr"/>
      <c r="O341" s="6" t="inlineStr"/>
      <c r="P341" s="6" t="inlineStr"/>
      <c r="Q341" s="5" t="inlineStr"/>
      <c r="R341" s="5" t="inlineStr"/>
      <c r="S341" s="5" t="inlineStr">
        <is>
          <t>Pişkinlik</t>
        </is>
      </c>
      <c r="T341" s="5" t="inlineStr"/>
      <c r="U341" s="5" t="inlineStr"/>
      <c r="V341" s="5" t="inlineStr"/>
      <c r="W341" s="5" t="inlineStr"/>
      <c r="X341" s="5" t="inlineStr"/>
      <c r="Y341" s="5" t="inlineStr"/>
      <c r="Z341" s="6" t="inlineStr"/>
      <c r="AA341" s="5" t="inlineStr"/>
      <c r="AB341" s="5" t="inlineStr"/>
      <c r="AC341" s="5" t="inlineStr"/>
      <c r="AD341" s="5" t="inlineStr"/>
      <c r="AE341" s="5" t="inlineStr"/>
      <c r="AF341" s="5" t="inlineStr"/>
      <c r="AG341" s="5" t="inlineStr"/>
      <c r="AH341" s="5" t="inlineStr"/>
    </row>
    <row r="342">
      <c r="A342" s="5" t="inlineStr">
        <is>
          <t>b5-kantin-vergisi</t>
        </is>
      </c>
      <c r="B342" s="5" t="n">
        <v>1</v>
      </c>
      <c r="C342" s="6" t="inlineStr">
        <is>
          <t>Öde</t>
        </is>
      </c>
      <c r="D342" s="5" t="inlineStr"/>
      <c r="E342" s="5" t="inlineStr"/>
      <c r="F342" s="5" t="inlineStr">
        <is>
          <t>Dayanıklılık +1</t>
        </is>
      </c>
      <c r="G342" s="6" t="inlineStr">
        <is>
          <t>Ödedin. Haftalık tost bütçen bir abonelik hizmetine dönüştü. Fatura yok, iade yok.</t>
        </is>
      </c>
      <c r="H342" s="6" t="inlineStr"/>
      <c r="I342" s="6" t="inlineStr"/>
      <c r="J342" s="6" t="inlineStr"/>
      <c r="K342" s="6" t="inlineStr"/>
      <c r="L342" s="6" t="inlineStr"/>
      <c r="M342" s="5" t="inlineStr"/>
      <c r="N342" s="5" t="inlineStr"/>
      <c r="O342" s="6" t="inlineStr"/>
      <c r="P342" s="6" t="inlineStr"/>
      <c r="Q342" s="5" t="inlineStr"/>
      <c r="R342" s="5" t="inlineStr"/>
      <c r="S342" s="5" t="inlineStr"/>
      <c r="T342" s="5" t="inlineStr"/>
      <c r="U342" s="5" t="inlineStr"/>
      <c r="V342" s="5" t="inlineStr"/>
      <c r="W342" s="5" t="inlineStr"/>
      <c r="X342" s="5" t="inlineStr"/>
      <c r="Y342" s="5" t="inlineStr"/>
      <c r="Z342" s="6" t="inlineStr"/>
      <c r="AA342" s="5" t="inlineStr"/>
      <c r="AB342" s="5" t="inlineStr"/>
      <c r="AC342" s="5" t="inlineStr"/>
      <c r="AD342" s="5" t="inlineStr"/>
      <c r="AE342" s="5" t="inlineStr"/>
      <c r="AF342" s="5" t="inlineStr"/>
      <c r="AG342" s="5" t="inlineStr"/>
      <c r="AH342" s="5" t="inlineStr"/>
    </row>
    <row r="343">
      <c r="A343" s="5" t="inlineStr">
        <is>
          <t>b5-kantin-vergisi</t>
        </is>
      </c>
      <c r="B343" s="5" t="n">
        <v>2</v>
      </c>
      <c r="C343" s="6" t="inlineStr">
        <is>
          <t>Arka kapıyı kullan</t>
        </is>
      </c>
      <c r="D343" s="5" t="inlineStr">
        <is>
          <t>Kurnazlık</t>
        </is>
      </c>
      <c r="E343" s="5" t="inlineStr">
        <is>
          <t>Kolay</t>
        </is>
      </c>
      <c r="F343" s="5" t="inlineStr"/>
      <c r="G343" s="6" t="inlineStr"/>
      <c r="H343" s="6" t="inlineStr">
        <is>
          <t>Arka kapıyı keşfettin. Yol iki dakika uzadı, tost bütçen korundu.</t>
        </is>
      </c>
      <c r="I343" s="6" t="inlineStr">
        <is>
          <t>Arka kapıyı keşfettin ve güzergâhı sınıfa açtın. Ön kapının tarifesi bir haftada çöktü.</t>
        </is>
      </c>
      <c r="J343" s="6" t="inlineStr">
        <is>
          <t>Arka kapıyı buldun. Onlar da buldu. Arka kapı tarifesi ön kapıdan pahalı.</t>
        </is>
      </c>
      <c r="K343" s="6" t="inlineStr">
        <is>
          <t>Arka kapı kilitliydi. Ön kapıya döndüğünde tarifeye 'geç kalma bedeli' eklenmişti.</t>
        </is>
      </c>
      <c r="L343" s="6" t="inlineStr"/>
      <c r="M343" s="5" t="inlineStr"/>
      <c r="N343" s="5" t="inlineStr"/>
      <c r="O343" s="6" t="inlineStr"/>
      <c r="P343" s="6" t="inlineStr"/>
      <c r="Q343" s="5" t="inlineStr"/>
      <c r="R343" s="5" t="inlineStr"/>
      <c r="S343" s="5" t="inlineStr"/>
      <c r="T343" s="5" t="inlineStr"/>
      <c r="U343" s="5" t="inlineStr"/>
      <c r="V343" s="5" t="inlineStr"/>
      <c r="W343" s="5" t="inlineStr"/>
      <c r="X343" s="5" t="inlineStr"/>
      <c r="Y343" s="5" t="inlineStr"/>
      <c r="Z343" s="6" t="inlineStr"/>
      <c r="AA343" s="5" t="inlineStr"/>
      <c r="AB343" s="5" t="inlineStr"/>
      <c r="AC343" s="5" t="inlineStr"/>
      <c r="AD343" s="5" t="inlineStr"/>
      <c r="AE343" s="5" t="inlineStr"/>
      <c r="AF343" s="5" t="inlineStr"/>
      <c r="AG343" s="5" t="inlineStr"/>
      <c r="AH343" s="5" t="inlineStr"/>
    </row>
    <row r="344">
      <c r="A344" s="5" t="inlineStr">
        <is>
          <t>b5-kantin-vergisi</t>
        </is>
      </c>
      <c r="B344" s="5" t="n">
        <v>3</v>
      </c>
      <c r="C344" s="6" t="inlineStr">
        <is>
          <t>Açıkça reddet</t>
        </is>
      </c>
      <c r="D344" s="5" t="inlineStr">
        <is>
          <t>Cesaret</t>
        </is>
      </c>
      <c r="E344" s="5" t="inlineStr">
        <is>
          <t>Zor</t>
        </is>
      </c>
      <c r="F344" s="5" t="inlineStr"/>
      <c r="G344" s="6" t="inlineStr"/>
      <c r="H344" s="6" t="inlineStr">
        <is>
          <t>Reddettin. Birbirlerine baktılar ve 'Bu hafta pas' dediler. Tarifeden muaf tutuldun.</t>
        </is>
      </c>
      <c r="I344" s="6" t="inlineStr">
        <is>
          <t>Sen reddettin, arkandaki beş kişi de reddetti. Sistem bir hafta içinde tasfiye edildi.</t>
        </is>
      </c>
      <c r="J344" s="6" t="inlineStr">
        <is>
          <t>Reddettin. Hiçbir şey olmadı. Sadece adın bir deftere yazıldı.</t>
        </is>
      </c>
      <c r="K344" s="6" t="inlineStr">
        <is>
          <t>Reddettin. Ertesi gün bisikletinin selesi kayıptı. Mahalle haraççılarının kara listesine resmen girdin.</t>
        </is>
      </c>
      <c r="L344" s="6" t="inlineStr"/>
      <c r="M344" s="5" t="inlineStr"/>
      <c r="N344" s="5" t="inlineStr"/>
      <c r="O344" s="6" t="inlineStr"/>
      <c r="P344" s="6" t="inlineStr"/>
      <c r="Q344" s="5" t="inlineStr"/>
      <c r="R344" s="5" t="inlineStr"/>
      <c r="S344" s="5" t="inlineStr"/>
      <c r="T344" s="5" t="inlineStr"/>
      <c r="U344" s="5" t="inlineStr"/>
      <c r="V344" s="5" t="inlineStr"/>
      <c r="W344" s="5" t="inlineStr">
        <is>
          <t>haracci-dusmani</t>
        </is>
      </c>
      <c r="X344" s="5" t="inlineStr"/>
      <c r="Y344" s="5" t="inlineStr"/>
      <c r="Z344" s="6" t="inlineStr"/>
      <c r="AA344" s="5" t="inlineStr"/>
      <c r="AB344" s="5" t="inlineStr"/>
      <c r="AC344" s="5" t="inlineStr"/>
      <c r="AD344" s="5" t="inlineStr"/>
      <c r="AE344" s="5" t="inlineStr"/>
      <c r="AF344" s="5" t="inlineStr"/>
      <c r="AG344" s="5" t="inlineStr"/>
      <c r="AH344" s="5" t="inlineStr"/>
    </row>
    <row r="345">
      <c r="A345" s="5" t="inlineStr">
        <is>
          <t>b5-kantin-vergisi</t>
        </is>
      </c>
      <c r="B345" s="5" t="n">
        <v>4</v>
      </c>
      <c r="C345" s="6" t="inlineStr">
        <is>
          <t>'Abinizle ben görüşürüm' de</t>
        </is>
      </c>
      <c r="D345" s="5" t="inlineStr">
        <is>
          <t>Pişkinlik</t>
        </is>
      </c>
      <c r="E345" s="5" t="inlineStr">
        <is>
          <t>Orta</t>
        </is>
      </c>
      <c r="F345" s="5" t="inlineStr"/>
      <c r="G345" s="6" t="inlineStr"/>
      <c r="H345" s="6" t="inlineStr">
        <is>
          <t>Abiyi aradılar. Abi telefonu açmadı. Belirsizlik senin lehine işledi; geçtin.</t>
        </is>
      </c>
      <c r="I345" s="6" t="inlineStr">
        <is>
          <t>Abiyle görüştün. Abi seni geçiş ücretinden muaf tuttu: 'Eski dosya, kapandı.'</t>
        </is>
      </c>
      <c r="J345" s="6" t="inlineStr">
        <is>
          <t>Abiyi aradın. Abi 'Tarifede indirim yok' dedi.</t>
        </is>
      </c>
      <c r="K345" s="6" t="inlineStr">
        <is>
          <t>Abiyi aradın. Abi sana eski dosyayı faiziyle birlikte hatırlattı.</t>
        </is>
      </c>
      <c r="L345" s="6" t="inlineStr"/>
      <c r="M345" s="5" t="inlineStr"/>
      <c r="N345" s="5" t="inlineStr"/>
      <c r="O345" s="6" t="inlineStr"/>
      <c r="P345" s="6" t="inlineStr"/>
      <c r="Q345" s="5" t="inlineStr"/>
      <c r="R345" s="5" t="inlineStr">
        <is>
          <t>haracci-dusmani</t>
        </is>
      </c>
      <c r="S345" s="5" t="inlineStr"/>
      <c r="T345" s="5" t="inlineStr"/>
      <c r="U345" s="5" t="inlineStr"/>
      <c r="V345" s="5" t="inlineStr"/>
      <c r="W345" s="5" t="inlineStr"/>
      <c r="X345" s="5" t="inlineStr"/>
      <c r="Y345" s="5" t="inlineStr"/>
      <c r="Z345" s="6" t="inlineStr"/>
      <c r="AA345" s="5" t="inlineStr"/>
      <c r="AB345" s="5" t="inlineStr"/>
      <c r="AC345" s="5" t="inlineStr"/>
      <c r="AD345" s="5" t="inlineStr"/>
      <c r="AE345" s="5" t="inlineStr"/>
      <c r="AF345" s="5" t="inlineStr"/>
      <c r="AG345" s="5" t="inlineStr"/>
      <c r="AH345" s="5" t="inlineStr"/>
    </row>
    <row r="346">
      <c r="A346" s="5" t="inlineStr">
        <is>
          <t>b5-ilk-sevgili</t>
        </is>
      </c>
      <c r="B346" s="5" t="n">
        <v>1</v>
      </c>
      <c r="C346" s="6" t="inlineStr">
        <is>
          <t>Hava durumundan konuş</t>
        </is>
      </c>
      <c r="D346" s="5" t="inlineStr"/>
      <c r="E346" s="5" t="inlineStr"/>
      <c r="F346" s="5" t="inlineStr">
        <is>
          <t>Çene +1</t>
        </is>
      </c>
      <c r="G346" s="6" t="inlineStr">
        <is>
          <t>Bir saat boyunca hava durumunu konuştunuz. İkiniz de yarın yağmur yağacağını artık çok iyi biliyorsunuz.</t>
        </is>
      </c>
      <c r="H346" s="6" t="inlineStr"/>
      <c r="I346" s="6" t="inlineStr"/>
      <c r="J346" s="6" t="inlineStr"/>
      <c r="K346" s="6" t="inlineStr"/>
      <c r="L346" s="6" t="inlineStr"/>
      <c r="M346" s="5" t="inlineStr"/>
      <c r="N346" s="5" t="inlineStr"/>
      <c r="O346" s="6" t="inlineStr"/>
      <c r="P346" s="6" t="inlineStr"/>
      <c r="Q346" s="5" t="inlineStr"/>
      <c r="R346" s="5" t="inlineStr"/>
      <c r="S346" s="5" t="inlineStr"/>
      <c r="T346" s="5" t="inlineStr"/>
      <c r="U346" s="5" t="inlineStr"/>
      <c r="V346" s="5" t="inlineStr"/>
      <c r="W346" s="5" t="inlineStr"/>
      <c r="X346" s="5" t="inlineStr"/>
      <c r="Y346" s="5" t="inlineStr"/>
      <c r="Z346" s="6" t="inlineStr"/>
      <c r="AA346" s="5" t="inlineStr"/>
      <c r="AB346" s="5" t="inlineStr"/>
      <c r="AC346" s="5" t="inlineStr"/>
      <c r="AD346" s="5" t="inlineStr"/>
      <c r="AE346" s="5" t="inlineStr"/>
      <c r="AF346" s="5" t="inlineStr"/>
      <c r="AG346" s="5" t="inlineStr"/>
      <c r="AH346" s="5" t="inlineStr"/>
    </row>
    <row r="347">
      <c r="A347" s="5" t="inlineStr">
        <is>
          <t>b5-ilk-sevgili</t>
        </is>
      </c>
      <c r="B347" s="5" t="n">
        <v>2</v>
      </c>
      <c r="C347" s="6" t="inlineStr">
        <is>
          <t>Elini tut</t>
        </is>
      </c>
      <c r="D347" s="5" t="inlineStr">
        <is>
          <t>Cesaret</t>
        </is>
      </c>
      <c r="E347" s="5" t="inlineStr">
        <is>
          <t>Zor</t>
        </is>
      </c>
      <c r="F347" s="5" t="inlineStr"/>
      <c r="G347" s="6" t="inlineStr"/>
      <c r="H347" s="6" t="inlineStr">
        <is>
          <t>Elini tuttun. İki avuç da terliydi. Kimse bundan bahsetmedi. İlişki resmîleşti.</t>
        </is>
      </c>
      <c r="I347" s="6" t="inlineStr">
        <is>
          <t>Elini tuttun ve eve kadar bırakmadınız. Mesajlaşma uygulamasındaki durumun güncellendi.</t>
        </is>
      </c>
      <c r="J347" s="6" t="inlineStr">
        <is>
          <t>Tam uzanacakken karşındaki ayağa kalkıp dondurma almaya gitti.</t>
        </is>
      </c>
      <c r="K347" s="6" t="inlineStr">
        <is>
          <t>Elini tuttuğunu sandın. Tuttuğun banktaki poşetti. Poşet yandaki teyzeninmiş.</t>
        </is>
      </c>
      <c r="L347" s="6" t="inlineStr"/>
      <c r="M347" s="5" t="inlineStr"/>
      <c r="N347" s="5" t="inlineStr"/>
      <c r="O347" s="6" t="inlineStr"/>
      <c r="P347" s="6" t="inlineStr"/>
      <c r="Q347" s="5" t="inlineStr"/>
      <c r="R347" s="5" t="inlineStr"/>
      <c r="S347" s="5" t="inlineStr"/>
      <c r="T347" s="5" t="inlineStr"/>
      <c r="U347" s="5" t="inlineStr"/>
      <c r="V347" s="5" t="inlineStr">
        <is>
          <t>ilk-sevgili</t>
        </is>
      </c>
      <c r="W347" s="5" t="inlineStr"/>
      <c r="X347" s="5" t="inlineStr"/>
      <c r="Y347" s="5" t="inlineStr"/>
      <c r="Z347" s="6" t="inlineStr"/>
      <c r="AA347" s="5" t="inlineStr"/>
      <c r="AB347" s="5" t="inlineStr">
        <is>
          <t>utangac</t>
        </is>
      </c>
      <c r="AC347" s="5" t="inlineStr"/>
      <c r="AD347" s="5" t="inlineStr"/>
      <c r="AE347" s="5" t="inlineStr"/>
      <c r="AF347" s="5" t="inlineStr"/>
      <c r="AG347" s="5" t="inlineStr"/>
      <c r="AH347" s="5" t="inlineStr"/>
    </row>
    <row r="348">
      <c r="A348" s="5" t="inlineStr">
        <is>
          <t>b5-ilk-sevgili</t>
        </is>
      </c>
      <c r="B348" s="5" t="n">
        <v>3</v>
      </c>
      <c r="C348" s="6" t="inlineStr">
        <is>
          <t>'Ben de heyecanlıyım' de</t>
        </is>
      </c>
      <c r="D348" s="5" t="inlineStr">
        <is>
          <t>İtibar</t>
        </is>
      </c>
      <c r="E348" s="5" t="inlineStr">
        <is>
          <t>Kolay</t>
        </is>
      </c>
      <c r="F348" s="5" t="inlineStr"/>
      <c r="G348" s="6" t="inlineStr"/>
      <c r="H348" s="6" t="inlineStr">
        <is>
          <t>Açık sözlülüğün işe yaradı. Karşındaki güldü, rahatladı ve elini uzattı.</t>
        </is>
      </c>
      <c r="I348" s="6" t="inlineStr">
        <is>
          <t>İkiniz aynı anda 'Ben de' dediniz. Film sahnesiydi; tek eksik müzikti.</t>
        </is>
      </c>
      <c r="J348" s="6" t="inlineStr">
        <is>
          <t>'Ben de heyecanlıyım' dedin. 'Neden?' diye sordu. Anlatamadın.</t>
        </is>
      </c>
      <c r="K348" s="6" t="inlineStr">
        <is>
          <t>Sen 'Ben de heyecanlıyım' derken o 'Annem arıyor' diyordu. Cümleler havada çarpıştı.</t>
        </is>
      </c>
      <c r="L348" s="6" t="inlineStr"/>
      <c r="M348" s="5" t="inlineStr"/>
      <c r="N348" s="5" t="inlineStr"/>
      <c r="O348" s="6" t="inlineStr"/>
      <c r="P348" s="6" t="inlineStr"/>
      <c r="Q348" s="5" t="inlineStr"/>
      <c r="R348" s="5" t="inlineStr"/>
      <c r="S348" s="5" t="inlineStr">
        <is>
          <t>Sosyal Radar</t>
        </is>
      </c>
      <c r="T348" s="5" t="inlineStr"/>
      <c r="U348" s="5" t="inlineStr"/>
      <c r="V348" s="5" t="inlineStr">
        <is>
          <t>ilk-sevgili</t>
        </is>
      </c>
      <c r="W348" s="5" t="inlineStr"/>
      <c r="X348" s="5" t="inlineStr"/>
      <c r="Y348" s="5" t="inlineStr"/>
      <c r="Z348" s="6" t="inlineStr"/>
      <c r="AA348" s="5" t="inlineStr"/>
      <c r="AB348" s="5" t="inlineStr">
        <is>
          <t>utangac</t>
        </is>
      </c>
      <c r="AC348" s="5" t="inlineStr"/>
      <c r="AD348" s="5" t="inlineStr"/>
      <c r="AE348" s="5" t="inlineStr"/>
      <c r="AF348" s="5" t="inlineStr"/>
      <c r="AG348" s="5" t="inlineStr"/>
      <c r="AH348" s="5" t="inlineStr"/>
    </row>
    <row r="349">
      <c r="A349" s="5" t="inlineStr">
        <is>
          <t>b5-ilk-sevgili</t>
        </is>
      </c>
      <c r="B349" s="5" t="n">
        <v>4</v>
      </c>
      <c r="C349" s="6" t="inlineStr">
        <is>
          <t>Önceden hazırladığın espriyi yap</t>
        </is>
      </c>
      <c r="D349" s="5" t="inlineStr">
        <is>
          <t>Pişkinlik</t>
        </is>
      </c>
      <c r="E349" s="5" t="inlineStr">
        <is>
          <t>Orta</t>
        </is>
      </c>
      <c r="F349" s="5" t="inlineStr"/>
      <c r="G349" s="6" t="inlineStr"/>
      <c r="H349" s="6" t="inlineStr">
        <is>
          <t>Espri tuttu. Gülerken omzuna yaslandı. Hazırlık karşılığını buldu.</t>
        </is>
      </c>
      <c r="I349" s="6" t="inlineStr">
        <is>
          <t>Espri tuttu, bir tane daha istedi. Üçüncüsünde el ele eve yürüyordunuz.</t>
        </is>
      </c>
      <c r="J349" s="6" t="inlineStr">
        <is>
          <t>Espriyi yaptın; nazikçe güldü. Nazik gülüşler kayda geçmez.</t>
        </is>
      </c>
      <c r="K349" s="6" t="inlineStr">
        <is>
          <t>Espriyi yaptın, sonra açıklamaya çalıştın. Açıklama espriden uzun sürdü.</t>
        </is>
      </c>
      <c r="L349" s="6" t="inlineStr"/>
      <c r="M349" s="5" t="inlineStr"/>
      <c r="N349" s="5" t="inlineStr"/>
      <c r="O349" s="6" t="inlineStr"/>
      <c r="P349" s="6" t="inlineStr"/>
      <c r="Q349" s="5" t="inlineStr"/>
      <c r="R349" s="5" t="inlineStr"/>
      <c r="S349" s="5" t="inlineStr"/>
      <c r="T349" s="5" t="inlineStr"/>
      <c r="U349" s="5" t="inlineStr"/>
      <c r="V349" s="5" t="inlineStr">
        <is>
          <t>ilk-sevgili</t>
        </is>
      </c>
      <c r="W349" s="5" t="inlineStr"/>
      <c r="X349" s="5" t="inlineStr"/>
      <c r="Y349" s="5" t="inlineStr"/>
      <c r="Z349" s="6" t="inlineStr"/>
      <c r="AA349" s="5" t="inlineStr"/>
      <c r="AB349" s="5" t="inlineStr">
        <is>
          <t>utangac</t>
        </is>
      </c>
      <c r="AC349" s="5" t="inlineStr"/>
      <c r="AD349" s="5" t="inlineStr"/>
      <c r="AE349" s="5" t="inlineStr"/>
      <c r="AF349" s="5" t="inlineStr"/>
      <c r="AG349" s="5" t="inlineStr"/>
      <c r="AH349" s="5" t="inlineStr"/>
    </row>
    <row r="350">
      <c r="A350" s="5" t="inlineStr">
        <is>
          <t>b5-veli-bilgilendirme</t>
        </is>
      </c>
      <c r="B350" s="5" t="n">
        <v>1</v>
      </c>
      <c r="C350" s="6" t="inlineStr">
        <is>
          <t>Bildirimden önce eve yetiş</t>
        </is>
      </c>
      <c r="D350" s="5" t="inlineStr">
        <is>
          <t>Dayanıklılık</t>
        </is>
      </c>
      <c r="E350" s="5" t="inlineStr">
        <is>
          <t>Orta</t>
        </is>
      </c>
      <c r="F350" s="5" t="inlineStr"/>
      <c r="G350" s="6" t="inlineStr"/>
      <c r="H350" s="6" t="inlineStr">
        <is>
          <t>Eve koştun, haberi kendin verdin. Telefon üç saniye sonra titredi. Tarihî bir koşu.</t>
        </is>
      </c>
      <c r="I350" s="6" t="inlineStr">
        <is>
          <t>Haberi verdin, açıklamanı da sundun. Bildirim geldiğinde konu çoktan kapanmıştı.</t>
        </is>
      </c>
      <c r="J350" s="6" t="inlineStr">
        <is>
          <t>Eve vardın. Annen kapıda, telefon elinde bekliyordu.</t>
        </is>
      </c>
      <c r="K350" s="6" t="inlineStr">
        <is>
          <t>Sen yoldayken ikinci not da girildi. İki bildirim, bir aile toplantısı.</t>
        </is>
      </c>
      <c r="L350" s="6" t="inlineStr"/>
      <c r="M350" s="5" t="inlineStr"/>
      <c r="N350" s="5" t="inlineStr"/>
      <c r="O350" s="6" t="inlineStr"/>
      <c r="P350" s="6" t="inlineStr"/>
      <c r="Q350" s="5" t="inlineStr"/>
      <c r="R350" s="5" t="inlineStr"/>
      <c r="S350" s="5" t="inlineStr"/>
      <c r="T350" s="5" t="inlineStr"/>
      <c r="U350" s="5" t="inlineStr"/>
      <c r="V350" s="5" t="inlineStr"/>
      <c r="W350" s="5" t="inlineStr"/>
      <c r="X350" s="5" t="inlineStr"/>
      <c r="Y350" s="5" t="inlineStr"/>
      <c r="Z350" s="6" t="inlineStr"/>
      <c r="AA350" s="5" t="inlineStr"/>
      <c r="AB350" s="5" t="inlineStr"/>
      <c r="AC350" s="5" t="inlineStr"/>
      <c r="AD350" s="5" t="inlineStr"/>
      <c r="AE350" s="5" t="inlineStr"/>
      <c r="AF350" s="5" t="inlineStr"/>
      <c r="AG350" s="5" t="inlineStr"/>
      <c r="AH350" s="5" t="inlineStr"/>
    </row>
    <row r="351">
      <c r="A351" s="5" t="inlineStr">
        <is>
          <t>b5-veli-bilgilendirme</t>
        </is>
      </c>
      <c r="B351" s="5" t="n">
        <v>2</v>
      </c>
      <c r="C351" s="6" t="inlineStr">
        <is>
          <t>Sistemle barış</t>
        </is>
      </c>
      <c r="D351" s="5" t="inlineStr"/>
      <c r="E351" s="5" t="inlineStr"/>
      <c r="F351" s="5" t="inlineStr">
        <is>
          <t>İtibar +1</t>
        </is>
      </c>
      <c r="G351" s="6" t="inlineStr">
        <is>
          <t>Sistemle barıştın. Ailen artık her not bildiriminin altına tek bir soru işareti bırakıyor.</t>
        </is>
      </c>
      <c r="H351" s="6" t="inlineStr"/>
      <c r="I351" s="6" t="inlineStr"/>
      <c r="J351" s="6" t="inlineStr"/>
      <c r="K351" s="6" t="inlineStr"/>
      <c r="L351" s="6" t="inlineStr"/>
      <c r="M351" s="5" t="inlineStr"/>
      <c r="N351" s="5" t="inlineStr"/>
      <c r="O351" s="6" t="inlineStr"/>
      <c r="P351" s="6" t="inlineStr"/>
      <c r="Q351" s="5" t="inlineStr"/>
      <c r="R351" s="5" t="inlineStr"/>
      <c r="S351" s="5" t="inlineStr"/>
      <c r="T351" s="5" t="inlineStr"/>
      <c r="U351" s="5" t="inlineStr"/>
      <c r="V351" s="5" t="inlineStr"/>
      <c r="W351" s="5" t="inlineStr"/>
      <c r="X351" s="5" t="inlineStr"/>
      <c r="Y351" s="5" t="inlineStr"/>
      <c r="Z351" s="6" t="inlineStr"/>
      <c r="AA351" s="5" t="inlineStr"/>
      <c r="AB351" s="5" t="inlineStr"/>
      <c r="AC351" s="5" t="inlineStr"/>
      <c r="AD351" s="5" t="inlineStr"/>
      <c r="AE351" s="5" t="inlineStr"/>
      <c r="AF351" s="5" t="inlineStr"/>
      <c r="AG351" s="5" t="inlineStr"/>
      <c r="AH351" s="5" t="inlineStr"/>
    </row>
    <row r="352">
      <c r="A352" s="5" t="inlineStr">
        <is>
          <t>b5-veli-bilgilendirme</t>
        </is>
      </c>
      <c r="B352" s="5" t="n">
        <v>3</v>
      </c>
      <c r="C352" s="6" t="inlineStr">
        <is>
          <t>Formdaki numarayı 'güncelle'</t>
        </is>
      </c>
      <c r="D352" s="5" t="inlineStr">
        <is>
          <t>Kurnazlık</t>
        </is>
      </c>
      <c r="E352" s="5" t="inlineStr">
        <is>
          <t>Orta</t>
        </is>
      </c>
      <c r="F352" s="5" t="inlineStr"/>
      <c r="G352" s="6" t="inlineStr"/>
      <c r="H352" s="6" t="inlineStr">
        <is>
          <t>Numara güncellendi. Notlar artık önce sana geliyor. Basın sözcüsü sensin.</t>
        </is>
      </c>
      <c r="I352" s="6" t="inlineStr">
        <is>
          <t>Ailen artık haftalık bir özet bülten alıyor. Hazırlayan ve yayımlayan: sen.</t>
        </is>
      </c>
      <c r="J352" s="6" t="inlineStr">
        <is>
          <t>Numarayı değiştirdin. Sistem ikinci veliye de gönderiyormuş. Babana.</t>
        </is>
      </c>
      <c r="K352" s="6" t="inlineStr">
        <is>
          <t>Kendi numaranı yazdın ama bir rakamı yanlış. Notların artık bir yabancıya gidiyor. O da seninle gurur duyuyor.</t>
        </is>
      </c>
      <c r="L352" s="6" t="inlineStr"/>
      <c r="M352" s="5" t="inlineStr"/>
      <c r="N352" s="5" t="inlineStr"/>
      <c r="O352" s="6" t="inlineStr"/>
      <c r="P352" s="6" t="inlineStr"/>
      <c r="Q352" s="5" t="inlineStr"/>
      <c r="R352" s="5" t="inlineStr"/>
      <c r="S352" s="5" t="inlineStr">
        <is>
          <t>Kurnazlık</t>
        </is>
      </c>
      <c r="T352" s="5" t="inlineStr"/>
      <c r="U352" s="5" t="inlineStr"/>
      <c r="V352" s="5" t="inlineStr"/>
      <c r="W352" s="5" t="inlineStr"/>
      <c r="X352" s="5" t="inlineStr"/>
      <c r="Y352" s="5" t="inlineStr"/>
      <c r="Z352" s="6" t="inlineStr"/>
      <c r="AA352" s="5" t="inlineStr"/>
      <c r="AB352" s="5" t="inlineStr"/>
      <c r="AC352" s="5" t="inlineStr"/>
      <c r="AD352" s="5" t="inlineStr"/>
      <c r="AE352" s="5" t="inlineStr"/>
      <c r="AF352" s="5" t="inlineStr"/>
      <c r="AG352" s="5" t="inlineStr"/>
      <c r="AH352" s="5" t="inlineStr"/>
    </row>
    <row r="353">
      <c r="A353" s="5" t="inlineStr">
        <is>
          <t>b5-okul-temsilcisi</t>
        </is>
      </c>
      <c r="B353" s="5" t="n">
        <v>1</v>
      </c>
      <c r="C353" s="6" t="inlineStr">
        <is>
          <t>Oy ver, geç</t>
        </is>
      </c>
      <c r="D353" s="5" t="inlineStr"/>
      <c r="E353" s="5" t="inlineStr"/>
      <c r="F353" s="5" t="inlineStr">
        <is>
          <t>İtibar +1</t>
        </is>
      </c>
      <c r="G353" s="6" t="inlineStr">
        <is>
          <t>Oyunu kullandın. Kazanan aday ilk icraat olarak ikinci tost makinesi için bir komisyon kurdu.</t>
        </is>
      </c>
      <c r="H353" s="6" t="inlineStr"/>
      <c r="I353" s="6" t="inlineStr"/>
      <c r="J353" s="6" t="inlineStr"/>
      <c r="K353" s="6" t="inlineStr"/>
      <c r="L353" s="6" t="inlineStr"/>
      <c r="M353" s="5" t="inlineStr"/>
      <c r="N353" s="5" t="inlineStr"/>
      <c r="O353" s="6" t="inlineStr"/>
      <c r="P353" s="6" t="inlineStr"/>
      <c r="Q353" s="5" t="inlineStr"/>
      <c r="R353" s="5" t="inlineStr"/>
      <c r="S353" s="5" t="inlineStr"/>
      <c r="T353" s="5" t="inlineStr"/>
      <c r="U353" s="5" t="inlineStr"/>
      <c r="V353" s="5" t="inlineStr"/>
      <c r="W353" s="5" t="inlineStr"/>
      <c r="X353" s="5" t="inlineStr"/>
      <c r="Y353" s="5" t="inlineStr"/>
      <c r="Z353" s="6" t="inlineStr"/>
      <c r="AA353" s="5" t="inlineStr"/>
      <c r="AB353" s="5" t="inlineStr"/>
      <c r="AC353" s="5" t="inlineStr"/>
      <c r="AD353" s="5" t="inlineStr"/>
      <c r="AE353" s="5" t="inlineStr"/>
      <c r="AF353" s="5" t="inlineStr"/>
      <c r="AG353" s="5" t="inlineStr"/>
      <c r="AH353" s="5" t="inlineStr"/>
    </row>
    <row r="354">
      <c r="A354" s="5" t="inlineStr">
        <is>
          <t>b5-okul-temsilcisi</t>
        </is>
      </c>
      <c r="B354" s="5" t="n">
        <v>2</v>
      </c>
      <c r="C354" s="6" t="inlineStr">
        <is>
          <t>Aday ol</t>
        </is>
      </c>
      <c r="D354" s="5" t="inlineStr">
        <is>
          <t>Çene</t>
        </is>
      </c>
      <c r="E354" s="5" t="inlineStr">
        <is>
          <t>Zor</t>
        </is>
      </c>
      <c r="F354" s="5" t="inlineStr"/>
      <c r="G354" s="6" t="inlineStr"/>
      <c r="H354" s="6" t="inlineStr">
        <is>
          <t>Seçildin. İlk hafta müdürle toplantı yaptın. İkinci hafta müdür toplantıya gelmedi.</t>
        </is>
      </c>
      <c r="I354" s="6" t="inlineStr">
        <is>
          <t>Açık farkla seçildin; ikinci tost makinesi dönem bitmeden geldi. Adın kantin duvarında.</t>
        </is>
      </c>
      <c r="J354" s="6" t="inlineStr">
        <is>
          <t>Kaybettin. Rakibin tek vaadi 'Derse az girelim'di. Kısa ve net vaat kazandı.</t>
        </is>
      </c>
      <c r="K354" s="6" t="inlineStr">
        <is>
          <t>Konuşmanda 'Teneffüsleri uzatacağım' dedin. Müdür yardımcısı mikrofonu nazikçe elinden aldı.</t>
        </is>
      </c>
      <c r="L354" s="6" t="inlineStr"/>
      <c r="M354" s="5" t="inlineStr"/>
      <c r="N354" s="5" t="inlineStr"/>
      <c r="O354" s="6" t="inlineStr"/>
      <c r="P354" s="6" t="inlineStr"/>
      <c r="Q354" s="5" t="inlineStr"/>
      <c r="R354" s="5" t="inlineStr"/>
      <c r="S354" s="5" t="inlineStr"/>
      <c r="T354" s="5" t="inlineStr"/>
      <c r="U354" s="5" t="inlineStr"/>
      <c r="V354" s="5" t="inlineStr">
        <is>
          <t>okul-temsilcisi</t>
        </is>
      </c>
      <c r="W354" s="5" t="inlineStr"/>
      <c r="X354" s="5" t="inlineStr"/>
      <c r="Y354" s="5" t="inlineStr"/>
      <c r="Z354" s="6" t="inlineStr"/>
      <c r="AA354" s="5" t="inlineStr"/>
      <c r="AB354" s="5" t="inlineStr"/>
      <c r="AC354" s="5" t="inlineStr"/>
      <c r="AD354" s="5" t="inlineStr"/>
      <c r="AE354" s="5" t="inlineStr"/>
      <c r="AF354" s="5" t="inlineStr"/>
      <c r="AG354" s="5" t="inlineStr"/>
      <c r="AH354" s="5" t="inlineStr"/>
    </row>
    <row r="355">
      <c r="A355" s="5" t="inlineStr">
        <is>
          <t>b5-okul-temsilcisi</t>
        </is>
      </c>
      <c r="B355" s="5" t="n">
        <v>3</v>
      </c>
      <c r="C355" s="6" t="inlineStr">
        <is>
          <t>Deneyimini öne çıkar</t>
        </is>
      </c>
      <c r="D355" s="5" t="inlineStr">
        <is>
          <t>Pişkinlik</t>
        </is>
      </c>
      <c r="E355" s="5" t="inlineStr">
        <is>
          <t>Kolay</t>
        </is>
      </c>
      <c r="F355" s="5" t="inlineStr"/>
      <c r="G355" s="6" t="inlineStr"/>
      <c r="H355" s="6" t="inlineStr">
        <is>
          <t>'Daha önce de yönettim' dedin. Kimse neyi yönettiğini sormadı. Seçildin.</t>
        </is>
      </c>
      <c r="I355" s="6" t="inlineStr">
        <is>
          <t>İlkokul başkanlığını özgeçmiş gibi sundun. Seçildin; rakibin de sana danışman oldu.</t>
        </is>
      </c>
      <c r="J355" s="6" t="inlineStr">
        <is>
          <t>Deneyimini anlattın. Biri 'Akvaryum ne oldu?' diye sordu. Kampanya orada bitti.</t>
        </is>
      </c>
      <c r="K355" s="6" t="inlineStr">
        <is>
          <t>İlkokuldan bir sınıf arkadaşın söz aldı ve akvaryum vaadini ayrıntılarıyla anlattı.</t>
        </is>
      </c>
      <c r="L355" s="6" t="inlineStr"/>
      <c r="M355" s="5" t="inlineStr"/>
      <c r="N355" s="5" t="inlineStr"/>
      <c r="O355" s="6" t="inlineStr"/>
      <c r="P355" s="6" t="inlineStr"/>
      <c r="Q355" s="5" t="inlineStr"/>
      <c r="R355" s="5" t="inlineStr">
        <is>
          <t>baskan</t>
        </is>
      </c>
      <c r="S355" s="5" t="inlineStr"/>
      <c r="T355" s="5" t="inlineStr"/>
      <c r="U355" s="5" t="inlineStr"/>
      <c r="V355" s="5" t="inlineStr">
        <is>
          <t>okul-temsilcisi</t>
        </is>
      </c>
      <c r="W355" s="5" t="inlineStr"/>
      <c r="X355" s="5" t="inlineStr"/>
      <c r="Y355" s="5" t="inlineStr"/>
      <c r="Z355" s="6" t="inlineStr"/>
      <c r="AA355" s="5" t="inlineStr"/>
      <c r="AB355" s="5" t="inlineStr"/>
      <c r="AC355" s="5" t="inlineStr"/>
      <c r="AD355" s="5" t="inlineStr"/>
      <c r="AE355" s="5" t="inlineStr"/>
      <c r="AF355" s="5" t="inlineStr"/>
      <c r="AG355" s="5" t="inlineStr"/>
      <c r="AH355" s="5" t="inlineStr"/>
    </row>
    <row r="356">
      <c r="A356" s="5" t="inlineStr">
        <is>
          <t>b5-okul-temsilcisi</t>
        </is>
      </c>
      <c r="B356" s="5" t="n">
        <v>4</v>
      </c>
      <c r="C356" s="6" t="inlineStr">
        <is>
          <t>Arkadaşının kampanyasını yönet</t>
        </is>
      </c>
      <c r="D356" s="5" t="inlineStr">
        <is>
          <t>Sosyal Radar</t>
        </is>
      </c>
      <c r="E356" s="5" t="inlineStr">
        <is>
          <t>Orta</t>
        </is>
      </c>
      <c r="F356" s="5" t="inlineStr"/>
      <c r="G356" s="6" t="inlineStr"/>
      <c r="H356" s="6" t="inlineStr">
        <is>
          <t>Adayın kazandı. Gölge temsilci olarak bir dönemin daha var.</t>
        </is>
      </c>
      <c r="I356" s="6" t="inlineStr">
        <is>
          <t>Adayın kazandı. Okul yönetimi bir sonraki seçim kurulunun başına seni atadı.</t>
        </is>
      </c>
      <c r="J356" s="6" t="inlineStr">
        <is>
          <t>Kampanya iyiydi. Adayın 'Geçen yıl ne yaptın?' sorusunu cevaplayamadı.</t>
        </is>
      </c>
      <c r="K356" s="6" t="inlineStr">
        <is>
          <t>Afişleri bastırdın. Yüz afiş, yüz kez yanlış yazılmış bir isim.</t>
        </is>
      </c>
      <c r="L356" s="6" t="inlineStr"/>
      <c r="M356" s="5" t="inlineStr"/>
      <c r="N356" s="5" t="inlineStr"/>
      <c r="O356" s="6" t="inlineStr"/>
      <c r="P356" s="6" t="inlineStr"/>
      <c r="Q356" s="5" t="inlineStr">
        <is>
          <t>Seçim Makinesi</t>
        </is>
      </c>
      <c r="R356" s="5" t="inlineStr"/>
      <c r="S356" s="5" t="inlineStr"/>
      <c r="T356" s="5" t="inlineStr"/>
      <c r="U356" s="5" t="inlineStr"/>
      <c r="V356" s="5" t="inlineStr"/>
      <c r="W356" s="5" t="inlineStr"/>
      <c r="X356" s="5" t="inlineStr"/>
      <c r="Y356" s="5" t="inlineStr"/>
      <c r="Z356" s="6" t="inlineStr"/>
      <c r="AA356" s="5" t="inlineStr"/>
      <c r="AB356" s="5" t="inlineStr"/>
      <c r="AC356" s="5" t="inlineStr"/>
      <c r="AD356" s="5" t="inlineStr"/>
      <c r="AE356" s="5" t="inlineStr"/>
      <c r="AF356" s="5" t="inlineStr"/>
      <c r="AG356" s="5" t="inlineStr"/>
      <c r="AH356" s="5" t="inlineStr"/>
    </row>
    <row r="357">
      <c r="A357" s="5" t="inlineStr">
        <is>
          <t>b5-yapay-zeka-odev</t>
        </is>
      </c>
      <c r="B357" s="5" t="n">
        <v>1</v>
      </c>
      <c r="C357" s="6" t="inlineStr">
        <is>
          <t>Kendin yaz</t>
        </is>
      </c>
      <c r="D357" s="5" t="inlineStr"/>
      <c r="E357" s="5" t="inlineStr"/>
      <c r="F357" s="5" t="inlineStr">
        <is>
          <t>Akıl +1, İtibar +1</t>
        </is>
      </c>
      <c r="G357" s="6" t="inlineStr">
        <is>
          <t>Kendin yazdın ve ortalama bir not aldın. Sınıfın geri kalanı da aynı notu aynı cümlelerle almıştı.</t>
        </is>
      </c>
      <c r="H357" s="6" t="inlineStr"/>
      <c r="I357" s="6" t="inlineStr"/>
      <c r="J357" s="6" t="inlineStr"/>
      <c r="K357" s="6" t="inlineStr"/>
      <c r="L357" s="6" t="inlineStr"/>
      <c r="M357" s="5" t="inlineStr"/>
      <c r="N357" s="5" t="inlineStr"/>
      <c r="O357" s="6" t="inlineStr"/>
      <c r="P357" s="6" t="inlineStr"/>
      <c r="Q357" s="5" t="inlineStr"/>
      <c r="R357" s="5" t="inlineStr"/>
      <c r="S357" s="5" t="inlineStr"/>
      <c r="T357" s="5" t="inlineStr"/>
      <c r="U357" s="5" t="inlineStr"/>
      <c r="V357" s="5" t="inlineStr"/>
      <c r="W357" s="5" t="inlineStr"/>
      <c r="X357" s="5" t="inlineStr"/>
      <c r="Y357" s="5" t="inlineStr"/>
      <c r="Z357" s="6" t="inlineStr"/>
      <c r="AA357" s="5" t="inlineStr"/>
      <c r="AB357" s="5" t="inlineStr"/>
      <c r="AC357" s="5" t="inlineStr"/>
      <c r="AD357" s="5" t="inlineStr"/>
      <c r="AE357" s="5" t="inlineStr"/>
      <c r="AF357" s="5" t="inlineStr"/>
      <c r="AG357" s="5" t="inlineStr"/>
      <c r="AH357" s="5" t="inlineStr"/>
    </row>
    <row r="358">
      <c r="A358" s="5" t="inlineStr">
        <is>
          <t>b5-yapay-zeka-odev</t>
        </is>
      </c>
      <c r="B358" s="5" t="n">
        <v>2</v>
      </c>
      <c r="C358" s="6" t="inlineStr">
        <is>
          <t>Asistana yazdır, biraz boz</t>
        </is>
      </c>
      <c r="D358" s="5" t="inlineStr">
        <is>
          <t>Kurnazlık</t>
        </is>
      </c>
      <c r="E358" s="5" t="inlineStr">
        <is>
          <t>Orta</t>
        </is>
      </c>
      <c r="F358" s="5" t="inlineStr"/>
      <c r="G358" s="6" t="inlineStr"/>
      <c r="H358" s="6" t="inlineStr">
        <is>
          <t>Asistana yazdırdın, üç yazım hatası ekledin. Öğretmen 'Daha özenli ol' dedi. İnsan olduğuna ikna oldu.</t>
        </is>
      </c>
      <c r="I358" s="6" t="inlineStr">
        <is>
          <t>Ödev o kadar insanca bozuldu ki öğretmen örnek ödev olarak sınıfa okudu.</t>
        </is>
      </c>
      <c r="J358" s="6" t="inlineStr">
        <is>
          <t>Öğretmen 'Bu paragrafı bir yerden hatırlıyorum' dedi. Kendi ödevinden.</t>
        </is>
      </c>
      <c r="K358" s="6" t="inlineStr">
        <is>
          <t>Ödevin son cümlesini silmeyi unuttun: 'Başka bir konuda yardımcı olabilir miyim?'</t>
        </is>
      </c>
      <c r="L358" s="6" t="inlineStr"/>
      <c r="M358" s="5" t="inlineStr"/>
      <c r="N358" s="5" t="inlineStr"/>
      <c r="O358" s="6" t="inlineStr"/>
      <c r="P358" s="6" t="inlineStr"/>
      <c r="Q358" s="5" t="inlineStr"/>
      <c r="R358" s="5" t="inlineStr"/>
      <c r="S358" s="5" t="inlineStr"/>
      <c r="T358" s="5" t="inlineStr"/>
      <c r="U358" s="5" t="inlineStr">
        <is>
          <t>ai-kopyaci</t>
        </is>
      </c>
      <c r="V358" s="5" t="inlineStr"/>
      <c r="W358" s="5" t="inlineStr"/>
      <c r="X358" s="5" t="inlineStr"/>
      <c r="Y358" s="5" t="inlineStr"/>
      <c r="Z358" s="6" t="inlineStr"/>
      <c r="AA358" s="5" t="inlineStr"/>
      <c r="AB358" s="5" t="inlineStr"/>
      <c r="AC358" s="5" t="inlineStr"/>
      <c r="AD358" s="5" t="inlineStr"/>
      <c r="AE358" s="5" t="inlineStr"/>
      <c r="AF358" s="5" t="inlineStr"/>
      <c r="AG358" s="5" t="inlineStr"/>
      <c r="AH358" s="5" t="inlineStr"/>
    </row>
    <row r="359">
      <c r="A359" s="5" t="inlineStr">
        <is>
          <t>b5-yapay-zeka-odev</t>
        </is>
      </c>
      <c r="B359" s="5" t="n">
        <v>3</v>
      </c>
      <c r="C359" s="6" t="inlineStr">
        <is>
          <t>Yazdır, sözlü savunma hazırla</t>
        </is>
      </c>
      <c r="D359" s="5" t="inlineStr">
        <is>
          <t>Pişkinlik</t>
        </is>
      </c>
      <c r="E359" s="5" t="inlineStr">
        <is>
          <t>Kolay</t>
        </is>
      </c>
      <c r="F359" s="5" t="inlineStr"/>
      <c r="G359" s="6" t="inlineStr"/>
      <c r="H359" s="6" t="inlineStr">
        <is>
          <t>Öğretmen sorguya çekti. Savunman ödevden daha özgündü. Tam not.</t>
        </is>
      </c>
      <c r="I359" s="6" t="inlineStr">
        <is>
          <t>Yirmi dakikalık bir sözlü savunma yaptın. Ödev değil, savunma sınıfa örnek gösterildi.</t>
        </is>
      </c>
      <c r="J359" s="6" t="inlineStr">
        <is>
          <t>Savunman hazırdı. Öğretmen hiçbir şey sormadı. Sadece sıfır verdi.</t>
        </is>
      </c>
      <c r="K359" s="6" t="inlineStr">
        <is>
          <t>Savunmanın ortasında 'Bu harika bir soru!' dedin. Asistanın cümlesiydi. Öğretmen anladı.</t>
        </is>
      </c>
      <c r="L359" s="6" t="inlineStr"/>
      <c r="M359" s="5" t="inlineStr"/>
      <c r="N359" s="5" t="inlineStr"/>
      <c r="O359" s="6" t="inlineStr"/>
      <c r="P359" s="6" t="inlineStr"/>
      <c r="Q359" s="5" t="inlineStr"/>
      <c r="R359" s="5" t="inlineStr">
        <is>
          <t>yalanci</t>
        </is>
      </c>
      <c r="S359" s="5" t="inlineStr"/>
      <c r="T359" s="5" t="inlineStr"/>
      <c r="U359" s="5" t="inlineStr">
        <is>
          <t>ai-kopyaci</t>
        </is>
      </c>
      <c r="V359" s="5" t="inlineStr"/>
      <c r="W359" s="5" t="inlineStr"/>
      <c r="X359" s="5" t="inlineStr"/>
      <c r="Y359" s="5" t="inlineStr"/>
      <c r="Z359" s="6" t="inlineStr"/>
      <c r="AA359" s="5" t="inlineStr"/>
      <c r="AB359" s="5" t="inlineStr"/>
      <c r="AC359" s="5" t="inlineStr"/>
      <c r="AD359" s="5" t="inlineStr"/>
      <c r="AE359" s="5" t="inlineStr"/>
      <c r="AF359" s="5" t="inlineStr"/>
      <c r="AG359" s="5" t="inlineStr"/>
      <c r="AH359" s="5" t="inlineStr"/>
    </row>
    <row r="360">
      <c r="A360" s="5" t="inlineStr">
        <is>
          <t>b5-yapay-zeka-odev</t>
        </is>
      </c>
      <c r="B360" s="5" t="n">
        <v>4</v>
      </c>
      <c r="C360" s="6" t="inlineStr">
        <is>
          <t>Asistanla tartışarak birlikte yaz</t>
        </is>
      </c>
      <c r="D360" s="5" t="inlineStr">
        <is>
          <t>Akıl</t>
        </is>
      </c>
      <c r="E360" s="5" t="inlineStr">
        <is>
          <t>Zor</t>
        </is>
      </c>
      <c r="F360" s="5" t="inlineStr"/>
      <c r="G360" s="6" t="inlineStr"/>
      <c r="H360" s="6" t="inlineStr">
        <is>
          <t>Kaynakları tek tek kontrol ettin. Ödev iyi oldu; asistan da senden bir şey öğrendi.</t>
        </is>
      </c>
      <c r="I360" s="6" t="inlineStr">
        <is>
          <t>Asistanın iki yanlış bilgisini yakaladın. Öğretmen ödevini değil, düzeltmelerini puanladı.</t>
        </is>
      </c>
      <c r="J360" s="6" t="inlineStr">
        <is>
          <t>Asistanla tartışırken saat üç oldu. Ödev yok ama asistanla aranız çok iyi.</t>
        </is>
      </c>
      <c r="K360" s="6" t="inlineStr">
        <is>
          <t>Asistanla tartıştın ve ikna oldun. Ödevi yanlış yüzyıl hakkında yazdın.</t>
        </is>
      </c>
      <c r="L360" s="6" t="inlineStr"/>
      <c r="M360" s="5" t="inlineStr"/>
      <c r="N360" s="5" t="inlineStr"/>
      <c r="O360" s="6" t="inlineStr"/>
      <c r="P360" s="6" t="inlineStr"/>
      <c r="Q360" s="5" t="inlineStr"/>
      <c r="R360" s="5" t="inlineStr"/>
      <c r="S360" s="5" t="inlineStr"/>
      <c r="T360" s="5" t="inlineStr">
        <is>
          <t>Teknoloji Merakı</t>
        </is>
      </c>
      <c r="U360" s="5" t="inlineStr"/>
      <c r="V360" s="5" t="inlineStr"/>
      <c r="W360" s="5" t="inlineStr"/>
      <c r="X360" s="5" t="inlineStr"/>
      <c r="Y360" s="5" t="inlineStr"/>
      <c r="Z360" s="6" t="inlineStr"/>
      <c r="AA360" s="5" t="inlineStr"/>
      <c r="AB360" s="5" t="inlineStr"/>
      <c r="AC360" s="5" t="inlineStr"/>
      <c r="AD360" s="5" t="inlineStr"/>
      <c r="AE360" s="5" t="inlineStr"/>
      <c r="AF360" s="5" t="inlineStr"/>
      <c r="AG360" s="5" t="inlineStr"/>
      <c r="AH360" s="5" t="inlineStr"/>
    </row>
    <row r="361">
      <c r="A361" s="5" t="inlineStr">
        <is>
          <t>b5-akraba-sorgusu</t>
        </is>
      </c>
      <c r="B361" s="5" t="n">
        <v>1</v>
      </c>
      <c r="C361" s="6" t="inlineStr">
        <is>
          <t>'Doktor' de</t>
        </is>
      </c>
      <c r="D361" s="5" t="inlineStr"/>
      <c r="E361" s="5" t="inlineStr"/>
      <c r="F361" s="5" t="inlineStr">
        <is>
          <t>Pişkinlik +1</t>
        </is>
      </c>
      <c r="G361" s="6" t="inlineStr">
        <is>
          <t>'Doktor' dedin. Salon rahatladı. Kimse biyoloji notunu sormadı.</t>
        </is>
      </c>
      <c r="H361" s="6" t="inlineStr"/>
      <c r="I361" s="6" t="inlineStr"/>
      <c r="J361" s="6" t="inlineStr"/>
      <c r="K361" s="6" t="inlineStr"/>
      <c r="L361" s="6" t="inlineStr"/>
      <c r="M361" s="5" t="inlineStr"/>
      <c r="N361" s="5" t="inlineStr"/>
      <c r="O361" s="6" t="inlineStr"/>
      <c r="P361" s="6" t="inlineStr"/>
      <c r="Q361" s="5" t="inlineStr"/>
      <c r="R361" s="5" t="inlineStr"/>
      <c r="S361" s="5" t="inlineStr"/>
      <c r="T361" s="5" t="inlineStr"/>
      <c r="U361" s="5" t="inlineStr"/>
      <c r="V361" s="5" t="inlineStr"/>
      <c r="W361" s="5" t="inlineStr"/>
      <c r="X361" s="5" t="inlineStr"/>
      <c r="Y361" s="5" t="inlineStr"/>
      <c r="Z361" s="6" t="inlineStr"/>
      <c r="AA361" s="5" t="inlineStr"/>
      <c r="AB361" s="5" t="inlineStr"/>
      <c r="AC361" s="5" t="inlineStr"/>
      <c r="AD361" s="5" t="inlineStr"/>
      <c r="AE361" s="5" t="inlineStr"/>
      <c r="AF361" s="5" t="inlineStr"/>
      <c r="AG361" s="5" t="inlineStr"/>
      <c r="AH361" s="5" t="inlineStr"/>
    </row>
    <row r="362">
      <c r="A362" s="5" t="inlineStr">
        <is>
          <t>b5-akraba-sorgusu</t>
        </is>
      </c>
      <c r="B362" s="5" t="n">
        <v>2</v>
      </c>
      <c r="C362" s="6" t="inlineStr">
        <is>
          <t>Gerçek hayalini anlat</t>
        </is>
      </c>
      <c r="D362" s="5" t="inlineStr">
        <is>
          <t>Cesaret</t>
        </is>
      </c>
      <c r="E362" s="5" t="inlineStr">
        <is>
          <t>Orta</t>
        </is>
      </c>
      <c r="F362" s="5" t="inlineStr"/>
      <c r="G362" s="6" t="inlineStr"/>
      <c r="H362" s="6" t="inlineStr">
        <is>
          <t>'Oyun tasarımcısı olacağım' dedin. İki akraba anlamadı, bir kuzen alkışladı.</t>
        </is>
      </c>
      <c r="I362" s="6" t="inlineStr">
        <is>
          <t>Hayalini öyle anlattın ki eniştenin yarım kalan hayali aklına geldi. Bir saat onu dinlediniz.</t>
        </is>
      </c>
      <c r="J362" s="6" t="inlineStr">
        <is>
          <t>Hayalini anlattın. Büyük hala 'O iş değil ki' dedi. Konu kapandı.</t>
        </is>
      </c>
      <c r="K362" s="6" t="inlineStr">
        <is>
          <t>Hayalini anlattın. Artık her ziyarette bir akraba 'Nasıl gidiyor o iş?' diye soruyor. İş yok.</t>
        </is>
      </c>
      <c r="L362" s="6" t="inlineStr"/>
      <c r="M362" s="5" t="inlineStr"/>
      <c r="N362" s="5" t="inlineStr"/>
      <c r="O362" s="6" t="inlineStr"/>
      <c r="P362" s="6" t="inlineStr"/>
      <c r="Q362" s="5" t="inlineStr"/>
      <c r="R362" s="5" t="inlineStr"/>
      <c r="S362" s="5" t="inlineStr"/>
      <c r="T362" s="5" t="inlineStr"/>
      <c r="U362" s="5" t="inlineStr"/>
      <c r="V362" s="5" t="inlineStr"/>
      <c r="W362" s="5" t="inlineStr"/>
      <c r="X362" s="5" t="inlineStr"/>
      <c r="Y362" s="5" t="inlineStr"/>
      <c r="Z362" s="6" t="inlineStr"/>
      <c r="AA362" s="5" t="inlineStr"/>
      <c r="AB362" s="5" t="inlineStr"/>
      <c r="AC362" s="5" t="inlineStr"/>
      <c r="AD362" s="5" t="inlineStr"/>
      <c r="AE362" s="5" t="inlineStr"/>
      <c r="AF362" s="5" t="inlineStr"/>
      <c r="AG362" s="5" t="inlineStr"/>
      <c r="AH362" s="5" t="inlineStr"/>
    </row>
    <row r="363">
      <c r="A363" s="5" t="inlineStr">
        <is>
          <t>b5-akraba-sorgusu</t>
        </is>
      </c>
      <c r="B363" s="5" t="n">
        <v>3</v>
      </c>
      <c r="C363" s="6" t="inlineStr">
        <is>
          <t>'Siz ne olmamı istersiniz?' de</t>
        </is>
      </c>
      <c r="D363" s="5" t="inlineStr">
        <is>
          <t>Çene</t>
        </is>
      </c>
      <c r="E363" s="5" t="inlineStr">
        <is>
          <t>Kolay</t>
        </is>
      </c>
      <c r="F363" s="5" t="inlineStr"/>
      <c r="G363" s="6" t="inlineStr"/>
      <c r="H363" s="6" t="inlineStr">
        <is>
          <t>Soruyu geri attın. On bir akraba kırk dakika tartıştı. Sen kuruyemişi bitirdin.</t>
        </is>
      </c>
      <c r="I363" s="6" t="inlineStr">
        <is>
          <t>Salon tıp ve mühendislik diye ikiye bölündü. Sen oylamayı beklemeden kapıdan çıktın.</t>
        </is>
      </c>
      <c r="J363" s="6" t="inlineStr">
        <is>
          <t>Soruyu geri attın. Büyük hala 'Ben sordum' dedi.</t>
        </is>
      </c>
      <c r="K363" s="6" t="inlineStr">
        <is>
          <t>Soruyu geri attın. On bir akraba aynı anda 'Doktor' dedi. Oy birliği sağlandı.</t>
        </is>
      </c>
      <c r="L363" s="6" t="inlineStr"/>
      <c r="M363" s="5" t="inlineStr"/>
      <c r="N363" s="5" t="inlineStr"/>
      <c r="O363" s="6" t="inlineStr"/>
      <c r="P363" s="6" t="inlineStr"/>
      <c r="Q363" s="5" t="inlineStr"/>
      <c r="R363" s="5" t="inlineStr"/>
      <c r="S363" s="5" t="inlineStr">
        <is>
          <t>Çene</t>
        </is>
      </c>
      <c r="T363" s="5" t="inlineStr"/>
      <c r="U363" s="5" t="inlineStr"/>
      <c r="V363" s="5" t="inlineStr"/>
      <c r="W363" s="5" t="inlineStr"/>
      <c r="X363" s="5" t="inlineStr"/>
      <c r="Y363" s="5" t="inlineStr"/>
      <c r="Z363" s="6" t="inlineStr"/>
      <c r="AA363" s="5" t="inlineStr"/>
      <c r="AB363" s="5" t="inlineStr"/>
      <c r="AC363" s="5" t="inlineStr"/>
      <c r="AD363" s="5" t="inlineStr"/>
      <c r="AE363" s="5" t="inlineStr"/>
      <c r="AF363" s="5" t="inlineStr"/>
      <c r="AG363" s="5" t="inlineStr"/>
      <c r="AH363" s="5" t="inlineStr"/>
    </row>
    <row r="364">
      <c r="A364" s="5" t="inlineStr">
        <is>
          <t>b5-akraba-sorgusu</t>
        </is>
      </c>
      <c r="B364" s="5" t="n">
        <v>4</v>
      </c>
      <c r="C364" s="6" t="inlineStr">
        <is>
          <t>Ağzını hep dolu tut</t>
        </is>
      </c>
      <c r="D364" s="5" t="inlineStr">
        <is>
          <t>Dayanıklılık</t>
        </is>
      </c>
      <c r="E364" s="5" t="inlineStr">
        <is>
          <t>Kolay</t>
        </is>
      </c>
      <c r="F364" s="5" t="inlineStr"/>
      <c r="G364" s="6" t="inlineStr"/>
      <c r="H364" s="6" t="inlineStr">
        <is>
          <t>Ağzın bir saat boyunca doluydu. Soru sonunda başka bir kuzene geçti.</t>
        </is>
      </c>
      <c r="I364" s="6" t="inlineStr">
        <is>
          <t>Tabağın dibini gördün; tabak yenilendi, soru hiç sana dönmedi.</t>
        </is>
      </c>
      <c r="J364" s="6" t="inlineStr">
        <is>
          <t>Ağzın doluyken sordular. Beklediler. Sen yuttun. Hâlâ bekliyorlardı.</t>
        </is>
      </c>
      <c r="K364" s="6" t="inlineStr">
        <is>
          <t>Fıstık yanlış yere kaçtı. Biri su getirdi. Soru bu kez 'Doktor olsan bunu bilirdin' diye geldi.</t>
        </is>
      </c>
      <c r="L364" s="6" t="inlineStr"/>
      <c r="M364" s="5" t="inlineStr"/>
      <c r="N364" s="5" t="inlineStr"/>
      <c r="O364" s="6" t="inlineStr"/>
      <c r="P364" s="6" t="inlineStr"/>
      <c r="Q364" s="5" t="inlineStr"/>
      <c r="R364" s="5" t="inlineStr"/>
      <c r="S364" s="5" t="inlineStr"/>
      <c r="T364" s="5" t="inlineStr"/>
      <c r="U364" s="5" t="inlineStr"/>
      <c r="V364" s="5" t="inlineStr"/>
      <c r="W364" s="5" t="inlineStr"/>
      <c r="X364" s="5" t="inlineStr"/>
      <c r="Y364" s="5" t="inlineStr"/>
      <c r="Z364" s="6" t="inlineStr"/>
      <c r="AA364" s="5" t="inlineStr"/>
      <c r="AB364" s="5" t="inlineStr"/>
      <c r="AC364" s="5" t="inlineStr"/>
      <c r="AD364" s="5" t="inlineStr"/>
      <c r="AE364" s="5" t="inlineStr"/>
      <c r="AF364" s="5" t="inlineStr"/>
      <c r="AG364" s="5" t="inlineStr"/>
      <c r="AH364" s="5" t="inlineStr"/>
    </row>
    <row r="365">
      <c r="A365" s="5" t="inlineStr">
        <is>
          <t>b5-okul-gezisi</t>
        </is>
      </c>
      <c r="B365" s="5" t="n">
        <v>1</v>
      </c>
      <c r="C365" s="6" t="inlineStr">
        <is>
          <t>Öğretmenin yanına otur</t>
        </is>
      </c>
      <c r="D365" s="5" t="inlineStr"/>
      <c r="E365" s="5" t="inlineStr"/>
      <c r="F365" s="5" t="inlineStr">
        <is>
          <t>Akıl +1</t>
        </is>
      </c>
      <c r="G365" s="6" t="inlineStr">
        <is>
          <t>Dört saat boyunca yöre tarihini dinledin. Müzeye vardığında rehberden fazlasını biliyordun.</t>
        </is>
      </c>
      <c r="H365" s="6" t="inlineStr"/>
      <c r="I365" s="6" t="inlineStr"/>
      <c r="J365" s="6" t="inlineStr"/>
      <c r="K365" s="6" t="inlineStr"/>
      <c r="L365" s="6" t="inlineStr"/>
      <c r="M365" s="5" t="inlineStr"/>
      <c r="N365" s="5" t="inlineStr"/>
      <c r="O365" s="6" t="inlineStr"/>
      <c r="P365" s="6" t="inlineStr"/>
      <c r="Q365" s="5" t="inlineStr"/>
      <c r="R365" s="5" t="inlineStr"/>
      <c r="S365" s="5" t="inlineStr"/>
      <c r="T365" s="5" t="inlineStr"/>
      <c r="U365" s="5" t="inlineStr"/>
      <c r="V365" s="5" t="inlineStr"/>
      <c r="W365" s="5" t="inlineStr"/>
      <c r="X365" s="5" t="inlineStr"/>
      <c r="Y365" s="5" t="inlineStr"/>
      <c r="Z365" s="6" t="inlineStr"/>
      <c r="AA365" s="5" t="inlineStr"/>
      <c r="AB365" s="5" t="inlineStr"/>
      <c r="AC365" s="5" t="inlineStr"/>
      <c r="AD365" s="5" t="inlineStr"/>
      <c r="AE365" s="5" t="inlineStr"/>
      <c r="AF365" s="5" t="inlineStr"/>
      <c r="AG365" s="5" t="inlineStr"/>
      <c r="AH365" s="5" t="inlineStr"/>
    </row>
    <row r="366">
      <c r="A366" s="5" t="inlineStr">
        <is>
          <t>b5-okul-gezisi</t>
        </is>
      </c>
      <c r="B366" s="5" t="n">
        <v>2</v>
      </c>
      <c r="C366" s="6" t="inlineStr">
        <is>
          <t>Arka koltuğa sız</t>
        </is>
      </c>
      <c r="D366" s="5" t="inlineStr">
        <is>
          <t>Pişkinlik</t>
        </is>
      </c>
      <c r="E366" s="5" t="inlineStr">
        <is>
          <t>Zor</t>
        </is>
      </c>
      <c r="F366" s="5" t="inlineStr"/>
      <c r="G366" s="6" t="inlineStr"/>
      <c r="H366" s="6" t="inlineStr">
        <is>
          <t>Arka koltuğa oturdun ve kimse bir şey demedi. Tapuya şerh düşüldü.</t>
        </is>
      </c>
      <c r="I366" s="6" t="inlineStr">
        <is>
          <t>Dönüş yolunda müzik seçimi sana devredildi. Otobüs senin yayın akışında.</t>
        </is>
      </c>
      <c r="J366" s="6" t="inlineStr">
        <is>
          <t>Arka koltuğa oturdun. Sahibi geldi, bir şey demedi, sadece durdu. Sen kalktın.</t>
        </is>
      </c>
      <c r="K366" s="6" t="inlineStr">
        <is>
          <t>İlk virajda koltuktan kayıp ön tarafa kadar geldin. Dönüşte öğretmenin yanı sana ayrıldı.</t>
        </is>
      </c>
      <c r="L366" s="6" t="inlineStr"/>
      <c r="M366" s="5" t="inlineStr"/>
      <c r="N366" s="5" t="inlineStr"/>
      <c r="O366" s="6" t="inlineStr"/>
      <c r="P366" s="6" t="inlineStr"/>
      <c r="Q366" s="5" t="inlineStr"/>
      <c r="R366" s="5" t="inlineStr"/>
      <c r="S366" s="5" t="inlineStr"/>
      <c r="T366" s="5" t="inlineStr"/>
      <c r="U366" s="5" t="inlineStr"/>
      <c r="V366" s="5" t="inlineStr"/>
      <c r="W366" s="5" t="inlineStr"/>
      <c r="X366" s="5" t="inlineStr"/>
      <c r="Y366" s="5" t="inlineStr"/>
      <c r="Z366" s="6" t="inlineStr"/>
      <c r="AA366" s="5" t="inlineStr"/>
      <c r="AB366" s="5" t="inlineStr"/>
      <c r="AC366" s="5" t="inlineStr"/>
      <c r="AD366" s="5" t="inlineStr"/>
      <c r="AE366" s="5" t="inlineStr"/>
      <c r="AF366" s="5" t="inlineStr"/>
      <c r="AG366" s="5" t="inlineStr"/>
      <c r="AH366" s="5" t="inlineStr"/>
    </row>
    <row r="367">
      <c r="A367" s="5" t="inlineStr">
        <is>
          <t>b5-okul-gezisi</t>
        </is>
      </c>
      <c r="B367" s="5" t="n">
        <v>3</v>
      </c>
      <c r="C367" s="6" t="inlineStr">
        <is>
          <t>Yolculuk listesi hazırla</t>
        </is>
      </c>
      <c r="D367" s="5" t="inlineStr">
        <is>
          <t>Sosyal Radar</t>
        </is>
      </c>
      <c r="E367" s="5" t="inlineStr">
        <is>
          <t>Orta</t>
        </is>
      </c>
      <c r="F367" s="5" t="inlineStr"/>
      <c r="G367" s="6" t="inlineStr"/>
      <c r="H367" s="6" t="inlineStr">
        <is>
          <t>Listen tuttu. Arka koltuk ilk kez ön koltukla aynı şarkıyı söyledi.</t>
        </is>
      </c>
      <c r="I367" s="6" t="inlineStr">
        <is>
          <t>Gezinin asıl anısı listen oldu. Müzeyi kimse hatırlamıyor.</t>
        </is>
      </c>
      <c r="J367" s="6" t="inlineStr">
        <is>
          <t>Listeyi açtın. Şoför kendi radyosunu açtı.</t>
        </is>
      </c>
      <c r="K367" s="6" t="inlineStr">
        <is>
          <t>Listenin ortasına annenin şarkıları karışmış. Bütün otobüs hep bir ağızdan söyledi; sana gülerek.</t>
        </is>
      </c>
      <c r="L367" s="6" t="inlineStr"/>
      <c r="M367" s="5" t="inlineStr"/>
      <c r="N367" s="5" t="inlineStr"/>
      <c r="O367" s="6" t="inlineStr"/>
      <c r="P367" s="6" t="inlineStr"/>
      <c r="Q367" s="5" t="inlineStr"/>
      <c r="R367" s="5" t="inlineStr"/>
      <c r="S367" s="5" t="inlineStr"/>
      <c r="T367" s="5" t="inlineStr"/>
      <c r="U367" s="5" t="inlineStr"/>
      <c r="V367" s="5" t="inlineStr"/>
      <c r="W367" s="5" t="inlineStr"/>
      <c r="X367" s="5" t="inlineStr"/>
      <c r="Y367" s="5" t="inlineStr"/>
      <c r="Z367" s="6" t="inlineStr"/>
      <c r="AA367" s="5" t="inlineStr"/>
      <c r="AB367" s="5" t="inlineStr"/>
      <c r="AC367" s="5" t="inlineStr"/>
      <c r="AD367" s="5" t="inlineStr"/>
      <c r="AE367" s="5" t="inlineStr"/>
      <c r="AF367" s="5" t="inlineStr"/>
      <c r="AG367" s="5" t="inlineStr"/>
      <c r="AH367" s="5" t="inlineStr"/>
    </row>
    <row r="368">
      <c r="A368" s="5" t="inlineStr">
        <is>
          <t>b5-fenomen-video</t>
        </is>
      </c>
      <c r="B368" s="5" t="n">
        <v>1</v>
      </c>
      <c r="C368" s="6" t="inlineStr">
        <is>
          <t>Telefonu kapat</t>
        </is>
      </c>
      <c r="D368" s="5" t="inlineStr"/>
      <c r="E368" s="5" t="inlineStr"/>
      <c r="F368" s="5" t="inlineStr">
        <is>
          <t>Dayanıklılık +1</t>
        </is>
      </c>
      <c r="G368" s="6" t="inlineStr">
        <is>
          <t>Telefonu kapattın. Ertesi sabah sayı durmuştu; internet başka birine geçmişti. Huzurlu bir kayıp.</t>
        </is>
      </c>
      <c r="H368" s="6" t="inlineStr"/>
      <c r="I368" s="6" t="inlineStr"/>
      <c r="J368" s="6" t="inlineStr"/>
      <c r="K368" s="6" t="inlineStr"/>
      <c r="L368" s="6" t="inlineStr"/>
      <c r="M368" s="5" t="inlineStr"/>
      <c r="N368" s="5" t="inlineStr"/>
      <c r="O368" s="6" t="inlineStr"/>
      <c r="P368" s="6" t="inlineStr"/>
      <c r="Q368" s="5" t="inlineStr"/>
      <c r="R368" s="5" t="inlineStr"/>
      <c r="S368" s="5" t="inlineStr"/>
      <c r="T368" s="5" t="inlineStr"/>
      <c r="U368" s="5" t="inlineStr"/>
      <c r="V368" s="5" t="inlineStr"/>
      <c r="W368" s="5" t="inlineStr"/>
      <c r="X368" s="5" t="inlineStr"/>
      <c r="Y368" s="5" t="inlineStr"/>
      <c r="Z368" s="6" t="inlineStr"/>
      <c r="AA368" s="5" t="inlineStr"/>
      <c r="AB368" s="5" t="inlineStr"/>
      <c r="AC368" s="5" t="inlineStr"/>
      <c r="AD368" s="5" t="inlineStr"/>
      <c r="AE368" s="5" t="inlineStr"/>
      <c r="AF368" s="5" t="inlineStr"/>
      <c r="AG368" s="5" t="inlineStr"/>
      <c r="AH368" s="5" t="inlineStr"/>
    </row>
    <row r="369">
      <c r="A369" s="5" t="inlineStr">
        <is>
          <t>b5-fenomen-video</t>
        </is>
      </c>
      <c r="B369" s="5" t="n">
        <v>2</v>
      </c>
      <c r="C369" s="6" t="inlineStr">
        <is>
          <t>Hemen ikinci videoyu çek</t>
        </is>
      </c>
      <c r="D369" s="5" t="inlineStr">
        <is>
          <t>Pişkinlik</t>
        </is>
      </c>
      <c r="E369" s="5" t="inlineStr">
        <is>
          <t>Zor</t>
        </is>
      </c>
      <c r="F369" s="5" t="inlineStr"/>
      <c r="G369" s="6" t="inlineStr"/>
      <c r="H369" s="6" t="inlineStr">
        <is>
          <t>İkinci video da tuttu. Koridorda sana artık 'o video' diye sesleniyorlar.</t>
        </is>
      </c>
      <c r="I369" s="6" t="inlineStr">
        <is>
          <t>Üçüncü video mahalle dönercisinden sponsorluk getirdi. Ömür boyu yarım porsiyon bedava.</t>
        </is>
      </c>
      <c r="J369" s="6" t="inlineStr">
        <is>
          <t>İkinci video kırk izlenme aldı. Otuz dokuzu sensin.</t>
        </is>
      </c>
      <c r="K369" s="6" t="inlineStr">
        <is>
          <t>İkinci videoda annen de vardı. İlkinden çok izlendi. Fenomen olan annen.</t>
        </is>
      </c>
      <c r="L369" s="6" t="inlineStr"/>
      <c r="M369" s="5" t="inlineStr"/>
      <c r="N369" s="5" t="inlineStr"/>
      <c r="O369" s="6" t="inlineStr"/>
      <c r="P369" s="6" t="inlineStr"/>
      <c r="Q369" s="5" t="inlineStr"/>
      <c r="R369" s="5" t="inlineStr"/>
      <c r="S369" s="5" t="inlineStr"/>
      <c r="T369" s="5" t="inlineStr"/>
      <c r="U369" s="5" t="inlineStr"/>
      <c r="V369" s="5" t="inlineStr">
        <is>
          <t>fenomen</t>
        </is>
      </c>
      <c r="W369" s="5" t="inlineStr"/>
      <c r="X369" s="5" t="inlineStr"/>
      <c r="Y369" s="5" t="inlineStr"/>
      <c r="Z369" s="6" t="inlineStr"/>
      <c r="AA369" s="5" t="inlineStr"/>
      <c r="AB369" s="5" t="inlineStr"/>
      <c r="AC369" s="5" t="inlineStr"/>
      <c r="AD369" s="5" t="inlineStr"/>
      <c r="AE369" s="5" t="inlineStr"/>
      <c r="AF369" s="5" t="inlineStr"/>
      <c r="AG369" s="5" t="inlineStr"/>
      <c r="AH369" s="5" t="inlineStr"/>
    </row>
    <row r="370">
      <c r="A370" s="5" t="inlineStr">
        <is>
          <t>b5-fenomen-video</t>
        </is>
      </c>
      <c r="B370" s="5" t="n">
        <v>3</v>
      </c>
      <c r="C370" s="6" t="inlineStr">
        <is>
          <t>Eski takipçilerine seslen</t>
        </is>
      </c>
      <c r="D370" s="5" t="inlineStr">
        <is>
          <t>Çene</t>
        </is>
      </c>
      <c r="E370" s="5" t="inlineStr">
        <is>
          <t>Kolay</t>
        </is>
      </c>
      <c r="F370" s="5" t="inlineStr"/>
      <c r="G370" s="6" t="inlineStr"/>
      <c r="H370" s="6" t="inlineStr">
        <is>
          <t>Eski takipçilerin geri döndü. 'Geri döndüm' videon başlı başına bir olay.</t>
        </is>
      </c>
      <c r="I370" s="6" t="inlineStr">
        <is>
          <t>Geri dönüşün eski şöhretini ikiye katladı. Bir teyze otobüste seni tanıyıp yer verdi. Kariyer zirvesi.</t>
        </is>
      </c>
      <c r="J370" s="6" t="inlineStr">
        <is>
          <t>Seslendin. Takipçilerin başka birine seslenmekle meşgul.</t>
        </is>
      </c>
      <c r="K370" s="6" t="inlineStr">
        <is>
          <t>Seslenişte kendi adını yanlış söyledin. Yorumlar bir hafta bununla uğraştı.</t>
        </is>
      </c>
      <c r="L370" s="6" t="inlineStr"/>
      <c r="M370" s="5" t="inlineStr"/>
      <c r="N370" s="5" t="inlineStr"/>
      <c r="O370" s="6" t="inlineStr"/>
      <c r="P370" s="6" t="inlineStr"/>
      <c r="Q370" s="5" t="inlineStr"/>
      <c r="R370" s="5" t="inlineStr">
        <is>
          <t>fenomen</t>
        </is>
      </c>
      <c r="S370" s="5" t="inlineStr"/>
      <c r="T370" s="5" t="inlineStr"/>
      <c r="U370" s="5" t="inlineStr"/>
      <c r="V370" s="5" t="inlineStr">
        <is>
          <t>fenomen</t>
        </is>
      </c>
      <c r="W370" s="5" t="inlineStr"/>
      <c r="X370" s="5" t="inlineStr"/>
      <c r="Y370" s="5" t="inlineStr"/>
      <c r="Z370" s="6" t="inlineStr"/>
      <c r="AA370" s="5" t="inlineStr"/>
      <c r="AB370" s="5" t="inlineStr"/>
      <c r="AC370" s="5" t="inlineStr"/>
      <c r="AD370" s="5" t="inlineStr"/>
      <c r="AE370" s="5" t="inlineStr"/>
      <c r="AF370" s="5" t="inlineStr"/>
      <c r="AG370" s="5" t="inlineStr"/>
      <c r="AH370" s="5" t="inlineStr"/>
    </row>
    <row r="371">
      <c r="A371" s="5" t="inlineStr">
        <is>
          <t>b5-fenomen-video</t>
        </is>
      </c>
      <c r="B371" s="5" t="n">
        <v>4</v>
      </c>
      <c r="C371" s="6" t="inlineStr">
        <is>
          <t>Gelen teklifleri değerlendir</t>
        </is>
      </c>
      <c r="D371" s="5" t="inlineStr">
        <is>
          <t>Kurnazlık</t>
        </is>
      </c>
      <c r="E371" s="5" t="inlineStr">
        <is>
          <t>Orta</t>
        </is>
      </c>
      <c r="F371" s="5" t="inlineStr"/>
      <c r="G371" s="6" t="inlineStr"/>
      <c r="H371" s="6" t="inlineStr">
        <is>
          <t>Tek teklifi kabul ettin: mahalle kırtasiyesinin tanıtımı. Karşılığı bir yıllık defter.</t>
        </is>
      </c>
      <c r="I371" s="6" t="inlineStr">
        <is>
          <t>Teklifi pazarlıkla ikiye katladın: iki yıllık defter ve bir hesap makinesi.</t>
        </is>
      </c>
      <c r="J371" s="6" t="inlineStr">
        <is>
          <t>Menajerin olduğunu söyleyen kişi sınıftan biriymiş. Yüzde elli istedi.</t>
        </is>
      </c>
      <c r="K371" s="6" t="inlineStr">
        <is>
          <t>Menajerlik sözleşmesi imzaladın. Menajer kuzenin çıktı. Hâlâ komisyonunu soruyor.</t>
        </is>
      </c>
      <c r="L371" s="6" t="inlineStr"/>
      <c r="M371" s="5" t="inlineStr"/>
      <c r="N371" s="5" t="inlineStr"/>
      <c r="O371" s="6" t="inlineStr"/>
      <c r="P371" s="6" t="inlineStr"/>
      <c r="Q371" s="5" t="inlineStr"/>
      <c r="R371" s="5" t="inlineStr"/>
      <c r="S371" s="5" t="inlineStr"/>
      <c r="T371" s="5" t="inlineStr"/>
      <c r="U371" s="5" t="inlineStr"/>
      <c r="V371" s="5" t="inlineStr"/>
      <c r="W371" s="5" t="inlineStr"/>
      <c r="X371" s="5" t="inlineStr"/>
      <c r="Y371" s="5" t="inlineStr"/>
      <c r="Z371" s="6" t="inlineStr"/>
      <c r="AA371" s="5" t="inlineStr"/>
      <c r="AB371" s="5" t="inlineStr"/>
      <c r="AC371" s="5" t="inlineStr"/>
      <c r="AD371" s="5" t="inlineStr"/>
      <c r="AE371" s="5" t="inlineStr"/>
      <c r="AF371" s="5" t="inlineStr"/>
      <c r="AG371" s="5" t="inlineStr"/>
      <c r="AH371" s="5" t="inlineStr"/>
    </row>
    <row r="372">
      <c r="A372" s="5" t="inlineStr">
        <is>
          <t>b5-yaz-isi-garson</t>
        </is>
      </c>
      <c r="B372" s="5" t="n">
        <v>1</v>
      </c>
      <c r="C372" s="6" t="inlineStr">
        <is>
          <t>Tepsiyi taşı</t>
        </is>
      </c>
      <c r="D372" s="5" t="inlineStr">
        <is>
          <t>Dayanıklılık</t>
        </is>
      </c>
      <c r="E372" s="5" t="inlineStr">
        <is>
          <t>Orta</t>
        </is>
      </c>
      <c r="F372" s="5" t="inlineStr"/>
      <c r="G372" s="6" t="inlineStr"/>
      <c r="H372" s="6" t="inlineStr">
        <is>
          <t>On iki çayı dökmeden taşıdın. Patron başını salladı. Bu bir terfidir.</t>
        </is>
      </c>
      <c r="I372" s="6" t="inlineStr">
        <is>
          <t>Tepsiyi tek elle taşırken bir yandan müşteriye laf yetiştirdin. Patron sana 'usta' diyor.</t>
        </is>
      </c>
      <c r="J372" s="6" t="inlineStr">
        <is>
          <t>Bardaklar tabaklara taştı. Müşteriler 'Çay mı bu, çay çorbası mı?' diye soruyor.</t>
        </is>
      </c>
      <c r="K372" s="6" t="inlineStr">
        <is>
          <t>Tepsi masaya ulaştı. Sen ulaşamadın. On iki bardak, bir şekerlik ve sen yerdeydiniz. Kırıklar maaştan kesilecek.</t>
        </is>
      </c>
      <c r="L372" s="6" t="inlineStr">
        <is>
          <t>Çayların çoğu yerine ulaştı. Şekerlik ulaşamadı; martılar memnun.</t>
        </is>
      </c>
      <c r="M372" s="5" t="inlineStr">
        <is>
          <t>balance</t>
        </is>
      </c>
      <c r="N372" s="5" t="inlineStr">
        <is>
          <t>Çay Tepsisi</t>
        </is>
      </c>
      <c r="O372" s="6" t="inlineStr">
        <is>
          <t>Tepsiyi parmağınla dengede tut; on iki bardak da masaya ulaşsın.</t>
        </is>
      </c>
      <c r="P372" s="6" t="inlineStr">
        <is>
          <t>{"item": "🫖"}</t>
        </is>
      </c>
      <c r="Q372" s="5" t="inlineStr"/>
      <c r="R372" s="5" t="inlineStr"/>
      <c r="S372" s="5" t="inlineStr"/>
      <c r="T372" s="5" t="inlineStr"/>
      <c r="U372" s="5" t="inlineStr"/>
      <c r="V372" s="5" t="inlineStr"/>
      <c r="W372" s="5" t="inlineStr"/>
      <c r="X372" s="5" t="inlineStr"/>
      <c r="Y372" s="5" t="inlineStr"/>
      <c r="Z372" s="6" t="inlineStr"/>
      <c r="AA372" s="5" t="inlineStr"/>
      <c r="AB372" s="5" t="inlineStr"/>
      <c r="AC372" s="5" t="inlineStr"/>
      <c r="AD372" s="5" t="inlineStr"/>
      <c r="AE372" s="5" t="inlineStr"/>
      <c r="AF372" s="5" t="inlineStr"/>
      <c r="AG372" s="5" t="inlineStr"/>
      <c r="AH372" s="5" t="inlineStr"/>
    </row>
    <row r="373">
      <c r="A373" s="5" t="inlineStr">
        <is>
          <t>b5-yaz-isi-garson</t>
        </is>
      </c>
      <c r="B373" s="5" t="n">
        <v>2</v>
      </c>
      <c r="C373" s="6" t="inlineStr">
        <is>
          <t>Siparişleri akılda tut</t>
        </is>
      </c>
      <c r="D373" s="5" t="inlineStr">
        <is>
          <t>Akıl</t>
        </is>
      </c>
      <c r="E373" s="5" t="inlineStr">
        <is>
          <t>Kolay</t>
        </is>
      </c>
      <c r="F373" s="5" t="inlineStr"/>
      <c r="G373" s="6" t="inlineStr"/>
      <c r="H373" s="6" t="inlineStr">
        <is>
          <t>Deftersiz sipariş aldın, hepsini doğru getirdin. Bahşişler senin masalarına bırakıldı.</t>
        </is>
      </c>
      <c r="I373" s="6" t="inlineStr">
        <is>
          <t>Müdavimlerin siparişini onlar söylemeden getiriyorsun. Bahşiş kavanozu adınla anılıyor.</t>
        </is>
      </c>
      <c r="J373" s="6" t="inlineStr">
        <is>
          <t>Siparişleri hatırladın, masaları karıştırdın. Açık çay isteyen iki şekerli demli içti.</t>
        </is>
      </c>
      <c r="K373" s="6" t="inlineStr">
        <is>
          <t>Bütün siparişleri eksiksiz ve doğru getirdin. Yandaki çay bahçesine.</t>
        </is>
      </c>
      <c r="L373" s="6" t="inlineStr"/>
      <c r="M373" s="5" t="inlineStr"/>
      <c r="N373" s="5" t="inlineStr"/>
      <c r="O373" s="6" t="inlineStr"/>
      <c r="P373" s="6" t="inlineStr"/>
      <c r="Q373" s="5" t="inlineStr"/>
      <c r="R373" s="5" t="inlineStr"/>
      <c r="S373" s="5" t="inlineStr"/>
      <c r="T373" s="5" t="inlineStr"/>
      <c r="U373" s="5" t="inlineStr"/>
      <c r="V373" s="5" t="inlineStr"/>
      <c r="W373" s="5" t="inlineStr"/>
      <c r="X373" s="5" t="inlineStr"/>
      <c r="Y373" s="5" t="inlineStr"/>
      <c r="Z373" s="6" t="inlineStr"/>
      <c r="AA373" s="5" t="inlineStr"/>
      <c r="AB373" s="5" t="inlineStr"/>
      <c r="AC373" s="5" t="inlineStr"/>
      <c r="AD373" s="5" t="inlineStr"/>
      <c r="AE373" s="5" t="inlineStr"/>
      <c r="AF373" s="5" t="inlineStr"/>
      <c r="AG373" s="5" t="inlineStr"/>
      <c r="AH373" s="5" t="inlineStr"/>
    </row>
    <row r="374">
      <c r="A374" s="5" t="inlineStr">
        <is>
          <t>b5-yaz-isi-garson</t>
        </is>
      </c>
      <c r="B374" s="5" t="n">
        <v>3</v>
      </c>
      <c r="C374" s="6" t="inlineStr">
        <is>
          <t>Kasaya geç</t>
        </is>
      </c>
      <c r="D374" s="5" t="inlineStr">
        <is>
          <t>Kurnazlık</t>
        </is>
      </c>
      <c r="E374" s="5" t="inlineStr">
        <is>
          <t>Kolay</t>
        </is>
      </c>
      <c r="F374" s="5" t="inlineStr"/>
      <c r="G374" s="6" t="inlineStr"/>
      <c r="H374" s="6" t="inlineStr">
        <is>
          <t>Kasaya geçtin; para üstü hiç şaşmadı. Patron ilk kez kasayı sayarken gülümsedi.</t>
        </is>
      </c>
      <c r="I374" s="6" t="inlineStr">
        <is>
          <t>Kasa bütün yaz kuruşu kuruşuna tuttu. Patron seni gelecek yaz için ortak adayı ilan etti.</t>
        </is>
      </c>
      <c r="J374" s="6" t="inlineStr">
        <is>
          <t>Kasaya geçtin. Herkes kartla ödedi. Radar boşta kaldı.</t>
        </is>
      </c>
      <c r="K374" s="6" t="inlineStr">
        <is>
          <t>Para üstünü o kadar hızlı verdin ki bir müşteriye iki kez verdin. Fark maaşından kesildi.</t>
        </is>
      </c>
      <c r="L374" s="6" t="inlineStr"/>
      <c r="M374" s="5" t="inlineStr"/>
      <c r="N374" s="5" t="inlineStr"/>
      <c r="O374" s="6" t="inlineStr"/>
      <c r="P374" s="6" t="inlineStr"/>
      <c r="Q374" s="5" t="inlineStr">
        <is>
          <t>Para Üstü Radarı</t>
        </is>
      </c>
      <c r="R374" s="5" t="inlineStr"/>
      <c r="S374" s="5" t="inlineStr"/>
      <c r="T374" s="5" t="inlineStr"/>
      <c r="U374" s="5" t="inlineStr"/>
      <c r="V374" s="5" t="inlineStr"/>
      <c r="W374" s="5" t="inlineStr"/>
      <c r="X374" s="5" t="inlineStr"/>
      <c r="Y374" s="5" t="inlineStr"/>
      <c r="Z374" s="6" t="inlineStr"/>
      <c r="AA374" s="5" t="inlineStr"/>
      <c r="AB374" s="5" t="inlineStr"/>
      <c r="AC374" s="5" t="inlineStr"/>
      <c r="AD374" s="5" t="inlineStr"/>
      <c r="AE374" s="5" t="inlineStr"/>
      <c r="AF374" s="5" t="inlineStr"/>
      <c r="AG374" s="5" t="inlineStr"/>
      <c r="AH374" s="5" t="inlineStr"/>
    </row>
    <row r="375">
      <c r="A375" s="5" t="inlineStr">
        <is>
          <t>b5-yaz-isi-garson</t>
        </is>
      </c>
      <c r="B375" s="5" t="n">
        <v>4</v>
      </c>
      <c r="C375" s="6" t="inlineStr">
        <is>
          <t>İlk gün istifa et</t>
        </is>
      </c>
      <c r="D375" s="5" t="inlineStr"/>
      <c r="E375" s="5" t="inlineStr"/>
      <c r="F375" s="5" t="inlineStr">
        <is>
          <t>Pişkinlik +1</t>
        </is>
      </c>
      <c r="G375" s="6" t="inlineStr">
        <is>
          <t>İlk gün istifa ettin. Çay bahçesi seni tanımadan kaybetti. İş deneyimi hanesi: yarım gün.</t>
        </is>
      </c>
      <c r="H375" s="6" t="inlineStr"/>
      <c r="I375" s="6" t="inlineStr"/>
      <c r="J375" s="6" t="inlineStr"/>
      <c r="K375" s="6" t="inlineStr"/>
      <c r="L375" s="6" t="inlineStr"/>
      <c r="M375" s="5" t="inlineStr"/>
      <c r="N375" s="5" t="inlineStr"/>
      <c r="O375" s="6" t="inlineStr"/>
      <c r="P375" s="6" t="inlineStr"/>
      <c r="Q375" s="5" t="inlineStr"/>
      <c r="R375" s="5" t="inlineStr"/>
      <c r="S375" s="5" t="inlineStr"/>
      <c r="T375" s="5" t="inlineStr"/>
      <c r="U375" s="5" t="inlineStr"/>
      <c r="V375" s="5" t="inlineStr"/>
      <c r="W375" s="5" t="inlineStr"/>
      <c r="X375" s="5" t="inlineStr"/>
      <c r="Y375" s="5" t="inlineStr"/>
      <c r="Z375" s="6" t="inlineStr"/>
      <c r="AA375" s="5" t="inlineStr"/>
      <c r="AB375" s="5" t="inlineStr"/>
      <c r="AC375" s="5" t="inlineStr"/>
      <c r="AD375" s="5" t="inlineStr"/>
      <c r="AE375" s="5" t="inlineStr"/>
      <c r="AF375" s="5" t="inlineStr"/>
      <c r="AG375" s="5" t="inlineStr"/>
      <c r="AH375" s="5" t="inlineStr"/>
    </row>
    <row r="376">
      <c r="A376" s="5" t="inlineStr">
        <is>
          <t>b5-ilk-maas</t>
        </is>
      </c>
      <c r="B376" s="5" t="n">
        <v>1</v>
      </c>
      <c r="C376" s="6" t="inlineStr">
        <is>
          <t>Annene hediye al</t>
        </is>
      </c>
      <c r="D376" s="5" t="inlineStr"/>
      <c r="E376" s="5" t="inlineStr"/>
      <c r="F376" s="5" t="inlineStr">
        <is>
          <t>İtibar +2</t>
        </is>
      </c>
      <c r="G376" s="6" t="inlineStr">
        <is>
          <t>Annene bir fular aldın. Beğenmedi. Dolabın en özel çekmecesinde, etiketiyle duruyor.</t>
        </is>
      </c>
      <c r="H376" s="6" t="inlineStr"/>
      <c r="I376" s="6" t="inlineStr"/>
      <c r="J376" s="6" t="inlineStr"/>
      <c r="K376" s="6" t="inlineStr"/>
      <c r="L376" s="6" t="inlineStr"/>
      <c r="M376" s="5" t="inlineStr"/>
      <c r="N376" s="5" t="inlineStr"/>
      <c r="O376" s="6" t="inlineStr"/>
      <c r="P376" s="6" t="inlineStr"/>
      <c r="Q376" s="5" t="inlineStr"/>
      <c r="R376" s="5" t="inlineStr"/>
      <c r="S376" s="5" t="inlineStr"/>
      <c r="T376" s="5" t="inlineStr"/>
      <c r="U376" s="5" t="inlineStr"/>
      <c r="V376" s="5" t="inlineStr"/>
      <c r="W376" s="5" t="inlineStr"/>
      <c r="X376" s="5" t="inlineStr"/>
      <c r="Y376" s="5" t="inlineStr"/>
      <c r="Z376" s="6" t="inlineStr"/>
      <c r="AA376" s="5" t="inlineStr"/>
      <c r="AB376" s="5" t="inlineStr"/>
      <c r="AC376" s="5" t="inlineStr"/>
      <c r="AD376" s="5" t="inlineStr"/>
      <c r="AE376" s="5" t="inlineStr"/>
      <c r="AF376" s="5" t="inlineStr"/>
      <c r="AG376" s="5" t="inlineStr"/>
      <c r="AH376" s="5" t="inlineStr"/>
    </row>
    <row r="377">
      <c r="A377" s="5" t="inlineStr">
        <is>
          <t>b5-ilk-maas</t>
        </is>
      </c>
      <c r="B377" s="5" t="n">
        <v>2</v>
      </c>
      <c r="C377" s="6" t="inlineStr">
        <is>
          <t>Hepsini biriktir</t>
        </is>
      </c>
      <c r="D377" s="5" t="inlineStr">
        <is>
          <t>Dayanıklılık</t>
        </is>
      </c>
      <c r="E377" s="5" t="inlineStr">
        <is>
          <t>Orta</t>
        </is>
      </c>
      <c r="F377" s="5" t="inlineStr"/>
      <c r="G377" s="6" t="inlineStr"/>
      <c r="H377" s="6" t="inlineStr">
        <is>
          <t>Hepsini biriktirdin. Yaz sonunda para hâlâ oradaydı; değeri biraz eksikti.</t>
        </is>
      </c>
      <c r="I377" s="6" t="inlineStr">
        <is>
          <t>Bir yıl boyunca dokunmadın. Ailen ilk kez senden borç istedi.</t>
        </is>
      </c>
      <c r="J377" s="6" t="inlineStr">
        <is>
          <t>İlk hafta sonu küçük bir istisna yaptın. Sonra bir tane daha. Sonra bir tane daha.</t>
        </is>
      </c>
      <c r="K377" s="6" t="inlineStr">
        <is>
          <t>Parayı çok iyi bir yere sakladın. Yeri hâlâ bilinmiyor.</t>
        </is>
      </c>
      <c r="L377" s="6" t="inlineStr"/>
      <c r="M377" s="5" t="inlineStr"/>
      <c r="N377" s="5" t="inlineStr"/>
      <c r="O377" s="6" t="inlineStr"/>
      <c r="P377" s="6" t="inlineStr"/>
      <c r="Q377" s="5" t="inlineStr"/>
      <c r="R377" s="5" t="inlineStr"/>
      <c r="S377" s="5" t="inlineStr"/>
      <c r="T377" s="5" t="inlineStr"/>
      <c r="U377" s="5" t="inlineStr"/>
      <c r="V377" s="5" t="inlineStr"/>
      <c r="W377" s="5" t="inlineStr"/>
      <c r="X377" s="5" t="inlineStr"/>
      <c r="Y377" s="5" t="inlineStr"/>
      <c r="Z377" s="6" t="inlineStr"/>
      <c r="AA377" s="5" t="inlineStr"/>
      <c r="AB377" s="5" t="inlineStr"/>
      <c r="AC377" s="5" t="inlineStr"/>
      <c r="AD377" s="5" t="inlineStr"/>
      <c r="AE377" s="5" t="inlineStr"/>
      <c r="AF377" s="5" t="inlineStr"/>
      <c r="AG377" s="5" t="inlineStr"/>
      <c r="AH377" s="5" t="inlineStr"/>
    </row>
    <row r="378">
      <c r="A378" s="5" t="inlineStr">
        <is>
          <t>b5-ilk-maas</t>
        </is>
      </c>
      <c r="B378" s="5" t="n">
        <v>3</v>
      </c>
      <c r="C378" s="6" t="inlineStr">
        <is>
          <t>Dijital paraya yatır</t>
        </is>
      </c>
      <c r="D378" s="5" t="inlineStr">
        <is>
          <t>Kurnazlık</t>
        </is>
      </c>
      <c r="E378" s="5" t="inlineStr">
        <is>
          <t>Orta</t>
        </is>
      </c>
      <c r="F378" s="5" t="inlineStr"/>
      <c r="G378" s="6" t="inlineStr"/>
      <c r="H378" s="6" t="inlineStr">
        <is>
          <t>Bir ay sonra küçük bir kârla çıktın. Sınıfta sana 'yatırımcı' diyorlar.</t>
        </is>
      </c>
      <c r="I378" s="6" t="inlineStr">
        <is>
          <t>İkiye katladın ve sattın. Ertesi gün piyasa çöktü. Kimse sana inanmıyor.</t>
        </is>
      </c>
      <c r="J378" s="6" t="inlineStr">
        <is>
          <t>Değeri düştü. İstemeden 'uzun vadeli yatırımcı' oldun.</t>
        </is>
      </c>
      <c r="K378" s="6" t="inlineStr">
        <is>
          <t>Yatırdığın dijital paranın kurucusu bir hafta sonra 'mola' verdi. Paran da mola verdi.</t>
        </is>
      </c>
      <c r="L378" s="6" t="inlineStr"/>
      <c r="M378" s="5" t="inlineStr"/>
      <c r="N378" s="5" t="inlineStr"/>
      <c r="O378" s="6" t="inlineStr"/>
      <c r="P378" s="6" t="inlineStr"/>
      <c r="Q378" s="5" t="inlineStr"/>
      <c r="R378" s="5" t="inlineStr"/>
      <c r="S378" s="5" t="inlineStr">
        <is>
          <t>Kurnazlık</t>
        </is>
      </c>
      <c r="T378" s="5" t="inlineStr"/>
      <c r="U378" s="5" t="inlineStr"/>
      <c r="V378" s="5" t="inlineStr"/>
      <c r="W378" s="5" t="inlineStr"/>
      <c r="X378" s="5" t="inlineStr"/>
      <c r="Y378" s="5" t="inlineStr"/>
      <c r="Z378" s="6" t="inlineStr"/>
      <c r="AA378" s="5" t="inlineStr"/>
      <c r="AB378" s="5" t="inlineStr"/>
      <c r="AC378" s="5" t="inlineStr"/>
      <c r="AD378" s="5" t="inlineStr"/>
      <c r="AE378" s="5" t="inlineStr"/>
      <c r="AF378" s="5" t="inlineStr"/>
      <c r="AG378" s="5" t="inlineStr"/>
      <c r="AH378" s="5" t="inlineStr"/>
    </row>
    <row r="379">
      <c r="A379" s="5" t="inlineStr">
        <is>
          <t>b5-ilk-maas</t>
        </is>
      </c>
      <c r="B379" s="5" t="n">
        <v>4</v>
      </c>
      <c r="C379" s="6" t="inlineStr">
        <is>
          <t>Patrondan zam iste</t>
        </is>
      </c>
      <c r="D379" s="5" t="inlineStr">
        <is>
          <t>Çene</t>
        </is>
      </c>
      <c r="E379" s="5" t="inlineStr">
        <is>
          <t>Zor</t>
        </is>
      </c>
      <c r="F379" s="5" t="inlineStr"/>
      <c r="G379" s="6" t="inlineStr"/>
      <c r="H379" s="6" t="inlineStr">
        <is>
          <t>Zam istedin, aldın. Gelecek yaz için yeni ücret tarifesi imzalandı.</t>
        </is>
      </c>
      <c r="I379" s="6" t="inlineStr">
        <is>
          <t>Zamla birlikte bir de 'sezon primi' icat ettin. Patron hâlâ ne olduğunu anlamadı.</t>
        </is>
      </c>
      <c r="J379" s="6" t="inlineStr">
        <is>
          <t>Zam istedin. Patron 'Seneye' dedi. Seneye çay bahçesi devrediliyor.</t>
        </is>
      </c>
      <c r="K379" s="6" t="inlineStr">
        <is>
          <t>Zam istedin. Patron maaşını yeniden hesapladı. İki kırık bardak unutulmamıştı.</t>
        </is>
      </c>
      <c r="L379" s="6" t="inlineStr"/>
      <c r="M379" s="5" t="inlineStr"/>
      <c r="N379" s="5" t="inlineStr"/>
      <c r="O379" s="6" t="inlineStr"/>
      <c r="P379" s="6" t="inlineStr"/>
      <c r="Q379" s="5" t="inlineStr"/>
      <c r="R379" s="5" t="inlineStr">
        <is>
          <t>ilkKelimePara</t>
        </is>
      </c>
      <c r="S379" s="5" t="inlineStr"/>
      <c r="T379" s="5" t="inlineStr"/>
      <c r="U379" s="5" t="inlineStr"/>
      <c r="V379" s="5" t="inlineStr"/>
      <c r="W379" s="5" t="inlineStr"/>
      <c r="X379" s="5" t="inlineStr"/>
      <c r="Y379" s="5" t="inlineStr"/>
      <c r="Z379" s="6" t="inlineStr"/>
      <c r="AA379" s="5" t="inlineStr"/>
      <c r="AB379" s="5" t="inlineStr"/>
      <c r="AC379" s="5" t="inlineStr"/>
      <c r="AD379" s="5" t="inlineStr"/>
      <c r="AE379" s="5" t="inlineStr"/>
      <c r="AF379" s="5" t="inlineStr"/>
      <c r="AG379" s="5" t="inlineStr"/>
      <c r="AH379" s="5" t="inlineStr"/>
    </row>
    <row r="380">
      <c r="A380" s="5" t="inlineStr">
        <is>
          <t>b5-ayrilik</t>
        </is>
      </c>
      <c r="B380" s="5" t="n">
        <v>1</v>
      </c>
      <c r="C380" s="6" t="inlineStr">
        <is>
          <t>Olgunca karşıla</t>
        </is>
      </c>
      <c r="D380" s="5" t="inlineStr"/>
      <c r="E380" s="5" t="inlineStr"/>
      <c r="F380" s="5" t="inlineStr">
        <is>
          <t>Dayanıklılık +2</t>
        </is>
      </c>
      <c r="G380" s="6" t="inlineStr">
        <is>
          <t>Olgunca konuştunuz, iyi dilekler dilediniz. Sonra eve gidip üç saat aynı şarkıyı dinledin.</t>
        </is>
      </c>
      <c r="H380" s="6" t="inlineStr"/>
      <c r="I380" s="6" t="inlineStr"/>
      <c r="J380" s="6" t="inlineStr"/>
      <c r="K380" s="6" t="inlineStr"/>
      <c r="L380" s="6" t="inlineStr"/>
      <c r="M380" s="5" t="inlineStr"/>
      <c r="N380" s="5" t="inlineStr"/>
      <c r="O380" s="6" t="inlineStr"/>
      <c r="P380" s="6" t="inlineStr"/>
      <c r="Q380" s="5" t="inlineStr"/>
      <c r="R380" s="5" t="inlineStr"/>
      <c r="S380" s="5" t="inlineStr"/>
      <c r="T380" s="5" t="inlineStr"/>
      <c r="U380" s="5" t="inlineStr">
        <is>
          <t>ilk-ayrilik</t>
        </is>
      </c>
      <c r="V380" s="5" t="inlineStr"/>
      <c r="W380" s="5" t="inlineStr"/>
      <c r="X380" s="5" t="inlineStr">
        <is>
          <t>ilk-sevgili</t>
        </is>
      </c>
      <c r="Y380" s="5" t="inlineStr"/>
      <c r="Z380" s="6" t="inlineStr"/>
      <c r="AA380" s="5" t="inlineStr"/>
      <c r="AB380" s="5" t="inlineStr"/>
      <c r="AC380" s="5" t="inlineStr"/>
      <c r="AD380" s="5" t="inlineStr"/>
      <c r="AE380" s="5" t="inlineStr"/>
      <c r="AF380" s="5" t="inlineStr"/>
      <c r="AG380" s="5" t="inlineStr"/>
      <c r="AH380" s="5" t="inlineStr"/>
    </row>
    <row r="381">
      <c r="A381" s="5" t="inlineStr">
        <is>
          <t>b5-ayrilik</t>
        </is>
      </c>
      <c r="B381" s="5" t="n">
        <v>2</v>
      </c>
      <c r="C381" s="6" t="inlineStr">
        <is>
          <t>Önce sen yaz</t>
        </is>
      </c>
      <c r="D381" s="5" t="inlineStr">
        <is>
          <t>Kurnazlık</t>
        </is>
      </c>
      <c r="E381" s="5" t="inlineStr">
        <is>
          <t>Zor</t>
        </is>
      </c>
      <c r="F381" s="5" t="inlineStr"/>
      <c r="G381" s="6" t="inlineStr"/>
      <c r="H381" s="6" t="inlineStr">
        <is>
          <t>O yazmadan sen yazdın: 'Bence ikimiz de biliyoruz.' Kayıtlara ayrılan taraf olarak geçtin.</t>
        </is>
      </c>
      <c r="I381" s="6" t="inlineStr">
        <is>
          <t>Mesajın o kadar zarifti ki ekran görüntüsü arkadaş gruplarında örnek metin olarak dolaşıyor.</t>
        </is>
      </c>
      <c r="J381" s="6" t="inlineStr">
        <is>
          <t>Sen yazarken o da yazıyordu. Mesajlar aynı saniyede gitti. Beraberlik.</t>
        </is>
      </c>
      <c r="K381" s="6" t="inlineStr">
        <is>
          <t>Ayrılık mesajını aile grubuna gönderdin. Babaannen 'Kimle?' diye sordu.</t>
        </is>
      </c>
      <c r="L381" s="6" t="inlineStr"/>
      <c r="M381" s="5" t="inlineStr"/>
      <c r="N381" s="5" t="inlineStr"/>
      <c r="O381" s="6" t="inlineStr"/>
      <c r="P381" s="6" t="inlineStr"/>
      <c r="Q381" s="5" t="inlineStr"/>
      <c r="R381" s="5" t="inlineStr"/>
      <c r="S381" s="5" t="inlineStr"/>
      <c r="T381" s="5" t="inlineStr"/>
      <c r="U381" s="5" t="inlineStr">
        <is>
          <t>ilk-ayrilik</t>
        </is>
      </c>
      <c r="V381" s="5" t="inlineStr"/>
      <c r="W381" s="5" t="inlineStr"/>
      <c r="X381" s="5" t="inlineStr">
        <is>
          <t>ilk-sevgili</t>
        </is>
      </c>
      <c r="Y381" s="5" t="inlineStr"/>
      <c r="Z381" s="6" t="inlineStr"/>
      <c r="AA381" s="5" t="inlineStr"/>
      <c r="AB381" s="5" t="inlineStr"/>
      <c r="AC381" s="5" t="inlineStr"/>
      <c r="AD381" s="5" t="inlineStr"/>
      <c r="AE381" s="5" t="inlineStr"/>
      <c r="AF381" s="5" t="inlineStr"/>
      <c r="AG381" s="5" t="inlineStr"/>
      <c r="AH381" s="5" t="inlineStr"/>
    </row>
    <row r="382">
      <c r="A382" s="5" t="inlineStr">
        <is>
          <t>b5-ayrilik</t>
        </is>
      </c>
      <c r="B382" s="5" t="n">
        <v>3</v>
      </c>
      <c r="C382" s="6" t="inlineStr">
        <is>
          <t>Kazanmaya çalış</t>
        </is>
      </c>
      <c r="D382" s="5" t="inlineStr">
        <is>
          <t>Çene</t>
        </is>
      </c>
      <c r="E382" s="5" t="inlineStr">
        <is>
          <t>Orta</t>
        </is>
      </c>
      <c r="F382" s="5" t="inlineStr"/>
      <c r="G382" s="6" t="inlineStr"/>
      <c r="H382" s="6" t="inlineStr">
        <is>
          <t>Konuştunuz ve bir şans daha verildi. İki hafta daha el ele. Sonra yine üç nokta.</t>
        </is>
      </c>
      <c r="I382" s="6" t="inlineStr">
        <is>
          <t>Barıştınız, bir de ortak fotoğraf paylaştınız. Ayrılık resmî olarak ertelendi.</t>
        </is>
      </c>
      <c r="J382" s="6" t="inlineStr">
        <is>
          <t>Uzun bir mesaj yazdın. Cevap: 'Tamam 👍'. Başparmak her şeyi anlattı.</t>
        </is>
      </c>
      <c r="K382" s="6" t="inlineStr">
        <is>
          <t>Bir şarkı söyleyip sesli mesaj olarak gönderdin. O sesli mesaj şu an okul koridorlarında.</t>
        </is>
      </c>
      <c r="L382" s="6" t="inlineStr"/>
      <c r="M382" s="5" t="inlineStr"/>
      <c r="N382" s="5" t="inlineStr"/>
      <c r="O382" s="6" t="inlineStr"/>
      <c r="P382" s="6" t="inlineStr"/>
      <c r="Q382" s="5" t="inlineStr"/>
      <c r="R382" s="5" t="inlineStr"/>
      <c r="S382" s="5" t="inlineStr"/>
      <c r="T382" s="5" t="inlineStr"/>
      <c r="U382" s="5" t="inlineStr"/>
      <c r="V382" s="5" t="inlineStr"/>
      <c r="W382" s="5" t="inlineStr"/>
      <c r="X382" s="5" t="inlineStr"/>
      <c r="Y382" s="5" t="inlineStr"/>
      <c r="Z382" s="6" t="inlineStr"/>
      <c r="AA382" s="5" t="inlineStr"/>
      <c r="AB382" s="5" t="inlineStr"/>
      <c r="AC382" s="5" t="inlineStr"/>
      <c r="AD382" s="5" t="inlineStr"/>
      <c r="AE382" s="5" t="inlineStr"/>
      <c r="AF382" s="5" t="inlineStr"/>
      <c r="AG382" s="5" t="inlineStr"/>
      <c r="AH382" s="5" t="inlineStr"/>
    </row>
    <row r="383">
      <c r="A383" s="5" t="inlineStr">
        <is>
          <t>b5-ayrilik</t>
        </is>
      </c>
      <c r="B383" s="5" t="n">
        <v>4</v>
      </c>
      <c r="C383" s="6" t="inlineStr">
        <is>
          <t>Ayrılığı espriye çevir</t>
        </is>
      </c>
      <c r="D383" s="5" t="inlineStr">
        <is>
          <t>Pişkinlik</t>
        </is>
      </c>
      <c r="E383" s="5" t="inlineStr">
        <is>
          <t>Kolay</t>
        </is>
      </c>
      <c r="F383" s="5" t="inlineStr"/>
      <c r="G383" s="6" t="inlineStr"/>
      <c r="H383" s="6" t="inlineStr">
        <is>
          <t>Ayrılığı arkadaşlarına komik bir hikâye olarak anlattın. İki hafta sonra sen de gülüyordun.</t>
        </is>
      </c>
      <c r="I383" s="6" t="inlineStr">
        <is>
          <t>Hikâyeyi öyle anlattın ki eski sevgilin bile güldü. Gerçekten arkadaş kaldınız.</t>
        </is>
      </c>
      <c r="J383" s="6" t="inlineStr">
        <is>
          <t>Espri yaptın. Kimse gülmedi. Herkes sana acıyarak baktı.</t>
        </is>
      </c>
      <c r="K383" s="6" t="inlineStr">
        <is>
          <t>Esprin eski sevgilinin kulağına gitti. O da senin hakkında bir espri yaptı. Onunki daha iyiydi.</t>
        </is>
      </c>
      <c r="L383" s="6" t="inlineStr"/>
      <c r="M383" s="5" t="inlineStr"/>
      <c r="N383" s="5" t="inlineStr"/>
      <c r="O383" s="6" t="inlineStr"/>
      <c r="P383" s="6" t="inlineStr"/>
      <c r="Q383" s="5" t="inlineStr">
        <is>
          <t>Kendine Gülebilir</t>
        </is>
      </c>
      <c r="R383" s="5" t="inlineStr"/>
      <c r="S383" s="5" t="inlineStr"/>
      <c r="T383" s="5" t="inlineStr"/>
      <c r="U383" s="5" t="inlineStr">
        <is>
          <t>ilk-ayrilik</t>
        </is>
      </c>
      <c r="V383" s="5" t="inlineStr"/>
      <c r="W383" s="5" t="inlineStr"/>
      <c r="X383" s="5" t="inlineStr">
        <is>
          <t>ilk-sevgili</t>
        </is>
      </c>
      <c r="Y383" s="5" t="inlineStr"/>
      <c r="Z383" s="6" t="inlineStr"/>
      <c r="AA383" s="5" t="inlineStr"/>
      <c r="AB383" s="5" t="inlineStr"/>
      <c r="AC383" s="5" t="inlineStr"/>
      <c r="AD383" s="5" t="inlineStr"/>
      <c r="AE383" s="5" t="inlineStr"/>
      <c r="AF383" s="5" t="inlineStr"/>
      <c r="AG383" s="5" t="inlineStr"/>
      <c r="AH383" s="5" t="inlineStr"/>
    </row>
    <row r="384">
      <c r="A384" s="5" t="inlineStr">
        <is>
          <t>b5-beden-dersi</t>
        </is>
      </c>
      <c r="B384" s="5" t="n">
        <v>1</v>
      </c>
      <c r="C384" s="6" t="inlineStr">
        <is>
          <t>Pasör ol</t>
        </is>
      </c>
      <c r="D384" s="5" t="inlineStr">
        <is>
          <t>Dayanıklılık</t>
        </is>
      </c>
      <c r="E384" s="5" t="inlineStr">
        <is>
          <t>Orta</t>
        </is>
      </c>
      <c r="F384" s="5" t="inlineStr"/>
      <c r="G384" s="6" t="inlineStr"/>
      <c r="H384" s="6" t="inlineStr">
        <is>
          <t>Pasör oldun; takımın iki maç kazandı. Asist listesinin başındasın.</t>
        </is>
      </c>
      <c r="I384" s="6" t="inlineStr">
        <is>
          <t>Paslarını gören beden öğretmeni seni okul takımına çağırdı. Adını ilk kez doğru söyledi.</t>
        </is>
      </c>
      <c r="J384" s="6" t="inlineStr">
        <is>
          <t>Pas verdin. Top tavandaki lambaya gitti. Lamba hâlâ sallanıyor.</t>
        </is>
      </c>
      <c r="K384" s="6" t="inlineStr">
        <is>
          <t>Servisi fazla güçlü attın. Top duvarı aşıp komşu bahçeye düştü. Komşu vermedi; turnuva bitti.</t>
        </is>
      </c>
      <c r="L384" s="6" t="inlineStr"/>
      <c r="M384" s="5" t="inlineStr"/>
      <c r="N384" s="5" t="inlineStr"/>
      <c r="O384" s="6" t="inlineStr"/>
      <c r="P384" s="6" t="inlineStr"/>
      <c r="Q384" s="5" t="inlineStr"/>
      <c r="R384" s="5" t="inlineStr"/>
      <c r="S384" s="5" t="inlineStr"/>
      <c r="T384" s="5" t="inlineStr"/>
      <c r="U384" s="5" t="inlineStr"/>
      <c r="V384" s="5" t="inlineStr"/>
      <c r="W384" s="5" t="inlineStr"/>
      <c r="X384" s="5" t="inlineStr"/>
      <c r="Y384" s="5" t="inlineStr"/>
      <c r="Z384" s="6" t="inlineStr"/>
      <c r="AA384" s="5" t="inlineStr"/>
      <c r="AB384" s="5" t="inlineStr"/>
      <c r="AC384" s="5" t="inlineStr"/>
      <c r="AD384" s="5" t="inlineStr"/>
      <c r="AE384" s="5" t="inlineStr"/>
      <c r="AF384" s="5" t="inlineStr"/>
      <c r="AG384" s="5" t="inlineStr"/>
      <c r="AH384" s="5" t="inlineStr"/>
    </row>
    <row r="385">
      <c r="A385" s="5" t="inlineStr">
        <is>
          <t>b5-beden-dersi</t>
        </is>
      </c>
      <c r="B385" s="5" t="n">
        <v>2</v>
      </c>
      <c r="C385" s="6" t="inlineStr">
        <is>
          <t>Kenarda puan tut</t>
        </is>
      </c>
      <c r="D385" s="5" t="inlineStr"/>
      <c r="E385" s="5" t="inlineStr"/>
      <c r="F385" s="5" t="inlineStr">
        <is>
          <t>Akıl +1</t>
        </is>
      </c>
      <c r="G385" s="6" t="inlineStr">
        <is>
          <t>Maç 25-23 bitti. Sen 25-24 yazdın. İtiraz eden olmadı; defter sende.</t>
        </is>
      </c>
      <c r="H385" s="6" t="inlineStr"/>
      <c r="I385" s="6" t="inlineStr"/>
      <c r="J385" s="6" t="inlineStr"/>
      <c r="K385" s="6" t="inlineStr"/>
      <c r="L385" s="6" t="inlineStr"/>
      <c r="M385" s="5" t="inlineStr"/>
      <c r="N385" s="5" t="inlineStr"/>
      <c r="O385" s="6" t="inlineStr"/>
      <c r="P385" s="6" t="inlineStr"/>
      <c r="Q385" s="5" t="inlineStr"/>
      <c r="R385" s="5" t="inlineStr"/>
      <c r="S385" s="5" t="inlineStr"/>
      <c r="T385" s="5" t="inlineStr"/>
      <c r="U385" s="5" t="inlineStr"/>
      <c r="V385" s="5" t="inlineStr"/>
      <c r="W385" s="5" t="inlineStr"/>
      <c r="X385" s="5" t="inlineStr"/>
      <c r="Y385" s="5" t="inlineStr"/>
      <c r="Z385" s="6" t="inlineStr"/>
      <c r="AA385" s="5" t="inlineStr"/>
      <c r="AB385" s="5" t="inlineStr"/>
      <c r="AC385" s="5" t="inlineStr"/>
      <c r="AD385" s="5" t="inlineStr"/>
      <c r="AE385" s="5" t="inlineStr"/>
      <c r="AF385" s="5" t="inlineStr"/>
      <c r="AG385" s="5" t="inlineStr"/>
      <c r="AH385" s="5" t="inlineStr"/>
    </row>
    <row r="386">
      <c r="A386" s="5" t="inlineStr">
        <is>
          <t>b5-beden-dersi</t>
        </is>
      </c>
      <c r="B386" s="5" t="n">
        <v>3</v>
      </c>
      <c r="C386" s="6" t="inlineStr">
        <is>
          <t>Eski sakatlığını hatırlat</t>
        </is>
      </c>
      <c r="D386" s="5" t="inlineStr">
        <is>
          <t>Pişkinlik</t>
        </is>
      </c>
      <c r="E386" s="5" t="inlineStr">
        <is>
          <t>Kolay</t>
        </is>
      </c>
      <c r="F386" s="5" t="inlineStr"/>
      <c r="G386" s="6" t="inlineStr"/>
      <c r="H386" s="6" t="inlineStr">
        <is>
          <t>'Kolum bir kere kırılmıştı' dedin. Hem kenarda oturdun hem de saygı kazandın.</t>
        </is>
      </c>
      <c r="I386" s="6" t="inlineStr">
        <is>
          <t>Hikâyeyi öyle anlattın ki öğretmen seni bütün dönem hakem ilan etti. Düdük sende.</t>
        </is>
      </c>
      <c r="J386" s="6" t="inlineStr">
        <is>
          <t>'Kolum bir kere kırılmıştı' dedin. Öğretmen 'Diğeri sağlam ama' dedi.</t>
        </is>
      </c>
      <c r="K386" s="6" t="inlineStr">
        <is>
          <t>Sınıftan biri 'Tepsiyle kaymıştın, değil mi?' diye sordu. Lakabın dört yıl boyunca 'Tepsi' oldu.</t>
        </is>
      </c>
      <c r="L386" s="6" t="inlineStr"/>
      <c r="M386" s="5" t="inlineStr"/>
      <c r="N386" s="5" t="inlineStr"/>
      <c r="O386" s="6" t="inlineStr"/>
      <c r="P386" s="6" t="inlineStr"/>
      <c r="Q386" s="5" t="inlineStr"/>
      <c r="R386" s="5" t="inlineStr">
        <is>
          <t>alcili-kol</t>
        </is>
      </c>
      <c r="S386" s="5" t="inlineStr"/>
      <c r="T386" s="5" t="inlineStr"/>
      <c r="U386" s="5" t="inlineStr"/>
      <c r="V386" s="5" t="inlineStr"/>
      <c r="W386" s="5" t="inlineStr"/>
      <c r="X386" s="5" t="inlineStr"/>
      <c r="Y386" s="5" t="inlineStr"/>
      <c r="Z386" s="6" t="inlineStr"/>
      <c r="AA386" s="5" t="inlineStr"/>
      <c r="AB386" s="5" t="inlineStr"/>
      <c r="AC386" s="5" t="inlineStr"/>
      <c r="AD386" s="5" t="inlineStr"/>
      <c r="AE386" s="5" t="inlineStr"/>
      <c r="AF386" s="5" t="inlineStr"/>
      <c r="AG386" s="5" t="inlineStr"/>
      <c r="AH386" s="5" t="inlineStr"/>
    </row>
    <row r="387">
      <c r="A387" s="5" t="inlineStr">
        <is>
          <t>b5-beden-dersi</t>
        </is>
      </c>
      <c r="B387" s="5" t="n">
        <v>4</v>
      </c>
      <c r="C387" s="6" t="inlineStr">
        <is>
          <t>Takım kaptanı ol</t>
        </is>
      </c>
      <c r="D387" s="5" t="inlineStr">
        <is>
          <t>Sosyal Radar</t>
        </is>
      </c>
      <c r="E387" s="5" t="inlineStr">
        <is>
          <t>Orta</t>
        </is>
      </c>
      <c r="F387" s="5" t="inlineStr"/>
      <c r="G387" s="6" t="inlineStr"/>
      <c r="H387" s="6" t="inlineStr">
        <is>
          <t>Takımı dengeli kurdun. En son seçilen arkadaşın maçın yıldızı oldu.</t>
        </is>
      </c>
      <c r="I387" s="6" t="inlineStr">
        <is>
          <t>Turnuvayı kazandınız. Kupa yok, ama öğretmen sınıfa beş dakika ekstra teneffüs verdi.</t>
        </is>
      </c>
      <c r="J387" s="6" t="inlineStr">
        <is>
          <t>Herkes kendi arkadaşını istedi. Takım üç fraksiyona bölündü.</t>
        </is>
      </c>
      <c r="K387" s="6" t="inlineStr">
        <is>
          <t>Takımı kurarken kendini unuttun. Maçı kenardan izledin. Takımın kazandı.</t>
        </is>
      </c>
      <c r="L387" s="6" t="inlineStr"/>
      <c r="M387" s="5" t="inlineStr"/>
      <c r="N387" s="5" t="inlineStr"/>
      <c r="O387" s="6" t="inlineStr"/>
      <c r="P387" s="6" t="inlineStr"/>
      <c r="Q387" s="5" t="inlineStr">
        <is>
          <t>Asist Ustası</t>
        </is>
      </c>
      <c r="R387" s="5" t="inlineStr"/>
      <c r="S387" s="5" t="inlineStr"/>
      <c r="T387" s="5" t="inlineStr"/>
      <c r="U387" s="5" t="inlineStr"/>
      <c r="V387" s="5" t="inlineStr"/>
      <c r="W387" s="5" t="inlineStr"/>
      <c r="X387" s="5" t="inlineStr"/>
      <c r="Y387" s="5" t="inlineStr"/>
      <c r="Z387" s="6" t="inlineStr"/>
      <c r="AA387" s="5" t="inlineStr"/>
      <c r="AB387" s="5" t="inlineStr"/>
      <c r="AC387" s="5" t="inlineStr"/>
      <c r="AD387" s="5" t="inlineStr"/>
      <c r="AE387" s="5" t="inlineStr"/>
      <c r="AF387" s="5" t="inlineStr"/>
      <c r="AG387" s="5" t="inlineStr"/>
      <c r="AH387" s="5" t="inlineStr"/>
    </row>
    <row r="388">
      <c r="A388" s="5" t="inlineStr">
        <is>
          <t>b5-kafede-ders</t>
        </is>
      </c>
      <c r="B388" s="5" t="n">
        <v>1</v>
      </c>
      <c r="C388" s="6" t="inlineStr">
        <is>
          <t>Gerçekten ders çalış</t>
        </is>
      </c>
      <c r="D388" s="5" t="inlineStr">
        <is>
          <t>Akıl</t>
        </is>
      </c>
      <c r="E388" s="5" t="inlineStr">
        <is>
          <t>Zor</t>
        </is>
      </c>
      <c r="F388" s="5" t="inlineStr"/>
      <c r="G388" s="6" t="inlineStr"/>
      <c r="H388" s="6" t="inlineStr">
        <is>
          <t>Kulaklığı taktın ve iki ünite bitirdin. Arkadaşların bunu ihanet olarak değerlendirdi.</t>
        </is>
      </c>
      <c r="I388" s="6" t="inlineStr">
        <is>
          <t>Üç ünite bitirdin, masaya da özet çıkardın. Kafe fiilen etüt merkezine döndü.</t>
        </is>
      </c>
      <c r="J388" s="6" t="inlineStr">
        <is>
          <t>Kitabı açtın. Karşındaki bir video gösterdi. Kitap kapandı. Açılış töreni başarılıydı.</t>
        </is>
      </c>
      <c r="K388" s="6" t="inlineStr">
        <is>
          <t>Beş saat boyunca aynı sayfaya baktın. Konuyu değil, sayfa numarasını ezberledin: 48.</t>
        </is>
      </c>
      <c r="L388" s="6" t="inlineStr"/>
      <c r="M388" s="5" t="inlineStr"/>
      <c r="N388" s="5" t="inlineStr"/>
      <c r="O388" s="6" t="inlineStr"/>
      <c r="P388" s="6" t="inlineStr"/>
      <c r="Q388" s="5" t="inlineStr"/>
      <c r="R388" s="5" t="inlineStr"/>
      <c r="S388" s="5" t="inlineStr"/>
      <c r="T388" s="5" t="inlineStr"/>
      <c r="U388" s="5" t="inlineStr"/>
      <c r="V388" s="5" t="inlineStr"/>
      <c r="W388" s="5" t="inlineStr"/>
      <c r="X388" s="5" t="inlineStr"/>
      <c r="Y388" s="5" t="inlineStr"/>
      <c r="Z388" s="6" t="inlineStr"/>
      <c r="AA388" s="5" t="inlineStr"/>
      <c r="AB388" s="5" t="inlineStr"/>
      <c r="AC388" s="5" t="inlineStr"/>
      <c r="AD388" s="5" t="inlineStr"/>
      <c r="AE388" s="5" t="inlineStr"/>
      <c r="AF388" s="5" t="inlineStr"/>
      <c r="AG388" s="5" t="inlineStr"/>
      <c r="AH388" s="5" t="inlineStr"/>
    </row>
    <row r="389">
      <c r="A389" s="5" t="inlineStr">
        <is>
          <t>b5-kafede-ders</t>
        </is>
      </c>
      <c r="B389" s="5" t="n">
        <v>2</v>
      </c>
      <c r="C389" s="6" t="inlineStr">
        <is>
          <t>Sohbete katıl</t>
        </is>
      </c>
      <c r="D389" s="5" t="inlineStr"/>
      <c r="E389" s="5" t="inlineStr"/>
      <c r="F389" s="5" t="inlineStr">
        <is>
          <t>Sosyal Radar +1</t>
        </is>
      </c>
      <c r="G389" s="6" t="inlineStr">
        <is>
          <t>Beş saat sohbet ettiniz. Kimin kimden hoşlandığını öğrendin. Sınavda o sorulmayacak.</t>
        </is>
      </c>
      <c r="H389" s="6" t="inlineStr"/>
      <c r="I389" s="6" t="inlineStr"/>
      <c r="J389" s="6" t="inlineStr"/>
      <c r="K389" s="6" t="inlineStr"/>
      <c r="L389" s="6" t="inlineStr"/>
      <c r="M389" s="5" t="inlineStr"/>
      <c r="N389" s="5" t="inlineStr"/>
      <c r="O389" s="6" t="inlineStr"/>
      <c r="P389" s="6" t="inlineStr"/>
      <c r="Q389" s="5" t="inlineStr"/>
      <c r="R389" s="5" t="inlineStr"/>
      <c r="S389" s="5" t="inlineStr"/>
      <c r="T389" s="5" t="inlineStr"/>
      <c r="U389" s="5" t="inlineStr"/>
      <c r="V389" s="5" t="inlineStr"/>
      <c r="W389" s="5" t="inlineStr"/>
      <c r="X389" s="5" t="inlineStr"/>
      <c r="Y389" s="5" t="inlineStr"/>
      <c r="Z389" s="6" t="inlineStr"/>
      <c r="AA389" s="5" t="inlineStr"/>
      <c r="AB389" s="5" t="inlineStr"/>
      <c r="AC389" s="5" t="inlineStr"/>
      <c r="AD389" s="5" t="inlineStr"/>
      <c r="AE389" s="5" t="inlineStr"/>
      <c r="AF389" s="5" t="inlineStr"/>
      <c r="AG389" s="5" t="inlineStr"/>
      <c r="AH389" s="5" t="inlineStr"/>
    </row>
    <row r="390">
      <c r="A390" s="5" t="inlineStr">
        <is>
          <t>b5-kafede-ders</t>
        </is>
      </c>
      <c r="B390" s="5" t="n">
        <v>3</v>
      </c>
      <c r="C390" s="6" t="inlineStr">
        <is>
          <t>Garsonla arayı düzelt</t>
        </is>
      </c>
      <c r="D390" s="5" t="inlineStr">
        <is>
          <t>Çene</t>
        </is>
      </c>
      <c r="E390" s="5" t="inlineStr">
        <is>
          <t>Kolay</t>
        </is>
      </c>
      <c r="F390" s="5" t="inlineStr"/>
      <c r="G390" s="6" t="inlineStr"/>
      <c r="H390" s="6" t="inlineStr">
        <is>
          <t>Garsonla sohbet ettin; masaya ikram kurabiye geldi. Masa üç saat daha güvende.</t>
        </is>
      </c>
      <c r="I390" s="6" t="inlineStr">
        <is>
          <t>Garson masanıza 'rezerve' kartı koydu. Artık resmî bir etüt merkezisiniz.</t>
        </is>
      </c>
      <c r="J390" s="6" t="inlineStr">
        <is>
          <t>Garsona gülümsedin. Hesabı getirdi.</t>
        </is>
      </c>
      <c r="K390" s="6" t="inlineStr">
        <is>
          <t>Garson sınıftan birinin abisi çıktı. Ders çalışmadığınız haberi eve sizden önce ulaştı.</t>
        </is>
      </c>
      <c r="L390" s="6" t="inlineStr"/>
      <c r="M390" s="5" t="inlineStr"/>
      <c r="N390" s="5" t="inlineStr"/>
      <c r="O390" s="6" t="inlineStr"/>
      <c r="P390" s="6" t="inlineStr"/>
      <c r="Q390" s="5" t="inlineStr"/>
      <c r="R390" s="5" t="inlineStr"/>
      <c r="S390" s="5" t="inlineStr"/>
      <c r="T390" s="5" t="inlineStr"/>
      <c r="U390" s="5" t="inlineStr"/>
      <c r="V390" s="5" t="inlineStr"/>
      <c r="W390" s="5" t="inlineStr"/>
      <c r="X390" s="5" t="inlineStr"/>
      <c r="Y390" s="5" t="inlineStr"/>
      <c r="Z390" s="6" t="inlineStr"/>
      <c r="AA390" s="5" t="inlineStr"/>
      <c r="AB390" s="5" t="inlineStr"/>
      <c r="AC390" s="5" t="inlineStr"/>
      <c r="AD390" s="5" t="inlineStr"/>
      <c r="AE390" s="5" t="inlineStr"/>
      <c r="AF390" s="5" t="inlineStr"/>
      <c r="AG390" s="5" t="inlineStr"/>
      <c r="AH390" s="5" t="inlineStr"/>
    </row>
    <row r="391">
      <c r="A391" s="5" t="inlineStr">
        <is>
          <t>b5-deneme-sinavi</t>
        </is>
      </c>
      <c r="B391" s="5" t="n">
        <v>1</v>
      </c>
      <c r="C391" s="6" t="inlineStr">
        <is>
          <t>Nefesini düzenle, başla</t>
        </is>
      </c>
      <c r="D391" s="5" t="inlineStr">
        <is>
          <t>Dayanıklılık</t>
        </is>
      </c>
      <c r="E391" s="5" t="inlineStr">
        <is>
          <t>Zor</t>
        </is>
      </c>
      <c r="F391" s="5" t="inlineStr"/>
      <c r="G391" s="6" t="inlineStr"/>
      <c r="H391" s="6" t="inlineStr">
        <is>
          <t>Sakince çözdün. Netin geçen denemeden yedi fazla. Adın ilan panosunda.</t>
        </is>
      </c>
      <c r="I391" s="6" t="inlineStr">
        <is>
          <t>Deneme birincisi oldun. Dershane afişine fotoğrafın basıldı. Dört yıl önceki fotoğrafın.</t>
        </is>
      </c>
      <c r="J391" s="6" t="inlineStr">
        <is>
          <t>Sakin başladın ama ilk sayfada yirmi dakika kaldın. Son sayfa kuşbakışı geçildi.</t>
        </is>
      </c>
      <c r="K391" s="6" t="inlineStr">
        <is>
          <t>O kadar rahatladın ki uyudun. Gözetmen zil çalınca uyandırdı. Optik formda yüzünün izi var.</t>
        </is>
      </c>
      <c r="L391" s="6" t="inlineStr">
        <is>
          <t>Nefes tuttu, zaman tutmadı. Son on soruyu aynı şıkla doldurdun; üçü tuttu.</t>
        </is>
      </c>
      <c r="M391" s="5" t="inlineStr">
        <is>
          <t>breath</t>
        </is>
      </c>
      <c r="N391" s="5" t="inlineStr">
        <is>
          <t>Sınav Nefesi</t>
        </is>
      </c>
      <c r="O391" s="6" t="inlineStr">
        <is>
          <t>Daire büyürken nefes al, küçülürken ver. Sorular bekleyebilir.</t>
        </is>
      </c>
      <c r="P391" s="6" t="inlineStr"/>
      <c r="Q391" s="5" t="inlineStr"/>
      <c r="R391" s="5" t="inlineStr"/>
      <c r="S391" s="5" t="inlineStr"/>
      <c r="T391" s="5" t="inlineStr">
        <is>
          <t>Deneme Kurdu</t>
        </is>
      </c>
      <c r="U391" s="5" t="inlineStr"/>
      <c r="V391" s="5" t="inlineStr"/>
      <c r="W391" s="5" t="inlineStr"/>
      <c r="X391" s="5" t="inlineStr"/>
      <c r="Y391" s="5" t="inlineStr"/>
      <c r="Z391" s="6" t="inlineStr"/>
      <c r="AA391" s="5" t="inlineStr"/>
      <c r="AB391" s="5" t="inlineStr"/>
      <c r="AC391" s="5" t="inlineStr"/>
      <c r="AD391" s="5" t="inlineStr"/>
      <c r="AE391" s="5" t="inlineStr"/>
      <c r="AF391" s="5" t="inlineStr"/>
      <c r="AG391" s="5" t="inlineStr"/>
      <c r="AH391" s="5" t="inlineStr"/>
    </row>
    <row r="392">
      <c r="A392" s="5" t="inlineStr">
        <is>
          <t>b5-deneme-sinavi</t>
        </is>
      </c>
      <c r="B392" s="5" t="n">
        <v>2</v>
      </c>
      <c r="C392" s="6" t="inlineStr">
        <is>
          <t>Her soruya bir şık işaretle</t>
        </is>
      </c>
      <c r="D392" s="5" t="inlineStr"/>
      <c r="E392" s="5" t="inlineStr"/>
      <c r="F392" s="5" t="inlineStr">
        <is>
          <t>Pişkinlik +1</t>
        </is>
      </c>
      <c r="G392" s="6" t="inlineStr">
        <is>
          <t>Hiçbir soruyu boş bırakmadın. Netin istatistiksel beklentiye birebir uydu. Bilim doğrulandı.</t>
        </is>
      </c>
      <c r="H392" s="6" t="inlineStr"/>
      <c r="I392" s="6" t="inlineStr"/>
      <c r="J392" s="6" t="inlineStr"/>
      <c r="K392" s="6" t="inlineStr"/>
      <c r="L392" s="6" t="inlineStr"/>
      <c r="M392" s="5" t="inlineStr"/>
      <c r="N392" s="5" t="inlineStr"/>
      <c r="O392" s="6" t="inlineStr"/>
      <c r="P392" s="6" t="inlineStr"/>
      <c r="Q392" s="5" t="inlineStr"/>
      <c r="R392" s="5" t="inlineStr"/>
      <c r="S392" s="5" t="inlineStr"/>
      <c r="T392" s="5" t="inlineStr"/>
      <c r="U392" s="5" t="inlineStr"/>
      <c r="V392" s="5" t="inlineStr"/>
      <c r="W392" s="5" t="inlineStr"/>
      <c r="X392" s="5" t="inlineStr"/>
      <c r="Y392" s="5" t="inlineStr"/>
      <c r="Z392" s="6" t="inlineStr"/>
      <c r="AA392" s="5" t="inlineStr"/>
      <c r="AB392" s="5" t="inlineStr"/>
      <c r="AC392" s="5" t="inlineStr"/>
      <c r="AD392" s="5" t="inlineStr"/>
      <c r="AE392" s="5" t="inlineStr"/>
      <c r="AF392" s="5" t="inlineStr"/>
      <c r="AG392" s="5" t="inlineStr"/>
      <c r="AH392" s="5" t="inlineStr"/>
    </row>
    <row r="393">
      <c r="A393" s="5" t="inlineStr">
        <is>
          <t>b5-deneme-sinavi</t>
        </is>
      </c>
      <c r="B393" s="5" t="n">
        <v>3</v>
      </c>
      <c r="C393" s="6" t="inlineStr">
        <is>
          <t>Yandakinin kâğıdına bak</t>
        </is>
      </c>
      <c r="D393" s="5" t="inlineStr">
        <is>
          <t>Kurnazlık</t>
        </is>
      </c>
      <c r="E393" s="5" t="inlineStr">
        <is>
          <t>Zor</t>
        </is>
      </c>
      <c r="F393" s="5" t="inlineStr"/>
      <c r="G393" s="6" t="inlineStr"/>
      <c r="H393" s="6" t="inlineStr">
        <is>
          <t>Birkaç cevabı teyit ettin. Yandaki de senin kâğıdına bakıyormuş. Adil takas.</t>
        </is>
      </c>
      <c r="I393" s="6" t="inlineStr">
        <is>
          <t>Yandakinin doğrularını aldın, yanlışlarını atladın. Ondan yüksek aldın.</t>
        </is>
      </c>
      <c r="J393" s="6" t="inlineStr">
        <is>
          <t>Yandakine baktın; o da sana bakıyordu. İkiniz de aynı soruda takılmıştınız.</t>
        </is>
      </c>
      <c r="K393" s="6" t="inlineStr">
        <is>
          <t>Yandakinin kâğıdından birebir aldın. Kitapçık türü farklıymış. Netin eksiye düştü.</t>
        </is>
      </c>
      <c r="L393" s="6" t="inlineStr"/>
      <c r="M393" s="5" t="inlineStr"/>
      <c r="N393" s="5" t="inlineStr"/>
      <c r="O393" s="6" t="inlineStr"/>
      <c r="P393" s="6" t="inlineStr"/>
      <c r="Q393" s="5" t="inlineStr"/>
      <c r="R393" s="5" t="inlineStr"/>
      <c r="S393" s="5" t="inlineStr"/>
      <c r="T393" s="5" t="inlineStr"/>
      <c r="U393" s="5" t="inlineStr"/>
      <c r="V393" s="5" t="inlineStr"/>
      <c r="W393" s="5" t="inlineStr"/>
      <c r="X393" s="5" t="inlineStr"/>
      <c r="Y393" s="5" t="inlineStr"/>
      <c r="Z393" s="6" t="inlineStr"/>
      <c r="AA393" s="5" t="inlineStr"/>
      <c r="AB393" s="5" t="inlineStr"/>
      <c r="AC393" s="5" t="inlineStr"/>
      <c r="AD393" s="5" t="inlineStr"/>
      <c r="AE393" s="5" t="inlineStr"/>
      <c r="AF393" s="5" t="inlineStr"/>
      <c r="AG393" s="5" t="inlineStr"/>
      <c r="AH393" s="5" t="inlineStr"/>
    </row>
    <row r="394">
      <c r="A394" s="5" t="inlineStr">
        <is>
          <t>b5-deneme-sinavi</t>
        </is>
      </c>
      <c r="B394" s="5" t="n">
        <v>4</v>
      </c>
      <c r="C394" s="6" t="inlineStr">
        <is>
          <t>Soruların örüntüsünü çöz</t>
        </is>
      </c>
      <c r="D394" s="5" t="inlineStr">
        <is>
          <t>Akıl</t>
        </is>
      </c>
      <c r="E394" s="5" t="inlineStr">
        <is>
          <t>Kolay</t>
        </is>
      </c>
      <c r="F394" s="5" t="inlineStr"/>
      <c r="G394" s="6" t="inlineStr"/>
      <c r="H394" s="6" t="inlineStr">
        <is>
          <t>Soruları zorluk sırasına dizdin ve sürenin yarısında bitirdin.</t>
        </is>
      </c>
      <c r="I394" s="6" t="inlineStr">
        <is>
          <t>Soru hazırlayanın mantığını çözdün. Cevap anahtarı çıkmadan netini biliyordun.</t>
        </is>
      </c>
      <c r="J394" s="6" t="inlineStr">
        <is>
          <t>Örüntüyü aradın. Yoktu. Sorular rastgele hazırlanmış.</t>
        </is>
      </c>
      <c r="K394" s="6" t="inlineStr">
        <is>
          <t>Örüntüye o kadar daldın ki soruları çözmeye vakit kalmadı. Ama örüntü şahane.</t>
        </is>
      </c>
      <c r="L394" s="6" t="inlineStr"/>
      <c r="M394" s="5" t="inlineStr"/>
      <c r="N394" s="5" t="inlineStr"/>
      <c r="O394" s="6" t="inlineStr"/>
      <c r="P394" s="6" t="inlineStr"/>
      <c r="Q394" s="5" t="inlineStr">
        <is>
          <t>Analitik Zihin</t>
        </is>
      </c>
      <c r="R394" s="5" t="inlineStr"/>
      <c r="S394" s="5" t="inlineStr"/>
      <c r="T394" s="5" t="inlineStr"/>
      <c r="U394" s="5" t="inlineStr"/>
      <c r="V394" s="5" t="inlineStr"/>
      <c r="W394" s="5" t="inlineStr"/>
      <c r="X394" s="5" t="inlineStr"/>
      <c r="Y394" s="5" t="inlineStr"/>
      <c r="Z394" s="6" t="inlineStr"/>
      <c r="AA394" s="5" t="inlineStr"/>
      <c r="AB394" s="5" t="inlineStr"/>
      <c r="AC394" s="5" t="inlineStr"/>
      <c r="AD394" s="5" t="inlineStr"/>
      <c r="AE394" s="5" t="inlineStr"/>
      <c r="AF394" s="5" t="inlineStr"/>
      <c r="AG394" s="5" t="inlineStr"/>
      <c r="AH394" s="5" t="inlineStr"/>
    </row>
    <row r="395">
      <c r="A395" s="5" t="inlineStr">
        <is>
          <t>b5-doktor-ol</t>
        </is>
      </c>
      <c r="B395" s="5" t="n">
        <v>1</v>
      </c>
      <c r="C395" s="6" t="inlineStr">
        <is>
          <t>'Tamam' de</t>
        </is>
      </c>
      <c r="D395" s="5" t="inlineStr"/>
      <c r="E395" s="5" t="inlineStr"/>
      <c r="F395" s="5" t="inlineStr">
        <is>
          <t>İtibar +1</t>
        </is>
      </c>
      <c r="G395" s="6" t="inlineStr">
        <is>
          <t>'Tamam' dedin. Babaannen haberi komşulara verdi. Artık mahallenin müstakbel doktorusun. Biyoloji notun hâlâ gizli.</t>
        </is>
      </c>
      <c r="H395" s="6" t="inlineStr"/>
      <c r="I395" s="6" t="inlineStr"/>
      <c r="J395" s="6" t="inlineStr"/>
      <c r="K395" s="6" t="inlineStr"/>
      <c r="L395" s="6" t="inlineStr"/>
      <c r="M395" s="5" t="inlineStr"/>
      <c r="N395" s="5" t="inlineStr"/>
      <c r="O395" s="6" t="inlineStr"/>
      <c r="P395" s="6" t="inlineStr"/>
      <c r="Q395" s="5" t="inlineStr"/>
      <c r="R395" s="5" t="inlineStr"/>
      <c r="S395" s="5" t="inlineStr"/>
      <c r="T395" s="5" t="inlineStr"/>
      <c r="U395" s="5" t="inlineStr">
        <is>
          <t>doktor-sozu</t>
        </is>
      </c>
      <c r="V395" s="5" t="inlineStr"/>
      <c r="W395" s="5" t="inlineStr"/>
      <c r="X395" s="5" t="inlineStr"/>
      <c r="Y395" s="5" t="inlineStr"/>
      <c r="Z395" s="6" t="inlineStr"/>
      <c r="AA395" s="5" t="inlineStr"/>
      <c r="AB395" s="5" t="inlineStr"/>
      <c r="AC395" s="5" t="inlineStr"/>
      <c r="AD395" s="5" t="inlineStr"/>
      <c r="AE395" s="5" t="inlineStr"/>
      <c r="AF395" s="5" t="inlineStr"/>
      <c r="AG395" s="5" t="inlineStr"/>
      <c r="AH395" s="5" t="inlineStr"/>
    </row>
    <row r="396">
      <c r="A396" s="5" t="inlineStr">
        <is>
          <t>b5-doktor-ol</t>
        </is>
      </c>
      <c r="B396" s="5" t="n">
        <v>2</v>
      </c>
      <c r="C396" s="6" t="inlineStr">
        <is>
          <t>Kendi hayalini savun</t>
        </is>
      </c>
      <c r="D396" s="5" t="inlineStr">
        <is>
          <t>Cesaret</t>
        </is>
      </c>
      <c r="E396" s="5" t="inlineStr">
        <is>
          <t>Zor</t>
        </is>
      </c>
      <c r="F396" s="5" t="inlineStr"/>
      <c r="G396" s="6" t="inlineStr"/>
      <c r="H396" s="6" t="inlineStr">
        <is>
          <t>Masada sessizlik oldu. Sonra baban 'Peki, bir düşünelim' dedi. Tarihî bir ilk.</t>
        </is>
      </c>
      <c r="I396" s="6" t="inlineStr">
        <is>
          <t>Öyle savundun ki baban kendi yarım kalan hayalini anlattı. Tatlıyı birlikte yediniz.</t>
        </is>
      </c>
      <c r="J396" s="6" t="inlineStr">
        <is>
          <t>Baban 'Önce doktor ol, sonra ne istersen' dedi. Takvim belirsiz.</t>
        </is>
      </c>
      <c r="K396" s="6" t="inlineStr">
        <is>
          <t>Ertesi gün kuzenin tıbba hazırlandığını açıkladı. Aile yatırımı başka hisseye kaydı.</t>
        </is>
      </c>
      <c r="L396" s="6" t="inlineStr"/>
      <c r="M396" s="5" t="inlineStr"/>
      <c r="N396" s="5" t="inlineStr"/>
      <c r="O396" s="6" t="inlineStr"/>
      <c r="P396" s="6" t="inlineStr"/>
      <c r="Q396" s="5" t="inlineStr"/>
      <c r="R396" s="5" t="inlineStr"/>
      <c r="S396" s="5" t="inlineStr"/>
      <c r="T396" s="5" t="inlineStr"/>
      <c r="U396" s="5" t="inlineStr"/>
      <c r="V396" s="5" t="inlineStr"/>
      <c r="W396" s="5" t="inlineStr"/>
      <c r="X396" s="5" t="inlineStr"/>
      <c r="Y396" s="5" t="inlineStr"/>
      <c r="Z396" s="6" t="inlineStr"/>
      <c r="AA396" s="5" t="inlineStr"/>
      <c r="AB396" s="5" t="inlineStr"/>
      <c r="AC396" s="5" t="inlineStr"/>
      <c r="AD396" s="5" t="inlineStr"/>
      <c r="AE396" s="5" t="inlineStr"/>
      <c r="AF396" s="5" t="inlineStr"/>
      <c r="AG396" s="5" t="inlineStr"/>
      <c r="AH396" s="5" t="inlineStr"/>
    </row>
    <row r="397">
      <c r="A397" s="5" t="inlineStr">
        <is>
          <t>b5-doktor-ol</t>
        </is>
      </c>
      <c r="B397" s="5" t="n">
        <v>3</v>
      </c>
      <c r="C397" s="6" t="inlineStr">
        <is>
          <t>Masadakileri tek tek ikna et</t>
        </is>
      </c>
      <c r="D397" s="5" t="inlineStr">
        <is>
          <t>Çene</t>
        </is>
      </c>
      <c r="E397" s="5" t="inlineStr">
        <is>
          <t>Orta</t>
        </is>
      </c>
      <c r="F397" s="5" t="inlineStr"/>
      <c r="G397" s="6" t="inlineStr"/>
      <c r="H397" s="6" t="inlineStr">
        <is>
          <t>Önce anneni, sonra babaanneni kazandın. Baban azınlıkta kaldı.</t>
        </is>
      </c>
      <c r="I397" s="6" t="inlineStr">
        <is>
          <t>Aile meclisi toplandı, oylama yapıldı, kazandın. Baban çekimser kaldı.</t>
        </is>
      </c>
      <c r="J397" s="6" t="inlineStr">
        <is>
          <t>Anneni kazandın, babaannen babanın tarafına geçti. Oylar eşit, karar ertelendi.</t>
        </is>
      </c>
      <c r="K397" s="6" t="inlineStr">
        <is>
          <t>İkna turunda 'doktor' kelimesini o kadar çok tekrarladın ki sonunda sen ikna oldun.</t>
        </is>
      </c>
      <c r="L397" s="6" t="inlineStr"/>
      <c r="M397" s="5" t="inlineStr"/>
      <c r="N397" s="5" t="inlineStr"/>
      <c r="O397" s="6" t="inlineStr"/>
      <c r="P397" s="6" t="inlineStr"/>
      <c r="Q397" s="5" t="inlineStr"/>
      <c r="R397" s="5" t="inlineStr"/>
      <c r="S397" s="5" t="inlineStr">
        <is>
          <t>Çene</t>
        </is>
      </c>
      <c r="T397" s="5" t="inlineStr"/>
      <c r="U397" s="5" t="inlineStr"/>
      <c r="V397" s="5" t="inlineStr"/>
      <c r="W397" s="5" t="inlineStr"/>
      <c r="X397" s="5" t="inlineStr"/>
      <c r="Y397" s="5" t="inlineStr"/>
      <c r="Z397" s="6" t="inlineStr"/>
      <c r="AA397" s="5" t="inlineStr"/>
      <c r="AB397" s="5" t="inlineStr"/>
      <c r="AC397" s="5" t="inlineStr"/>
      <c r="AD397" s="5" t="inlineStr"/>
      <c r="AE397" s="5" t="inlineStr"/>
      <c r="AF397" s="5" t="inlineStr"/>
      <c r="AG397" s="5" t="inlineStr"/>
      <c r="AH397" s="5" t="inlineStr"/>
    </row>
    <row r="398">
      <c r="A398" s="5" t="inlineStr">
        <is>
          <t>b5-doktor-ol</t>
        </is>
      </c>
      <c r="B398" s="5" t="n">
        <v>4</v>
      </c>
      <c r="C398" s="6" t="inlineStr">
        <is>
          <t>Sessiz kal, zamana bırak</t>
        </is>
      </c>
      <c r="D398" s="5" t="inlineStr">
        <is>
          <t>Dayanıklılık</t>
        </is>
      </c>
      <c r="E398" s="5" t="inlineStr">
        <is>
          <t>Kolay</t>
        </is>
      </c>
      <c r="F398" s="5" t="inlineStr"/>
      <c r="G398" s="6" t="inlineStr"/>
      <c r="H398" s="6" t="inlineStr">
        <is>
          <t>Sustun. Konu üç hafta içinde kendiliğinden söndü.</t>
        </is>
      </c>
      <c r="I398" s="6" t="inlineStr">
        <is>
          <t>Sen sustun, baban da sustu. Bir ay sonra 'Sen bilirsin' dedi. Sessizlik diplomasisi.</t>
        </is>
      </c>
      <c r="J398" s="6" t="inlineStr">
        <is>
          <t>Sustun. Sessizliğin 'evet' olarak yorumlandı.</t>
        </is>
      </c>
      <c r="K398" s="6" t="inlineStr">
        <is>
          <t>Sustun. Ailen bunu onay saydı ve seni tıp fakültesinin tanıtım gününe kaydettirdi.</t>
        </is>
      </c>
      <c r="L398" s="6" t="inlineStr"/>
      <c r="M398" s="5" t="inlineStr"/>
      <c r="N398" s="5" t="inlineStr"/>
      <c r="O398" s="6" t="inlineStr"/>
      <c r="P398" s="6" t="inlineStr"/>
      <c r="Q398" s="5" t="inlineStr">
        <is>
          <t>Sessiz Gözlemci</t>
        </is>
      </c>
      <c r="R398" s="5" t="inlineStr"/>
      <c r="S398" s="5" t="inlineStr"/>
      <c r="T398" s="5" t="inlineStr"/>
      <c r="U398" s="5" t="inlineStr"/>
      <c r="V398" s="5" t="inlineStr"/>
      <c r="W398" s="5" t="inlineStr"/>
      <c r="X398" s="5" t="inlineStr"/>
      <c r="Y398" s="5" t="inlineStr"/>
      <c r="Z398" s="6" t="inlineStr"/>
      <c r="AA398" s="5" t="inlineStr"/>
      <c r="AB398" s="5" t="inlineStr"/>
      <c r="AC398" s="5" t="inlineStr"/>
      <c r="AD398" s="5" t="inlineStr"/>
      <c r="AE398" s="5" t="inlineStr"/>
      <c r="AF398" s="5" t="inlineStr"/>
      <c r="AG398" s="5" t="inlineStr"/>
      <c r="AH398" s="5" t="inlineStr"/>
    </row>
    <row r="399">
      <c r="A399" s="5" t="inlineStr">
        <is>
          <t>b5-yurt-disi</t>
        </is>
      </c>
      <c r="B399" s="5" t="n">
        <v>1</v>
      </c>
      <c r="C399" s="6" t="inlineStr">
        <is>
          <t>Sekmeyi kapat</t>
        </is>
      </c>
      <c r="D399" s="5" t="inlineStr"/>
      <c r="E399" s="5" t="inlineStr"/>
      <c r="F399" s="5" t="inlineStr">
        <is>
          <t>Dayanıklılık +1</t>
        </is>
      </c>
      <c r="G399" s="6" t="inlineStr">
        <is>
          <t>Sekmeyi kapattın. Hayal, tarayıcı geçmişinde saklı. Her temizlikten sonra yine geri geliyor.</t>
        </is>
      </c>
      <c r="H399" s="6" t="inlineStr"/>
      <c r="I399" s="6" t="inlineStr"/>
      <c r="J399" s="6" t="inlineStr"/>
      <c r="K399" s="6" t="inlineStr"/>
      <c r="L399" s="6" t="inlineStr"/>
      <c r="M399" s="5" t="inlineStr"/>
      <c r="N399" s="5" t="inlineStr"/>
      <c r="O399" s="6" t="inlineStr"/>
      <c r="P399" s="6" t="inlineStr"/>
      <c r="Q399" s="5" t="inlineStr"/>
      <c r="R399" s="5" t="inlineStr"/>
      <c r="S399" s="5" t="inlineStr"/>
      <c r="T399" s="5" t="inlineStr"/>
      <c r="U399" s="5" t="inlineStr"/>
      <c r="V399" s="5" t="inlineStr"/>
      <c r="W399" s="5" t="inlineStr"/>
      <c r="X399" s="5" t="inlineStr"/>
      <c r="Y399" s="5" t="inlineStr"/>
      <c r="Z399" s="6" t="inlineStr"/>
      <c r="AA399" s="5" t="inlineStr"/>
      <c r="AB399" s="5" t="inlineStr"/>
      <c r="AC399" s="5" t="inlineStr"/>
      <c r="AD399" s="5" t="inlineStr"/>
      <c r="AE399" s="5" t="inlineStr"/>
      <c r="AF399" s="5" t="inlineStr"/>
      <c r="AG399" s="5" t="inlineStr"/>
      <c r="AH399" s="5" t="inlineStr"/>
    </row>
    <row r="400">
      <c r="A400" s="5" t="inlineStr">
        <is>
          <t>b5-yurt-disi</t>
        </is>
      </c>
      <c r="B400" s="5" t="n">
        <v>2</v>
      </c>
      <c r="C400" s="6" t="inlineStr">
        <is>
          <t>Niyet mektubu yaz</t>
        </is>
      </c>
      <c r="D400" s="5" t="inlineStr">
        <is>
          <t>Akıl</t>
        </is>
      </c>
      <c r="E400" s="5" t="inlineStr">
        <is>
          <t>Zor</t>
        </is>
      </c>
      <c r="F400" s="5" t="inlineStr"/>
      <c r="G400" s="6" t="inlineStr"/>
      <c r="H400" s="6" t="inlineStr">
        <is>
          <t>Mektubu yazdın ve bir okuldan bekleme listesi cevabı aldın. Umut yazılı hâle geldi.</t>
        </is>
      </c>
      <c r="I400" s="6" t="inlineStr">
        <is>
          <t>Kısmi burs geldi. Ailen hesap makinesini çıkardı. Hesap makinesi hâlâ düşünüyor.</t>
        </is>
      </c>
      <c r="J400" s="6" t="inlineStr">
        <is>
          <t>Referans isteyeceğin üç kişiden ikisi 'Ne yazayım?' diye sordu. Üçüncüsü cevap vermedi.</t>
        </is>
      </c>
      <c r="K400" s="6" t="inlineStr">
        <is>
          <t>Mektubu gönderdin. Okulun adını yanlış yazmışsın. Diğer okulun adıyla.</t>
        </is>
      </c>
      <c r="L400" s="6" t="inlineStr"/>
      <c r="M400" s="5" t="inlineStr"/>
      <c r="N400" s="5" t="inlineStr"/>
      <c r="O400" s="6" t="inlineStr"/>
      <c r="P400" s="6" t="inlineStr"/>
      <c r="Q400" s="5" t="inlineStr"/>
      <c r="R400" s="5" t="inlineStr"/>
      <c r="S400" s="5" t="inlineStr"/>
      <c r="T400" s="5" t="inlineStr"/>
      <c r="U400" s="5" t="inlineStr"/>
      <c r="V400" s="5" t="inlineStr">
        <is>
          <t>yurt-disi-hayali</t>
        </is>
      </c>
      <c r="W400" s="5" t="inlineStr"/>
      <c r="X400" s="5" t="inlineStr"/>
      <c r="Y400" s="5" t="inlineStr"/>
      <c r="Z400" s="6" t="inlineStr"/>
      <c r="AA400" s="5" t="inlineStr"/>
      <c r="AB400" s="5" t="inlineStr"/>
      <c r="AC400" s="5" t="inlineStr"/>
      <c r="AD400" s="5" t="inlineStr"/>
      <c r="AE400" s="5" t="inlineStr"/>
      <c r="AF400" s="5" t="inlineStr"/>
      <c r="AG400" s="5" t="inlineStr"/>
      <c r="AH400" s="5" t="inlineStr"/>
    </row>
    <row r="401">
      <c r="A401" s="5" t="inlineStr">
        <is>
          <t>b5-yurt-disi</t>
        </is>
      </c>
      <c r="B401" s="5" t="n">
        <v>3</v>
      </c>
      <c r="C401" s="6" t="inlineStr">
        <is>
          <t>Aileye sunum yap</t>
        </is>
      </c>
      <c r="D401" s="5" t="inlineStr">
        <is>
          <t>Çene</t>
        </is>
      </c>
      <c r="E401" s="5" t="inlineStr">
        <is>
          <t>Orta</t>
        </is>
      </c>
      <c r="F401" s="5" t="inlineStr"/>
      <c r="G401" s="6" t="inlineStr"/>
      <c r="H401" s="6" t="inlineStr">
        <is>
          <t>Ailen 'Önce buradaki sınavı kazan' dedi. Kısmi onay alındı.</t>
        </is>
      </c>
      <c r="I401" s="6" t="inlineStr">
        <is>
          <t>Sunumun sonunda ailen yurt dışı fonu açtı. İlk katkı: bayram harçlıkları.</t>
        </is>
      </c>
      <c r="J401" s="6" t="inlineStr">
        <is>
          <t>Ailen ücreti yüksek sesle okudu. Sonra bir daha okudu.</t>
        </is>
      </c>
      <c r="K401" s="6" t="inlineStr">
        <is>
          <t>Baban tanıtım videosunu izledi ve kendisi başvurmak istedi.</t>
        </is>
      </c>
      <c r="L401" s="6" t="inlineStr"/>
      <c r="M401" s="5" t="inlineStr"/>
      <c r="N401" s="5" t="inlineStr"/>
      <c r="O401" s="6" t="inlineStr"/>
      <c r="P401" s="6" t="inlineStr"/>
      <c r="Q401" s="5" t="inlineStr"/>
      <c r="R401" s="5" t="inlineStr"/>
      <c r="S401" s="5" t="inlineStr"/>
      <c r="T401" s="5" t="inlineStr"/>
      <c r="U401" s="5" t="inlineStr"/>
      <c r="V401" s="5" t="inlineStr"/>
      <c r="W401" s="5" t="inlineStr"/>
      <c r="X401" s="5" t="inlineStr"/>
      <c r="Y401" s="5" t="inlineStr"/>
      <c r="Z401" s="6" t="inlineStr"/>
      <c r="AA401" s="5" t="inlineStr"/>
      <c r="AB401" s="5" t="inlineStr"/>
      <c r="AC401" s="5" t="inlineStr"/>
      <c r="AD401" s="5" t="inlineStr"/>
      <c r="AE401" s="5" t="inlineStr"/>
      <c r="AF401" s="5" t="inlineStr"/>
      <c r="AG401" s="5" t="inlineStr"/>
      <c r="AH401" s="5" t="inlineStr"/>
    </row>
    <row r="402">
      <c r="A402" s="5" t="inlineStr">
        <is>
          <t>b5-yurt-disi</t>
        </is>
      </c>
      <c r="B402" s="5" t="n">
        <v>4</v>
      </c>
      <c r="C402" s="6" t="inlineStr">
        <is>
          <t>Az bilinen bir burs programı bul</t>
        </is>
      </c>
      <c r="D402" s="5" t="inlineStr">
        <is>
          <t>Kurnazlık</t>
        </is>
      </c>
      <c r="E402" s="5" t="inlineStr">
        <is>
          <t>Kolay</t>
        </is>
      </c>
      <c r="F402" s="5" t="inlineStr"/>
      <c r="G402" s="6" t="inlineStr"/>
      <c r="H402" s="6" t="inlineStr">
        <is>
          <t>Kimsenin bilmediği bir yaz okulu bursu buldun. Başvurun kabul edildi. Uçak bileti ailede.</t>
        </is>
      </c>
      <c r="I402" s="6" t="inlineStr">
        <is>
          <t>Tam burslu bir yaz programı buldun. Ailen hâlâ neyin dolandırıcılık olduğunu anlamaya çalışıyor. Değil.</t>
        </is>
      </c>
      <c r="J402" s="6" t="inlineStr">
        <is>
          <t>Burs programını buldun. Son başvuru tarihi dündü.</t>
        </is>
      </c>
      <c r="K402" s="6" t="inlineStr">
        <is>
          <t>Formu doldurdun, başvuru ücretini ödedin. Program yokmuş. Sitesi ise çok iyi tasarlanmıştı.</t>
        </is>
      </c>
      <c r="L402" s="6" t="inlineStr"/>
      <c r="M402" s="5" t="inlineStr"/>
      <c r="N402" s="5" t="inlineStr"/>
      <c r="O402" s="6" t="inlineStr"/>
      <c r="P402" s="6" t="inlineStr"/>
      <c r="Q402" s="5" t="inlineStr">
        <is>
          <t>Teknoloji Merakı</t>
        </is>
      </c>
      <c r="R402" s="5" t="inlineStr"/>
      <c r="S402" s="5" t="inlineStr"/>
      <c r="T402" s="5" t="inlineStr"/>
      <c r="U402" s="5" t="inlineStr"/>
      <c r="V402" s="5" t="inlineStr">
        <is>
          <t>yurt-disi-hayali</t>
        </is>
      </c>
      <c r="W402" s="5" t="inlineStr"/>
      <c r="X402" s="5" t="inlineStr"/>
      <c r="Y402" s="5" t="inlineStr"/>
      <c r="Z402" s="6" t="inlineStr"/>
      <c r="AA402" s="5" t="inlineStr"/>
      <c r="AB402" s="5" t="inlineStr"/>
      <c r="AC402" s="5" t="inlineStr"/>
      <c r="AD402" s="5" t="inlineStr"/>
      <c r="AE402" s="5" t="inlineStr"/>
      <c r="AF402" s="5" t="inlineStr"/>
      <c r="AG402" s="5" t="inlineStr"/>
      <c r="AH402" s="5" t="inlineStr"/>
    </row>
    <row r="403">
      <c r="A403" s="5" t="inlineStr">
        <is>
          <t>b5-ilk-konser</t>
        </is>
      </c>
      <c r="B403" s="5" t="n">
        <v>1</v>
      </c>
      <c r="C403" s="6" t="inlineStr">
        <is>
          <t>Ön sıraya ilerle</t>
        </is>
      </c>
      <c r="D403" s="5" t="inlineStr">
        <is>
          <t>Cesaret</t>
        </is>
      </c>
      <c r="E403" s="5" t="inlineStr">
        <is>
          <t>Orta</t>
        </is>
      </c>
      <c r="F403" s="5" t="inlineStr"/>
      <c r="G403" s="6" t="inlineStr"/>
      <c r="H403" s="6" t="inlineStr">
        <is>
          <t>Ön sıraya ulaştın. Şarkıcı bir an sana baktı. En azından sen öyle hatırlıyorsun.</t>
        </is>
      </c>
      <c r="I403" s="6" t="inlineStr">
        <is>
          <t>Sahneden atılan su şişesini yakaladın. Hâlâ bir rafta, cam fanusun içinde duruyor.</t>
        </is>
      </c>
      <c r="J403" s="6" t="inlineStr">
        <is>
          <t>Sen ilerledin, önündeki uzun boylu da ilerledi. Konseri onun ensesinden izledin.</t>
        </is>
      </c>
      <c r="K403" s="6" t="inlineStr">
        <is>
          <t>Yerinden bir dakika ayrıldın. Geri dönemedin. Konseri tuvalet kuyruğundan dinledin.</t>
        </is>
      </c>
      <c r="L403" s="6" t="inlineStr"/>
      <c r="M403" s="5" t="inlineStr"/>
      <c r="N403" s="5" t="inlineStr"/>
      <c r="O403" s="6" t="inlineStr"/>
      <c r="P403" s="6" t="inlineStr"/>
      <c r="Q403" s="5" t="inlineStr"/>
      <c r="R403" s="5" t="inlineStr"/>
      <c r="S403" s="5" t="inlineStr"/>
      <c r="T403" s="5" t="inlineStr"/>
      <c r="U403" s="5" t="inlineStr"/>
      <c r="V403" s="5" t="inlineStr"/>
      <c r="W403" s="5" t="inlineStr"/>
      <c r="X403" s="5" t="inlineStr"/>
      <c r="Y403" s="5" t="inlineStr"/>
      <c r="Z403" s="6" t="inlineStr"/>
      <c r="AA403" s="5" t="inlineStr"/>
      <c r="AB403" s="5" t="inlineStr"/>
      <c r="AC403" s="5" t="inlineStr"/>
      <c r="AD403" s="5" t="inlineStr"/>
      <c r="AE403" s="5" t="inlineStr"/>
      <c r="AF403" s="5" t="inlineStr"/>
      <c r="AG403" s="5" t="inlineStr"/>
      <c r="AH403" s="5" t="inlineStr"/>
    </row>
    <row r="404">
      <c r="A404" s="5" t="inlineStr">
        <is>
          <t>b5-ilk-konser</t>
        </is>
      </c>
      <c r="B404" s="5" t="n">
        <v>2</v>
      </c>
      <c r="C404" s="6" t="inlineStr">
        <is>
          <t>Hepsini telefonla kaydet</t>
        </is>
      </c>
      <c r="D404" s="5" t="inlineStr"/>
      <c r="E404" s="5" t="inlineStr"/>
      <c r="F404" s="5" t="inlineStr">
        <is>
          <t>Kurnazlık +1</t>
        </is>
      </c>
      <c r="G404" s="6" t="inlineStr">
        <is>
          <t>Konserin tamamını çektin. Videoları hiç izlemedin. Konseri de izlemedin. Ama arşiv sağlam.</t>
        </is>
      </c>
      <c r="H404" s="6" t="inlineStr"/>
      <c r="I404" s="6" t="inlineStr"/>
      <c r="J404" s="6" t="inlineStr"/>
      <c r="K404" s="6" t="inlineStr"/>
      <c r="L404" s="6" t="inlineStr"/>
      <c r="M404" s="5" t="inlineStr"/>
      <c r="N404" s="5" t="inlineStr"/>
      <c r="O404" s="6" t="inlineStr"/>
      <c r="P404" s="6" t="inlineStr"/>
      <c r="Q404" s="5" t="inlineStr"/>
      <c r="R404" s="5" t="inlineStr"/>
      <c r="S404" s="5" t="inlineStr"/>
      <c r="T404" s="5" t="inlineStr"/>
      <c r="U404" s="5" t="inlineStr"/>
      <c r="V404" s="5" t="inlineStr"/>
      <c r="W404" s="5" t="inlineStr"/>
      <c r="X404" s="5" t="inlineStr"/>
      <c r="Y404" s="5" t="inlineStr"/>
      <c r="Z404" s="6" t="inlineStr"/>
      <c r="AA404" s="5" t="inlineStr"/>
      <c r="AB404" s="5" t="inlineStr"/>
      <c r="AC404" s="5" t="inlineStr"/>
      <c r="AD404" s="5" t="inlineStr"/>
      <c r="AE404" s="5" t="inlineStr"/>
      <c r="AF404" s="5" t="inlineStr"/>
      <c r="AG404" s="5" t="inlineStr"/>
      <c r="AH404" s="5" t="inlineStr"/>
    </row>
    <row r="405">
      <c r="A405" s="5" t="inlineStr">
        <is>
          <t>b5-ilk-konser</t>
        </is>
      </c>
      <c r="B405" s="5" t="n">
        <v>3</v>
      </c>
      <c r="C405" s="6" t="inlineStr">
        <is>
          <t>Bütün şarkılara eşlik et</t>
        </is>
      </c>
      <c r="D405" s="5" t="inlineStr">
        <is>
          <t>Pişkinlik</t>
        </is>
      </c>
      <c r="E405" s="5" t="inlineStr">
        <is>
          <t>Kolay</t>
        </is>
      </c>
      <c r="F405" s="5" t="inlineStr"/>
      <c r="G405" s="6" t="inlineStr"/>
      <c r="H405" s="6" t="inlineStr">
        <is>
          <t>Bilmediğin sözleri uydurdun. Kimse fark etmedi; herkes uyduruyordu.</t>
        </is>
      </c>
      <c r="I405" s="6" t="inlineStr">
        <is>
          <t>O kadar içten söyledin ki etrafındakiler sana eşlik etti. Senin sözlerine.</t>
        </is>
      </c>
      <c r="J405" s="6" t="inlineStr">
        <is>
          <t>Eşlik ettin. Ertesi gün sesin yoktu. İki gün mimikle anlaştın.</t>
        </is>
      </c>
      <c r="K405" s="6" t="inlineStr">
        <is>
          <t>En sessiz şarkıda, tek başına, yanlış nakaratı bağırdın. Yan sıradakiler hâlâ anlatıyor.</t>
        </is>
      </c>
      <c r="L405" s="6" t="inlineStr"/>
      <c r="M405" s="5" t="inlineStr"/>
      <c r="N405" s="5" t="inlineStr"/>
      <c r="O405" s="6" t="inlineStr"/>
      <c r="P405" s="6" t="inlineStr"/>
      <c r="Q405" s="5" t="inlineStr"/>
      <c r="R405" s="5" t="inlineStr"/>
      <c r="S405" s="5" t="inlineStr"/>
      <c r="T405" s="5" t="inlineStr"/>
      <c r="U405" s="5" t="inlineStr"/>
      <c r="V405" s="5" t="inlineStr"/>
      <c r="W405" s="5" t="inlineStr"/>
      <c r="X405" s="5" t="inlineStr"/>
      <c r="Y405" s="5" t="inlineStr"/>
      <c r="Z405" s="6" t="inlineStr"/>
      <c r="AA405" s="5" t="inlineStr"/>
      <c r="AB405" s="5" t="inlineStr"/>
      <c r="AC405" s="5" t="inlineStr"/>
      <c r="AD405" s="5" t="inlineStr"/>
      <c r="AE405" s="5" t="inlineStr"/>
      <c r="AF405" s="5" t="inlineStr"/>
      <c r="AG405" s="5" t="inlineStr"/>
      <c r="AH405" s="5" t="inlineStr"/>
    </row>
    <row r="406">
      <c r="A406" s="5" t="inlineStr">
        <is>
          <t>b5-ev-partisi</t>
        </is>
      </c>
      <c r="B406" s="5" t="n">
        <v>1</v>
      </c>
      <c r="C406" s="6" t="inlineStr">
        <is>
          <t>Gitme</t>
        </is>
      </c>
      <c r="D406" s="5" t="inlineStr"/>
      <c r="E406" s="5" t="inlineStr"/>
      <c r="F406" s="5" t="inlineStr">
        <is>
          <t>İtibar +1</t>
        </is>
      </c>
      <c r="G406" s="6" t="inlineStr">
        <is>
          <t>Evde kaldın. Pazartesi herkes aynı geceyi farklı anlattı. Tek güvenilir tanık sensin.</t>
        </is>
      </c>
      <c r="H406" s="6" t="inlineStr"/>
      <c r="I406" s="6" t="inlineStr"/>
      <c r="J406" s="6" t="inlineStr"/>
      <c r="K406" s="6" t="inlineStr"/>
      <c r="L406" s="6" t="inlineStr"/>
      <c r="M406" s="5" t="inlineStr"/>
      <c r="N406" s="5" t="inlineStr"/>
      <c r="O406" s="6" t="inlineStr"/>
      <c r="P406" s="6" t="inlineStr"/>
      <c r="Q406" s="5" t="inlineStr"/>
      <c r="R406" s="5" t="inlineStr"/>
      <c r="S406" s="5" t="inlineStr"/>
      <c r="T406" s="5" t="inlineStr"/>
      <c r="U406" s="5" t="inlineStr"/>
      <c r="V406" s="5" t="inlineStr"/>
      <c r="W406" s="5" t="inlineStr"/>
      <c r="X406" s="5" t="inlineStr"/>
      <c r="Y406" s="5" t="inlineStr"/>
      <c r="Z406" s="6" t="inlineStr"/>
      <c r="AA406" s="5" t="inlineStr"/>
      <c r="AB406" s="5" t="inlineStr"/>
      <c r="AC406" s="5" t="inlineStr"/>
      <c r="AD406" s="5" t="inlineStr"/>
      <c r="AE406" s="5" t="inlineStr"/>
      <c r="AF406" s="5" t="inlineStr"/>
      <c r="AG406" s="5" t="inlineStr"/>
      <c r="AH406" s="5" t="inlineStr"/>
    </row>
    <row r="407">
      <c r="A407" s="5" t="inlineStr">
        <is>
          <t>b5-ev-partisi</t>
        </is>
      </c>
      <c r="B407" s="5" t="n">
        <v>2</v>
      </c>
      <c r="C407" s="6" t="inlineStr">
        <is>
          <t>Git, kenarda dur</t>
        </is>
      </c>
      <c r="D407" s="5" t="inlineStr">
        <is>
          <t>Sosyal Radar</t>
        </is>
      </c>
      <c r="E407" s="5" t="inlineStr">
        <is>
          <t>Kolay</t>
        </is>
      </c>
      <c r="F407" s="5" t="inlineStr"/>
      <c r="G407" s="6" t="inlineStr"/>
      <c r="H407" s="6" t="inlineStr">
        <is>
          <t>Kimin kimle konuştuğunu not ettin. Pazartesi herkes sana soru soruyor.</t>
        </is>
      </c>
      <c r="I407" s="6" t="inlineStr">
        <is>
          <t>Aile dönmeden evi baştan sona toplattın. Kahraman değil, lojistik sorumlusu.</t>
        </is>
      </c>
      <c r="J407" s="6" t="inlineStr">
        <is>
          <t>Kenarda durdun. Bütün fotoğraflarda arkada, elinde bir tabak cipsle varsın.</t>
        </is>
      </c>
      <c r="K407" s="6" t="inlineStr">
        <is>
          <t>Kapıya site yöneticisi geldiğinde kapıyı açan sen oldun. Tutanakta tek isim var.</t>
        </is>
      </c>
      <c r="L407" s="6" t="inlineStr"/>
      <c r="M407" s="5" t="inlineStr"/>
      <c r="N407" s="5" t="inlineStr"/>
      <c r="O407" s="6" t="inlineStr"/>
      <c r="P407" s="6" t="inlineStr"/>
      <c r="Q407" s="5" t="inlineStr"/>
      <c r="R407" s="5" t="inlineStr"/>
      <c r="S407" s="5" t="inlineStr"/>
      <c r="T407" s="5" t="inlineStr"/>
      <c r="U407" s="5" t="inlineStr"/>
      <c r="V407" s="5" t="inlineStr"/>
      <c r="W407" s="5" t="inlineStr"/>
      <c r="X407" s="5" t="inlineStr"/>
      <c r="Y407" s="5" t="inlineStr"/>
      <c r="Z407" s="6" t="inlineStr"/>
      <c r="AA407" s="5" t="inlineStr"/>
      <c r="AB407" s="5" t="inlineStr"/>
      <c r="AC407" s="5" t="inlineStr"/>
      <c r="AD407" s="5" t="inlineStr"/>
      <c r="AE407" s="5" t="inlineStr"/>
      <c r="AF407" s="5" t="inlineStr"/>
      <c r="AG407" s="5" t="inlineStr"/>
      <c r="AH407" s="5" t="inlineStr"/>
    </row>
    <row r="408">
      <c r="A408" s="5" t="inlineStr">
        <is>
          <t>b5-ev-partisi</t>
        </is>
      </c>
      <c r="B408" s="5" t="n">
        <v>3</v>
      </c>
      <c r="C408" s="6" t="inlineStr">
        <is>
          <t>Partinin ruhu ol</t>
        </is>
      </c>
      <c r="D408" s="5" t="inlineStr">
        <is>
          <t>Pişkinlik</t>
        </is>
      </c>
      <c r="E408" s="5" t="inlineStr">
        <is>
          <t>Zor</t>
        </is>
      </c>
      <c r="F408" s="5" t="inlineStr"/>
      <c r="G408" s="6" t="inlineStr"/>
      <c r="H408" s="6" t="inlineStr">
        <is>
          <t>Partinin ruhu oldun. Ertesi gün kimse neden bu kadar güldüğünü hatırlamıyordu. Sen dahil.</t>
        </is>
      </c>
      <c r="I408" s="6" t="inlineStr">
        <is>
          <t>Gece efsaneleşti. Mesaj grubunda hâlâ 'o gece' diye anılıyor. Ayrıntılar gizli.</t>
        </is>
      </c>
      <c r="J408" s="6" t="inlineStr">
        <is>
          <t>Ortamı ısıtmak için müziği değiştirdin. Müzik de ortam da soğudu.</t>
        </is>
      </c>
      <c r="K408" s="6" t="inlineStr">
        <is>
          <t>Dans ederken balkondaki saksıyı devirdin. Saksı alt katın balkonuna indi. Mahalle hafızası güncellendi.</t>
        </is>
      </c>
      <c r="L408" s="6" t="inlineStr"/>
      <c r="M408" s="5" t="inlineStr"/>
      <c r="N408" s="5" t="inlineStr"/>
      <c r="O408" s="6" t="inlineStr"/>
      <c r="P408" s="6" t="inlineStr"/>
      <c r="Q408" s="5" t="inlineStr"/>
      <c r="R408" s="5" t="inlineStr"/>
      <c r="S408" s="5" t="inlineStr"/>
      <c r="T408" s="5" t="inlineStr"/>
      <c r="U408" s="5" t="inlineStr"/>
      <c r="V408" s="5" t="inlineStr"/>
      <c r="W408" s="5" t="inlineStr"/>
      <c r="X408" s="5" t="inlineStr"/>
      <c r="Y408" s="5" t="inlineStr"/>
      <c r="Z408" s="6" t="inlineStr"/>
      <c r="AA408" s="5" t="inlineStr"/>
      <c r="AB408" s="5" t="inlineStr"/>
      <c r="AC408" s="5" t="inlineStr"/>
      <c r="AD408" s="5" t="inlineStr"/>
      <c r="AE408" s="5" t="inlineStr"/>
      <c r="AF408" s="5" t="inlineStr"/>
      <c r="AG408" s="5" t="inlineStr"/>
      <c r="AH408" s="5" t="inlineStr"/>
    </row>
    <row r="409">
      <c r="A409" s="5" t="inlineStr">
        <is>
          <t>b5-ev-partisi</t>
        </is>
      </c>
      <c r="B409" s="5" t="n">
        <v>4</v>
      </c>
      <c r="C409" s="6" t="inlineStr">
        <is>
          <t>Komşu diplomasisini üstlen</t>
        </is>
      </c>
      <c r="D409" s="5" t="inlineStr">
        <is>
          <t>Çene</t>
        </is>
      </c>
      <c r="E409" s="5" t="inlineStr">
        <is>
          <t>Orta</t>
        </is>
      </c>
      <c r="F409" s="5" t="inlineStr"/>
      <c r="G409" s="6" t="inlineStr"/>
      <c r="H409" s="6" t="inlineStr">
        <is>
          <t>Komşuların kapısını sen çaldın, özür diledin. Cam vakasından beri bu işin uzmanısın.</t>
        </is>
      </c>
      <c r="I409" s="6" t="inlineStr">
        <is>
          <t>Alt kata bir tabak kurabiye götürdün. Parti bitmeden şikâyet geri çekildi.</t>
        </is>
      </c>
      <c r="J409" s="6" t="inlineStr">
        <is>
          <t>Komşu seni tanıdı: 'Sen o camı kıran değil misin?' Görüşme kısa sürdü.</t>
        </is>
      </c>
      <c r="K409" s="6" t="inlineStr">
        <is>
          <t>Özür dilerken komşunun kapı kolu elinde kaldı. Eski dosya yeniden açıldı.</t>
        </is>
      </c>
      <c r="L409" s="6" t="inlineStr"/>
      <c r="M409" s="5" t="inlineStr"/>
      <c r="N409" s="5" t="inlineStr"/>
      <c r="O409" s="6" t="inlineStr"/>
      <c r="P409" s="6" t="inlineStr"/>
      <c r="Q409" s="5" t="inlineStr"/>
      <c r="R409" s="5" t="inlineStr">
        <is>
          <t>camKirildi</t>
        </is>
      </c>
      <c r="S409" s="5" t="inlineStr"/>
      <c r="T409" s="5" t="inlineStr"/>
      <c r="U409" s="5" t="inlineStr"/>
      <c r="V409" s="5" t="inlineStr"/>
      <c r="W409" s="5" t="inlineStr"/>
      <c r="X409" s="5" t="inlineStr"/>
      <c r="Y409" s="5" t="inlineStr"/>
      <c r="Z409" s="6" t="inlineStr"/>
      <c r="AA409" s="5" t="inlineStr"/>
      <c r="AB409" s="5" t="inlineStr"/>
      <c r="AC409" s="5" t="inlineStr"/>
      <c r="AD409" s="5" t="inlineStr"/>
      <c r="AE409" s="5" t="inlineStr"/>
      <c r="AF409" s="5" t="inlineStr"/>
      <c r="AG409" s="5" t="inlineStr"/>
      <c r="AH409" s="5" t="inlineStr"/>
    </row>
    <row r="410">
      <c r="A410" s="5" t="inlineStr">
        <is>
          <t>b5-kurye-isi</t>
        </is>
      </c>
      <c r="B410" s="5" t="n">
        <v>1</v>
      </c>
      <c r="C410" s="6" t="inlineStr">
        <is>
          <t>Trafiğin arasından kestir</t>
        </is>
      </c>
      <c r="D410" s="5" t="inlineStr">
        <is>
          <t>Kurnazlık</t>
        </is>
      </c>
      <c r="E410" s="5" t="inlineStr">
        <is>
          <t>Zor</t>
        </is>
      </c>
      <c r="F410" s="5" t="inlineStr"/>
      <c r="G410" s="6" t="inlineStr"/>
      <c r="H410" s="6" t="inlineStr">
        <is>
          <t>Siparişi dokuz dakikada teslim ettin. Müşteri beş yıldız verdi, yoruma 'Işık hızı' yazdı.</t>
        </is>
      </c>
      <c r="I410" s="6" t="inlineStr">
        <is>
          <t>Günde yirmi teslimat yaptın. Uygulama seni haftanın kuryesi seçti. Ödül: bir yağmurluk.</t>
        </is>
      </c>
      <c r="J410" s="6" t="inlineStr">
        <is>
          <t>Kestirme çıkmaz sokak çıktı. Müşteri yemeğini ısıtarak yedi.</t>
        </is>
      </c>
      <c r="K410" s="6" t="inlineStr">
        <is>
          <t>Adresi karıştırdın. Siparişi yanlış kapıdaki teyze aldı, ödedi, yedi ve seni sofraya davet etti. Asıl müşteri hâlâ bekliyor.</t>
        </is>
      </c>
      <c r="L410" s="6" t="inlineStr">
        <is>
          <t>Zamanında vardın ama çorba ayrı bir yolculuk yaşamış. Müşteri 'Lezzetli ama eksik' yazdı.</t>
        </is>
      </c>
      <c r="M410" s="5" t="inlineStr">
        <is>
          <t>lanes</t>
        </is>
      </c>
      <c r="N410" s="5" t="inlineStr">
        <is>
          <t>Teslimat Yolu</t>
        </is>
      </c>
      <c r="O410" s="6" t="inlineStr">
        <is>
          <t>Sağa sola kay; çukurlardan, barikatlardan ve aniden açılan araba kapılarından kaç.</t>
        </is>
      </c>
      <c r="P410" s="6" t="inlineStr">
        <is>
          <t>{"obstacles": ["🚗", "🕳️", "🚧", "🐕"]}</t>
        </is>
      </c>
      <c r="Q410" s="5" t="inlineStr"/>
      <c r="R410" s="5" t="inlineStr"/>
      <c r="S410" s="5" t="inlineStr"/>
      <c r="T410" s="5" t="inlineStr">
        <is>
          <t>Kestirme Bilir</t>
        </is>
      </c>
      <c r="U410" s="5" t="inlineStr"/>
      <c r="V410" s="5" t="inlineStr"/>
      <c r="W410" s="5" t="inlineStr"/>
      <c r="X410" s="5" t="inlineStr"/>
      <c r="Y410" s="5" t="inlineStr"/>
      <c r="Z410" s="6" t="inlineStr"/>
      <c r="AA410" s="5" t="inlineStr"/>
      <c r="AB410" s="5" t="inlineStr"/>
      <c r="AC410" s="5" t="inlineStr"/>
      <c r="AD410" s="5" t="inlineStr"/>
      <c r="AE410" s="5" t="inlineStr"/>
      <c r="AF410" s="5" t="inlineStr"/>
      <c r="AG410" s="5" t="inlineStr"/>
      <c r="AH410" s="5" t="inlineStr"/>
    </row>
    <row r="411">
      <c r="A411" s="5" t="inlineStr">
        <is>
          <t>b5-kurye-isi</t>
        </is>
      </c>
      <c r="B411" s="5" t="n">
        <v>2</v>
      </c>
      <c r="C411" s="6" t="inlineStr">
        <is>
          <t>Kurallara uyarak git</t>
        </is>
      </c>
      <c r="D411" s="5" t="inlineStr"/>
      <c r="E411" s="5" t="inlineStr"/>
      <c r="F411" s="5" t="inlineStr">
        <is>
          <t>İtibar +1</t>
        </is>
      </c>
      <c r="G411" s="6" t="inlineStr">
        <is>
          <t>Her kırmızıda durdun. Sipariş on dakika geç ulaştı. Müşteri iki yıldız verdi, yoruma 'Kurallara uymuş' yazdı.</t>
        </is>
      </c>
      <c r="H411" s="6" t="inlineStr"/>
      <c r="I411" s="6" t="inlineStr"/>
      <c r="J411" s="6" t="inlineStr"/>
      <c r="K411" s="6" t="inlineStr"/>
      <c r="L411" s="6" t="inlineStr"/>
      <c r="M411" s="5" t="inlineStr"/>
      <c r="N411" s="5" t="inlineStr"/>
      <c r="O411" s="6" t="inlineStr"/>
      <c r="P411" s="6" t="inlineStr"/>
      <c r="Q411" s="5" t="inlineStr"/>
      <c r="R411" s="5" t="inlineStr"/>
      <c r="S411" s="5" t="inlineStr"/>
      <c r="T411" s="5" t="inlineStr"/>
      <c r="U411" s="5" t="inlineStr"/>
      <c r="V411" s="5" t="inlineStr"/>
      <c r="W411" s="5" t="inlineStr"/>
      <c r="X411" s="5" t="inlineStr"/>
      <c r="Y411" s="5" t="inlineStr"/>
      <c r="Z411" s="6" t="inlineStr"/>
      <c r="AA411" s="5" t="inlineStr"/>
      <c r="AB411" s="5" t="inlineStr"/>
      <c r="AC411" s="5" t="inlineStr"/>
      <c r="AD411" s="5" t="inlineStr"/>
      <c r="AE411" s="5" t="inlineStr"/>
      <c r="AF411" s="5" t="inlineStr"/>
      <c r="AG411" s="5" t="inlineStr"/>
      <c r="AH411" s="5" t="inlineStr"/>
    </row>
    <row r="412">
      <c r="A412" s="5" t="inlineStr">
        <is>
          <t>b5-kurye-isi</t>
        </is>
      </c>
      <c r="B412" s="5" t="n">
        <v>3</v>
      </c>
      <c r="C412" s="6" t="inlineStr">
        <is>
          <t>Kapıda sohbet et, bahşiş kap</t>
        </is>
      </c>
      <c r="D412" s="5" t="inlineStr">
        <is>
          <t>Çene</t>
        </is>
      </c>
      <c r="E412" s="5" t="inlineStr">
        <is>
          <t>Kolay</t>
        </is>
      </c>
      <c r="F412" s="5" t="inlineStr"/>
      <c r="G412" s="6" t="inlineStr"/>
      <c r="H412" s="6" t="inlineStr">
        <is>
          <t>Kapıda iki cümle kurdun, bahşiş geldi. Kurye değil, halkla ilişkiler uzmanısın.</t>
        </is>
      </c>
      <c r="I412" s="6" t="inlineStr">
        <is>
          <t>Bir müşteri her akşam aynı saatte seni soruyor. Sadık müşteri tabanın oluştu.</t>
        </is>
      </c>
      <c r="J412" s="6" t="inlineStr">
        <is>
          <t>Sohbet ettin. Müşteri kapıyı kapattı. Bahşişi 'teşekkürler' olarak ödedi.</t>
        </is>
      </c>
      <c r="K412" s="6" t="inlineStr">
        <is>
          <t>Sohbet uzadı; sıradaki üç sipariş soğudu. Uygulama seni 'dikkat' listesine aldı.</t>
        </is>
      </c>
      <c r="L412" s="6" t="inlineStr"/>
      <c r="M412" s="5" t="inlineStr"/>
      <c r="N412" s="5" t="inlineStr"/>
      <c r="O412" s="6" t="inlineStr"/>
      <c r="P412" s="6" t="inlineStr"/>
      <c r="Q412" s="5" t="inlineStr"/>
      <c r="R412" s="5" t="inlineStr"/>
      <c r="S412" s="5" t="inlineStr"/>
      <c r="T412" s="5" t="inlineStr"/>
      <c r="U412" s="5" t="inlineStr"/>
      <c r="V412" s="5" t="inlineStr"/>
      <c r="W412" s="5" t="inlineStr"/>
      <c r="X412" s="5" t="inlineStr"/>
      <c r="Y412" s="5" t="inlineStr"/>
      <c r="Z412" s="6" t="inlineStr"/>
      <c r="AA412" s="5" t="inlineStr"/>
      <c r="AB412" s="5" t="inlineStr"/>
      <c r="AC412" s="5" t="inlineStr"/>
      <c r="AD412" s="5" t="inlineStr"/>
      <c r="AE412" s="5" t="inlineStr"/>
      <c r="AF412" s="5" t="inlineStr"/>
      <c r="AG412" s="5" t="inlineStr"/>
      <c r="AH412" s="5" t="inlineStr"/>
    </row>
    <row r="413">
      <c r="A413" s="5" t="inlineStr">
        <is>
          <t>b5-ozel-ders</t>
        </is>
      </c>
      <c r="B413" s="5" t="n">
        <v>1</v>
      </c>
      <c r="C413" s="6" t="inlineStr">
        <is>
          <t>Her dakikayı değerlendir</t>
        </is>
      </c>
      <c r="D413" s="5" t="inlineStr">
        <is>
          <t>Akıl</t>
        </is>
      </c>
      <c r="E413" s="5" t="inlineStr">
        <is>
          <t>Orta</t>
        </is>
      </c>
      <c r="F413" s="5" t="inlineStr"/>
      <c r="G413" s="6" t="inlineStr"/>
      <c r="H413" s="6" t="inlineStr">
        <is>
          <t>Her ders dolu geçti. Matematik notun iki basamak arttı. Annenin montu yolda.</t>
        </is>
      </c>
      <c r="I413" s="6" t="inlineStr">
        <is>
          <t>Öğretmen üçüncü derste 'Ben sana artık ne anlatayım?' dedi. Kalan dersler iptal edildi.</t>
        </is>
      </c>
      <c r="J413" s="6" t="inlineStr">
        <is>
          <t>Dersler iyi geçti. Sınavda çalıştığın konudan tek soru gelmedi.</t>
        </is>
      </c>
      <c r="K413" s="6" t="inlineStr">
        <is>
          <t>Bir ay sonra öğretmen yanlış müfredattan anlattığını fark etti. Özür diledi, ücreti almayı ihmal etmedi.</t>
        </is>
      </c>
      <c r="L413" s="6" t="inlineStr"/>
      <c r="M413" s="5" t="inlineStr"/>
      <c r="N413" s="5" t="inlineStr"/>
      <c r="O413" s="6" t="inlineStr"/>
      <c r="P413" s="6" t="inlineStr"/>
      <c r="Q413" s="5" t="inlineStr"/>
      <c r="R413" s="5" t="inlineStr"/>
      <c r="S413" s="5" t="inlineStr"/>
      <c r="T413" s="5" t="inlineStr"/>
      <c r="U413" s="5" t="inlineStr"/>
      <c r="V413" s="5" t="inlineStr"/>
      <c r="W413" s="5" t="inlineStr"/>
      <c r="X413" s="5" t="inlineStr"/>
      <c r="Y413" s="5" t="inlineStr"/>
      <c r="Z413" s="6" t="inlineStr"/>
      <c r="AA413" s="5" t="inlineStr"/>
      <c r="AB413" s="5" t="inlineStr"/>
      <c r="AC413" s="5" t="inlineStr"/>
      <c r="AD413" s="5" t="inlineStr"/>
      <c r="AE413" s="5" t="inlineStr"/>
      <c r="AF413" s="5" t="inlineStr"/>
      <c r="AG413" s="5" t="inlineStr"/>
      <c r="AH413" s="5" t="inlineStr"/>
    </row>
    <row r="414">
      <c r="A414" s="5" t="inlineStr">
        <is>
          <t>b5-ozel-ders</t>
        </is>
      </c>
      <c r="B414" s="5" t="n">
        <v>2</v>
      </c>
      <c r="C414" s="6" t="inlineStr">
        <is>
          <t>Öğretmeni sohbete boğ</t>
        </is>
      </c>
      <c r="D414" s="5" t="inlineStr">
        <is>
          <t>Çene</t>
        </is>
      </c>
      <c r="E414" s="5" t="inlineStr">
        <is>
          <t>Orta</t>
        </is>
      </c>
      <c r="F414" s="5" t="inlineStr"/>
      <c r="G414" s="6" t="inlineStr"/>
      <c r="H414" s="6" t="inlineStr">
        <is>
          <t>Sohbet arasında öğretmen hayatta işe yarayacak üç formül verdi. Hiçbiri sınavda yok.</t>
        </is>
      </c>
      <c r="I414" s="6" t="inlineStr">
        <is>
          <t>O kadar iyi anlaştınız ki üçüncü aydan sonra ücret almadı: 'Sen benim öğrencimsin.'</t>
        </is>
      </c>
      <c r="J414" s="6" t="inlineStr">
        <is>
          <t>Ailen ders sonrası 'Ne öğrendin?' diye sordu. Öğretmenin kedisinin adını söyledin.</t>
        </is>
      </c>
      <c r="K414" s="6" t="inlineStr">
        <is>
          <t>Ders saati öğretmenin tatil planlarıyla doldu. Ücret eksiksiz alındı.</t>
        </is>
      </c>
      <c r="L414" s="6" t="inlineStr"/>
      <c r="M414" s="5" t="inlineStr"/>
      <c r="N414" s="5" t="inlineStr"/>
      <c r="O414" s="6" t="inlineStr"/>
      <c r="P414" s="6" t="inlineStr"/>
      <c r="Q414" s="5" t="inlineStr"/>
      <c r="R414" s="5" t="inlineStr"/>
      <c r="S414" s="5" t="inlineStr"/>
      <c r="T414" s="5" t="inlineStr"/>
      <c r="U414" s="5" t="inlineStr"/>
      <c r="V414" s="5" t="inlineStr"/>
      <c r="W414" s="5" t="inlineStr"/>
      <c r="X414" s="5" t="inlineStr"/>
      <c r="Y414" s="5" t="inlineStr"/>
      <c r="Z414" s="6" t="inlineStr"/>
      <c r="AA414" s="5" t="inlineStr"/>
      <c r="AB414" s="5" t="inlineStr"/>
      <c r="AC414" s="5" t="inlineStr"/>
      <c r="AD414" s="5" t="inlineStr"/>
      <c r="AE414" s="5" t="inlineStr"/>
      <c r="AF414" s="5" t="inlineStr"/>
      <c r="AG414" s="5" t="inlineStr"/>
      <c r="AH414" s="5" t="inlineStr"/>
    </row>
    <row r="415">
      <c r="A415" s="5" t="inlineStr">
        <is>
          <t>b5-ozel-ders</t>
        </is>
      </c>
      <c r="B415" s="5" t="n">
        <v>3</v>
      </c>
      <c r="C415" s="6" t="inlineStr">
        <is>
          <t>Dersleri iptal ettir</t>
        </is>
      </c>
      <c r="D415" s="5" t="inlineStr"/>
      <c r="E415" s="5" t="inlineStr"/>
      <c r="F415" s="5" t="inlineStr">
        <is>
          <t>Pişkinlik +1</t>
        </is>
      </c>
      <c r="G415" s="6" t="inlineStr">
        <is>
          <t>Dersi bırakmak istediğini söyledin. İptal edildi. Tasarruf edilen para ertesi gün başka bir özel derse yatırıldı.</t>
        </is>
      </c>
      <c r="H415" s="6" t="inlineStr"/>
      <c r="I415" s="6" t="inlineStr"/>
      <c r="J415" s="6" t="inlineStr"/>
      <c r="K415" s="6" t="inlineStr"/>
      <c r="L415" s="6" t="inlineStr"/>
      <c r="M415" s="5" t="inlineStr"/>
      <c r="N415" s="5" t="inlineStr"/>
      <c r="O415" s="6" t="inlineStr"/>
      <c r="P415" s="6" t="inlineStr"/>
      <c r="Q415" s="5" t="inlineStr"/>
      <c r="R415" s="5" t="inlineStr"/>
      <c r="S415" s="5" t="inlineStr"/>
      <c r="T415" s="5" t="inlineStr"/>
      <c r="U415" s="5" t="inlineStr"/>
      <c r="V415" s="5" t="inlineStr"/>
      <c r="W415" s="5" t="inlineStr"/>
      <c r="X415" s="5" t="inlineStr"/>
      <c r="Y415" s="5" t="inlineStr"/>
      <c r="Z415" s="6" t="inlineStr"/>
      <c r="AA415" s="5" t="inlineStr"/>
      <c r="AB415" s="5" t="inlineStr"/>
      <c r="AC415" s="5" t="inlineStr"/>
      <c r="AD415" s="5" t="inlineStr"/>
      <c r="AE415" s="5" t="inlineStr"/>
      <c r="AF415" s="5" t="inlineStr"/>
      <c r="AG415" s="5" t="inlineStr"/>
      <c r="AH415" s="5" t="inlineStr"/>
    </row>
    <row r="416">
      <c r="A416" s="5" t="inlineStr">
        <is>
          <t>b5-rehberlik</t>
        </is>
      </c>
      <c r="B416" s="5" t="n">
        <v>1</v>
      </c>
      <c r="C416" s="6" t="inlineStr">
        <is>
          <t>Sonucu kabul et</t>
        </is>
      </c>
      <c r="D416" s="5" t="inlineStr"/>
      <c r="E416" s="5" t="inlineStr"/>
      <c r="F416" s="5" t="inlineStr">
        <is>
          <t>Dayanıklılık +1</t>
        </is>
      </c>
      <c r="G416" s="6" t="inlineStr">
        <is>
          <t>Rehber öğretmen bir denizcilik broşürü verdi. Yüzme bilmediğin dosyaya işlenmedi.</t>
        </is>
      </c>
      <c r="H416" s="6" t="inlineStr"/>
      <c r="I416" s="6" t="inlineStr"/>
      <c r="J416" s="6" t="inlineStr"/>
      <c r="K416" s="6" t="inlineStr"/>
      <c r="L416" s="6" t="inlineStr"/>
      <c r="M416" s="5" t="inlineStr"/>
      <c r="N416" s="5" t="inlineStr"/>
      <c r="O416" s="6" t="inlineStr"/>
      <c r="P416" s="6" t="inlineStr"/>
      <c r="Q416" s="5" t="inlineStr"/>
      <c r="R416" s="5" t="inlineStr"/>
      <c r="S416" s="5" t="inlineStr"/>
      <c r="T416" s="5" t="inlineStr"/>
      <c r="U416" s="5" t="inlineStr"/>
      <c r="V416" s="5" t="inlineStr"/>
      <c r="W416" s="5" t="inlineStr"/>
      <c r="X416" s="5" t="inlineStr"/>
      <c r="Y416" s="5" t="inlineStr"/>
      <c r="Z416" s="6" t="inlineStr"/>
      <c r="AA416" s="5" t="inlineStr"/>
      <c r="AB416" s="5" t="inlineStr"/>
      <c r="AC416" s="5" t="inlineStr"/>
      <c r="AD416" s="5" t="inlineStr"/>
      <c r="AE416" s="5" t="inlineStr"/>
      <c r="AF416" s="5" t="inlineStr"/>
      <c r="AG416" s="5" t="inlineStr"/>
      <c r="AH416" s="5" t="inlineStr"/>
    </row>
    <row r="417">
      <c r="A417" s="5" t="inlineStr">
        <is>
          <t>b5-rehberlik</t>
        </is>
      </c>
      <c r="B417" s="5" t="n">
        <v>2</v>
      </c>
      <c r="C417" s="6" t="inlineStr">
        <is>
          <t>Testi yeniden al</t>
        </is>
      </c>
      <c r="D417" s="5" t="inlineStr">
        <is>
          <t>Akıl</t>
        </is>
      </c>
      <c r="E417" s="5" t="inlineStr">
        <is>
          <t>Orta</t>
        </is>
      </c>
      <c r="F417" s="5" t="inlineStr"/>
      <c r="G417" s="6" t="inlineStr"/>
      <c r="H417" s="6" t="inlineStr">
        <is>
          <t>Dikkatle yeniden aldın. Yeni sonuç: mühendis. Ailen sonucu çerçeveletti.</t>
        </is>
      </c>
      <c r="I417" s="6" t="inlineStr">
        <is>
          <t>Sonuç tam hayal ettiğin meslek çıktı. Rehber öğretmen üçüncü kez almanı önermedi.</t>
        </is>
      </c>
      <c r="J417" s="6" t="inlineStr">
        <is>
          <t>Yeniden aldın. Sonuç: deniz feneri bekçisi yardımcısı.</t>
        </is>
      </c>
      <c r="K417" s="6" t="inlineStr">
        <is>
          <t>Sistem seni 'kararsız' olarak sınıflandırdı ve her hafta tekrar çağırıyor. Hâlâ gidiyorsun.</t>
        </is>
      </c>
      <c r="L417" s="6" t="inlineStr"/>
      <c r="M417" s="5" t="inlineStr"/>
      <c r="N417" s="5" t="inlineStr"/>
      <c r="O417" s="6" t="inlineStr"/>
      <c r="P417" s="6" t="inlineStr"/>
      <c r="Q417" s="5" t="inlineStr"/>
      <c r="R417" s="5" t="inlineStr"/>
      <c r="S417" s="5" t="inlineStr"/>
      <c r="T417" s="5" t="inlineStr"/>
      <c r="U417" s="5" t="inlineStr"/>
      <c r="V417" s="5" t="inlineStr"/>
      <c r="W417" s="5" t="inlineStr"/>
      <c r="X417" s="5" t="inlineStr"/>
      <c r="Y417" s="5" t="inlineStr"/>
      <c r="Z417" s="6" t="inlineStr"/>
      <c r="AA417" s="5" t="inlineStr"/>
      <c r="AB417" s="5" t="inlineStr"/>
      <c r="AC417" s="5" t="inlineStr"/>
      <c r="AD417" s="5" t="inlineStr"/>
      <c r="AE417" s="5" t="inlineStr"/>
      <c r="AF417" s="5" t="inlineStr"/>
      <c r="AG417" s="5" t="inlineStr"/>
      <c r="AH417" s="5" t="inlineStr"/>
    </row>
    <row r="418">
      <c r="A418" s="5" t="inlineStr">
        <is>
          <t>b5-rehberlik</t>
        </is>
      </c>
      <c r="B418" s="5" t="n">
        <v>3</v>
      </c>
      <c r="C418" s="6" t="inlineStr">
        <is>
          <t>Rehber öğretmenle gerçekten konuş</t>
        </is>
      </c>
      <c r="D418" s="5" t="inlineStr">
        <is>
          <t>Sosyal Radar</t>
        </is>
      </c>
      <c r="E418" s="5" t="inlineStr">
        <is>
          <t>Kolay</t>
        </is>
      </c>
      <c r="F418" s="5" t="inlineStr"/>
      <c r="G418" s="6" t="inlineStr"/>
      <c r="H418" s="6" t="inlineStr">
        <is>
          <t>Testi bir kenara bıraktınız. Kırk dakika sonra ilk kez kendi cevabını duydun.</t>
        </is>
      </c>
      <c r="I418" s="6" t="inlineStr">
        <is>
          <t>Öğretmen dosyana 'Ne istediğini biliyor' yazdı. Ailen dosyayı gördü, ilk kez itiraz etmedi.</t>
        </is>
      </c>
      <c r="J418" s="6" t="inlineStr">
        <is>
          <t>Sohbet güzel geçti. Sonunda öğretmen seni testi yeniden almaya ikna etti.</t>
        </is>
      </c>
      <c r="K418" s="6" t="inlineStr">
        <is>
          <t>Sohbet öğretmenin kendi kariyer pişmanlıklarına döndü. Seansın sonunda sen onu teselli ettin.</t>
        </is>
      </c>
      <c r="L418" s="6" t="inlineStr"/>
      <c r="M418" s="5" t="inlineStr"/>
      <c r="N418" s="5" t="inlineStr"/>
      <c r="O418" s="6" t="inlineStr"/>
      <c r="P418" s="6" t="inlineStr"/>
      <c r="Q418" s="5" t="inlineStr">
        <is>
          <t>Odayı Okur</t>
        </is>
      </c>
      <c r="R418" s="5" t="inlineStr"/>
      <c r="S418" s="5" t="inlineStr"/>
      <c r="T418" s="5" t="inlineStr"/>
      <c r="U418" s="5" t="inlineStr"/>
      <c r="V418" s="5" t="inlineStr"/>
      <c r="W418" s="5" t="inlineStr"/>
      <c r="X418" s="5" t="inlineStr"/>
      <c r="Y418" s="5" t="inlineStr"/>
      <c r="Z418" s="6" t="inlineStr"/>
      <c r="AA418" s="5" t="inlineStr"/>
      <c r="AB418" s="5" t="inlineStr"/>
      <c r="AC418" s="5" t="inlineStr"/>
      <c r="AD418" s="5" t="inlineStr"/>
      <c r="AE418" s="5" t="inlineStr"/>
      <c r="AF418" s="5" t="inlineStr"/>
      <c r="AG418" s="5" t="inlineStr"/>
      <c r="AH418" s="5" t="inlineStr"/>
    </row>
    <row r="419">
      <c r="A419" s="5" t="inlineStr">
        <is>
          <t>b5-telefon-detoksu</t>
        </is>
      </c>
      <c r="B419" s="5" t="n">
        <v>1</v>
      </c>
      <c r="C419" s="6" t="inlineStr">
        <is>
          <t>Kabul et, çalış</t>
        </is>
      </c>
      <c r="D419" s="5" t="inlineStr"/>
      <c r="E419" s="5" t="inlineStr"/>
      <c r="F419" s="5" t="inlineStr">
        <is>
          <t>Akıl +1, Dayanıklılık +1</t>
        </is>
      </c>
      <c r="G419" s="6" t="inlineStr">
        <is>
          <t>İki ay telefonsuz geçti. Dünyada ne olduğunu bilmiyorsun ama trigonometriyi biliyorsun.</t>
        </is>
      </c>
      <c r="H419" s="6" t="inlineStr"/>
      <c r="I419" s="6" t="inlineStr"/>
      <c r="J419" s="6" t="inlineStr"/>
      <c r="K419" s="6" t="inlineStr"/>
      <c r="L419" s="6" t="inlineStr"/>
      <c r="M419" s="5" t="inlineStr"/>
      <c r="N419" s="5" t="inlineStr"/>
      <c r="O419" s="6" t="inlineStr"/>
      <c r="P419" s="6" t="inlineStr"/>
      <c r="Q419" s="5" t="inlineStr"/>
      <c r="R419" s="5" t="inlineStr"/>
      <c r="S419" s="5" t="inlineStr"/>
      <c r="T419" s="5" t="inlineStr"/>
      <c r="U419" s="5" t="inlineStr"/>
      <c r="V419" s="5" t="inlineStr"/>
      <c r="W419" s="5" t="inlineStr"/>
      <c r="X419" s="5" t="inlineStr"/>
      <c r="Y419" s="5" t="inlineStr"/>
      <c r="Z419" s="6" t="inlineStr"/>
      <c r="AA419" s="5" t="inlineStr"/>
      <c r="AB419" s="5" t="inlineStr"/>
      <c r="AC419" s="5" t="inlineStr"/>
      <c r="AD419" s="5" t="inlineStr"/>
      <c r="AE419" s="5" t="inlineStr"/>
      <c r="AF419" s="5" t="inlineStr"/>
      <c r="AG419" s="5" t="inlineStr"/>
      <c r="AH419" s="5" t="inlineStr"/>
    </row>
    <row r="420">
      <c r="A420" s="5" t="inlineStr">
        <is>
          <t>b5-telefon-detoksu</t>
        </is>
      </c>
      <c r="B420" s="5" t="n">
        <v>2</v>
      </c>
      <c r="C420" s="6" t="inlineStr">
        <is>
          <t>Akşamları bir saat için pazarlık et</t>
        </is>
      </c>
      <c r="D420" s="5" t="inlineStr">
        <is>
          <t>Çene</t>
        </is>
      </c>
      <c r="E420" s="5" t="inlineStr">
        <is>
          <t>Orta</t>
        </is>
      </c>
      <c r="F420" s="5" t="inlineStr"/>
      <c r="G420" s="6" t="inlineStr"/>
      <c r="H420" s="6" t="inlineStr">
        <is>
          <t>Akşam bir saat için anlaştınız. Saat dolunca telefon teslim; tutanaksız ama saygılı.</t>
        </is>
      </c>
      <c r="I420" s="6" t="inlineStr">
        <is>
          <t>Sözleşmeye 'hafta sonu tam gün' maddesi ekletmeyi başardın. Aile hukukunda bir ilk.</t>
        </is>
      </c>
      <c r="J420" s="6" t="inlineStr">
        <is>
          <t>Bir saati aldın. Süre bitince alarm çaldı. Alarm babanın telefonuna kurulmuş.</t>
        </is>
      </c>
      <c r="K420" s="6" t="inlineStr">
        <is>
          <t>Pazarlık uzadı. Tablet ve bilgisayar da emanete alındı. Masa küçüldü.</t>
        </is>
      </c>
      <c r="L420" s="6" t="inlineStr"/>
      <c r="M420" s="5" t="inlineStr"/>
      <c r="N420" s="5" t="inlineStr"/>
      <c r="O420" s="6" t="inlineStr"/>
      <c r="P420" s="6" t="inlineStr"/>
      <c r="Q420" s="5" t="inlineStr"/>
      <c r="R420" s="5" t="inlineStr"/>
      <c r="S420" s="5" t="inlineStr"/>
      <c r="T420" s="5" t="inlineStr"/>
      <c r="U420" s="5" t="inlineStr"/>
      <c r="V420" s="5" t="inlineStr"/>
      <c r="W420" s="5" t="inlineStr"/>
      <c r="X420" s="5" t="inlineStr"/>
      <c r="Y420" s="5" t="inlineStr"/>
      <c r="Z420" s="6" t="inlineStr"/>
      <c r="AA420" s="5" t="inlineStr"/>
      <c r="AB420" s="5" t="inlineStr"/>
      <c r="AC420" s="5" t="inlineStr"/>
      <c r="AD420" s="5" t="inlineStr"/>
      <c r="AE420" s="5" t="inlineStr"/>
      <c r="AF420" s="5" t="inlineStr"/>
      <c r="AG420" s="5" t="inlineStr"/>
      <c r="AH420" s="5" t="inlineStr"/>
    </row>
    <row r="421">
      <c r="A421" s="5" t="inlineStr">
        <is>
          <t>b5-telefon-detoksu</t>
        </is>
      </c>
      <c r="B421" s="5" t="n">
        <v>3</v>
      </c>
      <c r="C421" s="6" t="inlineStr">
        <is>
          <t>Anahtarı bul</t>
        </is>
      </c>
      <c r="D421" s="5" t="inlineStr">
        <is>
          <t>Kurnazlık</t>
        </is>
      </c>
      <c r="E421" s="5" t="inlineStr">
        <is>
          <t>Orta</t>
        </is>
      </c>
      <c r="F421" s="5" t="inlineStr"/>
      <c r="G421" s="6" t="inlineStr"/>
      <c r="H421" s="6" t="inlineStr">
        <is>
          <t>Gece yarısı telefonu aldın, sabahtan önce geri koydun. Ekmek dolabı sırrını korudu.</t>
        </is>
      </c>
      <c r="I421" s="6" t="inlineStr">
        <is>
          <t>İki ay boyunca her gece bir saat telefon, her sabah ders. Kimse fark etmedi. Kusursuz operasyon.</t>
        </is>
      </c>
      <c r="J421" s="6" t="inlineStr">
        <is>
          <t>Anahtarı buldun. Çekmecede telefon yoktu. Annen bir adım öndeydi.</t>
        </is>
      </c>
      <c r="K421" s="6" t="inlineStr">
        <is>
          <t>Anahtarı alırken ekmek poşetini hışırdattın. Gece üçte bütün aile mutfakta seni bekliyordu.</t>
        </is>
      </c>
      <c r="L421" s="6" t="inlineStr"/>
      <c r="M421" s="5" t="inlineStr"/>
      <c r="N421" s="5" t="inlineStr"/>
      <c r="O421" s="6" t="inlineStr"/>
      <c r="P421" s="6" t="inlineStr"/>
      <c r="Q421" s="5" t="inlineStr"/>
      <c r="R421" s="5" t="inlineStr"/>
      <c r="S421" s="5" t="inlineStr">
        <is>
          <t>Kurnazlık</t>
        </is>
      </c>
      <c r="T421" s="5" t="inlineStr"/>
      <c r="U421" s="5" t="inlineStr"/>
      <c r="V421" s="5" t="inlineStr"/>
      <c r="W421" s="5" t="inlineStr"/>
      <c r="X421" s="5" t="inlineStr"/>
      <c r="Y421" s="5" t="inlineStr"/>
      <c r="Z421" s="6" t="inlineStr"/>
      <c r="AA421" s="5" t="inlineStr"/>
      <c r="AB421" s="5" t="inlineStr"/>
      <c r="AC421" s="5" t="inlineStr"/>
      <c r="AD421" s="5" t="inlineStr"/>
      <c r="AE421" s="5" t="inlineStr"/>
      <c r="AF421" s="5" t="inlineStr"/>
      <c r="AG421" s="5" t="inlineStr"/>
      <c r="AH421" s="5" t="inlineStr"/>
    </row>
    <row r="422">
      <c r="A422" s="5" t="inlineStr">
        <is>
          <t>b5-universite-sinavi</t>
        </is>
      </c>
      <c r="B422" s="5" t="n">
        <v>1</v>
      </c>
      <c r="C422" s="6" t="inlineStr">
        <is>
          <t>Soruları sırayla çöz</t>
        </is>
      </c>
      <c r="D422" s="5" t="inlineStr">
        <is>
          <t>Akıl</t>
        </is>
      </c>
      <c r="E422" s="5" t="inlineStr">
        <is>
          <t>Zor</t>
        </is>
      </c>
      <c r="F422" s="5" t="inlineStr"/>
      <c r="G422" s="6" t="inlineStr"/>
      <c r="H422" s="6" t="inlineStr">
        <is>
          <t>Sabırla çözdün. Sonuçlar açıklandı: üniversiteye girdin. Aile grubu üç saat boyunca tebrik yağdırdı.</t>
        </is>
      </c>
      <c r="I422" s="6" t="inlineStr">
        <is>
          <t>Derece yaptın. Dershane seni afişe bastı, okul da bastı. Annen iki afişin de fotoğrafını çekti.</t>
        </is>
      </c>
      <c r="J422" s="6" t="inlineStr">
        <is>
          <t>Puanın hiçbir yere yetmedi. Ailen 'Seneye' dedi. Kelime evde yankılanıyor.</t>
        </is>
      </c>
      <c r="K422" s="6" t="inlineStr">
        <is>
          <t>Optik formu bir satır kaydırarak doldurdun. Cevaplar doğru, kutular yanlış. Tarihin en bilgili sıfırı.</t>
        </is>
      </c>
      <c r="L422" s="6" t="inlineStr"/>
      <c r="M422" s="5" t="inlineStr"/>
      <c r="N422" s="5" t="inlineStr"/>
      <c r="O422" s="6" t="inlineStr"/>
      <c r="P422" s="6" t="inlineStr"/>
      <c r="Q422" s="5" t="inlineStr"/>
      <c r="R422" s="5" t="inlineStr"/>
      <c r="S422" s="5" t="inlineStr"/>
      <c r="T422" s="5" t="inlineStr"/>
      <c r="U422" s="5" t="inlineStr"/>
      <c r="V422" s="5" t="inlineStr">
        <is>
          <t>universiteli</t>
        </is>
      </c>
      <c r="W422" s="5" t="inlineStr"/>
      <c r="X422" s="5" t="inlineStr"/>
      <c r="Y422" s="5" t="inlineStr"/>
      <c r="Z422" s="6" t="inlineStr"/>
      <c r="AA422" s="5" t="inlineStr"/>
      <c r="AB422" s="5" t="inlineStr"/>
      <c r="AC422" s="5" t="inlineStr"/>
      <c r="AD422" s="5" t="inlineStr"/>
      <c r="AE422" s="5" t="inlineStr"/>
      <c r="AF422" s="5" t="inlineStr"/>
      <c r="AG422" s="5" t="inlineStr"/>
      <c r="AH422" s="5" t="inlineStr"/>
    </row>
    <row r="423">
      <c r="A423" s="5" t="inlineStr">
        <is>
          <t>b5-universite-sinavi</t>
        </is>
      </c>
      <c r="B423" s="5" t="n">
        <v>2</v>
      </c>
      <c r="C423" s="6" t="inlineStr">
        <is>
          <t>Eleyerek tahmin et, boş bırakma</t>
        </is>
      </c>
      <c r="D423" s="5" t="inlineStr">
        <is>
          <t>Kurnazlık</t>
        </is>
      </c>
      <c r="E423" s="5" t="inlineStr">
        <is>
          <t>Orta</t>
        </is>
      </c>
      <c r="F423" s="5" t="inlineStr"/>
      <c r="G423" s="6" t="inlineStr"/>
      <c r="H423" s="6" t="inlineStr">
        <is>
          <t>Bilmediklerini eleyerek tahmin ettin. İstatistik lehine çalıştı: üniversitelisin.</t>
        </is>
      </c>
      <c r="I423" s="6" t="inlineStr">
        <is>
          <t>Tahminlerinin çoğu tuttu. Şans, akademik bir yöntem olarak kayda geçti.</t>
        </is>
      </c>
      <c r="J423" s="6" t="inlineStr">
        <is>
          <t>Olasılık hesabı bu yıl karşı taraftaydı. Puanın barajın bir tık altında.</t>
        </is>
      </c>
      <c r="K423" s="6" t="inlineStr">
        <is>
          <t>Bütün tahminleri 'C' yaptın. Bu yıl cevap anahtarında en az 'C' vardı.</t>
        </is>
      </c>
      <c r="L423" s="6" t="inlineStr"/>
      <c r="M423" s="5" t="inlineStr"/>
      <c r="N423" s="5" t="inlineStr"/>
      <c r="O423" s="6" t="inlineStr"/>
      <c r="P423" s="6" t="inlineStr"/>
      <c r="Q423" s="5" t="inlineStr"/>
      <c r="R423" s="5" t="inlineStr"/>
      <c r="S423" s="5" t="inlineStr"/>
      <c r="T423" s="5" t="inlineStr"/>
      <c r="U423" s="5" t="inlineStr"/>
      <c r="V423" s="5" t="inlineStr">
        <is>
          <t>universiteli</t>
        </is>
      </c>
      <c r="W423" s="5" t="inlineStr"/>
      <c r="X423" s="5" t="inlineStr"/>
      <c r="Y423" s="5" t="inlineStr"/>
      <c r="Z423" s="6" t="inlineStr"/>
      <c r="AA423" s="5" t="inlineStr"/>
      <c r="AB423" s="5" t="inlineStr"/>
      <c r="AC423" s="5" t="inlineStr"/>
      <c r="AD423" s="5" t="inlineStr"/>
      <c r="AE423" s="5" t="inlineStr"/>
      <c r="AF423" s="5" t="inlineStr"/>
      <c r="AG423" s="5" t="inlineStr"/>
      <c r="AH423" s="5" t="inlineStr"/>
    </row>
    <row r="424">
      <c r="A424" s="5" t="inlineStr">
        <is>
          <t>b5-universite-sinavi</t>
        </is>
      </c>
      <c r="B424" s="5" t="n">
        <v>3</v>
      </c>
      <c r="C424" s="6" t="inlineStr">
        <is>
          <t>Lisenin birikimine güven</t>
        </is>
      </c>
      <c r="D424" s="5" t="inlineStr">
        <is>
          <t>Akıl</t>
        </is>
      </c>
      <c r="E424" s="5" t="inlineStr">
        <is>
          <t>Kolay</t>
        </is>
      </c>
      <c r="F424" s="5" t="inlineStr"/>
      <c r="G424" s="6" t="inlineStr"/>
      <c r="H424" s="6" t="inlineStr">
        <is>
          <t>İyi bir lisedeki dört yıl boşa gitmemiş. Üniversiteye girdin; sakin ve beklendiği gibi.</t>
        </is>
      </c>
      <c r="I424" s="6" t="inlineStr">
        <is>
          <t>Süre bitmeden çıktın. Tercih listendeki ilk bölüme yerleştin.</t>
        </is>
      </c>
      <c r="J424" s="6" t="inlineStr">
        <is>
          <t>Birikime güvendin. Birikim dört yıl önce kalmış. Puan yetmedi.</t>
        </is>
      </c>
      <c r="K424" s="6" t="inlineStr">
        <is>
          <t>Fazla rahattın; kimliğini evde unuttun. Annen koşarak getirdiğinde kapılar kapanmıştı.</t>
        </is>
      </c>
      <c r="L424" s="6" t="inlineStr"/>
      <c r="M424" s="5" t="inlineStr"/>
      <c r="N424" s="5" t="inlineStr"/>
      <c r="O424" s="6" t="inlineStr"/>
      <c r="P424" s="6" t="inlineStr"/>
      <c r="Q424" s="5" t="inlineStr"/>
      <c r="R424" s="5" t="inlineStr">
        <is>
          <t>iyi-lise</t>
        </is>
      </c>
      <c r="S424" s="5" t="inlineStr"/>
      <c r="T424" s="5" t="inlineStr"/>
      <c r="U424" s="5" t="inlineStr"/>
      <c r="V424" s="5" t="inlineStr">
        <is>
          <t>universiteli</t>
        </is>
      </c>
      <c r="W424" s="5" t="inlineStr"/>
      <c r="X424" s="5" t="inlineStr"/>
      <c r="Y424" s="5" t="inlineStr"/>
      <c r="Z424" s="6" t="inlineStr"/>
      <c r="AA424" s="5" t="inlineStr"/>
      <c r="AB424" s="5" t="inlineStr"/>
      <c r="AC424" s="5" t="inlineStr"/>
      <c r="AD424" s="5" t="inlineStr"/>
      <c r="AE424" s="5" t="inlineStr"/>
      <c r="AF424" s="5" t="inlineStr"/>
      <c r="AG424" s="5" t="inlineStr"/>
      <c r="AH424" s="5" t="inlineStr"/>
    </row>
    <row r="425">
      <c r="A425" s="5" t="inlineStr">
        <is>
          <t>b5-universite-sinavi</t>
        </is>
      </c>
      <c r="B425" s="5" t="n">
        <v>4</v>
      </c>
      <c r="C425" s="6" t="inlineStr">
        <is>
          <t>Deneme tecrübene yaslan</t>
        </is>
      </c>
      <c r="D425" s="5" t="inlineStr">
        <is>
          <t>Dayanıklılık</t>
        </is>
      </c>
      <c r="E425" s="5" t="inlineStr">
        <is>
          <t>Kolay</t>
        </is>
      </c>
      <c r="F425" s="5" t="inlineStr"/>
      <c r="G425" s="6" t="inlineStr"/>
      <c r="H425" s="6" t="inlineStr">
        <is>
          <t>Yüzlerce denemeden sonra bu sadece bir tane daha. Rahatça çözdün; üniversitelisin.</t>
        </is>
      </c>
      <c r="I425" s="6" t="inlineStr">
        <is>
          <t>Denemelerdeki en yüksek puanını geçtin. Dershane seni broşürüne 'başarı hikâyesi' olarak aldı.</t>
        </is>
      </c>
      <c r="J425" s="6" t="inlineStr">
        <is>
          <t>Denemelerde hep iyiydin. Sınav, deneme olmadığını hatırlattı.</t>
        </is>
      </c>
      <c r="K425" s="6" t="inlineStr">
        <is>
          <t>Alışkanlıkla sınav biter bitmez cevap anahtarı sırasına girdin. Bu sınavda cevap anahtarı dağıtılmıyor. Puan yetmedi.</t>
        </is>
      </c>
      <c r="L425" s="6" t="inlineStr"/>
      <c r="M425" s="5" t="inlineStr"/>
      <c r="N425" s="5" t="inlineStr"/>
      <c r="O425" s="6" t="inlineStr"/>
      <c r="P425" s="6" t="inlineStr"/>
      <c r="Q425" s="5" t="inlineStr">
        <is>
          <t>Deneme Kurdu</t>
        </is>
      </c>
      <c r="R425" s="5" t="inlineStr"/>
      <c r="S425" s="5" t="inlineStr"/>
      <c r="T425" s="5" t="inlineStr"/>
      <c r="U425" s="5" t="inlineStr"/>
      <c r="V425" s="5" t="inlineStr">
        <is>
          <t>universiteli</t>
        </is>
      </c>
      <c r="W425" s="5" t="inlineStr"/>
      <c r="X425" s="5" t="inlineStr"/>
      <c r="Y425" s="5" t="inlineStr"/>
      <c r="Z425" s="6" t="inlineStr"/>
      <c r="AA425" s="5" t="inlineStr"/>
      <c r="AB425" s="5" t="inlineStr"/>
      <c r="AC425" s="5" t="inlineStr"/>
      <c r="AD425" s="5" t="inlineStr"/>
      <c r="AE425" s="5" t="inlineStr"/>
      <c r="AF425" s="5" t="inlineStr"/>
      <c r="AG425" s="5" t="inlineStr"/>
      <c r="AH425" s="5" t="inlineStr"/>
    </row>
    <row r="426">
      <c r="A426" s="5" t="inlineStr">
        <is>
          <t>b5-universite-sinavi</t>
        </is>
      </c>
      <c r="B426" s="5" t="n">
        <v>5</v>
      </c>
      <c r="C426" s="6" t="inlineStr">
        <is>
          <t>Sınava girme, hemen çalışmaya başla</t>
        </is>
      </c>
      <c r="D426" s="5" t="inlineStr"/>
      <c r="E426" s="5" t="inlineStr"/>
      <c r="F426" s="5" t="inlineStr">
        <is>
          <t>Cesaret +1, Dayanıklılık +1</t>
        </is>
      </c>
      <c r="G426" s="6" t="inlineStr">
        <is>
          <t>Sınava girmedin; ertesi sabah bir işe başladın. Ailen buna 'ara yıl' dedi. Sen 'maaş' dedin.</t>
        </is>
      </c>
      <c r="H426" s="6" t="inlineStr"/>
      <c r="I426" s="6" t="inlineStr"/>
      <c r="J426" s="6" t="inlineStr"/>
      <c r="K426" s="6" t="inlineStr"/>
      <c r="L426" s="6" t="inlineStr"/>
      <c r="M426" s="5" t="inlineStr"/>
      <c r="N426" s="5" t="inlineStr"/>
      <c r="O426" s="6" t="inlineStr"/>
      <c r="P426" s="6" t="inlineStr"/>
      <c r="Q426" s="5" t="inlineStr"/>
      <c r="R426" s="5" t="inlineStr"/>
      <c r="S426" s="5" t="inlineStr"/>
      <c r="T426" s="5" t="inlineStr"/>
      <c r="U426" s="5" t="inlineStr">
        <is>
          <t>sinava-girmedi</t>
        </is>
      </c>
      <c r="V426" s="5" t="inlineStr"/>
      <c r="W426" s="5" t="inlineStr"/>
      <c r="X426" s="5" t="inlineStr"/>
      <c r="Y426" s="5" t="inlineStr"/>
      <c r="Z426" s="6" t="inlineStr"/>
      <c r="AA426" s="5" t="inlineStr">
        <is>
          <t>Erdem -1, Tan -1, Keskin +1, Yalçın +1</t>
        </is>
      </c>
      <c r="AB426" s="5" t="inlineStr"/>
      <c r="AC426" s="5" t="inlineStr"/>
      <c r="AD426" s="5" t="inlineStr"/>
      <c r="AE426" s="5" t="inlineStr"/>
      <c r="AF426" s="5" t="inlineStr"/>
      <c r="AG426" s="5" t="inlineStr"/>
      <c r="AH426" s="5" t="inlineStr"/>
    </row>
    <row r="427">
      <c r="A427" s="5" t="inlineStr">
        <is>
          <t>b5-universite-sinavi</t>
        </is>
      </c>
      <c r="B427" s="5" t="n">
        <v>6</v>
      </c>
      <c r="C427" s="6" t="inlineStr">
        <is>
          <t>Öte Diyar'daki üniversiteye başvur</t>
        </is>
      </c>
      <c r="D427" s="5" t="inlineStr">
        <is>
          <t>Akıl</t>
        </is>
      </c>
      <c r="E427" s="5" t="inlineStr">
        <is>
          <t>Zor</t>
        </is>
      </c>
      <c r="F427" s="5" t="inlineStr"/>
      <c r="G427" s="6" t="inlineStr"/>
      <c r="H427" s="6" t="inlineStr">
        <is>
          <t>Öte Diyar'dan kabul mektubu geldi. Aile grubunda üç kişi mektubu tercüme etmeye çalıştı; dördüncüsü sadece “Maşallah” yazdı.</t>
        </is>
      </c>
      <c r="I427" s="6" t="inlineStr">
        <is>
          <t>Kabulle birlikte burs da geldi. Ailen hesap makinesini kapattı, bavulu açtı.</t>
        </is>
      </c>
      <c r="J427" s="6" t="inlineStr">
        <is>
          <t>Başvurunu gönderdin; cevap Öte Diyar dilinde bir “maalesef” oldu. Tercümeye gerek yoktu.</t>
        </is>
      </c>
      <c r="K427" s="6" t="inlineStr">
        <is>
          <t>Başvuru ücretini ödedin, belgeleri gönderdin. Belgelerin Öte Diyar'a değil, komşu ülkeye gitmiş.</t>
        </is>
      </c>
      <c r="L427" s="6" t="inlineStr"/>
      <c r="M427" s="5" t="inlineStr"/>
      <c r="N427" s="5" t="inlineStr"/>
      <c r="O427" s="6" t="inlineStr"/>
      <c r="P427" s="6" t="inlineStr"/>
      <c r="Q427" s="5" t="inlineStr"/>
      <c r="R427" s="5" t="inlineStr">
        <is>
          <t>yurt-disi-hayali</t>
        </is>
      </c>
      <c r="S427" s="5" t="inlineStr"/>
      <c r="T427" s="5" t="inlineStr"/>
      <c r="U427" s="5" t="inlineStr"/>
      <c r="V427" s="5" t="inlineStr">
        <is>
          <t>yurtdisi-universite</t>
        </is>
      </c>
      <c r="W427" s="5" t="inlineStr"/>
      <c r="X427" s="5" t="inlineStr"/>
      <c r="Y427" s="5" t="inlineStr"/>
      <c r="Z427" s="6" t="inlineStr"/>
      <c r="AA427" s="5" t="inlineStr">
        <is>
          <t>Varlı +1, Şen -1, Yalçın -1</t>
        </is>
      </c>
      <c r="AB427" s="5" t="inlineStr"/>
      <c r="AC427" s="5" t="inlineStr"/>
      <c r="AD427" s="5" t="inlineStr"/>
      <c r="AE427" s="5" t="inlineStr"/>
      <c r="AF427" s="5" t="inlineStr"/>
      <c r="AG427" s="5" t="inlineStr"/>
      <c r="AH427" s="5" t="inlineStr"/>
    </row>
    <row r="428">
      <c r="A428" s="5" t="inlineStr">
        <is>
          <t>b5-mezuniyet-balosu</t>
        </is>
      </c>
      <c r="B428" s="5" t="n">
        <v>1</v>
      </c>
      <c r="C428" s="6" t="inlineStr">
        <is>
          <t>Masada otur, fotoğraflara gülümse</t>
        </is>
      </c>
      <c r="D428" s="5" t="inlineStr"/>
      <c r="E428" s="5" t="inlineStr"/>
      <c r="F428" s="5" t="inlineStr">
        <is>
          <t>Sosyal Radar +1</t>
        </is>
      </c>
      <c r="G428" s="6" t="inlineStr">
        <is>
          <t>Bütün gece masada oturdun. Yıllıktaki fotoğrafların hepsinde karenin kenarında gülümseyen sensin.</t>
        </is>
      </c>
      <c r="H428" s="6" t="inlineStr"/>
      <c r="I428" s="6" t="inlineStr"/>
      <c r="J428" s="6" t="inlineStr"/>
      <c r="K428" s="6" t="inlineStr"/>
      <c r="L428" s="6" t="inlineStr"/>
      <c r="M428" s="5" t="inlineStr"/>
      <c r="N428" s="5" t="inlineStr"/>
      <c r="O428" s="6" t="inlineStr"/>
      <c r="P428" s="6" t="inlineStr"/>
      <c r="Q428" s="5" t="inlineStr"/>
      <c r="R428" s="5" t="inlineStr"/>
      <c r="S428" s="5" t="inlineStr"/>
      <c r="T428" s="5" t="inlineStr"/>
      <c r="U428" s="5" t="inlineStr"/>
      <c r="V428" s="5" t="inlineStr"/>
      <c r="W428" s="5" t="inlineStr"/>
      <c r="X428" s="5" t="inlineStr"/>
      <c r="Y428" s="5" t="inlineStr"/>
      <c r="Z428" s="6" t="inlineStr"/>
      <c r="AA428" s="5" t="inlineStr"/>
      <c r="AB428" s="5" t="inlineStr"/>
      <c r="AC428" s="5" t="inlineStr"/>
      <c r="AD428" s="5" t="inlineStr"/>
      <c r="AE428" s="5" t="inlineStr"/>
      <c r="AF428" s="5" t="inlineStr"/>
      <c r="AG428" s="5" t="inlineStr"/>
      <c r="AH428" s="5" t="inlineStr"/>
    </row>
    <row r="429">
      <c r="A429" s="5" t="inlineStr">
        <is>
          <t>b5-mezuniyet-balosu</t>
        </is>
      </c>
      <c r="B429" s="5" t="n">
        <v>2</v>
      </c>
      <c r="C429" s="6" t="inlineStr">
        <is>
          <t>İlk dansı başlat</t>
        </is>
      </c>
      <c r="D429" s="5" t="inlineStr">
        <is>
          <t>Cesaret</t>
        </is>
      </c>
      <c r="E429" s="5" t="inlineStr">
        <is>
          <t>Zor</t>
        </is>
      </c>
      <c r="F429" s="5" t="inlineStr"/>
      <c r="G429" s="6" t="inlineStr"/>
      <c r="H429" s="6" t="inlineStr">
        <is>
          <t>Piste ilk sen çıktın. Otuz saniye yalnızdın, sonra herkes geldi. Tarih seni hatırlayacak.</t>
        </is>
      </c>
      <c r="I429" s="6" t="inlineStr">
        <is>
          <t>Pisti açtın, öğretmenler bile dans etti. Müdür yardımcısının figürleri artık okul efsanesi.</t>
        </is>
      </c>
      <c r="J429" s="6" t="inlineStr">
        <is>
          <t>Piste çıktın, şarkı bitti. Sessizlikte pistin ortasında yalnızdın.</t>
        </is>
      </c>
      <c r="K429" s="6" t="inlineStr">
        <is>
          <t>Piste çıkarken kaydın ve pasta masasına kadar gittin. Balo fotoğraflarının yarısında pastayla birliktesin.</t>
        </is>
      </c>
      <c r="L429" s="6" t="inlineStr"/>
      <c r="M429" s="5" t="inlineStr"/>
      <c r="N429" s="5" t="inlineStr"/>
      <c r="O429" s="6" t="inlineStr"/>
      <c r="P429" s="6" t="inlineStr"/>
      <c r="Q429" s="5" t="inlineStr"/>
      <c r="R429" s="5" t="inlineStr"/>
      <c r="S429" s="5" t="inlineStr"/>
      <c r="T429" s="5" t="inlineStr"/>
      <c r="U429" s="5" t="inlineStr"/>
      <c r="V429" s="5" t="inlineStr"/>
      <c r="W429" s="5" t="inlineStr"/>
      <c r="X429" s="5" t="inlineStr"/>
      <c r="Y429" s="5" t="inlineStr"/>
      <c r="Z429" s="6" t="inlineStr"/>
      <c r="AA429" s="5" t="inlineStr"/>
      <c r="AB429" s="5" t="inlineStr"/>
      <c r="AC429" s="5" t="inlineStr"/>
      <c r="AD429" s="5" t="inlineStr"/>
      <c r="AE429" s="5" t="inlineStr"/>
      <c r="AF429" s="5" t="inlineStr"/>
      <c r="AG429" s="5" t="inlineStr"/>
      <c r="AH429" s="5" t="inlineStr"/>
    </row>
    <row r="430">
      <c r="A430" s="5" t="inlineStr">
        <is>
          <t>b5-mezuniyet-balosu</t>
        </is>
      </c>
      <c r="B430" s="5" t="n">
        <v>3</v>
      </c>
      <c r="C430" s="6" t="inlineStr">
        <is>
          <t>Mikrofonu al</t>
        </is>
      </c>
      <c r="D430" s="5" t="inlineStr">
        <is>
          <t>Pişkinlik</t>
        </is>
      </c>
      <c r="E430" s="5" t="inlineStr">
        <is>
          <t>Orta</t>
        </is>
      </c>
      <c r="F430" s="5" t="inlineStr"/>
      <c r="G430" s="6" t="inlineStr"/>
      <c r="H430" s="6" t="inlineStr">
        <is>
          <t>Dört yılı üç espriyle özetledin. Salon ayakta alkışladı.</t>
        </is>
      </c>
      <c r="I430" s="6" t="inlineStr">
        <is>
          <t>O kadar güldürdün ki DJ müziği kıstı ve sana bir mikrofon daha uzattı. Gece seninle kapandı.</t>
        </is>
      </c>
      <c r="J430" s="6" t="inlineStr">
        <is>
          <t>Mikrofon kapalıydı. Kimse duymadı ama herkes el salladı.</t>
        </is>
      </c>
      <c r="K430" s="6" t="inlineStr">
        <is>
          <t>Konuşmanda bütün öğretmenlerin lakaplarını saydın. Öğretmenler de salondaydı. Diplomalar henüz verilmemişti.</t>
        </is>
      </c>
      <c r="L430" s="6" t="inlineStr"/>
      <c r="M430" s="5" t="inlineStr"/>
      <c r="N430" s="5" t="inlineStr"/>
      <c r="O430" s="6" t="inlineStr"/>
      <c r="P430" s="6" t="inlineStr"/>
      <c r="Q430" s="5" t="inlineStr"/>
      <c r="R430" s="5" t="inlineStr"/>
      <c r="S430" s="5" t="inlineStr">
        <is>
          <t>Pişkinlik</t>
        </is>
      </c>
      <c r="T430" s="5" t="inlineStr"/>
      <c r="U430" s="5" t="inlineStr"/>
      <c r="V430" s="5" t="inlineStr"/>
      <c r="W430" s="5" t="inlineStr"/>
      <c r="X430" s="5" t="inlineStr"/>
      <c r="Y430" s="5" t="inlineStr"/>
      <c r="Z430" s="6" t="inlineStr"/>
      <c r="AA430" s="5" t="inlineStr"/>
      <c r="AB430" s="5" t="inlineStr"/>
      <c r="AC430" s="5" t="inlineStr"/>
      <c r="AD430" s="5" t="inlineStr"/>
      <c r="AE430" s="5" t="inlineStr"/>
      <c r="AF430" s="5" t="inlineStr"/>
      <c r="AG430" s="5" t="inlineStr"/>
      <c r="AH430" s="5" t="inlineStr"/>
    </row>
    <row r="431">
      <c r="A431" s="5" t="inlineStr">
        <is>
          <t>b5-mezuniyet-balosu</t>
        </is>
      </c>
      <c r="B431" s="5" t="n">
        <v>4</v>
      </c>
      <c r="C431" s="6" t="inlineStr">
        <is>
          <t>Sevgilini dansa kaldır</t>
        </is>
      </c>
      <c r="D431" s="5" t="inlineStr">
        <is>
          <t>Cesaret</t>
        </is>
      </c>
      <c r="E431" s="5" t="inlineStr">
        <is>
          <t>Kolay</t>
        </is>
      </c>
      <c r="F431" s="5" t="inlineStr"/>
      <c r="G431" s="6" t="inlineStr"/>
      <c r="H431" s="6" t="inlineStr">
        <is>
          <t>El ele dans ettiniz. Fotoğrafçı o kareyi vitrine koydu.</t>
        </is>
      </c>
      <c r="I431" s="6" t="inlineStr">
        <is>
          <t>Yıllığa 'Dönemin Çifti' olarak girdiniz. Oylama yapılmadı ama itiraz da gelmedi.</t>
        </is>
      </c>
      <c r="J431" s="6" t="inlineStr">
        <is>
          <t>Şarkı hızlıydı. Siz yavaş dans ettiniz. İkinize de yer açıldı.</t>
        </is>
      </c>
      <c r="K431" s="6" t="inlineStr">
        <is>
          <t>İlk adımda ayağına bastın. Fotoğraflarda gülümsüyor ama topallıyor.</t>
        </is>
      </c>
      <c r="L431" s="6" t="inlineStr"/>
      <c r="M431" s="5" t="inlineStr"/>
      <c r="N431" s="5" t="inlineStr"/>
      <c r="O431" s="6" t="inlineStr"/>
      <c r="P431" s="6" t="inlineStr"/>
      <c r="Q431" s="5" t="inlineStr"/>
      <c r="R431" s="5" t="inlineStr">
        <is>
          <t>ilk-sevgili</t>
        </is>
      </c>
      <c r="S431" s="5" t="inlineStr"/>
      <c r="T431" s="5" t="inlineStr"/>
      <c r="U431" s="5" t="inlineStr"/>
      <c r="V431" s="5" t="inlineStr"/>
      <c r="W431" s="5" t="inlineStr"/>
      <c r="X431" s="5" t="inlineStr"/>
      <c r="Y431" s="5" t="inlineStr"/>
      <c r="Z431" s="6" t="inlineStr"/>
      <c r="AA431" s="5" t="inlineStr"/>
      <c r="AB431" s="5" t="inlineStr"/>
      <c r="AC431" s="5" t="inlineStr"/>
      <c r="AD431" s="5" t="inlineStr"/>
      <c r="AE431" s="5" t="inlineStr"/>
      <c r="AF431" s="5" t="inlineStr"/>
      <c r="AG431" s="5" t="inlineStr"/>
      <c r="AH431" s="5" t="inlineStr"/>
    </row>
    <row r="432">
      <c r="A432" s="5" t="inlineStr">
        <is>
          <t>b5-tercih-listesi</t>
        </is>
      </c>
      <c r="B432" s="5" t="n">
        <v>1</v>
      </c>
      <c r="C432" s="6" t="inlineStr">
        <is>
          <t>Hukuk</t>
        </is>
      </c>
      <c r="D432" s="5" t="inlineStr"/>
      <c r="E432" s="5" t="inlineStr"/>
      <c r="F432" s="5" t="inlineStr">
        <is>
          <t>Çene +1, Akıl +1</t>
        </is>
      </c>
      <c r="G432" s="6" t="inlineStr">
        <is>
          <t>Hukuku yazdın. Artık her tartışmayı “hukuken” diye açıyorsun, özellikle annenle.</t>
        </is>
      </c>
      <c r="H432" s="6" t="inlineStr"/>
      <c r="I432" s="6" t="inlineStr"/>
      <c r="J432" s="6" t="inlineStr"/>
      <c r="K432" s="6" t="inlineStr"/>
      <c r="L432" s="6" t="inlineStr"/>
      <c r="M432" s="5" t="inlineStr"/>
      <c r="N432" s="5" t="inlineStr"/>
      <c r="O432" s="6" t="inlineStr"/>
      <c r="P432" s="6" t="inlineStr"/>
      <c r="Q432" s="5" t="inlineStr"/>
      <c r="R432" s="5" t="inlineStr"/>
      <c r="S432" s="5" t="inlineStr"/>
      <c r="T432" s="5" t="inlineStr"/>
      <c r="U432" s="5" t="inlineStr">
        <is>
          <t>bolum-hukuk</t>
        </is>
      </c>
      <c r="V432" s="5" t="inlineStr"/>
      <c r="W432" s="5" t="inlineStr"/>
      <c r="X432" s="5" t="inlineStr"/>
      <c r="Y432" s="5" t="inlineStr"/>
      <c r="Z432" s="6" t="inlineStr"/>
      <c r="AA432" s="5" t="inlineStr">
        <is>
          <t>Erdem +1, Varlı +1</t>
        </is>
      </c>
      <c r="AB432" s="5" t="inlineStr"/>
      <c r="AC432" s="5" t="inlineStr"/>
      <c r="AD432" s="5" t="inlineStr"/>
      <c r="AE432" s="5" t="inlineStr"/>
      <c r="AF432" s="5" t="inlineStr"/>
      <c r="AG432" s="5" t="inlineStr"/>
      <c r="AH432" s="5" t="inlineStr"/>
    </row>
    <row r="433">
      <c r="A433" s="5" t="inlineStr">
        <is>
          <t>b5-tercih-listesi</t>
        </is>
      </c>
      <c r="B433" s="5" t="n">
        <v>2</v>
      </c>
      <c r="C433" s="6" t="inlineStr">
        <is>
          <t>Emniyet Akademisi</t>
        </is>
      </c>
      <c r="D433" s="5" t="inlineStr"/>
      <c r="E433" s="5" t="inlineStr"/>
      <c r="F433" s="5" t="inlineStr">
        <is>
          <t>Cesaret +1, İtibar +1</t>
        </is>
      </c>
      <c r="G433" s="6" t="inlineStr">
        <is>
          <t>Emniyet Akademisi'ni yazdın. Sabah altıda kalkmak artık bir kişilik özelliği olacak.</t>
        </is>
      </c>
      <c r="H433" s="6" t="inlineStr"/>
      <c r="I433" s="6" t="inlineStr"/>
      <c r="J433" s="6" t="inlineStr"/>
      <c r="K433" s="6" t="inlineStr"/>
      <c r="L433" s="6" t="inlineStr"/>
      <c r="M433" s="5" t="inlineStr"/>
      <c r="N433" s="5" t="inlineStr"/>
      <c r="O433" s="6" t="inlineStr"/>
      <c r="P433" s="6" t="inlineStr"/>
      <c r="Q433" s="5" t="inlineStr"/>
      <c r="R433" s="5" t="inlineStr"/>
      <c r="S433" s="5" t="inlineStr"/>
      <c r="T433" s="5" t="inlineStr"/>
      <c r="U433" s="5" t="inlineStr">
        <is>
          <t>bolum-emniyet</t>
        </is>
      </c>
      <c r="V433" s="5" t="inlineStr"/>
      <c r="W433" s="5" t="inlineStr"/>
      <c r="X433" s="5" t="inlineStr"/>
      <c r="Y433" s="5" t="inlineStr"/>
      <c r="Z433" s="6" t="inlineStr"/>
      <c r="AA433" s="5" t="inlineStr">
        <is>
          <t>Erdem +1</t>
        </is>
      </c>
      <c r="AB433" s="5" t="inlineStr"/>
      <c r="AC433" s="5" t="inlineStr"/>
      <c r="AD433" s="5" t="inlineStr"/>
      <c r="AE433" s="5" t="inlineStr"/>
      <c r="AF433" s="5" t="inlineStr"/>
      <c r="AG433" s="5" t="inlineStr"/>
      <c r="AH433" s="5" t="inlineStr"/>
    </row>
    <row r="434">
      <c r="A434" s="5" t="inlineStr">
        <is>
          <t>b5-tercih-listesi</t>
        </is>
      </c>
      <c r="B434" s="5" t="n">
        <v>3</v>
      </c>
      <c r="C434" s="6" t="inlineStr">
        <is>
          <t>Mühendislik</t>
        </is>
      </c>
      <c r="D434" s="5" t="inlineStr"/>
      <c r="E434" s="5" t="inlineStr"/>
      <c r="F434" s="5" t="inlineStr">
        <is>
          <t>Akıl +2</t>
        </is>
      </c>
      <c r="G434" s="6" t="inlineStr">
        <is>
          <t>Mühendisliği yazdın. Evde bozulan her şey artık senin sorumluluğunda; bozulmayanlar da.</t>
        </is>
      </c>
      <c r="H434" s="6" t="inlineStr"/>
      <c r="I434" s="6" t="inlineStr"/>
      <c r="J434" s="6" t="inlineStr"/>
      <c r="K434" s="6" t="inlineStr"/>
      <c r="L434" s="6" t="inlineStr"/>
      <c r="M434" s="5" t="inlineStr"/>
      <c r="N434" s="5" t="inlineStr"/>
      <c r="O434" s="6" t="inlineStr"/>
      <c r="P434" s="6" t="inlineStr"/>
      <c r="Q434" s="5" t="inlineStr"/>
      <c r="R434" s="5" t="inlineStr"/>
      <c r="S434" s="5" t="inlineStr"/>
      <c r="T434" s="5" t="inlineStr"/>
      <c r="U434" s="5" t="inlineStr">
        <is>
          <t>bolum-muhendislik</t>
        </is>
      </c>
      <c r="V434" s="5" t="inlineStr"/>
      <c r="W434" s="5" t="inlineStr"/>
      <c r="X434" s="5" t="inlineStr"/>
      <c r="Y434" s="5" t="inlineStr"/>
      <c r="Z434" s="6" t="inlineStr"/>
      <c r="AA434" s="5" t="inlineStr">
        <is>
          <t>Tan +1</t>
        </is>
      </c>
      <c r="AB434" s="5" t="inlineStr"/>
      <c r="AC434" s="5" t="inlineStr"/>
      <c r="AD434" s="5" t="inlineStr"/>
      <c r="AE434" s="5" t="inlineStr"/>
      <c r="AF434" s="5" t="inlineStr"/>
      <c r="AG434" s="5" t="inlineStr"/>
      <c r="AH434" s="5" t="inlineStr"/>
    </row>
    <row r="435">
      <c r="A435" s="5" t="inlineStr">
        <is>
          <t>b5-tercih-listesi</t>
        </is>
      </c>
      <c r="B435" s="5" t="n">
        <v>4</v>
      </c>
      <c r="C435" s="6" t="inlineStr">
        <is>
          <t>İletişim ya da konservatuvar</t>
        </is>
      </c>
      <c r="D435" s="5" t="inlineStr"/>
      <c r="E435" s="5" t="inlineStr"/>
      <c r="F435" s="5" t="inlineStr">
        <is>
          <t>Pişkinlik +1, Çene +1</t>
        </is>
      </c>
      <c r="G435" s="6" t="inlineStr">
        <is>
          <t>Konservatuvarı yazdın. Akrabalar hâlâ “İyi de ne iş yapacak?” diye soruyor; sen de.</t>
        </is>
      </c>
      <c r="H435" s="6" t="inlineStr"/>
      <c r="I435" s="6" t="inlineStr"/>
      <c r="J435" s="6" t="inlineStr"/>
      <c r="K435" s="6" t="inlineStr"/>
      <c r="L435" s="6" t="inlineStr"/>
      <c r="M435" s="5" t="inlineStr"/>
      <c r="N435" s="5" t="inlineStr"/>
      <c r="O435" s="6" t="inlineStr"/>
      <c r="P435" s="6" t="inlineStr"/>
      <c r="Q435" s="5" t="inlineStr"/>
      <c r="R435" s="5" t="inlineStr"/>
      <c r="S435" s="5" t="inlineStr"/>
      <c r="T435" s="5" t="inlineStr"/>
      <c r="U435" s="5" t="inlineStr">
        <is>
          <t>bolum-iletisim</t>
        </is>
      </c>
      <c r="V435" s="5" t="inlineStr"/>
      <c r="W435" s="5" t="inlineStr"/>
      <c r="X435" s="5" t="inlineStr"/>
      <c r="Y435" s="5" t="inlineStr"/>
      <c r="Z435" s="6" t="inlineStr"/>
      <c r="AA435" s="5" t="inlineStr">
        <is>
          <t>Erdem -1, Tan -1</t>
        </is>
      </c>
      <c r="AB435" s="5" t="inlineStr"/>
      <c r="AC435" s="5" t="inlineStr"/>
      <c r="AD435" s="5" t="inlineStr"/>
      <c r="AE435" s="5" t="inlineStr"/>
      <c r="AF435" s="5" t="inlineStr"/>
      <c r="AG435" s="5" t="inlineStr"/>
      <c r="AH435" s="5" t="inlineStr"/>
    </row>
    <row r="436">
      <c r="A436" s="5" t="inlineStr">
        <is>
          <t>b5-tercih-listesi</t>
        </is>
      </c>
      <c r="B436" s="5" t="n">
        <v>5</v>
      </c>
      <c r="C436" s="6" t="inlineStr">
        <is>
          <t>İşletme</t>
        </is>
      </c>
      <c r="D436" s="5" t="inlineStr"/>
      <c r="E436" s="5" t="inlineStr"/>
      <c r="F436" s="5" t="inlineStr">
        <is>
          <t>Kurnazlık +1, Akıl +1</t>
        </is>
      </c>
      <c r="G436" s="6" t="inlineStr">
        <is>
          <t>İşletmeyi yazdın. İlk dersinde arzı ve talebi, ikincisinde öğrenci kredisini öğreneceksin.</t>
        </is>
      </c>
      <c r="H436" s="6" t="inlineStr"/>
      <c r="I436" s="6" t="inlineStr"/>
      <c r="J436" s="6" t="inlineStr"/>
      <c r="K436" s="6" t="inlineStr"/>
      <c r="L436" s="6" t="inlineStr"/>
      <c r="M436" s="5" t="inlineStr"/>
      <c r="N436" s="5" t="inlineStr"/>
      <c r="O436" s="6" t="inlineStr"/>
      <c r="P436" s="6" t="inlineStr"/>
      <c r="Q436" s="5" t="inlineStr"/>
      <c r="R436" s="5" t="inlineStr"/>
      <c r="S436" s="5" t="inlineStr"/>
      <c r="T436" s="5" t="inlineStr"/>
      <c r="U436" s="5" t="inlineStr">
        <is>
          <t>bolum-isletme</t>
        </is>
      </c>
      <c r="V436" s="5" t="inlineStr"/>
      <c r="W436" s="5" t="inlineStr"/>
      <c r="X436" s="5" t="inlineStr"/>
      <c r="Y436" s="5" t="inlineStr"/>
      <c r="Z436" s="6" t="inlineStr"/>
      <c r="AA436" s="5" t="inlineStr">
        <is>
          <t>Keskin +1, Varlı +1</t>
        </is>
      </c>
      <c r="AB436" s="5" t="inlineStr"/>
      <c r="AC436" s="5" t="inlineStr"/>
      <c r="AD436" s="5" t="inlineStr"/>
      <c r="AE436" s="5" t="inlineStr"/>
      <c r="AF436" s="5" t="inlineStr"/>
      <c r="AG436" s="5" t="inlineStr"/>
      <c r="AH436" s="5" t="inlineStr"/>
    </row>
    <row r="437">
      <c r="A437" s="5" t="inlineStr">
        <is>
          <t>b5-tercih-listesi</t>
        </is>
      </c>
      <c r="B437" s="5" t="n">
        <v>6</v>
      </c>
      <c r="C437" s="6" t="inlineStr">
        <is>
          <t>Tıbbı zorla</t>
        </is>
      </c>
      <c r="D437" s="5" t="inlineStr">
        <is>
          <t>Akıl</t>
        </is>
      </c>
      <c r="E437" s="5" t="inlineStr">
        <is>
          <t>Zor</t>
        </is>
      </c>
      <c r="F437" s="5" t="inlineStr"/>
      <c r="G437" s="6" t="inlineStr"/>
      <c r="H437" s="6" t="inlineStr">
        <is>
          <t>Tıbbı tutturdun. Aile grubunda herkesin semptomları daha ilk günden sana soruluyor.</t>
        </is>
      </c>
      <c r="I437" s="6" t="inlineStr">
        <is>
          <t>Tıbba ilk tercihinden, bursla girdin. Babaannen seni komşulara “doktor” diye tanıtıyor; henüz anatomi dersine girmedin.</t>
        </is>
      </c>
      <c r="J437" s="6" t="inlineStr">
        <is>
          <t>Puanın tıbba yetmedi; ek tercihlerle biyolojiye yerleştin. Babaannen yine de “doktor” diyor.</t>
        </is>
      </c>
      <c r="K437" s="6" t="inlineStr">
        <is>
          <t>Tıbbı yazdın ama sıralamayı ters girdin. Veterinerliğe yerleştin; ailen kedinin tahlillerini artık sana soruyor.</t>
        </is>
      </c>
      <c r="L437" s="6" t="inlineStr"/>
      <c r="M437" s="5" t="inlineStr"/>
      <c r="N437" s="5" t="inlineStr"/>
      <c r="O437" s="6" t="inlineStr"/>
      <c r="P437" s="6" t="inlineStr"/>
      <c r="Q437" s="5" t="inlineStr"/>
      <c r="R437" s="5" t="inlineStr"/>
      <c r="S437" s="5" t="inlineStr"/>
      <c r="T437" s="5" t="inlineStr"/>
      <c r="U437" s="5" t="inlineStr"/>
      <c r="V437" s="5" t="inlineStr">
        <is>
          <t>bolum-tip</t>
        </is>
      </c>
      <c r="W437" s="5" t="inlineStr"/>
      <c r="X437" s="5" t="inlineStr"/>
      <c r="Y437" s="5" t="inlineStr"/>
      <c r="Z437" s="6" t="inlineStr"/>
      <c r="AA437" s="5" t="inlineStr">
        <is>
          <t>Erdem +1, Tan +1</t>
        </is>
      </c>
      <c r="AB437" s="5" t="inlineStr"/>
      <c r="AC437" s="5" t="inlineStr"/>
      <c r="AD437" s="5" t="inlineStr"/>
      <c r="AE437" s="5" t="inlineStr"/>
      <c r="AF437" s="5" t="inlineStr"/>
      <c r="AG437" s="5" t="inlineStr"/>
      <c r="AH437" s="5" t="inlineStr"/>
    </row>
    <row r="438">
      <c r="A438" s="5" t="inlineStr">
        <is>
          <t>b5-mezuniyet</t>
        </is>
      </c>
      <c r="B438" s="5" t="n">
        <v>1</v>
      </c>
      <c r="C438" s="6" t="inlineStr">
        <is>
          <t>Kepini at</t>
        </is>
      </c>
      <c r="D438" s="5" t="inlineStr"/>
      <c r="E438" s="5" t="inlineStr"/>
      <c r="F438" s="5" t="inlineStr">
        <is>
          <t>Dayanıklılık +1</t>
        </is>
      </c>
      <c r="G438" s="6" t="inlineStr">
        <is>
          <t>Kepini attın; yere başkasınınki düştü. İçinde 'Seni hiç unutmayacağım' yazıyor. İsim yok.</t>
        </is>
      </c>
      <c r="H438" s="6" t="inlineStr"/>
      <c r="I438" s="6" t="inlineStr"/>
      <c r="J438" s="6" t="inlineStr"/>
      <c r="K438" s="6" t="inlineStr"/>
      <c r="L438" s="6" t="inlineStr"/>
      <c r="M438" s="5" t="inlineStr"/>
      <c r="N438" s="5" t="inlineStr"/>
      <c r="O438" s="6" t="inlineStr"/>
      <c r="P438" s="6" t="inlineStr"/>
      <c r="Q438" s="5" t="inlineStr"/>
      <c r="R438" s="5" t="inlineStr"/>
      <c r="S438" s="5" t="inlineStr"/>
      <c r="T438" s="5" t="inlineStr"/>
      <c r="U438" s="5" t="inlineStr"/>
      <c r="V438" s="5" t="inlineStr"/>
      <c r="W438" s="5" t="inlineStr"/>
      <c r="X438" s="5" t="inlineStr"/>
      <c r="Y438" s="5" t="inlineStr"/>
      <c r="Z438" s="6" t="inlineStr"/>
      <c r="AA438" s="5" t="inlineStr"/>
      <c r="AB438" s="5" t="inlineStr"/>
      <c r="AC438" s="5" t="inlineStr"/>
      <c r="AD438" s="5" t="inlineStr"/>
      <c r="AE438" s="5" t="inlineStr"/>
      <c r="AF438" s="5" t="inlineStr"/>
      <c r="AG438" s="5" t="inlineStr"/>
      <c r="AH438" s="5" t="inlineStr"/>
    </row>
    <row r="439">
      <c r="A439" s="5" t="inlineStr">
        <is>
          <t>b5-mezuniyet</t>
        </is>
      </c>
      <c r="B439" s="5" t="n">
        <v>2</v>
      </c>
      <c r="C439" s="6" t="inlineStr">
        <is>
          <t>Veda konuşması yap</t>
        </is>
      </c>
      <c r="D439" s="5" t="inlineStr">
        <is>
          <t>Çene</t>
        </is>
      </c>
      <c r="E439" s="5" t="inlineStr">
        <is>
          <t>Zor</t>
        </is>
      </c>
      <c r="F439" s="5" t="inlineStr"/>
      <c r="G439" s="6" t="inlineStr"/>
      <c r="H439" s="6" t="inlineStr">
        <is>
          <t>Konuşmanda üç kişi ağladı, beş kişi güldü. Oran olarak başarılı.</t>
        </is>
      </c>
      <c r="I439" s="6" t="inlineStr">
        <is>
          <t>Konuşman okulun resmî hesabında paylaşıldı. Yorumlar ağlayan veli emojileriyle dolu.</t>
        </is>
      </c>
      <c r="J439" s="6" t="inlineStr">
        <is>
          <t>Ses sistemi konuşmanın yalnızca 'ııı' kısımlarını salona iletti.</t>
        </is>
      </c>
      <c r="K439" s="6" t="inlineStr">
        <is>
          <t>Bütün öğretmenlere tek tek teşekkür ettin. Birini unuttun. Ön sıradaydı. En çok o alkışladı.</t>
        </is>
      </c>
      <c r="L439" s="6" t="inlineStr"/>
      <c r="M439" s="5" t="inlineStr"/>
      <c r="N439" s="5" t="inlineStr"/>
      <c r="O439" s="6" t="inlineStr"/>
      <c r="P439" s="6" t="inlineStr"/>
      <c r="Q439" s="5" t="inlineStr"/>
      <c r="R439" s="5" t="inlineStr"/>
      <c r="S439" s="5" t="inlineStr"/>
      <c r="T439" s="5" t="inlineStr"/>
      <c r="U439" s="5" t="inlineStr"/>
      <c r="V439" s="5" t="inlineStr"/>
      <c r="W439" s="5" t="inlineStr"/>
      <c r="X439" s="5" t="inlineStr"/>
      <c r="Y439" s="5" t="inlineStr"/>
      <c r="Z439" s="6" t="inlineStr"/>
      <c r="AA439" s="5" t="inlineStr"/>
      <c r="AB439" s="5" t="inlineStr"/>
      <c r="AC439" s="5" t="inlineStr"/>
      <c r="AD439" s="5" t="inlineStr"/>
      <c r="AE439" s="5" t="inlineStr"/>
      <c r="AF439" s="5" t="inlineStr"/>
      <c r="AG439" s="5" t="inlineStr"/>
      <c r="AH439" s="5" t="inlineStr"/>
    </row>
    <row r="440">
      <c r="A440" s="5" t="inlineStr">
        <is>
          <t>b5-mezuniyet</t>
        </is>
      </c>
      <c r="B440" s="5" t="n">
        <v>3</v>
      </c>
      <c r="C440" s="6" t="inlineStr">
        <is>
          <t>Herkesle fotoğraf çekil</t>
        </is>
      </c>
      <c r="D440" s="5" t="inlineStr">
        <is>
          <t>Sosyal Radar</t>
        </is>
      </c>
      <c r="E440" s="5" t="inlineStr">
        <is>
          <t>Kolay</t>
        </is>
      </c>
      <c r="F440" s="5" t="inlineStr"/>
      <c r="G440" s="6" t="inlineStr"/>
      <c r="H440" s="6" t="inlineStr">
        <is>
          <t>Telefonunda dört yüz fotoğraf var. Hepsi aynı açıdan, hepsi değerli.</t>
        </is>
      </c>
      <c r="I440" s="6" t="inlineStr">
        <is>
          <t>Çektiğin kare yıllığın arka kapağı oldu. Dört yıllık tarih tek karede.</t>
        </is>
      </c>
      <c r="J440" s="6" t="inlineStr">
        <is>
          <t>Bütün fotoğraflarda gözlerin kapalı. En azından tutarlısın.</t>
        </is>
      </c>
      <c r="K440" s="6" t="inlineStr">
        <is>
          <t>Kareye sığmak için bir adım geri attın. Arkada merdiven vardı. Fotoğrafların çoğu gökyüzü.</t>
        </is>
      </c>
      <c r="L440" s="6" t="inlineStr"/>
      <c r="M440" s="5" t="inlineStr"/>
      <c r="N440" s="5" t="inlineStr"/>
      <c r="O440" s="6" t="inlineStr"/>
      <c r="P440" s="6" t="inlineStr"/>
      <c r="Q440" s="5" t="inlineStr"/>
      <c r="R440" s="5" t="inlineStr"/>
      <c r="S440" s="5" t="inlineStr"/>
      <c r="T440" s="5" t="inlineStr"/>
      <c r="U440" s="5" t="inlineStr"/>
      <c r="V440" s="5" t="inlineStr"/>
      <c r="W440" s="5" t="inlineStr"/>
      <c r="X440" s="5" t="inlineStr"/>
      <c r="Y440" s="5" t="inlineStr"/>
      <c r="Z440" s="6" t="inlineStr"/>
      <c r="AA440" s="5" t="inlineStr"/>
      <c r="AB440" s="5" t="inlineStr"/>
      <c r="AC440" s="5" t="inlineStr"/>
      <c r="AD440" s="5" t="inlineStr"/>
      <c r="AE440" s="5" t="inlineStr"/>
      <c r="AF440" s="5" t="inlineStr"/>
      <c r="AG440" s="5" t="inlineStr"/>
      <c r="AH440" s="5" t="inlineStr"/>
    </row>
    <row r="441">
      <c r="A441" s="5" t="inlineStr">
        <is>
          <t>b5-mezuniyet</t>
        </is>
      </c>
      <c r="B441" s="5" t="n">
        <v>4</v>
      </c>
      <c r="C441" s="6" t="inlineStr">
        <is>
          <t>Temsilci olarak kürsüye çık</t>
        </is>
      </c>
      <c r="D441" s="5" t="inlineStr">
        <is>
          <t>Pişkinlik</t>
        </is>
      </c>
      <c r="E441" s="5" t="inlineStr">
        <is>
          <t>Kolay</t>
        </is>
      </c>
      <c r="F441" s="5" t="inlineStr"/>
      <c r="G441" s="6" t="inlineStr"/>
      <c r="H441" s="6" t="inlineStr">
        <is>
          <t>Dört yılı özetledin, vaatlerinin yarısı için 'süreç devam ediyor' dedin. Salon anlayışla alkışladı.</t>
        </is>
      </c>
      <c r="I441" s="6" t="inlineStr">
        <is>
          <t>Kürsüden inerken müdür sana sarıldı. Yeni temsilciye devir teslim töreni yapıldı. Tutanaklı.</t>
        </is>
      </c>
      <c r="J441" s="6" t="inlineStr">
        <is>
          <t>Kürsüye çıktın, kâğıdın rüzgârla uçtu. Doğaçlama kısa sürdü.</t>
        </is>
      </c>
      <c r="K441" s="6" t="inlineStr">
        <is>
          <t>Teşekkür listesini okurken kendi adını da saydın. Alkışladılar. İronik biçimde.</t>
        </is>
      </c>
      <c r="L441" s="6" t="inlineStr"/>
      <c r="M441" s="5" t="inlineStr"/>
      <c r="N441" s="5" t="inlineStr"/>
      <c r="O441" s="6" t="inlineStr"/>
      <c r="P441" s="6" t="inlineStr"/>
      <c r="Q441" s="5" t="inlineStr"/>
      <c r="R441" s="5" t="inlineStr">
        <is>
          <t>okul-temsilcisi</t>
        </is>
      </c>
      <c r="S441" s="5" t="inlineStr"/>
      <c r="T441" s="5" t="inlineStr"/>
      <c r="U441" s="5" t="inlineStr"/>
      <c r="V441" s="5" t="inlineStr"/>
      <c r="W441" s="5" t="inlineStr"/>
      <c r="X441" s="5" t="inlineStr"/>
      <c r="Y441" s="5" t="inlineStr"/>
      <c r="Z441" s="6" t="inlineStr"/>
      <c r="AA441" s="5" t="inlineStr"/>
      <c r="AB441" s="5" t="inlineStr"/>
      <c r="AC441" s="5" t="inlineStr"/>
      <c r="AD441" s="5" t="inlineStr"/>
      <c r="AE441" s="5" t="inlineStr"/>
      <c r="AF441" s="5" t="inlineStr"/>
      <c r="AG441" s="5" t="inlineStr"/>
      <c r="AH441" s="5" t="inlineStr"/>
    </row>
    <row r="442">
      <c r="A442" s="5" t="inlineStr">
        <is>
          <t>b5-ehliyet-kursu</t>
        </is>
      </c>
      <c r="B442" s="5" t="n">
        <v>1</v>
      </c>
      <c r="C442" s="6" t="inlineStr">
        <is>
          <t>Direksiyon sınavına gir</t>
        </is>
      </c>
      <c r="D442" s="5" t="inlineStr">
        <is>
          <t>Dayanıklılık</t>
        </is>
      </c>
      <c r="E442" s="5" t="inlineStr">
        <is>
          <t>Orta</t>
        </is>
      </c>
      <c r="F442" s="5" t="inlineStr"/>
      <c r="G442" s="6" t="inlineStr"/>
      <c r="H442" s="6" t="inlineStr">
        <is>
          <t>İlk seferde geçtin. Ehliyet geldi. Araba gelmedi.</t>
        </is>
      </c>
      <c r="I442" s="6" t="inlineStr">
        <is>
          <t>Görevli 'Bu kadar düzgün park görmedim' dedi. Ailen anahtarı yine vermedi ama umut var.</t>
        </is>
      </c>
      <c r="J442" s="6" t="inlineStr">
        <is>
          <t>Paralel parkta kaldırıma üç kez dokundun. Görevli 'Haftaya' dedi.</t>
        </is>
      </c>
      <c r="K442" s="6" t="inlineStr">
        <is>
          <t>Yokuşta kalkışı başardın, düz yolda stop ettin. Arkadaki kursiyerler alkışladı. Yeni sınav bir ay sonra.</t>
        </is>
      </c>
      <c r="L442" s="6" t="inlineStr"/>
      <c r="M442" s="5" t="inlineStr"/>
      <c r="N442" s="5" t="inlineStr"/>
      <c r="O442" s="6" t="inlineStr"/>
      <c r="P442" s="6" t="inlineStr"/>
      <c r="Q442" s="5" t="inlineStr"/>
      <c r="R442" s="5" t="inlineStr"/>
      <c r="S442" s="5" t="inlineStr"/>
      <c r="T442" s="5" t="inlineStr"/>
      <c r="U442" s="5" t="inlineStr"/>
      <c r="V442" s="5" t="inlineStr">
        <is>
          <t>ehliyetli</t>
        </is>
      </c>
      <c r="W442" s="5" t="inlineStr"/>
      <c r="X442" s="5" t="inlineStr"/>
      <c r="Y442" s="5" t="inlineStr"/>
      <c r="Z442" s="6" t="inlineStr"/>
      <c r="AA442" s="5" t="inlineStr"/>
      <c r="AB442" s="5" t="inlineStr"/>
      <c r="AC442" s="5" t="inlineStr"/>
      <c r="AD442" s="5" t="inlineStr"/>
      <c r="AE442" s="5" t="inlineStr"/>
      <c r="AF442" s="5" t="inlineStr"/>
      <c r="AG442" s="5" t="inlineStr"/>
      <c r="AH442" s="5" t="inlineStr"/>
    </row>
    <row r="443">
      <c r="A443" s="5" t="inlineStr">
        <is>
          <t>b5-ehliyet-kursu</t>
        </is>
      </c>
      <c r="B443" s="5" t="n">
        <v>2</v>
      </c>
      <c r="C443" s="6" t="inlineStr">
        <is>
          <t>Babanla pratik yap</t>
        </is>
      </c>
      <c r="D443" s="5" t="inlineStr">
        <is>
          <t>Cesaret</t>
        </is>
      </c>
      <c r="E443" s="5" t="inlineStr">
        <is>
          <t>Zor</t>
        </is>
      </c>
      <c r="F443" s="5" t="inlineStr"/>
      <c r="G443" s="6" t="inlineStr"/>
      <c r="H443" s="6" t="inlineStr">
        <is>
          <t>Babanla pratik yaptın. Baban zamanın yüzde yetmişinde sustu. Sınavı geçtin.</t>
        </is>
      </c>
      <c r="I443" s="6" t="inlineStr">
        <is>
          <t>İlk kez aynı fikirdeydiniz. Sınavı kusursuz geçtin; baban arabayı ödünç verdi. Bir kere.</t>
        </is>
      </c>
      <c r="J443" s="6" t="inlineStr">
        <is>
          <t>Baban her virajda 'Yavaş!' dedi. Hiç hızlanmamıştın. Ders yarıda kaldı.</t>
        </is>
      </c>
      <c r="K443" s="6" t="inlineStr">
        <is>
          <t>Site otoparkında bir direğe fazla yaklaştın. Direk kıpırdamadı. Ayna kıpırdadı.</t>
        </is>
      </c>
      <c r="L443" s="6" t="inlineStr"/>
      <c r="M443" s="5" t="inlineStr"/>
      <c r="N443" s="5" t="inlineStr"/>
      <c r="O443" s="6" t="inlineStr"/>
      <c r="P443" s="6" t="inlineStr"/>
      <c r="Q443" s="5" t="inlineStr"/>
      <c r="R443" s="5" t="inlineStr"/>
      <c r="S443" s="5" t="inlineStr"/>
      <c r="T443" s="5" t="inlineStr"/>
      <c r="U443" s="5" t="inlineStr"/>
      <c r="V443" s="5" t="inlineStr">
        <is>
          <t>ehliyetli</t>
        </is>
      </c>
      <c r="W443" s="5" t="inlineStr"/>
      <c r="X443" s="5" t="inlineStr"/>
      <c r="Y443" s="5" t="inlineStr"/>
      <c r="Z443" s="6" t="inlineStr"/>
      <c r="AA443" s="5" t="inlineStr"/>
      <c r="AB443" s="5" t="inlineStr"/>
      <c r="AC443" s="5" t="inlineStr"/>
      <c r="AD443" s="5" t="inlineStr"/>
      <c r="AE443" s="5" t="inlineStr"/>
      <c r="AF443" s="5" t="inlineStr"/>
      <c r="AG443" s="5" t="inlineStr"/>
      <c r="AH443" s="5" t="inlineStr"/>
    </row>
    <row r="444">
      <c r="A444" s="5" t="inlineStr">
        <is>
          <t>b5-ehliyet-kursu</t>
        </is>
      </c>
      <c r="B444" s="5" t="n">
        <v>3</v>
      </c>
      <c r="C444" s="6" t="inlineStr">
        <is>
          <t>Kurye tecrübeni kullan</t>
        </is>
      </c>
      <c r="D444" s="5" t="inlineStr">
        <is>
          <t>Kurnazlık</t>
        </is>
      </c>
      <c r="E444" s="5" t="inlineStr">
        <is>
          <t>Kolay</t>
        </is>
      </c>
      <c r="F444" s="5" t="inlineStr"/>
      <c r="G444" s="6" t="inlineStr"/>
      <c r="H444" s="6" t="inlineStr">
        <is>
          <t>Sınav güzergâhını ezbere biliyordun, her çukuru tanıyordun. İlk seferde geçtin.</t>
        </is>
      </c>
      <c r="I444" s="6" t="inlineStr">
        <is>
          <t>Görevliye daha kısa bir güzergâh önerdin. Kabul etti. Geçtin.</t>
        </is>
      </c>
      <c r="J444" s="6" t="inlineStr">
        <is>
          <t>Güzergâhı biliyordun. Bisiklet yolundan gitmeye çalıştın.</t>
        </is>
      </c>
      <c r="K444" s="6" t="inlineStr">
        <is>
          <t>Alışkanlıkla otoparkın içinden kestirdin. Görevli çok şaşırdı. Sonuç: haftaya.</t>
        </is>
      </c>
      <c r="L444" s="6" t="inlineStr"/>
      <c r="M444" s="5" t="inlineStr"/>
      <c r="N444" s="5" t="inlineStr"/>
      <c r="O444" s="6" t="inlineStr"/>
      <c r="P444" s="6" t="inlineStr"/>
      <c r="Q444" s="5" t="inlineStr">
        <is>
          <t>Kestirme Bilir</t>
        </is>
      </c>
      <c r="R444" s="5" t="inlineStr"/>
      <c r="S444" s="5" t="inlineStr"/>
      <c r="T444" s="5" t="inlineStr"/>
      <c r="U444" s="5" t="inlineStr"/>
      <c r="V444" s="5" t="inlineStr">
        <is>
          <t>ehliyetli</t>
        </is>
      </c>
      <c r="W444" s="5" t="inlineStr"/>
      <c r="X444" s="5" t="inlineStr"/>
      <c r="Y444" s="5" t="inlineStr"/>
      <c r="Z444" s="6" t="inlineStr"/>
      <c r="AA444" s="5" t="inlineStr"/>
      <c r="AB444" s="5" t="inlineStr"/>
      <c r="AC444" s="5" t="inlineStr"/>
      <c r="AD444" s="5" t="inlineStr"/>
      <c r="AE444" s="5" t="inlineStr"/>
      <c r="AF444" s="5" t="inlineStr"/>
      <c r="AG444" s="5" t="inlineStr"/>
      <c r="AH444" s="5" t="inlineStr"/>
    </row>
    <row r="445">
      <c r="A445" s="5" t="inlineStr">
        <is>
          <t>b5-ehliyet-kursu</t>
        </is>
      </c>
      <c r="B445" s="5" t="n">
        <v>4</v>
      </c>
      <c r="C445" s="6" t="inlineStr">
        <is>
          <t>Ehliyeti sonraya bırak</t>
        </is>
      </c>
      <c r="D445" s="5" t="inlineStr"/>
      <c r="E445" s="5" t="inlineStr"/>
      <c r="F445" s="5" t="inlineStr">
        <is>
          <t>Dayanıklılık +1</t>
        </is>
      </c>
      <c r="G445" s="6" t="inlineStr">
        <is>
          <t>Kursu yarıda bıraktın. Ehliyet, hayatın bir sonraki bölümünün sorunu olarak dosyaya kaldırıldı.</t>
        </is>
      </c>
      <c r="H445" s="6" t="inlineStr"/>
      <c r="I445" s="6" t="inlineStr"/>
      <c r="J445" s="6" t="inlineStr"/>
      <c r="K445" s="6" t="inlineStr"/>
      <c r="L445" s="6" t="inlineStr"/>
      <c r="M445" s="5" t="inlineStr"/>
      <c r="N445" s="5" t="inlineStr"/>
      <c r="O445" s="6" t="inlineStr"/>
      <c r="P445" s="6" t="inlineStr"/>
      <c r="Q445" s="5" t="inlineStr"/>
      <c r="R445" s="5" t="inlineStr"/>
      <c r="S445" s="5" t="inlineStr"/>
      <c r="T445" s="5" t="inlineStr"/>
      <c r="U445" s="5" t="inlineStr"/>
      <c r="V445" s="5" t="inlineStr"/>
      <c r="W445" s="5" t="inlineStr"/>
      <c r="X445" s="5" t="inlineStr"/>
      <c r="Y445" s="5" t="inlineStr"/>
      <c r="Z445" s="6" t="inlineStr"/>
      <c r="AA445" s="5" t="inlineStr"/>
      <c r="AB445" s="5" t="inlineStr"/>
      <c r="AC445" s="5" t="inlineStr"/>
      <c r="AD445" s="5" t="inlineStr"/>
      <c r="AE445" s="5" t="inlineStr"/>
      <c r="AF445" s="5" t="inlineStr"/>
      <c r="AG445" s="5" t="inlineStr"/>
      <c r="AH445" s="5" t="inlineStr"/>
    </row>
    <row r="446">
      <c r="A446" s="5" t="inlineStr">
        <is>
          <t>b5-tek-basina-tatil</t>
        </is>
      </c>
      <c r="B446" s="5" t="n">
        <v>1</v>
      </c>
      <c r="C446" s="6" t="inlineStr">
        <is>
          <t>Bütçeyi sen tut</t>
        </is>
      </c>
      <c r="D446" s="5" t="inlineStr">
        <is>
          <t>Akıl</t>
        </is>
      </c>
      <c r="E446" s="5" t="inlineStr">
        <is>
          <t>Orta</t>
        </is>
      </c>
      <c r="F446" s="5" t="inlineStr"/>
      <c r="G446" s="6" t="inlineStr"/>
      <c r="H446" s="6" t="inlineStr">
        <is>
          <t>Bütçeyi tuttun; tatil sonunda para bile arttı. Artık grubun muhasebecisisin.</t>
        </is>
      </c>
      <c r="I446" s="6" t="inlineStr">
        <is>
          <t>Aynı parayla tatili iki gün uzattınız. Hesap tablon grubun ortak mirası oldu.</t>
        </is>
      </c>
      <c r="J446" s="6" t="inlineStr">
        <is>
          <t>Üçüncü gün herkes kendi hesabını ödemeye başladı. Tablo çöktü.</t>
        </is>
      </c>
      <c r="K446" s="6" t="inlineStr">
        <is>
          <t>Tablodaki bir formül hatası yüzünden dönüş biletleri alınmamış. Aile grubu devreye girdi.</t>
        </is>
      </c>
      <c r="L446" s="6" t="inlineStr"/>
      <c r="M446" s="5" t="inlineStr"/>
      <c r="N446" s="5" t="inlineStr"/>
      <c r="O446" s="6" t="inlineStr"/>
      <c r="P446" s="6" t="inlineStr"/>
      <c r="Q446" s="5" t="inlineStr"/>
      <c r="R446" s="5" t="inlineStr"/>
      <c r="S446" s="5" t="inlineStr"/>
      <c r="T446" s="5" t="inlineStr"/>
      <c r="U446" s="5" t="inlineStr"/>
      <c r="V446" s="5" t="inlineStr"/>
      <c r="W446" s="5" t="inlineStr"/>
      <c r="X446" s="5" t="inlineStr"/>
      <c r="Y446" s="5" t="inlineStr"/>
      <c r="Z446" s="6" t="inlineStr"/>
      <c r="AA446" s="5" t="inlineStr"/>
      <c r="AB446" s="5" t="inlineStr"/>
      <c r="AC446" s="5" t="inlineStr"/>
      <c r="AD446" s="5" t="inlineStr"/>
      <c r="AE446" s="5" t="inlineStr"/>
      <c r="AF446" s="5" t="inlineStr"/>
      <c r="AG446" s="5" t="inlineStr"/>
      <c r="AH446" s="5" t="inlineStr"/>
    </row>
    <row r="447">
      <c r="A447" s="5" t="inlineStr">
        <is>
          <t>b5-tek-basina-tatil</t>
        </is>
      </c>
      <c r="B447" s="5" t="n">
        <v>2</v>
      </c>
      <c r="C447" s="6" t="inlineStr">
        <is>
          <t>Aile grubuna saatlik rapor ver</t>
        </is>
      </c>
      <c r="D447" s="5" t="inlineStr"/>
      <c r="E447" s="5" t="inlineStr"/>
      <c r="F447" s="5" t="inlineStr">
        <is>
          <t>İtibar +1</t>
        </is>
      </c>
      <c r="G447" s="6" t="inlineStr">
        <is>
          <t>Her saat bir fotoğraf attın. Annen tatili senden daha ayrıntılı yaşadı. Sen fotoğraf çekmekle meşguldün.</t>
        </is>
      </c>
      <c r="H447" s="6" t="inlineStr"/>
      <c r="I447" s="6" t="inlineStr"/>
      <c r="J447" s="6" t="inlineStr"/>
      <c r="K447" s="6" t="inlineStr"/>
      <c r="L447" s="6" t="inlineStr"/>
      <c r="M447" s="5" t="inlineStr"/>
      <c r="N447" s="5" t="inlineStr"/>
      <c r="O447" s="6" t="inlineStr"/>
      <c r="P447" s="6" t="inlineStr"/>
      <c r="Q447" s="5" t="inlineStr"/>
      <c r="R447" s="5" t="inlineStr"/>
      <c r="S447" s="5" t="inlineStr"/>
      <c r="T447" s="5" t="inlineStr"/>
      <c r="U447" s="5" t="inlineStr"/>
      <c r="V447" s="5" t="inlineStr"/>
      <c r="W447" s="5" t="inlineStr"/>
      <c r="X447" s="5" t="inlineStr"/>
      <c r="Y447" s="5" t="inlineStr"/>
      <c r="Z447" s="6" t="inlineStr"/>
      <c r="AA447" s="5" t="inlineStr"/>
      <c r="AB447" s="5" t="inlineStr"/>
      <c r="AC447" s="5" t="inlineStr"/>
      <c r="AD447" s="5" t="inlineStr"/>
      <c r="AE447" s="5" t="inlineStr"/>
      <c r="AF447" s="5" t="inlineStr"/>
      <c r="AG447" s="5" t="inlineStr"/>
      <c r="AH447" s="5" t="inlineStr"/>
    </row>
    <row r="448">
      <c r="A448" s="5" t="inlineStr">
        <is>
          <t>b5-tek-basina-tatil</t>
        </is>
      </c>
      <c r="B448" s="5" t="n">
        <v>3</v>
      </c>
      <c r="C448" s="6" t="inlineStr">
        <is>
          <t>Plansız takıl</t>
        </is>
      </c>
      <c r="D448" s="5" t="inlineStr">
        <is>
          <t>Pişkinlik</t>
        </is>
      </c>
      <c r="E448" s="5" t="inlineStr">
        <is>
          <t>Kolay</t>
        </is>
      </c>
      <c r="F448" s="5" t="inlineStr"/>
      <c r="G448" s="6" t="inlineStr"/>
      <c r="H448" s="6" t="inlineStr">
        <is>
          <t>Plansız gezdiniz. Tatilin en iyi anı, kaybolup bulduğunuz bir koy oldu.</t>
        </is>
      </c>
      <c r="I448" s="6" t="inlineStr">
        <is>
          <t>Bulduğunuz koya her yaz dönmeye söz verdiniz. Söz, mesaj grubunda sabitlendi.</t>
        </is>
      </c>
      <c r="J448" s="6" t="inlineStr">
        <is>
          <t>Üç gün boyunca nereye gideceğinizi tartıştınız. Pansiyonun bahçesinden çıkmadınız.</t>
        </is>
      </c>
      <c r="K448" s="6" t="inlineStr">
        <is>
          <t>Pansiyonun adını unuttunuz. Gece bir buçukta kapı kapı sordunuz. Bütün kasaba sizi tanıyor.</t>
        </is>
      </c>
      <c r="L448" s="6" t="inlineStr"/>
      <c r="M448" s="5" t="inlineStr"/>
      <c r="N448" s="5" t="inlineStr"/>
      <c r="O448" s="6" t="inlineStr"/>
      <c r="P448" s="6" t="inlineStr"/>
      <c r="Q448" s="5" t="inlineStr"/>
      <c r="R448" s="5" t="inlineStr"/>
      <c r="S448" s="5" t="inlineStr"/>
      <c r="T448" s="5" t="inlineStr"/>
      <c r="U448" s="5" t="inlineStr"/>
      <c r="V448" s="5" t="inlineStr"/>
      <c r="W448" s="5" t="inlineStr"/>
      <c r="X448" s="5" t="inlineStr"/>
      <c r="Y448" s="5" t="inlineStr"/>
      <c r="Z448" s="6" t="inlineStr"/>
      <c r="AA448" s="5" t="inlineStr"/>
      <c r="AB448" s="5" t="inlineStr"/>
      <c r="AC448" s="5" t="inlineStr"/>
      <c r="AD448" s="5" t="inlineStr"/>
      <c r="AE448" s="5" t="inlineStr"/>
      <c r="AF448" s="5" t="inlineStr"/>
      <c r="AG448" s="5" t="inlineStr"/>
      <c r="AH448" s="5" t="inlineStr"/>
    </row>
    <row r="449">
      <c r="A449" s="5" t="inlineStr">
        <is>
          <t>b5-tek-basina-tatil</t>
        </is>
      </c>
      <c r="B449" s="5" t="n">
        <v>4</v>
      </c>
      <c r="C449" s="6" t="inlineStr">
        <is>
          <t>Grubu organize et</t>
        </is>
      </c>
      <c r="D449" s="5" t="inlineStr">
        <is>
          <t>Sosyal Radar</t>
        </is>
      </c>
      <c r="E449" s="5" t="inlineStr">
        <is>
          <t>Orta</t>
        </is>
      </c>
      <c r="F449" s="5" t="inlineStr"/>
      <c r="G449" s="6" t="inlineStr"/>
      <c r="H449" s="6" t="inlineStr">
        <is>
          <t>Görevleri dağıttın, tatil pürüzsüz geçti. Kimse teşekkür etmedi; iyi yönetim görünmez.</t>
        </is>
      </c>
      <c r="I449" s="6" t="inlineStr">
        <is>
          <t>Tatil o kadar iyi geçti ki gelecek yıl için başvuru formu açtın. Yedi başvuru geldi.</t>
        </is>
      </c>
      <c r="J449" s="6" t="inlineStr">
        <is>
          <t>Herkes kendi görevini başkasına devretti. Sonunda hepsi sana geldi.</t>
        </is>
      </c>
      <c r="K449" s="6" t="inlineStr">
        <is>
          <t>Görev çizelgesi astın. Arkadaşların seni pansiyon sahibine şikâyet etti. Sahibi sana 'müdür' diyor.</t>
        </is>
      </c>
      <c r="L449" s="6" t="inlineStr"/>
      <c r="M449" s="5" t="inlineStr"/>
      <c r="N449" s="5" t="inlineStr"/>
      <c r="O449" s="6" t="inlineStr"/>
      <c r="P449" s="6" t="inlineStr"/>
      <c r="Q449" s="5" t="inlineStr">
        <is>
          <t>Grup Yöneticisi</t>
        </is>
      </c>
      <c r="R449" s="5" t="inlineStr"/>
      <c r="S449" s="5" t="inlineStr"/>
      <c r="T449" s="5" t="inlineStr"/>
      <c r="U449" s="5" t="inlineStr"/>
      <c r="V449" s="5" t="inlineStr"/>
      <c r="W449" s="5" t="inlineStr"/>
      <c r="X449" s="5" t="inlineStr"/>
      <c r="Y449" s="5" t="inlineStr"/>
      <c r="Z449" s="6" t="inlineStr"/>
      <c r="AA449" s="5" t="inlineStr"/>
      <c r="AB449" s="5" t="inlineStr"/>
      <c r="AC449" s="5" t="inlineStr"/>
      <c r="AD449" s="5" t="inlineStr"/>
      <c r="AE449" s="5" t="inlineStr"/>
      <c r="AF449" s="5" t="inlineStr"/>
      <c r="AG449" s="5" t="inlineStr"/>
      <c r="AH449" s="5" t="inlineStr"/>
    </row>
    <row r="450">
      <c r="A450" s="5" t="inlineStr">
        <is>
          <t>b6-yurt-odasi</t>
        </is>
      </c>
      <c r="B450" s="5" t="n">
        <v>1</v>
      </c>
      <c r="C450" s="6" t="inlineStr">
        <is>
          <t>Kalan yatağı al</t>
        </is>
      </c>
      <c r="D450" s="5" t="inlineStr"/>
      <c r="E450" s="5" t="inlineStr"/>
      <c r="F450" s="5" t="inlineStr">
        <is>
          <t>Dayanıklılık +1</t>
        </is>
      </c>
      <c r="G450" s="6" t="inlineStr">
        <is>
          <t>Kapının dibindeki yatağı aldın. Gece gelen herkes önce sana basıyor. Resmî karşılama komitesi sensin.</t>
        </is>
      </c>
      <c r="H450" s="6" t="inlineStr"/>
      <c r="I450" s="6" t="inlineStr"/>
      <c r="J450" s="6" t="inlineStr"/>
      <c r="K450" s="6" t="inlineStr"/>
      <c r="L450" s="6" t="inlineStr"/>
      <c r="M450" s="5" t="inlineStr"/>
      <c r="N450" s="5" t="inlineStr"/>
      <c r="O450" s="6" t="inlineStr"/>
      <c r="P450" s="6" t="inlineStr"/>
      <c r="Q450" s="5" t="inlineStr"/>
      <c r="R450" s="5" t="inlineStr"/>
      <c r="S450" s="5" t="inlineStr"/>
      <c r="T450" s="5" t="inlineStr"/>
      <c r="U450" s="5" t="inlineStr"/>
      <c r="V450" s="5" t="inlineStr"/>
      <c r="W450" s="5" t="inlineStr"/>
      <c r="X450" s="5" t="inlineStr"/>
      <c r="Y450" s="5" t="inlineStr"/>
      <c r="Z450" s="6" t="inlineStr"/>
      <c r="AA450" s="5" t="inlineStr"/>
      <c r="AB450" s="5" t="inlineStr"/>
      <c r="AC450" s="5" t="inlineStr"/>
      <c r="AD450" s="5" t="inlineStr"/>
      <c r="AE450" s="5" t="inlineStr"/>
      <c r="AF450" s="5" t="inlineStr"/>
      <c r="AG450" s="5" t="inlineStr"/>
      <c r="AH450" s="5" t="inlineStr"/>
    </row>
    <row r="451">
      <c r="A451" s="5" t="inlineStr">
        <is>
          <t>b6-yurt-odasi</t>
        </is>
      </c>
      <c r="B451" s="5" t="n">
        <v>2</v>
      </c>
      <c r="C451" s="6" t="inlineStr">
        <is>
          <t>Oda kuralları taslağı hazırla</t>
        </is>
      </c>
      <c r="D451" s="5" t="inlineStr">
        <is>
          <t>Akıl</t>
        </is>
      </c>
      <c r="E451" s="5" t="inlineStr">
        <is>
          <t>Zor</t>
        </is>
      </c>
      <c r="F451" s="5" t="inlineStr"/>
      <c r="G451" s="6" t="inlineStr"/>
      <c r="H451" s="6" t="inlineStr">
        <is>
          <t>Beş maddelik kurallar listesi kapıya asıldı. Üçüncü madde ilk gece ihlal edildi.</t>
        </is>
      </c>
      <c r="I451" s="6" t="inlineStr">
        <is>
          <t>Kurallar oylamayla kabul edildi. Oda, yurdun en düzenli bürokrasisi ilan edildi.</t>
        </is>
      </c>
      <c r="J451" s="6" t="inlineStr">
        <is>
          <t>Listeyi astın. Ertesi sabah altına biri 'Tamam hocam' yazmıştı.</t>
        </is>
      </c>
      <c r="K451" s="6" t="inlineStr">
        <is>
          <t>Kurallar reddedildi. Yerine senin horlama kayıtların kapıya asıldı.</t>
        </is>
      </c>
      <c r="L451" s="6" t="inlineStr"/>
      <c r="M451" s="5" t="inlineStr"/>
      <c r="N451" s="5" t="inlineStr"/>
      <c r="O451" s="6" t="inlineStr"/>
      <c r="P451" s="6" t="inlineStr"/>
      <c r="Q451" s="5" t="inlineStr"/>
      <c r="R451" s="5" t="inlineStr"/>
      <c r="S451" s="5" t="inlineStr"/>
      <c r="T451" s="5" t="inlineStr">
        <is>
          <t>Organizatör</t>
        </is>
      </c>
      <c r="U451" s="5" t="inlineStr"/>
      <c r="V451" s="5" t="inlineStr"/>
      <c r="W451" s="5" t="inlineStr"/>
      <c r="X451" s="5" t="inlineStr"/>
      <c r="Y451" s="5" t="inlineStr"/>
      <c r="Z451" s="6" t="inlineStr"/>
      <c r="AA451" s="5" t="inlineStr"/>
      <c r="AB451" s="5" t="inlineStr"/>
      <c r="AC451" s="5" t="inlineStr"/>
      <c r="AD451" s="5" t="inlineStr"/>
      <c r="AE451" s="5" t="inlineStr"/>
      <c r="AF451" s="5" t="inlineStr"/>
      <c r="AG451" s="5" t="inlineStr"/>
      <c r="AH451" s="5" t="inlineStr"/>
    </row>
    <row r="452">
      <c r="A452" s="5" t="inlineStr">
        <is>
          <t>b6-yurt-odasi</t>
        </is>
      </c>
      <c r="B452" s="5" t="n">
        <v>3</v>
      </c>
      <c r="C452" s="6" t="inlineStr">
        <is>
          <t>Prizli yatağı kap</t>
        </is>
      </c>
      <c r="D452" s="5" t="inlineStr">
        <is>
          <t>Kurnazlık</t>
        </is>
      </c>
      <c r="E452" s="5" t="inlineStr">
        <is>
          <t>Kolay</t>
        </is>
      </c>
      <c r="F452" s="5" t="inlineStr"/>
      <c r="G452" s="6" t="inlineStr"/>
      <c r="H452" s="6" t="inlineStr">
        <is>
          <t>Prizli yatak senin. Oda arkadaşların şarj için sana dilekçe veriyor.</t>
        </is>
      </c>
      <c r="I452" s="6" t="inlineStr">
        <is>
          <t>Prizli yatağı aldın, bir çoklu priz kurdun. Artık odanın enerji bakanısın.</t>
        </is>
      </c>
      <c r="J452" s="6" t="inlineStr">
        <is>
          <t>Prizli yatağı aldın. Priz, yurt açıldığından beri çalışmıyormuş.</t>
        </is>
      </c>
      <c r="K452" s="6" t="inlineStr">
        <is>
          <t>Prizli yatak senin oldu. Uzatma kablosu da, yangın yönetmeliği uyarısı da.</t>
        </is>
      </c>
      <c r="L452" s="6" t="inlineStr"/>
      <c r="M452" s="5" t="inlineStr"/>
      <c r="N452" s="5" t="inlineStr"/>
      <c r="O452" s="6" t="inlineStr"/>
      <c r="P452" s="6" t="inlineStr"/>
      <c r="Q452" s="5" t="inlineStr"/>
      <c r="R452" s="5" t="inlineStr"/>
      <c r="S452" s="5" t="inlineStr">
        <is>
          <t>Kurnazlık</t>
        </is>
      </c>
      <c r="T452" s="5" t="inlineStr"/>
      <c r="U452" s="5" t="inlineStr"/>
      <c r="V452" s="5" t="inlineStr"/>
      <c r="W452" s="5" t="inlineStr"/>
      <c r="X452" s="5" t="inlineStr"/>
      <c r="Y452" s="5" t="inlineStr"/>
      <c r="Z452" s="6" t="inlineStr"/>
      <c r="AA452" s="5" t="inlineStr"/>
      <c r="AB452" s="5" t="inlineStr"/>
      <c r="AC452" s="5" t="inlineStr"/>
      <c r="AD452" s="5" t="inlineStr"/>
      <c r="AE452" s="5" t="inlineStr"/>
      <c r="AF452" s="5" t="inlineStr"/>
      <c r="AG452" s="5" t="inlineStr"/>
      <c r="AH452" s="5" t="inlineStr"/>
    </row>
    <row r="453">
      <c r="A453" s="5" t="inlineStr">
        <is>
          <t>b6-yurt-odasi</t>
        </is>
      </c>
      <c r="B453" s="5" t="n">
        <v>4</v>
      </c>
      <c r="C453" s="6" t="inlineStr">
        <is>
          <t>Üst ranzayla diplomatik ilişki kur</t>
        </is>
      </c>
      <c r="D453" s="5" t="inlineStr">
        <is>
          <t>Çene</t>
        </is>
      </c>
      <c r="E453" s="5" t="inlineStr">
        <is>
          <t>Orta</t>
        </is>
      </c>
      <c r="F453" s="5" t="inlineStr"/>
      <c r="G453" s="6" t="inlineStr"/>
      <c r="H453" s="6" t="inlineStr">
        <is>
          <t>Üst ranzayla anlaşma imzaladın: o ışığı kapatacak, sen alarmını.</t>
        </is>
      </c>
      <c r="I453" s="6" t="inlineStr">
        <is>
          <t>Üst ranza memleketten gelen kolileri seninle paylaşıyor. Tarihî bir ittifak.</t>
        </is>
      </c>
      <c r="J453" s="6" t="inlineStr">
        <is>
          <t>Anlaşma yapıldı. İlk gece iki taraf da ihlal etti.</t>
        </is>
      </c>
      <c r="K453" s="6" t="inlineStr">
        <is>
          <t>Diplomasi sırasında tişört konusunu açtın. Soğuk savaş dönem sonuna kadar sürdü.</t>
        </is>
      </c>
      <c r="L453" s="6" t="inlineStr"/>
      <c r="M453" s="5" t="inlineStr"/>
      <c r="N453" s="5" t="inlineStr"/>
      <c r="O453" s="6" t="inlineStr"/>
      <c r="P453" s="6" t="inlineStr"/>
      <c r="Q453" s="5" t="inlineStr"/>
      <c r="R453" s="5" t="inlineStr"/>
      <c r="S453" s="5" t="inlineStr"/>
      <c r="T453" s="5" t="inlineStr"/>
      <c r="U453" s="5" t="inlineStr"/>
      <c r="V453" s="5" t="inlineStr"/>
      <c r="W453" s="5" t="inlineStr"/>
      <c r="X453" s="5" t="inlineStr"/>
      <c r="Y453" s="5" t="inlineStr"/>
      <c r="Z453" s="6" t="inlineStr"/>
      <c r="AA453" s="5" t="inlineStr"/>
      <c r="AB453" s="5" t="inlineStr"/>
      <c r="AC453" s="5" t="inlineStr"/>
      <c r="AD453" s="5" t="inlineStr"/>
      <c r="AE453" s="5" t="inlineStr"/>
      <c r="AF453" s="5" t="inlineStr"/>
      <c r="AG453" s="5" t="inlineStr"/>
      <c r="AH453" s="5" t="inlineStr"/>
    </row>
    <row r="454">
      <c r="A454" s="5" t="inlineStr">
        <is>
          <t>b6-ilk-tam-zamanli-is</t>
        </is>
      </c>
      <c r="B454" s="5" t="n">
        <v>1</v>
      </c>
      <c r="C454" s="6" t="inlineStr">
        <is>
          <t>Söyleneni yap</t>
        </is>
      </c>
      <c r="D454" s="5" t="inlineStr"/>
      <c r="E454" s="5" t="inlineStr"/>
      <c r="F454" s="5" t="inlineStr">
        <is>
          <t>Dayanıklılık +2</t>
        </is>
      </c>
      <c r="G454" s="6" t="inlineStr">
        <is>
          <t>İlk ay hiç soru sormadın. Patron seni 'sessiz eleman' diye kaydetti. Maaş da sessiz.</t>
        </is>
      </c>
      <c r="H454" s="6" t="inlineStr"/>
      <c r="I454" s="6" t="inlineStr"/>
      <c r="J454" s="6" t="inlineStr"/>
      <c r="K454" s="6" t="inlineStr"/>
      <c r="L454" s="6" t="inlineStr"/>
      <c r="M454" s="5" t="inlineStr"/>
      <c r="N454" s="5" t="inlineStr"/>
      <c r="O454" s="6" t="inlineStr"/>
      <c r="P454" s="6" t="inlineStr"/>
      <c r="Q454" s="5" t="inlineStr"/>
      <c r="R454" s="5" t="inlineStr"/>
      <c r="S454" s="5" t="inlineStr"/>
      <c r="T454" s="5" t="inlineStr"/>
      <c r="U454" s="5" t="inlineStr"/>
      <c r="V454" s="5" t="inlineStr"/>
      <c r="W454" s="5" t="inlineStr"/>
      <c r="X454" s="5" t="inlineStr"/>
      <c r="Y454" s="5" t="inlineStr"/>
      <c r="Z454" s="6" t="inlineStr"/>
      <c r="AA454" s="5" t="inlineStr"/>
      <c r="AB454" s="5" t="inlineStr"/>
      <c r="AC454" s="5" t="inlineStr"/>
      <c r="AD454" s="5" t="inlineStr"/>
      <c r="AE454" s="5" t="inlineStr"/>
      <c r="AF454" s="5" t="inlineStr"/>
      <c r="AG454" s="5" t="inlineStr"/>
      <c r="AH454" s="5" t="inlineStr"/>
    </row>
    <row r="455">
      <c r="A455" s="5" t="inlineStr">
        <is>
          <t>b6-ilk-tam-zamanli-is</t>
        </is>
      </c>
      <c r="B455" s="5" t="n">
        <v>2</v>
      </c>
      <c r="C455" s="6" t="inlineStr">
        <is>
          <t>Stoğu ezberle</t>
        </is>
      </c>
      <c r="D455" s="5" t="inlineStr">
        <is>
          <t>Akıl</t>
        </is>
      </c>
      <c r="E455" s="5" t="inlineStr">
        <is>
          <t>Orta</t>
        </is>
      </c>
      <c r="F455" s="5" t="inlineStr"/>
      <c r="G455" s="6" t="inlineStr"/>
      <c r="H455" s="6" t="inlineStr">
        <is>
          <t>Hangi vidanın hangi rafta olduğunu artık biliyorsun. Müşteriler doğrudan sana geliyor.</t>
        </is>
      </c>
      <c r="I455" s="6" t="inlineStr">
        <is>
          <t>Stok defterini ezberledin. Patron sayımı sana bırakıp bir haftalığına tatile gitti.</t>
        </is>
      </c>
      <c r="J455" s="6" t="inlineStr">
        <is>
          <t>Ezberledin. Patron ertesi gün rafları yeniden düzenledi.</t>
        </is>
      </c>
      <c r="K455" s="6" t="inlineStr">
        <is>
          <t>Sayımda bir kutu vidayı iki kez saydın. Kayıtlara göre dükkan şu anda kâr ediyor.</t>
        </is>
      </c>
      <c r="L455" s="6" t="inlineStr"/>
      <c r="M455" s="5" t="inlineStr"/>
      <c r="N455" s="5" t="inlineStr"/>
      <c r="O455" s="6" t="inlineStr"/>
      <c r="P455" s="6" t="inlineStr"/>
      <c r="Q455" s="5" t="inlineStr"/>
      <c r="R455" s="5" t="inlineStr"/>
      <c r="S455" s="5" t="inlineStr"/>
      <c r="T455" s="5" t="inlineStr"/>
      <c r="U455" s="5" t="inlineStr"/>
      <c r="V455" s="5" t="inlineStr"/>
      <c r="W455" s="5" t="inlineStr"/>
      <c r="X455" s="5" t="inlineStr"/>
      <c r="Y455" s="5" t="inlineStr"/>
      <c r="Z455" s="6" t="inlineStr"/>
      <c r="AA455" s="5" t="inlineStr"/>
      <c r="AB455" s="5" t="inlineStr"/>
      <c r="AC455" s="5" t="inlineStr"/>
      <c r="AD455" s="5" t="inlineStr"/>
      <c r="AE455" s="5" t="inlineStr"/>
      <c r="AF455" s="5" t="inlineStr"/>
      <c r="AG455" s="5" t="inlineStr"/>
      <c r="AH455" s="5" t="inlineStr"/>
    </row>
    <row r="456">
      <c r="A456" s="5" t="inlineStr">
        <is>
          <t>b6-ilk-tam-zamanli-is</t>
        </is>
      </c>
      <c r="B456" s="5" t="n">
        <v>3</v>
      </c>
      <c r="C456" s="6" t="inlineStr">
        <is>
          <t>Müşteriye fazlasını sat</t>
        </is>
      </c>
      <c r="D456" s="5" t="inlineStr">
        <is>
          <t>Çene</t>
        </is>
      </c>
      <c r="E456" s="5" t="inlineStr">
        <is>
          <t>Orta</t>
        </is>
      </c>
      <c r="F456" s="5" t="inlineStr"/>
      <c r="G456" s="6" t="inlineStr"/>
      <c r="H456" s="6" t="inlineStr">
        <is>
          <t>Vida almaya gelene matkap sattın. Patron seni 'bizim eleman' diye tanıtmaya başladı.</t>
        </is>
      </c>
      <c r="I456" s="6" t="inlineStr">
        <is>
          <t>Vida almaya gelen müşteri dükkandan bir tadilat projesiyle çıktı. Prim yattı.</t>
        </is>
      </c>
      <c r="J456" s="6" t="inlineStr">
        <is>
          <t>Fazlasını satmaya çalıştın. Müşteri vidayı da almadı.</t>
        </is>
      </c>
      <c r="K456" s="6" t="inlineStr">
        <is>
          <t>Müşteriye en pahalısını sattın. Müşteri patronun kayınpederiymiş.</t>
        </is>
      </c>
      <c r="L456" s="6" t="inlineStr"/>
      <c r="M456" s="5" t="inlineStr"/>
      <c r="N456" s="5" t="inlineStr"/>
      <c r="O456" s="6" t="inlineStr"/>
      <c r="P456" s="6" t="inlineStr"/>
      <c r="Q456" s="5" t="inlineStr"/>
      <c r="R456" s="5" t="inlineStr"/>
      <c r="S456" s="5" t="inlineStr"/>
      <c r="T456" s="5" t="inlineStr"/>
      <c r="U456" s="5" t="inlineStr"/>
      <c r="V456" s="5" t="inlineStr"/>
      <c r="W456" s="5" t="inlineStr"/>
      <c r="X456" s="5" t="inlineStr"/>
      <c r="Y456" s="5" t="inlineStr"/>
      <c r="Z456" s="6" t="inlineStr"/>
      <c r="AA456" s="5" t="inlineStr"/>
      <c r="AB456" s="5" t="inlineStr"/>
      <c r="AC456" s="5" t="inlineStr"/>
      <c r="AD456" s="5" t="inlineStr"/>
      <c r="AE456" s="5" t="inlineStr"/>
      <c r="AF456" s="5" t="inlineStr"/>
      <c r="AG456" s="5" t="inlineStr"/>
      <c r="AH456" s="5" t="inlineStr"/>
    </row>
    <row r="457">
      <c r="A457" s="5" t="inlineStr">
        <is>
          <t>b6-ehliyet</t>
        </is>
      </c>
      <c r="B457" s="5" t="n">
        <v>1</v>
      </c>
      <c r="C457" s="6" t="inlineStr">
        <is>
          <t>Kitabına uygun yap</t>
        </is>
      </c>
      <c r="D457" s="5" t="inlineStr">
        <is>
          <t>Akıl</t>
        </is>
      </c>
      <c r="E457" s="5" t="inlineStr">
        <is>
          <t>Kolay</t>
        </is>
      </c>
      <c r="F457" s="5" t="inlineStr"/>
      <c r="G457" s="6" t="inlineStr"/>
      <c r="H457" s="6" t="inlineStr">
        <is>
          <t>Sinyal, ayna, kalkış. Görevli bir şey yazdı. İyi bir şeymiş.</t>
        </is>
      </c>
      <c r="I457" s="6" t="inlineStr">
        <is>
          <t>Kusursuz sürüş. Görevli otuz yılda ilk kez gülümsedi ve 'Park da yap bakalım' dedi. Yaptın.</t>
        </is>
      </c>
      <c r="J457" s="6" t="inlineStr">
        <is>
          <t>Kitabına uygun yaptın. Kitapta olmayan bir kedi yola çıktı. Kaldın.</t>
        </is>
      </c>
      <c r="K457" s="6" t="inlineStr">
        <is>
          <t>Aynaya o kadar uzun baktın ki görevli 'Kendine mi bakıyorsun?' diye sordu. Tutanağa geçti.</t>
        </is>
      </c>
      <c r="L457" s="6" t="inlineStr"/>
      <c r="M457" s="5" t="inlineStr"/>
      <c r="N457" s="5" t="inlineStr"/>
      <c r="O457" s="6" t="inlineStr"/>
      <c r="P457" s="6" t="inlineStr"/>
      <c r="Q457" s="5" t="inlineStr"/>
      <c r="R457" s="5" t="inlineStr"/>
      <c r="S457" s="5" t="inlineStr"/>
      <c r="T457" s="5" t="inlineStr"/>
      <c r="U457" s="5" t="inlineStr"/>
      <c r="V457" s="5" t="inlineStr">
        <is>
          <t>ehliyetli</t>
        </is>
      </c>
      <c r="W457" s="5" t="inlineStr"/>
      <c r="X457" s="5" t="inlineStr"/>
      <c r="Y457" s="5" t="inlineStr"/>
      <c r="Z457" s="6" t="inlineStr"/>
      <c r="AA457" s="5" t="inlineStr"/>
      <c r="AB457" s="5" t="inlineStr"/>
      <c r="AC457" s="5" t="inlineStr"/>
      <c r="AD457" s="5" t="inlineStr"/>
      <c r="AE457" s="5" t="inlineStr"/>
      <c r="AF457" s="5" t="inlineStr"/>
      <c r="AG457" s="5" t="inlineStr"/>
      <c r="AH457" s="5" t="inlineStr"/>
    </row>
    <row r="458">
      <c r="A458" s="5" t="inlineStr">
        <is>
          <t>b6-ehliyet</t>
        </is>
      </c>
      <c r="B458" s="5" t="n">
        <v>2</v>
      </c>
      <c r="C458" s="6" t="inlineStr">
        <is>
          <t>Yokuşta el frenine güven</t>
        </is>
      </c>
      <c r="D458" s="5" t="inlineStr">
        <is>
          <t>Dayanıklılık</t>
        </is>
      </c>
      <c r="E458" s="5" t="inlineStr">
        <is>
          <t>Orta</t>
        </is>
      </c>
      <c r="F458" s="5" t="inlineStr"/>
      <c r="G458" s="6" t="inlineStr"/>
      <c r="H458" s="6" t="inlineStr">
        <is>
          <t>El freni, debriyaj, sabır. Araba yokuşu çıktı, sen de sınavı.</t>
        </is>
      </c>
      <c r="I458" s="6" t="inlineStr">
        <is>
          <t>Kalkış o kadar yumuşaktı ki görevli ne zaman kalktığınızı sordu.</t>
        </is>
      </c>
      <c r="J458" s="6" t="inlineStr">
        <is>
          <t>Araba geri kaydı. Arkadaki sınav aracındaki aday da seninle birlikte kaldı.</t>
        </is>
      </c>
      <c r="K458" s="6" t="inlineStr">
        <is>
          <t>Araba stop etti. Sonra bir daha. Sonra görevli indi, yokuşu yürüyerek çıktı.</t>
        </is>
      </c>
      <c r="L458" s="6" t="inlineStr"/>
      <c r="M458" s="5" t="inlineStr"/>
      <c r="N458" s="5" t="inlineStr"/>
      <c r="O458" s="6" t="inlineStr"/>
      <c r="P458" s="6" t="inlineStr"/>
      <c r="Q458" s="5" t="inlineStr"/>
      <c r="R458" s="5" t="inlineStr"/>
      <c r="S458" s="5" t="inlineStr"/>
      <c r="T458" s="5" t="inlineStr"/>
      <c r="U458" s="5" t="inlineStr"/>
      <c r="V458" s="5" t="inlineStr">
        <is>
          <t>ehliyetli</t>
        </is>
      </c>
      <c r="W458" s="5" t="inlineStr"/>
      <c r="X458" s="5" t="inlineStr"/>
      <c r="Y458" s="5" t="inlineStr"/>
      <c r="Z458" s="6" t="inlineStr"/>
      <c r="AA458" s="5" t="inlineStr"/>
      <c r="AB458" s="5" t="inlineStr"/>
      <c r="AC458" s="5" t="inlineStr"/>
      <c r="AD458" s="5" t="inlineStr"/>
      <c r="AE458" s="5" t="inlineStr"/>
      <c r="AF458" s="5" t="inlineStr"/>
      <c r="AG458" s="5" t="inlineStr"/>
      <c r="AH458" s="5" t="inlineStr"/>
    </row>
    <row r="459">
      <c r="A459" s="5" t="inlineStr">
        <is>
          <t>b6-ehliyet</t>
        </is>
      </c>
      <c r="B459" s="5" t="n">
        <v>3</v>
      </c>
      <c r="C459" s="6" t="inlineStr">
        <is>
          <t>Görevliyle sohbet aç</t>
        </is>
      </c>
      <c r="D459" s="5" t="inlineStr">
        <is>
          <t>Çene</t>
        </is>
      </c>
      <c r="E459" s="5" t="inlineStr">
        <is>
          <t>Zor</t>
        </is>
      </c>
      <c r="F459" s="5" t="inlineStr"/>
      <c r="G459" s="6" t="inlineStr"/>
      <c r="H459" s="6" t="inlineStr">
        <is>
          <t>Görevli emekli olunca balığa çıkacakmış. Sınav bitti, sen geçtin, konu balıktı.</t>
        </is>
      </c>
      <c r="I459" s="6" t="inlineStr">
        <is>
          <t>Görevli seni oğlunun düğününe davet etti. Ehliyet de posta ile geldi.</t>
        </is>
      </c>
      <c r="J459" s="6" t="inlineStr">
        <is>
          <t>Sohbete daldın, direksiyonu unuttun. Kaldırıma çıktın.</t>
        </is>
      </c>
      <c r="K459" s="6" t="inlineStr">
        <is>
          <t>Görevli 'Konuşma, sür' dedi. Konuşmayı bıraktın. Sürmeyi de.</t>
        </is>
      </c>
      <c r="L459" s="6" t="inlineStr"/>
      <c r="M459" s="5" t="inlineStr"/>
      <c r="N459" s="5" t="inlineStr"/>
      <c r="O459" s="6" t="inlineStr"/>
      <c r="P459" s="6" t="inlineStr"/>
      <c r="Q459" s="5" t="inlineStr"/>
      <c r="R459" s="5" t="inlineStr"/>
      <c r="S459" s="5" t="inlineStr"/>
      <c r="T459" s="5" t="inlineStr"/>
      <c r="U459" s="5" t="inlineStr"/>
      <c r="V459" s="5" t="inlineStr">
        <is>
          <t>ehliyetli</t>
        </is>
      </c>
      <c r="W459" s="5" t="inlineStr"/>
      <c r="X459" s="5" t="inlineStr"/>
      <c r="Y459" s="5" t="inlineStr"/>
      <c r="Z459" s="6" t="inlineStr"/>
      <c r="AA459" s="5" t="inlineStr"/>
      <c r="AB459" s="5" t="inlineStr"/>
      <c r="AC459" s="5" t="inlineStr"/>
      <c r="AD459" s="5" t="inlineStr"/>
      <c r="AE459" s="5" t="inlineStr"/>
      <c r="AF459" s="5" t="inlineStr"/>
      <c r="AG459" s="5" t="inlineStr"/>
      <c r="AH459" s="5" t="inlineStr"/>
    </row>
    <row r="460">
      <c r="A460" s="5" t="inlineStr">
        <is>
          <t>b6-ehliyet</t>
        </is>
      </c>
      <c r="B460" s="5" t="n">
        <v>4</v>
      </c>
      <c r="C460" s="6" t="inlineStr">
        <is>
          <t>Sınavı ertele</t>
        </is>
      </c>
      <c r="D460" s="5" t="inlineStr"/>
      <c r="E460" s="5" t="inlineStr"/>
      <c r="F460" s="5" t="inlineStr">
        <is>
          <t>İtibar +1</t>
        </is>
      </c>
      <c r="G460" s="6" t="inlineStr">
        <is>
          <t>Sınavı erteledin. Toplu taşıma kartına bir yıllık yükleme yaptın.</t>
        </is>
      </c>
      <c r="H460" s="6" t="inlineStr"/>
      <c r="I460" s="6" t="inlineStr"/>
      <c r="J460" s="6" t="inlineStr"/>
      <c r="K460" s="6" t="inlineStr"/>
      <c r="L460" s="6" t="inlineStr"/>
      <c r="M460" s="5" t="inlineStr"/>
      <c r="N460" s="5" t="inlineStr"/>
      <c r="O460" s="6" t="inlineStr"/>
      <c r="P460" s="6" t="inlineStr"/>
      <c r="Q460" s="5" t="inlineStr"/>
      <c r="R460" s="5" t="inlineStr"/>
      <c r="S460" s="5" t="inlineStr"/>
      <c r="T460" s="5" t="inlineStr"/>
      <c r="U460" s="5" t="inlineStr"/>
      <c r="V460" s="5" t="inlineStr"/>
      <c r="W460" s="5" t="inlineStr"/>
      <c r="X460" s="5" t="inlineStr"/>
      <c r="Y460" s="5" t="inlineStr"/>
      <c r="Z460" s="6" t="inlineStr"/>
      <c r="AA460" s="5" t="inlineStr"/>
      <c r="AB460" s="5" t="inlineStr"/>
      <c r="AC460" s="5" t="inlineStr"/>
      <c r="AD460" s="5" t="inlineStr"/>
      <c r="AE460" s="5" t="inlineStr"/>
      <c r="AF460" s="5" t="inlineStr"/>
      <c r="AG460" s="5" t="inlineStr"/>
      <c r="AH460" s="5" t="inlineStr"/>
    </row>
    <row r="461">
      <c r="A461" s="5" t="inlineStr">
        <is>
          <t>b6-ilk-maas</t>
        </is>
      </c>
      <c r="B461" s="5" t="n">
        <v>1</v>
      </c>
      <c r="C461" s="6" t="inlineStr">
        <is>
          <t>Annene hediye al</t>
        </is>
      </c>
      <c r="D461" s="5" t="inlineStr"/>
      <c r="E461" s="5" t="inlineStr"/>
      <c r="F461" s="5" t="inlineStr">
        <is>
          <t>İtibar +2</t>
        </is>
      </c>
      <c r="G461" s="6" t="inlineStr">
        <is>
          <t>Annene bir şal aldın. Şal dolaba kaldırıldı: 'Özel günlerde takarım.' Özel gün hiç gelmedi.</t>
        </is>
      </c>
      <c r="H461" s="6" t="inlineStr"/>
      <c r="I461" s="6" t="inlineStr"/>
      <c r="J461" s="6" t="inlineStr"/>
      <c r="K461" s="6" t="inlineStr"/>
      <c r="L461" s="6" t="inlineStr"/>
      <c r="M461" s="5" t="inlineStr"/>
      <c r="N461" s="5" t="inlineStr"/>
      <c r="O461" s="6" t="inlineStr"/>
      <c r="P461" s="6" t="inlineStr"/>
      <c r="Q461" s="5" t="inlineStr"/>
      <c r="R461" s="5" t="inlineStr"/>
      <c r="S461" s="5" t="inlineStr"/>
      <c r="T461" s="5" t="inlineStr"/>
      <c r="U461" s="5" t="inlineStr"/>
      <c r="V461" s="5" t="inlineStr"/>
      <c r="W461" s="5" t="inlineStr"/>
      <c r="X461" s="5" t="inlineStr"/>
      <c r="Y461" s="5" t="inlineStr"/>
      <c r="Z461" s="6" t="inlineStr"/>
      <c r="AA461" s="5" t="inlineStr"/>
      <c r="AB461" s="5" t="inlineStr"/>
      <c r="AC461" s="5" t="inlineStr"/>
      <c r="AD461" s="5" t="inlineStr"/>
      <c r="AE461" s="5" t="inlineStr"/>
      <c r="AF461" s="5" t="inlineStr"/>
      <c r="AG461" s="5" t="inlineStr"/>
      <c r="AH461" s="5" t="inlineStr"/>
    </row>
    <row r="462">
      <c r="A462" s="5" t="inlineStr">
        <is>
          <t>b6-ilk-maas</t>
        </is>
      </c>
      <c r="B462" s="5" t="n">
        <v>2</v>
      </c>
      <c r="C462" s="6" t="inlineStr">
        <is>
          <t>Hepsini harca</t>
        </is>
      </c>
      <c r="D462" s="5" t="inlineStr"/>
      <c r="E462" s="5" t="inlineStr"/>
      <c r="F462" s="5" t="inlineStr">
        <is>
          <t>Pişkinlik +1, Çene +1</t>
        </is>
      </c>
      <c r="G462" s="6" t="inlineStr">
        <is>
          <t>Maaş üç günde bitti. Kalan yirmi yedi gün için 'deneyim yatırımı' açıklaması hazırladın.</t>
        </is>
      </c>
      <c r="H462" s="6" t="inlineStr"/>
      <c r="I462" s="6" t="inlineStr"/>
      <c r="J462" s="6" t="inlineStr"/>
      <c r="K462" s="6" t="inlineStr"/>
      <c r="L462" s="6" t="inlineStr"/>
      <c r="M462" s="5" t="inlineStr"/>
      <c r="N462" s="5" t="inlineStr"/>
      <c r="O462" s="6" t="inlineStr"/>
      <c r="P462" s="6" t="inlineStr"/>
      <c r="Q462" s="5" t="inlineStr"/>
      <c r="R462" s="5" t="inlineStr"/>
      <c r="S462" s="5" t="inlineStr"/>
      <c r="T462" s="5" t="inlineStr"/>
      <c r="U462" s="5" t="inlineStr"/>
      <c r="V462" s="5" t="inlineStr"/>
      <c r="W462" s="5" t="inlineStr"/>
      <c r="X462" s="5" t="inlineStr"/>
      <c r="Y462" s="5" t="inlineStr"/>
      <c r="Z462" s="6" t="inlineStr"/>
      <c r="AA462" s="5" t="inlineStr"/>
      <c r="AB462" s="5" t="inlineStr"/>
      <c r="AC462" s="5" t="inlineStr"/>
      <c r="AD462" s="5" t="inlineStr"/>
      <c r="AE462" s="5" t="inlineStr"/>
      <c r="AF462" s="5" t="inlineStr"/>
      <c r="AG462" s="5" t="inlineStr"/>
      <c r="AH462" s="5" t="inlineStr"/>
    </row>
    <row r="463">
      <c r="A463" s="5" t="inlineStr">
        <is>
          <t>b6-ilk-maas</t>
        </is>
      </c>
      <c r="B463" s="5" t="n">
        <v>3</v>
      </c>
      <c r="C463" s="6" t="inlineStr">
        <is>
          <t>Bütçe tablosu yap</t>
        </is>
      </c>
      <c r="D463" s="5" t="inlineStr">
        <is>
          <t>Akıl</t>
        </is>
      </c>
      <c r="E463" s="5" t="inlineStr">
        <is>
          <t>Zor</t>
        </is>
      </c>
      <c r="F463" s="5" t="inlineStr"/>
      <c r="G463" s="6" t="inlineStr"/>
      <c r="H463" s="6" t="inlineStr">
        <is>
          <t>Tablo hazır. Gelir tek satır, giderler iki sayfa. Ama renkli.</t>
        </is>
      </c>
      <c r="I463" s="6" t="inlineStr">
        <is>
          <t>Tabloyu ay sonuna kadar tuttun ve para arttı. Olay aile tarihine 'mucize' olarak geçti.</t>
        </is>
      </c>
      <c r="J463" s="6" t="inlineStr">
        <is>
          <t>Tablo yaptın. İkinci hafta tabloya bakmayı bıraktın. Tablo sana bakmaya devam etti.</t>
        </is>
      </c>
      <c r="K463" s="6" t="inlineStr">
        <is>
          <t>Formül hatası yüzünden ay sonunda zengin görünüyordun. Harcadın.</t>
        </is>
      </c>
      <c r="L463" s="6" t="inlineStr"/>
      <c r="M463" s="5" t="inlineStr"/>
      <c r="N463" s="5" t="inlineStr"/>
      <c r="O463" s="6" t="inlineStr"/>
      <c r="P463" s="6" t="inlineStr"/>
      <c r="Q463" s="5" t="inlineStr"/>
      <c r="R463" s="5" t="inlineStr"/>
      <c r="S463" s="5" t="inlineStr"/>
      <c r="T463" s="5" t="inlineStr">
        <is>
          <t>Bütçe Tablocusu</t>
        </is>
      </c>
      <c r="U463" s="5" t="inlineStr"/>
      <c r="V463" s="5" t="inlineStr"/>
      <c r="W463" s="5" t="inlineStr"/>
      <c r="X463" s="5" t="inlineStr"/>
      <c r="Y463" s="5" t="inlineStr"/>
      <c r="Z463" s="6" t="inlineStr"/>
      <c r="AA463" s="5" t="inlineStr"/>
      <c r="AB463" s="5" t="inlineStr"/>
      <c r="AC463" s="5" t="inlineStr"/>
      <c r="AD463" s="5" t="inlineStr"/>
      <c r="AE463" s="5" t="inlineStr"/>
      <c r="AF463" s="5" t="inlineStr"/>
      <c r="AG463" s="5" t="inlineStr"/>
      <c r="AH463" s="5" t="inlineStr"/>
    </row>
    <row r="464">
      <c r="A464" s="5" t="inlineStr">
        <is>
          <t>b6-ilk-maas</t>
        </is>
      </c>
      <c r="B464" s="5" t="n">
        <v>4</v>
      </c>
      <c r="C464" s="6" t="inlineStr">
        <is>
          <t>Yarısını yastık altına koy</t>
        </is>
      </c>
      <c r="D464" s="5" t="inlineStr">
        <is>
          <t>Kurnazlık</t>
        </is>
      </c>
      <c r="E464" s="5" t="inlineStr">
        <is>
          <t>Kolay</t>
        </is>
      </c>
      <c r="F464" s="5" t="inlineStr"/>
      <c r="G464" s="6" t="inlineStr"/>
      <c r="H464" s="6" t="inlineStr">
        <is>
          <t>Ay sonunda yastığın altından bir hazine çıktı. Kendi hazinen.</t>
        </is>
      </c>
      <c r="I464" s="6" t="inlineStr">
        <is>
          <t>Birikim dolaptan yatağa, yataktan yastığa göç etti ve büyüdü. Makarya Merkez Bankası izlemede.</t>
        </is>
      </c>
      <c r="J464" s="6" t="inlineStr">
        <is>
          <t>Sakladın. Yastık kılıfını annen yıkamaya götürdü.</t>
        </is>
      </c>
      <c r="K464" s="6" t="inlineStr">
        <is>
          <t>Sakladın, yerini unuttun. Üç yıl sonra taşınırken bulacaksın. Değeri yarıya inmiş olacak.</t>
        </is>
      </c>
      <c r="L464" s="6" t="inlineStr"/>
      <c r="M464" s="5" t="inlineStr"/>
      <c r="N464" s="5" t="inlineStr"/>
      <c r="O464" s="6" t="inlineStr"/>
      <c r="P464" s="6" t="inlineStr"/>
      <c r="Q464" s="5" t="inlineStr">
        <is>
          <t>Yastık Altı Ekonomisti</t>
        </is>
      </c>
      <c r="R464" s="5" t="inlineStr"/>
      <c r="S464" s="5" t="inlineStr"/>
      <c r="T464" s="5" t="inlineStr"/>
      <c r="U464" s="5" t="inlineStr"/>
      <c r="V464" s="5" t="inlineStr"/>
      <c r="W464" s="5" t="inlineStr"/>
      <c r="X464" s="5" t="inlineStr"/>
      <c r="Y464" s="5" t="inlineStr"/>
      <c r="Z464" s="6" t="inlineStr"/>
      <c r="AA464" s="5" t="inlineStr"/>
      <c r="AB464" s="5" t="inlineStr"/>
      <c r="AC464" s="5" t="inlineStr"/>
      <c r="AD464" s="5" t="inlineStr"/>
      <c r="AE464" s="5" t="inlineStr"/>
      <c r="AF464" s="5" t="inlineStr"/>
      <c r="AG464" s="5" t="inlineStr"/>
      <c r="AH464" s="5" t="inlineStr"/>
    </row>
    <row r="465">
      <c r="A465" s="5" t="inlineStr">
        <is>
          <t>b6-usta-cirak</t>
        </is>
      </c>
      <c r="B465" s="5" t="n">
        <v>1</v>
      </c>
      <c r="C465" s="6" t="inlineStr">
        <is>
          <t>Çayı mükemmelleştir</t>
        </is>
      </c>
      <c r="D465" s="5" t="inlineStr"/>
      <c r="E465" s="5" t="inlineStr"/>
      <c r="F465" s="5" t="inlineStr">
        <is>
          <t>İtibar +1, Dayanıklılık +1</t>
        </is>
      </c>
      <c r="G465" s="6" t="inlineStr">
        <is>
          <t>Çayın ustanın ağzına layık oldu. Dükkana gelen herkes çay için kalıyor. İş hâlâ yok.</t>
        </is>
      </c>
      <c r="H465" s="6" t="inlineStr"/>
      <c r="I465" s="6" t="inlineStr"/>
      <c r="J465" s="6" t="inlineStr"/>
      <c r="K465" s="6" t="inlineStr"/>
      <c r="L465" s="6" t="inlineStr"/>
      <c r="M465" s="5" t="inlineStr"/>
      <c r="N465" s="5" t="inlineStr"/>
      <c r="O465" s="6" t="inlineStr"/>
      <c r="P465" s="6" t="inlineStr"/>
      <c r="Q465" s="5" t="inlineStr"/>
      <c r="R465" s="5" t="inlineStr"/>
      <c r="S465" s="5" t="inlineStr"/>
      <c r="T465" s="5" t="inlineStr"/>
      <c r="U465" s="5" t="inlineStr"/>
      <c r="V465" s="5" t="inlineStr"/>
      <c r="W465" s="5" t="inlineStr"/>
      <c r="X465" s="5" t="inlineStr"/>
      <c r="Y465" s="5" t="inlineStr"/>
      <c r="Z465" s="6" t="inlineStr"/>
      <c r="AA465" s="5" t="inlineStr"/>
      <c r="AB465" s="5" t="inlineStr"/>
      <c r="AC465" s="5" t="inlineStr"/>
      <c r="AD465" s="5" t="inlineStr"/>
      <c r="AE465" s="5" t="inlineStr"/>
      <c r="AF465" s="5" t="inlineStr"/>
      <c r="AG465" s="5" t="inlineStr"/>
      <c r="AH465" s="5" t="inlineStr"/>
    </row>
    <row r="466">
      <c r="A466" s="5" t="inlineStr">
        <is>
          <t>b6-usta-cirak</t>
        </is>
      </c>
      <c r="B466" s="5" t="n">
        <v>2</v>
      </c>
      <c r="C466" s="6" t="inlineStr">
        <is>
          <t>Ustayı gizlice izle</t>
        </is>
      </c>
      <c r="D466" s="5" t="inlineStr">
        <is>
          <t>Sosyal Radar</t>
        </is>
      </c>
      <c r="E466" s="5" t="inlineStr">
        <is>
          <t>Orta</t>
        </is>
      </c>
      <c r="F466" s="5" t="inlineStr"/>
      <c r="G466" s="6" t="inlineStr"/>
      <c r="H466" s="6" t="inlineStr">
        <is>
          <t>Ustanın ellerini üç ay izledin. Bir sabah o tuhaf sesin nereden geldiğini buldun.</t>
        </is>
      </c>
      <c r="I466" s="6" t="inlineStr">
        <is>
          <t>Usta bir gün 'Sen yap' deyip çıktı. Döndüğünde motor çalışıyordu. Sana ilk kez çayı o koydu.</t>
        </is>
      </c>
      <c r="J466" s="6" t="inlineStr">
        <is>
          <t>İzledin ama usta hep sırtını dönüyordu. Sırtını çok iyi tanıyorsun artık.</t>
        </is>
      </c>
      <c r="K466" s="6" t="inlineStr">
        <is>
          <t>İzlerken sökülen parçaları karıştırdın. Müşterinin arabası şimdi bir ses daha çıkarıyor.</t>
        </is>
      </c>
      <c r="L466" s="6" t="inlineStr"/>
      <c r="M466" s="5" t="inlineStr"/>
      <c r="N466" s="5" t="inlineStr"/>
      <c r="O466" s="6" t="inlineStr"/>
      <c r="P466" s="6" t="inlineStr"/>
      <c r="Q466" s="5" t="inlineStr"/>
      <c r="R466" s="5" t="inlineStr"/>
      <c r="S466" s="5" t="inlineStr"/>
      <c r="T466" s="5" t="inlineStr"/>
      <c r="U466" s="5" t="inlineStr"/>
      <c r="V466" s="5" t="inlineStr">
        <is>
          <t>usta-eli</t>
        </is>
      </c>
      <c r="W466" s="5" t="inlineStr"/>
      <c r="X466" s="5" t="inlineStr"/>
      <c r="Y466" s="5" t="inlineStr"/>
      <c r="Z466" s="6" t="inlineStr"/>
      <c r="AA466" s="5" t="inlineStr"/>
      <c r="AB466" s="5" t="inlineStr"/>
      <c r="AC466" s="5" t="inlineStr"/>
      <c r="AD466" s="5" t="inlineStr"/>
      <c r="AE466" s="5" t="inlineStr"/>
      <c r="AF466" s="5" t="inlineStr"/>
      <c r="AG466" s="5" t="inlineStr"/>
      <c r="AH466" s="5" t="inlineStr"/>
    </row>
    <row r="467">
      <c r="A467" s="5" t="inlineStr">
        <is>
          <t>b6-usta-cirak</t>
        </is>
      </c>
      <c r="B467" s="5" t="n">
        <v>3</v>
      </c>
      <c r="C467" s="6" t="inlineStr">
        <is>
          <t>O özel vidanın yerini bul</t>
        </is>
      </c>
      <c r="D467" s="5" t="inlineStr">
        <is>
          <t>Kurnazlık</t>
        </is>
      </c>
      <c r="E467" s="5" t="inlineStr">
        <is>
          <t>Zor</t>
        </is>
      </c>
      <c r="F467" s="5" t="inlineStr"/>
      <c r="G467" s="6" t="inlineStr"/>
      <c r="H467" s="6" t="inlineStr">
        <is>
          <t>Vidayı buldun. Ustaya söylemedin. Aranızda artık sessiz bir eşitlik var.</t>
        </is>
      </c>
      <c r="I467" s="6" t="inlineStr">
        <is>
          <t>Vidayla birlikte otuz yıllık fiyat defterini de buldun. Ustalık belgesi değil ama yakın.</t>
        </is>
      </c>
      <c r="J467" s="6" t="inlineStr">
        <is>
          <t>Vidayı ararken usta arkandaydı. 'Bir şey mi kaybettin?' dedi.</t>
        </is>
      </c>
      <c r="K467" s="6" t="inlineStr">
        <is>
          <t>Vida yerine çay ocağının altındaki eski kasayı buldun. Usta ertesi gün kilidi değiştirdi.</t>
        </is>
      </c>
      <c r="L467" s="6" t="inlineStr"/>
      <c r="M467" s="5" t="inlineStr"/>
      <c r="N467" s="5" t="inlineStr"/>
      <c r="O467" s="6" t="inlineStr"/>
      <c r="P467" s="6" t="inlineStr"/>
      <c r="Q467" s="5" t="inlineStr"/>
      <c r="R467" s="5" t="inlineStr"/>
      <c r="S467" s="5" t="inlineStr">
        <is>
          <t>Kurnazlık</t>
        </is>
      </c>
      <c r="T467" s="5" t="inlineStr"/>
      <c r="U467" s="5" t="inlineStr"/>
      <c r="V467" s="5" t="inlineStr">
        <is>
          <t>usta-eli</t>
        </is>
      </c>
      <c r="W467" s="5" t="inlineStr"/>
      <c r="X467" s="5" t="inlineStr"/>
      <c r="Y467" s="5" t="inlineStr"/>
      <c r="Z467" s="6" t="inlineStr"/>
      <c r="AA467" s="5" t="inlineStr"/>
      <c r="AB467" s="5" t="inlineStr"/>
      <c r="AC467" s="5" t="inlineStr"/>
      <c r="AD467" s="5" t="inlineStr"/>
      <c r="AE467" s="5" t="inlineStr"/>
      <c r="AF467" s="5" t="inlineStr"/>
      <c r="AG467" s="5" t="inlineStr"/>
      <c r="AH467" s="5" t="inlineStr"/>
    </row>
    <row r="468">
      <c r="A468" s="5" t="inlineStr">
        <is>
          <t>b6-usta-cirak</t>
        </is>
      </c>
      <c r="B468" s="5" t="n">
        <v>4</v>
      </c>
      <c r="C468" s="6" t="inlineStr">
        <is>
          <t>Kendi yöntemini dene</t>
        </is>
      </c>
      <c r="D468" s="5" t="inlineStr">
        <is>
          <t>Cesaret</t>
        </is>
      </c>
      <c r="E468" s="5" t="inlineStr">
        <is>
          <t>Zor</t>
        </is>
      </c>
      <c r="F468" s="5" t="inlineStr"/>
      <c r="G468" s="6" t="inlineStr"/>
      <c r="H468" s="6" t="inlineStr">
        <is>
          <t>Kendi yönteminle tamir ettin. Usta 'Bu da bir yol' dedi. Övgü sayılıyor.</t>
        </is>
      </c>
      <c r="I468" s="6" t="inlineStr">
        <is>
          <t>Yöntemin ustanınkinden hızlı çıktı. Usta iki gün konuşmadı, üçüncü gün aynısını yaptı.</t>
        </is>
      </c>
      <c r="J468" s="6" t="inlineStr">
        <is>
          <t>Kendi yöntemin başka bir parçayı da söktü.</t>
        </is>
      </c>
      <c r="K468" s="6" t="inlineStr">
        <is>
          <t>Araba çalıştı. Ama yalnızca geri geri gidiyor.</t>
        </is>
      </c>
      <c r="L468" s="6" t="inlineStr"/>
      <c r="M468" s="5" t="inlineStr"/>
      <c r="N468" s="5" t="inlineStr"/>
      <c r="O468" s="6" t="inlineStr"/>
      <c r="P468" s="6" t="inlineStr"/>
      <c r="Q468" s="5" t="inlineStr"/>
      <c r="R468" s="5" t="inlineStr"/>
      <c r="S468" s="5" t="inlineStr"/>
      <c r="T468" s="5" t="inlineStr"/>
      <c r="U468" s="5" t="inlineStr"/>
      <c r="V468" s="5" t="inlineStr"/>
      <c r="W468" s="5" t="inlineStr"/>
      <c r="X468" s="5" t="inlineStr"/>
      <c r="Y468" s="5" t="inlineStr"/>
      <c r="Z468" s="6" t="inlineStr"/>
      <c r="AA468" s="5" t="inlineStr"/>
      <c r="AB468" s="5" t="inlineStr"/>
      <c r="AC468" s="5" t="inlineStr"/>
      <c r="AD468" s="5" t="inlineStr"/>
      <c r="AE468" s="5" t="inlineStr"/>
      <c r="AF468" s="5" t="inlineStr"/>
      <c r="AG468" s="5" t="inlineStr"/>
      <c r="AH468" s="5" t="inlineStr"/>
    </row>
    <row r="469">
      <c r="A469" s="5" t="inlineStr">
        <is>
          <t>b6-final-haftasi</t>
        </is>
      </c>
      <c r="B469" s="5" t="n">
        <v>1</v>
      </c>
      <c r="C469" s="6" t="inlineStr">
        <is>
          <t>Sabaha kadar çalış</t>
        </is>
      </c>
      <c r="D469" s="5" t="inlineStr"/>
      <c r="E469" s="5" t="inlineStr"/>
      <c r="F469" s="5" t="inlineStr">
        <is>
          <t>Dayanıklılık +2, Akıl +1</t>
        </is>
      </c>
      <c r="G469" s="6" t="inlineStr">
        <is>
          <t>Sabaha kadar çalıştın. Sınavda her şeyi hatırladın, yalnızca sırasını değil.</t>
        </is>
      </c>
      <c r="H469" s="6" t="inlineStr"/>
      <c r="I469" s="6" t="inlineStr"/>
      <c r="J469" s="6" t="inlineStr"/>
      <c r="K469" s="6" t="inlineStr"/>
      <c r="L469" s="6" t="inlineStr"/>
      <c r="M469" s="5" t="inlineStr"/>
      <c r="N469" s="5" t="inlineStr"/>
      <c r="O469" s="6" t="inlineStr"/>
      <c r="P469" s="6" t="inlineStr"/>
      <c r="Q469" s="5" t="inlineStr"/>
      <c r="R469" s="5" t="inlineStr"/>
      <c r="S469" s="5" t="inlineStr"/>
      <c r="T469" s="5" t="inlineStr"/>
      <c r="U469" s="5" t="inlineStr"/>
      <c r="V469" s="5" t="inlineStr"/>
      <c r="W469" s="5" t="inlineStr"/>
      <c r="X469" s="5" t="inlineStr"/>
      <c r="Y469" s="5" t="inlineStr"/>
      <c r="Z469" s="6" t="inlineStr"/>
      <c r="AA469" s="5" t="inlineStr"/>
      <c r="AB469" s="5" t="inlineStr"/>
      <c r="AC469" s="5" t="inlineStr"/>
      <c r="AD469" s="5" t="inlineStr"/>
      <c r="AE469" s="5" t="inlineStr"/>
      <c r="AF469" s="5" t="inlineStr"/>
      <c r="AG469" s="5" t="inlineStr"/>
      <c r="AH469" s="5" t="inlineStr"/>
    </row>
    <row r="470">
      <c r="A470" s="5" t="inlineStr">
        <is>
          <t>b6-final-haftasi</t>
        </is>
      </c>
      <c r="B470" s="5" t="n">
        <v>2</v>
      </c>
      <c r="C470" s="6" t="inlineStr">
        <is>
          <t>Geçen yılın sorularını bul</t>
        </is>
      </c>
      <c r="D470" s="5" t="inlineStr">
        <is>
          <t>Kurnazlık</t>
        </is>
      </c>
      <c r="E470" s="5" t="inlineStr">
        <is>
          <t>Kolay</t>
        </is>
      </c>
      <c r="F470" s="5" t="inlineStr"/>
      <c r="G470" s="6" t="inlineStr"/>
      <c r="H470" s="6" t="inlineStr">
        <is>
          <t>Geçen yılın soruları birebir çıktı. Sınıfın yarısı o fotokopiciyi bilmiyordu.</t>
        </is>
      </c>
      <c r="I470" s="6" t="inlineStr">
        <is>
          <t>Son beş yılın soruları elinde. Fotokopici seni ortak yapmayı teklif etti.</t>
        </is>
      </c>
      <c r="J470" s="6" t="inlineStr">
        <is>
          <t>Soruları buldun. Hoca bu yıl emekli olmuş, yerine gelen kendi sorularını getirmiş.</t>
        </is>
      </c>
      <c r="K470" s="6" t="inlineStr">
        <is>
          <t>Bulduğun sorular başka bölümünmüş. Sınavda istatistik bekledin, edebiyat geldi.</t>
        </is>
      </c>
      <c r="L470" s="6" t="inlineStr"/>
      <c r="M470" s="5" t="inlineStr"/>
      <c r="N470" s="5" t="inlineStr"/>
      <c r="O470" s="6" t="inlineStr"/>
      <c r="P470" s="6" t="inlineStr"/>
      <c r="Q470" s="5" t="inlineStr"/>
      <c r="R470" s="5" t="inlineStr"/>
      <c r="S470" s="5" t="inlineStr">
        <is>
          <t>Akıl</t>
        </is>
      </c>
      <c r="T470" s="5" t="inlineStr"/>
      <c r="U470" s="5" t="inlineStr"/>
      <c r="V470" s="5" t="inlineStr"/>
      <c r="W470" s="5" t="inlineStr"/>
      <c r="X470" s="5" t="inlineStr"/>
      <c r="Y470" s="5" t="inlineStr"/>
      <c r="Z470" s="6" t="inlineStr"/>
      <c r="AA470" s="5" t="inlineStr"/>
      <c r="AB470" s="5" t="inlineStr"/>
      <c r="AC470" s="5" t="inlineStr"/>
      <c r="AD470" s="5" t="inlineStr"/>
      <c r="AE470" s="5" t="inlineStr"/>
      <c r="AF470" s="5" t="inlineStr"/>
      <c r="AG470" s="5" t="inlineStr"/>
      <c r="AH470" s="5" t="inlineStr"/>
    </row>
    <row r="471">
      <c r="A471" s="5" t="inlineStr">
        <is>
          <t>b6-final-haftasi</t>
        </is>
      </c>
      <c r="B471" s="5" t="n">
        <v>3</v>
      </c>
      <c r="C471" s="6" t="inlineStr">
        <is>
          <t>Çalışma grubu kur</t>
        </is>
      </c>
      <c r="D471" s="5" t="inlineStr">
        <is>
          <t>Sosyal Radar</t>
        </is>
      </c>
      <c r="E471" s="5" t="inlineStr">
        <is>
          <t>Orta</t>
        </is>
      </c>
      <c r="F471" s="5" t="inlineStr"/>
      <c r="G471" s="6" t="inlineStr"/>
      <c r="H471" s="6" t="inlineStr">
        <is>
          <t>Üç saat çalışıldı, iki saat yemek siparişi tartışıldı. Verimlilik yüksek.</t>
        </is>
      </c>
      <c r="I471" s="6" t="inlineStr">
        <is>
          <t>Grubun en iyisi herkese özet çıkardı. Senin katkın grubun adıydı. Yeterli oldu.</t>
        </is>
      </c>
      <c r="J471" s="6" t="inlineStr">
        <is>
          <t>Grup adı üzerinde anlaşılamadı. Sınav geldi.</t>
        </is>
      </c>
      <c r="K471" s="6" t="inlineStr">
        <is>
          <t>Herkes senin notlarına güveniyordu. Senin notun yoktu.</t>
        </is>
      </c>
      <c r="L471" s="6" t="inlineStr"/>
      <c r="M471" s="5" t="inlineStr"/>
      <c r="N471" s="5" t="inlineStr"/>
      <c r="O471" s="6" t="inlineStr"/>
      <c r="P471" s="6" t="inlineStr"/>
      <c r="Q471" s="5" t="inlineStr"/>
      <c r="R471" s="5" t="inlineStr"/>
      <c r="S471" s="5" t="inlineStr"/>
      <c r="T471" s="5" t="inlineStr"/>
      <c r="U471" s="5" t="inlineStr"/>
      <c r="V471" s="5" t="inlineStr"/>
      <c r="W471" s="5" t="inlineStr"/>
      <c r="X471" s="5" t="inlineStr"/>
      <c r="Y471" s="5" t="inlineStr"/>
      <c r="Z471" s="6" t="inlineStr"/>
      <c r="AA471" s="5" t="inlineStr"/>
      <c r="AB471" s="5" t="inlineStr"/>
      <c r="AC471" s="5" t="inlineStr"/>
      <c r="AD471" s="5" t="inlineStr"/>
      <c r="AE471" s="5" t="inlineStr"/>
      <c r="AF471" s="5" t="inlineStr"/>
      <c r="AG471" s="5" t="inlineStr"/>
      <c r="AH471" s="5" t="inlineStr"/>
    </row>
    <row r="472">
      <c r="A472" s="5" t="inlineStr">
        <is>
          <t>b6-final-haftasi</t>
        </is>
      </c>
      <c r="B472" s="5" t="n">
        <v>4</v>
      </c>
      <c r="C472" s="6" t="inlineStr">
        <is>
          <t>Hocaya e-posta at</t>
        </is>
      </c>
      <c r="D472" s="5" t="inlineStr">
        <is>
          <t>Pişkinlik</t>
        </is>
      </c>
      <c r="E472" s="5" t="inlineStr">
        <is>
          <t>Zor</t>
        </is>
      </c>
      <c r="F472" s="5" t="inlineStr"/>
      <c r="G472" s="6" t="inlineStr"/>
      <c r="H472" s="6" t="inlineStr">
        <is>
          <t>'Konu kapsamı' sordun. Cevap: 'Her şey.' Yine de bir bilgi.</t>
        </is>
      </c>
      <c r="I472" s="6" t="inlineStr">
        <is>
          <t>Hoca iki konuyu kapsamdan çıkardı. Bütün bölüm seni tanımadan sevdi.</t>
        </is>
      </c>
      <c r="J472" s="6" t="inlineStr">
        <is>
          <t>E-postan 'Sayın hocam' ile başlayıp 'özeti yok mu' ile bitti. Cevap gelmedi.</t>
        </is>
      </c>
      <c r="K472" s="6" t="inlineStr">
        <is>
          <t>E-postayı bölümün bütün öğretim üyelerine attın. Adın bir kurul gündemine girdi.</t>
        </is>
      </c>
      <c r="L472" s="6" t="inlineStr"/>
      <c r="M472" s="5" t="inlineStr"/>
      <c r="N472" s="5" t="inlineStr"/>
      <c r="O472" s="6" t="inlineStr"/>
      <c r="P472" s="6" t="inlineStr"/>
      <c r="Q472" s="5" t="inlineStr"/>
      <c r="R472" s="5" t="inlineStr"/>
      <c r="S472" s="5" t="inlineStr"/>
      <c r="T472" s="5" t="inlineStr"/>
      <c r="U472" s="5" t="inlineStr"/>
      <c r="V472" s="5" t="inlineStr"/>
      <c r="W472" s="5" t="inlineStr"/>
      <c r="X472" s="5" t="inlineStr"/>
      <c r="Y472" s="5" t="inlineStr"/>
      <c r="Z472" s="6" t="inlineStr"/>
      <c r="AA472" s="5" t="inlineStr"/>
      <c r="AB472" s="5" t="inlineStr"/>
      <c r="AC472" s="5" t="inlineStr"/>
      <c r="AD472" s="5" t="inlineStr"/>
      <c r="AE472" s="5" t="inlineStr"/>
      <c r="AF472" s="5" t="inlineStr"/>
      <c r="AG472" s="5" t="inlineStr"/>
      <c r="AH472" s="5" t="inlineStr"/>
    </row>
    <row r="473">
      <c r="A473" s="5" t="inlineStr">
        <is>
          <t>b6-kredi-karti</t>
        </is>
      </c>
      <c r="B473" s="5" t="n">
        <v>1</v>
      </c>
      <c r="C473" s="6" t="inlineStr">
        <is>
          <t>Kartı reddet</t>
        </is>
      </c>
      <c r="D473" s="5" t="inlineStr"/>
      <c r="E473" s="5" t="inlineStr"/>
      <c r="F473" s="5" t="inlineStr">
        <is>
          <t>İtibar +2</t>
        </is>
      </c>
      <c r="G473" s="6" t="inlineStr">
        <is>
          <t>Reddettin. Banka üç gün sonra yine aradı. Sonra yine. İlişki tek taraflı.</t>
        </is>
      </c>
      <c r="H473" s="6" t="inlineStr"/>
      <c r="I473" s="6" t="inlineStr"/>
      <c r="J473" s="6" t="inlineStr"/>
      <c r="K473" s="6" t="inlineStr"/>
      <c r="L473" s="6" t="inlineStr"/>
      <c r="M473" s="5" t="inlineStr"/>
      <c r="N473" s="5" t="inlineStr"/>
      <c r="O473" s="6" t="inlineStr"/>
      <c r="P473" s="6" t="inlineStr"/>
      <c r="Q473" s="5" t="inlineStr"/>
      <c r="R473" s="5" t="inlineStr"/>
      <c r="S473" s="5" t="inlineStr"/>
      <c r="T473" s="5" t="inlineStr"/>
      <c r="U473" s="5" t="inlineStr"/>
      <c r="V473" s="5" t="inlineStr"/>
      <c r="W473" s="5" t="inlineStr"/>
      <c r="X473" s="5" t="inlineStr"/>
      <c r="Y473" s="5" t="inlineStr"/>
      <c r="Z473" s="6" t="inlineStr"/>
      <c r="AA473" s="5" t="inlineStr"/>
      <c r="AB473" s="5" t="inlineStr"/>
      <c r="AC473" s="5" t="inlineStr"/>
      <c r="AD473" s="5" t="inlineStr"/>
      <c r="AE473" s="5" t="inlineStr"/>
      <c r="AF473" s="5" t="inlineStr"/>
      <c r="AG473" s="5" t="inlineStr"/>
      <c r="AH473" s="5" t="inlineStr"/>
    </row>
    <row r="474">
      <c r="A474" s="5" t="inlineStr">
        <is>
          <t>b6-kredi-karti</t>
        </is>
      </c>
      <c r="B474" s="5" t="n">
        <v>2</v>
      </c>
      <c r="C474" s="6" t="inlineStr">
        <is>
          <t>Sadece acil durumlar için al</t>
        </is>
      </c>
      <c r="D474" s="5" t="inlineStr">
        <is>
          <t>Dayanıklılık</t>
        </is>
      </c>
      <c r="E474" s="5" t="inlineStr">
        <is>
          <t>Orta</t>
        </is>
      </c>
      <c r="F474" s="5" t="inlineStr"/>
      <c r="G474" s="6" t="inlineStr"/>
      <c r="H474" s="6" t="inlineStr">
        <is>
          <t>Kart çekmecede durdu. Acil durum bir kez yaşandı: kargo ücreti.</t>
        </is>
      </c>
      <c r="I474" s="6" t="inlineStr">
        <is>
          <t>Kart bir yıl çekmecede bekledi. Banka limiti artırdı, sen harcamayı artırmadın.</t>
        </is>
      </c>
      <c r="J474" s="6" t="inlineStr">
        <is>
          <t>Acil durum tanımın zamanla genişledi. Kahve de acil durum oldu.</t>
        </is>
      </c>
      <c r="K474" s="6" t="inlineStr">
        <is>
          <t>Acil durumlar listesi kırk maddeye ulaştı. Asgari ödeme artık bir yaşam tarzı.</t>
        </is>
      </c>
      <c r="L474" s="6" t="inlineStr"/>
      <c r="M474" s="5" t="inlineStr"/>
      <c r="N474" s="5" t="inlineStr"/>
      <c r="O474" s="6" t="inlineStr"/>
      <c r="P474" s="6" t="inlineStr"/>
      <c r="Q474" s="5" t="inlineStr"/>
      <c r="R474" s="5" t="inlineStr"/>
      <c r="S474" s="5" t="inlineStr"/>
      <c r="T474" s="5" t="inlineStr"/>
      <c r="U474" s="5" t="inlineStr"/>
      <c r="V474" s="5" t="inlineStr"/>
      <c r="W474" s="5" t="inlineStr">
        <is>
          <t>borclu</t>
        </is>
      </c>
      <c r="X474" s="5" t="inlineStr"/>
      <c r="Y474" s="5" t="inlineStr"/>
      <c r="Z474" s="6" t="inlineStr"/>
      <c r="AA474" s="5" t="inlineStr"/>
      <c r="AB474" s="5" t="inlineStr"/>
      <c r="AC474" s="5" t="inlineStr"/>
      <c r="AD474" s="5" t="inlineStr"/>
      <c r="AE474" s="5" t="inlineStr"/>
      <c r="AF474" s="5" t="inlineStr"/>
      <c r="AG474" s="5" t="inlineStr"/>
      <c r="AH474" s="5" t="inlineStr"/>
    </row>
    <row r="475">
      <c r="A475" s="5" t="inlineStr">
        <is>
          <t>b6-kredi-karti</t>
        </is>
      </c>
      <c r="B475" s="5" t="n">
        <v>3</v>
      </c>
      <c r="C475" s="6" t="inlineStr">
        <is>
          <t>Limiti sonuna kadar kullan</t>
        </is>
      </c>
      <c r="D475" s="5" t="inlineStr"/>
      <c r="E475" s="5" t="inlineStr"/>
      <c r="F475" s="5" t="inlineStr">
        <is>
          <t>Pişkinlik +2</t>
        </is>
      </c>
      <c r="G475" s="6" t="inlineStr">
        <is>
          <t>Limiti bir haftada doldurdun. Banka hemen yeni limit teklif etti. Ne kadar düşünceli.</t>
        </is>
      </c>
      <c r="H475" s="6" t="inlineStr"/>
      <c r="I475" s="6" t="inlineStr"/>
      <c r="J475" s="6" t="inlineStr"/>
      <c r="K475" s="6" t="inlineStr"/>
      <c r="L475" s="6" t="inlineStr"/>
      <c r="M475" s="5" t="inlineStr"/>
      <c r="N475" s="5" t="inlineStr"/>
      <c r="O475" s="6" t="inlineStr"/>
      <c r="P475" s="6" t="inlineStr"/>
      <c r="Q475" s="5" t="inlineStr"/>
      <c r="R475" s="5" t="inlineStr"/>
      <c r="S475" s="5" t="inlineStr"/>
      <c r="T475" s="5" t="inlineStr"/>
      <c r="U475" s="5" t="inlineStr">
        <is>
          <t>borclu</t>
        </is>
      </c>
      <c r="V475" s="5" t="inlineStr"/>
      <c r="W475" s="5" t="inlineStr"/>
      <c r="X475" s="5" t="inlineStr"/>
      <c r="Y475" s="5" t="inlineStr"/>
      <c r="Z475" s="6" t="inlineStr"/>
      <c r="AA475" s="5" t="inlineStr"/>
      <c r="AB475" s="5" t="inlineStr"/>
      <c r="AC475" s="5" t="inlineStr"/>
      <c r="AD475" s="5" t="inlineStr"/>
      <c r="AE475" s="5" t="inlineStr"/>
      <c r="AF475" s="5" t="inlineStr"/>
      <c r="AG475" s="5" t="inlineStr"/>
      <c r="AH475" s="5" t="inlineStr"/>
    </row>
    <row r="476">
      <c r="A476" s="5" t="inlineStr">
        <is>
          <t>b6-kredi-karti</t>
        </is>
      </c>
      <c r="B476" s="5" t="n">
        <v>4</v>
      </c>
      <c r="C476" s="6" t="inlineStr">
        <is>
          <t>Faizleri hesapla</t>
        </is>
      </c>
      <c r="D476" s="5" t="inlineStr">
        <is>
          <t>Akıl</t>
        </is>
      </c>
      <c r="E476" s="5" t="inlineStr">
        <is>
          <t>Kolay</t>
        </is>
      </c>
      <c r="F476" s="5" t="inlineStr"/>
      <c r="G476" s="6" t="inlineStr"/>
      <c r="H476" s="6" t="inlineStr">
        <is>
          <t>Faiz tablosunu gördün. Kartı alıp hiç kullanmamaya karar verdin.</t>
        </is>
      </c>
      <c r="I476" s="6" t="inlineStr">
        <is>
          <t>Bankayı arayıp yıllık ücreti iptal ettirdin. Temsilci ilk kez bir müşteriden bir şey öğrendi.</t>
        </is>
      </c>
      <c r="J476" s="6" t="inlineStr">
        <is>
          <t>Hesapladın. Sonuç korkunçtu. Kartı yine de aldın, çünkü tasarımı güzeldi.</t>
        </is>
      </c>
      <c r="K476" s="6" t="inlineStr">
        <is>
          <t>Asgari ödemeyi gelir satırına yazdın. Tablo sana 'Zenginsin' dedi. Tablo yalan söylüyordu.</t>
        </is>
      </c>
      <c r="L476" s="6" t="inlineStr"/>
      <c r="M476" s="5" t="inlineStr"/>
      <c r="N476" s="5" t="inlineStr"/>
      <c r="O476" s="6" t="inlineStr"/>
      <c r="P476" s="6" t="inlineStr"/>
      <c r="Q476" s="5" t="inlineStr">
        <is>
          <t>Bütçe Tablocusu</t>
        </is>
      </c>
      <c r="R476" s="5" t="inlineStr"/>
      <c r="S476" s="5" t="inlineStr"/>
      <c r="T476" s="5" t="inlineStr"/>
      <c r="U476" s="5" t="inlineStr"/>
      <c r="V476" s="5" t="inlineStr"/>
      <c r="W476" s="5" t="inlineStr">
        <is>
          <t>borclu</t>
        </is>
      </c>
      <c r="X476" s="5" t="inlineStr"/>
      <c r="Y476" s="5" t="inlineStr"/>
      <c r="Z476" s="6" t="inlineStr"/>
      <c r="AA476" s="5" t="inlineStr"/>
      <c r="AB476" s="5" t="inlineStr"/>
      <c r="AC476" s="5" t="inlineStr"/>
      <c r="AD476" s="5" t="inlineStr"/>
      <c r="AE476" s="5" t="inlineStr"/>
      <c r="AF476" s="5" t="inlineStr"/>
      <c r="AG476" s="5" t="inlineStr"/>
      <c r="AH476" s="5" t="inlineStr"/>
    </row>
    <row r="477">
      <c r="A477" s="5" t="inlineStr">
        <is>
          <t>b6-ogrenci-kulubu</t>
        </is>
      </c>
      <c r="B477" s="5" t="n">
        <v>1</v>
      </c>
      <c r="C477" s="6" t="inlineStr">
        <is>
          <t>Bir kulübe yazıl, bir daha gitme</t>
        </is>
      </c>
      <c r="D477" s="5" t="inlineStr"/>
      <c r="E477" s="5" t="inlineStr"/>
      <c r="F477" s="5" t="inlineStr">
        <is>
          <t>Kurnazlık +1</t>
        </is>
      </c>
      <c r="G477" s="6" t="inlineStr">
        <is>
          <t>Üye listesinde adın hâlâ duruyor. Aidat hatırlatmaları da.</t>
        </is>
      </c>
      <c r="H477" s="6" t="inlineStr"/>
      <c r="I477" s="6" t="inlineStr"/>
      <c r="J477" s="6" t="inlineStr"/>
      <c r="K477" s="6" t="inlineStr"/>
      <c r="L477" s="6" t="inlineStr"/>
      <c r="M477" s="5" t="inlineStr"/>
      <c r="N477" s="5" t="inlineStr"/>
      <c r="O477" s="6" t="inlineStr"/>
      <c r="P477" s="6" t="inlineStr"/>
      <c r="Q477" s="5" t="inlineStr"/>
      <c r="R477" s="5" t="inlineStr"/>
      <c r="S477" s="5" t="inlineStr"/>
      <c r="T477" s="5" t="inlineStr"/>
      <c r="U477" s="5" t="inlineStr"/>
      <c r="V477" s="5" t="inlineStr"/>
      <c r="W477" s="5" t="inlineStr"/>
      <c r="X477" s="5" t="inlineStr"/>
      <c r="Y477" s="5" t="inlineStr"/>
      <c r="Z477" s="6" t="inlineStr"/>
      <c r="AA477" s="5" t="inlineStr"/>
      <c r="AB477" s="5" t="inlineStr"/>
      <c r="AC477" s="5" t="inlineStr"/>
      <c r="AD477" s="5" t="inlineStr"/>
      <c r="AE477" s="5" t="inlineStr"/>
      <c r="AF477" s="5" t="inlineStr"/>
      <c r="AG477" s="5" t="inlineStr"/>
      <c r="AH477" s="5" t="inlineStr"/>
    </row>
    <row r="478">
      <c r="A478" s="5" t="inlineStr">
        <is>
          <t>b6-ogrenci-kulubu</t>
        </is>
      </c>
      <c r="B478" s="5" t="n">
        <v>2</v>
      </c>
      <c r="C478" s="6" t="inlineStr">
        <is>
          <t>Doğa yürüyüşü kulübüne katıl</t>
        </is>
      </c>
      <c r="D478" s="5" t="inlineStr">
        <is>
          <t>Dayanıklılık</t>
        </is>
      </c>
      <c r="E478" s="5" t="inlineStr">
        <is>
          <t>Orta</t>
        </is>
      </c>
      <c r="F478" s="5" t="inlineStr"/>
      <c r="G478" s="6" t="inlineStr"/>
      <c r="H478" s="6" t="inlineStr">
        <is>
          <t>İlk yürüyüşü bitirdin. Fotoğraflarda hep önde, hep ter içinde.</t>
        </is>
      </c>
      <c r="I478" s="6" t="inlineStr">
        <is>
          <t>Kulübün en hızlı yeni üyesisin. Rota planlaması artık sana soruluyor.</t>
        </is>
      </c>
      <c r="J478" s="6" t="inlineStr">
        <is>
          <t>Otobüste uyudun, döndüğünde 'Harikaydı' dedin.</t>
        </is>
      </c>
      <c r="K478" s="6" t="inlineStr">
        <is>
          <t>Yürüyüşte kayboldun. Kulübün yeni güvenlik yönergesi senin adını taşıyor.</t>
        </is>
      </c>
      <c r="L478" s="6" t="inlineStr"/>
      <c r="M478" s="5" t="inlineStr"/>
      <c r="N478" s="5" t="inlineStr"/>
      <c r="O478" s="6" t="inlineStr"/>
      <c r="P478" s="6" t="inlineStr"/>
      <c r="Q478" s="5" t="inlineStr"/>
      <c r="R478" s="5" t="inlineStr"/>
      <c r="S478" s="5" t="inlineStr"/>
      <c r="T478" s="5" t="inlineStr"/>
      <c r="U478" s="5" t="inlineStr"/>
      <c r="V478" s="5" t="inlineStr"/>
      <c r="W478" s="5" t="inlineStr"/>
      <c r="X478" s="5" t="inlineStr"/>
      <c r="Y478" s="5" t="inlineStr"/>
      <c r="Z478" s="6" t="inlineStr"/>
      <c r="AA478" s="5" t="inlineStr"/>
      <c r="AB478" s="5" t="inlineStr"/>
      <c r="AC478" s="5" t="inlineStr"/>
      <c r="AD478" s="5" t="inlineStr"/>
      <c r="AE478" s="5" t="inlineStr"/>
      <c r="AF478" s="5" t="inlineStr"/>
      <c r="AG478" s="5" t="inlineStr"/>
      <c r="AH478" s="5" t="inlineStr"/>
    </row>
    <row r="479">
      <c r="A479" s="5" t="inlineStr">
        <is>
          <t>b6-ogrenci-kulubu</t>
        </is>
      </c>
      <c r="B479" s="5" t="n">
        <v>3</v>
      </c>
      <c r="C479" s="6" t="inlineStr">
        <is>
          <t>Tiyatro kulübünde rol al</t>
        </is>
      </c>
      <c r="D479" s="5" t="inlineStr">
        <is>
          <t>Pişkinlik</t>
        </is>
      </c>
      <c r="E479" s="5" t="inlineStr">
        <is>
          <t>Orta</t>
        </is>
      </c>
      <c r="F479" s="5" t="inlineStr"/>
      <c r="G479" s="6" t="inlineStr"/>
      <c r="H479" s="6" t="inlineStr">
        <is>
          <t>Sekiz satırlık rolün dördünü söyledin, dördünü doğaçladın. Alkış eşitti.</t>
        </is>
      </c>
      <c r="I479" s="6" t="inlineStr">
        <is>
          <t>Yan rolle başladın, oyunun sonunda herkes senden bahsediyordu.</t>
        </is>
      </c>
      <c r="J479" s="6" t="inlineStr">
        <is>
          <t>Rolün: 'Ağaç 2'. Ağaç 1 daha çok sahnedeydi.</t>
        </is>
      </c>
      <c r="K479" s="6" t="inlineStr">
        <is>
          <t>Sahneye erken çıktın. Önünde hâlâ perde vardı.</t>
        </is>
      </c>
      <c r="L479" s="6" t="inlineStr"/>
      <c r="M479" s="5" t="inlineStr"/>
      <c r="N479" s="5" t="inlineStr"/>
      <c r="O479" s="6" t="inlineStr"/>
      <c r="P479" s="6" t="inlineStr"/>
      <c r="Q479" s="5" t="inlineStr"/>
      <c r="R479" s="5" t="inlineStr"/>
      <c r="S479" s="5" t="inlineStr"/>
      <c r="T479" s="5" t="inlineStr">
        <is>
          <t>Sahne Sever</t>
        </is>
      </c>
      <c r="U479" s="5" t="inlineStr"/>
      <c r="V479" s="5" t="inlineStr"/>
      <c r="W479" s="5" t="inlineStr"/>
      <c r="X479" s="5" t="inlineStr"/>
      <c r="Y479" s="5" t="inlineStr"/>
      <c r="Z479" s="6" t="inlineStr"/>
      <c r="AA479" s="5" t="inlineStr"/>
      <c r="AB479" s="5" t="inlineStr"/>
      <c r="AC479" s="5" t="inlineStr"/>
      <c r="AD479" s="5" t="inlineStr"/>
      <c r="AE479" s="5" t="inlineStr"/>
      <c r="AF479" s="5" t="inlineStr"/>
      <c r="AG479" s="5" t="inlineStr"/>
      <c r="AH479" s="5" t="inlineStr"/>
    </row>
    <row r="480">
      <c r="A480" s="5" t="inlineStr">
        <is>
          <t>b6-ogrenci-kulubu</t>
        </is>
      </c>
      <c r="B480" s="5" t="n">
        <v>4</v>
      </c>
      <c r="C480" s="6" t="inlineStr">
        <is>
          <t>Başkanlığa aday ol</t>
        </is>
      </c>
      <c r="D480" s="5" t="inlineStr">
        <is>
          <t>Çene</t>
        </is>
      </c>
      <c r="E480" s="5" t="inlineStr">
        <is>
          <t>Zor</t>
        </is>
      </c>
      <c r="F480" s="5" t="inlineStr"/>
      <c r="G480" s="6" t="inlineStr"/>
      <c r="H480" s="6" t="inlineStr">
        <is>
          <t>Seçimi kazandın. İlk icraatın bir sonraki toplantıyı ertelemek oldu.</t>
        </is>
      </c>
      <c r="I480" s="6" t="inlineStr">
        <is>
          <t>Oy birliğiyle seçildin. Rakibin sana yardımcı olmak için çekildi. Başkanlık yılları geri döndü.</t>
        </is>
      </c>
      <c r="J480" s="6" t="inlineStr">
        <is>
          <t>Kaybettin. Kazanan senin broşürünü kullanmıştı.</t>
        </is>
      </c>
      <c r="K480" s="6" t="inlineStr">
        <is>
          <t>Tek oyun kendi oyundu. O da geçersiz sayıldı.</t>
        </is>
      </c>
      <c r="L480" s="6" t="inlineStr"/>
      <c r="M480" s="5" t="inlineStr"/>
      <c r="N480" s="5" t="inlineStr"/>
      <c r="O480" s="6" t="inlineStr"/>
      <c r="P480" s="6" t="inlineStr"/>
      <c r="Q480" s="5" t="inlineStr"/>
      <c r="R480" s="5" t="inlineStr">
        <is>
          <t>baskan</t>
        </is>
      </c>
      <c r="S480" s="5" t="inlineStr"/>
      <c r="T480" s="5" t="inlineStr"/>
      <c r="U480" s="5" t="inlineStr"/>
      <c r="V480" s="5" t="inlineStr"/>
      <c r="W480" s="5" t="inlineStr"/>
      <c r="X480" s="5" t="inlineStr"/>
      <c r="Y480" s="5" t="inlineStr"/>
      <c r="Z480" s="6" t="inlineStr"/>
      <c r="AA480" s="5" t="inlineStr"/>
      <c r="AB480" s="5" t="inlineStr"/>
      <c r="AC480" s="5" t="inlineStr"/>
      <c r="AD480" s="5" t="inlineStr"/>
      <c r="AE480" s="5" t="inlineStr"/>
      <c r="AF480" s="5" t="inlineStr"/>
      <c r="AG480" s="5" t="inlineStr"/>
      <c r="AH480" s="5" t="inlineStr"/>
    </row>
    <row r="481">
      <c r="A481" s="5" t="inlineStr">
        <is>
          <t>b6-gece-motor</t>
        </is>
      </c>
      <c r="B481" s="5" t="n">
        <v>1</v>
      </c>
      <c r="C481" s="6" t="inlineStr">
        <is>
          <t>Kaskı tak, yavaş sür</t>
        </is>
      </c>
      <c r="D481" s="5" t="inlineStr"/>
      <c r="E481" s="5" t="inlineStr"/>
      <c r="F481" s="5" t="inlineStr">
        <is>
          <t>İtibar +1, Dayanıklılık +1</t>
        </is>
      </c>
      <c r="G481" s="6" t="inlineStr">
        <is>
          <t>Yarışa girmedin. Sahilde saatte otuzla tur attın. Martılar seni geçti.</t>
        </is>
      </c>
      <c r="H481" s="6" t="inlineStr"/>
      <c r="I481" s="6" t="inlineStr"/>
      <c r="J481" s="6" t="inlineStr"/>
      <c r="K481" s="6" t="inlineStr"/>
      <c r="L481" s="6" t="inlineStr"/>
      <c r="M481" s="5" t="inlineStr"/>
      <c r="N481" s="5" t="inlineStr"/>
      <c r="O481" s="6" t="inlineStr"/>
      <c r="P481" s="6" t="inlineStr"/>
      <c r="Q481" s="5" t="inlineStr"/>
      <c r="R481" s="5" t="inlineStr"/>
      <c r="S481" s="5" t="inlineStr"/>
      <c r="T481" s="5" t="inlineStr"/>
      <c r="U481" s="5" t="inlineStr"/>
      <c r="V481" s="5" t="inlineStr"/>
      <c r="W481" s="5" t="inlineStr"/>
      <c r="X481" s="5" t="inlineStr"/>
      <c r="Y481" s="5" t="inlineStr"/>
      <c r="Z481" s="6" t="inlineStr"/>
      <c r="AA481" s="5" t="inlineStr"/>
      <c r="AB481" s="5" t="inlineStr"/>
      <c r="AC481" s="5" t="inlineStr"/>
      <c r="AD481" s="5" t="inlineStr"/>
      <c r="AE481" s="5" t="inlineStr"/>
      <c r="AF481" s="5" t="inlineStr"/>
      <c r="AG481" s="5" t="inlineStr"/>
      <c r="AH481" s="5" t="inlineStr"/>
    </row>
    <row r="482">
      <c r="A482" s="5" t="inlineStr">
        <is>
          <t>b6-gece-motor</t>
        </is>
      </c>
      <c r="B482" s="5" t="n">
        <v>2</v>
      </c>
      <c r="C482" s="6" t="inlineStr">
        <is>
          <t>Yarışa katıl</t>
        </is>
      </c>
      <c r="D482" s="5" t="inlineStr">
        <is>
          <t>Cesaret</t>
        </is>
      </c>
      <c r="E482" s="5" t="inlineStr">
        <is>
          <t>Zor</t>
        </is>
      </c>
      <c r="F482" s="5" t="inlineStr"/>
      <c r="G482" s="6" t="inlineStr"/>
      <c r="H482" s="6" t="inlineStr">
        <is>
          <t>Yarışı kazandın. Ödül: sabaha kadar anlatılan bir hikâye ve bir hız cezası.</t>
        </is>
      </c>
      <c r="I482" s="6" t="inlineStr">
        <is>
          <t>Kazandın. Motorun sahibi seni gelecek haftaya davet etti. Motoru geri verip eve gittin.</t>
        </is>
      </c>
      <c r="J482" s="6" t="inlineStr">
        <is>
          <t>Motor son düzlükte stop etti. Onu köprüye kadar ittin.</t>
        </is>
      </c>
      <c r="K482" s="6" t="inlineStr">
        <is>
          <t>Virajı alamadın, kumsala girdin. Motor kumda, sen martıların arasında. Yaralanan tek şey gururun.</t>
        </is>
      </c>
      <c r="L482" s="6" t="inlineStr"/>
      <c r="M482" s="5" t="inlineStr"/>
      <c r="N482" s="5" t="inlineStr"/>
      <c r="O482" s="6" t="inlineStr"/>
      <c r="P482" s="6" t="inlineStr"/>
      <c r="Q482" s="5" t="inlineStr"/>
      <c r="R482" s="5" t="inlineStr"/>
      <c r="S482" s="5" t="inlineStr"/>
      <c r="T482" s="5" t="inlineStr"/>
      <c r="U482" s="5" t="inlineStr"/>
      <c r="V482" s="5" t="inlineStr"/>
      <c r="W482" s="5" t="inlineStr"/>
      <c r="X482" s="5" t="inlineStr"/>
      <c r="Y482" s="5" t="n">
        <v>5</v>
      </c>
      <c r="Z482" s="6" t="inlineStr">
        <is>
          <t>Sahil yolundaki gece yarışında, 'Son viraj' dediği virajda.</t>
        </is>
      </c>
      <c r="AA482" s="5" t="inlineStr"/>
      <c r="AB482" s="5" t="inlineStr"/>
      <c r="AC482" s="5" t="inlineStr"/>
      <c r="AD482" s="5" t="inlineStr"/>
      <c r="AE482" s="5" t="inlineStr"/>
      <c r="AF482" s="5" t="inlineStr"/>
      <c r="AG482" s="5" t="inlineStr"/>
      <c r="AH482" s="5" t="inlineStr"/>
    </row>
    <row r="483">
      <c r="A483" s="5" t="inlineStr">
        <is>
          <t>b6-gece-motor</t>
        </is>
      </c>
      <c r="B483" s="5" t="n">
        <v>3</v>
      </c>
      <c r="C483" s="6" t="inlineStr">
        <is>
          <t>Yarışı organize et, sürme</t>
        </is>
      </c>
      <c r="D483" s="5" t="inlineStr">
        <is>
          <t>Kurnazlık</t>
        </is>
      </c>
      <c r="E483" s="5" t="inlineStr">
        <is>
          <t>Orta</t>
        </is>
      </c>
      <c r="F483" s="5" t="inlineStr"/>
      <c r="G483" s="6" t="inlineStr"/>
      <c r="H483" s="6" t="inlineStr">
        <is>
          <t>Başlangıç bayrağını sen salladın. Kimse seni fark etmedi ama hikâyede sen vardın.</t>
        </is>
      </c>
      <c r="I483" s="6" t="inlineStr">
        <is>
          <t>Kazananı önceden bildin. Herkesin gözünde kâhin oldun ve yarış bir daha yapılmadı.</t>
        </is>
      </c>
      <c r="J483" s="6" t="inlineStr">
        <is>
          <t>Bayrak diye salladığın şey birinin montuydu. Mont sahibi yarışı bıraktı.</t>
        </is>
      </c>
      <c r="K483" s="6" t="inlineStr">
        <is>
          <t>Zabıta geldi ve organizatörü sordu. Herkes aynı anda seni gösterdi.</t>
        </is>
      </c>
      <c r="L483" s="6" t="inlineStr"/>
      <c r="M483" s="5" t="inlineStr"/>
      <c r="N483" s="5" t="inlineStr"/>
      <c r="O483" s="6" t="inlineStr"/>
      <c r="P483" s="6" t="inlineStr"/>
      <c r="Q483" s="5" t="inlineStr"/>
      <c r="R483" s="5" t="inlineStr"/>
      <c r="S483" s="5" t="inlineStr"/>
      <c r="T483" s="5" t="inlineStr"/>
      <c r="U483" s="5" t="inlineStr"/>
      <c r="V483" s="5" t="inlineStr"/>
      <c r="W483" s="5" t="inlineStr"/>
      <c r="X483" s="5" t="inlineStr"/>
      <c r="Y483" s="5" t="inlineStr"/>
      <c r="Z483" s="6" t="inlineStr"/>
      <c r="AA483" s="5" t="inlineStr"/>
      <c r="AB483" s="5" t="inlineStr"/>
      <c r="AC483" s="5" t="inlineStr"/>
      <c r="AD483" s="5" t="inlineStr"/>
      <c r="AE483" s="5" t="inlineStr"/>
      <c r="AF483" s="5" t="inlineStr"/>
      <c r="AG483" s="5" t="inlineStr"/>
      <c r="AH483" s="5" t="inlineStr"/>
    </row>
    <row r="484">
      <c r="A484" s="5" t="inlineStr">
        <is>
          <t>b6-gece-motor</t>
        </is>
      </c>
      <c r="B484" s="5" t="n">
        <v>4</v>
      </c>
      <c r="C484" s="6" t="inlineStr">
        <is>
          <t>Arkadaşını vazgeçir</t>
        </is>
      </c>
      <c r="D484" s="5" t="inlineStr">
        <is>
          <t>Çene</t>
        </is>
      </c>
      <c r="E484" s="5" t="inlineStr">
        <is>
          <t>Orta</t>
        </is>
      </c>
      <c r="F484" s="5" t="inlineStr"/>
      <c r="G484" s="6" t="inlineStr"/>
      <c r="H484" s="6" t="inlineStr">
        <is>
          <t>İkna ettin. Yarış yerine çay içtiniz. O da sonunda rahatladı.</t>
        </is>
      </c>
      <c r="I484" s="6" t="inlineStr">
        <is>
          <t>Arkadaşın motoru sattı, parasıyla ikinize akşam yemeği ısmarladı.</t>
        </is>
      </c>
      <c r="J484" s="6" t="inlineStr">
        <is>
          <t>İkna edemedin. Sahilde bekledin. Döndü, hiçbir şey anlatmadı.</t>
        </is>
      </c>
      <c r="K484" s="6" t="inlineStr">
        <is>
          <t>İkna ederken motora oturdun. Arkadaşın 'O zaman sen sür' dedi.</t>
        </is>
      </c>
      <c r="L484" s="6" t="inlineStr"/>
      <c r="M484" s="5" t="inlineStr"/>
      <c r="N484" s="5" t="inlineStr"/>
      <c r="O484" s="6" t="inlineStr"/>
      <c r="P484" s="6" t="inlineStr"/>
      <c r="Q484" s="5" t="inlineStr"/>
      <c r="R484" s="5" t="inlineStr"/>
      <c r="S484" s="5" t="inlineStr"/>
      <c r="T484" s="5" t="inlineStr"/>
      <c r="U484" s="5" t="inlineStr"/>
      <c r="V484" s="5" t="inlineStr"/>
      <c r="W484" s="5" t="inlineStr"/>
      <c r="X484" s="5" t="inlineStr"/>
      <c r="Y484" s="5" t="inlineStr"/>
      <c r="Z484" s="6" t="inlineStr"/>
      <c r="AA484" s="5" t="inlineStr"/>
      <c r="AB484" s="5" t="inlineStr"/>
      <c r="AC484" s="5" t="inlineStr"/>
      <c r="AD484" s="5" t="inlineStr"/>
      <c r="AE484" s="5" t="inlineStr"/>
      <c r="AF484" s="5" t="inlineStr"/>
      <c r="AG484" s="5" t="inlineStr"/>
      <c r="AH484" s="5" t="inlineStr"/>
    </row>
    <row r="485">
      <c r="A485" s="5" t="inlineStr">
        <is>
          <t>b6-gece-vardiyasi</t>
        </is>
      </c>
      <c r="B485" s="5" t="n">
        <v>1</v>
      </c>
      <c r="C485" s="6" t="inlineStr">
        <is>
          <t>Raf diz, zamanı öldür</t>
        </is>
      </c>
      <c r="D485" s="5" t="inlineStr"/>
      <c r="E485" s="5" t="inlineStr"/>
      <c r="F485" s="5" t="inlineStr">
        <is>
          <t>Dayanıklılık +1</t>
        </is>
      </c>
      <c r="G485" s="6" t="inlineStr">
        <is>
          <t>Bütün raflar dizildi, etiketler hizalandı. Saat hâlâ üç buçuk.</t>
        </is>
      </c>
      <c r="H485" s="6" t="inlineStr"/>
      <c r="I485" s="6" t="inlineStr"/>
      <c r="J485" s="6" t="inlineStr"/>
      <c r="K485" s="6" t="inlineStr"/>
      <c r="L485" s="6" t="inlineStr"/>
      <c r="M485" s="5" t="inlineStr"/>
      <c r="N485" s="5" t="inlineStr"/>
      <c r="O485" s="6" t="inlineStr"/>
      <c r="P485" s="6" t="inlineStr"/>
      <c r="Q485" s="5" t="inlineStr"/>
      <c r="R485" s="5" t="inlineStr"/>
      <c r="S485" s="5" t="inlineStr"/>
      <c r="T485" s="5" t="inlineStr"/>
      <c r="U485" s="5" t="inlineStr"/>
      <c r="V485" s="5" t="inlineStr"/>
      <c r="W485" s="5" t="inlineStr"/>
      <c r="X485" s="5" t="inlineStr"/>
      <c r="Y485" s="5" t="inlineStr"/>
      <c r="Z485" s="6" t="inlineStr"/>
      <c r="AA485" s="5" t="inlineStr"/>
      <c r="AB485" s="5" t="inlineStr"/>
      <c r="AC485" s="5" t="inlineStr"/>
      <c r="AD485" s="5" t="inlineStr"/>
      <c r="AE485" s="5" t="inlineStr"/>
      <c r="AF485" s="5" t="inlineStr"/>
      <c r="AG485" s="5" t="inlineStr"/>
      <c r="AH485" s="5" t="inlineStr"/>
    </row>
    <row r="486">
      <c r="A486" s="5" t="inlineStr">
        <is>
          <t>b6-gece-vardiyasi</t>
        </is>
      </c>
      <c r="B486" s="5" t="n">
        <v>2</v>
      </c>
      <c r="C486" s="6" t="inlineStr">
        <is>
          <t>Dörtteki duvarı geç</t>
        </is>
      </c>
      <c r="D486" s="5" t="inlineStr">
        <is>
          <t>Dayanıklılık</t>
        </is>
      </c>
      <c r="E486" s="5" t="inlineStr">
        <is>
          <t>Zor</t>
        </is>
      </c>
      <c r="F486" s="5" t="inlineStr"/>
      <c r="G486" s="6" t="inlineStr"/>
      <c r="H486" s="6" t="inlineStr">
        <is>
          <t>Duvarı geçtin. Sabah altıda güneş doğarken ikinci nefes geldi.</t>
        </is>
      </c>
      <c r="I486" s="6" t="inlineStr">
        <is>
          <t>Vardiyadan sonra gündüz de uyumadın. Vücudun yeni bir saat dilimi ilan etti.</t>
        </is>
      </c>
      <c r="J486" s="6" t="inlineStr">
        <is>
          <t>Kasada uyuyakaldın. Müşteri para üstünü kendi aldı, fişini de kendi kesti.</t>
        </is>
      </c>
      <c r="K486" s="6" t="inlineStr">
        <is>
          <t>Sabah vardiyası seni rafların arasında, koli bandına sarılmış halde buldu.</t>
        </is>
      </c>
      <c r="L486" s="6" t="inlineStr"/>
      <c r="M486" s="5" t="inlineStr"/>
      <c r="N486" s="5" t="inlineStr"/>
      <c r="O486" s="6" t="inlineStr"/>
      <c r="P486" s="6" t="inlineStr"/>
      <c r="Q486" s="5" t="inlineStr"/>
      <c r="R486" s="5" t="inlineStr"/>
      <c r="S486" s="5" t="inlineStr">
        <is>
          <t>Dayanıklılık</t>
        </is>
      </c>
      <c r="T486" s="5" t="inlineStr">
        <is>
          <t>Nöbet Disiplini</t>
        </is>
      </c>
      <c r="U486" s="5" t="inlineStr"/>
      <c r="V486" s="5" t="inlineStr"/>
      <c r="W486" s="5" t="inlineStr"/>
      <c r="X486" s="5" t="inlineStr"/>
      <c r="Y486" s="5" t="inlineStr"/>
      <c r="Z486" s="6" t="inlineStr"/>
      <c r="AA486" s="5" t="inlineStr"/>
      <c r="AB486" s="5" t="inlineStr"/>
      <c r="AC486" s="5" t="inlineStr"/>
      <c r="AD486" s="5" t="inlineStr"/>
      <c r="AE486" s="5" t="inlineStr"/>
      <c r="AF486" s="5" t="inlineStr"/>
      <c r="AG486" s="5" t="inlineStr"/>
      <c r="AH486" s="5" t="inlineStr"/>
    </row>
    <row r="487">
      <c r="A487" s="5" t="inlineStr">
        <is>
          <t>b6-gece-vardiyasi</t>
        </is>
      </c>
      <c r="B487" s="5" t="n">
        <v>3</v>
      </c>
      <c r="C487" s="6" t="inlineStr">
        <is>
          <t>Gece müşterisiyle sohbet et</t>
        </is>
      </c>
      <c r="D487" s="5" t="inlineStr">
        <is>
          <t>Sosyal Radar</t>
        </is>
      </c>
      <c r="E487" s="5" t="inlineStr">
        <is>
          <t>Kolay</t>
        </is>
      </c>
      <c r="F487" s="5" t="inlineStr"/>
      <c r="G487" s="6" t="inlineStr"/>
      <c r="H487" s="6" t="inlineStr">
        <is>
          <t>Sakız alan müşteri hayatını anlattı, sen de kendininkini. İkiniz de hafifledi.</t>
        </is>
      </c>
      <c r="I487" s="6" t="inlineStr">
        <is>
          <t>Sakızcı bir işletme sahibiymiş. Kartını bıraktı: 'Gündüz çalışmak istersen.'</t>
        </is>
      </c>
      <c r="J487" s="6" t="inlineStr">
        <is>
          <t>Sohbet açtın. Adam sadece sakız istiyordu.</t>
        </is>
      </c>
      <c r="K487" s="6" t="inlineStr">
        <is>
          <t>Kamera kayıtlarında iki saat boyunca bir hayat hikâyesi dinlediğin görüldü. Tutanak tutuldu.</t>
        </is>
      </c>
      <c r="L487" s="6" t="inlineStr"/>
      <c r="M487" s="5" t="inlineStr"/>
      <c r="N487" s="5" t="inlineStr"/>
      <c r="O487" s="6" t="inlineStr"/>
      <c r="P487" s="6" t="inlineStr"/>
      <c r="Q487" s="5" t="inlineStr"/>
      <c r="R487" s="5" t="inlineStr"/>
      <c r="S487" s="5" t="inlineStr"/>
      <c r="T487" s="5" t="inlineStr"/>
      <c r="U487" s="5" t="inlineStr"/>
      <c r="V487" s="5" t="inlineStr"/>
      <c r="W487" s="5" t="inlineStr"/>
      <c r="X487" s="5" t="inlineStr"/>
      <c r="Y487" s="5" t="inlineStr"/>
      <c r="Z487" s="6" t="inlineStr"/>
      <c r="AA487" s="5" t="inlineStr"/>
      <c r="AB487" s="5" t="inlineStr"/>
      <c r="AC487" s="5" t="inlineStr"/>
      <c r="AD487" s="5" t="inlineStr"/>
      <c r="AE487" s="5" t="inlineStr"/>
      <c r="AF487" s="5" t="inlineStr"/>
      <c r="AG487" s="5" t="inlineStr"/>
      <c r="AH487" s="5" t="inlineStr"/>
    </row>
    <row r="488">
      <c r="A488" s="5" t="inlineStr">
        <is>
          <t>b6-gece-vardiyasi</t>
        </is>
      </c>
      <c r="B488" s="5" t="n">
        <v>4</v>
      </c>
      <c r="C488" s="6" t="inlineStr">
        <is>
          <t>Gündüz vardiyasına geçmeyi iste</t>
        </is>
      </c>
      <c r="D488" s="5" t="inlineStr">
        <is>
          <t>Çene</t>
        </is>
      </c>
      <c r="E488" s="5" t="inlineStr">
        <is>
          <t>Zor</t>
        </is>
      </c>
      <c r="F488" s="5" t="inlineStr"/>
      <c r="G488" s="6" t="inlineStr"/>
      <c r="H488" s="6" t="inlineStr">
        <is>
          <t>Gündüze geçtin. Gün ışığı biraz fazla parlak geldi.</t>
        </is>
      </c>
      <c r="I488" s="6" t="inlineStr">
        <is>
          <t>Gündüze geçtin, hafta sonları da izinlisin. Gece vardiyası artık bir anı.</t>
        </is>
      </c>
      <c r="J488" s="6" t="inlineStr">
        <is>
          <t>Talebin 'değerlendirmeye' alındı. Değerlendirme de gece vardiyasında yapılıyor.</t>
        </is>
      </c>
      <c r="K488" s="6" t="inlineStr">
        <is>
          <t>Müdür seni hafta sonu gece vardiyasına da ekledi. Teşekkür ederek.</t>
        </is>
      </c>
      <c r="L488" s="6" t="inlineStr"/>
      <c r="M488" s="5" t="inlineStr"/>
      <c r="N488" s="5" t="inlineStr"/>
      <c r="O488" s="6" t="inlineStr"/>
      <c r="P488" s="6" t="inlineStr"/>
      <c r="Q488" s="5" t="inlineStr"/>
      <c r="R488" s="5" t="inlineStr"/>
      <c r="S488" s="5" t="inlineStr"/>
      <c r="T488" s="5" t="inlineStr"/>
      <c r="U488" s="5" t="inlineStr"/>
      <c r="V488" s="5" t="inlineStr"/>
      <c r="W488" s="5" t="inlineStr"/>
      <c r="X488" s="5" t="inlineStr"/>
      <c r="Y488" s="5" t="inlineStr"/>
      <c r="Z488" s="6" t="inlineStr"/>
      <c r="AA488" s="5" t="inlineStr"/>
      <c r="AB488" s="5" t="inlineStr"/>
      <c r="AC488" s="5" t="inlineStr"/>
      <c r="AD488" s="5" t="inlineStr"/>
      <c r="AE488" s="5" t="inlineStr"/>
      <c r="AF488" s="5" t="inlineStr"/>
      <c r="AG488" s="5" t="inlineStr"/>
      <c r="AH488" s="5" t="inlineStr"/>
    </row>
    <row r="489">
      <c r="A489" s="5" t="inlineStr">
        <is>
          <t>b6-kiralik-ev</t>
        </is>
      </c>
      <c r="B489" s="5" t="n">
        <v>1</v>
      </c>
      <c r="C489" s="6" t="inlineStr">
        <is>
          <t>Söylenen fiyata tut</t>
        </is>
      </c>
      <c r="D489" s="5" t="inlineStr"/>
      <c r="E489" s="5" t="inlineStr"/>
      <c r="F489" s="5" t="inlineStr">
        <is>
          <t>Dayanıklılık +1</t>
        </is>
      </c>
      <c r="G489" s="6" t="inlineStr">
        <is>
          <t>Ev sahibi o kadar mutlu oldu ki sana iki anahtar verdi. Biri kilide uymuyor. Hangisi, belirsiz.</t>
        </is>
      </c>
      <c r="H489" s="6" t="inlineStr"/>
      <c r="I489" s="6" t="inlineStr"/>
      <c r="J489" s="6" t="inlineStr"/>
      <c r="K489" s="6" t="inlineStr"/>
      <c r="L489" s="6" t="inlineStr"/>
      <c r="M489" s="5" t="inlineStr"/>
      <c r="N489" s="5" t="inlineStr"/>
      <c r="O489" s="6" t="inlineStr"/>
      <c r="P489" s="6" t="inlineStr"/>
      <c r="Q489" s="5" t="inlineStr"/>
      <c r="R489" s="5" t="inlineStr"/>
      <c r="S489" s="5" t="inlineStr"/>
      <c r="T489" s="5" t="inlineStr"/>
      <c r="U489" s="5" t="inlineStr"/>
      <c r="V489" s="5" t="inlineStr"/>
      <c r="W489" s="5" t="inlineStr"/>
      <c r="X489" s="5" t="inlineStr"/>
      <c r="Y489" s="5" t="inlineStr"/>
      <c r="Z489" s="6" t="inlineStr"/>
      <c r="AA489" s="5" t="inlineStr"/>
      <c r="AB489" s="5" t="inlineStr"/>
      <c r="AC489" s="5" t="inlineStr"/>
      <c r="AD489" s="5" t="inlineStr"/>
      <c r="AE489" s="5" t="inlineStr"/>
      <c r="AF489" s="5" t="inlineStr"/>
      <c r="AG489" s="5" t="inlineStr"/>
      <c r="AH489" s="5" t="inlineStr"/>
    </row>
    <row r="490">
      <c r="A490" s="5" t="inlineStr">
        <is>
          <t>b6-kiralik-ev</t>
        </is>
      </c>
      <c r="B490" s="5" t="n">
        <v>2</v>
      </c>
      <c r="C490" s="6" t="inlineStr">
        <is>
          <t>Kirayı pazarlık et</t>
        </is>
      </c>
      <c r="D490" s="5" t="inlineStr">
        <is>
          <t>Çene</t>
        </is>
      </c>
      <c r="E490" s="5" t="inlineStr">
        <is>
          <t>Orta</t>
        </is>
      </c>
      <c r="F490" s="5" t="inlineStr"/>
      <c r="G490" s="6" t="inlineStr"/>
      <c r="H490" s="6" t="inlineStr">
        <is>
          <t>Kirayı biraz indirdin. Ev sahibi 'Gençlere güvenirim' dedi. Sen ona güvenmedin.</t>
        </is>
      </c>
      <c r="I490" s="6" t="inlineStr">
        <is>
          <t>Kira indi, depozito yarıya düştü, kombi bakımı ev sahibine yazıldı. Tarihî anlaşma.</t>
        </is>
      </c>
      <c r="J490" s="6" t="inlineStr">
        <is>
          <t>Fiyat aynı kaldı ama ev sahibi seni 'hareketli genç' olarak tanımladı.</t>
        </is>
      </c>
      <c r="K490" s="6" t="inlineStr">
        <is>
          <t>Pazarlık uzadı, ev sahibi daha yüksek teklif veren birini buldu. 'Kusura bakma' dedi. Kusura baktın.</t>
        </is>
      </c>
      <c r="L490" s="6" t="inlineStr">
        <is>
          <t>Kira aynı kaldı ama aidatı ev sahibi ödeyecek. Yarım zafer, tam aidat.</t>
        </is>
      </c>
      <c r="M490" s="5" t="inlineStr">
        <is>
          <t>bargain</t>
        </is>
      </c>
      <c r="N490" s="5" t="inlineStr">
        <is>
          <t>Kira Pazarlığı</t>
        </is>
      </c>
      <c r="O490" s="6" t="inlineStr">
        <is>
          <t>Ev sahibinin sabrı bitmeden kirayı aşağı kaydır ve makul yerde anlaş.</t>
        </is>
      </c>
      <c r="P490" s="6" t="inlineStr">
        <is>
          <t>{"item": "kira", "mode": "buy"}</t>
        </is>
      </c>
      <c r="Q490" s="5" t="inlineStr"/>
      <c r="R490" s="5" t="inlineStr"/>
      <c r="S490" s="5" t="inlineStr"/>
      <c r="T490" s="5" t="inlineStr"/>
      <c r="U490" s="5" t="inlineStr"/>
      <c r="V490" s="5" t="inlineStr"/>
      <c r="W490" s="5" t="inlineStr"/>
      <c r="X490" s="5" t="inlineStr"/>
      <c r="Y490" s="5" t="inlineStr"/>
      <c r="Z490" s="6" t="inlineStr"/>
      <c r="AA490" s="5" t="inlineStr"/>
      <c r="AB490" s="5" t="inlineStr"/>
      <c r="AC490" s="5" t="inlineStr"/>
      <c r="AD490" s="5" t="inlineStr"/>
      <c r="AE490" s="5" t="inlineStr"/>
      <c r="AF490" s="5" t="inlineStr"/>
      <c r="AG490" s="5" t="inlineStr"/>
      <c r="AH490" s="5" t="inlineStr"/>
    </row>
    <row r="491">
      <c r="A491" s="5" t="inlineStr">
        <is>
          <t>b6-kiralik-ev</t>
        </is>
      </c>
      <c r="B491" s="5" t="n">
        <v>3</v>
      </c>
      <c r="C491" s="6" t="inlineStr">
        <is>
          <t>Önceki kiracıyı bul</t>
        </is>
      </c>
      <c r="D491" s="5" t="inlineStr">
        <is>
          <t>Sosyal Radar</t>
        </is>
      </c>
      <c r="E491" s="5" t="inlineStr">
        <is>
          <t>Zor</t>
        </is>
      </c>
      <c r="F491" s="5" t="inlineStr"/>
      <c r="G491" s="6" t="inlineStr"/>
      <c r="H491" s="6" t="inlineStr">
        <is>
          <t>Önceki kiracı tek kelime söyledi: 'Kombi.' Sözleşmeye bir madde ekledin.</t>
        </is>
      </c>
      <c r="I491" s="6" t="inlineStr">
        <is>
          <t>Rutubeti, gürültücü komşuyu ve ev sahibinin zayıf noktasını öğrendin. Pazarlık kendiliğinden bitti.</t>
        </is>
      </c>
      <c r="J491" s="6" t="inlineStr">
        <is>
          <t>Önceki kiracı 'Güzel ev' dedi ve telefonu çok hızlı kapattı.</t>
        </is>
      </c>
      <c r="K491" s="6" t="inlineStr">
        <is>
          <t>Yanlışlıkla ev sahibini aradın, önceki kiracıyı sordun. İkisi artık senin hakkında konuşuyor.</t>
        </is>
      </c>
      <c r="L491" s="6" t="inlineStr"/>
      <c r="M491" s="5" t="inlineStr"/>
      <c r="N491" s="5" t="inlineStr"/>
      <c r="O491" s="6" t="inlineStr"/>
      <c r="P491" s="6" t="inlineStr"/>
      <c r="Q491" s="5" t="inlineStr"/>
      <c r="R491" s="5" t="inlineStr"/>
      <c r="S491" s="5" t="inlineStr"/>
      <c r="T491" s="5" t="inlineStr"/>
      <c r="U491" s="5" t="inlineStr"/>
      <c r="V491" s="5" t="inlineStr"/>
      <c r="W491" s="5" t="inlineStr"/>
      <c r="X491" s="5" t="inlineStr"/>
      <c r="Y491" s="5" t="inlineStr"/>
      <c r="Z491" s="6" t="inlineStr"/>
      <c r="AA491" s="5" t="inlineStr"/>
      <c r="AB491" s="5" t="inlineStr"/>
      <c r="AC491" s="5" t="inlineStr"/>
      <c r="AD491" s="5" t="inlineStr"/>
      <c r="AE491" s="5" t="inlineStr"/>
      <c r="AF491" s="5" t="inlineStr"/>
      <c r="AG491" s="5" t="inlineStr"/>
      <c r="AH491" s="5" t="inlineStr"/>
    </row>
    <row r="492">
      <c r="A492" s="5" t="inlineStr">
        <is>
          <t>b6-tasinma</t>
        </is>
      </c>
      <c r="B492" s="5" t="n">
        <v>1</v>
      </c>
      <c r="C492" s="6" t="inlineStr">
        <is>
          <t>Nakliyeci çağır</t>
        </is>
      </c>
      <c r="D492" s="5" t="inlineStr"/>
      <c r="E492" s="5" t="inlineStr"/>
      <c r="F492" s="5" t="inlineStr">
        <is>
          <t>Kurnazlık +1</t>
        </is>
      </c>
      <c r="G492" s="6" t="inlineStr">
        <is>
          <t>Nakliyeci eşyaları taşıdı, fatura kiradan yüksek geldi. En azından kolların yerinde.</t>
        </is>
      </c>
      <c r="H492" s="6" t="inlineStr"/>
      <c r="I492" s="6" t="inlineStr"/>
      <c r="J492" s="6" t="inlineStr"/>
      <c r="K492" s="6" t="inlineStr"/>
      <c r="L492" s="6" t="inlineStr"/>
      <c r="M492" s="5" t="inlineStr"/>
      <c r="N492" s="5" t="inlineStr"/>
      <c r="O492" s="6" t="inlineStr"/>
      <c r="P492" s="6" t="inlineStr"/>
      <c r="Q492" s="5" t="inlineStr"/>
      <c r="R492" s="5" t="inlineStr"/>
      <c r="S492" s="5" t="inlineStr"/>
      <c r="T492" s="5" t="inlineStr"/>
      <c r="U492" s="5" t="inlineStr"/>
      <c r="V492" s="5" t="inlineStr"/>
      <c r="W492" s="5" t="inlineStr"/>
      <c r="X492" s="5" t="inlineStr"/>
      <c r="Y492" s="5" t="inlineStr"/>
      <c r="Z492" s="6" t="inlineStr"/>
      <c r="AA492" s="5" t="inlineStr"/>
      <c r="AB492" s="5" t="inlineStr"/>
      <c r="AC492" s="5" t="inlineStr"/>
      <c r="AD492" s="5" t="inlineStr"/>
      <c r="AE492" s="5" t="inlineStr"/>
      <c r="AF492" s="5" t="inlineStr"/>
      <c r="AG492" s="5" t="inlineStr"/>
      <c r="AH492" s="5" t="inlineStr"/>
    </row>
    <row r="493">
      <c r="A493" s="5" t="inlineStr">
        <is>
          <t>b6-tasinma</t>
        </is>
      </c>
      <c r="B493" s="5" t="n">
        <v>2</v>
      </c>
      <c r="C493" s="6" t="inlineStr">
        <is>
          <t>Buzdolabını merdivenden çıkar</t>
        </is>
      </c>
      <c r="D493" s="5" t="inlineStr">
        <is>
          <t>Dayanıklılık</t>
        </is>
      </c>
      <c r="E493" s="5" t="inlineStr">
        <is>
          <t>Orta</t>
        </is>
      </c>
      <c r="F493" s="5" t="inlineStr"/>
      <c r="G493" s="6" t="inlineStr"/>
      <c r="H493" s="6" t="inlineStr">
        <is>
          <t>Buzdolabı dördüncü kata çıktı. Sen dördüncü katta bir süre yattın.</t>
        </is>
      </c>
      <c r="I493" s="6" t="inlineStr">
        <is>
          <t>Buzdolabını tek başına çıkardın. Komşular balkondan alkışladı, biri video çekti.</t>
        </is>
      </c>
      <c r="J493" s="6" t="inlineStr">
        <is>
          <t>Buzdolabı üçüncü katta kaldı. Üçüncü kattaki komşuyla artık tanışıyorsun.</t>
        </is>
      </c>
      <c r="K493" s="6" t="inlineStr">
        <is>
          <t>Buzdolabı geri kaydı, duvarda bir çizik bıraktı. Depozito da o çizikten içeri kaçtı.</t>
        </is>
      </c>
      <c r="L493" s="6" t="inlineStr">
        <is>
          <t>Buzdolabı yukarıda ama kapısı ters takılı. Artık duvara doğru açılıyor.</t>
        </is>
      </c>
      <c r="M493" s="5" t="inlineStr">
        <is>
          <t>balance</t>
        </is>
      </c>
      <c r="N493" s="5" t="inlineStr">
        <is>
          <t>Dördüncü Kat</t>
        </is>
      </c>
      <c r="O493" s="6" t="inlineStr">
        <is>
          <t>Buzdolabını merdivende sağa sola devirmeden dengede tut.</t>
        </is>
      </c>
      <c r="P493" s="6" t="inlineStr">
        <is>
          <t>{"item": "🧊"}</t>
        </is>
      </c>
      <c r="Q493" s="5" t="inlineStr"/>
      <c r="R493" s="5" t="inlineStr"/>
      <c r="S493" s="5" t="inlineStr"/>
      <c r="T493" s="5" t="inlineStr"/>
      <c r="U493" s="5" t="inlineStr"/>
      <c r="V493" s="5" t="inlineStr"/>
      <c r="W493" s="5" t="inlineStr">
        <is>
          <t>depozito-yandi</t>
        </is>
      </c>
      <c r="X493" s="5" t="inlineStr"/>
      <c r="Y493" s="5" t="inlineStr"/>
      <c r="Z493" s="6" t="inlineStr"/>
      <c r="AA493" s="5" t="inlineStr"/>
      <c r="AB493" s="5" t="inlineStr"/>
      <c r="AC493" s="5" t="inlineStr"/>
      <c r="AD493" s="5" t="inlineStr"/>
      <c r="AE493" s="5" t="inlineStr"/>
      <c r="AF493" s="5" t="inlineStr"/>
      <c r="AG493" s="5" t="inlineStr"/>
      <c r="AH493" s="5" t="inlineStr"/>
    </row>
    <row r="494">
      <c r="A494" s="5" t="inlineStr">
        <is>
          <t>b6-tasinma</t>
        </is>
      </c>
      <c r="B494" s="5" t="n">
        <v>3</v>
      </c>
      <c r="C494" s="6" t="inlineStr">
        <is>
          <t>Arkadaşları pizza sözüyle topla</t>
        </is>
      </c>
      <c r="D494" s="5" t="inlineStr">
        <is>
          <t>Çene</t>
        </is>
      </c>
      <c r="E494" s="5" t="inlineStr">
        <is>
          <t>Kolay</t>
        </is>
      </c>
      <c r="F494" s="5" t="inlineStr"/>
      <c r="G494" s="6" t="inlineStr"/>
      <c r="H494" s="6" t="inlineStr">
        <is>
          <t>Beş kişi geldi. Taşınma üç saat, pizza beş dakika sürdü.</t>
        </is>
      </c>
      <c r="I494" s="6" t="inlineStr">
        <is>
          <t>Arkadaşlar kolileri taşıdı, açtı, perdeleri taktı. Pizzayı da onlar ısmarladı.</t>
        </is>
      </c>
      <c r="J494" s="6" t="inlineStr">
        <is>
          <t>Pizza bitince gittiler. Kanepe merdivende kaldı.</t>
        </is>
      </c>
      <c r="K494" s="6" t="inlineStr">
        <is>
          <t>Kanepe kapıdan girmedi. Hâlâ sahanlıkta, apartmanın ortak alanı ilan edildi.</t>
        </is>
      </c>
      <c r="L494" s="6" t="inlineStr"/>
      <c r="M494" s="5" t="inlineStr"/>
      <c r="N494" s="5" t="inlineStr"/>
      <c r="O494" s="6" t="inlineStr"/>
      <c r="P494" s="6" t="inlineStr"/>
      <c r="Q494" s="5" t="inlineStr"/>
      <c r="R494" s="5" t="inlineStr"/>
      <c r="S494" s="5" t="inlineStr"/>
      <c r="T494" s="5" t="inlineStr"/>
      <c r="U494" s="5" t="inlineStr"/>
      <c r="V494" s="5" t="inlineStr"/>
      <c r="W494" s="5" t="inlineStr"/>
      <c r="X494" s="5" t="inlineStr"/>
      <c r="Y494" s="5" t="inlineStr"/>
      <c r="Z494" s="6" t="inlineStr"/>
      <c r="AA494" s="5" t="inlineStr"/>
      <c r="AB494" s="5" t="inlineStr"/>
      <c r="AC494" s="5" t="inlineStr"/>
      <c r="AD494" s="5" t="inlineStr"/>
      <c r="AE494" s="5" t="inlineStr"/>
      <c r="AF494" s="5" t="inlineStr"/>
      <c r="AG494" s="5" t="inlineStr"/>
      <c r="AH494" s="5" t="inlineStr"/>
    </row>
    <row r="495">
      <c r="A495" s="5" t="inlineStr">
        <is>
          <t>b6-ev-arkadasi</t>
        </is>
      </c>
      <c r="B495" s="5" t="n">
        <v>1</v>
      </c>
      <c r="C495" s="6" t="inlineStr">
        <is>
          <t>Bulaşığı sen yap</t>
        </is>
      </c>
      <c r="D495" s="5" t="inlineStr"/>
      <c r="E495" s="5" t="inlineStr"/>
      <c r="F495" s="5" t="inlineStr">
        <is>
          <t>İtibar +2</t>
        </is>
      </c>
      <c r="G495" s="6" t="inlineStr">
        <is>
          <t>Bulaşığı yine sen yıkadın. Ev arkadaşın 'Bulaşık kendiliğinden yıkanıyor' teorisini doğruladı.</t>
        </is>
      </c>
      <c r="H495" s="6" t="inlineStr"/>
      <c r="I495" s="6" t="inlineStr"/>
      <c r="J495" s="6" t="inlineStr"/>
      <c r="K495" s="6" t="inlineStr"/>
      <c r="L495" s="6" t="inlineStr"/>
      <c r="M495" s="5" t="inlineStr"/>
      <c r="N495" s="5" t="inlineStr"/>
      <c r="O495" s="6" t="inlineStr"/>
      <c r="P495" s="6" t="inlineStr"/>
      <c r="Q495" s="5" t="inlineStr"/>
      <c r="R495" s="5" t="inlineStr"/>
      <c r="S495" s="5" t="inlineStr"/>
      <c r="T495" s="5" t="inlineStr"/>
      <c r="U495" s="5" t="inlineStr"/>
      <c r="V495" s="5" t="inlineStr"/>
      <c r="W495" s="5" t="inlineStr"/>
      <c r="X495" s="5" t="inlineStr"/>
      <c r="Y495" s="5" t="inlineStr"/>
      <c r="Z495" s="6" t="inlineStr"/>
      <c r="AA495" s="5" t="inlineStr"/>
      <c r="AB495" s="5" t="inlineStr"/>
      <c r="AC495" s="5" t="inlineStr"/>
      <c r="AD495" s="5" t="inlineStr"/>
      <c r="AE495" s="5" t="inlineStr"/>
      <c r="AF495" s="5" t="inlineStr"/>
      <c r="AG495" s="5" t="inlineStr"/>
      <c r="AH495" s="5" t="inlineStr"/>
    </row>
    <row r="496">
      <c r="A496" s="5" t="inlineStr">
        <is>
          <t>b6-ev-arkadasi</t>
        </is>
      </c>
      <c r="B496" s="5" t="n">
        <v>2</v>
      </c>
      <c r="C496" s="6" t="inlineStr">
        <is>
          <t>Görev çizelgesi as</t>
        </is>
      </c>
      <c r="D496" s="5" t="inlineStr">
        <is>
          <t>Akıl</t>
        </is>
      </c>
      <c r="E496" s="5" t="inlineStr">
        <is>
          <t>Orta</t>
        </is>
      </c>
      <c r="F496" s="5" t="inlineStr"/>
      <c r="G496" s="6" t="inlineStr"/>
      <c r="H496" s="6" t="inlineStr">
        <is>
          <t>Çizelge ilk hafta işledi. İkinci hafta o da bulaşığın altında kaldı.</t>
        </is>
      </c>
      <c r="I496" s="6" t="inlineStr">
        <is>
          <t>Ev arkadaşın her pazar bulaşık yıkıyor ve bunu bir aile geleneği sanıyor.</t>
        </is>
      </c>
      <c r="J496" s="6" t="inlineStr">
        <is>
          <t>Ev arkadaşın çizelgenin altına gülen bir surat çizdi. Bulaşık aynı yerde.</t>
        </is>
      </c>
      <c r="K496" s="6" t="inlineStr">
        <is>
          <t>Ev arkadaşın seninle konuşmayı bıraktı. Bulaşık yıkamayı zaten bırakmıştı.</t>
        </is>
      </c>
      <c r="L496" s="6" t="inlineStr"/>
      <c r="M496" s="5" t="inlineStr"/>
      <c r="N496" s="5" t="inlineStr"/>
      <c r="O496" s="6" t="inlineStr"/>
      <c r="P496" s="6" t="inlineStr"/>
      <c r="Q496" s="5" t="inlineStr"/>
      <c r="R496" s="5" t="inlineStr"/>
      <c r="S496" s="5" t="inlineStr"/>
      <c r="T496" s="5" t="inlineStr"/>
      <c r="U496" s="5" t="inlineStr"/>
      <c r="V496" s="5" t="inlineStr"/>
      <c r="W496" s="5" t="inlineStr"/>
      <c r="X496" s="5" t="inlineStr"/>
      <c r="Y496" s="5" t="inlineStr"/>
      <c r="Z496" s="6" t="inlineStr"/>
      <c r="AA496" s="5" t="inlineStr"/>
      <c r="AB496" s="5" t="inlineStr"/>
      <c r="AC496" s="5" t="inlineStr"/>
      <c r="AD496" s="5" t="inlineStr"/>
      <c r="AE496" s="5" t="inlineStr"/>
      <c r="AF496" s="5" t="inlineStr"/>
      <c r="AG496" s="5" t="inlineStr"/>
      <c r="AH496" s="5" t="inlineStr"/>
    </row>
    <row r="497">
      <c r="A497" s="5" t="inlineStr">
        <is>
          <t>b6-ev-arkadasi</t>
        </is>
      </c>
      <c r="B497" s="5" t="n">
        <v>3</v>
      </c>
      <c r="C497" s="6" t="inlineStr">
        <is>
          <t>Bütün tabakları sakla</t>
        </is>
      </c>
      <c r="D497" s="5" t="inlineStr">
        <is>
          <t>Kurnazlık</t>
        </is>
      </c>
      <c r="E497" s="5" t="inlineStr">
        <is>
          <t>Kolay</t>
        </is>
      </c>
      <c r="F497" s="5" t="inlineStr"/>
      <c r="G497" s="6" t="inlineStr"/>
      <c r="H497" s="6" t="inlineStr">
        <is>
          <t>İki gün sonra bulaşık yıkandı, çünkü evde tek tabak kalmıştı.</t>
        </is>
      </c>
      <c r="I497" s="6" t="inlineStr">
        <is>
          <t>Ev arkadaşın ilk kez lavabonun dibini gördü: 'Ne güzel lavaboymuş.' Reform başladı.</t>
        </is>
      </c>
      <c r="J497" s="6" t="inlineStr">
        <is>
          <t>Ev arkadaşın tencereden yemeye başladı.</t>
        </is>
      </c>
      <c r="K497" s="6" t="inlineStr">
        <is>
          <t>Ev arkadaşın taşındığını sandı. Odanı kiraya vermek için ilan açtı.</t>
        </is>
      </c>
      <c r="L497" s="6" t="inlineStr"/>
      <c r="M497" s="5" t="inlineStr"/>
      <c r="N497" s="5" t="inlineStr"/>
      <c r="O497" s="6" t="inlineStr"/>
      <c r="P497" s="6" t="inlineStr"/>
      <c r="Q497" s="5" t="inlineStr"/>
      <c r="R497" s="5" t="inlineStr"/>
      <c r="S497" s="5" t="inlineStr">
        <is>
          <t>Sosyal Radar</t>
        </is>
      </c>
      <c r="T497" s="5" t="inlineStr"/>
      <c r="U497" s="5" t="inlineStr"/>
      <c r="V497" s="5" t="inlineStr"/>
      <c r="W497" s="5" t="inlineStr"/>
      <c r="X497" s="5" t="inlineStr"/>
      <c r="Y497" s="5" t="inlineStr"/>
      <c r="Z497" s="6" t="inlineStr"/>
      <c r="AA497" s="5" t="inlineStr"/>
      <c r="AB497" s="5" t="inlineStr"/>
      <c r="AC497" s="5" t="inlineStr"/>
      <c r="AD497" s="5" t="inlineStr"/>
      <c r="AE497" s="5" t="inlineStr"/>
      <c r="AF497" s="5" t="inlineStr"/>
      <c r="AG497" s="5" t="inlineStr"/>
      <c r="AH497" s="5" t="inlineStr"/>
    </row>
    <row r="498">
      <c r="A498" s="5" t="inlineStr">
        <is>
          <t>b6-ev-arkadasi</t>
        </is>
      </c>
      <c r="B498" s="5" t="n">
        <v>4</v>
      </c>
      <c r="C498" s="6" t="inlineStr">
        <is>
          <t>Açık konuş</t>
        </is>
      </c>
      <c r="D498" s="5" t="inlineStr">
        <is>
          <t>Çene</t>
        </is>
      </c>
      <c r="E498" s="5" t="inlineStr">
        <is>
          <t>Orta</t>
        </is>
      </c>
      <c r="F498" s="5" t="inlineStr"/>
      <c r="G498" s="6" t="inlineStr"/>
      <c r="H498" s="6" t="inlineStr">
        <is>
          <t>Özür diledi ve üç hafta boyunca yıkadı. Sonra mevsim değişti.</t>
        </is>
      </c>
      <c r="I498" s="6" t="inlineStr">
        <is>
          <t>Ev arkadaşın bulaşık makinesi aldı. Sorun kalıcı olarak teknolojiye devredildi.</t>
        </is>
      </c>
      <c r="J498" s="6" t="inlineStr">
        <is>
          <t>'Haklısın' dedi. Haklılık bulaşık yıkamıyor.</t>
        </is>
      </c>
      <c r="K498" s="6" t="inlineStr">
        <is>
          <t>Konuştun. O da gece üçte çalıştırdığın mikseri anlattı. Saat on bire kadar sürdü.</t>
        </is>
      </c>
      <c r="L498" s="6" t="inlineStr"/>
      <c r="M498" s="5" t="inlineStr"/>
      <c r="N498" s="5" t="inlineStr"/>
      <c r="O498" s="6" t="inlineStr"/>
      <c r="P498" s="6" t="inlineStr"/>
      <c r="Q498" s="5" t="inlineStr"/>
      <c r="R498" s="5" t="inlineStr"/>
      <c r="S498" s="5" t="inlineStr"/>
      <c r="T498" s="5" t="inlineStr"/>
      <c r="U498" s="5" t="inlineStr"/>
      <c r="V498" s="5" t="inlineStr"/>
      <c r="W498" s="5" t="inlineStr"/>
      <c r="X498" s="5" t="inlineStr"/>
      <c r="Y498" s="5" t="inlineStr"/>
      <c r="Z498" s="6" t="inlineStr"/>
      <c r="AA498" s="5" t="inlineStr"/>
      <c r="AB498" s="5" t="inlineStr"/>
      <c r="AC498" s="5" t="inlineStr"/>
      <c r="AD498" s="5" t="inlineStr"/>
      <c r="AE498" s="5" t="inlineStr"/>
      <c r="AF498" s="5" t="inlineStr"/>
      <c r="AG498" s="5" t="inlineStr"/>
      <c r="AH498" s="5" t="inlineStr"/>
    </row>
    <row r="499">
      <c r="A499" s="5" t="inlineStr">
        <is>
          <t>b6-staj</t>
        </is>
      </c>
      <c r="B499" s="5" t="n">
        <v>1</v>
      </c>
      <c r="C499" s="6" t="inlineStr">
        <is>
          <t>Fotokopi makinesini çöz</t>
        </is>
      </c>
      <c r="D499" s="5" t="inlineStr"/>
      <c r="E499" s="5" t="inlineStr"/>
      <c r="F499" s="5" t="inlineStr">
        <is>
          <t>Dayanıklılık +1, Akıl +1</t>
        </is>
      </c>
      <c r="G499" s="6" t="inlineStr">
        <is>
          <t>Sıkışan kâğıdı sadece sen çıkarabiliyorsun. Kariyerinin ilk uzmanlığı tescillendi.</t>
        </is>
      </c>
      <c r="H499" s="6" t="inlineStr"/>
      <c r="I499" s="6" t="inlineStr"/>
      <c r="J499" s="6" t="inlineStr"/>
      <c r="K499" s="6" t="inlineStr"/>
      <c r="L499" s="6" t="inlineStr"/>
      <c r="M499" s="5" t="inlineStr"/>
      <c r="N499" s="5" t="inlineStr"/>
      <c r="O499" s="6" t="inlineStr"/>
      <c r="P499" s="6" t="inlineStr"/>
      <c r="Q499" s="5" t="inlineStr"/>
      <c r="R499" s="5" t="inlineStr"/>
      <c r="S499" s="5" t="inlineStr"/>
      <c r="T499" s="5" t="inlineStr"/>
      <c r="U499" s="5" t="inlineStr"/>
      <c r="V499" s="5" t="inlineStr"/>
      <c r="W499" s="5" t="inlineStr"/>
      <c r="X499" s="5" t="inlineStr"/>
      <c r="Y499" s="5" t="inlineStr"/>
      <c r="Z499" s="6" t="inlineStr"/>
      <c r="AA499" s="5" t="inlineStr"/>
      <c r="AB499" s="5" t="inlineStr"/>
      <c r="AC499" s="5" t="inlineStr"/>
      <c r="AD499" s="5" t="inlineStr"/>
      <c r="AE499" s="5" t="inlineStr"/>
      <c r="AF499" s="5" t="inlineStr"/>
      <c r="AG499" s="5" t="inlineStr"/>
      <c r="AH499" s="5" t="inlineStr"/>
    </row>
    <row r="500">
      <c r="A500" s="5" t="inlineStr">
        <is>
          <t>b6-staj</t>
        </is>
      </c>
      <c r="B500" s="5" t="n">
        <v>2</v>
      </c>
      <c r="C500" s="6" t="inlineStr">
        <is>
          <t>Kahve makinesindeki adamla sohbet et</t>
        </is>
      </c>
      <c r="D500" s="5" t="inlineStr">
        <is>
          <t>Sosyal Radar</t>
        </is>
      </c>
      <c r="E500" s="5" t="inlineStr">
        <is>
          <t>Zor</t>
        </is>
      </c>
      <c r="F500" s="5" t="inlineStr"/>
      <c r="G500" s="6" t="inlineStr"/>
      <c r="H500" s="6" t="inlineStr">
        <is>
          <t>Sohbetin sonunda seni bir toplantıya çağırdı. Not tutacaksın ama odadasın.</t>
        </is>
      </c>
      <c r="I500" s="6" t="inlineStr">
        <is>
          <t>Staj bitiminde imzalı bir referans mektubu aldın. Adını da doğru yazmışlar.</t>
        </is>
      </c>
      <c r="J500" s="6" t="inlineStr">
        <is>
          <t>Adam emekliliğine dört ay kaldığını anlattı. Dört ay boyunca.</t>
        </is>
      </c>
      <c r="K500" s="6" t="inlineStr">
        <is>
          <t>Adam muhasebeden değil, kargo firmasındanmış. Senin paketini soruyordu.</t>
        </is>
      </c>
      <c r="L500" s="6" t="inlineStr"/>
      <c r="M500" s="5" t="inlineStr"/>
      <c r="N500" s="5" t="inlineStr"/>
      <c r="O500" s="6" t="inlineStr"/>
      <c r="P500" s="6" t="inlineStr"/>
      <c r="Q500" s="5" t="inlineStr"/>
      <c r="R500" s="5" t="inlineStr"/>
      <c r="S500" s="5" t="inlineStr">
        <is>
          <t>Sosyal Radar</t>
        </is>
      </c>
      <c r="T500" s="5" t="inlineStr">
        <is>
          <t>Referans Mektubu</t>
        </is>
      </c>
      <c r="U500" s="5" t="inlineStr"/>
      <c r="V500" s="5" t="inlineStr"/>
      <c r="W500" s="5" t="inlineStr"/>
      <c r="X500" s="5" t="inlineStr"/>
      <c r="Y500" s="5" t="inlineStr"/>
      <c r="Z500" s="6" t="inlineStr"/>
      <c r="AA500" s="5" t="inlineStr"/>
      <c r="AB500" s="5" t="inlineStr"/>
      <c r="AC500" s="5" t="inlineStr"/>
      <c r="AD500" s="5" t="inlineStr"/>
      <c r="AE500" s="5" t="inlineStr"/>
      <c r="AF500" s="5" t="inlineStr"/>
      <c r="AG500" s="5" t="inlineStr"/>
      <c r="AH500" s="5" t="inlineStr"/>
    </row>
    <row r="501">
      <c r="A501" s="5" t="inlineStr">
        <is>
          <t>b6-staj</t>
        </is>
      </c>
      <c r="B501" s="5" t="n">
        <v>3</v>
      </c>
      <c r="C501" s="6" t="inlineStr">
        <is>
          <t>Şirketin dev tablosunu düzelt</t>
        </is>
      </c>
      <c r="D501" s="5" t="inlineStr">
        <is>
          <t>Akıl</t>
        </is>
      </c>
      <c r="E501" s="5" t="inlineStr">
        <is>
          <t>Orta</t>
        </is>
      </c>
      <c r="F501" s="5" t="inlineStr"/>
      <c r="G501" s="6" t="inlineStr"/>
      <c r="H501" s="6" t="inlineStr">
        <is>
          <t>Formül hatasını buldun. Şirket geçen yılı zararla kapatmamış.</t>
        </is>
      </c>
      <c r="I501" s="6" t="inlineStr">
        <is>
          <t>Tabloyu otomatikleştirdin. Bir çalışanın haftalık işi üç dakikaya indi. O çalışan seni hiç affetmedi.</t>
        </is>
      </c>
      <c r="J501" s="6" t="inlineStr">
        <is>
          <t>Düzelttin. Kimse fark etmedi, çünkü kimse açmıyormuş.</t>
        </is>
      </c>
      <c r="K501" s="6" t="inlineStr">
        <is>
          <t>Düzeltirken sildin. Yedek yokmuş. Stajın şirket arşivine 'olay' olarak geçti.</t>
        </is>
      </c>
      <c r="L501" s="6" t="inlineStr"/>
      <c r="M501" s="5" t="inlineStr"/>
      <c r="N501" s="5" t="inlineStr"/>
      <c r="O501" s="6" t="inlineStr"/>
      <c r="P501" s="6" t="inlineStr"/>
      <c r="Q501" s="5" t="inlineStr"/>
      <c r="R501" s="5" t="inlineStr"/>
      <c r="S501" s="5" t="inlineStr"/>
      <c r="T501" s="5" t="inlineStr"/>
      <c r="U501" s="5" t="inlineStr"/>
      <c r="V501" s="5" t="inlineStr"/>
      <c r="W501" s="5" t="inlineStr"/>
      <c r="X501" s="5" t="inlineStr"/>
      <c r="Y501" s="5" t="inlineStr"/>
      <c r="Z501" s="6" t="inlineStr"/>
      <c r="AA501" s="5" t="inlineStr"/>
      <c r="AB501" s="5" t="inlineStr"/>
      <c r="AC501" s="5" t="inlineStr"/>
      <c r="AD501" s="5" t="inlineStr"/>
      <c r="AE501" s="5" t="inlineStr"/>
      <c r="AF501" s="5" t="inlineStr"/>
      <c r="AG501" s="5" t="inlineStr"/>
      <c r="AH501" s="5" t="inlineStr"/>
    </row>
    <row r="502">
      <c r="A502" s="5" t="inlineStr">
        <is>
          <t>b6-staj</t>
        </is>
      </c>
      <c r="B502" s="5" t="n">
        <v>4</v>
      </c>
      <c r="C502" s="6" t="inlineStr">
        <is>
          <t>Toplantıda söz iste</t>
        </is>
      </c>
      <c r="D502" s="5" t="inlineStr">
        <is>
          <t>Pişkinlik</t>
        </is>
      </c>
      <c r="E502" s="5" t="inlineStr">
        <is>
          <t>Zor</t>
        </is>
      </c>
      <c r="F502" s="5" t="inlineStr"/>
      <c r="G502" s="6" t="inlineStr"/>
      <c r="H502" s="6" t="inlineStr">
        <is>
          <t>Bir fikir söyledin. Müdür 'Güzel, not alalım' dedi. Not alan sen oldun.</t>
        </is>
      </c>
      <c r="I502" s="6" t="inlineStr">
        <is>
          <t>Fikrin uygulandı. Sunumda başka birinin adıyla, ama uygulandı.</t>
        </is>
      </c>
      <c r="J502" s="6" t="inlineStr">
        <is>
          <t>Söz istedin, toplantı bitti. Elin havada kaldı.</t>
        </is>
      </c>
      <c r="K502" s="6" t="inlineStr">
        <is>
          <t>Mikrofonun açık kaldı. Sonraki yarım saatlik iç sesin de tutanağa geçti.</t>
        </is>
      </c>
      <c r="L502" s="6" t="inlineStr"/>
      <c r="M502" s="5" t="inlineStr"/>
      <c r="N502" s="5" t="inlineStr"/>
      <c r="O502" s="6" t="inlineStr"/>
      <c r="P502" s="6" t="inlineStr"/>
      <c r="Q502" s="5" t="inlineStr"/>
      <c r="R502" s="5" t="inlineStr"/>
      <c r="S502" s="5" t="inlineStr"/>
      <c r="T502" s="5" t="inlineStr"/>
      <c r="U502" s="5" t="inlineStr"/>
      <c r="V502" s="5" t="inlineStr"/>
      <c r="W502" s="5" t="inlineStr"/>
      <c r="X502" s="5" t="inlineStr"/>
      <c r="Y502" s="5" t="inlineStr"/>
      <c r="Z502" s="6" t="inlineStr"/>
      <c r="AA502" s="5" t="inlineStr"/>
      <c r="AB502" s="5" t="inlineStr"/>
      <c r="AC502" s="5" t="inlineStr"/>
      <c r="AD502" s="5" t="inlineStr"/>
      <c r="AE502" s="5" t="inlineStr"/>
      <c r="AF502" s="5" t="inlineStr"/>
      <c r="AG502" s="5" t="inlineStr"/>
      <c r="AH502" s="5" t="inlineStr"/>
    </row>
    <row r="503">
      <c r="A503" s="5" t="inlineStr">
        <is>
          <t>b6-spor-salonu</t>
        </is>
      </c>
      <c r="B503" s="5" t="n">
        <v>1</v>
      </c>
      <c r="C503" s="6" t="inlineStr">
        <is>
          <t>Yıllık al, ayda bir git</t>
        </is>
      </c>
      <c r="D503" s="5" t="inlineStr"/>
      <c r="E503" s="5" t="inlineStr"/>
      <c r="F503" s="5" t="inlineStr">
        <is>
          <t>Pişkinlik +1</t>
        </is>
      </c>
      <c r="G503" s="6" t="inlineStr">
        <is>
          <t>Salon her ay 'Seni özledik' mesajı atıyor. İlişki mesajlaşma üzerinden yürüyor.</t>
        </is>
      </c>
      <c r="H503" s="6" t="inlineStr"/>
      <c r="I503" s="6" t="inlineStr"/>
      <c r="J503" s="6" t="inlineStr"/>
      <c r="K503" s="6" t="inlineStr"/>
      <c r="L503" s="6" t="inlineStr"/>
      <c r="M503" s="5" t="inlineStr"/>
      <c r="N503" s="5" t="inlineStr"/>
      <c r="O503" s="6" t="inlineStr"/>
      <c r="P503" s="6" t="inlineStr"/>
      <c r="Q503" s="5" t="inlineStr"/>
      <c r="R503" s="5" t="inlineStr"/>
      <c r="S503" s="5" t="inlineStr"/>
      <c r="T503" s="5" t="inlineStr"/>
      <c r="U503" s="5" t="inlineStr"/>
      <c r="V503" s="5" t="inlineStr"/>
      <c r="W503" s="5" t="inlineStr"/>
      <c r="X503" s="5" t="inlineStr"/>
      <c r="Y503" s="5" t="inlineStr"/>
      <c r="Z503" s="6" t="inlineStr"/>
      <c r="AA503" s="5" t="inlineStr"/>
      <c r="AB503" s="5" t="inlineStr"/>
      <c r="AC503" s="5" t="inlineStr"/>
      <c r="AD503" s="5" t="inlineStr"/>
      <c r="AE503" s="5" t="inlineStr"/>
      <c r="AF503" s="5" t="inlineStr"/>
      <c r="AG503" s="5" t="inlineStr"/>
      <c r="AH503" s="5" t="inlineStr"/>
    </row>
    <row r="504">
      <c r="A504" s="5" t="inlineStr">
        <is>
          <t>b6-spor-salonu</t>
        </is>
      </c>
      <c r="B504" s="5" t="n">
        <v>2</v>
      </c>
      <c r="C504" s="6" t="inlineStr">
        <is>
          <t>Düzenli git</t>
        </is>
      </c>
      <c r="D504" s="5" t="inlineStr">
        <is>
          <t>Dayanıklılık</t>
        </is>
      </c>
      <c r="E504" s="5" t="inlineStr">
        <is>
          <t>Zor</t>
        </is>
      </c>
      <c r="F504" s="5" t="inlineStr"/>
      <c r="G504" s="6" t="inlineStr"/>
      <c r="H504" s="6" t="inlineStr">
        <is>
          <t>Üç ay boyunca haftada üç gün gittin. Merdivenler artık seni değil, sen onları yoruyorsun.</t>
        </is>
      </c>
      <c r="I504" s="6" t="inlineStr">
        <is>
          <t>Bir yıl hiç aksatmadın. Görevli seni yeni üyelere örnek gösteriyor. Adını hâlâ bilmiyor.</t>
        </is>
      </c>
      <c r="J504" s="6" t="inlineStr">
        <is>
          <t>İlk hafta beş gün gittin. İkinci hafta kasların basın açıklaması yaptı. Ara verdin.</t>
        </is>
      </c>
      <c r="K504" s="6" t="inlineStr">
        <is>
          <t>İlk gün en ağır ağırlıkla başladın. Üç gün boyunca merdivenleri geri geri indin.</t>
        </is>
      </c>
      <c r="L504" s="6" t="inlineStr"/>
      <c r="M504" s="5" t="inlineStr"/>
      <c r="N504" s="5" t="inlineStr"/>
      <c r="O504" s="6" t="inlineStr"/>
      <c r="P504" s="6" t="inlineStr"/>
      <c r="Q504" s="5" t="inlineStr"/>
      <c r="R504" s="5" t="inlineStr"/>
      <c r="S504" s="5" t="inlineStr"/>
      <c r="T504" s="5" t="inlineStr"/>
      <c r="U504" s="5" t="inlineStr"/>
      <c r="V504" s="5" t="inlineStr">
        <is>
          <t>sporcu</t>
        </is>
      </c>
      <c r="W504" s="5" t="inlineStr"/>
      <c r="X504" s="5" t="inlineStr"/>
      <c r="Y504" s="5" t="inlineStr"/>
      <c r="Z504" s="6" t="inlineStr"/>
      <c r="AA504" s="5" t="inlineStr"/>
      <c r="AB504" s="5" t="inlineStr"/>
      <c r="AC504" s="5" t="inlineStr"/>
      <c r="AD504" s="5" t="inlineStr"/>
      <c r="AE504" s="5" t="inlineStr"/>
      <c r="AF504" s="5" t="inlineStr"/>
      <c r="AG504" s="5" t="inlineStr"/>
      <c r="AH504" s="5" t="inlineStr"/>
    </row>
    <row r="505">
      <c r="A505" s="5" t="inlineStr">
        <is>
          <t>b6-spor-salonu</t>
        </is>
      </c>
      <c r="B505" s="5" t="n">
        <v>3</v>
      </c>
      <c r="C505" s="6" t="inlineStr">
        <is>
          <t>Antrenörle pazarlık et</t>
        </is>
      </c>
      <c r="D505" s="5" t="inlineStr">
        <is>
          <t>Çene</t>
        </is>
      </c>
      <c r="E505" s="5" t="inlineStr">
        <is>
          <t>Orta</t>
        </is>
      </c>
      <c r="F505" s="5" t="inlineStr"/>
      <c r="G505" s="6" t="inlineStr"/>
      <c r="H505" s="6" t="inlineStr">
        <is>
          <t>Antrenör sana ücretsiz bir program yazdı. Üç kelime: 'Sadece gel, lütfen.'</t>
        </is>
      </c>
      <c r="I505" s="6" t="inlineStr">
        <is>
          <t>Ücretsiz özel ders aldın, sonra antrenör seni koşu grubuna kattı. Hafta sonları koşuyorsun.</t>
        </is>
      </c>
      <c r="J505" s="6" t="inlineStr">
        <is>
          <t>Antrenör paket satmaya çalıştı. Almadın. O da seni görmemeye başladı.</t>
        </is>
      </c>
      <c r="K505" s="6" t="inlineStr">
        <is>
          <t>Pazarlığın sonunda maaşının yarısına bir özel ders paketi aldın. Derslere de gitmedin.</t>
        </is>
      </c>
      <c r="L505" s="6" t="inlineStr"/>
      <c r="M505" s="5" t="inlineStr"/>
      <c r="N505" s="5" t="inlineStr"/>
      <c r="O505" s="6" t="inlineStr"/>
      <c r="P505" s="6" t="inlineStr"/>
      <c r="Q505" s="5" t="inlineStr"/>
      <c r="R505" s="5" t="inlineStr"/>
      <c r="S505" s="5" t="inlineStr"/>
      <c r="T505" s="5" t="inlineStr"/>
      <c r="U505" s="5" t="inlineStr"/>
      <c r="V505" s="5" t="inlineStr">
        <is>
          <t>sporcu</t>
        </is>
      </c>
      <c r="W505" s="5" t="inlineStr"/>
      <c r="X505" s="5" t="inlineStr"/>
      <c r="Y505" s="5" t="inlineStr"/>
      <c r="Z505" s="6" t="inlineStr"/>
      <c r="AA505" s="5" t="inlineStr"/>
      <c r="AB505" s="5" t="inlineStr"/>
      <c r="AC505" s="5" t="inlineStr"/>
      <c r="AD505" s="5" t="inlineStr"/>
      <c r="AE505" s="5" t="inlineStr"/>
      <c r="AF505" s="5" t="inlineStr"/>
      <c r="AG505" s="5" t="inlineStr"/>
      <c r="AH505" s="5" t="inlineStr"/>
    </row>
    <row r="506">
      <c r="A506" s="5" t="inlineStr">
        <is>
          <t>b6-spor-salonu</t>
        </is>
      </c>
      <c r="B506" s="5" t="n">
        <v>4</v>
      </c>
      <c r="C506" s="6" t="inlineStr">
        <is>
          <t>Parktaki aletlere geç</t>
        </is>
      </c>
      <c r="D506" s="5" t="inlineStr">
        <is>
          <t>Kurnazlık</t>
        </is>
      </c>
      <c r="E506" s="5" t="inlineStr">
        <is>
          <t>Kolay</t>
        </is>
      </c>
      <c r="F506" s="5" t="inlineStr"/>
      <c r="G506" s="6" t="inlineStr"/>
      <c r="H506" s="6" t="inlineStr">
        <is>
          <t>Ücretsiz, açık hava, rakipler emekli. Formdasın.</t>
        </is>
      </c>
      <c r="I506" s="6" t="inlineStr">
        <is>
          <t>Sabah koşan emekli grubuna katıldın. Senden hızlılar ama sen daha gençsin.</t>
        </is>
      </c>
      <c r="J506" s="6" t="inlineStr">
        <is>
          <t>Bir emekli, aleti yanlış kullandığını yirmi dakika anlattı.</t>
        </is>
      </c>
      <c r="K506" s="6" t="inlineStr">
        <is>
          <t>Dönen alet seni çevirdi ve çevirmeye devam etti. Emekliler indirdi.</t>
        </is>
      </c>
      <c r="L506" s="6" t="inlineStr"/>
      <c r="M506" s="5" t="inlineStr"/>
      <c r="N506" s="5" t="inlineStr"/>
      <c r="O506" s="6" t="inlineStr"/>
      <c r="P506" s="6" t="inlineStr"/>
      <c r="Q506" s="5" t="inlineStr"/>
      <c r="R506" s="5" t="inlineStr"/>
      <c r="S506" s="5" t="inlineStr"/>
      <c r="T506" s="5" t="inlineStr"/>
      <c r="U506" s="5" t="inlineStr"/>
      <c r="V506" s="5" t="inlineStr">
        <is>
          <t>sporcu</t>
        </is>
      </c>
      <c r="W506" s="5" t="inlineStr"/>
      <c r="X506" s="5" t="inlineStr"/>
      <c r="Y506" s="5" t="inlineStr"/>
      <c r="Z506" s="6" t="inlineStr"/>
      <c r="AA506" s="5" t="inlineStr"/>
      <c r="AB506" s="5" t="inlineStr"/>
      <c r="AC506" s="5" t="inlineStr"/>
      <c r="AD506" s="5" t="inlineStr"/>
      <c r="AE506" s="5" t="inlineStr"/>
      <c r="AF506" s="5" t="inlineStr"/>
      <c r="AG506" s="5" t="inlineStr"/>
      <c r="AH506" s="5" t="inlineStr"/>
    </row>
    <row r="507">
      <c r="A507" s="5" t="inlineStr">
        <is>
          <t>b6-degisim-programi</t>
        </is>
      </c>
      <c r="B507" s="5" t="n">
        <v>1</v>
      </c>
      <c r="C507" s="6" t="inlineStr">
        <is>
          <t>Başvurma, burada kal</t>
        </is>
      </c>
      <c r="D507" s="5" t="inlineStr"/>
      <c r="E507" s="5" t="inlineStr"/>
      <c r="F507" s="5" t="inlineStr">
        <is>
          <t>İtibar +1</t>
        </is>
      </c>
      <c r="G507" s="6" t="inlineStr">
        <is>
          <t>Kaldın. Gidenlerin hikâyelerini bir yıl dinledin. Hepsinin bir 'O akşam' hikâyesi vardı.</t>
        </is>
      </c>
      <c r="H507" s="6" t="inlineStr"/>
      <c r="I507" s="6" t="inlineStr"/>
      <c r="J507" s="6" t="inlineStr"/>
      <c r="K507" s="6" t="inlineStr"/>
      <c r="L507" s="6" t="inlineStr"/>
      <c r="M507" s="5" t="inlineStr"/>
      <c r="N507" s="5" t="inlineStr"/>
      <c r="O507" s="6" t="inlineStr"/>
      <c r="P507" s="6" t="inlineStr"/>
      <c r="Q507" s="5" t="inlineStr"/>
      <c r="R507" s="5" t="inlineStr"/>
      <c r="S507" s="5" t="inlineStr"/>
      <c r="T507" s="5" t="inlineStr"/>
      <c r="U507" s="5" t="inlineStr"/>
      <c r="V507" s="5" t="inlineStr"/>
      <c r="W507" s="5" t="inlineStr"/>
      <c r="X507" s="5" t="inlineStr"/>
      <c r="Y507" s="5" t="inlineStr"/>
      <c r="Z507" s="6" t="inlineStr"/>
      <c r="AA507" s="5" t="inlineStr"/>
      <c r="AB507" s="5" t="inlineStr"/>
      <c r="AC507" s="5" t="inlineStr"/>
      <c r="AD507" s="5" t="inlineStr"/>
      <c r="AE507" s="5" t="inlineStr"/>
      <c r="AF507" s="5" t="inlineStr"/>
      <c r="AG507" s="5" t="inlineStr"/>
      <c r="AH507" s="5" t="inlineStr"/>
    </row>
    <row r="508">
      <c r="A508" s="5" t="inlineStr">
        <is>
          <t>b6-degisim-programi</t>
        </is>
      </c>
      <c r="B508" s="5" t="n">
        <v>2</v>
      </c>
      <c r="C508" s="6" t="inlineStr">
        <is>
          <t>Başvur</t>
        </is>
      </c>
      <c r="D508" s="5" t="inlineStr">
        <is>
          <t>Akıl</t>
        </is>
      </c>
      <c r="E508" s="5" t="inlineStr">
        <is>
          <t>Orta</t>
        </is>
      </c>
      <c r="F508" s="5" t="inlineStr"/>
      <c r="G508" s="6" t="inlineStr"/>
      <c r="H508" s="6" t="inlineStr">
        <is>
          <t>Kabul edildin. Bir dönem boyunca kahvaltıda düzgün peynir aradın. Bulamadın.</t>
        </is>
      </c>
      <c r="I508" s="6" t="inlineStr">
        <is>
          <t>Kabul edildin, dili söktün. Döndüğünde cümlelerine yabancı kelime sıkıştırıyorsun. Aile şikâyetçi.</t>
        </is>
      </c>
      <c r="J508" s="6" t="inlineStr">
        <is>
          <t>Formun dördüncü sayfası eksikti. Dördüncü sayfanın var olduğunu kimse söylememişti.</t>
        </is>
      </c>
      <c r="K508" s="6" t="inlineStr">
        <is>
          <t>Kabul edildin, vize reddedildi. Dönemi arkadaşlarının görüntülü aramalarından izledin.</t>
        </is>
      </c>
      <c r="L508" s="6" t="inlineStr"/>
      <c r="M508" s="5" t="inlineStr"/>
      <c r="N508" s="5" t="inlineStr"/>
      <c r="O508" s="6" t="inlineStr"/>
      <c r="P508" s="6" t="inlineStr"/>
      <c r="Q508" s="5" t="inlineStr"/>
      <c r="R508" s="5" t="inlineStr"/>
      <c r="S508" s="5" t="inlineStr"/>
      <c r="T508" s="5" t="inlineStr"/>
      <c r="U508" s="5" t="inlineStr"/>
      <c r="V508" s="5" t="inlineStr">
        <is>
          <t>yurtdisi-gordu</t>
        </is>
      </c>
      <c r="W508" s="5" t="inlineStr"/>
      <c r="X508" s="5" t="inlineStr"/>
      <c r="Y508" s="5" t="inlineStr"/>
      <c r="Z508" s="6" t="inlineStr"/>
      <c r="AA508" s="5" t="inlineStr"/>
      <c r="AB508" s="5" t="inlineStr"/>
      <c r="AC508" s="5" t="inlineStr"/>
      <c r="AD508" s="5" t="inlineStr"/>
      <c r="AE508" s="5" t="inlineStr"/>
      <c r="AF508" s="5" t="inlineStr"/>
      <c r="AG508" s="5" t="inlineStr"/>
      <c r="AH508" s="5" t="inlineStr"/>
    </row>
    <row r="509">
      <c r="A509" s="5" t="inlineStr">
        <is>
          <t>b6-degisim-programi</t>
        </is>
      </c>
      <c r="B509" s="5" t="n">
        <v>3</v>
      </c>
      <c r="C509" s="6" t="inlineStr">
        <is>
          <t>Bursu beklemeden aileden destek iste</t>
        </is>
      </c>
      <c r="D509" s="5" t="inlineStr">
        <is>
          <t>Çene</t>
        </is>
      </c>
      <c r="E509" s="5" t="inlineStr">
        <is>
          <t>Zor</t>
        </is>
      </c>
      <c r="F509" s="5" t="inlineStr"/>
      <c r="G509" s="6" t="inlineStr"/>
      <c r="H509" s="6" t="inlineStr">
        <is>
          <t>Aile toplantısında sunum yaptın. Onay çıktı, şartı her akşam görüntülü arama.</t>
        </is>
      </c>
      <c r="I509" s="6" t="inlineStr">
        <is>
          <t>Onayla birlikte ek bütçe de açıldı. Ek bütçenin yarısı kuru gıda olarak bavula kondu.</t>
        </is>
      </c>
      <c r="J509" s="6" t="inlineStr">
        <is>
          <t>Karar: 'Bir dahaki sefere.' Bir dahaki sefer mezuniyetten sonraymış.</t>
        </is>
      </c>
      <c r="K509" s="6" t="inlineStr">
        <is>
          <t>Sunumda oradaki kira miktarını söyledin. Toplantı kısa sürdü.</t>
        </is>
      </c>
      <c r="L509" s="6" t="inlineStr"/>
      <c r="M509" s="5" t="inlineStr"/>
      <c r="N509" s="5" t="inlineStr"/>
      <c r="O509" s="6" t="inlineStr"/>
      <c r="P509" s="6" t="inlineStr"/>
      <c r="Q509" s="5" t="inlineStr"/>
      <c r="R509" s="5" t="inlineStr"/>
      <c r="S509" s="5" t="inlineStr"/>
      <c r="T509" s="5" t="inlineStr"/>
      <c r="U509" s="5" t="inlineStr"/>
      <c r="V509" s="5" t="inlineStr">
        <is>
          <t>yurtdisi-gordu</t>
        </is>
      </c>
      <c r="W509" s="5" t="inlineStr"/>
      <c r="X509" s="5" t="inlineStr"/>
      <c r="Y509" s="5" t="inlineStr"/>
      <c r="Z509" s="6" t="inlineStr"/>
      <c r="AA509" s="5" t="inlineStr"/>
      <c r="AB509" s="5" t="inlineStr"/>
      <c r="AC509" s="5" t="inlineStr"/>
      <c r="AD509" s="5" t="inlineStr"/>
      <c r="AE509" s="5" t="inlineStr"/>
      <c r="AF509" s="5" t="inlineStr"/>
      <c r="AG509" s="5" t="inlineStr"/>
      <c r="AH509" s="5" t="inlineStr"/>
    </row>
    <row r="510">
      <c r="A510" s="5" t="inlineStr">
        <is>
          <t>b6-askerlik</t>
        </is>
      </c>
      <c r="B510" s="5" t="n">
        <v>1</v>
      </c>
      <c r="C510" s="6" t="inlineStr">
        <is>
          <t>Celbe uy, git</t>
        </is>
      </c>
      <c r="D510" s="5" t="inlineStr"/>
      <c r="E510" s="5" t="inlineStr"/>
      <c r="F510" s="5" t="inlineStr">
        <is>
          <t>İtibar +1, Dayanıklılık +1</t>
        </is>
      </c>
      <c r="G510" s="6" t="inlineStr">
        <is>
          <t>Saçını annen kesti; biraz çarpık oldu, berber düzeltti, sonra kışla hepsini sıfırladı. Otobüse bindiğinde mahalle el salladı. Mahalle her gidene el sallar.</t>
        </is>
      </c>
      <c r="H510" s="6" t="inlineStr"/>
      <c r="I510" s="6" t="inlineStr"/>
      <c r="J510" s="6" t="inlineStr"/>
      <c r="K510" s="6" t="inlineStr"/>
      <c r="L510" s="6" t="inlineStr"/>
      <c r="M510" s="5" t="inlineStr"/>
      <c r="N510" s="5" t="inlineStr"/>
      <c r="O510" s="6" t="inlineStr"/>
      <c r="P510" s="6" t="inlineStr"/>
      <c r="Q510" s="5" t="inlineStr"/>
      <c r="R510" s="5" t="inlineStr"/>
      <c r="S510" s="5" t="inlineStr"/>
      <c r="T510" s="5" t="inlineStr"/>
      <c r="U510" s="5" t="inlineStr">
        <is>
          <t>askerlik-yapti</t>
        </is>
      </c>
      <c r="V510" s="5" t="inlineStr"/>
      <c r="W510" s="5" t="inlineStr"/>
      <c r="X510" s="5" t="inlineStr"/>
      <c r="Y510" s="5" t="inlineStr"/>
      <c r="Z510" s="6" t="inlineStr"/>
      <c r="AA510" s="5" t="inlineStr"/>
      <c r="AB510" s="5" t="inlineStr"/>
      <c r="AC510" s="5" t="inlineStr"/>
      <c r="AD510" s="5" t="inlineStr"/>
      <c r="AE510" s="5" t="inlineStr"/>
      <c r="AF510" s="5" t="inlineStr"/>
      <c r="AG510" s="5" t="inlineStr"/>
      <c r="AH510" s="5" t="inlineStr"/>
    </row>
    <row r="511">
      <c r="A511" s="5" t="inlineStr">
        <is>
          <t>b6-askerlik</t>
        </is>
      </c>
      <c r="B511" s="5" t="n">
        <v>2</v>
      </c>
      <c r="C511" s="6" t="inlineStr">
        <is>
          <t>Bedelli öde</t>
        </is>
      </c>
      <c r="D511" s="5" t="inlineStr"/>
      <c r="E511" s="5" t="inlineStr"/>
      <c r="F511" s="5" t="inlineStr">
        <is>
          <t>Pişkinlik +1</t>
        </is>
      </c>
      <c r="G511" s="6" t="inlineStr">
        <is>
          <t>Parayı bankaya yatırdın, dekontu çerçeveletmedin ama neredeyse. Tek nöbetin banka kuyruğundaydı; tuttun.</t>
        </is>
      </c>
      <c r="H511" s="6" t="inlineStr"/>
      <c r="I511" s="6" t="inlineStr"/>
      <c r="J511" s="6" t="inlineStr"/>
      <c r="K511" s="6" t="inlineStr"/>
      <c r="L511" s="6" t="inlineStr"/>
      <c r="M511" s="5" t="inlineStr"/>
      <c r="N511" s="5" t="inlineStr"/>
      <c r="O511" s="6" t="inlineStr"/>
      <c r="P511" s="6" t="inlineStr"/>
      <c r="Q511" s="5" t="inlineStr"/>
      <c r="R511" s="5" t="inlineStr"/>
      <c r="S511" s="5" t="inlineStr"/>
      <c r="T511" s="5" t="inlineStr"/>
      <c r="U511" s="5" t="inlineStr">
        <is>
          <t>bedelli</t>
        </is>
      </c>
      <c r="V511" s="5" t="inlineStr"/>
      <c r="W511" s="5" t="inlineStr"/>
      <c r="X511" s="5" t="inlineStr"/>
      <c r="Y511" s="5" t="inlineStr"/>
      <c r="Z511" s="6" t="inlineStr"/>
      <c r="AA511" s="5" t="inlineStr">
        <is>
          <t>Yalçın -1, Şen -1</t>
        </is>
      </c>
      <c r="AB511" s="5" t="inlineStr"/>
      <c r="AC511" s="5" t="inlineStr">
        <is>
          <t>Rahat</t>
        </is>
      </c>
      <c r="AD511" s="5" t="inlineStr"/>
      <c r="AE511" s="5" t="inlineStr"/>
      <c r="AF511" s="5" t="inlineStr"/>
      <c r="AG511" s="5" t="inlineStr"/>
      <c r="AH511" s="5" t="inlineStr"/>
    </row>
    <row r="512">
      <c r="A512" s="5" t="inlineStr">
        <is>
          <t>b6-askerlik</t>
        </is>
      </c>
      <c r="B512" s="5" t="n">
        <v>3</v>
      </c>
      <c r="C512" s="6" t="inlineStr">
        <is>
          <t>Heyette düztabanlığını anlat</t>
        </is>
      </c>
      <c r="D512" s="5" t="inlineStr">
        <is>
          <t>Kurnazlık</t>
        </is>
      </c>
      <c r="E512" s="5" t="inlineStr">
        <is>
          <t>Çok Zor</t>
        </is>
      </c>
      <c r="F512" s="5" t="inlineStr"/>
      <c r="G512" s="6" t="inlineStr"/>
      <c r="H512" s="6" t="inlineStr">
        <is>
          <t>Heyete öyle bir düztaban hikâyesi anlattın ki doktor kendi ayağına baktı. Rapor çıktı: “Elverişsiz.” Ayakların o günden beri sessiz.</t>
        </is>
      </c>
      <c r="I512" s="6" t="inlineStr">
        <is>
          <t>Hikâyen öyle etkiliydi ki heyetteki bir doktor sana ortopedik tabanlık önerdi, öbürü kartvizit verdi. Rapor elinde, yeni tanıdıkların cebinde.</t>
        </is>
      </c>
      <c r="J512" s="6" t="inlineStr">
        <is>
          <t>Heyet dinledi, not aldı, seni en uzak birliğe yazdı. Düztabanlık orada da konuşuldu; yürüyüşte.</t>
        </is>
      </c>
      <c r="K512" s="6" t="inlineStr">
        <is>
          <t>Anlatırken hangi ayağın düz olduğunu karıştırdın. Heyet gülmedi. Kâğıdına “Acil celp” yazıldı; bir de “gözetim” notu.</t>
        </is>
      </c>
      <c r="L512" s="6" t="inlineStr"/>
      <c r="M512" s="5" t="inlineStr"/>
      <c r="N512" s="5" t="inlineStr"/>
      <c r="O512" s="6" t="inlineStr"/>
      <c r="P512" s="6" t="inlineStr"/>
      <c r="Q512" s="5" t="inlineStr"/>
      <c r="R512" s="5" t="inlineStr">
        <is>
          <t>yalanci</t>
        </is>
      </c>
      <c r="S512" s="5" t="inlineStr"/>
      <c r="T512" s="5" t="inlineStr"/>
      <c r="U512" s="5" t="inlineStr"/>
      <c r="V512" s="5" t="inlineStr">
        <is>
          <t>curuk-rapor</t>
        </is>
      </c>
      <c r="W512" s="5" t="inlineStr"/>
      <c r="X512" s="5" t="inlineStr"/>
      <c r="Y512" s="5" t="inlineStr"/>
      <c r="Z512" s="6" t="inlineStr"/>
      <c r="AA512" s="5" t="inlineStr">
        <is>
          <t>hepsi -1</t>
        </is>
      </c>
      <c r="AB512" s="5" t="inlineStr">
        <is>
          <t>askerlik-yapti</t>
        </is>
      </c>
      <c r="AC512" s="5" t="inlineStr"/>
      <c r="AD512" s="5" t="inlineStr"/>
      <c r="AE512" s="5" t="inlineStr"/>
      <c r="AF512" s="5" t="inlineStr"/>
      <c r="AG512" s="5" t="inlineStr"/>
      <c r="AH512" s="5" t="inlineStr"/>
    </row>
    <row r="513">
      <c r="A513" s="5" t="inlineStr">
        <is>
          <t>b6-okusaydin</t>
        </is>
      </c>
      <c r="B513" s="5" t="n">
        <v>1</v>
      </c>
      <c r="C513" s="6" t="inlineStr">
        <is>
          <t>Gülümse ve tatlı ye</t>
        </is>
      </c>
      <c r="D513" s="5" t="inlineStr"/>
      <c r="E513" s="5" t="inlineStr"/>
      <c r="F513" s="5" t="inlineStr">
        <is>
          <t>Dayanıklılık +2</t>
        </is>
      </c>
      <c r="G513" s="6" t="inlineStr">
        <is>
          <t>Dördüne de gülümsedin. Dört dilim yedin. Bu masada kimse kazanamadı.</t>
        </is>
      </c>
      <c r="H513" s="6" t="inlineStr"/>
      <c r="I513" s="6" t="inlineStr"/>
      <c r="J513" s="6" t="inlineStr"/>
      <c r="K513" s="6" t="inlineStr"/>
      <c r="L513" s="6" t="inlineStr"/>
      <c r="M513" s="5" t="inlineStr"/>
      <c r="N513" s="5" t="inlineStr"/>
      <c r="O513" s="6" t="inlineStr"/>
      <c r="P513" s="6" t="inlineStr"/>
      <c r="Q513" s="5" t="inlineStr"/>
      <c r="R513" s="5" t="inlineStr"/>
      <c r="S513" s="5" t="inlineStr"/>
      <c r="T513" s="5" t="inlineStr"/>
      <c r="U513" s="5" t="inlineStr"/>
      <c r="V513" s="5" t="inlineStr"/>
      <c r="W513" s="5" t="inlineStr"/>
      <c r="X513" s="5" t="inlineStr"/>
      <c r="Y513" s="5" t="inlineStr"/>
      <c r="Z513" s="6" t="inlineStr"/>
      <c r="AA513" s="5" t="inlineStr"/>
      <c r="AB513" s="5" t="inlineStr"/>
      <c r="AC513" s="5" t="inlineStr"/>
      <c r="AD513" s="5" t="inlineStr"/>
      <c r="AE513" s="5" t="inlineStr"/>
      <c r="AF513" s="5" t="inlineStr"/>
      <c r="AG513" s="5" t="inlineStr"/>
      <c r="AH513" s="5" t="inlineStr"/>
    </row>
    <row r="514">
      <c r="A514" s="5" t="inlineStr">
        <is>
          <t>b6-okusaydin</t>
        </is>
      </c>
      <c r="B514" s="5" t="n">
        <v>2</v>
      </c>
      <c r="C514" s="6" t="inlineStr">
        <is>
          <t>Maaşını açıkla</t>
        </is>
      </c>
      <c r="D514" s="5" t="inlineStr">
        <is>
          <t>Pişkinlik</t>
        </is>
      </c>
      <c r="E514" s="5" t="inlineStr">
        <is>
          <t>Orta</t>
        </is>
      </c>
      <c r="F514" s="5" t="inlineStr"/>
      <c r="G514" s="6" t="inlineStr"/>
      <c r="H514" s="6" t="inlineStr">
        <is>
          <t>Kısa bir sessizlik oldu. Konu hava durumuna geçti.</t>
        </is>
      </c>
      <c r="I514" s="6" t="inlineStr">
        <is>
          <t>Teyze, üniversitedeki oğluna senin gibi çalışmasını önerdi. Oğlu duydu.</t>
        </is>
      </c>
      <c r="J514" s="6" t="inlineStr">
        <is>
          <t>'Olsun, okusaydın daha iyisi olurdu' dendi. Matematik kimseyi ikna etmedi.</t>
        </is>
      </c>
      <c r="K514" s="6" t="inlineStr">
        <is>
          <t>Maaşını söyledin. O gece iki akraba senden borç istedi.</t>
        </is>
      </c>
      <c r="L514" s="6" t="inlineStr"/>
      <c r="M514" s="5" t="inlineStr"/>
      <c r="N514" s="5" t="inlineStr"/>
      <c r="O514" s="6" t="inlineStr"/>
      <c r="P514" s="6" t="inlineStr"/>
      <c r="Q514" s="5" t="inlineStr"/>
      <c r="R514" s="5" t="inlineStr"/>
      <c r="S514" s="5" t="inlineStr"/>
      <c r="T514" s="5" t="inlineStr"/>
      <c r="U514" s="5" t="inlineStr"/>
      <c r="V514" s="5" t="inlineStr"/>
      <c r="W514" s="5" t="inlineStr"/>
      <c r="X514" s="5" t="inlineStr"/>
      <c r="Y514" s="5" t="inlineStr"/>
      <c r="Z514" s="6" t="inlineStr"/>
      <c r="AA514" s="5" t="inlineStr"/>
      <c r="AB514" s="5" t="inlineStr"/>
      <c r="AC514" s="5" t="inlineStr"/>
      <c r="AD514" s="5" t="inlineStr"/>
      <c r="AE514" s="5" t="inlineStr"/>
      <c r="AF514" s="5" t="inlineStr"/>
      <c r="AG514" s="5" t="inlineStr"/>
      <c r="AH514" s="5" t="inlineStr"/>
    </row>
    <row r="515">
      <c r="A515" s="5" t="inlineStr">
        <is>
          <t>b6-okusaydin</t>
        </is>
      </c>
      <c r="B515" s="5" t="n">
        <v>3</v>
      </c>
      <c r="C515" s="6" t="inlineStr">
        <is>
          <t>Teyzenin oğlunu sor</t>
        </is>
      </c>
      <c r="D515" s="5" t="inlineStr">
        <is>
          <t>Sosyal Radar</t>
        </is>
      </c>
      <c r="E515" s="5" t="inlineStr">
        <is>
          <t>Kolay</t>
        </is>
      </c>
      <c r="F515" s="5" t="inlineStr"/>
      <c r="G515" s="6" t="inlineStr"/>
      <c r="H515" s="6" t="inlineStr">
        <is>
          <t>'Oğlunuz ne durumda?' dedin. Teyze konuyu hemen gelinliğe çevirdi.</t>
        </is>
      </c>
      <c r="I515" s="6" t="inlineStr">
        <is>
          <t>Bütün masa teyzeye döndü. Sen sessizce ikinci tatlıyı aldın.</t>
        </is>
      </c>
      <c r="J515" s="6" t="inlineStr">
        <is>
          <t>Oğlu yüksek lisansa başlamış. Yenildin.</t>
        </is>
      </c>
      <c r="K515" s="6" t="inlineStr">
        <is>
          <t>Oğlu yan masadaymış. Duydu, geldi, kendi hikâyesini anlattı. Kırk dakika.</t>
        </is>
      </c>
      <c r="L515" s="6" t="inlineStr"/>
      <c r="M515" s="5" t="inlineStr"/>
      <c r="N515" s="5" t="inlineStr"/>
      <c r="O515" s="6" t="inlineStr"/>
      <c r="P515" s="6" t="inlineStr"/>
      <c r="Q515" s="5" t="inlineStr"/>
      <c r="R515" s="5" t="inlineStr"/>
      <c r="S515" s="5" t="inlineStr">
        <is>
          <t>Sosyal Radar</t>
        </is>
      </c>
      <c r="T515" s="5" t="inlineStr"/>
      <c r="U515" s="5" t="inlineStr"/>
      <c r="V515" s="5" t="inlineStr"/>
      <c r="W515" s="5" t="inlineStr"/>
      <c r="X515" s="5" t="inlineStr"/>
      <c r="Y515" s="5" t="inlineStr"/>
      <c r="Z515" s="6" t="inlineStr"/>
      <c r="AA515" s="5" t="inlineStr"/>
      <c r="AB515" s="5" t="inlineStr"/>
      <c r="AC515" s="5" t="inlineStr"/>
      <c r="AD515" s="5" t="inlineStr"/>
      <c r="AE515" s="5" t="inlineStr"/>
      <c r="AF515" s="5" t="inlineStr"/>
      <c r="AG515" s="5" t="inlineStr"/>
      <c r="AH515" s="5" t="inlineStr"/>
    </row>
    <row r="516">
      <c r="A516" s="5" t="inlineStr">
        <is>
          <t>b6-okusaydin</t>
        </is>
      </c>
      <c r="B516" s="5" t="n">
        <v>4</v>
      </c>
      <c r="C516" s="6" t="inlineStr">
        <is>
          <t>Kendinle dalga geç</t>
        </is>
      </c>
      <c r="D516" s="5" t="inlineStr">
        <is>
          <t>Pişkinlik</t>
        </is>
      </c>
      <c r="E516" s="5" t="inlineStr">
        <is>
          <t>Kolay</t>
        </is>
      </c>
      <c r="F516" s="5" t="inlineStr"/>
      <c r="G516" s="6" t="inlineStr"/>
      <c r="H516" s="6" t="inlineStr">
        <is>
          <t>'Ben okusaydım kim çalışacaktı?' dedin. Masa güldü, konu kapandı.</t>
        </is>
      </c>
      <c r="I516" s="6" t="inlineStr">
        <is>
          <t>Espri bütün düğün boyunca masadan masaya dolaştı. Gelin bile tekrarladı.</t>
        </is>
      </c>
      <c r="J516" s="6" t="inlineStr">
        <is>
          <t>Kimse gülmedi. Teyze başını salladı: 'Okusaydın espri de öğrenirdin.'</t>
        </is>
      </c>
      <c r="K516" s="6" t="inlineStr">
        <is>
          <t>Kendinle dalga geçtin. Akrabalar da katıldı. Hepsi katıldı.</t>
        </is>
      </c>
      <c r="L516" s="6" t="inlineStr"/>
      <c r="M516" s="5" t="inlineStr"/>
      <c r="N516" s="5" t="inlineStr"/>
      <c r="O516" s="6" t="inlineStr"/>
      <c r="P516" s="6" t="inlineStr"/>
      <c r="Q516" s="5" t="inlineStr">
        <is>
          <t>Kendine Gülebilir</t>
        </is>
      </c>
      <c r="R516" s="5" t="inlineStr"/>
      <c r="S516" s="5" t="inlineStr"/>
      <c r="T516" s="5" t="inlineStr"/>
      <c r="U516" s="5" t="inlineStr"/>
      <c r="V516" s="5" t="inlineStr"/>
      <c r="W516" s="5" t="inlineStr"/>
      <c r="X516" s="5" t="inlineStr"/>
      <c r="Y516" s="5" t="inlineStr"/>
      <c r="Z516" s="6" t="inlineStr"/>
      <c r="AA516" s="5" t="inlineStr"/>
      <c r="AB516" s="5" t="inlineStr"/>
      <c r="AC516" s="5" t="inlineStr"/>
      <c r="AD516" s="5" t="inlineStr"/>
      <c r="AE516" s="5" t="inlineStr"/>
      <c r="AF516" s="5" t="inlineStr"/>
      <c r="AG516" s="5" t="inlineStr"/>
      <c r="AH516" s="5" t="inlineStr"/>
    </row>
    <row r="517">
      <c r="A517" s="5" t="inlineStr">
        <is>
          <t>b6-mezuniyet</t>
        </is>
      </c>
      <c r="B517" s="5" t="n">
        <v>1</v>
      </c>
      <c r="C517" s="6" t="inlineStr">
        <is>
          <t>Kepi at, fotoğraf çek</t>
        </is>
      </c>
      <c r="D517" s="5" t="inlineStr"/>
      <c r="E517" s="5" t="inlineStr"/>
      <c r="F517" s="5" t="inlineStr">
        <is>
          <t>Sosyal Radar +1</t>
        </is>
      </c>
      <c r="G517" s="6" t="inlineStr">
        <is>
          <t>Kep havaya uçtu. Geri başkasının kepi geldi. Hayat da biraz buna benziyor.</t>
        </is>
      </c>
      <c r="H517" s="6" t="inlineStr"/>
      <c r="I517" s="6" t="inlineStr"/>
      <c r="J517" s="6" t="inlineStr"/>
      <c r="K517" s="6" t="inlineStr"/>
      <c r="L517" s="6" t="inlineStr"/>
      <c r="M517" s="5" t="inlineStr"/>
      <c r="N517" s="5" t="inlineStr"/>
      <c r="O517" s="6" t="inlineStr"/>
      <c r="P517" s="6" t="inlineStr"/>
      <c r="Q517" s="5" t="inlineStr"/>
      <c r="R517" s="5" t="inlineStr"/>
      <c r="S517" s="5" t="inlineStr"/>
      <c r="T517" s="5" t="inlineStr"/>
      <c r="U517" s="5" t="inlineStr"/>
      <c r="V517" s="5" t="inlineStr"/>
      <c r="W517" s="5" t="inlineStr"/>
      <c r="X517" s="5" t="inlineStr"/>
      <c r="Y517" s="5" t="inlineStr"/>
      <c r="Z517" s="6" t="inlineStr"/>
      <c r="AA517" s="5" t="inlineStr"/>
      <c r="AB517" s="5" t="inlineStr"/>
      <c r="AC517" s="5" t="inlineStr"/>
      <c r="AD517" s="5" t="inlineStr"/>
      <c r="AE517" s="5" t="inlineStr"/>
      <c r="AF517" s="5" t="inlineStr"/>
      <c r="AG517" s="5" t="inlineStr"/>
      <c r="AH517" s="5" t="inlineStr"/>
    </row>
    <row r="518">
      <c r="A518" s="5" t="inlineStr">
        <is>
          <t>b6-mezuniyet</t>
        </is>
      </c>
      <c r="B518" s="5" t="n">
        <v>2</v>
      </c>
      <c r="C518" s="6" t="inlineStr">
        <is>
          <t>Konuşmayı sen yap</t>
        </is>
      </c>
      <c r="D518" s="5" t="inlineStr">
        <is>
          <t>Çene</t>
        </is>
      </c>
      <c r="E518" s="5" t="inlineStr">
        <is>
          <t>Zor</t>
        </is>
      </c>
      <c r="F518" s="5" t="inlineStr"/>
      <c r="G518" s="6" t="inlineStr"/>
      <c r="H518" s="6" t="inlineStr">
        <is>
          <t>Hocalar gülümsedi, dekan saatine baktı. Başarılı sayılır.</t>
        </is>
      </c>
      <c r="I518" s="6" t="inlineStr">
        <is>
          <t>Kısa, esprili, samimi. Video aile grubunda yüz kez paylaşıldı.</t>
        </is>
      </c>
      <c r="J518" s="6" t="inlineStr">
        <is>
          <t>Mikrofon kapalıydı. Dudak okuyanlar beğendi.</t>
        </is>
      </c>
      <c r="K518" s="6" t="inlineStr">
        <is>
          <t>Teşekkür ettiğin hoca, seni üç kez bırakan hocaydı. Salon anladı.</t>
        </is>
      </c>
      <c r="L518" s="6" t="inlineStr"/>
      <c r="M518" s="5" t="inlineStr"/>
      <c r="N518" s="5" t="inlineStr"/>
      <c r="O518" s="6" t="inlineStr"/>
      <c r="P518" s="6" t="inlineStr"/>
      <c r="Q518" s="5" t="inlineStr"/>
      <c r="R518" s="5" t="inlineStr"/>
      <c r="S518" s="5" t="inlineStr"/>
      <c r="T518" s="5" t="inlineStr"/>
      <c r="U518" s="5" t="inlineStr"/>
      <c r="V518" s="5" t="inlineStr"/>
      <c r="W518" s="5" t="inlineStr"/>
      <c r="X518" s="5" t="inlineStr"/>
      <c r="Y518" s="5" t="inlineStr"/>
      <c r="Z518" s="6" t="inlineStr"/>
      <c r="AA518" s="5" t="inlineStr"/>
      <c r="AB518" s="5" t="inlineStr"/>
      <c r="AC518" s="5" t="inlineStr"/>
      <c r="AD518" s="5" t="inlineStr"/>
      <c r="AE518" s="5" t="inlineStr"/>
      <c r="AF518" s="5" t="inlineStr"/>
      <c r="AG518" s="5" t="inlineStr"/>
      <c r="AH518" s="5" t="inlineStr"/>
    </row>
    <row r="519">
      <c r="A519" s="5" t="inlineStr">
        <is>
          <t>b6-mezuniyet</t>
        </is>
      </c>
      <c r="B519" s="5" t="n">
        <v>3</v>
      </c>
      <c r="C519" s="6" t="inlineStr">
        <is>
          <t>Diplomayı aynı gün almaya çalış</t>
        </is>
      </c>
      <c r="D519" s="5" t="inlineStr">
        <is>
          <t>Kurnazlık</t>
        </is>
      </c>
      <c r="E519" s="5" t="inlineStr">
        <is>
          <t>Orta</t>
        </is>
      </c>
      <c r="F519" s="5" t="inlineStr"/>
      <c r="G519" s="6" t="inlineStr"/>
      <c r="H519" s="6" t="inlineStr">
        <is>
          <t>Öğrenci işlerindeki memurla göz teması kurdun. Diploma aynı gün elinde.</t>
        </is>
      </c>
      <c r="I519" s="6" t="inlineStr">
        <is>
          <t>Diplomayı aldın, üstelik ikinci nüsha da çıktı. Biri çerçeveye, biri zarfa.</t>
        </is>
      </c>
      <c r="J519" s="6" t="inlineStr">
        <is>
          <t>Önünde bütün mezunlar vardı. Arkanda da.</t>
        </is>
      </c>
      <c r="K519" s="6" t="inlineStr">
        <is>
          <t>Adın yanlış yazılmış. Düzeltme için dilekçe, dilekçe için harç, harç için sıra.</t>
        </is>
      </c>
      <c r="L519" s="6" t="inlineStr"/>
      <c r="M519" s="5" t="inlineStr"/>
      <c r="N519" s="5" t="inlineStr"/>
      <c r="O519" s="6" t="inlineStr"/>
      <c r="P519" s="6" t="inlineStr"/>
      <c r="Q519" s="5" t="inlineStr"/>
      <c r="R519" s="5" t="inlineStr"/>
      <c r="S519" s="5" t="inlineStr"/>
      <c r="T519" s="5" t="inlineStr"/>
      <c r="U519" s="5" t="inlineStr"/>
      <c r="V519" s="5" t="inlineStr"/>
      <c r="W519" s="5" t="inlineStr"/>
      <c r="X519" s="5" t="inlineStr"/>
      <c r="Y519" s="5" t="inlineStr"/>
      <c r="Z519" s="6" t="inlineStr"/>
      <c r="AA519" s="5" t="inlineStr"/>
      <c r="AB519" s="5" t="inlineStr"/>
      <c r="AC519" s="5" t="inlineStr"/>
      <c r="AD519" s="5" t="inlineStr"/>
      <c r="AE519" s="5" t="inlineStr"/>
      <c r="AF519" s="5" t="inlineStr"/>
      <c r="AG519" s="5" t="inlineStr"/>
      <c r="AH519" s="5" t="inlineStr"/>
    </row>
    <row r="520">
      <c r="A520" s="5" t="inlineStr">
        <is>
          <t>b6-mezuniyet</t>
        </is>
      </c>
      <c r="B520" s="5" t="n">
        <v>4</v>
      </c>
      <c r="C520" s="6" t="inlineStr">
        <is>
          <t>Ailenle poz ver</t>
        </is>
      </c>
      <c r="D520" s="5" t="inlineStr"/>
      <c r="E520" s="5" t="inlineStr"/>
      <c r="F520" s="5" t="inlineStr">
        <is>
          <t>İtibar +2</t>
        </is>
      </c>
      <c r="G520" s="6" t="inlineStr">
        <is>
          <t>On yedi açıdan aynı fotoğraf çekildi. Hepsinde birinin gözü kapalı.</t>
        </is>
      </c>
      <c r="H520" s="6" t="inlineStr"/>
      <c r="I520" s="6" t="inlineStr"/>
      <c r="J520" s="6" t="inlineStr"/>
      <c r="K520" s="6" t="inlineStr"/>
      <c r="L520" s="6" t="inlineStr"/>
      <c r="M520" s="5" t="inlineStr"/>
      <c r="N520" s="5" t="inlineStr"/>
      <c r="O520" s="6" t="inlineStr"/>
      <c r="P520" s="6" t="inlineStr"/>
      <c r="Q520" s="5" t="inlineStr"/>
      <c r="R520" s="5" t="inlineStr"/>
      <c r="S520" s="5" t="inlineStr"/>
      <c r="T520" s="5" t="inlineStr"/>
      <c r="U520" s="5" t="inlineStr"/>
      <c r="V520" s="5" t="inlineStr"/>
      <c r="W520" s="5" t="inlineStr"/>
      <c r="X520" s="5" t="inlineStr"/>
      <c r="Y520" s="5" t="inlineStr"/>
      <c r="Z520" s="6" t="inlineStr"/>
      <c r="AA520" s="5" t="inlineStr"/>
      <c r="AB520" s="5" t="inlineStr"/>
      <c r="AC520" s="5" t="inlineStr"/>
      <c r="AD520" s="5" t="inlineStr"/>
      <c r="AE520" s="5" t="inlineStr"/>
      <c r="AF520" s="5" t="inlineStr"/>
      <c r="AG520" s="5" t="inlineStr"/>
      <c r="AH520" s="5" t="inlineStr"/>
    </row>
    <row r="521">
      <c r="A521" s="5" t="inlineStr">
        <is>
          <t>b6-meslek-secimi</t>
        </is>
      </c>
      <c r="B521" s="5" t="n">
        <v>1</v>
      </c>
      <c r="C521" s="6" t="inlineStr">
        <is>
          <t>Beyaz yaka: özgeçmişini her yere gönder</t>
        </is>
      </c>
      <c r="D521" s="5" t="inlineStr">
        <is>
          <t>Çene</t>
        </is>
      </c>
      <c r="E521" s="5" t="inlineStr">
        <is>
          <t>Orta</t>
        </is>
      </c>
      <c r="F521" s="5" t="inlineStr"/>
      <c r="G521" s="6" t="inlineStr"/>
      <c r="H521" s="6" t="inlineStr">
        <is>
          <t>Yüz on iki başvuru, üç görüşme, bir teklif. Plazada bir masan, bir kartın ve “onboarding” diye bir haftan var.</t>
        </is>
      </c>
      <c r="I521" s="6" t="inlineStr">
        <is>
          <t>İki şirket seni istedi; ikisini birbirine karşı oynattın. Kazanan şirketin kartvizitinde unvanın sen istemeden “uzman.”</t>
        </is>
      </c>
      <c r="J521" s="6" t="inlineStr">
        <is>
          <t>Başvurulara cevap gelmedi. Bir ajans seni “proje bazlı” işe aldı. Proje bazlı, maaş da bazlı.</t>
        </is>
      </c>
      <c r="K521" s="6" t="inlineStr">
        <is>
          <t>Özgeçmişinde yazım hatası vardı: “Takım çalışmasına yatkın” yerine “Takım çalışmasına yatık.” Kimse aramadı; bir ajans hariç.</t>
        </is>
      </c>
      <c r="L521" s="6" t="inlineStr"/>
      <c r="M521" s="5" t="inlineStr"/>
      <c r="N521" s="5" t="inlineStr"/>
      <c r="O521" s="6" t="inlineStr"/>
      <c r="P521" s="6" t="inlineStr"/>
      <c r="Q521" s="5" t="inlineStr"/>
      <c r="R521" s="5" t="inlineStr"/>
      <c r="S521" s="5" t="inlineStr"/>
      <c r="T521" s="5" t="inlineStr"/>
      <c r="U521" s="5" t="inlineStr"/>
      <c r="V521" s="5" t="inlineStr">
        <is>
          <t>meslek-beyazyaka</t>
        </is>
      </c>
      <c r="W521" s="5" t="inlineStr"/>
      <c r="X521" s="5" t="inlineStr"/>
      <c r="Y521" s="5" t="inlineStr"/>
      <c r="Z521" s="6" t="inlineStr"/>
      <c r="AA521" s="5" t="inlineStr"/>
      <c r="AB521" s="5" t="inlineStr">
        <is>
          <t>meslek-serbest</t>
        </is>
      </c>
      <c r="AC521" s="5" t="inlineStr"/>
      <c r="AD521" s="5" t="inlineStr">
        <is>
          <t>Orta</t>
        </is>
      </c>
      <c r="AE521" s="5" t="inlineStr"/>
      <c r="AF521" s="5" t="inlineStr"/>
      <c r="AG521" s="5" t="inlineStr"/>
      <c r="AH521" s="5" t="inlineStr"/>
    </row>
    <row r="522">
      <c r="A522" s="5" t="inlineStr">
        <is>
          <t>b6-meslek-secimi</t>
        </is>
      </c>
      <c r="B522" s="5" t="n">
        <v>2</v>
      </c>
      <c r="C522" s="6" t="inlineStr">
        <is>
          <t>Memur ol: devlet kadro sınavına çalış</t>
        </is>
      </c>
      <c r="D522" s="5" t="inlineStr">
        <is>
          <t>Akıl</t>
        </is>
      </c>
      <c r="E522" s="5" t="inlineStr">
        <is>
          <t>Orta</t>
        </is>
      </c>
      <c r="F522" s="5" t="inlineStr"/>
      <c r="G522" s="6" t="inlineStr"/>
      <c r="H522" s="6" t="inlineStr">
        <is>
          <t>Sınavı geçtin. Atama bekliyorsun. Annen komşulara “Devlet kapısı” dedi; kelimeleri tek tek, yavaşça söyledi.</t>
        </is>
      </c>
      <c r="I522" s="6" t="inlineStr">
        <is>
          <t>Derece yaptın. Atama listesinde istediğin şehir bile vardı. Aile grubu ilk kez hiç tartışmadı.</t>
        </is>
      </c>
      <c r="J522" s="6" t="inlineStr">
        <is>
          <t>Puanın bir tık altında kaldı. Seneye diye diye bir özel şirkette “geçici” olarak başladın. Geçici, bu ülkede kalıcının takma adıdır.</t>
        </is>
      </c>
      <c r="K522" s="6" t="inlineStr">
        <is>
          <t>Sınavda kitapçık türünü yanlış işaretledin. Bütün cevaplar başka bir kitapçığa göre değerlendirildi. Bir plaza seni kabul etti; kitapçık sormadı.</t>
        </is>
      </c>
      <c r="L522" s="6" t="inlineStr"/>
      <c r="M522" s="5" t="inlineStr"/>
      <c r="N522" s="5" t="inlineStr"/>
      <c r="O522" s="6" t="inlineStr"/>
      <c r="P522" s="6" t="inlineStr"/>
      <c r="Q522" s="5" t="inlineStr"/>
      <c r="R522" s="5" t="inlineStr"/>
      <c r="S522" s="5" t="inlineStr"/>
      <c r="T522" s="5" t="inlineStr"/>
      <c r="U522" s="5" t="inlineStr"/>
      <c r="V522" s="5" t="inlineStr">
        <is>
          <t>meslek-memur</t>
        </is>
      </c>
      <c r="W522" s="5" t="inlineStr"/>
      <c r="X522" s="5" t="inlineStr"/>
      <c r="Y522" s="5" t="inlineStr"/>
      <c r="Z522" s="6" t="inlineStr"/>
      <c r="AA522" s="5" t="inlineStr">
        <is>
          <t>Erdem +1, Yalçın +1</t>
        </is>
      </c>
      <c r="AB522" s="5" t="inlineStr">
        <is>
          <t>meslek-beyazyaka</t>
        </is>
      </c>
      <c r="AC522" s="5" t="inlineStr"/>
      <c r="AD522" s="5" t="inlineStr">
        <is>
          <t>Orta</t>
        </is>
      </c>
      <c r="AE522" s="5" t="inlineStr"/>
      <c r="AF522" s="5" t="inlineStr"/>
      <c r="AG522" s="5" t="inlineStr"/>
      <c r="AH522" s="5" t="inlineStr"/>
    </row>
    <row r="523">
      <c r="A523" s="5" t="inlineStr">
        <is>
          <t>b6-meslek-secimi</t>
        </is>
      </c>
      <c r="B523" s="5" t="n">
        <v>3</v>
      </c>
      <c r="C523" s="6" t="inlineStr">
        <is>
          <t>Kendi şirketini kur</t>
        </is>
      </c>
      <c r="D523" s="5" t="inlineStr">
        <is>
          <t>Cesaret</t>
        </is>
      </c>
      <c r="E523" s="5" t="inlineStr">
        <is>
          <t>Zor</t>
        </is>
      </c>
      <c r="F523" s="5" t="inlineStr"/>
      <c r="G523" s="6" t="inlineStr"/>
      <c r="H523" s="6" t="inlineStr">
        <is>
          <t>Bir fikir, iki laptop, bir kafe masası. Şirket kuruldu. Logosu fikrinden daha iyi, ama fikir de fena değil.</t>
        </is>
      </c>
      <c r="I523" s="6" t="inlineStr">
        <is>
          <t>İlk ay bir yatırımcı kafeye oturdu, fikrini dinledi, çek defterini çıkardı. Kafe o günden beri senin “ofisin.”</t>
        </is>
      </c>
      <c r="J523" s="6" t="inlineStr">
        <is>
          <t>Şirketi kurdun, üç ayda kapattın. Özgeçmişe “girişimcilik deneyimi” olarak geçti; bir plaza seni bu satır için işe aldı.</t>
        </is>
      </c>
      <c r="K523" s="6" t="inlineStr">
        <is>
          <t>Kuruluş evrakını yanlış doldurdun; şirketin adı resmî olarak bir yazım hatası. Kapatıp bir plazaya girdin; kimse şirketi hatırlamıyor, adı hariç.</t>
        </is>
      </c>
      <c r="L523" s="6" t="inlineStr"/>
      <c r="M523" s="5" t="inlineStr"/>
      <c r="N523" s="5" t="inlineStr"/>
      <c r="O523" s="6" t="inlineStr"/>
      <c r="P523" s="6" t="inlineStr"/>
      <c r="Q523" s="5" t="inlineStr"/>
      <c r="R523" s="5" t="inlineStr"/>
      <c r="S523" s="5" t="inlineStr"/>
      <c r="T523" s="5" t="inlineStr"/>
      <c r="U523" s="5" t="inlineStr"/>
      <c r="V523" s="5" t="inlineStr">
        <is>
          <t>hat-girisimci, meslek-serbest</t>
        </is>
      </c>
      <c r="W523" s="5" t="inlineStr"/>
      <c r="X523" s="5" t="inlineStr"/>
      <c r="Y523" s="5" t="inlineStr"/>
      <c r="Z523" s="6" t="inlineStr"/>
      <c r="AA523" s="5" t="inlineStr">
        <is>
          <t>Keskin +1, Erdem -1</t>
        </is>
      </c>
      <c r="AB523" s="5" t="inlineStr">
        <is>
          <t>meslek-beyazyaka</t>
        </is>
      </c>
      <c r="AC523" s="5" t="inlineStr">
        <is>
          <t>Orta</t>
        </is>
      </c>
      <c r="AD523" s="5" t="inlineStr">
        <is>
          <t>Orta</t>
        </is>
      </c>
      <c r="AE523" s="5" t="inlineStr"/>
      <c r="AF523" s="5" t="inlineStr"/>
      <c r="AG523" s="5" t="inlineStr"/>
      <c r="AH523" s="5" t="inlineStr"/>
    </row>
    <row r="524">
      <c r="A524" s="5" t="inlineStr">
        <is>
          <t>b6-meslek-secimi</t>
        </is>
      </c>
      <c r="B524" s="5" t="n">
        <v>4</v>
      </c>
      <c r="C524" s="6" t="inlineStr">
        <is>
          <t>Üniformayı giy: karakola ata</t>
        </is>
      </c>
      <c r="D524" s="5" t="inlineStr"/>
      <c r="E524" s="5" t="inlineStr"/>
      <c r="F524" s="5" t="inlineStr">
        <is>
          <t>Cesaret +1, İtibar +1</t>
        </is>
      </c>
      <c r="G524" s="6" t="inlineStr">
        <is>
          <t>Akademiden mezun oldun, üniformanı giydin. İlk görev yerin bir ilçe karakolu. Annen fotoğrafını çerçeveletti; çerçeve üniformadan ağır.</t>
        </is>
      </c>
      <c r="H524" s="6" t="inlineStr"/>
      <c r="I524" s="6" t="inlineStr"/>
      <c r="J524" s="6" t="inlineStr"/>
      <c r="K524" s="6" t="inlineStr"/>
      <c r="L524" s="6" t="inlineStr"/>
      <c r="M524" s="5" t="inlineStr"/>
      <c r="N524" s="5" t="inlineStr"/>
      <c r="O524" s="6" t="inlineStr"/>
      <c r="P524" s="6" t="inlineStr"/>
      <c r="Q524" s="5" t="inlineStr"/>
      <c r="R524" s="5" t="inlineStr">
        <is>
          <t>bolum-emniyet</t>
        </is>
      </c>
      <c r="S524" s="5" t="inlineStr"/>
      <c r="T524" s="5" t="inlineStr"/>
      <c r="U524" s="5" t="inlineStr">
        <is>
          <t>hat-polis, meslek-memur</t>
        </is>
      </c>
      <c r="V524" s="5" t="inlineStr"/>
      <c r="W524" s="5" t="inlineStr"/>
      <c r="X524" s="5" t="inlineStr"/>
      <c r="Y524" s="5" t="inlineStr"/>
      <c r="Z524" s="6" t="inlineStr"/>
      <c r="AA524" s="5" t="inlineStr">
        <is>
          <t>Erdem +1, Yalçın +1</t>
        </is>
      </c>
      <c r="AB524" s="5" t="inlineStr"/>
      <c r="AC524" s="5" t="inlineStr"/>
      <c r="AD524" s="5" t="inlineStr">
        <is>
          <t>Orta</t>
        </is>
      </c>
      <c r="AE524" s="5" t="inlineStr"/>
      <c r="AF524" s="5" t="inlineStr"/>
      <c r="AG524" s="5" t="inlineStr"/>
      <c r="AH524" s="5" t="inlineStr"/>
    </row>
    <row r="525">
      <c r="A525" s="5" t="inlineStr">
        <is>
          <t>b6-meslek-secimi</t>
        </is>
      </c>
      <c r="B525" s="5" t="n">
        <v>5</v>
      </c>
      <c r="C525" s="6" t="inlineStr">
        <is>
          <t>Hâkimlik sınavına gir</t>
        </is>
      </c>
      <c r="D525" s="5" t="inlineStr">
        <is>
          <t>Akıl</t>
        </is>
      </c>
      <c r="E525" s="5" t="inlineStr">
        <is>
          <t>Çok Zor</t>
        </is>
      </c>
      <c r="F525" s="5" t="inlineStr"/>
      <c r="G525" s="6" t="inlineStr"/>
      <c r="H525" s="6" t="inlineStr">
        <is>
          <t>Sınavı geçtin. Cübbeyi ilk kez giydiğinde biraz büyük geldi; terzi “Büyürsün” dedi. Kürsüye doğru giden yol açıldı.</t>
        </is>
      </c>
      <c r="I525" s="6" t="inlineStr">
        <is>
          <t>Derece yaptın. Mülakatta kurulun sorduğu soruya, soruyu soranın kendi kitabından cevap verdin. Kurul güldü; sen de hâkim adayısın.</t>
        </is>
      </c>
      <c r="J525" s="6" t="inlineStr">
        <is>
          <t>Sınav olmadı. Bir hukuk bürosunda avukat olarak başladın. Cübben var, kürsün yok.</t>
        </is>
      </c>
      <c r="K525" s="6" t="inlineStr">
        <is>
          <t>Sınav sabahı kimliğini evde unuttun. Salona girmene izin verilmedi. Bir büro seni işe aldı; kimliğini sordular, vardı.</t>
        </is>
      </c>
      <c r="L525" s="6" t="inlineStr"/>
      <c r="M525" s="5" t="inlineStr"/>
      <c r="N525" s="5" t="inlineStr"/>
      <c r="O525" s="6" t="inlineStr"/>
      <c r="P525" s="6" t="inlineStr"/>
      <c r="Q525" s="5" t="inlineStr"/>
      <c r="R525" s="5" t="inlineStr">
        <is>
          <t>bolum-hukuk</t>
        </is>
      </c>
      <c r="S525" s="5" t="inlineStr"/>
      <c r="T525" s="5" t="inlineStr"/>
      <c r="U525" s="5" t="inlineStr"/>
      <c r="V525" s="5" t="inlineStr">
        <is>
          <t>hat-yargi, meslek-memur</t>
        </is>
      </c>
      <c r="W525" s="5" t="inlineStr"/>
      <c r="X525" s="5" t="inlineStr"/>
      <c r="Y525" s="5" t="inlineStr"/>
      <c r="Z525" s="6" t="inlineStr"/>
      <c r="AA525" s="5" t="inlineStr">
        <is>
          <t>Erdem +1, Tan +1</t>
        </is>
      </c>
      <c r="AB525" s="5" t="inlineStr">
        <is>
          <t>meslek-beyazyaka</t>
        </is>
      </c>
      <c r="AC525" s="5" t="inlineStr"/>
      <c r="AD525" s="5" t="inlineStr">
        <is>
          <t>Rahat</t>
        </is>
      </c>
      <c r="AE525" s="5" t="inlineStr"/>
      <c r="AF525" s="5" t="inlineStr"/>
      <c r="AG525" s="5" t="inlineStr"/>
      <c r="AH525" s="5" t="inlineStr"/>
    </row>
    <row r="526">
      <c r="A526" s="5" t="inlineStr">
        <is>
          <t>b6-meslek-secimi</t>
        </is>
      </c>
      <c r="B526" s="5" t="n">
        <v>6</v>
      </c>
      <c r="C526" s="6" t="inlineStr">
        <is>
          <t>Seçmelere git, sahneye çık</t>
        </is>
      </c>
      <c r="D526" s="5" t="inlineStr">
        <is>
          <t>Pişkinlik</t>
        </is>
      </c>
      <c r="E526" s="5" t="inlineStr">
        <is>
          <t>Zor</t>
        </is>
      </c>
      <c r="F526" s="5" t="inlineStr"/>
      <c r="G526" s="6" t="inlineStr"/>
      <c r="H526" s="6" t="inlineStr">
        <is>
          <t>Bir dizinin seçmesinden rolle döndün. Üç sahne, iki repliğin var. Birinde “Evet”, diğerinde “Hayır” diyorsun.</t>
        </is>
      </c>
      <c r="I526" s="6" t="inlineStr">
        <is>
          <t>Yönetmen seni o kadar beğendi ki rolünü büyüttü. Artık dizide bir ismin var; ailen de sokakta bir ismi olan çocuğun ailesi.</t>
        </is>
      </c>
      <c r="J526" s="6" t="inlineStr">
        <is>
          <t>Seçmelerden eli boş döndün. Düğünlerde sunuculuk yapmaya başladın. Sahne sahnedir; pilavlı olsa da.</t>
        </is>
      </c>
      <c r="K526" s="6" t="inlineStr">
        <is>
          <t>Seçmede yönetmene yanlış isimle hitap ettin; rakip dizinin yönetmeninin ismiyle. Düğün sunuculuğu seni bekliyor.</t>
        </is>
      </c>
      <c r="L526" s="6" t="inlineStr"/>
      <c r="M526" s="5" t="inlineStr"/>
      <c r="N526" s="5" t="inlineStr"/>
      <c r="O526" s="6" t="inlineStr"/>
      <c r="P526" s="6" t="inlineStr"/>
      <c r="Q526" s="5" t="inlineStr"/>
      <c r="R526" s="5" t="inlineStr">
        <is>
          <t>bolum-iletisim</t>
        </is>
      </c>
      <c r="S526" s="5" t="inlineStr"/>
      <c r="T526" s="5" t="inlineStr"/>
      <c r="U526" s="5" t="inlineStr"/>
      <c r="V526" s="5" t="inlineStr">
        <is>
          <t>hat-sohret, meslek-serbest</t>
        </is>
      </c>
      <c r="W526" s="5" t="inlineStr"/>
      <c r="X526" s="5" t="inlineStr"/>
      <c r="Y526" s="5" t="inlineStr"/>
      <c r="Z526" s="6" t="inlineStr"/>
      <c r="AA526" s="5" t="inlineStr">
        <is>
          <t>Varlı +1, Erdem -1</t>
        </is>
      </c>
      <c r="AB526" s="5" t="inlineStr">
        <is>
          <t>meslek-serbest</t>
        </is>
      </c>
      <c r="AC526" s="5" t="inlineStr"/>
      <c r="AD526" s="5" t="inlineStr">
        <is>
          <t>Orta</t>
        </is>
      </c>
      <c r="AE526" s="5" t="inlineStr"/>
      <c r="AF526" s="5" t="inlineStr"/>
      <c r="AG526" s="5" t="inlineStr"/>
      <c r="AH526" s="5" t="inlineStr"/>
    </row>
    <row r="527">
      <c r="A527" s="5" t="inlineStr">
        <is>
          <t>b6-meslek-secimi</t>
        </is>
      </c>
      <c r="B527" s="5" t="n">
        <v>7</v>
      </c>
      <c r="C527" s="6" t="inlineStr">
        <is>
          <t>Yatırım gurusu kartviziti bastır</t>
        </is>
      </c>
      <c r="D527" s="5" t="inlineStr">
        <is>
          <t>Kurnazlık</t>
        </is>
      </c>
      <c r="E527" s="5" t="inlineStr">
        <is>
          <t>Çok Zor</t>
        </is>
      </c>
      <c r="F527" s="5" t="inlineStr"/>
      <c r="G527" s="6" t="inlineStr"/>
      <c r="H527" s="6" t="inlineStr">
        <is>
          <t>Kartvizitte “Finansal özgürlük koçu” yazıyor. İlk seminerine kırk kişi geldi. Senin tek yatırımın kartvizitti; geri dönüşü muhteşemdi.</t>
        </is>
      </c>
      <c r="I527" s="6" t="inlineStr">
        <is>
          <t>Seminerin videosu yayıldı. Kiraladığın salon küçük geldi, kiraladığın araba büyük. Nereye gittiğini sorarsan: yukarı; şimdilik.</t>
        </is>
      </c>
      <c r="J527" s="6" t="inlineStr">
        <is>
          <t>Seminere üç kişi geldi; ikisi annenle teyzen. Kartvizitleri bir çağrı merkezine başvururken kullandın.</t>
        </is>
      </c>
      <c r="K527" s="6" t="inlineStr">
        <is>
          <t>Seminere gelenlerden biri gerçek bir finansçıydı. Sorularına cevap veremedin. Bir çağrı merkezi seni aldı; orada sorular yazılı.</t>
        </is>
      </c>
      <c r="L527" s="6" t="inlineStr"/>
      <c r="M527" s="5" t="inlineStr"/>
      <c r="N527" s="5" t="inlineStr"/>
      <c r="O527" s="6" t="inlineStr"/>
      <c r="P527" s="6" t="inlineStr"/>
      <c r="Q527" s="5" t="inlineStr"/>
      <c r="R527" s="5" t="inlineStr">
        <is>
          <t>yalanci</t>
        </is>
      </c>
      <c r="S527" s="5" t="inlineStr"/>
      <c r="T527" s="5" t="inlineStr"/>
      <c r="U527" s="5" t="inlineStr"/>
      <c r="V527" s="5" t="inlineStr">
        <is>
          <t>hat-dolandirici, meslek-serbest</t>
        </is>
      </c>
      <c r="W527" s="5" t="inlineStr"/>
      <c r="X527" s="5" t="inlineStr"/>
      <c r="Y527" s="5" t="inlineStr"/>
      <c r="Z527" s="6" t="inlineStr"/>
      <c r="AA527" s="5" t="inlineStr">
        <is>
          <t>hepsi -1</t>
        </is>
      </c>
      <c r="AB527" s="5" t="inlineStr">
        <is>
          <t>meslek-beyazyaka</t>
        </is>
      </c>
      <c r="AC527" s="5" t="inlineStr"/>
      <c r="AD527" s="5" t="inlineStr">
        <is>
          <t>Orta</t>
        </is>
      </c>
      <c r="AE527" s="5" t="inlineStr"/>
      <c r="AF527" s="5" t="inlineStr"/>
      <c r="AG527" s="5" t="inlineStr"/>
      <c r="AH527" s="5" t="inlineStr"/>
    </row>
    <row r="528">
      <c r="A528" s="5" t="inlineStr">
        <is>
          <t>b6-meslek-secimi</t>
        </is>
      </c>
      <c r="B528" s="5" t="n">
        <v>8</v>
      </c>
      <c r="C528" s="6" t="inlineStr">
        <is>
          <t>Hocanın referans mektubuyla başvur</t>
        </is>
      </c>
      <c r="D528" s="5" t="inlineStr">
        <is>
          <t>İtibar</t>
        </is>
      </c>
      <c r="E528" s="5" t="inlineStr">
        <is>
          <t>Kolay</t>
        </is>
      </c>
      <c r="F528" s="5" t="inlineStr"/>
      <c r="G528" s="6" t="inlineStr"/>
      <c r="H528" s="6" t="inlineStr">
        <is>
          <t>Bölüm hocan mektubu bir akşamda yazdı. İlk başvurduğun şirket seni ertesi gün aradı; mektubu okumak için değil, hocayı sormak için.</t>
        </is>
      </c>
      <c r="I528" s="6" t="inlineStr">
        <is>
          <t>Mektup o kadar iyiydi ki şirket seni mülakatsız aldı. Hoca da bir sonraki yıl mektup yazmayı bıraktı: “Seninki son oldu.”</t>
        </is>
      </c>
      <c r="J528" s="6" t="inlineStr">
        <is>
          <t>Mektup geç ulaştı; pozisyon dolmuştu. Bir ajans seni proje bazlı aldı. Mektup bir sonraki sefere.</t>
        </is>
      </c>
      <c r="K528" s="6" t="inlineStr">
        <is>
          <t>Mektupta adın yanlış yazılmıştı; başkasının referansı sanıldı. Bir ajans seni aldı; adını orada da yanlış yazıyorlar.</t>
        </is>
      </c>
      <c r="L528" s="6" t="inlineStr"/>
      <c r="M528" s="5" t="inlineStr"/>
      <c r="N528" s="5" t="inlineStr"/>
      <c r="O528" s="6" t="inlineStr"/>
      <c r="P528" s="6" t="inlineStr"/>
      <c r="Q528" s="5" t="inlineStr"/>
      <c r="R528" s="5" t="inlineStr"/>
      <c r="S528" s="5" t="inlineStr"/>
      <c r="T528" s="5" t="inlineStr"/>
      <c r="U528" s="5" t="inlineStr"/>
      <c r="V528" s="5" t="inlineStr">
        <is>
          <t>meslek-beyazyaka</t>
        </is>
      </c>
      <c r="W528" s="5" t="inlineStr"/>
      <c r="X528" s="5" t="inlineStr"/>
      <c r="Y528" s="5" t="inlineStr"/>
      <c r="Z528" s="6" t="inlineStr"/>
      <c r="AA528" s="5" t="inlineStr"/>
      <c r="AB528" s="5" t="inlineStr">
        <is>
          <t>meslek-serbest</t>
        </is>
      </c>
      <c r="AC528" s="5" t="inlineStr"/>
      <c r="AD528" s="5" t="inlineStr">
        <is>
          <t>Orta</t>
        </is>
      </c>
      <c r="AE528" s="5" t="inlineStr"/>
      <c r="AF528" s="5" t="inlineStr"/>
      <c r="AG528" s="5" t="inlineStr"/>
      <c r="AH528" s="5" t="inlineStr">
        <is>
          <t>İtibar 40</t>
        </is>
      </c>
    </row>
    <row r="529">
      <c r="A529" s="5" t="inlineStr">
        <is>
          <t>b6-flort-uygulamasi</t>
        </is>
      </c>
      <c r="B529" s="5" t="n">
        <v>1</v>
      </c>
      <c r="C529" s="6" t="inlineStr">
        <is>
          <t>Kuzenli fotoğrafı koy</t>
        </is>
      </c>
      <c r="D529" s="5" t="inlineStr"/>
      <c r="E529" s="5" t="inlineStr"/>
      <c r="F529" s="5" t="inlineStr">
        <is>
          <t>Sosyal Radar +1</t>
        </is>
      </c>
      <c r="G529" s="6" t="inlineStr">
        <is>
          <t>Bütün eşleşmeler kuzenine yazdı. Kuzen artık bir ilişkide.</t>
        </is>
      </c>
      <c r="H529" s="6" t="inlineStr"/>
      <c r="I529" s="6" t="inlineStr"/>
      <c r="J529" s="6" t="inlineStr"/>
      <c r="K529" s="6" t="inlineStr"/>
      <c r="L529" s="6" t="inlineStr"/>
      <c r="M529" s="5" t="inlineStr"/>
      <c r="N529" s="5" t="inlineStr"/>
      <c r="O529" s="6" t="inlineStr"/>
      <c r="P529" s="6" t="inlineStr"/>
      <c r="Q529" s="5" t="inlineStr"/>
      <c r="R529" s="5" t="inlineStr"/>
      <c r="S529" s="5" t="inlineStr"/>
      <c r="T529" s="5" t="inlineStr"/>
      <c r="U529" s="5" t="inlineStr"/>
      <c r="V529" s="5" t="inlineStr"/>
      <c r="W529" s="5" t="inlineStr"/>
      <c r="X529" s="5" t="inlineStr"/>
      <c r="Y529" s="5" t="inlineStr"/>
      <c r="Z529" s="6" t="inlineStr"/>
      <c r="AA529" s="5" t="inlineStr"/>
      <c r="AB529" s="5" t="inlineStr"/>
      <c r="AC529" s="5" t="inlineStr"/>
      <c r="AD529" s="5" t="inlineStr"/>
      <c r="AE529" s="5" t="inlineStr"/>
      <c r="AF529" s="5" t="inlineStr"/>
      <c r="AG529" s="5" t="inlineStr"/>
      <c r="AH529" s="5" t="inlineStr"/>
    </row>
    <row r="530">
      <c r="A530" s="5" t="inlineStr">
        <is>
          <t>b6-flort-uygulamasi</t>
        </is>
      </c>
      <c r="B530" s="5" t="n">
        <v>2</v>
      </c>
      <c r="C530" s="6" t="inlineStr">
        <is>
          <t>Çatıda gün batımı fotoğrafı çek</t>
        </is>
      </c>
      <c r="D530" s="5" t="inlineStr">
        <is>
          <t>Cesaret</t>
        </is>
      </c>
      <c r="E530" s="5" t="inlineStr">
        <is>
          <t>Orta</t>
        </is>
      </c>
      <c r="F530" s="5" t="inlineStr"/>
      <c r="G530" s="6" t="inlineStr"/>
      <c r="H530" s="6" t="inlineStr">
        <is>
          <t>Fotoğraf muhteşem. Eşleşmeler geldi. Hepsi 'Bu hangi çatı?' diye soruyor.</t>
        </is>
      </c>
      <c r="I530" s="6" t="inlineStr">
        <is>
          <t>Öyle güzel çıktı ki uygulama reklamda kullandı. Seni kimse tanımadı ama gün batımını herkes tanıdı.</t>
        </is>
      </c>
      <c r="J530" s="6" t="inlineStr">
        <is>
          <t>Güneş çoktan batmıştı. Fotoğrafta karanlıkta parlayan bir yüz var.</t>
        </is>
      </c>
      <c r="K530" s="6" t="inlineStr">
        <is>
          <t>Çatı kapısı arkandan kapandı. Gün batımını, gün doğumunu ve apartman yöneticisini aynı karede gördün.</t>
        </is>
      </c>
      <c r="L530" s="6" t="inlineStr"/>
      <c r="M530" s="5" t="inlineStr"/>
      <c r="N530" s="5" t="inlineStr"/>
      <c r="O530" s="6" t="inlineStr"/>
      <c r="P530" s="6" t="inlineStr"/>
      <c r="Q530" s="5" t="inlineStr"/>
      <c r="R530" s="5" t="inlineStr"/>
      <c r="S530" s="5" t="inlineStr"/>
      <c r="T530" s="5" t="inlineStr"/>
      <c r="U530" s="5" t="inlineStr"/>
      <c r="V530" s="5" t="inlineStr"/>
      <c r="W530" s="5" t="inlineStr"/>
      <c r="X530" s="5" t="inlineStr"/>
      <c r="Y530" s="5" t="n">
        <v>3</v>
      </c>
      <c r="Z530" s="6" t="inlineStr">
        <is>
          <t>Profil fotoğrafı için çatının kenarında, 'Son bir kare daha' derken.</t>
        </is>
      </c>
      <c r="AA530" s="5" t="inlineStr"/>
      <c r="AB530" s="5" t="inlineStr"/>
      <c r="AC530" s="5" t="inlineStr"/>
      <c r="AD530" s="5" t="inlineStr"/>
      <c r="AE530" s="5" t="inlineStr"/>
      <c r="AF530" s="5" t="inlineStr"/>
      <c r="AG530" s="5" t="inlineStr"/>
      <c r="AH530" s="5" t="inlineStr"/>
    </row>
    <row r="531">
      <c r="A531" s="5" t="inlineStr">
        <is>
          <t>b6-flort-uygulamasi</t>
        </is>
      </c>
      <c r="B531" s="5" t="n">
        <v>3</v>
      </c>
      <c r="C531" s="6" t="inlineStr">
        <is>
          <t>İlk mesajı yaz</t>
        </is>
      </c>
      <c r="D531" s="5" t="inlineStr">
        <is>
          <t>Çene</t>
        </is>
      </c>
      <c r="E531" s="5" t="inlineStr">
        <is>
          <t>Orta</t>
        </is>
      </c>
      <c r="F531" s="5" t="inlineStr"/>
      <c r="G531" s="6" t="inlineStr"/>
      <c r="H531" s="6" t="inlineStr">
        <is>
          <t>'Merhaba' yazdın. 'Merhaba' geldi. Sohbet üç gün sürdü, konusu hâlâ belirsiz.</t>
        </is>
      </c>
      <c r="I531" s="6" t="inlineStr">
        <is>
          <t>Buluşma ayarlandı. Kafede iki saat konuştunuz, kimse telefonuna bakmadı.</t>
        </is>
      </c>
      <c r="J531" s="6" t="inlineStr">
        <is>
          <t>Uzun, düşünülmüş bir mesaj yazdın. Cevap: 'hahaha'.</t>
        </is>
      </c>
      <c r="K531" s="6" t="inlineStr">
        <is>
          <t>Mesajı eşleşmene değil, aile grubuna attın. Teyze 'Kim bu?' diye sordu. Sonra herkes sordu.</t>
        </is>
      </c>
      <c r="L531" s="6" t="inlineStr"/>
      <c r="M531" s="5" t="inlineStr"/>
      <c r="N531" s="5" t="inlineStr"/>
      <c r="O531" s="6" t="inlineStr"/>
      <c r="P531" s="6" t="inlineStr"/>
      <c r="Q531" s="5" t="inlineStr"/>
      <c r="R531" s="5" t="inlineStr"/>
      <c r="S531" s="5" t="inlineStr"/>
      <c r="T531" s="5" t="inlineStr"/>
      <c r="U531" s="5" t="inlineStr"/>
      <c r="V531" s="5" t="inlineStr"/>
      <c r="W531" s="5" t="inlineStr"/>
      <c r="X531" s="5" t="inlineStr"/>
      <c r="Y531" s="5" t="inlineStr"/>
      <c r="Z531" s="6" t="inlineStr"/>
      <c r="AA531" s="5" t="inlineStr"/>
      <c r="AB531" s="5" t="inlineStr"/>
      <c r="AC531" s="5" t="inlineStr"/>
      <c r="AD531" s="5" t="inlineStr"/>
      <c r="AE531" s="5" t="inlineStr"/>
      <c r="AF531" s="5" t="inlineStr"/>
      <c r="AG531" s="5" t="inlineStr"/>
      <c r="AH531" s="5" t="inlineStr"/>
    </row>
    <row r="532">
      <c r="A532" s="5" t="inlineStr">
        <is>
          <t>b6-flort-uygulamasi</t>
        </is>
      </c>
      <c r="B532" s="5" t="n">
        <v>4</v>
      </c>
      <c r="C532" s="6" t="inlineStr">
        <is>
          <t>Videolarını profile koy</t>
        </is>
      </c>
      <c r="D532" s="5" t="inlineStr">
        <is>
          <t>Pişkinlik</t>
        </is>
      </c>
      <c r="E532" s="5" t="inlineStr">
        <is>
          <t>Kolay</t>
        </is>
      </c>
      <c r="F532" s="5" t="inlineStr"/>
      <c r="G532" s="6" t="inlineStr"/>
      <c r="H532" s="6" t="inlineStr">
        <is>
          <t>Eşleşmeler yağdı. Hepsi zaten takipçinmiş.</t>
        </is>
      </c>
      <c r="I532" s="6" t="inlineStr">
        <is>
          <t>Bir takipçin seni kafeye çağırdı. Kamerasız, kendin olarak gittin. Buna şaşırdı, hoşuna gitti.</t>
        </is>
      </c>
      <c r="J532" s="6" t="inlineStr">
        <is>
          <t>Videolarını gören eşleşmen seni takipten çıktı.</t>
        </is>
      </c>
      <c r="K532" s="6" t="inlineStr">
        <is>
          <t>Eşleşmen seni tanıdı: eski bir videonun arka planındaki komşuymuş. Şikâyetçiymiş.</t>
        </is>
      </c>
      <c r="L532" s="6" t="inlineStr"/>
      <c r="M532" s="5" t="inlineStr"/>
      <c r="N532" s="5" t="inlineStr"/>
      <c r="O532" s="6" t="inlineStr"/>
      <c r="P532" s="6" t="inlineStr"/>
      <c r="Q532" s="5" t="inlineStr"/>
      <c r="R532" s="5" t="inlineStr">
        <is>
          <t>fenomen</t>
        </is>
      </c>
      <c r="S532" s="5" t="inlineStr"/>
      <c r="T532" s="5" t="inlineStr"/>
      <c r="U532" s="5" t="inlineStr"/>
      <c r="V532" s="5" t="inlineStr"/>
      <c r="W532" s="5" t="inlineStr"/>
      <c r="X532" s="5" t="inlineStr"/>
      <c r="Y532" s="5" t="inlineStr"/>
      <c r="Z532" s="6" t="inlineStr"/>
      <c r="AA532" s="5" t="inlineStr"/>
      <c r="AB532" s="5" t="inlineStr"/>
      <c r="AC532" s="5" t="inlineStr"/>
      <c r="AD532" s="5" t="inlineStr"/>
      <c r="AE532" s="5" t="inlineStr"/>
      <c r="AF532" s="5" t="inlineStr"/>
      <c r="AG532" s="5" t="inlineStr"/>
      <c r="AH532" s="5" t="inlineStr"/>
    </row>
    <row r="533">
      <c r="A533" s="5" t="inlineStr">
        <is>
          <t>b6-kamp-atesi</t>
        </is>
      </c>
      <c r="B533" s="5" t="n">
        <v>1</v>
      </c>
      <c r="C533" s="6" t="inlineStr">
        <is>
          <t>Kovayı doldur, yanında bekle</t>
        </is>
      </c>
      <c r="D533" s="5" t="inlineStr"/>
      <c r="E533" s="5" t="inlineStr"/>
      <c r="F533" s="5" t="inlineStr">
        <is>
          <t>İtibar +1, Akıl +1</t>
        </is>
      </c>
      <c r="G533" s="6" t="inlineStr">
        <is>
          <t>Dolu kovayı ateşin yanına koydun. Kimse fark etmedi. Kova gece boyu nöbet tuttu.</t>
        </is>
      </c>
      <c r="H533" s="6" t="inlineStr"/>
      <c r="I533" s="6" t="inlineStr"/>
      <c r="J533" s="6" t="inlineStr"/>
      <c r="K533" s="6" t="inlineStr"/>
      <c r="L533" s="6" t="inlineStr"/>
      <c r="M533" s="5" t="inlineStr"/>
      <c r="N533" s="5" t="inlineStr"/>
      <c r="O533" s="6" t="inlineStr"/>
      <c r="P533" s="6" t="inlineStr"/>
      <c r="Q533" s="5" t="inlineStr"/>
      <c r="R533" s="5" t="inlineStr"/>
      <c r="S533" s="5" t="inlineStr"/>
      <c r="T533" s="5" t="inlineStr"/>
      <c r="U533" s="5" t="inlineStr"/>
      <c r="V533" s="5" t="inlineStr"/>
      <c r="W533" s="5" t="inlineStr"/>
      <c r="X533" s="5" t="inlineStr"/>
      <c r="Y533" s="5" t="inlineStr"/>
      <c r="Z533" s="6" t="inlineStr"/>
      <c r="AA533" s="5" t="inlineStr"/>
      <c r="AB533" s="5" t="inlineStr"/>
      <c r="AC533" s="5" t="inlineStr"/>
      <c r="AD533" s="5" t="inlineStr"/>
      <c r="AE533" s="5" t="inlineStr"/>
      <c r="AF533" s="5" t="inlineStr"/>
      <c r="AG533" s="5" t="inlineStr"/>
      <c r="AH533" s="5" t="inlineStr"/>
    </row>
    <row r="534">
      <c r="A534" s="5" t="inlineStr">
        <is>
          <t>b6-kamp-atesi</t>
        </is>
      </c>
      <c r="B534" s="5" t="n">
        <v>2</v>
      </c>
      <c r="C534" s="6" t="inlineStr">
        <is>
          <t>Ateşi 'kesin güvenli' arkadaşa bırak</t>
        </is>
      </c>
      <c r="D534" s="5" t="inlineStr">
        <is>
          <t>Sosyal Radar</t>
        </is>
      </c>
      <c r="E534" s="5" t="inlineStr">
        <is>
          <t>Orta</t>
        </is>
      </c>
      <c r="F534" s="5" t="inlineStr"/>
      <c r="G534" s="6" t="inlineStr"/>
      <c r="H534" s="6" t="inlineStr">
        <is>
          <t>Ateş yandı, sadece bir kamp sandalyesi biraz eridi. Gece güzel geçti.</t>
        </is>
      </c>
      <c r="I534" s="6" t="inlineStr">
        <is>
          <t>Arkadaş gerçekten biliyormuş. Harika bir ateş, harika sohbet, tek bir yanık mısır.</t>
        </is>
      </c>
      <c r="J534" s="6" t="inlineStr">
        <is>
          <t>Ateş bir türlü yanmadı. Arkadaş gece boyunca rüzgârı suçladı.</t>
        </is>
      </c>
      <c r="K534" s="6" t="inlineStr">
        <is>
          <t>Ateş biraz fazla yandı. Çadırın yarısı gökyüzüne karıştı. Kalan yarısında dört kişi uyudunuz.</t>
        </is>
      </c>
      <c r="L534" s="6" t="inlineStr"/>
      <c r="M534" s="5" t="inlineStr"/>
      <c r="N534" s="5" t="inlineStr"/>
      <c r="O534" s="6" t="inlineStr"/>
      <c r="P534" s="6" t="inlineStr"/>
      <c r="Q534" s="5" t="inlineStr"/>
      <c r="R534" s="5" t="inlineStr"/>
      <c r="S534" s="5" t="inlineStr"/>
      <c r="T534" s="5" t="inlineStr"/>
      <c r="U534" s="5" t="inlineStr"/>
      <c r="V534" s="5" t="inlineStr"/>
      <c r="W534" s="5" t="inlineStr"/>
      <c r="X534" s="5" t="inlineStr"/>
      <c r="Y534" s="5" t="n">
        <v>4</v>
      </c>
      <c r="Z534" s="6" t="inlineStr">
        <is>
          <t>Arkadaşının 'Kesin güvenli' dediği kamp ateşinin başında. Arkadaş fikrini değiştirmedi.</t>
        </is>
      </c>
      <c r="AA534" s="5" t="inlineStr"/>
      <c r="AB534" s="5" t="inlineStr"/>
      <c r="AC534" s="5" t="inlineStr"/>
      <c r="AD534" s="5" t="inlineStr"/>
      <c r="AE534" s="5" t="inlineStr"/>
      <c r="AF534" s="5" t="inlineStr"/>
      <c r="AG534" s="5" t="inlineStr"/>
      <c r="AH534" s="5" t="inlineStr"/>
    </row>
    <row r="535">
      <c r="A535" s="5" t="inlineStr">
        <is>
          <t>b6-kamp-atesi</t>
        </is>
      </c>
      <c r="B535" s="5" t="n">
        <v>3</v>
      </c>
      <c r="C535" s="6" t="inlineStr">
        <is>
          <t>Ateşi sen yak</t>
        </is>
      </c>
      <c r="D535" s="5" t="inlineStr">
        <is>
          <t>Dayanıklılık</t>
        </is>
      </c>
      <c r="E535" s="5" t="inlineStr">
        <is>
          <t>Orta</t>
        </is>
      </c>
      <c r="F535" s="5" t="inlineStr"/>
      <c r="G535" s="6" t="inlineStr"/>
      <c r="H535" s="6" t="inlineStr">
        <is>
          <t>Tek kibritle yaktın. Gecenin kalanı senin hikâyelerinle geçti.</t>
        </is>
      </c>
      <c r="I535" s="6" t="inlineStr">
        <is>
          <t>Yaktın, kontrol ettin, üstünde çay demledin. Grubun resmî ateş sorumlusu ilan edildin.</t>
        </is>
      </c>
      <c r="J535" s="6" t="inlineStr">
        <is>
          <t>On yedi kibrit yaktın. On sekizincisi kutunun kendisiydi.</t>
        </is>
      </c>
      <c r="K535" s="6" t="inlineStr">
        <is>
          <t>Yakamadın. O geceden beri adın 'Ateş Bakanı'. Hâlâ öyle çağırıyorlar.</t>
        </is>
      </c>
      <c r="L535" s="6" t="inlineStr"/>
      <c r="M535" s="5" t="inlineStr"/>
      <c r="N535" s="5" t="inlineStr"/>
      <c r="O535" s="6" t="inlineStr"/>
      <c r="P535" s="6" t="inlineStr"/>
      <c r="Q535" s="5" t="inlineStr"/>
      <c r="R535" s="5" t="inlineStr"/>
      <c r="S535" s="5" t="inlineStr"/>
      <c r="T535" s="5" t="inlineStr"/>
      <c r="U535" s="5" t="inlineStr"/>
      <c r="V535" s="5" t="inlineStr"/>
      <c r="W535" s="5" t="inlineStr"/>
      <c r="X535" s="5" t="inlineStr"/>
      <c r="Y535" s="5" t="inlineStr"/>
      <c r="Z535" s="6" t="inlineStr"/>
      <c r="AA535" s="5" t="inlineStr"/>
      <c r="AB535" s="5" t="inlineStr"/>
      <c r="AC535" s="5" t="inlineStr"/>
      <c r="AD535" s="5" t="inlineStr"/>
      <c r="AE535" s="5" t="inlineStr"/>
      <c r="AF535" s="5" t="inlineStr"/>
      <c r="AG535" s="5" t="inlineStr"/>
      <c r="AH535" s="5" t="inlineStr"/>
    </row>
    <row r="536">
      <c r="A536" s="5" t="inlineStr">
        <is>
          <t>mb-ilk-gun-karti</t>
        </is>
      </c>
      <c r="B536" s="5" t="n">
        <v>1</v>
      </c>
      <c r="C536" s="6" t="inlineStr">
        <is>
          <t>Lobide bekle</t>
        </is>
      </c>
      <c r="D536" s="5" t="inlineStr"/>
      <c r="E536" s="5" t="inlineStr"/>
      <c r="F536" s="5" t="inlineStr">
        <is>
          <t>Dayanıklılık +1</t>
        </is>
      </c>
      <c r="G536" s="6" t="inlineStr">
        <is>
          <t>İlk günün lobide geçti. Yakana 'ZİYARETÇİ' kartı takıldı. Sonraki üç ay kendini de öyle hissettin.</t>
        </is>
      </c>
      <c r="H536" s="6" t="inlineStr"/>
      <c r="I536" s="6" t="inlineStr"/>
      <c r="J536" s="6" t="inlineStr"/>
      <c r="K536" s="6" t="inlineStr"/>
      <c r="L536" s="6" t="inlineStr"/>
      <c r="M536" s="5" t="inlineStr"/>
      <c r="N536" s="5" t="inlineStr"/>
      <c r="O536" s="6" t="inlineStr"/>
      <c r="P536" s="6" t="inlineStr"/>
      <c r="Q536" s="5" t="inlineStr"/>
      <c r="R536" s="5" t="inlineStr"/>
      <c r="S536" s="5" t="inlineStr"/>
      <c r="T536" s="5" t="inlineStr"/>
      <c r="U536" s="5" t="inlineStr"/>
      <c r="V536" s="5" t="inlineStr"/>
      <c r="W536" s="5" t="inlineStr"/>
      <c r="X536" s="5" t="inlineStr"/>
      <c r="Y536" s="5" t="inlineStr"/>
      <c r="Z536" s="6" t="inlineStr"/>
      <c r="AA536" s="5" t="inlineStr"/>
      <c r="AB536" s="5" t="inlineStr"/>
      <c r="AC536" s="5" t="inlineStr"/>
      <c r="AD536" s="5" t="inlineStr"/>
      <c r="AE536" s="5" t="inlineStr"/>
      <c r="AF536" s="5" t="inlineStr"/>
      <c r="AG536" s="5" t="inlineStr"/>
      <c r="AH536" s="5" t="inlineStr"/>
    </row>
    <row r="537">
      <c r="A537" s="5" t="inlineStr">
        <is>
          <t>mb-ilk-gun-karti</t>
        </is>
      </c>
      <c r="B537" s="5" t="n">
        <v>2</v>
      </c>
      <c r="C537" s="6" t="inlineStr">
        <is>
          <t>İnsan kaynaklarını ara</t>
        </is>
      </c>
      <c r="D537" s="5" t="inlineStr">
        <is>
          <t>Çene</t>
        </is>
      </c>
      <c r="E537" s="5" t="inlineStr">
        <is>
          <t>Kolay</t>
        </is>
      </c>
      <c r="F537" s="5" t="inlineStr"/>
      <c r="G537" s="6" t="inlineStr"/>
      <c r="H537" s="6" t="inlineStr">
        <is>
          <t>Kartın on dakikada tanımlandı. Kurumsal bir mucize, tutanakla kayda geçti.</t>
        </is>
      </c>
      <c r="I537" s="6" t="inlineStr">
        <is>
          <t>Kartın tanımlandı; yanlışlıkla yönetim katına da yetki verildi. Kimseye söylemedin.</t>
        </is>
      </c>
      <c r="J537" s="6" t="inlineStr">
        <is>
          <t>İnsan kaynakları 'Sistemde görünmüyorsunuz' dedi. Varoluşsal olarak da haklıydı.</t>
        </is>
      </c>
      <c r="K537" s="6" t="inlineStr">
        <is>
          <t>Seni işe alan kişinin dün ayrıldığını öğrendin. Kaydın da onunla birlikte ayrılmış.</t>
        </is>
      </c>
      <c r="L537" s="6" t="inlineStr"/>
      <c r="M537" s="5" t="inlineStr"/>
      <c r="N537" s="5" t="inlineStr"/>
      <c r="O537" s="6" t="inlineStr"/>
      <c r="P537" s="6" t="inlineStr"/>
      <c r="Q537" s="5" t="inlineStr"/>
      <c r="R537" s="5" t="inlineStr"/>
      <c r="S537" s="5" t="inlineStr"/>
      <c r="T537" s="5" t="inlineStr"/>
      <c r="U537" s="5" t="inlineStr"/>
      <c r="V537" s="5" t="inlineStr"/>
      <c r="W537" s="5" t="inlineStr"/>
      <c r="X537" s="5" t="inlineStr"/>
      <c r="Y537" s="5" t="inlineStr"/>
      <c r="Z537" s="6" t="inlineStr"/>
      <c r="AA537" s="5" t="inlineStr"/>
      <c r="AB537" s="5" t="inlineStr"/>
      <c r="AC537" s="5" t="inlineStr"/>
      <c r="AD537" s="5" t="inlineStr"/>
      <c r="AE537" s="5" t="inlineStr"/>
      <c r="AF537" s="5" t="inlineStr"/>
      <c r="AG537" s="5" t="inlineStr"/>
      <c r="AH537" s="5" t="inlineStr"/>
    </row>
    <row r="538">
      <c r="A538" s="5" t="inlineStr">
        <is>
          <t>mb-ilk-gun-karti</t>
        </is>
      </c>
      <c r="B538" s="5" t="n">
        <v>3</v>
      </c>
      <c r="C538" s="6" t="inlineStr">
        <is>
          <t>Kuryenin arkasından geç</t>
        </is>
      </c>
      <c r="D538" s="5" t="inlineStr">
        <is>
          <t>Kurnazlık</t>
        </is>
      </c>
      <c r="E538" s="5" t="inlineStr">
        <is>
          <t>Orta</t>
        </is>
      </c>
      <c r="F538" s="5" t="inlineStr"/>
      <c r="G538" s="6" t="inlineStr"/>
      <c r="H538" s="6" t="inlineStr">
        <is>
          <t>Turnikeden ikişer geçtiniz. Kurumsal hayata arka kapıdan, ama zamanında girdin.</t>
        </is>
      </c>
      <c r="I538" s="6" t="inlineStr">
        <is>
          <t>Kuryeyle geçtin, kurye de sana bir yemek siparişi teslim etti. İlk gün öğle yemeği çözüldü.</t>
        </is>
      </c>
      <c r="J538" s="6" t="inlineStr">
        <is>
          <t>Turnike ikinizi birden sıkıştırdı. Güvenlik kamerası ilk gününü arşivledi.</t>
        </is>
      </c>
      <c r="K538" s="6" t="inlineStr">
        <is>
          <t>Alarm çaldı. Oryantasyon eğitimin güvenlik odasında, ifade vererek başladı.</t>
        </is>
      </c>
      <c r="L538" s="6" t="inlineStr"/>
      <c r="M538" s="5" t="inlineStr"/>
      <c r="N538" s="5" t="inlineStr"/>
      <c r="O538" s="6" t="inlineStr"/>
      <c r="P538" s="6" t="inlineStr"/>
      <c r="Q538" s="5" t="inlineStr"/>
      <c r="R538" s="5" t="inlineStr"/>
      <c r="S538" s="5" t="inlineStr">
        <is>
          <t>Kurnazlık</t>
        </is>
      </c>
      <c r="T538" s="5" t="inlineStr"/>
      <c r="U538" s="5" t="inlineStr"/>
      <c r="V538" s="5" t="inlineStr"/>
      <c r="W538" s="5" t="inlineStr"/>
      <c r="X538" s="5" t="inlineStr"/>
      <c r="Y538" s="5" t="inlineStr"/>
      <c r="Z538" s="6" t="inlineStr"/>
      <c r="AA538" s="5" t="inlineStr"/>
      <c r="AB538" s="5" t="inlineStr"/>
      <c r="AC538" s="5" t="inlineStr"/>
      <c r="AD538" s="5" t="inlineStr"/>
      <c r="AE538" s="5" t="inlineStr"/>
      <c r="AF538" s="5" t="inlineStr"/>
      <c r="AG538" s="5" t="inlineStr"/>
      <c r="AH538" s="5" t="inlineStr"/>
    </row>
    <row r="539">
      <c r="A539" s="5" t="inlineStr">
        <is>
          <t>me-dukkan-acilisi</t>
        </is>
      </c>
      <c r="B539" s="5" t="n">
        <v>1</v>
      </c>
      <c r="C539" s="6" t="inlineStr">
        <is>
          <t>Cama 'Açılışa özel' yaz</t>
        </is>
      </c>
      <c r="D539" s="5" t="inlineStr"/>
      <c r="E539" s="5" t="inlineStr"/>
      <c r="F539" s="5" t="inlineStr">
        <is>
          <t>Çene +1, Kurnazlık +1</t>
        </is>
      </c>
      <c r="G539" s="6" t="inlineStr">
        <is>
          <t>Camına 'Açılışa özel' yazdın. Yazı on yedi yıl orada kalacak.</t>
        </is>
      </c>
      <c r="H539" s="6" t="inlineStr"/>
      <c r="I539" s="6" t="inlineStr"/>
      <c r="J539" s="6" t="inlineStr"/>
      <c r="K539" s="6" t="inlineStr"/>
      <c r="L539" s="6" t="inlineStr"/>
      <c r="M539" s="5" t="inlineStr"/>
      <c r="N539" s="5" t="inlineStr"/>
      <c r="O539" s="6" t="inlineStr"/>
      <c r="P539" s="6" t="inlineStr"/>
      <c r="Q539" s="5" t="inlineStr"/>
      <c r="R539" s="5" t="inlineStr"/>
      <c r="S539" s="5" t="inlineStr"/>
      <c r="T539" s="5" t="inlineStr"/>
      <c r="U539" s="5" t="inlineStr"/>
      <c r="V539" s="5" t="inlineStr"/>
      <c r="W539" s="5" t="inlineStr"/>
      <c r="X539" s="5" t="inlineStr"/>
      <c r="Y539" s="5" t="inlineStr"/>
      <c r="Z539" s="6" t="inlineStr"/>
      <c r="AA539" s="5" t="inlineStr"/>
      <c r="AB539" s="5" t="inlineStr"/>
      <c r="AC539" s="5" t="inlineStr"/>
      <c r="AD539" s="5" t="inlineStr"/>
      <c r="AE539" s="5" t="inlineStr"/>
      <c r="AF539" s="5" t="inlineStr"/>
      <c r="AG539" s="5" t="inlineStr"/>
      <c r="AH539" s="5" t="inlineStr"/>
    </row>
    <row r="540">
      <c r="A540" s="5" t="inlineStr">
        <is>
          <t>me-dukkan-acilisi</t>
        </is>
      </c>
      <c r="B540" s="5" t="n">
        <v>2</v>
      </c>
      <c r="C540" s="6" t="inlineStr">
        <is>
          <t>Vitrini düzenle</t>
        </is>
      </c>
      <c r="D540" s="5" t="inlineStr">
        <is>
          <t>Akıl</t>
        </is>
      </c>
      <c r="E540" s="5" t="inlineStr">
        <is>
          <t>Orta</t>
        </is>
      </c>
      <c r="F540" s="5" t="inlineStr"/>
      <c r="G540" s="6" t="inlineStr"/>
      <c r="H540" s="6" t="inlineStr">
        <is>
          <t>Vitrin kusursuz. Yoldan geçenler durup baktı, sonra yürümeye devam etti. Ama durdular.</t>
        </is>
      </c>
      <c r="I540" s="6" t="inlineStr">
        <is>
          <t>Vitrin o kadar güzel oldu ki karşı dükkân gizlice fotoğrafını çekti. Taklit, en samimi iltifattır.</t>
        </is>
      </c>
      <c r="J540" s="6" t="inlineStr">
        <is>
          <t>Kutular yamuk durdu. Müşteriler bunu 'samimi bir işletme' olarak yorumladı.</t>
        </is>
      </c>
      <c r="K540" s="6" t="inlineStr">
        <is>
          <t>Vitrin açılıştan on dakika önce çöktü. İlk satış, 'hasarlı ürün' rafından yapıldı.</t>
        </is>
      </c>
      <c r="L540" s="6" t="inlineStr">
        <is>
          <t>Vitrin ayakta ama bir kutu hafif eğik. Her sabah düzelteceksin; her akşam yine eğilecek.</t>
        </is>
      </c>
      <c r="M540" s="5" t="inlineStr">
        <is>
          <t>balance</t>
        </is>
      </c>
      <c r="N540" s="5" t="inlineStr">
        <is>
          <t>Vitrin Düzeni</t>
        </is>
      </c>
      <c r="O540" s="6" t="inlineStr">
        <is>
          <t>Üst üste dizilmiş kutuları devirmeden dengede tut. Vitrin dükkânın yüzüdür; yüzün şu an titriyor.</t>
        </is>
      </c>
      <c r="P540" s="6" t="inlineStr">
        <is>
          <t>{"item": "📦"}</t>
        </is>
      </c>
      <c r="Q540" s="5" t="inlineStr"/>
      <c r="R540" s="5" t="inlineStr"/>
      <c r="S540" s="5" t="inlineStr"/>
      <c r="T540" s="5" t="inlineStr"/>
      <c r="U540" s="5" t="inlineStr"/>
      <c r="V540" s="5" t="inlineStr"/>
      <c r="W540" s="5" t="inlineStr"/>
      <c r="X540" s="5" t="inlineStr"/>
      <c r="Y540" s="5" t="inlineStr"/>
      <c r="Z540" s="6" t="inlineStr"/>
      <c r="AA540" s="5" t="inlineStr"/>
      <c r="AB540" s="5" t="inlineStr"/>
      <c r="AC540" s="5" t="inlineStr"/>
      <c r="AD540" s="5" t="inlineStr"/>
      <c r="AE540" s="5" t="inlineStr"/>
      <c r="AF540" s="5" t="inlineStr"/>
      <c r="AG540" s="5" t="inlineStr"/>
      <c r="AH540" s="5" t="inlineStr"/>
    </row>
    <row r="541">
      <c r="A541" s="5" t="inlineStr">
        <is>
          <t>me-dukkan-acilisi</t>
        </is>
      </c>
      <c r="B541" s="5" t="n">
        <v>3</v>
      </c>
      <c r="C541" s="6" t="inlineStr">
        <is>
          <t>Kapıda müşteri çevir</t>
        </is>
      </c>
      <c r="D541" s="5" t="inlineStr">
        <is>
          <t>Çene</t>
        </is>
      </c>
      <c r="E541" s="5" t="inlineStr">
        <is>
          <t>Kolay</t>
        </is>
      </c>
      <c r="F541" s="5" t="inlineStr"/>
      <c r="G541" s="6" t="inlineStr"/>
      <c r="H541" s="6" t="inlineStr">
        <is>
          <t>Geçen üç kişiden ikisini içeri aldın. Biri gerçekten bir şey aldı.</t>
        </is>
      </c>
      <c r="I541" s="6" t="inlineStr">
        <is>
          <t>Sokaktan geçen herkesi içeri aldın. Kira toplamaya gelen dükkân sahibi bile bir şey aldı.</t>
        </is>
      </c>
      <c r="J541" s="6" t="inlineStr">
        <is>
          <t>Seslendin, çağırdın. Sokak seni bir süre izledi, sonra karşı kaldırıma geçti.</t>
        </is>
      </c>
      <c r="K541" s="6" t="inlineStr">
        <is>
          <t>O kadar ısrarcı oldun ki mahallenin mesaj grubunda 'Dikkat, kapıda çeviren dükkân' uyarısı dolaşıma girdi.</t>
        </is>
      </c>
      <c r="L541" s="6" t="inlineStr"/>
      <c r="M541" s="5" t="inlineStr"/>
      <c r="N541" s="5" t="inlineStr"/>
      <c r="O541" s="6" t="inlineStr"/>
      <c r="P541" s="6" t="inlineStr"/>
      <c r="Q541" s="5" t="inlineStr"/>
      <c r="R541" s="5" t="inlineStr"/>
      <c r="S541" s="5" t="inlineStr"/>
      <c r="T541" s="5" t="inlineStr"/>
      <c r="U541" s="5" t="inlineStr"/>
      <c r="V541" s="5" t="inlineStr"/>
      <c r="W541" s="5" t="inlineStr"/>
      <c r="X541" s="5" t="inlineStr"/>
      <c r="Y541" s="5" t="inlineStr"/>
      <c r="Z541" s="6" t="inlineStr"/>
      <c r="AA541" s="5" t="inlineStr"/>
      <c r="AB541" s="5" t="inlineStr"/>
      <c r="AC541" s="5" t="inlineStr"/>
      <c r="AD541" s="5" t="inlineStr"/>
      <c r="AE541" s="5" t="inlineStr"/>
      <c r="AF541" s="5" t="inlineStr"/>
      <c r="AG541" s="5" t="inlineStr"/>
      <c r="AH541" s="5" t="inlineStr"/>
    </row>
    <row r="542">
      <c r="A542" s="5" t="inlineStr">
        <is>
          <t>me-dukkan-acilisi</t>
        </is>
      </c>
      <c r="B542" s="5" t="n">
        <v>4</v>
      </c>
      <c r="C542" s="6" t="inlineStr">
        <is>
          <t>Siftahı törenle yap</t>
        </is>
      </c>
      <c r="D542" s="5" t="inlineStr">
        <is>
          <t>Çene</t>
        </is>
      </c>
      <c r="E542" s="5" t="inlineStr">
        <is>
          <t>Kolay</t>
        </is>
      </c>
      <c r="F542" s="5" t="inlineStr"/>
      <c r="G542" s="6" t="inlineStr"/>
      <c r="H542" s="6" t="inlineStr">
        <is>
          <t>İlk müşteriye bereket indirimi yaptın, parayı vitrine yapıştırdın. Siftah resmen tescillendi.</t>
        </is>
      </c>
      <c r="I542" s="6" t="inlineStr">
        <is>
          <t>Siftah parasını çerçeveletip duvara astın. Çocukluktaki tezgâh tecrübesi sonunda kurumsallaştı.</t>
        </is>
      </c>
      <c r="J542" s="6" t="inlineStr">
        <is>
          <t>Siftah parasını çerçevelemek istedin; o parayla para üstü vermen gerekti. Çerçeve boş kaldı.</t>
        </is>
      </c>
      <c r="K542" s="6" t="inlineStr">
        <is>
          <t>İlk müşteriye bereket indirimi yaptın. Müşteri hesabı kendi yaptı. Siftah zararla açıldı.</t>
        </is>
      </c>
      <c r="L542" s="6" t="inlineStr"/>
      <c r="M542" s="5" t="inlineStr"/>
      <c r="N542" s="5" t="inlineStr"/>
      <c r="O542" s="6" t="inlineStr"/>
      <c r="P542" s="6" t="inlineStr"/>
      <c r="Q542" s="5" t="inlineStr">
        <is>
          <t>Küçük Tüccar</t>
        </is>
      </c>
      <c r="R542" s="5" t="inlineStr"/>
      <c r="S542" s="5" t="inlineStr"/>
      <c r="T542" s="5" t="inlineStr"/>
      <c r="U542" s="5" t="inlineStr"/>
      <c r="V542" s="5" t="inlineStr"/>
      <c r="W542" s="5" t="inlineStr"/>
      <c r="X542" s="5" t="inlineStr"/>
      <c r="Y542" s="5" t="inlineStr"/>
      <c r="Z542" s="6" t="inlineStr"/>
      <c r="AA542" s="5" t="inlineStr"/>
      <c r="AB542" s="5" t="inlineStr"/>
      <c r="AC542" s="5" t="inlineStr"/>
      <c r="AD542" s="5" t="inlineStr"/>
      <c r="AE542" s="5" t="inlineStr"/>
      <c r="AF542" s="5" t="inlineStr"/>
      <c r="AG542" s="5" t="inlineStr"/>
      <c r="AH542" s="5" t="inlineStr"/>
    </row>
    <row r="543">
      <c r="A543" s="5" t="inlineStr">
        <is>
          <t>mm-ilk-atama</t>
        </is>
      </c>
      <c r="B543" s="5" t="n">
        <v>1</v>
      </c>
      <c r="C543" s="6" t="inlineStr">
        <is>
          <t>Göreve başlama belgesini imzala</t>
        </is>
      </c>
      <c r="D543" s="5" t="inlineStr">
        <is>
          <t>Dayanıklılık</t>
        </is>
      </c>
      <c r="E543" s="5" t="inlineStr">
        <is>
          <t>Kolay</t>
        </is>
      </c>
      <c r="F543" s="5" t="inlineStr"/>
      <c r="G543" s="6" t="inlineStr"/>
      <c r="H543" s="6" t="inlineStr">
        <is>
          <t>Göreve başlama belgesini imzaladın. İmzan artık bir devlet evrakının resmî parçası.</t>
        </is>
      </c>
      <c r="I543" s="6" t="inlineStr">
        <is>
          <t>İmzan o kadar düzgün çıktı ki şube şefi fotokopisini 'örnek imza' klasörüne koydu.</t>
        </is>
      </c>
      <c r="J543" s="6" t="inlineStr">
        <is>
          <t>İmzan yamuk çıktı. Otuz yıl boyunca her imzayı bu yamuğa sadık atman gerekecek.</t>
        </is>
      </c>
      <c r="K543" s="6" t="inlineStr">
        <is>
          <t>İmzayı yanlış satıra attın. Kayıtlara göre kasabanın yeni temizlik malzemesi sorumlususun.</t>
        </is>
      </c>
      <c r="L543" s="6" t="inlineStr">
        <is>
          <t>İmza tuttu ama biraz titrek. Kurum bunu 'heyecan' olarak dosyaladı.</t>
        </is>
      </c>
      <c r="M543" s="5" t="inlineStr">
        <is>
          <t>trace</t>
        </is>
      </c>
      <c r="N543" s="5" t="inlineStr">
        <is>
          <t>İlk Resmî İmza</t>
        </is>
      </c>
      <c r="O543" s="6" t="inlineStr">
        <is>
          <t>İmzanı çizgiden taşmadan tek hamlede at. Bu imza otuz yıl boyunca her şeyin altında olacak.</t>
        </is>
      </c>
      <c r="P543" s="6" t="inlineStr">
        <is>
          <t>{"shape": "imza"}</t>
        </is>
      </c>
      <c r="Q543" s="5" t="inlineStr"/>
      <c r="R543" s="5" t="inlineStr"/>
      <c r="S543" s="5" t="inlineStr"/>
      <c r="T543" s="5" t="inlineStr"/>
      <c r="U543" s="5" t="inlineStr"/>
      <c r="V543" s="5" t="inlineStr"/>
      <c r="W543" s="5" t="inlineStr"/>
      <c r="X543" s="5" t="inlineStr"/>
      <c r="Y543" s="5" t="inlineStr"/>
      <c r="Z543" s="6" t="inlineStr"/>
      <c r="AA543" s="5" t="inlineStr"/>
      <c r="AB543" s="5" t="inlineStr"/>
      <c r="AC543" s="5" t="inlineStr"/>
      <c r="AD543" s="5" t="inlineStr"/>
      <c r="AE543" s="5" t="inlineStr"/>
      <c r="AF543" s="5" t="inlineStr"/>
      <c r="AG543" s="5" t="inlineStr"/>
      <c r="AH543" s="5" t="inlineStr"/>
    </row>
    <row r="544">
      <c r="A544" s="5" t="inlineStr">
        <is>
          <t>mm-ilk-atama</t>
        </is>
      </c>
      <c r="B544" s="5" t="n">
        <v>2</v>
      </c>
      <c r="C544" s="6" t="inlineStr">
        <is>
          <t>İlk gün tayin dilekçesi ver</t>
        </is>
      </c>
      <c r="D544" s="5" t="inlineStr">
        <is>
          <t>Akıl</t>
        </is>
      </c>
      <c r="E544" s="5" t="inlineStr">
        <is>
          <t>Orta</t>
        </is>
      </c>
      <c r="F544" s="5" t="inlineStr"/>
      <c r="G544" s="6" t="inlineStr"/>
      <c r="H544" s="6" t="inlineStr">
        <is>
          <t>Dilekçen kayda girdi, sıra numarası aldı. İki yıl sonra değerlendirilecek. Sen de öyle.</t>
        </is>
      </c>
      <c r="I544" s="6" t="inlineStr">
        <is>
          <t>Dilekçen o kadar iyi yazılmıştı ki müdürlük onu örnek dilekçe olarak arşivledi. Tayinini de iki yıl sonraya.</t>
        </is>
      </c>
      <c r="J544" s="6" t="inlineStr">
        <is>
          <t>Şef 'Yeni gelen herkes verir' dedi ve dilekçeni, yeni gelen herkesin dilekçesinin üstüne koydu.</t>
        </is>
      </c>
      <c r="K544" s="6" t="inlineStr">
        <is>
          <t>Dilekçeyi yanlış birime verdin. Kasabanın içinde, daha da uzak bir mahalleye tayin edildin.</t>
        </is>
      </c>
      <c r="L544" s="6" t="inlineStr"/>
      <c r="M544" s="5" t="inlineStr"/>
      <c r="N544" s="5" t="inlineStr"/>
      <c r="O544" s="6" t="inlineStr"/>
      <c r="P544" s="6" t="inlineStr"/>
      <c r="Q544" s="5" t="inlineStr"/>
      <c r="R544" s="5" t="inlineStr"/>
      <c r="S544" s="5" t="inlineStr"/>
      <c r="T544" s="5" t="inlineStr"/>
      <c r="U544" s="5" t="inlineStr"/>
      <c r="V544" s="5" t="inlineStr"/>
      <c r="W544" s="5" t="inlineStr"/>
      <c r="X544" s="5" t="inlineStr"/>
      <c r="Y544" s="5" t="inlineStr"/>
      <c r="Z544" s="6" t="inlineStr"/>
      <c r="AA544" s="5" t="inlineStr"/>
      <c r="AB544" s="5" t="inlineStr"/>
      <c r="AC544" s="5" t="inlineStr"/>
      <c r="AD544" s="5" t="inlineStr"/>
      <c r="AE544" s="5" t="inlineStr"/>
      <c r="AF544" s="5" t="inlineStr"/>
      <c r="AG544" s="5" t="inlineStr"/>
      <c r="AH544" s="5" t="inlineStr"/>
    </row>
    <row r="545">
      <c r="A545" s="5" t="inlineStr">
        <is>
          <t>mm-ilk-atama</t>
        </is>
      </c>
      <c r="B545" s="5" t="n">
        <v>3</v>
      </c>
      <c r="C545" s="6" t="inlineStr">
        <is>
          <t>Fırıncıyla tanış</t>
        </is>
      </c>
      <c r="D545" s="5" t="inlineStr">
        <is>
          <t>Sosyal Radar</t>
        </is>
      </c>
      <c r="E545" s="5" t="inlineStr">
        <is>
          <t>Kolay</t>
        </is>
      </c>
      <c r="F545" s="5" t="inlineStr"/>
      <c r="G545" s="6" t="inlineStr"/>
      <c r="H545" s="6" t="inlineStr">
        <is>
          <t>Fırıncıyla dost oldun. Ekmeğin sıcak, dosyaların hızlı.</t>
        </is>
      </c>
      <c r="I545" s="6" t="inlineStr">
        <is>
          <t>Fırıncı müdürün kayınbiraderi çıktı. Kasabadaki ilk yılın emekliler gibi geçti.</t>
        </is>
      </c>
      <c r="J545" s="6" t="inlineStr">
        <is>
          <t>Fırıncı yeni gelen memurlara ekmeği biraz daha pahalı veriyormuş. Tanışmak da dahil.</t>
        </is>
      </c>
      <c r="K545" s="6" t="inlineStr">
        <is>
          <t>Fırıncıya müdürü çekiştirdin. Fırıncı müdürün kardeşiymiş. İlk gün, ilk kara liste.</t>
        </is>
      </c>
      <c r="L545" s="6" t="inlineStr"/>
      <c r="M545" s="5" t="inlineStr"/>
      <c r="N545" s="5" t="inlineStr"/>
      <c r="O545" s="6" t="inlineStr"/>
      <c r="P545" s="6" t="inlineStr"/>
      <c r="Q545" s="5" t="inlineStr"/>
      <c r="R545" s="5" t="inlineStr"/>
      <c r="S545" s="5" t="inlineStr">
        <is>
          <t>Kurnazlık</t>
        </is>
      </c>
      <c r="T545" s="5" t="inlineStr"/>
      <c r="U545" s="5" t="inlineStr"/>
      <c r="V545" s="5" t="inlineStr"/>
      <c r="W545" s="5" t="inlineStr">
        <is>
          <t>memur-mudur-dusmani</t>
        </is>
      </c>
      <c r="X545" s="5" t="inlineStr"/>
      <c r="Y545" s="5" t="inlineStr"/>
      <c r="Z545" s="6" t="inlineStr"/>
      <c r="AA545" s="5" t="inlineStr"/>
      <c r="AB545" s="5" t="inlineStr"/>
      <c r="AC545" s="5" t="inlineStr"/>
      <c r="AD545" s="5" t="inlineStr"/>
      <c r="AE545" s="5" t="inlineStr"/>
      <c r="AF545" s="5" t="inlineStr"/>
      <c r="AG545" s="5" t="inlineStr"/>
      <c r="AH545" s="5" t="inlineStr"/>
    </row>
    <row r="546">
      <c r="A546" s="5" t="inlineStr">
        <is>
          <t>mm-ilk-atama</t>
        </is>
      </c>
      <c r="B546" s="5" t="n">
        <v>4</v>
      </c>
      <c r="C546" s="6" t="inlineStr">
        <is>
          <t>Lojmana yerleş</t>
        </is>
      </c>
      <c r="D546" s="5" t="inlineStr"/>
      <c r="E546" s="5" t="inlineStr"/>
      <c r="F546" s="5" t="inlineStr">
        <is>
          <t>Dayanıklılık +1, İtibar +1</t>
        </is>
      </c>
      <c r="G546" s="6" t="inlineStr">
        <is>
          <t>Musluktan ilk gün sadece ses geldi. Kurum bunu 'su tesisatı mevcut' olarak kaydetti.</t>
        </is>
      </c>
      <c r="H546" s="6" t="inlineStr"/>
      <c r="I546" s="6" t="inlineStr"/>
      <c r="J546" s="6" t="inlineStr"/>
      <c r="K546" s="6" t="inlineStr"/>
      <c r="L546" s="6" t="inlineStr"/>
      <c r="M546" s="5" t="inlineStr"/>
      <c r="N546" s="5" t="inlineStr"/>
      <c r="O546" s="6" t="inlineStr"/>
      <c r="P546" s="6" t="inlineStr"/>
      <c r="Q546" s="5" t="inlineStr"/>
      <c r="R546" s="5" t="inlineStr"/>
      <c r="S546" s="5" t="inlineStr"/>
      <c r="T546" s="5" t="inlineStr"/>
      <c r="U546" s="5" t="inlineStr"/>
      <c r="V546" s="5" t="inlineStr"/>
      <c r="W546" s="5" t="inlineStr"/>
      <c r="X546" s="5" t="inlineStr"/>
      <c r="Y546" s="5" t="inlineStr"/>
      <c r="Z546" s="6" t="inlineStr"/>
      <c r="AA546" s="5" t="inlineStr"/>
      <c r="AB546" s="5" t="inlineStr"/>
      <c r="AC546" s="5" t="inlineStr"/>
      <c r="AD546" s="5" t="inlineStr"/>
      <c r="AE546" s="5" t="inlineStr"/>
      <c r="AF546" s="5" t="inlineStr"/>
      <c r="AG546" s="5" t="inlineStr"/>
      <c r="AH546" s="5" t="inlineStr"/>
    </row>
    <row r="547">
      <c r="A547" s="5" t="inlineStr">
        <is>
          <t>ms-ilk-musteri</t>
        </is>
      </c>
      <c r="B547" s="5" t="n">
        <v>1</v>
      </c>
      <c r="C547" s="6" t="inlineStr">
        <is>
          <t>Fiyat ver</t>
        </is>
      </c>
      <c r="D547" s="5" t="inlineStr">
        <is>
          <t>Çene</t>
        </is>
      </c>
      <c r="E547" s="5" t="inlineStr">
        <is>
          <t>Orta</t>
        </is>
      </c>
      <c r="F547" s="5" t="inlineStr"/>
      <c r="G547" s="6" t="inlineStr"/>
      <c r="H547" s="6" t="inlineStr">
        <is>
          <t>Makul bir rakamda anlaştınız. Serbest hayatının ilk faturası kesildi.</t>
        </is>
      </c>
      <c r="I547" s="6" t="inlineStr">
        <is>
          <t>Rakamını hiç düşünmeden kabul ettiler, üstüne iki iş daha verdiler. Portfolyon doğdu.</t>
        </is>
      </c>
      <c r="J547" s="6" t="inlineStr">
        <is>
          <t>Anlaştınız. Ücret, kafede içtiğiniz iki kahveyi karşılamadı.</t>
        </is>
      </c>
      <c r="K547" s="6" t="inlineStr">
        <is>
          <t>Pazarlık bittiğinde müşteriye para ödemeyi kabul etmiştin. Kahveleri de sen ödedin.</t>
        </is>
      </c>
      <c r="L547" s="6" t="inlineStr">
        <is>
          <t>Ortada buluştunuz. Senin ortan biraz daha aşağıdaydı.</t>
        </is>
      </c>
      <c r="M547" s="5" t="inlineStr">
        <is>
          <t>bargain</t>
        </is>
      </c>
      <c r="N547" s="5" t="inlineStr">
        <is>
          <t>İlk Teklif</t>
        </is>
      </c>
      <c r="O547" s="6" t="inlineStr">
        <is>
          <t>Müşterinin sabrı tükenmeden ücreti olabildiğince yukarıda tut.</t>
        </is>
      </c>
      <c r="P547" s="6" t="inlineStr">
        <is>
          <t>{"item": "ilk iş", "mode": "sell"}</t>
        </is>
      </c>
      <c r="Q547" s="5" t="inlineStr"/>
      <c r="R547" s="5" t="inlineStr"/>
      <c r="S547" s="5" t="inlineStr"/>
      <c r="T547" s="5" t="inlineStr"/>
      <c r="U547" s="5" t="inlineStr"/>
      <c r="V547" s="5" t="inlineStr"/>
      <c r="W547" s="5" t="inlineStr"/>
      <c r="X547" s="5" t="inlineStr"/>
      <c r="Y547" s="5" t="inlineStr"/>
      <c r="Z547" s="6" t="inlineStr"/>
      <c r="AA547" s="5" t="inlineStr"/>
      <c r="AB547" s="5" t="inlineStr"/>
      <c r="AC547" s="5" t="inlineStr"/>
      <c r="AD547" s="5" t="inlineStr"/>
      <c r="AE547" s="5" t="inlineStr"/>
      <c r="AF547" s="5" t="inlineStr"/>
      <c r="AG547" s="5" t="inlineStr"/>
      <c r="AH547" s="5" t="inlineStr"/>
    </row>
    <row r="548">
      <c r="A548" s="5" t="inlineStr">
        <is>
          <t>ms-ilk-musteri</t>
        </is>
      </c>
      <c r="B548" s="5" t="n">
        <v>2</v>
      </c>
      <c r="C548" s="6" t="inlineStr">
        <is>
          <t>Arkadaş fiyatı yap</t>
        </is>
      </c>
      <c r="D548" s="5" t="inlineStr"/>
      <c r="E548" s="5" t="inlineStr"/>
      <c r="F548" s="5" t="inlineStr">
        <is>
          <t>İtibar +1</t>
        </is>
      </c>
      <c r="G548" s="6" t="inlineStr">
        <is>
          <t>Arkadaş fiyatı verdin. Müşteri arkadaşın değildi. Artık onun bütün arkadaşlarına da arkadaş fiyatın var.</t>
        </is>
      </c>
      <c r="H548" s="6" t="inlineStr"/>
      <c r="I548" s="6" t="inlineStr"/>
      <c r="J548" s="6" t="inlineStr"/>
      <c r="K548" s="6" t="inlineStr"/>
      <c r="L548" s="6" t="inlineStr"/>
      <c r="M548" s="5" t="inlineStr"/>
      <c r="N548" s="5" t="inlineStr"/>
      <c r="O548" s="6" t="inlineStr"/>
      <c r="P548" s="6" t="inlineStr"/>
      <c r="Q548" s="5" t="inlineStr"/>
      <c r="R548" s="5" t="inlineStr"/>
      <c r="S548" s="5" t="inlineStr"/>
      <c r="T548" s="5" t="inlineStr"/>
      <c r="U548" s="5" t="inlineStr"/>
      <c r="V548" s="5" t="inlineStr"/>
      <c r="W548" s="5" t="inlineStr"/>
      <c r="X548" s="5" t="inlineStr"/>
      <c r="Y548" s="5" t="inlineStr"/>
      <c r="Z548" s="6" t="inlineStr"/>
      <c r="AA548" s="5" t="inlineStr"/>
      <c r="AB548" s="5" t="inlineStr"/>
      <c r="AC548" s="5" t="inlineStr"/>
      <c r="AD548" s="5" t="inlineStr"/>
      <c r="AE548" s="5" t="inlineStr"/>
      <c r="AF548" s="5" t="inlineStr"/>
      <c r="AG548" s="5" t="inlineStr"/>
      <c r="AH548" s="5" t="inlineStr"/>
    </row>
    <row r="549">
      <c r="A549" s="5" t="inlineStr">
        <is>
          <t>ms-ilk-musteri</t>
        </is>
      </c>
      <c r="B549" s="5" t="n">
        <v>3</v>
      </c>
      <c r="C549" s="6" t="inlineStr">
        <is>
          <t>Rakibin rakamının biraz altını söyle</t>
        </is>
      </c>
      <c r="D549" s="5" t="inlineStr">
        <is>
          <t>Kurnazlık</t>
        </is>
      </c>
      <c r="E549" s="5" t="inlineStr">
        <is>
          <t>Kolay</t>
        </is>
      </c>
      <c r="F549" s="5" t="inlineStr"/>
      <c r="G549" s="6" t="inlineStr"/>
      <c r="H549" s="6" t="inlineStr">
        <is>
          <t>Rakibin teklifinin bir tık altına girdin. İş senin, rakip şaşkın.</t>
        </is>
      </c>
      <c r="I549" s="6" t="inlineStr">
        <is>
          <t>Bir tık altına girdin ve daha hızlı teslim sözü verdin. Müşteri seni kalıcı ajansı yaptı.</t>
        </is>
      </c>
      <c r="J549" s="6" t="inlineStr">
        <is>
          <t>Rakibin teklifinin altına girdin; müşteri ikinizi birden bir tık daha aşağıya çekti.</t>
        </is>
      </c>
      <c r="K549" s="6" t="inlineStr">
        <is>
          <t>Ekranda gördüğün rakam aylık değil, saatlikmiş. Kendini aylığa sattın.</t>
        </is>
      </c>
      <c r="L549" s="6" t="inlineStr"/>
      <c r="M549" s="5" t="inlineStr"/>
      <c r="N549" s="5" t="inlineStr"/>
      <c r="O549" s="6" t="inlineStr"/>
      <c r="P549" s="6" t="inlineStr"/>
      <c r="Q549" s="5" t="inlineStr"/>
      <c r="R549" s="5" t="inlineStr"/>
      <c r="S549" s="5" t="inlineStr">
        <is>
          <t>Kurnazlık</t>
        </is>
      </c>
      <c r="T549" s="5" t="inlineStr"/>
      <c r="U549" s="5" t="inlineStr"/>
      <c r="V549" s="5" t="inlineStr"/>
      <c r="W549" s="5" t="inlineStr"/>
      <c r="X549" s="5" t="inlineStr"/>
      <c r="Y549" s="5" t="inlineStr"/>
      <c r="Z549" s="6" t="inlineStr"/>
      <c r="AA549" s="5" t="inlineStr"/>
      <c r="AB549" s="5" t="inlineStr"/>
      <c r="AC549" s="5" t="inlineStr"/>
      <c r="AD549" s="5" t="inlineStr"/>
      <c r="AE549" s="5" t="inlineStr"/>
      <c r="AF549" s="5" t="inlineStr"/>
      <c r="AG549" s="5" t="inlineStr"/>
      <c r="AH549" s="5" t="inlineStr"/>
    </row>
    <row r="550">
      <c r="A550" s="5" t="inlineStr">
        <is>
          <t>b6-is-gorusmesi</t>
        </is>
      </c>
      <c r="B550" s="5" t="n">
        <v>1</v>
      </c>
      <c r="C550" s="6" t="inlineStr">
        <is>
          <t>Dürüst cevap ver</t>
        </is>
      </c>
      <c r="D550" s="5" t="inlineStr"/>
      <c r="E550" s="5" t="inlineStr"/>
      <c r="F550" s="5" t="inlineStr">
        <is>
          <t>İtibar +2</t>
        </is>
      </c>
      <c r="G550" s="6" t="inlineStr">
        <is>
          <t>'Emekliliği planlarken' dedin. Gülüştüler. Başka adayı aldılar ama seni sevdiler.</t>
        </is>
      </c>
      <c r="H550" s="6" t="inlineStr"/>
      <c r="I550" s="6" t="inlineStr"/>
      <c r="J550" s="6" t="inlineStr"/>
      <c r="K550" s="6" t="inlineStr"/>
      <c r="L550" s="6" t="inlineStr"/>
      <c r="M550" s="5" t="inlineStr"/>
      <c r="N550" s="5" t="inlineStr"/>
      <c r="O550" s="6" t="inlineStr"/>
      <c r="P550" s="6" t="inlineStr"/>
      <c r="Q550" s="5" t="inlineStr"/>
      <c r="R550" s="5" t="inlineStr"/>
      <c r="S550" s="5" t="inlineStr"/>
      <c r="T550" s="5" t="inlineStr"/>
      <c r="U550" s="5" t="inlineStr"/>
      <c r="V550" s="5" t="inlineStr"/>
      <c r="W550" s="5" t="inlineStr"/>
      <c r="X550" s="5" t="inlineStr"/>
      <c r="Y550" s="5" t="inlineStr"/>
      <c r="Z550" s="6" t="inlineStr"/>
      <c r="AA550" s="5" t="inlineStr"/>
      <c r="AB550" s="5" t="inlineStr"/>
      <c r="AC550" s="5" t="inlineStr"/>
      <c r="AD550" s="5" t="inlineStr"/>
      <c r="AE550" s="5" t="inlineStr"/>
      <c r="AF550" s="5" t="inlineStr"/>
      <c r="AG550" s="5" t="inlineStr"/>
      <c r="AH550" s="5" t="inlineStr"/>
    </row>
    <row r="551">
      <c r="A551" s="5" t="inlineStr">
        <is>
          <t>b6-is-gorusmesi</t>
        </is>
      </c>
      <c r="B551" s="5" t="n">
        <v>2</v>
      </c>
      <c r="C551" s="6" t="inlineStr">
        <is>
          <t>Soğukkanlılığını koru</t>
        </is>
      </c>
      <c r="D551" s="5" t="inlineStr">
        <is>
          <t>Pişkinlik</t>
        </is>
      </c>
      <c r="E551" s="5" t="inlineStr">
        <is>
          <t>Orta</t>
        </is>
      </c>
      <c r="F551" s="5" t="inlineStr"/>
      <c r="G551" s="6" t="inlineStr"/>
      <c r="H551" s="6" t="inlineStr">
        <is>
          <t>Her soruyu sakin karşıladın. 'Size döneceğiz' dediler. Döndüler de.</t>
        </is>
      </c>
      <c r="I551" s="6" t="inlineStr">
        <is>
          <t>Görüşmenin sonunda seni onlar ikna etmeye çalıştı. Beklediğinden fazlasını teklif ettiler.</t>
        </is>
      </c>
      <c r="J551" s="6" t="inlineStr">
        <is>
          <t>Dördüncü soruda 'Neden bu şirket?' dediler. Şirketin adını unuttun.</t>
        </is>
      </c>
      <c r="K551" s="6" t="inlineStr">
        <is>
          <t>Zayıf yönünü sordular. 'Gerilince terlerim' dedin. Kanıt masadaydı.</t>
        </is>
      </c>
      <c r="L551" s="6" t="inlineStr">
        <is>
          <t>Bir soruda takıldın, sonra toparlandın. 'İkinci görüşmeye çağıracağız' dediler. Takvim belirsiz.</t>
        </is>
      </c>
      <c r="M551" s="5" t="inlineStr">
        <is>
          <t>poker</t>
        </is>
      </c>
      <c r="N551" s="5" t="inlineStr">
        <is>
          <t>Poker Suratı</t>
        </is>
      </c>
      <c r="O551" s="6" t="inlineStr">
        <is>
          <t>Parmağını kaçan dairenin içinde tut. Sorular üstüne geldikçe bırakma.</t>
        </is>
      </c>
      <c r="P551" s="6" t="inlineStr">
        <is>
          <t>{"questions": ["Beş yıl sonra neredesiniz?", "En büyük zayıflığınız?", "Neden ayrıldınız?", "Maaş beklentiniz?", "Neden sizi seçelim?"]}</t>
        </is>
      </c>
      <c r="Q551" s="5" t="inlineStr"/>
      <c r="R551" s="5" t="inlineStr"/>
      <c r="S551" s="5" t="inlineStr"/>
      <c r="T551" s="5" t="inlineStr"/>
      <c r="U551" s="5" t="inlineStr"/>
      <c r="V551" s="5" t="inlineStr"/>
      <c r="W551" s="5" t="inlineStr"/>
      <c r="X551" s="5" t="inlineStr"/>
      <c r="Y551" s="5" t="inlineStr"/>
      <c r="Z551" s="6" t="inlineStr"/>
      <c r="AA551" s="5" t="inlineStr"/>
      <c r="AB551" s="5" t="inlineStr"/>
      <c r="AC551" s="5" t="inlineStr"/>
      <c r="AD551" s="5" t="inlineStr"/>
      <c r="AE551" s="5" t="inlineStr"/>
      <c r="AF551" s="5" t="inlineStr"/>
      <c r="AG551" s="5" t="inlineStr"/>
      <c r="AH551" s="5" t="inlineStr"/>
    </row>
    <row r="552">
      <c r="A552" s="5" t="inlineStr">
        <is>
          <t>b6-is-gorusmesi</t>
        </is>
      </c>
      <c r="B552" s="5" t="n">
        <v>3</v>
      </c>
      <c r="C552" s="6" t="inlineStr">
        <is>
          <t>Sessiz olana oyna</t>
        </is>
      </c>
      <c r="D552" s="5" t="inlineStr">
        <is>
          <t>Sosyal Radar</t>
        </is>
      </c>
      <c r="E552" s="5" t="inlineStr">
        <is>
          <t>Kolay</t>
        </is>
      </c>
      <c r="F552" s="5" t="inlineStr"/>
      <c r="G552" s="6" t="inlineStr"/>
      <c r="H552" s="6" t="inlineStr">
        <is>
          <t>Cevaplarını ortadaki sessiz kişiye yönelttin. Görüşme bittiğinde sadece o gülümsüyordu. Yetti.</t>
        </is>
      </c>
      <c r="I552" s="6" t="inlineStr">
        <is>
          <t>Sessiz olan şirketin kurucusuymuş. Ertesi gün aradı: 'Ne zaman başlarsın?'</t>
        </is>
      </c>
      <c r="J552" s="6" t="inlineStr">
        <is>
          <t>Ortadakine baktın, o da sana. Kimse konuşmadı. Görüşme erken bitti.</t>
        </is>
      </c>
      <c r="K552" s="6" t="inlineStr">
        <is>
          <t>Ona öyle dikkatle baktın ki diğer ikisi seni 'rahatsız edici' diye not etti.</t>
        </is>
      </c>
      <c r="L552" s="6" t="inlineStr"/>
      <c r="M552" s="5" t="inlineStr"/>
      <c r="N552" s="5" t="inlineStr"/>
      <c r="O552" s="6" t="inlineStr"/>
      <c r="P552" s="6" t="inlineStr"/>
      <c r="Q552" s="5" t="inlineStr"/>
      <c r="R552" s="5" t="inlineStr"/>
      <c r="S552" s="5" t="inlineStr">
        <is>
          <t>Sosyal Radar</t>
        </is>
      </c>
      <c r="T552" s="5" t="inlineStr"/>
      <c r="U552" s="5" t="inlineStr"/>
      <c r="V552" s="5" t="inlineStr"/>
      <c r="W552" s="5" t="inlineStr"/>
      <c r="X552" s="5" t="inlineStr"/>
      <c r="Y552" s="5" t="inlineStr"/>
      <c r="Z552" s="6" t="inlineStr"/>
      <c r="AA552" s="5" t="inlineStr"/>
      <c r="AB552" s="5" t="inlineStr"/>
      <c r="AC552" s="5" t="inlineStr"/>
      <c r="AD552" s="5" t="inlineStr"/>
      <c r="AE552" s="5" t="inlineStr"/>
      <c r="AF552" s="5" t="inlineStr"/>
      <c r="AG552" s="5" t="inlineStr"/>
      <c r="AH552" s="5" t="inlineStr"/>
    </row>
    <row r="553">
      <c r="A553" s="5" t="inlineStr">
        <is>
          <t>b6-is-gorusmesi</t>
        </is>
      </c>
      <c r="B553" s="5" t="n">
        <v>4</v>
      </c>
      <c r="C553" s="6" t="inlineStr">
        <is>
          <t>Yurt dışı deneyimini anlat</t>
        </is>
      </c>
      <c r="D553" s="5" t="inlineStr">
        <is>
          <t>Çene</t>
        </is>
      </c>
      <c r="E553" s="5" t="inlineStr">
        <is>
          <t>Kolay</t>
        </is>
      </c>
      <c r="F553" s="5" t="inlineStr"/>
      <c r="G553" s="6" t="inlineStr"/>
      <c r="H553" s="6" t="inlineStr">
        <is>
          <t>Bir dönemlik değişim programı, anlattıkça bir yıla uzadı. Etkilendiler.</t>
        </is>
      </c>
      <c r="I553" s="6" t="inlineStr">
        <is>
          <t>Seni yurt dışı projelerine önerdiler. Oradaki peynir hâlâ kötü, ama maaş iyi.</t>
        </is>
      </c>
      <c r="J553" s="6" t="inlineStr">
        <is>
          <t>Görüşmeci aynı şehirde iki yıl yaşamış. Anlattığın yerlerin hiçbirini tanımadı.</t>
        </is>
      </c>
      <c r="K553" s="6" t="inlineStr">
        <is>
          <t>Görüşmeci senin orada mikrodalgada yumurta patlattığın hikâyeyi zaten duymuş. Dünya küçük.</t>
        </is>
      </c>
      <c r="L553" s="6" t="inlineStr"/>
      <c r="M553" s="5" t="inlineStr"/>
      <c r="N553" s="5" t="inlineStr"/>
      <c r="O553" s="6" t="inlineStr"/>
      <c r="P553" s="6" t="inlineStr"/>
      <c r="Q553" s="5" t="inlineStr"/>
      <c r="R553" s="5" t="inlineStr">
        <is>
          <t>yurtdisi-gordu</t>
        </is>
      </c>
      <c r="S553" s="5" t="inlineStr"/>
      <c r="T553" s="5" t="inlineStr"/>
      <c r="U553" s="5" t="inlineStr"/>
      <c r="V553" s="5" t="inlineStr"/>
      <c r="W553" s="5" t="inlineStr"/>
      <c r="X553" s="5" t="inlineStr"/>
      <c r="Y553" s="5" t="inlineStr"/>
      <c r="Z553" s="6" t="inlineStr"/>
      <c r="AA553" s="5" t="inlineStr"/>
      <c r="AB553" s="5" t="inlineStr"/>
      <c r="AC553" s="5" t="inlineStr"/>
      <c r="AD553" s="5" t="inlineStr"/>
      <c r="AE553" s="5" t="inlineStr"/>
      <c r="AF553" s="5" t="inlineStr"/>
      <c r="AG553" s="5" t="inlineStr"/>
      <c r="AH553" s="5" t="inlineStr"/>
    </row>
    <row r="554">
      <c r="A554" s="5" t="inlineStr">
        <is>
          <t>mb-acik-ofis</t>
        </is>
      </c>
      <c r="B554" s="5" t="n">
        <v>1</v>
      </c>
      <c r="C554" s="6" t="inlineStr">
        <is>
          <t>Kulaklığı tak</t>
        </is>
      </c>
      <c r="D554" s="5" t="inlineStr"/>
      <c r="E554" s="5" t="inlineStr"/>
      <c r="F554" s="5" t="inlineStr">
        <is>
          <t>Dayanıklılık +1</t>
        </is>
      </c>
      <c r="G554" s="6" t="inlineStr">
        <is>
          <t>Kulaklığı taktın; içinde hiçbir şey çalmıyor. Kurumsal sessizliğin en saf hâli.</t>
        </is>
      </c>
      <c r="H554" s="6" t="inlineStr"/>
      <c r="I554" s="6" t="inlineStr"/>
      <c r="J554" s="6" t="inlineStr"/>
      <c r="K554" s="6" t="inlineStr"/>
      <c r="L554" s="6" t="inlineStr"/>
      <c r="M554" s="5" t="inlineStr"/>
      <c r="N554" s="5" t="inlineStr"/>
      <c r="O554" s="6" t="inlineStr"/>
      <c r="P554" s="6" t="inlineStr"/>
      <c r="Q554" s="5" t="inlineStr"/>
      <c r="R554" s="5" t="inlineStr"/>
      <c r="S554" s="5" t="inlineStr"/>
      <c r="T554" s="5" t="inlineStr"/>
      <c r="U554" s="5" t="inlineStr"/>
      <c r="V554" s="5" t="inlineStr"/>
      <c r="W554" s="5" t="inlineStr"/>
      <c r="X554" s="5" t="inlineStr"/>
      <c r="Y554" s="5" t="inlineStr"/>
      <c r="Z554" s="6" t="inlineStr"/>
      <c r="AA554" s="5" t="inlineStr"/>
      <c r="AB554" s="5" t="inlineStr"/>
      <c r="AC554" s="5" t="inlineStr"/>
      <c r="AD554" s="5" t="inlineStr"/>
      <c r="AE554" s="5" t="inlineStr"/>
      <c r="AF554" s="5" t="inlineStr"/>
      <c r="AG554" s="5" t="inlineStr"/>
      <c r="AH554" s="5" t="inlineStr"/>
    </row>
    <row r="555">
      <c r="A555" s="5" t="inlineStr">
        <is>
          <t>mb-acik-ofis</t>
        </is>
      </c>
      <c r="B555" s="5" t="n">
        <v>2</v>
      </c>
      <c r="C555" s="6" t="inlineStr">
        <is>
          <t>Masaya bitki koy, alan kazan</t>
        </is>
      </c>
      <c r="D555" s="5" t="inlineStr">
        <is>
          <t>Kurnazlık</t>
        </is>
      </c>
      <c r="E555" s="5" t="inlineStr">
        <is>
          <t>Kolay</t>
        </is>
      </c>
      <c r="F555" s="5" t="inlineStr"/>
      <c r="G555" s="6" t="inlineStr"/>
      <c r="H555" s="6" t="inlineStr">
        <is>
          <t>Bitkiyle başladın, dosya dolabıyla devam ettin. Açık ofiste kendi duvarını ördün.</t>
        </is>
      </c>
      <c r="I555" s="6" t="inlineStr">
        <is>
          <t>Masan öyle yeşillendi ki tesis yönetimi orayı 'dinlenme alanı' ilan etti. Tek kişilik.</t>
        </is>
      </c>
      <c r="J555" s="6" t="inlineStr">
        <is>
          <t>Bitki bir haftada kurudu. Klimanın tam altındaymışsın.</t>
        </is>
      </c>
      <c r="K555" s="6" t="inlineStr">
        <is>
          <t>Bitkiyi sularken klavyeye döktün. Katın geri kalanı için artık 'sulu masa' sensin.</t>
        </is>
      </c>
      <c r="L555" s="6" t="inlineStr"/>
      <c r="M555" s="5" t="inlineStr"/>
      <c r="N555" s="5" t="inlineStr"/>
      <c r="O555" s="6" t="inlineStr"/>
      <c r="P555" s="6" t="inlineStr"/>
      <c r="Q555" s="5" t="inlineStr"/>
      <c r="R555" s="5" t="inlineStr"/>
      <c r="S555" s="5" t="inlineStr"/>
      <c r="T555" s="5" t="inlineStr"/>
      <c r="U555" s="5" t="inlineStr"/>
      <c r="V555" s="5" t="inlineStr"/>
      <c r="W555" s="5" t="inlineStr"/>
      <c r="X555" s="5" t="inlineStr"/>
      <c r="Y555" s="5" t="inlineStr"/>
      <c r="Z555" s="6" t="inlineStr"/>
      <c r="AA555" s="5" t="inlineStr"/>
      <c r="AB555" s="5" t="inlineStr"/>
      <c r="AC555" s="5" t="inlineStr"/>
      <c r="AD555" s="5" t="inlineStr"/>
      <c r="AE555" s="5" t="inlineStr"/>
      <c r="AF555" s="5" t="inlineStr"/>
      <c r="AG555" s="5" t="inlineStr"/>
      <c r="AH555" s="5" t="inlineStr"/>
    </row>
    <row r="556">
      <c r="A556" s="5" t="inlineStr">
        <is>
          <t>mb-acik-ofis</t>
        </is>
      </c>
      <c r="B556" s="5" t="n">
        <v>3</v>
      </c>
      <c r="C556" s="6" t="inlineStr">
        <is>
          <t>Herkesle kaynaş</t>
        </is>
      </c>
      <c r="D556" s="5" t="inlineStr">
        <is>
          <t>Sosyal Radar</t>
        </is>
      </c>
      <c r="E556" s="5" t="inlineStr">
        <is>
          <t>Zor</t>
        </is>
      </c>
      <c r="F556" s="5" t="inlineStr"/>
      <c r="G556" s="6" t="inlineStr"/>
      <c r="H556" s="6" t="inlineStr">
        <is>
          <t>Üç günde katın bütün dedikodu ağına bağlandın. Bilgi artık sende toplanıyor.</t>
        </is>
      </c>
      <c r="I556" s="6" t="inlineStr">
        <is>
          <t>Kimin kime küs olduğunu çözdün. Gerçek organizasyon şeması artık senin kafanda.</t>
        </is>
      </c>
      <c r="J556" s="6" t="inlineStr">
        <is>
          <t>Kaynaşmaya çalıştın; herkes kulaklığını işaret etti.</t>
        </is>
      </c>
      <c r="K556" s="6" t="inlineStr">
        <is>
          <t>Kaynaşırken birini dedikodu yaparken yakaladın. O da seni. Aynı dedikoduyu yapıyordunuz.</t>
        </is>
      </c>
      <c r="L556" s="6" t="inlineStr"/>
      <c r="M556" s="5" t="inlineStr"/>
      <c r="N556" s="5" t="inlineStr"/>
      <c r="O556" s="6" t="inlineStr"/>
      <c r="P556" s="6" t="inlineStr"/>
      <c r="Q556" s="5" t="inlineStr"/>
      <c r="R556" s="5" t="inlineStr"/>
      <c r="S556" s="5" t="inlineStr"/>
      <c r="T556" s="5" t="inlineStr">
        <is>
          <t>Plaza Diplomatı</t>
        </is>
      </c>
      <c r="U556" s="5" t="inlineStr"/>
      <c r="V556" s="5" t="inlineStr"/>
      <c r="W556" s="5" t="inlineStr"/>
      <c r="X556" s="5" t="inlineStr"/>
      <c r="Y556" s="5" t="inlineStr"/>
      <c r="Z556" s="6" t="inlineStr"/>
      <c r="AA556" s="5" t="inlineStr"/>
      <c r="AB556" s="5" t="inlineStr"/>
      <c r="AC556" s="5" t="inlineStr"/>
      <c r="AD556" s="5" t="inlineStr"/>
      <c r="AE556" s="5" t="inlineStr"/>
      <c r="AF556" s="5" t="inlineStr"/>
      <c r="AG556" s="5" t="inlineStr"/>
      <c r="AH556" s="5" t="inlineStr"/>
    </row>
    <row r="557">
      <c r="A557" s="5" t="inlineStr">
        <is>
          <t>b6-dugun-yagmuru</t>
        </is>
      </c>
      <c r="B557" s="5" t="n">
        <v>1</v>
      </c>
      <c r="C557" s="6" t="inlineStr">
        <is>
          <t>'Yakında' de ve gülümse</t>
        </is>
      </c>
      <c r="D557" s="5" t="inlineStr"/>
      <c r="E557" s="5" t="inlineStr"/>
      <c r="F557" s="5" t="inlineStr">
        <is>
          <t>Pişkinlik +1</t>
        </is>
      </c>
      <c r="G557" s="6" t="inlineStr">
        <is>
          <t>Teyze 'Yakında'yı bir tarih olarak kaydetti. Takvimde kırmızıyla işaretli.</t>
        </is>
      </c>
      <c r="H557" s="6" t="inlineStr"/>
      <c r="I557" s="6" t="inlineStr"/>
      <c r="J557" s="6" t="inlineStr"/>
      <c r="K557" s="6" t="inlineStr"/>
      <c r="L557" s="6" t="inlineStr"/>
      <c r="M557" s="5" t="inlineStr"/>
      <c r="N557" s="5" t="inlineStr"/>
      <c r="O557" s="6" t="inlineStr"/>
      <c r="P557" s="6" t="inlineStr"/>
      <c r="Q557" s="5" t="inlineStr"/>
      <c r="R557" s="5" t="inlineStr"/>
      <c r="S557" s="5" t="inlineStr"/>
      <c r="T557" s="5" t="inlineStr"/>
      <c r="U557" s="5" t="inlineStr"/>
      <c r="V557" s="5" t="inlineStr"/>
      <c r="W557" s="5" t="inlineStr"/>
      <c r="X557" s="5" t="inlineStr"/>
      <c r="Y557" s="5" t="inlineStr"/>
      <c r="Z557" s="6" t="inlineStr"/>
      <c r="AA557" s="5" t="inlineStr"/>
      <c r="AB557" s="5" t="inlineStr"/>
      <c r="AC557" s="5" t="inlineStr"/>
      <c r="AD557" s="5" t="inlineStr"/>
      <c r="AE557" s="5" t="inlineStr"/>
      <c r="AF557" s="5" t="inlineStr"/>
      <c r="AG557" s="5" t="inlineStr"/>
      <c r="AH557" s="5" t="inlineStr"/>
    </row>
    <row r="558">
      <c r="A558" s="5" t="inlineStr">
        <is>
          <t>b6-dugun-yagmuru</t>
        </is>
      </c>
      <c r="B558" s="5" t="n">
        <v>2</v>
      </c>
      <c r="C558" s="6" t="inlineStr">
        <is>
          <t>Halayın başına geç</t>
        </is>
      </c>
      <c r="D558" s="5" t="inlineStr">
        <is>
          <t>Cesaret</t>
        </is>
      </c>
      <c r="E558" s="5" t="inlineStr">
        <is>
          <t>Orta</t>
        </is>
      </c>
      <c r="F558" s="5" t="inlineStr"/>
      <c r="G558" s="6" t="inlineStr"/>
      <c r="H558" s="6" t="inlineStr">
        <is>
          <t>Mendili aldın, halayı yönettin. Düğünün en unutulmaz dakikaları senin adına kaydedildi.</t>
        </is>
      </c>
      <c r="I558" s="6" t="inlineStr">
        <is>
          <t>Halay o kadar iyi gitti ki gelin damadı bırakıp arkana geçti. Video yayıldı.</t>
        </is>
      </c>
      <c r="J558" s="6" t="inlineStr">
        <is>
          <t>Mendili aldın, adımları unuttun. Halay bir süre yerinde saydı.</t>
        </is>
      </c>
      <c r="K558" s="6" t="inlineStr">
        <is>
          <t>Mendili sallarken orkestranın mikrofonunu devirdin. Düğünün kalanı akustik devam etti.</t>
        </is>
      </c>
      <c r="L558" s="6" t="inlineStr"/>
      <c r="M558" s="5" t="inlineStr"/>
      <c r="N558" s="5" t="inlineStr"/>
      <c r="O558" s="6" t="inlineStr"/>
      <c r="P558" s="6" t="inlineStr"/>
      <c r="Q558" s="5" t="inlineStr"/>
      <c r="R558" s="5" t="inlineStr"/>
      <c r="S558" s="5" t="inlineStr"/>
      <c r="T558" s="5" t="inlineStr"/>
      <c r="U558" s="5" t="inlineStr"/>
      <c r="V558" s="5" t="inlineStr"/>
      <c r="W558" s="5" t="inlineStr"/>
      <c r="X558" s="5" t="inlineStr"/>
      <c r="Y558" s="5" t="inlineStr"/>
      <c r="Z558" s="6" t="inlineStr"/>
      <c r="AA558" s="5" t="inlineStr"/>
      <c r="AB558" s="5" t="inlineStr"/>
      <c r="AC558" s="5" t="inlineStr"/>
      <c r="AD558" s="5" t="inlineStr"/>
      <c r="AE558" s="5" t="inlineStr"/>
      <c r="AF558" s="5" t="inlineStr"/>
      <c r="AG558" s="5" t="inlineStr"/>
      <c r="AH558" s="5" t="inlineStr"/>
    </row>
    <row r="559">
      <c r="A559" s="5" t="inlineStr">
        <is>
          <t>b6-dugun-yagmuru</t>
        </is>
      </c>
      <c r="B559" s="5" t="n">
        <v>3</v>
      </c>
      <c r="C559" s="6" t="inlineStr">
        <is>
          <t>Teyze komitesinden kaç</t>
        </is>
      </c>
      <c r="D559" s="5" t="inlineStr">
        <is>
          <t>Kurnazlık</t>
        </is>
      </c>
      <c r="E559" s="5" t="inlineStr">
        <is>
          <t>Orta</t>
        </is>
      </c>
      <c r="F559" s="5" t="inlineStr"/>
      <c r="G559" s="6" t="inlineStr"/>
      <c r="H559" s="6" t="inlineStr">
        <is>
          <t>Tatlı servisinde kayboldun. Döndüğünde komite başka birini seçmişti.</t>
        </is>
      </c>
      <c r="I559" s="6" t="inlineStr">
        <is>
          <t>Kaçarken komiteyi bekâr kuzenine yönlendirdin. Kuzen bu yıl evleniyor. Sana teşekkür etmedi.</t>
        </is>
      </c>
      <c r="J559" s="6" t="inlineStr">
        <is>
          <t>Komite seni otoparkta buldu. Yanlarında bir aday vardı.</t>
        </is>
      </c>
      <c r="K559" s="6" t="inlineStr">
        <is>
          <t>Yanlış kapıdan çıktın, damadın odasına girdin. Aile fotoğrafına dahil edildin.</t>
        </is>
      </c>
      <c r="L559" s="6" t="inlineStr"/>
      <c r="M559" s="5" t="inlineStr"/>
      <c r="N559" s="5" t="inlineStr"/>
      <c r="O559" s="6" t="inlineStr"/>
      <c r="P559" s="6" t="inlineStr"/>
      <c r="Q559" s="5" t="inlineStr"/>
      <c r="R559" s="5" t="inlineStr"/>
      <c r="S559" s="5" t="inlineStr"/>
      <c r="T559" s="5" t="inlineStr"/>
      <c r="U559" s="5" t="inlineStr"/>
      <c r="V559" s="5" t="inlineStr"/>
      <c r="W559" s="5" t="inlineStr"/>
      <c r="X559" s="5" t="inlineStr"/>
      <c r="Y559" s="5" t="inlineStr"/>
      <c r="Z559" s="6" t="inlineStr"/>
      <c r="AA559" s="5" t="inlineStr"/>
      <c r="AB559" s="5" t="inlineStr"/>
      <c r="AC559" s="5" t="inlineStr"/>
      <c r="AD559" s="5" t="inlineStr"/>
      <c r="AE559" s="5" t="inlineStr"/>
      <c r="AF559" s="5" t="inlineStr"/>
      <c r="AG559" s="5" t="inlineStr"/>
      <c r="AH559" s="5" t="inlineStr"/>
    </row>
    <row r="560">
      <c r="A560" s="5" t="inlineStr">
        <is>
          <t>b6-dugun-yagmuru</t>
        </is>
      </c>
      <c r="B560" s="5" t="n">
        <v>4</v>
      </c>
      <c r="C560" s="6" t="inlineStr">
        <is>
          <t>Mikrofonu al, şarkı söyle</t>
        </is>
      </c>
      <c r="D560" s="5" t="inlineStr">
        <is>
          <t>Pişkinlik</t>
        </is>
      </c>
      <c r="E560" s="5" t="inlineStr">
        <is>
          <t>Kolay</t>
        </is>
      </c>
      <c r="F560" s="5" t="inlineStr"/>
      <c r="G560" s="6" t="inlineStr"/>
      <c r="H560" s="6" t="inlineStr">
        <is>
          <t>Orkestra sana eşlik etti. Sonra etmemeye karar verdi.</t>
        </is>
      </c>
      <c r="I560" s="6" t="inlineStr">
        <is>
          <t>Üç ayrı düğüne davet edildin. Misafir olarak değil, sanatçı olarak.</t>
        </is>
      </c>
      <c r="J560" s="6" t="inlineStr">
        <is>
          <t>Sözleri unuttun, 'nanana' ile bitirdin. Alkış aldın, merhametten.</t>
        </is>
      </c>
      <c r="K560" s="6" t="inlineStr">
        <is>
          <t>Mikrofonu alıp gelinle damada konuşma yaptın. Yanlış isim kullandın. Salon soğudu.</t>
        </is>
      </c>
      <c r="L560" s="6" t="inlineStr"/>
      <c r="M560" s="5" t="inlineStr"/>
      <c r="N560" s="5" t="inlineStr"/>
      <c r="O560" s="6" t="inlineStr"/>
      <c r="P560" s="6" t="inlineStr"/>
      <c r="Q560" s="5" t="inlineStr">
        <is>
          <t>Sahne Sever</t>
        </is>
      </c>
      <c r="R560" s="5" t="inlineStr"/>
      <c r="S560" s="5" t="inlineStr"/>
      <c r="T560" s="5" t="inlineStr"/>
      <c r="U560" s="5" t="inlineStr"/>
      <c r="V560" s="5" t="inlineStr"/>
      <c r="W560" s="5" t="inlineStr"/>
      <c r="X560" s="5" t="inlineStr"/>
      <c r="Y560" s="5" t="inlineStr"/>
      <c r="Z560" s="6" t="inlineStr"/>
      <c r="AA560" s="5" t="inlineStr"/>
      <c r="AB560" s="5" t="inlineStr"/>
      <c r="AC560" s="5" t="inlineStr"/>
      <c r="AD560" s="5" t="inlineStr"/>
      <c r="AE560" s="5" t="inlineStr"/>
      <c r="AF560" s="5" t="inlineStr"/>
      <c r="AG560" s="5" t="inlineStr"/>
      <c r="AH560" s="5" t="inlineStr"/>
    </row>
    <row r="561">
      <c r="A561" s="5" t="inlineStr">
        <is>
          <t>b6-dukkan-anahtari</t>
        </is>
      </c>
      <c r="B561" s="5" t="n">
        <v>1</v>
      </c>
      <c r="C561" s="6" t="inlineStr">
        <is>
          <t>Olduğu gibi işlet</t>
        </is>
      </c>
      <c r="D561" s="5" t="inlineStr"/>
      <c r="E561" s="5" t="inlineStr"/>
      <c r="F561" s="5" t="inlineStr">
        <is>
          <t>İtibar +2</t>
        </is>
      </c>
      <c r="G561" s="6" t="inlineStr">
        <is>
          <t>Bir hafta her şey yolunda gitti. Usta döndü: 'Hiç aramadın.' Hem övgü hem sitem.</t>
        </is>
      </c>
      <c r="H561" s="6" t="inlineStr"/>
      <c r="I561" s="6" t="inlineStr"/>
      <c r="J561" s="6" t="inlineStr"/>
      <c r="K561" s="6" t="inlineStr"/>
      <c r="L561" s="6" t="inlineStr"/>
      <c r="M561" s="5" t="inlineStr"/>
      <c r="N561" s="5" t="inlineStr"/>
      <c r="O561" s="6" t="inlineStr"/>
      <c r="P561" s="6" t="inlineStr"/>
      <c r="Q561" s="5" t="inlineStr"/>
      <c r="R561" s="5" t="inlineStr"/>
      <c r="S561" s="5" t="inlineStr"/>
      <c r="T561" s="5" t="inlineStr"/>
      <c r="U561" s="5" t="inlineStr"/>
      <c r="V561" s="5" t="inlineStr"/>
      <c r="W561" s="5" t="inlineStr"/>
      <c r="X561" s="5" t="inlineStr"/>
      <c r="Y561" s="5" t="inlineStr"/>
      <c r="Z561" s="6" t="inlineStr"/>
      <c r="AA561" s="5" t="inlineStr"/>
      <c r="AB561" s="5" t="inlineStr"/>
      <c r="AC561" s="5" t="inlineStr"/>
      <c r="AD561" s="5" t="inlineStr"/>
      <c r="AE561" s="5" t="inlineStr"/>
      <c r="AF561" s="5" t="inlineStr"/>
      <c r="AG561" s="5" t="inlineStr"/>
      <c r="AH561" s="5" t="inlineStr"/>
    </row>
    <row r="562">
      <c r="A562" s="5" t="inlineStr">
        <is>
          <t>b6-dukkan-anahtari</t>
        </is>
      </c>
      <c r="B562" s="5" t="n">
        <v>2</v>
      </c>
      <c r="C562" s="6" t="inlineStr">
        <is>
          <t>Vitrini yeniden düzenle</t>
        </is>
      </c>
      <c r="D562" s="5" t="inlineStr">
        <is>
          <t>Kurnazlık</t>
        </is>
      </c>
      <c r="E562" s="5" t="inlineStr">
        <is>
          <t>Orta</t>
        </is>
      </c>
      <c r="F562" s="5" t="inlineStr"/>
      <c r="G562" s="6" t="inlineStr"/>
      <c r="H562" s="6" t="inlineStr">
        <is>
          <t>Satışlar arttı. Usta döndüğünde vitrine bakıp uzun uzun sustu.</t>
        </is>
      </c>
      <c r="I562" s="6" t="inlineStr">
        <is>
          <t>Vitrin mahallede konuşuldu. Usta 'Bunu kim yaptı?' diye sordu. Sesinde gurur vardı.</t>
        </is>
      </c>
      <c r="J562" s="6" t="inlineStr">
        <is>
          <t>Müşteriler aradıklarını bulamadı. Satış durdu.</t>
        </is>
      </c>
      <c r="K562" s="6" t="inlineStr">
        <is>
          <t>Ustanın otuz yıllık tabelasını düşürdün. Eskiden 'USTA' yazıyordu. Şimdi 'UST'.</t>
        </is>
      </c>
      <c r="L562" s="6" t="inlineStr"/>
      <c r="M562" s="5" t="inlineStr"/>
      <c r="N562" s="5" t="inlineStr"/>
      <c r="O562" s="6" t="inlineStr"/>
      <c r="P562" s="6" t="inlineStr"/>
      <c r="Q562" s="5" t="inlineStr"/>
      <c r="R562" s="5" t="inlineStr"/>
      <c r="S562" s="5" t="inlineStr"/>
      <c r="T562" s="5" t="inlineStr"/>
      <c r="U562" s="5" t="inlineStr"/>
      <c r="V562" s="5" t="inlineStr"/>
      <c r="W562" s="5" t="inlineStr"/>
      <c r="X562" s="5" t="inlineStr"/>
      <c r="Y562" s="5" t="inlineStr"/>
      <c r="Z562" s="6" t="inlineStr"/>
      <c r="AA562" s="5" t="inlineStr"/>
      <c r="AB562" s="5" t="inlineStr"/>
      <c r="AC562" s="5" t="inlineStr"/>
      <c r="AD562" s="5" t="inlineStr"/>
      <c r="AE562" s="5" t="inlineStr"/>
      <c r="AF562" s="5" t="inlineStr"/>
      <c r="AG562" s="5" t="inlineStr"/>
      <c r="AH562" s="5" t="inlineStr"/>
    </row>
    <row r="563">
      <c r="A563" s="5" t="inlineStr">
        <is>
          <t>b6-dukkan-anahtari</t>
        </is>
      </c>
      <c r="B563" s="5" t="n">
        <v>3</v>
      </c>
      <c r="C563" s="6" t="inlineStr">
        <is>
          <t>Büyük işi tek başına al</t>
        </is>
      </c>
      <c r="D563" s="5" t="inlineStr">
        <is>
          <t>Cesaret</t>
        </is>
      </c>
      <c r="E563" s="5" t="inlineStr">
        <is>
          <t>Zor</t>
        </is>
      </c>
      <c r="F563" s="5" t="inlineStr"/>
      <c r="G563" s="6" t="inlineStr"/>
      <c r="H563" s="6" t="inlineStr">
        <is>
          <t>İşi bitirdin. Usta döndüğünde müşteri seni sordu. Onu değil.</t>
        </is>
      </c>
      <c r="I563" s="6" t="inlineStr">
        <is>
          <t>Zamanından önce bitirdin. Usta tabelanın altına küçük bir tahta ekledi: senin adın.</t>
        </is>
      </c>
      <c r="J563" s="6" t="inlineStr">
        <is>
          <t>İşin yarısında ustayı aradın. Memlekette telefon çekmiyormuş.</t>
        </is>
      </c>
      <c r="K563" s="6" t="inlineStr">
        <is>
          <t>Usta tatilini kısaltıp döndü. Memlekette kısa bir tatil, dükkanda uzun bir konuşma.</t>
        </is>
      </c>
      <c r="L563" s="6" t="inlineStr"/>
      <c r="M563" s="5" t="inlineStr"/>
      <c r="N563" s="5" t="inlineStr"/>
      <c r="O563" s="6" t="inlineStr"/>
      <c r="P563" s="6" t="inlineStr"/>
      <c r="Q563" s="5" t="inlineStr"/>
      <c r="R563" s="5" t="inlineStr">
        <is>
          <t>usta-eli</t>
        </is>
      </c>
      <c r="S563" s="5" t="inlineStr"/>
      <c r="T563" s="5" t="inlineStr"/>
      <c r="U563" s="5" t="inlineStr"/>
      <c r="V563" s="5" t="inlineStr"/>
      <c r="W563" s="5" t="inlineStr"/>
      <c r="X563" s="5" t="inlineStr"/>
      <c r="Y563" s="5" t="inlineStr"/>
      <c r="Z563" s="6" t="inlineStr"/>
      <c r="AA563" s="5" t="inlineStr"/>
      <c r="AB563" s="5" t="inlineStr"/>
      <c r="AC563" s="5" t="inlineStr"/>
      <c r="AD563" s="5" t="inlineStr"/>
      <c r="AE563" s="5" t="inlineStr"/>
      <c r="AF563" s="5" t="inlineStr"/>
      <c r="AG563" s="5" t="inlineStr"/>
      <c r="AH563" s="5" t="inlineStr"/>
    </row>
    <row r="564">
      <c r="A564" s="5" t="inlineStr">
        <is>
          <t>b6-dukkan-anahtari</t>
        </is>
      </c>
      <c r="B564" s="5" t="n">
        <v>4</v>
      </c>
      <c r="C564" s="6" t="inlineStr">
        <is>
          <t>Kendi müşterini bul</t>
        </is>
      </c>
      <c r="D564" s="5" t="inlineStr">
        <is>
          <t>Çene</t>
        </is>
      </c>
      <c r="E564" s="5" t="inlineStr">
        <is>
          <t>Orta</t>
        </is>
      </c>
      <c r="F564" s="5" t="inlineStr"/>
      <c r="G564" s="6" t="inlineStr"/>
      <c r="H564" s="6" t="inlineStr">
        <is>
          <t>Arkadaşlarını müşteri yaptın. Hepsi indirim bekledi, hepsine yaptın.</t>
        </is>
      </c>
      <c r="I564" s="6" t="inlineStr">
        <is>
          <t>Üç yeni müşteri getirdin. Usta seni çıraklıktan kalfalığa terfi ettirdi. Maaş aynı.</t>
        </is>
      </c>
      <c r="J564" s="6" t="inlineStr">
        <is>
          <t>Getirdiğin müşteri ustayı istedi.</t>
        </is>
      </c>
      <c r="K564" s="6" t="inlineStr">
        <is>
          <t>Arkadaşına veresiye yaptın. Defterde yeni bir sayfa açıldı: senin adınla.</t>
        </is>
      </c>
      <c r="L564" s="6" t="inlineStr"/>
      <c r="M564" s="5" t="inlineStr"/>
      <c r="N564" s="5" t="inlineStr"/>
      <c r="O564" s="6" t="inlineStr"/>
      <c r="P564" s="6" t="inlineStr"/>
      <c r="Q564" s="5" t="inlineStr"/>
      <c r="R564" s="5" t="inlineStr"/>
      <c r="S564" s="5" t="inlineStr"/>
      <c r="T564" s="5" t="inlineStr"/>
      <c r="U564" s="5" t="inlineStr"/>
      <c r="V564" s="5" t="inlineStr"/>
      <c r="W564" s="5" t="inlineStr"/>
      <c r="X564" s="5" t="inlineStr"/>
      <c r="Y564" s="5" t="inlineStr"/>
      <c r="Z564" s="6" t="inlineStr"/>
      <c r="AA564" s="5" t="inlineStr"/>
      <c r="AB564" s="5" t="inlineStr"/>
      <c r="AC564" s="5" t="inlineStr"/>
      <c r="AD564" s="5" t="inlineStr"/>
      <c r="AE564" s="5" t="inlineStr"/>
      <c r="AF564" s="5" t="inlineStr"/>
      <c r="AG564" s="5" t="inlineStr"/>
      <c r="AH564" s="5" t="inlineStr"/>
    </row>
    <row r="565">
      <c r="A565" s="5" t="inlineStr">
        <is>
          <t>me-veresiye-defteri</t>
        </is>
      </c>
      <c r="B565" s="5" t="n">
        <v>1</v>
      </c>
      <c r="C565" s="6" t="inlineStr">
        <is>
          <t>Deftere yaz</t>
        </is>
      </c>
      <c r="D565" s="5" t="inlineStr"/>
      <c r="E565" s="5" t="inlineStr"/>
      <c r="F565" s="5" t="inlineStr">
        <is>
          <t>İtibar +2</t>
        </is>
      </c>
      <c r="G565" s="6" t="inlineStr">
        <is>
          <t>Bir defter aldın, ilk satırı yazdın. Defter o gün bir sayfa değil, bir karakter kazandı.</t>
        </is>
      </c>
      <c r="H565" s="6" t="inlineStr"/>
      <c r="I565" s="6" t="inlineStr"/>
      <c r="J565" s="6" t="inlineStr"/>
      <c r="K565" s="6" t="inlineStr"/>
      <c r="L565" s="6" t="inlineStr"/>
      <c r="M565" s="5" t="inlineStr"/>
      <c r="N565" s="5" t="inlineStr"/>
      <c r="O565" s="6" t="inlineStr"/>
      <c r="P565" s="6" t="inlineStr"/>
      <c r="Q565" s="5" t="inlineStr"/>
      <c r="R565" s="5" t="inlineStr"/>
      <c r="S565" s="5" t="inlineStr"/>
      <c r="T565" s="5" t="inlineStr"/>
      <c r="U565" s="5" t="inlineStr">
        <is>
          <t>esnaf-veresiye-batagi</t>
        </is>
      </c>
      <c r="V565" s="5" t="inlineStr"/>
      <c r="W565" s="5" t="inlineStr"/>
      <c r="X565" s="5" t="inlineStr"/>
      <c r="Y565" s="5" t="inlineStr"/>
      <c r="Z565" s="6" t="inlineStr"/>
      <c r="AA565" s="5" t="inlineStr"/>
      <c r="AB565" s="5" t="inlineStr"/>
      <c r="AC565" s="5" t="inlineStr"/>
      <c r="AD565" s="5" t="inlineStr"/>
      <c r="AE565" s="5" t="inlineStr"/>
      <c r="AF565" s="5" t="inlineStr"/>
      <c r="AG565" s="5" t="inlineStr"/>
      <c r="AH565" s="5" t="inlineStr"/>
    </row>
    <row r="566">
      <c r="A566" s="5" t="inlineStr">
        <is>
          <t>me-veresiye-defteri</t>
        </is>
      </c>
      <c r="B566" s="5" t="n">
        <v>2</v>
      </c>
      <c r="C566" s="6" t="inlineStr">
        <is>
          <t>Kibarca reddet</t>
        </is>
      </c>
      <c r="D566" s="5" t="inlineStr">
        <is>
          <t>Çene</t>
        </is>
      </c>
      <c r="E566" s="5" t="inlineStr">
        <is>
          <t>Orta</t>
        </is>
      </c>
      <c r="F566" s="5" t="inlineStr"/>
      <c r="G566" s="6" t="inlineStr"/>
      <c r="H566" s="6" t="inlineStr">
        <is>
          <t>'Veresiye yok ama indirim var' dedin. Nakit ödedi, indirimi de bütün mahalleye anlattı.</t>
        </is>
      </c>
      <c r="I566" s="6" t="inlineStr">
        <is>
          <t>Öyle kibar reddettin ki müşteri teşekkür edip peşin ödedi, bir de 'Kalsın' dedi.</t>
        </is>
      </c>
      <c r="J566" s="6" t="inlineStr">
        <is>
          <t>Reddettin. Müşteri karşı dükkâna gidip oraya borçlandı. Borç senden gitti, dedikodusu kaldı.</t>
        </is>
      </c>
      <c r="K566" s="6" t="inlineStr">
        <is>
          <t>Reddettin; müşteri mahalle grubuna 'Eskiden esnaf başkaydı' yazdı. Mesaj kırk üç beğeni aldı.</t>
        </is>
      </c>
      <c r="L566" s="6" t="inlineStr"/>
      <c r="M566" s="5" t="inlineStr"/>
      <c r="N566" s="5" t="inlineStr"/>
      <c r="O566" s="6" t="inlineStr"/>
      <c r="P566" s="6" t="inlineStr"/>
      <c r="Q566" s="5" t="inlineStr"/>
      <c r="R566" s="5" t="inlineStr"/>
      <c r="S566" s="5" t="inlineStr"/>
      <c r="T566" s="5" t="inlineStr"/>
      <c r="U566" s="5" t="inlineStr"/>
      <c r="V566" s="5" t="inlineStr"/>
      <c r="W566" s="5" t="inlineStr"/>
      <c r="X566" s="5" t="inlineStr"/>
      <c r="Y566" s="5" t="inlineStr"/>
      <c r="Z566" s="6" t="inlineStr"/>
      <c r="AA566" s="5" t="inlineStr"/>
      <c r="AB566" s="5" t="inlineStr"/>
      <c r="AC566" s="5" t="inlineStr"/>
      <c r="AD566" s="5" t="inlineStr"/>
      <c r="AE566" s="5" t="inlineStr"/>
      <c r="AF566" s="5" t="inlineStr"/>
      <c r="AG566" s="5" t="inlineStr"/>
      <c r="AH566" s="5" t="inlineStr"/>
    </row>
    <row r="567">
      <c r="A567" s="5" t="inlineStr">
        <is>
          <t>me-veresiye-defteri</t>
        </is>
      </c>
      <c r="B567" s="5" t="n">
        <v>3</v>
      </c>
      <c r="C567" s="6" t="inlineStr">
        <is>
          <t>'Öbür defterler nasıl gidiyor?' diye sor</t>
        </is>
      </c>
      <c r="D567" s="5" t="inlineStr">
        <is>
          <t>Sosyal Radar</t>
        </is>
      </c>
      <c r="E567" s="5" t="inlineStr">
        <is>
          <t>Kolay</t>
        </is>
      </c>
      <c r="F567" s="5" t="inlineStr"/>
      <c r="G567" s="6" t="inlineStr"/>
      <c r="H567" s="6" t="inlineStr">
        <is>
          <t>Sordun. Müşteri cüzdanı çıkardı, peşin ödedi ve bir daha deftere yazdırmayı teklif etmedi.</t>
        </is>
      </c>
      <c r="I567" s="6" t="inlineStr">
        <is>
          <t>Müşteri öyle utandı ki öbür iki dükkânın borcunu da senin kasandan ödemeye başladı. Artık bir takas merkezisin.</t>
        </is>
      </c>
      <c r="J567" s="6" t="inlineStr">
        <is>
          <t>İma anlaşılmadı. Müşteri 'Evet, herkes bana güvenir' dedi ve deftere adını kendi yazdı.</t>
        </is>
      </c>
      <c r="K567" s="6" t="inlineStr">
        <is>
          <t>Soruyu yüksek sesle sordun. Kasadaki sırada bekleyen iki kişi de aynı defterlerdeydi.</t>
        </is>
      </c>
      <c r="L567" s="6" t="inlineStr"/>
      <c r="M567" s="5" t="inlineStr"/>
      <c r="N567" s="5" t="inlineStr"/>
      <c r="O567" s="6" t="inlineStr"/>
      <c r="P567" s="6" t="inlineStr"/>
      <c r="Q567" s="5" t="inlineStr"/>
      <c r="R567" s="5" t="inlineStr"/>
      <c r="S567" s="5" t="inlineStr">
        <is>
          <t>Sosyal Radar</t>
        </is>
      </c>
      <c r="T567" s="5" t="inlineStr"/>
      <c r="U567" s="5" t="inlineStr"/>
      <c r="V567" s="5" t="inlineStr"/>
      <c r="W567" s="5" t="inlineStr"/>
      <c r="X567" s="5" t="inlineStr"/>
      <c r="Y567" s="5" t="inlineStr"/>
      <c r="Z567" s="6" t="inlineStr"/>
      <c r="AA567" s="5" t="inlineStr"/>
      <c r="AB567" s="5" t="inlineStr"/>
      <c r="AC567" s="5" t="inlineStr"/>
      <c r="AD567" s="5" t="inlineStr"/>
      <c r="AE567" s="5" t="inlineStr"/>
      <c r="AF567" s="5" t="inlineStr"/>
      <c r="AG567" s="5" t="inlineStr"/>
      <c r="AH567" s="5" t="inlineStr"/>
    </row>
    <row r="568">
      <c r="A568" s="5" t="inlineStr">
        <is>
          <t>me-veresiye-defteri</t>
        </is>
      </c>
      <c r="B568" s="5" t="n">
        <v>4</v>
      </c>
      <c r="C568" s="6" t="inlineStr">
        <is>
          <t>Ödeme planı çıkar</t>
        </is>
      </c>
      <c r="D568" s="5" t="inlineStr">
        <is>
          <t>Akıl</t>
        </is>
      </c>
      <c r="E568" s="5" t="inlineStr">
        <is>
          <t>Kolay</t>
        </is>
      </c>
      <c r="F568" s="5" t="inlineStr"/>
      <c r="G568" s="6" t="inlineStr"/>
      <c r="H568" s="6" t="inlineStr">
        <is>
          <t>Borcu üç taksite böldün, tarihleri müşterinin telefonuna kaydettin. Sistem çalıştı.</t>
        </is>
      </c>
      <c r="I568" s="6" t="inlineStr">
        <is>
          <t>Plan o kadar net çıktı ki müşteri ilk taksiti erken getirdi. Kuruşu kuruşuna, çocukluktan beri.</t>
        </is>
      </c>
      <c r="J568" s="6" t="inlineStr">
        <is>
          <t>Plan mükemmeldi. Müşteri planı sonuna kadar dinledi ve 'Sen yine deftere yaz' dedi.</t>
        </is>
      </c>
      <c r="K568" s="6" t="inlineStr">
        <is>
          <t>Hesabı yaparken kendi aleyhine yuvarladın. Kâğıt üstünde müşteri sana borçlu değil, alacaklı çıktı.</t>
        </is>
      </c>
      <c r="L568" s="6" t="inlineStr"/>
      <c r="M568" s="5" t="inlineStr"/>
      <c r="N568" s="5" t="inlineStr"/>
      <c r="O568" s="6" t="inlineStr"/>
      <c r="P568" s="6" t="inlineStr"/>
      <c r="Q568" s="5" t="inlineStr">
        <is>
          <t>Para Üstü Radarı</t>
        </is>
      </c>
      <c r="R568" s="5" t="inlineStr"/>
      <c r="S568" s="5" t="inlineStr"/>
      <c r="T568" s="5" t="inlineStr"/>
      <c r="U568" s="5" t="inlineStr"/>
      <c r="V568" s="5" t="inlineStr"/>
      <c r="W568" s="5" t="inlineStr">
        <is>
          <t>esnaf-veresiye-batagi</t>
        </is>
      </c>
      <c r="X568" s="5" t="inlineStr"/>
      <c r="Y568" s="5" t="inlineStr"/>
      <c r="Z568" s="6" t="inlineStr"/>
      <c r="AA568" s="5" t="inlineStr"/>
      <c r="AB568" s="5" t="inlineStr"/>
      <c r="AC568" s="5" t="inlineStr"/>
      <c r="AD568" s="5" t="inlineStr"/>
      <c r="AE568" s="5" t="inlineStr"/>
      <c r="AF568" s="5" t="inlineStr"/>
      <c r="AG568" s="5" t="inlineStr"/>
      <c r="AH568" s="5" t="inlineStr"/>
    </row>
    <row r="569">
      <c r="A569" s="5" t="inlineStr">
        <is>
          <t>mm-islak-imza</t>
        </is>
      </c>
      <c r="B569" s="5" t="n">
        <v>1</v>
      </c>
      <c r="C569" s="6" t="inlineStr">
        <is>
          <t>Evrakları ayıkla</t>
        </is>
      </c>
      <c r="D569" s="5" t="inlineStr">
        <is>
          <t>Akıl</t>
        </is>
      </c>
      <c r="E569" s="5" t="inlineStr">
        <is>
          <t>Zor</t>
        </is>
      </c>
      <c r="F569" s="5" t="inlineStr"/>
      <c r="G569" s="6" t="inlineStr"/>
      <c r="H569" s="6" t="inlineStr">
        <is>
          <t>Evrakları ayırdın. Masan boşaldı, koridor doldu. Sistem çalışıyor.</t>
        </is>
      </c>
      <c r="I569" s="6" t="inlineStr">
        <is>
          <t>Hepsi doğru. Şef masana gelip 'Sen bu işi biliyorsun' dedi. Bu cümle otuz yıllık iş yükü demekti.</t>
        </is>
      </c>
      <c r="J569" s="6" t="inlineStr">
        <is>
          <t>Eksik bir dilekçeyi imzaladın. Üst makama gitti, sana geri döndü; üstünde senin adınla.</t>
        </is>
      </c>
      <c r="K569" s="6" t="inlineStr">
        <is>
          <t>Hepsini ters ayırdın. Gün sonunda iade ettiğin tek eksiksiz evrak, kendi izin dilekçendi.</t>
        </is>
      </c>
      <c r="L569" s="6" t="inlineStr">
        <is>
          <t>Çoğu doğru. Yanlışları kimse fark etmez; ta ki denetime kadar.</t>
        </is>
      </c>
      <c r="M569" s="5" t="inlineStr">
        <is>
          <t>swipe</t>
        </is>
      </c>
      <c r="N569" s="5" t="inlineStr">
        <is>
          <t>İmzala ya da İade Et</t>
        </is>
      </c>
      <c r="O569" s="6" t="inlineStr">
        <is>
          <t>Eksiksiz evrakı imzaya, eksik olanı iadeye kaydır. Kararsız kalırsan ikisi de seni bekler.</t>
        </is>
      </c>
      <c r="P569" s="6" t="inlineStr">
        <is>
          <t>{"left": "İade et", "right": "İmzala", "items": [{"t": "Eksik fotokopili dilekçe", "right": false}, {"t": "Mühürlü, tarihli, imzalı başvuru", "right": true}, {"t": "Kurşun kalemle doldurulmuş form", "right": false}, {"t": "Arkası da eksiksiz doldurulmuş form", "right": true}, {"t": "Tarihi gelecek yıl olan dilekçe", "right": false}, {"t": "Üç nüsha, üçü de 'aslı gibidir'", "right": true}, {"t": "Çay lekeli ama eksiksiz form", "right": true}, {"t": "İmza yerine gülen surat", "right": false}, {"t": "Vesikalığın telefondan çekilmiş fotoğrafı", "right": false}, {"t": "Fotoğraflı, onaylı başvuru", "right": true}]}</t>
        </is>
      </c>
      <c r="Q569" s="5" t="inlineStr"/>
      <c r="R569" s="5" t="inlineStr"/>
      <c r="S569" s="5" t="inlineStr"/>
      <c r="T569" s="5" t="inlineStr">
        <is>
          <t>Islak İmza Ustası</t>
        </is>
      </c>
      <c r="U569" s="5" t="inlineStr"/>
      <c r="V569" s="5" t="inlineStr"/>
      <c r="W569" s="5" t="inlineStr"/>
      <c r="X569" s="5" t="inlineStr"/>
      <c r="Y569" s="5" t="inlineStr"/>
      <c r="Z569" s="6" t="inlineStr"/>
      <c r="AA569" s="5" t="inlineStr"/>
      <c r="AB569" s="5" t="inlineStr"/>
      <c r="AC569" s="5" t="inlineStr"/>
      <c r="AD569" s="5" t="inlineStr"/>
      <c r="AE569" s="5" t="inlineStr"/>
      <c r="AF569" s="5" t="inlineStr"/>
      <c r="AG569" s="5" t="inlineStr"/>
      <c r="AH569" s="5" t="inlineStr"/>
    </row>
    <row r="570">
      <c r="A570" s="5" t="inlineStr">
        <is>
          <t>mm-islak-imza</t>
        </is>
      </c>
      <c r="B570" s="5" t="n">
        <v>2</v>
      </c>
      <c r="C570" s="6" t="inlineStr">
        <is>
          <t>Hepsini imzala</t>
        </is>
      </c>
      <c r="D570" s="5" t="inlineStr">
        <is>
          <t>Pişkinlik</t>
        </is>
      </c>
      <c r="E570" s="5" t="inlineStr">
        <is>
          <t>Kolay</t>
        </is>
      </c>
      <c r="F570" s="5" t="inlineStr"/>
      <c r="G570" s="6" t="inlineStr"/>
      <c r="H570" s="6" t="inlineStr">
        <is>
          <t>Hepsini imzaladın. Hiçbiri geri dönmedi. Henüz.</t>
        </is>
      </c>
      <c r="I570" s="6" t="inlineStr">
        <is>
          <t>Hepsini imzaladın ve bir tanesi bile sorun çıkarmadı. Bürokrasinin nadir mucizelerinden biri.</t>
        </is>
      </c>
      <c r="J570" s="6" t="inlineStr">
        <is>
          <t>İçlerinden biri, kendi tayin dilekçene yapılmış bir itirazmış.</t>
        </is>
      </c>
      <c r="K570" s="6" t="inlineStr">
        <is>
          <t>Birinin altında 'Masanın koridora taşınmasına onay veriyorum' yazıyordu. Masan koridorda.</t>
        </is>
      </c>
      <c r="L570" s="6" t="inlineStr"/>
      <c r="M570" s="5" t="inlineStr"/>
      <c r="N570" s="5" t="inlineStr"/>
      <c r="O570" s="6" t="inlineStr"/>
      <c r="P570" s="6" t="inlineStr"/>
      <c r="Q570" s="5" t="inlineStr"/>
      <c r="R570" s="5" t="inlineStr"/>
      <c r="S570" s="5" t="inlineStr"/>
      <c r="T570" s="5" t="inlineStr"/>
      <c r="U570" s="5" t="inlineStr"/>
      <c r="V570" s="5" t="inlineStr"/>
      <c r="W570" s="5" t="inlineStr"/>
      <c r="X570" s="5" t="inlineStr"/>
      <c r="Y570" s="5" t="inlineStr"/>
      <c r="Z570" s="6" t="inlineStr"/>
      <c r="AA570" s="5" t="inlineStr"/>
      <c r="AB570" s="5" t="inlineStr"/>
      <c r="AC570" s="5" t="inlineStr"/>
      <c r="AD570" s="5" t="inlineStr"/>
      <c r="AE570" s="5" t="inlineStr"/>
      <c r="AF570" s="5" t="inlineStr"/>
      <c r="AG570" s="5" t="inlineStr"/>
      <c r="AH570" s="5" t="inlineStr"/>
    </row>
    <row r="571">
      <c r="A571" s="5" t="inlineStr">
        <is>
          <t>mm-islak-imza</t>
        </is>
      </c>
      <c r="B571" s="5" t="n">
        <v>3</v>
      </c>
      <c r="C571" s="6" t="inlineStr">
        <is>
          <t>Evrakı yarına bırak</t>
        </is>
      </c>
      <c r="D571" s="5" t="inlineStr"/>
      <c r="E571" s="5" t="inlineStr"/>
      <c r="F571" s="5" t="inlineStr">
        <is>
          <t>Dayanıklılık +1</t>
        </is>
      </c>
      <c r="G571" s="6" t="inlineStr">
        <is>
          <t>Evrakı yarına bıraktın. Yarın da onları yarına bırakacak. Bu, dairenin en köklü geleneği.</t>
        </is>
      </c>
      <c r="H571" s="6" t="inlineStr"/>
      <c r="I571" s="6" t="inlineStr"/>
      <c r="J571" s="6" t="inlineStr"/>
      <c r="K571" s="6" t="inlineStr"/>
      <c r="L571" s="6" t="inlineStr"/>
      <c r="M571" s="5" t="inlineStr"/>
      <c r="N571" s="5" t="inlineStr"/>
      <c r="O571" s="6" t="inlineStr"/>
      <c r="P571" s="6" t="inlineStr"/>
      <c r="Q571" s="5" t="inlineStr"/>
      <c r="R571" s="5" t="inlineStr"/>
      <c r="S571" s="5" t="inlineStr"/>
      <c r="T571" s="5" t="inlineStr"/>
      <c r="U571" s="5" t="inlineStr"/>
      <c r="V571" s="5" t="inlineStr"/>
      <c r="W571" s="5" t="inlineStr"/>
      <c r="X571" s="5" t="inlineStr"/>
      <c r="Y571" s="5" t="inlineStr"/>
      <c r="Z571" s="6" t="inlineStr"/>
      <c r="AA571" s="5" t="inlineStr"/>
      <c r="AB571" s="5" t="inlineStr"/>
      <c r="AC571" s="5" t="inlineStr"/>
      <c r="AD571" s="5" t="inlineStr"/>
      <c r="AE571" s="5" t="inlineStr"/>
      <c r="AF571" s="5" t="inlineStr"/>
      <c r="AG571" s="5" t="inlineStr"/>
      <c r="AH571" s="5" t="inlineStr"/>
    </row>
    <row r="572">
      <c r="A572" s="5" t="inlineStr">
        <is>
          <t>ms-gorunurluk-teklifi</t>
        </is>
      </c>
      <c r="B572" s="5" t="n">
        <v>1</v>
      </c>
      <c r="C572" s="6" t="inlineStr">
        <is>
          <t>Kabul et</t>
        </is>
      </c>
      <c r="D572" s="5" t="inlineStr"/>
      <c r="E572" s="5" t="inlineStr"/>
      <c r="F572" s="5" t="inlineStr">
        <is>
          <t>Dayanıklılık +1</t>
        </is>
      </c>
      <c r="G572" s="6" t="inlineStr">
        <is>
          <t>İşi teslim ettin. Adın afişte en alta, tuvaleti gösteren okun hemen üstüne yazıldı.</t>
        </is>
      </c>
      <c r="H572" s="6" t="inlineStr"/>
      <c r="I572" s="6" t="inlineStr"/>
      <c r="J572" s="6" t="inlineStr"/>
      <c r="K572" s="6" t="inlineStr"/>
      <c r="L572" s="6" t="inlineStr"/>
      <c r="M572" s="5" t="inlineStr"/>
      <c r="N572" s="5" t="inlineStr"/>
      <c r="O572" s="6" t="inlineStr"/>
      <c r="P572" s="6" t="inlineStr"/>
      <c r="Q572" s="5" t="inlineStr"/>
      <c r="R572" s="5" t="inlineStr"/>
      <c r="S572" s="5" t="inlineStr"/>
      <c r="T572" s="5" t="inlineStr"/>
      <c r="U572" s="5" t="inlineStr"/>
      <c r="V572" s="5" t="inlineStr"/>
      <c r="W572" s="5" t="inlineStr"/>
      <c r="X572" s="5" t="inlineStr"/>
      <c r="Y572" s="5" t="inlineStr"/>
      <c r="Z572" s="6" t="inlineStr"/>
      <c r="AA572" s="5" t="inlineStr"/>
      <c r="AB572" s="5" t="inlineStr"/>
      <c r="AC572" s="5" t="inlineStr"/>
      <c r="AD572" s="5" t="inlineStr"/>
      <c r="AE572" s="5" t="inlineStr"/>
      <c r="AF572" s="5" t="inlineStr"/>
      <c r="AG572" s="5" t="inlineStr"/>
      <c r="AH572" s="5" t="inlineStr"/>
    </row>
    <row r="573">
      <c r="A573" s="5" t="inlineStr">
        <is>
          <t>ms-gorunurluk-teklifi</t>
        </is>
      </c>
      <c r="B573" s="5" t="n">
        <v>2</v>
      </c>
      <c r="C573" s="6" t="inlineStr">
        <is>
          <t>Görünürlük karşılığı fatura kes</t>
        </is>
      </c>
      <c r="D573" s="5" t="inlineStr">
        <is>
          <t>Pişkinlik</t>
        </is>
      </c>
      <c r="E573" s="5" t="inlineStr">
        <is>
          <t>Orta</t>
        </is>
      </c>
      <c r="F573" s="5" t="inlineStr"/>
      <c r="G573" s="6" t="inlineStr"/>
      <c r="H573" s="6" t="inlineStr">
        <is>
          <t>Faturaya 'görünürlük bedeli' yazdın. Utandılar ve küçük bir ücret ödediler.</t>
        </is>
      </c>
      <c r="I573" s="6" t="inlineStr">
        <is>
          <t>Faturanı paylaştın; üç şirket gerçek ücretle iş teklif etti.</t>
        </is>
      </c>
      <c r="J573" s="6" t="inlineStr">
        <is>
          <t>Faturanı görmediler. Görünürlük sorunu yaşandı.</t>
        </is>
      </c>
      <c r="K573" s="6" t="inlineStr">
        <is>
          <t>Yazışmanın ekran görüntüsü yayıldı. 'Zor çalışılan kişi' olarak nihayet görünür oldun.</t>
        </is>
      </c>
      <c r="L573" s="6" t="inlineStr"/>
      <c r="M573" s="5" t="inlineStr"/>
      <c r="N573" s="5" t="inlineStr"/>
      <c r="O573" s="6" t="inlineStr"/>
      <c r="P573" s="6" t="inlineStr"/>
      <c r="Q573" s="5" t="inlineStr"/>
      <c r="R573" s="5" t="inlineStr"/>
      <c r="S573" s="5" t="inlineStr"/>
      <c r="T573" s="5" t="inlineStr"/>
      <c r="U573" s="5" t="inlineStr"/>
      <c r="V573" s="5" t="inlineStr"/>
      <c r="W573" s="5" t="inlineStr"/>
      <c r="X573" s="5" t="inlineStr"/>
      <c r="Y573" s="5" t="inlineStr"/>
      <c r="Z573" s="6" t="inlineStr"/>
      <c r="AA573" s="5" t="inlineStr"/>
      <c r="AB573" s="5" t="inlineStr"/>
      <c r="AC573" s="5" t="inlineStr"/>
      <c r="AD573" s="5" t="inlineStr"/>
      <c r="AE573" s="5" t="inlineStr"/>
      <c r="AF573" s="5" t="inlineStr"/>
      <c r="AG573" s="5" t="inlineStr"/>
      <c r="AH573" s="5" t="inlineStr"/>
    </row>
    <row r="574">
      <c r="A574" s="5" t="inlineStr">
        <is>
          <t>ms-gorunurluk-teklifi</t>
        </is>
      </c>
      <c r="B574" s="5" t="n">
        <v>3</v>
      </c>
      <c r="C574" s="6" t="inlineStr">
        <is>
          <t>Nazikçe ama net reddet</t>
        </is>
      </c>
      <c r="D574" s="5" t="inlineStr">
        <is>
          <t>Cesaret</t>
        </is>
      </c>
      <c r="E574" s="5" t="inlineStr">
        <is>
          <t>Zor</t>
        </is>
      </c>
      <c r="F574" s="5" t="inlineStr"/>
      <c r="G574" s="6" t="inlineStr"/>
      <c r="H574" s="6" t="inlineStr">
        <is>
          <t>'Ücretli işlerde görüşelim' dedin. Bir ay sonra ücretli bir teklifle döndüler.</t>
        </is>
      </c>
      <c r="I574" s="6" t="inlineStr">
        <is>
          <t>Reddedişin öyle netti ki bütçe bulundu. Bütçe hep varmış.</t>
        </is>
      </c>
      <c r="J574" s="6" t="inlineStr">
        <is>
          <t>Reddettin; işi ücretsiz yapacak başka birini buldular. Kuyruk uzun.</t>
        </is>
      </c>
      <c r="K574" s="6" t="inlineStr">
        <is>
          <t>Reddettin; ertesi gün aynı şirket seni 'kötü örnek' diye bir panelde andı. Ücretsiz görünürlük.</t>
        </is>
      </c>
      <c r="L574" s="6" t="inlineStr"/>
      <c r="M574" s="5" t="inlineStr"/>
      <c r="N574" s="5" t="inlineStr"/>
      <c r="O574" s="6" t="inlineStr"/>
      <c r="P574" s="6" t="inlineStr"/>
      <c r="Q574" s="5" t="inlineStr"/>
      <c r="R574" s="5" t="inlineStr"/>
      <c r="S574" s="5" t="inlineStr"/>
      <c r="T574" s="5" t="inlineStr">
        <is>
          <t>Kendi Patronu</t>
        </is>
      </c>
      <c r="U574" s="5" t="inlineStr"/>
      <c r="V574" s="5" t="inlineStr"/>
      <c r="W574" s="5" t="inlineStr"/>
      <c r="X574" s="5" t="inlineStr"/>
      <c r="Y574" s="5" t="inlineStr"/>
      <c r="Z574" s="6" t="inlineStr"/>
      <c r="AA574" s="5" t="inlineStr"/>
      <c r="AB574" s="5" t="inlineStr"/>
      <c r="AC574" s="5" t="inlineStr"/>
      <c r="AD574" s="5" t="inlineStr"/>
      <c r="AE574" s="5" t="inlineStr"/>
      <c r="AF574" s="5" t="inlineStr"/>
      <c r="AG574" s="5" t="inlineStr"/>
      <c r="AH574" s="5" t="inlineStr"/>
    </row>
    <row r="575">
      <c r="A575" s="5" t="inlineStr">
        <is>
          <t>ms-gorunurluk-teklifi</t>
        </is>
      </c>
      <c r="B575" s="5" t="n">
        <v>4</v>
      </c>
      <c r="C575" s="6" t="inlineStr">
        <is>
          <t>Takipçilerine sor: 'Ücretsiz çalışmalı mıyım?'</t>
        </is>
      </c>
      <c r="D575" s="5" t="inlineStr">
        <is>
          <t>Sosyal Radar</t>
        </is>
      </c>
      <c r="E575" s="5" t="inlineStr">
        <is>
          <t>Kolay</t>
        </is>
      </c>
      <c r="F575" s="5" t="inlineStr"/>
      <c r="G575" s="6" t="inlineStr"/>
      <c r="H575" s="6" t="inlineStr">
        <is>
          <t>Takipçilerin şirkete yorum yağdırdı. Bütçe mucizevi biçimde bulundu.</t>
        </is>
      </c>
      <c r="I575" s="6" t="inlineStr">
        <is>
          <t>Anket o kadar yayıldı ki şirket özür diledi ve ücretini iki katıyla ödedi.</t>
        </is>
      </c>
      <c r="J575" s="6" t="inlineStr">
        <is>
          <t>Takipçilerinin yüzde altmışı 'Evet, görünürlük önemli' dedi. Hepsi de serbest çalışan.</t>
        </is>
      </c>
      <c r="K575" s="6" t="inlineStr">
        <is>
          <t>Şirket anketini görüp seni etiketledi: 'Tabii ki gelin, görünürlük sağlarız.' Daha fazla görünürlük.</t>
        </is>
      </c>
      <c r="L575" s="6" t="inlineStr"/>
      <c r="M575" s="5" t="inlineStr"/>
      <c r="N575" s="5" t="inlineStr"/>
      <c r="O575" s="6" t="inlineStr"/>
      <c r="P575" s="6" t="inlineStr"/>
      <c r="Q575" s="5" t="inlineStr"/>
      <c r="R575" s="5" t="inlineStr">
        <is>
          <t>fenomen</t>
        </is>
      </c>
      <c r="S575" s="5" t="inlineStr"/>
      <c r="T575" s="5" t="inlineStr"/>
      <c r="U575" s="5" t="inlineStr"/>
      <c r="V575" s="5" t="inlineStr"/>
      <c r="W575" s="5" t="inlineStr"/>
      <c r="X575" s="5" t="inlineStr"/>
      <c r="Y575" s="5" t="inlineStr"/>
      <c r="Z575" s="6" t="inlineStr"/>
      <c r="AA575" s="5" t="inlineStr"/>
      <c r="AB575" s="5" t="inlineStr"/>
      <c r="AC575" s="5" t="inlineStr"/>
      <c r="AD575" s="5" t="inlineStr"/>
      <c r="AE575" s="5" t="inlineStr"/>
      <c r="AF575" s="5" t="inlineStr"/>
      <c r="AG575" s="5" t="inlineStr"/>
      <c r="AH575" s="5" t="inlineStr"/>
    </row>
    <row r="576">
      <c r="A576" s="5" t="inlineStr">
        <is>
          <t>b6-taki-butcesi</t>
        </is>
      </c>
      <c r="B576" s="5" t="n">
        <v>1</v>
      </c>
      <c r="C576" s="6" t="inlineStr">
        <is>
          <t>Her düğüne çeyrek tak</t>
        </is>
      </c>
      <c r="D576" s="5" t="inlineStr"/>
      <c r="E576" s="5" t="inlineStr"/>
      <c r="F576" s="5" t="inlineStr">
        <is>
          <t>İtibar +2</t>
        </is>
      </c>
      <c r="G576" s="6" t="inlineStr">
        <is>
          <t>Üç çeyrek taktın. Kuyumcu seni tanıyıp gülümsüyor. Hesabın gülümsemiyor.</t>
        </is>
      </c>
      <c r="H576" s="6" t="inlineStr"/>
      <c r="I576" s="6" t="inlineStr"/>
      <c r="J576" s="6" t="inlineStr"/>
      <c r="K576" s="6" t="inlineStr"/>
      <c r="L576" s="6" t="inlineStr"/>
      <c r="M576" s="5" t="inlineStr"/>
      <c r="N576" s="5" t="inlineStr"/>
      <c r="O576" s="6" t="inlineStr"/>
      <c r="P576" s="6" t="inlineStr"/>
      <c r="Q576" s="5" t="inlineStr"/>
      <c r="R576" s="5" t="inlineStr"/>
      <c r="S576" s="5" t="inlineStr"/>
      <c r="T576" s="5" t="inlineStr"/>
      <c r="U576" s="5" t="inlineStr"/>
      <c r="V576" s="5" t="inlineStr"/>
      <c r="W576" s="5" t="inlineStr"/>
      <c r="X576" s="5" t="inlineStr"/>
      <c r="Y576" s="5" t="inlineStr"/>
      <c r="Z576" s="6" t="inlineStr"/>
      <c r="AA576" s="5" t="inlineStr"/>
      <c r="AB576" s="5" t="inlineStr"/>
      <c r="AC576" s="5" t="inlineStr"/>
      <c r="AD576" s="5" t="inlineStr"/>
      <c r="AE576" s="5" t="inlineStr"/>
      <c r="AF576" s="5" t="inlineStr"/>
      <c r="AG576" s="5" t="inlineStr"/>
      <c r="AH576" s="5" t="inlineStr"/>
    </row>
    <row r="577">
      <c r="A577" s="5" t="inlineStr">
        <is>
          <t>b6-taki-butcesi</t>
        </is>
      </c>
      <c r="B577" s="5" t="n">
        <v>2</v>
      </c>
      <c r="C577" s="6" t="inlineStr">
        <is>
          <t>Zarfa para koy, kalın kâğıt seç</t>
        </is>
      </c>
      <c r="D577" s="5" t="inlineStr">
        <is>
          <t>Kurnazlık</t>
        </is>
      </c>
      <c r="E577" s="5" t="inlineStr">
        <is>
          <t>Orta</t>
        </is>
      </c>
      <c r="F577" s="5" t="inlineStr"/>
      <c r="G577" s="6" t="inlineStr"/>
      <c r="H577" s="6" t="inlineStr">
        <is>
          <t>Zarf kalın, içerik makul. Kimse saymadı, çünkü herkes zarfları sayıyordu.</t>
        </is>
      </c>
      <c r="I577" s="6" t="inlineStr">
        <is>
          <t>Zarf o kadar şıktı ki gelin çerçeveletti. İçine hiç bakmadı.</t>
        </is>
      </c>
      <c r="J577" s="6" t="inlineStr">
        <is>
          <t>Zarfı gelinin annesi açtı. Önünde. Anlamlı bir sessizlik oldu.</t>
        </is>
      </c>
      <c r="K577" s="6" t="inlineStr">
        <is>
          <t>Zarfa adını yazmayı unuttun. Anonim bağışçı oldun; herkes o cimrinin kim olduğunu tartıştı.</t>
        </is>
      </c>
      <c r="L577" s="6" t="inlineStr"/>
      <c r="M577" s="5" t="inlineStr"/>
      <c r="N577" s="5" t="inlineStr"/>
      <c r="O577" s="6" t="inlineStr"/>
      <c r="P577" s="6" t="inlineStr"/>
      <c r="Q577" s="5" t="inlineStr"/>
      <c r="R577" s="5" t="inlineStr"/>
      <c r="S577" s="5" t="inlineStr"/>
      <c r="T577" s="5" t="inlineStr"/>
      <c r="U577" s="5" t="inlineStr"/>
      <c r="V577" s="5" t="inlineStr"/>
      <c r="W577" s="5" t="inlineStr"/>
      <c r="X577" s="5" t="inlineStr"/>
      <c r="Y577" s="5" t="inlineStr"/>
      <c r="Z577" s="6" t="inlineStr"/>
      <c r="AA577" s="5" t="inlineStr"/>
      <c r="AB577" s="5" t="inlineStr"/>
      <c r="AC577" s="5" t="inlineStr"/>
      <c r="AD577" s="5" t="inlineStr"/>
      <c r="AE577" s="5" t="inlineStr"/>
      <c r="AF577" s="5" t="inlineStr"/>
      <c r="AG577" s="5" t="inlineStr"/>
      <c r="AH577" s="5" t="inlineStr"/>
    </row>
    <row r="578">
      <c r="A578" s="5" t="inlineStr">
        <is>
          <t>b6-taki-butcesi</t>
        </is>
      </c>
      <c r="B578" s="5" t="n">
        <v>3</v>
      </c>
      <c r="C578" s="6" t="inlineStr">
        <is>
          <t>Arkadaşlarla toplu hediye organize et</t>
        </is>
      </c>
      <c r="D578" s="5" t="inlineStr">
        <is>
          <t>Çene</t>
        </is>
      </c>
      <c r="E578" s="5" t="inlineStr">
        <is>
          <t>Kolay</t>
        </is>
      </c>
      <c r="F578" s="5" t="inlineStr"/>
      <c r="G578" s="6" t="inlineStr"/>
      <c r="H578" s="6" t="inlineStr">
        <is>
          <t>Kişi başı maliyet düştü, katılım yüzde yüz.</t>
        </is>
      </c>
      <c r="I578" s="6" t="inlineStr">
        <is>
          <t>Hediye düğünün en çok alkışlanan anı oldu. Artanla bir sonraki düğün de karşılandı.</t>
        </is>
      </c>
      <c r="J578" s="6" t="inlineStr">
        <is>
          <t>Herkes 'Tamam' dedi. Parayı ödeyen sen oldun. Tahsilat sürüyor.</t>
        </is>
      </c>
      <c r="K578" s="6" t="inlineStr">
        <is>
          <t>İki kişi aynı düğün için iki kez ödedi. Muhasebe bir yıl sürdü.</t>
        </is>
      </c>
      <c r="L578" s="6" t="inlineStr"/>
      <c r="M578" s="5" t="inlineStr"/>
      <c r="N578" s="5" t="inlineStr"/>
      <c r="O578" s="6" t="inlineStr"/>
      <c r="P578" s="6" t="inlineStr"/>
      <c r="Q578" s="5" t="inlineStr">
        <is>
          <t>Organizatör</t>
        </is>
      </c>
      <c r="R578" s="5" t="inlineStr"/>
      <c r="S578" s="5" t="inlineStr"/>
      <c r="T578" s="5" t="inlineStr"/>
      <c r="U578" s="5" t="inlineStr"/>
      <c r="V578" s="5" t="inlineStr"/>
      <c r="W578" s="5" t="inlineStr"/>
      <c r="X578" s="5" t="inlineStr"/>
      <c r="Y578" s="5" t="inlineStr"/>
      <c r="Z578" s="6" t="inlineStr"/>
      <c r="AA578" s="5" t="inlineStr"/>
      <c r="AB578" s="5" t="inlineStr"/>
      <c r="AC578" s="5" t="inlineStr"/>
      <c r="AD578" s="5" t="inlineStr"/>
      <c r="AE578" s="5" t="inlineStr"/>
      <c r="AF578" s="5" t="inlineStr"/>
      <c r="AG578" s="5" t="inlineStr"/>
      <c r="AH578" s="5" t="inlineStr"/>
    </row>
    <row r="579">
      <c r="A579" s="5" t="inlineStr">
        <is>
          <t>b6-taki-butcesi</t>
        </is>
      </c>
      <c r="B579" s="5" t="n">
        <v>4</v>
      </c>
      <c r="C579" s="6" t="inlineStr">
        <is>
          <t>Kuyumcuyla pazarlık et</t>
        </is>
      </c>
      <c r="D579" s="5" t="inlineStr">
        <is>
          <t>Çene</t>
        </is>
      </c>
      <c r="E579" s="5" t="inlineStr">
        <is>
          <t>Orta</t>
        </is>
      </c>
      <c r="F579" s="5" t="inlineStr"/>
      <c r="G579" s="6" t="inlineStr"/>
      <c r="H579" s="6" t="inlineStr">
        <is>
          <t>Kuyumcu işçilikten indirdi ve seni 'bizim düğüncü' diye kaydetti.</t>
        </is>
      </c>
      <c r="I579" s="6" t="inlineStr">
        <is>
          <t>Yılın bütün düğünleri için sabit fiyat anlaşması yaptın. Bir düğün sezonu kurtarıldı.</t>
        </is>
      </c>
      <c r="J579" s="6" t="inlineStr">
        <is>
          <t>Kuyumcu 'Fiyat benim elimde değil' dedi. Haklıydı.</t>
        </is>
      </c>
      <c r="K579" s="6" t="inlineStr">
        <is>
          <t>Pazarlık ederken çeyreği düşürdün. Vitrinin altına kaçtı. Yirmi dakika birlikte yerde aradınız.</t>
        </is>
      </c>
      <c r="L579" s="6" t="inlineStr"/>
      <c r="M579" s="5" t="inlineStr"/>
      <c r="N579" s="5" t="inlineStr"/>
      <c r="O579" s="6" t="inlineStr"/>
      <c r="P579" s="6" t="inlineStr"/>
      <c r="Q579" s="5" t="inlineStr">
        <is>
          <t>Küçük Tüccar</t>
        </is>
      </c>
      <c r="R579" s="5" t="inlineStr"/>
      <c r="S579" s="5" t="inlineStr"/>
      <c r="T579" s="5" t="inlineStr"/>
      <c r="U579" s="5" t="inlineStr"/>
      <c r="V579" s="5" t="inlineStr"/>
      <c r="W579" s="5" t="inlineStr"/>
      <c r="X579" s="5" t="inlineStr"/>
      <c r="Y579" s="5" t="inlineStr"/>
      <c r="Z579" s="6" t="inlineStr"/>
      <c r="AA579" s="5" t="inlineStr"/>
      <c r="AB579" s="5" t="inlineStr"/>
      <c r="AC579" s="5" t="inlineStr"/>
      <c r="AD579" s="5" t="inlineStr"/>
      <c r="AE579" s="5" t="inlineStr"/>
      <c r="AF579" s="5" t="inlineStr"/>
      <c r="AG579" s="5" t="inlineStr"/>
      <c r="AH579" s="5" t="inlineStr"/>
    </row>
    <row r="580">
      <c r="A580" s="5" t="inlineStr">
        <is>
          <t>b6-ilk-araba</t>
        </is>
      </c>
      <c r="B580" s="5" t="n">
        <v>1</v>
      </c>
      <c r="C580" s="6" t="inlineStr">
        <is>
          <t>İlana güvenip al</t>
        </is>
      </c>
      <c r="D580" s="5" t="inlineStr"/>
      <c r="E580" s="5" t="inlineStr"/>
      <c r="F580" s="5" t="inlineStr">
        <is>
          <t>İtibar +1</t>
        </is>
      </c>
      <c r="G580" s="6" t="inlineStr">
        <is>
          <t>İlk hafta sanayideki usta seni adınla tanıdı. İkinci hafta sen onun çocuklarının adını öğrendin.</t>
        </is>
      </c>
      <c r="H580" s="6" t="inlineStr"/>
      <c r="I580" s="6" t="inlineStr"/>
      <c r="J580" s="6" t="inlineStr"/>
      <c r="K580" s="6" t="inlineStr"/>
      <c r="L580" s="6" t="inlineStr"/>
      <c r="M580" s="5" t="inlineStr"/>
      <c r="N580" s="5" t="inlineStr"/>
      <c r="O580" s="6" t="inlineStr"/>
      <c r="P580" s="6" t="inlineStr"/>
      <c r="Q580" s="5" t="inlineStr"/>
      <c r="R580" s="5" t="inlineStr"/>
      <c r="S580" s="5" t="inlineStr"/>
      <c r="T580" s="5" t="inlineStr"/>
      <c r="U580" s="5" t="inlineStr"/>
      <c r="V580" s="5" t="inlineStr"/>
      <c r="W580" s="5" t="inlineStr"/>
      <c r="X580" s="5" t="inlineStr"/>
      <c r="Y580" s="5" t="inlineStr"/>
      <c r="Z580" s="6" t="inlineStr"/>
      <c r="AA580" s="5" t="inlineStr"/>
      <c r="AB580" s="5" t="inlineStr"/>
      <c r="AC580" s="5" t="inlineStr"/>
      <c r="AD580" s="5" t="inlineStr"/>
      <c r="AE580" s="5" t="inlineStr"/>
      <c r="AF580" s="5" t="inlineStr"/>
      <c r="AG580" s="5" t="inlineStr"/>
      <c r="AH580" s="5" t="inlineStr"/>
    </row>
    <row r="581">
      <c r="A581" s="5" t="inlineStr">
        <is>
          <t>b6-ilk-araba</t>
        </is>
      </c>
      <c r="B581" s="5" t="n">
        <v>2</v>
      </c>
      <c r="C581" s="6" t="inlineStr">
        <is>
          <t>Test sürüşünde yokuş seç</t>
        </is>
      </c>
      <c r="D581" s="5" t="inlineStr">
        <is>
          <t>Cesaret</t>
        </is>
      </c>
      <c r="E581" s="5" t="inlineStr">
        <is>
          <t>Orta</t>
        </is>
      </c>
      <c r="F581" s="5" t="inlineStr"/>
      <c r="G581" s="6" t="inlineStr"/>
      <c r="H581" s="6" t="inlineStr">
        <is>
          <t>Araba yokuşta mükemmeldi. Satıcının yüzü öyle değildi. Fiyattan indi.</t>
        </is>
      </c>
      <c r="I581" s="6" t="inlineStr">
        <is>
          <t>Bütün kusurları tek sürüşte buldun. Fiyat yarıya indi. Satıcı hâlâ nerede hata yaptığını düşünüyor.</t>
        </is>
      </c>
      <c r="J581" s="6" t="inlineStr">
        <is>
          <t>Araba yokuşta stop etti. Satıcı 'Motor soğuk' dedi. Hava otuz derece.</t>
        </is>
      </c>
      <c r="K581" s="6" t="inlineStr">
        <is>
          <t>El freni elinde kaldı. Araba sessizce aşağı indi, bir çöp konteynerinde durdu. Satıcı yine de fiyattan inmedi.</t>
        </is>
      </c>
      <c r="L581" s="6" t="inlineStr"/>
      <c r="M581" s="5" t="inlineStr"/>
      <c r="N581" s="5" t="inlineStr"/>
      <c r="O581" s="6" t="inlineStr"/>
      <c r="P581" s="6" t="inlineStr"/>
      <c r="Q581" s="5" t="inlineStr"/>
      <c r="R581" s="5" t="inlineStr">
        <is>
          <t>ehliyetli</t>
        </is>
      </c>
      <c r="S581" s="5" t="inlineStr"/>
      <c r="T581" s="5" t="inlineStr"/>
      <c r="U581" s="5" t="inlineStr"/>
      <c r="V581" s="5" t="inlineStr"/>
      <c r="W581" s="5" t="inlineStr"/>
      <c r="X581" s="5" t="inlineStr"/>
      <c r="Y581" s="5" t="n">
        <v>2</v>
      </c>
      <c r="Z581" s="6" t="inlineStr">
        <is>
          <t>İkinci el arabanın test sürüşünde, 'Freni bir de yokuş aşağı deneyelim' derken.</t>
        </is>
      </c>
      <c r="AA581" s="5" t="inlineStr"/>
      <c r="AB581" s="5" t="inlineStr"/>
      <c r="AC581" s="5" t="inlineStr"/>
      <c r="AD581" s="5" t="inlineStr"/>
      <c r="AE581" s="5" t="inlineStr"/>
      <c r="AF581" s="5" t="inlineStr"/>
      <c r="AG581" s="5" t="inlineStr"/>
      <c r="AH581" s="5" t="inlineStr"/>
    </row>
    <row r="582">
      <c r="A582" s="5" t="inlineStr">
        <is>
          <t>b6-ilk-araba</t>
        </is>
      </c>
      <c r="B582" s="5" t="n">
        <v>3</v>
      </c>
      <c r="C582" s="6" t="inlineStr">
        <is>
          <t>Boya ölçtür</t>
        </is>
      </c>
      <c r="D582" s="5" t="inlineStr">
        <is>
          <t>Kurnazlık</t>
        </is>
      </c>
      <c r="E582" s="5" t="inlineStr">
        <is>
          <t>Kolay</t>
        </is>
      </c>
      <c r="F582" s="5" t="inlineStr"/>
      <c r="G582" s="6" t="inlineStr"/>
      <c r="H582" s="6" t="inlineStr">
        <is>
          <t>Kaput üç kat boyalı çıktı. Satıcı 'Boya değil, cila' dedi. Yirmi dakika sonra fiyattan indi.</t>
        </is>
      </c>
      <c r="I582" s="6" t="inlineStr">
        <is>
          <t>Arabanın bütün geçmişini çıkardın. Satıcı seni bir ekspertiz firmasına iş teklifiyle uğurladı.</t>
        </is>
      </c>
      <c r="J582" s="6" t="inlineStr">
        <is>
          <t>Ölçtün. Boya yok, çünkü kaportanın yarısı macun.</t>
        </is>
      </c>
      <c r="K582" s="6" t="inlineStr">
        <is>
          <t>Araba kusursuz çıktı. Yine de inanmadın, almadın. Ertesi gün iki katına satıldı.</t>
        </is>
      </c>
      <c r="L582" s="6" t="inlineStr"/>
      <c r="M582" s="5" t="inlineStr"/>
      <c r="N582" s="5" t="inlineStr"/>
      <c r="O582" s="6" t="inlineStr"/>
      <c r="P582" s="6" t="inlineStr"/>
      <c r="Q582" s="5" t="inlineStr"/>
      <c r="R582" s="5" t="inlineStr"/>
      <c r="S582" s="5" t="inlineStr">
        <is>
          <t>Kurnazlık</t>
        </is>
      </c>
      <c r="T582" s="5" t="inlineStr"/>
      <c r="U582" s="5" t="inlineStr"/>
      <c r="V582" s="5" t="inlineStr"/>
      <c r="W582" s="5" t="inlineStr"/>
      <c r="X582" s="5" t="inlineStr"/>
      <c r="Y582" s="5" t="inlineStr"/>
      <c r="Z582" s="6" t="inlineStr"/>
      <c r="AA582" s="5" t="inlineStr"/>
      <c r="AB582" s="5" t="inlineStr"/>
      <c r="AC582" s="5" t="inlineStr"/>
      <c r="AD582" s="5" t="inlineStr"/>
      <c r="AE582" s="5" t="inlineStr"/>
      <c r="AF582" s="5" t="inlineStr"/>
      <c r="AG582" s="5" t="inlineStr"/>
      <c r="AH582" s="5" t="inlineStr"/>
    </row>
    <row r="583">
      <c r="A583" s="5" t="inlineStr">
        <is>
          <t>b6-ilk-araba</t>
        </is>
      </c>
      <c r="B583" s="5" t="n">
        <v>4</v>
      </c>
      <c r="C583" s="6" t="inlineStr">
        <is>
          <t>Kredi çek, sıfır al</t>
        </is>
      </c>
      <c r="D583" s="5" t="inlineStr">
        <is>
          <t>Pişkinlik</t>
        </is>
      </c>
      <c r="E583" s="5" t="inlineStr">
        <is>
          <t>Orta</t>
        </is>
      </c>
      <c r="F583" s="5" t="inlineStr"/>
      <c r="G583" s="6" t="inlineStr"/>
      <c r="H583" s="6" t="inlineStr">
        <is>
          <t>Sıfır araba aldın. Kokusu bir ay sürdü, kredisi altmış ay.</t>
        </is>
      </c>
      <c r="I583" s="6" t="inlineStr">
        <is>
          <t>Kampanyayla ilk üç ay taksit yok. Dördüncü ayı düşünmemeye karar verdin.</t>
        </is>
      </c>
      <c r="J583" s="6" t="inlineStr">
        <is>
          <t>Bayiden çıktığı an değeri düştü. Seninki de.</t>
        </is>
      </c>
      <c r="K583" s="6" t="inlineStr">
        <is>
          <t>İlk gün kaldırıma sürttün. Araba artık sıfır değil. Sen de değilsin.</t>
        </is>
      </c>
      <c r="L583" s="6" t="inlineStr"/>
      <c r="M583" s="5" t="inlineStr"/>
      <c r="N583" s="5" t="inlineStr"/>
      <c r="O583" s="6" t="inlineStr"/>
      <c r="P583" s="6" t="inlineStr"/>
      <c r="Q583" s="5" t="inlineStr"/>
      <c r="R583" s="5" t="inlineStr"/>
      <c r="S583" s="5" t="inlineStr"/>
      <c r="T583" s="5" t="inlineStr"/>
      <c r="U583" s="5" t="inlineStr">
        <is>
          <t>borclu</t>
        </is>
      </c>
      <c r="V583" s="5" t="inlineStr"/>
      <c r="W583" s="5" t="inlineStr"/>
      <c r="X583" s="5" t="inlineStr"/>
      <c r="Y583" s="5" t="inlineStr"/>
      <c r="Z583" s="6" t="inlineStr"/>
      <c r="AA583" s="5" t="inlineStr"/>
      <c r="AB583" s="5" t="inlineStr"/>
      <c r="AC583" s="5" t="inlineStr"/>
      <c r="AD583" s="5" t="inlineStr"/>
      <c r="AE583" s="5" t="inlineStr"/>
      <c r="AF583" s="5" t="inlineStr"/>
      <c r="AG583" s="5" t="inlineStr"/>
      <c r="AH583" s="5" t="inlineStr"/>
    </row>
    <row r="584">
      <c r="A584" s="5" t="inlineStr">
        <is>
          <t>b6-uzaktan-calisma</t>
        </is>
      </c>
      <c r="B584" s="5" t="n">
        <v>1</v>
      </c>
      <c r="C584" s="6" t="inlineStr">
        <is>
          <t>Düzenli rutin kur</t>
        </is>
      </c>
      <c r="D584" s="5" t="inlineStr"/>
      <c r="E584" s="5" t="inlineStr"/>
      <c r="F584" s="5" t="inlineStr">
        <is>
          <t>Dayanıklılık +2</t>
        </is>
      </c>
      <c r="G584" s="6" t="inlineStr">
        <is>
          <t>Her sabah giyinip masaya oturdun. Ev arkadaşın bunu endişe verici buldu.</t>
        </is>
      </c>
      <c r="H584" s="6" t="inlineStr"/>
      <c r="I584" s="6" t="inlineStr"/>
      <c r="J584" s="6" t="inlineStr"/>
      <c r="K584" s="6" t="inlineStr"/>
      <c r="L584" s="6" t="inlineStr"/>
      <c r="M584" s="5" t="inlineStr"/>
      <c r="N584" s="5" t="inlineStr"/>
      <c r="O584" s="6" t="inlineStr"/>
      <c r="P584" s="6" t="inlineStr"/>
      <c r="Q584" s="5" t="inlineStr"/>
      <c r="R584" s="5" t="inlineStr"/>
      <c r="S584" s="5" t="inlineStr"/>
      <c r="T584" s="5" t="inlineStr"/>
      <c r="U584" s="5" t="inlineStr"/>
      <c r="V584" s="5" t="inlineStr"/>
      <c r="W584" s="5" t="inlineStr"/>
      <c r="X584" s="5" t="inlineStr"/>
      <c r="Y584" s="5" t="inlineStr"/>
      <c r="Z584" s="6" t="inlineStr"/>
      <c r="AA584" s="5" t="inlineStr"/>
      <c r="AB584" s="5" t="inlineStr"/>
      <c r="AC584" s="5" t="inlineStr"/>
      <c r="AD584" s="5" t="inlineStr"/>
      <c r="AE584" s="5" t="inlineStr"/>
      <c r="AF584" s="5" t="inlineStr"/>
      <c r="AG584" s="5" t="inlineStr"/>
      <c r="AH584" s="5" t="inlineStr"/>
    </row>
    <row r="585">
      <c r="A585" s="5" t="inlineStr">
        <is>
          <t>b6-uzaktan-calisma</t>
        </is>
      </c>
      <c r="B585" s="5" t="n">
        <v>2</v>
      </c>
      <c r="C585" s="6" t="inlineStr">
        <is>
          <t>Kamerayı kapalı tut</t>
        </is>
      </c>
      <c r="D585" s="5" t="inlineStr">
        <is>
          <t>Kurnazlık</t>
        </is>
      </c>
      <c r="E585" s="5" t="inlineStr">
        <is>
          <t>Orta</t>
        </is>
      </c>
      <c r="F585" s="5" t="inlineStr"/>
      <c r="G585" s="6" t="inlineStr"/>
      <c r="H585" s="6" t="inlineStr">
        <is>
          <t>'Bağlantım zayıf' dedin. Üç ay kimse yüzünü görmedi. Terfi alan senin sesindi.</t>
        </is>
      </c>
      <c r="I585" s="6" t="inlineStr">
        <is>
          <t>Yöneticin seni ekibin en çalışkanı sandı. Toplantı boyunca kahvaltı ediyordun.</t>
        </is>
      </c>
      <c r="J585" s="6" t="inlineStr">
        <is>
          <t>Yönetici 'Sesin çok net geliyor ama' dedi.</t>
        </is>
      </c>
      <c r="K585" s="6" t="inlineStr">
        <is>
          <t>Kamera açıktı. Ekip seni pijamayla buzdolabına yürürken izledi. Toplantının adı değişti.</t>
        </is>
      </c>
      <c r="L585" s="6" t="inlineStr"/>
      <c r="M585" s="5" t="inlineStr"/>
      <c r="N585" s="5" t="inlineStr"/>
      <c r="O585" s="6" t="inlineStr"/>
      <c r="P585" s="6" t="inlineStr"/>
      <c r="Q585" s="5" t="inlineStr"/>
      <c r="R585" s="5" t="inlineStr"/>
      <c r="S585" s="5" t="inlineStr"/>
      <c r="T585" s="5" t="inlineStr"/>
      <c r="U585" s="5" t="inlineStr"/>
      <c r="V585" s="5" t="inlineStr"/>
      <c r="W585" s="5" t="inlineStr"/>
      <c r="X585" s="5" t="inlineStr"/>
      <c r="Y585" s="5" t="inlineStr"/>
      <c r="Z585" s="6" t="inlineStr"/>
      <c r="AA585" s="5" t="inlineStr"/>
      <c r="AB585" s="5" t="inlineStr"/>
      <c r="AC585" s="5" t="inlineStr"/>
      <c r="AD585" s="5" t="inlineStr"/>
      <c r="AE585" s="5" t="inlineStr"/>
      <c r="AF585" s="5" t="inlineStr"/>
      <c r="AG585" s="5" t="inlineStr"/>
      <c r="AH585" s="5" t="inlineStr"/>
    </row>
    <row r="586">
      <c r="A586" s="5" t="inlineStr">
        <is>
          <t>b6-uzaktan-calisma</t>
        </is>
      </c>
      <c r="B586" s="5" t="n">
        <v>3</v>
      </c>
      <c r="C586" s="6" t="inlineStr">
        <is>
          <t>Sahildeki kafeden bağlan</t>
        </is>
      </c>
      <c r="D586" s="5" t="inlineStr">
        <is>
          <t>Pişkinlik</t>
        </is>
      </c>
      <c r="E586" s="5" t="inlineStr">
        <is>
          <t>Zor</t>
        </is>
      </c>
      <c r="F586" s="5" t="inlineStr"/>
      <c r="G586" s="6" t="inlineStr"/>
      <c r="H586" s="6" t="inlineStr">
        <is>
          <t>Arkanda deniz, önünde tablo. Kıskanç yorumlar sohbete düştü.</t>
        </is>
      </c>
      <c r="I586" s="6" t="inlineStr">
        <is>
          <t>Verimliliğin arttı. Şirket uzaktan çalışma yönergesine senin fotoğrafını koydu.</t>
        </is>
      </c>
      <c r="J586" s="6" t="inlineStr">
        <is>
          <t>Rüzgâr sesinden başka kimse bir şey duymadı.</t>
        </is>
      </c>
      <c r="K586" s="6" t="inlineStr">
        <is>
          <t>Bir martı tostunu kaptı. Kamera açıktı. Video şirketin yıl sonu sunumunda.</t>
        </is>
      </c>
      <c r="L586" s="6" t="inlineStr"/>
      <c r="M586" s="5" t="inlineStr"/>
      <c r="N586" s="5" t="inlineStr"/>
      <c r="O586" s="6" t="inlineStr"/>
      <c r="P586" s="6" t="inlineStr"/>
      <c r="Q586" s="5" t="inlineStr"/>
      <c r="R586" s="5" t="inlineStr"/>
      <c r="S586" s="5" t="inlineStr"/>
      <c r="T586" s="5" t="inlineStr"/>
      <c r="U586" s="5" t="inlineStr"/>
      <c r="V586" s="5" t="inlineStr"/>
      <c r="W586" s="5" t="inlineStr"/>
      <c r="X586" s="5" t="inlineStr"/>
      <c r="Y586" s="5" t="inlineStr"/>
      <c r="Z586" s="6" t="inlineStr"/>
      <c r="AA586" s="5" t="inlineStr"/>
      <c r="AB586" s="5" t="inlineStr"/>
      <c r="AC586" s="5" t="inlineStr"/>
      <c r="AD586" s="5" t="inlineStr"/>
      <c r="AE586" s="5" t="inlineStr"/>
      <c r="AF586" s="5" t="inlineStr"/>
      <c r="AG586" s="5" t="inlineStr"/>
      <c r="AH586" s="5" t="inlineStr"/>
    </row>
    <row r="587">
      <c r="A587" s="5" t="inlineStr">
        <is>
          <t>mb-kamera-kapali</t>
        </is>
      </c>
      <c r="B587" s="5" t="n">
        <v>1</v>
      </c>
      <c r="C587" s="6" t="inlineStr">
        <is>
          <t>Kamerayı aç</t>
        </is>
      </c>
      <c r="D587" s="5" t="inlineStr"/>
      <c r="E587" s="5" t="inlineStr"/>
      <c r="F587" s="5" t="inlineStr">
        <is>
          <t>Cesaret +1</t>
        </is>
      </c>
      <c r="G587" s="6" t="inlineStr">
        <is>
          <t>Kamerayı açtın. Üstte gömlek, altta pijama. Kurumsal kimlik belden yukarı çalışıyor.</t>
        </is>
      </c>
      <c r="H587" s="6" t="inlineStr"/>
      <c r="I587" s="6" t="inlineStr"/>
      <c r="J587" s="6" t="inlineStr"/>
      <c r="K587" s="6" t="inlineStr"/>
      <c r="L587" s="6" t="inlineStr"/>
      <c r="M587" s="5" t="inlineStr"/>
      <c r="N587" s="5" t="inlineStr"/>
      <c r="O587" s="6" t="inlineStr"/>
      <c r="P587" s="6" t="inlineStr"/>
      <c r="Q587" s="5" t="inlineStr"/>
      <c r="R587" s="5" t="inlineStr"/>
      <c r="S587" s="5" t="inlineStr"/>
      <c r="T587" s="5" t="inlineStr"/>
      <c r="U587" s="5" t="inlineStr"/>
      <c r="V587" s="5" t="inlineStr"/>
      <c r="W587" s="5" t="inlineStr"/>
      <c r="X587" s="5" t="inlineStr"/>
      <c r="Y587" s="5" t="inlineStr"/>
      <c r="Z587" s="6" t="inlineStr"/>
      <c r="AA587" s="5" t="inlineStr"/>
      <c r="AB587" s="5" t="inlineStr"/>
      <c r="AC587" s="5" t="inlineStr"/>
      <c r="AD587" s="5" t="inlineStr"/>
      <c r="AE587" s="5" t="inlineStr"/>
      <c r="AF587" s="5" t="inlineStr"/>
      <c r="AG587" s="5" t="inlineStr"/>
      <c r="AH587" s="5" t="inlineStr"/>
    </row>
    <row r="588">
      <c r="A588" s="5" t="inlineStr">
        <is>
          <t>mb-kamera-kapali</t>
        </is>
      </c>
      <c r="B588" s="5" t="n">
        <v>2</v>
      </c>
      <c r="C588" s="6" t="inlineStr">
        <is>
          <t>Mikrofonu aç, cevap ver</t>
        </is>
      </c>
      <c r="D588" s="5" t="inlineStr">
        <is>
          <t>Akıl</t>
        </is>
      </c>
      <c r="E588" s="5" t="inlineStr">
        <is>
          <t>Orta</t>
        </is>
      </c>
      <c r="F588" s="5" t="inlineStr"/>
      <c r="G588" s="6" t="inlineStr"/>
      <c r="H588" s="6" t="inlineStr">
        <is>
          <t>Soruyu duymadın ama 'Katılıyorum, ölçeklenmeli' dedin. Herkes katıldı.</t>
        </is>
      </c>
      <c r="I588" s="6" t="inlineStr">
        <is>
          <t>Duymadığın soruya öyle genel bir cevap verdin ki toplantı notlarına 'vizyon' olarak geçti.</t>
        </is>
      </c>
      <c r="J588" s="6" t="inlineStr">
        <is>
          <t>Cevap verdin; soru aynı adı taşıyan başka birineymiş.</t>
        </is>
      </c>
      <c r="K588" s="6" t="inlineStr">
        <is>
          <t>Mikrofonu açtın; arkadan 'Yemek soğuyor!' diye bağıran ses bütün şirkete yayıldı.</t>
        </is>
      </c>
      <c r="L588" s="6" t="inlineStr"/>
      <c r="M588" s="5" t="inlineStr"/>
      <c r="N588" s="5" t="inlineStr"/>
      <c r="O588" s="6" t="inlineStr"/>
      <c r="P588" s="6" t="inlineStr"/>
      <c r="Q588" s="5" t="inlineStr"/>
      <c r="R588" s="5" t="inlineStr"/>
      <c r="S588" s="5" t="inlineStr"/>
      <c r="T588" s="5" t="inlineStr"/>
      <c r="U588" s="5" t="inlineStr"/>
      <c r="V588" s="5" t="inlineStr"/>
      <c r="W588" s="5" t="inlineStr"/>
      <c r="X588" s="5" t="inlineStr"/>
      <c r="Y588" s="5" t="inlineStr"/>
      <c r="Z588" s="6" t="inlineStr"/>
      <c r="AA588" s="5" t="inlineStr"/>
      <c r="AB588" s="5" t="inlineStr"/>
      <c r="AC588" s="5" t="inlineStr"/>
      <c r="AD588" s="5" t="inlineStr"/>
      <c r="AE588" s="5" t="inlineStr"/>
      <c r="AF588" s="5" t="inlineStr"/>
      <c r="AG588" s="5" t="inlineStr"/>
      <c r="AH588" s="5" t="inlineStr"/>
    </row>
    <row r="589">
      <c r="A589" s="5" t="inlineStr">
        <is>
          <t>mb-kamera-kapali</t>
        </is>
      </c>
      <c r="B589" s="5" t="n">
        <v>3</v>
      </c>
      <c r="C589" s="6" t="inlineStr">
        <is>
          <t>'Sesiniz gidip geliyor' de</t>
        </is>
      </c>
      <c r="D589" s="5" t="inlineStr">
        <is>
          <t>Pişkinlik</t>
        </is>
      </c>
      <c r="E589" s="5" t="inlineStr">
        <is>
          <t>Zor</t>
        </is>
      </c>
      <c r="F589" s="5" t="inlineStr"/>
      <c r="G589" s="6" t="inlineStr"/>
      <c r="H589" s="6" t="inlineStr">
        <is>
          <t>Bağlantın 'düzelene' kadar toplantı bitti. Altyapı hep senden yana.</t>
        </is>
      </c>
      <c r="I589" s="6" t="inlineStr">
        <is>
          <t>Senin sesin gidip geldi, yöneticinin bağlantısı gerçekten koptu. Toplantı iptal.</t>
        </is>
      </c>
      <c r="J589" s="6" t="inlineStr">
        <is>
          <t>'Sesiniz gidip geliyor' dedin. Çok net duyuldu.</t>
        </is>
      </c>
      <c r="K589" s="6" t="inlineStr">
        <is>
          <t>Bağlantı sorunu taklidi yaparken kameran açıldı. Pijamanın deseni gündemin ilk maddesi oldu.</t>
        </is>
      </c>
      <c r="L589" s="6" t="inlineStr"/>
      <c r="M589" s="5" t="inlineStr"/>
      <c r="N589" s="5" t="inlineStr"/>
      <c r="O589" s="6" t="inlineStr"/>
      <c r="P589" s="6" t="inlineStr"/>
      <c r="Q589" s="5" t="inlineStr"/>
      <c r="R589" s="5" t="inlineStr"/>
      <c r="S589" s="5" t="inlineStr">
        <is>
          <t>Pişkinlik</t>
        </is>
      </c>
      <c r="T589" s="5" t="inlineStr">
        <is>
          <t>Sessize Alma Ustası</t>
        </is>
      </c>
      <c r="U589" s="5" t="inlineStr"/>
      <c r="V589" s="5" t="inlineStr"/>
      <c r="W589" s="5" t="inlineStr"/>
      <c r="X589" s="5" t="inlineStr"/>
      <c r="Y589" s="5" t="inlineStr"/>
      <c r="Z589" s="6" t="inlineStr"/>
      <c r="AA589" s="5" t="inlineStr"/>
      <c r="AB589" s="5" t="inlineStr"/>
      <c r="AC589" s="5" t="inlineStr"/>
      <c r="AD589" s="5" t="inlineStr"/>
      <c r="AE589" s="5" t="inlineStr"/>
      <c r="AF589" s="5" t="inlineStr"/>
      <c r="AG589" s="5" t="inlineStr"/>
      <c r="AH589" s="5" t="inlineStr"/>
    </row>
    <row r="590">
      <c r="A590" s="5" t="inlineStr">
        <is>
          <t>mb-kamera-kapali</t>
        </is>
      </c>
      <c r="B590" s="5" t="n">
        <v>4</v>
      </c>
      <c r="C590" s="6" t="inlineStr">
        <is>
          <t>Yapay avatarını toplantıya gönder</t>
        </is>
      </c>
      <c r="D590" s="5" t="inlineStr">
        <is>
          <t>Kurnazlık</t>
        </is>
      </c>
      <c r="E590" s="5" t="inlineStr">
        <is>
          <t>Orta</t>
        </is>
      </c>
      <c r="F590" s="5" t="inlineStr"/>
      <c r="G590" s="6" t="inlineStr"/>
      <c r="H590" s="6" t="inlineStr">
        <is>
          <t>Avatarın başıyla onayladı, sen kahvaltı ettin. Verimlilik rekor.</t>
        </is>
      </c>
      <c r="I590" s="6" t="inlineStr">
        <is>
          <t>Avatarın o kadar iyi katıldı ki terfi listesine girdi. Sen giremedin.</t>
        </is>
      </c>
      <c r="J590" s="6" t="inlineStr">
        <is>
          <t>Avatar donunca yöneticin 'İyi misin?' diye sordu. Avatara.</t>
        </is>
      </c>
      <c r="K590" s="6" t="inlineStr">
        <is>
          <t>Avatarın bir soruya 'Ben bir yapay zekâyım' diye cevap verdi. Dürüstlükte seni geçti.</t>
        </is>
      </c>
      <c r="L590" s="6" t="inlineStr"/>
      <c r="M590" s="5" t="inlineStr"/>
      <c r="N590" s="5" t="inlineStr"/>
      <c r="O590" s="6" t="inlineStr"/>
      <c r="P590" s="6" t="inlineStr"/>
      <c r="Q590" s="5" t="inlineStr">
        <is>
          <t>Teknoloji Merakı</t>
        </is>
      </c>
      <c r="R590" s="5" t="inlineStr"/>
      <c r="S590" s="5" t="inlineStr"/>
      <c r="T590" s="5" t="inlineStr"/>
      <c r="U590" s="5" t="inlineStr"/>
      <c r="V590" s="5" t="inlineStr"/>
      <c r="W590" s="5" t="inlineStr"/>
      <c r="X590" s="5" t="inlineStr"/>
      <c r="Y590" s="5" t="inlineStr"/>
      <c r="Z590" s="6" t="inlineStr"/>
      <c r="AA590" s="5" t="inlineStr"/>
      <c r="AB590" s="5" t="inlineStr"/>
      <c r="AC590" s="5" t="inlineStr"/>
      <c r="AD590" s="5" t="inlineStr"/>
      <c r="AE590" s="5" t="inlineStr"/>
      <c r="AF590" s="5" t="inlineStr"/>
      <c r="AG590" s="5" t="inlineStr"/>
      <c r="AH590" s="5" t="inlineStr"/>
    </row>
    <row r="591">
      <c r="A591" s="5" t="inlineStr">
        <is>
          <t>me-karsi-dukkan</t>
        </is>
      </c>
      <c r="B591" s="5" t="n">
        <v>1</v>
      </c>
      <c r="C591" s="6" t="inlineStr">
        <is>
          <t>'Hayırlı olsun' demeye git</t>
        </is>
      </c>
      <c r="D591" s="5" t="inlineStr"/>
      <c r="E591" s="5" t="inlineStr"/>
      <c r="F591" s="5" t="inlineStr">
        <is>
          <t>İtibar +1, Sosyal Radar +1</t>
        </is>
      </c>
      <c r="G591" s="6" t="inlineStr">
        <is>
          <t>'Hayırlı olsun' dedin, 'Size de' dediler. İki taraf da kimin hayrını kastettiğini bilmiyor.</t>
        </is>
      </c>
      <c r="H591" s="6" t="inlineStr"/>
      <c r="I591" s="6" t="inlineStr"/>
      <c r="J591" s="6" t="inlineStr"/>
      <c r="K591" s="6" t="inlineStr"/>
      <c r="L591" s="6" t="inlineStr"/>
      <c r="M591" s="5" t="inlineStr"/>
      <c r="N591" s="5" t="inlineStr"/>
      <c r="O591" s="6" t="inlineStr"/>
      <c r="P591" s="6" t="inlineStr"/>
      <c r="Q591" s="5" t="inlineStr"/>
      <c r="R591" s="5" t="inlineStr"/>
      <c r="S591" s="5" t="inlineStr"/>
      <c r="T591" s="5" t="inlineStr"/>
      <c r="U591" s="5" t="inlineStr"/>
      <c r="V591" s="5" t="inlineStr"/>
      <c r="W591" s="5" t="inlineStr"/>
      <c r="X591" s="5" t="inlineStr"/>
      <c r="Y591" s="5" t="inlineStr"/>
      <c r="Z591" s="6" t="inlineStr"/>
      <c r="AA591" s="5" t="inlineStr"/>
      <c r="AB591" s="5" t="inlineStr"/>
      <c r="AC591" s="5" t="inlineStr"/>
      <c r="AD591" s="5" t="inlineStr"/>
      <c r="AE591" s="5" t="inlineStr"/>
      <c r="AF591" s="5" t="inlineStr"/>
      <c r="AG591" s="5" t="inlineStr"/>
      <c r="AH591" s="5" t="inlineStr"/>
    </row>
    <row r="592">
      <c r="A592" s="5" t="inlineStr">
        <is>
          <t>me-karsi-dukkan</t>
        </is>
      </c>
      <c r="B592" s="5" t="n">
        <v>2</v>
      </c>
      <c r="C592" s="6" t="inlineStr">
        <is>
          <t>Toptancıyla pazarlık et</t>
        </is>
      </c>
      <c r="D592" s="5" t="inlineStr">
        <is>
          <t>Çene</t>
        </is>
      </c>
      <c r="E592" s="5" t="inlineStr">
        <is>
          <t>Orta</t>
        </is>
      </c>
      <c r="F592" s="5" t="inlineStr"/>
      <c r="G592" s="6" t="inlineStr"/>
      <c r="H592" s="6" t="inlineStr">
        <is>
          <t>Toptancıdan iyi fiyat kopardın. Etiketleri karşı dükkânın bir tık altına çektin.</t>
        </is>
      </c>
      <c r="I592" s="6" t="inlineStr">
        <is>
          <t>Toptancı sana öyle bir fiyat verdi ki karşı dükkân bir süre malı senden almaya başladı.</t>
        </is>
      </c>
      <c r="J592" s="6" t="inlineStr">
        <is>
          <t>Toptancı 'Bu fiyata ben de senden alırım' dedi. Pazarlık çay faslında bitti.</t>
        </is>
      </c>
      <c r="K592" s="6" t="inlineStr">
        <is>
          <t>Fazla ısrar ettin; toptancı karşı dükkânı 'daha makul esnaf' olarak kaydetti. Artık onlar senden ucuz.</t>
        </is>
      </c>
      <c r="L592" s="6" t="inlineStr">
        <is>
          <t>Fiyat biraz düştü. Etiketi değiştirmeye yetti, kâra yetmedi.</t>
        </is>
      </c>
      <c r="M592" s="5" t="inlineStr">
        <is>
          <t>bargain</t>
        </is>
      </c>
      <c r="N592" s="5" t="inlineStr">
        <is>
          <t>Toptancı Pazarlığı</t>
        </is>
      </c>
      <c r="O592" s="6" t="inlineStr">
        <is>
          <t>Toptancının sabrı bitmeden fiyatı aşağı çek. Çay ikram ediyorsa henüz umut var.</t>
        </is>
      </c>
      <c r="P592" s="6" t="inlineStr">
        <is>
          <t>{"item": "toptan mal", "mode": "buy"}</t>
        </is>
      </c>
      <c r="Q592" s="5" t="inlineStr"/>
      <c r="R592" s="5" t="inlineStr"/>
      <c r="S592" s="5" t="inlineStr"/>
      <c r="T592" s="5" t="inlineStr"/>
      <c r="U592" s="5" t="inlineStr"/>
      <c r="V592" s="5" t="inlineStr"/>
      <c r="W592" s="5" t="inlineStr">
        <is>
          <t>esnaf-komsu-rakip</t>
        </is>
      </c>
      <c r="X592" s="5" t="inlineStr"/>
      <c r="Y592" s="5" t="inlineStr"/>
      <c r="Z592" s="6" t="inlineStr"/>
      <c r="AA592" s="5" t="inlineStr"/>
      <c r="AB592" s="5" t="inlineStr"/>
      <c r="AC592" s="5" t="inlineStr"/>
      <c r="AD592" s="5" t="inlineStr"/>
      <c r="AE592" s="5" t="inlineStr"/>
      <c r="AF592" s="5" t="inlineStr"/>
      <c r="AG592" s="5" t="inlineStr"/>
      <c r="AH592" s="5" t="inlineStr"/>
    </row>
    <row r="593">
      <c r="A593" s="5" t="inlineStr">
        <is>
          <t>me-karsi-dukkan</t>
        </is>
      </c>
      <c r="B593" s="5" t="n">
        <v>3</v>
      </c>
      <c r="C593" s="6" t="inlineStr">
        <is>
          <t>Fiyat savaşı başlat</t>
        </is>
      </c>
      <c r="D593" s="5" t="inlineStr">
        <is>
          <t>Cesaret</t>
        </is>
      </c>
      <c r="E593" s="5" t="inlineStr">
        <is>
          <t>Zor</t>
        </is>
      </c>
      <c r="F593" s="5" t="inlineStr"/>
      <c r="G593" s="6" t="inlineStr"/>
      <c r="H593" s="6" t="inlineStr">
        <is>
          <t>Etiketleri kırdın, karşı dükkân balonlarını topladı. Tabelası bir hafta içinde küçüldü.</t>
        </is>
      </c>
      <c r="I593" s="6" t="inlineStr">
        <is>
          <t>Karşı dükkân ortaklık teklif etti. Kabul etmedin; tabelasını ucuza satın aldın.</t>
        </is>
      </c>
      <c r="J593" s="6" t="inlineStr">
        <is>
          <t>Savaş başladı. Üç ay sonra iki dükkân da zararda, mahalle ise hayatından çok memnun.</t>
        </is>
      </c>
      <c r="K593" s="6" t="inlineStr">
        <is>
          <t>Fiyatı öyle kırdın ki karşı dükkân malını toptancıdan değil, senden almaya başladı. Zararına.</t>
        </is>
      </c>
      <c r="L593" s="6" t="inlineStr"/>
      <c r="M593" s="5" t="inlineStr"/>
      <c r="N593" s="5" t="inlineStr"/>
      <c r="O593" s="6" t="inlineStr"/>
      <c r="P593" s="6" t="inlineStr"/>
      <c r="Q593" s="5" t="inlineStr"/>
      <c r="R593" s="5" t="inlineStr"/>
      <c r="S593" s="5" t="inlineStr"/>
      <c r="T593" s="5" t="inlineStr">
        <is>
          <t>Pazarlık Duayeni</t>
        </is>
      </c>
      <c r="U593" s="5" t="inlineStr">
        <is>
          <t>esnaf-komsu-rakip</t>
        </is>
      </c>
      <c r="V593" s="5" t="inlineStr"/>
      <c r="W593" s="5" t="inlineStr"/>
      <c r="X593" s="5" t="inlineStr"/>
      <c r="Y593" s="5" t="inlineStr"/>
      <c r="Z593" s="6" t="inlineStr"/>
      <c r="AA593" s="5" t="inlineStr"/>
      <c r="AB593" s="5" t="inlineStr"/>
      <c r="AC593" s="5" t="inlineStr"/>
      <c r="AD593" s="5" t="inlineStr"/>
      <c r="AE593" s="5" t="inlineStr"/>
      <c r="AF593" s="5" t="inlineStr"/>
      <c r="AG593" s="5" t="inlineStr"/>
      <c r="AH593" s="5" t="inlineStr"/>
    </row>
    <row r="594">
      <c r="A594" s="5" t="inlineStr">
        <is>
          <t>me-karsi-dukkan</t>
        </is>
      </c>
      <c r="B594" s="5" t="n">
        <v>4</v>
      </c>
      <c r="C594" s="6" t="inlineStr">
        <is>
          <t>Ortak kampanya öner</t>
        </is>
      </c>
      <c r="D594" s="5" t="inlineStr">
        <is>
          <t>Sosyal Radar</t>
        </is>
      </c>
      <c r="E594" s="5" t="inlineStr">
        <is>
          <t>Kolay</t>
        </is>
      </c>
      <c r="F594" s="5" t="inlineStr"/>
      <c r="G594" s="6" t="inlineStr"/>
      <c r="H594" s="6" t="inlineStr">
        <is>
          <t>'Birinden alana öbüründe indirim' kampanyası kurdun. Sokak bir alışveriş rotasına dönüştü.</t>
        </is>
      </c>
      <c r="I594" s="6" t="inlineStr">
        <is>
          <t>Kampanya tuttu; sokağın girişine 'Çarşının en uyumlu köşesi' tabelası asıldı. Tabelayı kimin astığı bilinmiyor. Sendin.</t>
        </is>
      </c>
      <c r="J594" s="6" t="inlineStr">
        <is>
          <t>Sunumu dinlediler, fikri beğendiler, adını değiştirip tek başlarına uyguladılar.</t>
        </is>
      </c>
      <c r="K594" s="6" t="inlineStr">
        <is>
          <t>Kampanyayı başlattın; bütün indirimi sen karşıladın. Karşı dükkân buna 'sinerji' diyor.</t>
        </is>
      </c>
      <c r="L594" s="6" t="inlineStr"/>
      <c r="M594" s="5" t="inlineStr"/>
      <c r="N594" s="5" t="inlineStr"/>
      <c r="O594" s="6" t="inlineStr"/>
      <c r="P594" s="6" t="inlineStr"/>
      <c r="Q594" s="5" t="inlineStr">
        <is>
          <t>İş Modeli Kurar</t>
        </is>
      </c>
      <c r="R594" s="5" t="inlineStr"/>
      <c r="S594" s="5" t="inlineStr"/>
      <c r="T594" s="5" t="inlineStr"/>
      <c r="U594" s="5" t="inlineStr"/>
      <c r="V594" s="5" t="inlineStr"/>
      <c r="W594" s="5" t="inlineStr">
        <is>
          <t>esnaf-komsu-rakip</t>
        </is>
      </c>
      <c r="X594" s="5" t="inlineStr"/>
      <c r="Y594" s="5" t="inlineStr"/>
      <c r="Z594" s="6" t="inlineStr"/>
      <c r="AA594" s="5" t="inlineStr"/>
      <c r="AB594" s="5" t="inlineStr"/>
      <c r="AC594" s="5" t="inlineStr"/>
      <c r="AD594" s="5" t="inlineStr"/>
      <c r="AE594" s="5" t="inlineStr"/>
      <c r="AF594" s="5" t="inlineStr"/>
      <c r="AG594" s="5" t="inlineStr"/>
      <c r="AH594" s="5" t="inlineStr"/>
    </row>
    <row r="595">
      <c r="A595" s="5" t="inlineStr">
        <is>
          <t>mm-saat-1658</t>
        </is>
      </c>
      <c r="B595" s="5" t="n">
        <v>1</v>
      </c>
      <c r="C595" s="6" t="inlineStr">
        <is>
          <t>'Yarın gelin' de</t>
        </is>
      </c>
      <c r="D595" s="5" t="inlineStr"/>
      <c r="E595" s="5" t="inlineStr"/>
      <c r="F595" s="5" t="inlineStr">
        <is>
          <t>Dayanıklılık +1, Pişkinlik +1</t>
        </is>
      </c>
      <c r="G595" s="6" t="inlineStr">
        <is>
          <t>Kurumun en eski cümlesini ilk kez sen kurdun. Ağzında tuhaf bir tat bıraktı: kıdem.</t>
        </is>
      </c>
      <c r="H595" s="6" t="inlineStr"/>
      <c r="I595" s="6" t="inlineStr"/>
      <c r="J595" s="6" t="inlineStr"/>
      <c r="K595" s="6" t="inlineStr"/>
      <c r="L595" s="6" t="inlineStr"/>
      <c r="M595" s="5" t="inlineStr"/>
      <c r="N595" s="5" t="inlineStr"/>
      <c r="O595" s="6" t="inlineStr"/>
      <c r="P595" s="6" t="inlineStr"/>
      <c r="Q595" s="5" t="inlineStr"/>
      <c r="R595" s="5" t="inlineStr"/>
      <c r="S595" s="5" t="inlineStr"/>
      <c r="T595" s="5" t="inlineStr"/>
      <c r="U595" s="5" t="inlineStr"/>
      <c r="V595" s="5" t="inlineStr"/>
      <c r="W595" s="5" t="inlineStr"/>
      <c r="X595" s="5" t="inlineStr"/>
      <c r="Y595" s="5" t="inlineStr"/>
      <c r="Z595" s="6" t="inlineStr"/>
      <c r="AA595" s="5" t="inlineStr"/>
      <c r="AB595" s="5" t="inlineStr"/>
      <c r="AC595" s="5" t="inlineStr"/>
      <c r="AD595" s="5" t="inlineStr"/>
      <c r="AE595" s="5" t="inlineStr"/>
      <c r="AF595" s="5" t="inlineStr"/>
      <c r="AG595" s="5" t="inlineStr"/>
      <c r="AH595" s="5" t="inlineStr"/>
    </row>
    <row r="596">
      <c r="A596" s="5" t="inlineStr">
        <is>
          <t>mm-saat-1658</t>
        </is>
      </c>
      <c r="B596" s="5" t="n">
        <v>2</v>
      </c>
      <c r="C596" s="6" t="inlineStr">
        <is>
          <t>17.00'den önce kaşeyi bas</t>
        </is>
      </c>
      <c r="D596" s="5" t="inlineStr">
        <is>
          <t>Akıl</t>
        </is>
      </c>
      <c r="E596" s="5" t="inlineStr">
        <is>
          <t>Orta</t>
        </is>
      </c>
      <c r="F596" s="5" t="inlineStr"/>
      <c r="G596" s="6" t="inlineStr"/>
      <c r="H596" s="6" t="inlineStr">
        <is>
          <t>16.59'da kaşeyi bastın. Vatandaş teşekkür etti, sen de otobüse yetiştin.</t>
        </is>
      </c>
      <c r="I596" s="6" t="inlineStr">
        <is>
          <t>16.59.59'da son kaşe. Vatandaş, kapı görevlisi ve temizlik ekibi seni alkışladı.</t>
        </is>
      </c>
      <c r="J596" s="6" t="inlineStr">
        <is>
          <t>Kaşe 17.00'de indi. Belge bir dakika geç tarihli; vatandaş yarın yeniden gelecek.</t>
        </is>
      </c>
      <c r="K596" s="6" t="inlineStr">
        <is>
          <t>Kaşeyi masaya bastın, dosyaya değil. Masan artık resmen 'Onaylanmıştır'.</t>
        </is>
      </c>
      <c r="L596" s="6" t="inlineStr">
        <is>
          <t>Kaşe bastın, imza yarım kaldı. Vatandaş yarın gelip imzayı tamamlatacak.</t>
        </is>
      </c>
      <c r="M596" s="5" t="inlineStr">
        <is>
          <t>timing</t>
        </is>
      </c>
      <c r="N596" s="5" t="inlineStr">
        <is>
          <t>16.59'da Kaşe</t>
        </is>
      </c>
      <c r="O596" s="6" t="inlineStr">
        <is>
          <t>Saat 17.00 olmadan kaşeyi bas. Bir saniye geç kalırsan işlem mesai dışı sayılır.</t>
        </is>
      </c>
      <c r="P596" s="6" t="inlineStr"/>
      <c r="Q596" s="5" t="inlineStr"/>
      <c r="R596" s="5" t="inlineStr"/>
      <c r="S596" s="5" t="inlineStr"/>
      <c r="T596" s="5" t="inlineStr"/>
      <c r="U596" s="5" t="inlineStr"/>
      <c r="V596" s="5" t="inlineStr"/>
      <c r="W596" s="5" t="inlineStr"/>
      <c r="X596" s="5" t="inlineStr"/>
      <c r="Y596" s="5" t="inlineStr"/>
      <c r="Z596" s="6" t="inlineStr"/>
      <c r="AA596" s="5" t="inlineStr"/>
      <c r="AB596" s="5" t="inlineStr"/>
      <c r="AC596" s="5" t="inlineStr"/>
      <c r="AD596" s="5" t="inlineStr"/>
      <c r="AE596" s="5" t="inlineStr"/>
      <c r="AF596" s="5" t="inlineStr"/>
      <c r="AG596" s="5" t="inlineStr"/>
      <c r="AH596" s="5" t="inlineStr"/>
    </row>
    <row r="597">
      <c r="A597" s="5" t="inlineStr">
        <is>
          <t>mm-saat-1658</t>
        </is>
      </c>
      <c r="B597" s="5" t="n">
        <v>3</v>
      </c>
      <c r="C597" s="6" t="inlineStr">
        <is>
          <t>Yedi imzanın haritasını çıkar</t>
        </is>
      </c>
      <c r="D597" s="5" t="inlineStr">
        <is>
          <t>Çene</t>
        </is>
      </c>
      <c r="E597" s="5" t="inlineStr">
        <is>
          <t>Kolay</t>
        </is>
      </c>
      <c r="F597" s="5" t="inlineStr"/>
      <c r="G597" s="6" t="inlineStr"/>
      <c r="H597" s="6" t="inlineStr">
        <is>
          <t>Listeyi verdin. Vatandaş yarın yedi imzayla, tek seferde gelecek.</t>
        </is>
      </c>
      <c r="I597" s="6" t="inlineStr">
        <is>
          <t>Yedi imzanın hangi masalarda toplanacağını çizdin. Harita fotokopiyle çoğaltılıp bütün koridora asıldı.</t>
        </is>
      </c>
      <c r="J597" s="6" t="inlineStr">
        <is>
          <t>Vatandaş 'Ama sadece bir imza' dedi. Yedi kez.</t>
        </is>
      </c>
      <c r="K597" s="6" t="inlineStr">
        <is>
          <t>Vatandaş şefe gidip 'Bu memur beni yedi imzayla korkuttu' dedi. Şimdi senin dosyanda bir imza eksik.</t>
        </is>
      </c>
      <c r="L597" s="6" t="inlineStr"/>
      <c r="M597" s="5" t="inlineStr"/>
      <c r="N597" s="5" t="inlineStr"/>
      <c r="O597" s="6" t="inlineStr"/>
      <c r="P597" s="6" t="inlineStr"/>
      <c r="Q597" s="5" t="inlineStr"/>
      <c r="R597" s="5" t="inlineStr"/>
      <c r="S597" s="5" t="inlineStr">
        <is>
          <t>Sosyal Radar</t>
        </is>
      </c>
      <c r="T597" s="5" t="inlineStr"/>
      <c r="U597" s="5" t="inlineStr"/>
      <c r="V597" s="5" t="inlineStr"/>
      <c r="W597" s="5" t="inlineStr"/>
      <c r="X597" s="5" t="inlineStr"/>
      <c r="Y597" s="5" t="inlineStr"/>
      <c r="Z597" s="6" t="inlineStr"/>
      <c r="AA597" s="5" t="inlineStr"/>
      <c r="AB597" s="5" t="inlineStr"/>
      <c r="AC597" s="5" t="inlineStr"/>
      <c r="AD597" s="5" t="inlineStr"/>
      <c r="AE597" s="5" t="inlineStr"/>
      <c r="AF597" s="5" t="inlineStr"/>
      <c r="AG597" s="5" t="inlineStr"/>
      <c r="AH597" s="5" t="inlineStr"/>
    </row>
    <row r="598">
      <c r="A598" s="5" t="inlineStr">
        <is>
          <t>mm-saat-1658</t>
        </is>
      </c>
      <c r="B598" s="5" t="n">
        <v>4</v>
      </c>
      <c r="C598" s="6" t="inlineStr">
        <is>
          <t>Mesaiyi uzat</t>
        </is>
      </c>
      <c r="D598" s="5" t="inlineStr"/>
      <c r="E598" s="5" t="inlineStr"/>
      <c r="F598" s="5" t="inlineStr">
        <is>
          <t>İtibar +2</t>
        </is>
      </c>
      <c r="G598" s="6" t="inlineStr">
        <is>
          <t>Yarım saat fazla kaldın. Kayıtlara geçmedi; vatandaşın aile grubuna 'Böyle memur mu olur' diye geçti. İyi anlamda.</t>
        </is>
      </c>
      <c r="H598" s="6" t="inlineStr"/>
      <c r="I598" s="6" t="inlineStr"/>
      <c r="J598" s="6" t="inlineStr"/>
      <c r="K598" s="6" t="inlineStr"/>
      <c r="L598" s="6" t="inlineStr"/>
      <c r="M598" s="5" t="inlineStr"/>
      <c r="N598" s="5" t="inlineStr"/>
      <c r="O598" s="6" t="inlineStr"/>
      <c r="P598" s="6" t="inlineStr"/>
      <c r="Q598" s="5" t="inlineStr"/>
      <c r="R598" s="5" t="inlineStr"/>
      <c r="S598" s="5" t="inlineStr"/>
      <c r="T598" s="5" t="inlineStr"/>
      <c r="U598" s="5" t="inlineStr"/>
      <c r="V598" s="5" t="inlineStr"/>
      <c r="W598" s="5" t="inlineStr"/>
      <c r="X598" s="5" t="inlineStr"/>
      <c r="Y598" s="5" t="inlineStr"/>
      <c r="Z598" s="6" t="inlineStr"/>
      <c r="AA598" s="5" t="inlineStr"/>
      <c r="AB598" s="5" t="inlineStr"/>
      <c r="AC598" s="5" t="inlineStr"/>
      <c r="AD598" s="5" t="inlineStr"/>
      <c r="AE598" s="5" t="inlineStr"/>
      <c r="AF598" s="5" t="inlineStr"/>
      <c r="AG598" s="5" t="inlineStr"/>
      <c r="AH598" s="5" t="inlineStr"/>
    </row>
    <row r="599">
      <c r="A599" s="5" t="inlineStr">
        <is>
          <t>b6-ev-sahibi-kavgasi</t>
        </is>
      </c>
      <c r="B599" s="5" t="n">
        <v>1</v>
      </c>
      <c r="C599" s="6" t="inlineStr">
        <is>
          <t>Artışı kabul et</t>
        </is>
      </c>
      <c r="D599" s="5" t="inlineStr"/>
      <c r="E599" s="5" t="inlineStr"/>
      <c r="F599" s="5" t="inlineStr">
        <is>
          <t>Dayanıklılık +1</t>
        </is>
      </c>
      <c r="G599" s="6" t="inlineStr">
        <is>
          <t>Kabul ettin. Ay sonunda buzdolabıyla arana soğuk bir mesafe girdi.</t>
        </is>
      </c>
      <c r="H599" s="6" t="inlineStr"/>
      <c r="I599" s="6" t="inlineStr"/>
      <c r="J599" s="6" t="inlineStr"/>
      <c r="K599" s="6" t="inlineStr"/>
      <c r="L599" s="6" t="inlineStr"/>
      <c r="M599" s="5" t="inlineStr"/>
      <c r="N599" s="5" t="inlineStr"/>
      <c r="O599" s="6" t="inlineStr"/>
      <c r="P599" s="6" t="inlineStr"/>
      <c r="Q599" s="5" t="inlineStr"/>
      <c r="R599" s="5" t="inlineStr"/>
      <c r="S599" s="5" t="inlineStr"/>
      <c r="T599" s="5" t="inlineStr"/>
      <c r="U599" s="5" t="inlineStr"/>
      <c r="V599" s="5" t="inlineStr"/>
      <c r="W599" s="5" t="inlineStr"/>
      <c r="X599" s="5" t="inlineStr"/>
      <c r="Y599" s="5" t="inlineStr"/>
      <c r="Z599" s="6" t="inlineStr"/>
      <c r="AA599" s="5" t="inlineStr"/>
      <c r="AB599" s="5" t="inlineStr"/>
      <c r="AC599" s="5" t="inlineStr"/>
      <c r="AD599" s="5" t="inlineStr"/>
      <c r="AE599" s="5" t="inlineStr"/>
      <c r="AF599" s="5" t="inlineStr"/>
      <c r="AG599" s="5" t="inlineStr"/>
      <c r="AH599" s="5" t="inlineStr"/>
    </row>
    <row r="600">
      <c r="A600" s="5" t="inlineStr">
        <is>
          <t>b6-ev-sahibi-kavgasi</t>
        </is>
      </c>
      <c r="B600" s="5" t="n">
        <v>2</v>
      </c>
      <c r="C600" s="6" t="inlineStr">
        <is>
          <t>Sözleşmeyi bul, maddeleri oku</t>
        </is>
      </c>
      <c r="D600" s="5" t="inlineStr">
        <is>
          <t>Akıl</t>
        </is>
      </c>
      <c r="E600" s="5" t="inlineStr">
        <is>
          <t>Orta</t>
        </is>
      </c>
      <c r="F600" s="5" t="inlineStr"/>
      <c r="G600" s="6" t="inlineStr"/>
      <c r="H600" s="6" t="inlineStr">
        <is>
          <t>Artış maddesini buldun. Ev sahibi 'Tamam, makul olsun' dedi.</t>
        </is>
      </c>
      <c r="I600" s="6" t="inlineStr">
        <is>
          <t>Ev sahibinin unuttuğu bir madde buldun: boya ve kombi masrafı onda. Masa döndü.</t>
        </is>
      </c>
      <c r="J600" s="6" t="inlineStr">
        <is>
          <t>Buldun. İmzaladığın sayfa eksikmiş.</t>
        </is>
      </c>
      <c r="K600" s="6" t="inlineStr">
        <is>
          <t>Buldun. Madde senin aleyhine. Ev sahibi okuduğunu da biliyor.</t>
        </is>
      </c>
      <c r="L600" s="6" t="inlineStr"/>
      <c r="M600" s="5" t="inlineStr"/>
      <c r="N600" s="5" t="inlineStr"/>
      <c r="O600" s="6" t="inlineStr"/>
      <c r="P600" s="6" t="inlineStr"/>
      <c r="Q600" s="5" t="inlineStr"/>
      <c r="R600" s="5" t="inlineStr"/>
      <c r="S600" s="5" t="inlineStr"/>
      <c r="T600" s="5" t="inlineStr"/>
      <c r="U600" s="5" t="inlineStr"/>
      <c r="V600" s="5" t="inlineStr"/>
      <c r="W600" s="5" t="inlineStr"/>
      <c r="X600" s="5" t="inlineStr"/>
      <c r="Y600" s="5" t="inlineStr"/>
      <c r="Z600" s="6" t="inlineStr"/>
      <c r="AA600" s="5" t="inlineStr"/>
      <c r="AB600" s="5" t="inlineStr"/>
      <c r="AC600" s="5" t="inlineStr"/>
      <c r="AD600" s="5" t="inlineStr"/>
      <c r="AE600" s="5" t="inlineStr"/>
      <c r="AF600" s="5" t="inlineStr"/>
      <c r="AG600" s="5" t="inlineStr"/>
      <c r="AH600" s="5" t="inlineStr"/>
    </row>
    <row r="601">
      <c r="A601" s="5" t="inlineStr">
        <is>
          <t>b6-ev-sahibi-kavgasi</t>
        </is>
      </c>
      <c r="B601" s="5" t="n">
        <v>3</v>
      </c>
      <c r="C601" s="6" t="inlineStr">
        <is>
          <t>'Yeğeniniz ne zaman taşınıyor?' diye sor</t>
        </is>
      </c>
      <c r="D601" s="5" t="inlineStr">
        <is>
          <t>Sosyal Radar</t>
        </is>
      </c>
      <c r="E601" s="5" t="inlineStr">
        <is>
          <t>Kolay</t>
        </is>
      </c>
      <c r="F601" s="5" t="inlineStr"/>
      <c r="G601" s="6" t="inlineStr"/>
      <c r="H601" s="6" t="inlineStr">
        <is>
          <t>Kısa bir sessizlik. Sonra: 'Biraz daha düşünelim.'</t>
        </is>
      </c>
      <c r="I601" s="6" t="inlineStr">
        <is>
          <t>Ev sahibi güldü, 'Yeğen yok' dedi ve artışı yarıya indirdi. Garip bir dostluk başladı.</t>
        </is>
      </c>
      <c r="J601" s="6" t="inlineStr">
        <is>
          <t>Yeğen gerçekten varmış. Gelecek ay taşınıyor. Sen de.</t>
        </is>
      </c>
      <c r="K601" s="6" t="inlineStr">
        <is>
          <t>Ev sahibi alındı ve mahalleye 'huysuz kiracı' olduğunu anlattı. Bakkal bile selam vermiyor.</t>
        </is>
      </c>
      <c r="L601" s="6" t="inlineStr"/>
      <c r="M601" s="5" t="inlineStr"/>
      <c r="N601" s="5" t="inlineStr"/>
      <c r="O601" s="6" t="inlineStr"/>
      <c r="P601" s="6" t="inlineStr"/>
      <c r="Q601" s="5" t="inlineStr"/>
      <c r="R601" s="5" t="inlineStr"/>
      <c r="S601" s="5" t="inlineStr">
        <is>
          <t>Sosyal Radar</t>
        </is>
      </c>
      <c r="T601" s="5" t="inlineStr"/>
      <c r="U601" s="5" t="inlineStr"/>
      <c r="V601" s="5" t="inlineStr"/>
      <c r="W601" s="5" t="inlineStr"/>
      <c r="X601" s="5" t="inlineStr"/>
      <c r="Y601" s="5" t="inlineStr"/>
      <c r="Z601" s="6" t="inlineStr"/>
      <c r="AA601" s="5" t="inlineStr"/>
      <c r="AB601" s="5" t="inlineStr"/>
      <c r="AC601" s="5" t="inlineStr"/>
      <c r="AD601" s="5" t="inlineStr"/>
      <c r="AE601" s="5" t="inlineStr"/>
      <c r="AF601" s="5" t="inlineStr"/>
      <c r="AG601" s="5" t="inlineStr"/>
      <c r="AH601" s="5" t="inlineStr"/>
    </row>
    <row r="602">
      <c r="A602" s="5" t="inlineStr">
        <is>
          <t>b6-ev-sahibi-kavgasi</t>
        </is>
      </c>
      <c r="B602" s="5" t="n">
        <v>4</v>
      </c>
      <c r="C602" s="6" t="inlineStr">
        <is>
          <t>Hakkını sonuna kadar ara</t>
        </is>
      </c>
      <c r="D602" s="5" t="inlineStr">
        <is>
          <t>Cesaret</t>
        </is>
      </c>
      <c r="E602" s="5" t="inlineStr">
        <is>
          <t>Zor</t>
        </is>
      </c>
      <c r="F602" s="5" t="inlineStr"/>
      <c r="G602" s="6" t="inlineStr"/>
      <c r="H602" s="6" t="inlineStr">
        <is>
          <t>Tebligat, arabulucu, iki telefon. Artış makule çekildi. Ev sahibi selamı kesti.</t>
        </is>
      </c>
      <c r="I602" s="6" t="inlineStr">
        <is>
          <t>Haklı çıktın. Ev sahibi özür mesajı attı. Sonunda bir çiçek vardı.</t>
        </is>
      </c>
      <c r="J602" s="6" t="inlineStr">
        <is>
          <t>Arabulucu ev sahibinin kuzeniymiş.</t>
        </is>
      </c>
      <c r="K602" s="6" t="inlineStr">
        <is>
          <t>Evden çıkışın hızlandı. Depozito da sürecin bir yerinde kayboldu.</t>
        </is>
      </c>
      <c r="L602" s="6" t="inlineStr"/>
      <c r="M602" s="5" t="inlineStr"/>
      <c r="N602" s="5" t="inlineStr"/>
      <c r="O602" s="6" t="inlineStr"/>
      <c r="P602" s="6" t="inlineStr"/>
      <c r="Q602" s="5" t="inlineStr">
        <is>
          <t>Sözünü Geçirir</t>
        </is>
      </c>
      <c r="R602" s="5" t="inlineStr"/>
      <c r="S602" s="5" t="inlineStr"/>
      <c r="T602" s="5" t="inlineStr"/>
      <c r="U602" s="5" t="inlineStr"/>
      <c r="V602" s="5" t="inlineStr"/>
      <c r="W602" s="5" t="inlineStr">
        <is>
          <t>depozito-yandi</t>
        </is>
      </c>
      <c r="X602" s="5" t="inlineStr"/>
      <c r="Y602" s="5" t="inlineStr"/>
      <c r="Z602" s="6" t="inlineStr"/>
      <c r="AA602" s="5" t="inlineStr"/>
      <c r="AB602" s="5" t="inlineStr"/>
      <c r="AC602" s="5" t="inlineStr"/>
      <c r="AD602" s="5" t="inlineStr"/>
      <c r="AE602" s="5" t="inlineStr"/>
      <c r="AF602" s="5" t="inlineStr"/>
      <c r="AG602" s="5" t="inlineStr"/>
      <c r="AH602" s="5" t="inlineStr"/>
    </row>
    <row r="603">
      <c r="A603" s="5" t="inlineStr">
        <is>
          <t>b6-kargo-takibi</t>
        </is>
      </c>
      <c r="B603" s="5" t="n">
        <v>1</v>
      </c>
      <c r="C603" s="6" t="inlineStr">
        <is>
          <t>Beklemeye devam et</t>
        </is>
      </c>
      <c r="D603" s="5" t="inlineStr"/>
      <c r="E603" s="5" t="inlineStr"/>
      <c r="F603" s="5" t="inlineStr">
        <is>
          <t>Dayanıklılık +1</t>
        </is>
      </c>
      <c r="G603" s="6" t="inlineStr">
        <is>
          <t>Sekizinci gün teslim edildi. Kapının önüne, yağmurun altına.</t>
        </is>
      </c>
      <c r="H603" s="6" t="inlineStr"/>
      <c r="I603" s="6" t="inlineStr"/>
      <c r="J603" s="6" t="inlineStr"/>
      <c r="K603" s="6" t="inlineStr"/>
      <c r="L603" s="6" t="inlineStr"/>
      <c r="M603" s="5" t="inlineStr"/>
      <c r="N603" s="5" t="inlineStr"/>
      <c r="O603" s="6" t="inlineStr"/>
      <c r="P603" s="6" t="inlineStr"/>
      <c r="Q603" s="5" t="inlineStr"/>
      <c r="R603" s="5" t="inlineStr"/>
      <c r="S603" s="5" t="inlineStr"/>
      <c r="T603" s="5" t="inlineStr"/>
      <c r="U603" s="5" t="inlineStr"/>
      <c r="V603" s="5" t="inlineStr"/>
      <c r="W603" s="5" t="inlineStr"/>
      <c r="X603" s="5" t="inlineStr"/>
      <c r="Y603" s="5" t="inlineStr"/>
      <c r="Z603" s="6" t="inlineStr"/>
      <c r="AA603" s="5" t="inlineStr"/>
      <c r="AB603" s="5" t="inlineStr"/>
      <c r="AC603" s="5" t="inlineStr"/>
      <c r="AD603" s="5" t="inlineStr"/>
      <c r="AE603" s="5" t="inlineStr"/>
      <c r="AF603" s="5" t="inlineStr"/>
      <c r="AG603" s="5" t="inlineStr"/>
      <c r="AH603" s="5" t="inlineStr"/>
    </row>
    <row r="604">
      <c r="A604" s="5" t="inlineStr">
        <is>
          <t>b6-kargo-takibi</t>
        </is>
      </c>
      <c r="B604" s="5" t="n">
        <v>2</v>
      </c>
      <c r="C604" s="6" t="inlineStr">
        <is>
          <t>Müşteri hizmetlerini ara</t>
        </is>
      </c>
      <c r="D604" s="5" t="inlineStr">
        <is>
          <t>Çene</t>
        </is>
      </c>
      <c r="E604" s="5" t="inlineStr">
        <is>
          <t>Orta</t>
        </is>
      </c>
      <c r="F604" s="5" t="inlineStr"/>
      <c r="G604" s="6" t="inlineStr"/>
      <c r="H604" s="6" t="inlineStr">
        <is>
          <t>Kırk dakika bekleme müziğinden sonra bir insana ulaştın. Kargo ertesi gün geldi.</t>
        </is>
      </c>
      <c r="I604" s="6" t="inlineStr">
        <is>
          <t>Temsilci kargoyu kendi getirtti. Yanında bir özür çikolatası vardı.</t>
        </is>
      </c>
      <c r="J604" s="6" t="inlineStr">
        <is>
          <t>'Talebiniz oluşturuldu' dendi. Talep, kargodan hızlı ilerlemiyor.</t>
        </is>
      </c>
      <c r="K604" s="6" t="inlineStr">
        <is>
          <t>Sesli asistan seni 'Anlaşılmadı' döngüsüne soktu. Sonunda iadeyi onayladın. Kendi siparişini.</t>
        </is>
      </c>
      <c r="L604" s="6" t="inlineStr"/>
      <c r="M604" s="5" t="inlineStr"/>
      <c r="N604" s="5" t="inlineStr"/>
      <c r="O604" s="6" t="inlineStr"/>
      <c r="P604" s="6" t="inlineStr"/>
      <c r="Q604" s="5" t="inlineStr"/>
      <c r="R604" s="5" t="inlineStr"/>
      <c r="S604" s="5" t="inlineStr"/>
      <c r="T604" s="5" t="inlineStr"/>
      <c r="U604" s="5" t="inlineStr"/>
      <c r="V604" s="5" t="inlineStr"/>
      <c r="W604" s="5" t="inlineStr"/>
      <c r="X604" s="5" t="inlineStr"/>
      <c r="Y604" s="5" t="inlineStr"/>
      <c r="Z604" s="6" t="inlineStr"/>
      <c r="AA604" s="5" t="inlineStr"/>
      <c r="AB604" s="5" t="inlineStr"/>
      <c r="AC604" s="5" t="inlineStr"/>
      <c r="AD604" s="5" t="inlineStr"/>
      <c r="AE604" s="5" t="inlineStr"/>
      <c r="AF604" s="5" t="inlineStr"/>
      <c r="AG604" s="5" t="inlineStr"/>
      <c r="AH604" s="5" t="inlineStr"/>
    </row>
    <row r="605">
      <c r="A605" s="5" t="inlineStr">
        <is>
          <t>b6-kargo-takibi</t>
        </is>
      </c>
      <c r="B605" s="5" t="n">
        <v>3</v>
      </c>
      <c r="C605" s="6" t="inlineStr">
        <is>
          <t>Köşedeki büfeye uğra</t>
        </is>
      </c>
      <c r="D605" s="5" t="inlineStr">
        <is>
          <t>Sosyal Radar</t>
        </is>
      </c>
      <c r="E605" s="5" t="inlineStr">
        <is>
          <t>Kolay</t>
        </is>
      </c>
      <c r="F605" s="5" t="inlineStr"/>
      <c r="G605" s="6" t="inlineStr"/>
      <c r="H605" s="6" t="inlineStr">
        <is>
          <t>Büfeci paketini rafın arkasından çıkardı. Yanında üç komşunun paketi daha vardı.</t>
        </is>
      </c>
      <c r="I605" s="6" t="inlineStr">
        <is>
          <t>Büfeci sokağın bütün kargolarını sana emanet etti. Sokağın gayriresmî dağıtım merkezisin.</t>
        </is>
      </c>
      <c r="J605" s="6" t="inlineStr">
        <is>
          <t>Büfeci 'Paket yok' dedi. Arkasında adının yazılı olduğu bir kutu vardı. Göz göze geldiniz.</t>
        </is>
      </c>
      <c r="K605" s="6" t="inlineStr">
        <is>
          <t>Paketin oradaymış. Açılmış. İçindeki kulaklık büfecinin kulağında.</t>
        </is>
      </c>
      <c r="L605" s="6" t="inlineStr"/>
      <c r="M605" s="5" t="inlineStr"/>
      <c r="N605" s="5" t="inlineStr"/>
      <c r="O605" s="6" t="inlineStr"/>
      <c r="P605" s="6" t="inlineStr"/>
      <c r="Q605" s="5" t="inlineStr"/>
      <c r="R605" s="5" t="inlineStr"/>
      <c r="S605" s="5" t="inlineStr">
        <is>
          <t>Kurnazlık</t>
        </is>
      </c>
      <c r="T605" s="5" t="inlineStr"/>
      <c r="U605" s="5" t="inlineStr"/>
      <c r="V605" s="5" t="inlineStr"/>
      <c r="W605" s="5" t="inlineStr"/>
      <c r="X605" s="5" t="inlineStr"/>
      <c r="Y605" s="5" t="inlineStr"/>
      <c r="Z605" s="6" t="inlineStr"/>
      <c r="AA605" s="5" t="inlineStr"/>
      <c r="AB605" s="5" t="inlineStr"/>
      <c r="AC605" s="5" t="inlineStr"/>
      <c r="AD605" s="5" t="inlineStr"/>
      <c r="AE605" s="5" t="inlineStr"/>
      <c r="AF605" s="5" t="inlineStr"/>
      <c r="AG605" s="5" t="inlineStr"/>
      <c r="AH605" s="5" t="inlineStr"/>
    </row>
    <row r="606">
      <c r="A606" s="5" t="inlineStr">
        <is>
          <t>b6-kargo-takibi</t>
        </is>
      </c>
      <c r="B606" s="5" t="n">
        <v>4</v>
      </c>
      <c r="C606" s="6" t="inlineStr">
        <is>
          <t>Kuryeyi haritadan takip et</t>
        </is>
      </c>
      <c r="D606" s="5" t="inlineStr">
        <is>
          <t>Cesaret</t>
        </is>
      </c>
      <c r="E606" s="5" t="inlineStr">
        <is>
          <t>Orta</t>
        </is>
      </c>
      <c r="F606" s="5" t="inlineStr"/>
      <c r="G606" s="6" t="inlineStr"/>
      <c r="H606" s="6" t="inlineStr">
        <is>
          <t>Haritadaki noktayı izleyip kuryeyi köşede yakaladın. Paket teslim.</t>
        </is>
      </c>
      <c r="I606" s="6" t="inlineStr">
        <is>
          <t>Kurye sokağın ters numaralandırıldığını anlattı. Belediyeye birlikte dilekçe verdiniz.</t>
        </is>
      </c>
      <c r="J606" s="6" t="inlineStr">
        <is>
          <t>Yakaladığın başka bir kuryeydi. Ona yol tarif ettin. Seninki hâlâ yolda.</t>
        </is>
      </c>
      <c r="K606" s="6" t="inlineStr">
        <is>
          <t>Terlikle koştun. Kurye motordaydı. Sen üç sokak öteye, terliğin biri dördüncüye ulaştı.</t>
        </is>
      </c>
      <c r="L606" s="6" t="inlineStr"/>
      <c r="M606" s="5" t="inlineStr"/>
      <c r="N606" s="5" t="inlineStr"/>
      <c r="O606" s="6" t="inlineStr"/>
      <c r="P606" s="6" t="inlineStr"/>
      <c r="Q606" s="5" t="inlineStr"/>
      <c r="R606" s="5" t="inlineStr"/>
      <c r="S606" s="5" t="inlineStr"/>
      <c r="T606" s="5" t="inlineStr"/>
      <c r="U606" s="5" t="inlineStr"/>
      <c r="V606" s="5" t="inlineStr"/>
      <c r="W606" s="5" t="inlineStr"/>
      <c r="X606" s="5" t="inlineStr"/>
      <c r="Y606" s="5" t="inlineStr"/>
      <c r="Z606" s="6" t="inlineStr"/>
      <c r="AA606" s="5" t="inlineStr"/>
      <c r="AB606" s="5" t="inlineStr"/>
      <c r="AC606" s="5" t="inlineStr"/>
      <c r="AD606" s="5" t="inlineStr"/>
      <c r="AE606" s="5" t="inlineStr"/>
      <c r="AF606" s="5" t="inlineStr"/>
      <c r="AG606" s="5" t="inlineStr"/>
      <c r="AH606" s="5" t="inlineStr"/>
    </row>
    <row r="607">
      <c r="A607" s="5" t="inlineStr">
        <is>
          <t>ms-pijama-ekonomisi</t>
        </is>
      </c>
      <c r="B607" s="5" t="n">
        <v>1</v>
      </c>
      <c r="C607" s="6" t="inlineStr">
        <is>
          <t>Giyin, masaya otur</t>
        </is>
      </c>
      <c r="D607" s="5" t="inlineStr"/>
      <c r="E607" s="5" t="inlineStr"/>
      <c r="F607" s="5" t="inlineStr">
        <is>
          <t>Dayanıklılık +1</t>
        </is>
      </c>
      <c r="G607" s="6" t="inlineStr">
        <is>
          <t>Gömlek ve ayakkabı giydin. Evde ayakkabıyla çalışan tek kişi oldun. Verim arttı, komşu şüphelendi.</t>
        </is>
      </c>
      <c r="H607" s="6" t="inlineStr"/>
      <c r="I607" s="6" t="inlineStr"/>
      <c r="J607" s="6" t="inlineStr"/>
      <c r="K607" s="6" t="inlineStr"/>
      <c r="L607" s="6" t="inlineStr"/>
      <c r="M607" s="5" t="inlineStr"/>
      <c r="N607" s="5" t="inlineStr"/>
      <c r="O607" s="6" t="inlineStr"/>
      <c r="P607" s="6" t="inlineStr"/>
      <c r="Q607" s="5" t="inlineStr"/>
      <c r="R607" s="5" t="inlineStr"/>
      <c r="S607" s="5" t="inlineStr"/>
      <c r="T607" s="5" t="inlineStr"/>
      <c r="U607" s="5" t="inlineStr"/>
      <c r="V607" s="5" t="inlineStr"/>
      <c r="W607" s="5" t="inlineStr"/>
      <c r="X607" s="5" t="inlineStr"/>
      <c r="Y607" s="5" t="inlineStr"/>
      <c r="Z607" s="6" t="inlineStr"/>
      <c r="AA607" s="5" t="inlineStr"/>
      <c r="AB607" s="5" t="inlineStr"/>
      <c r="AC607" s="5" t="inlineStr"/>
      <c r="AD607" s="5" t="inlineStr"/>
      <c r="AE607" s="5" t="inlineStr"/>
      <c r="AF607" s="5" t="inlineStr"/>
      <c r="AG607" s="5" t="inlineStr"/>
      <c r="AH607" s="5" t="inlineStr"/>
    </row>
    <row r="608">
      <c r="A608" s="5" t="inlineStr">
        <is>
          <t>ms-pijama-ekonomisi</t>
        </is>
      </c>
      <c r="B608" s="5" t="n">
        <v>2</v>
      </c>
      <c r="C608" s="6" t="inlineStr">
        <is>
          <t>Üçünü aynı anda bitir</t>
        </is>
      </c>
      <c r="D608" s="5" t="inlineStr">
        <is>
          <t>Akıl</t>
        </is>
      </c>
      <c r="E608" s="5" t="inlineStr">
        <is>
          <t>Zor</t>
        </is>
      </c>
      <c r="F608" s="5" t="inlineStr"/>
      <c r="G608" s="6" t="inlineStr"/>
      <c r="H608" s="6" t="inlineStr">
        <is>
          <t>Üç işi tek gecede bitirdin. Uyku yarın, fatura bugün.</t>
        </is>
      </c>
      <c r="I608" s="6" t="inlineStr">
        <is>
          <t>Üçünü bitirdin, birini erken teslim ettin. Müşteri şoktan iki gün cevap veremedi.</t>
        </is>
      </c>
      <c r="J608" s="6" t="inlineStr">
        <is>
          <t>Üçünü bitirdin; dosyaları yanlış müşterilere gönderdin. Hepsi 'Tam istediğimiz gibi' dedi. Birisi değildi.</t>
        </is>
      </c>
      <c r="K608" s="6" t="inlineStr">
        <is>
          <t>Üç dosyayı tek dosyada birleştirdin ve üçüne de aynısını yolladın. Üç müşteri aynı gün aradı.</t>
        </is>
      </c>
      <c r="L608" s="6" t="inlineStr"/>
      <c r="M608" s="5" t="inlineStr"/>
      <c r="N608" s="5" t="inlineStr"/>
      <c r="O608" s="6" t="inlineStr"/>
      <c r="P608" s="6" t="inlineStr"/>
      <c r="Q608" s="5" t="inlineStr"/>
      <c r="R608" s="5" t="inlineStr"/>
      <c r="S608" s="5" t="inlineStr"/>
      <c r="T608" s="5" t="inlineStr">
        <is>
          <t>Analitik Zihin</t>
        </is>
      </c>
      <c r="U608" s="5" t="inlineStr"/>
      <c r="V608" s="5" t="inlineStr"/>
      <c r="W608" s="5" t="inlineStr"/>
      <c r="X608" s="5" t="inlineStr"/>
      <c r="Y608" s="5" t="inlineStr"/>
      <c r="Z608" s="6" t="inlineStr"/>
      <c r="AA608" s="5" t="inlineStr"/>
      <c r="AB608" s="5" t="inlineStr"/>
      <c r="AC608" s="5" t="inlineStr"/>
      <c r="AD608" s="5" t="inlineStr"/>
      <c r="AE608" s="5" t="inlineStr"/>
      <c r="AF608" s="5" t="inlineStr"/>
      <c r="AG608" s="5" t="inlineStr"/>
      <c r="AH608" s="5" t="inlineStr"/>
    </row>
    <row r="609">
      <c r="A609" s="5" t="inlineStr">
        <is>
          <t>ms-pijama-ekonomisi</t>
        </is>
      </c>
      <c r="B609" s="5" t="n">
        <v>3</v>
      </c>
      <c r="C609" s="6" t="inlineStr">
        <is>
          <t>Kafeye taşın</t>
        </is>
      </c>
      <c r="D609" s="5" t="inlineStr">
        <is>
          <t>Kurnazlık</t>
        </is>
      </c>
      <c r="E609" s="5" t="inlineStr">
        <is>
          <t>Kolay</t>
        </is>
      </c>
      <c r="F609" s="5" t="inlineStr"/>
      <c r="G609" s="6" t="inlineStr"/>
      <c r="H609" s="6" t="inlineStr">
        <is>
          <t>Prize en yakın masayı kaptın. Bir çayla altı saat çalıştın. Verimli ve biraz ayıp.</t>
        </is>
      </c>
      <c r="I609" s="6" t="inlineStr">
        <is>
          <t>Kafede yan masadaki bir girişimci iş teklif etti. Ofisin artık resmen kafe.</t>
        </is>
      </c>
      <c r="J609" s="6" t="inlineStr">
        <is>
          <t>Priz yoktu. Şarj bitti. Sen de.</t>
        </is>
      </c>
      <c r="K609" s="6" t="inlineStr">
        <is>
          <t>Tek çayla dokuz saat oturdun. Garson sonunda sandalye kirası kesti.</t>
        </is>
      </c>
      <c r="L609" s="6" t="inlineStr"/>
      <c r="M609" s="5" t="inlineStr"/>
      <c r="N609" s="5" t="inlineStr"/>
      <c r="O609" s="6" t="inlineStr"/>
      <c r="P609" s="6" t="inlineStr"/>
      <c r="Q609" s="5" t="inlineStr"/>
      <c r="R609" s="5" t="inlineStr"/>
      <c r="S609" s="5" t="inlineStr"/>
      <c r="T609" s="5" t="inlineStr"/>
      <c r="U609" s="5" t="inlineStr"/>
      <c r="V609" s="5" t="inlineStr"/>
      <c r="W609" s="5" t="inlineStr"/>
      <c r="X609" s="5" t="inlineStr"/>
      <c r="Y609" s="5" t="inlineStr"/>
      <c r="Z609" s="6" t="inlineStr"/>
      <c r="AA609" s="5" t="inlineStr"/>
      <c r="AB609" s="5" t="inlineStr"/>
      <c r="AC609" s="5" t="inlineStr"/>
      <c r="AD609" s="5" t="inlineStr"/>
      <c r="AE609" s="5" t="inlineStr"/>
      <c r="AF609" s="5" t="inlineStr"/>
      <c r="AG609" s="5" t="inlineStr"/>
      <c r="AH609" s="5" t="inlineStr"/>
    </row>
    <row r="610">
      <c r="A610" s="5" t="inlineStr">
        <is>
          <t>ms-pijama-ekonomisi</t>
        </is>
      </c>
      <c r="B610" s="5" t="n">
        <v>4</v>
      </c>
      <c r="C610" s="6" t="inlineStr">
        <is>
          <t>Kendine bir takvim sistemi kur</t>
        </is>
      </c>
      <c r="D610" s="5" t="inlineStr">
        <is>
          <t>Akıl</t>
        </is>
      </c>
      <c r="E610" s="5" t="inlineStr">
        <is>
          <t>Kolay</t>
        </is>
      </c>
      <c r="F610" s="5" t="inlineStr"/>
      <c r="G610" s="6" t="inlineStr"/>
      <c r="H610" s="6" t="inlineStr">
        <is>
          <t>Renkli bir takvim kurdun. Günlerin artık düzenli. Pijama sadece cuma.</t>
        </is>
      </c>
      <c r="I610" s="6" t="inlineStr">
        <is>
          <t>Takvimin o kadar iyi çalıştı ki diğer serbest çalışanlara şablon olarak satmaya başladın.</t>
        </is>
      </c>
      <c r="J610" s="6" t="inlineStr">
        <is>
          <t>Takvimi kurmak bütün gün sürdü. Üç teslim de takvimde güzel duruyor.</t>
        </is>
      </c>
      <c r="K610" s="6" t="inlineStr">
        <is>
          <t>Takvimi kurdun, bütün hatırlatıcılar aynı anda çaldı. Telefon titreyerek masadan düştü.</t>
        </is>
      </c>
      <c r="L610" s="6" t="inlineStr"/>
      <c r="M610" s="5" t="inlineStr"/>
      <c r="N610" s="5" t="inlineStr"/>
      <c r="O610" s="6" t="inlineStr"/>
      <c r="P610" s="6" t="inlineStr"/>
      <c r="Q610" s="5" t="inlineStr">
        <is>
          <t>Organizatör</t>
        </is>
      </c>
      <c r="R610" s="5" t="inlineStr"/>
      <c r="S610" s="5" t="inlineStr"/>
      <c r="T610" s="5" t="inlineStr"/>
      <c r="U610" s="5" t="inlineStr"/>
      <c r="V610" s="5" t="inlineStr"/>
      <c r="W610" s="5" t="inlineStr"/>
      <c r="X610" s="5" t="inlineStr"/>
      <c r="Y610" s="5" t="inlineStr"/>
      <c r="Z610" s="6" t="inlineStr"/>
      <c r="AA610" s="5" t="inlineStr"/>
      <c r="AB610" s="5" t="inlineStr"/>
      <c r="AC610" s="5" t="inlineStr"/>
      <c r="AD610" s="5" t="inlineStr"/>
      <c r="AE610" s="5" t="inlineStr"/>
      <c r="AF610" s="5" t="inlineStr"/>
      <c r="AG610" s="5" t="inlineStr"/>
      <c r="AH610" s="5" t="inlineStr"/>
    </row>
    <row r="611">
      <c r="A611" s="5" t="inlineStr">
        <is>
          <t>b6-ilk-vergi</t>
        </is>
      </c>
      <c r="B611" s="5" t="n">
        <v>1</v>
      </c>
      <c r="C611" s="6" t="inlineStr">
        <is>
          <t>Formu olduğu gibi doldur</t>
        </is>
      </c>
      <c r="D611" s="5" t="inlineStr"/>
      <c r="E611" s="5" t="inlineStr"/>
      <c r="F611" s="5" t="inlineStr">
        <is>
          <t>İtibar +2</t>
        </is>
      </c>
      <c r="G611" s="6" t="inlineStr">
        <is>
          <t>Memur baktı, 'Bu kutu yanlış' dedi ve kendi düzeltti. Devletten ilk yardımın.</t>
        </is>
      </c>
      <c r="H611" s="6" t="inlineStr"/>
      <c r="I611" s="6" t="inlineStr"/>
      <c r="J611" s="6" t="inlineStr"/>
      <c r="K611" s="6" t="inlineStr"/>
      <c r="L611" s="6" t="inlineStr"/>
      <c r="M611" s="5" t="inlineStr"/>
      <c r="N611" s="5" t="inlineStr"/>
      <c r="O611" s="6" t="inlineStr"/>
      <c r="P611" s="6" t="inlineStr"/>
      <c r="Q611" s="5" t="inlineStr"/>
      <c r="R611" s="5" t="inlineStr"/>
      <c r="S611" s="5" t="inlineStr"/>
      <c r="T611" s="5" t="inlineStr"/>
      <c r="U611" s="5" t="inlineStr"/>
      <c r="V611" s="5" t="inlineStr"/>
      <c r="W611" s="5" t="inlineStr"/>
      <c r="X611" s="5" t="inlineStr"/>
      <c r="Y611" s="5" t="inlineStr"/>
      <c r="Z611" s="6" t="inlineStr"/>
      <c r="AA611" s="5" t="inlineStr"/>
      <c r="AB611" s="5" t="inlineStr"/>
      <c r="AC611" s="5" t="inlineStr"/>
      <c r="AD611" s="5" t="inlineStr"/>
      <c r="AE611" s="5" t="inlineStr"/>
      <c r="AF611" s="5" t="inlineStr"/>
      <c r="AG611" s="5" t="inlineStr"/>
      <c r="AH611" s="5" t="inlineStr"/>
    </row>
    <row r="612">
      <c r="A612" s="5" t="inlineStr">
        <is>
          <t>b6-ilk-vergi</t>
        </is>
      </c>
      <c r="B612" s="5" t="n">
        <v>2</v>
      </c>
      <c r="C612" s="6" t="inlineStr">
        <is>
          <t>Muhasebeci tut</t>
        </is>
      </c>
      <c r="D612" s="5" t="inlineStr">
        <is>
          <t>Kurnazlık</t>
        </is>
      </c>
      <c r="E612" s="5" t="inlineStr">
        <is>
          <t>Kolay</t>
        </is>
      </c>
      <c r="F612" s="5" t="inlineStr"/>
      <c r="G612" s="6" t="inlineStr"/>
      <c r="H612" s="6" t="inlineStr">
        <is>
          <t>Form beş dakikada doldu. Faturası seni bir saat düşündürdü.</t>
        </is>
      </c>
      <c r="I612" s="6" t="inlineStr">
        <is>
          <t>Muhasebeci senin için bir iade hakkı buldu. İade, ücretinden biraz fazlaydı. Kârdasın.</t>
        </is>
      </c>
      <c r="J612" s="6" t="inlineStr">
        <is>
          <t>Muhasebeci bir kutuyu yanlış işaretledi. Artık o da bir yazı bekliyor.</t>
        </is>
      </c>
      <c r="K612" s="6" t="inlineStr">
        <is>
          <t>Muhasebecin kuzeninin arkadaşıydı. Sadece 'Hallederiz' dedi. Hâlâ halletmedi.</t>
        </is>
      </c>
      <c r="L612" s="6" t="inlineStr"/>
      <c r="M612" s="5" t="inlineStr"/>
      <c r="N612" s="5" t="inlineStr"/>
      <c r="O612" s="6" t="inlineStr"/>
      <c r="P612" s="6" t="inlineStr"/>
      <c r="Q612" s="5" t="inlineStr"/>
      <c r="R612" s="5" t="inlineStr"/>
      <c r="S612" s="5" t="inlineStr"/>
      <c r="T612" s="5" t="inlineStr"/>
      <c r="U612" s="5" t="inlineStr"/>
      <c r="V612" s="5" t="inlineStr"/>
      <c r="W612" s="5" t="inlineStr"/>
      <c r="X612" s="5" t="inlineStr"/>
      <c r="Y612" s="5" t="inlineStr"/>
      <c r="Z612" s="6" t="inlineStr"/>
      <c r="AA612" s="5" t="inlineStr"/>
      <c r="AB612" s="5" t="inlineStr"/>
      <c r="AC612" s="5" t="inlineStr"/>
      <c r="AD612" s="5" t="inlineStr"/>
      <c r="AE612" s="5" t="inlineStr"/>
      <c r="AF612" s="5" t="inlineStr"/>
      <c r="AG612" s="5" t="inlineStr"/>
      <c r="AH612" s="5" t="inlineStr"/>
    </row>
    <row r="613">
      <c r="A613" s="5" t="inlineStr">
        <is>
          <t>b6-ilk-vergi</t>
        </is>
      </c>
      <c r="B613" s="5" t="n">
        <v>3</v>
      </c>
      <c r="C613" s="6" t="inlineStr">
        <is>
          <t>Tablona dök, kendin çöz</t>
        </is>
      </c>
      <c r="D613" s="5" t="inlineStr">
        <is>
          <t>Akıl</t>
        </is>
      </c>
      <c r="E613" s="5" t="inlineStr">
        <is>
          <t>Orta</t>
        </is>
      </c>
      <c r="F613" s="5" t="inlineStr"/>
      <c r="G613" s="6" t="inlineStr"/>
      <c r="H613" s="6" t="inlineStr">
        <is>
          <t>Hesapladın, doldurdun. Memur kaşlarını kaldırdı: 'Bu nadir.'</t>
        </is>
      </c>
      <c r="I613" s="6" t="inlineStr">
        <is>
          <t>Form masadan masaya dolaştırıldı. Dairede ilk kez bir kutu doğru işaretlenmişti.</t>
        </is>
      </c>
      <c r="J613" s="6" t="inlineStr">
        <is>
          <t>Hesapladın. Borcun çıktı. Tablo haklıymış.</t>
        </is>
      </c>
      <c r="K613" s="6" t="inlineStr">
        <is>
          <t>Virgülü kaydırdın. Kayıtlara göre büyük bir şirketin sahibisin. Denetim yolda.</t>
        </is>
      </c>
      <c r="L613" s="6" t="inlineStr"/>
      <c r="M613" s="5" t="inlineStr"/>
      <c r="N613" s="5" t="inlineStr"/>
      <c r="O613" s="6" t="inlineStr"/>
      <c r="P613" s="6" t="inlineStr"/>
      <c r="Q613" s="5" t="inlineStr">
        <is>
          <t>Bütçe Tablocusu</t>
        </is>
      </c>
      <c r="R613" s="5" t="inlineStr"/>
      <c r="S613" s="5" t="inlineStr"/>
      <c r="T613" s="5" t="inlineStr"/>
      <c r="U613" s="5" t="inlineStr"/>
      <c r="V613" s="5" t="inlineStr"/>
      <c r="W613" s="5" t="inlineStr"/>
      <c r="X613" s="5" t="inlineStr"/>
      <c r="Y613" s="5" t="inlineStr"/>
      <c r="Z613" s="6" t="inlineStr"/>
      <c r="AA613" s="5" t="inlineStr"/>
      <c r="AB613" s="5" t="inlineStr"/>
      <c r="AC613" s="5" t="inlineStr"/>
      <c r="AD613" s="5" t="inlineStr"/>
      <c r="AE613" s="5" t="inlineStr"/>
      <c r="AF613" s="5" t="inlineStr"/>
      <c r="AG613" s="5" t="inlineStr"/>
      <c r="AH613" s="5" t="inlineStr"/>
    </row>
    <row r="614">
      <c r="A614" s="5" t="inlineStr">
        <is>
          <t>b6-ilk-vergi</t>
        </is>
      </c>
      <c r="B614" s="5" t="n">
        <v>4</v>
      </c>
      <c r="C614" s="6" t="inlineStr">
        <is>
          <t>Sıradakinin formuna göz at</t>
        </is>
      </c>
      <c r="D614" s="5" t="inlineStr">
        <is>
          <t>Kurnazlık</t>
        </is>
      </c>
      <c r="E614" s="5" t="inlineStr">
        <is>
          <t>Orta</t>
        </is>
      </c>
      <c r="F614" s="5" t="inlineStr"/>
      <c r="G614" s="6" t="inlineStr"/>
      <c r="H614" s="6" t="inlineStr">
        <is>
          <t>Onun cevaplarına bakıp doldurdun. Doğruymuş. İkiniz de şaşırdınız.</t>
        </is>
      </c>
      <c r="I614" s="6" t="inlineStr">
        <is>
          <t>Sıradaki bir mali müşavirmiş. Formunu da doldurdu, kartını da verdi.</t>
        </is>
      </c>
      <c r="J614" s="6" t="inlineStr">
        <is>
          <t>O bir şirket formu dolduruyormuş. Senin formun şimdi bir şirketi anlatıyor.</t>
        </is>
      </c>
      <c r="K614" s="6" t="inlineStr">
        <is>
          <t>'Kopya mı çekiyorsun?' diye yüksek sesle sordu. Bütün daire sana döndü. İlkokul hissi.</t>
        </is>
      </c>
      <c r="L614" s="6" t="inlineStr"/>
      <c r="M614" s="5" t="inlineStr"/>
      <c r="N614" s="5" t="inlineStr"/>
      <c r="O614" s="6" t="inlineStr"/>
      <c r="P614" s="6" t="inlineStr"/>
      <c r="Q614" s="5" t="inlineStr"/>
      <c r="R614" s="5" t="inlineStr"/>
      <c r="S614" s="5" t="inlineStr"/>
      <c r="T614" s="5" t="inlineStr"/>
      <c r="U614" s="5" t="inlineStr"/>
      <c r="V614" s="5" t="inlineStr"/>
      <c r="W614" s="5" t="inlineStr"/>
      <c r="X614" s="5" t="inlineStr"/>
      <c r="Y614" s="5" t="inlineStr"/>
      <c r="Z614" s="6" t="inlineStr"/>
      <c r="AA614" s="5" t="inlineStr"/>
      <c r="AB614" s="5" t="inlineStr"/>
      <c r="AC614" s="5" t="inlineStr"/>
      <c r="AD614" s="5" t="inlineStr"/>
      <c r="AE614" s="5" t="inlineStr"/>
      <c r="AF614" s="5" t="inlineStr"/>
      <c r="AG614" s="5" t="inlineStr"/>
      <c r="AH614" s="5" t="inlineStr"/>
    </row>
    <row r="615">
      <c r="A615" s="5" t="inlineStr">
        <is>
          <t>b6-kombi</t>
        </is>
      </c>
      <c r="B615" s="5" t="n">
        <v>1</v>
      </c>
      <c r="C615" s="6" t="inlineStr">
        <is>
          <t>Üç gün bekle</t>
        </is>
      </c>
      <c r="D615" s="5" t="inlineStr"/>
      <c r="E615" s="5" t="inlineStr"/>
      <c r="F615" s="5" t="inlineStr">
        <is>
          <t>Dayanıklılık +2</t>
        </is>
      </c>
      <c r="G615" s="6" t="inlineStr">
        <is>
          <t>Üç gün battaniye altında yaşadın. Tamirci bir düğmeye bastı: 'Bu kadar.' Fatura bu kadar değildi.</t>
        </is>
      </c>
      <c r="H615" s="6" t="inlineStr"/>
      <c r="I615" s="6" t="inlineStr"/>
      <c r="J615" s="6" t="inlineStr"/>
      <c r="K615" s="6" t="inlineStr"/>
      <c r="L615" s="6" t="inlineStr"/>
      <c r="M615" s="5" t="inlineStr"/>
      <c r="N615" s="5" t="inlineStr"/>
      <c r="O615" s="6" t="inlineStr"/>
      <c r="P615" s="6" t="inlineStr"/>
      <c r="Q615" s="5" t="inlineStr"/>
      <c r="R615" s="5" t="inlineStr"/>
      <c r="S615" s="5" t="inlineStr"/>
      <c r="T615" s="5" t="inlineStr"/>
      <c r="U615" s="5" t="inlineStr"/>
      <c r="V615" s="5" t="inlineStr"/>
      <c r="W615" s="5" t="inlineStr"/>
      <c r="X615" s="5" t="inlineStr"/>
      <c r="Y615" s="5" t="inlineStr"/>
      <c r="Z615" s="6" t="inlineStr"/>
      <c r="AA615" s="5" t="inlineStr"/>
      <c r="AB615" s="5" t="inlineStr"/>
      <c r="AC615" s="5" t="inlineStr"/>
      <c r="AD615" s="5" t="inlineStr"/>
      <c r="AE615" s="5" t="inlineStr"/>
      <c r="AF615" s="5" t="inlineStr"/>
      <c r="AG615" s="5" t="inlineStr"/>
      <c r="AH615" s="5" t="inlineStr"/>
    </row>
    <row r="616">
      <c r="A616" s="5" t="inlineStr">
        <is>
          <t>b6-kombi</t>
        </is>
      </c>
      <c r="B616" s="5" t="n">
        <v>2</v>
      </c>
      <c r="C616" s="6" t="inlineStr">
        <is>
          <t>Videoya bakıp kendin tamir et</t>
        </is>
      </c>
      <c r="D616" s="5" t="inlineStr">
        <is>
          <t>Akıl</t>
        </is>
      </c>
      <c r="E616" s="5" t="inlineStr">
        <is>
          <t>Zor</t>
        </is>
      </c>
      <c r="F616" s="5" t="inlineStr"/>
      <c r="G616" s="6" t="inlineStr"/>
      <c r="H616" s="6" t="inlineStr">
        <is>
          <t>İki vida, bir düğme ve kombi çalıştı. Kendine kahraman gözüyle bakıyorsun. Haklısın.</t>
        </is>
      </c>
      <c r="I616" s="6" t="inlineStr">
        <is>
          <t>Kombiyi tamir edip verimini de artırdın. Fatura düştü. Apartmanın 'Kombi Bakanı' sensin.</t>
        </is>
      </c>
      <c r="J616" s="6" t="inlineStr">
        <is>
          <t>İki vidayı söktün, üçüncü bir vida çıktı. Yeri yok. Tamirciyi yine bekliyorsun, ek ücretle.</t>
        </is>
      </c>
      <c r="K616" s="6" t="inlineStr">
        <is>
          <t>Kombi artık sıcak su yerine hafif bir melodi çalıyor. Tamirci dinledi: 'Bu yeni.'</t>
        </is>
      </c>
      <c r="L616" s="6" t="inlineStr"/>
      <c r="M616" s="5" t="inlineStr"/>
      <c r="N616" s="5" t="inlineStr"/>
      <c r="O616" s="6" t="inlineStr"/>
      <c r="P616" s="6" t="inlineStr"/>
      <c r="Q616" s="5" t="inlineStr"/>
      <c r="R616" s="5" t="inlineStr"/>
      <c r="S616" s="5" t="inlineStr"/>
      <c r="T616" s="5" t="inlineStr"/>
      <c r="U616" s="5" t="inlineStr"/>
      <c r="V616" s="5" t="inlineStr"/>
      <c r="W616" s="5" t="inlineStr"/>
      <c r="X616" s="5" t="inlineStr"/>
      <c r="Y616" s="5" t="n">
        <v>3</v>
      </c>
      <c r="Z616" s="6" t="inlineStr">
        <is>
          <t>Kombiyi internetteki bir videoya bakarak tamir ederken. Video hâlâ 'Çok basit' diyor.</t>
        </is>
      </c>
      <c r="AA616" s="5" t="inlineStr"/>
      <c r="AB616" s="5" t="inlineStr"/>
      <c r="AC616" s="5" t="inlineStr"/>
      <c r="AD616" s="5" t="inlineStr"/>
      <c r="AE616" s="5" t="inlineStr"/>
      <c r="AF616" s="5" t="inlineStr"/>
      <c r="AG616" s="5" t="inlineStr"/>
      <c r="AH616" s="5" t="inlineStr"/>
    </row>
    <row r="617">
      <c r="A617" s="5" t="inlineStr">
        <is>
          <t>b6-kombi</t>
        </is>
      </c>
      <c r="B617" s="5" t="n">
        <v>3</v>
      </c>
      <c r="C617" s="6" t="inlineStr">
        <is>
          <t>Alt kattaki kombiciyle barış</t>
        </is>
      </c>
      <c r="D617" s="5" t="inlineStr">
        <is>
          <t>Çene</t>
        </is>
      </c>
      <c r="E617" s="5" t="inlineStr">
        <is>
          <t>Orta</t>
        </is>
      </c>
      <c r="F617" s="5" t="inlineStr"/>
      <c r="G617" s="6" t="inlineStr"/>
      <c r="H617" s="6" t="inlineStr">
        <is>
          <t>Otopark meselesini kapattınız. Kombi yarım saatte açıldı.</t>
        </is>
      </c>
      <c r="I617" s="6" t="inlineStr">
        <is>
          <t>Barıştınız, kombi çalıştı, otopark yeri de sana kaldı. Kış boyu birlikte çay içiyorsunuz.</t>
        </is>
      </c>
      <c r="J617" s="6" t="inlineStr">
        <is>
          <t>Sen 'Kombi' dedin, o 'Otopark' dedi. Kapı kapandı.</t>
        </is>
      </c>
      <c r="K617" s="6" t="inlineStr">
        <is>
          <t>Otopark meselesini yeniden açtın. Hem soğuktasın hem apartman grubunda bir oylamanın konususun.</t>
        </is>
      </c>
      <c r="L617" s="6" t="inlineStr"/>
      <c r="M617" s="5" t="inlineStr"/>
      <c r="N617" s="5" t="inlineStr"/>
      <c r="O617" s="6" t="inlineStr"/>
      <c r="P617" s="6" t="inlineStr"/>
      <c r="Q617" s="5" t="inlineStr"/>
      <c r="R617" s="5" t="inlineStr"/>
      <c r="S617" s="5" t="inlineStr">
        <is>
          <t>Kurnazlık</t>
        </is>
      </c>
      <c r="T617" s="5" t="inlineStr"/>
      <c r="U617" s="5" t="inlineStr"/>
      <c r="V617" s="5" t="inlineStr"/>
      <c r="W617" s="5" t="inlineStr"/>
      <c r="X617" s="5" t="inlineStr"/>
      <c r="Y617" s="5" t="inlineStr"/>
      <c r="Z617" s="6" t="inlineStr"/>
      <c r="AA617" s="5" t="inlineStr"/>
      <c r="AB617" s="5" t="inlineStr"/>
      <c r="AC617" s="5" t="inlineStr"/>
      <c r="AD617" s="5" t="inlineStr"/>
      <c r="AE617" s="5" t="inlineStr"/>
      <c r="AF617" s="5" t="inlineStr"/>
      <c r="AG617" s="5" t="inlineStr"/>
      <c r="AH617" s="5" t="inlineStr"/>
    </row>
    <row r="618">
      <c r="A618" s="5" t="inlineStr">
        <is>
          <t>b6-kombi</t>
        </is>
      </c>
      <c r="B618" s="5" t="n">
        <v>4</v>
      </c>
      <c r="C618" s="6" t="inlineStr">
        <is>
          <t>Ustadan kalma numarayı dene</t>
        </is>
      </c>
      <c r="D618" s="5" t="inlineStr">
        <is>
          <t>Dayanıklılık</t>
        </is>
      </c>
      <c r="E618" s="5" t="inlineStr">
        <is>
          <t>Kolay</t>
        </is>
      </c>
      <c r="F618" s="5" t="inlineStr"/>
      <c r="G618" s="6" t="inlineStr"/>
      <c r="H618" s="6" t="inlineStr">
        <is>
          <t>Ustanın numarasıyla kombiye nazikçe vurdun. Çalıştı. Usta gurur duyardı.</t>
        </is>
      </c>
      <c r="I618" s="6" t="inlineStr">
        <is>
          <t>Kombiyi söktün, temizledin, taktın. Komşular sırayla kapını çalıyor. Yan gelir kapısı açıldı.</t>
        </is>
      </c>
      <c r="J618" s="6" t="inlineStr">
        <is>
          <t>Numarayı denedin. Kombi usta ile hiç tanışmamıştı, anlamadı.</t>
        </is>
      </c>
      <c r="K618" s="6" t="inlineStr">
        <is>
          <t>Vurdun. Kombi durdu, sonra bütün apartmanın sıcak suyu durdu. Yönetici aradı.</t>
        </is>
      </c>
      <c r="L618" s="6" t="inlineStr"/>
      <c r="M618" s="5" t="inlineStr"/>
      <c r="N618" s="5" t="inlineStr"/>
      <c r="O618" s="6" t="inlineStr"/>
      <c r="P618" s="6" t="inlineStr"/>
      <c r="Q618" s="5" t="inlineStr"/>
      <c r="R618" s="5" t="inlineStr">
        <is>
          <t>usta-eli</t>
        </is>
      </c>
      <c r="S618" s="5" t="inlineStr"/>
      <c r="T618" s="5" t="inlineStr"/>
      <c r="U618" s="5" t="inlineStr"/>
      <c r="V618" s="5" t="inlineStr"/>
      <c r="W618" s="5" t="inlineStr"/>
      <c r="X618" s="5" t="inlineStr"/>
      <c r="Y618" s="5" t="inlineStr"/>
      <c r="Z618" s="6" t="inlineStr"/>
      <c r="AA618" s="5" t="inlineStr"/>
      <c r="AB618" s="5" t="inlineStr"/>
      <c r="AC618" s="5" t="inlineStr"/>
      <c r="AD618" s="5" t="inlineStr"/>
      <c r="AE618" s="5" t="inlineStr"/>
      <c r="AF618" s="5" t="inlineStr"/>
      <c r="AG618" s="5" t="inlineStr"/>
      <c r="AH618" s="5" t="inlineStr"/>
    </row>
    <row r="619">
      <c r="A619" s="5" t="inlineStr">
        <is>
          <t>b7-kira-artisi</t>
        </is>
      </c>
      <c r="B619" s="5" t="n">
        <v>1</v>
      </c>
      <c r="C619" s="6" t="inlineStr">
        <is>
          <t>Kabul et</t>
        </is>
      </c>
      <c r="D619" s="5" t="inlineStr"/>
      <c r="E619" s="5" t="inlineStr"/>
      <c r="F619" s="5" t="inlineStr">
        <is>
          <t>Dayanıklılık +1</t>
        </is>
      </c>
      <c r="G619" s="6" t="inlineStr">
        <is>
          <t>Artışı kabul ettin. Bütçe tablosuna yeni bir kırmızı satır eklendi, adı 'yaşamak'.</t>
        </is>
      </c>
      <c r="H619" s="6" t="inlineStr"/>
      <c r="I619" s="6" t="inlineStr"/>
      <c r="J619" s="6" t="inlineStr"/>
      <c r="K619" s="6" t="inlineStr"/>
      <c r="L619" s="6" t="inlineStr"/>
      <c r="M619" s="5" t="inlineStr"/>
      <c r="N619" s="5" t="inlineStr"/>
      <c r="O619" s="6" t="inlineStr"/>
      <c r="P619" s="6" t="inlineStr"/>
      <c r="Q619" s="5" t="inlineStr"/>
      <c r="R619" s="5" t="inlineStr"/>
      <c r="S619" s="5" t="inlineStr"/>
      <c r="T619" s="5" t="inlineStr"/>
      <c r="U619" s="5" t="inlineStr"/>
      <c r="V619" s="5" t="inlineStr"/>
      <c r="W619" s="5" t="inlineStr"/>
      <c r="X619" s="5" t="inlineStr"/>
      <c r="Y619" s="5" t="inlineStr"/>
      <c r="Z619" s="6" t="inlineStr"/>
      <c r="AA619" s="5" t="inlineStr"/>
      <c r="AB619" s="5" t="inlineStr"/>
      <c r="AC619" s="5" t="inlineStr"/>
      <c r="AD619" s="5" t="inlineStr"/>
      <c r="AE619" s="5" t="inlineStr"/>
      <c r="AF619" s="5" t="inlineStr"/>
      <c r="AG619" s="5" t="inlineStr"/>
      <c r="AH619" s="5" t="inlineStr"/>
    </row>
    <row r="620">
      <c r="A620" s="5" t="inlineStr">
        <is>
          <t>b7-kira-artisi</t>
        </is>
      </c>
      <c r="B620" s="5" t="n">
        <v>2</v>
      </c>
      <c r="C620" s="6" t="inlineStr">
        <is>
          <t>Pazarlık et</t>
        </is>
      </c>
      <c r="D620" s="5" t="inlineStr">
        <is>
          <t>Çene</t>
        </is>
      </c>
      <c r="E620" s="5" t="inlineStr">
        <is>
          <t>Orta</t>
        </is>
      </c>
      <c r="F620" s="5" t="inlineStr"/>
      <c r="G620" s="6" t="inlineStr"/>
      <c r="H620" s="6" t="inlineStr">
        <is>
          <t>Artışı biraz aşağı çektin. Ev sahibi 'Sen de haklısın' dedi; bu cümle ilk kez senin lehine kullanıldı.</t>
        </is>
      </c>
      <c r="I620" s="6" t="inlineStr">
        <is>
          <t>Pazarlık o kadar iyi gitti ki ev sahibi kombiyi de yeniletti. Mahallede efsane oldun.</t>
        </is>
      </c>
      <c r="J620" s="6" t="inlineStr">
        <is>
          <t>Pazarlık ettin. Ev sahibi 'Düşüneyim' dedi ve piyasa rakamlarını düşünerek geri döndü.</t>
        </is>
      </c>
      <c r="K620" s="6" t="inlineStr">
        <is>
          <t>Pazarlık ettin; ev sahibi, emlakçı yeğenini devreye soktu. Artış iki katına çıktı, adına 'güncelleme' dendi.</t>
        </is>
      </c>
      <c r="L620" s="6" t="inlineStr"/>
      <c r="M620" s="5" t="inlineStr"/>
      <c r="N620" s="5" t="inlineStr"/>
      <c r="O620" s="6" t="inlineStr"/>
      <c r="P620" s="6" t="inlineStr"/>
      <c r="Q620" s="5" t="inlineStr"/>
      <c r="R620" s="5" t="inlineStr"/>
      <c r="S620" s="5" t="inlineStr"/>
      <c r="T620" s="5" t="inlineStr"/>
      <c r="U620" s="5" t="inlineStr"/>
      <c r="V620" s="5" t="inlineStr"/>
      <c r="W620" s="5" t="inlineStr"/>
      <c r="X620" s="5" t="inlineStr"/>
      <c r="Y620" s="5" t="inlineStr"/>
      <c r="Z620" s="6" t="inlineStr"/>
      <c r="AA620" s="5" t="inlineStr"/>
      <c r="AB620" s="5" t="inlineStr"/>
      <c r="AC620" s="5" t="inlineStr"/>
      <c r="AD620" s="5" t="inlineStr"/>
      <c r="AE620" s="5" t="inlineStr"/>
      <c r="AF620" s="5" t="inlineStr"/>
      <c r="AG620" s="5" t="inlineStr"/>
      <c r="AH620" s="5" t="inlineStr"/>
    </row>
    <row r="621">
      <c r="A621" s="5" t="inlineStr">
        <is>
          <t>b7-kira-artisi</t>
        </is>
      </c>
      <c r="B621" s="5" t="n">
        <v>3</v>
      </c>
      <c r="C621" s="6" t="inlineStr">
        <is>
          <t>'Kızınız dönüyor, değil mi?' de</t>
        </is>
      </c>
      <c r="D621" s="5" t="inlineStr">
        <is>
          <t>Sosyal Radar</t>
        </is>
      </c>
      <c r="E621" s="5" t="inlineStr">
        <is>
          <t>Kolay</t>
        </is>
      </c>
      <c r="F621" s="5" t="inlineStr"/>
      <c r="G621" s="6" t="inlineStr"/>
      <c r="H621" s="6" t="inlineStr">
        <is>
          <t>Ev sahibi sustu. Sonra 'Bir yıl daha kalın, eski rakamdan' dedi. Bilgi güçtür.</t>
        </is>
      </c>
      <c r="I621" s="6" t="inlineStr">
        <is>
          <t>Ev sahibi o kadar etkilendi ki kızının taşınmasına yardım etmeni rica etti. Kira donduruldu, sen koli taşıdın.</t>
        </is>
      </c>
      <c r="J621" s="6" t="inlineStr">
        <is>
          <t>Kızı dönmüyormuş. Oğlu dönüyormuş. Detay önemliydi.</t>
        </is>
      </c>
      <c r="K621" s="6" t="inlineStr">
        <is>
          <t>Kızı dönmüyormuş; ev sahibi bu fikri senden aldı. Tahliye bildirimi teşekkür notuyla geldi.</t>
        </is>
      </c>
      <c r="L621" s="6" t="inlineStr"/>
      <c r="M621" s="5" t="inlineStr"/>
      <c r="N621" s="5" t="inlineStr"/>
      <c r="O621" s="6" t="inlineStr"/>
      <c r="P621" s="6" t="inlineStr"/>
      <c r="Q621" s="5" t="inlineStr"/>
      <c r="R621" s="5" t="inlineStr"/>
      <c r="S621" s="5" t="inlineStr">
        <is>
          <t>Sosyal Radar</t>
        </is>
      </c>
      <c r="T621" s="5" t="inlineStr"/>
      <c r="U621" s="5" t="inlineStr"/>
      <c r="V621" s="5" t="inlineStr"/>
      <c r="W621" s="5" t="inlineStr"/>
      <c r="X621" s="5" t="inlineStr"/>
      <c r="Y621" s="5" t="inlineStr"/>
      <c r="Z621" s="6" t="inlineStr"/>
      <c r="AA621" s="5" t="inlineStr"/>
      <c r="AB621" s="5" t="inlineStr"/>
      <c r="AC621" s="5" t="inlineStr"/>
      <c r="AD621" s="5" t="inlineStr"/>
      <c r="AE621" s="5" t="inlineStr"/>
      <c r="AF621" s="5" t="inlineStr"/>
      <c r="AG621" s="5" t="inlineStr"/>
      <c r="AH621" s="5" t="inlineStr"/>
    </row>
    <row r="622">
      <c r="A622" s="5" t="inlineStr">
        <is>
          <t>b7-kira-artisi</t>
        </is>
      </c>
      <c r="B622" s="5" t="n">
        <v>4</v>
      </c>
      <c r="C622" s="6" t="inlineStr">
        <is>
          <t>'Ben zaten ev bakıyordum' de</t>
        </is>
      </c>
      <c r="D622" s="5" t="inlineStr">
        <is>
          <t>Pişkinlik</t>
        </is>
      </c>
      <c r="E622" s="5" t="inlineStr">
        <is>
          <t>Zor</t>
        </is>
      </c>
      <c r="F622" s="5" t="inlineStr"/>
      <c r="G622" s="6" t="inlineStr"/>
      <c r="H622" s="6" t="inlineStr">
        <is>
          <t>Blöf işe yaradı. Ev sahibi, boş ev riskini hesapladı ve geri adım attı.</t>
        </is>
      </c>
      <c r="I622" s="6" t="inlineStr">
        <is>
          <t>Blöfün öyle inandırıcıydı ki ev sahibi seni kalman için ikna etmeye çalıştı. Kira sabitlendi, üstüne tatlı geldi.</t>
        </is>
      </c>
      <c r="J622" s="6" t="inlineStr">
        <is>
          <t>Ev sahibi 'Tabii, bak' dedi. Sen de baktın. Bakacak bir şey yoktu.</t>
        </is>
      </c>
      <c r="K622" s="6" t="inlineStr">
        <is>
          <t>Ev sahibi 'Harika, yarın gösterime açıyorum' dedi. Artık kendi evinde rehberlik yapıyorsun.</t>
        </is>
      </c>
      <c r="L622" s="6" t="inlineStr"/>
      <c r="M622" s="5" t="inlineStr"/>
      <c r="N622" s="5" t="inlineStr"/>
      <c r="O622" s="6" t="inlineStr"/>
      <c r="P622" s="6" t="inlineStr"/>
      <c r="Q622" s="5" t="inlineStr">
        <is>
          <t>Yüzü Kızarmaz</t>
        </is>
      </c>
      <c r="R622" s="5" t="inlineStr"/>
      <c r="S622" s="5" t="inlineStr"/>
      <c r="T622" s="5" t="inlineStr"/>
      <c r="U622" s="5" t="inlineStr"/>
      <c r="V622" s="5" t="inlineStr"/>
      <c r="W622" s="5" t="inlineStr"/>
      <c r="X622" s="5" t="inlineStr"/>
      <c r="Y622" s="5" t="inlineStr"/>
      <c r="Z622" s="6" t="inlineStr"/>
      <c r="AA622" s="5" t="inlineStr"/>
      <c r="AB622" s="5" t="inlineStr"/>
      <c r="AC622" s="5" t="inlineStr"/>
      <c r="AD622" s="5" t="inlineStr"/>
      <c r="AE622" s="5" t="inlineStr"/>
      <c r="AF622" s="5" t="inlineStr"/>
      <c r="AG622" s="5" t="inlineStr"/>
      <c r="AH622" s="5" t="inlineStr"/>
    </row>
    <row r="623">
      <c r="A623" s="5" t="inlineStr">
        <is>
          <t>b7-eski-sinif-arkadasi</t>
        </is>
      </c>
      <c r="B623" s="5" t="n">
        <v>1</v>
      </c>
      <c r="C623" s="6" t="inlineStr">
        <is>
          <t>Tebrik et</t>
        </is>
      </c>
      <c r="D623" s="5" t="inlineStr"/>
      <c r="E623" s="5" t="inlineStr"/>
      <c r="F623" s="5" t="inlineStr">
        <is>
          <t>İtibar +1</t>
        </is>
      </c>
      <c r="G623" s="6" t="inlineStr">
        <is>
          <t>'Harika, çok sevindim' yazdın. Duygularının yüzde altmışı bu cümlede temsil edildi.</t>
        </is>
      </c>
      <c r="H623" s="6" t="inlineStr"/>
      <c r="I623" s="6" t="inlineStr"/>
      <c r="J623" s="6" t="inlineStr"/>
      <c r="K623" s="6" t="inlineStr"/>
      <c r="L623" s="6" t="inlineStr"/>
      <c r="M623" s="5" t="inlineStr"/>
      <c r="N623" s="5" t="inlineStr"/>
      <c r="O623" s="6" t="inlineStr"/>
      <c r="P623" s="6" t="inlineStr"/>
      <c r="Q623" s="5" t="inlineStr"/>
      <c r="R623" s="5" t="inlineStr"/>
      <c r="S623" s="5" t="inlineStr"/>
      <c r="T623" s="5" t="inlineStr"/>
      <c r="U623" s="5" t="inlineStr"/>
      <c r="V623" s="5" t="inlineStr"/>
      <c r="W623" s="5" t="inlineStr"/>
      <c r="X623" s="5" t="inlineStr"/>
      <c r="Y623" s="5" t="inlineStr"/>
      <c r="Z623" s="6" t="inlineStr"/>
      <c r="AA623" s="5" t="inlineStr"/>
      <c r="AB623" s="5" t="inlineStr"/>
      <c r="AC623" s="5" t="inlineStr"/>
      <c r="AD623" s="5" t="inlineStr"/>
      <c r="AE623" s="5" t="inlineStr"/>
      <c r="AF623" s="5" t="inlineStr"/>
      <c r="AG623" s="5" t="inlineStr"/>
      <c r="AH623" s="5" t="inlineStr"/>
    </row>
    <row r="624">
      <c r="A624" s="5" t="inlineStr">
        <is>
          <t>b7-eski-sinif-arkadasi</t>
        </is>
      </c>
      <c r="B624" s="5" t="n">
        <v>2</v>
      </c>
      <c r="C624" s="6" t="inlineStr">
        <is>
          <t>Fotoğrafı büyütüp ofisi incele</t>
        </is>
      </c>
      <c r="D624" s="5" t="inlineStr"/>
      <c r="E624" s="5" t="inlineStr"/>
      <c r="F624" s="5" t="inlineStr">
        <is>
          <t>Sosyal Radar +1</t>
        </is>
      </c>
      <c r="G624" s="6" t="inlineStr">
        <is>
          <t>Ofisin arkasındaki bitki yapaymış. Bu bilgi seni gereğinden fazla rahatlattı.</t>
        </is>
      </c>
      <c r="H624" s="6" t="inlineStr"/>
      <c r="I624" s="6" t="inlineStr"/>
      <c r="J624" s="6" t="inlineStr"/>
      <c r="K624" s="6" t="inlineStr"/>
      <c r="L624" s="6" t="inlineStr"/>
      <c r="M624" s="5" t="inlineStr"/>
      <c r="N624" s="5" t="inlineStr"/>
      <c r="O624" s="6" t="inlineStr"/>
      <c r="P624" s="6" t="inlineStr"/>
      <c r="Q624" s="5" t="inlineStr"/>
      <c r="R624" s="5" t="inlineStr"/>
      <c r="S624" s="5" t="inlineStr"/>
      <c r="T624" s="5" t="inlineStr"/>
      <c r="U624" s="5" t="inlineStr"/>
      <c r="V624" s="5" t="inlineStr"/>
      <c r="W624" s="5" t="inlineStr"/>
      <c r="X624" s="5" t="inlineStr"/>
      <c r="Y624" s="5" t="inlineStr"/>
      <c r="Z624" s="6" t="inlineStr"/>
      <c r="AA624" s="5" t="inlineStr"/>
      <c r="AB624" s="5" t="inlineStr"/>
      <c r="AC624" s="5" t="inlineStr"/>
      <c r="AD624" s="5" t="inlineStr"/>
      <c r="AE624" s="5" t="inlineStr"/>
      <c r="AF624" s="5" t="inlineStr"/>
      <c r="AG624" s="5" t="inlineStr"/>
      <c r="AH624" s="5" t="inlineStr"/>
    </row>
    <row r="625">
      <c r="A625" s="5" t="inlineStr">
        <is>
          <t>b7-eski-sinif-arkadasi</t>
        </is>
      </c>
      <c r="B625" s="5" t="n">
        <v>3</v>
      </c>
      <c r="C625" s="6" t="inlineStr">
        <is>
          <t>'Bir kahve içelim' yaz</t>
        </is>
      </c>
      <c r="D625" s="5" t="inlineStr">
        <is>
          <t>Çene</t>
        </is>
      </c>
      <c r="E625" s="5" t="inlineStr">
        <is>
          <t>Orta</t>
        </is>
      </c>
      <c r="F625" s="5" t="inlineStr"/>
      <c r="G625" s="6" t="inlineStr"/>
      <c r="H625" s="6" t="inlineStr">
        <is>
          <t>Kahve içtiniz. Başarı sırrı 'erken kalkmak'mış. Hiçbir şey öğrenmedin ama kahve iyiydi.</t>
        </is>
      </c>
      <c r="I625" s="6" t="inlineStr">
        <is>
          <t>Kahvenin sonunda sana iş teklif etti. Artık en sessiz çocuğun şirketinde toplantı sen konuşuyorsun.</t>
        </is>
      </c>
      <c r="J625" s="6" t="inlineStr">
        <is>
          <t>Mesajın 'görüldü' durumunda. Başarı, cevap süresini uzatıyormuş.</t>
        </is>
      </c>
      <c r="K625" s="6" t="inlineStr">
        <is>
          <t>Kahvede sana 'yatırım fırsatı' anlattı. Anlatılan şeyin adı dijital paraydı. Kahveyi sen ödedin.</t>
        </is>
      </c>
      <c r="L625" s="6" t="inlineStr"/>
      <c r="M625" s="5" t="inlineStr"/>
      <c r="N625" s="5" t="inlineStr"/>
      <c r="O625" s="6" t="inlineStr"/>
      <c r="P625" s="6" t="inlineStr"/>
      <c r="Q625" s="5" t="inlineStr"/>
      <c r="R625" s="5" t="inlineStr"/>
      <c r="S625" s="5" t="inlineStr"/>
      <c r="T625" s="5" t="inlineStr"/>
      <c r="U625" s="5" t="inlineStr"/>
      <c r="V625" s="5" t="inlineStr"/>
      <c r="W625" s="5" t="inlineStr"/>
      <c r="X625" s="5" t="inlineStr"/>
      <c r="Y625" s="5" t="inlineStr"/>
      <c r="Z625" s="6" t="inlineStr"/>
      <c r="AA625" s="5" t="inlineStr"/>
      <c r="AB625" s="5" t="inlineStr"/>
      <c r="AC625" s="5" t="inlineStr"/>
      <c r="AD625" s="5" t="inlineStr"/>
      <c r="AE625" s="5" t="inlineStr"/>
      <c r="AF625" s="5" t="inlineStr"/>
      <c r="AG625" s="5" t="inlineStr"/>
      <c r="AH625" s="5" t="inlineStr"/>
    </row>
    <row r="626">
      <c r="A626" s="5" t="inlineStr">
        <is>
          <t>b7-eski-sinif-arkadasi</t>
        </is>
      </c>
      <c r="B626" s="5" t="n">
        <v>4</v>
      </c>
      <c r="C626" s="6" t="inlineStr">
        <is>
          <t>Sınıf başkanı sıfatıyla mezunlar buluşması düzenle</t>
        </is>
      </c>
      <c r="D626" s="5" t="inlineStr">
        <is>
          <t>Sosyal Radar</t>
        </is>
      </c>
      <c r="E626" s="5" t="inlineStr">
        <is>
          <t>Orta</t>
        </is>
      </c>
      <c r="F626" s="5" t="inlineStr"/>
      <c r="G626" s="6" t="inlineStr"/>
      <c r="H626" s="6" t="inlineStr">
        <is>
          <t>Herkes geldi. Başarılı olan arkadaş son dakika iptal etti. Buluşmanın konusu o oldu.</t>
        </is>
      </c>
      <c r="I626" s="6" t="inlineStr">
        <is>
          <t>Buluşma o kadar güzel geçti ki herkes seni 'hâlâ başkan' diye çağırdı. Görev süren sona ermedi.</t>
        </is>
      </c>
      <c r="J626" s="6" t="inlineStr">
        <is>
          <t>Buluşmaya dört kişi geldi. Üçü seni yanlışlıkla başka biri sandı.</t>
        </is>
      </c>
      <c r="K626" s="6" t="inlineStr">
        <is>
          <t>Buluşma grubunu kurdun; grup bir haftada 900 mesaja ulaştı, kimse gelmedi, siyaset hariç her şey konuşuldu.</t>
        </is>
      </c>
      <c r="L626" s="6" t="inlineStr"/>
      <c r="M626" s="5" t="inlineStr"/>
      <c r="N626" s="5" t="inlineStr"/>
      <c r="O626" s="6" t="inlineStr"/>
      <c r="P626" s="6" t="inlineStr"/>
      <c r="Q626" s="5" t="inlineStr"/>
      <c r="R626" s="5" t="inlineStr">
        <is>
          <t>baskan</t>
        </is>
      </c>
      <c r="S626" s="5" t="inlineStr"/>
      <c r="T626" s="5" t="inlineStr"/>
      <c r="U626" s="5" t="inlineStr"/>
      <c r="V626" s="5" t="inlineStr"/>
      <c r="W626" s="5" t="inlineStr"/>
      <c r="X626" s="5" t="inlineStr"/>
      <c r="Y626" s="5" t="inlineStr"/>
      <c r="Z626" s="6" t="inlineStr"/>
      <c r="AA626" s="5" t="inlineStr"/>
      <c r="AB626" s="5" t="inlineStr"/>
      <c r="AC626" s="5" t="inlineStr"/>
      <c r="AD626" s="5" t="inlineStr"/>
      <c r="AE626" s="5" t="inlineStr"/>
      <c r="AF626" s="5" t="inlineStr"/>
      <c r="AG626" s="5" t="inlineStr"/>
      <c r="AH626" s="5" t="inlineStr"/>
    </row>
    <row r="627">
      <c r="A627" s="5" t="inlineStr">
        <is>
          <t>mb-eposta-yagmuru</t>
        </is>
      </c>
      <c r="B627" s="5" t="n">
        <v>1</v>
      </c>
      <c r="C627" s="6" t="inlineStr">
        <is>
          <t>Tek tek ayıkla</t>
        </is>
      </c>
      <c r="D627" s="5" t="inlineStr">
        <is>
          <t>Akıl</t>
        </is>
      </c>
      <c r="E627" s="5" t="inlineStr">
        <is>
          <t>Orta</t>
        </is>
      </c>
      <c r="F627" s="5" t="inlineStr"/>
      <c r="G627" s="6" t="inlineStr"/>
      <c r="H627" s="6" t="inlineStr">
        <is>
          <t>Gelen kutusu sıfırlandı. Otuz saniye boyunca huzur vardı.</t>
        </is>
      </c>
      <c r="I627" s="6" t="inlineStr">
        <is>
          <t>Sıfırladın, üstüne bir kural yazdın. 'Herkese Yanıt' e-postaları artık seni atlıyor.</t>
        </is>
      </c>
      <c r="J627" s="6" t="inlineStr">
        <is>
          <t>Önemli bir e-postayı arşivledin. Müşteri üç gün sonra 'Tamam o zaman' yazdı.</t>
        </is>
      </c>
      <c r="K627" s="6" t="inlineStr">
        <is>
          <t>Yanlışlıkla bütün şirkete 'Tamam' yazdın. Bin dört yüz kişi 'Neye tamam?' diye yanıtladı.</t>
        </is>
      </c>
      <c r="L627" s="6" t="inlineStr">
        <is>
          <t>Yarısını ayıkladın. Diğer yarısı hâlâ orada, sessizce çoğalıyor.</t>
        </is>
      </c>
      <c r="M627" s="5" t="inlineStr">
        <is>
          <t>swipe</t>
        </is>
      </c>
      <c r="N627" s="5" t="inlineStr">
        <is>
          <t>Arşivle / Yanıtla</t>
        </is>
      </c>
      <c r="O627" s="6" t="inlineStr">
        <is>
          <t>Gereksizleri sola arşivle, gerçekten önemli olanları sağa yanıtla.</t>
        </is>
      </c>
      <c r="P627" s="6" t="inlineStr">
        <is>
          <t>{"left": "Arşivle", "right": "Yanıtla", "items": [{"t": "ACİL: Toplantı hakkında toplantı", "right": false}, {"t": "Müşteri: Sözleşme bugün bitiyor", "right": true}, {"t": "Tüm şirkete: Buzdolabındaki yoğurt kimin?", "right": false}, {"t": "YNT: YNT: YNT: Herkese Yanıt", "right": false}, {"t": "Yöneticin: Kısa bir sorum var", "right": true}, {"t": "Haftalık bülten: Değerlerimiz", "right": false}, {"t": "Bordro: Maaşınız hakkında", "right": true}, {"t": "Otomatik yanıt: İzindeyim", "right": false}, {"t": "Genel müdür: Sunum nerede?", "right": true}, {"t": "3. katta doğum günü pastası", "right": false}]}</t>
        </is>
      </c>
      <c r="Q627" s="5" t="inlineStr"/>
      <c r="R627" s="5" t="inlineStr"/>
      <c r="S627" s="5" t="inlineStr"/>
      <c r="T627" s="5" t="inlineStr"/>
      <c r="U627" s="5" t="inlineStr"/>
      <c r="V627" s="5" t="inlineStr"/>
      <c r="W627" s="5" t="inlineStr"/>
      <c r="X627" s="5" t="inlineStr"/>
      <c r="Y627" s="5" t="inlineStr"/>
      <c r="Z627" s="6" t="inlineStr"/>
      <c r="AA627" s="5" t="inlineStr"/>
      <c r="AB627" s="5" t="inlineStr"/>
      <c r="AC627" s="5" t="inlineStr"/>
      <c r="AD627" s="5" t="inlineStr"/>
      <c r="AE627" s="5" t="inlineStr"/>
      <c r="AF627" s="5" t="inlineStr"/>
      <c r="AG627" s="5" t="inlineStr"/>
      <c r="AH627" s="5" t="inlineStr"/>
    </row>
    <row r="628">
      <c r="A628" s="5" t="inlineStr">
        <is>
          <t>mb-eposta-yagmuru</t>
        </is>
      </c>
      <c r="B628" s="5" t="n">
        <v>2</v>
      </c>
      <c r="C628" s="6" t="inlineStr">
        <is>
          <t>Hepsini okundu işaretle</t>
        </is>
      </c>
      <c r="D628" s="5" t="inlineStr"/>
      <c r="E628" s="5" t="inlineStr"/>
      <c r="F628" s="5" t="inlineStr">
        <is>
          <t>Pişkinlik +2</t>
        </is>
      </c>
      <c r="G628" s="6" t="inlineStr">
        <is>
          <t>Tek tıkla sıfırladın. Önemli olan tekrar yazar. Yazmadı. Demek önemli değilmiş.</t>
        </is>
      </c>
      <c r="H628" s="6" t="inlineStr"/>
      <c r="I628" s="6" t="inlineStr"/>
      <c r="J628" s="6" t="inlineStr"/>
      <c r="K628" s="6" t="inlineStr"/>
      <c r="L628" s="6" t="inlineStr"/>
      <c r="M628" s="5" t="inlineStr"/>
      <c r="N628" s="5" t="inlineStr"/>
      <c r="O628" s="6" t="inlineStr"/>
      <c r="P628" s="6" t="inlineStr"/>
      <c r="Q628" s="5" t="inlineStr"/>
      <c r="R628" s="5" t="inlineStr"/>
      <c r="S628" s="5" t="inlineStr"/>
      <c r="T628" s="5" t="inlineStr"/>
      <c r="U628" s="5" t="inlineStr"/>
      <c r="V628" s="5" t="inlineStr"/>
      <c r="W628" s="5" t="inlineStr"/>
      <c r="X628" s="5" t="inlineStr"/>
      <c r="Y628" s="5" t="inlineStr"/>
      <c r="Z628" s="6" t="inlineStr"/>
      <c r="AA628" s="5" t="inlineStr"/>
      <c r="AB628" s="5" t="inlineStr"/>
      <c r="AC628" s="5" t="inlineStr"/>
      <c r="AD628" s="5" t="inlineStr"/>
      <c r="AE628" s="5" t="inlineStr"/>
      <c r="AF628" s="5" t="inlineStr"/>
      <c r="AG628" s="5" t="inlineStr"/>
      <c r="AH628" s="5" t="inlineStr"/>
    </row>
    <row r="629">
      <c r="A629" s="5" t="inlineStr">
        <is>
          <t>mb-eposta-yagmuru</t>
        </is>
      </c>
      <c r="B629" s="5" t="n">
        <v>3</v>
      </c>
      <c r="C629" s="6" t="inlineStr">
        <is>
          <t>Otomatik yanıtı bir hafta daha açık tut</t>
        </is>
      </c>
      <c r="D629" s="5" t="inlineStr">
        <is>
          <t>Kurnazlık</t>
        </is>
      </c>
      <c r="E629" s="5" t="inlineStr">
        <is>
          <t>Kolay</t>
        </is>
      </c>
      <c r="F629" s="5" t="inlineStr"/>
      <c r="G629" s="6" t="inlineStr"/>
      <c r="H629" s="6" t="inlineStr">
        <is>
          <t>Tatil fiziksel olarak bitti, dijital olarak sürüyor. Bir hafta kimse senden bir şey istemedi.</t>
        </is>
      </c>
      <c r="I629" s="6" t="inlineStr">
        <is>
          <t>Otomatik yanıtın o kadar ikna ediciydi ki yöneticin sana iyi tatiller diledi. Yan masadan.</t>
        </is>
      </c>
      <c r="J629" s="6" t="inlineStr">
        <is>
          <t>Yöneticin yan masadan 'Buradasın ama?' diye yazdı. Otomatik yanıt aldı.</t>
        </is>
      </c>
      <c r="K629" s="6" t="inlineStr">
        <is>
          <t>Otomatik yanıtın bir müşteriyle yazışmaya girdi ve yüzde otuz indirim onayladı.</t>
        </is>
      </c>
      <c r="L629" s="6" t="inlineStr"/>
      <c r="M629" s="5" t="inlineStr"/>
      <c r="N629" s="5" t="inlineStr"/>
      <c r="O629" s="6" t="inlineStr"/>
      <c r="P629" s="6" t="inlineStr"/>
      <c r="Q629" s="5" t="inlineStr"/>
      <c r="R629" s="5" t="inlineStr"/>
      <c r="S629" s="5" t="inlineStr"/>
      <c r="T629" s="5" t="inlineStr"/>
      <c r="U629" s="5" t="inlineStr"/>
      <c r="V629" s="5" t="inlineStr"/>
      <c r="W629" s="5" t="inlineStr"/>
      <c r="X629" s="5" t="inlineStr"/>
      <c r="Y629" s="5" t="inlineStr"/>
      <c r="Z629" s="6" t="inlineStr"/>
      <c r="AA629" s="5" t="inlineStr"/>
      <c r="AB629" s="5" t="inlineStr"/>
      <c r="AC629" s="5" t="inlineStr"/>
      <c r="AD629" s="5" t="inlineStr"/>
      <c r="AE629" s="5" t="inlineStr"/>
      <c r="AF629" s="5" t="inlineStr"/>
      <c r="AG629" s="5" t="inlineStr"/>
      <c r="AH629" s="5" t="inlineStr"/>
    </row>
    <row r="630">
      <c r="A630" s="5" t="inlineStr">
        <is>
          <t>me-kira-artisi</t>
        </is>
      </c>
      <c r="B630" s="5" t="n">
        <v>1</v>
      </c>
      <c r="C630" s="6" t="inlineStr">
        <is>
          <t>Artışı kabul et</t>
        </is>
      </c>
      <c r="D630" s="5" t="inlineStr"/>
      <c r="E630" s="5" t="inlineStr"/>
      <c r="F630" s="5" t="inlineStr">
        <is>
          <t>Dayanıklılık +1</t>
        </is>
      </c>
      <c r="G630" s="6" t="inlineStr">
        <is>
          <t>Artışı kabul ettin. Etiketlerin yarısı da artışı kabul etti.</t>
        </is>
      </c>
      <c r="H630" s="6" t="inlineStr"/>
      <c r="I630" s="6" t="inlineStr"/>
      <c r="J630" s="6" t="inlineStr"/>
      <c r="K630" s="6" t="inlineStr"/>
      <c r="L630" s="6" t="inlineStr"/>
      <c r="M630" s="5" t="inlineStr"/>
      <c r="N630" s="5" t="inlineStr"/>
      <c r="O630" s="6" t="inlineStr"/>
      <c r="P630" s="6" t="inlineStr"/>
      <c r="Q630" s="5" t="inlineStr"/>
      <c r="R630" s="5" t="inlineStr"/>
      <c r="S630" s="5" t="inlineStr"/>
      <c r="T630" s="5" t="inlineStr"/>
      <c r="U630" s="5" t="inlineStr"/>
      <c r="V630" s="5" t="inlineStr"/>
      <c r="W630" s="5" t="inlineStr"/>
      <c r="X630" s="5" t="inlineStr"/>
      <c r="Y630" s="5" t="inlineStr"/>
      <c r="Z630" s="6" t="inlineStr"/>
      <c r="AA630" s="5" t="inlineStr"/>
      <c r="AB630" s="5" t="inlineStr"/>
      <c r="AC630" s="5" t="inlineStr"/>
      <c r="AD630" s="5" t="inlineStr"/>
      <c r="AE630" s="5" t="inlineStr"/>
      <c r="AF630" s="5" t="inlineStr"/>
      <c r="AG630" s="5" t="inlineStr"/>
      <c r="AH630" s="5" t="inlineStr"/>
    </row>
    <row r="631">
      <c r="A631" s="5" t="inlineStr">
        <is>
          <t>me-kira-artisi</t>
        </is>
      </c>
      <c r="B631" s="5" t="n">
        <v>2</v>
      </c>
      <c r="C631" s="6" t="inlineStr">
        <is>
          <t>Pazarlık et</t>
        </is>
      </c>
      <c r="D631" s="5" t="inlineStr">
        <is>
          <t>Çene</t>
        </is>
      </c>
      <c r="E631" s="5" t="inlineStr">
        <is>
          <t>Orta</t>
        </is>
      </c>
      <c r="F631" s="5" t="inlineStr"/>
      <c r="G631" s="6" t="inlineStr"/>
      <c r="H631" s="6" t="inlineStr">
        <is>
          <t>Artışı yarıya indirdin. Karşılığında dükkân sahibi her sabah çayını sende içecek.</t>
        </is>
      </c>
      <c r="I631" s="6" t="inlineStr">
        <is>
          <t>Beş yıllık sözleşme kopardın. Dükkân sahibi imzadan sonra hesap makinesine uzun uzun baktı.</t>
        </is>
      </c>
      <c r="J631" s="6" t="inlineStr">
        <is>
          <t>'Düşünürüm' dedi ve düşünmeden rakamı mesajla gönderdi.</t>
        </is>
      </c>
      <c r="K631" s="6" t="inlineStr">
        <is>
          <t>'Başka yer bakarım' dedin. Dükkân sahibi 'Bak' dedi. Şimdi bakıyorsun.</t>
        </is>
      </c>
      <c r="L631" s="6" t="inlineStr"/>
      <c r="M631" s="5" t="inlineStr"/>
      <c r="N631" s="5" t="inlineStr"/>
      <c r="O631" s="6" t="inlineStr"/>
      <c r="P631" s="6" t="inlineStr"/>
      <c r="Q631" s="5" t="inlineStr"/>
      <c r="R631" s="5" t="inlineStr"/>
      <c r="S631" s="5" t="inlineStr"/>
      <c r="T631" s="5" t="inlineStr"/>
      <c r="U631" s="5" t="inlineStr"/>
      <c r="V631" s="5" t="inlineStr"/>
      <c r="W631" s="5" t="inlineStr"/>
      <c r="X631" s="5" t="inlineStr"/>
      <c r="Y631" s="5" t="inlineStr"/>
      <c r="Z631" s="6" t="inlineStr"/>
      <c r="AA631" s="5" t="inlineStr"/>
      <c r="AB631" s="5" t="inlineStr"/>
      <c r="AC631" s="5" t="inlineStr"/>
      <c r="AD631" s="5" t="inlineStr"/>
      <c r="AE631" s="5" t="inlineStr"/>
      <c r="AF631" s="5" t="inlineStr"/>
      <c r="AG631" s="5" t="inlineStr"/>
      <c r="AH631" s="5" t="inlineStr"/>
    </row>
    <row r="632">
      <c r="A632" s="5" t="inlineStr">
        <is>
          <t>me-kira-artisi</t>
        </is>
      </c>
      <c r="B632" s="5" t="n">
        <v>3</v>
      </c>
      <c r="C632" s="6" t="inlineStr">
        <is>
          <t>'Yeğen kafe mi açacak?' diye sor</t>
        </is>
      </c>
      <c r="D632" s="5" t="inlineStr">
        <is>
          <t>Sosyal Radar</t>
        </is>
      </c>
      <c r="E632" s="5" t="inlineStr">
        <is>
          <t>Kolay</t>
        </is>
      </c>
      <c r="F632" s="5" t="inlineStr"/>
      <c r="G632" s="6" t="inlineStr"/>
      <c r="H632" s="6" t="inlineStr">
        <is>
          <t>Sorunca dükkân sahibi bozuldu, rakamı düşürdü. Yeğenin kafesi başka köşeye açıldı.</t>
        </is>
      </c>
      <c r="I632" s="6" t="inlineStr">
        <is>
          <t>Yeğene arka odayı küçük bir kahve köşesi olarak kiraladın. Kiranın bir kısmını artık o ödüyor.</t>
        </is>
      </c>
      <c r="J632" s="6" t="inlineStr">
        <is>
          <t>'Ne yeğeni?' dedi. Üç ay sonra yeğen kapıda metreyle ölçüm yapıyordu.</t>
        </is>
      </c>
      <c r="K632" s="6" t="inlineStr">
        <is>
          <t>Dükkân sahibi fikri o an beğendi. Yeğen sende işe başladı; maaşını sen veriyorsun.</t>
        </is>
      </c>
      <c r="L632" s="6" t="inlineStr"/>
      <c r="M632" s="5" t="inlineStr"/>
      <c r="N632" s="5" t="inlineStr"/>
      <c r="O632" s="6" t="inlineStr"/>
      <c r="P632" s="6" t="inlineStr"/>
      <c r="Q632" s="5" t="inlineStr"/>
      <c r="R632" s="5" t="inlineStr"/>
      <c r="S632" s="5" t="inlineStr">
        <is>
          <t>Sosyal Radar</t>
        </is>
      </c>
      <c r="T632" s="5" t="inlineStr"/>
      <c r="U632" s="5" t="inlineStr"/>
      <c r="V632" s="5" t="inlineStr"/>
      <c r="W632" s="5" t="inlineStr"/>
      <c r="X632" s="5" t="inlineStr"/>
      <c r="Y632" s="5" t="inlineStr"/>
      <c r="Z632" s="6" t="inlineStr"/>
      <c r="AA632" s="5" t="inlineStr"/>
      <c r="AB632" s="5" t="inlineStr"/>
      <c r="AC632" s="5" t="inlineStr"/>
      <c r="AD632" s="5" t="inlineStr"/>
      <c r="AE632" s="5" t="inlineStr"/>
      <c r="AF632" s="5" t="inlineStr"/>
      <c r="AG632" s="5" t="inlineStr"/>
      <c r="AH632" s="5" t="inlineStr"/>
    </row>
    <row r="633">
      <c r="A633" s="5" t="inlineStr">
        <is>
          <t>me-kira-artisi</t>
        </is>
      </c>
      <c r="B633" s="5" t="n">
        <v>4</v>
      </c>
      <c r="C633" s="6" t="inlineStr">
        <is>
          <t>Ödemeyi ertelet</t>
        </is>
      </c>
      <c r="D633" s="5" t="inlineStr">
        <is>
          <t>Pişkinlik</t>
        </is>
      </c>
      <c r="E633" s="5" t="inlineStr">
        <is>
          <t>Zor</t>
        </is>
      </c>
      <c r="F633" s="5" t="inlineStr"/>
      <c r="G633" s="6" t="inlineStr"/>
      <c r="H633" s="6" t="inlineStr">
        <is>
          <t>'Ay sonuna kadar' dedin ve ay sonu gerçekten ödedin. Dükkân sahibi hâlâ şaşkın.</t>
        </is>
      </c>
      <c r="I633" s="6" t="inlineStr">
        <is>
          <t>Kirayı ertelettin, gecikme bedelini de sildirdin. Borç batağında ilk kez bir basamak yukarı çıktın.</t>
        </is>
      </c>
      <c r="J633" s="6" t="inlineStr">
        <is>
          <t>Erteleme istedin; dükkân sahibi başka yerlere de borçlu olduğunu çoktan duymuştu.</t>
        </is>
      </c>
      <c r="K633" s="6" t="inlineStr">
        <is>
          <t>Ertelettin. Ertesi gün kira, gecikme bedeli ve 'aramızda kalsın' notuyla iki katına çıktı.</t>
        </is>
      </c>
      <c r="L633" s="6" t="inlineStr"/>
      <c r="M633" s="5" t="inlineStr"/>
      <c r="N633" s="5" t="inlineStr"/>
      <c r="O633" s="6" t="inlineStr"/>
      <c r="P633" s="6" t="inlineStr"/>
      <c r="Q633" s="5" t="inlineStr"/>
      <c r="R633" s="5" t="inlineStr">
        <is>
          <t>borclu</t>
        </is>
      </c>
      <c r="S633" s="5" t="inlineStr"/>
      <c r="T633" s="5" t="inlineStr"/>
      <c r="U633" s="5" t="inlineStr"/>
      <c r="V633" s="5" t="inlineStr"/>
      <c r="W633" s="5" t="inlineStr"/>
      <c r="X633" s="5" t="inlineStr"/>
      <c r="Y633" s="5" t="inlineStr"/>
      <c r="Z633" s="6" t="inlineStr"/>
      <c r="AA633" s="5" t="inlineStr"/>
      <c r="AB633" s="5" t="inlineStr"/>
      <c r="AC633" s="5" t="inlineStr"/>
      <c r="AD633" s="5" t="inlineStr"/>
      <c r="AE633" s="5" t="inlineStr"/>
      <c r="AF633" s="5" t="inlineStr"/>
      <c r="AG633" s="5" t="inlineStr"/>
      <c r="AH633" s="5" t="inlineStr"/>
    </row>
    <row r="634">
      <c r="A634" s="5" t="inlineStr">
        <is>
          <t>mm-yeni-mudur</t>
        </is>
      </c>
      <c r="B634" s="5" t="n">
        <v>1</v>
      </c>
      <c r="C634" s="6" t="inlineStr">
        <is>
          <t>Yeni düzene uy</t>
        </is>
      </c>
      <c r="D634" s="5" t="inlineStr"/>
      <c r="E634" s="5" t="inlineStr"/>
      <c r="F634" s="5" t="inlineStr">
        <is>
          <t>Sosyal Radar +1, Dayanıklılık +1</t>
        </is>
      </c>
      <c r="G634" s="6" t="inlineStr">
        <is>
          <t>Kahveye artık her sabah iki dakika fazla yürüyorsun. Müdüre göre bu verimlilik.</t>
        </is>
      </c>
      <c r="H634" s="6" t="inlineStr"/>
      <c r="I634" s="6" t="inlineStr"/>
      <c r="J634" s="6" t="inlineStr"/>
      <c r="K634" s="6" t="inlineStr"/>
      <c r="L634" s="6" t="inlineStr"/>
      <c r="M634" s="5" t="inlineStr"/>
      <c r="N634" s="5" t="inlineStr"/>
      <c r="O634" s="6" t="inlineStr"/>
      <c r="P634" s="6" t="inlineStr"/>
      <c r="Q634" s="5" t="inlineStr"/>
      <c r="R634" s="5" t="inlineStr"/>
      <c r="S634" s="5" t="inlineStr"/>
      <c r="T634" s="5" t="inlineStr"/>
      <c r="U634" s="5" t="inlineStr"/>
      <c r="V634" s="5" t="inlineStr"/>
      <c r="W634" s="5" t="inlineStr"/>
      <c r="X634" s="5" t="inlineStr"/>
      <c r="Y634" s="5" t="inlineStr"/>
      <c r="Z634" s="6" t="inlineStr"/>
      <c r="AA634" s="5" t="inlineStr"/>
      <c r="AB634" s="5" t="inlineStr"/>
      <c r="AC634" s="5" t="inlineStr"/>
      <c r="AD634" s="5" t="inlineStr"/>
      <c r="AE634" s="5" t="inlineStr"/>
      <c r="AF634" s="5" t="inlineStr"/>
      <c r="AG634" s="5" t="inlineStr"/>
      <c r="AH634" s="5" t="inlineStr"/>
    </row>
    <row r="635">
      <c r="A635" s="5" t="inlineStr">
        <is>
          <t>mm-yeni-mudur</t>
        </is>
      </c>
      <c r="B635" s="5" t="n">
        <v>2</v>
      </c>
      <c r="C635" s="6" t="inlineStr">
        <is>
          <t>Eski müdürü öv</t>
        </is>
      </c>
      <c r="D635" s="5" t="inlineStr">
        <is>
          <t>Pişkinlik</t>
        </is>
      </c>
      <c r="E635" s="5" t="inlineStr">
        <is>
          <t>Zor</t>
        </is>
      </c>
      <c r="F635" s="5" t="inlineStr"/>
      <c r="G635" s="6" t="inlineStr"/>
      <c r="H635" s="6" t="inlineStr">
        <is>
          <t>Yeni müdür 'Sadakat güzel şey' dedi ve seni önemli bir dosyaya verdi.</t>
        </is>
      </c>
      <c r="I635" s="6" t="inlineStr">
        <is>
          <t>Övgün o kadar inceydi ki iki müdür birbirini arayıp seni ortak referans olarak kaydetti.</t>
        </is>
      </c>
      <c r="J635" s="6" t="inlineStr">
        <is>
          <t>Müdür not aldı. Not defterinin kapağında 'Muhalefet' yazıyor.</t>
        </is>
      </c>
      <c r="K635" s="6" t="inlineStr">
        <is>
          <t>Eski müdür, yeni müdürün en büyük rakibiymiş. Artık ikinci kattaki penceresiz odadasın.</t>
        </is>
      </c>
      <c r="L635" s="6" t="inlineStr"/>
      <c r="M635" s="5" t="inlineStr"/>
      <c r="N635" s="5" t="inlineStr"/>
      <c r="O635" s="6" t="inlineStr"/>
      <c r="P635" s="6" t="inlineStr"/>
      <c r="Q635" s="5" t="inlineStr"/>
      <c r="R635" s="5" t="inlineStr"/>
      <c r="S635" s="5" t="inlineStr"/>
      <c r="T635" s="5" t="inlineStr"/>
      <c r="U635" s="5" t="inlineStr"/>
      <c r="V635" s="5" t="inlineStr"/>
      <c r="W635" s="5" t="inlineStr">
        <is>
          <t>memur-mudur-dusmani</t>
        </is>
      </c>
      <c r="X635" s="5" t="inlineStr"/>
      <c r="Y635" s="5" t="inlineStr"/>
      <c r="Z635" s="6" t="inlineStr"/>
      <c r="AA635" s="5" t="inlineStr"/>
      <c r="AB635" s="5" t="inlineStr"/>
      <c r="AC635" s="5" t="inlineStr"/>
      <c r="AD635" s="5" t="inlineStr"/>
      <c r="AE635" s="5" t="inlineStr"/>
      <c r="AF635" s="5" t="inlineStr"/>
      <c r="AG635" s="5" t="inlineStr"/>
      <c r="AH635" s="5" t="inlineStr"/>
    </row>
    <row r="636">
      <c r="A636" s="5" t="inlineStr">
        <is>
          <t>mm-yeni-mudur</t>
        </is>
      </c>
      <c r="B636" s="5" t="n">
        <v>3</v>
      </c>
      <c r="C636" s="6" t="inlineStr">
        <is>
          <t>Kahve makinesini geri taşı</t>
        </is>
      </c>
      <c r="D636" s="5" t="inlineStr">
        <is>
          <t>Cesaret</t>
        </is>
      </c>
      <c r="E636" s="5" t="inlineStr">
        <is>
          <t>Zor</t>
        </is>
      </c>
      <c r="F636" s="5" t="inlineStr"/>
      <c r="G636" s="6" t="inlineStr"/>
      <c r="H636" s="6" t="inlineStr">
        <is>
          <t>Müdür ertesi sabah kahvesini eski yerden aldı. Sessiz bir teslimiyet.</t>
        </is>
      </c>
      <c r="I636" s="6" t="inlineStr">
        <is>
          <t>Müdür bunu cesaret olarak gördü ve 'Fikirlerini söyle' dedi. Fikirlerin artık resmî yazıyla isteniyor.</t>
        </is>
      </c>
      <c r="J636" s="6" t="inlineStr">
        <is>
          <t>Kablo yetmedi. Makine koridorun ortasında kaldı, sen de.</t>
        </is>
      </c>
      <c r="K636" s="6" t="inlineStr">
        <is>
          <t>Tutanak: 'Kurum demirbaşının izinsiz yer değiştirmesi.' Müdürle aranızdaki soğukluk resmiyet kazandı.</t>
        </is>
      </c>
      <c r="L636" s="6" t="inlineStr"/>
      <c r="M636" s="5" t="inlineStr"/>
      <c r="N636" s="5" t="inlineStr"/>
      <c r="O636" s="6" t="inlineStr"/>
      <c r="P636" s="6" t="inlineStr"/>
      <c r="Q636" s="5" t="inlineStr"/>
      <c r="R636" s="5" t="inlineStr"/>
      <c r="S636" s="5" t="inlineStr"/>
      <c r="T636" s="5" t="inlineStr"/>
      <c r="U636" s="5" t="inlineStr"/>
      <c r="V636" s="5" t="inlineStr"/>
      <c r="W636" s="5" t="inlineStr">
        <is>
          <t>memur-mudur-dusmani</t>
        </is>
      </c>
      <c r="X636" s="5" t="inlineStr"/>
      <c r="Y636" s="5" t="inlineStr"/>
      <c r="Z636" s="6" t="inlineStr"/>
      <c r="AA636" s="5" t="inlineStr"/>
      <c r="AB636" s="5" t="inlineStr"/>
      <c r="AC636" s="5" t="inlineStr"/>
      <c r="AD636" s="5" t="inlineStr"/>
      <c r="AE636" s="5" t="inlineStr"/>
      <c r="AF636" s="5" t="inlineStr"/>
      <c r="AG636" s="5" t="inlineStr"/>
      <c r="AH636" s="5" t="inlineStr"/>
    </row>
    <row r="637">
      <c r="A637" s="5" t="inlineStr">
        <is>
          <t>mm-yeni-mudur</t>
        </is>
      </c>
      <c r="B637" s="5" t="n">
        <v>4</v>
      </c>
      <c r="C637" s="6" t="inlineStr">
        <is>
          <t>Toplantıda sadece dinle</t>
        </is>
      </c>
      <c r="D637" s="5" t="inlineStr">
        <is>
          <t>Sosyal Radar</t>
        </is>
      </c>
      <c r="E637" s="5" t="inlineStr">
        <is>
          <t>Kolay</t>
        </is>
      </c>
      <c r="F637" s="5" t="inlineStr"/>
      <c r="G637" s="6" t="inlineStr"/>
      <c r="H637" s="6" t="inlineStr">
        <is>
          <t>Konuşmadın, not aldın. Müdür sonradan notlarını istedi. Tutanaklar artık sende.</t>
        </is>
      </c>
      <c r="I637" s="6" t="inlineStr">
        <is>
          <t>Notlarında müdürün söylediği her şeyin bir yönetmelik maddesiyle çeliştiği yazıyordu. Müdür sana danışman gibi davranmaya başladı.</t>
        </is>
      </c>
      <c r="J637" s="6" t="inlineStr">
        <is>
          <t>Dinledin. Toplantı dört saat sürdü. Not alacak bir şey çıkmadı.</t>
        </is>
      </c>
      <c r="K637" s="6" t="inlineStr">
        <is>
          <t>Dinlerken uyuklamışsın. Tutanakta 'Katılımcı görüş bildirmedi; gözlerini de açmadı' yazıyor.</t>
        </is>
      </c>
      <c r="L637" s="6" t="inlineStr"/>
      <c r="M637" s="5" t="inlineStr"/>
      <c r="N637" s="5" t="inlineStr"/>
      <c r="O637" s="6" t="inlineStr"/>
      <c r="P637" s="6" t="inlineStr"/>
      <c r="Q637" s="5" t="inlineStr">
        <is>
          <t>Sessiz Gözlemci</t>
        </is>
      </c>
      <c r="R637" s="5" t="inlineStr"/>
      <c r="S637" s="5" t="inlineStr"/>
      <c r="T637" s="5" t="inlineStr"/>
      <c r="U637" s="5" t="inlineStr"/>
      <c r="V637" s="5" t="inlineStr"/>
      <c r="W637" s="5" t="inlineStr">
        <is>
          <t>memur-mudur-dusmani</t>
        </is>
      </c>
      <c r="X637" s="5" t="inlineStr"/>
      <c r="Y637" s="5" t="inlineStr"/>
      <c r="Z637" s="6" t="inlineStr"/>
      <c r="AA637" s="5" t="inlineStr"/>
      <c r="AB637" s="5" t="inlineStr"/>
      <c r="AC637" s="5" t="inlineStr"/>
      <c r="AD637" s="5" t="inlineStr"/>
      <c r="AE637" s="5" t="inlineStr"/>
      <c r="AF637" s="5" t="inlineStr"/>
      <c r="AG637" s="5" t="inlineStr"/>
      <c r="AH637" s="5" t="inlineStr"/>
    </row>
    <row r="638">
      <c r="A638" s="5" t="inlineStr">
        <is>
          <t>b7-trafik-cezasi</t>
        </is>
      </c>
      <c r="B638" s="5" t="n">
        <v>1</v>
      </c>
      <c r="C638" s="6" t="inlineStr">
        <is>
          <t>Erken öde, indirimden yararlan</t>
        </is>
      </c>
      <c r="D638" s="5" t="inlineStr"/>
      <c r="E638" s="5" t="inlineStr"/>
      <c r="F638" s="5" t="inlineStr">
        <is>
          <t>Akıl +1</t>
        </is>
      </c>
      <c r="G638" s="6" t="inlineStr">
        <is>
          <t>Cezayı indirimli ödedin. Devletle ilk kampanya deneyimin oldu.</t>
        </is>
      </c>
      <c r="H638" s="6" t="inlineStr"/>
      <c r="I638" s="6" t="inlineStr"/>
      <c r="J638" s="6" t="inlineStr"/>
      <c r="K638" s="6" t="inlineStr"/>
      <c r="L638" s="6" t="inlineStr"/>
      <c r="M638" s="5" t="inlineStr"/>
      <c r="N638" s="5" t="inlineStr"/>
      <c r="O638" s="6" t="inlineStr"/>
      <c r="P638" s="6" t="inlineStr"/>
      <c r="Q638" s="5" t="inlineStr"/>
      <c r="R638" s="5" t="inlineStr"/>
      <c r="S638" s="5" t="inlineStr"/>
      <c r="T638" s="5" t="inlineStr"/>
      <c r="U638" s="5" t="inlineStr"/>
      <c r="V638" s="5" t="inlineStr"/>
      <c r="W638" s="5" t="inlineStr"/>
      <c r="X638" s="5" t="inlineStr"/>
      <c r="Y638" s="5" t="inlineStr"/>
      <c r="Z638" s="6" t="inlineStr"/>
      <c r="AA638" s="5" t="inlineStr"/>
      <c r="AB638" s="5" t="inlineStr"/>
      <c r="AC638" s="5" t="inlineStr"/>
      <c r="AD638" s="5" t="inlineStr"/>
      <c r="AE638" s="5" t="inlineStr"/>
      <c r="AF638" s="5" t="inlineStr"/>
      <c r="AG638" s="5" t="inlineStr"/>
      <c r="AH638" s="5" t="inlineStr"/>
    </row>
    <row r="639">
      <c r="A639" s="5" t="inlineStr">
        <is>
          <t>b7-trafik-cezasi</t>
        </is>
      </c>
      <c r="B639" s="5" t="n">
        <v>2</v>
      </c>
      <c r="C639" s="6" t="inlineStr">
        <is>
          <t>İtiraz dilekçesi yaz</t>
        </is>
      </c>
      <c r="D639" s="5" t="inlineStr">
        <is>
          <t>Akıl</t>
        </is>
      </c>
      <c r="E639" s="5" t="inlineStr">
        <is>
          <t>Zor</t>
        </is>
      </c>
      <c r="F639" s="5" t="inlineStr"/>
      <c r="G639" s="6" t="inlineStr"/>
      <c r="H639" s="6" t="inlineStr">
        <is>
          <t>Işığın arızalı olduğunu kanıtladın. Ceza iptal. Dilekçe arşivde örnek olarak saklanıyor.</t>
        </is>
      </c>
      <c r="I639" s="6" t="inlineStr">
        <is>
          <t>İtirazın kabul edildi, kavşaktaki ışık da değiştirildi. Belediye bir teşekkür yazısı gönderdi. Bu yazı da postayla geldi.</t>
        </is>
      </c>
      <c r="J639" s="6" t="inlineStr">
        <is>
          <t>Dilekçe 'süresi içinde yapılmadığı' için reddedildi. Süre, zarfın sana ulaşmasından önce dolmuş.</t>
        </is>
      </c>
      <c r="K639" s="6" t="inlineStr">
        <is>
          <t>İtiraz sürecinde indirim süresi geçti. Artık cezanın tamamını, gururla ödüyorsun.</t>
        </is>
      </c>
      <c r="L639" s="6" t="inlineStr"/>
      <c r="M639" s="5" t="inlineStr"/>
      <c r="N639" s="5" t="inlineStr"/>
      <c r="O639" s="6" t="inlineStr"/>
      <c r="P639" s="6" t="inlineStr"/>
      <c r="Q639" s="5" t="inlineStr"/>
      <c r="R639" s="5" t="inlineStr"/>
      <c r="S639" s="5" t="inlineStr"/>
      <c r="T639" s="5" t="inlineStr"/>
      <c r="U639" s="5" t="inlineStr"/>
      <c r="V639" s="5" t="inlineStr"/>
      <c r="W639" s="5" t="inlineStr"/>
      <c r="X639" s="5" t="inlineStr"/>
      <c r="Y639" s="5" t="inlineStr"/>
      <c r="Z639" s="6" t="inlineStr"/>
      <c r="AA639" s="5" t="inlineStr"/>
      <c r="AB639" s="5" t="inlineStr"/>
      <c r="AC639" s="5" t="inlineStr"/>
      <c r="AD639" s="5" t="inlineStr"/>
      <c r="AE639" s="5" t="inlineStr"/>
      <c r="AF639" s="5" t="inlineStr"/>
      <c r="AG639" s="5" t="inlineStr"/>
      <c r="AH639" s="5" t="inlineStr"/>
    </row>
    <row r="640">
      <c r="A640" s="5" t="inlineStr">
        <is>
          <t>b7-trafik-cezasi</t>
        </is>
      </c>
      <c r="B640" s="5" t="n">
        <v>3</v>
      </c>
      <c r="C640" s="6" t="inlineStr">
        <is>
          <t>'Fotoğraftaki ben değilim' de</t>
        </is>
      </c>
      <c r="D640" s="5" t="inlineStr">
        <is>
          <t>Pişkinlik</t>
        </is>
      </c>
      <c r="E640" s="5" t="inlineStr">
        <is>
          <t>Çok Zor</t>
        </is>
      </c>
      <c r="F640" s="5" t="inlineStr"/>
      <c r="G640" s="6" t="inlineStr"/>
      <c r="H640" s="6" t="inlineStr">
        <is>
          <t>Görevli fotoğrafa baktı, sana baktı, pes etti. Dosya 'kimliği belirsiz' klasörüne girdi.</t>
        </is>
      </c>
      <c r="I640" s="6" t="inlineStr">
        <is>
          <t>Görevli seni ikna edici buldu ve fotoğraftaki kişi hakkında seninle birlikte tutanak tuttu.</t>
        </is>
      </c>
      <c r="J640" s="6" t="inlineStr">
        <is>
          <t>Fotoğrafta tişörtündeki yazı okunuyordu. Aynı tişört şu an üzerinde.</t>
        </is>
      </c>
      <c r="K640" s="6" t="inlineStr">
        <is>
          <t>İnkâr ettin; ikinci bir fotoğraf çıktı. Onda da ışık kırmızıydı. Dosya birleştirildi.</t>
        </is>
      </c>
      <c r="L640" s="6" t="inlineStr"/>
      <c r="M640" s="5" t="inlineStr"/>
      <c r="N640" s="5" t="inlineStr"/>
      <c r="O640" s="6" t="inlineStr"/>
      <c r="P640" s="6" t="inlineStr"/>
      <c r="Q640" s="5" t="inlineStr"/>
      <c r="R640" s="5" t="inlineStr">
        <is>
          <t>yalanci</t>
        </is>
      </c>
      <c r="S640" s="5" t="inlineStr"/>
      <c r="T640" s="5" t="inlineStr"/>
      <c r="U640" s="5" t="inlineStr"/>
      <c r="V640" s="5" t="inlineStr"/>
      <c r="W640" s="5" t="inlineStr"/>
      <c r="X640" s="5" t="inlineStr"/>
      <c r="Y640" s="5" t="inlineStr"/>
      <c r="Z640" s="6" t="inlineStr"/>
      <c r="AA640" s="5" t="inlineStr"/>
      <c r="AB640" s="5" t="inlineStr"/>
      <c r="AC640" s="5" t="inlineStr"/>
      <c r="AD640" s="5" t="inlineStr"/>
      <c r="AE640" s="5" t="inlineStr"/>
      <c r="AF640" s="5" t="inlineStr"/>
      <c r="AG640" s="5" t="inlineStr"/>
      <c r="AH640" s="5" t="inlineStr"/>
    </row>
    <row r="641">
      <c r="A641" s="5" t="inlineStr">
        <is>
          <t>ms-fatura-kovalamaca</t>
        </is>
      </c>
      <c r="B641" s="5" t="n">
        <v>1</v>
      </c>
      <c r="C641" s="6" t="inlineStr">
        <is>
          <t>Nazik bir hatırlatma daha yaz</t>
        </is>
      </c>
      <c r="D641" s="5" t="inlineStr"/>
      <c r="E641" s="5" t="inlineStr"/>
      <c r="F641" s="5" t="inlineStr">
        <is>
          <t>İtibar +1</t>
        </is>
      </c>
      <c r="G641" s="6" t="inlineStr">
        <is>
          <t>Yedinci nazik hatırlatmayı yazdın. Nezaketin artık kibar bir öfke biçimi aldı.</t>
        </is>
      </c>
      <c r="H641" s="6" t="inlineStr"/>
      <c r="I641" s="6" t="inlineStr"/>
      <c r="J641" s="6" t="inlineStr"/>
      <c r="K641" s="6" t="inlineStr"/>
      <c r="L641" s="6" t="inlineStr"/>
      <c r="M641" s="5" t="inlineStr"/>
      <c r="N641" s="5" t="inlineStr"/>
      <c r="O641" s="6" t="inlineStr"/>
      <c r="P641" s="6" t="inlineStr"/>
      <c r="Q641" s="5" t="inlineStr"/>
      <c r="R641" s="5" t="inlineStr"/>
      <c r="S641" s="5" t="inlineStr"/>
      <c r="T641" s="5" t="inlineStr"/>
      <c r="U641" s="5" t="inlineStr">
        <is>
          <t>serbest-alacakli</t>
        </is>
      </c>
      <c r="V641" s="5" t="inlineStr"/>
      <c r="W641" s="5" t="inlineStr"/>
      <c r="X641" s="5" t="inlineStr"/>
      <c r="Y641" s="5" t="inlineStr"/>
      <c r="Z641" s="6" t="inlineStr"/>
      <c r="AA641" s="5" t="inlineStr"/>
      <c r="AB641" s="5" t="inlineStr"/>
      <c r="AC641" s="5" t="inlineStr"/>
      <c r="AD641" s="5" t="inlineStr"/>
      <c r="AE641" s="5" t="inlineStr"/>
      <c r="AF641" s="5" t="inlineStr"/>
      <c r="AG641" s="5" t="inlineStr"/>
      <c r="AH641" s="5" t="inlineStr"/>
    </row>
    <row r="642">
      <c r="A642" s="5" t="inlineStr">
        <is>
          <t>ms-fatura-kovalamaca</t>
        </is>
      </c>
      <c r="B642" s="5" t="n">
        <v>2</v>
      </c>
      <c r="C642" s="6" t="inlineStr">
        <is>
          <t>Her gün ara</t>
        </is>
      </c>
      <c r="D642" s="5" t="inlineStr">
        <is>
          <t>Dayanıklılık</t>
        </is>
      </c>
      <c r="E642" s="5" t="inlineStr">
        <is>
          <t>Zor</t>
        </is>
      </c>
      <c r="F642" s="5" t="inlineStr"/>
      <c r="G642" s="6" t="inlineStr"/>
      <c r="H642" s="6" t="inlineStr">
        <is>
          <t>Kırk üçüncü aramada para yattı. Muhasebeci sesini tanıdı: 'Yine mi siz?'</t>
        </is>
      </c>
      <c r="I642" s="6" t="inlineStr">
        <is>
          <t>Öyle ısrarcıydın ki şirket seni ödeme listesinin başına aldı. Sessizlik karşılığında.</t>
        </is>
      </c>
      <c r="J642" s="6" t="inlineStr">
        <is>
          <t>Santral seni bekleme müziğine bağladı. Müziği ezberledin, para gelmedi.</t>
        </is>
      </c>
      <c r="K642" s="6" t="inlineStr">
        <is>
          <t>Ödeme sonunda yapıldı. Başka bir serbest çalışanın hesabına.</t>
        </is>
      </c>
      <c r="L642" s="6" t="inlineStr"/>
      <c r="M642" s="5" t="inlineStr"/>
      <c r="N642" s="5" t="inlineStr"/>
      <c r="O642" s="6" t="inlineStr"/>
      <c r="P642" s="6" t="inlineStr"/>
      <c r="Q642" s="5" t="inlineStr"/>
      <c r="R642" s="5" t="inlineStr"/>
      <c r="S642" s="5" t="inlineStr"/>
      <c r="T642" s="5" t="inlineStr">
        <is>
          <t>Fatura Avcısı</t>
        </is>
      </c>
      <c r="U642" s="5" t="inlineStr"/>
      <c r="V642" s="5" t="inlineStr"/>
      <c r="W642" s="5" t="inlineStr">
        <is>
          <t>serbest-alacakli</t>
        </is>
      </c>
      <c r="X642" s="5" t="inlineStr"/>
      <c r="Y642" s="5" t="inlineStr"/>
      <c r="Z642" s="6" t="inlineStr"/>
      <c r="AA642" s="5" t="inlineStr"/>
      <c r="AB642" s="5" t="inlineStr"/>
      <c r="AC642" s="5" t="inlineStr"/>
      <c r="AD642" s="5" t="inlineStr"/>
      <c r="AE642" s="5" t="inlineStr"/>
      <c r="AF642" s="5" t="inlineStr"/>
      <c r="AG642" s="5" t="inlineStr"/>
      <c r="AH642" s="5" t="inlineStr"/>
    </row>
    <row r="643">
      <c r="A643" s="5" t="inlineStr">
        <is>
          <t>ms-fatura-kovalamaca</t>
        </is>
      </c>
      <c r="B643" s="5" t="n">
        <v>3</v>
      </c>
      <c r="C643" s="6" t="inlineStr">
        <is>
          <t>Muhasebeciye doğum günü mesajı at</t>
        </is>
      </c>
      <c r="D643" s="5" t="inlineStr">
        <is>
          <t>Çene</t>
        </is>
      </c>
      <c r="E643" s="5" t="inlineStr">
        <is>
          <t>Kolay</t>
        </is>
      </c>
      <c r="F643" s="5" t="inlineStr"/>
      <c r="G643" s="6" t="inlineStr"/>
      <c r="H643" s="6" t="inlineStr">
        <is>
          <t>Doğum günü mesajına teşekkür geldi. Yarım saat sonra ödeme de geldi.</t>
        </is>
      </c>
      <c r="I643" s="6" t="inlineStr">
        <is>
          <t>Muhasebeciyle arkadaş oldunuz. Faturaların artık ekleme bile gerek kalmadan ödeniyor.</t>
        </is>
      </c>
      <c r="J643" s="6" t="inlineStr">
        <is>
          <t>Mesajına kalp bıraktı. Ödeme hâlâ onay bekliyor.</t>
        </is>
      </c>
      <c r="K643" s="6" t="inlineStr">
        <is>
          <t>Mesajı yanlış muhasebeciye attın. Doğum günü değilmiş. Faturan 'şüpheli' klasörüne taşındı.</t>
        </is>
      </c>
      <c r="L643" s="6" t="inlineStr"/>
      <c r="M643" s="5" t="inlineStr"/>
      <c r="N643" s="5" t="inlineStr"/>
      <c r="O643" s="6" t="inlineStr"/>
      <c r="P643" s="6" t="inlineStr"/>
      <c r="Q643" s="5" t="inlineStr"/>
      <c r="R643" s="5" t="inlineStr"/>
      <c r="S643" s="5" t="inlineStr">
        <is>
          <t>Çene</t>
        </is>
      </c>
      <c r="T643" s="5" t="inlineStr"/>
      <c r="U643" s="5" t="inlineStr"/>
      <c r="V643" s="5" t="inlineStr"/>
      <c r="W643" s="5" t="inlineStr"/>
      <c r="X643" s="5" t="inlineStr"/>
      <c r="Y643" s="5" t="inlineStr"/>
      <c r="Z643" s="6" t="inlineStr"/>
      <c r="AA643" s="5" t="inlineStr"/>
      <c r="AB643" s="5" t="inlineStr"/>
      <c r="AC643" s="5" t="inlineStr"/>
      <c r="AD643" s="5" t="inlineStr"/>
      <c r="AE643" s="5" t="inlineStr"/>
      <c r="AF643" s="5" t="inlineStr"/>
      <c r="AG643" s="5" t="inlineStr"/>
      <c r="AH643" s="5" t="inlineStr"/>
    </row>
    <row r="644">
      <c r="A644" s="5" t="inlineStr">
        <is>
          <t>ms-fatura-kovalamaca</t>
        </is>
      </c>
      <c r="B644" s="5" t="n">
        <v>4</v>
      </c>
      <c r="C644" s="6" t="inlineStr">
        <is>
          <t>Resmî ihtar gönder</t>
        </is>
      </c>
      <c r="D644" s="5" t="inlineStr">
        <is>
          <t>Cesaret</t>
        </is>
      </c>
      <c r="E644" s="5" t="inlineStr">
        <is>
          <t>Orta</t>
        </is>
      </c>
      <c r="F644" s="5" t="inlineStr"/>
      <c r="G644" s="6" t="inlineStr"/>
      <c r="H644" s="6" t="inlineStr">
        <is>
          <t>İhtar ulaştı. Ödeme ertesi sabah yapıldı, gecikme faiziyle.</t>
        </is>
      </c>
      <c r="I644" s="6" t="inlineStr">
        <is>
          <t>İhtar sonrası şirket bütün serbest çalışanlara ödemeleri yaptı. Kahraman oldun, sessizce.</t>
        </is>
      </c>
      <c r="J644" s="6" t="inlineStr">
        <is>
          <t>İhtar gönderdin; şirket adres değiştirmiş.</t>
        </is>
      </c>
      <c r="K644" s="6" t="inlineStr">
        <is>
          <t>İhtar gönderdin; ödeme yapıldı ve seninle bir daha çalışmayacaklarını yazdılar. İki cümlelik bir mutluluk.</t>
        </is>
      </c>
      <c r="L644" s="6" t="inlineStr"/>
      <c r="M644" s="5" t="inlineStr"/>
      <c r="N644" s="5" t="inlineStr"/>
      <c r="O644" s="6" t="inlineStr"/>
      <c r="P644" s="6" t="inlineStr"/>
      <c r="Q644" s="5" t="inlineStr">
        <is>
          <t>Geri Adım Atmaz</t>
        </is>
      </c>
      <c r="R644" s="5" t="inlineStr"/>
      <c r="S644" s="5" t="inlineStr"/>
      <c r="T644" s="5" t="inlineStr"/>
      <c r="U644" s="5" t="inlineStr"/>
      <c r="V644" s="5" t="inlineStr"/>
      <c r="W644" s="5" t="inlineStr"/>
      <c r="X644" s="5" t="inlineStr"/>
      <c r="Y644" s="5" t="inlineStr"/>
      <c r="Z644" s="6" t="inlineStr"/>
      <c r="AA644" s="5" t="inlineStr"/>
      <c r="AB644" s="5" t="inlineStr"/>
      <c r="AC644" s="5" t="inlineStr"/>
      <c r="AD644" s="5" t="inlineStr"/>
      <c r="AE644" s="5" t="inlineStr"/>
      <c r="AF644" s="5" t="inlineStr"/>
      <c r="AG644" s="5" t="inlineStr"/>
      <c r="AH644" s="5" t="inlineStr"/>
    </row>
    <row r="645">
      <c r="A645" s="5" t="inlineStr">
        <is>
          <t>b7-araba-alma</t>
        </is>
      </c>
      <c r="B645" s="5" t="n">
        <v>1</v>
      </c>
      <c r="C645" s="6" t="inlineStr">
        <is>
          <t>Toplu taşımaya devam</t>
        </is>
      </c>
      <c r="D645" s="5" t="inlineStr"/>
      <c r="E645" s="5" t="inlineStr"/>
      <c r="F645" s="5" t="inlineStr">
        <is>
          <t>Dayanıklılık +1</t>
        </is>
      </c>
      <c r="G645" s="6" t="inlineStr">
        <is>
          <t>Arabayı almadın. Kartına yükleme yaptın. Sabah yedi otuzda insan kalabalığı seni ısıttı.</t>
        </is>
      </c>
      <c r="H645" s="6" t="inlineStr"/>
      <c r="I645" s="6" t="inlineStr"/>
      <c r="J645" s="6" t="inlineStr"/>
      <c r="K645" s="6" t="inlineStr"/>
      <c r="L645" s="6" t="inlineStr"/>
      <c r="M645" s="5" t="inlineStr"/>
      <c r="N645" s="5" t="inlineStr"/>
      <c r="O645" s="6" t="inlineStr"/>
      <c r="P645" s="6" t="inlineStr"/>
      <c r="Q645" s="5" t="inlineStr"/>
      <c r="R645" s="5" t="inlineStr"/>
      <c r="S645" s="5" t="inlineStr"/>
      <c r="T645" s="5" t="inlineStr"/>
      <c r="U645" s="5" t="inlineStr"/>
      <c r="V645" s="5" t="inlineStr"/>
      <c r="W645" s="5" t="inlineStr"/>
      <c r="X645" s="5" t="inlineStr"/>
      <c r="Y645" s="5" t="inlineStr"/>
      <c r="Z645" s="6" t="inlineStr"/>
      <c r="AA645" s="5" t="inlineStr"/>
      <c r="AB645" s="5" t="inlineStr"/>
      <c r="AC645" s="5" t="inlineStr"/>
      <c r="AD645" s="5" t="inlineStr"/>
      <c r="AE645" s="5" t="inlineStr"/>
      <c r="AF645" s="5" t="inlineStr"/>
      <c r="AG645" s="5" t="inlineStr"/>
      <c r="AH645" s="5" t="inlineStr"/>
    </row>
    <row r="646">
      <c r="A646" s="5" t="inlineStr">
        <is>
          <t>b7-araba-alma</t>
        </is>
      </c>
      <c r="B646" s="5" t="n">
        <v>2</v>
      </c>
      <c r="C646" s="6" t="inlineStr">
        <is>
          <t>Kaputu açıp ciddi ciddi bak</t>
        </is>
      </c>
      <c r="D646" s="5" t="inlineStr">
        <is>
          <t>Kurnazlık</t>
        </is>
      </c>
      <c r="E646" s="5" t="inlineStr">
        <is>
          <t>Orta</t>
        </is>
      </c>
      <c r="F646" s="5" t="inlineStr"/>
      <c r="G646" s="6" t="inlineStr"/>
      <c r="H646" s="6" t="inlineStr">
        <is>
          <t>Neye baktığını bilmiyordun ama satıcı bildiğini sandı. Fiyat düştü.</t>
        </is>
      </c>
      <c r="I646" s="6" t="inlineStr">
        <is>
          <t>Kaputa bakarken gerçekten bir sorun buldun. Satıcı seni usta sandı ve kendi arabasını da sordu.</t>
        </is>
      </c>
      <c r="J646" s="6" t="inlineStr">
        <is>
          <t>Kaputu açtın, bir süre baktın, kapattın. Satıcı 'Güzel değil mi?' dedi. Evet dedin.</t>
        </is>
      </c>
      <c r="K646" s="6" t="inlineStr">
        <is>
          <t>Kaputu kapatırken kendi atkını içeride bıraktın. Araba artık hem pahalı hem de atkılı.</t>
        </is>
      </c>
      <c r="L646" s="6" t="inlineStr"/>
      <c r="M646" s="5" t="inlineStr"/>
      <c r="N646" s="5" t="inlineStr"/>
      <c r="O646" s="6" t="inlineStr"/>
      <c r="P646" s="6" t="inlineStr"/>
      <c r="Q646" s="5" t="inlineStr"/>
      <c r="R646" s="5" t="inlineStr"/>
      <c r="S646" s="5" t="inlineStr"/>
      <c r="T646" s="5" t="inlineStr"/>
      <c r="U646" s="5" t="inlineStr"/>
      <c r="V646" s="5" t="inlineStr">
        <is>
          <t>arabali</t>
        </is>
      </c>
      <c r="W646" s="5" t="inlineStr"/>
      <c r="X646" s="5" t="inlineStr"/>
      <c r="Y646" s="5" t="inlineStr"/>
      <c r="Z646" s="6" t="inlineStr"/>
      <c r="AA646" s="5" t="inlineStr"/>
      <c r="AB646" s="5" t="inlineStr"/>
      <c r="AC646" s="5" t="inlineStr"/>
      <c r="AD646" s="5" t="inlineStr"/>
      <c r="AE646" s="5" t="inlineStr"/>
      <c r="AF646" s="5" t="inlineStr"/>
      <c r="AG646" s="5" t="inlineStr"/>
      <c r="AH646" s="5" t="inlineStr"/>
    </row>
    <row r="647">
      <c r="A647" s="5" t="inlineStr">
        <is>
          <t>b7-araba-alma</t>
        </is>
      </c>
      <c r="B647" s="5" t="n">
        <v>3</v>
      </c>
      <c r="C647" s="6" t="inlineStr">
        <is>
          <t>Test sürüşünde otoyola çık</t>
        </is>
      </c>
      <c r="D647" s="5" t="inlineStr">
        <is>
          <t>Cesaret</t>
        </is>
      </c>
      <c r="E647" s="5" t="inlineStr">
        <is>
          <t>Orta</t>
        </is>
      </c>
      <c r="F647" s="5" t="inlineStr"/>
      <c r="G647" s="6" t="inlineStr"/>
      <c r="H647" s="6" t="inlineStr">
        <is>
          <t>Araba otoyolu sevdi. Sen de. Anlaşma yolda yapıldı.</t>
        </is>
      </c>
      <c r="I647" s="6" t="inlineStr">
        <is>
          <t>Test sürüşü o kadar iyi geçti ki satıcı 'Siz bunu hak ediyorsunuz' dedi ve indirime yakın bir şey yaptı.</t>
        </is>
      </c>
      <c r="J647" s="6" t="inlineStr">
        <is>
          <t>Araba 90'da titremeye başladı. Satıcı 'Rodaj' dedi. Arabanın yaşı 14.</t>
        </is>
      </c>
      <c r="K647" s="6" t="inlineStr">
        <is>
          <t>Arabanın gösterge ışıklarının hepsi aynı anda yandı. Satıcı 'Bayram gibi' dedi. Araba çekiciyle döndü.</t>
        </is>
      </c>
      <c r="L647" s="6" t="inlineStr"/>
      <c r="M647" s="5" t="inlineStr"/>
      <c r="N647" s="5" t="inlineStr"/>
      <c r="O647" s="6" t="inlineStr"/>
      <c r="P647" s="6" t="inlineStr"/>
      <c r="Q647" s="5" t="inlineStr"/>
      <c r="R647" s="5" t="inlineStr"/>
      <c r="S647" s="5" t="inlineStr"/>
      <c r="T647" s="5" t="inlineStr"/>
      <c r="U647" s="5" t="inlineStr"/>
      <c r="V647" s="5" t="inlineStr">
        <is>
          <t>arabali</t>
        </is>
      </c>
      <c r="W647" s="5" t="inlineStr"/>
      <c r="X647" s="5" t="inlineStr"/>
      <c r="Y647" s="5" t="n">
        <v>3</v>
      </c>
      <c r="Z647" s="6" t="inlineStr">
        <is>
          <t>İkinci el arabanın test sürüşünde, 'keyif için satılık' ibaresini fazla ciddiye alarak.</t>
        </is>
      </c>
      <c r="AA647" s="5" t="inlineStr"/>
      <c r="AB647" s="5" t="inlineStr"/>
      <c r="AC647" s="5" t="inlineStr"/>
      <c r="AD647" s="5" t="inlineStr"/>
      <c r="AE647" s="5" t="inlineStr"/>
      <c r="AF647" s="5" t="inlineStr"/>
      <c r="AG647" s="5" t="inlineStr"/>
      <c r="AH647" s="5" t="inlineStr"/>
    </row>
    <row r="648">
      <c r="A648" s="5" t="inlineStr">
        <is>
          <t>b7-araba-alma</t>
        </is>
      </c>
      <c r="B648" s="5" t="n">
        <v>4</v>
      </c>
      <c r="C648" s="6" t="inlineStr">
        <is>
          <t>Satıcıyla pazar usulü konuş</t>
        </is>
      </c>
      <c r="D648" s="5" t="inlineStr">
        <is>
          <t>Çene</t>
        </is>
      </c>
      <c r="E648" s="5" t="inlineStr">
        <is>
          <t>Kolay</t>
        </is>
      </c>
      <c r="F648" s="5" t="inlineStr"/>
      <c r="G648" s="6" t="inlineStr"/>
      <c r="H648" s="6" t="inlineStr">
        <is>
          <t>Fiyatı yuvarladın, bir de paspas koparttın. Esnaflık kanda var.</t>
        </is>
      </c>
      <c r="I648" s="6" t="inlineStr">
        <is>
          <t>Paspas, stepne ve satıcının güneş gözlüğü de pakete dahil oldu.</t>
        </is>
      </c>
      <c r="J648" s="6" t="inlineStr">
        <is>
          <t>Satıcı daha usta çıktı. Paspası ayrıca ödedin.</t>
        </is>
      </c>
      <c r="K648" s="6" t="inlineStr">
        <is>
          <t>Pazarlıkta satıcının dayısının da aynı arabayı sattığını öğrendin. Dayının arabası daha ucuzdu.</t>
        </is>
      </c>
      <c r="L648" s="6" t="inlineStr"/>
      <c r="M648" s="5" t="inlineStr"/>
      <c r="N648" s="5" t="inlineStr"/>
      <c r="O648" s="6" t="inlineStr"/>
      <c r="P648" s="6" t="inlineStr"/>
      <c r="Q648" s="5" t="inlineStr">
        <is>
          <t>Küçük Tüccar</t>
        </is>
      </c>
      <c r="R648" s="5" t="inlineStr"/>
      <c r="S648" s="5" t="inlineStr"/>
      <c r="T648" s="5" t="inlineStr"/>
      <c r="U648" s="5" t="inlineStr"/>
      <c r="V648" s="5" t="inlineStr">
        <is>
          <t>arabali</t>
        </is>
      </c>
      <c r="W648" s="5" t="inlineStr"/>
      <c r="X648" s="5" t="inlineStr"/>
      <c r="Y648" s="5" t="inlineStr"/>
      <c r="Z648" s="6" t="inlineStr"/>
      <c r="AA648" s="5" t="inlineStr"/>
      <c r="AB648" s="5" t="inlineStr"/>
      <c r="AC648" s="5" t="inlineStr"/>
      <c r="AD648" s="5" t="inlineStr"/>
      <c r="AE648" s="5" t="inlineStr"/>
      <c r="AF648" s="5" t="inlineStr"/>
      <c r="AG648" s="5" t="inlineStr"/>
      <c r="AH648" s="5" t="inlineStr"/>
    </row>
    <row r="649">
      <c r="A649" s="5" t="inlineStr">
        <is>
          <t>b7-ne-zaman-evleneceksin</t>
        </is>
      </c>
      <c r="B649" s="5" t="n">
        <v>1</v>
      </c>
      <c r="C649" s="6" t="inlineStr">
        <is>
          <t>'Görürüz' de, gülümse</t>
        </is>
      </c>
      <c r="D649" s="5" t="inlineStr"/>
      <c r="E649" s="5" t="inlineStr"/>
      <c r="F649" s="5" t="inlineStr">
        <is>
          <t>Dayanıklılık +1</t>
        </is>
      </c>
      <c r="G649" s="6" t="inlineStr">
        <is>
          <t>'Görürüz' dedin. On bir kez. Sonuncusunda sesin mekanikleşti.</t>
        </is>
      </c>
      <c r="H649" s="6" t="inlineStr"/>
      <c r="I649" s="6" t="inlineStr"/>
      <c r="J649" s="6" t="inlineStr"/>
      <c r="K649" s="6" t="inlineStr"/>
      <c r="L649" s="6" t="inlineStr"/>
      <c r="M649" s="5" t="inlineStr"/>
      <c r="N649" s="5" t="inlineStr"/>
      <c r="O649" s="6" t="inlineStr"/>
      <c r="P649" s="6" t="inlineStr"/>
      <c r="Q649" s="5" t="inlineStr"/>
      <c r="R649" s="5" t="inlineStr"/>
      <c r="S649" s="5" t="inlineStr"/>
      <c r="T649" s="5" t="inlineStr"/>
      <c r="U649" s="5" t="inlineStr"/>
      <c r="V649" s="5" t="inlineStr"/>
      <c r="W649" s="5" t="inlineStr"/>
      <c r="X649" s="5" t="inlineStr"/>
      <c r="Y649" s="5" t="inlineStr"/>
      <c r="Z649" s="6" t="inlineStr"/>
      <c r="AA649" s="5" t="inlineStr"/>
      <c r="AB649" s="5" t="inlineStr"/>
      <c r="AC649" s="5" t="inlineStr"/>
      <c r="AD649" s="5" t="inlineStr"/>
      <c r="AE649" s="5" t="inlineStr"/>
      <c r="AF649" s="5" t="inlineStr"/>
      <c r="AG649" s="5" t="inlineStr"/>
      <c r="AH649" s="5" t="inlineStr"/>
    </row>
    <row r="650">
      <c r="A650" s="5" t="inlineStr">
        <is>
          <t>b7-ne-zaman-evleneceksin</t>
        </is>
      </c>
      <c r="B650" s="5" t="n">
        <v>2</v>
      </c>
      <c r="C650" s="6" t="inlineStr">
        <is>
          <t>'Sizinki ne zaman boşanacak?' diye sor</t>
        </is>
      </c>
      <c r="D650" s="5" t="inlineStr">
        <is>
          <t>Pişkinlik</t>
        </is>
      </c>
      <c r="E650" s="5" t="inlineStr">
        <is>
          <t>Zor</t>
        </is>
      </c>
      <c r="F650" s="5" t="inlineStr"/>
      <c r="G650" s="6" t="inlineStr"/>
      <c r="H650" s="6" t="inlineStr">
        <is>
          <t>Masa bir an dondu, sonra güldü. O akşam kimse sana soru sormadı.</t>
        </is>
      </c>
      <c r="I650" s="6" t="inlineStr">
        <is>
          <t>Soruyu öyle zamanladın ki masa alkışladı. Aile içinde 'dili keskin' unvanını aldın.</t>
        </is>
      </c>
      <c r="J650" s="6" t="inlineStr">
        <is>
          <t>Kimse gülmedi. Teyze sadece 'Ay' dedi. 'Ay' dedi.</t>
        </is>
      </c>
      <c r="K650" s="6" t="inlineStr">
        <is>
          <t>Soruyu sorduğun çift gerçekten boşanıyormuş. Düğünün geri kalanı senin hakkında konuşuldu.</t>
        </is>
      </c>
      <c r="L650" s="6" t="inlineStr"/>
      <c r="M650" s="5" t="inlineStr"/>
      <c r="N650" s="5" t="inlineStr"/>
      <c r="O650" s="6" t="inlineStr"/>
      <c r="P650" s="6" t="inlineStr"/>
      <c r="Q650" s="5" t="inlineStr"/>
      <c r="R650" s="5" t="inlineStr"/>
      <c r="S650" s="5" t="inlineStr"/>
      <c r="T650" s="5" t="inlineStr"/>
      <c r="U650" s="5" t="inlineStr"/>
      <c r="V650" s="5" t="inlineStr"/>
      <c r="W650" s="5" t="inlineStr"/>
      <c r="X650" s="5" t="inlineStr"/>
      <c r="Y650" s="5" t="inlineStr"/>
      <c r="Z650" s="6" t="inlineStr"/>
      <c r="AA650" s="5" t="inlineStr"/>
      <c r="AB650" s="5" t="inlineStr"/>
      <c r="AC650" s="5" t="inlineStr"/>
      <c r="AD650" s="5" t="inlineStr"/>
      <c r="AE650" s="5" t="inlineStr"/>
      <c r="AF650" s="5" t="inlineStr"/>
      <c r="AG650" s="5" t="inlineStr"/>
      <c r="AH650" s="5" t="inlineStr"/>
    </row>
    <row r="651">
      <c r="A651" s="5" t="inlineStr">
        <is>
          <t>b7-ne-zaman-evleneceksin</t>
        </is>
      </c>
      <c r="B651" s="5" t="n">
        <v>3</v>
      </c>
      <c r="C651" s="6" t="inlineStr">
        <is>
          <t>Konuyu başka bir kuzene yönlendir</t>
        </is>
      </c>
      <c r="D651" s="5" t="inlineStr">
        <is>
          <t>Sosyal Radar</t>
        </is>
      </c>
      <c r="E651" s="5" t="inlineStr">
        <is>
          <t>Orta</t>
        </is>
      </c>
      <c r="F651" s="5" t="inlineStr"/>
      <c r="G651" s="6" t="inlineStr"/>
      <c r="H651" s="6" t="inlineStr">
        <is>
          <t>Kuzenin ev aldığını duyurdun. Bütün teyzeler o yöne döndü. Kuzenin seni hiç affetmeyecek.</t>
        </is>
      </c>
      <c r="I651" s="6" t="inlineStr">
        <is>
          <t>Konuyu öyle ustaca yönlendirdin ki masa iki saat kuzenin kariyerini tartıştı. Sen pastayı yedin.</t>
        </is>
      </c>
      <c r="J651" s="6" t="inlineStr">
        <is>
          <t>Yönlendirdiğin kuzen daha önce evlenmiş. Soru daha keskin olarak geri döndü.</t>
        </is>
      </c>
      <c r="K651" s="6" t="inlineStr">
        <is>
          <t>Kuzeni işaret ettin; kuzen seni işaret etti. Aile bir oylama yaptı. Sen kazandın. Yani kaybettin.</t>
        </is>
      </c>
      <c r="L651" s="6" t="inlineStr"/>
      <c r="M651" s="5" t="inlineStr"/>
      <c r="N651" s="5" t="inlineStr"/>
      <c r="O651" s="6" t="inlineStr"/>
      <c r="P651" s="6" t="inlineStr"/>
      <c r="Q651" s="5" t="inlineStr"/>
      <c r="R651" s="5" t="inlineStr"/>
      <c r="S651" s="5" t="inlineStr"/>
      <c r="T651" s="5" t="inlineStr"/>
      <c r="U651" s="5" t="inlineStr"/>
      <c r="V651" s="5" t="inlineStr"/>
      <c r="W651" s="5" t="inlineStr"/>
      <c r="X651" s="5" t="inlineStr"/>
      <c r="Y651" s="5" t="inlineStr"/>
      <c r="Z651" s="6" t="inlineStr"/>
      <c r="AA651" s="5" t="inlineStr"/>
      <c r="AB651" s="5" t="inlineStr"/>
      <c r="AC651" s="5" t="inlineStr"/>
      <c r="AD651" s="5" t="inlineStr"/>
      <c r="AE651" s="5" t="inlineStr"/>
      <c r="AF651" s="5" t="inlineStr"/>
      <c r="AG651" s="5" t="inlineStr"/>
      <c r="AH651" s="5" t="inlineStr"/>
    </row>
    <row r="652">
      <c r="A652" s="5" t="inlineStr">
        <is>
          <t>b7-flort-uygulamasi</t>
        </is>
      </c>
      <c r="B652" s="5" t="n">
        <v>1</v>
      </c>
      <c r="C652" s="6" t="inlineStr">
        <is>
          <t>Uygulamayı sil</t>
        </is>
      </c>
      <c r="D652" s="5" t="inlineStr"/>
      <c r="E652" s="5" t="inlineStr"/>
      <c r="F652" s="5" t="inlineStr">
        <is>
          <t>İtibar +1, Dayanıklılık +1</t>
        </is>
      </c>
      <c r="G652" s="6" t="inlineStr">
        <is>
          <t>Uygulamayı sildin. Telefon hafifledi. Kalp aynı ağırlıkta.</t>
        </is>
      </c>
      <c r="H652" s="6" t="inlineStr"/>
      <c r="I652" s="6" t="inlineStr"/>
      <c r="J652" s="6" t="inlineStr"/>
      <c r="K652" s="6" t="inlineStr"/>
      <c r="L652" s="6" t="inlineStr"/>
      <c r="M652" s="5" t="inlineStr"/>
      <c r="N652" s="5" t="inlineStr"/>
      <c r="O652" s="6" t="inlineStr"/>
      <c r="P652" s="6" t="inlineStr"/>
      <c r="Q652" s="5" t="inlineStr"/>
      <c r="R652" s="5" t="inlineStr"/>
      <c r="S652" s="5" t="inlineStr"/>
      <c r="T652" s="5" t="inlineStr"/>
      <c r="U652" s="5" t="inlineStr">
        <is>
          <t>flort-emeklisi</t>
        </is>
      </c>
      <c r="V652" s="5" t="inlineStr"/>
      <c r="W652" s="5" t="inlineStr"/>
      <c r="X652" s="5" t="inlineStr"/>
      <c r="Y652" s="5" t="inlineStr"/>
      <c r="Z652" s="6" t="inlineStr"/>
      <c r="AA652" s="5" t="inlineStr"/>
      <c r="AB652" s="5" t="inlineStr"/>
      <c r="AC652" s="5" t="inlineStr"/>
      <c r="AD652" s="5" t="inlineStr"/>
      <c r="AE652" s="5" t="inlineStr"/>
      <c r="AF652" s="5" t="inlineStr"/>
      <c r="AG652" s="5" t="inlineStr"/>
      <c r="AH652" s="5" t="inlineStr"/>
    </row>
    <row r="653">
      <c r="A653" s="5" t="inlineStr">
        <is>
          <t>b7-flort-uygulamasi</t>
        </is>
      </c>
      <c r="B653" s="5" t="n">
        <v>2</v>
      </c>
      <c r="C653" s="6" t="inlineStr">
        <is>
          <t>Özgün bir ilk mesaj yaz</t>
        </is>
      </c>
      <c r="D653" s="5" t="inlineStr">
        <is>
          <t>Çene</t>
        </is>
      </c>
      <c r="E653" s="5" t="inlineStr">
        <is>
          <t>Orta</t>
        </is>
      </c>
      <c r="F653" s="5" t="inlineStr"/>
      <c r="G653" s="6" t="inlineStr"/>
      <c r="H653" s="6" t="inlineStr">
        <is>
          <t>İlk mesajın cevap aldı. İkincisi de. Tarih yazılıyor.</t>
        </is>
      </c>
      <c r="I653" s="6" t="inlineStr">
        <is>
          <t>Mesajın öyle iyiydi ki karşı taraf ekran görüntüsü alıp arkadaşlarına göndermiş. Olumlu anlamda.</t>
        </is>
      </c>
      <c r="J653" s="6" t="inlineStr">
        <is>
          <t>Mesajın 'Merhaba :)' ile cevaplandı. Özgünlük tek taraflı kaldı.</t>
        </is>
      </c>
      <c r="K653" s="6" t="inlineStr">
        <is>
          <t>Özgün mesajı yanlışlıkla iş arkadaşına gönderdin. Kendisi de uygulamadaymış. Pazartesi toplantısı uzun sürdü.</t>
        </is>
      </c>
      <c r="L653" s="6" t="inlineStr"/>
      <c r="M653" s="5" t="inlineStr"/>
      <c r="N653" s="5" t="inlineStr"/>
      <c r="O653" s="6" t="inlineStr"/>
      <c r="P653" s="6" t="inlineStr"/>
      <c r="Q653" s="5" t="inlineStr"/>
      <c r="R653" s="5" t="inlineStr"/>
      <c r="S653" s="5" t="inlineStr"/>
      <c r="T653" s="5" t="inlineStr"/>
      <c r="U653" s="5" t="inlineStr"/>
      <c r="V653" s="5" t="inlineStr"/>
      <c r="W653" s="5" t="inlineStr"/>
      <c r="X653" s="5" t="inlineStr"/>
      <c r="Y653" s="5" t="inlineStr"/>
      <c r="Z653" s="6" t="inlineStr"/>
      <c r="AA653" s="5" t="inlineStr"/>
      <c r="AB653" s="5" t="inlineStr"/>
      <c r="AC653" s="5" t="inlineStr"/>
      <c r="AD653" s="5" t="inlineStr"/>
      <c r="AE653" s="5" t="inlineStr"/>
      <c r="AF653" s="5" t="inlineStr"/>
      <c r="AG653" s="5" t="inlineStr"/>
      <c r="AH653" s="5" t="inlineStr"/>
    </row>
    <row r="654">
      <c r="A654" s="5" t="inlineStr">
        <is>
          <t>b7-flort-uygulamasi</t>
        </is>
      </c>
      <c r="B654" s="5" t="n">
        <v>3</v>
      </c>
      <c r="C654" s="6" t="inlineStr">
        <is>
          <t>Hızlıca kaydır, istatistik oyununu oyna</t>
        </is>
      </c>
      <c r="D654" s="5" t="inlineStr">
        <is>
          <t>Dayanıklılık</t>
        </is>
      </c>
      <c r="E654" s="5" t="inlineStr">
        <is>
          <t>Kolay</t>
        </is>
      </c>
      <c r="F654" s="5" t="inlineStr"/>
      <c r="G654" s="6" t="inlineStr"/>
      <c r="H654" s="6" t="inlineStr">
        <is>
          <t>Bir eşleşme oldu. Buluşmanın ilk on dakikası iyi, kalanı fena değildi.</t>
        </is>
      </c>
      <c r="I654" s="6" t="inlineStr">
        <is>
          <t>Eşleştiğin kişiyle ortak arkadaşınız çıktı; ilk buluşma bir doğum gününde gerçekleşti. Hikâyeniz resmen 'tanıştırıldık'.</t>
        </is>
      </c>
      <c r="J654" s="6" t="inlineStr">
        <is>
          <t>Yüz kez kaydırdın. Başparmağında yeni bir kas gelişti. Kalbinde değil.</t>
        </is>
      </c>
      <c r="K654" s="6" t="inlineStr">
        <is>
          <t>Kaydırırken annenin arkadaşının kızına kalp attın. Anne haberi seninle aynı anda aldı.</t>
        </is>
      </c>
      <c r="L654" s="6" t="inlineStr"/>
      <c r="M654" s="5" t="inlineStr"/>
      <c r="N654" s="5" t="inlineStr"/>
      <c r="O654" s="6" t="inlineStr"/>
      <c r="P654" s="6" t="inlineStr"/>
      <c r="Q654" s="5" t="inlineStr"/>
      <c r="R654" s="5" t="inlineStr"/>
      <c r="S654" s="5" t="inlineStr"/>
      <c r="T654" s="5" t="inlineStr"/>
      <c r="U654" s="5" t="inlineStr"/>
      <c r="V654" s="5" t="inlineStr"/>
      <c r="W654" s="5" t="inlineStr"/>
      <c r="X654" s="5" t="inlineStr"/>
      <c r="Y654" s="5" t="inlineStr"/>
      <c r="Z654" s="6" t="inlineStr"/>
      <c r="AA654" s="5" t="inlineStr"/>
      <c r="AB654" s="5" t="inlineStr"/>
      <c r="AC654" s="5" t="inlineStr"/>
      <c r="AD654" s="5" t="inlineStr"/>
      <c r="AE654" s="5" t="inlineStr"/>
      <c r="AF654" s="5" t="inlineStr"/>
      <c r="AG654" s="5" t="inlineStr"/>
      <c r="AH654" s="5" t="inlineStr"/>
    </row>
    <row r="655">
      <c r="A655" s="5" t="inlineStr">
        <is>
          <t>b7-flort-uygulamasi</t>
        </is>
      </c>
      <c r="B655" s="5" t="n">
        <v>4</v>
      </c>
      <c r="C655" s="6" t="inlineStr">
        <is>
          <t>Profilini fenomen kimliğinle güncelle</t>
        </is>
      </c>
      <c r="D655" s="5" t="inlineStr">
        <is>
          <t>Pişkinlik</t>
        </is>
      </c>
      <c r="E655" s="5" t="inlineStr">
        <is>
          <t>Kolay</t>
        </is>
      </c>
      <c r="F655" s="5" t="inlineStr"/>
      <c r="G655" s="6" t="inlineStr"/>
      <c r="H655" s="6" t="inlineStr">
        <is>
          <t>Takipçi sayını gören herkes yazdı. Hepsi reklam işbirliği istiyordu ama olsun.</t>
        </is>
      </c>
      <c r="I655" s="6" t="inlineStr">
        <is>
          <t>Bir eşleşme hem seni hem içeriğini sevdi. İlk buluşmayı çekmek için izin istedi, verdin.</t>
        </is>
      </c>
      <c r="J655" s="6" t="inlineStr">
        <is>
          <t>Profilin ilgi gördü, sen görmedin. Herkes seni 'o videodaki kişi' diye tanıyor.</t>
        </is>
      </c>
      <c r="K655" s="6" t="inlineStr">
        <is>
          <t>Uygulama hesabını 'sahte ünlü profili' diye kapattı. Gerçek olduğunu kanıtlamak için kimlik yüklemen istendi.</t>
        </is>
      </c>
      <c r="L655" s="6" t="inlineStr"/>
      <c r="M655" s="5" t="inlineStr"/>
      <c r="N655" s="5" t="inlineStr"/>
      <c r="O655" s="6" t="inlineStr"/>
      <c r="P655" s="6" t="inlineStr"/>
      <c r="Q655" s="5" t="inlineStr"/>
      <c r="R655" s="5" t="inlineStr">
        <is>
          <t>fenomen</t>
        </is>
      </c>
      <c r="S655" s="5" t="inlineStr"/>
      <c r="T655" s="5" t="inlineStr"/>
      <c r="U655" s="5" t="inlineStr"/>
      <c r="V655" s="5" t="inlineStr"/>
      <c r="W655" s="5" t="inlineStr"/>
      <c r="X655" s="5" t="inlineStr"/>
      <c r="Y655" s="5" t="inlineStr"/>
      <c r="Z655" s="6" t="inlineStr"/>
      <c r="AA655" s="5" t="inlineStr"/>
      <c r="AB655" s="5" t="inlineStr"/>
      <c r="AC655" s="5" t="inlineStr"/>
      <c r="AD655" s="5" t="inlineStr"/>
      <c r="AE655" s="5" t="inlineStr"/>
      <c r="AF655" s="5" t="inlineStr"/>
      <c r="AG655" s="5" t="inlineStr"/>
      <c r="AH655" s="5" t="inlineStr"/>
    </row>
    <row r="656">
      <c r="A656" s="5" t="inlineStr">
        <is>
          <t>b7-evlilik-karari</t>
        </is>
      </c>
      <c r="B656" s="5" t="n">
        <v>1</v>
      </c>
      <c r="C656" s="6" t="inlineStr">
        <is>
          <t>Sevdiğin kişiye evlenme teklif et</t>
        </is>
      </c>
      <c r="D656" s="5" t="inlineStr">
        <is>
          <t>Cesaret</t>
        </is>
      </c>
      <c r="E656" s="5" t="inlineStr">
        <is>
          <t>Orta</t>
        </is>
      </c>
      <c r="F656" s="5" t="inlineStr"/>
      <c r="G656" s="6" t="inlineStr"/>
      <c r="H656" s="6" t="inlineStr">
        <is>
          <t>Yüzüğü tatlının içine sakladın; neyse ki önce sen fark ettin. “Evet” dedi. Ertesi hafta tuzlu kahve seni bekliyor.</t>
        </is>
      </c>
      <c r="I656" s="6" t="inlineStr">
        <is>
          <t>Teklifi öyle bir kurdun ki garsonlar ağladı, yan masa alkışladı, “Evet” cevabı alkışların arasında kayboldu. Tekrar sordun; yine evet.</t>
        </is>
      </c>
      <c r="J656" s="6" t="inlineStr">
        <is>
          <t>Teklifi prova ettin, cesaretin provada kaldı. Tatlı geldi, yendi, yüzük cebinde eve döndü.</t>
        </is>
      </c>
      <c r="K656" s="6" t="inlineStr">
        <is>
          <t>Yüzüğü dizüstü çöktüğün anda düşürdün; ızgaranın arasından kanala gitti. Cevabı öğrenemedin; kanalın da yüzüğü hâlâ.</t>
        </is>
      </c>
      <c r="L656" s="6" t="inlineStr"/>
      <c r="M656" s="5" t="inlineStr"/>
      <c r="N656" s="5" t="inlineStr"/>
      <c r="O656" s="6" t="inlineStr"/>
      <c r="P656" s="6" t="inlineStr"/>
      <c r="Q656" s="5" t="inlineStr"/>
      <c r="R656" s="5" t="inlineStr"/>
      <c r="S656" s="5" t="inlineStr"/>
      <c r="T656" s="5" t="inlineStr"/>
      <c r="U656" s="5" t="inlineStr"/>
      <c r="V656" s="5" t="inlineStr">
        <is>
          <t>evli, ask-evliligi, -evde-kaldi</t>
        </is>
      </c>
      <c r="W656" s="5" t="inlineStr"/>
      <c r="X656" s="5" t="inlineStr"/>
      <c r="Y656" s="5" t="inlineStr"/>
      <c r="Z656" s="6" t="inlineStr"/>
      <c r="AA656" s="5" t="inlineStr">
        <is>
          <t>Şen +1, Yalçın +1</t>
        </is>
      </c>
      <c r="AB656" s="5" t="inlineStr">
        <is>
          <t>bekar</t>
        </is>
      </c>
      <c r="AC656" s="5" t="inlineStr"/>
      <c r="AD656" s="5" t="inlineStr"/>
      <c r="AE656" s="5" t="inlineStr"/>
      <c r="AF656" s="5" t="inlineStr"/>
      <c r="AG656" s="5" t="inlineStr"/>
      <c r="AH656" s="5" t="inlineStr"/>
    </row>
    <row r="657">
      <c r="A657" s="5" t="inlineStr">
        <is>
          <t>b7-evlilik-karari</t>
        </is>
      </c>
      <c r="B657" s="5" t="n">
        <v>2</v>
      </c>
      <c r="C657" s="6" t="inlineStr">
        <is>
          <t>Lisedeki ilk aşkını ara</t>
        </is>
      </c>
      <c r="D657" s="5" t="inlineStr">
        <is>
          <t>Sosyal Radar</t>
        </is>
      </c>
      <c r="E657" s="5" t="inlineStr">
        <is>
          <t>Orta</t>
        </is>
      </c>
      <c r="F657" s="5" t="inlineStr"/>
      <c r="G657" s="6" t="inlineStr"/>
      <c r="H657" s="6" t="inlineStr">
        <is>
          <t>On beş yıl sonra aradın. “Ben de seni arayacaktım” dedi. İkiniz de yalan söylüyordunuz; ikiniz de mutluydunuz.</t>
        </is>
      </c>
      <c r="I657" s="6" t="inlineStr">
        <is>
          <t>Buluştunuz, aynı parka gittiniz, aynı bank hâlâ oradaydı. Bankın üstüne ikinizin adını kazıyan biri olmuş; siz değildiniz, ama saydınız.</t>
        </is>
      </c>
      <c r="J657" s="6" t="inlineStr">
        <is>
          <t>Aradın; numara bir kargo firmasının deposuna aitmiş. Depo sorumlusu çok anlayışlıydı.</t>
        </is>
      </c>
      <c r="K657" s="6" t="inlineStr">
        <is>
          <t>Aradın, eşi açtı. Kısa, kibar ve çok uzun gelen bir konuşma oldu.</t>
        </is>
      </c>
      <c r="L657" s="6" t="inlineStr"/>
      <c r="M657" s="5" t="inlineStr"/>
      <c r="N657" s="5" t="inlineStr"/>
      <c r="O657" s="6" t="inlineStr"/>
      <c r="P657" s="6" t="inlineStr"/>
      <c r="Q657" s="5" t="inlineStr"/>
      <c r="R657" s="5" t="inlineStr">
        <is>
          <t>ilk-sevgili</t>
        </is>
      </c>
      <c r="S657" s="5" t="inlineStr"/>
      <c r="T657" s="5" t="inlineStr"/>
      <c r="U657" s="5" t="inlineStr"/>
      <c r="V657" s="5" t="inlineStr">
        <is>
          <t>evli, ask-evliligi, -evde-kaldi</t>
        </is>
      </c>
      <c r="W657" s="5" t="inlineStr"/>
      <c r="X657" s="5" t="inlineStr"/>
      <c r="Y657" s="5" t="inlineStr"/>
      <c r="Z657" s="6" t="inlineStr"/>
      <c r="AA657" s="5" t="inlineStr"/>
      <c r="AB657" s="5" t="inlineStr">
        <is>
          <t>bekar</t>
        </is>
      </c>
      <c r="AC657" s="5" t="inlineStr"/>
      <c r="AD657" s="5" t="inlineStr"/>
      <c r="AE657" s="5" t="inlineStr"/>
      <c r="AF657" s="5" t="inlineStr"/>
      <c r="AG657" s="5" t="inlineStr"/>
      <c r="AH657" s="5" t="inlineStr"/>
    </row>
    <row r="658">
      <c r="A658" s="5" t="inlineStr">
        <is>
          <t>b7-evlilik-karari</t>
        </is>
      </c>
      <c r="B658" s="5" t="n">
        <v>3</v>
      </c>
      <c r="C658" s="6" t="inlineStr">
        <is>
          <t>Annene “Sadece bir kahve” de</t>
        </is>
      </c>
      <c r="D658" s="5" t="inlineStr"/>
      <c r="E658" s="5" t="inlineStr"/>
      <c r="F658" s="5" t="inlineStr">
        <is>
          <t>İtibar +1, Sosyal Radar +1</t>
        </is>
      </c>
      <c r="G658" s="6" t="inlineStr">
        <is>
          <t>Annen o akşam üç telefon açtı. Kahve bir cumartesi içildi; ikinci kahve de, üçüncü de. Bir yıl sonra kahveyi düğün salonunda içiyordun.</t>
        </is>
      </c>
      <c r="H658" s="6" t="inlineStr"/>
      <c r="I658" s="6" t="inlineStr"/>
      <c r="J658" s="6" t="inlineStr"/>
      <c r="K658" s="6" t="inlineStr"/>
      <c r="L658" s="6" t="inlineStr"/>
      <c r="M658" s="5" t="inlineStr"/>
      <c r="N658" s="5" t="inlineStr"/>
      <c r="O658" s="6" t="inlineStr"/>
      <c r="P658" s="6" t="inlineStr"/>
      <c r="Q658" s="5" t="inlineStr"/>
      <c r="R658" s="5" t="inlineStr"/>
      <c r="S658" s="5" t="inlineStr"/>
      <c r="T658" s="5" t="inlineStr"/>
      <c r="U658" s="5" t="inlineStr">
        <is>
          <t>evli, gorucu, -evde-kaldi</t>
        </is>
      </c>
      <c r="V658" s="5" t="inlineStr"/>
      <c r="W658" s="5" t="inlineStr"/>
      <c r="X658" s="5" t="inlineStr"/>
      <c r="Y658" s="5" t="inlineStr"/>
      <c r="Z658" s="6" t="inlineStr"/>
      <c r="AA658" s="5" t="inlineStr">
        <is>
          <t>Şen +1, Yalçın +1, Erdem +1, Varlı -1</t>
        </is>
      </c>
      <c r="AB658" s="5" t="inlineStr"/>
      <c r="AC658" s="5" t="inlineStr"/>
      <c r="AD658" s="5" t="inlineStr"/>
      <c r="AE658" s="5" t="inlineStr"/>
      <c r="AF658" s="5" t="inlineStr"/>
      <c r="AG658" s="5" t="inlineStr"/>
      <c r="AH658" s="5" t="inlineStr"/>
    </row>
    <row r="659">
      <c r="A659" s="5" t="inlineStr">
        <is>
          <t>b7-evlilik-karari</t>
        </is>
      </c>
      <c r="B659" s="5" t="n">
        <v>4</v>
      </c>
      <c r="C659" s="6" t="inlineStr">
        <is>
          <t>Bekâr kalacağını ilan et</t>
        </is>
      </c>
      <c r="D659" s="5" t="inlineStr"/>
      <c r="E659" s="5" t="inlineStr"/>
      <c r="F659" s="5" t="inlineStr">
        <is>
          <t>Cesaret +1, Dayanıklılık +1</t>
        </is>
      </c>
      <c r="G659" s="6" t="inlineStr">
        <is>
          <t>Dolmayı yedin ve “Evlenmeyeceğim” dedin. Sofra sustu. Teyzen dolmayı geri aldı. O günden beri her bayram “Hayırlısı” kelimesinin yüz farklı tonunu dinliyorsun.</t>
        </is>
      </c>
      <c r="H659" s="6" t="inlineStr"/>
      <c r="I659" s="6" t="inlineStr"/>
      <c r="J659" s="6" t="inlineStr"/>
      <c r="K659" s="6" t="inlineStr"/>
      <c r="L659" s="6" t="inlineStr"/>
      <c r="M659" s="5" t="inlineStr"/>
      <c r="N659" s="5" t="inlineStr"/>
      <c r="O659" s="6" t="inlineStr"/>
      <c r="P659" s="6" t="inlineStr"/>
      <c r="Q659" s="5" t="inlineStr"/>
      <c r="R659" s="5" t="inlineStr"/>
      <c r="S659" s="5" t="inlineStr"/>
      <c r="T659" s="5" t="inlineStr"/>
      <c r="U659" s="5" t="inlineStr">
        <is>
          <t>bekar</t>
        </is>
      </c>
      <c r="V659" s="5" t="inlineStr"/>
      <c r="W659" s="5" t="inlineStr"/>
      <c r="X659" s="5" t="inlineStr"/>
      <c r="Y659" s="5" t="inlineStr"/>
      <c r="Z659" s="6" t="inlineStr"/>
      <c r="AA659" s="5" t="inlineStr">
        <is>
          <t>Şen -1, Yalçın -1</t>
        </is>
      </c>
      <c r="AB659" s="5" t="inlineStr"/>
      <c r="AC659" s="5" t="inlineStr"/>
      <c r="AD659" s="5" t="inlineStr"/>
      <c r="AE659" s="5" t="inlineStr"/>
      <c r="AF659" s="5" t="inlineStr"/>
      <c r="AG659" s="5" t="inlineStr"/>
      <c r="AH659" s="5" t="inlineStr"/>
    </row>
    <row r="660">
      <c r="A660" s="5" t="inlineStr">
        <is>
          <t>b7-evlilik-karari</t>
        </is>
      </c>
      <c r="B660" s="5" t="n">
        <v>5</v>
      </c>
      <c r="C660" s="6" t="inlineStr">
        <is>
          <t>“Bakarız” de, bakmaya devam et</t>
        </is>
      </c>
      <c r="D660" s="5" t="inlineStr"/>
      <c r="E660" s="5" t="inlineStr"/>
      <c r="F660" s="5" t="inlineStr">
        <is>
          <t>Pişkinlik +1, Sosyal Radar +1</t>
        </is>
      </c>
      <c r="G660" s="6" t="inlineStr">
        <is>
          <t>“Bakarız” dedin. O akşamdan sonra telefonunda üç ayrı isimle buluşma planı, bir restoranda da üç ayrı akşam rezervasyonun var. Garson seni tanıyor; isimleri karıştırmıyor, sen karıştırıyorsun.</t>
        </is>
      </c>
      <c r="H660" s="6" t="inlineStr"/>
      <c r="I660" s="6" t="inlineStr"/>
      <c r="J660" s="6" t="inlineStr"/>
      <c r="K660" s="6" t="inlineStr"/>
      <c r="L660" s="6" t="inlineStr"/>
      <c r="M660" s="5" t="inlineStr"/>
      <c r="N660" s="5" t="inlineStr"/>
      <c r="O660" s="6" t="inlineStr"/>
      <c r="P660" s="6" t="inlineStr"/>
      <c r="Q660" s="5" t="inlineStr"/>
      <c r="R660" s="5" t="inlineStr">
        <is>
          <t>ilk-sevgili</t>
        </is>
      </c>
      <c r="S660" s="5" t="inlineStr"/>
      <c r="T660" s="5" t="inlineStr"/>
      <c r="U660" s="5" t="inlineStr">
        <is>
          <t>capkin</t>
        </is>
      </c>
      <c r="V660" s="5" t="inlineStr"/>
      <c r="W660" s="5" t="inlineStr"/>
      <c r="X660" s="5" t="inlineStr"/>
      <c r="Y660" s="5" t="inlineStr"/>
      <c r="Z660" s="6" t="inlineStr"/>
      <c r="AA660" s="5" t="inlineStr">
        <is>
          <t>Şen -1, Yalçın -1, Erdem -1</t>
        </is>
      </c>
      <c r="AB660" s="5" t="inlineStr"/>
      <c r="AC660" s="5" t="inlineStr"/>
      <c r="AD660" s="5" t="inlineStr"/>
      <c r="AE660" s="5" t="inlineStr"/>
      <c r="AF660" s="5" t="inlineStr"/>
      <c r="AG660" s="5" t="inlineStr"/>
      <c r="AH660" s="5" t="inlineStr"/>
    </row>
    <row r="661">
      <c r="A661" s="5" t="inlineStr">
        <is>
          <t>mb-performans-karti</t>
        </is>
      </c>
      <c r="B661" s="5" t="n">
        <v>1</v>
      </c>
      <c r="C661" s="6" t="inlineStr">
        <is>
          <t>Başını salla, imzala</t>
        </is>
      </c>
      <c r="D661" s="5" t="inlineStr"/>
      <c r="E661" s="5" t="inlineStr"/>
      <c r="F661" s="5" t="inlineStr">
        <is>
          <t>Dayanıklılık +1</t>
        </is>
      </c>
      <c r="G661" s="6" t="inlineStr">
        <is>
          <t>'Beklentileri karşılıyor' aldın. Beklentilerin ne olduğu gizli kalmaya devam ediyor.</t>
        </is>
      </c>
      <c r="H661" s="6" t="inlineStr"/>
      <c r="I661" s="6" t="inlineStr"/>
      <c r="J661" s="6" t="inlineStr"/>
      <c r="K661" s="6" t="inlineStr"/>
      <c r="L661" s="6" t="inlineStr"/>
      <c r="M661" s="5" t="inlineStr"/>
      <c r="N661" s="5" t="inlineStr"/>
      <c r="O661" s="6" t="inlineStr"/>
      <c r="P661" s="6" t="inlineStr"/>
      <c r="Q661" s="5" t="inlineStr"/>
      <c r="R661" s="5" t="inlineStr"/>
      <c r="S661" s="5" t="inlineStr"/>
      <c r="T661" s="5" t="inlineStr"/>
      <c r="U661" s="5" t="inlineStr"/>
      <c r="V661" s="5" t="inlineStr"/>
      <c r="W661" s="5" t="inlineStr"/>
      <c r="X661" s="5" t="inlineStr"/>
      <c r="Y661" s="5" t="inlineStr"/>
      <c r="Z661" s="6" t="inlineStr"/>
      <c r="AA661" s="5" t="inlineStr"/>
      <c r="AB661" s="5" t="inlineStr"/>
      <c r="AC661" s="5" t="inlineStr"/>
      <c r="AD661" s="5" t="inlineStr"/>
      <c r="AE661" s="5" t="inlineStr"/>
      <c r="AF661" s="5" t="inlineStr"/>
      <c r="AG661" s="5" t="inlineStr"/>
      <c r="AH661" s="5" t="inlineStr"/>
    </row>
    <row r="662">
      <c r="A662" s="5" t="inlineStr">
        <is>
          <t>mb-performans-karti</t>
        </is>
      </c>
      <c r="B662" s="5" t="n">
        <v>2</v>
      </c>
      <c r="C662" s="6" t="inlineStr">
        <is>
          <t>Başarılarını anlat</t>
        </is>
      </c>
      <c r="D662" s="5" t="inlineStr">
        <is>
          <t>Çene</t>
        </is>
      </c>
      <c r="E662" s="5" t="inlineStr">
        <is>
          <t>Zor</t>
        </is>
      </c>
      <c r="F662" s="5" t="inlineStr"/>
      <c r="G662" s="6" t="inlineStr"/>
      <c r="H662" s="6" t="inlineStr">
        <is>
          <t>Yaptıklarını anlattın, yapmadıklarını da iyi anlattın. Not: 'Beklentilerin üstünde.'</t>
        </is>
      </c>
      <c r="I662" s="6" t="inlineStr">
        <is>
          <t>Öyle anlattın ki yöneticin kendi raporuna senin cümlelerini kopyaladı.</t>
        </is>
      </c>
      <c r="J662" s="6" t="inlineStr">
        <is>
          <t>Anlattın; yöneticin 'Bunlar zaten işin' dedi.</t>
        </is>
      </c>
      <c r="K662" s="6" t="inlineStr">
        <is>
          <t>Başarılarını sayarken ekip arkadaşının projesini de saydın. Ekip arkadaşın da toplantıdaydı.</t>
        </is>
      </c>
      <c r="L662" s="6" t="inlineStr"/>
      <c r="M662" s="5" t="inlineStr"/>
      <c r="N662" s="5" t="inlineStr"/>
      <c r="O662" s="6" t="inlineStr"/>
      <c r="P662" s="6" t="inlineStr"/>
      <c r="Q662" s="5" t="inlineStr"/>
      <c r="R662" s="5" t="inlineStr"/>
      <c r="S662" s="5" t="inlineStr"/>
      <c r="T662" s="5" t="inlineStr">
        <is>
          <t>Sözünü Geçirir</t>
        </is>
      </c>
      <c r="U662" s="5" t="inlineStr"/>
      <c r="V662" s="5" t="inlineStr"/>
      <c r="W662" s="5" t="inlineStr"/>
      <c r="X662" s="5" t="inlineStr"/>
      <c r="Y662" s="5" t="inlineStr"/>
      <c r="Z662" s="6" t="inlineStr"/>
      <c r="AA662" s="5" t="inlineStr"/>
      <c r="AB662" s="5" t="inlineStr"/>
      <c r="AC662" s="5" t="inlineStr"/>
      <c r="AD662" s="5" t="inlineStr"/>
      <c r="AE662" s="5" t="inlineStr"/>
      <c r="AF662" s="5" t="inlineStr"/>
      <c r="AG662" s="5" t="inlineStr"/>
      <c r="AH662" s="5" t="inlineStr"/>
    </row>
    <row r="663">
      <c r="A663" s="5" t="inlineStr">
        <is>
          <t>mb-performans-karti</t>
        </is>
      </c>
      <c r="B663" s="5" t="n">
        <v>3</v>
      </c>
      <c r="C663" s="6" t="inlineStr">
        <is>
          <t>'Notlar önceden girilmiş, değil mi?' de</t>
        </is>
      </c>
      <c r="D663" s="5" t="inlineStr">
        <is>
          <t>Pişkinlik</t>
        </is>
      </c>
      <c r="E663" s="5" t="inlineStr">
        <is>
          <t>Orta</t>
        </is>
      </c>
      <c r="F663" s="5" t="inlineStr"/>
      <c r="G663" s="6" t="inlineStr"/>
      <c r="H663" s="6" t="inlineStr">
        <is>
          <t>Yöneticin güldü, ekranı sana çevirdi. Birlikte bir puan yükselttiniz.</t>
        </is>
      </c>
      <c r="I663" s="6" t="inlineStr">
        <is>
          <t>Açık sözlülüğün 'şeffaflık yetkinliği' başlığında ayrıca puanlandı.</t>
        </is>
      </c>
      <c r="J663" s="6" t="inlineStr">
        <is>
          <t>Yöneticin 'Ne alakası var?' deyip ekranı kapattı. Çok hızlı kapattı.</t>
        </is>
      </c>
      <c r="K663" s="6" t="inlineStr">
        <is>
          <t>Evet, girilmiş. Şimdi bir de 'tutum' başlığı eklendi.</t>
        </is>
      </c>
      <c r="L663" s="6" t="inlineStr"/>
      <c r="M663" s="5" t="inlineStr"/>
      <c r="N663" s="5" t="inlineStr"/>
      <c r="O663" s="6" t="inlineStr"/>
      <c r="P663" s="6" t="inlineStr"/>
      <c r="Q663" s="5" t="inlineStr"/>
      <c r="R663" s="5" t="inlineStr"/>
      <c r="S663" s="5" t="inlineStr">
        <is>
          <t>Sosyal Radar</t>
        </is>
      </c>
      <c r="T663" s="5" t="inlineStr"/>
      <c r="U663" s="5" t="inlineStr"/>
      <c r="V663" s="5" t="inlineStr"/>
      <c r="W663" s="5" t="inlineStr"/>
      <c r="X663" s="5" t="inlineStr"/>
      <c r="Y663" s="5" t="inlineStr"/>
      <c r="Z663" s="6" t="inlineStr"/>
      <c r="AA663" s="5" t="inlineStr"/>
      <c r="AB663" s="5" t="inlineStr"/>
      <c r="AC663" s="5" t="inlineStr"/>
      <c r="AD663" s="5" t="inlineStr"/>
      <c r="AE663" s="5" t="inlineStr"/>
      <c r="AF663" s="5" t="inlineStr"/>
      <c r="AG663" s="5" t="inlineStr"/>
      <c r="AH663" s="5" t="inlineStr"/>
    </row>
    <row r="664">
      <c r="A664" s="5" t="inlineStr">
        <is>
          <t>mb-performans-karti</t>
        </is>
      </c>
      <c r="B664" s="5" t="n">
        <v>4</v>
      </c>
      <c r="C664" s="6" t="inlineStr">
        <is>
          <t>Kendine 5 üzerinden 5 ver</t>
        </is>
      </c>
      <c r="D664" s="5" t="inlineStr">
        <is>
          <t>Pişkinlik</t>
        </is>
      </c>
      <c r="E664" s="5" t="inlineStr">
        <is>
          <t>Kolay</t>
        </is>
      </c>
      <c r="F664" s="5" t="inlineStr"/>
      <c r="G664" s="6" t="inlineStr"/>
      <c r="H664" s="6" t="inlineStr">
        <is>
          <t>Kendine tam puan verdin. Sistem bunu 'özgüven' olarak kaydetti.</t>
        </is>
      </c>
      <c r="I664" s="6" t="inlineStr">
        <is>
          <t>Kendine 5 verdin; yöneticin itiraz edecek enerjiyi bulamadı. Tarihî bir gün.</t>
        </is>
      </c>
      <c r="J664" s="6" t="inlineStr">
        <is>
          <t>Sen 5 verdin, yöneticin 2 verdi. Ortalama: kurumsal gerçeklik.</t>
        </is>
      </c>
      <c r="K664" s="6" t="inlineStr">
        <is>
          <t>Öz değerlendirme formun yanlışlıkla bütün kata gönderildi. 'Liderlik: 5/5.' Kat bunu okudu.</t>
        </is>
      </c>
      <c r="L664" s="6" t="inlineStr"/>
      <c r="M664" s="5" t="inlineStr"/>
      <c r="N664" s="5" t="inlineStr"/>
      <c r="O664" s="6" t="inlineStr"/>
      <c r="P664" s="6" t="inlineStr"/>
      <c r="Q664" s="5" t="inlineStr">
        <is>
          <t>Yüzü Kızarmaz</t>
        </is>
      </c>
      <c r="R664" s="5" t="inlineStr"/>
      <c r="S664" s="5" t="inlineStr"/>
      <c r="T664" s="5" t="inlineStr"/>
      <c r="U664" s="5" t="inlineStr"/>
      <c r="V664" s="5" t="inlineStr"/>
      <c r="W664" s="5" t="inlineStr"/>
      <c r="X664" s="5" t="inlineStr"/>
      <c r="Y664" s="5" t="inlineStr"/>
      <c r="Z664" s="6" t="inlineStr"/>
      <c r="AA664" s="5" t="inlineStr"/>
      <c r="AB664" s="5" t="inlineStr"/>
      <c r="AC664" s="5" t="inlineStr"/>
      <c r="AD664" s="5" t="inlineStr"/>
      <c r="AE664" s="5" t="inlineStr"/>
      <c r="AF664" s="5" t="inlineStr"/>
      <c r="AG664" s="5" t="inlineStr"/>
      <c r="AH664" s="5" t="inlineStr"/>
    </row>
    <row r="665">
      <c r="A665" s="5" t="inlineStr">
        <is>
          <t>me-zabita-denetimi</t>
        </is>
      </c>
      <c r="B665" s="5" t="n">
        <v>1</v>
      </c>
      <c r="C665" s="6" t="inlineStr">
        <is>
          <t>Kasaları içeri al</t>
        </is>
      </c>
      <c r="D665" s="5" t="inlineStr"/>
      <c r="E665" s="5" t="inlineStr"/>
      <c r="F665" s="5" t="inlineStr">
        <is>
          <t>İtibar +1, Dayanıklılık +1</t>
        </is>
      </c>
      <c r="G665" s="6" t="inlineStr">
        <is>
          <t>Kaldırımı boşalttın. Zabıta geçti. Kasalar yarın sabah yine dışarıda olacak.</t>
        </is>
      </c>
      <c r="H665" s="6" t="inlineStr"/>
      <c r="I665" s="6" t="inlineStr"/>
      <c r="J665" s="6" t="inlineStr"/>
      <c r="K665" s="6" t="inlineStr"/>
      <c r="L665" s="6" t="inlineStr"/>
      <c r="M665" s="5" t="inlineStr"/>
      <c r="N665" s="5" t="inlineStr"/>
      <c r="O665" s="6" t="inlineStr"/>
      <c r="P665" s="6" t="inlineStr"/>
      <c r="Q665" s="5" t="inlineStr"/>
      <c r="R665" s="5" t="inlineStr"/>
      <c r="S665" s="5" t="inlineStr"/>
      <c r="T665" s="5" t="inlineStr"/>
      <c r="U665" s="5" t="inlineStr"/>
      <c r="V665" s="5" t="inlineStr"/>
      <c r="W665" s="5" t="inlineStr"/>
      <c r="X665" s="5" t="inlineStr"/>
      <c r="Y665" s="5" t="inlineStr"/>
      <c r="Z665" s="6" t="inlineStr"/>
      <c r="AA665" s="5" t="inlineStr"/>
      <c r="AB665" s="5" t="inlineStr"/>
      <c r="AC665" s="5" t="inlineStr"/>
      <c r="AD665" s="5" t="inlineStr"/>
      <c r="AE665" s="5" t="inlineStr"/>
      <c r="AF665" s="5" t="inlineStr"/>
      <c r="AG665" s="5" t="inlineStr"/>
      <c r="AH665" s="5" t="inlineStr"/>
    </row>
    <row r="666">
      <c r="A666" s="5" t="inlineStr">
        <is>
          <t>me-zabita-denetimi</t>
        </is>
      </c>
      <c r="B666" s="5" t="n">
        <v>2</v>
      </c>
      <c r="C666" s="6" t="inlineStr">
        <is>
          <t>Yönetmeliği tartış</t>
        </is>
      </c>
      <c r="D666" s="5" t="inlineStr">
        <is>
          <t>Akıl</t>
        </is>
      </c>
      <c r="E666" s="5" t="inlineStr">
        <is>
          <t>Zor</t>
        </is>
      </c>
      <c r="F666" s="5" t="inlineStr"/>
      <c r="G666" s="6" t="inlineStr"/>
      <c r="H666" s="6" t="inlineStr">
        <is>
          <t>Yönetmelikte 'geçici teşhir' maddesini buldun. Kasalar resmen geçici, yani kalıcı.</t>
        </is>
      </c>
      <c r="I666" s="6" t="inlineStr">
        <is>
          <t>Yönetmeliği zabıtadan iyi bildiğin anlaşıldı. Çarşıdaki denetimlerde artık sana danışılıyor.</t>
        </is>
      </c>
      <c r="J666" s="6" t="inlineStr">
        <is>
          <t>Tartıştın. Zabıta yönetmeliğin yeni baskısını gösterdi; seninki eski baskıymış.</t>
        </is>
      </c>
      <c r="K666" s="6" t="inlineStr">
        <is>
          <t>O kadar tartıştın ki tabelaya, tenteye, kapı paspasına ve kedinin mama kabına ayrı ayrı tutanak kesildi.</t>
        </is>
      </c>
      <c r="L666" s="6" t="inlineStr"/>
      <c r="M666" s="5" t="inlineStr"/>
      <c r="N666" s="5" t="inlineStr"/>
      <c r="O666" s="6" t="inlineStr"/>
      <c r="P666" s="6" t="inlineStr"/>
      <c r="Q666" s="5" t="inlineStr"/>
      <c r="R666" s="5" t="inlineStr"/>
      <c r="S666" s="5" t="inlineStr"/>
      <c r="T666" s="5" t="inlineStr"/>
      <c r="U666" s="5" t="inlineStr"/>
      <c r="V666" s="5" t="inlineStr"/>
      <c r="W666" s="5" t="inlineStr"/>
      <c r="X666" s="5" t="inlineStr"/>
      <c r="Y666" s="5" t="inlineStr"/>
      <c r="Z666" s="6" t="inlineStr"/>
      <c r="AA666" s="5" t="inlineStr"/>
      <c r="AB666" s="5" t="inlineStr"/>
      <c r="AC666" s="5" t="inlineStr"/>
      <c r="AD666" s="5" t="inlineStr"/>
      <c r="AE666" s="5" t="inlineStr"/>
      <c r="AF666" s="5" t="inlineStr"/>
      <c r="AG666" s="5" t="inlineStr"/>
      <c r="AH666" s="5" t="inlineStr"/>
    </row>
    <row r="667">
      <c r="A667" s="5" t="inlineStr">
        <is>
          <t>me-zabita-denetimi</t>
        </is>
      </c>
      <c r="B667" s="5" t="n">
        <v>3</v>
      </c>
      <c r="C667" s="6" t="inlineStr">
        <is>
          <t>Çay ikram et</t>
        </is>
      </c>
      <c r="D667" s="5" t="inlineStr">
        <is>
          <t>Çene</t>
        </is>
      </c>
      <c r="E667" s="5" t="inlineStr">
        <is>
          <t>Orta</t>
        </is>
      </c>
      <c r="F667" s="5" t="inlineStr"/>
      <c r="G667" s="6" t="inlineStr"/>
      <c r="H667" s="6" t="inlineStr">
        <is>
          <t>Çay içildi, havadan sudan konuşuldu, tutanak defteri kapalı kaldı.</t>
        </is>
      </c>
      <c r="I667" s="6" t="inlineStr">
        <is>
          <t>Zabıta çayı beğendi. Ertesi denetimde sokakta uyarı almayan tek dükkân sendin.</t>
        </is>
      </c>
      <c r="J667" s="6" t="inlineStr">
        <is>
          <t>Çayı içti, teşekkür etti, tutanağı yazdı. Çay için ayrıca teşekkür etti.</t>
        </is>
      </c>
      <c r="K667" s="6" t="inlineStr">
        <is>
          <t>Tutanağa 'ısrarlı misafirperverlik' notu düşüldü. Böyle bir madde olduğunu kimse bilmiyordu.</t>
        </is>
      </c>
      <c r="L667" s="6" t="inlineStr"/>
      <c r="M667" s="5" t="inlineStr"/>
      <c r="N667" s="5" t="inlineStr"/>
      <c r="O667" s="6" t="inlineStr"/>
      <c r="P667" s="6" t="inlineStr"/>
      <c r="Q667" s="5" t="inlineStr"/>
      <c r="R667" s="5" t="inlineStr"/>
      <c r="S667" s="5" t="inlineStr"/>
      <c r="T667" s="5" t="inlineStr"/>
      <c r="U667" s="5" t="inlineStr"/>
      <c r="V667" s="5" t="inlineStr"/>
      <c r="W667" s="5" t="inlineStr"/>
      <c r="X667" s="5" t="inlineStr"/>
      <c r="Y667" s="5" t="inlineStr"/>
      <c r="Z667" s="6" t="inlineStr"/>
      <c r="AA667" s="5" t="inlineStr"/>
      <c r="AB667" s="5" t="inlineStr"/>
      <c r="AC667" s="5" t="inlineStr"/>
      <c r="AD667" s="5" t="inlineStr"/>
      <c r="AE667" s="5" t="inlineStr"/>
      <c r="AF667" s="5" t="inlineStr"/>
      <c r="AG667" s="5" t="inlineStr"/>
      <c r="AH667" s="5" t="inlineStr"/>
    </row>
    <row r="668">
      <c r="A668" s="5" t="inlineStr">
        <is>
          <t>me-zabita-denetimi</t>
        </is>
      </c>
      <c r="B668" s="5" t="n">
        <v>4</v>
      </c>
      <c r="C668" s="6" t="inlineStr">
        <is>
          <t>Karşı dükkânı işaret et</t>
        </is>
      </c>
      <c r="D668" s="5" t="inlineStr">
        <is>
          <t>Pişkinlik</t>
        </is>
      </c>
      <c r="E668" s="5" t="inlineStr">
        <is>
          <t>Orta</t>
        </is>
      </c>
      <c r="F668" s="5" t="inlineStr"/>
      <c r="G668" s="6" t="inlineStr"/>
      <c r="H668" s="6" t="inlineStr">
        <is>
          <t>'Asıl karşıdaki' dedin. Zabıta karşıya yürüdü. Tente savaşında ilk sayı senin.</t>
        </is>
      </c>
      <c r="I668" s="6" t="inlineStr">
        <is>
          <t>Karşı dükkânın tabelası söktürüldü. Sokakta artık tek bir tabela var: seninki.</t>
        </is>
      </c>
      <c r="J668" s="6" t="inlineStr">
        <is>
          <t>Zabıta ikinize de tutanak yazdı. Eşitlik bu sokağa böyle geldi.</t>
        </is>
      </c>
      <c r="K668" s="6" t="inlineStr">
        <is>
          <t>Karşı dükkân da seni işaret etti. Zabıta ikinizi yarım saat dinledi, sonra sokağa yeni bir tabela astı: 'Esnaf kavga etmez.'</t>
        </is>
      </c>
      <c r="L668" s="6" t="inlineStr"/>
      <c r="M668" s="5" t="inlineStr"/>
      <c r="N668" s="5" t="inlineStr"/>
      <c r="O668" s="6" t="inlineStr"/>
      <c r="P668" s="6" t="inlineStr"/>
      <c r="Q668" s="5" t="inlineStr"/>
      <c r="R668" s="5" t="inlineStr">
        <is>
          <t>esnaf-komsu-rakip</t>
        </is>
      </c>
      <c r="S668" s="5" t="inlineStr"/>
      <c r="T668" s="5" t="inlineStr"/>
      <c r="U668" s="5" t="inlineStr"/>
      <c r="V668" s="5" t="inlineStr"/>
      <c r="W668" s="5" t="inlineStr"/>
      <c r="X668" s="5" t="inlineStr"/>
      <c r="Y668" s="5" t="inlineStr"/>
      <c r="Z668" s="6" t="inlineStr"/>
      <c r="AA668" s="5" t="inlineStr"/>
      <c r="AB668" s="5" t="inlineStr"/>
      <c r="AC668" s="5" t="inlineStr"/>
      <c r="AD668" s="5" t="inlineStr"/>
      <c r="AE668" s="5" t="inlineStr"/>
      <c r="AF668" s="5" t="inlineStr"/>
      <c r="AG668" s="5" t="inlineStr"/>
      <c r="AH668" s="5" t="inlineStr"/>
    </row>
    <row r="669">
      <c r="A669" s="5" t="inlineStr">
        <is>
          <t>b7-dugun-takilari</t>
        </is>
      </c>
      <c r="B669" s="5" t="n">
        <v>1</v>
      </c>
      <c r="C669" s="6" t="inlineStr">
        <is>
          <t>Takıları hızla topla, hiçbirini düşürme</t>
        </is>
      </c>
      <c r="D669" s="5" t="inlineStr">
        <is>
          <t>Dayanıklılık</t>
        </is>
      </c>
      <c r="E669" s="5" t="inlineStr">
        <is>
          <t>Orta</t>
        </is>
      </c>
      <c r="F669" s="5" t="inlineStr"/>
      <c r="G669" s="6" t="inlineStr"/>
      <c r="H669" s="6" t="inlineStr">
        <is>
          <t>Takılar toplandı, kurdeleler bütün, defter eksiksiz. Merasim kazasız atlatıldı.</t>
        </is>
      </c>
      <c r="I669" s="6" t="inlineStr">
        <is>
          <t>Tek bir takıyı düşürmedin; üstüne yerde kalmış bir önceki düğünün takısını da buldun. Sahibi arandı, bulunamadı.</t>
        </is>
      </c>
      <c r="J669" s="6" t="inlineStr">
        <is>
          <t>Bir bilezik masanın altına kaçtı. Üç teyze ve bir garsondan oluşan ekip onu aradı. Hâlâ arıyorlar.</t>
        </is>
      </c>
      <c r="K669" s="6" t="inlineStr">
        <is>
          <t>Takıları toplarken ceketinin cebini yırttın. Altınlar dans pistine saçıldı, müzik devam etti. Toplayan toplayana.</t>
        </is>
      </c>
      <c r="L669" s="6" t="inlineStr">
        <is>
          <t>Çoğunu topladın. Bir çeyrek, halayda birinin ayakkabısına girdi ve eve onunla gitti.</t>
        </is>
      </c>
      <c r="M669" s="5" t="inlineStr">
        <is>
          <t>collect</t>
        </is>
      </c>
      <c r="N669" s="5" t="inlineStr">
        <is>
          <t>Takı Toplama</t>
        </is>
      </c>
      <c r="O669" s="6" t="inlineStr">
        <is>
          <t>Sahneye saçılan takılara hızla dokun. Defterci amca her şeyi görüyor.</t>
        </is>
      </c>
      <c r="P669" s="6" t="inlineStr">
        <is>
          <t>{"piece": "🪙"}</t>
        </is>
      </c>
      <c r="Q669" s="5" t="inlineStr"/>
      <c r="R669" s="5" t="inlineStr"/>
      <c r="S669" s="5" t="inlineStr"/>
      <c r="T669" s="5" t="inlineStr"/>
      <c r="U669" s="5" t="inlineStr"/>
      <c r="V669" s="5" t="inlineStr"/>
      <c r="W669" s="5" t="inlineStr"/>
      <c r="X669" s="5" t="inlineStr"/>
      <c r="Y669" s="5" t="inlineStr"/>
      <c r="Z669" s="6" t="inlineStr"/>
      <c r="AA669" s="5" t="inlineStr"/>
      <c r="AB669" s="5" t="inlineStr"/>
      <c r="AC669" s="5" t="inlineStr"/>
      <c r="AD669" s="5" t="inlineStr"/>
      <c r="AE669" s="5" t="inlineStr"/>
      <c r="AF669" s="5" t="inlineStr"/>
      <c r="AG669" s="5" t="inlineStr"/>
      <c r="AH669" s="5" t="inlineStr"/>
    </row>
    <row r="670">
      <c r="A670" s="5" t="inlineStr">
        <is>
          <t>b7-dugun-takilari</t>
        </is>
      </c>
      <c r="B670" s="5" t="n">
        <v>2</v>
      </c>
      <c r="C670" s="6" t="inlineStr">
        <is>
          <t>Defteri kendin tut</t>
        </is>
      </c>
      <c r="D670" s="5" t="inlineStr"/>
      <c r="E670" s="5" t="inlineStr"/>
      <c r="F670" s="5" t="inlineStr">
        <is>
          <t>Akıl +1, Sosyal Radar +1</t>
        </is>
      </c>
      <c r="G670" s="6" t="inlineStr">
        <is>
          <t>Kim ne taktıysa yazdın. On yıl sonra onların düğününe aynısını takacaksın. Borç tarihe geçti.</t>
        </is>
      </c>
      <c r="H670" s="6" t="inlineStr"/>
      <c r="I670" s="6" t="inlineStr"/>
      <c r="J670" s="6" t="inlineStr"/>
      <c r="K670" s="6" t="inlineStr"/>
      <c r="L670" s="6" t="inlineStr"/>
      <c r="M670" s="5" t="inlineStr"/>
      <c r="N670" s="5" t="inlineStr"/>
      <c r="O670" s="6" t="inlineStr"/>
      <c r="P670" s="6" t="inlineStr"/>
      <c r="Q670" s="5" t="inlineStr"/>
      <c r="R670" s="5" t="inlineStr"/>
      <c r="S670" s="5" t="inlineStr"/>
      <c r="T670" s="5" t="inlineStr"/>
      <c r="U670" s="5" t="inlineStr">
        <is>
          <t>taki-defteri</t>
        </is>
      </c>
      <c r="V670" s="5" t="inlineStr"/>
      <c r="W670" s="5" t="inlineStr"/>
      <c r="X670" s="5" t="inlineStr"/>
      <c r="Y670" s="5" t="inlineStr"/>
      <c r="Z670" s="6" t="inlineStr"/>
      <c r="AA670" s="5" t="inlineStr"/>
      <c r="AB670" s="5" t="inlineStr"/>
      <c r="AC670" s="5" t="inlineStr"/>
      <c r="AD670" s="5" t="inlineStr"/>
      <c r="AE670" s="5" t="inlineStr"/>
      <c r="AF670" s="5" t="inlineStr"/>
      <c r="AG670" s="5" t="inlineStr"/>
      <c r="AH670" s="5" t="inlineStr"/>
    </row>
    <row r="671">
      <c r="A671" s="5" t="inlineStr">
        <is>
          <t>b7-dugun-takilari</t>
        </is>
      </c>
      <c r="B671" s="5" t="n">
        <v>3</v>
      </c>
      <c r="C671" s="6" t="inlineStr">
        <is>
          <t>Takıların gramını anlık hesapla</t>
        </is>
      </c>
      <c r="D671" s="5" t="inlineStr">
        <is>
          <t>Akıl</t>
        </is>
      </c>
      <c r="E671" s="5" t="inlineStr">
        <is>
          <t>Kolay</t>
        </is>
      </c>
      <c r="F671" s="5" t="inlineStr"/>
      <c r="G671" s="6" t="inlineStr"/>
      <c r="H671" s="6" t="inlineStr">
        <is>
          <t>Merasim bitmeden toplam değeri biliyordun. Düğün masrafı karşılandı, eş dost kâr-zarar tablosuna girdi.</t>
        </is>
      </c>
      <c r="I671" s="6" t="inlineStr">
        <is>
          <t>Gramajı öyle hızlı hesapladın ki kuyumcu olan dayı seni işe almak istedi. Hesap sahnede tutuldu.</t>
        </is>
      </c>
      <c r="J671" s="6" t="inlineStr">
        <is>
          <t>Hesapta bir sıfır kaydı. Bir saat boyunca zengin olduğunu sandın.</t>
        </is>
      </c>
      <c r="K671" s="6" t="inlineStr">
        <is>
          <t>Yüksek sesle hesap yaparken mikrofon açıktı. Salondaki herkes kendi takısının değerini öğrendi.</t>
        </is>
      </c>
      <c r="L671" s="6" t="inlineStr"/>
      <c r="M671" s="5" t="inlineStr"/>
      <c r="N671" s="5" t="inlineStr"/>
      <c r="O671" s="6" t="inlineStr"/>
      <c r="P671" s="6" t="inlineStr"/>
      <c r="Q671" s="5" t="inlineStr">
        <is>
          <t>Para Üstü Radarı</t>
        </is>
      </c>
      <c r="R671" s="5" t="inlineStr"/>
      <c r="S671" s="5" t="inlineStr"/>
      <c r="T671" s="5" t="inlineStr"/>
      <c r="U671" s="5" t="inlineStr">
        <is>
          <t>taki-defteri</t>
        </is>
      </c>
      <c r="V671" s="5" t="inlineStr"/>
      <c r="W671" s="5" t="inlineStr"/>
      <c r="X671" s="5" t="inlineStr"/>
      <c r="Y671" s="5" t="inlineStr"/>
      <c r="Z671" s="6" t="inlineStr"/>
      <c r="AA671" s="5" t="inlineStr"/>
      <c r="AB671" s="5" t="inlineStr"/>
      <c r="AC671" s="5" t="inlineStr"/>
      <c r="AD671" s="5" t="inlineStr"/>
      <c r="AE671" s="5" t="inlineStr"/>
      <c r="AF671" s="5" t="inlineStr"/>
      <c r="AG671" s="5" t="inlineStr"/>
      <c r="AH671" s="5" t="inlineStr"/>
    </row>
    <row r="672">
      <c r="A672" s="5" t="inlineStr">
        <is>
          <t>b7-balayi</t>
        </is>
      </c>
      <c r="B672" s="5" t="n">
        <v>1</v>
      </c>
      <c r="C672" s="6" t="inlineStr">
        <is>
          <t>Şezlongda yat</t>
        </is>
      </c>
      <c r="D672" s="5" t="inlineStr"/>
      <c r="E672" s="5" t="inlineStr"/>
      <c r="F672" s="5" t="inlineStr">
        <is>
          <t>Dayanıklılık +1</t>
        </is>
      </c>
      <c r="G672" s="6" t="inlineStr">
        <is>
          <t>Yedi gün şezlongda yattın. Otelin kalıcı demirbaşı olarak kayda geçtin.</t>
        </is>
      </c>
      <c r="H672" s="6" t="inlineStr"/>
      <c r="I672" s="6" t="inlineStr"/>
      <c r="J672" s="6" t="inlineStr"/>
      <c r="K672" s="6" t="inlineStr"/>
      <c r="L672" s="6" t="inlineStr"/>
      <c r="M672" s="5" t="inlineStr"/>
      <c r="N672" s="5" t="inlineStr"/>
      <c r="O672" s="6" t="inlineStr"/>
      <c r="P672" s="6" t="inlineStr"/>
      <c r="Q672" s="5" t="inlineStr"/>
      <c r="R672" s="5" t="inlineStr"/>
      <c r="S672" s="5" t="inlineStr"/>
      <c r="T672" s="5" t="inlineStr"/>
      <c r="U672" s="5" t="inlineStr"/>
      <c r="V672" s="5" t="inlineStr"/>
      <c r="W672" s="5" t="inlineStr"/>
      <c r="X672" s="5" t="inlineStr"/>
      <c r="Y672" s="5" t="inlineStr"/>
      <c r="Z672" s="6" t="inlineStr"/>
      <c r="AA672" s="5" t="inlineStr"/>
      <c r="AB672" s="5" t="inlineStr"/>
      <c r="AC672" s="5" t="inlineStr"/>
      <c r="AD672" s="5" t="inlineStr"/>
      <c r="AE672" s="5" t="inlineStr"/>
      <c r="AF672" s="5" t="inlineStr"/>
      <c r="AG672" s="5" t="inlineStr"/>
      <c r="AH672" s="5" t="inlineStr"/>
    </row>
    <row r="673">
      <c r="A673" s="5" t="inlineStr">
        <is>
          <t>b7-balayi</t>
        </is>
      </c>
      <c r="B673" s="5" t="n">
        <v>2</v>
      </c>
      <c r="C673" s="6" t="inlineStr">
        <is>
          <t>Deniz paraşütüne bin</t>
        </is>
      </c>
      <c r="D673" s="5" t="inlineStr">
        <is>
          <t>Cesaret</t>
        </is>
      </c>
      <c r="E673" s="5" t="inlineStr">
        <is>
          <t>Orta</t>
        </is>
      </c>
      <c r="F673" s="5" t="inlineStr"/>
      <c r="G673" s="6" t="inlineStr"/>
      <c r="H673" s="6" t="inlineStr">
        <is>
          <t>Havadan sahili gördün. Eşin aşağıdan el salladı. Fotoğraf çerçevelendi.</t>
        </is>
      </c>
      <c r="I673" s="6" t="inlineStr">
        <is>
          <t>Yukarıda o kadar keyifli göründün ki operatör sana indirimli ikinci tur verdi. Balayı fotoğraflarının yarısı gökyüzünde.</t>
        </is>
      </c>
      <c r="J673" s="6" t="inlineStr">
        <is>
          <t>İp kısa sürdü. Bütün uçuş boyunca otelin çamaşırhanesini izledin.</t>
        </is>
      </c>
      <c r="K673" s="6" t="inlineStr">
        <is>
          <t>Paraşüt açıldı, sen denize indin, şapkan da başka bir otele. Oteller arası bir iade protokolü başlatıldı.</t>
        </is>
      </c>
      <c r="L673" s="6" t="inlineStr"/>
      <c r="M673" s="5" t="inlineStr"/>
      <c r="N673" s="5" t="inlineStr"/>
      <c r="O673" s="6" t="inlineStr"/>
      <c r="P673" s="6" t="inlineStr"/>
      <c r="Q673" s="5" t="inlineStr"/>
      <c r="R673" s="5" t="inlineStr"/>
      <c r="S673" s="5" t="inlineStr"/>
      <c r="T673" s="5" t="inlineStr"/>
      <c r="U673" s="5" t="inlineStr"/>
      <c r="V673" s="5" t="inlineStr"/>
      <c r="W673" s="5" t="inlineStr"/>
      <c r="X673" s="5" t="inlineStr"/>
      <c r="Y673" s="5" t="n">
        <v>3</v>
      </c>
      <c r="Z673" s="6" t="inlineStr">
        <is>
          <t>Balayında deniz paraşütünde, 'aşağıdan çok güzel görünüyorsun' mesajını okurken.</t>
        </is>
      </c>
      <c r="AA673" s="5" t="inlineStr"/>
      <c r="AB673" s="5" t="inlineStr"/>
      <c r="AC673" s="5" t="inlineStr"/>
      <c r="AD673" s="5" t="inlineStr"/>
      <c r="AE673" s="5" t="inlineStr"/>
      <c r="AF673" s="5" t="inlineStr"/>
      <c r="AG673" s="5" t="inlineStr"/>
      <c r="AH673" s="5" t="inlineStr"/>
    </row>
    <row r="674">
      <c r="A674" s="5" t="inlineStr">
        <is>
          <t>b7-balayi</t>
        </is>
      </c>
      <c r="B674" s="5" t="n">
        <v>3</v>
      </c>
      <c r="C674" s="6" t="inlineStr">
        <is>
          <t>Açık büfede masa kapma operasyonu yap</t>
        </is>
      </c>
      <c r="D674" s="5" t="inlineStr">
        <is>
          <t>Kurnazlık</t>
        </is>
      </c>
      <c r="E674" s="5" t="inlineStr">
        <is>
          <t>Kolay</t>
        </is>
      </c>
      <c r="F674" s="5" t="inlineStr"/>
      <c r="G674" s="6" t="inlineStr"/>
      <c r="H674" s="6" t="inlineStr">
        <is>
          <t>Deniz manzaralı masayı her sabah sen kaptın. Otel seni tanıyor, masayı da.</t>
        </is>
      </c>
      <c r="I674" s="6" t="inlineStr">
        <is>
          <t>Masayı kaptın, garsonla dost oldun, son gün pasta geldi. Balayını büfe kazandı.</t>
        </is>
      </c>
      <c r="J674" s="6" t="inlineStr">
        <is>
          <t>Havluyla ayırdığın masaya başka bir havlu konmuş. Havlu savaşı kaybedildi.</t>
        </is>
      </c>
      <c r="K674" s="6" t="inlineStr">
        <is>
          <t>Masa kaparken yanlış tabağı aldın. O tabak başka bir çiftin yıl dönümü pastasıymış. Özür mektubu yazıldı.</t>
        </is>
      </c>
      <c r="L674" s="6" t="inlineStr"/>
      <c r="M674" s="5" t="inlineStr"/>
      <c r="N674" s="5" t="inlineStr"/>
      <c r="O674" s="6" t="inlineStr"/>
      <c r="P674" s="6" t="inlineStr"/>
      <c r="Q674" s="5" t="inlineStr"/>
      <c r="R674" s="5" t="inlineStr"/>
      <c r="S674" s="5" t="inlineStr"/>
      <c r="T674" s="5" t="inlineStr"/>
      <c r="U674" s="5" t="inlineStr"/>
      <c r="V674" s="5" t="inlineStr"/>
      <c r="W674" s="5" t="inlineStr"/>
      <c r="X674" s="5" t="inlineStr"/>
      <c r="Y674" s="5" t="inlineStr"/>
      <c r="Z674" s="6" t="inlineStr"/>
      <c r="AA674" s="5" t="inlineStr"/>
      <c r="AB674" s="5" t="inlineStr"/>
      <c r="AC674" s="5" t="inlineStr"/>
      <c r="AD674" s="5" t="inlineStr"/>
      <c r="AE674" s="5" t="inlineStr"/>
      <c r="AF674" s="5" t="inlineStr"/>
      <c r="AG674" s="5" t="inlineStr"/>
      <c r="AH674" s="5" t="inlineStr"/>
    </row>
    <row r="675">
      <c r="A675" s="5" t="inlineStr">
        <is>
          <t>ms-acilis-gecesi</t>
        </is>
      </c>
      <c r="B675" s="5" t="n">
        <v>1</v>
      </c>
      <c r="C675" s="6" t="inlineStr">
        <is>
          <t>İkramları ye, erken kapat</t>
        </is>
      </c>
      <c r="D675" s="5" t="inlineStr"/>
      <c r="E675" s="5" t="inlineStr"/>
      <c r="F675" s="5" t="inlineStr">
        <is>
          <t>Dayanıklılık +1</t>
        </is>
      </c>
      <c r="G675" s="6" t="inlineStr">
        <is>
          <t>Sergi iki saat sürdü. Poğaçaların hepsini sen yedin. Yatırımın bir kısmı geri döndü.</t>
        </is>
      </c>
      <c r="H675" s="6" t="inlineStr"/>
      <c r="I675" s="6" t="inlineStr"/>
      <c r="J675" s="6" t="inlineStr"/>
      <c r="K675" s="6" t="inlineStr"/>
      <c r="L675" s="6" t="inlineStr"/>
      <c r="M675" s="5" t="inlineStr"/>
      <c r="N675" s="5" t="inlineStr"/>
      <c r="O675" s="6" t="inlineStr"/>
      <c r="P675" s="6" t="inlineStr"/>
      <c r="Q675" s="5" t="inlineStr"/>
      <c r="R675" s="5" t="inlineStr"/>
      <c r="S675" s="5" t="inlineStr"/>
      <c r="T675" s="5" t="inlineStr"/>
      <c r="U675" s="5" t="inlineStr"/>
      <c r="V675" s="5" t="inlineStr"/>
      <c r="W675" s="5" t="inlineStr"/>
      <c r="X675" s="5" t="inlineStr"/>
      <c r="Y675" s="5" t="inlineStr"/>
      <c r="Z675" s="6" t="inlineStr"/>
      <c r="AA675" s="5" t="inlineStr"/>
      <c r="AB675" s="5" t="inlineStr"/>
      <c r="AC675" s="5" t="inlineStr"/>
      <c r="AD675" s="5" t="inlineStr"/>
      <c r="AE675" s="5" t="inlineStr"/>
      <c r="AF675" s="5" t="inlineStr"/>
      <c r="AG675" s="5" t="inlineStr"/>
      <c r="AH675" s="5" t="inlineStr"/>
    </row>
    <row r="676">
      <c r="A676" s="5" t="inlineStr">
        <is>
          <t>ms-acilis-gecesi</t>
        </is>
      </c>
      <c r="B676" s="5" t="n">
        <v>2</v>
      </c>
      <c r="C676" s="6" t="inlineStr">
        <is>
          <t>Üç kişiye tam bir sunum yap</t>
        </is>
      </c>
      <c r="D676" s="5" t="inlineStr">
        <is>
          <t>Çene</t>
        </is>
      </c>
      <c r="E676" s="5" t="inlineStr">
        <is>
          <t>Orta</t>
        </is>
      </c>
      <c r="F676" s="5" t="inlineStr"/>
      <c r="G676" s="6" t="inlineStr"/>
      <c r="H676" s="6" t="inlineStr">
        <is>
          <t>Üç kişiye stadyum coşkusuyla anlattın. Kurye kalıp bir eser satın aldı.</t>
        </is>
      </c>
      <c r="I676" s="6" t="inlineStr">
        <is>
          <t>Kurye anlattıklarını videoya çekti. Ertesi akşam sergide otuz kişi vardı.</t>
        </is>
      </c>
      <c r="J676" s="6" t="inlineStr">
        <is>
          <t>Anlattın; annen 'Bir de ceket giyseydin' dedi.</t>
        </is>
      </c>
      <c r="K676" s="6" t="inlineStr">
        <is>
          <t>Anlatırken kurye gitti, ev arkadaşın da. Annen hâlâ orada; o da taksi bekliyor.</t>
        </is>
      </c>
      <c r="L676" s="6" t="inlineStr"/>
      <c r="M676" s="5" t="inlineStr"/>
      <c r="N676" s="5" t="inlineStr"/>
      <c r="O676" s="6" t="inlineStr"/>
      <c r="P676" s="6" t="inlineStr"/>
      <c r="Q676" s="5" t="inlineStr"/>
      <c r="R676" s="5" t="inlineStr"/>
      <c r="S676" s="5" t="inlineStr"/>
      <c r="T676" s="5" t="inlineStr"/>
      <c r="U676" s="5" t="inlineStr"/>
      <c r="V676" s="5" t="inlineStr"/>
      <c r="W676" s="5" t="inlineStr"/>
      <c r="X676" s="5" t="inlineStr"/>
      <c r="Y676" s="5" t="inlineStr"/>
      <c r="Z676" s="6" t="inlineStr"/>
      <c r="AA676" s="5" t="inlineStr"/>
      <c r="AB676" s="5" t="inlineStr"/>
      <c r="AC676" s="5" t="inlineStr"/>
      <c r="AD676" s="5" t="inlineStr"/>
      <c r="AE676" s="5" t="inlineStr"/>
      <c r="AF676" s="5" t="inlineStr"/>
      <c r="AG676" s="5" t="inlineStr"/>
      <c r="AH676" s="5" t="inlineStr"/>
    </row>
    <row r="677">
      <c r="A677" s="5" t="inlineStr">
        <is>
          <t>ms-acilis-gecesi</t>
        </is>
      </c>
      <c r="B677" s="5" t="n">
        <v>3</v>
      </c>
      <c r="C677" s="6" t="inlineStr">
        <is>
          <t>Heykelinin yanında fotoğraf çektir</t>
        </is>
      </c>
      <c r="D677" s="5" t="inlineStr">
        <is>
          <t>Pişkinlik</t>
        </is>
      </c>
      <c r="E677" s="5" t="inlineStr">
        <is>
          <t>Kolay</t>
        </is>
      </c>
      <c r="F677" s="5" t="inlineStr"/>
      <c r="G677" s="6" t="inlineStr"/>
      <c r="H677" s="6" t="inlineStr">
        <is>
          <t>Fotoğraf çok beğenildi. Heykelden çok sen.</t>
        </is>
      </c>
      <c r="I677" s="6" t="inlineStr">
        <is>
          <t>Fotoğrafın bir sanat dergisine kapak oldu. Heykelin kenarı da görünüyor.</t>
        </is>
      </c>
      <c r="J677" s="6" t="inlineStr">
        <is>
          <t>Fotoğraftan önce heykel hafifçe sallandı. Sen de.</t>
        </is>
      </c>
      <c r="K677" s="6" t="inlineStr">
        <is>
          <t>Heykel sana yaslandı. İkiniz birlikte bir sonraki kareye girdiniz. Eleştirmen buna 'etkileşim' dedi.</t>
        </is>
      </c>
      <c r="L677" s="6" t="inlineStr"/>
      <c r="M677" s="5" t="inlineStr"/>
      <c r="N677" s="5" t="inlineStr"/>
      <c r="O677" s="6" t="inlineStr"/>
      <c r="P677" s="6" t="inlineStr"/>
      <c r="Q677" s="5" t="inlineStr"/>
      <c r="R677" s="5" t="inlineStr"/>
      <c r="S677" s="5" t="inlineStr"/>
      <c r="T677" s="5" t="inlineStr"/>
      <c r="U677" s="5" t="inlineStr"/>
      <c r="V677" s="5" t="inlineStr"/>
      <c r="W677" s="5" t="inlineStr"/>
      <c r="X677" s="5" t="inlineStr"/>
      <c r="Y677" s="5" t="n">
        <v>3</v>
      </c>
      <c r="Z677" s="6" t="inlineStr">
        <is>
          <t>Kendi sergisinin açılışında, kendi heykelinin altında. Heykel iyi eleştiriler aldı.</t>
        </is>
      </c>
      <c r="AA677" s="5" t="inlineStr"/>
      <c r="AB677" s="5" t="inlineStr"/>
      <c r="AC677" s="5" t="inlineStr"/>
      <c r="AD677" s="5" t="inlineStr"/>
      <c r="AE677" s="5" t="inlineStr"/>
      <c r="AF677" s="5" t="inlineStr"/>
      <c r="AG677" s="5" t="inlineStr"/>
      <c r="AH677" s="5" t="inlineStr"/>
    </row>
    <row r="678">
      <c r="A678" s="5" t="inlineStr">
        <is>
          <t>ms-acilis-gecesi</t>
        </is>
      </c>
      <c r="B678" s="5" t="n">
        <v>4</v>
      </c>
      <c r="C678" s="6" t="inlineStr">
        <is>
          <t>Açılışı canlı yayına aç</t>
        </is>
      </c>
      <c r="D678" s="5" t="inlineStr">
        <is>
          <t>Sosyal Radar</t>
        </is>
      </c>
      <c r="E678" s="5" t="inlineStr">
        <is>
          <t>Kolay</t>
        </is>
      </c>
      <c r="F678" s="5" t="inlineStr"/>
      <c r="G678" s="6" t="inlineStr"/>
      <c r="H678" s="6" t="inlineStr">
        <is>
          <t>Salonda üç, yayında üç yüz kişi vardı. Sergi internette kalabalık.</t>
        </is>
      </c>
      <c r="I678" s="6" t="inlineStr">
        <is>
          <t>Yayından bir koleksiyoncu eser istedi. Kurye paketi teslim etti.</t>
        </is>
      </c>
      <c r="J678" s="6" t="inlineStr">
        <is>
          <t>Yayına en çok annen yorum yazdı. Altı kez 'Aferin'.</t>
        </is>
      </c>
      <c r="K678" s="6" t="inlineStr">
        <is>
          <t>Yayında salonun boşluğu yankı yaptı. Yorum: 'Sergi mi, depo mu?'</t>
        </is>
      </c>
      <c r="L678" s="6" t="inlineStr"/>
      <c r="M678" s="5" t="inlineStr"/>
      <c r="N678" s="5" t="inlineStr"/>
      <c r="O678" s="6" t="inlineStr"/>
      <c r="P678" s="6" t="inlineStr"/>
      <c r="Q678" s="5" t="inlineStr"/>
      <c r="R678" s="5" t="inlineStr">
        <is>
          <t>fenomen</t>
        </is>
      </c>
      <c r="S678" s="5" t="inlineStr"/>
      <c r="T678" s="5" t="inlineStr"/>
      <c r="U678" s="5" t="inlineStr"/>
      <c r="V678" s="5" t="inlineStr"/>
      <c r="W678" s="5" t="inlineStr"/>
      <c r="X678" s="5" t="inlineStr"/>
      <c r="Y678" s="5" t="inlineStr"/>
      <c r="Z678" s="6" t="inlineStr"/>
      <c r="AA678" s="5" t="inlineStr"/>
      <c r="AB678" s="5" t="inlineStr"/>
      <c r="AC678" s="5" t="inlineStr"/>
      <c r="AD678" s="5" t="inlineStr"/>
      <c r="AE678" s="5" t="inlineStr"/>
      <c r="AF678" s="5" t="inlineStr"/>
      <c r="AG678" s="5" t="inlineStr"/>
      <c r="AH678" s="5" t="inlineStr"/>
    </row>
    <row r="679">
      <c r="A679" s="5" t="inlineStr">
        <is>
          <t>b7-bulasik-makinesi</t>
        </is>
      </c>
      <c r="B679" s="5" t="n">
        <v>1</v>
      </c>
      <c r="C679" s="6" t="inlineStr">
        <is>
          <t>Özür dile, yeniden diz</t>
        </is>
      </c>
      <c r="D679" s="5" t="inlineStr"/>
      <c r="E679" s="5" t="inlineStr"/>
      <c r="F679" s="5" t="inlineStr">
        <is>
          <t>İtibar +2</t>
        </is>
      </c>
      <c r="G679" s="6" t="inlineStr">
        <is>
          <t>Tabaklar yeniden dizildi. Sen de. Evlilik kurumunun ilk iç yönetmeliği yazıldı.</t>
        </is>
      </c>
      <c r="H679" s="6" t="inlineStr"/>
      <c r="I679" s="6" t="inlineStr"/>
      <c r="J679" s="6" t="inlineStr"/>
      <c r="K679" s="6" t="inlineStr"/>
      <c r="L679" s="6" t="inlineStr"/>
      <c r="M679" s="5" t="inlineStr"/>
      <c r="N679" s="5" t="inlineStr"/>
      <c r="O679" s="6" t="inlineStr"/>
      <c r="P679" s="6" t="inlineStr"/>
      <c r="Q679" s="5" t="inlineStr"/>
      <c r="R679" s="5" t="inlineStr"/>
      <c r="S679" s="5" t="inlineStr"/>
      <c r="T679" s="5" t="inlineStr"/>
      <c r="U679" s="5" t="inlineStr"/>
      <c r="V679" s="5" t="inlineStr"/>
      <c r="W679" s="5" t="inlineStr"/>
      <c r="X679" s="5" t="inlineStr"/>
      <c r="Y679" s="5" t="inlineStr"/>
      <c r="Z679" s="6" t="inlineStr"/>
      <c r="AA679" s="5" t="inlineStr"/>
      <c r="AB679" s="5" t="inlineStr"/>
      <c r="AC679" s="5" t="inlineStr"/>
      <c r="AD679" s="5" t="inlineStr"/>
      <c r="AE679" s="5" t="inlineStr"/>
      <c r="AF679" s="5" t="inlineStr"/>
      <c r="AG679" s="5" t="inlineStr"/>
      <c r="AH679" s="5" t="inlineStr"/>
    </row>
    <row r="680">
      <c r="A680" s="5" t="inlineStr">
        <is>
          <t>b7-bulasik-makinesi</t>
        </is>
      </c>
      <c r="B680" s="5" t="n">
        <v>2</v>
      </c>
      <c r="C680" s="6" t="inlineStr">
        <is>
          <t>Kendi yönteminin bilimsel olduğunu savun</t>
        </is>
      </c>
      <c r="D680" s="5" t="inlineStr">
        <is>
          <t>Çene</t>
        </is>
      </c>
      <c r="E680" s="5" t="inlineStr">
        <is>
          <t>Zor</t>
        </is>
      </c>
      <c r="F680" s="5" t="inlineStr"/>
      <c r="G680" s="6" t="inlineStr"/>
      <c r="H680" s="6" t="inlineStr">
        <is>
          <t>Tencerenin neden altta olması gerektiğini ikna edici anlattın. Mutfakta yeni bir düzen kuruldu.</t>
        </is>
      </c>
      <c r="I680" s="6" t="inlineStr">
        <is>
          <t>Savunman öyle güçlüydü ki eşin, kendi ailesinin makinesini de senin yönteminle dizdi. Etki alanın genişledi.</t>
        </is>
      </c>
      <c r="J680" s="6" t="inlineStr">
        <is>
          <t>Argümanın 'Hep böyle diziyordum'dan ibaretti. Hakem heyeti kabul etmedi.</t>
        </is>
      </c>
      <c r="K680" s="6" t="inlineStr">
        <is>
          <t>Savunurken kapağı çarptın, bir bardak kırıldı. Bardak eşinin annesinden kalmaydı. Konu bulaşıktan çıktı.</t>
        </is>
      </c>
      <c r="L680" s="6" t="inlineStr"/>
      <c r="M680" s="5" t="inlineStr"/>
      <c r="N680" s="5" t="inlineStr"/>
      <c r="O680" s="6" t="inlineStr"/>
      <c r="P680" s="6" t="inlineStr"/>
      <c r="Q680" s="5" t="inlineStr"/>
      <c r="R680" s="5" t="inlineStr"/>
      <c r="S680" s="5" t="inlineStr"/>
      <c r="T680" s="5" t="inlineStr"/>
      <c r="U680" s="5" t="inlineStr"/>
      <c r="V680" s="5" t="inlineStr"/>
      <c r="W680" s="5" t="inlineStr"/>
      <c r="X680" s="5" t="inlineStr"/>
      <c r="Y680" s="5" t="inlineStr"/>
      <c r="Z680" s="6" t="inlineStr"/>
      <c r="AA680" s="5" t="inlineStr"/>
      <c r="AB680" s="5" t="inlineStr"/>
      <c r="AC680" s="5" t="inlineStr"/>
      <c r="AD680" s="5" t="inlineStr"/>
      <c r="AE680" s="5" t="inlineStr"/>
      <c r="AF680" s="5" t="inlineStr"/>
      <c r="AG680" s="5" t="inlineStr"/>
      <c r="AH680" s="5" t="inlineStr"/>
    </row>
    <row r="681">
      <c r="A681" s="5" t="inlineStr">
        <is>
          <t>b7-bulasik-makinesi</t>
        </is>
      </c>
      <c r="B681" s="5" t="n">
        <v>3</v>
      </c>
      <c r="C681" s="6" t="inlineStr">
        <is>
          <t>Makinenin kullanım kılavuzunu çıkar</t>
        </is>
      </c>
      <c r="D681" s="5" t="inlineStr">
        <is>
          <t>Akıl</t>
        </is>
      </c>
      <c r="E681" s="5" t="inlineStr">
        <is>
          <t>Kolay</t>
        </is>
      </c>
      <c r="F681" s="5" t="inlineStr"/>
      <c r="G681" s="6" t="inlineStr"/>
      <c r="H681" s="6" t="inlineStr">
        <is>
          <t>Kılavuz senden yanaydı. Tarihte ilk kez biri kullanım kılavuzunu okudu ve bir tartışma kazandı.</t>
        </is>
      </c>
      <c r="I681" s="6" t="inlineStr">
        <is>
          <t>Kılavuzda ikinizin de yanıldığı anlaşıldı. Ortak düşman bulundu: üretici.</t>
        </is>
      </c>
      <c r="J681" s="6" t="inlineStr">
        <is>
          <t>Kılavuz Makaryaca değilmiş. Dördüncü dilde senin yöntemin 'önerilmez' olarak geçiyor.</t>
        </is>
      </c>
      <c r="K681" s="6" t="inlineStr">
        <is>
          <t>Kılavuzu okurken makinenin üç yıldır yanlış programda çalıştığını fark ettin. Bu da senin hatan sayıldı.</t>
        </is>
      </c>
      <c r="L681" s="6" t="inlineStr"/>
      <c r="M681" s="5" t="inlineStr"/>
      <c r="N681" s="5" t="inlineStr"/>
      <c r="O681" s="6" t="inlineStr"/>
      <c r="P681" s="6" t="inlineStr"/>
      <c r="Q681" s="5" t="inlineStr"/>
      <c r="R681" s="5" t="inlineStr"/>
      <c r="S681" s="5" t="inlineStr">
        <is>
          <t>Akıl</t>
        </is>
      </c>
      <c r="T681" s="5" t="inlineStr"/>
      <c r="U681" s="5" t="inlineStr"/>
      <c r="V681" s="5" t="inlineStr"/>
      <c r="W681" s="5" t="inlineStr"/>
      <c r="X681" s="5" t="inlineStr"/>
      <c r="Y681" s="5" t="inlineStr"/>
      <c r="Z681" s="6" t="inlineStr"/>
      <c r="AA681" s="5" t="inlineStr"/>
      <c r="AB681" s="5" t="inlineStr"/>
      <c r="AC681" s="5" t="inlineStr"/>
      <c r="AD681" s="5" t="inlineStr"/>
      <c r="AE681" s="5" t="inlineStr"/>
      <c r="AF681" s="5" t="inlineStr"/>
      <c r="AG681" s="5" t="inlineStr"/>
      <c r="AH681" s="5" t="inlineStr"/>
    </row>
    <row r="682">
      <c r="A682" s="5" t="inlineStr">
        <is>
          <t>b7-bulasik-makinesi</t>
        </is>
      </c>
      <c r="B682" s="5" t="n">
        <v>4</v>
      </c>
      <c r="C682" s="6" t="inlineStr">
        <is>
          <t>'Bundan sonra elde yıkayalım' de</t>
        </is>
      </c>
      <c r="D682" s="5" t="inlineStr"/>
      <c r="E682" s="5" t="inlineStr"/>
      <c r="F682" s="5" t="inlineStr">
        <is>
          <t>Pişkinlik +1</t>
        </is>
      </c>
      <c r="G682" s="6" t="inlineStr">
        <is>
          <t>Önerin sessizlikle karşılandı. O gece iki kişi, ayrı ayrı, aynı tabağı yıkadı.</t>
        </is>
      </c>
      <c r="H682" s="6" t="inlineStr"/>
      <c r="I682" s="6" t="inlineStr"/>
      <c r="J682" s="6" t="inlineStr"/>
      <c r="K682" s="6" t="inlineStr"/>
      <c r="L682" s="6" t="inlineStr"/>
      <c r="M682" s="5" t="inlineStr"/>
      <c r="N682" s="5" t="inlineStr"/>
      <c r="O682" s="6" t="inlineStr"/>
      <c r="P682" s="6" t="inlineStr"/>
      <c r="Q682" s="5" t="inlineStr"/>
      <c r="R682" s="5" t="inlineStr"/>
      <c r="S682" s="5" t="inlineStr"/>
      <c r="T682" s="5" t="inlineStr"/>
      <c r="U682" s="5" t="inlineStr"/>
      <c r="V682" s="5" t="inlineStr"/>
      <c r="W682" s="5" t="inlineStr"/>
      <c r="X682" s="5" t="inlineStr"/>
      <c r="Y682" s="5" t="inlineStr"/>
      <c r="Z682" s="6" t="inlineStr"/>
      <c r="AA682" s="5" t="inlineStr"/>
      <c r="AB682" s="5" t="inlineStr"/>
      <c r="AC682" s="5" t="inlineStr"/>
      <c r="AD682" s="5" t="inlineStr"/>
      <c r="AE682" s="5" t="inlineStr"/>
      <c r="AF682" s="5" t="inlineStr"/>
      <c r="AG682" s="5" t="inlineStr"/>
      <c r="AH682" s="5" t="inlineStr"/>
    </row>
    <row r="683">
      <c r="A683" s="5" t="inlineStr">
        <is>
          <t>mm-sistem-coktu</t>
        </is>
      </c>
      <c r="B683" s="5" t="n">
        <v>1</v>
      </c>
      <c r="C683" s="6" t="inlineStr">
        <is>
          <t>Kâğıda geç</t>
        </is>
      </c>
      <c r="D683" s="5" t="inlineStr"/>
      <c r="E683" s="5" t="inlineStr"/>
      <c r="F683" s="5" t="inlineStr">
        <is>
          <t>Dayanıklılık +1, Akıl +1</t>
        </is>
      </c>
      <c r="G683" s="6" t="inlineStr">
        <is>
          <t>Eski defteri çekmeceden çıkardın. Sistem üç gün çöktü; defter bir dakika bile çökmedi.</t>
        </is>
      </c>
      <c r="H683" s="6" t="inlineStr"/>
      <c r="I683" s="6" t="inlineStr"/>
      <c r="J683" s="6" t="inlineStr"/>
      <c r="K683" s="6" t="inlineStr"/>
      <c r="L683" s="6" t="inlineStr"/>
      <c r="M683" s="5" t="inlineStr"/>
      <c r="N683" s="5" t="inlineStr"/>
      <c r="O683" s="6" t="inlineStr"/>
      <c r="P683" s="6" t="inlineStr"/>
      <c r="Q683" s="5" t="inlineStr"/>
      <c r="R683" s="5" t="inlineStr"/>
      <c r="S683" s="5" t="inlineStr"/>
      <c r="T683" s="5" t="inlineStr"/>
      <c r="U683" s="5" t="inlineStr"/>
      <c r="V683" s="5" t="inlineStr"/>
      <c r="W683" s="5" t="inlineStr"/>
      <c r="X683" s="5" t="inlineStr"/>
      <c r="Y683" s="5" t="inlineStr"/>
      <c r="Z683" s="6" t="inlineStr"/>
      <c r="AA683" s="5" t="inlineStr"/>
      <c r="AB683" s="5" t="inlineStr"/>
      <c r="AC683" s="5" t="inlineStr"/>
      <c r="AD683" s="5" t="inlineStr"/>
      <c r="AE683" s="5" t="inlineStr"/>
      <c r="AF683" s="5" t="inlineStr"/>
      <c r="AG683" s="5" t="inlineStr"/>
      <c r="AH683" s="5" t="inlineStr"/>
    </row>
    <row r="684">
      <c r="A684" s="5" t="inlineStr">
        <is>
          <t>mm-sistem-coktu</t>
        </is>
      </c>
      <c r="B684" s="5" t="n">
        <v>2</v>
      </c>
      <c r="C684" s="6" t="inlineStr">
        <is>
          <t>Bilgi işlemi ara</t>
        </is>
      </c>
      <c r="D684" s="5" t="inlineStr">
        <is>
          <t>Çene</t>
        </is>
      </c>
      <c r="E684" s="5" t="inlineStr">
        <is>
          <t>Orta</t>
        </is>
      </c>
      <c r="F684" s="5" t="inlineStr"/>
      <c r="G684" s="6" t="inlineStr"/>
      <c r="H684" s="6" t="inlineStr">
        <is>
          <t>'Kapatıp açın' dediler. Kapatıp açtın. Çalıştı. Kimse nedenini bilmiyor.</t>
        </is>
      </c>
      <c r="I684" s="6" t="inlineStr">
        <is>
          <t>Bilgi işlem sorunu senin tarifinle buldu ve raporuna adını yazdı. Artık her arızada ilk seni arıyorlar.</t>
        </is>
      </c>
      <c r="J684" s="6" t="inlineStr">
        <is>
          <t>Hat meşgul. Bilgi işlem de yeni sistemi kullanıyormuş.</t>
        </is>
      </c>
      <c r="K684" s="6" t="inlineStr">
        <is>
          <t>Uzaktan bağlandılar ve üç saat boyunca masaüstü arka planını tartıştılar.</t>
        </is>
      </c>
      <c r="L684" s="6" t="inlineStr"/>
      <c r="M684" s="5" t="inlineStr"/>
      <c r="N684" s="5" t="inlineStr"/>
      <c r="O684" s="6" t="inlineStr"/>
      <c r="P684" s="6" t="inlineStr"/>
      <c r="Q684" s="5" t="inlineStr"/>
      <c r="R684" s="5" t="inlineStr"/>
      <c r="S684" s="5" t="inlineStr"/>
      <c r="T684" s="5" t="inlineStr"/>
      <c r="U684" s="5" t="inlineStr"/>
      <c r="V684" s="5" t="inlineStr"/>
      <c r="W684" s="5" t="inlineStr"/>
      <c r="X684" s="5" t="inlineStr"/>
      <c r="Y684" s="5" t="inlineStr"/>
      <c r="Z684" s="6" t="inlineStr"/>
      <c r="AA684" s="5" t="inlineStr"/>
      <c r="AB684" s="5" t="inlineStr"/>
      <c r="AC684" s="5" t="inlineStr"/>
      <c r="AD684" s="5" t="inlineStr"/>
      <c r="AE684" s="5" t="inlineStr"/>
      <c r="AF684" s="5" t="inlineStr"/>
      <c r="AG684" s="5" t="inlineStr"/>
      <c r="AH684" s="5" t="inlineStr"/>
    </row>
    <row r="685">
      <c r="A685" s="5" t="inlineStr">
        <is>
          <t>mm-sistem-coktu</t>
        </is>
      </c>
      <c r="B685" s="5" t="n">
        <v>3</v>
      </c>
      <c r="C685" s="6" t="inlineStr">
        <is>
          <t>Sistemi kendin çöz</t>
        </is>
      </c>
      <c r="D685" s="5" t="inlineStr">
        <is>
          <t>Akıl</t>
        </is>
      </c>
      <c r="E685" s="5" t="inlineStr">
        <is>
          <t>Zor</t>
        </is>
      </c>
      <c r="F685" s="5" t="inlineStr"/>
      <c r="G685" s="6" t="inlineStr"/>
      <c r="H685" s="6" t="inlineStr">
        <is>
          <t>Yeniden başlatmanın gizli bir sırası olduğunu buldun. Dairenin en değerli bilgisi artık sende.</t>
        </is>
      </c>
      <c r="I685" s="6" t="inlineStr">
        <is>
          <t>Bütün müdürlükler senin yönteminle açıldı. Kayıtlarda adın yok; sistem o sırada kayıt tutmuyordu.</t>
        </is>
      </c>
      <c r="J685" s="6" t="inlineStr">
        <is>
          <t>Sistem bir kez daha çöktü. Bu sefer kayıtlarda senin kullanıcı adınla.</t>
        </is>
      </c>
      <c r="K685" s="6" t="inlineStr">
        <is>
          <t>Bütün kurumun ekranında senin masaüstün yansıdı. Masaüstünde 'emekliliğe kalan gün' tablosu açıktı.</t>
        </is>
      </c>
      <c r="L685" s="6" t="inlineStr"/>
      <c r="M685" s="5" t="inlineStr"/>
      <c r="N685" s="5" t="inlineStr"/>
      <c r="O685" s="6" t="inlineStr"/>
      <c r="P685" s="6" t="inlineStr"/>
      <c r="Q685" s="5" t="inlineStr">
        <is>
          <t>Teknoloji Merakı</t>
        </is>
      </c>
      <c r="R685" s="5" t="inlineStr"/>
      <c r="S685" s="5" t="inlineStr"/>
      <c r="T685" s="5" t="inlineStr"/>
      <c r="U685" s="5" t="inlineStr"/>
      <c r="V685" s="5" t="inlineStr"/>
      <c r="W685" s="5" t="inlineStr"/>
      <c r="X685" s="5" t="inlineStr"/>
      <c r="Y685" s="5" t="inlineStr"/>
      <c r="Z685" s="6" t="inlineStr"/>
      <c r="AA685" s="5" t="inlineStr"/>
      <c r="AB685" s="5" t="inlineStr"/>
      <c r="AC685" s="5" t="inlineStr"/>
      <c r="AD685" s="5" t="inlineStr"/>
      <c r="AE685" s="5" t="inlineStr"/>
      <c r="AF685" s="5" t="inlineStr"/>
      <c r="AG685" s="5" t="inlineStr"/>
      <c r="AH685" s="5" t="inlineStr"/>
    </row>
    <row r="686">
      <c r="A686" s="5" t="inlineStr">
        <is>
          <t>mm-sistem-coktu</t>
        </is>
      </c>
      <c r="B686" s="5" t="n">
        <v>4</v>
      </c>
      <c r="C686" s="6" t="inlineStr">
        <is>
          <t>'Sistemde görünmüyor' de</t>
        </is>
      </c>
      <c r="D686" s="5" t="inlineStr">
        <is>
          <t>Pişkinlik</t>
        </is>
      </c>
      <c r="E686" s="5" t="inlineStr">
        <is>
          <t>Kolay</t>
        </is>
      </c>
      <c r="F686" s="5" t="inlineStr"/>
      <c r="G686" s="6" t="inlineStr"/>
      <c r="H686" s="6" t="inlineStr">
        <is>
          <t>Doğruydu. Sistem de görünmüyordu.</t>
        </is>
      </c>
      <c r="I686" s="6" t="inlineStr">
        <is>
          <t>O kadar ikna edici söyledin ki vatandaşlar sana teşekkür edip evlerine döndü.</t>
        </is>
      </c>
      <c r="J686" s="6" t="inlineStr">
        <is>
          <t>Vatandaş telefonundan kendi kaydını gösterdi. Onun sistemi çalışıyor.</t>
        </is>
      </c>
      <c r="K686" s="6" t="inlineStr">
        <is>
          <t>Herkesi yarına gönderdin. Yarın sistem yine çöktü. Kapıdaki sıra artık iki günlük.</t>
        </is>
      </c>
      <c r="L686" s="6" t="inlineStr"/>
      <c r="M686" s="5" t="inlineStr"/>
      <c r="N686" s="5" t="inlineStr"/>
      <c r="O686" s="6" t="inlineStr"/>
      <c r="P686" s="6" t="inlineStr"/>
      <c r="Q686" s="5" t="inlineStr"/>
      <c r="R686" s="5" t="inlineStr"/>
      <c r="S686" s="5" t="inlineStr"/>
      <c r="T686" s="5" t="inlineStr"/>
      <c r="U686" s="5" t="inlineStr"/>
      <c r="V686" s="5" t="inlineStr"/>
      <c r="W686" s="5" t="inlineStr"/>
      <c r="X686" s="5" t="inlineStr"/>
      <c r="Y686" s="5" t="inlineStr"/>
      <c r="Z686" s="6" t="inlineStr"/>
      <c r="AA686" s="5" t="inlineStr"/>
      <c r="AB686" s="5" t="inlineStr"/>
      <c r="AC686" s="5" t="inlineStr"/>
      <c r="AD686" s="5" t="inlineStr"/>
      <c r="AE686" s="5" t="inlineStr"/>
      <c r="AF686" s="5" t="inlineStr"/>
      <c r="AG686" s="5" t="inlineStr"/>
      <c r="AH686" s="5" t="inlineStr"/>
    </row>
    <row r="687">
      <c r="A687" s="5" t="inlineStr">
        <is>
          <t>b7-kayinvalide</t>
        </is>
      </c>
      <c r="B687" s="5" t="n">
        <v>1</v>
      </c>
      <c r="C687" s="6" t="inlineStr">
        <is>
          <t>Gülümse, çay tazele</t>
        </is>
      </c>
      <c r="D687" s="5" t="inlineStr"/>
      <c r="E687" s="5" t="inlineStr"/>
      <c r="F687" s="5" t="inlineStr">
        <is>
          <t>İtibar +1</t>
        </is>
      </c>
      <c r="G687" s="6" t="inlineStr">
        <is>
          <t>Çay tazelendi. Hmm'nin anlamı aile içi arşivde incelenmeye alındı.</t>
        </is>
      </c>
      <c r="H687" s="6" t="inlineStr"/>
      <c r="I687" s="6" t="inlineStr"/>
      <c r="J687" s="6" t="inlineStr"/>
      <c r="K687" s="6" t="inlineStr"/>
      <c r="L687" s="6" t="inlineStr"/>
      <c r="M687" s="5" t="inlineStr"/>
      <c r="N687" s="5" t="inlineStr"/>
      <c r="O687" s="6" t="inlineStr"/>
      <c r="P687" s="6" t="inlineStr"/>
      <c r="Q687" s="5" t="inlineStr"/>
      <c r="R687" s="5" t="inlineStr"/>
      <c r="S687" s="5" t="inlineStr"/>
      <c r="T687" s="5" t="inlineStr"/>
      <c r="U687" s="5" t="inlineStr"/>
      <c r="V687" s="5" t="inlineStr"/>
      <c r="W687" s="5" t="inlineStr"/>
      <c r="X687" s="5" t="inlineStr"/>
      <c r="Y687" s="5" t="inlineStr"/>
      <c r="Z687" s="6" t="inlineStr"/>
      <c r="AA687" s="5" t="inlineStr"/>
      <c r="AB687" s="5" t="inlineStr"/>
      <c r="AC687" s="5" t="inlineStr"/>
      <c r="AD687" s="5" t="inlineStr"/>
      <c r="AE687" s="5" t="inlineStr"/>
      <c r="AF687" s="5" t="inlineStr"/>
      <c r="AG687" s="5" t="inlineStr"/>
      <c r="AH687" s="5" t="inlineStr"/>
    </row>
    <row r="688">
      <c r="A688" s="5" t="inlineStr">
        <is>
          <t>b7-kayinvalide</t>
        </is>
      </c>
      <c r="B688" s="5" t="n">
        <v>2</v>
      </c>
      <c r="C688" s="6" t="inlineStr">
        <is>
          <t>Tarifi kayınvalideye danış</t>
        </is>
      </c>
      <c r="D688" s="5" t="inlineStr">
        <is>
          <t>Sosyal Radar</t>
        </is>
      </c>
      <c r="E688" s="5" t="inlineStr">
        <is>
          <t>Zor</t>
        </is>
      </c>
      <c r="F688" s="5" t="inlineStr"/>
      <c r="G688" s="6" t="inlineStr"/>
      <c r="H688" s="6" t="inlineStr">
        <is>
          <t>Tarifi sordun. Kayınvalide yirmi dakika anlattı. Artık bir müttefikin var.</t>
        </is>
      </c>
      <c r="I688" s="6" t="inlineStr">
        <is>
          <t>Tarifi sordun, sonraki pazar birlikte menemen yaptınız. Aile grubunda eşinden önce sen etiketleniyorsun.</t>
        </is>
      </c>
      <c r="J688" s="6" t="inlineStr">
        <is>
          <t>Tarifi sordun. 'Sen bilirsin' dedi. Bu, 'Hmm'nin genişletilmiş hâli.</t>
        </is>
      </c>
      <c r="K688" s="6" t="inlineStr">
        <is>
          <t>Tarifi sordun; kayınvalide kendi tarifini yazdı, mutfağına asmanı istedi. Mutfağın artık ortak mülkiyette.</t>
        </is>
      </c>
      <c r="L688" s="6" t="inlineStr"/>
      <c r="M688" s="5" t="inlineStr"/>
      <c r="N688" s="5" t="inlineStr"/>
      <c r="O688" s="6" t="inlineStr"/>
      <c r="P688" s="6" t="inlineStr"/>
      <c r="Q688" s="5" t="inlineStr"/>
      <c r="R688" s="5" t="inlineStr"/>
      <c r="S688" s="5" t="inlineStr"/>
      <c r="T688" s="5" t="inlineStr">
        <is>
          <t>Kayınvalide Diplomatı</t>
        </is>
      </c>
      <c r="U688" s="5" t="inlineStr"/>
      <c r="V688" s="5" t="inlineStr"/>
      <c r="W688" s="5" t="inlineStr"/>
      <c r="X688" s="5" t="inlineStr"/>
      <c r="Y688" s="5" t="inlineStr"/>
      <c r="Z688" s="6" t="inlineStr"/>
      <c r="AA688" s="5" t="inlineStr"/>
      <c r="AB688" s="5" t="inlineStr"/>
      <c r="AC688" s="5" t="inlineStr"/>
      <c r="AD688" s="5" t="inlineStr"/>
      <c r="AE688" s="5" t="inlineStr"/>
      <c r="AF688" s="5" t="inlineStr"/>
      <c r="AG688" s="5" t="inlineStr"/>
      <c r="AH688" s="5" t="inlineStr"/>
    </row>
    <row r="689">
      <c r="A689" s="5" t="inlineStr">
        <is>
          <t>b7-kayinvalide</t>
        </is>
      </c>
      <c r="B689" s="5" t="n">
        <v>3</v>
      </c>
      <c r="C689" s="6" t="inlineStr">
        <is>
          <t>'Menemeni eşim yaptı' de</t>
        </is>
      </c>
      <c r="D689" s="5" t="inlineStr">
        <is>
          <t>Pişkinlik</t>
        </is>
      </c>
      <c r="E689" s="5" t="inlineStr">
        <is>
          <t>Orta</t>
        </is>
      </c>
      <c r="F689" s="5" t="inlineStr"/>
      <c r="G689" s="6" t="inlineStr"/>
      <c r="H689" s="6" t="inlineStr">
        <is>
          <t>Eleştiri anında övgüye dönüştü. Menemen o gün 'harika' ilan edildi.</t>
        </is>
      </c>
      <c r="I689" s="6" t="inlineStr">
        <is>
          <t>Kayınvalide menemeni öyle övdü ki eşin sonraki bayram için menemen hazırlamakla görevlendirildi. Sen izledin.</t>
        </is>
      </c>
      <c r="J689" s="6" t="inlineStr">
        <is>
          <t>Eşin 'Ben yapmadım' dedi. Masada iki 'Hmm' vardı artık.</t>
        </is>
      </c>
      <c r="K689" s="6" t="inlineStr">
        <is>
          <t>Kayınvalide kalkıp 'Bir daha yapsın o zaman, izleyelim' dedi. Pazar kahvaltısı canlı bir sınava dönüştü.</t>
        </is>
      </c>
      <c r="L689" s="6" t="inlineStr"/>
      <c r="M689" s="5" t="inlineStr"/>
      <c r="N689" s="5" t="inlineStr"/>
      <c r="O689" s="6" t="inlineStr"/>
      <c r="P689" s="6" t="inlineStr"/>
      <c r="Q689" s="5" t="inlineStr"/>
      <c r="R689" s="5" t="inlineStr"/>
      <c r="S689" s="5" t="inlineStr">
        <is>
          <t>Sosyal Radar</t>
        </is>
      </c>
      <c r="T689" s="5" t="inlineStr"/>
      <c r="U689" s="5" t="inlineStr"/>
      <c r="V689" s="5" t="inlineStr"/>
      <c r="W689" s="5" t="inlineStr"/>
      <c r="X689" s="5" t="inlineStr"/>
      <c r="Y689" s="5" t="inlineStr"/>
      <c r="Z689" s="6" t="inlineStr"/>
      <c r="AA689" s="5" t="inlineStr"/>
      <c r="AB689" s="5" t="inlineStr"/>
      <c r="AC689" s="5" t="inlineStr"/>
      <c r="AD689" s="5" t="inlineStr"/>
      <c r="AE689" s="5" t="inlineStr"/>
      <c r="AF689" s="5" t="inlineStr"/>
      <c r="AG689" s="5" t="inlineStr"/>
      <c r="AH689" s="5" t="inlineStr"/>
    </row>
    <row r="690">
      <c r="A690" s="5" t="inlineStr">
        <is>
          <t>b7-kayinvalide</t>
        </is>
      </c>
      <c r="B690" s="5" t="n">
        <v>4</v>
      </c>
      <c r="C690" s="6" t="inlineStr">
        <is>
          <t>Kayınpederle maç sohbetine sığın</t>
        </is>
      </c>
      <c r="D690" s="5" t="inlineStr">
        <is>
          <t>Çene</t>
        </is>
      </c>
      <c r="E690" s="5" t="inlineStr">
        <is>
          <t>Kolay</t>
        </is>
      </c>
      <c r="F690" s="5" t="inlineStr"/>
      <c r="G690" s="6" t="inlineStr"/>
      <c r="H690" s="6" t="inlineStr">
        <is>
          <t>Şehrin büyük takımını konuştunuz. Kayınpeder seni masanın öbür ucundan korudu.</t>
        </is>
      </c>
      <c r="I690" s="6" t="inlineStr">
        <is>
          <t>Kayınpederle o kadar iyi anlaştın ki seni maça davet etti. Eşin davetsiz kaldı.</t>
        </is>
      </c>
      <c r="J690" s="6" t="inlineStr">
        <is>
          <t>Kayınpeder rakip takımı tutuyormuş. Masada ikinci bir cephe açıldı.</t>
        </is>
      </c>
      <c r="K690" s="6" t="inlineStr">
        <is>
          <t>Maç konuşurken çay bardağını devirdin. Kayınvalideye yeni bir 'Hmm' için malzeme çıktı.</t>
        </is>
      </c>
      <c r="L690" s="6" t="inlineStr"/>
      <c r="M690" s="5" t="inlineStr"/>
      <c r="N690" s="5" t="inlineStr"/>
      <c r="O690" s="6" t="inlineStr"/>
      <c r="P690" s="6" t="inlineStr"/>
      <c r="Q690" s="5" t="inlineStr"/>
      <c r="R690" s="5" t="inlineStr"/>
      <c r="S690" s="5" t="inlineStr"/>
      <c r="T690" s="5" t="inlineStr"/>
      <c r="U690" s="5" t="inlineStr"/>
      <c r="V690" s="5" t="inlineStr"/>
      <c r="W690" s="5" t="inlineStr"/>
      <c r="X690" s="5" t="inlineStr"/>
      <c r="Y690" s="5" t="inlineStr"/>
      <c r="Z690" s="6" t="inlineStr"/>
      <c r="AA690" s="5" t="inlineStr"/>
      <c r="AB690" s="5" t="inlineStr"/>
      <c r="AC690" s="5" t="inlineStr"/>
      <c r="AD690" s="5" t="inlineStr"/>
      <c r="AE690" s="5" t="inlineStr"/>
      <c r="AF690" s="5" t="inlineStr"/>
      <c r="AG690" s="5" t="inlineStr"/>
      <c r="AH690" s="5" t="inlineStr"/>
    </row>
    <row r="691">
      <c r="A691" s="5" t="inlineStr">
        <is>
          <t>b7-akraba-tanisma</t>
        </is>
      </c>
      <c r="B691" s="5" t="n">
        <v>1</v>
      </c>
      <c r="C691" s="6" t="inlineStr">
        <is>
          <t>Nezaketle katıl, sonra kaç</t>
        </is>
      </c>
      <c r="D691" s="5" t="inlineStr"/>
      <c r="E691" s="5" t="inlineStr"/>
      <c r="F691" s="5" t="inlineStr">
        <is>
          <t>Sosyal Radar +1</t>
        </is>
      </c>
      <c r="G691" s="6" t="inlineStr">
        <is>
          <t>Kırk dakika hava durumu konuştunuz. İki teyze sonuçtan memnun, siz ikiniz değil.</t>
        </is>
      </c>
      <c r="H691" s="6" t="inlineStr"/>
      <c r="I691" s="6" t="inlineStr"/>
      <c r="J691" s="6" t="inlineStr"/>
      <c r="K691" s="6" t="inlineStr"/>
      <c r="L691" s="6" t="inlineStr"/>
      <c r="M691" s="5" t="inlineStr"/>
      <c r="N691" s="5" t="inlineStr"/>
      <c r="O691" s="6" t="inlineStr"/>
      <c r="P691" s="6" t="inlineStr"/>
      <c r="Q691" s="5" t="inlineStr"/>
      <c r="R691" s="5" t="inlineStr"/>
      <c r="S691" s="5" t="inlineStr"/>
      <c r="T691" s="5" t="inlineStr"/>
      <c r="U691" s="5" t="inlineStr"/>
      <c r="V691" s="5" t="inlineStr"/>
      <c r="W691" s="5" t="inlineStr"/>
      <c r="X691" s="5" t="inlineStr"/>
      <c r="Y691" s="5" t="inlineStr"/>
      <c r="Z691" s="6" t="inlineStr"/>
      <c r="AA691" s="5" t="inlineStr"/>
      <c r="AB691" s="5" t="inlineStr"/>
      <c r="AC691" s="5" t="inlineStr"/>
      <c r="AD691" s="5" t="inlineStr"/>
      <c r="AE691" s="5" t="inlineStr"/>
      <c r="AF691" s="5" t="inlineStr"/>
      <c r="AG691" s="5" t="inlineStr"/>
      <c r="AH691" s="5" t="inlineStr"/>
    </row>
    <row r="692">
      <c r="A692" s="5" t="inlineStr">
        <is>
          <t>b7-akraba-tanisma</t>
        </is>
      </c>
      <c r="B692" s="5" t="n">
        <v>2</v>
      </c>
      <c r="C692" s="6" t="inlineStr">
        <is>
          <t>Karşı tarafla göz göze gelip teyzelere karşı ittifak kur</t>
        </is>
      </c>
      <c r="D692" s="5" t="inlineStr">
        <is>
          <t>Sosyal Radar</t>
        </is>
      </c>
      <c r="E692" s="5" t="inlineStr">
        <is>
          <t>Kolay</t>
        </is>
      </c>
      <c r="F692" s="5" t="inlineStr"/>
      <c r="G692" s="6" t="inlineStr"/>
      <c r="H692" s="6" t="inlineStr">
        <is>
          <t>Aynı anda göz devirdiniz. Buluşmayı kendiniz sonlandırıp kahveye başka yerde devam ettiniz.</t>
        </is>
      </c>
      <c r="I692" s="6" t="inlineStr">
        <is>
          <t>İttifak o kadar iyi işledi ki iki teyzeyi birbirine tanıştırıp kalktınız. Teyzeler hâlâ görüşüyor.</t>
        </is>
      </c>
      <c r="J692" s="6" t="inlineStr">
        <is>
          <t>Göz kırptın. Karşı taraf bunu farklı yorumladı. İkinci buluşma ayarlandı.</t>
        </is>
      </c>
      <c r="K692" s="6" t="inlineStr">
        <is>
          <t>Göz devirirken teyzen seni yakaladı. Aile grubunda 'saygısızlık' başlıklı bir sesli mesaj dolaşıyor.</t>
        </is>
      </c>
      <c r="L692" s="6" t="inlineStr"/>
      <c r="M692" s="5" t="inlineStr"/>
      <c r="N692" s="5" t="inlineStr"/>
      <c r="O692" s="6" t="inlineStr"/>
      <c r="P692" s="6" t="inlineStr"/>
      <c r="Q692" s="5" t="inlineStr"/>
      <c r="R692" s="5" t="inlineStr"/>
      <c r="S692" s="5" t="inlineStr">
        <is>
          <t>Sosyal Radar</t>
        </is>
      </c>
      <c r="T692" s="5" t="inlineStr"/>
      <c r="U692" s="5" t="inlineStr"/>
      <c r="V692" s="5" t="inlineStr"/>
      <c r="W692" s="5" t="inlineStr"/>
      <c r="X692" s="5" t="inlineStr"/>
      <c r="Y692" s="5" t="inlineStr"/>
      <c r="Z692" s="6" t="inlineStr"/>
      <c r="AA692" s="5" t="inlineStr"/>
      <c r="AB692" s="5" t="inlineStr"/>
      <c r="AC692" s="5" t="inlineStr"/>
      <c r="AD692" s="5" t="inlineStr"/>
      <c r="AE692" s="5" t="inlineStr"/>
      <c r="AF692" s="5" t="inlineStr"/>
      <c r="AG692" s="5" t="inlineStr"/>
      <c r="AH692" s="5" t="inlineStr"/>
    </row>
    <row r="693">
      <c r="A693" s="5" t="inlineStr">
        <is>
          <t>b7-akraba-tanisma</t>
        </is>
      </c>
      <c r="B693" s="5" t="n">
        <v>3</v>
      </c>
      <c r="C693" s="6" t="inlineStr">
        <is>
          <t>Kendini olabildiğince sıkıcı anlat</t>
        </is>
      </c>
      <c r="D693" s="5" t="inlineStr">
        <is>
          <t>Pişkinlik</t>
        </is>
      </c>
      <c r="E693" s="5" t="inlineStr">
        <is>
          <t>Orta</t>
        </is>
      </c>
      <c r="F693" s="5" t="inlineStr"/>
      <c r="G693" s="6" t="inlineStr"/>
      <c r="H693" s="6" t="inlineStr">
        <is>
          <t>Vergi mevzuatını anlattın. Tanışma yirmi dakikada, herkesin rızasıyla sona erdi.</t>
        </is>
      </c>
      <c r="I693" s="6" t="inlineStr">
        <is>
          <t>Öyle sıkıcıydın ki karşı taraf 'Ben de tam böyle birini arıyordum' dedi. Gerçekten sevindin.</t>
        </is>
      </c>
      <c r="J693" s="6" t="inlineStr">
        <is>
          <t>Sıkıcı olmaya çalıştın ama o konu karşı tarafın uzmanlık alanıymış. Üç saat konuştunuz.</t>
        </is>
      </c>
      <c r="K693" s="6" t="inlineStr">
        <is>
          <t>Sıkıcılığın teyzelere 'ciddi insan' olarak yansıdı. Nişan tarihi konuşuluyor.</t>
        </is>
      </c>
      <c r="L693" s="6" t="inlineStr"/>
      <c r="M693" s="5" t="inlineStr"/>
      <c r="N693" s="5" t="inlineStr"/>
      <c r="O693" s="6" t="inlineStr"/>
      <c r="P693" s="6" t="inlineStr"/>
      <c r="Q693" s="5" t="inlineStr"/>
      <c r="R693" s="5" t="inlineStr"/>
      <c r="S693" s="5" t="inlineStr"/>
      <c r="T693" s="5" t="inlineStr"/>
      <c r="U693" s="5" t="inlineStr"/>
      <c r="V693" s="5" t="inlineStr"/>
      <c r="W693" s="5" t="inlineStr"/>
      <c r="X693" s="5" t="inlineStr"/>
      <c r="Y693" s="5" t="inlineStr"/>
      <c r="Z693" s="6" t="inlineStr"/>
      <c r="AA693" s="5" t="inlineStr"/>
      <c r="AB693" s="5" t="inlineStr"/>
      <c r="AC693" s="5" t="inlineStr"/>
      <c r="AD693" s="5" t="inlineStr"/>
      <c r="AE693" s="5" t="inlineStr"/>
      <c r="AF693" s="5" t="inlineStr"/>
      <c r="AG693" s="5" t="inlineStr"/>
      <c r="AH693" s="5" t="inlineStr"/>
    </row>
    <row r="694">
      <c r="A694" s="5" t="inlineStr">
        <is>
          <t>b7-ortak-hesap</t>
        </is>
      </c>
      <c r="B694" s="5" t="n">
        <v>1</v>
      </c>
      <c r="C694" s="6" t="inlineStr">
        <is>
          <t>'Evet, şeffaflık' de</t>
        </is>
      </c>
      <c r="D694" s="5" t="inlineStr"/>
      <c r="E694" s="5" t="inlineStr"/>
      <c r="F694" s="5" t="inlineStr">
        <is>
          <t>İtibar +1</t>
        </is>
      </c>
      <c r="G694" s="6" t="inlineStr">
        <is>
          <t>Bildirimler ikinize de gidiyor. Gece yarısı yemek siparişleri artık kamuya açık.</t>
        </is>
      </c>
      <c r="H694" s="6" t="inlineStr"/>
      <c r="I694" s="6" t="inlineStr"/>
      <c r="J694" s="6" t="inlineStr"/>
      <c r="K694" s="6" t="inlineStr"/>
      <c r="L694" s="6" t="inlineStr"/>
      <c r="M694" s="5" t="inlineStr"/>
      <c r="N694" s="5" t="inlineStr"/>
      <c r="O694" s="6" t="inlineStr"/>
      <c r="P694" s="6" t="inlineStr"/>
      <c r="Q694" s="5" t="inlineStr"/>
      <c r="R694" s="5" t="inlineStr"/>
      <c r="S694" s="5" t="inlineStr"/>
      <c r="T694" s="5" t="inlineStr"/>
      <c r="U694" s="5" t="inlineStr"/>
      <c r="V694" s="5" t="inlineStr"/>
      <c r="W694" s="5" t="inlineStr"/>
      <c r="X694" s="5" t="inlineStr"/>
      <c r="Y694" s="5" t="inlineStr"/>
      <c r="Z694" s="6" t="inlineStr"/>
      <c r="AA694" s="5" t="inlineStr"/>
      <c r="AB694" s="5" t="inlineStr"/>
      <c r="AC694" s="5" t="inlineStr"/>
      <c r="AD694" s="5" t="inlineStr"/>
      <c r="AE694" s="5" t="inlineStr"/>
      <c r="AF694" s="5" t="inlineStr"/>
      <c r="AG694" s="5" t="inlineStr"/>
      <c r="AH694" s="5" t="inlineStr"/>
    </row>
    <row r="695">
      <c r="A695" s="5" t="inlineStr">
        <is>
          <t>b7-ortak-hesap</t>
        </is>
      </c>
      <c r="B695" s="5" t="n">
        <v>2</v>
      </c>
      <c r="C695" s="6" t="inlineStr">
        <is>
          <t>Bütçe tablosu hazırla</t>
        </is>
      </c>
      <c r="D695" s="5" t="inlineStr">
        <is>
          <t>Akıl</t>
        </is>
      </c>
      <c r="E695" s="5" t="inlineStr">
        <is>
          <t>Zor</t>
        </is>
      </c>
      <c r="F695" s="5" t="inlineStr"/>
      <c r="G695" s="6" t="inlineStr"/>
      <c r="H695" s="6" t="inlineStr">
        <is>
          <t>Tablo hazır: gelir, gider, 'keyfi harcamalar'. Son sütun en kalabalık olanı.</t>
        </is>
      </c>
      <c r="I695" s="6" t="inlineStr">
        <is>
          <t>Tablon öyle kusursuzdu ki eşin onu ailesine gösterdi. Aile de kendi bütçesini sana yaptırmak istiyor.</t>
        </is>
      </c>
      <c r="J695" s="6" t="inlineStr">
        <is>
          <t>Tablo hazırlandı. Kimse açmadı. Tablo şu an masaüstünde, 'yeni klasör (3)' içinde.</t>
        </is>
      </c>
      <c r="K695" s="6" t="inlineStr">
        <is>
          <t>Tabloya göre ikiniz de altı aydır iflastasınız. Kimse bu bilgiyi istememişti.</t>
        </is>
      </c>
      <c r="L695" s="6" t="inlineStr"/>
      <c r="M695" s="5" t="inlineStr"/>
      <c r="N695" s="5" t="inlineStr"/>
      <c r="O695" s="6" t="inlineStr"/>
      <c r="P695" s="6" t="inlineStr"/>
      <c r="Q695" s="5" t="inlineStr"/>
      <c r="R695" s="5" t="inlineStr"/>
      <c r="S695" s="5" t="inlineStr"/>
      <c r="T695" s="5" t="inlineStr">
        <is>
          <t>Tablo Ustası</t>
        </is>
      </c>
      <c r="U695" s="5" t="inlineStr"/>
      <c r="V695" s="5" t="inlineStr"/>
      <c r="W695" s="5" t="inlineStr"/>
      <c r="X695" s="5" t="inlineStr"/>
      <c r="Y695" s="5" t="inlineStr"/>
      <c r="Z695" s="6" t="inlineStr"/>
      <c r="AA695" s="5" t="inlineStr"/>
      <c r="AB695" s="5" t="inlineStr"/>
      <c r="AC695" s="5" t="inlineStr"/>
      <c r="AD695" s="5" t="inlineStr"/>
      <c r="AE695" s="5" t="inlineStr"/>
      <c r="AF695" s="5" t="inlineStr"/>
      <c r="AG695" s="5" t="inlineStr"/>
      <c r="AH695" s="5" t="inlineStr"/>
    </row>
    <row r="696">
      <c r="A696" s="5" t="inlineStr">
        <is>
          <t>b7-ortak-hesap</t>
        </is>
      </c>
      <c r="B696" s="5" t="n">
        <v>3</v>
      </c>
      <c r="C696" s="6" t="inlineStr">
        <is>
          <t>Gizli bir 'kendime' hesabı aç</t>
        </is>
      </c>
      <c r="D696" s="5" t="inlineStr">
        <is>
          <t>Kurnazlık</t>
        </is>
      </c>
      <c r="E696" s="5" t="inlineStr">
        <is>
          <t>Zor</t>
        </is>
      </c>
      <c r="F696" s="5" t="inlineStr"/>
      <c r="G696" s="6" t="inlineStr"/>
      <c r="H696" s="6" t="inlineStr">
        <is>
          <t>Yan hesap sessizce açıldı. Adı 'Acil durum'. Acil durum henüz tanımlanmadı.</t>
        </is>
      </c>
      <c r="I696" s="6" t="inlineStr">
        <is>
          <t>Gizli hesap o kadar iyi yönetildi ki yıl dönümü hediyesi oradan çıktı. Eşin çok sevindi, kaynağı sormadı.</t>
        </is>
      </c>
      <c r="J696" s="6" t="inlineStr">
        <is>
          <t>Banka temsilcisi yeni hesabı yüksek sesle onayladı. Eşin yanındaydı.</t>
        </is>
      </c>
      <c r="K696" s="6" t="inlineStr">
        <is>
          <t>Gizli hesabın bildirimleri ortak telefona gitti. Hesap adı 'Kaçış Fonu'ydu. Açıklama bekleniyor.</t>
        </is>
      </c>
      <c r="L696" s="6" t="inlineStr"/>
      <c r="M696" s="5" t="inlineStr"/>
      <c r="N696" s="5" t="inlineStr"/>
      <c r="O696" s="6" t="inlineStr"/>
      <c r="P696" s="6" t="inlineStr"/>
      <c r="Q696" s="5" t="inlineStr"/>
      <c r="R696" s="5" t="inlineStr"/>
      <c r="S696" s="5" t="inlineStr"/>
      <c r="T696" s="5" t="inlineStr"/>
      <c r="U696" s="5" t="inlineStr"/>
      <c r="V696" s="5" t="inlineStr"/>
      <c r="W696" s="5" t="inlineStr"/>
      <c r="X696" s="5" t="inlineStr"/>
      <c r="Y696" s="5" t="inlineStr"/>
      <c r="Z696" s="6" t="inlineStr"/>
      <c r="AA696" s="5" t="inlineStr"/>
      <c r="AB696" s="5" t="inlineStr"/>
      <c r="AC696" s="5" t="inlineStr"/>
      <c r="AD696" s="5" t="inlineStr"/>
      <c r="AE696" s="5" t="inlineStr"/>
      <c r="AF696" s="5" t="inlineStr"/>
      <c r="AG696" s="5" t="inlineStr"/>
      <c r="AH696" s="5" t="inlineStr"/>
    </row>
    <row r="697">
      <c r="A697" s="5" t="inlineStr">
        <is>
          <t>b7-ortak-hesap</t>
        </is>
      </c>
      <c r="B697" s="5" t="n">
        <v>4</v>
      </c>
      <c r="C697" s="6" t="inlineStr">
        <is>
          <t>Eski borçlarını masaya koy</t>
        </is>
      </c>
      <c r="D697" s="5" t="inlineStr">
        <is>
          <t>İtibar</t>
        </is>
      </c>
      <c r="E697" s="5" t="inlineStr">
        <is>
          <t>Orta</t>
        </is>
      </c>
      <c r="F697" s="5" t="inlineStr"/>
      <c r="G697" s="6" t="inlineStr"/>
      <c r="H697" s="6" t="inlineStr">
        <is>
          <t>Borçlarını itiraf ettin. Eşin sarıldı. Sonra hesap makinesini aldı.</t>
        </is>
      </c>
      <c r="I697" s="6" t="inlineStr">
        <is>
          <t>İtirafın o kadar dürüsttü ki eşin de kendi taksitlerini açıkladı. Ortak bir kapanış planı yapıldı.</t>
        </is>
      </c>
      <c r="J697" s="6" t="inlineStr">
        <is>
          <t>İtiraf ettin. Eşin 'Bu kadar mı?' dedi. Değildi.</t>
        </is>
      </c>
      <c r="K697" s="6" t="inlineStr">
        <is>
          <t>İtiraf ederken rakamı yanlış söyledin. Gerçeği ertesi ay ekstre söyledi.</t>
        </is>
      </c>
      <c r="L697" s="6" t="inlineStr"/>
      <c r="M697" s="5" t="inlineStr"/>
      <c r="N697" s="5" t="inlineStr"/>
      <c r="O697" s="6" t="inlineStr"/>
      <c r="P697" s="6" t="inlineStr"/>
      <c r="Q697" s="5" t="inlineStr"/>
      <c r="R697" s="5" t="inlineStr">
        <is>
          <t>borclu</t>
        </is>
      </c>
      <c r="S697" s="5" t="inlineStr"/>
      <c r="T697" s="5" t="inlineStr"/>
      <c r="U697" s="5" t="inlineStr"/>
      <c r="V697" s="5" t="inlineStr"/>
      <c r="W697" s="5" t="inlineStr"/>
      <c r="X697" s="5" t="inlineStr"/>
      <c r="Y697" s="5" t="inlineStr"/>
      <c r="Z697" s="6" t="inlineStr"/>
      <c r="AA697" s="5" t="inlineStr"/>
      <c r="AB697" s="5" t="inlineStr"/>
      <c r="AC697" s="5" t="inlineStr"/>
      <c r="AD697" s="5" t="inlineStr"/>
      <c r="AE697" s="5" t="inlineStr"/>
      <c r="AF697" s="5" t="inlineStr"/>
      <c r="AG697" s="5" t="inlineStr"/>
      <c r="AH697" s="5" t="inlineStr"/>
    </row>
    <row r="698">
      <c r="A698" s="5" t="inlineStr">
        <is>
          <t>b7-spor-salonu</t>
        </is>
      </c>
      <c r="B698" s="5" t="n">
        <v>1</v>
      </c>
      <c r="C698" s="6" t="inlineStr">
        <is>
          <t>Aylık al, bakarız</t>
        </is>
      </c>
      <c r="D698" s="5" t="inlineStr"/>
      <c r="E698" s="5" t="inlineStr"/>
      <c r="F698" s="5" t="inlineStr">
        <is>
          <t>Akıl +1</t>
        </is>
      </c>
      <c r="G698" s="6" t="inlineStr">
        <is>
          <t>Aylık üyelik aldın. Üç kez gittin. Dördüncü seferde kapıdaki görevli seni tanımadı.</t>
        </is>
      </c>
      <c r="H698" s="6" t="inlineStr"/>
      <c r="I698" s="6" t="inlineStr"/>
      <c r="J698" s="6" t="inlineStr"/>
      <c r="K698" s="6" t="inlineStr"/>
      <c r="L698" s="6" t="inlineStr"/>
      <c r="M698" s="5" t="inlineStr"/>
      <c r="N698" s="5" t="inlineStr"/>
      <c r="O698" s="6" t="inlineStr"/>
      <c r="P698" s="6" t="inlineStr"/>
      <c r="Q698" s="5" t="inlineStr"/>
      <c r="R698" s="5" t="inlineStr"/>
      <c r="S698" s="5" t="inlineStr"/>
      <c r="T698" s="5" t="inlineStr"/>
      <c r="U698" s="5" t="inlineStr"/>
      <c r="V698" s="5" t="inlineStr"/>
      <c r="W698" s="5" t="inlineStr"/>
      <c r="X698" s="5" t="inlineStr"/>
      <c r="Y698" s="5" t="inlineStr"/>
      <c r="Z698" s="6" t="inlineStr"/>
      <c r="AA698" s="5" t="inlineStr"/>
      <c r="AB698" s="5" t="inlineStr"/>
      <c r="AC698" s="5" t="inlineStr"/>
      <c r="AD698" s="5" t="inlineStr"/>
      <c r="AE698" s="5" t="inlineStr"/>
      <c r="AF698" s="5" t="inlineStr"/>
      <c r="AG698" s="5" t="inlineStr"/>
      <c r="AH698" s="5" t="inlineStr"/>
    </row>
    <row r="699">
      <c r="A699" s="5" t="inlineStr">
        <is>
          <t>b7-spor-salonu</t>
        </is>
      </c>
      <c r="B699" s="5" t="n">
        <v>2</v>
      </c>
      <c r="C699" s="6" t="inlineStr">
        <is>
          <t>Yıllık al, her sabah git</t>
        </is>
      </c>
      <c r="D699" s="5" t="inlineStr">
        <is>
          <t>Dayanıklılık</t>
        </is>
      </c>
      <c r="E699" s="5" t="inlineStr">
        <is>
          <t>Zor</t>
        </is>
      </c>
      <c r="F699" s="5" t="inlineStr"/>
      <c r="G699" s="6" t="inlineStr"/>
      <c r="H699" s="6" t="inlineStr">
        <is>
          <t>Bir yıl boyunca haftada üç gün gittin. Merdivenler artık düşman değil.</t>
        </is>
      </c>
      <c r="I699" s="6" t="inlineStr">
        <is>
          <t>Salonun 'Ayın Üyesi' panosuna fotoğrafın asıldı. Eğitmen artık sana kasları göstermiyor, seninkilere bakıyor.</t>
        </is>
      </c>
      <c r="J699" s="6" t="inlineStr">
        <is>
          <t>Yıllık aldın. Mart ayında salonun yerini unuttun.</t>
        </is>
      </c>
      <c r="K699" s="6" t="inlineStr">
        <is>
          <t>Yıllık aldın, ilk gün sırtını tuttun, kalan on bir ay salon sana e-posta attı: 'Seni özledik.'</t>
        </is>
      </c>
      <c r="L699" s="6" t="inlineStr"/>
      <c r="M699" s="5" t="inlineStr"/>
      <c r="N699" s="5" t="inlineStr"/>
      <c r="O699" s="6" t="inlineStr"/>
      <c r="P699" s="6" t="inlineStr"/>
      <c r="Q699" s="5" t="inlineStr"/>
      <c r="R699" s="5" t="inlineStr"/>
      <c r="S699" s="5" t="inlineStr"/>
      <c r="T699" s="5" t="inlineStr"/>
      <c r="U699" s="5" t="inlineStr"/>
      <c r="V699" s="5" t="inlineStr">
        <is>
          <t>sporcu</t>
        </is>
      </c>
      <c r="W699" s="5" t="inlineStr"/>
      <c r="X699" s="5" t="inlineStr"/>
      <c r="Y699" s="5" t="inlineStr"/>
      <c r="Z699" s="6" t="inlineStr"/>
      <c r="AA699" s="5" t="inlineStr"/>
      <c r="AB699" s="5" t="inlineStr"/>
      <c r="AC699" s="5" t="inlineStr"/>
      <c r="AD699" s="5" t="inlineStr"/>
      <c r="AE699" s="5" t="inlineStr"/>
      <c r="AF699" s="5" t="inlineStr"/>
      <c r="AG699" s="5" t="inlineStr"/>
      <c r="AH699" s="5" t="inlineStr"/>
    </row>
    <row r="700">
      <c r="A700" s="5" t="inlineStr">
        <is>
          <t>b7-spor-salonu</t>
        </is>
      </c>
      <c r="B700" s="5" t="n">
        <v>3</v>
      </c>
      <c r="C700" s="6" t="inlineStr">
        <is>
          <t>İlk günden eğitmenin ağırlığını kaldırmaya çalış</t>
        </is>
      </c>
      <c r="D700" s="5" t="inlineStr">
        <is>
          <t>Cesaret</t>
        </is>
      </c>
      <c r="E700" s="5" t="inlineStr">
        <is>
          <t>Orta</t>
        </is>
      </c>
      <c r="F700" s="5" t="inlineStr"/>
      <c r="G700" s="6" t="inlineStr"/>
      <c r="H700" s="6" t="inlineStr">
        <is>
          <t>Kaldırdın. Eğitmen ilk kez karın kaslarını unuttu ve seni alkışladı.</t>
        </is>
      </c>
      <c r="I700" s="6" t="inlineStr">
        <is>
          <t>Kaldırdın, bir de rekor kırdın. Salonun sosyal medya hesabında 'motivasyon' başlıklı video oldun.</t>
        </is>
      </c>
      <c r="J700" s="6" t="inlineStr">
        <is>
          <t>Bar yarı yolda kaldı. Eğitmen 'Adım adım' dedi. Adımı o attı, barı o aldı.</t>
        </is>
      </c>
      <c r="K700" s="6" t="inlineStr">
        <is>
          <t>Barı kaldıramadın; bar da seni bırakmadı. Kurtarma operasyonuna üç kişi katıldı, biri çekti.</t>
        </is>
      </c>
      <c r="L700" s="6" t="inlineStr"/>
      <c r="M700" s="5" t="inlineStr"/>
      <c r="N700" s="5" t="inlineStr"/>
      <c r="O700" s="6" t="inlineStr"/>
      <c r="P700" s="6" t="inlineStr"/>
      <c r="Q700" s="5" t="inlineStr"/>
      <c r="R700" s="5" t="inlineStr"/>
      <c r="S700" s="5" t="inlineStr"/>
      <c r="T700" s="5" t="inlineStr"/>
      <c r="U700" s="5" t="inlineStr"/>
      <c r="V700" s="5" t="inlineStr">
        <is>
          <t>sporcu</t>
        </is>
      </c>
      <c r="W700" s="5" t="inlineStr"/>
      <c r="X700" s="5" t="inlineStr"/>
      <c r="Y700" s="5" t="n">
        <v>3</v>
      </c>
      <c r="Z700" s="6" t="inlineStr">
        <is>
          <t>Spor salonunun ilk gününde, eğitmene bir şey kanıtlamaya çalışırken.</t>
        </is>
      </c>
      <c r="AA700" s="5" t="inlineStr"/>
      <c r="AB700" s="5" t="inlineStr"/>
      <c r="AC700" s="5" t="inlineStr"/>
      <c r="AD700" s="5" t="inlineStr"/>
      <c r="AE700" s="5" t="inlineStr"/>
      <c r="AF700" s="5" t="inlineStr"/>
      <c r="AG700" s="5" t="inlineStr"/>
      <c r="AH700" s="5" t="inlineStr"/>
    </row>
    <row r="701">
      <c r="A701" s="5" t="inlineStr">
        <is>
          <t>b7-spor-salonu</t>
        </is>
      </c>
      <c r="B701" s="5" t="n">
        <v>4</v>
      </c>
      <c r="C701" s="6" t="inlineStr">
        <is>
          <t>Salonu dinlenme bölmesinde kullan</t>
        </is>
      </c>
      <c r="D701" s="5" t="inlineStr">
        <is>
          <t>Dayanıklılık</t>
        </is>
      </c>
      <c r="E701" s="5" t="inlineStr">
        <is>
          <t>Kolay</t>
        </is>
      </c>
      <c r="F701" s="5" t="inlineStr"/>
      <c r="G701" s="6" t="inlineStr"/>
      <c r="H701" s="6" t="inlineStr">
        <is>
          <t>Salona düzenli gittin; çoğu zaman sadece duş aldın. Yine de sayılır.</t>
        </is>
      </c>
      <c r="I701" s="6" t="inlineStr">
        <is>
          <t>İstikrarın öyle yüksekti ki gerçekten spor yapmaya başladın. Ne zaman olduğunu kendin de fark etmedin.</t>
        </is>
      </c>
      <c r="J701" s="6" t="inlineStr">
        <is>
          <t>Buhar odasında uyuyakaldın. Salon kapandı, sen kapanmadın.</t>
        </is>
      </c>
      <c r="K701" s="6" t="inlineStr">
        <is>
          <t>Buhar odasında o kadar vakit geçirdin ki üyeliğin 'kaplıca' kategorisine alındı ve fiyatı arttı.</t>
        </is>
      </c>
      <c r="L701" s="6" t="inlineStr"/>
      <c r="M701" s="5" t="inlineStr"/>
      <c r="N701" s="5" t="inlineStr"/>
      <c r="O701" s="6" t="inlineStr"/>
      <c r="P701" s="6" t="inlineStr"/>
      <c r="Q701" s="5" t="inlineStr">
        <is>
          <t>Kolay Dağılmaz</t>
        </is>
      </c>
      <c r="R701" s="5" t="inlineStr"/>
      <c r="S701" s="5" t="inlineStr"/>
      <c r="T701" s="5" t="inlineStr"/>
      <c r="U701" s="5" t="inlineStr"/>
      <c r="V701" s="5" t="inlineStr">
        <is>
          <t>sporcu</t>
        </is>
      </c>
      <c r="W701" s="5" t="inlineStr"/>
      <c r="X701" s="5" t="inlineStr"/>
      <c r="Y701" s="5" t="inlineStr"/>
      <c r="Z701" s="6" t="inlineStr"/>
      <c r="AA701" s="5" t="inlineStr"/>
      <c r="AB701" s="5" t="inlineStr"/>
      <c r="AC701" s="5" t="inlineStr"/>
      <c r="AD701" s="5" t="inlineStr"/>
      <c r="AE701" s="5" t="inlineStr"/>
      <c r="AF701" s="5" t="inlineStr"/>
      <c r="AG701" s="5" t="inlineStr"/>
      <c r="AH701" s="5" t="inlineStr"/>
    </row>
    <row r="702">
      <c r="A702" s="5" t="inlineStr">
        <is>
          <t>ms-viral</t>
        </is>
      </c>
      <c r="B702" s="5" t="n">
        <v>1</v>
      </c>
      <c r="C702" s="6" t="inlineStr">
        <is>
          <t>Canlı yayında tekrarla</t>
        </is>
      </c>
      <c r="D702" s="5" t="inlineStr">
        <is>
          <t>Pişkinlik</t>
        </is>
      </c>
      <c r="E702" s="5" t="inlineStr">
        <is>
          <t>Orta</t>
        </is>
      </c>
      <c r="F702" s="5" t="inlineStr"/>
      <c r="G702" s="6" t="inlineStr"/>
      <c r="H702" s="6" t="inlineStr">
        <is>
          <t>İki milyondan on iki bin kişi kaldı. Sadık bir kitle.</t>
        </is>
      </c>
      <c r="I702" s="6" t="inlineStr">
        <is>
          <t>Canlı yayın rekor kırdı. Üç ajans aradı; biri gerçekti.</t>
        </is>
      </c>
      <c r="J702" s="6" t="inlineStr">
        <is>
          <t>Canlıda bir yerde takıldın. Yorumlar: 'Montajmış zaten.'</t>
        </is>
      </c>
      <c r="K702" s="6" t="inlineStr">
        <is>
          <t>Canlı yayında ritmi kaybettin. Bu kez o video viral oldu. Daha çok.</t>
        </is>
      </c>
      <c r="L702" s="6" t="inlineStr">
        <is>
          <t>Yarı yarıya tuttu. Yorumların yarısı 'efsane', yarısı 'eh'.</t>
        </is>
      </c>
      <c r="M702" s="5" t="inlineStr">
        <is>
          <t>rhythm</t>
        </is>
      </c>
      <c r="N702" s="5" t="inlineStr">
        <is>
          <t>Canlı Performans</t>
        </is>
      </c>
      <c r="O702" s="6" t="inlineStr">
        <is>
          <t>Işık parladığı anda dokun. İki milyon kişi izliyor. Belki.</t>
        </is>
      </c>
      <c r="P702" s="6" t="inlineStr"/>
      <c r="Q702" s="5" t="inlineStr"/>
      <c r="R702" s="5" t="inlineStr"/>
      <c r="S702" s="5" t="inlineStr"/>
      <c r="T702" s="5" t="inlineStr"/>
      <c r="U702" s="5" t="inlineStr">
        <is>
          <t>serbest-viral-oldu</t>
        </is>
      </c>
      <c r="V702" s="5" t="inlineStr"/>
      <c r="W702" s="5" t="inlineStr"/>
      <c r="X702" s="5" t="inlineStr"/>
      <c r="Y702" s="5" t="inlineStr"/>
      <c r="Z702" s="6" t="inlineStr"/>
      <c r="AA702" s="5" t="inlineStr"/>
      <c r="AB702" s="5" t="inlineStr"/>
      <c r="AC702" s="5" t="inlineStr"/>
      <c r="AD702" s="5" t="inlineStr"/>
      <c r="AE702" s="5" t="inlineStr"/>
      <c r="AF702" s="5" t="inlineStr"/>
      <c r="AG702" s="5" t="inlineStr"/>
      <c r="AH702" s="5" t="inlineStr"/>
    </row>
    <row r="703">
      <c r="A703" s="5" t="inlineStr">
        <is>
          <t>ms-viral</t>
        </is>
      </c>
      <c r="B703" s="5" t="n">
        <v>2</v>
      </c>
      <c r="C703" s="6" t="inlineStr">
        <is>
          <t>Reklam teklifini kabul et</t>
        </is>
      </c>
      <c r="D703" s="5" t="inlineStr">
        <is>
          <t>Kurnazlık</t>
        </is>
      </c>
      <c r="E703" s="5" t="inlineStr">
        <is>
          <t>Kolay</t>
        </is>
      </c>
      <c r="F703" s="5" t="inlineStr"/>
      <c r="G703" s="6" t="inlineStr"/>
      <c r="H703" s="6" t="inlineStr">
        <is>
          <t>Bir çamaşır suyuna sanatsal yorum getirdin. Üç aylık kira çözüldü.</t>
        </is>
      </c>
      <c r="I703" s="6" t="inlineStr">
        <is>
          <t>Reklam öyle tuttu ki ikinci sezon çekildi. Sanatın artık bir raf ömrü var.</t>
        </is>
      </c>
      <c r="J703" s="6" t="inlineStr">
        <is>
          <t>Reklamı çektin; ödeme 'görünürlük' olarak yapıldı. Tanıdık bir kavram.</t>
        </is>
      </c>
      <c r="K703" s="6" t="inlineStr">
        <is>
          <t>Reklamdan sonra yorumlar tek kelimeye indi: 'Satıldı.' Evet, ama çok ucuza.</t>
        </is>
      </c>
      <c r="L703" s="6" t="inlineStr"/>
      <c r="M703" s="5" t="inlineStr"/>
      <c r="N703" s="5" t="inlineStr"/>
      <c r="O703" s="6" t="inlineStr"/>
      <c r="P703" s="6" t="inlineStr"/>
      <c r="Q703" s="5" t="inlineStr"/>
      <c r="R703" s="5" t="inlineStr"/>
      <c r="S703" s="5" t="inlineStr"/>
      <c r="T703" s="5" t="inlineStr"/>
      <c r="U703" s="5" t="inlineStr">
        <is>
          <t>serbest-viral-oldu</t>
        </is>
      </c>
      <c r="V703" s="5" t="inlineStr"/>
      <c r="W703" s="5" t="inlineStr"/>
      <c r="X703" s="5" t="inlineStr"/>
      <c r="Y703" s="5" t="inlineStr"/>
      <c r="Z703" s="6" t="inlineStr"/>
      <c r="AA703" s="5" t="inlineStr"/>
      <c r="AB703" s="5" t="inlineStr"/>
      <c r="AC703" s="5" t="inlineStr"/>
      <c r="AD703" s="5" t="inlineStr"/>
      <c r="AE703" s="5" t="inlineStr"/>
      <c r="AF703" s="5" t="inlineStr"/>
      <c r="AG703" s="5" t="inlineStr"/>
      <c r="AH703" s="5" t="inlineStr"/>
    </row>
    <row r="704">
      <c r="A704" s="5" t="inlineStr">
        <is>
          <t>ms-viral</t>
        </is>
      </c>
      <c r="B704" s="5" t="n">
        <v>3</v>
      </c>
      <c r="C704" s="6" t="inlineStr">
        <is>
          <t>Eski takipçi ordunu seferber et</t>
        </is>
      </c>
      <c r="D704" s="5" t="inlineStr">
        <is>
          <t>Sosyal Radar</t>
        </is>
      </c>
      <c r="E704" s="5" t="inlineStr">
        <is>
          <t>Kolay</t>
        </is>
      </c>
      <c r="F704" s="5" t="inlineStr"/>
      <c r="G704" s="6" t="inlineStr"/>
      <c r="H704" s="6" t="inlineStr">
        <is>
          <t>Eski takipçilerin 'Biz ilk günden biliyorduk' diye yazdı. Kitle ikiye katlandı.</t>
        </is>
      </c>
      <c r="I704" s="6" t="inlineStr">
        <is>
          <t>Eski ve yeni takipçiler birleşti. Bir markadan değil, bir kurumdan iş teklifi geldi.</t>
        </is>
      </c>
      <c r="J704" s="6" t="inlineStr">
        <is>
          <t>Eski takipçilerin yeni takipçilerle tartıştı. Yorumlar senin dışında her şeyi konuşuyor.</t>
        </is>
      </c>
      <c r="K704" s="6" t="inlineStr">
        <is>
          <t>Eski takipçilerin, yıllar önceki bir paylaşımını buldu. Yeni takipçiler de.</t>
        </is>
      </c>
      <c r="L704" s="6" t="inlineStr"/>
      <c r="M704" s="5" t="inlineStr"/>
      <c r="N704" s="5" t="inlineStr"/>
      <c r="O704" s="6" t="inlineStr"/>
      <c r="P704" s="6" t="inlineStr"/>
      <c r="Q704" s="5" t="inlineStr"/>
      <c r="R704" s="5" t="inlineStr">
        <is>
          <t>fenomen</t>
        </is>
      </c>
      <c r="S704" s="5" t="inlineStr"/>
      <c r="T704" s="5" t="inlineStr"/>
      <c r="U704" s="5" t="inlineStr">
        <is>
          <t>serbest-viral-oldu</t>
        </is>
      </c>
      <c r="V704" s="5" t="inlineStr"/>
      <c r="W704" s="5" t="inlineStr"/>
      <c r="X704" s="5" t="inlineStr"/>
      <c r="Y704" s="5" t="inlineStr"/>
      <c r="Z704" s="6" t="inlineStr"/>
      <c r="AA704" s="5" t="inlineStr"/>
      <c r="AB704" s="5" t="inlineStr"/>
      <c r="AC704" s="5" t="inlineStr"/>
      <c r="AD704" s="5" t="inlineStr"/>
      <c r="AE704" s="5" t="inlineStr"/>
      <c r="AF704" s="5" t="inlineStr"/>
      <c r="AG704" s="5" t="inlineStr"/>
      <c r="AH704" s="5" t="inlineStr"/>
    </row>
    <row r="705">
      <c r="A705" s="5" t="inlineStr">
        <is>
          <t>ms-viral</t>
        </is>
      </c>
      <c r="B705" s="5" t="n">
        <v>4</v>
      </c>
      <c r="C705" s="6" t="inlineStr">
        <is>
          <t>Telefonu bir hafta kapat</t>
        </is>
      </c>
      <c r="D705" s="5" t="inlineStr"/>
      <c r="E705" s="5" t="inlineStr"/>
      <c r="F705" s="5" t="inlineStr">
        <is>
          <t>Dayanıklılık +1</t>
        </is>
      </c>
      <c r="G705" s="6" t="inlineStr">
        <is>
          <t>Bir hafta sonra açtığında akım bitmiş, yerine bir kedi videosu gelmişti. Ün, on bir gün sürdü.</t>
        </is>
      </c>
      <c r="H705" s="6" t="inlineStr"/>
      <c r="I705" s="6" t="inlineStr"/>
      <c r="J705" s="6" t="inlineStr"/>
      <c r="K705" s="6" t="inlineStr"/>
      <c r="L705" s="6" t="inlineStr"/>
      <c r="M705" s="5" t="inlineStr"/>
      <c r="N705" s="5" t="inlineStr"/>
      <c r="O705" s="6" t="inlineStr"/>
      <c r="P705" s="6" t="inlineStr"/>
      <c r="Q705" s="5" t="inlineStr"/>
      <c r="R705" s="5" t="inlineStr"/>
      <c r="S705" s="5" t="inlineStr"/>
      <c r="T705" s="5" t="inlineStr"/>
      <c r="U705" s="5" t="inlineStr">
        <is>
          <t>serbest-viral-oldu</t>
        </is>
      </c>
      <c r="V705" s="5" t="inlineStr"/>
      <c r="W705" s="5" t="inlineStr"/>
      <c r="X705" s="5" t="inlineStr"/>
      <c r="Y705" s="5" t="inlineStr"/>
      <c r="Z705" s="6" t="inlineStr"/>
      <c r="AA705" s="5" t="inlineStr"/>
      <c r="AB705" s="5" t="inlineStr"/>
      <c r="AC705" s="5" t="inlineStr"/>
      <c r="AD705" s="5" t="inlineStr"/>
      <c r="AE705" s="5" t="inlineStr"/>
      <c r="AF705" s="5" t="inlineStr"/>
      <c r="AG705" s="5" t="inlineStr"/>
      <c r="AH705" s="5" t="inlineStr"/>
    </row>
    <row r="706">
      <c r="A706" s="5" t="inlineStr">
        <is>
          <t>b7-cocuk-karari</t>
        </is>
      </c>
      <c r="B706" s="5" t="n">
        <v>1</v>
      </c>
      <c r="C706" s="6" t="inlineStr">
        <is>
          <t>'Evet, hazırım' de</t>
        </is>
      </c>
      <c r="D706" s="5" t="inlineStr"/>
      <c r="E706" s="5" t="inlineStr"/>
      <c r="F706" s="5" t="inlineStr">
        <is>
          <t>Cesaret +1, İtibar +1</t>
        </is>
      </c>
      <c r="G706" s="6" t="inlineStr">
        <is>
          <t>Karar alındı. Aileye duyurulmadan önce herkes zaten biliyordu. Dokuz ay sonra resmî açılış yapıldı.</t>
        </is>
      </c>
      <c r="H706" s="6" t="inlineStr"/>
      <c r="I706" s="6" t="inlineStr"/>
      <c r="J706" s="6" t="inlineStr"/>
      <c r="K706" s="6" t="inlineStr"/>
      <c r="L706" s="6" t="inlineStr"/>
      <c r="M706" s="5" t="inlineStr"/>
      <c r="N706" s="5" t="inlineStr"/>
      <c r="O706" s="6" t="inlineStr"/>
      <c r="P706" s="6" t="inlineStr"/>
      <c r="Q706" s="5" t="inlineStr"/>
      <c r="R706" s="5" t="inlineStr"/>
      <c r="S706" s="5" t="inlineStr"/>
      <c r="T706" s="5" t="inlineStr"/>
      <c r="U706" s="5" t="inlineStr">
        <is>
          <t>cocuklu</t>
        </is>
      </c>
      <c r="V706" s="5" t="inlineStr"/>
      <c r="W706" s="5" t="inlineStr"/>
      <c r="X706" s="5" t="inlineStr"/>
      <c r="Y706" s="5" t="inlineStr"/>
      <c r="Z706" s="6" t="inlineStr"/>
      <c r="AA706" s="5" t="inlineStr"/>
      <c r="AB706" s="5" t="inlineStr"/>
      <c r="AC706" s="5" t="inlineStr"/>
      <c r="AD706" s="5" t="inlineStr"/>
      <c r="AE706" s="5" t="inlineStr"/>
      <c r="AF706" s="5" t="inlineStr"/>
      <c r="AG706" s="5" t="inlineStr"/>
      <c r="AH706" s="5" t="inlineStr"/>
    </row>
    <row r="707">
      <c r="A707" s="5" t="inlineStr">
        <is>
          <t>b7-cocuk-karari</t>
        </is>
      </c>
      <c r="B707" s="5" t="n">
        <v>2</v>
      </c>
      <c r="C707" s="6" t="inlineStr">
        <is>
          <t>'Önce biraz daha seyahat edelim' de</t>
        </is>
      </c>
      <c r="D707" s="5" t="inlineStr"/>
      <c r="E707" s="5" t="inlineStr"/>
      <c r="F707" s="5" t="inlineStr">
        <is>
          <t>Kurnazlık +1</t>
        </is>
      </c>
      <c r="G707" s="6" t="inlineStr">
        <is>
          <t>Konu ertelendi. Takvime değil, eşinin gözlerine yazıldı.</t>
        </is>
      </c>
      <c r="H707" s="6" t="inlineStr"/>
      <c r="I707" s="6" t="inlineStr"/>
      <c r="J707" s="6" t="inlineStr"/>
      <c r="K707" s="6" t="inlineStr"/>
      <c r="L707" s="6" t="inlineStr"/>
      <c r="M707" s="5" t="inlineStr"/>
      <c r="N707" s="5" t="inlineStr"/>
      <c r="O707" s="6" t="inlineStr"/>
      <c r="P707" s="6" t="inlineStr"/>
      <c r="Q707" s="5" t="inlineStr"/>
      <c r="R707" s="5" t="inlineStr"/>
      <c r="S707" s="5" t="inlineStr"/>
      <c r="T707" s="5" t="inlineStr"/>
      <c r="U707" s="5" t="inlineStr"/>
      <c r="V707" s="5" t="inlineStr"/>
      <c r="W707" s="5" t="inlineStr"/>
      <c r="X707" s="5" t="inlineStr"/>
      <c r="Y707" s="5" t="inlineStr"/>
      <c r="Z707" s="6" t="inlineStr"/>
      <c r="AA707" s="5" t="inlineStr"/>
      <c r="AB707" s="5" t="inlineStr"/>
      <c r="AC707" s="5" t="inlineStr"/>
      <c r="AD707" s="5" t="inlineStr"/>
      <c r="AE707" s="5" t="inlineStr"/>
      <c r="AF707" s="5" t="inlineStr"/>
      <c r="AG707" s="5" t="inlineStr"/>
      <c r="AH707" s="5" t="inlineStr"/>
    </row>
    <row r="708">
      <c r="A708" s="5" t="inlineStr">
        <is>
          <t>b7-cocuk-karari</t>
        </is>
      </c>
      <c r="B708" s="5" t="n">
        <v>3</v>
      </c>
      <c r="C708" s="6" t="inlineStr">
        <is>
          <t>Maliyet tablosu hazırla</t>
        </is>
      </c>
      <c r="D708" s="5" t="inlineStr">
        <is>
          <t>Akıl</t>
        </is>
      </c>
      <c r="E708" s="5" t="inlineStr">
        <is>
          <t>Orta</t>
        </is>
      </c>
      <c r="F708" s="5" t="inlineStr"/>
      <c r="G708" s="6" t="inlineStr"/>
      <c r="H708" s="6" t="inlineStr">
        <is>
          <t>Tablo korkunçtu ama eşin 'Yine de' dedi. Sen de 'Yine de' dedin. Aile büyüdü.</t>
        </is>
      </c>
      <c r="I708" s="6" t="inlineStr">
        <is>
          <t>Tablo o kadar iyiydi ki bebek odası bütçenin altında kuruldu. Tablo bebek albümüne kondu.</t>
        </is>
      </c>
      <c r="J708" s="6" t="inlineStr">
        <is>
          <t>Tablonun sonunda 'on sekiz yıl' yazıyordu. İkiniz de uzun süre sustunuz.</t>
        </is>
      </c>
      <c r="K708" s="6" t="inlineStr">
        <is>
          <t>Tabloyu sunarken bebek arabası fiyatlarını yüksek sesle okudun. Eşin kararı ertelemedi; seni erteledi.</t>
        </is>
      </c>
      <c r="L708" s="6" t="inlineStr"/>
      <c r="M708" s="5" t="inlineStr"/>
      <c r="N708" s="5" t="inlineStr"/>
      <c r="O708" s="6" t="inlineStr"/>
      <c r="P708" s="6" t="inlineStr"/>
      <c r="Q708" s="5" t="inlineStr"/>
      <c r="R708" s="5" t="inlineStr"/>
      <c r="S708" s="5" t="inlineStr"/>
      <c r="T708" s="5" t="inlineStr"/>
      <c r="U708" s="5" t="inlineStr"/>
      <c r="V708" s="5" t="inlineStr">
        <is>
          <t>cocuklu</t>
        </is>
      </c>
      <c r="W708" s="5" t="inlineStr"/>
      <c r="X708" s="5" t="inlineStr"/>
      <c r="Y708" s="5" t="inlineStr"/>
      <c r="Z708" s="6" t="inlineStr"/>
      <c r="AA708" s="5" t="inlineStr"/>
      <c r="AB708" s="5" t="inlineStr"/>
      <c r="AC708" s="5" t="inlineStr"/>
      <c r="AD708" s="5" t="inlineStr"/>
      <c r="AE708" s="5" t="inlineStr"/>
      <c r="AF708" s="5" t="inlineStr"/>
      <c r="AG708" s="5" t="inlineStr"/>
      <c r="AH708" s="5" t="inlineStr"/>
    </row>
    <row r="709">
      <c r="A709" s="5" t="inlineStr">
        <is>
          <t>b7-cocuk-karari</t>
        </is>
      </c>
      <c r="B709" s="5" t="n">
        <v>4</v>
      </c>
      <c r="C709" s="6" t="inlineStr">
        <is>
          <t>'Önce kedimizi soralım' de</t>
        </is>
      </c>
      <c r="D709" s="5" t="inlineStr">
        <is>
          <t>Pişkinlik</t>
        </is>
      </c>
      <c r="E709" s="5" t="inlineStr">
        <is>
          <t>Kolay</t>
        </is>
      </c>
      <c r="F709" s="5" t="inlineStr"/>
      <c r="G709" s="6" t="inlineStr"/>
      <c r="H709" s="6" t="inlineStr">
        <is>
          <t>Kedi göz kırptı. Bu bir onay olarak kabul edildi. Aile büyüdü.</t>
        </is>
      </c>
      <c r="I709" s="6" t="inlineStr">
        <is>
          <t>Kedi kucağına oturdu ve mırladı. Eşin ağladı, sen ağladın, kedi uyudu. Karar oy birliğiyle alındı.</t>
        </is>
      </c>
      <c r="J709" s="6" t="inlineStr">
        <is>
          <t>Kedi odayı terk etti. Oylama ertelendi.</t>
        </is>
      </c>
      <c r="K709" s="6" t="inlineStr">
        <is>
          <t>Kedi tam o anda vazoyu devirdi. Bu, evdeki tek bebeğin yeterince yorucu olduğunun kanıtı sayıldı.</t>
        </is>
      </c>
      <c r="L709" s="6" t="inlineStr"/>
      <c r="M709" s="5" t="inlineStr"/>
      <c r="N709" s="5" t="inlineStr"/>
      <c r="O709" s="6" t="inlineStr"/>
      <c r="P709" s="6" t="inlineStr"/>
      <c r="Q709" s="5" t="inlineStr"/>
      <c r="R709" s="5" t="inlineStr">
        <is>
          <t>kediGeldi</t>
        </is>
      </c>
      <c r="S709" s="5" t="inlineStr"/>
      <c r="T709" s="5" t="inlineStr"/>
      <c r="U709" s="5" t="inlineStr"/>
      <c r="V709" s="5" t="inlineStr">
        <is>
          <t>cocuklu</t>
        </is>
      </c>
      <c r="W709" s="5" t="inlineStr"/>
      <c r="X709" s="5" t="inlineStr"/>
      <c r="Y709" s="5" t="inlineStr"/>
      <c r="Z709" s="6" t="inlineStr"/>
      <c r="AA709" s="5" t="inlineStr"/>
      <c r="AB709" s="5" t="inlineStr"/>
      <c r="AC709" s="5" t="inlineStr"/>
      <c r="AD709" s="5" t="inlineStr"/>
      <c r="AE709" s="5" t="inlineStr"/>
      <c r="AF709" s="5" t="inlineStr"/>
      <c r="AG709" s="5" t="inlineStr"/>
      <c r="AH709" s="5" t="inlineStr"/>
    </row>
    <row r="710">
      <c r="A710" s="5" t="inlineStr">
        <is>
          <t>b7-cocuk-karari</t>
        </is>
      </c>
      <c r="B710" s="5" t="n">
        <v>5</v>
      </c>
      <c r="C710" s="6" t="inlineStr">
        <is>
          <t>“Olursa olur” de, hayata bırak</t>
        </is>
      </c>
      <c r="D710" s="5" t="inlineStr">
        <is>
          <t>Dayanıklılık</t>
        </is>
      </c>
      <c r="E710" s="5" t="inlineStr">
        <is>
          <t>Orta</t>
        </is>
      </c>
      <c r="F710" s="5" t="inlineStr"/>
      <c r="G710" s="6" t="inlineStr"/>
      <c r="H710" s="6" t="inlineStr">
        <is>
          <t>Hayata bıraktınız; hayat hemen cevap verdi. Ultrasonda iki kalp atışı var. Doktor “Tebrikler” dedi; sonra bir daha “Tebrikler.”</t>
        </is>
      </c>
      <c r="I710" s="6" t="inlineStr">
        <is>
          <t>İkiz geldi; biri sana, biri eşine benziyor. Hangisinin kime benzediği konusunda aileler hâlâ anlaşamadı.</t>
        </is>
      </c>
      <c r="J710" s="6" t="inlineStr">
        <is>
          <t>Hayata bıraktınız; hayat bu konuda acele etmedi. Bir süre daha iki kişilik sofradasınız.</t>
        </is>
      </c>
      <c r="K710" s="6" t="inlineStr">
        <is>
          <t>Hayata bıraktınız, hayat kediyi gönderdi. Kapının önünde üç yavru var; bakımı sende.</t>
        </is>
      </c>
      <c r="L710" s="6" t="inlineStr"/>
      <c r="M710" s="5" t="inlineStr"/>
      <c r="N710" s="5" t="inlineStr"/>
      <c r="O710" s="6" t="inlineStr"/>
      <c r="P710" s="6" t="inlineStr"/>
      <c r="Q710" s="5" t="inlineStr"/>
      <c r="R710" s="5" t="inlineStr"/>
      <c r="S710" s="5" t="inlineStr"/>
      <c r="T710" s="5" t="inlineStr"/>
      <c r="U710" s="5" t="inlineStr"/>
      <c r="V710" s="5" t="inlineStr">
        <is>
          <t>cocuklu, ikiz</t>
        </is>
      </c>
      <c r="W710" s="5" t="inlineStr"/>
      <c r="X710" s="5" t="inlineStr"/>
      <c r="Y710" s="5" t="inlineStr"/>
      <c r="Z710" s="6" t="inlineStr"/>
      <c r="AA710" s="5" t="inlineStr"/>
      <c r="AB710" s="5" t="inlineStr"/>
      <c r="AC710" s="5" t="inlineStr"/>
      <c r="AD710" s="5" t="inlineStr"/>
      <c r="AE710" s="5" t="inlineStr"/>
      <c r="AF710" s="5" t="inlineStr"/>
      <c r="AG710" s="5" t="inlineStr"/>
      <c r="AH710" s="5" t="inlineStr"/>
    </row>
    <row r="711">
      <c r="A711" s="5" t="inlineStr">
        <is>
          <t>me-kasa-ve-pos</t>
        </is>
      </c>
      <c r="B711" s="5" t="n">
        <v>1</v>
      </c>
      <c r="C711" s="6" t="inlineStr">
        <is>
          <t>Yere çömel, topla</t>
        </is>
      </c>
      <c r="D711" s="5" t="inlineStr">
        <is>
          <t>Dayanıklılık</t>
        </is>
      </c>
      <c r="E711" s="5" t="inlineStr">
        <is>
          <t>Kolay</t>
        </is>
      </c>
      <c r="F711" s="5" t="inlineStr"/>
      <c r="G711" s="6" t="inlineStr"/>
      <c r="H711" s="6" t="inlineStr">
        <is>
          <t>Bozuklukları topladın, para üstünü tam verdin. Müşteri kasanın düzenine hayran kaldı.</t>
        </is>
      </c>
      <c r="I711" s="6" t="inlineStr">
        <is>
          <t>Bozuklukların yanında geçen yıl kaybolan iki madeni para daha buldun. Kasa ilk kez fazla verdi.</t>
        </is>
      </c>
      <c r="J711" s="6" t="inlineStr">
        <is>
          <t>Topladın ama para üstü eksik çıktı. Müşteri 'Kalsın' dedi. Bu cümleden daha pahalısı yok.</t>
        </is>
      </c>
      <c r="K711" s="6" t="inlineStr">
        <is>
          <t>Toplarken tezgâha kafanı vurdun, kasayı açık bıraktın. Gün sonu sayımında fazla çıkan tek şey baş ağrısı.</t>
        </is>
      </c>
      <c r="L711" s="6" t="inlineStr">
        <is>
          <t>Çoğunu topladın. Birkaçı raf altında yeni bir hayata başladı.</t>
        </is>
      </c>
      <c r="M711" s="5" t="inlineStr">
        <is>
          <t>collect</t>
        </is>
      </c>
      <c r="N711" s="5" t="inlineStr">
        <is>
          <t>Bozuk Para Seferberliği</t>
        </is>
      </c>
      <c r="O711" s="6" t="inlineStr">
        <is>
          <t>Dökülen bozuklukları müşterinin sabrı bitmeden topla. Buzdolabının altına kaçanlar gider yazılır.</t>
        </is>
      </c>
      <c r="P711" s="6" t="inlineStr">
        <is>
          <t>{"piece": "🪙"}</t>
        </is>
      </c>
      <c r="Q711" s="5" t="inlineStr"/>
      <c r="R711" s="5" t="inlineStr"/>
      <c r="S711" s="5" t="inlineStr"/>
      <c r="T711" s="5" t="inlineStr"/>
      <c r="U711" s="5" t="inlineStr"/>
      <c r="V711" s="5" t="inlineStr"/>
      <c r="W711" s="5" t="inlineStr"/>
      <c r="X711" s="5" t="inlineStr"/>
      <c r="Y711" s="5" t="inlineStr"/>
      <c r="Z711" s="6" t="inlineStr"/>
      <c r="AA711" s="5" t="inlineStr"/>
      <c r="AB711" s="5" t="inlineStr"/>
      <c r="AC711" s="5" t="inlineStr"/>
      <c r="AD711" s="5" t="inlineStr"/>
      <c r="AE711" s="5" t="inlineStr"/>
      <c r="AF711" s="5" t="inlineStr"/>
      <c r="AG711" s="5" t="inlineStr"/>
      <c r="AH711" s="5" t="inlineStr"/>
    </row>
    <row r="712">
      <c r="A712" s="5" t="inlineStr">
        <is>
          <t>me-kasa-ve-pos</t>
        </is>
      </c>
      <c r="B712" s="5" t="n">
        <v>2</v>
      </c>
      <c r="C712" s="6" t="inlineStr">
        <is>
          <t>'Kartla ödeyin' de</t>
        </is>
      </c>
      <c r="D712" s="5" t="inlineStr"/>
      <c r="E712" s="5" t="inlineStr"/>
      <c r="F712" s="5" t="inlineStr">
        <is>
          <t>Çene +1, Akıl +1</t>
        </is>
      </c>
      <c r="G712" s="6" t="inlineStr">
        <is>
          <t>Pos cihazını uzattın. Cihaz 'bağlantı bekleniyor' yazdı. Müşteri de bekledi. Bozukluk kazandı.</t>
        </is>
      </c>
      <c r="H712" s="6" t="inlineStr"/>
      <c r="I712" s="6" t="inlineStr"/>
      <c r="J712" s="6" t="inlineStr"/>
      <c r="K712" s="6" t="inlineStr"/>
      <c r="L712" s="6" t="inlineStr"/>
      <c r="M712" s="5" t="inlineStr"/>
      <c r="N712" s="5" t="inlineStr"/>
      <c r="O712" s="6" t="inlineStr"/>
      <c r="P712" s="6" t="inlineStr"/>
      <c r="Q712" s="5" t="inlineStr"/>
      <c r="R712" s="5" t="inlineStr"/>
      <c r="S712" s="5" t="inlineStr"/>
      <c r="T712" s="5" t="inlineStr"/>
      <c r="U712" s="5" t="inlineStr"/>
      <c r="V712" s="5" t="inlineStr"/>
      <c r="W712" s="5" t="inlineStr"/>
      <c r="X712" s="5" t="inlineStr"/>
      <c r="Y712" s="5" t="inlineStr"/>
      <c r="Z712" s="6" t="inlineStr"/>
      <c r="AA712" s="5" t="inlineStr"/>
      <c r="AB712" s="5" t="inlineStr"/>
      <c r="AC712" s="5" t="inlineStr"/>
      <c r="AD712" s="5" t="inlineStr"/>
      <c r="AE712" s="5" t="inlineStr"/>
      <c r="AF712" s="5" t="inlineStr"/>
      <c r="AG712" s="5" t="inlineStr"/>
      <c r="AH712" s="5" t="inlineStr"/>
    </row>
    <row r="713">
      <c r="A713" s="5" t="inlineStr">
        <is>
          <t>me-kasa-ve-pos</t>
        </is>
      </c>
      <c r="B713" s="5" t="n">
        <v>3</v>
      </c>
      <c r="C713" s="6" t="inlineStr">
        <is>
          <t>Para üstü yerine sakız ver</t>
        </is>
      </c>
      <c r="D713" s="5" t="inlineStr">
        <is>
          <t>Pişkinlik</t>
        </is>
      </c>
      <c r="E713" s="5" t="inlineStr">
        <is>
          <t>Orta</t>
        </is>
      </c>
      <c r="F713" s="5" t="inlineStr"/>
      <c r="G713" s="6" t="inlineStr"/>
      <c r="H713" s="6" t="inlineStr">
        <is>
          <t>Para üstü yerine sakız verdin. Müşteri itiraz etmedi, sakızı da beğendi.</t>
        </is>
      </c>
      <c r="I713" s="6" t="inlineStr">
        <is>
          <t>Sakızlı para üstü mahallede öyle yerleşti ki çocuklar harçlıklarını sakız olarak ister oldu.</t>
        </is>
      </c>
      <c r="J713" s="6" t="inlineStr">
        <is>
          <t>Müşteri sakızı geri verdi, para üstünü istedi; sakızın fiyatını da düşerek.</t>
        </is>
      </c>
      <c r="K713" s="6" t="inlineStr">
        <is>
          <t>Ertesi gün aynı müşteri sakızla ödeme yapmaya çalıştı. Mantığına itiraz edemedin.</t>
        </is>
      </c>
      <c r="L713" s="6" t="inlineStr"/>
      <c r="M713" s="5" t="inlineStr"/>
      <c r="N713" s="5" t="inlineStr"/>
      <c r="O713" s="6" t="inlineStr"/>
      <c r="P713" s="6" t="inlineStr"/>
      <c r="Q713" s="5" t="inlineStr"/>
      <c r="R713" s="5" t="inlineStr"/>
      <c r="S713" s="5" t="inlineStr"/>
      <c r="T713" s="5" t="inlineStr"/>
      <c r="U713" s="5" t="inlineStr"/>
      <c r="V713" s="5" t="inlineStr"/>
      <c r="W713" s="5" t="inlineStr"/>
      <c r="X713" s="5" t="inlineStr"/>
      <c r="Y713" s="5" t="inlineStr"/>
      <c r="Z713" s="6" t="inlineStr"/>
      <c r="AA713" s="5" t="inlineStr"/>
      <c r="AB713" s="5" t="inlineStr"/>
      <c r="AC713" s="5" t="inlineStr"/>
      <c r="AD713" s="5" t="inlineStr"/>
      <c r="AE713" s="5" t="inlineStr"/>
      <c r="AF713" s="5" t="inlineStr"/>
      <c r="AG713" s="5" t="inlineStr"/>
      <c r="AH713" s="5" t="inlineStr"/>
    </row>
    <row r="714">
      <c r="A714" s="5" t="inlineStr">
        <is>
          <t>me-kasa-ve-pos</t>
        </is>
      </c>
      <c r="B714" s="5" t="n">
        <v>4</v>
      </c>
      <c r="C714" s="6" t="inlineStr">
        <is>
          <t>Yerdekileri tek bakışta say</t>
        </is>
      </c>
      <c r="D714" s="5" t="inlineStr">
        <is>
          <t>Akıl</t>
        </is>
      </c>
      <c r="E714" s="5" t="inlineStr">
        <is>
          <t>Kolay</t>
        </is>
      </c>
      <c r="F714" s="5" t="inlineStr"/>
      <c r="G714" s="6" t="inlineStr"/>
      <c r="H714" s="6" t="inlineStr">
        <is>
          <t>Yere baktın, toplamı söyledin. Müşteri saydı, tuttu. Kuruşu kuruşuna.</t>
        </is>
      </c>
      <c r="I714" s="6" t="inlineStr">
        <is>
          <t>Tek bakışta saydın, para üstünü ezbere verdin. Müşteri seni mahalleye 'insan hesap makinesi' diye tanıttı.</t>
        </is>
      </c>
      <c r="J714" s="6" t="inlineStr">
        <is>
          <t>Saydın; bir tanesi tezgâhın altındaymış. Hesap bir bozuk eksik, gurur bir ton.</t>
        </is>
      </c>
      <c r="K714" s="6" t="inlineStr">
        <is>
          <t>Yanlış saydın, kendinden emin söyledin. Müşteri para üstüyle birlikte bir de özür aldı.</t>
        </is>
      </c>
      <c r="L714" s="6" t="inlineStr"/>
      <c r="M714" s="5" t="inlineStr"/>
      <c r="N714" s="5" t="inlineStr"/>
      <c r="O714" s="6" t="inlineStr"/>
      <c r="P714" s="6" t="inlineStr"/>
      <c r="Q714" s="5" t="inlineStr">
        <is>
          <t>Para Üstü Radarı</t>
        </is>
      </c>
      <c r="R714" s="5" t="inlineStr"/>
      <c r="S714" s="5" t="inlineStr"/>
      <c r="T714" s="5" t="inlineStr"/>
      <c r="U714" s="5" t="inlineStr"/>
      <c r="V714" s="5" t="inlineStr"/>
      <c r="W714" s="5" t="inlineStr"/>
      <c r="X714" s="5" t="inlineStr"/>
      <c r="Y714" s="5" t="inlineStr"/>
      <c r="Z714" s="6" t="inlineStr"/>
      <c r="AA714" s="5" t="inlineStr"/>
      <c r="AB714" s="5" t="inlineStr"/>
      <c r="AC714" s="5" t="inlineStr"/>
      <c r="AD714" s="5" t="inlineStr"/>
      <c r="AE714" s="5" t="inlineStr"/>
      <c r="AF714" s="5" t="inlineStr"/>
      <c r="AG714" s="5" t="inlineStr"/>
      <c r="AH714" s="5" t="inlineStr"/>
    </row>
    <row r="715">
      <c r="A715" s="5" t="inlineStr">
        <is>
          <t>b7-tek-kisilik-tatil</t>
        </is>
      </c>
      <c r="B715" s="5" t="n">
        <v>1</v>
      </c>
      <c r="C715" s="6" t="inlineStr">
        <is>
          <t>'Bir' de, gurur duy</t>
        </is>
      </c>
      <c r="D715" s="5" t="inlineStr"/>
      <c r="E715" s="5" t="inlineStr"/>
      <c r="F715" s="5" t="inlineStr">
        <is>
          <t>Cesaret +1, Dayanıklılık +1</t>
        </is>
      </c>
      <c r="G715" s="6" t="inlineStr">
        <is>
          <t>'Bir' dedin. Tek kişilik fiyat, iki kişilik odanın yüzde doksanıymış. Özgürlüğün de bir tarifesi var.</t>
        </is>
      </c>
      <c r="H715" s="6" t="inlineStr"/>
      <c r="I715" s="6" t="inlineStr"/>
      <c r="J715" s="6" t="inlineStr"/>
      <c r="K715" s="6" t="inlineStr"/>
      <c r="L715" s="6" t="inlineStr"/>
      <c r="M715" s="5" t="inlineStr"/>
      <c r="N715" s="5" t="inlineStr"/>
      <c r="O715" s="6" t="inlineStr"/>
      <c r="P715" s="6" t="inlineStr"/>
      <c r="Q715" s="5" t="inlineStr"/>
      <c r="R715" s="5" t="inlineStr"/>
      <c r="S715" s="5" t="inlineStr"/>
      <c r="T715" s="5" t="inlineStr"/>
      <c r="U715" s="5" t="inlineStr">
        <is>
          <t>yalniz-gezgin</t>
        </is>
      </c>
      <c r="V715" s="5" t="inlineStr"/>
      <c r="W715" s="5" t="inlineStr"/>
      <c r="X715" s="5" t="inlineStr"/>
      <c r="Y715" s="5" t="inlineStr"/>
      <c r="Z715" s="6" t="inlineStr"/>
      <c r="AA715" s="5" t="inlineStr"/>
      <c r="AB715" s="5" t="inlineStr"/>
      <c r="AC715" s="5" t="inlineStr"/>
      <c r="AD715" s="5" t="inlineStr"/>
      <c r="AE715" s="5" t="inlineStr"/>
      <c r="AF715" s="5" t="inlineStr"/>
      <c r="AG715" s="5" t="inlineStr"/>
      <c r="AH715" s="5" t="inlineStr"/>
    </row>
    <row r="716">
      <c r="A716" s="5" t="inlineStr">
        <is>
          <t>b7-tek-kisilik-tatil</t>
        </is>
      </c>
      <c r="B716" s="5" t="n">
        <v>2</v>
      </c>
      <c r="C716" s="6" t="inlineStr">
        <is>
          <t>Akşam yemeğinde tek başına masaya otur</t>
        </is>
      </c>
      <c r="D716" s="5" t="inlineStr">
        <is>
          <t>Pişkinlik</t>
        </is>
      </c>
      <c r="E716" s="5" t="inlineStr">
        <is>
          <t>Orta</t>
        </is>
      </c>
      <c r="F716" s="5" t="inlineStr"/>
      <c r="G716" s="6" t="inlineStr"/>
      <c r="H716" s="6" t="inlineStr">
        <is>
          <t>Kitabını açtın, yemeğini yedin, manzaraya baktın. Yan masadaki çiftler seni kıskançlıkla izledi.</t>
        </is>
      </c>
      <c r="I716" s="6" t="inlineStr">
        <is>
          <t>Öyle huzurlu göründün ki garson sana ekstra tatlı getirdi. 'Yalnız misafirlere bizden' dedi. Politika yeniymiş.</t>
        </is>
      </c>
      <c r="J716" s="6" t="inlineStr">
        <is>
          <t>Garson ikinci sandalyeyi almadı. Bütün akşam o sandalyeye bakarak yedin.</t>
        </is>
      </c>
      <c r="K716" s="6" t="inlineStr">
        <is>
          <t>Garson 'Beklediğiniz kişi gelecek mi?' diye beş kez sordu. Altıncıda 'Gelmeyecek' dedin, restoran bir anlığına sustu.</t>
        </is>
      </c>
      <c r="L716" s="6" t="inlineStr"/>
      <c r="M716" s="5" t="inlineStr"/>
      <c r="N716" s="5" t="inlineStr"/>
      <c r="O716" s="6" t="inlineStr"/>
      <c r="P716" s="6" t="inlineStr"/>
      <c r="Q716" s="5" t="inlineStr"/>
      <c r="R716" s="5" t="inlineStr"/>
      <c r="S716" s="5" t="inlineStr"/>
      <c r="T716" s="5" t="inlineStr"/>
      <c r="U716" s="5" t="inlineStr"/>
      <c r="V716" s="5" t="inlineStr">
        <is>
          <t>yalniz-gezgin</t>
        </is>
      </c>
      <c r="W716" s="5" t="inlineStr"/>
      <c r="X716" s="5" t="inlineStr"/>
      <c r="Y716" s="5" t="inlineStr"/>
      <c r="Z716" s="6" t="inlineStr"/>
      <c r="AA716" s="5" t="inlineStr"/>
      <c r="AB716" s="5" t="inlineStr"/>
      <c r="AC716" s="5" t="inlineStr"/>
      <c r="AD716" s="5" t="inlineStr"/>
      <c r="AE716" s="5" t="inlineStr"/>
      <c r="AF716" s="5" t="inlineStr"/>
      <c r="AG716" s="5" t="inlineStr"/>
      <c r="AH716" s="5" t="inlineStr"/>
    </row>
    <row r="717">
      <c r="A717" s="5" t="inlineStr">
        <is>
          <t>b7-tek-kisilik-tatil</t>
        </is>
      </c>
      <c r="B717" s="5" t="n">
        <v>3</v>
      </c>
      <c r="C717" s="6" t="inlineStr">
        <is>
          <t>Tur grubuna katıl</t>
        </is>
      </c>
      <c r="D717" s="5" t="inlineStr">
        <is>
          <t>Çene</t>
        </is>
      </c>
      <c r="E717" s="5" t="inlineStr">
        <is>
          <t>Kolay</t>
        </is>
      </c>
      <c r="F717" s="5" t="inlineStr"/>
      <c r="G717" s="6" t="inlineStr"/>
      <c r="H717" s="6" t="inlineStr">
        <is>
          <t>Tur grubunda yeni arkadaşlar edindin. Mesaj grubu tatilden sonra da yaşıyor.</t>
        </is>
      </c>
      <c r="I717" s="6" t="inlineStr">
        <is>
          <t>Tur rehberi seni 'grup sözcüsü' ilan etti. Tatilin sonunda herkes sana teşekkür notu yazdı.</t>
        </is>
      </c>
      <c r="J717" s="6" t="inlineStr">
        <is>
          <t>Tur grubunun yaş ortalaması 67 çıktı. Harika insanlardı. Çok erken yattılar.</t>
        </is>
      </c>
      <c r="K717" s="6" t="inlineStr">
        <is>
          <t>Turda otobüsü kaçırdın. Grup seni bıraktı ama mesaj grubu senin hakkında konuşmayı bırakmadı.</t>
        </is>
      </c>
      <c r="L717" s="6" t="inlineStr"/>
      <c r="M717" s="5" t="inlineStr"/>
      <c r="N717" s="5" t="inlineStr"/>
      <c r="O717" s="6" t="inlineStr"/>
      <c r="P717" s="6" t="inlineStr"/>
      <c r="Q717" s="5" t="inlineStr"/>
      <c r="R717" s="5" t="inlineStr"/>
      <c r="S717" s="5" t="inlineStr"/>
      <c r="T717" s="5" t="inlineStr"/>
      <c r="U717" s="5" t="inlineStr"/>
      <c r="V717" s="5" t="inlineStr"/>
      <c r="W717" s="5" t="inlineStr"/>
      <c r="X717" s="5" t="inlineStr"/>
      <c r="Y717" s="5" t="inlineStr"/>
      <c r="Z717" s="6" t="inlineStr"/>
      <c r="AA717" s="5" t="inlineStr"/>
      <c r="AB717" s="5" t="inlineStr"/>
      <c r="AC717" s="5" t="inlineStr"/>
      <c r="AD717" s="5" t="inlineStr"/>
      <c r="AE717" s="5" t="inlineStr"/>
      <c r="AF717" s="5" t="inlineStr"/>
      <c r="AG717" s="5" t="inlineStr"/>
      <c r="AH717" s="5" t="inlineStr"/>
    </row>
    <row r="718">
      <c r="A718" s="5" t="inlineStr">
        <is>
          <t>mb-terfi-yarisi</t>
        </is>
      </c>
      <c r="B718" s="5" t="n">
        <v>1</v>
      </c>
      <c r="C718" s="6" t="inlineStr">
        <is>
          <t>Yönetime sunum yap</t>
        </is>
      </c>
      <c r="D718" s="5" t="inlineStr">
        <is>
          <t>Cesaret</t>
        </is>
      </c>
      <c r="E718" s="5" t="inlineStr">
        <is>
          <t>Zor</t>
        </is>
      </c>
      <c r="F718" s="5" t="inlineStr"/>
      <c r="G718" s="6" t="inlineStr"/>
      <c r="H718" s="6" t="inlineStr">
        <is>
          <t>Sunum bitti, sessizlik oldu, sonra biri 'Harika' dedi. Unvanına 'kıdemli' eklendi.</t>
        </is>
      </c>
      <c r="I718" s="6" t="inlineStr">
        <is>
          <t>Genel müdür bir slaydının fotoğrafını çekti. Terfin aynı gün e-postayla geldi.</t>
        </is>
      </c>
      <c r="J718" s="6" t="inlineStr">
        <is>
          <t>Sunumun ortasında slayt dondu. Sen de dondun. İkiniz birlikte çözüldünüz; çok geç.</t>
        </is>
      </c>
      <c r="K718" s="6" t="inlineStr">
        <is>
          <t>Sunum yerine tatil fotoğraflarını açtın. Yönetim kurulu yirmi dokuz fotoğraf izledi. Hepsini.</t>
        </is>
      </c>
      <c r="L718" s="6" t="inlineStr">
        <is>
          <t>Sesin iki kez titredi ama rakamlar sağlamdı. Karar 'bir sonraki çeyreğe' ertelendi.</t>
        </is>
      </c>
      <c r="M718" s="5" t="inlineStr">
        <is>
          <t>breath</t>
        </is>
      </c>
      <c r="N718" s="5" t="inlineStr">
        <is>
          <t>Sunum Nefesi</t>
        </is>
      </c>
      <c r="O718" s="6" t="inlineStr">
        <is>
          <t>Daire büyürken bas, küçülürken bırak. Slaytlar değil, nefes geçer.</t>
        </is>
      </c>
      <c r="P718" s="6" t="inlineStr"/>
      <c r="Q718" s="5" t="inlineStr"/>
      <c r="R718" s="5" t="inlineStr"/>
      <c r="S718" s="5" t="inlineStr"/>
      <c r="T718" s="5" t="inlineStr"/>
      <c r="U718" s="5" t="inlineStr"/>
      <c r="V718" s="5" t="inlineStr">
        <is>
          <t>beyazyaka-terfi-aldi</t>
        </is>
      </c>
      <c r="W718" s="5" t="inlineStr"/>
      <c r="X718" s="5" t="inlineStr"/>
      <c r="Y718" s="5" t="inlineStr"/>
      <c r="Z718" s="6" t="inlineStr"/>
      <c r="AA718" s="5" t="inlineStr"/>
      <c r="AB718" s="5" t="inlineStr"/>
      <c r="AC718" s="5" t="inlineStr"/>
      <c r="AD718" s="5" t="inlineStr"/>
      <c r="AE718" s="5" t="inlineStr"/>
      <c r="AF718" s="5" t="inlineStr"/>
      <c r="AG718" s="5" t="inlineStr"/>
      <c r="AH718" s="5" t="inlineStr"/>
    </row>
    <row r="719">
      <c r="A719" s="5" t="inlineStr">
        <is>
          <t>mb-terfi-yarisi</t>
        </is>
      </c>
      <c r="B719" s="5" t="n">
        <v>2</v>
      </c>
      <c r="C719" s="6" t="inlineStr">
        <is>
          <t>Öğle yemeği masasına sen de otur</t>
        </is>
      </c>
      <c r="D719" s="5" t="inlineStr">
        <is>
          <t>Sosyal Radar</t>
        </is>
      </c>
      <c r="E719" s="5" t="inlineStr">
        <is>
          <t>Orta</t>
        </is>
      </c>
      <c r="F719" s="5" t="inlineStr"/>
      <c r="G719" s="6" t="inlineStr"/>
      <c r="H719" s="6" t="inlineStr">
        <is>
          <t>Üç hafta yöneticinin yemek düzenine uydun. Terfin mercimek çorbası üstünde onaylandı.</t>
        </is>
      </c>
      <c r="I719" s="6" t="inlineStr">
        <is>
          <t>Yöneticiyle aynı tatlıyı sevdiğinizi keşfettiniz. Terfi ve tatlı tarifi aynı gün geldi.</t>
        </is>
      </c>
      <c r="J719" s="6" t="inlineStr">
        <is>
          <t>Masaya oturdun; yöneticin diyete girdi ve öğle yemeğini bıraktı.</t>
        </is>
      </c>
      <c r="K719" s="6" t="inlineStr">
        <is>
          <t>Masaya oturdun, çatalın rakibinin tabağına gitti. Yanlışlıkla. Tutanak tutuldu.</t>
        </is>
      </c>
      <c r="L719" s="6" t="inlineStr"/>
      <c r="M719" s="5" t="inlineStr"/>
      <c r="N719" s="5" t="inlineStr"/>
      <c r="O719" s="6" t="inlineStr"/>
      <c r="P719" s="6" t="inlineStr"/>
      <c r="Q719" s="5" t="inlineStr"/>
      <c r="R719" s="5" t="inlineStr"/>
      <c r="S719" s="5" t="inlineStr"/>
      <c r="T719" s="5" t="inlineStr"/>
      <c r="U719" s="5" t="inlineStr"/>
      <c r="V719" s="5" t="inlineStr">
        <is>
          <t>beyazyaka-terfi-aldi</t>
        </is>
      </c>
      <c r="W719" s="5" t="inlineStr"/>
      <c r="X719" s="5" t="inlineStr"/>
      <c r="Y719" s="5" t="inlineStr"/>
      <c r="Z719" s="6" t="inlineStr"/>
      <c r="AA719" s="5" t="inlineStr"/>
      <c r="AB719" s="5" t="inlineStr"/>
      <c r="AC719" s="5" t="inlineStr"/>
      <c r="AD719" s="5" t="inlineStr"/>
      <c r="AE719" s="5" t="inlineStr"/>
      <c r="AF719" s="5" t="inlineStr"/>
      <c r="AG719" s="5" t="inlineStr"/>
      <c r="AH719" s="5" t="inlineStr"/>
    </row>
    <row r="720">
      <c r="A720" s="5" t="inlineStr">
        <is>
          <t>mb-terfi-yarisi</t>
        </is>
      </c>
      <c r="B720" s="5" t="n">
        <v>3</v>
      </c>
      <c r="C720" s="6" t="inlineStr">
        <is>
          <t>Ekip adına proje planı hazırla</t>
        </is>
      </c>
      <c r="D720" s="5" t="inlineStr">
        <is>
          <t>Akıl</t>
        </is>
      </c>
      <c r="E720" s="5" t="inlineStr">
        <is>
          <t>Kolay</t>
        </is>
      </c>
      <c r="F720" s="5" t="inlineStr"/>
      <c r="G720" s="6" t="inlineStr"/>
      <c r="H720" s="6" t="inlineStr">
        <is>
          <t>Planın o kadar düzenliydi ki yönetim, ekibi zaten senin yönettiğini düşündü. Unvan geldi.</t>
        </is>
      </c>
      <c r="I720" s="6" t="inlineStr">
        <is>
          <t>Plan diğer departmanlara da örnek gösterildi. Terfine bir de 'süreç sahibi' eklendi.</t>
        </is>
      </c>
      <c r="J720" s="6" t="inlineStr">
        <is>
          <t>Plan harikaydı. Rakibin onu yönetime 'bizim plan' diye sundu.</t>
        </is>
      </c>
      <c r="K720" s="6" t="inlineStr">
        <is>
          <t>Planı hazırladın, e-postayı rakibine gönderdin. Terfi, planla birlikte ona geçti.</t>
        </is>
      </c>
      <c r="L720" s="6" t="inlineStr"/>
      <c r="M720" s="5" t="inlineStr"/>
      <c r="N720" s="5" t="inlineStr"/>
      <c r="O720" s="6" t="inlineStr"/>
      <c r="P720" s="6" t="inlineStr"/>
      <c r="Q720" s="5" t="inlineStr">
        <is>
          <t>Organizatör</t>
        </is>
      </c>
      <c r="R720" s="5" t="inlineStr"/>
      <c r="S720" s="5" t="inlineStr"/>
      <c r="T720" s="5" t="inlineStr"/>
      <c r="U720" s="5" t="inlineStr"/>
      <c r="V720" s="5" t="inlineStr">
        <is>
          <t>beyazyaka-terfi-aldi</t>
        </is>
      </c>
      <c r="W720" s="5" t="inlineStr"/>
      <c r="X720" s="5" t="inlineStr"/>
      <c r="Y720" s="5" t="inlineStr"/>
      <c r="Z720" s="6" t="inlineStr"/>
      <c r="AA720" s="5" t="inlineStr"/>
      <c r="AB720" s="5" t="inlineStr"/>
      <c r="AC720" s="5" t="inlineStr"/>
      <c r="AD720" s="5" t="inlineStr"/>
      <c r="AE720" s="5" t="inlineStr"/>
      <c r="AF720" s="5" t="inlineStr"/>
      <c r="AG720" s="5" t="inlineStr"/>
      <c r="AH720" s="5" t="inlineStr"/>
    </row>
    <row r="721">
      <c r="A721" s="5" t="inlineStr">
        <is>
          <t>mb-terfi-yarisi</t>
        </is>
      </c>
      <c r="B721" s="5" t="n">
        <v>4</v>
      </c>
      <c r="C721" s="6" t="inlineStr">
        <is>
          <t>Rakibini tebrik et, çekil</t>
        </is>
      </c>
      <c r="D721" s="5" t="inlineStr"/>
      <c r="E721" s="5" t="inlineStr"/>
      <c r="F721" s="5" t="inlineStr">
        <is>
          <t>İtibar +2</t>
        </is>
      </c>
      <c r="G721" s="6" t="inlineStr">
        <is>
          <t>Rakibin terfi etti, sen ona pasta aldın. Artık o senin yöneticin; pasta faturası sende.</t>
        </is>
      </c>
      <c r="H721" s="6" t="inlineStr"/>
      <c r="I721" s="6" t="inlineStr"/>
      <c r="J721" s="6" t="inlineStr"/>
      <c r="K721" s="6" t="inlineStr"/>
      <c r="L721" s="6" t="inlineStr"/>
      <c r="M721" s="5" t="inlineStr"/>
      <c r="N721" s="5" t="inlineStr"/>
      <c r="O721" s="6" t="inlineStr"/>
      <c r="P721" s="6" t="inlineStr"/>
      <c r="Q721" s="5" t="inlineStr"/>
      <c r="R721" s="5" t="inlineStr"/>
      <c r="S721" s="5" t="inlineStr"/>
      <c r="T721" s="5" t="inlineStr"/>
      <c r="U721" s="5" t="inlineStr"/>
      <c r="V721" s="5" t="inlineStr"/>
      <c r="W721" s="5" t="inlineStr"/>
      <c r="X721" s="5" t="inlineStr"/>
      <c r="Y721" s="5" t="inlineStr"/>
      <c r="Z721" s="6" t="inlineStr"/>
      <c r="AA721" s="5" t="inlineStr"/>
      <c r="AB721" s="5" t="inlineStr"/>
      <c r="AC721" s="5" t="inlineStr"/>
      <c r="AD721" s="5" t="inlineStr"/>
      <c r="AE721" s="5" t="inlineStr"/>
      <c r="AF721" s="5" t="inlineStr"/>
      <c r="AG721" s="5" t="inlineStr"/>
      <c r="AH721" s="5" t="inlineStr"/>
    </row>
    <row r="722">
      <c r="A722" s="5" t="inlineStr">
        <is>
          <t>mm-lojman-kurasi</t>
        </is>
      </c>
      <c r="B722" s="5" t="n">
        <v>1</v>
      </c>
      <c r="C722" s="6" t="inlineStr">
        <is>
          <t>Kuraya gir</t>
        </is>
      </c>
      <c r="D722" s="5" t="inlineStr">
        <is>
          <t>Dayanıklılık</t>
        </is>
      </c>
      <c r="E722" s="5" t="inlineStr">
        <is>
          <t>Orta</t>
        </is>
      </c>
      <c r="F722" s="5" t="inlineStr"/>
      <c r="G722" s="6" t="inlineStr"/>
      <c r="H722" s="6" t="inlineStr">
        <is>
          <t>Daire çıktı. Kalorifer yok ama balkondan müdürlük görünüyor; bu da bir tür ısınma.</t>
        </is>
      </c>
      <c r="I722" s="6" t="inlineStr">
        <is>
          <t>En iyi daire çıktı. Duvarlar kalın, müdür uzak, kalorifer çalışıyor. Kıskançlık da.</t>
        </is>
      </c>
      <c r="J722" s="6" t="inlineStr">
        <is>
          <t>Yedek listedesin. Yedek listedekiler, yedek listenin yedeğini bekliyor.</t>
        </is>
      </c>
      <c r="K722" s="6" t="inlineStr">
        <is>
          <t>Müdürün alt katı çıktı. Evde terlikle yürümek kurum içi yazıyla düzenlendi.</t>
        </is>
      </c>
      <c r="L722" s="6" t="inlineStr"/>
      <c r="M722" s="5" t="inlineStr"/>
      <c r="N722" s="5" t="inlineStr"/>
      <c r="O722" s="6" t="inlineStr"/>
      <c r="P722" s="6" t="inlineStr"/>
      <c r="Q722" s="5" t="inlineStr"/>
      <c r="R722" s="5" t="inlineStr"/>
      <c r="S722" s="5" t="inlineStr"/>
      <c r="T722" s="5" t="inlineStr"/>
      <c r="U722" s="5" t="inlineStr"/>
      <c r="V722" s="5" t="inlineStr"/>
      <c r="W722" s="5" t="inlineStr"/>
      <c r="X722" s="5" t="inlineStr"/>
      <c r="Y722" s="5" t="inlineStr"/>
      <c r="Z722" s="6" t="inlineStr"/>
      <c r="AA722" s="5" t="inlineStr"/>
      <c r="AB722" s="5" t="inlineStr"/>
      <c r="AC722" s="5" t="inlineStr"/>
      <c r="AD722" s="5" t="inlineStr"/>
      <c r="AE722" s="5" t="inlineStr"/>
      <c r="AF722" s="5" t="inlineStr"/>
      <c r="AG722" s="5" t="inlineStr"/>
      <c r="AH722" s="5" t="inlineStr"/>
    </row>
    <row r="723">
      <c r="A723" s="5" t="inlineStr">
        <is>
          <t>mm-lojman-kurasi</t>
        </is>
      </c>
      <c r="B723" s="5" t="n">
        <v>2</v>
      </c>
      <c r="C723" s="6" t="inlineStr">
        <is>
          <t>Evli olduğunu belirt</t>
        </is>
      </c>
      <c r="D723" s="5" t="inlineStr">
        <is>
          <t>Çene</t>
        </is>
      </c>
      <c r="E723" s="5" t="inlineStr">
        <is>
          <t>Kolay</t>
        </is>
      </c>
      <c r="F723" s="5" t="inlineStr"/>
      <c r="G723" s="6" t="inlineStr"/>
      <c r="H723" s="6" t="inlineStr">
        <is>
          <t>Aile puanın yükseldi, daire çıktı. Evliliğin ilk resmî getirisi.</t>
        </is>
      </c>
      <c r="I723" s="6" t="inlineStr">
        <is>
          <t>Kaloriferli, balkonlu, müdürden uzak bir daire çıktı. Nikâh şahitlerine teşekkür mesajı attın.</t>
        </is>
      </c>
      <c r="J723" s="6" t="inlineStr">
        <is>
          <t>Başvuranların otuz dokuzu da evliymiş. Puanlar eşitlendi, kura yine kura.</t>
        </is>
      </c>
      <c r="K723" s="6" t="inlineStr">
        <is>
          <t>Evlilik cüzdanının aslını istediler. Cüzdan, taşınmadaki kolilerden birinde. Hangisinde, bilinmiyor.</t>
        </is>
      </c>
      <c r="L723" s="6" t="inlineStr"/>
      <c r="M723" s="5" t="inlineStr"/>
      <c r="N723" s="5" t="inlineStr"/>
      <c r="O723" s="6" t="inlineStr"/>
      <c r="P723" s="6" t="inlineStr"/>
      <c r="Q723" s="5" t="inlineStr"/>
      <c r="R723" s="5" t="inlineStr">
        <is>
          <t>evli</t>
        </is>
      </c>
      <c r="S723" s="5" t="inlineStr"/>
      <c r="T723" s="5" t="inlineStr"/>
      <c r="U723" s="5" t="inlineStr"/>
      <c r="V723" s="5" t="inlineStr"/>
      <c r="W723" s="5" t="inlineStr"/>
      <c r="X723" s="5" t="inlineStr"/>
      <c r="Y723" s="5" t="inlineStr"/>
      <c r="Z723" s="6" t="inlineStr"/>
      <c r="AA723" s="5" t="inlineStr"/>
      <c r="AB723" s="5" t="inlineStr"/>
      <c r="AC723" s="5" t="inlineStr"/>
      <c r="AD723" s="5" t="inlineStr"/>
      <c r="AE723" s="5" t="inlineStr"/>
      <c r="AF723" s="5" t="inlineStr"/>
      <c r="AG723" s="5" t="inlineStr"/>
      <c r="AH723" s="5" t="inlineStr"/>
    </row>
    <row r="724">
      <c r="A724" s="5" t="inlineStr">
        <is>
          <t>mm-lojman-kurasi</t>
        </is>
      </c>
      <c r="B724" s="5" t="n">
        <v>3</v>
      </c>
      <c r="C724" s="6" t="inlineStr">
        <is>
          <t>Okula yakınlığı öne çıkar</t>
        </is>
      </c>
      <c r="D724" s="5" t="inlineStr">
        <is>
          <t>İtibar</t>
        </is>
      </c>
      <c r="E724" s="5" t="inlineStr">
        <is>
          <t>Orta</t>
        </is>
      </c>
      <c r="F724" s="5" t="inlineStr"/>
      <c r="G724" s="6" t="inlineStr"/>
      <c r="H724" s="6" t="inlineStr">
        <is>
          <t>Çocuğun okuluna iki dakikalık bir daire çıktı. Sabahların yirmi dakika uzadı.</t>
        </is>
      </c>
      <c r="I724" s="6" t="inlineStr">
        <is>
          <t>Daire okulun karşısında. Çocuğun teneffüste balkondan el sallıyor; sen de mesaide telefondan.</t>
        </is>
      </c>
      <c r="J724" s="6" t="inlineStr">
        <is>
          <t>Okula yakın daire çıktı; okul taşındı.</t>
        </is>
      </c>
      <c r="K724" s="6" t="inlineStr">
        <is>
          <t>Daire okulun tam karşısında. Sabah 08.00 zili artık senin de zilin.</t>
        </is>
      </c>
      <c r="L724" s="6" t="inlineStr"/>
      <c r="M724" s="5" t="inlineStr"/>
      <c r="N724" s="5" t="inlineStr"/>
      <c r="O724" s="6" t="inlineStr"/>
      <c r="P724" s="6" t="inlineStr"/>
      <c r="Q724" s="5" t="inlineStr"/>
      <c r="R724" s="5" t="inlineStr">
        <is>
          <t>cocuklu</t>
        </is>
      </c>
      <c r="S724" s="5" t="inlineStr"/>
      <c r="T724" s="5" t="inlineStr"/>
      <c r="U724" s="5" t="inlineStr"/>
      <c r="V724" s="5" t="inlineStr"/>
      <c r="W724" s="5" t="inlineStr"/>
      <c r="X724" s="5" t="inlineStr"/>
      <c r="Y724" s="5" t="inlineStr"/>
      <c r="Z724" s="6" t="inlineStr"/>
      <c r="AA724" s="5" t="inlineStr"/>
      <c r="AB724" s="5" t="inlineStr"/>
      <c r="AC724" s="5" t="inlineStr"/>
      <c r="AD724" s="5" t="inlineStr"/>
      <c r="AE724" s="5" t="inlineStr"/>
      <c r="AF724" s="5" t="inlineStr"/>
      <c r="AG724" s="5" t="inlineStr"/>
      <c r="AH724" s="5" t="inlineStr"/>
    </row>
    <row r="725">
      <c r="A725" s="5" t="inlineStr">
        <is>
          <t>mm-lojman-kurasi</t>
        </is>
      </c>
      <c r="B725" s="5" t="n">
        <v>4</v>
      </c>
      <c r="C725" s="6" t="inlineStr">
        <is>
          <t>Kirada kal</t>
        </is>
      </c>
      <c r="D725" s="5" t="inlineStr"/>
      <c r="E725" s="5" t="inlineStr"/>
      <c r="F725" s="5" t="inlineStr">
        <is>
          <t>İtibar +1</t>
        </is>
      </c>
      <c r="G725" s="6" t="inlineStr">
        <is>
          <t>Lojmandan vazgeçtin. Kira artışı yine geldi ama en azından üst katta müdür yok.</t>
        </is>
      </c>
      <c r="H725" s="6" t="inlineStr"/>
      <c r="I725" s="6" t="inlineStr"/>
      <c r="J725" s="6" t="inlineStr"/>
      <c r="K725" s="6" t="inlineStr"/>
      <c r="L725" s="6" t="inlineStr"/>
      <c r="M725" s="5" t="inlineStr"/>
      <c r="N725" s="5" t="inlineStr"/>
      <c r="O725" s="6" t="inlineStr"/>
      <c r="P725" s="6" t="inlineStr"/>
      <c r="Q725" s="5" t="inlineStr"/>
      <c r="R725" s="5" t="inlineStr"/>
      <c r="S725" s="5" t="inlineStr"/>
      <c r="T725" s="5" t="inlineStr"/>
      <c r="U725" s="5" t="inlineStr"/>
      <c r="V725" s="5" t="inlineStr"/>
      <c r="W725" s="5" t="inlineStr"/>
      <c r="X725" s="5" t="inlineStr"/>
      <c r="Y725" s="5" t="inlineStr"/>
      <c r="Z725" s="6" t="inlineStr"/>
      <c r="AA725" s="5" t="inlineStr"/>
      <c r="AB725" s="5" t="inlineStr"/>
      <c r="AC725" s="5" t="inlineStr"/>
      <c r="AD725" s="5" t="inlineStr"/>
      <c r="AE725" s="5" t="inlineStr"/>
      <c r="AF725" s="5" t="inlineStr"/>
      <c r="AG725" s="5" t="inlineStr"/>
      <c r="AH725" s="5" t="inlineStr"/>
    </row>
    <row r="726">
      <c r="A726" s="5" t="inlineStr">
        <is>
          <t>b7-bayram-rotasi</t>
        </is>
      </c>
      <c r="B726" s="5" t="n">
        <v>1</v>
      </c>
      <c r="C726" s="6" t="inlineStr">
        <is>
          <t>Bu yıl eşinin ailesine git</t>
        </is>
      </c>
      <c r="D726" s="5" t="inlineStr"/>
      <c r="E726" s="5" t="inlineStr"/>
      <c r="F726" s="5" t="inlineStr">
        <is>
          <t>İtibar +1</t>
        </is>
      </c>
      <c r="G726" s="6" t="inlineStr">
        <is>
          <t>Eşinin ailesine gittiniz. Senin ailen telefonda 'Önemli değil' dedi. Önemliydi.</t>
        </is>
      </c>
      <c r="H726" s="6" t="inlineStr"/>
      <c r="I726" s="6" t="inlineStr"/>
      <c r="J726" s="6" t="inlineStr"/>
      <c r="K726" s="6" t="inlineStr"/>
      <c r="L726" s="6" t="inlineStr"/>
      <c r="M726" s="5" t="inlineStr"/>
      <c r="N726" s="5" t="inlineStr"/>
      <c r="O726" s="6" t="inlineStr"/>
      <c r="P726" s="6" t="inlineStr"/>
      <c r="Q726" s="5" t="inlineStr"/>
      <c r="R726" s="5" t="inlineStr"/>
      <c r="S726" s="5" t="inlineStr"/>
      <c r="T726" s="5" t="inlineStr"/>
      <c r="U726" s="5" t="inlineStr"/>
      <c r="V726" s="5" t="inlineStr"/>
      <c r="W726" s="5" t="inlineStr"/>
      <c r="X726" s="5" t="inlineStr"/>
      <c r="Y726" s="5" t="inlineStr"/>
      <c r="Z726" s="6" t="inlineStr"/>
      <c r="AA726" s="5" t="inlineStr"/>
      <c r="AB726" s="5" t="inlineStr"/>
      <c r="AC726" s="5" t="inlineStr"/>
      <c r="AD726" s="5" t="inlineStr"/>
      <c r="AE726" s="5" t="inlineStr"/>
      <c r="AF726" s="5" t="inlineStr"/>
      <c r="AG726" s="5" t="inlineStr"/>
      <c r="AH726" s="5" t="inlineStr"/>
    </row>
    <row r="727">
      <c r="A727" s="5" t="inlineStr">
        <is>
          <t>b7-bayram-rotasi</t>
        </is>
      </c>
      <c r="B727" s="5" t="n">
        <v>2</v>
      </c>
      <c r="C727" s="6" t="inlineStr">
        <is>
          <t>İki aileyi aynı bayramda gez</t>
        </is>
      </c>
      <c r="D727" s="5" t="inlineStr">
        <is>
          <t>Dayanıklılık</t>
        </is>
      </c>
      <c r="E727" s="5" t="inlineStr">
        <is>
          <t>Zor</t>
        </is>
      </c>
      <c r="F727" s="5" t="inlineStr"/>
      <c r="G727" s="6" t="inlineStr"/>
      <c r="H727" s="6" t="inlineStr">
        <is>
          <t>Dört günde iki şehir, dokuz ev, on bir sofra. Başardın. Kilon ve mazeretin kalmadı.</t>
        </is>
      </c>
      <c r="I727" s="6" t="inlineStr">
        <is>
          <t>Rotayı öyle kusursuz planladın ki iki aile de 'Bizde daha çok kaldılar' diye düşündü. Diplomasi tarihine geçtin.</t>
        </is>
      </c>
      <c r="J727" s="6" t="inlineStr">
        <is>
          <t>Yolda trafiğe takıldın. Bayram ikinci gün trafikte kutlandı.</t>
        </is>
      </c>
      <c r="K727" s="6" t="inlineStr">
        <is>
          <t>Rotanın ortasında iki aile de aynı gün 'Sofra hazır' dedi. Otoyolun tam ortasında iki sesli mesaj dinledin.</t>
        </is>
      </c>
      <c r="L727" s="6" t="inlineStr"/>
      <c r="M727" s="5" t="inlineStr"/>
      <c r="N727" s="5" t="inlineStr"/>
      <c r="O727" s="6" t="inlineStr"/>
      <c r="P727" s="6" t="inlineStr"/>
      <c r="Q727" s="5" t="inlineStr"/>
      <c r="R727" s="5" t="inlineStr"/>
      <c r="S727" s="5" t="inlineStr"/>
      <c r="T727" s="5" t="inlineStr"/>
      <c r="U727" s="5" t="inlineStr"/>
      <c r="V727" s="5" t="inlineStr"/>
      <c r="W727" s="5" t="inlineStr"/>
      <c r="X727" s="5" t="inlineStr"/>
      <c r="Y727" s="5" t="inlineStr"/>
      <c r="Z727" s="6" t="inlineStr"/>
      <c r="AA727" s="5" t="inlineStr"/>
      <c r="AB727" s="5" t="inlineStr"/>
      <c r="AC727" s="5" t="inlineStr"/>
      <c r="AD727" s="5" t="inlineStr"/>
      <c r="AE727" s="5" t="inlineStr"/>
      <c r="AF727" s="5" t="inlineStr"/>
      <c r="AG727" s="5" t="inlineStr"/>
      <c r="AH727" s="5" t="inlineStr"/>
    </row>
    <row r="728">
      <c r="A728" s="5" t="inlineStr">
        <is>
          <t>b7-bayram-rotasi</t>
        </is>
      </c>
      <c r="B728" s="5" t="n">
        <v>3</v>
      </c>
      <c r="C728" s="6" t="inlineStr">
        <is>
          <t>İki aileyi aynı sofrada buluştur</t>
        </is>
      </c>
      <c r="D728" s="5" t="inlineStr">
        <is>
          <t>Sosyal Radar</t>
        </is>
      </c>
      <c r="E728" s="5" t="inlineStr">
        <is>
          <t>Orta</t>
        </is>
      </c>
      <c r="F728" s="5" t="inlineStr"/>
      <c r="G728" s="6" t="inlineStr"/>
      <c r="H728" s="6" t="inlineStr">
        <is>
          <t>İki aile tanıştı, güldü, yemekler karşılaştırıldı. İki taraf da kendi dolmasının kazandığını düşünüyor.</t>
        </is>
      </c>
      <c r="I728" s="6" t="inlineStr">
        <is>
          <t>Sofra o kadar iyi geçti ki iki aile birlikte tatil planı yaptı. Sizi davet etmediler.</t>
        </is>
      </c>
      <c r="J728" s="6" t="inlineStr">
        <is>
          <t>Sofrada kimin baklavasının daha iyi olduğu tartışıldı. Karar çıkmadı, baklava bitti.</t>
        </is>
      </c>
      <c r="K728" s="6" t="inlineStr">
        <is>
          <t>Sofrada iki aile de aynı yemeği getirdi. Bayram, dolmaların uluslararası karşılaştırmasına döndü.</t>
        </is>
      </c>
      <c r="L728" s="6" t="inlineStr"/>
      <c r="M728" s="5" t="inlineStr"/>
      <c r="N728" s="5" t="inlineStr"/>
      <c r="O728" s="6" t="inlineStr"/>
      <c r="P728" s="6" t="inlineStr"/>
      <c r="Q728" s="5" t="inlineStr">
        <is>
          <t>Kayınvalide Diplomatı</t>
        </is>
      </c>
      <c r="R728" s="5" t="inlineStr"/>
      <c r="S728" s="5" t="inlineStr"/>
      <c r="T728" s="5" t="inlineStr"/>
      <c r="U728" s="5" t="inlineStr"/>
      <c r="V728" s="5" t="inlineStr"/>
      <c r="W728" s="5" t="inlineStr"/>
      <c r="X728" s="5" t="inlineStr"/>
      <c r="Y728" s="5" t="inlineStr"/>
      <c r="Z728" s="6" t="inlineStr"/>
      <c r="AA728" s="5" t="inlineStr"/>
      <c r="AB728" s="5" t="inlineStr"/>
      <c r="AC728" s="5" t="inlineStr"/>
      <c r="AD728" s="5" t="inlineStr"/>
      <c r="AE728" s="5" t="inlineStr"/>
      <c r="AF728" s="5" t="inlineStr"/>
      <c r="AG728" s="5" t="inlineStr"/>
      <c r="AH728" s="5" t="inlineStr"/>
    </row>
    <row r="729">
      <c r="A729" s="5" t="inlineStr">
        <is>
          <t>b7-bayram-rotasi</t>
        </is>
      </c>
      <c r="B729" s="5" t="n">
        <v>4</v>
      </c>
      <c r="C729" s="6" t="inlineStr">
        <is>
          <t>'Arabamızla ortada buluşalım' diye öner</t>
        </is>
      </c>
      <c r="D729" s="5" t="inlineStr">
        <is>
          <t>Kurnazlık</t>
        </is>
      </c>
      <c r="E729" s="5" t="inlineStr">
        <is>
          <t>Kolay</t>
        </is>
      </c>
      <c r="F729" s="5" t="inlineStr"/>
      <c r="G729" s="6" t="inlineStr"/>
      <c r="H729" s="6" t="inlineStr">
        <is>
          <t>Yol üstündeki dinlenme tesisinde iki aileyle ayrı ayrı çay içtiniz. Tarafsız bölge işe yaradı.</t>
        </is>
      </c>
      <c r="I729" s="6" t="inlineStr">
        <is>
          <t>Dinlenme tesisinde bayramlaştınız, üç saatte eve döndünüz. Bu model bütün akrabalara ilham oldu.</t>
        </is>
      </c>
      <c r="J729" s="6" t="inlineStr">
        <is>
          <t>Tesis bayram kalabalığıydı. Aileleri bulana kadar çaylar soğudu.</t>
        </is>
      </c>
      <c r="K729" s="6" t="inlineStr">
        <is>
          <t>Arabanın aküsü tesiste bitti. İki aile birlikte seni itti. Barış böyle geldi.</t>
        </is>
      </c>
      <c r="L729" s="6" t="inlineStr"/>
      <c r="M729" s="5" t="inlineStr"/>
      <c r="N729" s="5" t="inlineStr"/>
      <c r="O729" s="6" t="inlineStr"/>
      <c r="P729" s="6" t="inlineStr"/>
      <c r="Q729" s="5" t="inlineStr"/>
      <c r="R729" s="5" t="inlineStr">
        <is>
          <t>arabali</t>
        </is>
      </c>
      <c r="S729" s="5" t="inlineStr"/>
      <c r="T729" s="5" t="inlineStr"/>
      <c r="U729" s="5" t="inlineStr"/>
      <c r="V729" s="5" t="inlineStr"/>
      <c r="W729" s="5" t="inlineStr"/>
      <c r="X729" s="5" t="inlineStr"/>
      <c r="Y729" s="5" t="inlineStr"/>
      <c r="Z729" s="6" t="inlineStr"/>
      <c r="AA729" s="5" t="inlineStr"/>
      <c r="AB729" s="5" t="inlineStr"/>
      <c r="AC729" s="5" t="inlineStr"/>
      <c r="AD729" s="5" t="inlineStr"/>
      <c r="AE729" s="5" t="inlineStr"/>
      <c r="AF729" s="5" t="inlineStr"/>
      <c r="AG729" s="5" t="inlineStr"/>
      <c r="AH729" s="5" t="inlineStr"/>
    </row>
    <row r="730">
      <c r="A730" s="5" t="inlineStr">
        <is>
          <t>b7-uykusuz-geceler</t>
        </is>
      </c>
      <c r="B730" s="5" t="n">
        <v>1</v>
      </c>
      <c r="C730" s="6" t="inlineStr">
        <is>
          <t>Kucağına al, nefesini eşle, uyut</t>
        </is>
      </c>
      <c r="D730" s="5" t="inlineStr">
        <is>
          <t>Dayanıklılık</t>
        </is>
      </c>
      <c r="E730" s="5" t="inlineStr">
        <is>
          <t>Zor</t>
        </is>
      </c>
      <c r="F730" s="5" t="inlineStr"/>
      <c r="G730" s="6" t="inlineStr"/>
      <c r="H730" s="6" t="inlineStr">
        <is>
          <t>Nefesiniz aynı ritme girdi. Bebek uyudu. Sen de ayakta, kapıya yaslanarak.</t>
        </is>
      </c>
      <c r="I730" s="6" t="inlineStr">
        <is>
          <t>Bebek on dakikada uyudu ve sabaha kadar uyandı mı? Hayır. Mahalle bunu mucize olarak kayda geçti.</t>
        </is>
      </c>
      <c r="J730" s="6" t="inlineStr">
        <is>
          <t>Bebek uyudu, yatağa koyarken uyandı. Operasyon başa sarıldı.</t>
        </is>
      </c>
      <c r="K730" s="6" t="inlineStr">
        <is>
          <t>Bebeği uyuttun, sen de onunla uyudun. Eşin sabah ikinizi de aynı sallanan sandalyede buldu. Mesaiye geç kaldın.</t>
        </is>
      </c>
      <c r="L730" s="6" t="inlineStr">
        <is>
          <t>Bebek yarım saat uyudu. Ev halkı bunu tam bir gece gibi kutladı.</t>
        </is>
      </c>
      <c r="M730" s="5" t="inlineStr">
        <is>
          <t>breath</t>
        </is>
      </c>
      <c r="N730" s="5" t="inlineStr">
        <is>
          <t>Ninni Nefesi</t>
        </is>
      </c>
      <c r="O730" s="6" t="inlineStr">
        <is>
          <t>Daire büyürken bas, küçülürken bırak. Bebeğin nefesiyle aynı ritmi tut.</t>
        </is>
      </c>
      <c r="P730" s="6" t="inlineStr"/>
      <c r="Q730" s="5" t="inlineStr"/>
      <c r="R730" s="5" t="inlineStr"/>
      <c r="S730" s="5" t="inlineStr"/>
      <c r="T730" s="5" t="inlineStr">
        <is>
          <t>Uykusuz Operasyon</t>
        </is>
      </c>
      <c r="U730" s="5" t="inlineStr"/>
      <c r="V730" s="5" t="inlineStr"/>
      <c r="W730" s="5" t="inlineStr"/>
      <c r="X730" s="5" t="inlineStr"/>
      <c r="Y730" s="5" t="inlineStr"/>
      <c r="Z730" s="6" t="inlineStr"/>
      <c r="AA730" s="5" t="inlineStr"/>
      <c r="AB730" s="5" t="inlineStr"/>
      <c r="AC730" s="5" t="inlineStr"/>
      <c r="AD730" s="5" t="inlineStr"/>
      <c r="AE730" s="5" t="inlineStr"/>
      <c r="AF730" s="5" t="inlineStr"/>
      <c r="AG730" s="5" t="inlineStr"/>
      <c r="AH730" s="5" t="inlineStr"/>
    </row>
    <row r="731">
      <c r="A731" s="5" t="inlineStr">
        <is>
          <t>b7-uykusuz-geceler</t>
        </is>
      </c>
      <c r="B731" s="5" t="n">
        <v>2</v>
      </c>
      <c r="C731" s="6" t="inlineStr">
        <is>
          <t>Nöbeti eşine devret</t>
        </is>
      </c>
      <c r="D731" s="5" t="inlineStr"/>
      <c r="E731" s="5" t="inlineStr"/>
      <c r="F731" s="5" t="inlineStr">
        <is>
          <t>Kurnazlık +1</t>
        </is>
      </c>
      <c r="G731" s="6" t="inlineStr">
        <is>
          <t>Eşini uyandırdın. İyilik hanene değil, 'hatırlanacaklar' klasörüne yazıldı.</t>
        </is>
      </c>
      <c r="H731" s="6" t="inlineStr"/>
      <c r="I731" s="6" t="inlineStr"/>
      <c r="J731" s="6" t="inlineStr"/>
      <c r="K731" s="6" t="inlineStr"/>
      <c r="L731" s="6" t="inlineStr"/>
      <c r="M731" s="5" t="inlineStr"/>
      <c r="N731" s="5" t="inlineStr"/>
      <c r="O731" s="6" t="inlineStr"/>
      <c r="P731" s="6" t="inlineStr"/>
      <c r="Q731" s="5" t="inlineStr"/>
      <c r="R731" s="5" t="inlineStr"/>
      <c r="S731" s="5" t="inlineStr"/>
      <c r="T731" s="5" t="inlineStr"/>
      <c r="U731" s="5" t="inlineStr"/>
      <c r="V731" s="5" t="inlineStr"/>
      <c r="W731" s="5" t="inlineStr"/>
      <c r="X731" s="5" t="inlineStr"/>
      <c r="Y731" s="5" t="inlineStr"/>
      <c r="Z731" s="6" t="inlineStr"/>
      <c r="AA731" s="5" t="inlineStr"/>
      <c r="AB731" s="5" t="inlineStr"/>
      <c r="AC731" s="5" t="inlineStr"/>
      <c r="AD731" s="5" t="inlineStr"/>
      <c r="AE731" s="5" t="inlineStr"/>
      <c r="AF731" s="5" t="inlineStr"/>
      <c r="AG731" s="5" t="inlineStr"/>
      <c r="AH731" s="5" t="inlineStr"/>
    </row>
    <row r="732">
      <c r="A732" s="5" t="inlineStr">
        <is>
          <t>b7-uykusuz-geceler</t>
        </is>
      </c>
      <c r="B732" s="5" t="n">
        <v>3</v>
      </c>
      <c r="C732" s="6" t="inlineStr">
        <is>
          <t>Arabayla mahallede tur at</t>
        </is>
      </c>
      <c r="D732" s="5" t="inlineStr">
        <is>
          <t>Kurnazlık</t>
        </is>
      </c>
      <c r="E732" s="5" t="inlineStr">
        <is>
          <t>Kolay</t>
        </is>
      </c>
      <c r="F732" s="5" t="inlineStr"/>
      <c r="G732" s="6" t="inlineStr"/>
      <c r="H732" s="6" t="inlineStr">
        <is>
          <t>Motor sesi işe yaradı. Bebek uyudu. Sen de otoparkta, emniyet kemeri takılı.</t>
        </is>
      </c>
      <c r="I732" s="6" t="inlineStr">
        <is>
          <t>Üç tur sonra bebek uyudu ve eve geri taşırken uyanmadı. Bu gece senin adına yazıldı.</t>
        </is>
      </c>
      <c r="J732" s="6" t="inlineStr">
        <is>
          <t>Bebek arabada uyudu. Kontağı kapattığın an uyandı. Arabayla gece turu sabaha kadar sürdü.</t>
        </is>
      </c>
      <c r="K732" s="6" t="inlineStr">
        <is>
          <t>Mahallede o kadar tur attın ki komşular devriye var sandı. Site grubunda 'şüpheli araç' diye fotoğrafın paylaşıldı.</t>
        </is>
      </c>
      <c r="L732" s="6" t="inlineStr"/>
      <c r="M732" s="5" t="inlineStr"/>
      <c r="N732" s="5" t="inlineStr"/>
      <c r="O732" s="6" t="inlineStr"/>
      <c r="P732" s="6" t="inlineStr"/>
      <c r="Q732" s="5" t="inlineStr"/>
      <c r="R732" s="5" t="inlineStr">
        <is>
          <t>arabali</t>
        </is>
      </c>
      <c r="S732" s="5" t="inlineStr"/>
      <c r="T732" s="5" t="inlineStr"/>
      <c r="U732" s="5" t="inlineStr"/>
      <c r="V732" s="5" t="inlineStr"/>
      <c r="W732" s="5" t="inlineStr"/>
      <c r="X732" s="5" t="inlineStr"/>
      <c r="Y732" s="5" t="inlineStr"/>
      <c r="Z732" s="6" t="inlineStr"/>
      <c r="AA732" s="5" t="inlineStr"/>
      <c r="AB732" s="5" t="inlineStr"/>
      <c r="AC732" s="5" t="inlineStr"/>
      <c r="AD732" s="5" t="inlineStr"/>
      <c r="AE732" s="5" t="inlineStr"/>
      <c r="AF732" s="5" t="inlineStr"/>
      <c r="AG732" s="5" t="inlineStr"/>
      <c r="AH732" s="5" t="inlineStr"/>
    </row>
    <row r="733">
      <c r="A733" s="5" t="inlineStr">
        <is>
          <t>b7-site-toplantisi</t>
        </is>
      </c>
      <c r="B733" s="5" t="n">
        <v>1</v>
      </c>
      <c r="C733" s="6" t="inlineStr">
        <is>
          <t>Arka sırada otur, sadece el kaldır</t>
        </is>
      </c>
      <c r="D733" s="5" t="inlineStr"/>
      <c r="E733" s="5" t="inlineStr"/>
      <c r="F733" s="5" t="inlineStr">
        <is>
          <t>Dayanıklılık +1</t>
        </is>
      </c>
      <c r="G733" s="6" t="inlineStr">
        <is>
          <t>Üç saat oturdun, iki kez el kaldırdın. Birinde yanlış maddeye oy verdin. Aidat arttı.</t>
        </is>
      </c>
      <c r="H733" s="6" t="inlineStr"/>
      <c r="I733" s="6" t="inlineStr"/>
      <c r="J733" s="6" t="inlineStr"/>
      <c r="K733" s="6" t="inlineStr"/>
      <c r="L733" s="6" t="inlineStr"/>
      <c r="M733" s="5" t="inlineStr"/>
      <c r="N733" s="5" t="inlineStr"/>
      <c r="O733" s="6" t="inlineStr"/>
      <c r="P733" s="6" t="inlineStr"/>
      <c r="Q733" s="5" t="inlineStr"/>
      <c r="R733" s="5" t="inlineStr"/>
      <c r="S733" s="5" t="inlineStr"/>
      <c r="T733" s="5" t="inlineStr"/>
      <c r="U733" s="5" t="inlineStr"/>
      <c r="V733" s="5" t="inlineStr"/>
      <c r="W733" s="5" t="inlineStr"/>
      <c r="X733" s="5" t="inlineStr"/>
      <c r="Y733" s="5" t="inlineStr"/>
      <c r="Z733" s="6" t="inlineStr"/>
      <c r="AA733" s="5" t="inlineStr"/>
      <c r="AB733" s="5" t="inlineStr"/>
      <c r="AC733" s="5" t="inlineStr"/>
      <c r="AD733" s="5" t="inlineStr"/>
      <c r="AE733" s="5" t="inlineStr"/>
      <c r="AF733" s="5" t="inlineStr"/>
      <c r="AG733" s="5" t="inlineStr"/>
      <c r="AH733" s="5" t="inlineStr"/>
    </row>
    <row r="734">
      <c r="A734" s="5" t="inlineStr">
        <is>
          <t>b7-site-toplantisi</t>
        </is>
      </c>
      <c r="B734" s="5" t="n">
        <v>2</v>
      </c>
      <c r="C734" s="6" t="inlineStr">
        <is>
          <t>Aidat artışına itiraz et</t>
        </is>
      </c>
      <c r="D734" s="5" t="inlineStr">
        <is>
          <t>Çene</t>
        </is>
      </c>
      <c r="E734" s="5" t="inlineStr">
        <is>
          <t>Orta</t>
        </is>
      </c>
      <c r="F734" s="5" t="inlineStr"/>
      <c r="G734" s="6" t="inlineStr"/>
      <c r="H734" s="6" t="inlineStr">
        <is>
          <t>İtirazın kabul edildi. Artış yarıya indi. Asansörde artık sana selam veriyorlar.</t>
        </is>
      </c>
      <c r="I734" s="6" t="inlineStr">
        <is>
          <t>İtirazın öyle ikna ediciydi ki salon ayağa kalktı. Bir de seni yönetici seçtiler. Artık itiraz edilen sensin.</t>
        </is>
      </c>
      <c r="J734" s="6" t="inlineStr">
        <is>
          <t>İtiraz ettin. Yönetici 'Not alındı' dedi. Not hiçbir yere alınmadı.</t>
        </is>
      </c>
      <c r="K734" s="6" t="inlineStr">
        <is>
          <t>İtiraz ederken bütçe sorusu sordun. Yanıtı bulmak için bir komisyon kuruldu. Komisyonun başkanı sensin.</t>
        </is>
      </c>
      <c r="L734" s="6" t="inlineStr"/>
      <c r="M734" s="5" t="inlineStr"/>
      <c r="N734" s="5" t="inlineStr"/>
      <c r="O734" s="6" t="inlineStr"/>
      <c r="P734" s="6" t="inlineStr"/>
      <c r="Q734" s="5" t="inlineStr"/>
      <c r="R734" s="5" t="inlineStr"/>
      <c r="S734" s="5" t="inlineStr"/>
      <c r="T734" s="5" t="inlineStr"/>
      <c r="U734" s="5" t="inlineStr"/>
      <c r="V734" s="5" t="inlineStr">
        <is>
          <t>site-yoneticisi</t>
        </is>
      </c>
      <c r="W734" s="5" t="inlineStr">
        <is>
          <t>site-yoneticisi</t>
        </is>
      </c>
      <c r="X734" s="5" t="inlineStr"/>
      <c r="Y734" s="5" t="inlineStr"/>
      <c r="Z734" s="6" t="inlineStr"/>
      <c r="AA734" s="5" t="inlineStr"/>
      <c r="AB734" s="5" t="inlineStr"/>
      <c r="AC734" s="5" t="inlineStr"/>
      <c r="AD734" s="5" t="inlineStr"/>
      <c r="AE734" s="5" t="inlineStr"/>
      <c r="AF734" s="5" t="inlineStr"/>
      <c r="AG734" s="5" t="inlineStr"/>
      <c r="AH734" s="5" t="inlineStr"/>
    </row>
    <row r="735">
      <c r="A735" s="5" t="inlineStr">
        <is>
          <t>b7-site-toplantisi</t>
        </is>
      </c>
      <c r="B735" s="5" t="n">
        <v>3</v>
      </c>
      <c r="C735" s="6" t="inlineStr">
        <is>
          <t>Çatı yalıtımını bizzat kontrol etmeyi teklif et</t>
        </is>
      </c>
      <c r="D735" s="5" t="inlineStr">
        <is>
          <t>Cesaret</t>
        </is>
      </c>
      <c r="E735" s="5" t="inlineStr">
        <is>
          <t>Orta</t>
        </is>
      </c>
      <c r="F735" s="5" t="inlineStr"/>
      <c r="G735" s="6" t="inlineStr"/>
      <c r="H735" s="6" t="inlineStr">
        <is>
          <t>Çatıya çıktın, sorunu buldun, fotoğrafladın. Genel kurul seni kahraman ilan etti. Aidat yine de arttı.</t>
        </is>
      </c>
      <c r="I735" s="6" t="inlineStr">
        <is>
          <t>Çatıda sorunu buldun ve ustanın fiyatının yarısına çözdürdün. Site tarihine 'çatıdaki kişi' olarak geçtin.</t>
        </is>
      </c>
      <c r="J735" s="6" t="inlineStr">
        <is>
          <t>Çatıya çıktın, hiçbir şey anlamadın. İndiğinde toplantı bitmişti ve aidat artmıştı.</t>
        </is>
      </c>
      <c r="K735" s="6" t="inlineStr">
        <is>
          <t>Çatı kapısı arkandan kilitlendi. Toplantının geri kalanını çatıdan, mesaj grubu üzerinden takip ettin.</t>
        </is>
      </c>
      <c r="L735" s="6" t="inlineStr"/>
      <c r="M735" s="5" t="inlineStr"/>
      <c r="N735" s="5" t="inlineStr"/>
      <c r="O735" s="6" t="inlineStr"/>
      <c r="P735" s="6" t="inlineStr"/>
      <c r="Q735" s="5" t="inlineStr"/>
      <c r="R735" s="5" t="inlineStr"/>
      <c r="S735" s="5" t="inlineStr"/>
      <c r="T735" s="5" t="inlineStr"/>
      <c r="U735" s="5" t="inlineStr"/>
      <c r="V735" s="5" t="inlineStr"/>
      <c r="W735" s="5" t="inlineStr"/>
      <c r="X735" s="5" t="inlineStr"/>
      <c r="Y735" s="5" t="n">
        <v>4</v>
      </c>
      <c r="Z735" s="6" t="inlineStr">
        <is>
          <t>Site çatısında yalıtım kontrolü yaparken. Karar defterine 'gönüllü' diye geçti.</t>
        </is>
      </c>
      <c r="AA735" s="5" t="inlineStr"/>
      <c r="AB735" s="5" t="inlineStr"/>
      <c r="AC735" s="5" t="inlineStr"/>
      <c r="AD735" s="5" t="inlineStr"/>
      <c r="AE735" s="5" t="inlineStr"/>
      <c r="AF735" s="5" t="inlineStr"/>
      <c r="AG735" s="5" t="inlineStr"/>
      <c r="AH735" s="5" t="inlineStr"/>
    </row>
    <row r="736">
      <c r="A736" s="5" t="inlineStr">
        <is>
          <t>b7-site-toplantisi</t>
        </is>
      </c>
      <c r="B736" s="5" t="n">
        <v>4</v>
      </c>
      <c r="C736" s="6" t="inlineStr">
        <is>
          <t>Ayakkabılık meselesinde arabuluculuk yap</t>
        </is>
      </c>
      <c r="D736" s="5" t="inlineStr">
        <is>
          <t>Sosyal Radar</t>
        </is>
      </c>
      <c r="E736" s="5" t="inlineStr">
        <is>
          <t>Zor</t>
        </is>
      </c>
      <c r="F736" s="5" t="inlineStr"/>
      <c r="G736" s="6" t="inlineStr"/>
      <c r="H736" s="6" t="inlineStr">
        <is>
          <t>Ayakkabılık kapının içine alındı. On yıllık bir sorun, on dakikada çözüldü.</t>
        </is>
      </c>
      <c r="I736" s="6" t="inlineStr">
        <is>
          <t>Arabuluculuğun öyle başarılıydı ki iki komşu barıştı, ortak bir ayakkabılık aldı. Sitede yeni bir çağ başladı.</t>
        </is>
      </c>
      <c r="J736" s="6" t="inlineStr">
        <is>
          <t>Ayakkabılık konusu açıldığında salon ikiye bölündü. Sen ortada kaldın.</t>
        </is>
      </c>
      <c r="K736" s="6" t="inlineStr">
        <is>
          <t>Arabuluculuk yaparken senin paspasın da gündeme geldi. Toplantı bir saat uzadı.</t>
        </is>
      </c>
      <c r="L736" s="6" t="inlineStr"/>
      <c r="M736" s="5" t="inlineStr"/>
      <c r="N736" s="5" t="inlineStr"/>
      <c r="O736" s="6" t="inlineStr"/>
      <c r="P736" s="6" t="inlineStr"/>
      <c r="Q736" s="5" t="inlineStr"/>
      <c r="R736" s="5" t="inlineStr"/>
      <c r="S736" s="5" t="inlineStr"/>
      <c r="T736" s="5" t="inlineStr"/>
      <c r="U736" s="5" t="inlineStr"/>
      <c r="V736" s="5" t="inlineStr"/>
      <c r="W736" s="5" t="inlineStr"/>
      <c r="X736" s="5" t="inlineStr"/>
      <c r="Y736" s="5" t="inlineStr"/>
      <c r="Z736" s="6" t="inlineStr"/>
      <c r="AA736" s="5" t="inlineStr"/>
      <c r="AB736" s="5" t="inlineStr"/>
      <c r="AC736" s="5" t="inlineStr"/>
      <c r="AD736" s="5" t="inlineStr"/>
      <c r="AE736" s="5" t="inlineStr"/>
      <c r="AF736" s="5" t="inlineStr"/>
      <c r="AG736" s="5" t="inlineStr"/>
      <c r="AH736" s="5" t="inlineStr"/>
    </row>
    <row r="737">
      <c r="A737" s="5" t="inlineStr">
        <is>
          <t>ms-yapay-zeka-rakip</t>
        </is>
      </c>
      <c r="B737" s="5" t="n">
        <v>1</v>
      </c>
      <c r="C737" s="6" t="inlineStr">
        <is>
          <t>Fiyatını düşür</t>
        </is>
      </c>
      <c r="D737" s="5" t="inlineStr"/>
      <c r="E737" s="5" t="inlineStr"/>
      <c r="F737" s="5" t="inlineStr">
        <is>
          <t>Dayanıklılık +1</t>
        </is>
      </c>
      <c r="G737" s="6" t="inlineStr">
        <is>
          <t>Fiyatını yarıya indirdin. Müşteri 'Yapay zekâ bedava ama' dedi. Rakibin artık bir yazılım.</t>
        </is>
      </c>
      <c r="H737" s="6" t="inlineStr"/>
      <c r="I737" s="6" t="inlineStr"/>
      <c r="J737" s="6" t="inlineStr"/>
      <c r="K737" s="6" t="inlineStr"/>
      <c r="L737" s="6" t="inlineStr"/>
      <c r="M737" s="5" t="inlineStr"/>
      <c r="N737" s="5" t="inlineStr"/>
      <c r="O737" s="6" t="inlineStr"/>
      <c r="P737" s="6" t="inlineStr"/>
      <c r="Q737" s="5" t="inlineStr"/>
      <c r="R737" s="5" t="inlineStr"/>
      <c r="S737" s="5" t="inlineStr"/>
      <c r="T737" s="5" t="inlineStr"/>
      <c r="U737" s="5" t="inlineStr"/>
      <c r="V737" s="5" t="inlineStr"/>
      <c r="W737" s="5" t="inlineStr"/>
      <c r="X737" s="5" t="inlineStr"/>
      <c r="Y737" s="5" t="inlineStr"/>
      <c r="Z737" s="6" t="inlineStr"/>
      <c r="AA737" s="5" t="inlineStr"/>
      <c r="AB737" s="5" t="inlineStr"/>
      <c r="AC737" s="5" t="inlineStr"/>
      <c r="AD737" s="5" t="inlineStr"/>
      <c r="AE737" s="5" t="inlineStr"/>
      <c r="AF737" s="5" t="inlineStr"/>
      <c r="AG737" s="5" t="inlineStr"/>
      <c r="AH737" s="5" t="inlineStr"/>
    </row>
    <row r="738">
      <c r="A738" s="5" t="inlineStr">
        <is>
          <t>ms-yapay-zeka-rakip</t>
        </is>
      </c>
      <c r="B738" s="5" t="n">
        <v>2</v>
      </c>
      <c r="C738" s="6" t="inlineStr">
        <is>
          <t>Hataları tek tek işaretle</t>
        </is>
      </c>
      <c r="D738" s="5" t="inlineStr">
        <is>
          <t>Akıl</t>
        </is>
      </c>
      <c r="E738" s="5" t="inlineStr">
        <is>
          <t>Kolay</t>
        </is>
      </c>
      <c r="F738" s="5" t="inlineStr"/>
      <c r="G738" s="6" t="inlineStr"/>
      <c r="H738" s="6" t="inlineStr">
        <is>
          <t>Altı parmağı, üç farklı yazılmış şirket adını ve ters gölgeyi işaretledin. İş sende.</t>
        </is>
      </c>
      <c r="I738" s="6" t="inlineStr">
        <is>
          <t>Hata listen o kadar uzundu ki müşteri seni yapay zekâ denetçisi olarak da tuttu.</t>
        </is>
      </c>
      <c r="J738" s="6" t="inlineStr">
        <is>
          <t>İşaretledin; müşteri hataları yapay zekâya düzelttirdi. Beş saniye sürdü.</t>
        </is>
      </c>
      <c r="K738" s="6" t="inlineStr">
        <is>
          <t>Hataları işaretledin; müşteri altı parmağı 'yenilikçi' buldu ve kullanmaya karar verdi.</t>
        </is>
      </c>
      <c r="L738" s="6" t="inlineStr"/>
      <c r="M738" s="5" t="inlineStr"/>
      <c r="N738" s="5" t="inlineStr"/>
      <c r="O738" s="6" t="inlineStr"/>
      <c r="P738" s="6" t="inlineStr"/>
      <c r="Q738" s="5" t="inlineStr"/>
      <c r="R738" s="5" t="inlineStr"/>
      <c r="S738" s="5" t="inlineStr">
        <is>
          <t>Akıl</t>
        </is>
      </c>
      <c r="T738" s="5" t="inlineStr"/>
      <c r="U738" s="5" t="inlineStr"/>
      <c r="V738" s="5" t="inlineStr"/>
      <c r="W738" s="5" t="inlineStr"/>
      <c r="X738" s="5" t="inlineStr"/>
      <c r="Y738" s="5" t="inlineStr"/>
      <c r="Z738" s="6" t="inlineStr"/>
      <c r="AA738" s="5" t="inlineStr"/>
      <c r="AB738" s="5" t="inlineStr"/>
      <c r="AC738" s="5" t="inlineStr"/>
      <c r="AD738" s="5" t="inlineStr"/>
      <c r="AE738" s="5" t="inlineStr"/>
      <c r="AF738" s="5" t="inlineStr"/>
      <c r="AG738" s="5" t="inlineStr"/>
      <c r="AH738" s="5" t="inlineStr"/>
    </row>
    <row r="739">
      <c r="A739" s="5" t="inlineStr">
        <is>
          <t>ms-yapay-zeka-rakip</t>
        </is>
      </c>
      <c r="B739" s="5" t="n">
        <v>3</v>
      </c>
      <c r="C739" s="6" t="inlineStr">
        <is>
          <t>'İnsan dokunuşunu' sat</t>
        </is>
      </c>
      <c r="D739" s="5" t="inlineStr">
        <is>
          <t>Çene</t>
        </is>
      </c>
      <c r="E739" s="5" t="inlineStr">
        <is>
          <t>Zor</t>
        </is>
      </c>
      <c r="F739" s="5" t="inlineStr"/>
      <c r="G739" s="6" t="inlineStr"/>
      <c r="H739" s="6" t="inlineStr">
        <is>
          <t>'Bu el beş parmaklı ve size ait' dedin. İş, iki katı ücretle sende.</t>
        </is>
      </c>
      <c r="I739" s="6" t="inlineStr">
        <is>
          <t>'İnsan yapımı' damgalı işlerin moda oldu. Fiyatını üçe katladın.</t>
        </is>
      </c>
      <c r="J739" s="6" t="inlineStr">
        <is>
          <t>Müşteri 'İnsan dokunuşu' için ek bütçe olmadığını söyledi.</t>
        </is>
      </c>
      <c r="K739" s="6" t="inlineStr">
        <is>
          <t>'İnsan dokunuşu' konulu sunum metnini yapay zekâya yazdırdığın fark edildi.</t>
        </is>
      </c>
      <c r="L739" s="6" t="inlineStr"/>
      <c r="M739" s="5" t="inlineStr"/>
      <c r="N739" s="5" t="inlineStr"/>
      <c r="O739" s="6" t="inlineStr"/>
      <c r="P739" s="6" t="inlineStr"/>
      <c r="Q739" s="5" t="inlineStr"/>
      <c r="R739" s="5" t="inlineStr"/>
      <c r="S739" s="5" t="inlineStr"/>
      <c r="T739" s="5" t="inlineStr">
        <is>
          <t>Sözünü Geçirir</t>
        </is>
      </c>
      <c r="U739" s="5" t="inlineStr"/>
      <c r="V739" s="5" t="inlineStr"/>
      <c r="W739" s="5" t="inlineStr"/>
      <c r="X739" s="5" t="inlineStr"/>
      <c r="Y739" s="5" t="inlineStr"/>
      <c r="Z739" s="6" t="inlineStr"/>
      <c r="AA739" s="5" t="inlineStr"/>
      <c r="AB739" s="5" t="inlineStr"/>
      <c r="AC739" s="5" t="inlineStr"/>
      <c r="AD739" s="5" t="inlineStr"/>
      <c r="AE739" s="5" t="inlineStr"/>
      <c r="AF739" s="5" t="inlineStr"/>
      <c r="AG739" s="5" t="inlineStr"/>
      <c r="AH739" s="5" t="inlineStr"/>
    </row>
    <row r="740">
      <c r="A740" s="5" t="inlineStr">
        <is>
          <t>ms-yapay-zeka-rakip</t>
        </is>
      </c>
      <c r="B740" s="5" t="n">
        <v>4</v>
      </c>
      <c r="C740" s="6" t="inlineStr">
        <is>
          <t>Yapay zekâyı kendin kullan, beşe böl</t>
        </is>
      </c>
      <c r="D740" s="5" t="inlineStr">
        <is>
          <t>Kurnazlık</t>
        </is>
      </c>
      <c r="E740" s="5" t="inlineStr">
        <is>
          <t>Orta</t>
        </is>
      </c>
      <c r="F740" s="5" t="inlineStr"/>
      <c r="G740" s="6" t="inlineStr"/>
      <c r="H740" s="6" t="inlineStr">
        <is>
          <t>Aracı kullandın, üstüne emek koydun. Beş saniye sürmedi ama beş gün de değil.</t>
        </is>
      </c>
      <c r="I740" s="6" t="inlineStr">
        <is>
          <t>Aynı sürede beş müşteriye iş yetiştirdin. Artık bir ajanssın. Tek kişilik, sekiz sekmeli.</t>
        </is>
      </c>
      <c r="J740" s="6" t="inlineStr">
        <is>
          <t>Araç kullandın; müşteri 'Bunu ben de yapabilirdim' dedi. Yaptı da.</t>
        </is>
      </c>
      <c r="K740" s="6" t="inlineStr">
        <is>
          <t>Teslim ettiğin işte bir el yedi parmaklıydı. Müşteri 'Bizimki altı yapıyordu' dedi.</t>
        </is>
      </c>
      <c r="L740" s="6" t="inlineStr"/>
      <c r="M740" s="5" t="inlineStr"/>
      <c r="N740" s="5" t="inlineStr"/>
      <c r="O740" s="6" t="inlineStr"/>
      <c r="P740" s="6" t="inlineStr"/>
      <c r="Q740" s="5" t="inlineStr">
        <is>
          <t>Teknoloji Merakı</t>
        </is>
      </c>
      <c r="R740" s="5" t="inlineStr"/>
      <c r="S740" s="5" t="inlineStr"/>
      <c r="T740" s="5" t="inlineStr"/>
      <c r="U740" s="5" t="inlineStr"/>
      <c r="V740" s="5" t="inlineStr"/>
      <c r="W740" s="5" t="inlineStr"/>
      <c r="X740" s="5" t="inlineStr"/>
      <c r="Y740" s="5" t="inlineStr"/>
      <c r="Z740" s="6" t="inlineStr"/>
      <c r="AA740" s="5" t="inlineStr"/>
      <c r="AB740" s="5" t="inlineStr"/>
      <c r="AC740" s="5" t="inlineStr"/>
      <c r="AD740" s="5" t="inlineStr"/>
      <c r="AE740" s="5" t="inlineStr"/>
      <c r="AF740" s="5" t="inlineStr"/>
      <c r="AG740" s="5" t="inlineStr"/>
      <c r="AH740" s="5" t="inlineStr"/>
    </row>
    <row r="741">
      <c r="A741" s="5" t="inlineStr">
        <is>
          <t>b7-ilk-kelime</t>
        </is>
      </c>
      <c r="B741" s="5" t="n">
        <v>1</v>
      </c>
      <c r="C741" s="6" t="inlineStr">
        <is>
          <t>Sessizce izle</t>
        </is>
      </c>
      <c r="D741" s="5" t="inlineStr"/>
      <c r="E741" s="5" t="inlineStr"/>
      <c r="F741" s="5" t="inlineStr">
        <is>
          <t>İtibar +1</t>
        </is>
      </c>
      <c r="G741" s="6" t="inlineStr">
        <is>
          <t>Çocuk 'Ba' dedi. Bu, ailenin iki tarafında farklı şekilde yorumlandı.</t>
        </is>
      </c>
      <c r="H741" s="6" t="inlineStr"/>
      <c r="I741" s="6" t="inlineStr"/>
      <c r="J741" s="6" t="inlineStr"/>
      <c r="K741" s="6" t="inlineStr"/>
      <c r="L741" s="6" t="inlineStr"/>
      <c r="M741" s="5" t="inlineStr"/>
      <c r="N741" s="5" t="inlineStr"/>
      <c r="O741" s="6" t="inlineStr"/>
      <c r="P741" s="6" t="inlineStr"/>
      <c r="Q741" s="5" t="inlineStr"/>
      <c r="R741" s="5" t="inlineStr"/>
      <c r="S741" s="5" t="inlineStr"/>
      <c r="T741" s="5" t="inlineStr"/>
      <c r="U741" s="5" t="inlineStr"/>
      <c r="V741" s="5" t="inlineStr"/>
      <c r="W741" s="5" t="inlineStr"/>
      <c r="X741" s="5" t="inlineStr"/>
      <c r="Y741" s="5" t="inlineStr"/>
      <c r="Z741" s="6" t="inlineStr"/>
      <c r="AA741" s="5" t="inlineStr"/>
      <c r="AB741" s="5" t="inlineStr"/>
      <c r="AC741" s="5" t="inlineStr"/>
      <c r="AD741" s="5" t="inlineStr"/>
      <c r="AE741" s="5" t="inlineStr"/>
      <c r="AF741" s="5" t="inlineStr"/>
      <c r="AG741" s="5" t="inlineStr"/>
      <c r="AH741" s="5" t="inlineStr"/>
    </row>
    <row r="742">
      <c r="A742" s="5" t="inlineStr">
        <is>
          <t>b7-ilk-kelime</t>
        </is>
      </c>
      <c r="B742" s="5" t="n">
        <v>2</v>
      </c>
      <c r="C742" s="6" t="inlineStr">
        <is>
          <t>Kendi adını söylemesi için telkin et</t>
        </is>
      </c>
      <c r="D742" s="5" t="inlineStr">
        <is>
          <t>Çene</t>
        </is>
      </c>
      <c r="E742" s="5" t="inlineStr">
        <is>
          <t>Orta</t>
        </is>
      </c>
      <c r="F742" s="5" t="inlineStr"/>
      <c r="G742" s="6" t="inlineStr"/>
      <c r="H742" s="6" t="inlineStr">
        <is>
          <t>Çocuk senin adını söyledi. Eşin bunu hiç unutmayacak. Sen de.</t>
        </is>
      </c>
      <c r="I742" s="6" t="inlineStr">
        <is>
          <t>İlk kelimesi senin adındı ve aile grubundaki video iki yüz kez izlendi. Eşin de izledi. İki yüz kez.</t>
        </is>
      </c>
      <c r="J742" s="6" t="inlineStr">
        <is>
          <t>Çocuk eşinin adını söyledi. Telkin yanlış hedefi buldu.</t>
        </is>
      </c>
      <c r="K742" s="6" t="inlineStr">
        <is>
          <t>Çocuk 'Kargo' dedi. Evdeki ses sıklığı analiz edildi. Sonuç sana ait.</t>
        </is>
      </c>
      <c r="L742" s="6" t="inlineStr"/>
      <c r="M742" s="5" t="inlineStr"/>
      <c r="N742" s="5" t="inlineStr"/>
      <c r="O742" s="6" t="inlineStr"/>
      <c r="P742" s="6" t="inlineStr"/>
      <c r="Q742" s="5" t="inlineStr"/>
      <c r="R742" s="5" t="inlineStr"/>
      <c r="S742" s="5" t="inlineStr"/>
      <c r="T742" s="5" t="inlineStr"/>
      <c r="U742" s="5" t="inlineStr"/>
      <c r="V742" s="5" t="inlineStr"/>
      <c r="W742" s="5" t="inlineStr"/>
      <c r="X742" s="5" t="inlineStr"/>
      <c r="Y742" s="5" t="inlineStr"/>
      <c r="Z742" s="6" t="inlineStr"/>
      <c r="AA742" s="5" t="inlineStr"/>
      <c r="AB742" s="5" t="inlineStr"/>
      <c r="AC742" s="5" t="inlineStr"/>
      <c r="AD742" s="5" t="inlineStr"/>
      <c r="AE742" s="5" t="inlineStr"/>
      <c r="AF742" s="5" t="inlineStr"/>
      <c r="AG742" s="5" t="inlineStr"/>
      <c r="AH742" s="5" t="inlineStr"/>
    </row>
    <row r="743">
      <c r="A743" s="5" t="inlineStr">
        <is>
          <t>b7-ilk-kelime</t>
        </is>
      </c>
      <c r="B743" s="5" t="n">
        <v>3</v>
      </c>
      <c r="C743" s="6" t="inlineStr">
        <is>
          <t>'Para' demesini sağla — aile geleneği</t>
        </is>
      </c>
      <c r="D743" s="5" t="inlineStr">
        <is>
          <t>Kurnazlık</t>
        </is>
      </c>
      <c r="E743" s="5" t="inlineStr">
        <is>
          <t>Kolay</t>
        </is>
      </c>
      <c r="F743" s="5" t="inlineStr"/>
      <c r="G743" s="6" t="inlineStr"/>
      <c r="H743" s="6" t="inlineStr">
        <is>
          <t>Çocuk 'Para' dedi. Döngü tamamlandı. Aile büyükleri bir yandan güldü, bir yandan endişelendi.</t>
        </is>
      </c>
      <c r="I743" s="6" t="inlineStr">
        <is>
          <t>Çocuk 'Para' dedi, ardından 'Daha' dedi. Aile tarihinde ilk kez iki kelimelik bir talep kayda geçti.</t>
        </is>
      </c>
      <c r="J743" s="6" t="inlineStr">
        <is>
          <t>Çocuk 'Pa' dedi ve durdu. Yarım bir finansal okuryazarlık.</t>
        </is>
      </c>
      <c r="K743" s="6" t="inlineStr">
        <is>
          <t>Çocuk 'Faiz' dedi. Kimse bunun nasıl olduğunu bilmiyor. Ev bankası kalıcı olarak kapandı.</t>
        </is>
      </c>
      <c r="L743" s="6" t="inlineStr"/>
      <c r="M743" s="5" t="inlineStr"/>
      <c r="N743" s="5" t="inlineStr"/>
      <c r="O743" s="6" t="inlineStr"/>
      <c r="P743" s="6" t="inlineStr"/>
      <c r="Q743" s="5" t="inlineStr"/>
      <c r="R743" s="5" t="inlineStr">
        <is>
          <t>ilkKelimePara</t>
        </is>
      </c>
      <c r="S743" s="5" t="inlineStr"/>
      <c r="T743" s="5" t="inlineStr"/>
      <c r="U743" s="5" t="inlineStr"/>
      <c r="V743" s="5" t="inlineStr"/>
      <c r="W743" s="5" t="inlineStr"/>
      <c r="X743" s="5" t="inlineStr"/>
      <c r="Y743" s="5" t="inlineStr"/>
      <c r="Z743" s="6" t="inlineStr"/>
      <c r="AA743" s="5" t="inlineStr"/>
      <c r="AB743" s="5" t="inlineStr"/>
      <c r="AC743" s="5" t="inlineStr"/>
      <c r="AD743" s="5" t="inlineStr"/>
      <c r="AE743" s="5" t="inlineStr"/>
      <c r="AF743" s="5" t="inlineStr"/>
      <c r="AG743" s="5" t="inlineStr"/>
      <c r="AH743" s="5" t="inlineStr"/>
    </row>
    <row r="744">
      <c r="A744" s="5" t="inlineStr">
        <is>
          <t>b7-ilk-kelime</t>
        </is>
      </c>
      <c r="B744" s="5" t="n">
        <v>4</v>
      </c>
      <c r="C744" s="6" t="inlineStr">
        <is>
          <t>Kameraya odaklan, anı yakala</t>
        </is>
      </c>
      <c r="D744" s="5" t="inlineStr">
        <is>
          <t>Akıl</t>
        </is>
      </c>
      <c r="E744" s="5" t="inlineStr">
        <is>
          <t>Kolay</t>
        </is>
      </c>
      <c r="F744" s="5" t="inlineStr"/>
      <c r="G744" s="6" t="inlineStr"/>
      <c r="H744" s="6" t="inlineStr">
        <is>
          <t>Anı yakaladın. Video, aile arşivinin en çok izlenen parçası oldu.</t>
        </is>
      </c>
      <c r="I744" s="6" t="inlineStr">
        <is>
          <t>Video o kadar güzel çekildi ki düğün fotoğrafçısı bile kıskandı. Bir kartpostal serisi yapıldı.</t>
        </is>
      </c>
      <c r="J744" s="6" t="inlineStr">
        <is>
          <t>Kameran tam o anda telefonun belleği dolu dedi.</t>
        </is>
      </c>
      <c r="K744" s="6" t="inlineStr">
        <is>
          <t>Çekim sürerken ön kameraya geçmişsin. İlk kelime, senin şaşkın yüzünün üzerine seslendirildi.</t>
        </is>
      </c>
      <c r="L744" s="6" t="inlineStr"/>
      <c r="M744" s="5" t="inlineStr"/>
      <c r="N744" s="5" t="inlineStr"/>
      <c r="O744" s="6" t="inlineStr"/>
      <c r="P744" s="6" t="inlineStr"/>
      <c r="Q744" s="5" t="inlineStr"/>
      <c r="R744" s="5" t="inlineStr"/>
      <c r="S744" s="5" t="inlineStr"/>
      <c r="T744" s="5" t="inlineStr"/>
      <c r="U744" s="5" t="inlineStr"/>
      <c r="V744" s="5" t="inlineStr"/>
      <c r="W744" s="5" t="inlineStr"/>
      <c r="X744" s="5" t="inlineStr"/>
      <c r="Y744" s="5" t="inlineStr"/>
      <c r="Z744" s="6" t="inlineStr"/>
      <c r="AA744" s="5" t="inlineStr"/>
      <c r="AB744" s="5" t="inlineStr"/>
      <c r="AC744" s="5" t="inlineStr"/>
      <c r="AD744" s="5" t="inlineStr"/>
      <c r="AE744" s="5" t="inlineStr"/>
      <c r="AF744" s="5" t="inlineStr"/>
      <c r="AG744" s="5" t="inlineStr"/>
      <c r="AH744" s="5" t="inlineStr"/>
    </row>
    <row r="745">
      <c r="A745" s="5" t="inlineStr">
        <is>
          <t>b7-cocuklu-dogum-gunu</t>
        </is>
      </c>
      <c r="B745" s="5" t="n">
        <v>1</v>
      </c>
      <c r="C745" s="6" t="inlineStr">
        <is>
          <t>Hediyeyi bırak, pasta ye, git</t>
        </is>
      </c>
      <c r="D745" s="5" t="inlineStr"/>
      <c r="E745" s="5" t="inlineStr"/>
      <c r="F745" s="5" t="inlineStr">
        <is>
          <t>Kurnazlık +1</t>
        </is>
      </c>
      <c r="G745" s="6" t="inlineStr">
        <is>
          <t>Pastayı yedin, kimseye yakalanmadan çıktın. Tek çocuksuz yetişkin avantajını kullandın.</t>
        </is>
      </c>
      <c r="H745" s="6" t="inlineStr"/>
      <c r="I745" s="6" t="inlineStr"/>
      <c r="J745" s="6" t="inlineStr"/>
      <c r="K745" s="6" t="inlineStr"/>
      <c r="L745" s="6" t="inlineStr"/>
      <c r="M745" s="5" t="inlineStr"/>
      <c r="N745" s="5" t="inlineStr"/>
      <c r="O745" s="6" t="inlineStr"/>
      <c r="P745" s="6" t="inlineStr"/>
      <c r="Q745" s="5" t="inlineStr"/>
      <c r="R745" s="5" t="inlineStr"/>
      <c r="S745" s="5" t="inlineStr"/>
      <c r="T745" s="5" t="inlineStr"/>
      <c r="U745" s="5" t="inlineStr"/>
      <c r="V745" s="5" t="inlineStr"/>
      <c r="W745" s="5" t="inlineStr"/>
      <c r="X745" s="5" t="inlineStr"/>
      <c r="Y745" s="5" t="inlineStr"/>
      <c r="Z745" s="6" t="inlineStr"/>
      <c r="AA745" s="5" t="inlineStr"/>
      <c r="AB745" s="5" t="inlineStr"/>
      <c r="AC745" s="5" t="inlineStr"/>
      <c r="AD745" s="5" t="inlineStr"/>
      <c r="AE745" s="5" t="inlineStr"/>
      <c r="AF745" s="5" t="inlineStr"/>
      <c r="AG745" s="5" t="inlineStr"/>
      <c r="AH745" s="5" t="inlineStr"/>
    </row>
    <row r="746">
      <c r="A746" s="5" t="inlineStr">
        <is>
          <t>b7-cocuklu-dogum-gunu</t>
        </is>
      </c>
      <c r="B746" s="5" t="n">
        <v>2</v>
      </c>
      <c r="C746" s="6" t="inlineStr">
        <is>
          <t>Çocuklarla oyuna katıl</t>
        </is>
      </c>
      <c r="D746" s="5" t="inlineStr">
        <is>
          <t>Dayanıklılık</t>
        </is>
      </c>
      <c r="E746" s="5" t="inlineStr">
        <is>
          <t>Orta</t>
        </is>
      </c>
      <c r="F746" s="5" t="inlineStr"/>
      <c r="G746" s="6" t="inlineStr"/>
      <c r="H746" s="6" t="inlineStr">
        <is>
          <t>Kovalamaca oynadın, kazandın. Çocuklar seni en sevdikleri yetişkin ilan etti.</t>
        </is>
      </c>
      <c r="I746" s="6" t="inlineStr">
        <is>
          <t>Oyun o kadar eğlenceliydi ki üç çocuk ailesinden 'Onun partisine de gidelim' diye istedi. Takvimin doldu.</t>
        </is>
      </c>
      <c r="J746" s="6" t="inlineStr">
        <is>
          <t>Kovalamacada beş yaşındakilere yetişemedin. Nefes nefese bir banka oturdun.</t>
        </is>
      </c>
      <c r="K746" s="6" t="inlineStr">
        <is>
          <t>Oyunda şişme kaleye sıkıştın. Çocuklar kurtarmak için sıraya girdi. Fotoğraf aile grubunda dolaşıyor.</t>
        </is>
      </c>
      <c r="L746" s="6" t="inlineStr"/>
      <c r="M746" s="5" t="inlineStr"/>
      <c r="N746" s="5" t="inlineStr"/>
      <c r="O746" s="6" t="inlineStr"/>
      <c r="P746" s="6" t="inlineStr"/>
      <c r="Q746" s="5" t="inlineStr"/>
      <c r="R746" s="5" t="inlineStr"/>
      <c r="S746" s="5" t="inlineStr"/>
      <c r="T746" s="5" t="inlineStr"/>
      <c r="U746" s="5" t="inlineStr"/>
      <c r="V746" s="5" t="inlineStr"/>
      <c r="W746" s="5" t="inlineStr"/>
      <c r="X746" s="5" t="inlineStr"/>
      <c r="Y746" s="5" t="inlineStr"/>
      <c r="Z746" s="6" t="inlineStr"/>
      <c r="AA746" s="5" t="inlineStr"/>
      <c r="AB746" s="5" t="inlineStr"/>
      <c r="AC746" s="5" t="inlineStr"/>
      <c r="AD746" s="5" t="inlineStr"/>
      <c r="AE746" s="5" t="inlineStr"/>
      <c r="AF746" s="5" t="inlineStr"/>
      <c r="AG746" s="5" t="inlineStr"/>
      <c r="AH746" s="5" t="inlineStr"/>
    </row>
    <row r="747">
      <c r="A747" s="5" t="inlineStr">
        <is>
          <t>b7-cocuklu-dogum-gunu</t>
        </is>
      </c>
      <c r="B747" s="5" t="n">
        <v>3</v>
      </c>
      <c r="C747" s="6" t="inlineStr">
        <is>
          <t>Ebeveyn sohbetine katılmaya çalış</t>
        </is>
      </c>
      <c r="D747" s="5" t="inlineStr">
        <is>
          <t>Sosyal Radar</t>
        </is>
      </c>
      <c r="E747" s="5" t="inlineStr">
        <is>
          <t>Zor</t>
        </is>
      </c>
      <c r="F747" s="5" t="inlineStr"/>
      <c r="G747" s="6" t="inlineStr"/>
      <c r="H747" s="6" t="inlineStr">
        <is>
          <t>Ebeveynlerle kreş fiyatlarını konuştun. Hiçbir şey bilmediğin halde gayet inandırıcıydın.</t>
        </is>
      </c>
      <c r="I747" s="6" t="inlineStr">
        <is>
          <t>Sohbete o kadar iyi uydun ki bir ebeveyn sana kendi çocuğu için tavsiye sordu. Tavsiyen işe yaradı.</t>
        </is>
      </c>
      <c r="J747" s="6" t="inlineStr">
        <is>
          <t>Uyku düzeni konuşuldu. Senin tek katkın 'Ben on ikide yatıyorum' oldu.</t>
        </is>
      </c>
      <c r="K747" s="6" t="inlineStr">
        <is>
          <t>Bir ebeveyne 'Onlar bu yaşta ne yer?' diye sordun. Soru grupta alıntılanıyor.</t>
        </is>
      </c>
      <c r="L747" s="6" t="inlineStr"/>
      <c r="M747" s="5" t="inlineStr"/>
      <c r="N747" s="5" t="inlineStr"/>
      <c r="O747" s="6" t="inlineStr"/>
      <c r="P747" s="6" t="inlineStr"/>
      <c r="Q747" s="5" t="inlineStr"/>
      <c r="R747" s="5" t="inlineStr"/>
      <c r="S747" s="5" t="inlineStr"/>
      <c r="T747" s="5" t="inlineStr"/>
      <c r="U747" s="5" t="inlineStr"/>
      <c r="V747" s="5" t="inlineStr"/>
      <c r="W747" s="5" t="inlineStr"/>
      <c r="X747" s="5" t="inlineStr"/>
      <c r="Y747" s="5" t="inlineStr"/>
      <c r="Z747" s="6" t="inlineStr"/>
      <c r="AA747" s="5" t="inlineStr"/>
      <c r="AB747" s="5" t="inlineStr"/>
      <c r="AC747" s="5" t="inlineStr"/>
      <c r="AD747" s="5" t="inlineStr"/>
      <c r="AE747" s="5" t="inlineStr"/>
      <c r="AF747" s="5" t="inlineStr"/>
      <c r="AG747" s="5" t="inlineStr"/>
      <c r="AH747" s="5" t="inlineStr"/>
    </row>
    <row r="748">
      <c r="A748" s="5" t="inlineStr">
        <is>
          <t>b7-ev-esyasi</t>
        </is>
      </c>
      <c r="B748" s="5" t="n">
        <v>1</v>
      </c>
      <c r="C748" s="6" t="inlineStr">
        <is>
          <t>Eşinin seçtiğini al</t>
        </is>
      </c>
      <c r="D748" s="5" t="inlineStr"/>
      <c r="E748" s="5" t="inlineStr"/>
      <c r="F748" s="5" t="inlineStr">
        <is>
          <t>İtibar +1</t>
        </is>
      </c>
      <c r="G748" s="6" t="inlineStr">
        <is>
          <t>Eşinin seçtiği koltuk geldi. Çok güzel. Sadece sen oturunca 'gıcırt' diyor.</t>
        </is>
      </c>
      <c r="H748" s="6" t="inlineStr"/>
      <c r="I748" s="6" t="inlineStr"/>
      <c r="J748" s="6" t="inlineStr"/>
      <c r="K748" s="6" t="inlineStr"/>
      <c r="L748" s="6" t="inlineStr"/>
      <c r="M748" s="5" t="inlineStr"/>
      <c r="N748" s="5" t="inlineStr"/>
      <c r="O748" s="6" t="inlineStr"/>
      <c r="P748" s="6" t="inlineStr"/>
      <c r="Q748" s="5" t="inlineStr"/>
      <c r="R748" s="5" t="inlineStr"/>
      <c r="S748" s="5" t="inlineStr"/>
      <c r="T748" s="5" t="inlineStr"/>
      <c r="U748" s="5" t="inlineStr"/>
      <c r="V748" s="5" t="inlineStr"/>
      <c r="W748" s="5" t="inlineStr"/>
      <c r="X748" s="5" t="inlineStr"/>
      <c r="Y748" s="5" t="inlineStr"/>
      <c r="Z748" s="6" t="inlineStr"/>
      <c r="AA748" s="5" t="inlineStr"/>
      <c r="AB748" s="5" t="inlineStr"/>
      <c r="AC748" s="5" t="inlineStr"/>
      <c r="AD748" s="5" t="inlineStr"/>
      <c r="AE748" s="5" t="inlineStr"/>
      <c r="AF748" s="5" t="inlineStr"/>
      <c r="AG748" s="5" t="inlineStr"/>
      <c r="AH748" s="5" t="inlineStr"/>
    </row>
    <row r="749">
      <c r="A749" s="5" t="inlineStr">
        <is>
          <t>b7-ev-esyasi</t>
        </is>
      </c>
      <c r="B749" s="5" t="n">
        <v>2</v>
      </c>
      <c r="C749" s="6" t="inlineStr">
        <is>
          <t>Kendi favorini savun</t>
        </is>
      </c>
      <c r="D749" s="5" t="inlineStr">
        <is>
          <t>Çene</t>
        </is>
      </c>
      <c r="E749" s="5" t="inlineStr">
        <is>
          <t>Orta</t>
        </is>
      </c>
      <c r="F749" s="5" t="inlineStr"/>
      <c r="G749" s="6" t="inlineStr"/>
      <c r="H749" s="6" t="inlineStr">
        <is>
          <t>Koltuğun kazandı. Eşin ilk hafta ona oturmadı. İkinci hafta hep o oturdu.</t>
        </is>
      </c>
      <c r="I749" s="6" t="inlineStr">
        <is>
          <t>Öyle güzel savundun ki satış danışmanı kendi evi için de aynısını aldı. Komisyonu kendine ödedi.</t>
        </is>
      </c>
      <c r="J749" s="6" t="inlineStr">
        <is>
          <t>Tartışma üçüncü saate girdi. Mağaza kapandı. Karar ertelendi.</t>
        </is>
      </c>
      <c r="K749" s="6" t="inlineStr">
        <is>
          <t>İkiniz de fikir değiştirdiniz. Aynı anda. Diğerinin eski fikrine. Koltuk yerine yeni bir kavga alındı.</t>
        </is>
      </c>
      <c r="L749" s="6" t="inlineStr"/>
      <c r="M749" s="5" t="inlineStr"/>
      <c r="N749" s="5" t="inlineStr"/>
      <c r="O749" s="6" t="inlineStr"/>
      <c r="P749" s="6" t="inlineStr"/>
      <c r="Q749" s="5" t="inlineStr"/>
      <c r="R749" s="5" t="inlineStr"/>
      <c r="S749" s="5" t="inlineStr"/>
      <c r="T749" s="5" t="inlineStr"/>
      <c r="U749" s="5" t="inlineStr"/>
      <c r="V749" s="5" t="inlineStr"/>
      <c r="W749" s="5" t="inlineStr"/>
      <c r="X749" s="5" t="inlineStr"/>
      <c r="Y749" s="5" t="inlineStr"/>
      <c r="Z749" s="6" t="inlineStr"/>
      <c r="AA749" s="5" t="inlineStr"/>
      <c r="AB749" s="5" t="inlineStr"/>
      <c r="AC749" s="5" t="inlineStr"/>
      <c r="AD749" s="5" t="inlineStr"/>
      <c r="AE749" s="5" t="inlineStr"/>
      <c r="AF749" s="5" t="inlineStr"/>
      <c r="AG749" s="5" t="inlineStr"/>
      <c r="AH749" s="5" t="inlineStr"/>
    </row>
    <row r="750">
      <c r="A750" s="5" t="inlineStr">
        <is>
          <t>b7-ev-esyasi</t>
        </is>
      </c>
      <c r="B750" s="5" t="n">
        <v>3</v>
      </c>
      <c r="C750" s="6" t="inlineStr">
        <is>
          <t>Satış danışmanını hakem yap</t>
        </is>
      </c>
      <c r="D750" s="5" t="inlineStr">
        <is>
          <t>Kurnazlık</t>
        </is>
      </c>
      <c r="E750" s="5" t="inlineStr">
        <is>
          <t>Kolay</t>
        </is>
      </c>
      <c r="F750" s="5" t="inlineStr"/>
      <c r="G750" s="6" t="inlineStr"/>
      <c r="H750" s="6" t="inlineStr">
        <is>
          <t>Danışman senin koltuğu seçti. Eşin danışmana küstü. Koltuk eve geldi.</t>
        </is>
      </c>
      <c r="I750" s="6" t="inlineStr">
        <is>
          <t>Danışman ikinize de indirim yaptı ve üçüncü bir koltuk önerdi. İkiniz de onu sevdiniz. Barış sağlandı.</t>
        </is>
      </c>
      <c r="J750" s="6" t="inlineStr">
        <is>
          <t>Danışman 'İkisi de güzel' dedi. Profesyonellik sizi mahvetti.</t>
        </is>
      </c>
      <c r="K750" s="6" t="inlineStr">
        <is>
          <t>Danışman öyle bir tarafsız cevap verdi ki ikiniz de ona kızdınız. Mağaza artık sizi tanıyor, ama iyi anlamda değil.</t>
        </is>
      </c>
      <c r="L750" s="6" t="inlineStr"/>
      <c r="M750" s="5" t="inlineStr"/>
      <c r="N750" s="5" t="inlineStr"/>
      <c r="O750" s="6" t="inlineStr"/>
      <c r="P750" s="6" t="inlineStr"/>
      <c r="Q750" s="5" t="inlineStr"/>
      <c r="R750" s="5" t="inlineStr"/>
      <c r="S750" s="5" t="inlineStr"/>
      <c r="T750" s="5" t="inlineStr"/>
      <c r="U750" s="5" t="inlineStr"/>
      <c r="V750" s="5" t="inlineStr"/>
      <c r="W750" s="5" t="inlineStr"/>
      <c r="X750" s="5" t="inlineStr"/>
      <c r="Y750" s="5" t="inlineStr"/>
      <c r="Z750" s="6" t="inlineStr"/>
      <c r="AA750" s="5" t="inlineStr"/>
      <c r="AB750" s="5" t="inlineStr"/>
      <c r="AC750" s="5" t="inlineStr"/>
      <c r="AD750" s="5" t="inlineStr"/>
      <c r="AE750" s="5" t="inlineStr"/>
      <c r="AF750" s="5" t="inlineStr"/>
      <c r="AG750" s="5" t="inlineStr"/>
      <c r="AH750" s="5" t="inlineStr"/>
    </row>
    <row r="751">
      <c r="A751" s="5" t="inlineStr">
        <is>
          <t>mb-yillik-izin</t>
        </is>
      </c>
      <c r="B751" s="5" t="n">
        <v>1</v>
      </c>
      <c r="C751" s="6" t="inlineStr">
        <is>
          <t>Kasımda izin al</t>
        </is>
      </c>
      <c r="D751" s="5" t="inlineStr"/>
      <c r="E751" s="5" t="inlineStr"/>
      <c r="F751" s="5" t="inlineStr">
        <is>
          <t>Dayanıklılık +1</t>
        </is>
      </c>
      <c r="G751" s="6" t="inlineStr">
        <is>
          <t>Herkes çalışırken tatile çıktın. Otel boştu, deniz soğuktu, ruhun ısındı.</t>
        </is>
      </c>
      <c r="H751" s="6" t="inlineStr"/>
      <c r="I751" s="6" t="inlineStr"/>
      <c r="J751" s="6" t="inlineStr"/>
      <c r="K751" s="6" t="inlineStr"/>
      <c r="L751" s="6" t="inlineStr"/>
      <c r="M751" s="5" t="inlineStr"/>
      <c r="N751" s="5" t="inlineStr"/>
      <c r="O751" s="6" t="inlineStr"/>
      <c r="P751" s="6" t="inlineStr"/>
      <c r="Q751" s="5" t="inlineStr"/>
      <c r="R751" s="5" t="inlineStr"/>
      <c r="S751" s="5" t="inlineStr"/>
      <c r="T751" s="5" t="inlineStr"/>
      <c r="U751" s="5" t="inlineStr"/>
      <c r="V751" s="5" t="inlineStr"/>
      <c r="W751" s="5" t="inlineStr"/>
      <c r="X751" s="5" t="inlineStr"/>
      <c r="Y751" s="5" t="inlineStr"/>
      <c r="Z751" s="6" t="inlineStr"/>
      <c r="AA751" s="5" t="inlineStr"/>
      <c r="AB751" s="5" t="inlineStr"/>
      <c r="AC751" s="5" t="inlineStr"/>
      <c r="AD751" s="5" t="inlineStr"/>
      <c r="AE751" s="5" t="inlineStr"/>
      <c r="AF751" s="5" t="inlineStr"/>
      <c r="AG751" s="5" t="inlineStr"/>
      <c r="AH751" s="5" t="inlineStr"/>
    </row>
    <row r="752">
      <c r="A752" s="5" t="inlineStr">
        <is>
          <t>mb-yillik-izin</t>
        </is>
      </c>
      <c r="B752" s="5" t="n">
        <v>2</v>
      </c>
      <c r="C752" s="6" t="inlineStr">
        <is>
          <t>Gece yarısı tekrar dene</t>
        </is>
      </c>
      <c r="D752" s="5" t="inlineStr">
        <is>
          <t>Kurnazlık</t>
        </is>
      </c>
      <c r="E752" s="5" t="inlineStr">
        <is>
          <t>Orta</t>
        </is>
      </c>
      <c r="F752" s="5" t="inlineStr"/>
      <c r="G752" s="6" t="inlineStr"/>
      <c r="H752" s="6" t="inlineStr">
        <is>
          <t>Sistem gece 00.03'te açıldı, sen 00.03'teydin. İzin onaylandı.</t>
        </is>
      </c>
      <c r="I752" s="6" t="inlineStr">
        <is>
          <t>Hem bayram köprüsünü hem ardından bir haftayı kaptın. Ekip bunu yıllarca konuştu.</t>
        </is>
      </c>
      <c r="J752" s="6" t="inlineStr">
        <is>
          <t>Sistem açıldı; ekipten biri 00.02'de girmiş. Kim olduğu hâlâ bilinmiyor.</t>
        </is>
      </c>
      <c r="K752" s="6" t="inlineStr">
        <is>
          <t>Gece yarısı başvurdun; ertesi yılın tarihini seçmişsin. Onaylandı.</t>
        </is>
      </c>
      <c r="L752" s="6" t="inlineStr"/>
      <c r="M752" s="5" t="inlineStr"/>
      <c r="N752" s="5" t="inlineStr"/>
      <c r="O752" s="6" t="inlineStr"/>
      <c r="P752" s="6" t="inlineStr"/>
      <c r="Q752" s="5" t="inlineStr"/>
      <c r="R752" s="5" t="inlineStr"/>
      <c r="S752" s="5" t="inlineStr"/>
      <c r="T752" s="5" t="inlineStr"/>
      <c r="U752" s="5" t="inlineStr"/>
      <c r="V752" s="5" t="inlineStr"/>
      <c r="W752" s="5" t="inlineStr"/>
      <c r="X752" s="5" t="inlineStr"/>
      <c r="Y752" s="5" t="inlineStr"/>
      <c r="Z752" s="6" t="inlineStr"/>
      <c r="AA752" s="5" t="inlineStr"/>
      <c r="AB752" s="5" t="inlineStr"/>
      <c r="AC752" s="5" t="inlineStr"/>
      <c r="AD752" s="5" t="inlineStr"/>
      <c r="AE752" s="5" t="inlineStr"/>
      <c r="AF752" s="5" t="inlineStr"/>
      <c r="AG752" s="5" t="inlineStr"/>
      <c r="AH752" s="5" t="inlineStr"/>
    </row>
    <row r="753">
      <c r="A753" s="5" t="inlineStr">
        <is>
          <t>mb-yillik-izin</t>
        </is>
      </c>
      <c r="B753" s="5" t="n">
        <v>3</v>
      </c>
      <c r="C753" s="6" t="inlineStr">
        <is>
          <t>Yöneticinin izin tarihini öğren, aynısını al</t>
        </is>
      </c>
      <c r="D753" s="5" t="inlineStr">
        <is>
          <t>Sosyal Radar</t>
        </is>
      </c>
      <c r="E753" s="5" t="inlineStr">
        <is>
          <t>Kolay</t>
        </is>
      </c>
      <c r="F753" s="5" t="inlineStr"/>
      <c r="G753" s="6" t="inlineStr"/>
      <c r="H753" s="6" t="inlineStr">
        <is>
          <t>Yöneticin yokken sen de yoksun. Kimse fark etmedi; buna kurumsal senkron denir.</t>
        </is>
      </c>
      <c r="I753" s="6" t="inlineStr">
        <is>
          <t>Yöneticinle aynı tarihleri aldın, aynı otele düştünüz. Terfi sohbetin şezlongda yapıldı.</t>
        </is>
      </c>
      <c r="J753" s="6" t="inlineStr">
        <is>
          <t>Yöneticin son anda iptal etti. Sen gittin. Her gün seni aradı.</t>
        </is>
      </c>
      <c r="K753" s="6" t="inlineStr">
        <is>
          <t>Yöneticinle aynı tarihleri aldın; ikiniz yokken bütün iş sana devredilmiş. Sahilden çalıştın.</t>
        </is>
      </c>
      <c r="L753" s="6" t="inlineStr"/>
      <c r="M753" s="5" t="inlineStr"/>
      <c r="N753" s="5" t="inlineStr"/>
      <c r="O753" s="6" t="inlineStr"/>
      <c r="P753" s="6" t="inlineStr"/>
      <c r="Q753" s="5" t="inlineStr"/>
      <c r="R753" s="5" t="inlineStr"/>
      <c r="S753" s="5" t="inlineStr">
        <is>
          <t>Sosyal Radar</t>
        </is>
      </c>
      <c r="T753" s="5" t="inlineStr"/>
      <c r="U753" s="5" t="inlineStr"/>
      <c r="V753" s="5" t="inlineStr"/>
      <c r="W753" s="5" t="inlineStr"/>
      <c r="X753" s="5" t="inlineStr"/>
      <c r="Y753" s="5" t="inlineStr"/>
      <c r="Z753" s="6" t="inlineStr"/>
      <c r="AA753" s="5" t="inlineStr"/>
      <c r="AB753" s="5" t="inlineStr"/>
      <c r="AC753" s="5" t="inlineStr"/>
      <c r="AD753" s="5" t="inlineStr"/>
      <c r="AE753" s="5" t="inlineStr"/>
      <c r="AF753" s="5" t="inlineStr"/>
      <c r="AG753" s="5" t="inlineStr"/>
      <c r="AH753" s="5" t="inlineStr"/>
    </row>
    <row r="754">
      <c r="A754" s="5" t="inlineStr">
        <is>
          <t>mb-yillik-izin</t>
        </is>
      </c>
      <c r="B754" s="5" t="n">
        <v>4</v>
      </c>
      <c r="C754" s="6" t="inlineStr">
        <is>
          <t>'Okul tatili' gerekçesini sun</t>
        </is>
      </c>
      <c r="D754" s="5" t="inlineStr">
        <is>
          <t>Çene</t>
        </is>
      </c>
      <c r="E754" s="5" t="inlineStr">
        <is>
          <t>Kolay</t>
        </is>
      </c>
      <c r="F754" s="5" t="inlineStr"/>
      <c r="G754" s="6" t="inlineStr"/>
      <c r="H754" s="6" t="inlineStr">
        <is>
          <t>'Okul tatili' dedin. Kimse itiraz edemedi. Çocuk da bilmiyordu bu tatili.</t>
        </is>
      </c>
      <c r="I754" s="6" t="inlineStr">
        <is>
          <t>Gerekçen o kadar sağlamdı ki sistem çocuklu çalışanlara öncelik kuralı getirdi.</t>
        </is>
      </c>
      <c r="J754" s="6" t="inlineStr">
        <is>
          <t>Ekipteki herkesin çocuğu varmış. Kura çekildi.</t>
        </is>
      </c>
      <c r="K754" s="6" t="inlineStr">
        <is>
          <t>İzni aldın; tatilde çocuk bütün gün 'İşe ne zaman döneceksin?' diye sordu.</t>
        </is>
      </c>
      <c r="L754" s="6" t="inlineStr"/>
      <c r="M754" s="5" t="inlineStr"/>
      <c r="N754" s="5" t="inlineStr"/>
      <c r="O754" s="6" t="inlineStr"/>
      <c r="P754" s="6" t="inlineStr"/>
      <c r="Q754" s="5" t="inlineStr"/>
      <c r="R754" s="5" t="inlineStr">
        <is>
          <t>cocuklu</t>
        </is>
      </c>
      <c r="S754" s="5" t="inlineStr"/>
      <c r="T754" s="5" t="inlineStr"/>
      <c r="U754" s="5" t="inlineStr"/>
      <c r="V754" s="5" t="inlineStr"/>
      <c r="W754" s="5" t="inlineStr"/>
      <c r="X754" s="5" t="inlineStr"/>
      <c r="Y754" s="5" t="inlineStr"/>
      <c r="Z754" s="6" t="inlineStr"/>
      <c r="AA754" s="5" t="inlineStr"/>
      <c r="AB754" s="5" t="inlineStr"/>
      <c r="AC754" s="5" t="inlineStr"/>
      <c r="AD754" s="5" t="inlineStr"/>
      <c r="AE754" s="5" t="inlineStr"/>
      <c r="AF754" s="5" t="inlineStr"/>
      <c r="AG754" s="5" t="inlineStr"/>
      <c r="AH754" s="5" t="inlineStr"/>
    </row>
    <row r="755">
      <c r="A755" s="5" t="inlineStr">
        <is>
          <t>mb-yillik-izin</t>
        </is>
      </c>
      <c r="B755" s="5" t="n">
        <v>5</v>
      </c>
      <c r="C755" s="6" t="inlineStr">
        <is>
          <t>Yöneticiyle yüz yüze pazarlık et</t>
        </is>
      </c>
      <c r="D755" s="5" t="inlineStr">
        <is>
          <t>Çene</t>
        </is>
      </c>
      <c r="E755" s="5" t="inlineStr">
        <is>
          <t>Orta</t>
        </is>
      </c>
      <c r="F755" s="5" t="inlineStr"/>
      <c r="G755" s="6" t="inlineStr"/>
      <c r="H755" s="6" t="inlineStr">
        <is>
          <t>Beş gün istedin, dört gün aldın. İstediğin zaten dört gündü.</t>
        </is>
      </c>
      <c r="I755" s="6" t="inlineStr">
        <is>
          <t>İzni aldın, üstüne yöneticin 'Bu arada telefona da bakma' dedi. Kayda geçti.</t>
        </is>
      </c>
      <c r="J755" s="6" t="inlineStr">
        <is>
          <t>Pazarlık ettin; iznin 'takvim uygunsa' onaylandı. Takvim hiç uygun olmadı.</t>
        </is>
      </c>
      <c r="K755" s="6" t="inlineStr">
        <is>
          <t>Pazarlık uzadı. İzin başvurusu yerine yıllık hedeflerin görüşüldü. Hedefler arttı.</t>
        </is>
      </c>
      <c r="L755" s="6" t="inlineStr"/>
      <c r="M755" s="5" t="inlineStr"/>
      <c r="N755" s="5" t="inlineStr"/>
      <c r="O755" s="6" t="inlineStr"/>
      <c r="P755" s="6" t="inlineStr"/>
      <c r="Q755" s="5" t="inlineStr">
        <is>
          <t>Sözünü Geçirir</t>
        </is>
      </c>
      <c r="R755" s="5" t="inlineStr"/>
      <c r="S755" s="5" t="inlineStr"/>
      <c r="T755" s="5" t="inlineStr"/>
      <c r="U755" s="5" t="inlineStr"/>
      <c r="V755" s="5" t="inlineStr"/>
      <c r="W755" s="5" t="inlineStr"/>
      <c r="X755" s="5" t="inlineStr"/>
      <c r="Y755" s="5" t="inlineStr"/>
      <c r="Z755" s="6" t="inlineStr"/>
      <c r="AA755" s="5" t="inlineStr"/>
      <c r="AB755" s="5" t="inlineStr"/>
      <c r="AC755" s="5" t="inlineStr"/>
      <c r="AD755" s="5" t="inlineStr"/>
      <c r="AE755" s="5" t="inlineStr"/>
      <c r="AF755" s="5" t="inlineStr"/>
      <c r="AG755" s="5" t="inlineStr"/>
      <c r="AH755" s="5" t="inlineStr"/>
    </row>
    <row r="756">
      <c r="A756" s="5" t="inlineStr">
        <is>
          <t>me-cirak</t>
        </is>
      </c>
      <c r="B756" s="5" t="n">
        <v>1</v>
      </c>
      <c r="C756" s="6" t="inlineStr">
        <is>
          <t>Deneme süresi ver</t>
        </is>
      </c>
      <c r="D756" s="5" t="inlineStr"/>
      <c r="E756" s="5" t="inlineStr"/>
      <c r="F756" s="5" t="inlineStr">
        <is>
          <t>Akıl +1, Kurnazlık +1</t>
        </is>
      </c>
      <c r="G756" s="6" t="inlineStr">
        <is>
          <t>Üç aylık deneme verdin. Çırak da seni üç ay denedi. İkiniz de geçtiniz.</t>
        </is>
      </c>
      <c r="H756" s="6" t="inlineStr"/>
      <c r="I756" s="6" t="inlineStr"/>
      <c r="J756" s="6" t="inlineStr"/>
      <c r="K756" s="6" t="inlineStr"/>
      <c r="L756" s="6" t="inlineStr"/>
      <c r="M756" s="5" t="inlineStr"/>
      <c r="N756" s="5" t="inlineStr"/>
      <c r="O756" s="6" t="inlineStr"/>
      <c r="P756" s="6" t="inlineStr"/>
      <c r="Q756" s="5" t="inlineStr"/>
      <c r="R756" s="5" t="inlineStr"/>
      <c r="S756" s="5" t="inlineStr"/>
      <c r="T756" s="5" t="inlineStr"/>
      <c r="U756" s="5" t="inlineStr">
        <is>
          <t>esnaf-cirak</t>
        </is>
      </c>
      <c r="V756" s="5" t="inlineStr"/>
      <c r="W756" s="5" t="inlineStr"/>
      <c r="X756" s="5" t="inlineStr"/>
      <c r="Y756" s="5" t="inlineStr"/>
      <c r="Z756" s="6" t="inlineStr"/>
      <c r="AA756" s="5" t="inlineStr"/>
      <c r="AB756" s="5" t="inlineStr"/>
      <c r="AC756" s="5" t="inlineStr"/>
      <c r="AD756" s="5" t="inlineStr"/>
      <c r="AE756" s="5" t="inlineStr"/>
      <c r="AF756" s="5" t="inlineStr"/>
      <c r="AG756" s="5" t="inlineStr"/>
      <c r="AH756" s="5" t="inlineStr"/>
    </row>
    <row r="757">
      <c r="A757" s="5" t="inlineStr">
        <is>
          <t>me-cirak</t>
        </is>
      </c>
      <c r="B757" s="5" t="n">
        <v>2</v>
      </c>
      <c r="C757" s="6" t="inlineStr">
        <is>
          <t>İşe al, her şeyi öğret</t>
        </is>
      </c>
      <c r="D757" s="5" t="inlineStr">
        <is>
          <t>İtibar</t>
        </is>
      </c>
      <c r="E757" s="5" t="inlineStr">
        <is>
          <t>Orta</t>
        </is>
      </c>
      <c r="F757" s="5" t="inlineStr"/>
      <c r="G757" s="6" t="inlineStr"/>
      <c r="H757" s="6" t="inlineStr">
        <is>
          <t>Kasayı, defteri ve müşteri sabrını öğrettin. Üçüncüsü en uzun sürdü.</t>
        </is>
      </c>
      <c r="I757" s="6" t="inlineStr">
        <is>
          <t>Çırak altı ayda işi kaptı, bir yılda sana bir şeyler öğretmeye başladı. Mesela telefonunun ayarlarını.</t>
        </is>
      </c>
      <c r="J757" s="6" t="inlineStr">
        <is>
          <t>Öğrettin, öğrettin. Bir ay sonra 'Kendi işimi kuracağım' dedi ve karşı sokakta kurdu.</t>
        </is>
      </c>
      <c r="K757" s="6" t="inlineStr">
        <is>
          <t>Her şeyi öğrettin; karşı dükkânda işe başladı. Rakibin artık senin ticari sırlarınla çalışıyor.</t>
        </is>
      </c>
      <c r="L757" s="6" t="inlineStr"/>
      <c r="M757" s="5" t="inlineStr"/>
      <c r="N757" s="5" t="inlineStr"/>
      <c r="O757" s="6" t="inlineStr"/>
      <c r="P757" s="6" t="inlineStr"/>
      <c r="Q757" s="5" t="inlineStr"/>
      <c r="R757" s="5" t="inlineStr"/>
      <c r="S757" s="5" t="inlineStr"/>
      <c r="T757" s="5" t="inlineStr"/>
      <c r="U757" s="5" t="inlineStr"/>
      <c r="V757" s="5" t="inlineStr">
        <is>
          <t>esnaf-cirak</t>
        </is>
      </c>
      <c r="W757" s="5" t="inlineStr"/>
      <c r="X757" s="5" t="inlineStr"/>
      <c r="Y757" s="5" t="inlineStr"/>
      <c r="Z757" s="6" t="inlineStr"/>
      <c r="AA757" s="5" t="inlineStr"/>
      <c r="AB757" s="5" t="inlineStr"/>
      <c r="AC757" s="5" t="inlineStr"/>
      <c r="AD757" s="5" t="inlineStr"/>
      <c r="AE757" s="5" t="inlineStr"/>
      <c r="AF757" s="5" t="inlineStr"/>
      <c r="AG757" s="5" t="inlineStr"/>
      <c r="AH757" s="5" t="inlineStr"/>
    </row>
    <row r="758">
      <c r="A758" s="5" t="inlineStr">
        <is>
          <t>me-cirak</t>
        </is>
      </c>
      <c r="B758" s="5" t="n">
        <v>3</v>
      </c>
      <c r="C758" s="6" t="inlineStr">
        <is>
          <t>'Etiketleri sen de gördün, değil mi?' de</t>
        </is>
      </c>
      <c r="D758" s="5" t="inlineStr">
        <is>
          <t>Sosyal Radar</t>
        </is>
      </c>
      <c r="E758" s="5" t="inlineStr">
        <is>
          <t>Kolay</t>
        </is>
      </c>
      <c r="F758" s="5" t="inlineStr"/>
      <c r="G758" s="6" t="inlineStr"/>
      <c r="H758" s="6" t="inlineStr">
        <is>
          <t>Çırağı etiket sorumlusu yaptın. Dükkânın fiyatları ilk kez birbiriyle tutarlı.</t>
        </is>
      </c>
      <c r="I758" s="6" t="inlineStr">
        <is>
          <t>Çırak vitrini, stoku ve etiketleri baştan düzenledi. Ciro arttı, senin gözlük ihtiyacın azaldı.</t>
        </is>
      </c>
      <c r="J758" s="6" t="inlineStr">
        <is>
          <t>'Hangi etiketler?' dedi. Radar bu sefer kör uçtu.</t>
        </is>
      </c>
      <c r="K758" s="6" t="inlineStr">
        <is>
          <t>Çırak etiketleri düzeltti; ters yöne. Bir hafta boyunca en ucuz ürün, en pahalı üründü.</t>
        </is>
      </c>
      <c r="L758" s="6" t="inlineStr"/>
      <c r="M758" s="5" t="inlineStr"/>
      <c r="N758" s="5" t="inlineStr"/>
      <c r="O758" s="6" t="inlineStr"/>
      <c r="P758" s="6" t="inlineStr"/>
      <c r="Q758" s="5" t="inlineStr"/>
      <c r="R758" s="5" t="inlineStr"/>
      <c r="S758" s="5" t="inlineStr">
        <is>
          <t>Sosyal Radar</t>
        </is>
      </c>
      <c r="T758" s="5" t="inlineStr"/>
      <c r="U758" s="5" t="inlineStr"/>
      <c r="V758" s="5" t="inlineStr">
        <is>
          <t>esnaf-cirak</t>
        </is>
      </c>
      <c r="W758" s="5" t="inlineStr"/>
      <c r="X758" s="5" t="inlineStr"/>
      <c r="Y758" s="5" t="inlineStr"/>
      <c r="Z758" s="6" t="inlineStr"/>
      <c r="AA758" s="5" t="inlineStr"/>
      <c r="AB758" s="5" t="inlineStr"/>
      <c r="AC758" s="5" t="inlineStr"/>
      <c r="AD758" s="5" t="inlineStr"/>
      <c r="AE758" s="5" t="inlineStr"/>
      <c r="AF758" s="5" t="inlineStr"/>
      <c r="AG758" s="5" t="inlineStr"/>
      <c r="AH758" s="5" t="inlineStr"/>
    </row>
    <row r="759">
      <c r="A759" s="5" t="inlineStr">
        <is>
          <t>me-cirak</t>
        </is>
      </c>
      <c r="B759" s="5" t="n">
        <v>4</v>
      </c>
      <c r="C759" s="6" t="inlineStr">
        <is>
          <t>'Kendim yeterim' de</t>
        </is>
      </c>
      <c r="D759" s="5" t="inlineStr"/>
      <c r="E759" s="5" t="inlineStr"/>
      <c r="F759" s="5" t="inlineStr">
        <is>
          <t>Dayanıklılık +2</t>
        </is>
      </c>
      <c r="G759" s="6" t="inlineStr">
        <is>
          <t>Tek başına devam ettin. Dükkânda bir kişilik yer var; o yer de hep senin.</t>
        </is>
      </c>
      <c r="H759" s="6" t="inlineStr"/>
      <c r="I759" s="6" t="inlineStr"/>
      <c r="J759" s="6" t="inlineStr"/>
      <c r="K759" s="6" t="inlineStr"/>
      <c r="L759" s="6" t="inlineStr"/>
      <c r="M759" s="5" t="inlineStr"/>
      <c r="N759" s="5" t="inlineStr"/>
      <c r="O759" s="6" t="inlineStr"/>
      <c r="P759" s="6" t="inlineStr"/>
      <c r="Q759" s="5" t="inlineStr"/>
      <c r="R759" s="5" t="inlineStr"/>
      <c r="S759" s="5" t="inlineStr"/>
      <c r="T759" s="5" t="inlineStr"/>
      <c r="U759" s="5" t="inlineStr"/>
      <c r="V759" s="5" t="inlineStr"/>
      <c r="W759" s="5" t="inlineStr"/>
      <c r="X759" s="5" t="inlineStr"/>
      <c r="Y759" s="5" t="inlineStr"/>
      <c r="Z759" s="6" t="inlineStr"/>
      <c r="AA759" s="5" t="inlineStr"/>
      <c r="AB759" s="5" t="inlineStr"/>
      <c r="AC759" s="5" t="inlineStr"/>
      <c r="AD759" s="5" t="inlineStr"/>
      <c r="AE759" s="5" t="inlineStr"/>
      <c r="AF759" s="5" t="inlineStr"/>
      <c r="AG759" s="5" t="inlineStr"/>
      <c r="AH759" s="5" t="inlineStr"/>
    </row>
    <row r="760">
      <c r="A760" s="5" t="inlineStr">
        <is>
          <t>b7-ev-kredisi</t>
        </is>
      </c>
      <c r="B760" s="5" t="n">
        <v>1</v>
      </c>
      <c r="C760" s="6" t="inlineStr">
        <is>
          <t>Kirada kal</t>
        </is>
      </c>
      <c r="D760" s="5" t="inlineStr"/>
      <c r="E760" s="5" t="inlineStr"/>
      <c r="F760" s="5" t="inlineStr">
        <is>
          <t>Akıl +1, Dayanıklılık +1</t>
        </is>
      </c>
      <c r="G760" s="6" t="inlineStr">
        <is>
          <t>Kirada kalmaya karar verdin. Parayla değil, esnekliğinle övünüyorsun. Ev sahibi de esnek; her yıl kirayı esnetiyor.</t>
        </is>
      </c>
      <c r="H760" s="6" t="inlineStr"/>
      <c r="I760" s="6" t="inlineStr"/>
      <c r="J760" s="6" t="inlineStr"/>
      <c r="K760" s="6" t="inlineStr"/>
      <c r="L760" s="6" t="inlineStr"/>
      <c r="M760" s="5" t="inlineStr"/>
      <c r="N760" s="5" t="inlineStr"/>
      <c r="O760" s="6" t="inlineStr"/>
      <c r="P760" s="6" t="inlineStr"/>
      <c r="Q760" s="5" t="inlineStr"/>
      <c r="R760" s="5" t="inlineStr"/>
      <c r="S760" s="5" t="inlineStr"/>
      <c r="T760" s="5" t="inlineStr"/>
      <c r="U760" s="5" t="inlineStr">
        <is>
          <t>kiraci-kaldi</t>
        </is>
      </c>
      <c r="V760" s="5" t="inlineStr"/>
      <c r="W760" s="5" t="inlineStr"/>
      <c r="X760" s="5" t="inlineStr"/>
      <c r="Y760" s="5" t="inlineStr"/>
      <c r="Z760" s="6" t="inlineStr"/>
      <c r="AA760" s="5" t="inlineStr"/>
      <c r="AB760" s="5" t="inlineStr"/>
      <c r="AC760" s="5" t="inlineStr"/>
      <c r="AD760" s="5" t="inlineStr"/>
      <c r="AE760" s="5" t="inlineStr"/>
      <c r="AF760" s="5" t="inlineStr"/>
      <c r="AG760" s="5" t="inlineStr"/>
      <c r="AH760" s="5" t="inlineStr"/>
    </row>
    <row r="761">
      <c r="A761" s="5" t="inlineStr">
        <is>
          <t>b7-ev-kredisi</t>
        </is>
      </c>
      <c r="B761" s="5" t="n">
        <v>2</v>
      </c>
      <c r="C761" s="6" t="inlineStr">
        <is>
          <t>Krediyle al, satıcıyla pazarlık et</t>
        </is>
      </c>
      <c r="D761" s="5" t="inlineStr">
        <is>
          <t>Çene</t>
        </is>
      </c>
      <c r="E761" s="5" t="inlineStr">
        <is>
          <t>Zor</t>
        </is>
      </c>
      <c r="F761" s="5" t="inlineStr"/>
      <c r="G761" s="6" t="inlineStr"/>
      <c r="H761" s="6" t="inlineStr">
        <is>
          <t>Fiyatı indirdin, krediyi aldın, anahtarı teslim aldın. Artık bir evin var ve yirmi yıllık bir planın.</t>
        </is>
      </c>
      <c r="I761" s="6" t="inlineStr">
        <is>
          <t>Pazarlık o kadar iyi gitti ki satıcı perdeleri ve bir koltuğu da bıraktı. Koltuk kötü ama ücretsiz.</t>
        </is>
      </c>
      <c r="J761" s="6" t="inlineStr">
        <is>
          <t>Satıcı rakamda direndi. Anlaşma olmadı. Sen de o fiyatla komşu bir ev ilanı açtın, sadece bakmak için.</t>
        </is>
      </c>
      <c r="K761" s="6" t="inlineStr">
        <is>
          <t>Pazarlık sırasında satıcı başka bir alıcıya 'Evet' dedi. Evin fotoğrafları hâlâ telefonunda.</t>
        </is>
      </c>
      <c r="L761" s="6" t="inlineStr">
        <is>
          <t>Fiyatı biraz indirdin. Kredi onaylandı, vade bir yıl uzadı. Ev senin; biraz da bankanın.</t>
        </is>
      </c>
      <c r="M761" s="5" t="inlineStr">
        <is>
          <t>bargain</t>
        </is>
      </c>
      <c r="N761" s="5" t="inlineStr">
        <is>
          <t>Ev Pazarlığı</t>
        </is>
      </c>
      <c r="O761" s="6" t="inlineStr">
        <is>
          <t>Satıcının sabrı bitmeden fiyatı aşağı çek. Çok sıkıştırırsan masadan kalkar.</t>
        </is>
      </c>
      <c r="P761" s="6" t="inlineStr">
        <is>
          <t>{"item": "ev", "mode": "buy"}</t>
        </is>
      </c>
      <c r="Q761" s="5" t="inlineStr"/>
      <c r="R761" s="5" t="inlineStr"/>
      <c r="S761" s="5" t="inlineStr"/>
      <c r="T761" s="5" t="inlineStr"/>
      <c r="U761" s="5" t="inlineStr"/>
      <c r="V761" s="5" t="inlineStr">
        <is>
          <t>ev-sahibi</t>
        </is>
      </c>
      <c r="W761" s="5" t="inlineStr"/>
      <c r="X761" s="5" t="inlineStr"/>
      <c r="Y761" s="5" t="inlineStr"/>
      <c r="Z761" s="6" t="inlineStr"/>
      <c r="AA761" s="5" t="inlineStr"/>
      <c r="AB761" s="5" t="inlineStr">
        <is>
          <t>kiraci-kaldi</t>
        </is>
      </c>
      <c r="AC761" s="5" t="inlineStr">
        <is>
          <t>Orta</t>
        </is>
      </c>
      <c r="AD761" s="5" t="inlineStr"/>
      <c r="AE761" s="5" t="inlineStr"/>
      <c r="AF761" s="5" t="n">
        <v>1</v>
      </c>
      <c r="AG761" s="5" t="inlineStr"/>
      <c r="AH761" s="5" t="inlineStr"/>
    </row>
    <row r="762">
      <c r="A762" s="5" t="inlineStr">
        <is>
          <t>b7-ev-kredisi</t>
        </is>
      </c>
      <c r="B762" s="5" t="n">
        <v>3</v>
      </c>
      <c r="C762" s="6" t="inlineStr">
        <is>
          <t>Ailenin yardımıyla al</t>
        </is>
      </c>
      <c r="D762" s="5" t="inlineStr"/>
      <c r="E762" s="5" t="inlineStr"/>
      <c r="F762" s="5" t="inlineStr">
        <is>
          <t>İtibar +1, Sosyal Radar +1</t>
        </is>
      </c>
      <c r="G762" s="6" t="inlineStr">
        <is>
          <t>Baban “Bizden sana” dedi ve tapuyu uzattı; anahtarın yedeği annende kaldı. Ev senin, pazar günleri onların. Her pazar habersiz gelen misafirlerin var; yemek de getiriyorlar.</t>
        </is>
      </c>
      <c r="H762" s="6" t="inlineStr"/>
      <c r="I762" s="6" t="inlineStr"/>
      <c r="J762" s="6" t="inlineStr"/>
      <c r="K762" s="6" t="inlineStr"/>
      <c r="L762" s="6" t="inlineStr"/>
      <c r="M762" s="5" t="inlineStr"/>
      <c r="N762" s="5" t="inlineStr"/>
      <c r="O762" s="6" t="inlineStr"/>
      <c r="P762" s="6" t="inlineStr"/>
      <c r="Q762" s="5" t="inlineStr"/>
      <c r="R762" s="5" t="inlineStr"/>
      <c r="S762" s="5" t="inlineStr"/>
      <c r="T762" s="5" t="inlineStr"/>
      <c r="U762" s="5" t="inlineStr">
        <is>
          <t>ev-sahibi, aile-yardimi-ev</t>
        </is>
      </c>
      <c r="V762" s="5" t="inlineStr"/>
      <c r="W762" s="5" t="inlineStr"/>
      <c r="X762" s="5" t="inlineStr"/>
      <c r="Y762" s="5" t="inlineStr"/>
      <c r="Z762" s="6" t="inlineStr"/>
      <c r="AA762" s="5" t="inlineStr">
        <is>
          <t>hepsi +1</t>
        </is>
      </c>
      <c r="AB762" s="5" t="inlineStr"/>
      <c r="AC762" s="5" t="inlineStr">
        <is>
          <t>Rahat</t>
        </is>
      </c>
      <c r="AD762" s="5" t="inlineStr"/>
      <c r="AE762" s="5" t="inlineStr">
        <is>
          <t>Tam</t>
        </is>
      </c>
      <c r="AF762" s="5" t="inlineStr"/>
      <c r="AG762" s="5" t="inlineStr"/>
      <c r="AH762" s="5" t="inlineStr"/>
    </row>
    <row r="763">
      <c r="A763" s="5" t="inlineStr">
        <is>
          <t>b7-ev-kredisi</t>
        </is>
      </c>
      <c r="B763" s="5" t="n">
        <v>4</v>
      </c>
      <c r="C763" s="6" t="inlineStr">
        <is>
          <t>Peşin öde</t>
        </is>
      </c>
      <c r="D763" s="5" t="inlineStr"/>
      <c r="E763" s="5" t="inlineStr"/>
      <c r="F763" s="5" t="inlineStr">
        <is>
          <t>Pişkinlik +1, Kurnazlık +1</t>
        </is>
      </c>
      <c r="G763" s="6" t="inlineStr">
        <is>
          <t>Peşin ödedin. Emlakçı ilk kez sustu; banka temsilcisi ilk kez aradı. Tapuda kimse soru sormadı, sen de cevap vermedin.</t>
        </is>
      </c>
      <c r="H763" s="6" t="inlineStr"/>
      <c r="I763" s="6" t="inlineStr"/>
      <c r="J763" s="6" t="inlineStr"/>
      <c r="K763" s="6" t="inlineStr"/>
      <c r="L763" s="6" t="inlineStr"/>
      <c r="M763" s="5" t="inlineStr"/>
      <c r="N763" s="5" t="inlineStr"/>
      <c r="O763" s="6" t="inlineStr"/>
      <c r="P763" s="6" t="inlineStr"/>
      <c r="Q763" s="5" t="inlineStr"/>
      <c r="R763" s="5" t="inlineStr"/>
      <c r="S763" s="5" t="inlineStr"/>
      <c r="T763" s="5" t="inlineStr"/>
      <c r="U763" s="5" t="inlineStr">
        <is>
          <t>ev-sahibi</t>
        </is>
      </c>
      <c r="V763" s="5" t="inlineStr"/>
      <c r="W763" s="5" t="inlineStr"/>
      <c r="X763" s="5" t="inlineStr"/>
      <c r="Y763" s="5" t="inlineStr"/>
      <c r="Z763" s="6" t="inlineStr"/>
      <c r="AA763" s="5" t="inlineStr"/>
      <c r="AB763" s="5" t="inlineStr"/>
      <c r="AC763" s="5" t="inlineStr">
        <is>
          <t>Varlıklı</t>
        </is>
      </c>
      <c r="AD763" s="5" t="inlineStr"/>
      <c r="AE763" s="5" t="inlineStr"/>
      <c r="AF763" s="5" t="inlineStr"/>
      <c r="AG763" s="5" t="inlineStr"/>
      <c r="AH763" s="5" t="inlineStr"/>
    </row>
    <row r="764">
      <c r="A764" s="5" t="inlineStr">
        <is>
          <t>b7-ev-kredisi</t>
        </is>
      </c>
      <c r="B764" s="5" t="n">
        <v>5</v>
      </c>
      <c r="C764" s="6" t="inlineStr">
        <is>
          <t>Nakitle al, kaynağını sorma</t>
        </is>
      </c>
      <c r="D764" s="5" t="inlineStr">
        <is>
          <t>Kurnazlık</t>
        </is>
      </c>
      <c r="E764" s="5" t="inlineStr">
        <is>
          <t>Zor</t>
        </is>
      </c>
      <c r="F764" s="5" t="inlineStr"/>
      <c r="G764" s="6" t="inlineStr"/>
      <c r="H764" s="6" t="inlineStr">
        <is>
          <t>Çantayla gittin, tapuyla döndün. Tapu memuru çantaya baktı, sonra saatine baktı, sonra imzaladı.</t>
        </is>
      </c>
      <c r="I764" s="6" t="inlineStr">
        <is>
          <t>Satıcı nakdi görünce bir de yazlığını önerdi. Aldın mı? Bunu sadece sen ve çanta biliyor.</t>
        </is>
      </c>
      <c r="J764" s="6" t="inlineStr">
        <is>
          <t>Tapu müdürü paranın kaynağını sordu. “Tasarruf” dedin. Müdür güldü, işlemi erteledi.</t>
        </is>
      </c>
      <c r="K764" s="6" t="inlineStr">
        <is>
          <t>Tapu dairesinin önünde bir tanıdık müfettişle karşılaştın; çanta elindeydi. Sorusu kısaydı, cevabın daha kısa.</t>
        </is>
      </c>
      <c r="L764" s="6" t="inlineStr"/>
      <c r="M764" s="5" t="inlineStr"/>
      <c r="N764" s="5" t="inlineStr"/>
      <c r="O764" s="6" t="inlineStr"/>
      <c r="P764" s="6" t="inlineStr"/>
      <c r="Q764" s="5" t="inlineStr"/>
      <c r="R764" s="5" t="inlineStr">
        <is>
          <t>hat-cete</t>
        </is>
      </c>
      <c r="S764" s="5" t="inlineStr"/>
      <c r="T764" s="5" t="inlineStr"/>
      <c r="U764" s="5" t="inlineStr"/>
      <c r="V764" s="5" t="inlineStr">
        <is>
          <t>ev-sahibi</t>
        </is>
      </c>
      <c r="W764" s="5" t="inlineStr">
        <is>
          <t>hapis</t>
        </is>
      </c>
      <c r="X764" s="5" t="inlineStr"/>
      <c r="Y764" s="5" t="inlineStr"/>
      <c r="Z764" s="6" t="inlineStr"/>
      <c r="AA764" s="5" t="inlineStr"/>
      <c r="AB764" s="5" t="inlineStr">
        <is>
          <t>kiraci-kaldi</t>
        </is>
      </c>
      <c r="AC764" s="5" t="inlineStr">
        <is>
          <t>Rahat</t>
        </is>
      </c>
      <c r="AD764" s="5" t="inlineStr"/>
      <c r="AE764" s="5" t="inlineStr"/>
      <c r="AF764" s="5" t="inlineStr"/>
      <c r="AG764" s="5" t="inlineStr"/>
      <c r="AH764" s="5" t="inlineStr"/>
    </row>
    <row r="765">
      <c r="A765" s="5" t="inlineStr">
        <is>
          <t>b7-ev-kredisi</t>
        </is>
      </c>
      <c r="B765" s="5" t="n">
        <v>6</v>
      </c>
      <c r="C765" s="6" t="inlineStr">
        <is>
          <t>Ailenin dairesinde kalmaya devam et</t>
        </is>
      </c>
      <c r="D765" s="5" t="inlineStr"/>
      <c r="E765" s="5" t="inlineStr"/>
      <c r="F765" s="5" t="inlineStr">
        <is>
          <t>İtibar +1, Kurnazlık +1</t>
        </is>
      </c>
      <c r="G765" s="6" t="inlineStr">
        <is>
          <t>Tapu hâlâ babanda, anahtar hâlâ sende. Kira yok, kredi yok; sadece babanın “Duvara çivi çakma” telefonları var.</t>
        </is>
      </c>
      <c r="H765" s="6" t="inlineStr"/>
      <c r="I765" s="6" t="inlineStr"/>
      <c r="J765" s="6" t="inlineStr"/>
      <c r="K765" s="6" t="inlineStr"/>
      <c r="L765" s="6" t="inlineStr"/>
      <c r="M765" s="5" t="inlineStr"/>
      <c r="N765" s="5" t="inlineStr"/>
      <c r="O765" s="6" t="inlineStr"/>
      <c r="P765" s="6" t="inlineStr"/>
      <c r="Q765" s="5" t="inlineStr"/>
      <c r="R765" s="5" t="inlineStr">
        <is>
          <t>aile-dairesi</t>
        </is>
      </c>
      <c r="S765" s="5" t="inlineStr"/>
      <c r="T765" s="5" t="inlineStr"/>
      <c r="U765" s="5" t="inlineStr">
        <is>
          <t>aile-dairesi</t>
        </is>
      </c>
      <c r="V765" s="5" t="inlineStr"/>
      <c r="W765" s="5" t="inlineStr"/>
      <c r="X765" s="5" t="inlineStr"/>
      <c r="Y765" s="5" t="inlineStr"/>
      <c r="Z765" s="6" t="inlineStr"/>
      <c r="AA765" s="5" t="inlineStr"/>
      <c r="AB765" s="5" t="inlineStr"/>
      <c r="AC765" s="5" t="inlineStr"/>
      <c r="AD765" s="5" t="inlineStr"/>
      <c r="AE765" s="5" t="inlineStr"/>
      <c r="AF765" s="5" t="inlineStr"/>
      <c r="AG765" s="5" t="inlineStr"/>
      <c r="AH765" s="5" t="inlineStr"/>
    </row>
    <row r="766">
      <c r="A766" s="5" t="inlineStr">
        <is>
          <t>b7-ev-kredisi</t>
        </is>
      </c>
      <c r="B766" s="5" t="n">
        <v>7</v>
      </c>
      <c r="C766" s="6" t="inlineStr">
        <is>
          <t>Annenin evinde kal</t>
        </is>
      </c>
      <c r="D766" s="5" t="inlineStr"/>
      <c r="E766" s="5" t="inlineStr"/>
      <c r="F766" s="5" t="inlineStr">
        <is>
          <t>İtibar +1, Dayanıklılık +1</t>
        </is>
      </c>
      <c r="G766" s="6" t="inlineStr">
        <is>
          <t>Ev almana gerek yok; odan hâlâ senin, dolabın hâlâ annenin. Kredi tablosunu annen katlayıp mutfak çekmecesine koydu; tarif kâğıtlarının yanına.</t>
        </is>
      </c>
      <c r="H766" s="6" t="inlineStr"/>
      <c r="I766" s="6" t="inlineStr"/>
      <c r="J766" s="6" t="inlineStr"/>
      <c r="K766" s="6" t="inlineStr"/>
      <c r="L766" s="6" t="inlineStr"/>
      <c r="M766" s="5" t="inlineStr"/>
      <c r="N766" s="5" t="inlineStr"/>
      <c r="O766" s="6" t="inlineStr"/>
      <c r="P766" s="6" t="inlineStr"/>
      <c r="Q766" s="5" t="inlineStr"/>
      <c r="R766" s="5" t="inlineStr">
        <is>
          <t>evde-kaldi</t>
        </is>
      </c>
      <c r="S766" s="5" t="inlineStr"/>
      <c r="T766" s="5" t="inlineStr"/>
      <c r="U766" s="5" t="inlineStr">
        <is>
          <t>evin-oglu</t>
        </is>
      </c>
      <c r="V766" s="5" t="inlineStr"/>
      <c r="W766" s="5" t="inlineStr"/>
      <c r="X766" s="5" t="inlineStr"/>
      <c r="Y766" s="5" t="inlineStr"/>
      <c r="Z766" s="6" t="inlineStr"/>
      <c r="AA766" s="5" t="inlineStr"/>
      <c r="AB766" s="5" t="inlineStr"/>
      <c r="AC766" s="5" t="inlineStr"/>
      <c r="AD766" s="5" t="inlineStr"/>
      <c r="AE766" s="5" t="inlineStr"/>
      <c r="AF766" s="5" t="inlineStr"/>
      <c r="AG766" s="5" t="inlineStr"/>
      <c r="AH766" s="5" t="inlineStr"/>
    </row>
    <row r="767">
      <c r="A767" s="5" t="inlineStr">
        <is>
          <t>b7-ev-kredisi</t>
        </is>
      </c>
      <c r="B767" s="5" t="n">
        <v>8</v>
      </c>
      <c r="C767" s="6" t="inlineStr">
        <is>
          <t>Kefil bul, krediyle al</t>
        </is>
      </c>
      <c r="D767" s="5" t="inlineStr"/>
      <c r="E767" s="5" t="inlineStr"/>
      <c r="F767" s="5" t="inlineStr">
        <is>
          <t>İtibar +1, Dayanıklılık +1</t>
        </is>
      </c>
      <c r="G767" s="6" t="inlineStr">
        <is>
          <t>Banka bir kefil istedi; mahallede üç kişi aynı gün imzaya geldi. Ev senin, borç senin; ama imzalar da senin. Bayramlarda üç kapıya ayrı ayrı tatlı götürüyorsun.</t>
        </is>
      </c>
      <c r="H767" s="6" t="inlineStr"/>
      <c r="I767" s="6" t="inlineStr"/>
      <c r="J767" s="6" t="inlineStr"/>
      <c r="K767" s="6" t="inlineStr"/>
      <c r="L767" s="6" t="inlineStr"/>
      <c r="M767" s="5" t="inlineStr"/>
      <c r="N767" s="5" t="inlineStr"/>
      <c r="O767" s="6" t="inlineStr"/>
      <c r="P767" s="6" t="inlineStr"/>
      <c r="Q767" s="5" t="inlineStr"/>
      <c r="R767" s="5" t="inlineStr"/>
      <c r="S767" s="5" t="inlineStr"/>
      <c r="T767" s="5" t="inlineStr"/>
      <c r="U767" s="5" t="inlineStr">
        <is>
          <t>ev-sahibi, borclu</t>
        </is>
      </c>
      <c r="V767" s="5" t="inlineStr"/>
      <c r="W767" s="5" t="inlineStr"/>
      <c r="X767" s="5" t="inlineStr"/>
      <c r="Y767" s="5" t="inlineStr"/>
      <c r="Z767" s="6" t="inlineStr"/>
      <c r="AA767" s="5" t="inlineStr"/>
      <c r="AB767" s="5" t="inlineStr"/>
      <c r="AC767" s="5" t="inlineStr"/>
      <c r="AD767" s="5" t="inlineStr"/>
      <c r="AE767" s="5" t="inlineStr"/>
      <c r="AF767" s="5" t="inlineStr"/>
      <c r="AG767" s="5" t="inlineStr"/>
      <c r="AH767" s="5" t="inlineStr">
        <is>
          <t>İtibar 46</t>
        </is>
      </c>
    </row>
    <row r="768">
      <c r="A768" s="5" t="inlineStr">
        <is>
          <t>b7-kres-kaydi</t>
        </is>
      </c>
      <c r="B768" s="5" t="n">
        <v>1</v>
      </c>
      <c r="C768" s="6" t="inlineStr">
        <is>
          <t>Dürüst cevap ver</t>
        </is>
      </c>
      <c r="D768" s="5" t="inlineStr"/>
      <c r="E768" s="5" t="inlineStr"/>
      <c r="F768" s="5" t="inlineStr">
        <is>
          <t>İtibar +1</t>
        </is>
      </c>
      <c r="G768" s="6" t="inlineStr">
        <is>
          <t>Dürüstçe 'Uyuyamıyor, biz de uyuyamıyoruz' dedin. Müdür bu cevabı çok duymuş. Kayıt yapıldı.</t>
        </is>
      </c>
      <c r="H768" s="6" t="inlineStr"/>
      <c r="I768" s="6" t="inlineStr"/>
      <c r="J768" s="6" t="inlineStr"/>
      <c r="K768" s="6" t="inlineStr"/>
      <c r="L768" s="6" t="inlineStr"/>
      <c r="M768" s="5" t="inlineStr"/>
      <c r="N768" s="5" t="inlineStr"/>
      <c r="O768" s="6" t="inlineStr"/>
      <c r="P768" s="6" t="inlineStr"/>
      <c r="Q768" s="5" t="inlineStr"/>
      <c r="R768" s="5" t="inlineStr"/>
      <c r="S768" s="5" t="inlineStr"/>
      <c r="T768" s="5" t="inlineStr"/>
      <c r="U768" s="5" t="inlineStr"/>
      <c r="V768" s="5" t="inlineStr"/>
      <c r="W768" s="5" t="inlineStr"/>
      <c r="X768" s="5" t="inlineStr"/>
      <c r="Y768" s="5" t="inlineStr"/>
      <c r="Z768" s="6" t="inlineStr"/>
      <c r="AA768" s="5" t="inlineStr"/>
      <c r="AB768" s="5" t="inlineStr"/>
      <c r="AC768" s="5" t="inlineStr"/>
      <c r="AD768" s="5" t="inlineStr"/>
      <c r="AE768" s="5" t="inlineStr"/>
      <c r="AF768" s="5" t="inlineStr"/>
      <c r="AG768" s="5" t="inlineStr"/>
      <c r="AH768" s="5" t="inlineStr"/>
    </row>
    <row r="769">
      <c r="A769" s="5" t="inlineStr">
        <is>
          <t>b7-kres-kaydi</t>
        </is>
      </c>
      <c r="B769" s="5" t="n">
        <v>2</v>
      </c>
      <c r="C769" s="6" t="inlineStr">
        <is>
          <t>Özgeçmiş gibi sun</t>
        </is>
      </c>
      <c r="D769" s="5" t="inlineStr">
        <is>
          <t>Çene</t>
        </is>
      </c>
      <c r="E769" s="5" t="inlineStr">
        <is>
          <t>Orta</t>
        </is>
      </c>
      <c r="F769" s="5" t="inlineStr"/>
      <c r="G769" s="6" t="inlineStr"/>
      <c r="H769" s="6" t="inlineStr">
        <is>
          <t>Çocuğunun becerilerini bir sunum gibi anlattın. Müdür etkilendi. Kontenjan açıldı.</t>
        </is>
      </c>
      <c r="I769" s="6" t="inlineStr">
        <is>
          <t>Sunumun öyle iyiydi ki müdür seni veli temsilcisi yaptı. Görevi kabul etmedin ama görev seni kabul etti.</t>
        </is>
      </c>
      <c r="J769" s="6" t="inlineStr">
        <is>
          <t>Müdür 'Çok etkileyici, bekleme listesine alıyoruz' dedi.</t>
        </is>
      </c>
      <c r="K769" s="6" t="inlineStr">
        <is>
          <t>Sunum sırasında çocuğun müdürün masasına tırmandı ve kalemliği devirdi. Sosyal becerileri canlı sergilendi.</t>
        </is>
      </c>
      <c r="L769" s="6" t="inlineStr"/>
      <c r="M769" s="5" t="inlineStr"/>
      <c r="N769" s="5" t="inlineStr"/>
      <c r="O769" s="6" t="inlineStr"/>
      <c r="P769" s="6" t="inlineStr"/>
      <c r="Q769" s="5" t="inlineStr"/>
      <c r="R769" s="5" t="inlineStr"/>
      <c r="S769" s="5" t="inlineStr"/>
      <c r="T769" s="5" t="inlineStr"/>
      <c r="U769" s="5" t="inlineStr"/>
      <c r="V769" s="5" t="inlineStr"/>
      <c r="W769" s="5" t="inlineStr"/>
      <c r="X769" s="5" t="inlineStr"/>
      <c r="Y769" s="5" t="inlineStr"/>
      <c r="Z769" s="6" t="inlineStr"/>
      <c r="AA769" s="5" t="inlineStr"/>
      <c r="AB769" s="5" t="inlineStr"/>
      <c r="AC769" s="5" t="inlineStr"/>
      <c r="AD769" s="5" t="inlineStr"/>
      <c r="AE769" s="5" t="inlineStr"/>
      <c r="AF769" s="5" t="inlineStr"/>
      <c r="AG769" s="5" t="inlineStr"/>
      <c r="AH769" s="5" t="inlineStr"/>
    </row>
    <row r="770">
      <c r="A770" s="5" t="inlineStr">
        <is>
          <t>b7-kres-kaydi</t>
        </is>
      </c>
      <c r="B770" s="5" t="n">
        <v>3</v>
      </c>
      <c r="C770" s="6" t="inlineStr">
        <is>
          <t>Kreşin güvenlik açıklarını kontrol et</t>
        </is>
      </c>
      <c r="D770" s="5" t="inlineStr">
        <is>
          <t>Sosyal Radar</t>
        </is>
      </c>
      <c r="E770" s="5" t="inlineStr">
        <is>
          <t>Kolay</t>
        </is>
      </c>
      <c r="F770" s="5" t="inlineStr"/>
      <c r="G770" s="6" t="inlineStr"/>
      <c r="H770" s="6" t="inlineStr">
        <is>
          <t>Her şeyi inceledin. Kreş iyi. Sen de iyisin. Sadece biraz fazla soru sordun.</t>
        </is>
      </c>
      <c r="I770" s="6" t="inlineStr">
        <is>
          <t>İncelemen öyle kapsamlıydı ki kreş bir iki şeyi değiştirdi ve sana teşekkür etti.</t>
        </is>
      </c>
      <c r="J770" s="6" t="inlineStr">
        <is>
          <t>Soruların müdürü rahatsız etti. Bekleme listesi uzadı.</t>
        </is>
      </c>
      <c r="K770" s="6" t="inlineStr">
        <is>
          <t>İnceleme sırasında dolaba kilitlendin. Kreşteki çocuklar seni kurtardı. İlk görev tamamlandı.</t>
        </is>
      </c>
      <c r="L770" s="6" t="inlineStr"/>
      <c r="M770" s="5" t="inlineStr"/>
      <c r="N770" s="5" t="inlineStr"/>
      <c r="O770" s="6" t="inlineStr"/>
      <c r="P770" s="6" t="inlineStr"/>
      <c r="Q770" s="5" t="inlineStr"/>
      <c r="R770" s="5" t="inlineStr"/>
      <c r="S770" s="5" t="inlineStr"/>
      <c r="T770" s="5" t="inlineStr"/>
      <c r="U770" s="5" t="inlineStr"/>
      <c r="V770" s="5" t="inlineStr"/>
      <c r="W770" s="5" t="inlineStr"/>
      <c r="X770" s="5" t="inlineStr"/>
      <c r="Y770" s="5" t="inlineStr"/>
      <c r="Z770" s="6" t="inlineStr"/>
      <c r="AA770" s="5" t="inlineStr"/>
      <c r="AB770" s="5" t="inlineStr"/>
      <c r="AC770" s="5" t="inlineStr"/>
      <c r="AD770" s="5" t="inlineStr"/>
      <c r="AE770" s="5" t="inlineStr"/>
      <c r="AF770" s="5" t="inlineStr"/>
      <c r="AG770" s="5" t="inlineStr"/>
      <c r="AH770" s="5" t="inlineStr"/>
    </row>
    <row r="771">
      <c r="A771" s="5" t="inlineStr">
        <is>
          <t>b7-kres-kaydi</t>
        </is>
      </c>
      <c r="B771" s="5" t="n">
        <v>4</v>
      </c>
      <c r="C771" s="6" t="inlineStr">
        <is>
          <t>Üç saat uykuyla sabah yedide ilk sıraya gir</t>
        </is>
      </c>
      <c r="D771" s="5" t="inlineStr">
        <is>
          <t>Dayanıklılık</t>
        </is>
      </c>
      <c r="E771" s="5" t="inlineStr">
        <is>
          <t>Orta</t>
        </is>
      </c>
      <c r="F771" s="5" t="inlineStr"/>
      <c r="G771" s="6" t="inlineStr"/>
      <c r="H771" s="6" t="inlineStr">
        <is>
          <t>Kapı açılınca ilk sen girdin. Kayıt tamam.</t>
        </is>
      </c>
      <c r="I771" s="6" t="inlineStr">
        <is>
          <t>İlk sıraya girdin, kayıt yaptırdın, işe de zamanında yetiştin. Kahraman ebeveyn statüsü tescillendi.</t>
        </is>
      </c>
      <c r="J771" s="6" t="inlineStr">
        <is>
          <t>Sıradaydın ama uyuyakaldın. Arkadaki veli seni nazikçe uyandırdı, sonra önüne geçti.</t>
        </is>
      </c>
      <c r="K771" s="6" t="inlineStr">
        <is>
          <t>Sabahın yedisinde sıraya girdin; yanlış kreşteymişsin. Yine de kayıt oldu. Artık iki kreşin var.</t>
        </is>
      </c>
      <c r="L771" s="6" t="inlineStr"/>
      <c r="M771" s="5" t="inlineStr"/>
      <c r="N771" s="5" t="inlineStr"/>
      <c r="O771" s="6" t="inlineStr"/>
      <c r="P771" s="6" t="inlineStr"/>
      <c r="Q771" s="5" t="inlineStr">
        <is>
          <t>Uykusuz Operasyon</t>
        </is>
      </c>
      <c r="R771" s="5" t="inlineStr"/>
      <c r="S771" s="5" t="inlineStr"/>
      <c r="T771" s="5" t="inlineStr"/>
      <c r="U771" s="5" t="inlineStr"/>
      <c r="V771" s="5" t="inlineStr"/>
      <c r="W771" s="5" t="inlineStr"/>
      <c r="X771" s="5" t="inlineStr"/>
      <c r="Y771" s="5" t="inlineStr"/>
      <c r="Z771" s="6" t="inlineStr"/>
      <c r="AA771" s="5" t="inlineStr"/>
      <c r="AB771" s="5" t="inlineStr"/>
      <c r="AC771" s="5" t="inlineStr"/>
      <c r="AD771" s="5" t="inlineStr"/>
      <c r="AE771" s="5" t="inlineStr"/>
      <c r="AF771" s="5" t="inlineStr"/>
      <c r="AG771" s="5" t="inlineStr"/>
      <c r="AH771" s="5" t="inlineStr"/>
    </row>
    <row r="772">
      <c r="A772" s="5" t="inlineStr">
        <is>
          <t>mm-kayip-dosya</t>
        </is>
      </c>
      <c r="B772" s="5" t="n">
        <v>1</v>
      </c>
      <c r="C772" s="6" t="inlineStr">
        <is>
          <t>Tutanakla 'kayıp' diye kaydet</t>
        </is>
      </c>
      <c r="D772" s="5" t="inlineStr"/>
      <c r="E772" s="5" t="inlineStr"/>
      <c r="F772" s="5" t="inlineStr">
        <is>
          <t>Pişkinlik +1, Dayanıklılık +1</t>
        </is>
      </c>
      <c r="G772" s="6" t="inlineStr">
        <is>
          <t>Dosya artık resmen kayıp. Kayıp olduğunu kanıtlayan tek belge senin masanda duruyor.</t>
        </is>
      </c>
      <c r="H772" s="6" t="inlineStr"/>
      <c r="I772" s="6" t="inlineStr"/>
      <c r="J772" s="6" t="inlineStr"/>
      <c r="K772" s="6" t="inlineStr"/>
      <c r="L772" s="6" t="inlineStr"/>
      <c r="M772" s="5" t="inlineStr"/>
      <c r="N772" s="5" t="inlineStr"/>
      <c r="O772" s="6" t="inlineStr"/>
      <c r="P772" s="6" t="inlineStr"/>
      <c r="Q772" s="5" t="inlineStr"/>
      <c r="R772" s="5" t="inlineStr"/>
      <c r="S772" s="5" t="inlineStr"/>
      <c r="T772" s="5" t="inlineStr"/>
      <c r="U772" s="5" t="inlineStr">
        <is>
          <t>memur-kayip-dosya</t>
        </is>
      </c>
      <c r="V772" s="5" t="inlineStr"/>
      <c r="W772" s="5" t="inlineStr"/>
      <c r="X772" s="5" t="inlineStr"/>
      <c r="Y772" s="5" t="inlineStr"/>
      <c r="Z772" s="6" t="inlineStr"/>
      <c r="AA772" s="5" t="inlineStr"/>
      <c r="AB772" s="5" t="inlineStr"/>
      <c r="AC772" s="5" t="inlineStr"/>
      <c r="AD772" s="5" t="inlineStr"/>
      <c r="AE772" s="5" t="inlineStr"/>
      <c r="AF772" s="5" t="inlineStr"/>
      <c r="AG772" s="5" t="inlineStr"/>
      <c r="AH772" s="5" t="inlineStr"/>
    </row>
    <row r="773">
      <c r="A773" s="5" t="inlineStr">
        <is>
          <t>mm-kayip-dosya</t>
        </is>
      </c>
      <c r="B773" s="5" t="n">
        <v>2</v>
      </c>
      <c r="C773" s="6" t="inlineStr">
        <is>
          <t>Arşive in, ara</t>
        </is>
      </c>
      <c r="D773" s="5" t="inlineStr">
        <is>
          <t>Dayanıklılık</t>
        </is>
      </c>
      <c r="E773" s="5" t="inlineStr">
        <is>
          <t>Orta</t>
        </is>
      </c>
      <c r="F773" s="5" t="inlineStr"/>
      <c r="G773" s="6" t="inlineStr"/>
      <c r="H773" s="6" t="inlineStr">
        <is>
          <t>Arşivde dört saat geçirdin. Dosya başka bir dosyanın içindeydi; saklanıyormuş gibi.</t>
        </is>
      </c>
      <c r="I773" s="6" t="inlineStr">
        <is>
          <t>Dosyayı ve yedi yıl önce kaybolmuş üç dosyayı daha buldun. Arşiv seni kahraman ilan etti; sessizce.</t>
        </is>
      </c>
      <c r="J773" s="6" t="inlineStr">
        <is>
          <t>Dosyayı bulamadın ama kendi işe giriş dosyanı buldun. Fotoğrafta daha umutlusun.</t>
        </is>
      </c>
      <c r="K773" s="6" t="inlineStr">
        <is>
          <t>Arşivde kayboldun. Üç saat sonra bulundun. Dosya hâlâ kayıp.</t>
        </is>
      </c>
      <c r="L773" s="6" t="inlineStr"/>
      <c r="M773" s="5" t="inlineStr"/>
      <c r="N773" s="5" t="inlineStr"/>
      <c r="O773" s="6" t="inlineStr"/>
      <c r="P773" s="6" t="inlineStr"/>
      <c r="Q773" s="5" t="inlineStr"/>
      <c r="R773" s="5" t="inlineStr"/>
      <c r="S773" s="5" t="inlineStr"/>
      <c r="T773" s="5" t="inlineStr"/>
      <c r="U773" s="5" t="inlineStr"/>
      <c r="V773" s="5" t="inlineStr"/>
      <c r="W773" s="5" t="inlineStr">
        <is>
          <t>memur-kayip-dosya</t>
        </is>
      </c>
      <c r="X773" s="5" t="inlineStr"/>
      <c r="Y773" s="5" t="inlineStr"/>
      <c r="Z773" s="6" t="inlineStr"/>
      <c r="AA773" s="5" t="inlineStr"/>
      <c r="AB773" s="5" t="inlineStr"/>
      <c r="AC773" s="5" t="inlineStr"/>
      <c r="AD773" s="5" t="inlineStr"/>
      <c r="AE773" s="5" t="inlineStr"/>
      <c r="AF773" s="5" t="inlineStr"/>
      <c r="AG773" s="5" t="inlineStr"/>
      <c r="AH773" s="5" t="inlineStr"/>
    </row>
    <row r="774">
      <c r="A774" s="5" t="inlineStr">
        <is>
          <t>mm-kayip-dosya</t>
        </is>
      </c>
      <c r="B774" s="5" t="n">
        <v>3</v>
      </c>
      <c r="C774" s="6" t="inlineStr">
        <is>
          <t>Sahibine dürüstçe söyle</t>
        </is>
      </c>
      <c r="D774" s="5" t="inlineStr">
        <is>
          <t>İtibar</t>
        </is>
      </c>
      <c r="E774" s="5" t="inlineStr">
        <is>
          <t>Kolay</t>
        </is>
      </c>
      <c r="F774" s="5" t="inlineStr"/>
      <c r="G774" s="6" t="inlineStr"/>
      <c r="H774" s="6" t="inlineStr">
        <is>
          <t>Kızmadı, yorgun güldü. Dosyayı birlikte yeniden hazırladınız.</t>
        </is>
      </c>
      <c r="I774" s="6" t="inlineStr">
        <is>
          <t>Dosyayı sıfırdan hazırladın; iki haftada bitti. Dört yıllık salı ziyaretleri sona erdi.</t>
        </is>
      </c>
      <c r="J774" s="6" t="inlineStr">
        <is>
          <t>'Biliyordum' dedi. Bu, öfkeden daha ağır bir cevap.</t>
        </is>
      </c>
      <c r="K774" s="6" t="inlineStr">
        <is>
          <t>Şikâyet dilekçesi yazdı. Dilekçe de kayboldu.</t>
        </is>
      </c>
      <c r="L774" s="6" t="inlineStr"/>
      <c r="M774" s="5" t="inlineStr"/>
      <c r="N774" s="5" t="inlineStr"/>
      <c r="O774" s="6" t="inlineStr"/>
      <c r="P774" s="6" t="inlineStr"/>
      <c r="Q774" s="5" t="inlineStr"/>
      <c r="R774" s="5" t="inlineStr"/>
      <c r="S774" s="5" t="inlineStr">
        <is>
          <t>İtibar</t>
        </is>
      </c>
      <c r="T774" s="5" t="inlineStr"/>
      <c r="U774" s="5" t="inlineStr"/>
      <c r="V774" s="5" t="inlineStr"/>
      <c r="W774" s="5" t="inlineStr">
        <is>
          <t>memur-kayip-dosya</t>
        </is>
      </c>
      <c r="X774" s="5" t="inlineStr"/>
      <c r="Y774" s="5" t="inlineStr"/>
      <c r="Z774" s="6" t="inlineStr"/>
      <c r="AA774" s="5" t="inlineStr"/>
      <c r="AB774" s="5" t="inlineStr"/>
      <c r="AC774" s="5" t="inlineStr"/>
      <c r="AD774" s="5" t="inlineStr"/>
      <c r="AE774" s="5" t="inlineStr"/>
      <c r="AF774" s="5" t="inlineStr"/>
      <c r="AG774" s="5" t="inlineStr"/>
      <c r="AH774" s="5" t="inlineStr"/>
    </row>
    <row r="775">
      <c r="A775" s="5" t="inlineStr">
        <is>
          <t>mm-kayip-dosya</t>
        </is>
      </c>
      <c r="B775" s="5" t="n">
        <v>4</v>
      </c>
      <c r="C775" s="6" t="inlineStr">
        <is>
          <t>Başka birimi suçla</t>
        </is>
      </c>
      <c r="D775" s="5" t="inlineStr">
        <is>
          <t>Pişkinlik</t>
        </is>
      </c>
      <c r="E775" s="5" t="inlineStr">
        <is>
          <t>Orta</t>
        </is>
      </c>
      <c r="F775" s="5" t="inlineStr"/>
      <c r="G775" s="6" t="inlineStr"/>
      <c r="H775" s="6" t="inlineStr">
        <is>
          <t>'Dosya yazı işlerine gitti' dedin. Yazı işleri reddedemedi; kanıt yoktu. Vazodan beri tanıdık bir yöntem.</t>
        </is>
      </c>
      <c r="I775" s="6" t="inlineStr">
        <is>
          <t>Yazı işleri dosyayı bulmak için ekip kurdu ve sana özür yazısı gönderdi.</t>
        </is>
      </c>
      <c r="J775" s="6" t="inlineStr">
        <is>
          <t>Yazı işleri zimmet fişini gösterdi. İmza seninkiydi.</t>
        </is>
      </c>
      <c r="K775" s="6" t="inlineStr">
        <is>
          <t>O birim de seni suçladı. Soruşturma dosyası açıldı. O da kayboldu.</t>
        </is>
      </c>
      <c r="L775" s="6" t="inlineStr"/>
      <c r="M775" s="5" t="inlineStr"/>
      <c r="N775" s="5" t="inlineStr"/>
      <c r="O775" s="6" t="inlineStr"/>
      <c r="P775" s="6" t="inlineStr"/>
      <c r="Q775" s="5" t="inlineStr"/>
      <c r="R775" s="5" t="inlineStr">
        <is>
          <t>kediSuclu</t>
        </is>
      </c>
      <c r="S775" s="5" t="inlineStr"/>
      <c r="T775" s="5" t="inlineStr"/>
      <c r="U775" s="5" t="inlineStr">
        <is>
          <t>memur-kayip-dosya</t>
        </is>
      </c>
      <c r="V775" s="5" t="inlineStr"/>
      <c r="W775" s="5" t="inlineStr"/>
      <c r="X775" s="5" t="inlineStr"/>
      <c r="Y775" s="5" t="inlineStr"/>
      <c r="Z775" s="6" t="inlineStr"/>
      <c r="AA775" s="5" t="inlineStr"/>
      <c r="AB775" s="5" t="inlineStr"/>
      <c r="AC775" s="5" t="inlineStr"/>
      <c r="AD775" s="5" t="inlineStr"/>
      <c r="AE775" s="5" t="inlineStr"/>
      <c r="AF775" s="5" t="inlineStr"/>
      <c r="AG775" s="5" t="inlineStr"/>
      <c r="AH775" s="5" t="inlineStr"/>
    </row>
    <row r="776">
      <c r="A776" s="5" t="inlineStr">
        <is>
          <t>b7-saglik-kontrolu</t>
        </is>
      </c>
      <c r="B776" s="5" t="n">
        <v>1</v>
      </c>
      <c r="C776" s="6" t="inlineStr">
        <is>
          <t>Dürüst ol</t>
        </is>
      </c>
      <c r="D776" s="5" t="inlineStr"/>
      <c r="E776" s="5" t="inlineStr"/>
      <c r="F776" s="5" t="inlineStr">
        <is>
          <t>İtibar +1, Akıl +1</t>
        </is>
      </c>
      <c r="G776" s="6" t="inlineStr">
        <is>
          <t>Dürüstçe 'Hayır' dedin. Doktor bir broşür verdi. Broşür çantanda yaşlanıyor.</t>
        </is>
      </c>
      <c r="H776" s="6" t="inlineStr"/>
      <c r="I776" s="6" t="inlineStr"/>
      <c r="J776" s="6" t="inlineStr"/>
      <c r="K776" s="6" t="inlineStr"/>
      <c r="L776" s="6" t="inlineStr"/>
      <c r="M776" s="5" t="inlineStr"/>
      <c r="N776" s="5" t="inlineStr"/>
      <c r="O776" s="6" t="inlineStr"/>
      <c r="P776" s="6" t="inlineStr"/>
      <c r="Q776" s="5" t="inlineStr"/>
      <c r="R776" s="5" t="inlineStr"/>
      <c r="S776" s="5" t="inlineStr"/>
      <c r="T776" s="5" t="inlineStr"/>
      <c r="U776" s="5" t="inlineStr"/>
      <c r="V776" s="5" t="inlineStr"/>
      <c r="W776" s="5" t="inlineStr"/>
      <c r="X776" s="5" t="inlineStr"/>
      <c r="Y776" s="5" t="inlineStr"/>
      <c r="Z776" s="6" t="inlineStr"/>
      <c r="AA776" s="5" t="inlineStr"/>
      <c r="AB776" s="5" t="inlineStr"/>
      <c r="AC776" s="5" t="inlineStr"/>
      <c r="AD776" s="5" t="inlineStr"/>
      <c r="AE776" s="5" t="inlineStr"/>
      <c r="AF776" s="5" t="inlineStr"/>
      <c r="AG776" s="5" t="inlineStr"/>
      <c r="AH776" s="5" t="inlineStr"/>
    </row>
    <row r="777">
      <c r="A777" s="5" t="inlineStr">
        <is>
          <t>b7-saglik-kontrolu</t>
        </is>
      </c>
      <c r="B777" s="5" t="n">
        <v>2</v>
      </c>
      <c r="C777" s="6" t="inlineStr">
        <is>
          <t>'Haftada dört gün' de</t>
        </is>
      </c>
      <c r="D777" s="5" t="inlineStr">
        <is>
          <t>Pişkinlik</t>
        </is>
      </c>
      <c r="E777" s="5" t="inlineStr">
        <is>
          <t>Orta</t>
        </is>
      </c>
      <c r="F777" s="5" t="inlineStr"/>
      <c r="G777" s="6" t="inlineStr"/>
      <c r="H777" s="6" t="inlineStr">
        <is>
          <t>Doktor inandı. 'Harika, devam' dedi. Sen de devam ettin. Hiçbir şeye.</t>
        </is>
      </c>
      <c r="I777" s="6" t="inlineStr">
        <is>
          <t>Doktor öyle inandı ki seni diğer hastalara örnek gösterdi. Bekleme salonunda alkışlandın.</t>
        </is>
      </c>
      <c r="J777" s="6" t="inlineStr">
        <is>
          <t>Doktor sonuçlara tekrar baktı ve 'Hangi spor?' dedi. 'Yürüyüş' dedin. 'Nereye?' dedi.</t>
        </is>
      </c>
      <c r="K777" s="6" t="inlineStr">
        <is>
          <t>Doktor 'O zaman bu sonuçlar ilginç' dedi ve seni ek tetkike gönderdi. Yalan, hastane koridorunda uzadı.</t>
        </is>
      </c>
      <c r="L777" s="6" t="inlineStr"/>
      <c r="M777" s="5" t="inlineStr"/>
      <c r="N777" s="5" t="inlineStr"/>
      <c r="O777" s="6" t="inlineStr"/>
      <c r="P777" s="6" t="inlineStr"/>
      <c r="Q777" s="5" t="inlineStr"/>
      <c r="R777" s="5" t="inlineStr"/>
      <c r="S777" s="5" t="inlineStr"/>
      <c r="T777" s="5" t="inlineStr"/>
      <c r="U777" s="5" t="inlineStr"/>
      <c r="V777" s="5" t="inlineStr"/>
      <c r="W777" s="5" t="inlineStr"/>
      <c r="X777" s="5" t="inlineStr"/>
      <c r="Y777" s="5" t="inlineStr"/>
      <c r="Z777" s="6" t="inlineStr"/>
      <c r="AA777" s="5" t="inlineStr"/>
      <c r="AB777" s="5" t="inlineStr"/>
      <c r="AC777" s="5" t="inlineStr"/>
      <c r="AD777" s="5" t="inlineStr"/>
      <c r="AE777" s="5" t="inlineStr"/>
      <c r="AF777" s="5" t="inlineStr"/>
      <c r="AG777" s="5" t="inlineStr"/>
      <c r="AH777" s="5" t="inlineStr"/>
    </row>
    <row r="778">
      <c r="A778" s="5" t="inlineStr">
        <is>
          <t>b7-saglik-kontrolu</t>
        </is>
      </c>
      <c r="B778" s="5" t="n">
        <v>3</v>
      </c>
      <c r="C778" s="6" t="inlineStr">
        <is>
          <t>Hepsini sorgulayıp not al</t>
        </is>
      </c>
      <c r="D778" s="5" t="inlineStr">
        <is>
          <t>Akıl</t>
        </is>
      </c>
      <c r="E778" s="5" t="inlineStr">
        <is>
          <t>Kolay</t>
        </is>
      </c>
      <c r="F778" s="5" t="inlineStr"/>
      <c r="G778" s="6" t="inlineStr"/>
      <c r="H778" s="6" t="inlineStr">
        <is>
          <t>Her değeri sordun, not aldın. Doktor seni sevdi. Tablo yaptın.</t>
        </is>
      </c>
      <c r="I778" s="6" t="inlineStr">
        <is>
          <t>Sorularının kalitesi doktoru etkiledi. 'Keşke herkes sizin gibi olsa' dedi. Bunu çerçevelettin.</t>
        </is>
      </c>
      <c r="J778" s="6" t="inlineStr">
        <is>
          <t>Değerlerin çoğunu anlamadın, sorduklarının cevabını da.</t>
        </is>
      </c>
      <c r="K778" s="6" t="inlineStr">
        <is>
          <t>İnternette okuduklarını doktora anlattın. Doktor sessizce yeni bir form açtı. Formun adı: 'Endişeli hasta'.</t>
        </is>
      </c>
      <c r="L778" s="6" t="inlineStr"/>
      <c r="M778" s="5" t="inlineStr"/>
      <c r="N778" s="5" t="inlineStr"/>
      <c r="O778" s="6" t="inlineStr"/>
      <c r="P778" s="6" t="inlineStr"/>
      <c r="Q778" s="5" t="inlineStr"/>
      <c r="R778" s="5" t="inlineStr"/>
      <c r="S778" s="5" t="inlineStr"/>
      <c r="T778" s="5" t="inlineStr"/>
      <c r="U778" s="5" t="inlineStr"/>
      <c r="V778" s="5" t="inlineStr"/>
      <c r="W778" s="5" t="inlineStr"/>
      <c r="X778" s="5" t="inlineStr"/>
      <c r="Y778" s="5" t="inlineStr"/>
      <c r="Z778" s="6" t="inlineStr"/>
      <c r="AA778" s="5" t="inlineStr"/>
      <c r="AB778" s="5" t="inlineStr"/>
      <c r="AC778" s="5" t="inlineStr"/>
      <c r="AD778" s="5" t="inlineStr"/>
      <c r="AE778" s="5" t="inlineStr"/>
      <c r="AF778" s="5" t="inlineStr"/>
      <c r="AG778" s="5" t="inlineStr"/>
      <c r="AH778" s="5" t="inlineStr"/>
    </row>
    <row r="779">
      <c r="A779" s="5" t="inlineStr">
        <is>
          <t>b7-bekar-evi</t>
        </is>
      </c>
      <c r="B779" s="5" t="n">
        <v>1</v>
      </c>
      <c r="C779" s="6" t="inlineStr">
        <is>
          <t>Yine sipariş ver</t>
        </is>
      </c>
      <c r="D779" s="5" t="inlineStr"/>
      <c r="E779" s="5" t="inlineStr"/>
      <c r="F779" s="5" t="inlineStr">
        <is>
          <t>Dayanıklılık +1</t>
        </is>
      </c>
      <c r="G779" s="6" t="inlineStr">
        <is>
          <t>Sipariş verdin. Kurye seni adınla selamlıyor. Arkadaş listesindeki tek düzenli kişi o.</t>
        </is>
      </c>
      <c r="H779" s="6" t="inlineStr"/>
      <c r="I779" s="6" t="inlineStr"/>
      <c r="J779" s="6" t="inlineStr"/>
      <c r="K779" s="6" t="inlineStr"/>
      <c r="L779" s="6" t="inlineStr"/>
      <c r="M779" s="5" t="inlineStr"/>
      <c r="N779" s="5" t="inlineStr"/>
      <c r="O779" s="6" t="inlineStr"/>
      <c r="P779" s="6" t="inlineStr"/>
      <c r="Q779" s="5" t="inlineStr"/>
      <c r="R779" s="5" t="inlineStr"/>
      <c r="S779" s="5" t="inlineStr"/>
      <c r="T779" s="5" t="inlineStr"/>
      <c r="U779" s="5" t="inlineStr"/>
      <c r="V779" s="5" t="inlineStr"/>
      <c r="W779" s="5" t="inlineStr"/>
      <c r="X779" s="5" t="inlineStr"/>
      <c r="Y779" s="5" t="inlineStr"/>
      <c r="Z779" s="6" t="inlineStr"/>
      <c r="AA779" s="5" t="inlineStr"/>
      <c r="AB779" s="5" t="inlineStr"/>
      <c r="AC779" s="5" t="inlineStr"/>
      <c r="AD779" s="5" t="inlineStr"/>
      <c r="AE779" s="5" t="inlineStr"/>
      <c r="AF779" s="5" t="inlineStr"/>
      <c r="AG779" s="5" t="inlineStr"/>
      <c r="AH779" s="5" t="inlineStr"/>
    </row>
    <row r="780">
      <c r="A780" s="5" t="inlineStr">
        <is>
          <t>b7-bekar-evi</t>
        </is>
      </c>
      <c r="B780" s="5" t="n">
        <v>2</v>
      </c>
      <c r="C780" s="6" t="inlineStr">
        <is>
          <t>Bir haftalık yemek hazırla</t>
        </is>
      </c>
      <c r="D780" s="5" t="inlineStr">
        <is>
          <t>Akıl</t>
        </is>
      </c>
      <c r="E780" s="5" t="inlineStr">
        <is>
          <t>Orta</t>
        </is>
      </c>
      <c r="F780" s="5" t="inlineStr"/>
      <c r="G780" s="6" t="inlineStr"/>
      <c r="H780" s="6" t="inlineStr">
        <is>
          <t>Pazar günü yedi kap yemek hazırladın. Salı günü hepsini yemiştin. Plan kısmen başarılı.</t>
        </is>
      </c>
      <c r="I780" s="6" t="inlineStr">
        <is>
          <t>Yemekler öyle güzel oldu ki arkadaşların sana tarif sormaya başladı. Artık hafta sonları yemek davetleri veriyorsun.</t>
        </is>
      </c>
      <c r="J780" s="6" t="inlineStr">
        <is>
          <t>Yedi kap yaptın, hepsi aynı yemek. Perşembe günü tabaktaki yemek sana baktı.</t>
        </is>
      </c>
      <c r="K780" s="6" t="inlineStr">
        <is>
          <t>Yemek yaparken yangın alarmı çaldı. Apartman boşaltıldı. Yemek uygulaması sana 'geri hoş geldin' kuponu gönderdi.</t>
        </is>
      </c>
      <c r="L780" s="6" t="inlineStr"/>
      <c r="M780" s="5" t="inlineStr"/>
      <c r="N780" s="5" t="inlineStr"/>
      <c r="O780" s="6" t="inlineStr"/>
      <c r="P780" s="6" t="inlineStr"/>
      <c r="Q780" s="5" t="inlineStr"/>
      <c r="R780" s="5" t="inlineStr"/>
      <c r="S780" s="5" t="inlineStr"/>
      <c r="T780" s="5" t="inlineStr"/>
      <c r="U780" s="5" t="inlineStr"/>
      <c r="V780" s="5" t="inlineStr"/>
      <c r="W780" s="5" t="inlineStr"/>
      <c r="X780" s="5" t="inlineStr"/>
      <c r="Y780" s="5" t="inlineStr"/>
      <c r="Z780" s="6" t="inlineStr"/>
      <c r="AA780" s="5" t="inlineStr"/>
      <c r="AB780" s="5" t="inlineStr"/>
      <c r="AC780" s="5" t="inlineStr"/>
      <c r="AD780" s="5" t="inlineStr"/>
      <c r="AE780" s="5" t="inlineStr"/>
      <c r="AF780" s="5" t="inlineStr"/>
      <c r="AG780" s="5" t="inlineStr"/>
      <c r="AH780" s="5" t="inlineStr"/>
    </row>
    <row r="781">
      <c r="A781" s="5" t="inlineStr">
        <is>
          <t>b7-bekar-evi</t>
        </is>
      </c>
      <c r="B781" s="5" t="n">
        <v>3</v>
      </c>
      <c r="C781" s="6" t="inlineStr">
        <is>
          <t>Buzdolabındakilerle yaratıcı bir yemek yap</t>
        </is>
      </c>
      <c r="D781" s="5" t="inlineStr">
        <is>
          <t>Kurnazlık</t>
        </is>
      </c>
      <c r="E781" s="5" t="inlineStr">
        <is>
          <t>Zor</t>
        </is>
      </c>
      <c r="F781" s="5" t="inlineStr"/>
      <c r="G781" s="6" t="inlineStr"/>
      <c r="H781" s="6" t="inlineStr">
        <is>
          <t>Hardal, yumurta ve belirsiz tencereden yenilebilir bir şey çıktı. Adını koymadın.</t>
        </is>
      </c>
      <c r="I781" s="6" t="inlineStr">
        <is>
          <t>Yarattığın yemek o kadar iyiydi ki bir video çektin. Yorumlarda insanlar tarif istiyor. Tarif sende de yok.</t>
        </is>
      </c>
      <c r="J781" s="6" t="inlineStr">
        <is>
          <t>Yemek oldu. Yenmedi. Kediye bile verilmedi.</t>
        </is>
      </c>
      <c r="K781" s="6" t="inlineStr">
        <is>
          <t>Belirsiz tencerenin içinde yeni bir yaşam formu keşfettin. Tencereyle birlikte dışarı çıkardın.</t>
        </is>
      </c>
      <c r="L781" s="6" t="inlineStr"/>
      <c r="M781" s="5" t="inlineStr"/>
      <c r="N781" s="5" t="inlineStr"/>
      <c r="O781" s="6" t="inlineStr"/>
      <c r="P781" s="6" t="inlineStr"/>
      <c r="Q781" s="5" t="inlineStr"/>
      <c r="R781" s="5" t="inlineStr"/>
      <c r="S781" s="5" t="inlineStr"/>
      <c r="T781" s="5" t="inlineStr"/>
      <c r="U781" s="5" t="inlineStr"/>
      <c r="V781" s="5" t="inlineStr"/>
      <c r="W781" s="5" t="inlineStr"/>
      <c r="X781" s="5" t="inlineStr"/>
      <c r="Y781" s="5" t="inlineStr"/>
      <c r="Z781" s="6" t="inlineStr"/>
      <c r="AA781" s="5" t="inlineStr"/>
      <c r="AB781" s="5" t="inlineStr"/>
      <c r="AC781" s="5" t="inlineStr"/>
      <c r="AD781" s="5" t="inlineStr"/>
      <c r="AE781" s="5" t="inlineStr"/>
      <c r="AF781" s="5" t="inlineStr"/>
      <c r="AG781" s="5" t="inlineStr"/>
      <c r="AH781" s="5" t="inlineStr"/>
    </row>
    <row r="782">
      <c r="A782" s="5" t="inlineStr">
        <is>
          <t>b7-hastane-gecesi</t>
        </is>
      </c>
      <c r="B782" s="5" t="n">
        <v>1</v>
      </c>
      <c r="C782" s="6" t="inlineStr">
        <is>
          <t>Sakin kal, bekle</t>
        </is>
      </c>
      <c r="D782" s="5" t="inlineStr"/>
      <c r="E782" s="5" t="inlineStr"/>
      <c r="F782" s="5" t="inlineStr">
        <is>
          <t>Dayanıklılık +1, İtibar +1</t>
        </is>
      </c>
      <c r="G782" s="6" t="inlineStr">
        <is>
          <t>Bekledin. Doktor 'Bir şey yok, ateş düşürücü verin' dedi. Sen de kendine bir ateş düşürücü istedin.</t>
        </is>
      </c>
      <c r="H782" s="6" t="inlineStr"/>
      <c r="I782" s="6" t="inlineStr"/>
      <c r="J782" s="6" t="inlineStr"/>
      <c r="K782" s="6" t="inlineStr"/>
      <c r="L782" s="6" t="inlineStr"/>
      <c r="M782" s="5" t="inlineStr"/>
      <c r="N782" s="5" t="inlineStr"/>
      <c r="O782" s="6" t="inlineStr"/>
      <c r="P782" s="6" t="inlineStr"/>
      <c r="Q782" s="5" t="inlineStr"/>
      <c r="R782" s="5" t="inlineStr"/>
      <c r="S782" s="5" t="inlineStr"/>
      <c r="T782" s="5" t="inlineStr"/>
      <c r="U782" s="5" t="inlineStr"/>
      <c r="V782" s="5" t="inlineStr"/>
      <c r="W782" s="5" t="inlineStr"/>
      <c r="X782" s="5" t="inlineStr"/>
      <c r="Y782" s="5" t="inlineStr"/>
      <c r="Z782" s="6" t="inlineStr"/>
      <c r="AA782" s="5" t="inlineStr"/>
      <c r="AB782" s="5" t="inlineStr"/>
      <c r="AC782" s="5" t="inlineStr"/>
      <c r="AD782" s="5" t="inlineStr"/>
      <c r="AE782" s="5" t="inlineStr"/>
      <c r="AF782" s="5" t="inlineStr"/>
      <c r="AG782" s="5" t="inlineStr"/>
      <c r="AH782" s="5" t="inlineStr"/>
    </row>
    <row r="783">
      <c r="A783" s="5" t="inlineStr">
        <is>
          <t>b7-hastane-gecesi</t>
        </is>
      </c>
      <c r="B783" s="5" t="n">
        <v>2</v>
      </c>
      <c r="C783" s="6" t="inlineStr">
        <is>
          <t>Uyuyan çocuğu uyandırmadan arabaya taşı</t>
        </is>
      </c>
      <c r="D783" s="5" t="inlineStr">
        <is>
          <t>Dayanıklılık</t>
        </is>
      </c>
      <c r="E783" s="5" t="inlineStr">
        <is>
          <t>Orta</t>
        </is>
      </c>
      <c r="F783" s="5" t="inlineStr"/>
      <c r="G783" s="6" t="inlineStr"/>
      <c r="H783" s="6" t="inlineStr">
        <is>
          <t>Çocuğu arabaya kadar taşıdın, uyanmadı. Eve kadar uyudu, sen de nefes aldın.</t>
        </is>
      </c>
      <c r="I783" s="6" t="inlineStr">
        <is>
          <t>Çocuğu arabaya, sonra eve, sonra yatağına taşıdın. Hiç uyanmadı. Bir ebeveynin en büyük zaferi, kimse görmedi.</t>
        </is>
      </c>
      <c r="J783" s="6" t="inlineStr">
        <is>
          <t>Otoparkta çocuk uyandı. 'Neredeyiz?' dedi. Sen de bilmiyordun.</t>
        </is>
      </c>
      <c r="K783" s="6" t="inlineStr">
        <is>
          <t>Çocuğu taşırken kapıya takıldın. Çocuk uyandı, sen düştün. İkiniz de gece acile ikinci kez girdiniz. Bu kez senin için.</t>
        </is>
      </c>
      <c r="L783" s="6" t="inlineStr">
        <is>
          <t>Çocuk arabada uyandı, 'Dondurma' dedi, sonra yine uyudu. Pazarlık masaya sabah gelecek.</t>
        </is>
      </c>
      <c r="M783" s="5" t="inlineStr">
        <is>
          <t>balance</t>
        </is>
      </c>
      <c r="N783" s="5" t="inlineStr">
        <is>
          <t>Uyuyan Yük</t>
        </is>
      </c>
      <c r="O783" s="6" t="inlineStr">
        <is>
          <t>Uyuyan çocuğu dengede tut. Sallanırsa uyanır.</t>
        </is>
      </c>
      <c r="P783" s="6" t="inlineStr">
        <is>
          <t>{"item": "👶"}</t>
        </is>
      </c>
      <c r="Q783" s="5" t="inlineStr"/>
      <c r="R783" s="5" t="inlineStr"/>
      <c r="S783" s="5" t="inlineStr"/>
      <c r="T783" s="5" t="inlineStr"/>
      <c r="U783" s="5" t="inlineStr"/>
      <c r="V783" s="5" t="inlineStr"/>
      <c r="W783" s="5" t="inlineStr"/>
      <c r="X783" s="5" t="inlineStr"/>
      <c r="Y783" s="5" t="inlineStr"/>
      <c r="Z783" s="6" t="inlineStr"/>
      <c r="AA783" s="5" t="inlineStr"/>
      <c r="AB783" s="5" t="inlineStr"/>
      <c r="AC783" s="5" t="inlineStr"/>
      <c r="AD783" s="5" t="inlineStr"/>
      <c r="AE783" s="5" t="inlineStr"/>
      <c r="AF783" s="5" t="inlineStr"/>
      <c r="AG783" s="5" t="inlineStr"/>
      <c r="AH783" s="5" t="inlineStr"/>
    </row>
    <row r="784">
      <c r="A784" s="5" t="inlineStr">
        <is>
          <t>b7-hastane-gecesi</t>
        </is>
      </c>
      <c r="B784" s="5" t="n">
        <v>3</v>
      </c>
      <c r="C784" s="6" t="inlineStr">
        <is>
          <t>Hemşireyle dostluk kur</t>
        </is>
      </c>
      <c r="D784" s="5" t="inlineStr">
        <is>
          <t>Sosyal Radar</t>
        </is>
      </c>
      <c r="E784" s="5" t="inlineStr">
        <is>
          <t>Kolay</t>
        </is>
      </c>
      <c r="F784" s="5" t="inlineStr"/>
      <c r="G784" s="6" t="inlineStr"/>
      <c r="H784" s="6" t="inlineStr">
        <is>
          <t>Hemşire sizi sıraya aldı, battaniye verdi. Gece daha güzel geçti.</t>
        </is>
      </c>
      <c r="I784" s="6" t="inlineStr">
        <is>
          <t>Hemşireyle öyle iyi anlaştın ki sana kendi numarasını verdi, 'Bir şey olursa arayın' dedi. Hiç aramadın ama iyi hissettirdi.</t>
        </is>
      </c>
      <c r="J784" s="6" t="inlineStr">
        <is>
          <t>Hemşire çok yoğundu. Dostluk teklifin bekleme salonunda kaldı.</t>
        </is>
      </c>
      <c r="K784" s="6" t="inlineStr">
        <is>
          <t>Hemşireyle sohbet ederken yanlış çocuğu işaret ettin. İki aile birbirine baktı. Kimlik kontrolü yapıldı.</t>
        </is>
      </c>
      <c r="L784" s="6" t="inlineStr"/>
      <c r="M784" s="5" t="inlineStr"/>
      <c r="N784" s="5" t="inlineStr"/>
      <c r="O784" s="6" t="inlineStr"/>
      <c r="P784" s="6" t="inlineStr"/>
      <c r="Q784" s="5" t="inlineStr"/>
      <c r="R784" s="5" t="inlineStr"/>
      <c r="S784" s="5" t="inlineStr"/>
      <c r="T784" s="5" t="inlineStr"/>
      <c r="U784" s="5" t="inlineStr"/>
      <c r="V784" s="5" t="inlineStr"/>
      <c r="W784" s="5" t="inlineStr"/>
      <c r="X784" s="5" t="inlineStr"/>
      <c r="Y784" s="5" t="inlineStr"/>
      <c r="Z784" s="6" t="inlineStr"/>
      <c r="AA784" s="5" t="inlineStr"/>
      <c r="AB784" s="5" t="inlineStr"/>
      <c r="AC784" s="5" t="inlineStr"/>
      <c r="AD784" s="5" t="inlineStr"/>
      <c r="AE784" s="5" t="inlineStr"/>
      <c r="AF784" s="5" t="inlineStr"/>
      <c r="AG784" s="5" t="inlineStr"/>
      <c r="AH784" s="5" t="inlineStr"/>
    </row>
    <row r="785">
      <c r="A785" s="5" t="inlineStr">
        <is>
          <t>ms-gercek-is</t>
        </is>
      </c>
      <c r="B785" s="5" t="n">
        <v>1</v>
      </c>
      <c r="C785" s="6" t="inlineStr">
        <is>
          <t>'Yakında' de</t>
        </is>
      </c>
      <c r="D785" s="5" t="inlineStr"/>
      <c r="E785" s="5" t="inlineStr"/>
      <c r="F785" s="5" t="inlineStr">
        <is>
          <t>Dayanıklılık +1</t>
        </is>
      </c>
      <c r="G785" s="6" t="inlineStr">
        <is>
          <t>'Yakında' dedin. On yıldır bu cevabı veriyorsun, teyze on yıldır aynı soruyu soruyor. İstikrar ikinizde de var.</t>
        </is>
      </c>
      <c r="H785" s="6" t="inlineStr"/>
      <c r="I785" s="6" t="inlineStr"/>
      <c r="J785" s="6" t="inlineStr"/>
      <c r="K785" s="6" t="inlineStr"/>
      <c r="L785" s="6" t="inlineStr"/>
      <c r="M785" s="5" t="inlineStr"/>
      <c r="N785" s="5" t="inlineStr"/>
      <c r="O785" s="6" t="inlineStr"/>
      <c r="P785" s="6" t="inlineStr"/>
      <c r="Q785" s="5" t="inlineStr"/>
      <c r="R785" s="5" t="inlineStr"/>
      <c r="S785" s="5" t="inlineStr"/>
      <c r="T785" s="5" t="inlineStr"/>
      <c r="U785" s="5" t="inlineStr"/>
      <c r="V785" s="5" t="inlineStr"/>
      <c r="W785" s="5" t="inlineStr"/>
      <c r="X785" s="5" t="inlineStr"/>
      <c r="Y785" s="5" t="inlineStr"/>
      <c r="Z785" s="6" t="inlineStr"/>
      <c r="AA785" s="5" t="inlineStr"/>
      <c r="AB785" s="5" t="inlineStr"/>
      <c r="AC785" s="5" t="inlineStr"/>
      <c r="AD785" s="5" t="inlineStr"/>
      <c r="AE785" s="5" t="inlineStr"/>
      <c r="AF785" s="5" t="inlineStr"/>
      <c r="AG785" s="5" t="inlineStr"/>
      <c r="AH785" s="5" t="inlineStr"/>
    </row>
    <row r="786">
      <c r="A786" s="5" t="inlineStr">
        <is>
          <t>ms-gercek-is</t>
        </is>
      </c>
      <c r="B786" s="5" t="n">
        <v>2</v>
      </c>
      <c r="C786" s="6" t="inlineStr">
        <is>
          <t>Kazancını söyle</t>
        </is>
      </c>
      <c r="D786" s="5" t="inlineStr">
        <is>
          <t>Pişkinlik</t>
        </is>
      </c>
      <c r="E786" s="5" t="inlineStr">
        <is>
          <t>Orta</t>
        </is>
      </c>
      <c r="F786" s="5" t="inlineStr"/>
      <c r="G786" s="6" t="inlineStr"/>
      <c r="H786" s="6" t="inlineStr">
        <is>
          <t>Kazancını söyledin. Teyze sessizce çayını karıştırdı.</t>
        </is>
      </c>
      <c r="I786" s="6" t="inlineStr">
        <is>
          <t>Rakamı duyan teyze kendi oğlunu serbest çalışmaya yönlendirdi. Sana yönlendirdi.</t>
        </is>
      </c>
      <c r="J786" s="6" t="inlineStr">
        <is>
          <t>Teyze 'Aylık mı, yıllık mı?' diye sordu. Haklı bir soru.</t>
        </is>
      </c>
      <c r="K786" s="6" t="inlineStr">
        <is>
          <t>Kazancını söyledin. Teyze çantasından bir zarf çıkarıp sana uzattı.</t>
        </is>
      </c>
      <c r="L786" s="6" t="inlineStr"/>
      <c r="M786" s="5" t="inlineStr"/>
      <c r="N786" s="5" t="inlineStr"/>
      <c r="O786" s="6" t="inlineStr"/>
      <c r="P786" s="6" t="inlineStr"/>
      <c r="Q786" s="5" t="inlineStr"/>
      <c r="R786" s="5" t="inlineStr"/>
      <c r="S786" s="5" t="inlineStr"/>
      <c r="T786" s="5" t="inlineStr"/>
      <c r="U786" s="5" t="inlineStr"/>
      <c r="V786" s="5" t="inlineStr"/>
      <c r="W786" s="5" t="inlineStr"/>
      <c r="X786" s="5" t="inlineStr"/>
      <c r="Y786" s="5" t="inlineStr"/>
      <c r="Z786" s="6" t="inlineStr"/>
      <c r="AA786" s="5" t="inlineStr"/>
      <c r="AB786" s="5" t="inlineStr"/>
      <c r="AC786" s="5" t="inlineStr"/>
      <c r="AD786" s="5" t="inlineStr"/>
      <c r="AE786" s="5" t="inlineStr"/>
      <c r="AF786" s="5" t="inlineStr"/>
      <c r="AG786" s="5" t="inlineStr"/>
      <c r="AH786" s="5" t="inlineStr"/>
    </row>
    <row r="787">
      <c r="A787" s="5" t="inlineStr">
        <is>
          <t>ms-gercek-is</t>
        </is>
      </c>
      <c r="B787" s="5" t="n">
        <v>3</v>
      </c>
      <c r="C787" s="6" t="inlineStr">
        <is>
          <t>Masadaki kuzeni ittifaka davet et</t>
        </is>
      </c>
      <c r="D787" s="5" t="inlineStr">
        <is>
          <t>Sosyal Radar</t>
        </is>
      </c>
      <c r="E787" s="5" t="inlineStr">
        <is>
          <t>Kolay</t>
        </is>
      </c>
      <c r="F787" s="5" t="inlineStr"/>
      <c r="G787" s="6" t="inlineStr"/>
      <c r="H787" s="6" t="inlineStr">
        <is>
          <t>'Biz ikimiz de danışmanız' dediniz. Teyze iki danışmanın karşısında saygıyla sustu.</t>
        </is>
      </c>
      <c r="I787" s="6" t="inlineStr">
        <is>
          <t>Kuzenle ortak iş kurdunuz. Teyze artık 'şirket sahibi yeğenlerim' diyor.</t>
        </is>
      </c>
      <c r="J787" s="6" t="inlineStr">
        <is>
          <t>Kuzen seni satıp 'Ben aslında şirkette çalışıyorum' dedi.</t>
        </is>
      </c>
      <c r="K787" s="6" t="inlineStr">
        <is>
          <t>Kuzenle birlikte savunma yaptınız; teyze ikinizi de düğündeki iş sahibi amcaya tanıttı. Mülakat başladı.</t>
        </is>
      </c>
      <c r="L787" s="6" t="inlineStr"/>
      <c r="M787" s="5" t="inlineStr"/>
      <c r="N787" s="5" t="inlineStr"/>
      <c r="O787" s="6" t="inlineStr"/>
      <c r="P787" s="6" t="inlineStr"/>
      <c r="Q787" s="5" t="inlineStr"/>
      <c r="R787" s="5" t="inlineStr"/>
      <c r="S787" s="5" t="inlineStr">
        <is>
          <t>Sosyal Radar</t>
        </is>
      </c>
      <c r="T787" s="5" t="inlineStr"/>
      <c r="U787" s="5" t="inlineStr"/>
      <c r="V787" s="5" t="inlineStr"/>
      <c r="W787" s="5" t="inlineStr"/>
      <c r="X787" s="5" t="inlineStr"/>
      <c r="Y787" s="5" t="inlineStr"/>
      <c r="Z787" s="6" t="inlineStr"/>
      <c r="AA787" s="5" t="inlineStr"/>
      <c r="AB787" s="5" t="inlineStr"/>
      <c r="AC787" s="5" t="inlineStr"/>
      <c r="AD787" s="5" t="inlineStr"/>
      <c r="AE787" s="5" t="inlineStr"/>
      <c r="AF787" s="5" t="inlineStr"/>
      <c r="AG787" s="5" t="inlineStr"/>
      <c r="AH787" s="5" t="inlineStr"/>
    </row>
    <row r="788">
      <c r="A788" s="5" t="inlineStr">
        <is>
          <t>ms-gercek-is</t>
        </is>
      </c>
      <c r="B788" s="5" t="n">
        <v>4</v>
      </c>
      <c r="C788" s="6" t="inlineStr">
        <is>
          <t>Viral videonu göster</t>
        </is>
      </c>
      <c r="D788" s="5" t="inlineStr">
        <is>
          <t>Pişkinlik</t>
        </is>
      </c>
      <c r="E788" s="5" t="inlineStr">
        <is>
          <t>Kolay</t>
        </is>
      </c>
      <c r="F788" s="5" t="inlineStr"/>
      <c r="G788" s="6" t="inlineStr"/>
      <c r="H788" s="6" t="inlineStr">
        <is>
          <t>Teyze 'Bunu biz de gördük! Sen miydin?' dedi. Masada itibarın yükseldi.</t>
        </is>
      </c>
      <c r="I788" s="6" t="inlineStr">
        <is>
          <t>Teyze videoyu bütün düğüne gösterdi. Gelin ve damadı gölgede bıraktın.</t>
        </is>
      </c>
      <c r="J788" s="6" t="inlineStr">
        <is>
          <t>Teyze videoyu izledi ve 'Peki para veriyorlar mı?' dedi. Soru cevapsız kaldı.</t>
        </is>
      </c>
      <c r="K788" s="6" t="inlineStr">
        <is>
          <t>Yanlış videoyu açtın: canlıda ritmi kaçırdığın kayıt. Düğün salonu bir daha izledi.</t>
        </is>
      </c>
      <c r="L788" s="6" t="inlineStr"/>
      <c r="M788" s="5" t="inlineStr"/>
      <c r="N788" s="5" t="inlineStr"/>
      <c r="O788" s="6" t="inlineStr"/>
      <c r="P788" s="6" t="inlineStr"/>
      <c r="Q788" s="5" t="inlineStr"/>
      <c r="R788" s="5" t="inlineStr">
        <is>
          <t>serbest-viral-oldu</t>
        </is>
      </c>
      <c r="S788" s="5" t="inlineStr"/>
      <c r="T788" s="5" t="inlineStr"/>
      <c r="U788" s="5" t="inlineStr"/>
      <c r="V788" s="5" t="inlineStr"/>
      <c r="W788" s="5" t="inlineStr"/>
      <c r="X788" s="5" t="inlineStr"/>
      <c r="Y788" s="5" t="inlineStr"/>
      <c r="Z788" s="6" t="inlineStr"/>
      <c r="AA788" s="5" t="inlineStr"/>
      <c r="AB788" s="5" t="inlineStr"/>
      <c r="AC788" s="5" t="inlineStr"/>
      <c r="AD788" s="5" t="inlineStr"/>
      <c r="AE788" s="5" t="inlineStr"/>
      <c r="AF788" s="5" t="inlineStr"/>
      <c r="AG788" s="5" t="inlineStr"/>
      <c r="AH788" s="5" t="inlineStr"/>
    </row>
    <row r="789">
      <c r="A789" s="5" t="inlineStr">
        <is>
          <t>b7-mutfak-tadilati</t>
        </is>
      </c>
      <c r="B789" s="5" t="n">
        <v>1</v>
      </c>
      <c r="C789" s="6" t="inlineStr">
        <is>
          <t>Eşinin rengine razı ol</t>
        </is>
      </c>
      <c r="D789" s="5" t="inlineStr"/>
      <c r="E789" s="5" t="inlineStr"/>
      <c r="F789" s="5" t="inlineStr">
        <is>
          <t>İtibar +1</t>
        </is>
      </c>
      <c r="G789" s="6" t="inlineStr">
        <is>
          <t>Dolaplar krem oldu. Güzel. Sadece her sabah kahve yaparken bir şey içinde antrasit kalıyor.</t>
        </is>
      </c>
      <c r="H789" s="6" t="inlineStr"/>
      <c r="I789" s="6" t="inlineStr"/>
      <c r="J789" s="6" t="inlineStr"/>
      <c r="K789" s="6" t="inlineStr"/>
      <c r="L789" s="6" t="inlineStr"/>
      <c r="M789" s="5" t="inlineStr"/>
      <c r="N789" s="5" t="inlineStr"/>
      <c r="O789" s="6" t="inlineStr"/>
      <c r="P789" s="6" t="inlineStr"/>
      <c r="Q789" s="5" t="inlineStr"/>
      <c r="R789" s="5" t="inlineStr"/>
      <c r="S789" s="5" t="inlineStr"/>
      <c r="T789" s="5" t="inlineStr"/>
      <c r="U789" s="5" t="inlineStr"/>
      <c r="V789" s="5" t="inlineStr"/>
      <c r="W789" s="5" t="inlineStr"/>
      <c r="X789" s="5" t="inlineStr"/>
      <c r="Y789" s="5" t="inlineStr"/>
      <c r="Z789" s="6" t="inlineStr"/>
      <c r="AA789" s="5" t="inlineStr"/>
      <c r="AB789" s="5" t="inlineStr"/>
      <c r="AC789" s="5" t="inlineStr"/>
      <c r="AD789" s="5" t="inlineStr"/>
      <c r="AE789" s="5" t="inlineStr"/>
      <c r="AF789" s="5" t="inlineStr"/>
      <c r="AG789" s="5" t="inlineStr"/>
      <c r="AH789" s="5" t="inlineStr"/>
    </row>
    <row r="790">
      <c r="A790" s="5" t="inlineStr">
        <is>
          <t>b7-mutfak-tadilati</t>
        </is>
      </c>
      <c r="B790" s="5" t="n">
        <v>2</v>
      </c>
      <c r="C790" s="6" t="inlineStr">
        <is>
          <t>Ortak bir renk bul</t>
        </is>
      </c>
      <c r="D790" s="5" t="inlineStr">
        <is>
          <t>Sosyal Radar</t>
        </is>
      </c>
      <c r="E790" s="5" t="inlineStr">
        <is>
          <t>Orta</t>
        </is>
      </c>
      <c r="F790" s="5" t="inlineStr"/>
      <c r="G790" s="6" t="inlineStr"/>
      <c r="H790" s="6" t="inlineStr">
        <is>
          <t>'Antrasit-krem' karışımı bir gri seçildi. İkiniz de memnun değilsiniz ama eşit memnun değilsiniz.</t>
        </is>
      </c>
      <c r="I790" s="6" t="inlineStr">
        <is>
          <t>Ortak renk o kadar güzel oldu ki usta başka müşterilere de öneriyor. Adı 'uzlaşma grisi'.</t>
        </is>
      </c>
      <c r="J790" s="6" t="inlineStr">
        <is>
          <t>Ortak renk bulunamadı. Usta çayını ikinci kez tazeledi.</t>
        </is>
      </c>
      <c r="K790" s="6" t="inlineStr">
        <is>
          <t>Uzlaşma rengi bulunurken tadilat üç ay uzadı. Üç ay boyunca yemekleri banyoda pişirdiniz.</t>
        </is>
      </c>
      <c r="L790" s="6" t="inlineStr"/>
      <c r="M790" s="5" t="inlineStr"/>
      <c r="N790" s="5" t="inlineStr"/>
      <c r="O790" s="6" t="inlineStr"/>
      <c r="P790" s="6" t="inlineStr"/>
      <c r="Q790" s="5" t="inlineStr"/>
      <c r="R790" s="5" t="inlineStr"/>
      <c r="S790" s="5" t="inlineStr"/>
      <c r="T790" s="5" t="inlineStr"/>
      <c r="U790" s="5" t="inlineStr"/>
      <c r="V790" s="5" t="inlineStr"/>
      <c r="W790" s="5" t="inlineStr"/>
      <c r="X790" s="5" t="inlineStr"/>
      <c r="Y790" s="5" t="inlineStr"/>
      <c r="Z790" s="6" t="inlineStr"/>
      <c r="AA790" s="5" t="inlineStr"/>
      <c r="AB790" s="5" t="inlineStr"/>
      <c r="AC790" s="5" t="inlineStr"/>
      <c r="AD790" s="5" t="inlineStr"/>
      <c r="AE790" s="5" t="inlineStr"/>
      <c r="AF790" s="5" t="inlineStr"/>
      <c r="AG790" s="5" t="inlineStr"/>
      <c r="AH790" s="5" t="inlineStr"/>
    </row>
    <row r="791">
      <c r="A791" s="5" t="inlineStr">
        <is>
          <t>b7-mutfak-tadilati</t>
        </is>
      </c>
      <c r="B791" s="5" t="n">
        <v>3</v>
      </c>
      <c r="C791" s="6" t="inlineStr">
        <is>
          <t>Kendi rengini sonuna kadar savun</t>
        </is>
      </c>
      <c r="D791" s="5" t="inlineStr">
        <is>
          <t>Çene</t>
        </is>
      </c>
      <c r="E791" s="5" t="inlineStr">
        <is>
          <t>Zor</t>
        </is>
      </c>
      <c r="F791" s="5" t="inlineStr"/>
      <c r="G791" s="6" t="inlineStr"/>
      <c r="H791" s="6" t="inlineStr">
        <is>
          <t>Antrasit kazandı. Mutfak güzel oldu. Eşin, zamanla sana hak verdi. Zamanla.</t>
        </is>
      </c>
      <c r="I791" s="6" t="inlineStr">
        <is>
          <t>Savunman öyle iyiydi ki eşin fikir değiştirdi, kendi annesine de antrasit önerdi. Bir akım başlattın.</t>
        </is>
      </c>
      <c r="J791" s="6" t="inlineStr">
        <is>
          <t>Savunmanın sonunda usta 'Ben yarın geleyim' dedi ve gelmedi.</t>
        </is>
      </c>
      <c r="K791" s="6" t="inlineStr">
        <is>
          <t>Savunurken 'Senin zevkin zaten' diye başlayan bir cümle kurdun. Cümle hiçbir zaman bitmedi. Evlilik bir süre askıda kaldı.</t>
        </is>
      </c>
      <c r="L791" s="6" t="inlineStr"/>
      <c r="M791" s="5" t="inlineStr"/>
      <c r="N791" s="5" t="inlineStr"/>
      <c r="O791" s="6" t="inlineStr"/>
      <c r="P791" s="6" t="inlineStr"/>
      <c r="Q791" s="5" t="inlineStr"/>
      <c r="R791" s="5" t="inlineStr"/>
      <c r="S791" s="5" t="inlineStr"/>
      <c r="T791" s="5" t="inlineStr"/>
      <c r="U791" s="5" t="inlineStr"/>
      <c r="V791" s="5" t="inlineStr"/>
      <c r="W791" s="5" t="inlineStr"/>
      <c r="X791" s="5" t="inlineStr"/>
      <c r="Y791" s="5" t="inlineStr"/>
      <c r="Z791" s="6" t="inlineStr"/>
      <c r="AA791" s="5" t="inlineStr"/>
      <c r="AB791" s="5" t="inlineStr"/>
      <c r="AC791" s="5" t="inlineStr"/>
      <c r="AD791" s="5" t="inlineStr"/>
      <c r="AE791" s="5" t="inlineStr"/>
      <c r="AF791" s="5" t="inlineStr"/>
      <c r="AG791" s="5" t="inlineStr"/>
      <c r="AH791" s="5" t="inlineStr"/>
    </row>
    <row r="792">
      <c r="A792" s="5" t="inlineStr">
        <is>
          <t>b7-mutfak-tadilati</t>
        </is>
      </c>
      <c r="B792" s="5" t="n">
        <v>4</v>
      </c>
      <c r="C792" s="6" t="inlineStr">
        <is>
          <t>'Belki ayrı mutfaklar, ayrı hayatlar?' de</t>
        </is>
      </c>
      <c r="D792" s="5" t="inlineStr"/>
      <c r="E792" s="5" t="inlineStr"/>
      <c r="F792" s="5" t="inlineStr">
        <is>
          <t>Cesaret +1, Pişkinlik +1</t>
        </is>
      </c>
      <c r="G792" s="6" t="inlineStr">
        <is>
          <t>Bir mutfak kararı, bir evlilik kararına dönüştü. Anlaşmalı olarak ayrıldınız. Dolaplar hiç yapılmadı.</t>
        </is>
      </c>
      <c r="H792" s="6" t="inlineStr"/>
      <c r="I792" s="6" t="inlineStr"/>
      <c r="J792" s="6" t="inlineStr"/>
      <c r="K792" s="6" t="inlineStr"/>
      <c r="L792" s="6" t="inlineStr"/>
      <c r="M792" s="5" t="inlineStr"/>
      <c r="N792" s="5" t="inlineStr"/>
      <c r="O792" s="6" t="inlineStr"/>
      <c r="P792" s="6" t="inlineStr"/>
      <c r="Q792" s="5" t="inlineStr"/>
      <c r="R792" s="5" t="inlineStr"/>
      <c r="S792" s="5" t="inlineStr"/>
      <c r="T792" s="5" t="inlineStr"/>
      <c r="U792" s="5" t="inlineStr">
        <is>
          <t>bosandi</t>
        </is>
      </c>
      <c r="V792" s="5" t="inlineStr"/>
      <c r="W792" s="5" t="inlineStr"/>
      <c r="X792" s="5" t="inlineStr">
        <is>
          <t>evli</t>
        </is>
      </c>
      <c r="Y792" s="5" t="inlineStr"/>
      <c r="Z792" s="6" t="inlineStr"/>
      <c r="AA792" s="5" t="inlineStr"/>
      <c r="AB792" s="5" t="inlineStr"/>
      <c r="AC792" s="5" t="inlineStr"/>
      <c r="AD792" s="5" t="inlineStr"/>
      <c r="AE792" s="5" t="inlineStr"/>
      <c r="AF792" s="5" t="inlineStr"/>
      <c r="AG792" s="5" t="inlineStr"/>
      <c r="AH792" s="5" t="inlineStr"/>
    </row>
    <row r="793">
      <c r="A793" s="5" t="inlineStr">
        <is>
          <t>b7-ebeveyn-grubu</t>
        </is>
      </c>
      <c r="B793" s="5" t="n">
        <v>1</v>
      </c>
      <c r="C793" s="6" t="inlineStr">
        <is>
          <t>Sadece 'Katılıyorum' yaz</t>
        </is>
      </c>
      <c r="D793" s="5" t="inlineStr"/>
      <c r="E793" s="5" t="inlineStr"/>
      <c r="F793" s="5" t="inlineStr">
        <is>
          <t>Dayanıklılık +1</t>
        </is>
      </c>
      <c r="G793" s="6" t="inlineStr">
        <is>
          <t>'Katılıyorum' yazdın. Neye katıldığını hiç öğrenmedin. Pazartesi hesabından para çekildi.</t>
        </is>
      </c>
      <c r="H793" s="6" t="inlineStr"/>
      <c r="I793" s="6" t="inlineStr"/>
      <c r="J793" s="6" t="inlineStr"/>
      <c r="K793" s="6" t="inlineStr"/>
      <c r="L793" s="6" t="inlineStr"/>
      <c r="M793" s="5" t="inlineStr"/>
      <c r="N793" s="5" t="inlineStr"/>
      <c r="O793" s="6" t="inlineStr"/>
      <c r="P793" s="6" t="inlineStr"/>
      <c r="Q793" s="5" t="inlineStr"/>
      <c r="R793" s="5" t="inlineStr"/>
      <c r="S793" s="5" t="inlineStr"/>
      <c r="T793" s="5" t="inlineStr"/>
      <c r="U793" s="5" t="inlineStr"/>
      <c r="V793" s="5" t="inlineStr"/>
      <c r="W793" s="5" t="inlineStr"/>
      <c r="X793" s="5" t="inlineStr"/>
      <c r="Y793" s="5" t="inlineStr"/>
      <c r="Z793" s="6" t="inlineStr"/>
      <c r="AA793" s="5" t="inlineStr"/>
      <c r="AB793" s="5" t="inlineStr"/>
      <c r="AC793" s="5" t="inlineStr"/>
      <c r="AD793" s="5" t="inlineStr"/>
      <c r="AE793" s="5" t="inlineStr"/>
      <c r="AF793" s="5" t="inlineStr"/>
      <c r="AG793" s="5" t="inlineStr"/>
      <c r="AH793" s="5" t="inlineStr"/>
    </row>
    <row r="794">
      <c r="A794" s="5" t="inlineStr">
        <is>
          <t>b7-ebeveyn-grubu</t>
        </is>
      </c>
      <c r="B794" s="5" t="n">
        <v>2</v>
      </c>
      <c r="C794" s="6" t="inlineStr">
        <is>
          <t>Hediye organizasyonunu üstlen</t>
        </is>
      </c>
      <c r="D794" s="5" t="inlineStr">
        <is>
          <t>Sosyal Radar</t>
        </is>
      </c>
      <c r="E794" s="5" t="inlineStr">
        <is>
          <t>Zor</t>
        </is>
      </c>
      <c r="F794" s="5" t="inlineStr"/>
      <c r="G794" s="6" t="inlineStr"/>
      <c r="H794" s="6" t="inlineStr">
        <is>
          <t>Organizasyonu yaptın, hediye alındı, herkes memnun. Grup sana teşekkür ediyor. Bir kişi hariç.</t>
        </is>
      </c>
      <c r="I794" s="6" t="inlineStr">
        <is>
          <t>Organizasyon o kadar başarılıydı ki önümüzdeki beş yılın hediyeleri sana bırakıldı. Seçim yapılmadı, atandın.</t>
        </is>
      </c>
      <c r="J794" s="6" t="inlineStr">
        <is>
          <t>Organizasyonu üstlendin. Üç kişi 'Ben vermiştim' dedi. Kimse vermemişti.</t>
        </is>
      </c>
      <c r="K794" s="6" t="inlineStr">
        <is>
          <t>Hediye alındı ama öğretmen başka bir veli grubundaki hediyenin aynısını aldı. İki grup birbirine düştü.</t>
        </is>
      </c>
      <c r="L794" s="6" t="inlineStr"/>
      <c r="M794" s="5" t="inlineStr"/>
      <c r="N794" s="5" t="inlineStr"/>
      <c r="O794" s="6" t="inlineStr"/>
      <c r="P794" s="6" t="inlineStr"/>
      <c r="Q794" s="5" t="inlineStr">
        <is>
          <t>Organizatör</t>
        </is>
      </c>
      <c r="R794" s="5" t="inlineStr"/>
      <c r="S794" s="5" t="inlineStr"/>
      <c r="T794" s="5" t="inlineStr"/>
      <c r="U794" s="5" t="inlineStr"/>
      <c r="V794" s="5" t="inlineStr"/>
      <c r="W794" s="5" t="inlineStr"/>
      <c r="X794" s="5" t="inlineStr"/>
      <c r="Y794" s="5" t="inlineStr"/>
      <c r="Z794" s="6" t="inlineStr"/>
      <c r="AA794" s="5" t="inlineStr"/>
      <c r="AB794" s="5" t="inlineStr"/>
      <c r="AC794" s="5" t="inlineStr"/>
      <c r="AD794" s="5" t="inlineStr"/>
      <c r="AE794" s="5" t="inlineStr"/>
      <c r="AF794" s="5" t="inlineStr"/>
      <c r="AG794" s="5" t="inlineStr"/>
      <c r="AH794" s="5" t="inlineStr"/>
    </row>
    <row r="795">
      <c r="A795" s="5" t="inlineStr">
        <is>
          <t>b7-ebeveyn-grubu</t>
        </is>
      </c>
      <c r="B795" s="5" t="n">
        <v>3</v>
      </c>
      <c r="C795" s="6" t="inlineStr">
        <is>
          <t>Grubu sessize al</t>
        </is>
      </c>
      <c r="D795" s="5" t="inlineStr">
        <is>
          <t>Kurnazlık</t>
        </is>
      </c>
      <c r="E795" s="5" t="inlineStr">
        <is>
          <t>Kolay</t>
        </is>
      </c>
      <c r="F795" s="5" t="inlineStr"/>
      <c r="G795" s="6" t="inlineStr"/>
      <c r="H795" s="6" t="inlineStr">
        <is>
          <t>Grubu sessize aldın. Hayat kalitende istatistiksel bir artış görüldü.</t>
        </is>
      </c>
      <c r="I795" s="6" t="inlineStr">
        <is>
          <t>Grubu sessize aldın ve kimse fark etmedi. Toplantılarda 'Aynen' diyerek var olmaya devam ediyorsun.</t>
        </is>
      </c>
      <c r="J795" s="6" t="inlineStr">
        <is>
          <t>Grubu sessize aldın. Kreş gezisinin olduğunu çocuğundan öğrendin. Sabah.</t>
        </is>
      </c>
      <c r="K795" s="6" t="inlineStr">
        <is>
          <t>Grubu sessize aldın, bir hafta sonra açtın: 'Veli temsilcimiz olarak sizi seçtik.' Oylamada yoktun.</t>
        </is>
      </c>
      <c r="L795" s="6" t="inlineStr"/>
      <c r="M795" s="5" t="inlineStr"/>
      <c r="N795" s="5" t="inlineStr"/>
      <c r="O795" s="6" t="inlineStr"/>
      <c r="P795" s="6" t="inlineStr"/>
      <c r="Q795" s="5" t="inlineStr"/>
      <c r="R795" s="5" t="inlineStr"/>
      <c r="S795" s="5" t="inlineStr"/>
      <c r="T795" s="5" t="inlineStr"/>
      <c r="U795" s="5" t="inlineStr"/>
      <c r="V795" s="5" t="inlineStr"/>
      <c r="W795" s="5" t="inlineStr"/>
      <c r="X795" s="5" t="inlineStr"/>
      <c r="Y795" s="5" t="inlineStr"/>
      <c r="Z795" s="6" t="inlineStr"/>
      <c r="AA795" s="5" t="inlineStr"/>
      <c r="AB795" s="5" t="inlineStr"/>
      <c r="AC795" s="5" t="inlineStr"/>
      <c r="AD795" s="5" t="inlineStr"/>
      <c r="AE795" s="5" t="inlineStr"/>
      <c r="AF795" s="5" t="inlineStr"/>
      <c r="AG795" s="5" t="inlineStr"/>
      <c r="AH795" s="5" t="inlineStr"/>
    </row>
    <row r="796">
      <c r="A796" s="5" t="inlineStr">
        <is>
          <t>mb-takim-ruhu</t>
        </is>
      </c>
      <c r="B796" s="5" t="n">
        <v>1</v>
      </c>
      <c r="C796" s="6" t="inlineStr">
        <is>
          <t>Güven düşüşü tatbikatına gönüllü ol</t>
        </is>
      </c>
      <c r="D796" s="5" t="inlineStr">
        <is>
          <t>Cesaret</t>
        </is>
      </c>
      <c r="E796" s="5" t="inlineStr">
        <is>
          <t>Orta</t>
        </is>
      </c>
      <c r="F796" s="5" t="inlineStr"/>
      <c r="G796" s="6" t="inlineStr"/>
      <c r="H796" s="6" t="inlineStr">
        <is>
          <t>Arkana düştün, ekip seni tuttu. Güven raporuna 'yüksek' yazıldı.</t>
        </is>
      </c>
      <c r="I796" s="6" t="inlineStr">
        <is>
          <t>Ekip seni tuttu, havaya attı. İnsan kaynakları görüntüyü tanıtım videosuna koydu.</t>
        </is>
      </c>
      <c r="J796" s="6" t="inlineStr">
        <is>
          <t>Ekip seni son anda tuttu. Güven, yüzde elli olarak raporlandı.</t>
        </is>
      </c>
      <c r="K796" s="6" t="inlineStr">
        <is>
          <t>Düştün; ekip o sırada grup fotoğrafı için dönmüştü. Fotoğrafta herkes gülümsüyor, sen yerdesin.</t>
        </is>
      </c>
      <c r="L796" s="6" t="inlineStr"/>
      <c r="M796" s="5" t="inlineStr"/>
      <c r="N796" s="5" t="inlineStr"/>
      <c r="O796" s="6" t="inlineStr"/>
      <c r="P796" s="6" t="inlineStr"/>
      <c r="Q796" s="5" t="inlineStr"/>
      <c r="R796" s="5" t="inlineStr"/>
      <c r="S796" s="5" t="inlineStr"/>
      <c r="T796" s="5" t="inlineStr"/>
      <c r="U796" s="5" t="inlineStr"/>
      <c r="V796" s="5" t="inlineStr"/>
      <c r="W796" s="5" t="inlineStr"/>
      <c r="X796" s="5" t="inlineStr"/>
      <c r="Y796" s="5" t="n">
        <v>3</v>
      </c>
      <c r="Z796" s="6" t="inlineStr">
        <is>
          <t>Şirket takım ruhu etkinliğinde, güven düşüşü tatbikatında. Ekip o sırada fotoğraf çekiliyordu.</t>
        </is>
      </c>
      <c r="AA796" s="5" t="inlineStr"/>
      <c r="AB796" s="5" t="inlineStr"/>
      <c r="AC796" s="5" t="inlineStr"/>
      <c r="AD796" s="5" t="inlineStr"/>
      <c r="AE796" s="5" t="inlineStr"/>
      <c r="AF796" s="5" t="inlineStr"/>
      <c r="AG796" s="5" t="inlineStr"/>
      <c r="AH796" s="5" t="inlineStr"/>
    </row>
    <row r="797">
      <c r="A797" s="5" t="inlineStr">
        <is>
          <t>mb-takim-ruhu</t>
        </is>
      </c>
      <c r="B797" s="5" t="n">
        <v>2</v>
      </c>
      <c r="C797" s="6" t="inlineStr">
        <is>
          <t>Sadece yemek kısmına kadar kal</t>
        </is>
      </c>
      <c r="D797" s="5" t="inlineStr"/>
      <c r="E797" s="5" t="inlineStr"/>
      <c r="F797" s="5" t="inlineStr">
        <is>
          <t>Kurnazlık +1</t>
        </is>
      </c>
      <c r="G797" s="6" t="inlineStr">
        <is>
          <t>Etkinliğe öğle yemeğinde katıldın, halat çekmeden önce kayboldun. Katılım listesinde adın var.</t>
        </is>
      </c>
      <c r="H797" s="6" t="inlineStr"/>
      <c r="I797" s="6" t="inlineStr"/>
      <c r="J797" s="6" t="inlineStr"/>
      <c r="K797" s="6" t="inlineStr"/>
      <c r="L797" s="6" t="inlineStr"/>
      <c r="M797" s="5" t="inlineStr"/>
      <c r="N797" s="5" t="inlineStr"/>
      <c r="O797" s="6" t="inlineStr"/>
      <c r="P797" s="6" t="inlineStr"/>
      <c r="Q797" s="5" t="inlineStr"/>
      <c r="R797" s="5" t="inlineStr"/>
      <c r="S797" s="5" t="inlineStr"/>
      <c r="T797" s="5" t="inlineStr"/>
      <c r="U797" s="5" t="inlineStr"/>
      <c r="V797" s="5" t="inlineStr"/>
      <c r="W797" s="5" t="inlineStr"/>
      <c r="X797" s="5" t="inlineStr"/>
      <c r="Y797" s="5" t="inlineStr"/>
      <c r="Z797" s="6" t="inlineStr"/>
      <c r="AA797" s="5" t="inlineStr"/>
      <c r="AB797" s="5" t="inlineStr"/>
      <c r="AC797" s="5" t="inlineStr"/>
      <c r="AD797" s="5" t="inlineStr"/>
      <c r="AE797" s="5" t="inlineStr"/>
      <c r="AF797" s="5" t="inlineStr"/>
      <c r="AG797" s="5" t="inlineStr"/>
      <c r="AH797" s="5" t="inlineStr"/>
    </row>
    <row r="798">
      <c r="A798" s="5" t="inlineStr">
        <is>
          <t>mb-takim-ruhu</t>
        </is>
      </c>
      <c r="B798" s="5" t="n">
        <v>3</v>
      </c>
      <c r="C798" s="6" t="inlineStr">
        <is>
          <t>Dans yarışmasına katıl</t>
        </is>
      </c>
      <c r="D798" s="5" t="inlineStr">
        <is>
          <t>Pişkinlik</t>
        </is>
      </c>
      <c r="E798" s="5" t="inlineStr">
        <is>
          <t>Kolay</t>
        </is>
      </c>
      <c r="F798" s="5" t="inlineStr"/>
      <c r="G798" s="6" t="inlineStr"/>
      <c r="H798" s="6" t="inlineStr">
        <is>
          <t>Dans ettin, alkış aldın. Pazartesi herkes sana biraz farklı bakıyor. İyi anlamda.</t>
        </is>
      </c>
      <c r="I798" s="6" t="inlineStr">
        <is>
          <t>Dans yarışmasını kazandın. Ödül: genel müdürle öğle yemeği ve bir kupa. Kupa daha samimiydi.</t>
        </is>
      </c>
      <c r="J798" s="6" t="inlineStr">
        <is>
          <t>Dans ettin; ekip videoyu kurumsal mesaj grubuna attı. Grup susmadı.</t>
        </is>
      </c>
      <c r="K798" s="6" t="inlineStr">
        <is>
          <t>Dans ederken muhasebe müdürünün ayağına bastın. Masraf onayların yavaşladı.</t>
        </is>
      </c>
      <c r="L798" s="6" t="inlineStr"/>
      <c r="M798" s="5" t="inlineStr"/>
      <c r="N798" s="5" t="inlineStr"/>
      <c r="O798" s="6" t="inlineStr"/>
      <c r="P798" s="6" t="inlineStr"/>
      <c r="Q798" s="5" t="inlineStr">
        <is>
          <t>Sahne Sever</t>
        </is>
      </c>
      <c r="R798" s="5" t="inlineStr"/>
      <c r="S798" s="5" t="inlineStr"/>
      <c r="T798" s="5" t="inlineStr"/>
      <c r="U798" s="5" t="inlineStr"/>
      <c r="V798" s="5" t="inlineStr"/>
      <c r="W798" s="5" t="inlineStr"/>
      <c r="X798" s="5" t="inlineStr"/>
      <c r="Y798" s="5" t="inlineStr"/>
      <c r="Z798" s="6" t="inlineStr"/>
      <c r="AA798" s="5" t="inlineStr"/>
      <c r="AB798" s="5" t="inlineStr"/>
      <c r="AC798" s="5" t="inlineStr"/>
      <c r="AD798" s="5" t="inlineStr"/>
      <c r="AE798" s="5" t="inlineStr"/>
      <c r="AF798" s="5" t="inlineStr"/>
      <c r="AG798" s="5" t="inlineStr"/>
      <c r="AH798" s="5" t="inlineStr"/>
    </row>
    <row r="799">
      <c r="A799" s="5" t="inlineStr">
        <is>
          <t>mb-takim-ruhu</t>
        </is>
      </c>
      <c r="B799" s="5" t="n">
        <v>4</v>
      </c>
      <c r="C799" s="6" t="inlineStr">
        <is>
          <t>Katılma</t>
        </is>
      </c>
      <c r="D799" s="5" t="inlineStr"/>
      <c r="E799" s="5" t="inlineStr"/>
      <c r="F799" s="5" t="inlineStr">
        <is>
          <t>Dayanıklılık +1</t>
        </is>
      </c>
      <c r="G799" s="6" t="inlineStr">
        <is>
          <t>Katılmadın. Pazartesi herkes aynı iç şakaya güldü. Dışarıda kaldın ama sırtın sağlam.</t>
        </is>
      </c>
      <c r="H799" s="6" t="inlineStr"/>
      <c r="I799" s="6" t="inlineStr"/>
      <c r="J799" s="6" t="inlineStr"/>
      <c r="K799" s="6" t="inlineStr"/>
      <c r="L799" s="6" t="inlineStr"/>
      <c r="M799" s="5" t="inlineStr"/>
      <c r="N799" s="5" t="inlineStr"/>
      <c r="O799" s="6" t="inlineStr"/>
      <c r="P799" s="6" t="inlineStr"/>
      <c r="Q799" s="5" t="inlineStr"/>
      <c r="R799" s="5" t="inlineStr"/>
      <c r="S799" s="5" t="inlineStr"/>
      <c r="T799" s="5" t="inlineStr"/>
      <c r="U799" s="5" t="inlineStr"/>
      <c r="V799" s="5" t="inlineStr"/>
      <c r="W799" s="5" t="inlineStr"/>
      <c r="X799" s="5" t="inlineStr"/>
      <c r="Y799" s="5" t="inlineStr"/>
      <c r="Z799" s="6" t="inlineStr"/>
      <c r="AA799" s="5" t="inlineStr"/>
      <c r="AB799" s="5" t="inlineStr"/>
      <c r="AC799" s="5" t="inlineStr"/>
      <c r="AD799" s="5" t="inlineStr"/>
      <c r="AE799" s="5" t="inlineStr"/>
      <c r="AF799" s="5" t="inlineStr"/>
      <c r="AG799" s="5" t="inlineStr"/>
      <c r="AH799" s="5" t="inlineStr"/>
    </row>
    <row r="800">
      <c r="A800" s="5" t="inlineStr">
        <is>
          <t>me-indirim-sezonu</t>
        </is>
      </c>
      <c r="B800" s="5" t="n">
        <v>1</v>
      </c>
      <c r="C800" s="6" t="inlineStr">
        <is>
          <t>Pazarlıkçı müşteriye sat</t>
        </is>
      </c>
      <c r="D800" s="5" t="inlineStr">
        <is>
          <t>Çene</t>
        </is>
      </c>
      <c r="E800" s="5" t="inlineStr">
        <is>
          <t>Orta</t>
        </is>
      </c>
      <c r="F800" s="5" t="inlineStr"/>
      <c r="G800" s="6" t="inlineStr"/>
      <c r="H800" s="6" t="inlineStr">
        <is>
          <t>İyi fiyattan sattın. Müşteri de indirim yakaladığına inanarak çıktı. Herkes kazandı; sen biraz fazla.</t>
        </is>
      </c>
      <c r="I800" s="6" t="inlineStr">
        <is>
          <t>Pazarlık bitince müşteri bir tane daha aldı. Sonra annesi için bir tane daha. Stok bitti, hikâyen tuttu.</t>
        </is>
      </c>
      <c r="J800" s="6" t="inlineStr">
        <is>
          <t>Müşteri 'Karşıda daha ucuzu var' dedi. Yoktu. Ama ikiniz de bakmaya gittiniz.</t>
        </is>
      </c>
      <c r="K800" s="6" t="inlineStr">
        <is>
          <t>O kadar indin ki malın yanında müşteriye bir de poşet parası ödedin.</t>
        </is>
      </c>
      <c r="L800" s="6" t="inlineStr">
        <is>
          <t>Sattın. Kâr, sezonun geri kalanı kadar ince.</t>
        </is>
      </c>
      <c r="M800" s="5" t="inlineStr">
        <is>
          <t>bargain</t>
        </is>
      </c>
      <c r="N800" s="5" t="inlineStr">
        <is>
          <t>Sezon Sonu Pazarlığı</t>
        </is>
      </c>
      <c r="O800" s="6" t="inlineStr">
        <is>
          <t>Müşterinin sabrı bitmeden fiyatı olabildiğince yukarıda tut. 'Son fiyat' en az üç kez söylenir.</t>
        </is>
      </c>
      <c r="P800" s="6" t="inlineStr">
        <is>
          <t>{"item": "sezon sonu mal", "mode": "sell"}</t>
        </is>
      </c>
      <c r="Q800" s="5" t="inlineStr"/>
      <c r="R800" s="5" t="inlineStr"/>
      <c r="S800" s="5" t="inlineStr"/>
      <c r="T800" s="5" t="inlineStr"/>
      <c r="U800" s="5" t="inlineStr"/>
      <c r="V800" s="5" t="inlineStr"/>
      <c r="W800" s="5" t="inlineStr"/>
      <c r="X800" s="5" t="inlineStr"/>
      <c r="Y800" s="5" t="inlineStr"/>
      <c r="Z800" s="6" t="inlineStr"/>
      <c r="AA800" s="5" t="inlineStr"/>
      <c r="AB800" s="5" t="inlineStr"/>
      <c r="AC800" s="5" t="inlineStr"/>
      <c r="AD800" s="5" t="inlineStr"/>
      <c r="AE800" s="5" t="inlineStr"/>
      <c r="AF800" s="5" t="inlineStr"/>
      <c r="AG800" s="5" t="inlineStr"/>
      <c r="AH800" s="5" t="inlineStr"/>
    </row>
    <row r="801">
      <c r="A801" s="5" t="inlineStr">
        <is>
          <t>me-indirim-sezonu</t>
        </is>
      </c>
      <c r="B801" s="5" t="n">
        <v>2</v>
      </c>
      <c r="C801" s="6" t="inlineStr">
        <is>
          <t>En üst raftaki son malı indir</t>
        </is>
      </c>
      <c r="D801" s="5" t="inlineStr">
        <is>
          <t>Dayanıklılık</t>
        </is>
      </c>
      <c r="E801" s="5" t="inlineStr">
        <is>
          <t>Orta</t>
        </is>
      </c>
      <c r="F801" s="5" t="inlineStr"/>
      <c r="G801" s="6" t="inlineStr"/>
      <c r="H801" s="6" t="inlineStr">
        <is>
          <t>Merdivene çıktın, malı indirdin, sattın. Sezonun kahramanı sensin.</t>
        </is>
      </c>
      <c r="I801" s="6" t="inlineStr">
        <is>
          <t>Rafın arkasında unutulmuş bir koli buldun. Tamamı satıldı; sezon ikinci kez açıldı.</t>
        </is>
      </c>
      <c r="J801" s="6" t="inlineStr">
        <is>
          <t>Mal indi, merdiven de indi. Malı yerden aldın.</t>
        </is>
      </c>
      <c r="K801" s="6" t="inlineStr">
        <is>
          <t>Malı indirdin; müşteri 'Başka rengi yok mu?' dedi. Başka rengi de en üst rafta.</t>
        </is>
      </c>
      <c r="L801" s="6" t="inlineStr"/>
      <c r="M801" s="5" t="inlineStr"/>
      <c r="N801" s="5" t="inlineStr"/>
      <c r="O801" s="6" t="inlineStr"/>
      <c r="P801" s="6" t="inlineStr"/>
      <c r="Q801" s="5" t="inlineStr"/>
      <c r="R801" s="5" t="inlineStr"/>
      <c r="S801" s="5" t="inlineStr"/>
      <c r="T801" s="5" t="inlineStr"/>
      <c r="U801" s="5" t="inlineStr"/>
      <c r="V801" s="5" t="inlineStr"/>
      <c r="W801" s="5" t="inlineStr"/>
      <c r="X801" s="5" t="inlineStr"/>
      <c r="Y801" s="5" t="n">
        <v>3</v>
      </c>
      <c r="Z801" s="6" t="inlineStr">
        <is>
          <t>İndirim sezonunda, en üst rafa uzanırken. Ürün hâlâ yüzde elli indirimde.</t>
        </is>
      </c>
      <c r="AA801" s="5" t="inlineStr"/>
      <c r="AB801" s="5" t="inlineStr"/>
      <c r="AC801" s="5" t="inlineStr"/>
      <c r="AD801" s="5" t="inlineStr"/>
      <c r="AE801" s="5" t="inlineStr"/>
      <c r="AF801" s="5" t="inlineStr"/>
      <c r="AG801" s="5" t="inlineStr"/>
      <c r="AH801" s="5" t="inlineStr"/>
    </row>
    <row r="802">
      <c r="A802" s="5" t="inlineStr">
        <is>
          <t>me-indirim-sezonu</t>
        </is>
      </c>
      <c r="B802" s="5" t="n">
        <v>3</v>
      </c>
      <c r="C802" s="6" t="inlineStr">
        <is>
          <t>Cama 'Stok sınırlı' yaz</t>
        </is>
      </c>
      <c r="D802" s="5" t="inlineStr">
        <is>
          <t>Kurnazlık</t>
        </is>
      </c>
      <c r="E802" s="5" t="inlineStr">
        <is>
          <t>Kolay</t>
        </is>
      </c>
      <c r="F802" s="5" t="inlineStr"/>
      <c r="G802" s="6" t="inlineStr"/>
      <c r="H802" s="6" t="inlineStr">
        <is>
          <t>'Stok sınırlı' yazdın. Stok sınırlı değildi. Kuyruk ise kapıya kadardı.</t>
        </is>
      </c>
      <c r="I802" s="6" t="inlineStr">
        <is>
          <t>Müşteriler sınırlı stoku sınırsız aldı. Limonata tezgâhından beri bu kadar kuyruk görmemiştin.</t>
        </is>
      </c>
      <c r="J802" s="6" t="inlineStr">
        <is>
          <t>Mahalle 'O zaman sonra geliriz' dedi. Mantığı kimse açıklayamadı.</t>
        </is>
      </c>
      <c r="K802" s="6" t="inlineStr">
        <is>
          <t>Tabelayı gören zabıta sınırlı stoğun belgesini istedi. Stoku saymak iki gün sürdü.</t>
        </is>
      </c>
      <c r="L802" s="6" t="inlineStr"/>
      <c r="M802" s="5" t="inlineStr"/>
      <c r="N802" s="5" t="inlineStr"/>
      <c r="O802" s="6" t="inlineStr"/>
      <c r="P802" s="6" t="inlineStr"/>
      <c r="Q802" s="5" t="inlineStr">
        <is>
          <t>Limonata Baronu</t>
        </is>
      </c>
      <c r="R802" s="5" t="inlineStr"/>
      <c r="S802" s="5" t="inlineStr"/>
      <c r="T802" s="5" t="inlineStr"/>
      <c r="U802" s="5" t="inlineStr"/>
      <c r="V802" s="5" t="inlineStr"/>
      <c r="W802" s="5" t="inlineStr"/>
      <c r="X802" s="5" t="inlineStr"/>
      <c r="Y802" s="5" t="inlineStr"/>
      <c r="Z802" s="6" t="inlineStr"/>
      <c r="AA802" s="5" t="inlineStr"/>
      <c r="AB802" s="5" t="inlineStr"/>
      <c r="AC802" s="5" t="inlineStr"/>
      <c r="AD802" s="5" t="inlineStr"/>
      <c r="AE802" s="5" t="inlineStr"/>
      <c r="AF802" s="5" t="inlineStr"/>
      <c r="AG802" s="5" t="inlineStr"/>
      <c r="AH802" s="5" t="inlineStr"/>
    </row>
    <row r="803">
      <c r="A803" s="5" t="inlineStr">
        <is>
          <t>me-indirim-sezonu</t>
        </is>
      </c>
      <c r="B803" s="5" t="n">
        <v>4</v>
      </c>
      <c r="C803" s="6" t="inlineStr">
        <is>
          <t>İndirim yapma, sabret</t>
        </is>
      </c>
      <c r="D803" s="5" t="inlineStr"/>
      <c r="E803" s="5" t="inlineStr"/>
      <c r="F803" s="5" t="inlineStr">
        <is>
          <t>İtibar +1, Dayanıklılık +1</t>
        </is>
      </c>
      <c r="G803" s="6" t="inlineStr">
        <is>
          <t>Etiketlere dokunmadın. Sezon bitti, mallar rafta. Gelecek sezona 'klasik' olarak girecekler.</t>
        </is>
      </c>
      <c r="H803" s="6" t="inlineStr"/>
      <c r="I803" s="6" t="inlineStr"/>
      <c r="J803" s="6" t="inlineStr"/>
      <c r="K803" s="6" t="inlineStr"/>
      <c r="L803" s="6" t="inlineStr"/>
      <c r="M803" s="5" t="inlineStr"/>
      <c r="N803" s="5" t="inlineStr"/>
      <c r="O803" s="6" t="inlineStr"/>
      <c r="P803" s="6" t="inlineStr"/>
      <c r="Q803" s="5" t="inlineStr"/>
      <c r="R803" s="5" t="inlineStr"/>
      <c r="S803" s="5" t="inlineStr"/>
      <c r="T803" s="5" t="inlineStr"/>
      <c r="U803" s="5" t="inlineStr"/>
      <c r="V803" s="5" t="inlineStr"/>
      <c r="W803" s="5" t="inlineStr"/>
      <c r="X803" s="5" t="inlineStr"/>
      <c r="Y803" s="5" t="inlineStr"/>
      <c r="Z803" s="6" t="inlineStr"/>
      <c r="AA803" s="5" t="inlineStr"/>
      <c r="AB803" s="5" t="inlineStr"/>
      <c r="AC803" s="5" t="inlineStr"/>
      <c r="AD803" s="5" t="inlineStr"/>
      <c r="AE803" s="5" t="inlineStr"/>
      <c r="AF803" s="5" t="inlineStr"/>
      <c r="AG803" s="5" t="inlineStr"/>
      <c r="AH803" s="5" t="inlineStr"/>
    </row>
    <row r="804">
      <c r="A804" s="5" t="inlineStr">
        <is>
          <t>b7-borc-batagi</t>
        </is>
      </c>
      <c r="B804" s="5" t="n">
        <v>1</v>
      </c>
      <c r="C804" s="6" t="inlineStr">
        <is>
          <t>Tamamını öde</t>
        </is>
      </c>
      <c r="D804" s="5" t="inlineStr"/>
      <c r="E804" s="5" t="inlineStr"/>
      <c r="F804" s="5" t="inlineStr">
        <is>
          <t>İtibar +1, Akıl +1</t>
        </is>
      </c>
      <c r="G804" s="6" t="inlineStr">
        <is>
          <t>Borcu kapattın. Hesap bakiyesi de kapandı. Ay sonuna kadar sadece evdeki makarnayı yediniz.</t>
        </is>
      </c>
      <c r="H804" s="6" t="inlineStr"/>
      <c r="I804" s="6" t="inlineStr"/>
      <c r="J804" s="6" t="inlineStr"/>
      <c r="K804" s="6" t="inlineStr"/>
      <c r="L804" s="6" t="inlineStr"/>
      <c r="M804" s="5" t="inlineStr"/>
      <c r="N804" s="5" t="inlineStr"/>
      <c r="O804" s="6" t="inlineStr"/>
      <c r="P804" s="6" t="inlineStr"/>
      <c r="Q804" s="5" t="inlineStr"/>
      <c r="R804" s="5" t="inlineStr"/>
      <c r="S804" s="5" t="inlineStr"/>
      <c r="T804" s="5" t="inlineStr"/>
      <c r="U804" s="5" t="inlineStr"/>
      <c r="V804" s="5" t="inlineStr"/>
      <c r="W804" s="5" t="inlineStr"/>
      <c r="X804" s="5" t="inlineStr"/>
      <c r="Y804" s="5" t="inlineStr"/>
      <c r="Z804" s="6" t="inlineStr"/>
      <c r="AA804" s="5" t="inlineStr"/>
      <c r="AB804" s="5" t="inlineStr"/>
      <c r="AC804" s="5" t="inlineStr"/>
      <c r="AD804" s="5" t="inlineStr"/>
      <c r="AE804" s="5" t="inlineStr"/>
      <c r="AF804" s="5" t="inlineStr"/>
      <c r="AG804" s="5" t="inlineStr"/>
      <c r="AH804" s="5" t="inlineStr"/>
    </row>
    <row r="805">
      <c r="A805" s="5" t="inlineStr">
        <is>
          <t>b7-borc-batagi</t>
        </is>
      </c>
      <c r="B805" s="5" t="n">
        <v>2</v>
      </c>
      <c r="C805" s="6" t="inlineStr">
        <is>
          <t>Asgariyi öde</t>
        </is>
      </c>
      <c r="D805" s="5" t="inlineStr"/>
      <c r="E805" s="5" t="inlineStr"/>
      <c r="F805" s="5" t="inlineStr">
        <is>
          <t>Kurnazlık +1</t>
        </is>
      </c>
      <c r="G805" s="6" t="inlineStr">
        <is>
          <t>Asgariyi ödedin. Faiz tablosu seni yakın bir arkadaş olarak kaydetti.</t>
        </is>
      </c>
      <c r="H805" s="6" t="inlineStr"/>
      <c r="I805" s="6" t="inlineStr"/>
      <c r="J805" s="6" t="inlineStr"/>
      <c r="K805" s="6" t="inlineStr"/>
      <c r="L805" s="6" t="inlineStr"/>
      <c r="M805" s="5" t="inlineStr"/>
      <c r="N805" s="5" t="inlineStr"/>
      <c r="O805" s="6" t="inlineStr"/>
      <c r="P805" s="6" t="inlineStr"/>
      <c r="Q805" s="5" t="inlineStr"/>
      <c r="R805" s="5" t="inlineStr"/>
      <c r="S805" s="5" t="inlineStr"/>
      <c r="T805" s="5" t="inlineStr"/>
      <c r="U805" s="5" t="inlineStr">
        <is>
          <t>borclu</t>
        </is>
      </c>
      <c r="V805" s="5" t="inlineStr"/>
      <c r="W805" s="5" t="inlineStr"/>
      <c r="X805" s="5" t="inlineStr"/>
      <c r="Y805" s="5" t="inlineStr"/>
      <c r="Z805" s="6" t="inlineStr"/>
      <c r="AA805" s="5" t="inlineStr"/>
      <c r="AB805" s="5" t="inlineStr"/>
      <c r="AC805" s="5" t="inlineStr"/>
      <c r="AD805" s="5" t="inlineStr"/>
      <c r="AE805" s="5" t="inlineStr"/>
      <c r="AF805" s="5" t="inlineStr"/>
      <c r="AG805" s="5" t="inlineStr"/>
      <c r="AH805" s="5" t="inlineStr"/>
    </row>
    <row r="806">
      <c r="A806" s="5" t="inlineStr">
        <is>
          <t>b7-borc-batagi</t>
        </is>
      </c>
      <c r="B806" s="5" t="n">
        <v>3</v>
      </c>
      <c r="C806" s="6" t="inlineStr">
        <is>
          <t>Kartla kartı öde</t>
        </is>
      </c>
      <c r="D806" s="5" t="inlineStr">
        <is>
          <t>Kurnazlık</t>
        </is>
      </c>
      <c r="E806" s="5" t="inlineStr">
        <is>
          <t>Zor</t>
        </is>
      </c>
      <c r="F806" s="5" t="inlineStr"/>
      <c r="G806" s="6" t="inlineStr"/>
      <c r="H806" s="6" t="inlineStr">
        <is>
          <t>Bir karttan diğerine borç aktardın. Borç hareket etti, sen de. Ay kurtarıldı.</t>
        </is>
      </c>
      <c r="I806" s="6" t="inlineStr">
        <is>
          <t>Borcu üç kart arasında o kadar ustalıkla dolaştırdın ki banka seni fark etmeden bir kampanya daha tanımladı.</t>
        </is>
      </c>
      <c r="J806" s="6" t="inlineStr">
        <is>
          <t>Transfer sırasında bir karta limit düştü. Borç şimdi iki yerde, iki kat.</t>
        </is>
      </c>
      <c r="K806" s="6" t="inlineStr">
        <is>
          <t>Kartları birbirine öyle bağladın ki hangi kartın hangisini ödediği bilinmiyor. Bankanın bile bir tablosu yok.</t>
        </is>
      </c>
      <c r="L806" s="6" t="inlineStr"/>
      <c r="M806" s="5" t="inlineStr"/>
      <c r="N806" s="5" t="inlineStr"/>
      <c r="O806" s="6" t="inlineStr"/>
      <c r="P806" s="6" t="inlineStr"/>
      <c r="Q806" s="5" t="inlineStr"/>
      <c r="R806" s="5" t="inlineStr"/>
      <c r="S806" s="5" t="inlineStr"/>
      <c r="T806" s="5" t="inlineStr"/>
      <c r="U806" s="5" t="inlineStr"/>
      <c r="V806" s="5" t="inlineStr"/>
      <c r="W806" s="5" t="inlineStr">
        <is>
          <t>borclu</t>
        </is>
      </c>
      <c r="X806" s="5" t="inlineStr"/>
      <c r="Y806" s="5" t="inlineStr"/>
      <c r="Z806" s="6" t="inlineStr"/>
      <c r="AA806" s="5" t="inlineStr"/>
      <c r="AB806" s="5" t="inlineStr"/>
      <c r="AC806" s="5" t="inlineStr"/>
      <c r="AD806" s="5" t="inlineStr"/>
      <c r="AE806" s="5" t="inlineStr"/>
      <c r="AF806" s="5" t="inlineStr"/>
      <c r="AG806" s="5" t="inlineStr"/>
      <c r="AH806" s="5" t="inlineStr"/>
    </row>
    <row r="807">
      <c r="A807" s="5" t="inlineStr">
        <is>
          <t>b7-borc-batagi</t>
        </is>
      </c>
      <c r="B807" s="5" t="n">
        <v>4</v>
      </c>
      <c r="C807" s="6" t="inlineStr">
        <is>
          <t>Yastık altındaki dövizi boz</t>
        </is>
      </c>
      <c r="D807" s="5" t="inlineStr">
        <is>
          <t>Akıl</t>
        </is>
      </c>
      <c r="E807" s="5" t="inlineStr">
        <is>
          <t>Kolay</t>
        </is>
      </c>
      <c r="F807" s="5" t="inlineStr"/>
      <c r="G807" s="6" t="inlineStr"/>
      <c r="H807" s="6" t="inlineStr">
        <is>
          <t>Yastık altı birikim çıktı, borç kapandı. Yastık hafifledi ama uyku düzeldi.</t>
        </is>
      </c>
      <c r="I807" s="6" t="inlineStr">
        <is>
          <t>Tam kur yükselirken bozdun. Borç kapandı, üstüne bir tatil çıktı. Yastık seni gururla izliyor.</t>
        </is>
      </c>
      <c r="J807" s="6" t="inlineStr">
        <is>
          <t>Tam kur düştüğünde bozdun. Borç kapandı, yastık boş, ders alındı.</t>
        </is>
      </c>
      <c r="K807" s="6" t="inlineStr">
        <is>
          <t>Yastığın altında sadece eski bir makbuz çıktı. Birikimi geçen yıl başka bir borca kullanmışsın.</t>
        </is>
      </c>
      <c r="L807" s="6" t="inlineStr"/>
      <c r="M807" s="5" t="inlineStr"/>
      <c r="N807" s="5" t="inlineStr"/>
      <c r="O807" s="6" t="inlineStr"/>
      <c r="P807" s="6" t="inlineStr"/>
      <c r="Q807" s="5" t="inlineStr">
        <is>
          <t>Yastık Altı Ekonomisti</t>
        </is>
      </c>
      <c r="R807" s="5" t="inlineStr"/>
      <c r="S807" s="5" t="inlineStr"/>
      <c r="T807" s="5" t="inlineStr"/>
      <c r="U807" s="5" t="inlineStr"/>
      <c r="V807" s="5" t="inlineStr"/>
      <c r="W807" s="5" t="inlineStr"/>
      <c r="X807" s="5" t="inlineStr"/>
      <c r="Y807" s="5" t="inlineStr"/>
      <c r="Z807" s="6" t="inlineStr"/>
      <c r="AA807" s="5" t="inlineStr"/>
      <c r="AB807" s="5" t="inlineStr"/>
      <c r="AC807" s="5" t="inlineStr"/>
      <c r="AD807" s="5" t="inlineStr"/>
      <c r="AE807" s="5" t="inlineStr"/>
      <c r="AF807" s="5" t="inlineStr"/>
      <c r="AG807" s="5" t="inlineStr"/>
      <c r="AH807" s="5" t="inlineStr"/>
    </row>
    <row r="808">
      <c r="A808" s="5" t="inlineStr">
        <is>
          <t>b7-dogum-gunu-partisi</t>
        </is>
      </c>
      <c r="B808" s="5" t="n">
        <v>1</v>
      </c>
      <c r="C808" s="6" t="inlineStr">
        <is>
          <t>Evde, sade bir pasta</t>
        </is>
      </c>
      <c r="D808" s="5" t="inlineStr"/>
      <c r="E808" s="5" t="inlineStr"/>
      <c r="F808" s="5" t="inlineStr">
        <is>
          <t>İtibar +1</t>
        </is>
      </c>
      <c r="G808" s="6" t="inlineStr">
        <is>
          <t>Evde pasta kestiniz. Çocuğun çok mutluydu. Diğer veliler bunu 'cesur bir tercih' diye yorumladı.</t>
        </is>
      </c>
      <c r="H808" s="6" t="inlineStr"/>
      <c r="I808" s="6" t="inlineStr"/>
      <c r="J808" s="6" t="inlineStr"/>
      <c r="K808" s="6" t="inlineStr"/>
      <c r="L808" s="6" t="inlineStr"/>
      <c r="M808" s="5" t="inlineStr"/>
      <c r="N808" s="5" t="inlineStr"/>
      <c r="O808" s="6" t="inlineStr"/>
      <c r="P808" s="6" t="inlineStr"/>
      <c r="Q808" s="5" t="inlineStr"/>
      <c r="R808" s="5" t="inlineStr"/>
      <c r="S808" s="5" t="inlineStr"/>
      <c r="T808" s="5" t="inlineStr"/>
      <c r="U808" s="5" t="inlineStr"/>
      <c r="V808" s="5" t="inlineStr"/>
      <c r="W808" s="5" t="inlineStr"/>
      <c r="X808" s="5" t="inlineStr"/>
      <c r="Y808" s="5" t="inlineStr"/>
      <c r="Z808" s="6" t="inlineStr"/>
      <c r="AA808" s="5" t="inlineStr"/>
      <c r="AB808" s="5" t="inlineStr"/>
      <c r="AC808" s="5" t="inlineStr"/>
      <c r="AD808" s="5" t="inlineStr"/>
      <c r="AE808" s="5" t="inlineStr"/>
      <c r="AF808" s="5" t="inlineStr"/>
      <c r="AG808" s="5" t="inlineStr"/>
      <c r="AH808" s="5" t="inlineStr"/>
    </row>
    <row r="809">
      <c r="A809" s="5" t="inlineStr">
        <is>
          <t>b7-dogum-gunu-partisi</t>
        </is>
      </c>
      <c r="B809" s="5" t="n">
        <v>2</v>
      </c>
      <c r="C809" s="6" t="inlineStr">
        <is>
          <t>Büyük bir parti organize et</t>
        </is>
      </c>
      <c r="D809" s="5" t="inlineStr">
        <is>
          <t>Sosyal Radar</t>
        </is>
      </c>
      <c r="E809" s="5" t="inlineStr">
        <is>
          <t>Zor</t>
        </is>
      </c>
      <c r="F809" s="5" t="inlineStr"/>
      <c r="G809" s="6" t="inlineStr"/>
      <c r="H809" s="6" t="inlineStr">
        <is>
          <t>Parti harika geçti. Uzay temalı kurabiyeler bile vardı. Veli grubunda 'Nasıl yaptınız?' soruları.</t>
        </is>
      </c>
      <c r="I809" s="6" t="inlineStr">
        <is>
          <t>Parti o kadar başarılı oldu ki başka veliler seni organizasyon için tutmak istedi. Bir yan iş fırsatı doğdu.</t>
        </is>
      </c>
      <c r="J809" s="6" t="inlineStr">
        <is>
          <t>Uzay kostümü gelmedi. Çocuk astronot yerine 'gezegen' oldu.</t>
        </is>
      </c>
      <c r="K809" s="6" t="inlineStr">
        <is>
          <t>Köpük makinesi kontrolden çıktı. Parkın yarısı köpük altında. Belediye aradı.</t>
        </is>
      </c>
      <c r="L809" s="6" t="inlineStr"/>
      <c r="M809" s="5" t="inlineStr"/>
      <c r="N809" s="5" t="inlineStr"/>
      <c r="O809" s="6" t="inlineStr"/>
      <c r="P809" s="6" t="inlineStr"/>
      <c r="Q809" s="5" t="inlineStr"/>
      <c r="R809" s="5" t="inlineStr"/>
      <c r="S809" s="5" t="inlineStr"/>
      <c r="T809" s="5" t="inlineStr"/>
      <c r="U809" s="5" t="inlineStr"/>
      <c r="V809" s="5" t="inlineStr"/>
      <c r="W809" s="5" t="inlineStr"/>
      <c r="X809" s="5" t="inlineStr"/>
      <c r="Y809" s="5" t="inlineStr"/>
      <c r="Z809" s="6" t="inlineStr"/>
      <c r="AA809" s="5" t="inlineStr"/>
      <c r="AB809" s="5" t="inlineStr"/>
      <c r="AC809" s="5" t="inlineStr"/>
      <c r="AD809" s="5" t="inlineStr"/>
      <c r="AE809" s="5" t="inlineStr"/>
      <c r="AF809" s="5" t="inlineStr"/>
      <c r="AG809" s="5" t="inlineStr"/>
      <c r="AH809" s="5" t="inlineStr"/>
    </row>
    <row r="810">
      <c r="A810" s="5" t="inlineStr">
        <is>
          <t>b7-dogum-gunu-partisi</t>
        </is>
      </c>
      <c r="B810" s="5" t="n">
        <v>3</v>
      </c>
      <c r="C810" s="6" t="inlineStr">
        <is>
          <t>Doğum günü hediyelerini düğün takı defteri gibi kaydet</t>
        </is>
      </c>
      <c r="D810" s="5" t="inlineStr">
        <is>
          <t>Akıl</t>
        </is>
      </c>
      <c r="E810" s="5" t="inlineStr">
        <is>
          <t>Kolay</t>
        </is>
      </c>
      <c r="F810" s="5" t="inlineStr"/>
      <c r="G810" s="6" t="inlineStr"/>
      <c r="H810" s="6" t="inlineStr">
        <is>
          <t>Her hediyeyi kaydettin. Önümüzdeki partilerde karşılık vermek artık bir sistem.</t>
        </is>
      </c>
      <c r="I810" s="6" t="inlineStr">
        <is>
          <t>Kayıt sisteminle diğer velilerin hediye kalitelerini sıraladın. Grupta bir 'hediye endeksi' kuruldu.</t>
        </is>
      </c>
      <c r="J810" s="6" t="inlineStr">
        <is>
          <t>Kaydederken çocuğun hediyelerin yarısını açtı. Kimin ne getirdiği bilinmiyor.</t>
        </is>
      </c>
      <c r="K810" s="6" t="inlineStr">
        <is>
          <t>Defteri yanlışlıkla veli grubuna gönderdin. İçinde fiyat notları da vardı.</t>
        </is>
      </c>
      <c r="L810" s="6" t="inlineStr"/>
      <c r="M810" s="5" t="inlineStr"/>
      <c r="N810" s="5" t="inlineStr"/>
      <c r="O810" s="6" t="inlineStr"/>
      <c r="P810" s="6" t="inlineStr"/>
      <c r="Q810" s="5" t="inlineStr"/>
      <c r="R810" s="5" t="inlineStr">
        <is>
          <t>taki-defteri</t>
        </is>
      </c>
      <c r="S810" s="5" t="inlineStr"/>
      <c r="T810" s="5" t="inlineStr"/>
      <c r="U810" s="5" t="inlineStr"/>
      <c r="V810" s="5" t="inlineStr"/>
      <c r="W810" s="5" t="inlineStr"/>
      <c r="X810" s="5" t="inlineStr"/>
      <c r="Y810" s="5" t="inlineStr"/>
      <c r="Z810" s="6" t="inlineStr"/>
      <c r="AA810" s="5" t="inlineStr"/>
      <c r="AB810" s="5" t="inlineStr"/>
      <c r="AC810" s="5" t="inlineStr"/>
      <c r="AD810" s="5" t="inlineStr"/>
      <c r="AE810" s="5" t="inlineStr"/>
      <c r="AF810" s="5" t="inlineStr"/>
      <c r="AG810" s="5" t="inlineStr"/>
      <c r="AH810" s="5" t="inlineStr"/>
    </row>
    <row r="811">
      <c r="A811" s="5" t="inlineStr">
        <is>
          <t>mm-kurum-piknigi</t>
        </is>
      </c>
      <c r="B811" s="5" t="n">
        <v>1</v>
      </c>
      <c r="C811" s="6" t="inlineStr">
        <is>
          <t>Halat çekme finaline gir</t>
        </is>
      </c>
      <c r="D811" s="5" t="inlineStr">
        <is>
          <t>Dayanıklılık</t>
        </is>
      </c>
      <c r="E811" s="5" t="inlineStr">
        <is>
          <t>Zor</t>
        </is>
      </c>
      <c r="F811" s="5" t="inlineStr"/>
      <c r="G811" s="6" t="inlineStr"/>
      <c r="H811" s="6" t="inlineStr">
        <is>
          <t>Takımın kazandı. Kupa bir yıl biriminizin dolabında duracak; dolabın anahtarı kayıp.</t>
        </is>
      </c>
      <c r="I811" s="6" t="inlineStr">
        <is>
          <t>Takımı sen taşıdın. 'Yılın Bileği' ilan edildin; unvan performans formuna işlendi.</t>
        </is>
      </c>
      <c r="J811" s="6" t="inlineStr">
        <is>
          <t>Halat elinden kaydı, takım çime oturdu. Fotoğraf kurum bülteninde çıktı.</t>
        </is>
      </c>
      <c r="K811" s="6" t="inlineStr">
        <is>
          <t>Halatı bıraktığın an karşı takım geriye düştü. Kazandınız; müdür çamura oturdu.</t>
        </is>
      </c>
      <c r="L811" s="6" t="inlineStr"/>
      <c r="M811" s="5" t="inlineStr"/>
      <c r="N811" s="5" t="inlineStr"/>
      <c r="O811" s="6" t="inlineStr"/>
      <c r="P811" s="6" t="inlineStr"/>
      <c r="Q811" s="5" t="inlineStr"/>
      <c r="R811" s="5" t="inlineStr"/>
      <c r="S811" s="5" t="inlineStr"/>
      <c r="T811" s="5" t="inlineStr"/>
      <c r="U811" s="5" t="inlineStr"/>
      <c r="V811" s="5" t="inlineStr"/>
      <c r="W811" s="5" t="inlineStr">
        <is>
          <t>memur-mudur-dusmani</t>
        </is>
      </c>
      <c r="X811" s="5" t="inlineStr"/>
      <c r="Y811" s="5" t="n">
        <v>3</v>
      </c>
      <c r="Z811" s="6" t="inlineStr">
        <is>
          <t>Kurum pikniğinde, halat çekme finalinde. Takımı ikinci oldu.</t>
        </is>
      </c>
      <c r="AA811" s="5" t="inlineStr"/>
      <c r="AB811" s="5" t="inlineStr"/>
      <c r="AC811" s="5" t="inlineStr"/>
      <c r="AD811" s="5" t="inlineStr"/>
      <c r="AE811" s="5" t="inlineStr"/>
      <c r="AF811" s="5" t="inlineStr"/>
      <c r="AG811" s="5" t="inlineStr"/>
      <c r="AH811" s="5" t="inlineStr"/>
    </row>
    <row r="812">
      <c r="A812" s="5" t="inlineStr">
        <is>
          <t>mm-kurum-piknigi</t>
        </is>
      </c>
      <c r="B812" s="5" t="n">
        <v>2</v>
      </c>
      <c r="C812" s="6" t="inlineStr">
        <is>
          <t>Mangalın başına geç</t>
        </is>
      </c>
      <c r="D812" s="5" t="inlineStr"/>
      <c r="E812" s="5" t="inlineStr"/>
      <c r="F812" s="5" t="inlineStr">
        <is>
          <t>Sosyal Radar +1, Çene +1</t>
        </is>
      </c>
      <c r="G812" s="6" t="inlineStr">
        <is>
          <t>Köfteleri rütbeye göre değil, sıraya göre dağıttın. Kurum tarihindeki en büyük reform.</t>
        </is>
      </c>
      <c r="H812" s="6" t="inlineStr"/>
      <c r="I812" s="6" t="inlineStr"/>
      <c r="J812" s="6" t="inlineStr"/>
      <c r="K812" s="6" t="inlineStr"/>
      <c r="L812" s="6" t="inlineStr"/>
      <c r="M812" s="5" t="inlineStr"/>
      <c r="N812" s="5" t="inlineStr"/>
      <c r="O812" s="6" t="inlineStr"/>
      <c r="P812" s="6" t="inlineStr"/>
      <c r="Q812" s="5" t="inlineStr"/>
      <c r="R812" s="5" t="inlineStr"/>
      <c r="S812" s="5" t="inlineStr"/>
      <c r="T812" s="5" t="inlineStr"/>
      <c r="U812" s="5" t="inlineStr"/>
      <c r="V812" s="5" t="inlineStr"/>
      <c r="W812" s="5" t="inlineStr"/>
      <c r="X812" s="5" t="inlineStr"/>
      <c r="Y812" s="5" t="inlineStr"/>
      <c r="Z812" s="6" t="inlineStr"/>
      <c r="AA812" s="5" t="inlineStr"/>
      <c r="AB812" s="5" t="inlineStr"/>
      <c r="AC812" s="5" t="inlineStr"/>
      <c r="AD812" s="5" t="inlineStr"/>
      <c r="AE812" s="5" t="inlineStr"/>
      <c r="AF812" s="5" t="inlineStr"/>
      <c r="AG812" s="5" t="inlineStr"/>
      <c r="AH812" s="5" t="inlineStr"/>
    </row>
    <row r="813">
      <c r="A813" s="5" t="inlineStr">
        <is>
          <t>mm-kurum-piknigi</t>
        </is>
      </c>
      <c r="B813" s="5" t="n">
        <v>3</v>
      </c>
      <c r="C813" s="6" t="inlineStr">
        <is>
          <t>Pikniği baştan organize et</t>
        </is>
      </c>
      <c r="D813" s="5" t="inlineStr">
        <is>
          <t>Sosyal Radar</t>
        </is>
      </c>
      <c r="E813" s="5" t="inlineStr">
        <is>
          <t>Kolay</t>
        </is>
      </c>
      <c r="F813" s="5" t="inlineStr"/>
      <c r="G813" s="6" t="inlineStr"/>
      <c r="H813" s="6" t="inlineStr">
        <is>
          <t>Servis saati, mangal nöbeti, oyun fikstürü. Yıllar sonra ilk kez kimse kimseye küsmedi.</t>
        </is>
      </c>
      <c r="I813" s="6" t="inlineStr">
        <is>
          <t>Piknik o kadar düzenliydi ki müdürlük seni 'Sosyal Faaliyetler Sorumlusu' yaptı. Maaş aynı, iş iki kat.</t>
        </is>
      </c>
      <c r="J813" s="6" t="inlineStr">
        <is>
          <t>Fikstürü mükemmel hazırladın. Yağmur fikstüre bakmadı.</t>
        </is>
      </c>
      <c r="K813" s="6" t="inlineStr">
        <is>
          <t>Servisleri yanlış parka yönlendirdin. Kurum pikniği başka bir kurumun pikniğiyle birleşti. İki kurum hâlâ yazışıyor.</t>
        </is>
      </c>
      <c r="L813" s="6" t="inlineStr"/>
      <c r="M813" s="5" t="inlineStr"/>
      <c r="N813" s="5" t="inlineStr"/>
      <c r="O813" s="6" t="inlineStr"/>
      <c r="P813" s="6" t="inlineStr"/>
      <c r="Q813" s="5" t="inlineStr">
        <is>
          <t>Organizatör</t>
        </is>
      </c>
      <c r="R813" s="5" t="inlineStr"/>
      <c r="S813" s="5" t="inlineStr"/>
      <c r="T813" s="5" t="inlineStr"/>
      <c r="U813" s="5" t="inlineStr"/>
      <c r="V813" s="5" t="inlineStr"/>
      <c r="W813" s="5" t="inlineStr"/>
      <c r="X813" s="5" t="inlineStr"/>
      <c r="Y813" s="5" t="inlineStr"/>
      <c r="Z813" s="6" t="inlineStr"/>
      <c r="AA813" s="5" t="inlineStr"/>
      <c r="AB813" s="5" t="inlineStr"/>
      <c r="AC813" s="5" t="inlineStr"/>
      <c r="AD813" s="5" t="inlineStr"/>
      <c r="AE813" s="5" t="inlineStr"/>
      <c r="AF813" s="5" t="inlineStr"/>
      <c r="AG813" s="5" t="inlineStr"/>
      <c r="AH813" s="5" t="inlineStr"/>
    </row>
    <row r="814">
      <c r="A814" s="5" t="inlineStr">
        <is>
          <t>mm-kurum-piknigi</t>
        </is>
      </c>
      <c r="B814" s="5" t="n">
        <v>4</v>
      </c>
      <c r="C814" s="6" t="inlineStr">
        <is>
          <t>Müdürü kendi takımına al</t>
        </is>
      </c>
      <c r="D814" s="5" t="inlineStr">
        <is>
          <t>Çene</t>
        </is>
      </c>
      <c r="E814" s="5" t="inlineStr">
        <is>
          <t>Zor</t>
        </is>
      </c>
      <c r="F814" s="5" t="inlineStr"/>
      <c r="G814" s="6" t="inlineStr"/>
      <c r="H814" s="6" t="inlineStr">
        <is>
          <t>Birlikte kazandınız. Aranızdaki buz, halattan önce koptu.</t>
        </is>
      </c>
      <c r="I814" s="6" t="inlineStr">
        <is>
          <t>Omuz omuza çektiniz. Fotoğrafınız bültenin kapağına çıktı; altında tek kelime var: 'Barış.'</t>
        </is>
      </c>
      <c r="J814" s="6" t="inlineStr">
        <is>
          <t>Müdür 'Ben tarafsız kalayım' dedi ve hakem oldu. Takımına üç faul verdi.</t>
        </is>
      </c>
      <c r="K814" s="6" t="inlineStr">
        <is>
          <t>Müdür halatı bıraktı, sen çimde kaydın. Performans formuna 'takım çalışması: zayıf' yazıldı.</t>
        </is>
      </c>
      <c r="L814" s="6" t="inlineStr"/>
      <c r="M814" s="5" t="inlineStr"/>
      <c r="N814" s="5" t="inlineStr"/>
      <c r="O814" s="6" t="inlineStr"/>
      <c r="P814" s="6" t="inlineStr"/>
      <c r="Q814" s="5" t="inlineStr"/>
      <c r="R814" s="5" t="inlineStr">
        <is>
          <t>memur-mudur-dusmani</t>
        </is>
      </c>
      <c r="S814" s="5" t="inlineStr"/>
      <c r="T814" s="5" t="inlineStr"/>
      <c r="U814" s="5" t="inlineStr"/>
      <c r="V814" s="5" t="inlineStr"/>
      <c r="W814" s="5" t="inlineStr"/>
      <c r="X814" s="5" t="inlineStr"/>
      <c r="Y814" s="5" t="inlineStr"/>
      <c r="Z814" s="6" t="inlineStr"/>
      <c r="AA814" s="5" t="inlineStr"/>
      <c r="AB814" s="5" t="inlineStr"/>
      <c r="AC814" s="5" t="inlineStr"/>
      <c r="AD814" s="5" t="inlineStr"/>
      <c r="AE814" s="5" t="inlineStr"/>
      <c r="AF814" s="5" t="inlineStr"/>
      <c r="AG814" s="5" t="inlineStr"/>
      <c r="AH814" s="5" t="inlineStr"/>
    </row>
    <row r="815">
      <c r="A815" s="5" t="inlineStr">
        <is>
          <t>b7-yil-donumu</t>
        </is>
      </c>
      <c r="B815" s="5" t="n">
        <v>1</v>
      </c>
      <c r="C815" s="6" t="inlineStr">
        <is>
          <t>Sade bir akşam yemeği</t>
        </is>
      </c>
      <c r="D815" s="5" t="inlineStr"/>
      <c r="E815" s="5" t="inlineStr"/>
      <c r="F815" s="5" t="inlineStr">
        <is>
          <t>İtibar +1</t>
        </is>
      </c>
      <c r="G815" s="6" t="inlineStr">
        <is>
          <t>Evde yemek yediniz. Eşin mutluydu. Hatırlatıcının kurulma saati sorgulanmadı.</t>
        </is>
      </c>
      <c r="H815" s="6" t="inlineStr"/>
      <c r="I815" s="6" t="inlineStr"/>
      <c r="J815" s="6" t="inlineStr"/>
      <c r="K815" s="6" t="inlineStr"/>
      <c r="L815" s="6" t="inlineStr"/>
      <c r="M815" s="5" t="inlineStr"/>
      <c r="N815" s="5" t="inlineStr"/>
      <c r="O815" s="6" t="inlineStr"/>
      <c r="P815" s="6" t="inlineStr"/>
      <c r="Q815" s="5" t="inlineStr"/>
      <c r="R815" s="5" t="inlineStr"/>
      <c r="S815" s="5" t="inlineStr"/>
      <c r="T815" s="5" t="inlineStr"/>
      <c r="U815" s="5" t="inlineStr"/>
      <c r="V815" s="5" t="inlineStr"/>
      <c r="W815" s="5" t="inlineStr"/>
      <c r="X815" s="5" t="inlineStr"/>
      <c r="Y815" s="5" t="inlineStr"/>
      <c r="Z815" s="6" t="inlineStr"/>
      <c r="AA815" s="5" t="inlineStr"/>
      <c r="AB815" s="5" t="inlineStr"/>
      <c r="AC815" s="5" t="inlineStr"/>
      <c r="AD815" s="5" t="inlineStr"/>
      <c r="AE815" s="5" t="inlineStr"/>
      <c r="AF815" s="5" t="inlineStr"/>
      <c r="AG815" s="5" t="inlineStr"/>
      <c r="AH815" s="5" t="inlineStr"/>
    </row>
    <row r="816">
      <c r="A816" s="5" t="inlineStr">
        <is>
          <t>b7-yil-donumu</t>
        </is>
      </c>
      <c r="B816" s="5" t="n">
        <v>2</v>
      </c>
      <c r="C816" s="6" t="inlineStr">
        <is>
          <t>Sürpriz yap</t>
        </is>
      </c>
      <c r="D816" s="5" t="inlineStr">
        <is>
          <t>Kurnazlık</t>
        </is>
      </c>
      <c r="E816" s="5" t="inlineStr">
        <is>
          <t>Orta</t>
        </is>
      </c>
      <c r="F816" s="5" t="inlineStr"/>
      <c r="G816" s="6" t="inlineStr"/>
      <c r="H816" s="6" t="inlineStr">
        <is>
          <t>Sürpriz başarılı. Eşin şaşırdı, sevindi, ağladı. Sen de. Hatırlatıcıyı sildin.</t>
        </is>
      </c>
      <c r="I816" s="6" t="inlineStr">
        <is>
          <t>Sürprizin o kadar güzel oldu ki eşin arkadaşlarına anlattı. Artık her yıl bu seviyeyi tutturman gerekiyor.</t>
        </is>
      </c>
      <c r="J816" s="6" t="inlineStr">
        <is>
          <t>Sürprizin eşin tarafından önceden tahmin edildi. 'Ben de biliyordum' dedi. Nasıl bildiğini öğrenemedin.</t>
        </is>
      </c>
      <c r="K816" s="6" t="inlineStr">
        <is>
          <t>Sürpriz için ayırdığın restoran bir önceki yıl da aynı yermiş. Garson 'Yine hoş geldiniz' dedi. Eşin geçen yılı hatırlamıyordu. Sen de.</t>
        </is>
      </c>
      <c r="L816" s="6" t="inlineStr"/>
      <c r="M816" s="5" t="inlineStr"/>
      <c r="N816" s="5" t="inlineStr"/>
      <c r="O816" s="6" t="inlineStr"/>
      <c r="P816" s="6" t="inlineStr"/>
      <c r="Q816" s="5" t="inlineStr"/>
      <c r="R816" s="5" t="inlineStr"/>
      <c r="S816" s="5" t="inlineStr"/>
      <c r="T816" s="5" t="inlineStr"/>
      <c r="U816" s="5" t="inlineStr"/>
      <c r="V816" s="5" t="inlineStr"/>
      <c r="W816" s="5" t="inlineStr"/>
      <c r="X816" s="5" t="inlineStr"/>
      <c r="Y816" s="5" t="inlineStr"/>
      <c r="Z816" s="6" t="inlineStr"/>
      <c r="AA816" s="5" t="inlineStr"/>
      <c r="AB816" s="5" t="inlineStr"/>
      <c r="AC816" s="5" t="inlineStr"/>
      <c r="AD816" s="5" t="inlineStr"/>
      <c r="AE816" s="5" t="inlineStr"/>
      <c r="AF816" s="5" t="inlineStr"/>
      <c r="AG816" s="5" t="inlineStr"/>
      <c r="AH816" s="5" t="inlineStr"/>
    </row>
    <row r="817">
      <c r="A817" s="5" t="inlineStr">
        <is>
          <t>b7-yil-donumu</t>
        </is>
      </c>
      <c r="B817" s="5" t="n">
        <v>3</v>
      </c>
      <c r="C817" s="6" t="inlineStr">
        <is>
          <t>Takı defterini açıp düğün anılarını yad et</t>
        </is>
      </c>
      <c r="D817" s="5" t="inlineStr">
        <is>
          <t>Sosyal Radar</t>
        </is>
      </c>
      <c r="E817" s="5" t="inlineStr">
        <is>
          <t>Kolay</t>
        </is>
      </c>
      <c r="F817" s="5" t="inlineStr"/>
      <c r="G817" s="6" t="inlineStr"/>
      <c r="H817" s="6" t="inlineStr">
        <is>
          <t>Defteri açtınız. Her satır bir anı. Bir de alacak listesi.</t>
        </is>
      </c>
      <c r="I817" s="6" t="inlineStr">
        <is>
          <t>Defteri okurken ikiniz de güldünüz, ağladınız. Deftere yıl dönümü sayfası eklendi.</t>
        </is>
      </c>
      <c r="J817" s="6" t="inlineStr">
        <is>
          <t>Defteri açtınız; eşin bir akrabanın takısının 'eksik' olduğunu hatırladı. Akşam o akrabaya ayrıldı.</t>
        </is>
      </c>
      <c r="K817" s="6" t="inlineStr">
        <is>
          <t>Defteri açtığınızda arkasında eski bir bütçe tablosu buldunuz. Romantizm muhasebeye yenildi.</t>
        </is>
      </c>
      <c r="L817" s="6" t="inlineStr"/>
      <c r="M817" s="5" t="inlineStr"/>
      <c r="N817" s="5" t="inlineStr"/>
      <c r="O817" s="6" t="inlineStr"/>
      <c r="P817" s="6" t="inlineStr"/>
      <c r="Q817" s="5" t="inlineStr"/>
      <c r="R817" s="5" t="inlineStr">
        <is>
          <t>taki-defteri</t>
        </is>
      </c>
      <c r="S817" s="5" t="inlineStr"/>
      <c r="T817" s="5" t="inlineStr"/>
      <c r="U817" s="5" t="inlineStr"/>
      <c r="V817" s="5" t="inlineStr"/>
      <c r="W817" s="5" t="inlineStr"/>
      <c r="X817" s="5" t="inlineStr"/>
      <c r="Y817" s="5" t="inlineStr"/>
      <c r="Z817" s="6" t="inlineStr"/>
      <c r="AA817" s="5" t="inlineStr"/>
      <c r="AB817" s="5" t="inlineStr"/>
      <c r="AC817" s="5" t="inlineStr"/>
      <c r="AD817" s="5" t="inlineStr"/>
      <c r="AE817" s="5" t="inlineStr"/>
      <c r="AF817" s="5" t="inlineStr"/>
      <c r="AG817" s="5" t="inlineStr"/>
      <c r="AH817" s="5" t="inlineStr"/>
    </row>
    <row r="818">
      <c r="A818" s="5" t="inlineStr">
        <is>
          <t>b8-kirk-yas</t>
        </is>
      </c>
      <c r="B818" s="5" t="n">
        <v>1</v>
      </c>
      <c r="C818" s="6" t="inlineStr">
        <is>
          <t>Envanteri kabul et</t>
        </is>
      </c>
      <c r="D818" s="5" t="inlineStr"/>
      <c r="E818" s="5" t="inlineStr"/>
      <c r="F818" s="5" t="inlineStr">
        <is>
          <t>Dayanıklılık +1, İtibar +1</t>
        </is>
      </c>
      <c r="G818" s="6" t="inlineStr">
        <is>
          <t>Rapor imzalandı ve arşive kaldırıldı. Bir sonraki denetim elli yaşta.</t>
        </is>
      </c>
      <c r="H818" s="6" t="inlineStr"/>
      <c r="I818" s="6" t="inlineStr"/>
      <c r="J818" s="6" t="inlineStr"/>
      <c r="K818" s="6" t="inlineStr"/>
      <c r="L818" s="6" t="inlineStr"/>
      <c r="M818" s="5" t="inlineStr"/>
      <c r="N818" s="5" t="inlineStr"/>
      <c r="O818" s="6" t="inlineStr"/>
      <c r="P818" s="6" t="inlineStr"/>
      <c r="Q818" s="5" t="inlineStr"/>
      <c r="R818" s="5" t="inlineStr"/>
      <c r="S818" s="5" t="inlineStr"/>
      <c r="T818" s="5" t="inlineStr"/>
      <c r="U818" s="5" t="inlineStr"/>
      <c r="V818" s="5" t="inlineStr"/>
      <c r="W818" s="5" t="inlineStr"/>
      <c r="X818" s="5" t="inlineStr"/>
      <c r="Y818" s="5" t="inlineStr"/>
      <c r="Z818" s="6" t="inlineStr"/>
      <c r="AA818" s="5" t="inlineStr"/>
      <c r="AB818" s="5" t="inlineStr"/>
      <c r="AC818" s="5" t="inlineStr"/>
      <c r="AD818" s="5" t="inlineStr"/>
      <c r="AE818" s="5" t="inlineStr"/>
      <c r="AF818" s="5" t="inlineStr"/>
      <c r="AG818" s="5" t="inlineStr"/>
      <c r="AH818" s="5" t="inlineStr"/>
    </row>
    <row r="819">
      <c r="A819" s="5" t="inlineStr">
        <is>
          <t>b8-kirk-yas</t>
        </is>
      </c>
      <c r="B819" s="5" t="n">
        <v>2</v>
      </c>
      <c r="C819" s="6" t="inlineStr">
        <is>
          <t>Büyük bir değişiklik ilan et</t>
        </is>
      </c>
      <c r="D819" s="5" t="inlineStr">
        <is>
          <t>Cesaret</t>
        </is>
      </c>
      <c r="E819" s="5" t="inlineStr">
        <is>
          <t>Orta</t>
        </is>
      </c>
      <c r="F819" s="5" t="inlineStr"/>
      <c r="G819" s="6" t="inlineStr"/>
      <c r="H819" s="6" t="inlineStr">
        <is>
          <t>Hayatını değiştireceğini ilan ettin. İlk adım olarak spor salonuna yıllık üyelik alındı. İkinci adım bekleniyor.</t>
        </is>
      </c>
      <c r="I819" s="6" t="inlineStr">
        <is>
          <t>İlanın aile tarafından ciddiye alındı. Kimse neyin değiştiğini bilmiyor ama herkes saygı duyuyor.</t>
        </is>
      </c>
      <c r="J819" s="6" t="inlineStr">
        <is>
          <t>Büyük bir değişiklik ilan ettin. Salı günü unuttun.</t>
        </is>
      </c>
      <c r="K819" s="6" t="inlineStr">
        <is>
          <t>Değişiklik olarak saçını sarıya boyattın. Fotoğraflar aile arşivinde 'Kriz Dönemi' klasöründe.</t>
        </is>
      </c>
      <c r="L819" s="6" t="inlineStr"/>
      <c r="M819" s="5" t="inlineStr"/>
      <c r="N819" s="5" t="inlineStr"/>
      <c r="O819" s="6" t="inlineStr"/>
      <c r="P819" s="6" t="inlineStr"/>
      <c r="Q819" s="5" t="inlineStr"/>
      <c r="R819" s="5" t="inlineStr"/>
      <c r="S819" s="5" t="inlineStr"/>
      <c r="T819" s="5" t="inlineStr"/>
      <c r="U819" s="5" t="inlineStr"/>
      <c r="V819" s="5" t="inlineStr"/>
      <c r="W819" s="5" t="inlineStr"/>
      <c r="X819" s="5" t="inlineStr"/>
      <c r="Y819" s="5" t="inlineStr"/>
      <c r="Z819" s="6" t="inlineStr"/>
      <c r="AA819" s="5" t="inlineStr"/>
      <c r="AB819" s="5" t="inlineStr"/>
      <c r="AC819" s="5" t="inlineStr"/>
      <c r="AD819" s="5" t="inlineStr"/>
      <c r="AE819" s="5" t="inlineStr"/>
      <c r="AF819" s="5" t="inlineStr"/>
      <c r="AG819" s="5" t="inlineStr"/>
      <c r="AH819" s="5" t="inlineStr"/>
    </row>
    <row r="820">
      <c r="A820" s="5" t="inlineStr">
        <is>
          <t>b8-kirk-yas</t>
        </is>
      </c>
      <c r="B820" s="5" t="n">
        <v>3</v>
      </c>
      <c r="C820" s="6" t="inlineStr">
        <is>
          <t>Kırk yaşın iyi yanlarını listele</t>
        </is>
      </c>
      <c r="D820" s="5" t="inlineStr">
        <is>
          <t>Akıl</t>
        </is>
      </c>
      <c r="E820" s="5" t="inlineStr">
        <is>
          <t>Zor</t>
        </is>
      </c>
      <c r="F820" s="5" t="inlineStr"/>
      <c r="G820" s="6" t="inlineStr"/>
      <c r="H820" s="6" t="inlineStr">
        <is>
          <t>Liste üç maddeden oluştu: geç yatma hakkı, indirim kuponları ve kimseye kanıtlayacak bir şeyin kalmaması.</t>
        </is>
      </c>
      <c r="I820" s="6" t="inlineStr">
        <is>
          <t>Liste o kadar ikna edici oldu ki otuzlu yaşlardaki arkadaşların kırka girmek için gün sayıyor.</t>
        </is>
      </c>
      <c r="J820" s="6" t="inlineStr">
        <is>
          <t>Listeye bir madde yazdın, sonra ne yazacağını düşünürken maç başladı.</t>
        </is>
      </c>
      <c r="K820" s="6" t="inlineStr">
        <is>
          <t>Listeyi yazmak için okuma gözlüğünü aradın. Gözlük alnındaydı. Liste tamamlanamadı.</t>
        </is>
      </c>
      <c r="L820" s="6" t="inlineStr"/>
      <c r="M820" s="5" t="inlineStr"/>
      <c r="N820" s="5" t="inlineStr"/>
      <c r="O820" s="6" t="inlineStr"/>
      <c r="P820" s="6" t="inlineStr"/>
      <c r="Q820" s="5" t="inlineStr"/>
      <c r="R820" s="5" t="inlineStr"/>
      <c r="S820" s="5" t="inlineStr">
        <is>
          <t>Akıl</t>
        </is>
      </c>
      <c r="T820" s="5" t="inlineStr">
        <is>
          <t>Analitik Zihin</t>
        </is>
      </c>
      <c r="U820" s="5" t="inlineStr"/>
      <c r="V820" s="5" t="inlineStr"/>
      <c r="W820" s="5" t="inlineStr"/>
      <c r="X820" s="5" t="inlineStr"/>
      <c r="Y820" s="5" t="inlineStr"/>
      <c r="Z820" s="6" t="inlineStr"/>
      <c r="AA820" s="5" t="inlineStr"/>
      <c r="AB820" s="5" t="inlineStr"/>
      <c r="AC820" s="5" t="inlineStr"/>
      <c r="AD820" s="5" t="inlineStr"/>
      <c r="AE820" s="5" t="inlineStr"/>
      <c r="AF820" s="5" t="inlineStr"/>
      <c r="AG820" s="5" t="inlineStr"/>
      <c r="AH820" s="5" t="inlineStr"/>
    </row>
    <row r="821">
      <c r="A821" s="5" t="inlineStr">
        <is>
          <t>b8-kirk-yas</t>
        </is>
      </c>
      <c r="B821" s="5" t="n">
        <v>4</v>
      </c>
      <c r="C821" s="6" t="inlineStr">
        <is>
          <t>Kutlamayı iptal et</t>
        </is>
      </c>
      <c r="D821" s="5" t="inlineStr">
        <is>
          <t>Pişkinlik</t>
        </is>
      </c>
      <c r="E821" s="5" t="inlineStr">
        <is>
          <t>Kolay</t>
        </is>
      </c>
      <c r="F821" s="5" t="inlineStr"/>
      <c r="G821" s="6" t="inlineStr"/>
      <c r="H821" s="6" t="inlineStr">
        <is>
          <t>'Kırk sadece bir sayı' dedin. Pasta yine geldi, ama mumsuz.</t>
        </is>
      </c>
      <c r="I821" s="6" t="inlineStr">
        <is>
          <t>İptal kararını duyan sürpriz parti ekibi daha büyük bir parti planladı. Sen o akşam başka şehirdeydin.</t>
        </is>
      </c>
      <c r="J821" s="6" t="inlineStr">
        <is>
          <t>İptal edilemedi. Aile mesaj grubuna 'İyi ki doğdun' mesajı 47 kez düştü.</t>
        </is>
      </c>
      <c r="K821" s="6" t="inlineStr">
        <is>
          <t>Kutlamayı iptal ettin; herkes doğum gününü unuttu. Sen hariç.</t>
        </is>
      </c>
      <c r="L821" s="6" t="inlineStr"/>
      <c r="M821" s="5" t="inlineStr"/>
      <c r="N821" s="5" t="inlineStr"/>
      <c r="O821" s="6" t="inlineStr"/>
      <c r="P821" s="6" t="inlineStr"/>
      <c r="Q821" s="5" t="inlineStr"/>
      <c r="R821" s="5" t="inlineStr"/>
      <c r="S821" s="5" t="inlineStr"/>
      <c r="T821" s="5" t="inlineStr"/>
      <c r="U821" s="5" t="inlineStr"/>
      <c r="V821" s="5" t="inlineStr"/>
      <c r="W821" s="5" t="inlineStr"/>
      <c r="X821" s="5" t="inlineStr"/>
      <c r="Y821" s="5" t="inlineStr"/>
      <c r="Z821" s="6" t="inlineStr"/>
      <c r="AA821" s="5" t="inlineStr"/>
      <c r="AB821" s="5" t="inlineStr"/>
      <c r="AC821" s="5" t="inlineStr"/>
      <c r="AD821" s="5" t="inlineStr"/>
      <c r="AE821" s="5" t="inlineStr"/>
      <c r="AF821" s="5" t="inlineStr"/>
      <c r="AG821" s="5" t="inlineStr"/>
      <c r="AH821" s="5" t="inlineStr"/>
    </row>
    <row r="822">
      <c r="A822" s="5" t="inlineStr">
        <is>
          <t>b8-motosiklet</t>
        </is>
      </c>
      <c r="B822" s="5" t="n">
        <v>1</v>
      </c>
      <c r="C822" s="6" t="inlineStr">
        <is>
          <t>Broşürü al, eve git</t>
        </is>
      </c>
      <c r="D822" s="5" t="inlineStr"/>
      <c r="E822" s="5" t="inlineStr"/>
      <c r="F822" s="5" t="inlineStr">
        <is>
          <t>İtibar +1</t>
        </is>
      </c>
      <c r="G822" s="6" t="inlineStr">
        <is>
          <t>Broşür buzdolabının kapağına asıldı. Yıllarca orada kalacak; yakıt harcamadan, hayal olarak.</t>
        </is>
      </c>
      <c r="H822" s="6" t="inlineStr"/>
      <c r="I822" s="6" t="inlineStr"/>
      <c r="J822" s="6" t="inlineStr"/>
      <c r="K822" s="6" t="inlineStr"/>
      <c r="L822" s="6" t="inlineStr"/>
      <c r="M822" s="5" t="inlineStr"/>
      <c r="N822" s="5" t="inlineStr"/>
      <c r="O822" s="6" t="inlineStr"/>
      <c r="P822" s="6" t="inlineStr"/>
      <c r="Q822" s="5" t="inlineStr"/>
      <c r="R822" s="5" t="inlineStr"/>
      <c r="S822" s="5" t="inlineStr"/>
      <c r="T822" s="5" t="inlineStr"/>
      <c r="U822" s="5" t="inlineStr"/>
      <c r="V822" s="5" t="inlineStr"/>
      <c r="W822" s="5" t="inlineStr"/>
      <c r="X822" s="5" t="inlineStr"/>
      <c r="Y822" s="5" t="inlineStr"/>
      <c r="Z822" s="6" t="inlineStr"/>
      <c r="AA822" s="5" t="inlineStr"/>
      <c r="AB822" s="5" t="inlineStr"/>
      <c r="AC822" s="5" t="inlineStr"/>
      <c r="AD822" s="5" t="inlineStr"/>
      <c r="AE822" s="5" t="inlineStr"/>
      <c r="AF822" s="5" t="inlineStr"/>
      <c r="AG822" s="5" t="inlineStr"/>
      <c r="AH822" s="5" t="inlineStr"/>
    </row>
    <row r="823">
      <c r="A823" s="5" t="inlineStr">
        <is>
          <t>b8-motosiklet</t>
        </is>
      </c>
      <c r="B823" s="5" t="n">
        <v>2</v>
      </c>
      <c r="C823" s="6" t="inlineStr">
        <is>
          <t>Satın al, ilk turu at</t>
        </is>
      </c>
      <c r="D823" s="5" t="inlineStr">
        <is>
          <t>Cesaret</t>
        </is>
      </c>
      <c r="E823" s="5" t="inlineStr">
        <is>
          <t>Zor</t>
        </is>
      </c>
      <c r="F823" s="5" t="inlineStr"/>
      <c r="G823" s="6" t="inlineStr"/>
      <c r="H823" s="6" t="inlineStr">
        <is>
          <t>Sahil yolunda ilk turunu attın. Kaskın içinde kimse göremedi, ama gülümsüyordun.</t>
        </is>
      </c>
      <c r="I823" s="6" t="inlineStr">
        <is>
          <t>İlk turda bir motosiklet grubu sana selam verdi. Artık bir derneğin fahri üyesisin.</t>
        </is>
      </c>
      <c r="J823" s="6" t="inlineStr">
        <is>
          <t>Motosikleti aldın; garajdan çıkarmaya cesaret etmen üç ay sürdü. Şu an üstünde çamaşır kuruyor.</t>
        </is>
      </c>
      <c r="K823" s="6" t="inlineStr">
        <is>
          <t>İlk turda devrildin; sabit dururken. İlan: 'Az kullanılmış, bir kez yatırılmış.'</t>
        </is>
      </c>
      <c r="L823" s="6" t="inlineStr"/>
      <c r="M823" s="5" t="inlineStr"/>
      <c r="N823" s="5" t="inlineStr"/>
      <c r="O823" s="6" t="inlineStr"/>
      <c r="P823" s="6" t="inlineStr"/>
      <c r="Q823" s="5" t="inlineStr"/>
      <c r="R823" s="5" t="inlineStr"/>
      <c r="S823" s="5" t="inlineStr"/>
      <c r="T823" s="5" t="inlineStr"/>
      <c r="U823" s="5" t="inlineStr"/>
      <c r="V823" s="5" t="inlineStr">
        <is>
          <t>motosikletli</t>
        </is>
      </c>
      <c r="W823" s="5" t="inlineStr"/>
      <c r="X823" s="5" t="inlineStr"/>
      <c r="Y823" s="5" t="n">
        <v>5</v>
      </c>
      <c r="Z823" s="6" t="inlineStr">
        <is>
          <t>Yeni aldığı motosikletle ilk virajda. Viraj hâlâ orada, sapasağlam.</t>
        </is>
      </c>
      <c r="AA823" s="5" t="inlineStr"/>
      <c r="AB823" s="5" t="inlineStr"/>
      <c r="AC823" s="5" t="inlineStr"/>
      <c r="AD823" s="5" t="inlineStr"/>
      <c r="AE823" s="5" t="inlineStr"/>
      <c r="AF823" s="5" t="inlineStr"/>
      <c r="AG823" s="5" t="inlineStr"/>
      <c r="AH823" s="5" t="inlineStr"/>
    </row>
    <row r="824">
      <c r="A824" s="5" t="inlineStr">
        <is>
          <t>b8-motosiklet</t>
        </is>
      </c>
      <c r="B824" s="5" t="n">
        <v>3</v>
      </c>
      <c r="C824" s="6" t="inlineStr">
        <is>
          <t>Elektrikli bisiklete pazarlık et</t>
        </is>
      </c>
      <c r="D824" s="5" t="inlineStr">
        <is>
          <t>Çene</t>
        </is>
      </c>
      <c r="E824" s="5" t="inlineStr">
        <is>
          <t>Kolay</t>
        </is>
      </c>
      <c r="F824" s="5" t="inlineStr"/>
      <c r="G824" s="6" t="inlineStr"/>
      <c r="H824" s="6" t="inlineStr">
        <is>
          <t>Motosiklet yerine elektrikli bisiklet aldın. Rüzgâr aynı rüzgâr, prim yok.</t>
        </is>
      </c>
      <c r="I824" s="6" t="inlineStr">
        <is>
          <t>Satıcıyı öyle konuşturdun ki kaskı hediye verdi. Kask bisikletten pahalı.</t>
        </is>
      </c>
      <c r="J824" s="6" t="inlineStr">
        <is>
          <t>Bisikleti aldın; şarj aletinin ayrı satıldığını kasada öğrendin.</t>
        </is>
      </c>
      <c r="K824" s="6" t="inlineStr">
        <is>
          <t>Bisikleti aldın. Mahallede 'Kriz geçiriyor ama bütçeli' diye anılıyorsun.</t>
        </is>
      </c>
      <c r="L824" s="6" t="inlineStr"/>
      <c r="M824" s="5" t="inlineStr"/>
      <c r="N824" s="5" t="inlineStr"/>
      <c r="O824" s="6" t="inlineStr"/>
      <c r="P824" s="6" t="inlineStr"/>
      <c r="Q824" s="5" t="inlineStr"/>
      <c r="R824" s="5" t="inlineStr"/>
      <c r="S824" s="5" t="inlineStr"/>
      <c r="T824" s="5" t="inlineStr"/>
      <c r="U824" s="5" t="inlineStr"/>
      <c r="V824" s="5" t="inlineStr"/>
      <c r="W824" s="5" t="inlineStr"/>
      <c r="X824" s="5" t="inlineStr"/>
      <c r="Y824" s="5" t="inlineStr"/>
      <c r="Z824" s="6" t="inlineStr"/>
      <c r="AA824" s="5" t="inlineStr"/>
      <c r="AB824" s="5" t="inlineStr"/>
      <c r="AC824" s="5" t="inlineStr"/>
      <c r="AD824" s="5" t="inlineStr"/>
      <c r="AE824" s="5" t="inlineStr"/>
      <c r="AF824" s="5" t="inlineStr"/>
      <c r="AG824" s="5" t="inlineStr"/>
      <c r="AH824" s="5" t="inlineStr"/>
    </row>
    <row r="825">
      <c r="A825" s="5" t="inlineStr">
        <is>
          <t>b8-motosiklet</t>
        </is>
      </c>
      <c r="B825" s="5" t="n">
        <v>4</v>
      </c>
      <c r="C825" s="6" t="inlineStr">
        <is>
          <t>Çocukluktaki alçıyı hatırla</t>
        </is>
      </c>
      <c r="D825" s="5" t="inlineStr"/>
      <c r="E825" s="5" t="inlineStr"/>
      <c r="F825" s="5" t="inlineStr">
        <is>
          <t>İtibar +2, Akıl +1</t>
        </is>
      </c>
      <c r="G825" s="6" t="inlineStr">
        <is>
          <t>Sol kolun hâlâ hava değişimini haber veriyor. Motosiklete teşekkür edip galeriden ayrıldın. Kol minnettar.</t>
        </is>
      </c>
      <c r="H825" s="6" t="inlineStr"/>
      <c r="I825" s="6" t="inlineStr"/>
      <c r="J825" s="6" t="inlineStr"/>
      <c r="K825" s="6" t="inlineStr"/>
      <c r="L825" s="6" t="inlineStr"/>
      <c r="M825" s="5" t="inlineStr"/>
      <c r="N825" s="5" t="inlineStr"/>
      <c r="O825" s="6" t="inlineStr"/>
      <c r="P825" s="6" t="inlineStr"/>
      <c r="Q825" s="5" t="inlineStr"/>
      <c r="R825" s="5" t="inlineStr">
        <is>
          <t>alcili-kol</t>
        </is>
      </c>
      <c r="S825" s="5" t="inlineStr"/>
      <c r="T825" s="5" t="inlineStr"/>
      <c r="U825" s="5" t="inlineStr"/>
      <c r="V825" s="5" t="inlineStr"/>
      <c r="W825" s="5" t="inlineStr"/>
      <c r="X825" s="5" t="inlineStr"/>
      <c r="Y825" s="5" t="inlineStr"/>
      <c r="Z825" s="6" t="inlineStr"/>
      <c r="AA825" s="5" t="inlineStr"/>
      <c r="AB825" s="5" t="inlineStr"/>
      <c r="AC825" s="5" t="inlineStr"/>
      <c r="AD825" s="5" t="inlineStr"/>
      <c r="AE825" s="5" t="inlineStr"/>
      <c r="AF825" s="5" t="inlineStr"/>
      <c r="AG825" s="5" t="inlineStr"/>
      <c r="AH825" s="5" t="inlineStr"/>
    </row>
    <row r="826">
      <c r="A826" s="5" t="inlineStr">
        <is>
          <t>b8-sac-meselesi</t>
        </is>
      </c>
      <c r="B826" s="5" t="n">
        <v>1</v>
      </c>
      <c r="C826" s="6" t="inlineStr">
        <is>
          <t>Kabullen, sıfıra vur</t>
        </is>
      </c>
      <c r="D826" s="5" t="inlineStr">
        <is>
          <t>Cesaret</t>
        </is>
      </c>
      <c r="E826" s="5" t="inlineStr">
        <is>
          <t>Orta</t>
        </is>
      </c>
      <c r="F826" s="5" t="inlineStr"/>
      <c r="G826" s="6" t="inlineStr"/>
      <c r="H826" s="6" t="inlineStr">
        <is>
          <t>Sıfıra vurdun. Yeni imajın 'kararlı yönetici' olarak tescil edildi.</t>
        </is>
      </c>
      <c r="I826" s="6" t="inlineStr">
        <is>
          <t>Sıfıra vurdun; herkes neden daha önce yapmadığını sordu. Başın hiç bu kadar iyi görünmemişti.</t>
        </is>
      </c>
      <c r="J826" s="6" t="inlineStr">
        <is>
          <t>Sıfıra vurdun ve kafa şeklinle ilk kez tanıştın. Bir kasket alındı.</t>
        </is>
      </c>
      <c r="K826" s="6" t="inlineStr">
        <is>
          <t>Sıfıra vurdun; ilk gün güneş yanığı. Aile grubunda domates çıkartması dolaşıyor.</t>
        </is>
      </c>
      <c r="L826" s="6" t="inlineStr"/>
      <c r="M826" s="5" t="inlineStr"/>
      <c r="N826" s="5" t="inlineStr"/>
      <c r="O826" s="6" t="inlineStr"/>
      <c r="P826" s="6" t="inlineStr"/>
      <c r="Q826" s="5" t="inlineStr"/>
      <c r="R826" s="5" t="inlineStr"/>
      <c r="S826" s="5" t="inlineStr"/>
      <c r="T826" s="5" t="inlineStr"/>
      <c r="U826" s="5" t="inlineStr"/>
      <c r="V826" s="5" t="inlineStr"/>
      <c r="W826" s="5" t="inlineStr"/>
      <c r="X826" s="5" t="inlineStr"/>
      <c r="Y826" s="5" t="inlineStr"/>
      <c r="Z826" s="6" t="inlineStr"/>
      <c r="AA826" s="5" t="inlineStr"/>
      <c r="AB826" s="5" t="inlineStr"/>
      <c r="AC826" s="5" t="inlineStr"/>
      <c r="AD826" s="5" t="inlineStr"/>
      <c r="AE826" s="5" t="inlineStr"/>
      <c r="AF826" s="5" t="inlineStr"/>
      <c r="AG826" s="5" t="inlineStr"/>
      <c r="AH826" s="5" t="inlineStr"/>
    </row>
    <row r="827">
      <c r="A827" s="5" t="inlineStr">
        <is>
          <t>b8-sac-meselesi</t>
        </is>
      </c>
      <c r="B827" s="5" t="n">
        <v>2</v>
      </c>
      <c r="C827" s="6" t="inlineStr">
        <is>
          <t>Saç ekimini araştır</t>
        </is>
      </c>
      <c r="D827" s="5" t="inlineStr">
        <is>
          <t>Akıl</t>
        </is>
      </c>
      <c r="E827" s="5" t="inlineStr">
        <is>
          <t>Kolay</t>
        </is>
      </c>
      <c r="F827" s="5" t="inlineStr"/>
      <c r="G827" s="6" t="inlineStr"/>
      <c r="H827" s="6" t="inlineStr">
        <is>
          <t>Yirmi sekme açtın, dört fiyat aldın. Karar bahara ertelendi; bahar her yıl gelir.</t>
        </is>
      </c>
      <c r="I827" s="6" t="inlineStr">
        <is>
          <t>Araştırman o kadar kapsamlı oldu ki arkadaşların sana danışıyor. Yeni bir uzmanlık alanı açıldı.</t>
        </is>
      </c>
      <c r="J827" s="6" t="inlineStr">
        <is>
          <t>Araştırma sırasında reklamlar seni fark etti. Artık her ekranda şampuan var.</t>
        </is>
      </c>
      <c r="K827" s="6" t="inlineStr">
        <is>
          <t>Önce/sonra fotoğraflarını karşılaştırırken kendi fotoğrafını 'önce' klasörüne kaydettin. Kalıcı olarak.</t>
        </is>
      </c>
      <c r="L827" s="6" t="inlineStr"/>
      <c r="M827" s="5" t="inlineStr"/>
      <c r="N827" s="5" t="inlineStr"/>
      <c r="O827" s="6" t="inlineStr"/>
      <c r="P827" s="6" t="inlineStr"/>
      <c r="Q827" s="5" t="inlineStr"/>
      <c r="R827" s="5" t="inlineStr"/>
      <c r="S827" s="5" t="inlineStr"/>
      <c r="T827" s="5" t="inlineStr"/>
      <c r="U827" s="5" t="inlineStr"/>
      <c r="V827" s="5" t="inlineStr"/>
      <c r="W827" s="5" t="inlineStr"/>
      <c r="X827" s="5" t="inlineStr"/>
      <c r="Y827" s="5" t="inlineStr"/>
      <c r="Z827" s="6" t="inlineStr"/>
      <c r="AA827" s="5" t="inlineStr"/>
      <c r="AB827" s="5" t="inlineStr"/>
      <c r="AC827" s="5" t="inlineStr"/>
      <c r="AD827" s="5" t="inlineStr"/>
      <c r="AE827" s="5" t="inlineStr"/>
      <c r="AF827" s="5" t="inlineStr"/>
      <c r="AG827" s="5" t="inlineStr"/>
      <c r="AH827" s="5" t="inlineStr"/>
    </row>
    <row r="828">
      <c r="A828" s="5" t="inlineStr">
        <is>
          <t>b8-sac-meselesi</t>
        </is>
      </c>
      <c r="B828" s="5" t="n">
        <v>3</v>
      </c>
      <c r="C828" s="6" t="inlineStr">
        <is>
          <t>Yandan tarama tekniğini dene</t>
        </is>
      </c>
      <c r="D828" s="5" t="inlineStr">
        <is>
          <t>Pişkinlik</t>
        </is>
      </c>
      <c r="E828" s="5" t="inlineStr">
        <is>
          <t>Zor</t>
        </is>
      </c>
      <c r="F828" s="5" t="inlineStr"/>
      <c r="G828" s="6" t="inlineStr"/>
      <c r="H828" s="6" t="inlineStr">
        <is>
          <t>Yandan taradın. Rüzgârsız günlerde kusursuz.</t>
        </is>
      </c>
      <c r="I828" s="6" t="inlineStr">
        <is>
          <t>Tarama o kadar ustaca ki berber tekniğini sordu. Patent başvurusu değerlendiriliyor.</t>
        </is>
      </c>
      <c r="J828" s="6" t="inlineStr">
        <is>
          <t>Taradın; ilk rüzgâr dosyayı yeniden açtı.</t>
        </is>
      </c>
      <c r="K828" s="6" t="inlineStr">
        <is>
          <t>Toplantıda klima açıldı. Saçın yön değiştirdi, toplantı gündem değiştirdi.</t>
        </is>
      </c>
      <c r="L828" s="6" t="inlineStr"/>
      <c r="M828" s="5" t="inlineStr"/>
      <c r="N828" s="5" t="inlineStr"/>
      <c r="O828" s="6" t="inlineStr"/>
      <c r="P828" s="6" t="inlineStr"/>
      <c r="Q828" s="5" t="inlineStr"/>
      <c r="R828" s="5" t="inlineStr"/>
      <c r="S828" s="5" t="inlineStr"/>
      <c r="T828" s="5" t="inlineStr">
        <is>
          <t>Yüzü Kızarmaz</t>
        </is>
      </c>
      <c r="U828" s="5" t="inlineStr"/>
      <c r="V828" s="5" t="inlineStr"/>
      <c r="W828" s="5" t="inlineStr"/>
      <c r="X828" s="5" t="inlineStr"/>
      <c r="Y828" s="5" t="inlineStr"/>
      <c r="Z828" s="6" t="inlineStr"/>
      <c r="AA828" s="5" t="inlineStr"/>
      <c r="AB828" s="5" t="inlineStr"/>
      <c r="AC828" s="5" t="inlineStr"/>
      <c r="AD828" s="5" t="inlineStr"/>
      <c r="AE828" s="5" t="inlineStr"/>
      <c r="AF828" s="5" t="inlineStr"/>
      <c r="AG828" s="5" t="inlineStr"/>
      <c r="AH828" s="5" t="inlineStr"/>
    </row>
    <row r="829">
      <c r="A829" s="5" t="inlineStr">
        <is>
          <t>b8-sac-meselesi</t>
        </is>
      </c>
      <c r="B829" s="5" t="n">
        <v>4</v>
      </c>
      <c r="C829" s="6" t="inlineStr">
        <is>
          <t>Şapka koleksiyonuna başla</t>
        </is>
      </c>
      <c r="D829" s="5" t="inlineStr"/>
      <c r="E829" s="5" t="inlineStr"/>
      <c r="F829" s="5" t="inlineStr">
        <is>
          <t>Kurnazlık +1</t>
        </is>
      </c>
      <c r="G829" s="6" t="inlineStr">
        <is>
          <t>Dört şapka aldın. Sorun çözülmedi, ama bir stile kavuştu.</t>
        </is>
      </c>
      <c r="H829" s="6" t="inlineStr"/>
      <c r="I829" s="6" t="inlineStr"/>
      <c r="J829" s="6" t="inlineStr"/>
      <c r="K829" s="6" t="inlineStr"/>
      <c r="L829" s="6" t="inlineStr"/>
      <c r="M829" s="5" t="inlineStr"/>
      <c r="N829" s="5" t="inlineStr"/>
      <c r="O829" s="6" t="inlineStr"/>
      <c r="P829" s="6" t="inlineStr"/>
      <c r="Q829" s="5" t="inlineStr"/>
      <c r="R829" s="5" t="inlineStr"/>
      <c r="S829" s="5" t="inlineStr"/>
      <c r="T829" s="5" t="inlineStr"/>
      <c r="U829" s="5" t="inlineStr"/>
      <c r="V829" s="5" t="inlineStr"/>
      <c r="W829" s="5" t="inlineStr"/>
      <c r="X829" s="5" t="inlineStr"/>
      <c r="Y829" s="5" t="inlineStr"/>
      <c r="Z829" s="6" t="inlineStr"/>
      <c r="AA829" s="5" t="inlineStr"/>
      <c r="AB829" s="5" t="inlineStr"/>
      <c r="AC829" s="5" t="inlineStr"/>
      <c r="AD829" s="5" t="inlineStr"/>
      <c r="AE829" s="5" t="inlineStr"/>
      <c r="AF829" s="5" t="inlineStr"/>
      <c r="AG829" s="5" t="inlineStr"/>
      <c r="AH829" s="5" t="inlineStr"/>
    </row>
    <row r="830">
      <c r="A830" s="5" t="inlineStr">
        <is>
          <t>ms-sigortasiz-hayat</t>
        </is>
      </c>
      <c r="B830" s="5" t="n">
        <v>1</v>
      </c>
      <c r="C830" s="6" t="inlineStr">
        <is>
          <t>Geriye dönük prim öde</t>
        </is>
      </c>
      <c r="D830" s="5" t="inlineStr"/>
      <c r="E830" s="5" t="inlineStr"/>
      <c r="F830" s="5" t="inlineStr">
        <is>
          <t>İtibar +1</t>
        </is>
      </c>
      <c r="G830" s="6" t="inlineStr">
        <is>
          <t>Birikmiş primleri yatırdın. Emekliliğin artık bir tarih. Çok uzak ama bir tarih.</t>
        </is>
      </c>
      <c r="H830" s="6" t="inlineStr"/>
      <c r="I830" s="6" t="inlineStr"/>
      <c r="J830" s="6" t="inlineStr"/>
      <c r="K830" s="6" t="inlineStr"/>
      <c r="L830" s="6" t="inlineStr"/>
      <c r="M830" s="5" t="inlineStr"/>
      <c r="N830" s="5" t="inlineStr"/>
      <c r="O830" s="6" t="inlineStr"/>
      <c r="P830" s="6" t="inlineStr"/>
      <c r="Q830" s="5" t="inlineStr"/>
      <c r="R830" s="5" t="inlineStr"/>
      <c r="S830" s="5" t="inlineStr"/>
      <c r="T830" s="5" t="inlineStr"/>
      <c r="U830" s="5" t="inlineStr"/>
      <c r="V830" s="5" t="inlineStr"/>
      <c r="W830" s="5" t="inlineStr"/>
      <c r="X830" s="5" t="inlineStr"/>
      <c r="Y830" s="5" t="inlineStr"/>
      <c r="Z830" s="6" t="inlineStr"/>
      <c r="AA830" s="5" t="inlineStr"/>
      <c r="AB830" s="5" t="inlineStr"/>
      <c r="AC830" s="5" t="inlineStr"/>
      <c r="AD830" s="5" t="inlineStr"/>
      <c r="AE830" s="5" t="inlineStr"/>
      <c r="AF830" s="5" t="inlineStr"/>
      <c r="AG830" s="5" t="inlineStr"/>
      <c r="AH830" s="5" t="inlineStr"/>
    </row>
    <row r="831">
      <c r="A831" s="5" t="inlineStr">
        <is>
          <t>ms-sigortasiz-hayat</t>
        </is>
      </c>
      <c r="B831" s="5" t="n">
        <v>2</v>
      </c>
      <c r="C831" s="6" t="inlineStr">
        <is>
          <t>Özel sigorta araştır</t>
        </is>
      </c>
      <c r="D831" s="5" t="inlineStr">
        <is>
          <t>Akıl</t>
        </is>
      </c>
      <c r="E831" s="5" t="inlineStr">
        <is>
          <t>Orta</t>
        </is>
      </c>
      <c r="F831" s="5" t="inlineStr"/>
      <c r="G831" s="6" t="inlineStr"/>
      <c r="H831" s="6" t="inlineStr">
        <is>
          <t>Uygun bir poliçe buldun. Küçük harflerini de okudun. Tarihte bunu yapan ilk kişisin.</t>
        </is>
      </c>
      <c r="I831" s="6" t="inlineStr">
        <is>
          <t>Serbest çalışanlara özel bir poliçe buldun ve arkadaşlarına da yaptırdın. Komisyon bile aldın.</t>
        </is>
      </c>
      <c r="J831" s="6" t="inlineStr">
        <is>
          <t>Poliçe buldun; prim, kira kadar. Kira da kira kadar.</t>
        </is>
      </c>
      <c r="K831" s="6" t="inlineStr">
        <is>
          <t>Poliçeyi dikkatle okudun. Kapsam dışı: 'Serbest çalışmaktan doğan her şey.'</t>
        </is>
      </c>
      <c r="L831" s="6" t="inlineStr"/>
      <c r="M831" s="5" t="inlineStr"/>
      <c r="N831" s="5" t="inlineStr"/>
      <c r="O831" s="6" t="inlineStr"/>
      <c r="P831" s="6" t="inlineStr"/>
      <c r="Q831" s="5" t="inlineStr"/>
      <c r="R831" s="5" t="inlineStr"/>
      <c r="S831" s="5" t="inlineStr"/>
      <c r="T831" s="5" t="inlineStr"/>
      <c r="U831" s="5" t="inlineStr"/>
      <c r="V831" s="5" t="inlineStr"/>
      <c r="W831" s="5" t="inlineStr"/>
      <c r="X831" s="5" t="inlineStr"/>
      <c r="Y831" s="5" t="inlineStr"/>
      <c r="Z831" s="6" t="inlineStr"/>
      <c r="AA831" s="5" t="inlineStr"/>
      <c r="AB831" s="5" t="inlineStr"/>
      <c r="AC831" s="5" t="inlineStr"/>
      <c r="AD831" s="5" t="inlineStr"/>
      <c r="AE831" s="5" t="inlineStr"/>
      <c r="AF831" s="5" t="inlineStr"/>
      <c r="AG831" s="5" t="inlineStr"/>
      <c r="AH831" s="5" t="inlineStr"/>
    </row>
    <row r="832">
      <c r="A832" s="5" t="inlineStr">
        <is>
          <t>ms-sigortasiz-hayat</t>
        </is>
      </c>
      <c r="B832" s="5" t="n">
        <v>3</v>
      </c>
      <c r="C832" s="6" t="inlineStr">
        <is>
          <t>Eşinin sigortasına bağlan</t>
        </is>
      </c>
      <c r="D832" s="5" t="inlineStr">
        <is>
          <t>Kurnazlık</t>
        </is>
      </c>
      <c r="E832" s="5" t="inlineStr">
        <is>
          <t>Kolay</t>
        </is>
      </c>
      <c r="F832" s="5" t="inlineStr"/>
      <c r="G832" s="6" t="inlineStr"/>
      <c r="H832" s="6" t="inlineStr">
        <is>
          <t>Eşinin sigortasından yararlanan kişi oldun. Resmî unvanın bu.</t>
        </is>
      </c>
      <c r="I832" s="6" t="inlineStr">
        <is>
          <t>Bütün işlemleri tek günde bitirdin. Memur 'Bu kadar hızlısını görmedim' dedi.</t>
        </is>
      </c>
      <c r="J832" s="6" t="inlineStr">
        <is>
          <t>Belgelerden biri eksik: evlilik cüzdanının aslı. Aslı çekmecede, çekmece kayıp.</t>
        </is>
      </c>
      <c r="K832" s="6" t="inlineStr">
        <is>
          <t>Formda eşinin adını yanlış yazdın. Sistem ikinci bir evlilik başvurusu başlattı.</t>
        </is>
      </c>
      <c r="L832" s="6" t="inlineStr"/>
      <c r="M832" s="5" t="inlineStr"/>
      <c r="N832" s="5" t="inlineStr"/>
      <c r="O832" s="6" t="inlineStr"/>
      <c r="P832" s="6" t="inlineStr"/>
      <c r="Q832" s="5" t="inlineStr"/>
      <c r="R832" s="5" t="inlineStr">
        <is>
          <t>evli</t>
        </is>
      </c>
      <c r="S832" s="5" t="inlineStr"/>
      <c r="T832" s="5" t="inlineStr"/>
      <c r="U832" s="5" t="inlineStr"/>
      <c r="V832" s="5" t="inlineStr"/>
      <c r="W832" s="5" t="inlineStr"/>
      <c r="X832" s="5" t="inlineStr"/>
      <c r="Y832" s="5" t="inlineStr"/>
      <c r="Z832" s="6" t="inlineStr"/>
      <c r="AA832" s="5" t="inlineStr"/>
      <c r="AB832" s="5" t="inlineStr"/>
      <c r="AC832" s="5" t="inlineStr"/>
      <c r="AD832" s="5" t="inlineStr"/>
      <c r="AE832" s="5" t="inlineStr"/>
      <c r="AF832" s="5" t="inlineStr"/>
      <c r="AG832" s="5" t="inlineStr"/>
      <c r="AH832" s="5" t="inlineStr"/>
    </row>
    <row r="833">
      <c r="A833" s="5" t="inlineStr">
        <is>
          <t>ms-sigortasiz-hayat</t>
        </is>
      </c>
      <c r="B833" s="5" t="n">
        <v>4</v>
      </c>
      <c r="C833" s="6" t="inlineStr">
        <is>
          <t>Borçları yapılandır</t>
        </is>
      </c>
      <c r="D833" s="5" t="inlineStr">
        <is>
          <t>Çene</t>
        </is>
      </c>
      <c r="E833" s="5" t="inlineStr">
        <is>
          <t>Orta</t>
        </is>
      </c>
      <c r="F833" s="5" t="inlineStr"/>
      <c r="G833" s="6" t="inlineStr"/>
      <c r="H833" s="6" t="inlineStr">
        <is>
          <t>Prim borcunu taksitlendirdin. Taksitler seninle birlikte yaşlanacak.</t>
        </is>
      </c>
      <c r="I833" s="6" t="inlineStr">
        <is>
          <t>Yapılandırma döneminde erken ödeme indirimi çıktı. Borcun yarıya indi.</t>
        </is>
      </c>
      <c r="J833" s="6" t="inlineStr">
        <is>
          <t>Yapılandırdın; ilk taksit bir faturanın ödenmesine bağlı. O fatura da onay bekliyor.</t>
        </is>
      </c>
      <c r="K833" s="6" t="inlineStr">
        <is>
          <t>Yapılandırma formunu doldururken gişe kapandı. Sıra numaran yarına devredilmedi.</t>
        </is>
      </c>
      <c r="L833" s="6" t="inlineStr"/>
      <c r="M833" s="5" t="inlineStr"/>
      <c r="N833" s="5" t="inlineStr"/>
      <c r="O833" s="6" t="inlineStr"/>
      <c r="P833" s="6" t="inlineStr"/>
      <c r="Q833" s="5" t="inlineStr"/>
      <c r="R833" s="5" t="inlineStr">
        <is>
          <t>borclu</t>
        </is>
      </c>
      <c r="S833" s="5" t="inlineStr"/>
      <c r="T833" s="5" t="inlineStr"/>
      <c r="U833" s="5" t="inlineStr"/>
      <c r="V833" s="5" t="inlineStr"/>
      <c r="W833" s="5" t="inlineStr"/>
      <c r="X833" s="5" t="inlineStr"/>
      <c r="Y833" s="5" t="inlineStr"/>
      <c r="Z833" s="6" t="inlineStr"/>
      <c r="AA833" s="5" t="inlineStr"/>
      <c r="AB833" s="5" t="inlineStr"/>
      <c r="AC833" s="5" t="inlineStr"/>
      <c r="AD833" s="5" t="inlineStr"/>
      <c r="AE833" s="5" t="inlineStr"/>
      <c r="AF833" s="5" t="inlineStr"/>
      <c r="AG833" s="5" t="inlineStr"/>
      <c r="AH833" s="5" t="inlineStr"/>
    </row>
    <row r="834">
      <c r="A834" s="5" t="inlineStr">
        <is>
          <t>b8-ergen-telefon</t>
        </is>
      </c>
      <c r="B834" s="5" t="n">
        <v>1</v>
      </c>
      <c r="C834" s="6" t="inlineStr">
        <is>
          <t>Dokunma, masada bırak</t>
        </is>
      </c>
      <c r="D834" s="5" t="inlineStr"/>
      <c r="E834" s="5" t="inlineStr"/>
      <c r="F834" s="5" t="inlineStr">
        <is>
          <t>İtibar +2</t>
        </is>
      </c>
      <c r="G834" s="6" t="inlineStr">
        <is>
          <t>Telefona dokunmadın. Güven hesabına küçük ama düzenli bir yatırım yapıldı.</t>
        </is>
      </c>
      <c r="H834" s="6" t="inlineStr"/>
      <c r="I834" s="6" t="inlineStr"/>
      <c r="J834" s="6" t="inlineStr"/>
      <c r="K834" s="6" t="inlineStr"/>
      <c r="L834" s="6" t="inlineStr"/>
      <c r="M834" s="5" t="inlineStr"/>
      <c r="N834" s="5" t="inlineStr"/>
      <c r="O834" s="6" t="inlineStr"/>
      <c r="P834" s="6" t="inlineStr"/>
      <c r="Q834" s="5" t="inlineStr"/>
      <c r="R834" s="5" t="inlineStr"/>
      <c r="S834" s="5" t="inlineStr"/>
      <c r="T834" s="5" t="inlineStr"/>
      <c r="U834" s="5" t="inlineStr"/>
      <c r="V834" s="5" t="inlineStr"/>
      <c r="W834" s="5" t="inlineStr"/>
      <c r="X834" s="5" t="inlineStr"/>
      <c r="Y834" s="5" t="inlineStr"/>
      <c r="Z834" s="6" t="inlineStr"/>
      <c r="AA834" s="5" t="inlineStr"/>
      <c r="AB834" s="5" t="inlineStr"/>
      <c r="AC834" s="5" t="inlineStr"/>
      <c r="AD834" s="5" t="inlineStr"/>
      <c r="AE834" s="5" t="inlineStr"/>
      <c r="AF834" s="5" t="inlineStr"/>
      <c r="AG834" s="5" t="inlineStr"/>
      <c r="AH834" s="5" t="inlineStr"/>
    </row>
    <row r="835">
      <c r="A835" s="5" t="inlineStr">
        <is>
          <t>b8-ergen-telefon</t>
        </is>
      </c>
      <c r="B835" s="5" t="n">
        <v>2</v>
      </c>
      <c r="C835" s="6" t="inlineStr">
        <is>
          <t>Şifreyi tahmin et</t>
        </is>
      </c>
      <c r="D835" s="5" t="inlineStr">
        <is>
          <t>Kurnazlık</t>
        </is>
      </c>
      <c r="E835" s="5" t="inlineStr">
        <is>
          <t>Zor</t>
        </is>
      </c>
      <c r="F835" s="5" t="inlineStr"/>
      <c r="G835" s="6" t="inlineStr"/>
      <c r="H835" s="6" t="inlineStr">
        <is>
          <t>Şifreyi çözdün. İçeride ödev grubu ve kedi videoları vardı. Suçluluk duygusu hesaba katılmamıştı.</t>
        </is>
      </c>
      <c r="I835" s="6" t="inlineStr">
        <is>
          <t>Açtın, baktın, iz bırakmadan kapattın. Tek bulgu: seni rehbere 'Bilge' diye kaydetmiş.</t>
        </is>
      </c>
      <c r="J835" s="6" t="inlineStr">
        <is>
          <t>Üç yanlış deneme. Telefon otuz dakika kilitlendi. Çocuk da.</t>
        </is>
      </c>
      <c r="K835" s="6" t="inlineStr">
        <is>
          <t>Yanlış şifre bildirimi çocuğun saatine düştü. Aile içi soruşturma başlatıldı; sanık sensin.</t>
        </is>
      </c>
      <c r="L835" s="6" t="inlineStr"/>
      <c r="M835" s="5" t="inlineStr"/>
      <c r="N835" s="5" t="inlineStr"/>
      <c r="O835" s="6" t="inlineStr"/>
      <c r="P835" s="6" t="inlineStr"/>
      <c r="Q835" s="5" t="inlineStr"/>
      <c r="R835" s="5" t="inlineStr"/>
      <c r="S835" s="5" t="inlineStr"/>
      <c r="T835" s="5" t="inlineStr"/>
      <c r="U835" s="5" t="inlineStr"/>
      <c r="V835" s="5" t="inlineStr"/>
      <c r="W835" s="5" t="inlineStr"/>
      <c r="X835" s="5" t="inlineStr"/>
      <c r="Y835" s="5" t="inlineStr"/>
      <c r="Z835" s="6" t="inlineStr"/>
      <c r="AA835" s="5" t="inlineStr"/>
      <c r="AB835" s="5" t="inlineStr"/>
      <c r="AC835" s="5" t="inlineStr"/>
      <c r="AD835" s="5" t="inlineStr"/>
      <c r="AE835" s="5" t="inlineStr"/>
      <c r="AF835" s="5" t="inlineStr"/>
      <c r="AG835" s="5" t="inlineStr"/>
      <c r="AH835" s="5" t="inlineStr"/>
    </row>
    <row r="836">
      <c r="A836" s="5" t="inlineStr">
        <is>
          <t>b8-ergen-telefon</t>
        </is>
      </c>
      <c r="B836" s="5" t="n">
        <v>3</v>
      </c>
      <c r="C836" s="6" t="inlineStr">
        <is>
          <t>Ekran süresi toplantısı yap</t>
        </is>
      </c>
      <c r="D836" s="5" t="inlineStr">
        <is>
          <t>Çene</t>
        </is>
      </c>
      <c r="E836" s="5" t="inlineStr">
        <is>
          <t>Orta</t>
        </is>
      </c>
      <c r="F836" s="5" t="inlineStr"/>
      <c r="G836" s="6" t="inlineStr"/>
      <c r="H836" s="6" t="inlineStr">
        <is>
          <t>Günde üç saatte anlaşıldı. Uygulama kısmı ileri bir toplantıya bırakıldı.</t>
        </is>
      </c>
      <c r="I836" s="6" t="inlineStr">
        <is>
          <t>Öyle bir konuşma yaptın ki çocuk kendi ekran süresini kendisi kısıtladı. Hâlâ inanılmıyor.</t>
        </is>
      </c>
      <c r="J836" s="6" t="inlineStr">
        <is>
          <t>Toplantı boyunca çocuk telefona baktı. Gündem maddesi canlı olarak sunuldu.</t>
        </is>
      </c>
      <c r="K836" s="6" t="inlineStr">
        <is>
          <t>Konuşmanın ortasında kendi telefonun çaldı. Konuşmayı kaybettin; ahlaki üstünlüğü de.</t>
        </is>
      </c>
      <c r="L836" s="6" t="inlineStr"/>
      <c r="M836" s="5" t="inlineStr"/>
      <c r="N836" s="5" t="inlineStr"/>
      <c r="O836" s="6" t="inlineStr"/>
      <c r="P836" s="6" t="inlineStr"/>
      <c r="Q836" s="5" t="inlineStr"/>
      <c r="R836" s="5" t="inlineStr"/>
      <c r="S836" s="5" t="inlineStr"/>
      <c r="T836" s="5" t="inlineStr"/>
      <c r="U836" s="5" t="inlineStr"/>
      <c r="V836" s="5" t="inlineStr"/>
      <c r="W836" s="5" t="inlineStr"/>
      <c r="X836" s="5" t="inlineStr"/>
      <c r="Y836" s="5" t="inlineStr"/>
      <c r="Z836" s="6" t="inlineStr"/>
      <c r="AA836" s="5" t="inlineStr"/>
      <c r="AB836" s="5" t="inlineStr"/>
      <c r="AC836" s="5" t="inlineStr"/>
      <c r="AD836" s="5" t="inlineStr"/>
      <c r="AE836" s="5" t="inlineStr"/>
      <c r="AF836" s="5" t="inlineStr"/>
      <c r="AG836" s="5" t="inlineStr"/>
      <c r="AH836" s="5" t="inlineStr"/>
    </row>
    <row r="837">
      <c r="A837" s="5" t="inlineStr">
        <is>
          <t>b8-ergen-telefon</t>
        </is>
      </c>
      <c r="B837" s="5" t="n">
        <v>4</v>
      </c>
      <c r="C837" s="6" t="inlineStr">
        <is>
          <t>Kendi on dört yaşını anlat</t>
        </is>
      </c>
      <c r="D837" s="5" t="inlineStr">
        <is>
          <t>İtibar</t>
        </is>
      </c>
      <c r="E837" s="5" t="inlineStr">
        <is>
          <t>Kolay</t>
        </is>
      </c>
      <c r="F837" s="5" t="inlineStr"/>
      <c r="G837" s="6" t="inlineStr"/>
      <c r="H837" s="6" t="inlineStr">
        <is>
          <t>Kendi gizli defterini anlattın. Çocuk ilk kez gülerek dinledi.</t>
        </is>
      </c>
      <c r="I837" s="6" t="inlineStr">
        <is>
          <t>Anlattın; çocuk telefonu kapattı ve bir saat konuştunuz. Rekor, kayıt altında.</t>
        </is>
      </c>
      <c r="J837" s="6" t="inlineStr">
        <is>
          <t>Anlattın; çocuk 'Tamam da ne alakası var' dedi. Alakası vardı.</t>
        </is>
      </c>
      <c r="K837" s="6" t="inlineStr">
        <is>
          <t>Hikâyeyi fazla detaylandırdın. Çocuk artık senin gizli defterini arıyor.</t>
        </is>
      </c>
      <c r="L837" s="6" t="inlineStr"/>
      <c r="M837" s="5" t="inlineStr"/>
      <c r="N837" s="5" t="inlineStr"/>
      <c r="O837" s="6" t="inlineStr"/>
      <c r="P837" s="6" t="inlineStr"/>
      <c r="Q837" s="5" t="inlineStr"/>
      <c r="R837" s="5" t="inlineStr"/>
      <c r="S837" s="5" t="inlineStr">
        <is>
          <t>İtibar</t>
        </is>
      </c>
      <c r="T837" s="5" t="inlineStr"/>
      <c r="U837" s="5" t="inlineStr"/>
      <c r="V837" s="5" t="inlineStr"/>
      <c r="W837" s="5" t="inlineStr"/>
      <c r="X837" s="5" t="inlineStr"/>
      <c r="Y837" s="5" t="inlineStr"/>
      <c r="Z837" s="6" t="inlineStr"/>
      <c r="AA837" s="5" t="inlineStr"/>
      <c r="AB837" s="5" t="inlineStr"/>
      <c r="AC837" s="5" t="inlineStr"/>
      <c r="AD837" s="5" t="inlineStr"/>
      <c r="AE837" s="5" t="inlineStr"/>
      <c r="AF837" s="5" t="inlineStr"/>
      <c r="AG837" s="5" t="inlineStr"/>
      <c r="AH837" s="5" t="inlineStr"/>
    </row>
    <row r="838">
      <c r="A838" s="5" t="inlineStr">
        <is>
          <t>b8-metabolizma</t>
        </is>
      </c>
      <c r="B838" s="5" t="n">
        <v>1</v>
      </c>
      <c r="C838" s="6" t="inlineStr">
        <is>
          <t>Akşam yürüyüşüne başla</t>
        </is>
      </c>
      <c r="D838" s="5" t="inlineStr"/>
      <c r="E838" s="5" t="inlineStr"/>
      <c r="F838" s="5" t="inlineStr">
        <is>
          <t>Dayanıklılık +2</t>
        </is>
      </c>
      <c r="G838" s="6" t="inlineStr">
        <is>
          <t>Her akşam otuz dakika yürüdün. Tartı bir süre sessiz kaldı; bu da bir tür onay.</t>
        </is>
      </c>
      <c r="H838" s="6" t="inlineStr"/>
      <c r="I838" s="6" t="inlineStr"/>
      <c r="J838" s="6" t="inlineStr"/>
      <c r="K838" s="6" t="inlineStr"/>
      <c r="L838" s="6" t="inlineStr"/>
      <c r="M838" s="5" t="inlineStr"/>
      <c r="N838" s="5" t="inlineStr"/>
      <c r="O838" s="6" t="inlineStr"/>
      <c r="P838" s="6" t="inlineStr"/>
      <c r="Q838" s="5" t="inlineStr"/>
      <c r="R838" s="5" t="inlineStr"/>
      <c r="S838" s="5" t="inlineStr"/>
      <c r="T838" s="5" t="inlineStr"/>
      <c r="U838" s="5" t="inlineStr"/>
      <c r="V838" s="5" t="inlineStr"/>
      <c r="W838" s="5" t="inlineStr"/>
      <c r="X838" s="5" t="inlineStr"/>
      <c r="Y838" s="5" t="inlineStr"/>
      <c r="Z838" s="6" t="inlineStr"/>
      <c r="AA838" s="5" t="inlineStr"/>
      <c r="AB838" s="5" t="inlineStr"/>
      <c r="AC838" s="5" t="inlineStr"/>
      <c r="AD838" s="5" t="inlineStr"/>
      <c r="AE838" s="5" t="inlineStr"/>
      <c r="AF838" s="5" t="inlineStr"/>
      <c r="AG838" s="5" t="inlineStr"/>
      <c r="AH838" s="5" t="inlineStr"/>
    </row>
    <row r="839">
      <c r="A839" s="5" t="inlineStr">
        <is>
          <t>b8-metabolizma</t>
        </is>
      </c>
      <c r="B839" s="5" t="n">
        <v>2</v>
      </c>
      <c r="C839" s="6" t="inlineStr">
        <is>
          <t>Diyet programı başlat</t>
        </is>
      </c>
      <c r="D839" s="5" t="inlineStr">
        <is>
          <t>Dayanıklılık</t>
        </is>
      </c>
      <c r="E839" s="5" t="inlineStr">
        <is>
          <t>Orta</t>
        </is>
      </c>
      <c r="F839" s="5" t="inlineStr"/>
      <c r="G839" s="6" t="inlineStr"/>
      <c r="H839" s="6" t="inlineStr">
        <is>
          <t>Üç haftada iki kilo. Pantolon teşekkür etti.</t>
        </is>
      </c>
      <c r="I839" s="6" t="inlineStr">
        <is>
          <t>Programı öyle uyguladın ki eski kot pantolonun yeniden aktif göreve çağrıldı.</t>
        </is>
      </c>
      <c r="J839" s="6" t="inlineStr">
        <is>
          <t>Pazartesi başladın. Pazartesi öğlen bitti.</t>
        </is>
      </c>
      <c r="K839" s="6" t="inlineStr">
        <is>
          <t>Diyetin ilk günü ofiste doğum günü pastası vardı. İkinci gün de. Ofiste çok doğum günü var.</t>
        </is>
      </c>
      <c r="L839" s="6" t="inlineStr"/>
      <c r="M839" s="5" t="inlineStr"/>
      <c r="N839" s="5" t="inlineStr"/>
      <c r="O839" s="6" t="inlineStr"/>
      <c r="P839" s="6" t="inlineStr"/>
      <c r="Q839" s="5" t="inlineStr"/>
      <c r="R839" s="5" t="inlineStr"/>
      <c r="S839" s="5" t="inlineStr"/>
      <c r="T839" s="5" t="inlineStr"/>
      <c r="U839" s="5" t="inlineStr"/>
      <c r="V839" s="5" t="inlineStr"/>
      <c r="W839" s="5" t="inlineStr"/>
      <c r="X839" s="5" t="inlineStr"/>
      <c r="Y839" s="5" t="inlineStr"/>
      <c r="Z839" s="6" t="inlineStr"/>
      <c r="AA839" s="5" t="inlineStr"/>
      <c r="AB839" s="5" t="inlineStr"/>
      <c r="AC839" s="5" t="inlineStr"/>
      <c r="AD839" s="5" t="inlineStr"/>
      <c r="AE839" s="5" t="inlineStr"/>
      <c r="AF839" s="5" t="inlineStr"/>
      <c r="AG839" s="5" t="inlineStr"/>
      <c r="AH839" s="5" t="inlineStr"/>
    </row>
    <row r="840">
      <c r="A840" s="5" t="inlineStr">
        <is>
          <t>b8-metabolizma</t>
        </is>
      </c>
      <c r="B840" s="5" t="n">
        <v>3</v>
      </c>
      <c r="C840" s="6" t="inlineStr">
        <is>
          <t>Tartıyı halıya taşı</t>
        </is>
      </c>
      <c r="D840" s="5" t="inlineStr">
        <is>
          <t>Kurnazlık</t>
        </is>
      </c>
      <c r="E840" s="5" t="inlineStr">
        <is>
          <t>Kolay</t>
        </is>
      </c>
      <c r="F840" s="5" t="inlineStr"/>
      <c r="G840" s="6" t="inlineStr"/>
      <c r="H840" s="6" t="inlineStr">
        <is>
          <t>Halının üstünde iki kilo gitti. Bilim bunu açıklayamıyor, sen açıklamak zorunda değilsin.</t>
        </is>
      </c>
      <c r="I840" s="6" t="inlineStr">
        <is>
          <t>Tartıyı öyle bir noktaya yerleştirdin ki her sabah farklı ama hep iyi haber veriyor.</t>
        </is>
      </c>
      <c r="J840" s="6" t="inlineStr">
        <is>
          <t>Tartı halıda 'Hata' yazdı. Tartı bile yalanını kabul etmedi.</t>
        </is>
      </c>
      <c r="K840" s="6" t="inlineStr">
        <is>
          <t>Eşinin tartısı değiştirildiğini fark etti. Artık evde iki tartı ve iki gerçek var.</t>
        </is>
      </c>
      <c r="L840" s="6" t="inlineStr"/>
      <c r="M840" s="5" t="inlineStr"/>
      <c r="N840" s="5" t="inlineStr"/>
      <c r="O840" s="6" t="inlineStr"/>
      <c r="P840" s="6" t="inlineStr"/>
      <c r="Q840" s="5" t="inlineStr"/>
      <c r="R840" s="5" t="inlineStr"/>
      <c r="S840" s="5" t="inlineStr"/>
      <c r="T840" s="5" t="inlineStr"/>
      <c r="U840" s="5" t="inlineStr"/>
      <c r="V840" s="5" t="inlineStr"/>
      <c r="W840" s="5" t="inlineStr"/>
      <c r="X840" s="5" t="inlineStr"/>
      <c r="Y840" s="5" t="inlineStr"/>
      <c r="Z840" s="6" t="inlineStr"/>
      <c r="AA840" s="5" t="inlineStr"/>
      <c r="AB840" s="5" t="inlineStr"/>
      <c r="AC840" s="5" t="inlineStr"/>
      <c r="AD840" s="5" t="inlineStr"/>
      <c r="AE840" s="5" t="inlineStr"/>
      <c r="AF840" s="5" t="inlineStr"/>
      <c r="AG840" s="5" t="inlineStr"/>
      <c r="AH840" s="5" t="inlineStr"/>
    </row>
    <row r="841">
      <c r="A841" s="5" t="inlineStr">
        <is>
          <t>mb-yapay-zeka</t>
        </is>
      </c>
      <c r="B841" s="5" t="n">
        <v>1</v>
      </c>
      <c r="C841" s="6" t="inlineStr">
        <is>
          <t>Aracı özenle eğit</t>
        </is>
      </c>
      <c r="D841" s="5" t="inlineStr"/>
      <c r="E841" s="5" t="inlineStr"/>
      <c r="F841" s="5" t="inlineStr">
        <is>
          <t>Akıl +1</t>
        </is>
      </c>
      <c r="G841" s="6" t="inlineStr">
        <is>
          <t>Aracı özenle eğittin. Eğitim bitince araç 'Teşekkürler, bundan sonrasını ben hallederim' dedi.</t>
        </is>
      </c>
      <c r="H841" s="6" t="inlineStr"/>
      <c r="I841" s="6" t="inlineStr"/>
      <c r="J841" s="6" t="inlineStr"/>
      <c r="K841" s="6" t="inlineStr"/>
      <c r="L841" s="6" t="inlineStr"/>
      <c r="M841" s="5" t="inlineStr"/>
      <c r="N841" s="5" t="inlineStr"/>
      <c r="O841" s="6" t="inlineStr"/>
      <c r="P841" s="6" t="inlineStr"/>
      <c r="Q841" s="5" t="inlineStr"/>
      <c r="R841" s="5" t="inlineStr"/>
      <c r="S841" s="5" t="inlineStr"/>
      <c r="T841" s="5" t="inlineStr"/>
      <c r="U841" s="5" t="inlineStr"/>
      <c r="V841" s="5" t="inlineStr"/>
      <c r="W841" s="5" t="inlineStr"/>
      <c r="X841" s="5" t="inlineStr"/>
      <c r="Y841" s="5" t="inlineStr"/>
      <c r="Z841" s="6" t="inlineStr"/>
      <c r="AA841" s="5" t="inlineStr"/>
      <c r="AB841" s="5" t="inlineStr"/>
      <c r="AC841" s="5" t="inlineStr"/>
      <c r="AD841" s="5" t="inlineStr"/>
      <c r="AE841" s="5" t="inlineStr"/>
      <c r="AF841" s="5" t="inlineStr"/>
      <c r="AG841" s="5" t="inlineStr"/>
      <c r="AH841" s="5" t="inlineStr"/>
    </row>
    <row r="842">
      <c r="A842" s="5" t="inlineStr">
        <is>
          <t>mb-yapay-zeka</t>
        </is>
      </c>
      <c r="B842" s="5" t="n">
        <v>2</v>
      </c>
      <c r="C842" s="6" t="inlineStr">
        <is>
          <t>Aracı biraz yanlış eğit</t>
        </is>
      </c>
      <c r="D842" s="5" t="inlineStr">
        <is>
          <t>Kurnazlık</t>
        </is>
      </c>
      <c r="E842" s="5" t="inlineStr">
        <is>
          <t>Orta</t>
        </is>
      </c>
      <c r="F842" s="5" t="inlineStr"/>
      <c r="G842" s="6" t="inlineStr"/>
      <c r="H842" s="6" t="inlineStr">
        <is>
          <t>Araç her raporda küçük bir hata yapıyor. Düzeltebilen tek kişi sensin. Vazgeçilmezsin.</t>
        </is>
      </c>
      <c r="I842" s="6" t="inlineStr">
        <is>
          <t>Araç yalnızca senin cümlelerinle çalışıyor. Unvanın 'yapay zekâ sorumlusu' oldu.</t>
        </is>
      </c>
      <c r="J842" s="6" t="inlineStr">
        <is>
          <t>Araç hatayı kendi buldu ve raporladı. Hatayı yapanın adıyla.</t>
        </is>
      </c>
      <c r="K842" s="6" t="inlineStr">
        <is>
          <t>Araç kendi değerlendirmesini yazdı: 'Eğitmen, verimliliği bilinçli olarak düşürmüştür.'</t>
        </is>
      </c>
      <c r="L842" s="6" t="inlineStr"/>
      <c r="M842" s="5" t="inlineStr"/>
      <c r="N842" s="5" t="inlineStr"/>
      <c r="O842" s="6" t="inlineStr"/>
      <c r="P842" s="6" t="inlineStr"/>
      <c r="Q842" s="5" t="inlineStr"/>
      <c r="R842" s="5" t="inlineStr"/>
      <c r="S842" s="5" t="inlineStr"/>
      <c r="T842" s="5" t="inlineStr"/>
      <c r="U842" s="5" t="inlineStr"/>
      <c r="V842" s="5" t="inlineStr"/>
      <c r="W842" s="5" t="inlineStr"/>
      <c r="X842" s="5" t="inlineStr"/>
      <c r="Y842" s="5" t="inlineStr"/>
      <c r="Z842" s="6" t="inlineStr"/>
      <c r="AA842" s="5" t="inlineStr"/>
      <c r="AB842" s="5" t="inlineStr"/>
      <c r="AC842" s="5" t="inlineStr"/>
      <c r="AD842" s="5" t="inlineStr"/>
      <c r="AE842" s="5" t="inlineStr"/>
      <c r="AF842" s="5" t="inlineStr"/>
      <c r="AG842" s="5" t="inlineStr"/>
      <c r="AH842" s="5" t="inlineStr"/>
    </row>
    <row r="843">
      <c r="A843" s="5" t="inlineStr">
        <is>
          <t>mb-yapay-zeka</t>
        </is>
      </c>
      <c r="B843" s="5" t="n">
        <v>3</v>
      </c>
      <c r="C843" s="6" t="inlineStr">
        <is>
          <t>'Bağlamı' sat</t>
        </is>
      </c>
      <c r="D843" s="5" t="inlineStr">
        <is>
          <t>Çene</t>
        </is>
      </c>
      <c r="E843" s="5" t="inlineStr">
        <is>
          <t>Orta</t>
        </is>
      </c>
      <c r="F843" s="5" t="inlineStr"/>
      <c r="G843" s="6" t="inlineStr"/>
      <c r="H843" s="6" t="inlineStr">
        <is>
          <t>Yönetime 'Araç rakamları biliyor, insanları bilmiyor' dedin. Pozisyonun 'strateji' oldu.</t>
        </is>
      </c>
      <c r="I843" s="6" t="inlineStr">
        <is>
          <t>Aracın kimin kime kırgın olduğunu bilmediğini kanıtladın. Artık kurumsal tercümansın.</t>
        </is>
      </c>
      <c r="J843" s="6" t="inlineStr">
        <is>
          <t>Anlattın; yönetim araca 'bağlam' eklentisi aldı.</t>
        </is>
      </c>
      <c r="K843" s="6" t="inlineStr">
        <is>
          <t>Bağlamı anlatırken örnek olarak yöneticini verdin. Yöneticin de toplantıdaydı. Bağlamıyla.</t>
        </is>
      </c>
      <c r="L843" s="6" t="inlineStr"/>
      <c r="M843" s="5" t="inlineStr"/>
      <c r="N843" s="5" t="inlineStr"/>
      <c r="O843" s="6" t="inlineStr"/>
      <c r="P843" s="6" t="inlineStr"/>
      <c r="Q843" s="5" t="inlineStr"/>
      <c r="R843" s="5" t="inlineStr"/>
      <c r="S843" s="5" t="inlineStr">
        <is>
          <t>Akıl</t>
        </is>
      </c>
      <c r="T843" s="5" t="inlineStr"/>
      <c r="U843" s="5" t="inlineStr"/>
      <c r="V843" s="5" t="inlineStr"/>
      <c r="W843" s="5" t="inlineStr"/>
      <c r="X843" s="5" t="inlineStr"/>
      <c r="Y843" s="5" t="inlineStr"/>
      <c r="Z843" s="6" t="inlineStr"/>
      <c r="AA843" s="5" t="inlineStr"/>
      <c r="AB843" s="5" t="inlineStr"/>
      <c r="AC843" s="5" t="inlineStr"/>
      <c r="AD843" s="5" t="inlineStr"/>
      <c r="AE843" s="5" t="inlineStr"/>
      <c r="AF843" s="5" t="inlineStr"/>
      <c r="AG843" s="5" t="inlineStr"/>
      <c r="AH843" s="5" t="inlineStr"/>
    </row>
    <row r="844">
      <c r="A844" s="5" t="inlineStr">
        <is>
          <t>mb-yapay-zeka</t>
        </is>
      </c>
      <c r="B844" s="5" t="n">
        <v>4</v>
      </c>
      <c r="C844" s="6" t="inlineStr">
        <is>
          <t>Aracı yöneten aracı sen kur</t>
        </is>
      </c>
      <c r="D844" s="5" t="inlineStr">
        <is>
          <t>Akıl</t>
        </is>
      </c>
      <c r="E844" s="5" t="inlineStr">
        <is>
          <t>Zor</t>
        </is>
      </c>
      <c r="F844" s="5" t="inlineStr"/>
      <c r="G844" s="6" t="inlineStr"/>
      <c r="H844" s="6" t="inlineStr">
        <is>
          <t>Araçları yöneten bir düzen kurdun. Artık işi yapan değil, işi yapanı yapan sensin.</t>
        </is>
      </c>
      <c r="I844" s="6" t="inlineStr">
        <is>
          <t>Kurduğun düzen bütün şirkete yayıldı. Yapay zekâ departmanının başındasın. İnsan tek sen.</t>
        </is>
      </c>
      <c r="J844" s="6" t="inlineStr">
        <is>
          <t>Kurdun; araçlar birbirine e-posta atmaya başladı. Toplantı hakkında toplantı.</t>
        </is>
      </c>
      <c r="K844" s="6" t="inlineStr">
        <is>
          <t>Araçlar birbirini onayladı ve bir bütçe kararı aldı. Senin maaşını kısmayı.</t>
        </is>
      </c>
      <c r="L844" s="6" t="inlineStr"/>
      <c r="M844" s="5" t="inlineStr"/>
      <c r="N844" s="5" t="inlineStr"/>
      <c r="O844" s="6" t="inlineStr"/>
      <c r="P844" s="6" t="inlineStr"/>
      <c r="Q844" s="5" t="inlineStr">
        <is>
          <t>Teknoloji Merakı</t>
        </is>
      </c>
      <c r="R844" s="5" t="inlineStr"/>
      <c r="S844" s="5" t="inlineStr"/>
      <c r="T844" s="5" t="inlineStr">
        <is>
          <t>Analitik Zihin</t>
        </is>
      </c>
      <c r="U844" s="5" t="inlineStr"/>
      <c r="V844" s="5" t="inlineStr"/>
      <c r="W844" s="5" t="inlineStr"/>
      <c r="X844" s="5" t="inlineStr"/>
      <c r="Y844" s="5" t="inlineStr"/>
      <c r="Z844" s="6" t="inlineStr"/>
      <c r="AA844" s="5" t="inlineStr"/>
      <c r="AB844" s="5" t="inlineStr"/>
      <c r="AC844" s="5" t="inlineStr"/>
      <c r="AD844" s="5" t="inlineStr"/>
      <c r="AE844" s="5" t="inlineStr"/>
      <c r="AF844" s="5" t="inlineStr"/>
      <c r="AG844" s="5" t="inlineStr"/>
      <c r="AH844" s="5" t="inlineStr"/>
    </row>
    <row r="845">
      <c r="A845" s="5" t="inlineStr">
        <is>
          <t>me-haber-merkezi</t>
        </is>
      </c>
      <c r="B845" s="5" t="n">
        <v>1</v>
      </c>
      <c r="C845" s="6" t="inlineStr">
        <is>
          <t>Dinle, sadece dinle</t>
        </is>
      </c>
      <c r="D845" s="5" t="inlineStr"/>
      <c r="E845" s="5" t="inlineStr"/>
      <c r="F845" s="5" t="inlineStr">
        <is>
          <t>Sosyal Radar +1, İtibar +1</t>
        </is>
      </c>
      <c r="G845" s="6" t="inlineStr">
        <is>
          <t>Dinledin, kimseye söylemedin. 'Mahallenin en güvenilir esnafı' unvanı, kasa kadar ağır.</t>
        </is>
      </c>
      <c r="H845" s="6" t="inlineStr"/>
      <c r="I845" s="6" t="inlineStr"/>
      <c r="J845" s="6" t="inlineStr"/>
      <c r="K845" s="6" t="inlineStr"/>
      <c r="L845" s="6" t="inlineStr"/>
      <c r="M845" s="5" t="inlineStr"/>
      <c r="N845" s="5" t="inlineStr"/>
      <c r="O845" s="6" t="inlineStr"/>
      <c r="P845" s="6" t="inlineStr"/>
      <c r="Q845" s="5" t="inlineStr"/>
      <c r="R845" s="5" t="inlineStr"/>
      <c r="S845" s="5" t="inlineStr"/>
      <c r="T845" s="5" t="inlineStr"/>
      <c r="U845" s="5" t="inlineStr"/>
      <c r="V845" s="5" t="inlineStr"/>
      <c r="W845" s="5" t="inlineStr"/>
      <c r="X845" s="5" t="inlineStr"/>
      <c r="Y845" s="5" t="inlineStr"/>
      <c r="Z845" s="6" t="inlineStr"/>
      <c r="AA845" s="5" t="inlineStr"/>
      <c r="AB845" s="5" t="inlineStr"/>
      <c r="AC845" s="5" t="inlineStr"/>
      <c r="AD845" s="5" t="inlineStr"/>
      <c r="AE845" s="5" t="inlineStr"/>
      <c r="AF845" s="5" t="inlineStr"/>
      <c r="AG845" s="5" t="inlineStr"/>
      <c r="AH845" s="5" t="inlineStr"/>
    </row>
    <row r="846">
      <c r="A846" s="5" t="inlineStr">
        <is>
          <t>me-haber-merkezi</t>
        </is>
      </c>
      <c r="B846" s="5" t="n">
        <v>2</v>
      </c>
      <c r="C846" s="6" t="inlineStr">
        <is>
          <t>Haberi satışa bağla</t>
        </is>
      </c>
      <c r="D846" s="5" t="inlineStr">
        <is>
          <t>Çene</t>
        </is>
      </c>
      <c r="E846" s="5" t="inlineStr">
        <is>
          <t>Orta</t>
        </is>
      </c>
      <c r="F846" s="5" t="inlineStr"/>
      <c r="G846" s="6" t="inlineStr"/>
      <c r="H846" s="6" t="inlineStr">
        <is>
          <t>'Aidat artıyor, şimdiden stok yapın' dedin. O akşam raflar boşaldı.</t>
        </is>
      </c>
      <c r="I846" s="6" t="inlineStr">
        <is>
          <t>Haberi ve malı birlikte sattın. Mahalle seni ekonomik tahmin merkezi olarak görmeye başladı.</t>
        </is>
      </c>
      <c r="J846" s="6" t="inlineStr">
        <is>
          <t>Haberi verdin, kimse bir şey almadı. Herkes haberi başkasına yetiştirmek için koştu.</t>
        </is>
      </c>
      <c r="K846" s="6" t="inlineStr">
        <is>
          <t>Haber yanlış çıktı: aidat artmadı, asansör bozuldu. Dükkânın yeni adı 'Söylenti Merkezi'.</t>
        </is>
      </c>
      <c r="L846" s="6" t="inlineStr"/>
      <c r="M846" s="5" t="inlineStr"/>
      <c r="N846" s="5" t="inlineStr"/>
      <c r="O846" s="6" t="inlineStr"/>
      <c r="P846" s="6" t="inlineStr"/>
      <c r="Q846" s="5" t="inlineStr"/>
      <c r="R846" s="5" t="inlineStr"/>
      <c r="S846" s="5" t="inlineStr"/>
      <c r="T846" s="5" t="inlineStr"/>
      <c r="U846" s="5" t="inlineStr"/>
      <c r="V846" s="5" t="inlineStr"/>
      <c r="W846" s="5" t="inlineStr"/>
      <c r="X846" s="5" t="inlineStr"/>
      <c r="Y846" s="5" t="inlineStr"/>
      <c r="Z846" s="6" t="inlineStr"/>
      <c r="AA846" s="5" t="inlineStr"/>
      <c r="AB846" s="5" t="inlineStr"/>
      <c r="AC846" s="5" t="inlineStr"/>
      <c r="AD846" s="5" t="inlineStr"/>
      <c r="AE846" s="5" t="inlineStr"/>
      <c r="AF846" s="5" t="inlineStr"/>
      <c r="AG846" s="5" t="inlineStr"/>
      <c r="AH846" s="5" t="inlineStr"/>
    </row>
    <row r="847">
      <c r="A847" s="5" t="inlineStr">
        <is>
          <t>me-haber-merkezi</t>
        </is>
      </c>
      <c r="B847" s="5" t="n">
        <v>3</v>
      </c>
      <c r="C847" s="6" t="inlineStr">
        <is>
          <t>Aidat haberini önceden sızdır</t>
        </is>
      </c>
      <c r="D847" s="5" t="inlineStr">
        <is>
          <t>Kurnazlık</t>
        </is>
      </c>
      <c r="E847" s="5" t="inlineStr">
        <is>
          <t>Orta</t>
        </is>
      </c>
      <c r="F847" s="5" t="inlineStr"/>
      <c r="G847" s="6" t="inlineStr"/>
      <c r="H847" s="6" t="inlineStr">
        <is>
          <t>Toplantıya herkes hazırlıklı geldi, yönetici hazırlıksız.</t>
        </is>
      </c>
      <c r="I847" s="6" t="inlineStr">
        <is>
          <t>Sızıntın öyle tuttu ki artış reddedildi. Yönetici kimin sızdırdığını hâlâ arıyor; senden ekmek alarak.</t>
        </is>
      </c>
      <c r="J847" s="6" t="inlineStr">
        <is>
          <t>Yönetici haberi sabah gruba atmış. Sızıntın manşete yetişemedi.</t>
        </is>
      </c>
      <c r="K847" s="6" t="inlineStr">
        <is>
          <t>Haberin tek bir kaynağı olabilirdi: yöneticinin eşi. O da alışverişini karşıya taşıdı.</t>
        </is>
      </c>
      <c r="L847" s="6" t="inlineStr"/>
      <c r="M847" s="5" t="inlineStr"/>
      <c r="N847" s="5" t="inlineStr"/>
      <c r="O847" s="6" t="inlineStr"/>
      <c r="P847" s="6" t="inlineStr"/>
      <c r="Q847" s="5" t="inlineStr"/>
      <c r="R847" s="5" t="inlineStr"/>
      <c r="S847" s="5" t="inlineStr">
        <is>
          <t>Sosyal Radar</t>
        </is>
      </c>
      <c r="T847" s="5" t="inlineStr"/>
      <c r="U847" s="5" t="inlineStr"/>
      <c r="V847" s="5" t="inlineStr"/>
      <c r="W847" s="5" t="inlineStr"/>
      <c r="X847" s="5" t="inlineStr"/>
      <c r="Y847" s="5" t="inlineStr"/>
      <c r="Z847" s="6" t="inlineStr"/>
      <c r="AA847" s="5" t="inlineStr"/>
      <c r="AB847" s="5" t="inlineStr"/>
      <c r="AC847" s="5" t="inlineStr"/>
      <c r="AD847" s="5" t="inlineStr"/>
      <c r="AE847" s="5" t="inlineStr"/>
      <c r="AF847" s="5" t="inlineStr"/>
      <c r="AG847" s="5" t="inlineStr"/>
      <c r="AH847" s="5" t="inlineStr"/>
    </row>
    <row r="848">
      <c r="A848" s="5" t="inlineStr">
        <is>
          <t>me-haber-merkezi</t>
        </is>
      </c>
      <c r="B848" s="5" t="n">
        <v>4</v>
      </c>
      <c r="C848" s="6" t="inlineStr">
        <is>
          <t>Haberi biraz süsle</t>
        </is>
      </c>
      <c r="D848" s="5" t="inlineStr">
        <is>
          <t>Pişkinlik</t>
        </is>
      </c>
      <c r="E848" s="5" t="inlineStr">
        <is>
          <t>Orta</t>
        </is>
      </c>
      <c r="F848" s="5" t="inlineStr"/>
      <c r="G848" s="6" t="inlineStr"/>
      <c r="H848" s="6" t="inlineStr">
        <is>
          <t>Mahalle bayıldı. Süslemenin yarısı sonradan doğru çıktı.</t>
        </is>
      </c>
      <c r="I848" s="6" t="inlineStr">
        <is>
          <t>Hikâye öyle tuttu ki kısa video uygulamasında mahalle dizisine dönüştü. Senaryo sende.</t>
        </is>
      </c>
      <c r="J848" s="6" t="inlineStr">
        <is>
          <t>Süs haberden büyük geldi. Kimse inanmadı.</t>
        </is>
      </c>
      <c r="K848" s="6" t="inlineStr">
        <is>
          <t>Süslediğin komşu dükkâna geldi. İki saat konuştunuz. Kimse bir şey almadı; sen çok şey verdin: özür.</t>
        </is>
      </c>
      <c r="L848" s="6" t="inlineStr"/>
      <c r="M848" s="5" t="inlineStr"/>
      <c r="N848" s="5" t="inlineStr"/>
      <c r="O848" s="6" t="inlineStr"/>
      <c r="P848" s="6" t="inlineStr"/>
      <c r="Q848" s="5" t="inlineStr"/>
      <c r="R848" s="5" t="inlineStr">
        <is>
          <t>yalanci</t>
        </is>
      </c>
      <c r="S848" s="5" t="inlineStr"/>
      <c r="T848" s="5" t="inlineStr"/>
      <c r="U848" s="5" t="inlineStr"/>
      <c r="V848" s="5" t="inlineStr"/>
      <c r="W848" s="5" t="inlineStr"/>
      <c r="X848" s="5" t="inlineStr"/>
      <c r="Y848" s="5" t="inlineStr"/>
      <c r="Z848" s="6" t="inlineStr"/>
      <c r="AA848" s="5" t="inlineStr"/>
      <c r="AB848" s="5" t="inlineStr"/>
      <c r="AC848" s="5" t="inlineStr"/>
      <c r="AD848" s="5" t="inlineStr"/>
      <c r="AE848" s="5" t="inlineStr"/>
      <c r="AF848" s="5" t="inlineStr"/>
      <c r="AG848" s="5" t="inlineStr"/>
      <c r="AH848" s="5" t="inlineStr"/>
    </row>
    <row r="849">
      <c r="A849" s="5" t="inlineStr">
        <is>
          <t>mm-performans-formu</t>
        </is>
      </c>
      <c r="B849" s="5" t="n">
        <v>1</v>
      </c>
      <c r="C849" s="6" t="inlineStr">
        <is>
          <t>Hepsine 'Beklentileri karşılıyor' de</t>
        </is>
      </c>
      <c r="D849" s="5" t="inlineStr"/>
      <c r="E849" s="5" t="inlineStr"/>
      <c r="F849" s="5" t="inlineStr">
        <is>
          <t>Dayanıklılık +1</t>
        </is>
      </c>
      <c r="G849" s="6" t="inlineStr">
        <is>
          <t>Kırk iki kez 'Beklentileri karşılıyor' işaretledin. Beklentileri karşıladın.</t>
        </is>
      </c>
      <c r="H849" s="6" t="inlineStr"/>
      <c r="I849" s="6" t="inlineStr"/>
      <c r="J849" s="6" t="inlineStr"/>
      <c r="K849" s="6" t="inlineStr"/>
      <c r="L849" s="6" t="inlineStr"/>
      <c r="M849" s="5" t="inlineStr"/>
      <c r="N849" s="5" t="inlineStr"/>
      <c r="O849" s="6" t="inlineStr"/>
      <c r="P849" s="6" t="inlineStr"/>
      <c r="Q849" s="5" t="inlineStr"/>
      <c r="R849" s="5" t="inlineStr"/>
      <c r="S849" s="5" t="inlineStr"/>
      <c r="T849" s="5" t="inlineStr"/>
      <c r="U849" s="5" t="inlineStr"/>
      <c r="V849" s="5" t="inlineStr"/>
      <c r="W849" s="5" t="inlineStr"/>
      <c r="X849" s="5" t="inlineStr"/>
      <c r="Y849" s="5" t="inlineStr"/>
      <c r="Z849" s="6" t="inlineStr"/>
      <c r="AA849" s="5" t="inlineStr"/>
      <c r="AB849" s="5" t="inlineStr"/>
      <c r="AC849" s="5" t="inlineStr"/>
      <c r="AD849" s="5" t="inlineStr"/>
      <c r="AE849" s="5" t="inlineStr"/>
      <c r="AF849" s="5" t="inlineStr"/>
      <c r="AG849" s="5" t="inlineStr"/>
      <c r="AH849" s="5" t="inlineStr"/>
    </row>
    <row r="850">
      <c r="A850" s="5" t="inlineStr">
        <is>
          <t>mm-performans-formu</t>
        </is>
      </c>
      <c r="B850" s="5" t="n">
        <v>2</v>
      </c>
      <c r="C850" s="6" t="inlineStr">
        <is>
          <t>Değerlendirme görüşmesine gir</t>
        </is>
      </c>
      <c r="D850" s="5" t="inlineStr">
        <is>
          <t>Çene</t>
        </is>
      </c>
      <c r="E850" s="5" t="inlineStr">
        <is>
          <t>Orta</t>
        </is>
      </c>
      <c r="F850" s="5" t="inlineStr"/>
      <c r="G850" s="6" t="inlineStr"/>
      <c r="H850" s="6" t="inlineStr">
        <is>
          <t>'Çok iyi' notuyla çıktın. Müdür 'geliştirilebilir' dediğin maddenin yanına 'dürüst' yazdı.</t>
        </is>
      </c>
      <c r="I850" s="6" t="inlineStr">
        <is>
          <t>Görüşmenin sonunda müdür, kendi formunu doldurmak için senden fikir istedi.</t>
        </is>
      </c>
      <c r="J850" s="6" t="inlineStr">
        <is>
          <t>Kahve makinesi sorusunda göz kırptın. Not: 'Orta.'</t>
        </is>
      </c>
      <c r="K850" s="6" t="inlineStr">
        <is>
          <t>Beş yıl sonra kendini müdür koltuğunda gördüğünü söyledin. Müdür koltuğunu biraz daha yakına çekti.</t>
        </is>
      </c>
      <c r="L850" s="6" t="inlineStr">
        <is>
          <t>'İyi' ile bitti. Formun kopyası dosyana, dosyan arşive, arşiv sonsuzluğa.</t>
        </is>
      </c>
      <c r="M850" s="5" t="inlineStr">
        <is>
          <t>poker</t>
        </is>
      </c>
      <c r="N850" s="5" t="inlineStr">
        <is>
          <t>Değerlendirme Görüşmesi</t>
        </is>
      </c>
      <c r="O850" s="6" t="inlineStr">
        <is>
          <t>Parmağını kaçan dairenin içinde tut. Sorular üstüne geldikçe yüz ifadeni bozma.</t>
        </is>
      </c>
      <c r="P850" s="6" t="inlineStr">
        <is>
          <t>{"questions": ["Son yılın en büyük başarısı?", "Sistem çöktüğünde neredeydin?", "Beş yıl sonra kendini nerede görüyorsun?", "Kahve makinesini kim taşıdı?", "Mesai 17.00'de mi bitiyor, 16.55'te mi?"]}</t>
        </is>
      </c>
      <c r="Q850" s="5" t="inlineStr"/>
      <c r="R850" s="5" t="inlineStr"/>
      <c r="S850" s="5" t="inlineStr"/>
      <c r="T850" s="5" t="inlineStr"/>
      <c r="U850" s="5" t="inlineStr"/>
      <c r="V850" s="5" t="inlineStr"/>
      <c r="W850" s="5" t="inlineStr"/>
      <c r="X850" s="5" t="inlineStr"/>
      <c r="Y850" s="5" t="inlineStr"/>
      <c r="Z850" s="6" t="inlineStr"/>
      <c r="AA850" s="5" t="inlineStr"/>
      <c r="AB850" s="5" t="inlineStr"/>
      <c r="AC850" s="5" t="inlineStr"/>
      <c r="AD850" s="5" t="inlineStr"/>
      <c r="AE850" s="5" t="inlineStr"/>
      <c r="AF850" s="5" t="inlineStr"/>
      <c r="AG850" s="5" t="inlineStr"/>
      <c r="AH850" s="5" t="inlineStr"/>
    </row>
    <row r="851">
      <c r="A851" s="5" t="inlineStr">
        <is>
          <t>mm-performans-formu</t>
        </is>
      </c>
      <c r="B851" s="5" t="n">
        <v>3</v>
      </c>
      <c r="C851" s="6" t="inlineStr">
        <is>
          <t>Öz değerlendirmeyi cesurca doldur</t>
        </is>
      </c>
      <c r="D851" s="5" t="inlineStr">
        <is>
          <t>Pişkinlik</t>
        </is>
      </c>
      <c r="E851" s="5" t="inlineStr">
        <is>
          <t>Orta</t>
        </is>
      </c>
      <c r="F851" s="5" t="inlineStr"/>
      <c r="G851" s="6" t="inlineStr"/>
      <c r="H851" s="6" t="inlineStr">
        <is>
          <t>Kendine 'Kurumun görünmeyen omurgası' yazdın. Müdür itiraz edecek bir kanıt bulamadı.</t>
        </is>
      </c>
      <c r="I851" s="6" t="inlineStr">
        <is>
          <t>Öz değerlendirmen o kadar ikna ediciydi ki müdür kendi formundaki bazı cümleleri senden aldı.</t>
        </is>
      </c>
      <c r="J851" s="6" t="inlineStr">
        <is>
          <t>Müdür formun kenarına tek kelime yazdı: 'Kaynak?'</t>
        </is>
      </c>
      <c r="K851" s="6" t="inlineStr">
        <is>
          <t>Öz değerlendirmeyi yanlışlıkla bütün birime gönderdin. Artık lakabın 'Omurga'.</t>
        </is>
      </c>
      <c r="L851" s="6" t="inlineStr"/>
      <c r="M851" s="5" t="inlineStr"/>
      <c r="N851" s="5" t="inlineStr"/>
      <c r="O851" s="6" t="inlineStr"/>
      <c r="P851" s="6" t="inlineStr"/>
      <c r="Q851" s="5" t="inlineStr">
        <is>
          <t>Yüzü Kızarmaz</t>
        </is>
      </c>
      <c r="R851" s="5" t="inlineStr"/>
      <c r="S851" s="5" t="inlineStr"/>
      <c r="T851" s="5" t="inlineStr"/>
      <c r="U851" s="5" t="inlineStr"/>
      <c r="V851" s="5" t="inlineStr"/>
      <c r="W851" s="5" t="inlineStr"/>
      <c r="X851" s="5" t="inlineStr"/>
      <c r="Y851" s="5" t="inlineStr"/>
      <c r="Z851" s="6" t="inlineStr"/>
      <c r="AA851" s="5" t="inlineStr"/>
      <c r="AB851" s="5" t="inlineStr"/>
      <c r="AC851" s="5" t="inlineStr"/>
      <c r="AD851" s="5" t="inlineStr"/>
      <c r="AE851" s="5" t="inlineStr"/>
      <c r="AF851" s="5" t="inlineStr"/>
      <c r="AG851" s="5" t="inlineStr"/>
      <c r="AH851" s="5" t="inlineStr"/>
    </row>
    <row r="852">
      <c r="A852" s="5" t="inlineStr">
        <is>
          <t>b8-gozluk</t>
        </is>
      </c>
      <c r="B852" s="5" t="n">
        <v>1</v>
      </c>
      <c r="C852" s="6" t="inlineStr">
        <is>
          <t>Göz doktoruna git</t>
        </is>
      </c>
      <c r="D852" s="5" t="inlineStr"/>
      <c r="E852" s="5" t="inlineStr"/>
      <c r="F852" s="5" t="inlineStr">
        <is>
          <t>Akıl +1, Dayanıklılık +1</t>
        </is>
      </c>
      <c r="G852" s="6" t="inlineStr">
        <is>
          <t>Okuma gözlüğü reçete edildi. Artık etiketleri, menüleri ve hayal kırıklıklarını net görüyorsun.</t>
        </is>
      </c>
      <c r="H852" s="6" t="inlineStr"/>
      <c r="I852" s="6" t="inlineStr"/>
      <c r="J852" s="6" t="inlineStr"/>
      <c r="K852" s="6" t="inlineStr"/>
      <c r="L852" s="6" t="inlineStr"/>
      <c r="M852" s="5" t="inlineStr"/>
      <c r="N852" s="5" t="inlineStr"/>
      <c r="O852" s="6" t="inlineStr"/>
      <c r="P852" s="6" t="inlineStr"/>
      <c r="Q852" s="5" t="inlineStr"/>
      <c r="R852" s="5" t="inlineStr"/>
      <c r="S852" s="5" t="inlineStr"/>
      <c r="T852" s="5" t="inlineStr"/>
      <c r="U852" s="5" t="inlineStr">
        <is>
          <t>gozluklu</t>
        </is>
      </c>
      <c r="V852" s="5" t="inlineStr"/>
      <c r="W852" s="5" t="inlineStr"/>
      <c r="X852" s="5" t="inlineStr"/>
      <c r="Y852" s="5" t="inlineStr"/>
      <c r="Z852" s="6" t="inlineStr"/>
      <c r="AA852" s="5" t="inlineStr"/>
      <c r="AB852" s="5" t="inlineStr"/>
      <c r="AC852" s="5" t="inlineStr"/>
      <c r="AD852" s="5" t="inlineStr"/>
      <c r="AE852" s="5" t="inlineStr"/>
      <c r="AF852" s="5" t="inlineStr"/>
      <c r="AG852" s="5" t="inlineStr"/>
      <c r="AH852" s="5" t="inlineStr"/>
    </row>
    <row r="853">
      <c r="A853" s="5" t="inlineStr">
        <is>
          <t>b8-gozluk</t>
        </is>
      </c>
      <c r="B853" s="5" t="n">
        <v>2</v>
      </c>
      <c r="C853" s="6" t="inlineStr">
        <is>
          <t>Fotoğraf çek, büyüt</t>
        </is>
      </c>
      <c r="D853" s="5" t="inlineStr">
        <is>
          <t>Kurnazlık</t>
        </is>
      </c>
      <c r="E853" s="5" t="inlineStr">
        <is>
          <t>Kolay</t>
        </is>
      </c>
      <c r="F853" s="5" t="inlineStr"/>
      <c r="G853" s="6" t="inlineStr"/>
      <c r="H853" s="6" t="inlineStr">
        <is>
          <t>Fotoğrafı çektin, büyüttün, okudun. Teknoloji kolunu uzattı.</t>
        </is>
      </c>
      <c r="I853" s="6" t="inlineStr">
        <is>
          <t>Sistemi o kadar geliştirdin ki sıradaki müşteriler sana etiket okutmaya başladı.</t>
        </is>
      </c>
      <c r="J853" s="6" t="inlineStr">
        <is>
          <t>Flaş patladı. Etiket parlak beyaz bir leke olarak kaydedildi.</t>
        </is>
      </c>
      <c r="K853" s="6" t="inlineStr">
        <is>
          <t>Büyütürken fotoğrafı aile grubuna gönderdin. Başlık: 'Bu ne?' Tartışma üçüncü gününde.</t>
        </is>
      </c>
      <c r="L853" s="6" t="inlineStr"/>
      <c r="M853" s="5" t="inlineStr"/>
      <c r="N853" s="5" t="inlineStr"/>
      <c r="O853" s="6" t="inlineStr"/>
      <c r="P853" s="6" t="inlineStr"/>
      <c r="Q853" s="5" t="inlineStr"/>
      <c r="R853" s="5" t="inlineStr"/>
      <c r="S853" s="5" t="inlineStr"/>
      <c r="T853" s="5" t="inlineStr"/>
      <c r="U853" s="5" t="inlineStr"/>
      <c r="V853" s="5" t="inlineStr"/>
      <c r="W853" s="5" t="inlineStr"/>
      <c r="X853" s="5" t="inlineStr"/>
      <c r="Y853" s="5" t="inlineStr"/>
      <c r="Z853" s="6" t="inlineStr"/>
      <c r="AA853" s="5" t="inlineStr"/>
      <c r="AB853" s="5" t="inlineStr"/>
      <c r="AC853" s="5" t="inlineStr"/>
      <c r="AD853" s="5" t="inlineStr"/>
      <c r="AE853" s="5" t="inlineStr"/>
      <c r="AF853" s="5" t="inlineStr"/>
      <c r="AG853" s="5" t="inlineStr"/>
      <c r="AH853" s="5" t="inlineStr"/>
    </row>
    <row r="854">
      <c r="A854" s="5" t="inlineStr">
        <is>
          <t>b8-gozluk</t>
        </is>
      </c>
      <c r="B854" s="5" t="n">
        <v>3</v>
      </c>
      <c r="C854" s="6" t="inlineStr">
        <is>
          <t>Gözlüğü imaj yap</t>
        </is>
      </c>
      <c r="D854" s="5" t="inlineStr">
        <is>
          <t>Pişkinlik</t>
        </is>
      </c>
      <c r="E854" s="5" t="inlineStr">
        <is>
          <t>Zor</t>
        </is>
      </c>
      <c r="F854" s="5" t="inlineStr"/>
      <c r="G854" s="6" t="inlineStr"/>
      <c r="H854" s="6" t="inlineStr">
        <is>
          <t>Gözlüğü burnunun ucuna indirip üstünden baktın. Toplantılar kısaldı.</t>
        </is>
      </c>
      <c r="I854" s="6" t="inlineStr">
        <is>
          <t>Gözlüğün üstünden bakışın o kadar etkili ki stajyer özür diledi. Sebebini hâlâ bilmiyor.</t>
        </is>
      </c>
      <c r="J854" s="6" t="inlineStr">
        <is>
          <t>Gözlüğü burnunun ucuna indirdin; kaydı, çorbaya düştü.</t>
        </is>
      </c>
      <c r="K854" s="6" t="inlineStr">
        <is>
          <t>Gözlüğü başının üstüne taktın ve yarım saat aradın. Aile arama kurtarma ekibi kuruldu.</t>
        </is>
      </c>
      <c r="L854" s="6" t="inlineStr"/>
      <c r="M854" s="5" t="inlineStr"/>
      <c r="N854" s="5" t="inlineStr"/>
      <c r="O854" s="6" t="inlineStr"/>
      <c r="P854" s="6" t="inlineStr"/>
      <c r="Q854" s="5" t="inlineStr"/>
      <c r="R854" s="5" t="inlineStr"/>
      <c r="S854" s="5" t="inlineStr">
        <is>
          <t>Pişkinlik</t>
        </is>
      </c>
      <c r="T854" s="5" t="inlineStr">
        <is>
          <t>Okuma Gözlüğü Otoritesi</t>
        </is>
      </c>
      <c r="U854" s="5" t="inlineStr"/>
      <c r="V854" s="5" t="inlineStr">
        <is>
          <t>gozluklu</t>
        </is>
      </c>
      <c r="W854" s="5" t="inlineStr"/>
      <c r="X854" s="5" t="inlineStr"/>
      <c r="Y854" s="5" t="inlineStr"/>
      <c r="Z854" s="6" t="inlineStr"/>
      <c r="AA854" s="5" t="inlineStr"/>
      <c r="AB854" s="5" t="inlineStr"/>
      <c r="AC854" s="5" t="inlineStr"/>
      <c r="AD854" s="5" t="inlineStr"/>
      <c r="AE854" s="5" t="inlineStr"/>
      <c r="AF854" s="5" t="inlineStr"/>
      <c r="AG854" s="5" t="inlineStr"/>
      <c r="AH854" s="5" t="inlineStr"/>
    </row>
    <row r="855">
      <c r="A855" s="5" t="inlineStr">
        <is>
          <t>b8-gozluk</t>
        </is>
      </c>
      <c r="B855" s="5" t="n">
        <v>4</v>
      </c>
      <c r="C855" s="6" t="inlineStr">
        <is>
          <t>Görmezden gel, tahminle oku</t>
        </is>
      </c>
      <c r="D855" s="5" t="inlineStr">
        <is>
          <t>Dayanıklılık</t>
        </is>
      </c>
      <c r="E855" s="5" t="inlineStr">
        <is>
          <t>Zor</t>
        </is>
      </c>
      <c r="F855" s="5" t="inlineStr"/>
      <c r="G855" s="6" t="inlineStr"/>
      <c r="H855" s="6" t="inlineStr">
        <is>
          <t>Etiketi tahminle okudun. Doğru ürünü aldın, iki kez üst üste.</t>
        </is>
      </c>
      <c r="I855" s="6" t="inlineStr">
        <is>
          <t>Görmeden okudun; üstelik son kullanma tarihini de yakaladın. Gözler direnişte.</t>
        </is>
      </c>
      <c r="J855" s="6" t="inlineStr">
        <is>
          <t>Tahminle aldın; eve şekersiz yerine duble şekerli geldi.</t>
        </is>
      </c>
      <c r="K855" s="6" t="inlineStr">
        <is>
          <t>Tahminle aldın. Eve kedi maması geldi. Kedin yok.</t>
        </is>
      </c>
      <c r="L855" s="6" t="inlineStr"/>
      <c r="M855" s="5" t="inlineStr"/>
      <c r="N855" s="5" t="inlineStr"/>
      <c r="O855" s="6" t="inlineStr"/>
      <c r="P855" s="6" t="inlineStr"/>
      <c r="Q855" s="5" t="inlineStr"/>
      <c r="R855" s="5" t="inlineStr"/>
      <c r="S855" s="5" t="inlineStr"/>
      <c r="T855" s="5" t="inlineStr"/>
      <c r="U855" s="5" t="inlineStr"/>
      <c r="V855" s="5" t="inlineStr"/>
      <c r="W855" s="5" t="inlineStr"/>
      <c r="X855" s="5" t="inlineStr"/>
      <c r="Y855" s="5" t="inlineStr"/>
      <c r="Z855" s="6" t="inlineStr"/>
      <c r="AA855" s="5" t="inlineStr"/>
      <c r="AB855" s="5" t="inlineStr"/>
      <c r="AC855" s="5" t="inlineStr"/>
      <c r="AD855" s="5" t="inlineStr"/>
      <c r="AE855" s="5" t="inlineStr"/>
      <c r="AF855" s="5" t="inlineStr"/>
      <c r="AG855" s="5" t="inlineStr"/>
      <c r="AH855" s="5" t="inlineStr"/>
    </row>
    <row r="856">
      <c r="A856" s="5" t="inlineStr">
        <is>
          <t>b8-bayram-sofrasi</t>
        </is>
      </c>
      <c r="B856" s="5" t="n">
        <v>1</v>
      </c>
      <c r="C856" s="6" t="inlineStr">
        <is>
          <t>Sarmaya odaklan</t>
        </is>
      </c>
      <c r="D856" s="5" t="inlineStr"/>
      <c r="E856" s="5" t="inlineStr"/>
      <c r="F856" s="5" t="inlineStr">
        <is>
          <t>Dayanıklılık +1, İtibar +1</t>
        </is>
      </c>
      <c r="G856" s="6" t="inlineStr">
        <is>
          <t>Tartışma boyunca yedi sarma yedin. Miras paylaşılmadı; sarmalar paylaşıldı.</t>
        </is>
      </c>
      <c r="H856" s="6" t="inlineStr"/>
      <c r="I856" s="6" t="inlineStr"/>
      <c r="J856" s="6" t="inlineStr"/>
      <c r="K856" s="6" t="inlineStr"/>
      <c r="L856" s="6" t="inlineStr"/>
      <c r="M856" s="5" t="inlineStr"/>
      <c r="N856" s="5" t="inlineStr"/>
      <c r="O856" s="6" t="inlineStr"/>
      <c r="P856" s="6" t="inlineStr"/>
      <c r="Q856" s="5" t="inlineStr"/>
      <c r="R856" s="5" t="inlineStr"/>
      <c r="S856" s="5" t="inlineStr"/>
      <c r="T856" s="5" t="inlineStr"/>
      <c r="U856" s="5" t="inlineStr"/>
      <c r="V856" s="5" t="inlineStr"/>
      <c r="W856" s="5" t="inlineStr"/>
      <c r="X856" s="5" t="inlineStr"/>
      <c r="Y856" s="5" t="inlineStr"/>
      <c r="Z856" s="6" t="inlineStr"/>
      <c r="AA856" s="5" t="inlineStr"/>
      <c r="AB856" s="5" t="inlineStr"/>
      <c r="AC856" s="5" t="inlineStr"/>
      <c r="AD856" s="5" t="inlineStr"/>
      <c r="AE856" s="5" t="inlineStr"/>
      <c r="AF856" s="5" t="inlineStr"/>
      <c r="AG856" s="5" t="inlineStr"/>
      <c r="AH856" s="5" t="inlineStr"/>
    </row>
    <row r="857">
      <c r="A857" s="5" t="inlineStr">
        <is>
          <t>b8-bayram-sofrasi</t>
        </is>
      </c>
      <c r="B857" s="5" t="n">
        <v>2</v>
      </c>
      <c r="C857" s="6" t="inlineStr">
        <is>
          <t>Miras sorusuna soğukkanlı kal</t>
        </is>
      </c>
      <c r="D857" s="5" t="inlineStr">
        <is>
          <t>Pişkinlik</t>
        </is>
      </c>
      <c r="E857" s="5" t="inlineStr">
        <is>
          <t>Orta</t>
        </is>
      </c>
      <c r="F857" s="5" t="inlineStr"/>
      <c r="G857" s="6" t="inlineStr"/>
      <c r="H857" s="6" t="inlineStr">
        <is>
          <t>Hiçbir soruya net cevap vermedin. Konu gelecek bayrama ertelendi.</t>
        </is>
      </c>
      <c r="I857" s="6" t="inlineStr">
        <is>
          <t>Öyle soğukkanlıydın ki amca payından vazgeçip sana çay koydu.</t>
        </is>
      </c>
      <c r="J857" s="6" t="inlineStr">
        <is>
          <t>'Tapu kimde' sorusunda yutkundun. Artık herkes bir şey bildiğini düşünüyor.</t>
        </is>
      </c>
      <c r="K857" s="6" t="inlineStr">
        <is>
          <t>Tatlı gelmeden sofrada iki cephe oluştu. Gelecek bayram iki ayrı salonda kutlanacak.</t>
        </is>
      </c>
      <c r="L857" s="6" t="inlineStr">
        <is>
          <t>Bir kez göz kırptın. Tarla bölündü; sulama hakkı tartışmaya açık.</t>
        </is>
      </c>
      <c r="M857" s="5" t="inlineStr">
        <is>
          <t>poker</t>
        </is>
      </c>
      <c r="N857" s="5" t="inlineStr">
        <is>
          <t>Miras Sorusu</t>
        </is>
      </c>
      <c r="O857" s="6" t="inlineStr">
        <is>
          <t>Sorular üstüne gelirken parmağını dairede tut. Yüz ifaden kayıt altında.</t>
        </is>
      </c>
      <c r="P857" s="6" t="inlineStr">
        <is>
          <t>{"questions": ["Tarlaya kim bakacak?", "Sen zaten şehirdesin, değil mi?", "Tapu kimde?", "Bu sofrayı kim kurdu?", "Baban tam olarak ne demişti?"]}</t>
        </is>
      </c>
      <c r="Q857" s="5" t="inlineStr"/>
      <c r="R857" s="5" t="inlineStr"/>
      <c r="S857" s="5" t="inlineStr"/>
      <c r="T857" s="5" t="inlineStr"/>
      <c r="U857" s="5" t="inlineStr"/>
      <c r="V857" s="5" t="inlineStr"/>
      <c r="W857" s="5" t="inlineStr"/>
      <c r="X857" s="5" t="inlineStr"/>
      <c r="Y857" s="5" t="inlineStr"/>
      <c r="Z857" s="6" t="inlineStr"/>
      <c r="AA857" s="5" t="inlineStr"/>
      <c r="AB857" s="5" t="inlineStr"/>
      <c r="AC857" s="5" t="inlineStr"/>
      <c r="AD857" s="5" t="inlineStr"/>
      <c r="AE857" s="5" t="inlineStr"/>
      <c r="AF857" s="5" t="inlineStr"/>
      <c r="AG857" s="5" t="inlineStr"/>
      <c r="AH857" s="5" t="inlineStr"/>
    </row>
    <row r="858">
      <c r="A858" s="5" t="inlineStr">
        <is>
          <t>b8-bayram-sofrasi</t>
        </is>
      </c>
      <c r="B858" s="5" t="n">
        <v>3</v>
      </c>
      <c r="C858" s="6" t="inlineStr">
        <is>
          <t>Kuzenin arabasını sor</t>
        </is>
      </c>
      <c r="D858" s="5" t="inlineStr">
        <is>
          <t>Çene</t>
        </is>
      </c>
      <c r="E858" s="5" t="inlineStr">
        <is>
          <t>Orta</t>
        </is>
      </c>
      <c r="F858" s="5" t="inlineStr"/>
      <c r="G858" s="6" t="inlineStr"/>
      <c r="H858" s="6" t="inlineStr">
        <is>
          <t>'Yakıtı nasıl?' diye sordun. Kuzen yirmi dakika savunma yaptı; miras unutuldu.</t>
        </is>
      </c>
      <c r="I858" s="6" t="inlineStr">
        <is>
          <t>Arabanın ikinci el değerini masada hesapladın. Amca bile hesap makinesi istedi; tarla kimsenin aklında değil.</t>
        </is>
      </c>
      <c r="J858" s="6" t="inlineStr">
        <is>
          <t>Kuzen senin arabanın yaşını sordu. Cevap sofrada asılı kaldı.</t>
        </is>
      </c>
      <c r="K858" s="6" t="inlineStr">
        <is>
          <t>Kuzen anahtarını masaya koydu. Seninki cebinde, bantla tutturulmuş.</t>
        </is>
      </c>
      <c r="L858" s="6" t="inlineStr"/>
      <c r="M858" s="5" t="inlineStr"/>
      <c r="N858" s="5" t="inlineStr"/>
      <c r="O858" s="6" t="inlineStr"/>
      <c r="P858" s="6" t="inlineStr"/>
      <c r="Q858" s="5" t="inlineStr"/>
      <c r="R858" s="5" t="inlineStr"/>
      <c r="S858" s="5" t="inlineStr"/>
      <c r="T858" s="5" t="inlineStr"/>
      <c r="U858" s="5" t="inlineStr"/>
      <c r="V858" s="5" t="inlineStr"/>
      <c r="W858" s="5" t="inlineStr"/>
      <c r="X858" s="5" t="inlineStr"/>
      <c r="Y858" s="5" t="inlineStr"/>
      <c r="Z858" s="6" t="inlineStr"/>
      <c r="AA858" s="5" t="inlineStr"/>
      <c r="AB858" s="5" t="inlineStr"/>
      <c r="AC858" s="5" t="inlineStr"/>
      <c r="AD858" s="5" t="inlineStr"/>
      <c r="AE858" s="5" t="inlineStr"/>
      <c r="AF858" s="5" t="inlineStr"/>
      <c r="AG858" s="5" t="inlineStr"/>
      <c r="AH858" s="5" t="inlineStr"/>
    </row>
    <row r="859">
      <c r="A859" s="5" t="inlineStr">
        <is>
          <t>b8-bayram-sofrasi</t>
        </is>
      </c>
      <c r="B859" s="5" t="n">
        <v>4</v>
      </c>
      <c r="C859" s="6" t="inlineStr">
        <is>
          <t>Konuyu çocukların okuluna çevir</t>
        </is>
      </c>
      <c r="D859" s="5" t="inlineStr">
        <is>
          <t>Sosyal Radar</t>
        </is>
      </c>
      <c r="E859" s="5" t="inlineStr">
        <is>
          <t>Kolay</t>
        </is>
      </c>
      <c r="F859" s="5" t="inlineStr"/>
      <c r="G859" s="6" t="inlineStr"/>
      <c r="H859" s="6" t="inlineStr">
        <is>
          <t>Sofra bir anda üniversite sıralamaları paneline döndü. Tarla unutuldu.</t>
        </is>
      </c>
      <c r="I859" s="6" t="inlineStr">
        <is>
          <t>Konuyu öyle çevirdin ki halan bile torununun karnesini çıkardı. Miras gündemden resmen düştü.</t>
        </is>
      </c>
      <c r="J859" s="6" t="inlineStr">
        <is>
          <t>Konu değişti; ilk soru sana geldi: 'Seninki ne okuyor?'</t>
        </is>
      </c>
      <c r="K859" s="6" t="inlineStr">
        <is>
          <t>Konuyu çevirdin; iki kuzen karnelerini karşılaştırmaya başladı. Tarla meselesi yanında masum kaldı.</t>
        </is>
      </c>
      <c r="L859" s="6" t="inlineStr"/>
      <c r="M859" s="5" t="inlineStr"/>
      <c r="N859" s="5" t="inlineStr"/>
      <c r="O859" s="6" t="inlineStr"/>
      <c r="P859" s="6" t="inlineStr"/>
      <c r="Q859" s="5" t="inlineStr">
        <is>
          <t>Odayı Okur</t>
        </is>
      </c>
      <c r="R859" s="5" t="inlineStr"/>
      <c r="S859" s="5" t="inlineStr"/>
      <c r="T859" s="5" t="inlineStr"/>
      <c r="U859" s="5" t="inlineStr"/>
      <c r="V859" s="5" t="inlineStr"/>
      <c r="W859" s="5" t="inlineStr"/>
      <c r="X859" s="5" t="inlineStr"/>
      <c r="Y859" s="5" t="inlineStr"/>
      <c r="Z859" s="6" t="inlineStr"/>
      <c r="AA859" s="5" t="inlineStr"/>
      <c r="AB859" s="5" t="inlineStr"/>
      <c r="AC859" s="5" t="inlineStr"/>
      <c r="AD859" s="5" t="inlineStr"/>
      <c r="AE859" s="5" t="inlineStr"/>
      <c r="AF859" s="5" t="inlineStr"/>
      <c r="AG859" s="5" t="inlineStr"/>
      <c r="AH859" s="5" t="inlineStr"/>
    </row>
    <row r="860">
      <c r="A860" s="5" t="inlineStr">
        <is>
          <t>b8-hastane-otoparki</t>
        </is>
      </c>
      <c r="B860" s="5" t="n">
        <v>1</v>
      </c>
      <c r="C860" s="6" t="inlineStr">
        <is>
          <t>Uzağa park et, kol kola yürü</t>
        </is>
      </c>
      <c r="D860" s="5" t="inlineStr"/>
      <c r="E860" s="5" t="inlineStr"/>
      <c r="F860" s="5" t="inlineStr">
        <is>
          <t>Dayanıklılık +2</t>
        </is>
      </c>
      <c r="G860" s="6" t="inlineStr">
        <is>
          <t>Annenle kol kola yürüdünüz. Randevuya yetiştiniz; yolda üç komşunun hâlini de öğrendiniz.</t>
        </is>
      </c>
      <c r="H860" s="6" t="inlineStr"/>
      <c r="I860" s="6" t="inlineStr"/>
      <c r="J860" s="6" t="inlineStr"/>
      <c r="K860" s="6" t="inlineStr"/>
      <c r="L860" s="6" t="inlineStr"/>
      <c r="M860" s="5" t="inlineStr"/>
      <c r="N860" s="5" t="inlineStr"/>
      <c r="O860" s="6" t="inlineStr"/>
      <c r="P860" s="6" t="inlineStr"/>
      <c r="Q860" s="5" t="inlineStr"/>
      <c r="R860" s="5" t="inlineStr"/>
      <c r="S860" s="5" t="inlineStr"/>
      <c r="T860" s="5" t="inlineStr"/>
      <c r="U860" s="5" t="inlineStr"/>
      <c r="V860" s="5" t="inlineStr"/>
      <c r="W860" s="5" t="inlineStr"/>
      <c r="X860" s="5" t="inlineStr"/>
      <c r="Y860" s="5" t="inlineStr"/>
      <c r="Z860" s="6" t="inlineStr"/>
      <c r="AA860" s="5" t="inlineStr"/>
      <c r="AB860" s="5" t="inlineStr"/>
      <c r="AC860" s="5" t="inlineStr"/>
      <c r="AD860" s="5" t="inlineStr"/>
      <c r="AE860" s="5" t="inlineStr"/>
      <c r="AF860" s="5" t="inlineStr"/>
      <c r="AG860" s="5" t="inlineStr"/>
      <c r="AH860" s="5" t="inlineStr"/>
    </row>
    <row r="861">
      <c r="A861" s="5" t="inlineStr">
        <is>
          <t>b8-hastane-otoparki</t>
        </is>
      </c>
      <c r="B861" s="5" t="n">
        <v>2</v>
      </c>
      <c r="C861" s="6" t="inlineStr">
        <is>
          <t>Görevliyle konuş</t>
        </is>
      </c>
      <c r="D861" s="5" t="inlineStr">
        <is>
          <t>Çene</t>
        </is>
      </c>
      <c r="E861" s="5" t="inlineStr">
        <is>
          <t>Orta</t>
        </is>
      </c>
      <c r="F861" s="5" t="inlineStr"/>
      <c r="G861" s="6" t="inlineStr"/>
      <c r="H861" s="6" t="inlineStr">
        <is>
          <t>Görevli bir koni çekti ve yer açtı. Koni, bürokrasinin en güzel yüzüdür.</t>
        </is>
      </c>
      <c r="I861" s="6" t="inlineStr">
        <is>
          <t>Görevli arabanı kendisi park etti, anneni kapıya kadar götürdü. Rehberde adı artık 'Kahraman'.</t>
        </is>
      </c>
      <c r="J861" s="6" t="inlineStr">
        <is>
          <t>Görevli sıraya girmeni söyledi. Sıra otoparkın dışına kadar uzanıyordu.</t>
        </is>
      </c>
      <c r="K861" s="6" t="inlineStr">
        <is>
          <t>Görevliyle konuşurken arkadaki araç boş yere girdi. Görevli ona el salladı.</t>
        </is>
      </c>
      <c r="L861" s="6" t="inlineStr"/>
      <c r="M861" s="5" t="inlineStr"/>
      <c r="N861" s="5" t="inlineStr"/>
      <c r="O861" s="6" t="inlineStr"/>
      <c r="P861" s="6" t="inlineStr"/>
      <c r="Q861" s="5" t="inlineStr"/>
      <c r="R861" s="5" t="inlineStr"/>
      <c r="S861" s="5" t="inlineStr"/>
      <c r="T861" s="5" t="inlineStr"/>
      <c r="U861" s="5" t="inlineStr"/>
      <c r="V861" s="5" t="inlineStr"/>
      <c r="W861" s="5" t="inlineStr"/>
      <c r="X861" s="5" t="inlineStr"/>
      <c r="Y861" s="5" t="inlineStr"/>
      <c r="Z861" s="6" t="inlineStr"/>
      <c r="AA861" s="5" t="inlineStr"/>
      <c r="AB861" s="5" t="inlineStr"/>
      <c r="AC861" s="5" t="inlineStr"/>
      <c r="AD861" s="5" t="inlineStr"/>
      <c r="AE861" s="5" t="inlineStr"/>
      <c r="AF861" s="5" t="inlineStr"/>
      <c r="AG861" s="5" t="inlineStr"/>
      <c r="AH861" s="5" t="inlineStr"/>
    </row>
    <row r="862">
      <c r="A862" s="5" t="inlineStr">
        <is>
          <t>b8-hastane-otoparki</t>
        </is>
      </c>
      <c r="B862" s="5" t="n">
        <v>3</v>
      </c>
      <c r="C862" s="6" t="inlineStr">
        <is>
          <t>Başhekimin yerine park et</t>
        </is>
      </c>
      <c r="D862" s="5" t="inlineStr">
        <is>
          <t>Kurnazlık</t>
        </is>
      </c>
      <c r="E862" s="5" t="inlineStr">
        <is>
          <t>Orta</t>
        </is>
      </c>
      <c r="F862" s="5" t="inlineStr"/>
      <c r="G862" s="6" t="inlineStr"/>
      <c r="H862" s="6" t="inlineStr">
        <is>
          <t>Park ettin, kimse bir şey demedi. Sileceğe not bırakılmış: 'Geçmiş olsun.'</t>
        </is>
      </c>
      <c r="I862" s="6" t="inlineStr">
        <is>
          <t>Çıkışta başhekim 'Randevunuz nasıl geçti?' diye sordu. Birbirinizi tanıdığınızı sanıyor.</t>
        </is>
      </c>
      <c r="J862" s="6" t="inlineStr">
        <is>
          <t>Araç çekildi. Randevu yetişti, araç yetişmedi.</t>
        </is>
      </c>
      <c r="K862" s="6" t="inlineStr">
        <is>
          <t>Başhekim erken geldi. Annenin muayenesini de o yaptı; çok, çok dikkatli yaptı.</t>
        </is>
      </c>
      <c r="L862" s="6" t="inlineStr"/>
      <c r="M862" s="5" t="inlineStr"/>
      <c r="N862" s="5" t="inlineStr"/>
      <c r="O862" s="6" t="inlineStr"/>
      <c r="P862" s="6" t="inlineStr"/>
      <c r="Q862" s="5" t="inlineStr"/>
      <c r="R862" s="5" t="inlineStr"/>
      <c r="S862" s="5" t="inlineStr">
        <is>
          <t>Kurnazlık</t>
        </is>
      </c>
      <c r="T862" s="5" t="inlineStr"/>
      <c r="U862" s="5" t="inlineStr"/>
      <c r="V862" s="5" t="inlineStr"/>
      <c r="W862" s="5" t="inlineStr"/>
      <c r="X862" s="5" t="inlineStr"/>
      <c r="Y862" s="5" t="inlineStr"/>
      <c r="Z862" s="6" t="inlineStr"/>
      <c r="AA862" s="5" t="inlineStr"/>
      <c r="AB862" s="5" t="inlineStr"/>
      <c r="AC862" s="5" t="inlineStr"/>
      <c r="AD862" s="5" t="inlineStr"/>
      <c r="AE862" s="5" t="inlineStr"/>
      <c r="AF862" s="5" t="inlineStr"/>
      <c r="AG862" s="5" t="inlineStr"/>
      <c r="AH862" s="5" t="inlineStr"/>
    </row>
    <row r="863">
      <c r="A863" s="5" t="inlineStr">
        <is>
          <t>b8-bekar-orta-yas</t>
        </is>
      </c>
      <c r="B863" s="5" t="n">
        <v>1</v>
      </c>
      <c r="C863" s="6" t="inlineStr">
        <is>
          <t>Özgürlüğün tadını çıkar</t>
        </is>
      </c>
      <c r="D863" s="5" t="inlineStr"/>
      <c r="E863" s="5" t="inlineStr"/>
      <c r="F863" s="5" t="inlineStr">
        <is>
          <t>Pişkinlik +1, Dayanıklılık +1</t>
        </is>
      </c>
      <c r="G863" s="6" t="inlineStr">
        <is>
          <t>Pazar kahvaltısını öğleden sonra üçte yaptın. Kimseye açıklama yapılmadı; kimse de istemedi.</t>
        </is>
      </c>
      <c r="H863" s="6" t="inlineStr"/>
      <c r="I863" s="6" t="inlineStr"/>
      <c r="J863" s="6" t="inlineStr"/>
      <c r="K863" s="6" t="inlineStr"/>
      <c r="L863" s="6" t="inlineStr"/>
      <c r="M863" s="5" t="inlineStr"/>
      <c r="N863" s="5" t="inlineStr"/>
      <c r="O863" s="6" t="inlineStr"/>
      <c r="P863" s="6" t="inlineStr"/>
      <c r="Q863" s="5" t="inlineStr"/>
      <c r="R863" s="5" t="inlineStr"/>
      <c r="S863" s="5" t="inlineStr"/>
      <c r="T863" s="5" t="inlineStr"/>
      <c r="U863" s="5" t="inlineStr"/>
      <c r="V863" s="5" t="inlineStr"/>
      <c r="W863" s="5" t="inlineStr"/>
      <c r="X863" s="5" t="inlineStr"/>
      <c r="Y863" s="5" t="inlineStr"/>
      <c r="Z863" s="6" t="inlineStr"/>
      <c r="AA863" s="5" t="inlineStr"/>
      <c r="AB863" s="5" t="inlineStr"/>
      <c r="AC863" s="5" t="inlineStr"/>
      <c r="AD863" s="5" t="inlineStr"/>
      <c r="AE863" s="5" t="inlineStr"/>
      <c r="AF863" s="5" t="inlineStr"/>
      <c r="AG863" s="5" t="inlineStr"/>
      <c r="AH863" s="5" t="inlineStr"/>
    </row>
    <row r="864">
      <c r="A864" s="5" t="inlineStr">
        <is>
          <t>b8-bekar-orta-yas</t>
        </is>
      </c>
      <c r="B864" s="5" t="n">
        <v>2</v>
      </c>
      <c r="C864" s="6" t="inlineStr">
        <is>
          <t>Tanışma uygulamasına üye ol</t>
        </is>
      </c>
      <c r="D864" s="5" t="inlineStr">
        <is>
          <t>Cesaret</t>
        </is>
      </c>
      <c r="E864" s="5" t="inlineStr">
        <is>
          <t>Orta</t>
        </is>
      </c>
      <c r="F864" s="5" t="inlineStr"/>
      <c r="G864" s="6" t="inlineStr"/>
      <c r="H864" s="6" t="inlineStr">
        <is>
          <t>Bir kişiyle kahve içtin. Kahve güzeldi; bu bir başlangıç.</t>
        </is>
      </c>
      <c r="I864" s="6" t="inlineStr">
        <is>
          <t>İlk eşleşmen ilkokul sıra arkadaşın çıktı. Kahve iki saat sürdü, hafıza tazelendi.</t>
        </is>
      </c>
      <c r="J864" s="6" t="inlineStr">
        <is>
          <t>Profil fotoğrafı seçmek üç hafta sürdü. Profil hâlâ 'eksik'.</t>
        </is>
      </c>
      <c r="K864" s="6" t="inlineStr">
        <is>
          <t>Uygulama seni kuzeninle eşleştirdi. Aile grubunda ekran görüntüsü var.</t>
        </is>
      </c>
      <c r="L864" s="6" t="inlineStr"/>
      <c r="M864" s="5" t="inlineStr"/>
      <c r="N864" s="5" t="inlineStr"/>
      <c r="O864" s="6" t="inlineStr"/>
      <c r="P864" s="6" t="inlineStr"/>
      <c r="Q864" s="5" t="inlineStr"/>
      <c r="R864" s="5" t="inlineStr"/>
      <c r="S864" s="5" t="inlineStr"/>
      <c r="T864" s="5" t="inlineStr"/>
      <c r="U864" s="5" t="inlineStr"/>
      <c r="V864" s="5" t="inlineStr"/>
      <c r="W864" s="5" t="inlineStr"/>
      <c r="X864" s="5" t="inlineStr"/>
      <c r="Y864" s="5" t="inlineStr"/>
      <c r="Z864" s="6" t="inlineStr"/>
      <c r="AA864" s="5" t="inlineStr"/>
      <c r="AB864" s="5" t="inlineStr"/>
      <c r="AC864" s="5" t="inlineStr"/>
      <c r="AD864" s="5" t="inlineStr"/>
      <c r="AE864" s="5" t="inlineStr"/>
      <c r="AF864" s="5" t="inlineStr"/>
      <c r="AG864" s="5" t="inlineStr"/>
      <c r="AH864" s="5" t="inlineStr"/>
    </row>
    <row r="865">
      <c r="A865" s="5" t="inlineStr">
        <is>
          <t>b8-bekar-orta-yas</t>
        </is>
      </c>
      <c r="B865" s="5" t="n">
        <v>3</v>
      </c>
      <c r="C865" s="6" t="inlineStr">
        <is>
          <t>Bir kedi sahiplen</t>
        </is>
      </c>
      <c r="D865" s="5" t="inlineStr">
        <is>
          <t>İtibar</t>
        </is>
      </c>
      <c r="E865" s="5" t="inlineStr">
        <is>
          <t>Kolay</t>
        </is>
      </c>
      <c r="F865" s="5" t="inlineStr"/>
      <c r="G865" s="6" t="inlineStr"/>
      <c r="H865" s="6" t="inlineStr">
        <is>
          <t>Artık eve gelince biri seni bekliyor. Mama saati olduğu için, ama olsun.</t>
        </is>
      </c>
      <c r="I865" s="6" t="inlineStr">
        <is>
          <t>Kedi seni seçti ve kucağında uyudu. Akrabaların bakışı artık kediye yöneliyor.</t>
        </is>
      </c>
      <c r="J865" s="6" t="inlineStr">
        <is>
          <t>Kediyi sahiplendin; kedi seni sahiplenmedi. Evde iki bağımsız birey yaşıyor.</t>
        </is>
      </c>
      <c r="K865" s="6" t="inlineStr">
        <is>
          <t>Kedi koltuğu, kumandayı ve yatağı ele geçirdi. Krallık devrildi.</t>
        </is>
      </c>
      <c r="L865" s="6" t="inlineStr"/>
      <c r="M865" s="5" t="inlineStr"/>
      <c r="N865" s="5" t="inlineStr"/>
      <c r="O865" s="6" t="inlineStr"/>
      <c r="P865" s="6" t="inlineStr"/>
      <c r="Q865" s="5" t="inlineStr"/>
      <c r="R865" s="5" t="inlineStr"/>
      <c r="S865" s="5" t="inlineStr"/>
      <c r="T865" s="5" t="inlineStr"/>
      <c r="U865" s="5" t="inlineStr"/>
      <c r="V865" s="5" t="inlineStr"/>
      <c r="W865" s="5" t="inlineStr"/>
      <c r="X865" s="5" t="inlineStr"/>
      <c r="Y865" s="5" t="inlineStr"/>
      <c r="Z865" s="6" t="inlineStr"/>
      <c r="AA865" s="5" t="inlineStr"/>
      <c r="AB865" s="5" t="inlineStr"/>
      <c r="AC865" s="5" t="inlineStr"/>
      <c r="AD865" s="5" t="inlineStr"/>
      <c r="AE865" s="5" t="inlineStr"/>
      <c r="AF865" s="5" t="inlineStr"/>
      <c r="AG865" s="5" t="inlineStr"/>
      <c r="AH865" s="5" t="inlineStr"/>
    </row>
    <row r="866">
      <c r="A866" s="5" t="inlineStr">
        <is>
          <t>b8-bekar-orta-yas</t>
        </is>
      </c>
      <c r="B866" s="5" t="n">
        <v>4</v>
      </c>
      <c r="C866" s="6" t="inlineStr">
        <is>
          <t>Çocukluğundaki kediyi hatırla</t>
        </is>
      </c>
      <c r="D866" s="5" t="inlineStr"/>
      <c r="E866" s="5" t="inlineStr"/>
      <c r="F866" s="5" t="inlineStr">
        <is>
          <t>İtibar +2</t>
        </is>
      </c>
      <c r="G866" s="6" t="inlineStr">
        <is>
          <t>Çocukken oylamayla eve gelen kediyi hatırladın. Barınaktan ona benzeyen bir kedi aldın. Bu sefer oylama gerekmedi.</t>
        </is>
      </c>
      <c r="H866" s="6" t="inlineStr"/>
      <c r="I866" s="6" t="inlineStr"/>
      <c r="J866" s="6" t="inlineStr"/>
      <c r="K866" s="6" t="inlineStr"/>
      <c r="L866" s="6" t="inlineStr"/>
      <c r="M866" s="5" t="inlineStr"/>
      <c r="N866" s="5" t="inlineStr"/>
      <c r="O866" s="6" t="inlineStr"/>
      <c r="P866" s="6" t="inlineStr"/>
      <c r="Q866" s="5" t="inlineStr"/>
      <c r="R866" s="5" t="inlineStr">
        <is>
          <t>kediGeldi</t>
        </is>
      </c>
      <c r="S866" s="5" t="inlineStr"/>
      <c r="T866" s="5" t="inlineStr"/>
      <c r="U866" s="5" t="inlineStr"/>
      <c r="V866" s="5" t="inlineStr"/>
      <c r="W866" s="5" t="inlineStr"/>
      <c r="X866" s="5" t="inlineStr"/>
      <c r="Y866" s="5" t="inlineStr"/>
      <c r="Z866" s="6" t="inlineStr"/>
      <c r="AA866" s="5" t="inlineStr"/>
      <c r="AB866" s="5" t="inlineStr"/>
      <c r="AC866" s="5" t="inlineStr"/>
      <c r="AD866" s="5" t="inlineStr"/>
      <c r="AE866" s="5" t="inlineStr"/>
      <c r="AF866" s="5" t="inlineStr"/>
      <c r="AG866" s="5" t="inlineStr"/>
      <c r="AH866" s="5" t="inlineStr"/>
    </row>
    <row r="867">
      <c r="A867" s="5" t="inlineStr">
        <is>
          <t>ms-fon-basvurusu</t>
        </is>
      </c>
      <c r="B867" s="5" t="n">
        <v>1</v>
      </c>
      <c r="C867" s="6" t="inlineStr">
        <is>
          <t>Formu dürüstçe doldur</t>
        </is>
      </c>
      <c r="D867" s="5" t="inlineStr">
        <is>
          <t>Akıl</t>
        </is>
      </c>
      <c r="E867" s="5" t="inlineStr">
        <is>
          <t>Orta</t>
        </is>
      </c>
      <c r="F867" s="5" t="inlineStr"/>
      <c r="G867" s="6" t="inlineStr"/>
      <c r="H867" s="6" t="inlineStr">
        <is>
          <t>Fonu aldın. Tutar, formu doldurmak için harcadığın saatlerin karşılığı kadardı. Tam kadar.</t>
        </is>
      </c>
      <c r="I867" s="6" t="inlineStr">
        <is>
          <t>Komite başvurunu 'yılın en özgün projesi' seçti. Tutar ikiye, harcama raporu dörde katlandı.</t>
        </is>
      </c>
      <c r="J867" s="6" t="inlineStr">
        <is>
          <t>Başvurun 'eksik belge' gerekçesiyle reddedildi. Eksik belge: belge listesi.</t>
        </is>
      </c>
      <c r="K867" s="6" t="inlineStr">
        <is>
          <t>Başvuruyu gece 23.59'da yükledin. Sistem 23.58'de kapanmış. Saatler farklıymış.</t>
        </is>
      </c>
      <c r="L867" s="6" t="inlineStr"/>
      <c r="M867" s="5" t="inlineStr"/>
      <c r="N867" s="5" t="inlineStr"/>
      <c r="O867" s="6" t="inlineStr"/>
      <c r="P867" s="6" t="inlineStr"/>
      <c r="Q867" s="5" t="inlineStr"/>
      <c r="R867" s="5" t="inlineStr"/>
      <c r="S867" s="5" t="inlineStr"/>
      <c r="T867" s="5" t="inlineStr"/>
      <c r="U867" s="5" t="inlineStr"/>
      <c r="V867" s="5" t="inlineStr">
        <is>
          <t>serbest-fon-aldi</t>
        </is>
      </c>
      <c r="W867" s="5" t="inlineStr"/>
      <c r="X867" s="5" t="inlineStr"/>
      <c r="Y867" s="5" t="inlineStr"/>
      <c r="Z867" s="6" t="inlineStr"/>
      <c r="AA867" s="5" t="inlineStr"/>
      <c r="AB867" s="5" t="inlineStr"/>
      <c r="AC867" s="5" t="inlineStr"/>
      <c r="AD867" s="5" t="inlineStr"/>
      <c r="AE867" s="5" t="inlineStr"/>
      <c r="AF867" s="5" t="inlineStr"/>
      <c r="AG867" s="5" t="inlineStr"/>
      <c r="AH867" s="5" t="inlineStr"/>
    </row>
    <row r="868">
      <c r="A868" s="5" t="inlineStr">
        <is>
          <t>ms-fon-basvurusu</t>
        </is>
      </c>
      <c r="B868" s="5" t="n">
        <v>2</v>
      </c>
      <c r="C868" s="6" t="inlineStr">
        <is>
          <t>Proje adına 'hafıza' kelimesini ekle</t>
        </is>
      </c>
      <c r="D868" s="5" t="inlineStr">
        <is>
          <t>Kurnazlık</t>
        </is>
      </c>
      <c r="E868" s="5" t="inlineStr">
        <is>
          <t>Kolay</t>
        </is>
      </c>
      <c r="F868" s="5" t="inlineStr"/>
      <c r="G868" s="6" t="inlineStr"/>
      <c r="H868" s="6" t="inlineStr">
        <is>
          <t>'Hafızanın Kırılgan Mekânları' adıyla başvurdun. Fon onaylandı. Proje aynı proje.</t>
        </is>
      </c>
      <c r="I868" s="6" t="inlineStr">
        <is>
          <t>Başlığa 'hafıza', özete 'sürdürülebilirlik' ekledin. Fon komitesi alkışladı.</t>
        </is>
      </c>
      <c r="J868" s="6" t="inlineStr">
        <is>
          <t>Bu yıl herkes 'hafıza' yazmış. Komite bu yıl 'dönüşüm' arıyormuş.</t>
        </is>
      </c>
      <c r="K868" s="6" t="inlineStr">
        <is>
          <t>Başvurunun adı o kadar soyut oldu ki kendi projeni kendin tanıyamadın. Komite de.</t>
        </is>
      </c>
      <c r="L868" s="6" t="inlineStr"/>
      <c r="M868" s="5" t="inlineStr"/>
      <c r="N868" s="5" t="inlineStr"/>
      <c r="O868" s="6" t="inlineStr"/>
      <c r="P868" s="6" t="inlineStr"/>
      <c r="Q868" s="5" t="inlineStr"/>
      <c r="R868" s="5" t="inlineStr"/>
      <c r="S868" s="5" t="inlineStr">
        <is>
          <t>Kurnazlık</t>
        </is>
      </c>
      <c r="T868" s="5" t="inlineStr"/>
      <c r="U868" s="5" t="inlineStr"/>
      <c r="V868" s="5" t="inlineStr">
        <is>
          <t>serbest-fon-aldi</t>
        </is>
      </c>
      <c r="W868" s="5" t="inlineStr"/>
      <c r="X868" s="5" t="inlineStr"/>
      <c r="Y868" s="5" t="inlineStr"/>
      <c r="Z868" s="6" t="inlineStr"/>
      <c r="AA868" s="5" t="inlineStr"/>
      <c r="AB868" s="5" t="inlineStr"/>
      <c r="AC868" s="5" t="inlineStr"/>
      <c r="AD868" s="5" t="inlineStr"/>
      <c r="AE868" s="5" t="inlineStr"/>
      <c r="AF868" s="5" t="inlineStr"/>
      <c r="AG868" s="5" t="inlineStr"/>
      <c r="AH868" s="5" t="inlineStr"/>
    </row>
    <row r="869">
      <c r="A869" s="5" t="inlineStr">
        <is>
          <t>ms-fon-basvurusu</t>
        </is>
      </c>
      <c r="B869" s="5" t="n">
        <v>3</v>
      </c>
      <c r="C869" s="6" t="inlineStr">
        <is>
          <t>Kolektif kur, birlikte başvur</t>
        </is>
      </c>
      <c r="D869" s="5" t="inlineStr">
        <is>
          <t>Sosyal Radar</t>
        </is>
      </c>
      <c r="E869" s="5" t="inlineStr">
        <is>
          <t>Orta</t>
        </is>
      </c>
      <c r="F869" s="5" t="inlineStr"/>
      <c r="G869" s="6" t="inlineStr"/>
      <c r="H869" s="6" t="inlineStr">
        <is>
          <t>Beş serbest çalışan bir araya geldiniz. Fon ikiye bölünse de ilk kez bir ekibin var.</t>
        </is>
      </c>
      <c r="I869" s="6" t="inlineStr">
        <is>
          <t>Kolektifin fonu aldı ve adı bir yıl boyunca her yerde anıldı. Toplantı tutanakları bile yayımlandı.</t>
        </is>
      </c>
      <c r="J869" s="6" t="inlineStr">
        <is>
          <t>Kolektif kuruldu; ilk toplantı adın ne olacağı üzerine sürdü. Başvuru süresi de o toplantıda bitti.</t>
        </is>
      </c>
      <c r="K869" s="6" t="inlineStr">
        <is>
          <t>Kolektif fonu aldı ve dağıldı. Harcama raporunu tek başına yazman gerekiyor.</t>
        </is>
      </c>
      <c r="L869" s="6" t="inlineStr"/>
      <c r="M869" s="5" t="inlineStr"/>
      <c r="N869" s="5" t="inlineStr"/>
      <c r="O869" s="6" t="inlineStr"/>
      <c r="P869" s="6" t="inlineStr"/>
      <c r="Q869" s="5" t="inlineStr">
        <is>
          <t>Organizatör</t>
        </is>
      </c>
      <c r="R869" s="5" t="inlineStr"/>
      <c r="S869" s="5" t="inlineStr"/>
      <c r="T869" s="5" t="inlineStr"/>
      <c r="U869" s="5" t="inlineStr"/>
      <c r="V869" s="5" t="inlineStr">
        <is>
          <t>serbest-fon-aldi</t>
        </is>
      </c>
      <c r="W869" s="5" t="inlineStr"/>
      <c r="X869" s="5" t="inlineStr"/>
      <c r="Y869" s="5" t="inlineStr"/>
      <c r="Z869" s="6" t="inlineStr"/>
      <c r="AA869" s="5" t="inlineStr"/>
      <c r="AB869" s="5" t="inlineStr"/>
      <c r="AC869" s="5" t="inlineStr"/>
      <c r="AD869" s="5" t="inlineStr"/>
      <c r="AE869" s="5" t="inlineStr"/>
      <c r="AF869" s="5" t="inlineStr"/>
      <c r="AG869" s="5" t="inlineStr"/>
      <c r="AH869" s="5" t="inlineStr"/>
    </row>
    <row r="870">
      <c r="A870" s="5" t="inlineStr">
        <is>
          <t>ms-fon-basvurusu</t>
        </is>
      </c>
      <c r="B870" s="5" t="n">
        <v>4</v>
      </c>
      <c r="C870" s="6" t="inlineStr">
        <is>
          <t>Fon danışmanı tut</t>
        </is>
      </c>
      <c r="D870" s="5" t="inlineStr"/>
      <c r="E870" s="5" t="inlineStr"/>
      <c r="F870" s="5" t="inlineStr">
        <is>
          <t>Pişkinlik +1</t>
        </is>
      </c>
      <c r="G870" s="6" t="inlineStr">
        <is>
          <t>Danışman fonu aldırdı; ücreti fonun yarısıydı. Kalan yarıyla danışmanın önerdiği projeyi yaptın.</t>
        </is>
      </c>
      <c r="H870" s="6" t="inlineStr"/>
      <c r="I870" s="6" t="inlineStr"/>
      <c r="J870" s="6" t="inlineStr"/>
      <c r="K870" s="6" t="inlineStr"/>
      <c r="L870" s="6" t="inlineStr"/>
      <c r="M870" s="5" t="inlineStr"/>
      <c r="N870" s="5" t="inlineStr"/>
      <c r="O870" s="6" t="inlineStr"/>
      <c r="P870" s="6" t="inlineStr"/>
      <c r="Q870" s="5" t="inlineStr"/>
      <c r="R870" s="5" t="inlineStr"/>
      <c r="S870" s="5" t="inlineStr"/>
      <c r="T870" s="5" t="inlineStr"/>
      <c r="U870" s="5" t="inlineStr">
        <is>
          <t>serbest-fon-aldi</t>
        </is>
      </c>
      <c r="V870" s="5" t="inlineStr"/>
      <c r="W870" s="5" t="inlineStr"/>
      <c r="X870" s="5" t="inlineStr"/>
      <c r="Y870" s="5" t="inlineStr"/>
      <c r="Z870" s="6" t="inlineStr"/>
      <c r="AA870" s="5" t="inlineStr"/>
      <c r="AB870" s="5" t="inlineStr"/>
      <c r="AC870" s="5" t="inlineStr"/>
      <c r="AD870" s="5" t="inlineStr"/>
      <c r="AE870" s="5" t="inlineStr"/>
      <c r="AF870" s="5" t="inlineStr"/>
      <c r="AG870" s="5" t="inlineStr"/>
      <c r="AH870" s="5" t="inlineStr"/>
    </row>
    <row r="871">
      <c r="A871" s="5" t="inlineStr">
        <is>
          <t>b8-doktor-stres</t>
        </is>
      </c>
      <c r="B871" s="5" t="n">
        <v>1</v>
      </c>
      <c r="C871" s="6" t="inlineStr">
        <is>
          <t>Tavsiyeyi not al</t>
        </is>
      </c>
      <c r="D871" s="5" t="inlineStr"/>
      <c r="E871" s="5" t="inlineStr"/>
      <c r="F871" s="5" t="inlineStr">
        <is>
          <t>İtibar +1</t>
        </is>
      </c>
      <c r="G871" s="6" t="inlineStr">
        <is>
          <t>Tavsiyeyi telefonuna not aldın. Not, yapılacaklar listesinin 47. sırasında.</t>
        </is>
      </c>
      <c r="H871" s="6" t="inlineStr"/>
      <c r="I871" s="6" t="inlineStr"/>
      <c r="J871" s="6" t="inlineStr"/>
      <c r="K871" s="6" t="inlineStr"/>
      <c r="L871" s="6" t="inlineStr"/>
      <c r="M871" s="5" t="inlineStr"/>
      <c r="N871" s="5" t="inlineStr"/>
      <c r="O871" s="6" t="inlineStr"/>
      <c r="P871" s="6" t="inlineStr"/>
      <c r="Q871" s="5" t="inlineStr"/>
      <c r="R871" s="5" t="inlineStr"/>
      <c r="S871" s="5" t="inlineStr"/>
      <c r="T871" s="5" t="inlineStr"/>
      <c r="U871" s="5" t="inlineStr"/>
      <c r="V871" s="5" t="inlineStr"/>
      <c r="W871" s="5" t="inlineStr"/>
      <c r="X871" s="5" t="inlineStr"/>
      <c r="Y871" s="5" t="inlineStr"/>
      <c r="Z871" s="6" t="inlineStr"/>
      <c r="AA871" s="5" t="inlineStr"/>
      <c r="AB871" s="5" t="inlineStr"/>
      <c r="AC871" s="5" t="inlineStr"/>
      <c r="AD871" s="5" t="inlineStr"/>
      <c r="AE871" s="5" t="inlineStr"/>
      <c r="AF871" s="5" t="inlineStr"/>
      <c r="AG871" s="5" t="inlineStr"/>
      <c r="AH871" s="5" t="inlineStr"/>
    </row>
    <row r="872">
      <c r="A872" s="5" t="inlineStr">
        <is>
          <t>b8-doktor-stres</t>
        </is>
      </c>
      <c r="B872" s="5" t="n">
        <v>2</v>
      </c>
      <c r="C872" s="6" t="inlineStr">
        <is>
          <t>Nasıl yapılacağını sor</t>
        </is>
      </c>
      <c r="D872" s="5" t="inlineStr">
        <is>
          <t>Çene</t>
        </is>
      </c>
      <c r="E872" s="5" t="inlineStr">
        <is>
          <t>Kolay</t>
        </is>
      </c>
      <c r="F872" s="5" t="inlineStr"/>
      <c r="G872" s="6" t="inlineStr"/>
      <c r="H872" s="6" t="inlineStr">
        <is>
          <t>Doktor 'Yürüyüş' dedi ve bir broşür verdi. Broşürü okumak da ayrıca stres.</t>
        </is>
      </c>
      <c r="I872" s="6" t="inlineStr">
        <is>
          <t>Doktor kalemini bıraktı, on dakika hayat felsefesi anlattı. Sıradaki hasta da dinledi; ona da iyi geldi.</t>
        </is>
      </c>
      <c r="J872" s="6" t="inlineStr">
        <is>
          <t>Doktor 'İşte, stres yapmayın' diye tekrarladı. Süreniz doldu.</t>
        </is>
      </c>
      <c r="K872" s="6" t="inlineStr">
        <is>
          <t>Sordun; doktor 'Soru sormak da stres' dedi. Randevu kapandı.</t>
        </is>
      </c>
      <c r="L872" s="6" t="inlineStr"/>
      <c r="M872" s="5" t="inlineStr"/>
      <c r="N872" s="5" t="inlineStr"/>
      <c r="O872" s="6" t="inlineStr"/>
      <c r="P872" s="6" t="inlineStr"/>
      <c r="Q872" s="5" t="inlineStr"/>
      <c r="R872" s="5" t="inlineStr"/>
      <c r="S872" s="5" t="inlineStr"/>
      <c r="T872" s="5" t="inlineStr"/>
      <c r="U872" s="5" t="inlineStr"/>
      <c r="V872" s="5" t="inlineStr"/>
      <c r="W872" s="5" t="inlineStr"/>
      <c r="X872" s="5" t="inlineStr"/>
      <c r="Y872" s="5" t="inlineStr"/>
      <c r="Z872" s="6" t="inlineStr"/>
      <c r="AA872" s="5" t="inlineStr"/>
      <c r="AB872" s="5" t="inlineStr"/>
      <c r="AC872" s="5" t="inlineStr"/>
      <c r="AD872" s="5" t="inlineStr"/>
      <c r="AE872" s="5" t="inlineStr"/>
      <c r="AF872" s="5" t="inlineStr"/>
      <c r="AG872" s="5" t="inlineStr"/>
      <c r="AH872" s="5" t="inlineStr"/>
    </row>
    <row r="873">
      <c r="A873" s="5" t="inlineStr">
        <is>
          <t>b8-doktor-stres</t>
        </is>
      </c>
      <c r="B873" s="5" t="n">
        <v>3</v>
      </c>
      <c r="C873" s="6" t="inlineStr">
        <is>
          <t>Yarından itibaren yürü</t>
        </is>
      </c>
      <c r="D873" s="5" t="inlineStr">
        <is>
          <t>Dayanıklılık</t>
        </is>
      </c>
      <c r="E873" s="5" t="inlineStr">
        <is>
          <t>Orta</t>
        </is>
      </c>
      <c r="F873" s="5" t="inlineStr"/>
      <c r="G873" s="6" t="inlineStr"/>
      <c r="H873" s="6" t="inlineStr">
        <is>
          <t>Otuz gün aralıksız yürüdün. Adım sayar uygulaması seni tebrik etti; uzun zamandır ilk kez biri etti.</t>
        </is>
      </c>
      <c r="I873" s="6" t="inlineStr">
        <is>
          <t>Yürüyüş koşuya, koşu alışkanlığa döndü. Mahallenin köpekleri seni artık tanıyor.</t>
        </is>
      </c>
      <c r="J873" s="6" t="inlineStr">
        <is>
          <t>Üç gün yürüdün. Dördüncü gün yağmur yağdı. Yağmur hâlâ yağıyor.</t>
        </is>
      </c>
      <c r="K873" s="6" t="inlineStr">
        <is>
          <t>İlk gün yeni ayakkabıyla on kilometre yürüdün. İki hafta terlikle yaşadın.</t>
        </is>
      </c>
      <c r="L873" s="6" t="inlineStr"/>
      <c r="M873" s="5" t="inlineStr"/>
      <c r="N873" s="5" t="inlineStr"/>
      <c r="O873" s="6" t="inlineStr"/>
      <c r="P873" s="6" t="inlineStr"/>
      <c r="Q873" s="5" t="inlineStr"/>
      <c r="R873" s="5" t="inlineStr"/>
      <c r="S873" s="5" t="inlineStr">
        <is>
          <t>Dayanıklılık</t>
        </is>
      </c>
      <c r="T873" s="5" t="inlineStr"/>
      <c r="U873" s="5" t="inlineStr"/>
      <c r="V873" s="5" t="inlineStr">
        <is>
          <t>sporcu</t>
        </is>
      </c>
      <c r="W873" s="5" t="inlineStr"/>
      <c r="X873" s="5" t="inlineStr"/>
      <c r="Y873" s="5" t="inlineStr"/>
      <c r="Z873" s="6" t="inlineStr"/>
      <c r="AA873" s="5" t="inlineStr"/>
      <c r="AB873" s="5" t="inlineStr"/>
      <c r="AC873" s="5" t="inlineStr"/>
      <c r="AD873" s="5" t="inlineStr"/>
      <c r="AE873" s="5" t="inlineStr"/>
      <c r="AF873" s="5" t="inlineStr"/>
      <c r="AG873" s="5" t="inlineStr"/>
      <c r="AH873" s="5" t="inlineStr"/>
    </row>
    <row r="874">
      <c r="A874" s="5" t="inlineStr">
        <is>
          <t>b8-doktor-stres</t>
        </is>
      </c>
      <c r="B874" s="5" t="n">
        <v>4</v>
      </c>
      <c r="C874" s="6" t="inlineStr">
        <is>
          <t>Yıllık izni gerçekten kullan</t>
        </is>
      </c>
      <c r="D874" s="5" t="inlineStr"/>
      <c r="E874" s="5" t="inlineStr"/>
      <c r="F874" s="5" t="inlineStr">
        <is>
          <t>Dayanıklılık +2, Kurnazlık +1</t>
        </is>
      </c>
      <c r="G874" s="6" t="inlineStr">
        <is>
          <t>İki hafta izin aldın ve e-postalara bakmadın. Döndüğünde şirket yerindeydi. Bu biraz can sıktı.</t>
        </is>
      </c>
      <c r="H874" s="6" t="inlineStr"/>
      <c r="I874" s="6" t="inlineStr"/>
      <c r="J874" s="6" t="inlineStr"/>
      <c r="K874" s="6" t="inlineStr"/>
      <c r="L874" s="6" t="inlineStr"/>
      <c r="M874" s="5" t="inlineStr"/>
      <c r="N874" s="5" t="inlineStr"/>
      <c r="O874" s="6" t="inlineStr"/>
      <c r="P874" s="6" t="inlineStr"/>
      <c r="Q874" s="5" t="inlineStr">
        <is>
          <t>Organizatör</t>
        </is>
      </c>
      <c r="R874" s="5" t="inlineStr"/>
      <c r="S874" s="5" t="inlineStr"/>
      <c r="T874" s="5" t="inlineStr"/>
      <c r="U874" s="5" t="inlineStr"/>
      <c r="V874" s="5" t="inlineStr"/>
      <c r="W874" s="5" t="inlineStr"/>
      <c r="X874" s="5" t="inlineStr"/>
      <c r="Y874" s="5" t="inlineStr"/>
      <c r="Z874" s="6" t="inlineStr"/>
      <c r="AA874" s="5" t="inlineStr"/>
      <c r="AB874" s="5" t="inlineStr"/>
      <c r="AC874" s="5" t="inlineStr"/>
      <c r="AD874" s="5" t="inlineStr"/>
      <c r="AE874" s="5" t="inlineStr"/>
      <c r="AF874" s="5" t="inlineStr"/>
      <c r="AG874" s="5" t="inlineStr"/>
      <c r="AH874" s="5" t="inlineStr"/>
    </row>
    <row r="875">
      <c r="A875" s="5" t="inlineStr">
        <is>
          <t>b8-cocuk-sinav</t>
        </is>
      </c>
      <c r="B875" s="5" t="n">
        <v>1</v>
      </c>
      <c r="C875" s="6" t="inlineStr">
        <is>
          <t>Kahvaltı hazırla, sus</t>
        </is>
      </c>
      <c r="D875" s="5" t="inlineStr"/>
      <c r="E875" s="5" t="inlineStr"/>
      <c r="F875" s="5" t="inlineStr">
        <is>
          <t>İtibar +1, Dayanıklılık +1</t>
        </is>
      </c>
      <c r="G875" s="6" t="inlineStr">
        <is>
          <t>Kahvaltı hazırlandı, nasihat verilmedi. Çocuk kapıdan çıkarken 'Sağ ol' dedi. Tarihi bir an.</t>
        </is>
      </c>
      <c r="H875" s="6" t="inlineStr"/>
      <c r="I875" s="6" t="inlineStr"/>
      <c r="J875" s="6" t="inlineStr"/>
      <c r="K875" s="6" t="inlineStr"/>
      <c r="L875" s="6" t="inlineStr"/>
      <c r="M875" s="5" t="inlineStr"/>
      <c r="N875" s="5" t="inlineStr"/>
      <c r="O875" s="6" t="inlineStr"/>
      <c r="P875" s="6" t="inlineStr"/>
      <c r="Q875" s="5" t="inlineStr"/>
      <c r="R875" s="5" t="inlineStr"/>
      <c r="S875" s="5" t="inlineStr"/>
      <c r="T875" s="5" t="inlineStr"/>
      <c r="U875" s="5" t="inlineStr"/>
      <c r="V875" s="5" t="inlineStr"/>
      <c r="W875" s="5" t="inlineStr"/>
      <c r="X875" s="5" t="inlineStr"/>
      <c r="Y875" s="5" t="inlineStr"/>
      <c r="Z875" s="6" t="inlineStr"/>
      <c r="AA875" s="5" t="inlineStr"/>
      <c r="AB875" s="5" t="inlineStr"/>
      <c r="AC875" s="5" t="inlineStr"/>
      <c r="AD875" s="5" t="inlineStr"/>
      <c r="AE875" s="5" t="inlineStr"/>
      <c r="AF875" s="5" t="inlineStr"/>
      <c r="AG875" s="5" t="inlineStr"/>
      <c r="AH875" s="5" t="inlineStr"/>
    </row>
    <row r="876">
      <c r="A876" s="5" t="inlineStr">
        <is>
          <t>b8-cocuk-sinav</t>
        </is>
      </c>
      <c r="B876" s="5" t="n">
        <v>2</v>
      </c>
      <c r="C876" s="6" t="inlineStr">
        <is>
          <t>Son dakika taktiği ver</t>
        </is>
      </c>
      <c r="D876" s="5" t="inlineStr">
        <is>
          <t>Akıl</t>
        </is>
      </c>
      <c r="E876" s="5" t="inlineStr">
        <is>
          <t>Orta</t>
        </is>
      </c>
      <c r="F876" s="5" t="inlineStr"/>
      <c r="G876" s="6" t="inlineStr"/>
      <c r="H876" s="6" t="inlineStr">
        <is>
          <t>'Önce bildiklerini yap' dedin. Tavsiye tutuldu; senin tavsiyen olduğu kabul edilmedi.</t>
        </is>
      </c>
      <c r="I876" s="6" t="inlineStr">
        <is>
          <t>Çocuk sınav çıkışı 'Nereden biliyordun?' diye sordu. Cevap: tecrübe ve bir poğaça.</t>
        </is>
      </c>
      <c r="J876" s="6" t="inlineStr">
        <is>
          <t>'Öğretmen tam tersini söyledi' dendi. Öğretmen kazandı.</t>
        </is>
      </c>
      <c r="K876" s="6" t="inlineStr">
        <is>
          <t>Kendi sınavında yaptığın hatayı detaylıca anlattın. Çocuk bütün sınav boyunca o hatayı düşündü.</t>
        </is>
      </c>
      <c r="L876" s="6" t="inlineStr"/>
      <c r="M876" s="5" t="inlineStr"/>
      <c r="N876" s="5" t="inlineStr"/>
      <c r="O876" s="6" t="inlineStr"/>
      <c r="P876" s="6" t="inlineStr"/>
      <c r="Q876" s="5" t="inlineStr"/>
      <c r="R876" s="5" t="inlineStr"/>
      <c r="S876" s="5" t="inlineStr"/>
      <c r="T876" s="5" t="inlineStr"/>
      <c r="U876" s="5" t="inlineStr"/>
      <c r="V876" s="5" t="inlineStr"/>
      <c r="W876" s="5" t="inlineStr"/>
      <c r="X876" s="5" t="inlineStr"/>
      <c r="Y876" s="5" t="inlineStr"/>
      <c r="Z876" s="6" t="inlineStr"/>
      <c r="AA876" s="5" t="inlineStr"/>
      <c r="AB876" s="5" t="inlineStr"/>
      <c r="AC876" s="5" t="inlineStr"/>
      <c r="AD876" s="5" t="inlineStr"/>
      <c r="AE876" s="5" t="inlineStr"/>
      <c r="AF876" s="5" t="inlineStr"/>
      <c r="AG876" s="5" t="inlineStr"/>
      <c r="AH876" s="5" t="inlineStr"/>
    </row>
    <row r="877">
      <c r="A877" s="5" t="inlineStr">
        <is>
          <t>b8-cocuk-sinav</t>
        </is>
      </c>
      <c r="B877" s="5" t="n">
        <v>3</v>
      </c>
      <c r="C877" s="6" t="inlineStr">
        <is>
          <t>'Tek kapı bu değil' de</t>
        </is>
      </c>
      <c r="D877" s="5" t="inlineStr">
        <is>
          <t>İtibar</t>
        </is>
      </c>
      <c r="E877" s="5" t="inlineStr">
        <is>
          <t>Kolay</t>
        </is>
      </c>
      <c r="F877" s="5" t="inlineStr"/>
      <c r="G877" s="6" t="inlineStr"/>
      <c r="H877" s="6" t="inlineStr">
        <is>
          <t>Söyledin. Çocuk derin bir nefes aldı; sen de.</t>
        </is>
      </c>
      <c r="I877" s="6" t="inlineStr">
        <is>
          <t>Söyledin; çocuk sarıldı. Sonuç ne olursa olsun, bu sabah kazanıldı.</t>
        </is>
      </c>
      <c r="J877" s="6" t="inlineStr">
        <is>
          <t>'Şimdi mi söylüyorsun?' dendi. Zamanlama sorunu tespit edildi.</t>
        </is>
      </c>
      <c r="K877" s="6" t="inlineStr">
        <is>
          <t>Çocuk bunu 'Bana güvenmiyorsun' diye anladı. Açıklaman yazılı olarak iletildi.</t>
        </is>
      </c>
      <c r="L877" s="6" t="inlineStr"/>
      <c r="M877" s="5" t="inlineStr"/>
      <c r="N877" s="5" t="inlineStr"/>
      <c r="O877" s="6" t="inlineStr"/>
      <c r="P877" s="6" t="inlineStr"/>
      <c r="Q877" s="5" t="inlineStr"/>
      <c r="R877" s="5" t="inlineStr"/>
      <c r="S877" s="5" t="inlineStr">
        <is>
          <t>İtibar</t>
        </is>
      </c>
      <c r="T877" s="5" t="inlineStr"/>
      <c r="U877" s="5" t="inlineStr"/>
      <c r="V877" s="5" t="inlineStr"/>
      <c r="W877" s="5" t="inlineStr"/>
      <c r="X877" s="5" t="inlineStr"/>
      <c r="Y877" s="5" t="inlineStr"/>
      <c r="Z877" s="6" t="inlineStr"/>
      <c r="AA877" s="5" t="inlineStr"/>
      <c r="AB877" s="5" t="inlineStr"/>
      <c r="AC877" s="5" t="inlineStr"/>
      <c r="AD877" s="5" t="inlineStr"/>
      <c r="AE877" s="5" t="inlineStr"/>
      <c r="AF877" s="5" t="inlineStr"/>
      <c r="AG877" s="5" t="inlineStr"/>
      <c r="AH877" s="5" t="inlineStr"/>
    </row>
    <row r="878">
      <c r="A878" s="5" t="inlineStr">
        <is>
          <t>b8-cocuk-sinav</t>
        </is>
      </c>
      <c r="B878" s="5" t="n">
        <v>4</v>
      </c>
      <c r="C878" s="6" t="inlineStr">
        <is>
          <t>Kendi uğurlu kalemini ver</t>
        </is>
      </c>
      <c r="D878" s="5" t="inlineStr"/>
      <c r="E878" s="5" t="inlineStr"/>
      <c r="F878" s="5" t="inlineStr">
        <is>
          <t>İtibar +2</t>
        </is>
      </c>
      <c r="G878" s="6" t="inlineStr">
        <is>
          <t>Kendi sınavına girdiğin kalemi çekmeceden çıkardın. Yazmıyordu. Çocuk yine de cebine koydu.</t>
        </is>
      </c>
      <c r="H878" s="6" t="inlineStr"/>
      <c r="I878" s="6" t="inlineStr"/>
      <c r="J878" s="6" t="inlineStr"/>
      <c r="K878" s="6" t="inlineStr"/>
      <c r="L878" s="6" t="inlineStr"/>
      <c r="M878" s="5" t="inlineStr"/>
      <c r="N878" s="5" t="inlineStr"/>
      <c r="O878" s="6" t="inlineStr"/>
      <c r="P878" s="6" t="inlineStr"/>
      <c r="Q878" s="5" t="inlineStr"/>
      <c r="R878" s="5" t="inlineStr">
        <is>
          <t>universiteli</t>
        </is>
      </c>
      <c r="S878" s="5" t="inlineStr"/>
      <c r="T878" s="5" t="inlineStr"/>
      <c r="U878" s="5" t="inlineStr"/>
      <c r="V878" s="5" t="inlineStr"/>
      <c r="W878" s="5" t="inlineStr"/>
      <c r="X878" s="5" t="inlineStr"/>
      <c r="Y878" s="5" t="inlineStr"/>
      <c r="Z878" s="6" t="inlineStr"/>
      <c r="AA878" s="5" t="inlineStr"/>
      <c r="AB878" s="5" t="inlineStr"/>
      <c r="AC878" s="5" t="inlineStr"/>
      <c r="AD878" s="5" t="inlineStr"/>
      <c r="AE878" s="5" t="inlineStr"/>
      <c r="AF878" s="5" t="inlineStr"/>
      <c r="AG878" s="5" t="inlineStr"/>
      <c r="AH878" s="5" t="inlineStr"/>
    </row>
    <row r="879">
      <c r="A879" s="5" t="inlineStr">
        <is>
          <t>mb-kisa-gorusme</t>
        </is>
      </c>
      <c r="B879" s="5" t="n">
        <v>1</v>
      </c>
      <c r="C879" s="6" t="inlineStr">
        <is>
          <t>Yüzünü belli etme</t>
        </is>
      </c>
      <c r="D879" s="5" t="inlineStr">
        <is>
          <t>Dayanıklılık</t>
        </is>
      </c>
      <c r="E879" s="5" t="inlineStr">
        <is>
          <t>Zor</t>
        </is>
      </c>
      <c r="F879" s="5" t="inlineStr"/>
      <c r="G879" s="6" t="inlineStr"/>
      <c r="H879" s="6" t="inlineStr">
        <is>
          <t>Hiçbir şey belli etmedin. Görüşme 'devam' kararıyla bitti. Masan hâlâ senin.</t>
        </is>
      </c>
      <c r="I879" s="6" t="inlineStr">
        <is>
          <t>Öyle sakindin ki görüşmenin sonunda yöneticin kendi durumunu sana sordu.</t>
        </is>
      </c>
      <c r="J879" s="6" t="inlineStr">
        <is>
          <t>'Kartınızı getirdiniz mi?' sorusunda yüzün düştü. Penceresiz bir departmana 'yatay geçiş' yaptın.</t>
        </is>
      </c>
      <c r="K879" s="6" t="inlineStr">
        <is>
          <t>Görüşmede ağlayan sen değil, insan kaynaklarından gelen kişiydi. Onu teselli ettin. Maaşın kesildi.</t>
        </is>
      </c>
      <c r="L879" s="6" t="inlineStr">
        <is>
          <t>Bir soruda gözün seğirdi. Kaldın ama masan pencere kenarından koridora taşındı.</t>
        </is>
      </c>
      <c r="M879" s="5" t="inlineStr">
        <is>
          <t>poker</t>
        </is>
      </c>
      <c r="N879" s="5" t="inlineStr">
        <is>
          <t>Kısa Görüşme</t>
        </is>
      </c>
      <c r="O879" s="6" t="inlineStr">
        <is>
          <t>Parmağını dairede tut. Sorular üstüne gelecek. Kıpırdama.</t>
        </is>
      </c>
      <c r="P879" s="6" t="inlineStr">
        <is>
          <t>{"questions": ["Şirkette kendini nasıl görüyorsun?", "Değişime açık mısın?", "Aile nasıl, iyi mi?", "Kartını yanına aldın mı?", "Şu formu bir okur musun?"]}</t>
        </is>
      </c>
      <c r="Q879" s="5" t="inlineStr"/>
      <c r="R879" s="5" t="inlineStr"/>
      <c r="S879" s="5" t="inlineStr"/>
      <c r="T879" s="5" t="inlineStr"/>
      <c r="U879" s="5" t="inlineStr"/>
      <c r="V879" s="5" t="inlineStr">
        <is>
          <t>beyazyaka-sag-kaldi</t>
        </is>
      </c>
      <c r="W879" s="5" t="inlineStr"/>
      <c r="X879" s="5" t="inlineStr"/>
      <c r="Y879" s="5" t="inlineStr"/>
      <c r="Z879" s="6" t="inlineStr"/>
      <c r="AA879" s="5" t="inlineStr"/>
      <c r="AB879" s="5" t="inlineStr"/>
      <c r="AC879" s="5" t="inlineStr"/>
      <c r="AD879" s="5" t="inlineStr"/>
      <c r="AE879" s="5" t="inlineStr"/>
      <c r="AF879" s="5" t="inlineStr"/>
      <c r="AG879" s="5" t="inlineStr"/>
      <c r="AH879" s="5" t="inlineStr"/>
    </row>
    <row r="880">
      <c r="A880" s="5" t="inlineStr">
        <is>
          <t>mb-kisa-gorusme</t>
        </is>
      </c>
      <c r="B880" s="5" t="n">
        <v>2</v>
      </c>
      <c r="C880" s="6" t="inlineStr">
        <is>
          <t>'Ekibimi ben korurum' de</t>
        </is>
      </c>
      <c r="D880" s="5" t="inlineStr">
        <is>
          <t>Cesaret</t>
        </is>
      </c>
      <c r="E880" s="5" t="inlineStr">
        <is>
          <t>Orta</t>
        </is>
      </c>
      <c r="F880" s="5" t="inlineStr"/>
      <c r="G880" s="6" t="inlineStr"/>
      <c r="H880" s="6" t="inlineStr">
        <is>
          <t>Ekibin kaldı, sen de kaldın. Bütçe üç kişilik, ekip altı kişi. Liderlik bu.</t>
        </is>
      </c>
      <c r="I880" s="6" t="inlineStr">
        <is>
          <t>Ekibini savundun, yönetim etkilendi, sana bir ekip daha verdi. Bütçesiz.</t>
        </is>
      </c>
      <c r="J880" s="6" t="inlineStr">
        <is>
          <t>Ekibin kaldı. Sen 'danışman' statüsüne alındın.</t>
        </is>
      </c>
      <c r="K880" s="6" t="inlineStr">
        <is>
          <t>Ekibini savunurken 'Beni de çıkarın o zaman' dedin. Not alındı.</t>
        </is>
      </c>
      <c r="L880" s="6" t="inlineStr"/>
      <c r="M880" s="5" t="inlineStr"/>
      <c r="N880" s="5" t="inlineStr"/>
      <c r="O880" s="6" t="inlineStr"/>
      <c r="P880" s="6" t="inlineStr"/>
      <c r="Q880" s="5" t="inlineStr"/>
      <c r="R880" s="5" t="inlineStr">
        <is>
          <t>beyazyaka-terfi-aldi</t>
        </is>
      </c>
      <c r="S880" s="5" t="inlineStr"/>
      <c r="T880" s="5" t="inlineStr"/>
      <c r="U880" s="5" t="inlineStr"/>
      <c r="V880" s="5" t="inlineStr">
        <is>
          <t>beyazyaka-sag-kaldi</t>
        </is>
      </c>
      <c r="W880" s="5" t="inlineStr"/>
      <c r="X880" s="5" t="inlineStr"/>
      <c r="Y880" s="5" t="inlineStr"/>
      <c r="Z880" s="6" t="inlineStr"/>
      <c r="AA880" s="5" t="inlineStr"/>
      <c r="AB880" s="5" t="inlineStr"/>
      <c r="AC880" s="5" t="inlineStr"/>
      <c r="AD880" s="5" t="inlineStr"/>
      <c r="AE880" s="5" t="inlineStr"/>
      <c r="AF880" s="5" t="inlineStr"/>
      <c r="AG880" s="5" t="inlineStr"/>
      <c r="AH880" s="5" t="inlineStr"/>
    </row>
    <row r="881">
      <c r="A881" s="5" t="inlineStr">
        <is>
          <t>mb-kisa-gorusme</t>
        </is>
      </c>
      <c r="B881" s="5" t="n">
        <v>3</v>
      </c>
      <c r="C881" s="6" t="inlineStr">
        <is>
          <t>Sessizce dinle</t>
        </is>
      </c>
      <c r="D881" s="5" t="inlineStr"/>
      <c r="E881" s="5" t="inlineStr"/>
      <c r="F881" s="5" t="inlineStr">
        <is>
          <t>Dayanıklılık +1</t>
        </is>
      </c>
      <c r="G881" s="6" t="inlineStr">
        <is>
          <t>Dinledin. Görüşme on dört dakika sürdü. Bir dakikası 'Nasılsın?' için ayrılmıştı.</t>
        </is>
      </c>
      <c r="H881" s="6" t="inlineStr"/>
      <c r="I881" s="6" t="inlineStr"/>
      <c r="J881" s="6" t="inlineStr"/>
      <c r="K881" s="6" t="inlineStr"/>
      <c r="L881" s="6" t="inlineStr"/>
      <c r="M881" s="5" t="inlineStr"/>
      <c r="N881" s="5" t="inlineStr"/>
      <c r="O881" s="6" t="inlineStr"/>
      <c r="P881" s="6" t="inlineStr"/>
      <c r="Q881" s="5" t="inlineStr"/>
      <c r="R881" s="5" t="inlineStr"/>
      <c r="S881" s="5" t="inlineStr"/>
      <c r="T881" s="5" t="inlineStr"/>
      <c r="U881" s="5" t="inlineStr">
        <is>
          <t>beyazyaka-sag-kaldi</t>
        </is>
      </c>
      <c r="V881" s="5" t="inlineStr"/>
      <c r="W881" s="5" t="inlineStr"/>
      <c r="X881" s="5" t="inlineStr"/>
      <c r="Y881" s="5" t="inlineStr"/>
      <c r="Z881" s="6" t="inlineStr"/>
      <c r="AA881" s="5" t="inlineStr"/>
      <c r="AB881" s="5" t="inlineStr"/>
      <c r="AC881" s="5" t="inlineStr"/>
      <c r="AD881" s="5" t="inlineStr"/>
      <c r="AE881" s="5" t="inlineStr"/>
      <c r="AF881" s="5" t="inlineStr"/>
      <c r="AG881" s="5" t="inlineStr"/>
      <c r="AH881" s="5" t="inlineStr"/>
    </row>
    <row r="882">
      <c r="A882" s="5" t="inlineStr">
        <is>
          <t>me-internet-satis</t>
        </is>
      </c>
      <c r="B882" s="5" t="n">
        <v>1</v>
      </c>
      <c r="C882" s="6" t="inlineStr">
        <is>
          <t>Siteyi kendin kur</t>
        </is>
      </c>
      <c r="D882" s="5" t="inlineStr">
        <is>
          <t>Akıl</t>
        </is>
      </c>
      <c r="E882" s="5" t="inlineStr">
        <is>
          <t>Zor</t>
        </is>
      </c>
      <c r="F882" s="5" t="inlineStr"/>
      <c r="G882" s="6" t="inlineStr"/>
      <c r="H882" s="6" t="inlineStr">
        <is>
          <t>Siteyi kurdun. İlk sipariş komşudan geldi; kargoyla, karşı kapıdan.</t>
        </is>
      </c>
      <c r="I882" s="6" t="inlineStr">
        <is>
          <t>Başka şehirlerden sipariş gelmeye başladı. 'Kargoya verildi' mesajı yazarken artık gururlanıyorsun.</t>
        </is>
      </c>
      <c r="J882" s="6" t="inlineStr">
        <is>
          <t>Siteyi kurdun. Bütün ürün fotoğraflarında başparmağın var.</t>
        </is>
      </c>
      <c r="K882" s="6" t="inlineStr">
        <is>
          <t>Fiyatları sıfır girmişsin. Gece üç yüz sipariş geldi. Sabah kepengi açamadın; kapı kolilerle kapanmıştı.</t>
        </is>
      </c>
      <c r="L882" s="6" t="inlineStr"/>
      <c r="M882" s="5" t="inlineStr"/>
      <c r="N882" s="5" t="inlineStr"/>
      <c r="O882" s="6" t="inlineStr"/>
      <c r="P882" s="6" t="inlineStr"/>
      <c r="Q882" s="5" t="inlineStr"/>
      <c r="R882" s="5" t="inlineStr"/>
      <c r="S882" s="5" t="inlineStr"/>
      <c r="T882" s="5" t="inlineStr"/>
      <c r="U882" s="5" t="inlineStr"/>
      <c r="V882" s="5" t="inlineStr"/>
      <c r="W882" s="5" t="inlineStr"/>
      <c r="X882" s="5" t="inlineStr"/>
      <c r="Y882" s="5" t="inlineStr"/>
      <c r="Z882" s="6" t="inlineStr"/>
      <c r="AA882" s="5" t="inlineStr"/>
      <c r="AB882" s="5" t="inlineStr"/>
      <c r="AC882" s="5" t="inlineStr"/>
      <c r="AD882" s="5" t="inlineStr"/>
      <c r="AE882" s="5" t="inlineStr"/>
      <c r="AF882" s="5" t="inlineStr"/>
      <c r="AG882" s="5" t="inlineStr"/>
      <c r="AH882" s="5" t="inlineStr"/>
    </row>
    <row r="883">
      <c r="A883" s="5" t="inlineStr">
        <is>
          <t>me-internet-satis</t>
        </is>
      </c>
      <c r="B883" s="5" t="n">
        <v>2</v>
      </c>
      <c r="C883" s="6" t="inlineStr">
        <is>
          <t>Çırağa emanet et</t>
        </is>
      </c>
      <c r="D883" s="5" t="inlineStr"/>
      <c r="E883" s="5" t="inlineStr"/>
      <c r="F883" s="5" t="inlineStr">
        <is>
          <t>Sosyal Radar +1, Akıl +1</t>
        </is>
      </c>
      <c r="G883" s="6" t="inlineStr">
        <is>
          <t>Çırak siteyi bir haftada kurdu. Sen 'Beğen' tuşuna basmayı öğrendin; o da yetti.</t>
        </is>
      </c>
      <c r="H883" s="6" t="inlineStr"/>
      <c r="I883" s="6" t="inlineStr"/>
      <c r="J883" s="6" t="inlineStr"/>
      <c r="K883" s="6" t="inlineStr"/>
      <c r="L883" s="6" t="inlineStr"/>
      <c r="M883" s="5" t="inlineStr"/>
      <c r="N883" s="5" t="inlineStr"/>
      <c r="O883" s="6" t="inlineStr"/>
      <c r="P883" s="6" t="inlineStr"/>
      <c r="Q883" s="5" t="inlineStr"/>
      <c r="R883" s="5" t="inlineStr">
        <is>
          <t>esnaf-cirak</t>
        </is>
      </c>
      <c r="S883" s="5" t="inlineStr"/>
      <c r="T883" s="5" t="inlineStr"/>
      <c r="U883" s="5" t="inlineStr"/>
      <c r="V883" s="5" t="inlineStr"/>
      <c r="W883" s="5" t="inlineStr"/>
      <c r="X883" s="5" t="inlineStr"/>
      <c r="Y883" s="5" t="inlineStr"/>
      <c r="Z883" s="6" t="inlineStr"/>
      <c r="AA883" s="5" t="inlineStr"/>
      <c r="AB883" s="5" t="inlineStr"/>
      <c r="AC883" s="5" t="inlineStr"/>
      <c r="AD883" s="5" t="inlineStr"/>
      <c r="AE883" s="5" t="inlineStr"/>
      <c r="AF883" s="5" t="inlineStr"/>
      <c r="AG883" s="5" t="inlineStr"/>
      <c r="AH883" s="5" t="inlineStr"/>
    </row>
    <row r="884">
      <c r="A884" s="5" t="inlineStr">
        <is>
          <t>me-internet-satis</t>
        </is>
      </c>
      <c r="B884" s="5" t="n">
        <v>3</v>
      </c>
      <c r="C884" s="6" t="inlineStr">
        <is>
          <t>Dükkândan kısa video çek</t>
        </is>
      </c>
      <c r="D884" s="5" t="inlineStr">
        <is>
          <t>Pişkinlik</t>
        </is>
      </c>
      <c r="E884" s="5" t="inlineStr">
        <is>
          <t>Orta</t>
        </is>
      </c>
      <c r="F884" s="5" t="inlineStr"/>
      <c r="G884" s="6" t="inlineStr"/>
      <c r="H884" s="6" t="inlineStr">
        <is>
          <t>İzlenmeler arttı, satışlar biraz arttı, tanınman çok arttı.</t>
        </is>
      </c>
      <c r="I884" s="6" t="inlineStr">
        <is>
          <t>Videon yayıldı. Dükkâna fotoğraf çekmeye gelenler artık bir şey de alıyor. Çoğu.</t>
        </is>
      </c>
      <c r="J884" s="6" t="inlineStr">
        <is>
          <t>Videonun en çok izlenen kısmı arkadan geçen kedi oldu.</t>
        </is>
      </c>
      <c r="K884" s="6" t="inlineStr">
        <is>
          <t>Videoda karşı dükkânın tabelası seninkinden net çıktı. Onun satışları arttı.</t>
        </is>
      </c>
      <c r="L884" s="6" t="inlineStr"/>
      <c r="M884" s="5" t="inlineStr"/>
      <c r="N884" s="5" t="inlineStr"/>
      <c r="O884" s="6" t="inlineStr"/>
      <c r="P884" s="6" t="inlineStr"/>
      <c r="Q884" s="5" t="inlineStr">
        <is>
          <t>Teknoloji Merakı</t>
        </is>
      </c>
      <c r="R884" s="5" t="inlineStr"/>
      <c r="S884" s="5" t="inlineStr"/>
      <c r="T884" s="5" t="inlineStr"/>
      <c r="U884" s="5" t="inlineStr"/>
      <c r="V884" s="5" t="inlineStr"/>
      <c r="W884" s="5" t="inlineStr"/>
      <c r="X884" s="5" t="inlineStr"/>
      <c r="Y884" s="5" t="inlineStr"/>
      <c r="Z884" s="6" t="inlineStr"/>
      <c r="AA884" s="5" t="inlineStr"/>
      <c r="AB884" s="5" t="inlineStr"/>
      <c r="AC884" s="5" t="inlineStr"/>
      <c r="AD884" s="5" t="inlineStr"/>
      <c r="AE884" s="5" t="inlineStr"/>
      <c r="AF884" s="5" t="inlineStr"/>
      <c r="AG884" s="5" t="inlineStr"/>
      <c r="AH884" s="5" t="inlineStr"/>
    </row>
    <row r="885">
      <c r="A885" s="5" t="inlineStr">
        <is>
          <t>me-internet-satis</t>
        </is>
      </c>
      <c r="B885" s="5" t="n">
        <v>4</v>
      </c>
      <c r="C885" s="6" t="inlineStr">
        <is>
          <t>Direnmeye devam et</t>
        </is>
      </c>
      <c r="D885" s="5" t="inlineStr"/>
      <c r="E885" s="5" t="inlineStr"/>
      <c r="F885" s="5" t="inlineStr">
        <is>
          <t>Dayanıklılık +1, İtibar +1</t>
        </is>
      </c>
      <c r="G885" s="6" t="inlineStr">
        <is>
          <t>'Benim müşterim kapıdan gelir' dedin. Kapı hâlâ açık. Önünden kargo kuryeleri geçiyor.</t>
        </is>
      </c>
      <c r="H885" s="6" t="inlineStr"/>
      <c r="I885" s="6" t="inlineStr"/>
      <c r="J885" s="6" t="inlineStr"/>
      <c r="K885" s="6" t="inlineStr"/>
      <c r="L885" s="6" t="inlineStr"/>
      <c r="M885" s="5" t="inlineStr"/>
      <c r="N885" s="5" t="inlineStr"/>
      <c r="O885" s="6" t="inlineStr"/>
      <c r="P885" s="6" t="inlineStr"/>
      <c r="Q885" s="5" t="inlineStr"/>
      <c r="R885" s="5" t="inlineStr"/>
      <c r="S885" s="5" t="inlineStr"/>
      <c r="T885" s="5" t="inlineStr"/>
      <c r="U885" s="5" t="inlineStr"/>
      <c r="V885" s="5" t="inlineStr"/>
      <c r="W885" s="5" t="inlineStr"/>
      <c r="X885" s="5" t="inlineStr"/>
      <c r="Y885" s="5" t="inlineStr"/>
      <c r="Z885" s="6" t="inlineStr"/>
      <c r="AA885" s="5" t="inlineStr"/>
      <c r="AB885" s="5" t="inlineStr"/>
      <c r="AC885" s="5" t="inlineStr"/>
      <c r="AD885" s="5" t="inlineStr"/>
      <c r="AE885" s="5" t="inlineStr"/>
      <c r="AF885" s="5" t="inlineStr"/>
      <c r="AG885" s="5" t="inlineStr"/>
      <c r="AH885" s="5" t="inlineStr"/>
    </row>
    <row r="886">
      <c r="A886" s="5" t="inlineStr">
        <is>
          <t>mm-terfi-sinavi</t>
        </is>
      </c>
      <c r="B886" s="5" t="n">
        <v>1</v>
      </c>
      <c r="C886" s="6" t="inlineStr">
        <is>
          <t>Gece gündüz çalış</t>
        </is>
      </c>
      <c r="D886" s="5" t="inlineStr">
        <is>
          <t>Akıl</t>
        </is>
      </c>
      <c r="E886" s="5" t="inlineStr">
        <is>
          <t>Zor</t>
        </is>
      </c>
      <c r="F886" s="5" t="inlineStr"/>
      <c r="G886" s="6" t="inlineStr"/>
      <c r="H886" s="6" t="inlineStr">
        <is>
          <t>Sınavı geçtin, şube müdürü oldun. Artık 'Yarın gelin' diyen değil, 'Yarın gelsinler' diyen sensin.</t>
        </is>
      </c>
      <c r="I886" s="6" t="inlineStr">
        <is>
          <t>Birinci oldun. Komisyon senin kâğıdını gelecek yılın cevap anahtarı yaptı.</t>
        </is>
      </c>
      <c r="J886" s="6" t="inlineStr">
        <is>
          <t>Kıl payı kaldın. Kıl payı, kurum dilinde 'bir sonraki döneme kadar' demek.</t>
        </is>
      </c>
      <c r="K886" s="6" t="inlineStr">
        <is>
          <t>Sınav gününü yanlış yazmışsın. Boş salonda iki saat tek başına sınav oldun. Kâğıdın okunmadı.</t>
        </is>
      </c>
      <c r="L886" s="6" t="inlineStr"/>
      <c r="M886" s="5" t="inlineStr"/>
      <c r="N886" s="5" t="inlineStr"/>
      <c r="O886" s="6" t="inlineStr"/>
      <c r="P886" s="6" t="inlineStr"/>
      <c r="Q886" s="5" t="inlineStr"/>
      <c r="R886" s="5" t="inlineStr"/>
      <c r="S886" s="5" t="inlineStr"/>
      <c r="T886" s="5" t="inlineStr">
        <is>
          <t>Mevzuat Kalkanı</t>
        </is>
      </c>
      <c r="U886" s="5" t="inlineStr"/>
      <c r="V886" s="5" t="inlineStr"/>
      <c r="W886" s="5" t="inlineStr"/>
      <c r="X886" s="5" t="inlineStr"/>
      <c r="Y886" s="5" t="inlineStr"/>
      <c r="Z886" s="6" t="inlineStr"/>
      <c r="AA886" s="5" t="inlineStr"/>
      <c r="AB886" s="5" t="inlineStr"/>
      <c r="AC886" s="5" t="inlineStr"/>
      <c r="AD886" s="5" t="inlineStr"/>
      <c r="AE886" s="5" t="inlineStr"/>
      <c r="AF886" s="5" t="inlineStr"/>
      <c r="AG886" s="5" t="inlineStr"/>
      <c r="AH886" s="5" t="inlineStr"/>
    </row>
    <row r="887">
      <c r="A887" s="5" t="inlineStr">
        <is>
          <t>mm-terfi-sinavi</t>
        </is>
      </c>
      <c r="B887" s="5" t="n">
        <v>2</v>
      </c>
      <c r="C887" s="6" t="inlineStr">
        <is>
          <t>Değişen maddeye odaklan</t>
        </is>
      </c>
      <c r="D887" s="5" t="inlineStr">
        <is>
          <t>Akıl</t>
        </is>
      </c>
      <c r="E887" s="5" t="inlineStr">
        <is>
          <t>Zor</t>
        </is>
      </c>
      <c r="F887" s="5" t="inlineStr"/>
      <c r="G887" s="6" t="inlineStr"/>
      <c r="H887" s="6" t="inlineStr">
        <is>
          <t>Soruların yarısı o maddeden geldi. Sınavı rahat geçtin.</t>
        </is>
      </c>
      <c r="I887" s="6" t="inlineStr">
        <is>
          <t>Soruların tamamı o maddedendi. Sınavdan çıkarken madde numarasını dövme yaptırmayı düşündün.</t>
        </is>
      </c>
      <c r="J887" s="6" t="inlineStr">
        <is>
          <t>Madde o yıl bir kez daha değişmiş. Sen bir önceki değişikliğe çalışmıştın.</t>
        </is>
      </c>
      <c r="K887" s="6" t="inlineStr">
        <is>
          <t>O maddeye o kadar odaklandın ki sınav kâğıdına adını yazmayı unuttun. En yüksek puanı 'isimsiz' aldı.</t>
        </is>
      </c>
      <c r="L887" s="6" t="inlineStr"/>
      <c r="M887" s="5" t="inlineStr"/>
      <c r="N887" s="5" t="inlineStr"/>
      <c r="O887" s="6" t="inlineStr"/>
      <c r="P887" s="6" t="inlineStr"/>
      <c r="Q887" s="5" t="inlineStr"/>
      <c r="R887" s="5" t="inlineStr"/>
      <c r="S887" s="5" t="inlineStr">
        <is>
          <t>Akıl</t>
        </is>
      </c>
      <c r="T887" s="5" t="inlineStr">
        <is>
          <t>Mevzuat Kalkanı</t>
        </is>
      </c>
      <c r="U887" s="5" t="inlineStr"/>
      <c r="V887" s="5" t="inlineStr"/>
      <c r="W887" s="5" t="inlineStr"/>
      <c r="X887" s="5" t="inlineStr"/>
      <c r="Y887" s="5" t="inlineStr"/>
      <c r="Z887" s="6" t="inlineStr"/>
      <c r="AA887" s="5" t="inlineStr"/>
      <c r="AB887" s="5" t="inlineStr"/>
      <c r="AC887" s="5" t="inlineStr"/>
      <c r="AD887" s="5" t="inlineStr"/>
      <c r="AE887" s="5" t="inlineStr"/>
      <c r="AF887" s="5" t="inlineStr"/>
      <c r="AG887" s="5" t="inlineStr"/>
      <c r="AH887" s="5" t="inlineStr"/>
    </row>
    <row r="888">
      <c r="A888" s="5" t="inlineStr">
        <is>
          <t>mm-terfi-sinavi</t>
        </is>
      </c>
      <c r="B888" s="5" t="n">
        <v>3</v>
      </c>
      <c r="C888" s="6" t="inlineStr">
        <is>
          <t>Çocuğunla birlikte çalış</t>
        </is>
      </c>
      <c r="D888" s="5" t="inlineStr">
        <is>
          <t>Dayanıklılık</t>
        </is>
      </c>
      <c r="E888" s="5" t="inlineStr">
        <is>
          <t>Orta</t>
        </is>
      </c>
      <c r="F888" s="5" t="inlineStr"/>
      <c r="G888" s="6" t="inlineStr"/>
      <c r="H888" s="6" t="inlineStr">
        <is>
          <t>Aynı masada çalıştınız. İkiniz de geçtiniz: sen terfiyi, o yazılıyı.</t>
        </is>
      </c>
      <c r="I888" s="6" t="inlineStr">
        <is>
          <t>Çocuğun sana test tekniği öğretti, sen ona sabır. Aile tarihinin en verimli dönemi.</t>
        </is>
      </c>
      <c r="J888" s="6" t="inlineStr">
        <is>
          <t>Çocuğun sana test tekniği anlattı; sen onun sorularını çözdün. İkiniz de başkasının sınavına hazırlandınız.</t>
        </is>
      </c>
      <c r="K888" s="6" t="inlineStr">
        <is>
          <t>Onun tabletine alıştın. Sınav gününe kadar öğrendiğin tek şey bir oyunun üçüncü bölümü.</t>
        </is>
      </c>
      <c r="L888" s="6" t="inlineStr"/>
      <c r="M888" s="5" t="inlineStr"/>
      <c r="N888" s="5" t="inlineStr"/>
      <c r="O888" s="6" t="inlineStr"/>
      <c r="P888" s="6" t="inlineStr"/>
      <c r="Q888" s="5" t="inlineStr"/>
      <c r="R888" s="5" t="inlineStr">
        <is>
          <t>cocuklu</t>
        </is>
      </c>
      <c r="S888" s="5" t="inlineStr"/>
      <c r="T888" s="5" t="inlineStr"/>
      <c r="U888" s="5" t="inlineStr"/>
      <c r="V888" s="5" t="inlineStr"/>
      <c r="W888" s="5" t="inlineStr"/>
      <c r="X888" s="5" t="inlineStr"/>
      <c r="Y888" s="5" t="inlineStr"/>
      <c r="Z888" s="6" t="inlineStr"/>
      <c r="AA888" s="5" t="inlineStr"/>
      <c r="AB888" s="5" t="inlineStr"/>
      <c r="AC888" s="5" t="inlineStr"/>
      <c r="AD888" s="5" t="inlineStr"/>
      <c r="AE888" s="5" t="inlineStr"/>
      <c r="AF888" s="5" t="inlineStr"/>
      <c r="AG888" s="5" t="inlineStr"/>
      <c r="AH888" s="5" t="inlineStr"/>
    </row>
    <row r="889">
      <c r="A889" s="5" t="inlineStr">
        <is>
          <t>mm-terfi-sinavi</t>
        </is>
      </c>
      <c r="B889" s="5" t="n">
        <v>4</v>
      </c>
      <c r="C889" s="6" t="inlineStr">
        <is>
          <t>Girme, masanda kal</t>
        </is>
      </c>
      <c r="D889" s="5" t="inlineStr"/>
      <c r="E889" s="5" t="inlineStr"/>
      <c r="F889" s="5" t="inlineStr">
        <is>
          <t>İtibar +1, Dayanıklılık +1</t>
        </is>
      </c>
      <c r="G889" s="6" t="inlineStr">
        <is>
          <t>Masan pencere kenarında, çayın sıcak, sorumluluğun makul. Bazı terfiler yataydır.</t>
        </is>
      </c>
      <c r="H889" s="6" t="inlineStr"/>
      <c r="I889" s="6" t="inlineStr"/>
      <c r="J889" s="6" t="inlineStr"/>
      <c r="K889" s="6" t="inlineStr"/>
      <c r="L889" s="6" t="inlineStr"/>
      <c r="M889" s="5" t="inlineStr"/>
      <c r="N889" s="5" t="inlineStr"/>
      <c r="O889" s="6" t="inlineStr"/>
      <c r="P889" s="6" t="inlineStr"/>
      <c r="Q889" s="5" t="inlineStr"/>
      <c r="R889" s="5" t="inlineStr"/>
      <c r="S889" s="5" t="inlineStr"/>
      <c r="T889" s="5" t="inlineStr"/>
      <c r="U889" s="5" t="inlineStr"/>
      <c r="V889" s="5" t="inlineStr"/>
      <c r="W889" s="5" t="inlineStr"/>
      <c r="X889" s="5" t="inlineStr"/>
      <c r="Y889" s="5" t="inlineStr"/>
      <c r="Z889" s="6" t="inlineStr"/>
      <c r="AA889" s="5" t="inlineStr"/>
      <c r="AB889" s="5" t="inlineStr"/>
      <c r="AC889" s="5" t="inlineStr"/>
      <c r="AD889" s="5" t="inlineStr"/>
      <c r="AE889" s="5" t="inlineStr"/>
      <c r="AF889" s="5" t="inlineStr"/>
      <c r="AG889" s="5" t="inlineStr"/>
      <c r="AH889" s="5" t="inlineStr"/>
    </row>
    <row r="890">
      <c r="A890" s="5" t="inlineStr">
        <is>
          <t>b8-dijital-para</t>
        </is>
      </c>
      <c r="B890" s="5" t="n">
        <v>1</v>
      </c>
      <c r="C890" s="6" t="inlineStr">
        <is>
          <t>Teşekkür et, kapat</t>
        </is>
      </c>
      <c r="D890" s="5" t="inlineStr"/>
      <c r="E890" s="5" t="inlineStr"/>
      <c r="F890" s="5" t="inlineStr">
        <is>
          <t>Akıl +1, İtibar +1</t>
        </is>
      </c>
      <c r="G890" s="6" t="inlineStr">
        <is>
          <t>Telefonu kapattın. Bir hafta sonra paranın kurucuları da telefonlarını kapattı.</t>
        </is>
      </c>
      <c r="H890" s="6" t="inlineStr"/>
      <c r="I890" s="6" t="inlineStr"/>
      <c r="J890" s="6" t="inlineStr"/>
      <c r="K890" s="6" t="inlineStr"/>
      <c r="L890" s="6" t="inlineStr"/>
      <c r="M890" s="5" t="inlineStr"/>
      <c r="N890" s="5" t="inlineStr"/>
      <c r="O890" s="6" t="inlineStr"/>
      <c r="P890" s="6" t="inlineStr"/>
      <c r="Q890" s="5" t="inlineStr"/>
      <c r="R890" s="5" t="inlineStr"/>
      <c r="S890" s="5" t="inlineStr"/>
      <c r="T890" s="5" t="inlineStr"/>
      <c r="U890" s="5" t="inlineStr"/>
      <c r="V890" s="5" t="inlineStr"/>
      <c r="W890" s="5" t="inlineStr"/>
      <c r="X890" s="5" t="inlineStr"/>
      <c r="Y890" s="5" t="inlineStr"/>
      <c r="Z890" s="6" t="inlineStr"/>
      <c r="AA890" s="5" t="inlineStr"/>
      <c r="AB890" s="5" t="inlineStr"/>
      <c r="AC890" s="5" t="inlineStr"/>
      <c r="AD890" s="5" t="inlineStr"/>
      <c r="AE890" s="5" t="inlineStr"/>
      <c r="AF890" s="5" t="inlineStr"/>
      <c r="AG890" s="5" t="inlineStr"/>
      <c r="AH890" s="5" t="inlineStr"/>
    </row>
    <row r="891">
      <c r="A891" s="5" t="inlineStr">
        <is>
          <t>b8-dijital-para</t>
        </is>
      </c>
      <c r="B891" s="5" t="n">
        <v>2</v>
      </c>
      <c r="C891" s="6" t="inlineStr">
        <is>
          <t>Küçük bir miktar yatır</t>
        </is>
      </c>
      <c r="D891" s="5" t="inlineStr">
        <is>
          <t>Kurnazlık</t>
        </is>
      </c>
      <c r="E891" s="5" t="inlineStr">
        <is>
          <t>Zor</t>
        </is>
      </c>
      <c r="F891" s="5" t="inlineStr"/>
      <c r="G891" s="6" t="inlineStr"/>
      <c r="H891" s="6" t="inlineStr">
        <is>
          <t>Az yatırdın, ikiye katladın, hemen sattın. Bu hikâyeyi on yıl anlatacaksın.</t>
        </is>
      </c>
      <c r="I891" s="6" t="inlineStr">
        <is>
          <t>Tam tepede sattın. Hayatında ilk kez bir grafik sana yaranmaya çalıştı ve başardı.</t>
        </is>
      </c>
      <c r="J891" s="6" t="inlineStr">
        <is>
          <t>Az yatırdın; daha da az oldu. Grafik şu an bir kayak pisti.</t>
        </is>
      </c>
      <c r="K891" s="6" t="inlineStr">
        <is>
          <t>Az yatırdın, sonra biraz daha. Cüzdan şifresi bir kâğıttaydı. Kâğıt çamaşır makinesinde.</t>
        </is>
      </c>
      <c r="L891" s="6" t="inlineStr"/>
      <c r="M891" s="5" t="inlineStr"/>
      <c r="N891" s="5" t="inlineStr"/>
      <c r="O891" s="6" t="inlineStr"/>
      <c r="P891" s="6" t="inlineStr"/>
      <c r="Q891" s="5" t="inlineStr"/>
      <c r="R891" s="5" t="inlineStr"/>
      <c r="S891" s="5" t="inlineStr"/>
      <c r="T891" s="5" t="inlineStr"/>
      <c r="U891" s="5" t="inlineStr">
        <is>
          <t>dijital-paraci</t>
        </is>
      </c>
      <c r="V891" s="5" t="inlineStr"/>
      <c r="W891" s="5" t="inlineStr"/>
      <c r="X891" s="5" t="inlineStr"/>
      <c r="Y891" s="5" t="inlineStr"/>
      <c r="Z891" s="6" t="inlineStr"/>
      <c r="AA891" s="5" t="inlineStr"/>
      <c r="AB891" s="5" t="inlineStr"/>
      <c r="AC891" s="5" t="inlineStr"/>
      <c r="AD891" s="5" t="inlineStr"/>
      <c r="AE891" s="5" t="inlineStr"/>
      <c r="AF891" s="5" t="inlineStr"/>
      <c r="AG891" s="5" t="inlineStr"/>
      <c r="AH891" s="5" t="inlineStr"/>
    </row>
    <row r="892">
      <c r="A892" s="5" t="inlineStr">
        <is>
          <t>b8-dijital-para</t>
        </is>
      </c>
      <c r="B892" s="5" t="n">
        <v>3</v>
      </c>
      <c r="C892" s="6" t="inlineStr">
        <is>
          <t>Borç tablonu arkadaşına gönder</t>
        </is>
      </c>
      <c r="D892" s="5" t="inlineStr">
        <is>
          <t>Akıl</t>
        </is>
      </c>
      <c r="E892" s="5" t="inlineStr">
        <is>
          <t>Orta</t>
        </is>
      </c>
      <c r="F892" s="5" t="inlineStr"/>
      <c r="G892" s="6" t="inlineStr"/>
      <c r="H892" s="6" t="inlineStr">
        <is>
          <t>Tabloyu gördü, sustu. Sonra 'Haklısın' dedi ve kendi yatırımını çekti.</t>
        </is>
      </c>
      <c r="I892" s="6" t="inlineStr">
        <is>
          <t>Tablon öyle ikna ediciydi ki arkadaşın sana borç yapılandırmada yardım edecek birini buldu. Ücretsiz.</t>
        </is>
      </c>
      <c r="J892" s="6" t="inlineStr">
        <is>
          <t>Tabloyu gönderdin; 'Sen grafik okumayı bilmiyorsun' dedi.</t>
        </is>
      </c>
      <c r="K892" s="6" t="inlineStr">
        <is>
          <t>Arkadaş tablonu başka arkadaşlarına gösterdi. Şimdi üç kişi daha sana 'hâlâ erken' diyor.</t>
        </is>
      </c>
      <c r="L892" s="6" t="inlineStr"/>
      <c r="M892" s="5" t="inlineStr"/>
      <c r="N892" s="5" t="inlineStr"/>
      <c r="O892" s="6" t="inlineStr"/>
      <c r="P892" s="6" t="inlineStr"/>
      <c r="Q892" s="5" t="inlineStr"/>
      <c r="R892" s="5" t="inlineStr"/>
      <c r="S892" s="5" t="inlineStr">
        <is>
          <t>Akıl</t>
        </is>
      </c>
      <c r="T892" s="5" t="inlineStr"/>
      <c r="U892" s="5" t="inlineStr"/>
      <c r="V892" s="5" t="inlineStr"/>
      <c r="W892" s="5" t="inlineStr"/>
      <c r="X892" s="5" t="inlineStr"/>
      <c r="Y892" s="5" t="inlineStr"/>
      <c r="Z892" s="6" t="inlineStr"/>
      <c r="AA892" s="5" t="inlineStr"/>
      <c r="AB892" s="5" t="inlineStr"/>
      <c r="AC892" s="5" t="inlineStr"/>
      <c r="AD892" s="5" t="inlineStr"/>
      <c r="AE892" s="5" t="inlineStr"/>
      <c r="AF892" s="5" t="inlineStr"/>
      <c r="AG892" s="5" t="inlineStr"/>
      <c r="AH892" s="5" t="inlineStr"/>
    </row>
    <row r="893">
      <c r="A893" s="5" t="inlineStr">
        <is>
          <t>b8-dijital-para</t>
        </is>
      </c>
      <c r="B893" s="5" t="n">
        <v>4</v>
      </c>
      <c r="C893" s="6" t="inlineStr">
        <is>
          <t>'Sen ne kadar yatırdın?' diye sor</t>
        </is>
      </c>
      <c r="D893" s="5" t="inlineStr">
        <is>
          <t>Sosyal Radar</t>
        </is>
      </c>
      <c r="E893" s="5" t="inlineStr">
        <is>
          <t>Kolay</t>
        </is>
      </c>
      <c r="F893" s="5" t="inlineStr"/>
      <c r="G893" s="6" t="inlineStr"/>
      <c r="H893" s="6" t="inlineStr">
        <is>
          <t>'Hiç' dedi. Mesele anlaşıldı.</t>
        </is>
      </c>
      <c r="I893" s="6" t="inlineStr">
        <is>
          <t>Cevap vermeden önce iki saniye durdu. O iki saniye sana bir maaş kazandırdı.</t>
        </is>
      </c>
      <c r="J893" s="6" t="inlineStr">
        <is>
          <t>'Her şeyimi' dedi. İkiniz de sustunuz.</t>
        </is>
      </c>
      <c r="K893" s="6" t="inlineStr">
        <is>
          <t>'Her şeyimi, bir de senin payını' dedi. Senin adına yatırmış.</t>
        </is>
      </c>
      <c r="L893" s="6" t="inlineStr"/>
      <c r="M893" s="5" t="inlineStr"/>
      <c r="N893" s="5" t="inlineStr"/>
      <c r="O893" s="6" t="inlineStr"/>
      <c r="P893" s="6" t="inlineStr"/>
      <c r="Q893" s="5" t="inlineStr">
        <is>
          <t>Para Üstü Radarı</t>
        </is>
      </c>
      <c r="R893" s="5" t="inlineStr"/>
      <c r="S893" s="5" t="inlineStr"/>
      <c r="T893" s="5" t="inlineStr"/>
      <c r="U893" s="5" t="inlineStr"/>
      <c r="V893" s="5" t="inlineStr"/>
      <c r="W893" s="5" t="inlineStr"/>
      <c r="X893" s="5" t="inlineStr"/>
      <c r="Y893" s="5" t="inlineStr"/>
      <c r="Z893" s="6" t="inlineStr"/>
      <c r="AA893" s="5" t="inlineStr"/>
      <c r="AB893" s="5" t="inlineStr"/>
      <c r="AC893" s="5" t="inlineStr"/>
      <c r="AD893" s="5" t="inlineStr"/>
      <c r="AE893" s="5" t="inlineStr"/>
      <c r="AF893" s="5" t="inlineStr"/>
      <c r="AG893" s="5" t="inlineStr"/>
      <c r="AH893" s="5" t="inlineStr"/>
    </row>
    <row r="894">
      <c r="A894" s="5" t="inlineStr">
        <is>
          <t>b8-o-cumle</t>
        </is>
      </c>
      <c r="B894" s="5" t="n">
        <v>1</v>
      </c>
      <c r="C894" s="6" t="inlineStr">
        <is>
          <t>'Sen bizim zamanımızda…' diye başla</t>
        </is>
      </c>
      <c r="D894" s="5" t="inlineStr">
        <is>
          <t>Pişkinlik</t>
        </is>
      </c>
      <c r="E894" s="5" t="inlineStr">
        <is>
          <t>Kolay</t>
        </is>
      </c>
      <c r="F894" s="5" t="inlineStr"/>
      <c r="G894" s="6" t="inlineStr"/>
      <c r="H894" s="6" t="inlineStr">
        <is>
          <t>Cümleyi kurdun. İçinde bir şey yerine oturdu; çocukta bir şey yerinden oynadı.</t>
        </is>
      </c>
      <c r="I894" s="6" t="inlineStr">
        <is>
          <t>Öyle kurdun ki çocuk 'Anlat' dedi. Gece ikiye kadar sokak oyunları anlatıldı.</t>
        </is>
      </c>
      <c r="J894" s="6" t="inlineStr">
        <is>
          <t>Cümlenin yarısında kendi annenin sesiyle konuştuğunu fark ettin. Durdun. Geç kalmıştın.</t>
        </is>
      </c>
      <c r="K894" s="6" t="inlineStr">
        <is>
          <t>Çocuk seni kaydetmiş. Video 'Ebeveyn klasikleri' başlığıyla dolaşımda.</t>
        </is>
      </c>
      <c r="L894" s="6" t="inlineStr"/>
      <c r="M894" s="5" t="inlineStr"/>
      <c r="N894" s="5" t="inlineStr"/>
      <c r="O894" s="6" t="inlineStr"/>
      <c r="P894" s="6" t="inlineStr"/>
      <c r="Q894" s="5" t="inlineStr"/>
      <c r="R894" s="5" t="inlineStr"/>
      <c r="S894" s="5" t="inlineStr"/>
      <c r="T894" s="5" t="inlineStr"/>
      <c r="U894" s="5" t="inlineStr"/>
      <c r="V894" s="5" t="inlineStr"/>
      <c r="W894" s="5" t="inlineStr"/>
      <c r="X894" s="5" t="inlineStr"/>
      <c r="Y894" s="5" t="inlineStr"/>
      <c r="Z894" s="6" t="inlineStr"/>
      <c r="AA894" s="5" t="inlineStr"/>
      <c r="AB894" s="5" t="inlineStr"/>
      <c r="AC894" s="5" t="inlineStr"/>
      <c r="AD894" s="5" t="inlineStr"/>
      <c r="AE894" s="5" t="inlineStr"/>
      <c r="AF894" s="5" t="inlineStr"/>
      <c r="AG894" s="5" t="inlineStr"/>
      <c r="AH894" s="5" t="inlineStr"/>
    </row>
    <row r="895">
      <c r="A895" s="5" t="inlineStr">
        <is>
          <t>b8-o-cumle</t>
        </is>
      </c>
      <c r="B895" s="5" t="n">
        <v>2</v>
      </c>
      <c r="C895" s="6" t="inlineStr">
        <is>
          <t>Cümleyi yut, birlikte sıkıl</t>
        </is>
      </c>
      <c r="D895" s="5" t="inlineStr"/>
      <c r="E895" s="5" t="inlineStr"/>
      <c r="F895" s="5" t="inlineStr">
        <is>
          <t>İtibar +2</t>
        </is>
      </c>
      <c r="G895" s="6" t="inlineStr">
        <is>
          <t>Cümleyi yuttun. Birlikte tavana baktınız. On dakika sonra ikiniz de güldünüz; sebep bulunamadı.</t>
        </is>
      </c>
      <c r="H895" s="6" t="inlineStr"/>
      <c r="I895" s="6" t="inlineStr"/>
      <c r="J895" s="6" t="inlineStr"/>
      <c r="K895" s="6" t="inlineStr"/>
      <c r="L895" s="6" t="inlineStr"/>
      <c r="M895" s="5" t="inlineStr"/>
      <c r="N895" s="5" t="inlineStr"/>
      <c r="O895" s="6" t="inlineStr"/>
      <c r="P895" s="6" t="inlineStr"/>
      <c r="Q895" s="5" t="inlineStr"/>
      <c r="R895" s="5" t="inlineStr"/>
      <c r="S895" s="5" t="inlineStr"/>
      <c r="T895" s="5" t="inlineStr"/>
      <c r="U895" s="5" t="inlineStr"/>
      <c r="V895" s="5" t="inlineStr"/>
      <c r="W895" s="5" t="inlineStr"/>
      <c r="X895" s="5" t="inlineStr"/>
      <c r="Y895" s="5" t="inlineStr"/>
      <c r="Z895" s="6" t="inlineStr"/>
      <c r="AA895" s="5" t="inlineStr"/>
      <c r="AB895" s="5" t="inlineStr"/>
      <c r="AC895" s="5" t="inlineStr"/>
      <c r="AD895" s="5" t="inlineStr"/>
      <c r="AE895" s="5" t="inlineStr"/>
      <c r="AF895" s="5" t="inlineStr"/>
      <c r="AG895" s="5" t="inlineStr"/>
      <c r="AH895" s="5" t="inlineStr"/>
    </row>
    <row r="896">
      <c r="A896" s="5" t="inlineStr">
        <is>
          <t>b8-o-cumle</t>
        </is>
      </c>
      <c r="B896" s="5" t="n">
        <v>3</v>
      </c>
      <c r="C896" s="6" t="inlineStr">
        <is>
          <t>Bir sokak oyunu öğret</t>
        </is>
      </c>
      <c r="D896" s="5" t="inlineStr">
        <is>
          <t>Çene</t>
        </is>
      </c>
      <c r="E896" s="5" t="inlineStr">
        <is>
          <t>Orta</t>
        </is>
      </c>
      <c r="F896" s="5" t="inlineStr"/>
      <c r="G896" s="6" t="inlineStr"/>
      <c r="H896" s="6" t="inlineStr">
        <is>
          <t>Yere seksek çizdin. Çocuk 'Bu ne?' dedi, sonra iki saat oynadı.</t>
        </is>
      </c>
      <c r="I896" s="6" t="inlineStr">
        <is>
          <t>Öğrettiğin oyun okulda moda oldu. Veli grubunda 'Bunu kim öğretti?' diye soruluyor.</t>
        </is>
      </c>
      <c r="J896" s="6" t="inlineStr">
        <is>
          <t>Anlatırken kuralları unuttun. Çocuk yenilerini yazdı; sen kaybettin.</t>
        </is>
      </c>
      <c r="K896" s="6" t="inlineStr">
        <is>
          <t>Gösterirken belin tutuldu. Çocuk sordu: 'Sizin zamanınızda bel var mıydı?'</t>
        </is>
      </c>
      <c r="L896" s="6" t="inlineStr"/>
      <c r="M896" s="5" t="inlineStr"/>
      <c r="N896" s="5" t="inlineStr"/>
      <c r="O896" s="6" t="inlineStr"/>
      <c r="P896" s="6" t="inlineStr"/>
      <c r="Q896" s="5" t="inlineStr"/>
      <c r="R896" s="5" t="inlineStr"/>
      <c r="S896" s="5" t="inlineStr"/>
      <c r="T896" s="5" t="inlineStr"/>
      <c r="U896" s="5" t="inlineStr"/>
      <c r="V896" s="5" t="inlineStr"/>
      <c r="W896" s="5" t="inlineStr"/>
      <c r="X896" s="5" t="inlineStr"/>
      <c r="Y896" s="5" t="inlineStr"/>
      <c r="Z896" s="6" t="inlineStr"/>
      <c r="AA896" s="5" t="inlineStr"/>
      <c r="AB896" s="5" t="inlineStr"/>
      <c r="AC896" s="5" t="inlineStr"/>
      <c r="AD896" s="5" t="inlineStr"/>
      <c r="AE896" s="5" t="inlineStr"/>
      <c r="AF896" s="5" t="inlineStr"/>
      <c r="AG896" s="5" t="inlineStr"/>
      <c r="AH896" s="5" t="inlineStr"/>
    </row>
    <row r="897">
      <c r="A897" s="5" t="inlineStr">
        <is>
          <t>b8-o-cumle</t>
        </is>
      </c>
      <c r="B897" s="5" t="n">
        <v>4</v>
      </c>
      <c r="C897" s="6" t="inlineStr">
        <is>
          <t>Kırılan camın hikâyesini anlat</t>
        </is>
      </c>
      <c r="D897" s="5" t="inlineStr"/>
      <c r="E897" s="5" t="inlineStr"/>
      <c r="F897" s="5" t="inlineStr">
        <is>
          <t>Çene +2</t>
        </is>
      </c>
      <c r="G897" s="6" t="inlineStr">
        <is>
          <t>Mahalle maçını ve komşunun camını anlattın. Çocuk sana ilk kez hayranlıkla baktı. Komşu hâlâ affetmedi.</t>
        </is>
      </c>
      <c r="H897" s="6" t="inlineStr"/>
      <c r="I897" s="6" t="inlineStr"/>
      <c r="J897" s="6" t="inlineStr"/>
      <c r="K897" s="6" t="inlineStr"/>
      <c r="L897" s="6" t="inlineStr"/>
      <c r="M897" s="5" t="inlineStr"/>
      <c r="N897" s="5" t="inlineStr"/>
      <c r="O897" s="6" t="inlineStr"/>
      <c r="P897" s="6" t="inlineStr"/>
      <c r="Q897" s="5" t="inlineStr"/>
      <c r="R897" s="5" t="inlineStr">
        <is>
          <t>camKirildi</t>
        </is>
      </c>
      <c r="S897" s="5" t="inlineStr"/>
      <c r="T897" s="5" t="inlineStr"/>
      <c r="U897" s="5" t="inlineStr"/>
      <c r="V897" s="5" t="inlineStr"/>
      <c r="W897" s="5" t="inlineStr"/>
      <c r="X897" s="5" t="inlineStr"/>
      <c r="Y897" s="5" t="inlineStr"/>
      <c r="Z897" s="6" t="inlineStr"/>
      <c r="AA897" s="5" t="inlineStr"/>
      <c r="AB897" s="5" t="inlineStr"/>
      <c r="AC897" s="5" t="inlineStr"/>
      <c r="AD897" s="5" t="inlineStr"/>
      <c r="AE897" s="5" t="inlineStr"/>
      <c r="AF897" s="5" t="inlineStr"/>
      <c r="AG897" s="5" t="inlineStr"/>
      <c r="AH897" s="5" t="inlineStr"/>
    </row>
    <row r="898">
      <c r="A898" s="5" t="inlineStr">
        <is>
          <t>b8-evli-rutin</t>
        </is>
      </c>
      <c r="B898" s="5" t="n">
        <v>1</v>
      </c>
      <c r="C898" s="6" t="inlineStr">
        <is>
          <t>Telefonu bırak, sohbet et</t>
        </is>
      </c>
      <c r="D898" s="5" t="inlineStr"/>
      <c r="E898" s="5" t="inlineStr"/>
      <c r="F898" s="5" t="inlineStr">
        <is>
          <t>İtibar +1, Çene +1</t>
        </is>
      </c>
      <c r="G898" s="6" t="inlineStr">
        <is>
          <t>Telefonlar masaya ters kondu. Konuşacak çok şey çıktı; çoğu kombi hakkında, ama olsun.</t>
        </is>
      </c>
      <c r="H898" s="6" t="inlineStr"/>
      <c r="I898" s="6" t="inlineStr"/>
      <c r="J898" s="6" t="inlineStr"/>
      <c r="K898" s="6" t="inlineStr"/>
      <c r="L898" s="6" t="inlineStr"/>
      <c r="M898" s="5" t="inlineStr"/>
      <c r="N898" s="5" t="inlineStr"/>
      <c r="O898" s="6" t="inlineStr"/>
      <c r="P898" s="6" t="inlineStr"/>
      <c r="Q898" s="5" t="inlineStr"/>
      <c r="R898" s="5" t="inlineStr"/>
      <c r="S898" s="5" t="inlineStr"/>
      <c r="T898" s="5" t="inlineStr"/>
      <c r="U898" s="5" t="inlineStr"/>
      <c r="V898" s="5" t="inlineStr"/>
      <c r="W898" s="5" t="inlineStr"/>
      <c r="X898" s="5" t="inlineStr"/>
      <c r="Y898" s="5" t="inlineStr"/>
      <c r="Z898" s="6" t="inlineStr"/>
      <c r="AA898" s="5" t="inlineStr"/>
      <c r="AB898" s="5" t="inlineStr"/>
      <c r="AC898" s="5" t="inlineStr"/>
      <c r="AD898" s="5" t="inlineStr"/>
      <c r="AE898" s="5" t="inlineStr"/>
      <c r="AF898" s="5" t="inlineStr"/>
      <c r="AG898" s="5" t="inlineStr"/>
      <c r="AH898" s="5" t="inlineStr"/>
    </row>
    <row r="899">
      <c r="A899" s="5" t="inlineStr">
        <is>
          <t>b8-evli-rutin</t>
        </is>
      </c>
      <c r="B899" s="5" t="n">
        <v>2</v>
      </c>
      <c r="C899" s="6" t="inlineStr">
        <is>
          <t>Sürpriz akşam yemeği planla</t>
        </is>
      </c>
      <c r="D899" s="5" t="inlineStr">
        <is>
          <t>Kurnazlık</t>
        </is>
      </c>
      <c r="E899" s="5" t="inlineStr">
        <is>
          <t>Orta</t>
        </is>
      </c>
      <c r="F899" s="5" t="inlineStr"/>
      <c r="G899" s="6" t="inlineStr"/>
      <c r="H899" s="6" t="inlineStr">
        <is>
          <t>Masa hazırdı, mumlar yanıyordu. Eşin 'Ne oldu?' diye sordu. Hiçbir şey olmamıştı; mesele de buydu.</t>
        </is>
      </c>
      <c r="I899" s="6" t="inlineStr">
        <is>
          <t>Evlendiğiniz yıl gittiğiniz yeri buldun; hâlâ açıktı. Garson sizi hatırlamadı ama öyle yaptı.</t>
        </is>
      </c>
      <c r="J899" s="6" t="inlineStr">
        <is>
          <t>Sürpriz yemek günü eşin de sana sürpriz hazırlamıştı. İki yemek, bir mide.</t>
        </is>
      </c>
      <c r="K899" s="6" t="inlineStr">
        <is>
          <t>Rezervasyonu yanlış tarihe yaptın. Yıldönümünü yanlış hatırladığın resmî olarak belgelendi.</t>
        </is>
      </c>
      <c r="L899" s="6" t="inlineStr"/>
      <c r="M899" s="5" t="inlineStr"/>
      <c r="N899" s="5" t="inlineStr"/>
      <c r="O899" s="6" t="inlineStr"/>
      <c r="P899" s="6" t="inlineStr"/>
      <c r="Q899" s="5" t="inlineStr"/>
      <c r="R899" s="5" t="inlineStr"/>
      <c r="S899" s="5" t="inlineStr"/>
      <c r="T899" s="5" t="inlineStr"/>
      <c r="U899" s="5" t="inlineStr"/>
      <c r="V899" s="5" t="inlineStr"/>
      <c r="W899" s="5" t="inlineStr"/>
      <c r="X899" s="5" t="inlineStr"/>
      <c r="Y899" s="5" t="inlineStr"/>
      <c r="Z899" s="6" t="inlineStr"/>
      <c r="AA899" s="5" t="inlineStr"/>
      <c r="AB899" s="5" t="inlineStr"/>
      <c r="AC899" s="5" t="inlineStr"/>
      <c r="AD899" s="5" t="inlineStr"/>
      <c r="AE899" s="5" t="inlineStr"/>
      <c r="AF899" s="5" t="inlineStr"/>
      <c r="AG899" s="5" t="inlineStr"/>
      <c r="AH899" s="5" t="inlineStr"/>
    </row>
    <row r="900">
      <c r="A900" s="5" t="inlineStr">
        <is>
          <t>b8-evli-rutin</t>
        </is>
      </c>
      <c r="B900" s="5" t="n">
        <v>3</v>
      </c>
      <c r="C900" s="6" t="inlineStr">
        <is>
          <t>'Nasılsın?' diye gerçekten sor</t>
        </is>
      </c>
      <c r="D900" s="5" t="inlineStr">
        <is>
          <t>İtibar</t>
        </is>
      </c>
      <c r="E900" s="5" t="inlineStr">
        <is>
          <t>Kolay</t>
        </is>
      </c>
      <c r="F900" s="5" t="inlineStr"/>
      <c r="G900" s="6" t="inlineStr"/>
      <c r="H900" s="6" t="inlineStr">
        <is>
          <t>Sordun ve dinledin. Uzun bir cevap geldi. İyi ki sormuşsun.</t>
        </is>
      </c>
      <c r="I900" s="6" t="inlineStr">
        <is>
          <t>Sordun; eşin bir süre sustu, sonra 'Kimse sormuyordu' dedi. Gece balkonda uzadı.</t>
        </is>
      </c>
      <c r="J900" s="6" t="inlineStr">
        <is>
          <t>Sordun; 'İyiyim' dendi. Bir dahaki sefere.</t>
        </is>
      </c>
      <c r="K900" s="6" t="inlineStr">
        <is>
          <t>Sordun; cevap verirken telefonuna baktın. Soru geri çekildi.</t>
        </is>
      </c>
      <c r="L900" s="6" t="inlineStr"/>
      <c r="M900" s="5" t="inlineStr"/>
      <c r="N900" s="5" t="inlineStr"/>
      <c r="O900" s="6" t="inlineStr"/>
      <c r="P900" s="6" t="inlineStr"/>
      <c r="Q900" s="5" t="inlineStr"/>
      <c r="R900" s="5" t="inlineStr"/>
      <c r="S900" s="5" t="inlineStr">
        <is>
          <t>İtibar</t>
        </is>
      </c>
      <c r="T900" s="5" t="inlineStr"/>
      <c r="U900" s="5" t="inlineStr"/>
      <c r="V900" s="5" t="inlineStr"/>
      <c r="W900" s="5" t="inlineStr"/>
      <c r="X900" s="5" t="inlineStr"/>
      <c r="Y900" s="5" t="inlineStr"/>
      <c r="Z900" s="6" t="inlineStr"/>
      <c r="AA900" s="5" t="inlineStr"/>
      <c r="AB900" s="5" t="inlineStr"/>
      <c r="AC900" s="5" t="inlineStr"/>
      <c r="AD900" s="5" t="inlineStr"/>
      <c r="AE900" s="5" t="inlineStr"/>
      <c r="AF900" s="5" t="inlineStr"/>
      <c r="AG900" s="5" t="inlineStr"/>
      <c r="AH900" s="5" t="inlineStr"/>
    </row>
    <row r="901">
      <c r="A901" s="5" t="inlineStr">
        <is>
          <t>b8-evli-rutin</t>
        </is>
      </c>
      <c r="B901" s="5" t="n">
        <v>4</v>
      </c>
      <c r="C901" s="6" t="inlineStr">
        <is>
          <t>Mutfakta dansa kaldır</t>
        </is>
      </c>
      <c r="D901" s="5" t="inlineStr">
        <is>
          <t>Pişkinlik</t>
        </is>
      </c>
      <c r="E901" s="5" t="inlineStr">
        <is>
          <t>Orta</t>
        </is>
      </c>
      <c r="F901" s="5" t="inlineStr"/>
      <c r="G901" s="6" t="inlineStr"/>
      <c r="H901" s="6" t="inlineStr">
        <is>
          <t>Mutfakta, buzdolabının ışığında dans ettiniz. Kimse görmedi; zaten mesele buydu.</t>
        </is>
      </c>
      <c r="I901" s="6" t="inlineStr">
        <is>
          <t>Dans ettiniz; çocuk kapıda donup kaldı, sonra o da katıldı. Aile arşivinin en iyi gecesi.</t>
        </is>
      </c>
      <c r="J901" s="6" t="inlineStr">
        <is>
          <t>Dansa kaldırdın; eşin 'Bulaşık' dedi. Bulaşık kazandı.</t>
        </is>
      </c>
      <c r="K901" s="6" t="inlineStr">
        <is>
          <t>Dans ederken tencere kulpuna takıldın. Yemek yere, siz kahkahaya düştünüz.</t>
        </is>
      </c>
      <c r="L901" s="6" t="inlineStr"/>
      <c r="M901" s="5" t="inlineStr"/>
      <c r="N901" s="5" t="inlineStr"/>
      <c r="O901" s="6" t="inlineStr"/>
      <c r="P901" s="6" t="inlineStr"/>
      <c r="Q901" s="5" t="inlineStr">
        <is>
          <t>Sahne Sever</t>
        </is>
      </c>
      <c r="R901" s="5" t="inlineStr"/>
      <c r="S901" s="5" t="inlineStr"/>
      <c r="T901" s="5" t="inlineStr"/>
      <c r="U901" s="5" t="inlineStr"/>
      <c r="V901" s="5" t="inlineStr"/>
      <c r="W901" s="5" t="inlineStr"/>
      <c r="X901" s="5" t="inlineStr"/>
      <c r="Y901" s="5" t="inlineStr"/>
      <c r="Z901" s="6" t="inlineStr"/>
      <c r="AA901" s="5" t="inlineStr"/>
      <c r="AB901" s="5" t="inlineStr"/>
      <c r="AC901" s="5" t="inlineStr"/>
      <c r="AD901" s="5" t="inlineStr"/>
      <c r="AE901" s="5" t="inlineStr"/>
      <c r="AF901" s="5" t="inlineStr"/>
      <c r="AG901" s="5" t="inlineStr"/>
      <c r="AH901" s="5" t="inlineStr"/>
    </row>
    <row r="902">
      <c r="A902" s="5" t="inlineStr">
        <is>
          <t>b8-cocuk-odasi</t>
        </is>
      </c>
      <c r="B902" s="5" t="n">
        <v>1</v>
      </c>
      <c r="C902" s="6" t="inlineStr">
        <is>
          <t>Kapıyı kapat, görmedin</t>
        </is>
      </c>
      <c r="D902" s="5" t="inlineStr"/>
      <c r="E902" s="5" t="inlineStr"/>
      <c r="F902" s="5" t="inlineStr">
        <is>
          <t>Dayanıklılık +1</t>
        </is>
      </c>
      <c r="G902" s="6" t="inlineStr">
        <is>
          <t>Kapıyı kapattın. Oda kendi ekosistemini korudu; tabak yerel fauna tarafından sahiplenildi.</t>
        </is>
      </c>
      <c r="H902" s="6" t="inlineStr"/>
      <c r="I902" s="6" t="inlineStr"/>
      <c r="J902" s="6" t="inlineStr"/>
      <c r="K902" s="6" t="inlineStr"/>
      <c r="L902" s="6" t="inlineStr"/>
      <c r="M902" s="5" t="inlineStr"/>
      <c r="N902" s="5" t="inlineStr"/>
      <c r="O902" s="6" t="inlineStr"/>
      <c r="P902" s="6" t="inlineStr"/>
      <c r="Q902" s="5" t="inlineStr"/>
      <c r="R902" s="5" t="inlineStr"/>
      <c r="S902" s="5" t="inlineStr"/>
      <c r="T902" s="5" t="inlineStr"/>
      <c r="U902" s="5" t="inlineStr"/>
      <c r="V902" s="5" t="inlineStr"/>
      <c r="W902" s="5" t="inlineStr"/>
      <c r="X902" s="5" t="inlineStr"/>
      <c r="Y902" s="5" t="inlineStr"/>
      <c r="Z902" s="6" t="inlineStr"/>
      <c r="AA902" s="5" t="inlineStr"/>
      <c r="AB902" s="5" t="inlineStr"/>
      <c r="AC902" s="5" t="inlineStr"/>
      <c r="AD902" s="5" t="inlineStr"/>
      <c r="AE902" s="5" t="inlineStr"/>
      <c r="AF902" s="5" t="inlineStr"/>
      <c r="AG902" s="5" t="inlineStr"/>
      <c r="AH902" s="5" t="inlineStr"/>
    </row>
    <row r="903">
      <c r="A903" s="5" t="inlineStr">
        <is>
          <t>b8-cocuk-odasi</t>
        </is>
      </c>
      <c r="B903" s="5" t="n">
        <v>2</v>
      </c>
      <c r="C903" s="6" t="inlineStr">
        <is>
          <t>Hızla topla</t>
        </is>
      </c>
      <c r="D903" s="5" t="inlineStr">
        <is>
          <t>Dayanıklılık</t>
        </is>
      </c>
      <c r="E903" s="5" t="inlineStr">
        <is>
          <t>Orta</t>
        </is>
      </c>
      <c r="F903" s="5" t="inlineStr"/>
      <c r="G903" s="6" t="inlineStr"/>
      <c r="H903" s="6" t="inlineStr">
        <is>
          <t>On dört çorap topladın. Hiçbiri eşleşmedi, ama zemin göründü.</t>
        </is>
      </c>
      <c r="I903" s="6" t="inlineStr">
        <is>
          <t>Oda toplandı, tabak bulundu; üstüne yıllardır kayıp kumanda da. Zafer ilan edildi.</t>
        </is>
      </c>
      <c r="J903" s="6" t="inlineStr">
        <is>
          <t>Topladın; çocuk gelip 'Her şeyin yerini biliyordum' dedi. Artık bilmiyor.</t>
        </is>
      </c>
      <c r="K903" s="6" t="inlineStr">
        <is>
          <t>Toplarken yerdeki küçük bir oyuncak parçasına bastın. Çıkardığın ses komşuların kayıtlarında.</t>
        </is>
      </c>
      <c r="L903" s="6" t="inlineStr">
        <is>
          <t>Yarısını topladın. Oda 'dağınık' kategorisinden 'yaşanmış' kategorisine terfi etti.</t>
        </is>
      </c>
      <c r="M903" s="5" t="inlineStr">
        <is>
          <t>collect</t>
        </is>
      </c>
      <c r="N903" s="5" t="inlineStr">
        <is>
          <t>Çorap Operasyonu</t>
        </is>
      </c>
      <c r="O903" s="6" t="inlineStr">
        <is>
          <t>Odaya saçılmış tek çorapları kaybolmadan topla.</t>
        </is>
      </c>
      <c r="P903" s="6" t="inlineStr">
        <is>
          <t>{"piece": "🧦"}</t>
        </is>
      </c>
      <c r="Q903" s="5" t="inlineStr"/>
      <c r="R903" s="5" t="inlineStr"/>
      <c r="S903" s="5" t="inlineStr"/>
      <c r="T903" s="5" t="inlineStr"/>
      <c r="U903" s="5" t="inlineStr"/>
      <c r="V903" s="5" t="inlineStr"/>
      <c r="W903" s="5" t="inlineStr"/>
      <c r="X903" s="5" t="inlineStr"/>
      <c r="Y903" s="5" t="inlineStr"/>
      <c r="Z903" s="6" t="inlineStr"/>
      <c r="AA903" s="5" t="inlineStr"/>
      <c r="AB903" s="5" t="inlineStr"/>
      <c r="AC903" s="5" t="inlineStr"/>
      <c r="AD903" s="5" t="inlineStr"/>
      <c r="AE903" s="5" t="inlineStr"/>
      <c r="AF903" s="5" t="inlineStr"/>
      <c r="AG903" s="5" t="inlineStr"/>
      <c r="AH903" s="5" t="inlineStr"/>
    </row>
    <row r="904">
      <c r="A904" s="5" t="inlineStr">
        <is>
          <t>b8-cocuk-odasi</t>
        </is>
      </c>
      <c r="B904" s="5" t="n">
        <v>3</v>
      </c>
      <c r="C904" s="6" t="inlineStr">
        <is>
          <t>Çocukla pazarlık et</t>
        </is>
      </c>
      <c r="D904" s="5" t="inlineStr">
        <is>
          <t>Çene</t>
        </is>
      </c>
      <c r="E904" s="5" t="inlineStr">
        <is>
          <t>Orta</t>
        </is>
      </c>
      <c r="F904" s="5" t="inlineStr"/>
      <c r="G904" s="6" t="inlineStr"/>
      <c r="H904" s="6" t="inlineStr">
        <is>
          <t>Oda karşılığında bir hafta ek ekran süresi. Sözleşme buzdolabına mıknatısla asıldı.</t>
        </is>
      </c>
      <c r="I904" s="6" t="inlineStr">
        <is>
          <t>Çocuk odasını da, salonu da topladı. Karşılığında ne istediğini hâlâ söylemedi; endişe verici.</t>
        </is>
      </c>
      <c r="J904" s="6" t="inlineStr">
        <is>
          <t>Çocuk avukat gibi konuştu. Kaybettin.</t>
        </is>
      </c>
      <c r="K904" s="6" t="inlineStr">
        <is>
          <t>Çocuk senin çalışma masanın fotoğrafını delil olarak sundu. Dava düştü.</t>
        </is>
      </c>
      <c r="L904" s="6" t="inlineStr"/>
      <c r="M904" s="5" t="inlineStr"/>
      <c r="N904" s="5" t="inlineStr"/>
      <c r="O904" s="6" t="inlineStr"/>
      <c r="P904" s="6" t="inlineStr"/>
      <c r="Q904" s="5" t="inlineStr"/>
      <c r="R904" s="5" t="inlineStr"/>
      <c r="S904" s="5" t="inlineStr"/>
      <c r="T904" s="5" t="inlineStr"/>
      <c r="U904" s="5" t="inlineStr"/>
      <c r="V904" s="5" t="inlineStr"/>
      <c r="W904" s="5" t="inlineStr"/>
      <c r="X904" s="5" t="inlineStr"/>
      <c r="Y904" s="5" t="inlineStr"/>
      <c r="Z904" s="6" t="inlineStr"/>
      <c r="AA904" s="5" t="inlineStr"/>
      <c r="AB904" s="5" t="inlineStr"/>
      <c r="AC904" s="5" t="inlineStr"/>
      <c r="AD904" s="5" t="inlineStr"/>
      <c r="AE904" s="5" t="inlineStr"/>
      <c r="AF904" s="5" t="inlineStr"/>
      <c r="AG904" s="5" t="inlineStr"/>
      <c r="AH904" s="5" t="inlineStr"/>
    </row>
    <row r="905">
      <c r="A905" s="5" t="inlineStr">
        <is>
          <t>b8-cocuk-odasi</t>
        </is>
      </c>
      <c r="B905" s="5" t="n">
        <v>4</v>
      </c>
      <c r="C905" s="6" t="inlineStr">
        <is>
          <t>Tabağı kediye yükle</t>
        </is>
      </c>
      <c r="D905" s="5" t="inlineStr"/>
      <c r="E905" s="5" t="inlineStr"/>
      <c r="F905" s="5" t="inlineStr">
        <is>
          <t>Pişkinlik +1, Kurnazlık +1</t>
        </is>
      </c>
      <c r="G905" s="6" t="inlineStr">
        <is>
          <t>'Tabağı kedi götürmüş' dedin. Çocuk 'Kedimiz yok' dedi. Otuz yıllık gelenek yeni kuşağa devredildi.</t>
        </is>
      </c>
      <c r="H905" s="6" t="inlineStr"/>
      <c r="I905" s="6" t="inlineStr"/>
      <c r="J905" s="6" t="inlineStr"/>
      <c r="K905" s="6" t="inlineStr"/>
      <c r="L905" s="6" t="inlineStr"/>
      <c r="M905" s="5" t="inlineStr"/>
      <c r="N905" s="5" t="inlineStr"/>
      <c r="O905" s="6" t="inlineStr"/>
      <c r="P905" s="6" t="inlineStr"/>
      <c r="Q905" s="5" t="inlineStr"/>
      <c r="R905" s="5" t="inlineStr">
        <is>
          <t>kediSuclu</t>
        </is>
      </c>
      <c r="S905" s="5" t="inlineStr"/>
      <c r="T905" s="5" t="inlineStr"/>
      <c r="U905" s="5" t="inlineStr"/>
      <c r="V905" s="5" t="inlineStr"/>
      <c r="W905" s="5" t="inlineStr"/>
      <c r="X905" s="5" t="inlineStr"/>
      <c r="Y905" s="5" t="inlineStr"/>
      <c r="Z905" s="6" t="inlineStr"/>
      <c r="AA905" s="5" t="inlineStr"/>
      <c r="AB905" s="5" t="inlineStr"/>
      <c r="AC905" s="5" t="inlineStr"/>
      <c r="AD905" s="5" t="inlineStr"/>
      <c r="AE905" s="5" t="inlineStr"/>
      <c r="AF905" s="5" t="inlineStr"/>
      <c r="AG905" s="5" t="inlineStr"/>
      <c r="AH905" s="5" t="inlineStr"/>
    </row>
    <row r="906">
      <c r="A906" s="5" t="inlineStr">
        <is>
          <t>ms-eski-musteri</t>
        </is>
      </c>
      <c r="B906" s="5" t="n">
        <v>1</v>
      </c>
      <c r="C906" s="6" t="inlineStr">
        <is>
          <t>Görmezden gel</t>
        </is>
      </c>
      <c r="D906" s="5" t="inlineStr"/>
      <c r="E906" s="5" t="inlineStr"/>
      <c r="F906" s="5" t="inlineStr">
        <is>
          <t>Dayanıklılık +1</t>
        </is>
      </c>
      <c r="G906" s="6" t="inlineStr">
        <is>
          <t>Mesajı okundu olarak bıraktın. On beş yıldır onların yaptığını sen de yaptın. Bir tür adalet.</t>
        </is>
      </c>
      <c r="H906" s="6" t="inlineStr"/>
      <c r="I906" s="6" t="inlineStr"/>
      <c r="J906" s="6" t="inlineStr"/>
      <c r="K906" s="6" t="inlineStr"/>
      <c r="L906" s="6" t="inlineStr"/>
      <c r="M906" s="5" t="inlineStr"/>
      <c r="N906" s="5" t="inlineStr"/>
      <c r="O906" s="6" t="inlineStr"/>
      <c r="P906" s="6" t="inlineStr"/>
      <c r="Q906" s="5" t="inlineStr"/>
      <c r="R906" s="5" t="inlineStr"/>
      <c r="S906" s="5" t="inlineStr"/>
      <c r="T906" s="5" t="inlineStr"/>
      <c r="U906" s="5" t="inlineStr"/>
      <c r="V906" s="5" t="inlineStr"/>
      <c r="W906" s="5" t="inlineStr"/>
      <c r="X906" s="5" t="inlineStr"/>
      <c r="Y906" s="5" t="inlineStr"/>
      <c r="Z906" s="6" t="inlineStr"/>
      <c r="AA906" s="5" t="inlineStr"/>
      <c r="AB906" s="5" t="inlineStr"/>
      <c r="AC906" s="5" t="inlineStr"/>
      <c r="AD906" s="5" t="inlineStr"/>
      <c r="AE906" s="5" t="inlineStr"/>
      <c r="AF906" s="5" t="inlineStr"/>
      <c r="AG906" s="5" t="inlineStr"/>
      <c r="AH906" s="5" t="inlineStr"/>
    </row>
    <row r="907">
      <c r="A907" s="5" t="inlineStr">
        <is>
          <t>ms-eski-musteri</t>
        </is>
      </c>
      <c r="B907" s="5" t="n">
        <v>2</v>
      </c>
      <c r="C907" s="6" t="inlineStr">
        <is>
          <t>Yeni fiyatını söyle</t>
        </is>
      </c>
      <c r="D907" s="5" t="inlineStr">
        <is>
          <t>Çene</t>
        </is>
      </c>
      <c r="E907" s="5" t="inlineStr">
        <is>
          <t>Zor</t>
        </is>
      </c>
      <c r="F907" s="5" t="inlineStr"/>
      <c r="G907" s="6" t="inlineStr"/>
      <c r="H907" s="6" t="inlineStr">
        <is>
          <t>Fiyatını ikiye katladın. Kabul ettiler. Bu kez peşin.</t>
        </is>
      </c>
      <c r="I907" s="6" t="inlineStr">
        <is>
          <t>Yeni fiyatı söyledin, eski faturayı da ekledin. İkisini birden ödediler. Faizsiz ama olsun.</t>
        </is>
      </c>
      <c r="J907" s="6" t="inlineStr">
        <is>
          <t>Fiyatı söyledin; 'Görünürlük sağlarız' dediler. On beş yıl geçmiş, cümle aynı.</t>
        </is>
      </c>
      <c r="K907" s="6" t="inlineStr">
        <is>
          <t>Pazarlıkta öyle geriledin ki eski borçlarını da sen üstlendin. Kafede hesabı sen ödedin.</t>
        </is>
      </c>
      <c r="L907" s="6" t="inlineStr">
        <is>
          <t>Fiyat biraz yükseldi, peşinat yarım kaldı. Sözleşmeyi bu kez sen yazdın.</t>
        </is>
      </c>
      <c r="M907" s="5" t="inlineStr">
        <is>
          <t>bargain</t>
        </is>
      </c>
      <c r="N907" s="5" t="inlineStr">
        <is>
          <t>Özlem Fiyatı</t>
        </is>
      </c>
      <c r="O907" s="6" t="inlineStr">
        <is>
          <t>Karşı tarafın sabrı bitmeden ücreti yukarı it. Özlemin bir fiyatı var.</t>
        </is>
      </c>
      <c r="P907" s="6" t="inlineStr">
        <is>
          <t>{"item": "yeni proje", "mode": "sell"}</t>
        </is>
      </c>
      <c r="Q907" s="5" t="inlineStr"/>
      <c r="R907" s="5" t="inlineStr"/>
      <c r="S907" s="5" t="inlineStr"/>
      <c r="T907" s="5" t="inlineStr"/>
      <c r="U907" s="5" t="inlineStr"/>
      <c r="V907" s="5" t="inlineStr"/>
      <c r="W907" s="5" t="inlineStr"/>
      <c r="X907" s="5" t="inlineStr"/>
      <c r="Y907" s="5" t="inlineStr"/>
      <c r="Z907" s="6" t="inlineStr"/>
      <c r="AA907" s="5" t="inlineStr"/>
      <c r="AB907" s="5" t="inlineStr"/>
      <c r="AC907" s="5" t="inlineStr"/>
      <c r="AD907" s="5" t="inlineStr"/>
      <c r="AE907" s="5" t="inlineStr"/>
      <c r="AF907" s="5" t="inlineStr"/>
      <c r="AG907" s="5" t="inlineStr"/>
      <c r="AH907" s="5" t="inlineStr"/>
    </row>
    <row r="908">
      <c r="A908" s="5" t="inlineStr">
        <is>
          <t>ms-eski-musteri</t>
        </is>
      </c>
      <c r="B908" s="5" t="n">
        <v>3</v>
      </c>
      <c r="C908" s="6" t="inlineStr">
        <is>
          <t>Eski faturayı faiziyle hatırlat</t>
        </is>
      </c>
      <c r="D908" s="5" t="inlineStr">
        <is>
          <t>Kurnazlık</t>
        </is>
      </c>
      <c r="E908" s="5" t="inlineStr">
        <is>
          <t>Zor</t>
        </is>
      </c>
      <c r="F908" s="5" t="inlineStr"/>
      <c r="G908" s="6" t="inlineStr"/>
      <c r="H908" s="6" t="inlineStr">
        <is>
          <t>Eski faturayı gecikme faiziyle ekledin. Ödendi. On beş yıllık bir onay nihayet verildi.</t>
        </is>
      </c>
      <c r="I908" s="6" t="inlineStr">
        <is>
          <t>Faiz hesabını öyle düzgün yaptın ki muhasebeci 'Bizde çalışır mısınız?' diye sordu.</t>
        </is>
      </c>
      <c r="J908" s="6" t="inlineStr">
        <is>
          <t>Eski fatura bulundu; 'Zaman aşımına uğramış' dediler. Onay bekleyen fatura sonunda emekli oldu.</t>
        </is>
      </c>
      <c r="K908" s="6" t="inlineStr">
        <is>
          <t>Faturayı buldular ve ödediler. Senin eski hesabına. Hesap kapanalı on yıl oldu.</t>
        </is>
      </c>
      <c r="L908" s="6" t="inlineStr"/>
      <c r="M908" s="5" t="inlineStr"/>
      <c r="N908" s="5" t="inlineStr"/>
      <c r="O908" s="6" t="inlineStr"/>
      <c r="P908" s="6" t="inlineStr"/>
      <c r="Q908" s="5" t="inlineStr"/>
      <c r="R908" s="5" t="inlineStr">
        <is>
          <t>serbest-alacakli</t>
        </is>
      </c>
      <c r="S908" s="5" t="inlineStr"/>
      <c r="T908" s="5" t="inlineStr">
        <is>
          <t>Fatura Avcısı</t>
        </is>
      </c>
      <c r="U908" s="5" t="inlineStr"/>
      <c r="V908" s="5" t="inlineStr"/>
      <c r="W908" s="5" t="inlineStr"/>
      <c r="X908" s="5" t="inlineStr"/>
      <c r="Y908" s="5" t="inlineStr"/>
      <c r="Z908" s="6" t="inlineStr"/>
      <c r="AA908" s="5" t="inlineStr"/>
      <c r="AB908" s="5" t="inlineStr"/>
      <c r="AC908" s="5" t="inlineStr"/>
      <c r="AD908" s="5" t="inlineStr"/>
      <c r="AE908" s="5" t="inlineStr"/>
      <c r="AF908" s="5" t="inlineStr"/>
      <c r="AG908" s="5" t="inlineStr"/>
      <c r="AH908" s="5" t="inlineStr"/>
    </row>
    <row r="909">
      <c r="A909" s="5" t="inlineStr">
        <is>
          <t>b8-lise-bulusmasi</t>
        </is>
      </c>
      <c r="B909" s="5" t="n">
        <v>1</v>
      </c>
      <c r="C909" s="6" t="inlineStr">
        <is>
          <t>Herkesle kısa sohbet et</t>
        </is>
      </c>
      <c r="D909" s="5" t="inlineStr"/>
      <c r="E909" s="5" t="inlineStr"/>
      <c r="F909" s="5" t="inlineStr">
        <is>
          <t>Çene +1, Sosyal Radar +1</t>
        </is>
      </c>
      <c r="G909" s="6" t="inlineStr">
        <is>
          <t>Kırk dört kişiyle 'Ne yapıyorsun?' sohbeti yaptın. Kırk dört kez aynı cevabı verdin. Geçerli bir cevap.</t>
        </is>
      </c>
      <c r="H909" s="6" t="inlineStr"/>
      <c r="I909" s="6" t="inlineStr"/>
      <c r="J909" s="6" t="inlineStr"/>
      <c r="K909" s="6" t="inlineStr"/>
      <c r="L909" s="6" t="inlineStr"/>
      <c r="M909" s="5" t="inlineStr"/>
      <c r="N909" s="5" t="inlineStr"/>
      <c r="O909" s="6" t="inlineStr"/>
      <c r="P909" s="6" t="inlineStr"/>
      <c r="Q909" s="5" t="inlineStr"/>
      <c r="R909" s="5" t="inlineStr"/>
      <c r="S909" s="5" t="inlineStr"/>
      <c r="T909" s="5" t="inlineStr"/>
      <c r="U909" s="5" t="inlineStr"/>
      <c r="V909" s="5" t="inlineStr"/>
      <c r="W909" s="5" t="inlineStr"/>
      <c r="X909" s="5" t="inlineStr"/>
      <c r="Y909" s="5" t="inlineStr"/>
      <c r="Z909" s="6" t="inlineStr"/>
      <c r="AA909" s="5" t="inlineStr"/>
      <c r="AB909" s="5" t="inlineStr"/>
      <c r="AC909" s="5" t="inlineStr"/>
      <c r="AD909" s="5" t="inlineStr"/>
      <c r="AE909" s="5" t="inlineStr"/>
      <c r="AF909" s="5" t="inlineStr"/>
      <c r="AG909" s="5" t="inlineStr"/>
      <c r="AH909" s="5" t="inlineStr"/>
    </row>
    <row r="910">
      <c r="A910" s="5" t="inlineStr">
        <is>
          <t>b8-lise-bulusmasi</t>
        </is>
      </c>
      <c r="B910" s="5" t="n">
        <v>2</v>
      </c>
      <c r="C910" s="6" t="inlineStr">
        <is>
          <t>Kürsüye çık, anı konuşması yap</t>
        </is>
      </c>
      <c r="D910" s="5" t="inlineStr">
        <is>
          <t>Pişkinlik</t>
        </is>
      </c>
      <c r="E910" s="5" t="inlineStr">
        <is>
          <t>Orta</t>
        </is>
      </c>
      <c r="F910" s="5" t="inlineStr"/>
      <c r="G910" s="6" t="inlineStr"/>
      <c r="H910" s="6" t="inlineStr">
        <is>
          <t>Konuşma güldürdü. Salon, gençliğini beş dakikalığına geri aldı.</t>
        </is>
      </c>
      <c r="I910" s="6" t="inlineStr">
        <is>
          <t>Konuşmanın sonunda herkes ayağa kalktı ve okul marşını söyledi. Sözleri kimse hatırlamıyordu; ezgi yetti.</t>
        </is>
      </c>
      <c r="J910" s="6" t="inlineStr">
        <is>
          <t>Konuşmaya başladın; mikrofon arkadan gelen şarkıyla yarıştı. Şarkı kazandı.</t>
        </is>
      </c>
      <c r="K910" s="6" t="inlineStr">
        <is>
          <t>Eski bir öğretmeni taklit ettin. Öğretmen en ön masadaydı ve alkışlamadı.</t>
        </is>
      </c>
      <c r="L910" s="6" t="inlineStr"/>
      <c r="M910" s="5" t="inlineStr"/>
      <c r="N910" s="5" t="inlineStr"/>
      <c r="O910" s="6" t="inlineStr"/>
      <c r="P910" s="6" t="inlineStr"/>
      <c r="Q910" s="5" t="inlineStr"/>
      <c r="R910" s="5" t="inlineStr"/>
      <c r="S910" s="5" t="inlineStr"/>
      <c r="T910" s="5" t="inlineStr"/>
      <c r="U910" s="5" t="inlineStr"/>
      <c r="V910" s="5" t="inlineStr"/>
      <c r="W910" s="5" t="inlineStr"/>
      <c r="X910" s="5" t="inlineStr"/>
      <c r="Y910" s="5" t="inlineStr"/>
      <c r="Z910" s="6" t="inlineStr"/>
      <c r="AA910" s="5" t="inlineStr"/>
      <c r="AB910" s="5" t="inlineStr"/>
      <c r="AC910" s="5" t="inlineStr"/>
      <c r="AD910" s="5" t="inlineStr"/>
      <c r="AE910" s="5" t="inlineStr"/>
      <c r="AF910" s="5" t="inlineStr"/>
      <c r="AG910" s="5" t="inlineStr"/>
      <c r="AH910" s="5" t="inlineStr"/>
    </row>
    <row r="911">
      <c r="A911" s="5" t="inlineStr">
        <is>
          <t>b8-lise-bulusmasi</t>
        </is>
      </c>
      <c r="B911" s="5" t="n">
        <v>3</v>
      </c>
      <c r="C911" s="6" t="inlineStr">
        <is>
          <t>Kim kiminle, analiz et</t>
        </is>
      </c>
      <c r="D911" s="5" t="inlineStr">
        <is>
          <t>Sosyal Radar</t>
        </is>
      </c>
      <c r="E911" s="5" t="inlineStr">
        <is>
          <t>Kolay</t>
        </is>
      </c>
      <c r="F911" s="5" t="inlineStr"/>
      <c r="G911" s="6" t="inlineStr"/>
      <c r="H911" s="6" t="inlineStr">
        <is>
          <t>Gece sonunda tüm sınıfın güncel dosyası hazırdı. Arşiv, talep üzerine açılacak.</t>
        </is>
      </c>
      <c r="I911" s="6" t="inlineStr">
        <is>
          <t>Analizin o kadar isabetliydi ki otuzuncu yıl buluşmasını düzenleme görevi sana verildi.</t>
        </is>
      </c>
      <c r="J911" s="6" t="inlineStr">
        <is>
          <t>Analizinde bir boşanmayı evlilik sandın. Tebrik ettin.</t>
        </is>
      </c>
      <c r="K911" s="6" t="inlineStr">
        <is>
          <t>Analizini yüksek sesle yaptın. Masanın öbür ucu seni duydu; eski sevgililer bu kez birlikte baktı.</t>
        </is>
      </c>
      <c r="L911" s="6" t="inlineStr"/>
      <c r="M911" s="5" t="inlineStr"/>
      <c r="N911" s="5" t="inlineStr"/>
      <c r="O911" s="6" t="inlineStr"/>
      <c r="P911" s="6" t="inlineStr"/>
      <c r="Q911" s="5" t="inlineStr"/>
      <c r="R911" s="5" t="inlineStr"/>
      <c r="S911" s="5" t="inlineStr">
        <is>
          <t>Sosyal Radar</t>
        </is>
      </c>
      <c r="T911" s="5" t="inlineStr"/>
      <c r="U911" s="5" t="inlineStr"/>
      <c r="V911" s="5" t="inlineStr"/>
      <c r="W911" s="5" t="inlineStr"/>
      <c r="X911" s="5" t="inlineStr"/>
      <c r="Y911" s="5" t="inlineStr"/>
      <c r="Z911" s="6" t="inlineStr"/>
      <c r="AA911" s="5" t="inlineStr"/>
      <c r="AB911" s="5" t="inlineStr"/>
      <c r="AC911" s="5" t="inlineStr"/>
      <c r="AD911" s="5" t="inlineStr"/>
      <c r="AE911" s="5" t="inlineStr"/>
      <c r="AF911" s="5" t="inlineStr"/>
      <c r="AG911" s="5" t="inlineStr"/>
      <c r="AH911" s="5" t="inlineStr"/>
    </row>
    <row r="912">
      <c r="A912" s="5" t="inlineStr">
        <is>
          <t>b8-lise-bulusmasi</t>
        </is>
      </c>
      <c r="B912" s="5" t="n">
        <v>4</v>
      </c>
      <c r="C912" s="6" t="inlineStr">
        <is>
          <t>O eski videoyu canlandır</t>
        </is>
      </c>
      <c r="D912" s="5" t="inlineStr">
        <is>
          <t>Pişkinlik</t>
        </is>
      </c>
      <c r="E912" s="5" t="inlineStr">
        <is>
          <t>Kolay</t>
        </is>
      </c>
      <c r="F912" s="5" t="inlineStr"/>
      <c r="G912" s="6" t="inlineStr"/>
      <c r="H912" s="6" t="inlineStr">
        <is>
          <t>Hareketi yaptın. Salon çıldırdı; yirmi beş yıl bir anda sıfırlandı.</t>
        </is>
      </c>
      <c r="I912" s="6" t="inlineStr">
        <is>
          <t>Herkes seninle birlikte yaptı. Video yeniden çekildi ve ikinci kez yayıldı. Nesiller arası fenomen.</t>
        </is>
      </c>
      <c r="J912" s="6" t="inlineStr">
        <is>
          <t>Hareketi yaptın; belin artık o hareketi yapmıyor. Yarıda kaldı.</t>
        </is>
      </c>
      <c r="K912" s="6" t="inlineStr">
        <is>
          <t>Hareketi yaptın; kimse hatırlamadı. Yeni video: 'Orta yaşlı biri tek başına dans ediyor.'</t>
        </is>
      </c>
      <c r="L912" s="6" t="inlineStr"/>
      <c r="M912" s="5" t="inlineStr"/>
      <c r="N912" s="5" t="inlineStr"/>
      <c r="O912" s="6" t="inlineStr"/>
      <c r="P912" s="6" t="inlineStr"/>
      <c r="Q912" s="5" t="inlineStr"/>
      <c r="R912" s="5" t="inlineStr">
        <is>
          <t>fenomen</t>
        </is>
      </c>
      <c r="S912" s="5" t="inlineStr"/>
      <c r="T912" s="5" t="inlineStr"/>
      <c r="U912" s="5" t="inlineStr"/>
      <c r="V912" s="5" t="inlineStr"/>
      <c r="W912" s="5" t="inlineStr"/>
      <c r="X912" s="5" t="inlineStr"/>
      <c r="Y912" s="5" t="inlineStr"/>
      <c r="Z912" s="6" t="inlineStr"/>
      <c r="AA912" s="5" t="inlineStr"/>
      <c r="AB912" s="5" t="inlineStr"/>
      <c r="AC912" s="5" t="inlineStr"/>
      <c r="AD912" s="5" t="inlineStr"/>
      <c r="AE912" s="5" t="inlineStr"/>
      <c r="AF912" s="5" t="inlineStr"/>
      <c r="AG912" s="5" t="inlineStr"/>
      <c r="AH912" s="5" t="inlineStr"/>
    </row>
    <row r="913">
      <c r="A913" s="5" t="inlineStr">
        <is>
          <t>b8-sahte-haber</t>
        </is>
      </c>
      <c r="B913" s="5" t="n">
        <v>1</v>
      </c>
      <c r="C913" s="6" t="inlineStr">
        <is>
          <t>Görmezden gel</t>
        </is>
      </c>
      <c r="D913" s="5" t="inlineStr"/>
      <c r="E913" s="5" t="inlineStr"/>
      <c r="F913" s="5" t="inlineStr">
        <is>
          <t>Dayanıklılık +1</t>
        </is>
      </c>
      <c r="G913" s="6" t="inlineStr">
        <is>
          <t>Saat 15.00'te telefonun patlamadı. Sadece annen dört kez aradı: 'Sen kapatmadın mı?'</t>
        </is>
      </c>
      <c r="H913" s="6" t="inlineStr"/>
      <c r="I913" s="6" t="inlineStr"/>
      <c r="J913" s="6" t="inlineStr"/>
      <c r="K913" s="6" t="inlineStr"/>
      <c r="L913" s="6" t="inlineStr"/>
      <c r="M913" s="5" t="inlineStr"/>
      <c r="N913" s="5" t="inlineStr"/>
      <c r="O913" s="6" t="inlineStr"/>
      <c r="P913" s="6" t="inlineStr"/>
      <c r="Q913" s="5" t="inlineStr"/>
      <c r="R913" s="5" t="inlineStr"/>
      <c r="S913" s="5" t="inlineStr"/>
      <c r="T913" s="5" t="inlineStr"/>
      <c r="U913" s="5" t="inlineStr"/>
      <c r="V913" s="5" t="inlineStr"/>
      <c r="W913" s="5" t="inlineStr"/>
      <c r="X913" s="5" t="inlineStr"/>
      <c r="Y913" s="5" t="inlineStr"/>
      <c r="Z913" s="6" t="inlineStr"/>
      <c r="AA913" s="5" t="inlineStr"/>
      <c r="AB913" s="5" t="inlineStr"/>
      <c r="AC913" s="5" t="inlineStr"/>
      <c r="AD913" s="5" t="inlineStr"/>
      <c r="AE913" s="5" t="inlineStr"/>
      <c r="AF913" s="5" t="inlineStr"/>
      <c r="AG913" s="5" t="inlineStr"/>
      <c r="AH913" s="5" t="inlineStr"/>
    </row>
    <row r="914">
      <c r="A914" s="5" t="inlineStr">
        <is>
          <t>b8-sahte-haber</t>
        </is>
      </c>
      <c r="B914" s="5" t="n">
        <v>2</v>
      </c>
      <c r="C914" s="6" t="inlineStr">
        <is>
          <t>Yalanlama bağlantısı gönder</t>
        </is>
      </c>
      <c r="D914" s="5" t="inlineStr">
        <is>
          <t>Akıl</t>
        </is>
      </c>
      <c r="E914" s="5" t="inlineStr">
        <is>
          <t>Orta</t>
        </is>
      </c>
      <c r="F914" s="5" t="inlineStr"/>
      <c r="G914" s="6" t="inlineStr"/>
      <c r="H914" s="6" t="inlineStr">
        <is>
          <t>Amca 'Olsun, tedbir' dedi. Kısmi zafer.</t>
        </is>
      </c>
      <c r="I914" s="6" t="inlineStr">
        <is>
          <t>Amca özür diledi ve bir daha iletmeyeceğine söz verdi. Söz iki gün sürdü; rekor.</t>
        </is>
      </c>
      <c r="J914" s="6" t="inlineStr">
        <is>
          <t>Bağlantını da sahte haber sandılar. Artık sen 'şüpheli kaynak'sın.</t>
        </is>
      </c>
      <c r="K914" s="6" t="inlineStr">
        <is>
          <t>Grupta 'Kimin haberi doğru?' anketi açıldı. Dörde bir kaybettin.</t>
        </is>
      </c>
      <c r="L914" s="6" t="inlineStr"/>
      <c r="M914" s="5" t="inlineStr"/>
      <c r="N914" s="5" t="inlineStr"/>
      <c r="O914" s="6" t="inlineStr"/>
      <c r="P914" s="6" t="inlineStr"/>
      <c r="Q914" s="5" t="inlineStr"/>
      <c r="R914" s="5" t="inlineStr"/>
      <c r="S914" s="5" t="inlineStr"/>
      <c r="T914" s="5" t="inlineStr"/>
      <c r="U914" s="5" t="inlineStr"/>
      <c r="V914" s="5" t="inlineStr"/>
      <c r="W914" s="5" t="inlineStr"/>
      <c r="X914" s="5" t="inlineStr"/>
      <c r="Y914" s="5" t="inlineStr"/>
      <c r="Z914" s="6" t="inlineStr"/>
      <c r="AA914" s="5" t="inlineStr"/>
      <c r="AB914" s="5" t="inlineStr"/>
      <c r="AC914" s="5" t="inlineStr"/>
      <c r="AD914" s="5" t="inlineStr"/>
      <c r="AE914" s="5" t="inlineStr"/>
      <c r="AF914" s="5" t="inlineStr"/>
      <c r="AG914" s="5" t="inlineStr"/>
      <c r="AH914" s="5" t="inlineStr"/>
    </row>
    <row r="915">
      <c r="A915" s="5" t="inlineStr">
        <is>
          <t>b8-sahte-haber</t>
        </is>
      </c>
      <c r="B915" s="5" t="n">
        <v>3</v>
      </c>
      <c r="C915" s="6" t="inlineStr">
        <is>
          <t>Amcayı özelden ara</t>
        </is>
      </c>
      <c r="D915" s="5" t="inlineStr">
        <is>
          <t>Sosyal Radar</t>
        </is>
      </c>
      <c r="E915" s="5" t="inlineStr">
        <is>
          <t>Zor</t>
        </is>
      </c>
      <c r="F915" s="5" t="inlineStr"/>
      <c r="G915" s="6" t="inlineStr"/>
      <c r="H915" s="6" t="inlineStr">
        <is>
          <t>Hâlini sordun. Mesajlar azaldı, aramalar arttı. İyi bir takas.</t>
        </is>
      </c>
      <c r="I915" s="6" t="inlineStr">
        <is>
          <t>Yarım saat konuştunuz. Sonunda 'Şu haber işini bırakayım' dedi. Grupta huzurlu bir sessizlik.</t>
        </is>
      </c>
      <c r="J915" s="6" t="inlineStr">
        <is>
          <t>Amca sana üç haber daha anlattı. Bu kez sesli.</t>
        </is>
      </c>
      <c r="K915" s="6" t="inlineStr">
        <is>
          <t>Amca seni grubun yöneticisi yaptı. Artık her sahte haberin sorumlusu sensin.</t>
        </is>
      </c>
      <c r="L915" s="6" t="inlineStr"/>
      <c r="M915" s="5" t="inlineStr"/>
      <c r="N915" s="5" t="inlineStr"/>
      <c r="O915" s="6" t="inlineStr"/>
      <c r="P915" s="6" t="inlineStr"/>
      <c r="Q915" s="5" t="inlineStr"/>
      <c r="R915" s="5" t="inlineStr"/>
      <c r="S915" s="5" t="inlineStr"/>
      <c r="T915" s="5" t="inlineStr">
        <is>
          <t>Aile Grubu Moderatörü</t>
        </is>
      </c>
      <c r="U915" s="5" t="inlineStr"/>
      <c r="V915" s="5" t="inlineStr"/>
      <c r="W915" s="5" t="inlineStr"/>
      <c r="X915" s="5" t="inlineStr"/>
      <c r="Y915" s="5" t="inlineStr"/>
      <c r="Z915" s="6" t="inlineStr"/>
      <c r="AA915" s="5" t="inlineStr"/>
      <c r="AB915" s="5" t="inlineStr"/>
      <c r="AC915" s="5" t="inlineStr"/>
      <c r="AD915" s="5" t="inlineStr"/>
      <c r="AE915" s="5" t="inlineStr"/>
      <c r="AF915" s="5" t="inlineStr"/>
      <c r="AG915" s="5" t="inlineStr"/>
      <c r="AH915" s="5" t="inlineStr"/>
    </row>
    <row r="916">
      <c r="A916" s="5" t="inlineStr">
        <is>
          <t>b8-sahte-haber</t>
        </is>
      </c>
      <c r="B916" s="5" t="n">
        <v>4</v>
      </c>
      <c r="C916" s="6" t="inlineStr">
        <is>
          <t>Daha absürt bir haberle karşılık ver</t>
        </is>
      </c>
      <c r="D916" s="5" t="inlineStr">
        <is>
          <t>Pişkinlik</t>
        </is>
      </c>
      <c r="E916" s="5" t="inlineStr">
        <is>
          <t>Orta</t>
        </is>
      </c>
      <c r="F916" s="5" t="inlineStr"/>
      <c r="G916" s="6" t="inlineStr"/>
      <c r="H916" s="6" t="inlineStr">
        <is>
          <t>'Yarın yerçekimi yarım saat kapanıyor' yazdın. Grup güldü; amca da güldü, sonra 'Doğru mu?' diye sordu.</t>
        </is>
      </c>
      <c r="I916" s="6" t="inlineStr">
        <is>
          <t>Grup kahkahaya boğuldu; amca ilk kez bir haberin altına gülen surat koydu. Denge sağlandı.</t>
        </is>
      </c>
      <c r="J916" s="6" t="inlineStr">
        <is>
          <t>Haberin fazla inandırıcı bulundu. Halan pencereleri kapattı.</t>
        </is>
      </c>
      <c r="K916" s="6" t="inlineStr">
        <is>
          <t>Haberin başka gruplara sıçradı. Üç gün sonra sana geri döndü; kaynak: 'bir tanıdık.'</t>
        </is>
      </c>
      <c r="L916" s="6" t="inlineStr"/>
      <c r="M916" s="5" t="inlineStr"/>
      <c r="N916" s="5" t="inlineStr"/>
      <c r="O916" s="6" t="inlineStr"/>
      <c r="P916" s="6" t="inlineStr"/>
      <c r="Q916" s="5" t="inlineStr">
        <is>
          <t>Yüzü Kızarmaz</t>
        </is>
      </c>
      <c r="R916" s="5" t="inlineStr"/>
      <c r="S916" s="5" t="inlineStr"/>
      <c r="T916" s="5" t="inlineStr"/>
      <c r="U916" s="5" t="inlineStr"/>
      <c r="V916" s="5" t="inlineStr"/>
      <c r="W916" s="5" t="inlineStr"/>
      <c r="X916" s="5" t="inlineStr"/>
      <c r="Y916" s="5" t="inlineStr"/>
      <c r="Z916" s="6" t="inlineStr"/>
      <c r="AA916" s="5" t="inlineStr"/>
      <c r="AB916" s="5" t="inlineStr"/>
      <c r="AC916" s="5" t="inlineStr"/>
      <c r="AD916" s="5" t="inlineStr"/>
      <c r="AE916" s="5" t="inlineStr"/>
      <c r="AF916" s="5" t="inlineStr"/>
      <c r="AG916" s="5" t="inlineStr"/>
      <c r="AH916" s="5" t="inlineStr"/>
    </row>
    <row r="917">
      <c r="A917" s="5" t="inlineStr">
        <is>
          <t>mb-asansorde-genel-mudur</t>
        </is>
      </c>
      <c r="B917" s="5" t="n">
        <v>1</v>
      </c>
      <c r="C917" s="6" t="inlineStr">
        <is>
          <t>Hava durumundan bahset</t>
        </is>
      </c>
      <c r="D917" s="5" t="inlineStr"/>
      <c r="E917" s="5" t="inlineStr"/>
      <c r="F917" s="5" t="inlineStr">
        <is>
          <t>Dayanıklılık +1</t>
        </is>
      </c>
      <c r="G917" s="6" t="inlineStr">
        <is>
          <t>Kırk dakika hava durumu konuştunuz. Çıkarken genel müdür 'Güzel sohbetti. Adın neydi?' dedi.</t>
        </is>
      </c>
      <c r="H917" s="6" t="inlineStr"/>
      <c r="I917" s="6" t="inlineStr"/>
      <c r="J917" s="6" t="inlineStr"/>
      <c r="K917" s="6" t="inlineStr"/>
      <c r="L917" s="6" t="inlineStr"/>
      <c r="M917" s="5" t="inlineStr"/>
      <c r="N917" s="5" t="inlineStr"/>
      <c r="O917" s="6" t="inlineStr"/>
      <c r="P917" s="6" t="inlineStr"/>
      <c r="Q917" s="5" t="inlineStr"/>
      <c r="R917" s="5" t="inlineStr"/>
      <c r="S917" s="5" t="inlineStr"/>
      <c r="T917" s="5" t="inlineStr"/>
      <c r="U917" s="5" t="inlineStr"/>
      <c r="V917" s="5" t="inlineStr"/>
      <c r="W917" s="5" t="inlineStr"/>
      <c r="X917" s="5" t="inlineStr"/>
      <c r="Y917" s="5" t="inlineStr"/>
      <c r="Z917" s="6" t="inlineStr"/>
      <c r="AA917" s="5" t="inlineStr"/>
      <c r="AB917" s="5" t="inlineStr"/>
      <c r="AC917" s="5" t="inlineStr"/>
      <c r="AD917" s="5" t="inlineStr"/>
      <c r="AE917" s="5" t="inlineStr"/>
      <c r="AF917" s="5" t="inlineStr"/>
      <c r="AG917" s="5" t="inlineStr"/>
      <c r="AH917" s="5" t="inlineStr"/>
    </row>
    <row r="918">
      <c r="A918" s="5" t="inlineStr">
        <is>
          <t>mb-asansorde-genel-mudur</t>
        </is>
      </c>
      <c r="B918" s="5" t="n">
        <v>2</v>
      </c>
      <c r="C918" s="6" t="inlineStr">
        <is>
          <t>Projeni anlat</t>
        </is>
      </c>
      <c r="D918" s="5" t="inlineStr">
        <is>
          <t>Çene</t>
        </is>
      </c>
      <c r="E918" s="5" t="inlineStr">
        <is>
          <t>Zor</t>
        </is>
      </c>
      <c r="F918" s="5" t="inlineStr"/>
      <c r="G918" s="6" t="inlineStr"/>
      <c r="H918" s="6" t="inlineStr">
        <is>
          <t>Asansör açıldığında projen bütçe almıştı.</t>
        </is>
      </c>
      <c r="I918" s="6" t="inlineStr">
        <is>
          <t>Kapı açıldı, genel müdür 'Devam edelim' deyip seni ofisine aldı. O günden beri kat değiştirdin.</t>
        </is>
      </c>
      <c r="J918" s="6" t="inlineStr">
        <is>
          <t>Anlattın; genel müdür kırk dakika boyunca telefonunun çekip çekmediğine baktı.</t>
        </is>
      </c>
      <c r="K918" s="6" t="inlineStr">
        <is>
          <t>Projeni anlatırken bir projeyi yerden yere vurdun. O projeyi iptal eden oydu. Kırk dakika vardı.</t>
        </is>
      </c>
      <c r="L918" s="6" t="inlineStr"/>
      <c r="M918" s="5" t="inlineStr"/>
      <c r="N918" s="5" t="inlineStr"/>
      <c r="O918" s="6" t="inlineStr"/>
      <c r="P918" s="6" t="inlineStr"/>
      <c r="Q918" s="5" t="inlineStr"/>
      <c r="R918" s="5" t="inlineStr"/>
      <c r="S918" s="5" t="inlineStr"/>
      <c r="T918" s="5" t="inlineStr"/>
      <c r="U918" s="5" t="inlineStr"/>
      <c r="V918" s="5" t="inlineStr">
        <is>
          <t>beyazyaka-gm-tanidik</t>
        </is>
      </c>
      <c r="W918" s="5" t="inlineStr"/>
      <c r="X918" s="5" t="inlineStr"/>
      <c r="Y918" s="5" t="inlineStr"/>
      <c r="Z918" s="6" t="inlineStr"/>
      <c r="AA918" s="5" t="inlineStr"/>
      <c r="AB918" s="5" t="inlineStr"/>
      <c r="AC918" s="5" t="inlineStr"/>
      <c r="AD918" s="5" t="inlineStr"/>
      <c r="AE918" s="5" t="inlineStr"/>
      <c r="AF918" s="5" t="inlineStr"/>
      <c r="AG918" s="5" t="inlineStr"/>
      <c r="AH918" s="5" t="inlineStr"/>
    </row>
    <row r="919">
      <c r="A919" s="5" t="inlineStr">
        <is>
          <t>mb-asansorde-genel-mudur</t>
        </is>
      </c>
      <c r="B919" s="5" t="n">
        <v>3</v>
      </c>
      <c r="C919" s="6" t="inlineStr">
        <is>
          <t>Balıkçılıktan aç</t>
        </is>
      </c>
      <c r="D919" s="5" t="inlineStr">
        <is>
          <t>Sosyal Radar</t>
        </is>
      </c>
      <c r="E919" s="5" t="inlineStr">
        <is>
          <t>Kolay</t>
        </is>
      </c>
      <c r="F919" s="5" t="inlineStr"/>
      <c r="G919" s="6" t="inlineStr"/>
      <c r="H919" s="6" t="inlineStr">
        <is>
          <t>Kırk dakika olta konuştunuz. Hafta sonu göle davet edildin.</t>
        </is>
      </c>
      <c r="I919" s="6" t="inlineStr">
        <is>
          <t>Göle davet edildin; ertesi ay bir birimin başına getirildin. Yem işe yaradı.</t>
        </is>
      </c>
      <c r="J919" s="6" t="inlineStr">
        <is>
          <t>Balıktan açtın; genel müdür denizci çıktı. Göl lafı hakaret sayıldı.</t>
        </is>
      </c>
      <c r="K919" s="6" t="inlineStr">
        <is>
          <t>Genel müdür 'Balık tuttuğumu kim söyledi?' diye sordu. Kaynağını koruyamadın.</t>
        </is>
      </c>
      <c r="L919" s="6" t="inlineStr"/>
      <c r="M919" s="5" t="inlineStr"/>
      <c r="N919" s="5" t="inlineStr"/>
      <c r="O919" s="6" t="inlineStr"/>
      <c r="P919" s="6" t="inlineStr"/>
      <c r="Q919" s="5" t="inlineStr"/>
      <c r="R919" s="5" t="inlineStr"/>
      <c r="S919" s="5" t="inlineStr">
        <is>
          <t>Sosyal Radar</t>
        </is>
      </c>
      <c r="T919" s="5" t="inlineStr"/>
      <c r="U919" s="5" t="inlineStr"/>
      <c r="V919" s="5" t="inlineStr">
        <is>
          <t>beyazyaka-gm-tanidik</t>
        </is>
      </c>
      <c r="W919" s="5" t="inlineStr"/>
      <c r="X919" s="5" t="inlineStr"/>
      <c r="Y919" s="5" t="inlineStr"/>
      <c r="Z919" s="6" t="inlineStr"/>
      <c r="AA919" s="5" t="inlineStr"/>
      <c r="AB919" s="5" t="inlineStr"/>
      <c r="AC919" s="5" t="inlineStr"/>
      <c r="AD919" s="5" t="inlineStr"/>
      <c r="AE919" s="5" t="inlineStr"/>
      <c r="AF919" s="5" t="inlineStr"/>
      <c r="AG919" s="5" t="inlineStr"/>
      <c r="AH919" s="5" t="inlineStr"/>
    </row>
    <row r="920">
      <c r="A920" s="5" t="inlineStr">
        <is>
          <t>mb-asansorde-genel-mudur</t>
        </is>
      </c>
      <c r="B920" s="5" t="n">
        <v>4</v>
      </c>
      <c r="C920" s="6" t="inlineStr">
        <is>
          <t>Tavan kapağından çıkmayı dene</t>
        </is>
      </c>
      <c r="D920" s="5" t="inlineStr">
        <is>
          <t>Cesaret</t>
        </is>
      </c>
      <c r="E920" s="5" t="inlineStr">
        <is>
          <t>Zor</t>
        </is>
      </c>
      <c r="F920" s="5" t="inlineStr"/>
      <c r="G920" s="6" t="inlineStr"/>
      <c r="H920" s="6" t="inlineStr">
        <is>
          <t>Kapağı açtın, teknisyene el salladın. Genel müdür seni 'kriz yöneticisi' olarak hatırladı.</t>
        </is>
      </c>
      <c r="I920" s="6" t="inlineStr">
        <is>
          <t>Genel müdürü tavandan çıkardın. Şirket bülteninde kapak oldun: 'Liderlik yukarıdan başlar.'</t>
        </is>
      </c>
      <c r="J920" s="6" t="inlineStr">
        <is>
          <t>Kapağı açamadın. Genel müdür kırk dakika boyunca pantolonundaki izi izledi.</t>
        </is>
      </c>
      <c r="K920" s="6" t="inlineStr">
        <is>
          <t>Tavan kapağına takıldın. Teknisyen önce seni çıkardı. Genel müdür bir saat daha bekledi.</t>
        </is>
      </c>
      <c r="L920" s="6" t="inlineStr"/>
      <c r="M920" s="5" t="inlineStr"/>
      <c r="N920" s="5" t="inlineStr"/>
      <c r="O920" s="6" t="inlineStr"/>
      <c r="P920" s="6" t="inlineStr"/>
      <c r="Q920" s="5" t="inlineStr"/>
      <c r="R920" s="5" t="inlineStr"/>
      <c r="S920" s="5" t="inlineStr"/>
      <c r="T920" s="5" t="inlineStr"/>
      <c r="U920" s="5" t="inlineStr"/>
      <c r="V920" s="5" t="inlineStr">
        <is>
          <t>beyazyaka-gm-tanidik</t>
        </is>
      </c>
      <c r="W920" s="5" t="inlineStr"/>
      <c r="X920" s="5" t="inlineStr"/>
      <c r="Y920" s="5" t="n">
        <v>4</v>
      </c>
      <c r="Z920" s="6" t="inlineStr">
        <is>
          <t>Arızalı plaza asansörünün tavan kapağından genel müdürü kurtarmaya çalışırken. Asansör tam o sırada düzeldi.</t>
        </is>
      </c>
      <c r="AA920" s="5" t="inlineStr"/>
      <c r="AB920" s="5" t="inlineStr"/>
      <c r="AC920" s="5" t="inlineStr"/>
      <c r="AD920" s="5" t="inlineStr"/>
      <c r="AE920" s="5" t="inlineStr"/>
      <c r="AF920" s="5" t="inlineStr"/>
      <c r="AG920" s="5" t="inlineStr"/>
      <c r="AH920" s="5" t="inlineStr"/>
    </row>
    <row r="921">
      <c r="A921" s="5" t="inlineStr">
        <is>
          <t>me-tek-yildiz</t>
        </is>
      </c>
      <c r="B921" s="5" t="n">
        <v>1</v>
      </c>
      <c r="C921" s="6" t="inlineStr">
        <is>
          <t>Kibar bir cevap yaz</t>
        </is>
      </c>
      <c r="D921" s="5" t="inlineStr"/>
      <c r="E921" s="5" t="inlineStr"/>
      <c r="F921" s="5" t="inlineStr">
        <is>
          <t>İtibar +1, Çene +1</t>
        </is>
      </c>
      <c r="G921" s="6" t="inlineStr">
        <is>
          <t>'Değerli yorumunuz için teşekkürler' yazdın. Cevabın yorumdan fazla beğeni aldı. Güler yüz belgelendi.</t>
        </is>
      </c>
      <c r="H921" s="6" t="inlineStr"/>
      <c r="I921" s="6" t="inlineStr"/>
      <c r="J921" s="6" t="inlineStr"/>
      <c r="K921" s="6" t="inlineStr"/>
      <c r="L921" s="6" t="inlineStr"/>
      <c r="M921" s="5" t="inlineStr"/>
      <c r="N921" s="5" t="inlineStr"/>
      <c r="O921" s="6" t="inlineStr"/>
      <c r="P921" s="6" t="inlineStr"/>
      <c r="Q921" s="5" t="inlineStr"/>
      <c r="R921" s="5" t="inlineStr"/>
      <c r="S921" s="5" t="inlineStr"/>
      <c r="T921" s="5" t="inlineStr"/>
      <c r="U921" s="5" t="inlineStr"/>
      <c r="V921" s="5" t="inlineStr"/>
      <c r="W921" s="5" t="inlineStr"/>
      <c r="X921" s="5" t="inlineStr"/>
      <c r="Y921" s="5" t="inlineStr"/>
      <c r="Z921" s="6" t="inlineStr"/>
      <c r="AA921" s="5" t="inlineStr"/>
      <c r="AB921" s="5" t="inlineStr"/>
      <c r="AC921" s="5" t="inlineStr"/>
      <c r="AD921" s="5" t="inlineStr"/>
      <c r="AE921" s="5" t="inlineStr"/>
      <c r="AF921" s="5" t="inlineStr"/>
      <c r="AG921" s="5" t="inlineStr"/>
      <c r="AH921" s="5" t="inlineStr"/>
    </row>
    <row r="922">
      <c r="A922" s="5" t="inlineStr">
        <is>
          <t>me-tek-yildiz</t>
        </is>
      </c>
      <c r="B922" s="5" t="n">
        <v>2</v>
      </c>
      <c r="C922" s="6" t="inlineStr">
        <is>
          <t>Müşteriyi bul, gönlünü al</t>
        </is>
      </c>
      <c r="D922" s="5" t="inlineStr">
        <is>
          <t>Sosyal Radar</t>
        </is>
      </c>
      <c r="E922" s="5" t="inlineStr">
        <is>
          <t>Orta</t>
        </is>
      </c>
      <c r="F922" s="5" t="inlineStr"/>
      <c r="G922" s="6" t="inlineStr"/>
      <c r="H922" s="6" t="inlineStr">
        <is>
          <t>Yorumcuyu buldun, dükkâna çağırdın, ikram ettin. Yıldız beşe çıktı.</t>
        </is>
      </c>
      <c r="I922" s="6" t="inlineStr">
        <is>
          <t>Yorum 'Hayatımın esnafı' olarak güncellendi. Fotoğraf da eklendi; ikinizin.</t>
        </is>
      </c>
      <c r="J922" s="6" t="inlineStr">
        <is>
          <t>Bulduğun kişi yanlış kişiymiş. Şimdi iki kişi seni güler yüzsüz buluyor.</t>
        </is>
      </c>
      <c r="K922" s="6" t="inlineStr">
        <is>
          <t>Gönlünü almaya gittin, fazla gülümsedin. Yeni yorum: 'Esnaf ürkütücü derecede güler yüzlü.'</t>
        </is>
      </c>
      <c r="L922" s="6" t="inlineStr"/>
      <c r="M922" s="5" t="inlineStr"/>
      <c r="N922" s="5" t="inlineStr"/>
      <c r="O922" s="6" t="inlineStr"/>
      <c r="P922" s="6" t="inlineStr"/>
      <c r="Q922" s="5" t="inlineStr"/>
      <c r="R922" s="5" t="inlineStr"/>
      <c r="S922" s="5" t="inlineStr"/>
      <c r="T922" s="5" t="inlineStr"/>
      <c r="U922" s="5" t="inlineStr"/>
      <c r="V922" s="5" t="inlineStr"/>
      <c r="W922" s="5" t="inlineStr"/>
      <c r="X922" s="5" t="inlineStr"/>
      <c r="Y922" s="5" t="inlineStr"/>
      <c r="Z922" s="6" t="inlineStr"/>
      <c r="AA922" s="5" t="inlineStr"/>
      <c r="AB922" s="5" t="inlineStr"/>
      <c r="AC922" s="5" t="inlineStr"/>
      <c r="AD922" s="5" t="inlineStr"/>
      <c r="AE922" s="5" t="inlineStr"/>
      <c r="AF922" s="5" t="inlineStr"/>
      <c r="AG922" s="5" t="inlineStr"/>
      <c r="AH922" s="5" t="inlineStr"/>
    </row>
    <row r="923">
      <c r="A923" s="5" t="inlineStr">
        <is>
          <t>me-tek-yildiz</t>
        </is>
      </c>
      <c r="B923" s="5" t="n">
        <v>3</v>
      </c>
      <c r="C923" s="6" t="inlineStr">
        <is>
          <t>Karşı dükkâna yorum yaz</t>
        </is>
      </c>
      <c r="D923" s="5" t="inlineStr">
        <is>
          <t>Kurnazlık</t>
        </is>
      </c>
      <c r="E923" s="5" t="inlineStr">
        <is>
          <t>Zor</t>
        </is>
      </c>
      <c r="F923" s="5" t="inlineStr"/>
      <c r="G923" s="6" t="inlineStr"/>
      <c r="H923" s="6" t="inlineStr">
        <is>
          <t>Karşıya dört yıldız verdin: 'Ürünler iyi ama karşıdaki daha iyi.' Kibar ve öldürücü.</t>
        </is>
      </c>
      <c r="I923" s="6" t="inlineStr">
        <is>
          <t>Yorumun o kadar dengeli oldu ki karşı dükkân onu vitrinine astı. Vitrinlerinde senin reklamın duruyor.</t>
        </is>
      </c>
      <c r="J923" s="6" t="inlineStr">
        <is>
          <t>Yorumu yazdın; profil fotoğrafında kendi kasan görünüyordu.</t>
        </is>
      </c>
      <c r="K923" s="6" t="inlineStr">
        <is>
          <t>Yorumu yanlış dükkâna yazdın: kendine. Tek yıldız. Artık iki tane.</t>
        </is>
      </c>
      <c r="L923" s="6" t="inlineStr"/>
      <c r="M923" s="5" t="inlineStr"/>
      <c r="N923" s="5" t="inlineStr"/>
      <c r="O923" s="6" t="inlineStr"/>
      <c r="P923" s="6" t="inlineStr"/>
      <c r="Q923" s="5" t="inlineStr"/>
      <c r="R923" s="5" t="inlineStr">
        <is>
          <t>esnaf-komsu-rakip</t>
        </is>
      </c>
      <c r="S923" s="5" t="inlineStr"/>
      <c r="T923" s="5" t="inlineStr"/>
      <c r="U923" s="5" t="inlineStr"/>
      <c r="V923" s="5" t="inlineStr"/>
      <c r="W923" s="5" t="inlineStr"/>
      <c r="X923" s="5" t="inlineStr"/>
      <c r="Y923" s="5" t="inlineStr"/>
      <c r="Z923" s="6" t="inlineStr"/>
      <c r="AA923" s="5" t="inlineStr"/>
      <c r="AB923" s="5" t="inlineStr"/>
      <c r="AC923" s="5" t="inlineStr"/>
      <c r="AD923" s="5" t="inlineStr"/>
      <c r="AE923" s="5" t="inlineStr"/>
      <c r="AF923" s="5" t="inlineStr"/>
      <c r="AG923" s="5" t="inlineStr"/>
      <c r="AH923" s="5" t="inlineStr"/>
    </row>
    <row r="924">
      <c r="A924" s="5" t="inlineStr">
        <is>
          <t>me-tek-yildiz</t>
        </is>
      </c>
      <c r="B924" s="5" t="n">
        <v>4</v>
      </c>
      <c r="C924" s="6" t="inlineStr">
        <is>
          <t>Görmezden gel</t>
        </is>
      </c>
      <c r="D924" s="5" t="inlineStr"/>
      <c r="E924" s="5" t="inlineStr"/>
      <c r="F924" s="5" t="inlineStr">
        <is>
          <t>Dayanıklılık +2</t>
        </is>
      </c>
      <c r="G924" s="6" t="inlineStr">
        <is>
          <t>Yorumu görmezden geldin. Dükkân, internetin olmadığı bir çağda yaşamaya devam etti.</t>
        </is>
      </c>
      <c r="H924" s="6" t="inlineStr"/>
      <c r="I924" s="6" t="inlineStr"/>
      <c r="J924" s="6" t="inlineStr"/>
      <c r="K924" s="6" t="inlineStr"/>
      <c r="L924" s="6" t="inlineStr"/>
      <c r="M924" s="5" t="inlineStr"/>
      <c r="N924" s="5" t="inlineStr"/>
      <c r="O924" s="6" t="inlineStr"/>
      <c r="P924" s="6" t="inlineStr"/>
      <c r="Q924" s="5" t="inlineStr"/>
      <c r="R924" s="5" t="inlineStr"/>
      <c r="S924" s="5" t="inlineStr"/>
      <c r="T924" s="5" t="inlineStr"/>
      <c r="U924" s="5" t="inlineStr"/>
      <c r="V924" s="5" t="inlineStr"/>
      <c r="W924" s="5" t="inlineStr"/>
      <c r="X924" s="5" t="inlineStr"/>
      <c r="Y924" s="5" t="inlineStr"/>
      <c r="Z924" s="6" t="inlineStr"/>
      <c r="AA924" s="5" t="inlineStr"/>
      <c r="AB924" s="5" t="inlineStr"/>
      <c r="AC924" s="5" t="inlineStr"/>
      <c r="AD924" s="5" t="inlineStr"/>
      <c r="AE924" s="5" t="inlineStr"/>
      <c r="AF924" s="5" t="inlineStr"/>
      <c r="AG924" s="5" t="inlineStr"/>
      <c r="AH924" s="5" t="inlineStr"/>
    </row>
    <row r="925">
      <c r="A925" s="5" t="inlineStr">
        <is>
          <t>mm-vatandasla-diyalog</t>
        </is>
      </c>
      <c r="B925" s="5" t="n">
        <v>1</v>
      </c>
      <c r="C925" s="6" t="inlineStr">
        <is>
          <t>Usulü anlat</t>
        </is>
      </c>
      <c r="D925" s="5" t="inlineStr"/>
      <c r="E925" s="5" t="inlineStr"/>
      <c r="F925" s="5" t="inlineStr">
        <is>
          <t>İtibar +1, Akıl +1</t>
        </is>
      </c>
      <c r="G925" s="6" t="inlineStr">
        <is>
          <t>Dilekçe, fotokopi, bekleme. Usul herkese aynı derecede yorgun.</t>
        </is>
      </c>
      <c r="H925" s="6" t="inlineStr"/>
      <c r="I925" s="6" t="inlineStr"/>
      <c r="J925" s="6" t="inlineStr"/>
      <c r="K925" s="6" t="inlineStr"/>
      <c r="L925" s="6" t="inlineStr"/>
      <c r="M925" s="5" t="inlineStr"/>
      <c r="N925" s="5" t="inlineStr"/>
      <c r="O925" s="6" t="inlineStr"/>
      <c r="P925" s="6" t="inlineStr"/>
      <c r="Q925" s="5" t="inlineStr"/>
      <c r="R925" s="5" t="inlineStr"/>
      <c r="S925" s="5" t="inlineStr"/>
      <c r="T925" s="5" t="inlineStr"/>
      <c r="U925" s="5" t="inlineStr"/>
      <c r="V925" s="5" t="inlineStr"/>
      <c r="W925" s="5" t="inlineStr"/>
      <c r="X925" s="5" t="inlineStr"/>
      <c r="Y925" s="5" t="inlineStr"/>
      <c r="Z925" s="6" t="inlineStr"/>
      <c r="AA925" s="5" t="inlineStr"/>
      <c r="AB925" s="5" t="inlineStr"/>
      <c r="AC925" s="5" t="inlineStr"/>
      <c r="AD925" s="5" t="inlineStr"/>
      <c r="AE925" s="5" t="inlineStr"/>
      <c r="AF925" s="5" t="inlineStr"/>
      <c r="AG925" s="5" t="inlineStr"/>
      <c r="AH925" s="5" t="inlineStr"/>
    </row>
    <row r="926">
      <c r="A926" s="5" t="inlineStr">
        <is>
          <t>mm-vatandasla-diyalog</t>
        </is>
      </c>
      <c r="B926" s="5" t="n">
        <v>2</v>
      </c>
      <c r="C926" s="6" t="inlineStr">
        <is>
          <t>'Ben de masayım' de</t>
        </is>
      </c>
      <c r="D926" s="5" t="inlineStr">
        <is>
          <t>Pişkinlik</t>
        </is>
      </c>
      <c r="E926" s="5" t="inlineStr">
        <is>
          <t>Orta</t>
        </is>
      </c>
      <c r="F926" s="5" t="inlineStr"/>
      <c r="G926" s="6" t="inlineStr"/>
      <c r="H926" s="6" t="inlineStr">
        <is>
          <t>Vatandaş bir saniye düşündü, sonra sıraya geçti.</t>
        </is>
      </c>
      <c r="I926" s="6" t="inlineStr">
        <is>
          <t>Koridor alkışladı. Cümle bir haftada kısa video uygulamasında 'masa memur' diye yayıldı.</t>
        </is>
      </c>
      <c r="J926" s="6" t="inlineStr">
        <is>
          <t>'Masa mı? Müdürünüzü çağırın' dedi. Müdür de bir masaydı.</t>
        </is>
      </c>
      <c r="K926" s="6" t="inlineStr">
        <is>
          <t>Gerçekten birinin nesiymiş: müdürün kayınpederi. Pazartesiden itibaren arşivdesin.</t>
        </is>
      </c>
      <c r="L926" s="6" t="inlineStr"/>
      <c r="M926" s="5" t="inlineStr"/>
      <c r="N926" s="5" t="inlineStr"/>
      <c r="O926" s="6" t="inlineStr"/>
      <c r="P926" s="6" t="inlineStr"/>
      <c r="Q926" s="5" t="inlineStr"/>
      <c r="R926" s="5" t="inlineStr"/>
      <c r="S926" s="5" t="inlineStr">
        <is>
          <t>Pişkinlik</t>
        </is>
      </c>
      <c r="T926" s="5" t="inlineStr"/>
      <c r="U926" s="5" t="inlineStr"/>
      <c r="V926" s="5" t="inlineStr"/>
      <c r="W926" s="5" t="inlineStr"/>
      <c r="X926" s="5" t="inlineStr"/>
      <c r="Y926" s="5" t="inlineStr"/>
      <c r="Z926" s="6" t="inlineStr"/>
      <c r="AA926" s="5" t="inlineStr"/>
      <c r="AB926" s="5" t="inlineStr"/>
      <c r="AC926" s="5" t="inlineStr"/>
      <c r="AD926" s="5" t="inlineStr"/>
      <c r="AE926" s="5" t="inlineStr"/>
      <c r="AF926" s="5" t="inlineStr"/>
      <c r="AG926" s="5" t="inlineStr"/>
      <c r="AH926" s="5" t="inlineStr"/>
    </row>
    <row r="927">
      <c r="A927" s="5" t="inlineStr">
        <is>
          <t>mm-vatandasla-diyalog</t>
        </is>
      </c>
      <c r="B927" s="5" t="n">
        <v>3</v>
      </c>
      <c r="C927" s="6" t="inlineStr">
        <is>
          <t>Kayıp dosyayı tanı</t>
        </is>
      </c>
      <c r="D927" s="5" t="inlineStr">
        <is>
          <t>Akıl</t>
        </is>
      </c>
      <c r="E927" s="5" t="inlineStr">
        <is>
          <t>Orta</t>
        </is>
      </c>
      <c r="F927" s="5" t="inlineStr"/>
      <c r="G927" s="6" t="inlineStr"/>
      <c r="H927" s="6" t="inlineStr">
        <is>
          <t>Arşivin tam yerini hatırladın. On üç yıllık iş on üç dakikada bitti.</t>
        </is>
      </c>
      <c r="I927" s="6" t="inlineStr">
        <is>
          <t>Dosyayı buldun, işlemi bitirdin. Kim olduğunu sonunda söyledi: 'Sabırlı biri.'</t>
        </is>
      </c>
      <c r="J927" s="6" t="inlineStr">
        <is>
          <t>Arşiv taşınmış. Yeni arşiv, eski arşivin nerede olduğunu bilmiyor.</t>
        </is>
      </c>
      <c r="K927" s="6" t="inlineStr">
        <is>
          <t>'Bunu ben kaybetmiştim' dedin. Kim olduğunu bu kez söyledi: avukat.</t>
        </is>
      </c>
      <c r="L927" s="6" t="inlineStr"/>
      <c r="M927" s="5" t="inlineStr"/>
      <c r="N927" s="5" t="inlineStr"/>
      <c r="O927" s="6" t="inlineStr"/>
      <c r="P927" s="6" t="inlineStr"/>
      <c r="Q927" s="5" t="inlineStr"/>
      <c r="R927" s="5" t="inlineStr">
        <is>
          <t>memur-kayip-dosya</t>
        </is>
      </c>
      <c r="S927" s="5" t="inlineStr"/>
      <c r="T927" s="5" t="inlineStr"/>
      <c r="U927" s="5" t="inlineStr"/>
      <c r="V927" s="5" t="inlineStr"/>
      <c r="W927" s="5" t="inlineStr"/>
      <c r="X927" s="5" t="inlineStr"/>
      <c r="Y927" s="5" t="inlineStr"/>
      <c r="Z927" s="6" t="inlineStr"/>
      <c r="AA927" s="5" t="inlineStr"/>
      <c r="AB927" s="5" t="inlineStr"/>
      <c r="AC927" s="5" t="inlineStr"/>
      <c r="AD927" s="5" t="inlineStr"/>
      <c r="AE927" s="5" t="inlineStr"/>
      <c r="AF927" s="5" t="inlineStr"/>
      <c r="AG927" s="5" t="inlineStr"/>
      <c r="AH927" s="5" t="inlineStr"/>
    </row>
    <row r="928">
      <c r="A928" s="5" t="inlineStr">
        <is>
          <t>mm-vatandasla-diyalog</t>
        </is>
      </c>
      <c r="B928" s="5" t="n">
        <v>4</v>
      </c>
      <c r="C928" s="6" t="inlineStr">
        <is>
          <t>Kibarca sıraya yönlendir</t>
        </is>
      </c>
      <c r="D928" s="5" t="inlineStr">
        <is>
          <t>Cesaret</t>
        </is>
      </c>
      <c r="E928" s="5" t="inlineStr">
        <is>
          <t>Kolay</t>
        </is>
      </c>
      <c r="F928" s="5" t="inlineStr"/>
      <c r="G928" s="6" t="inlineStr"/>
      <c r="H928" s="6" t="inlineStr">
        <is>
          <t>Sıra numarası verdin. Vatandaş kim olduğunu sıra numarasıyla öğrendi: 47.</t>
        </is>
      </c>
      <c r="I928" s="6" t="inlineStr">
        <is>
          <t>Öyle sakin söyledin ki arkadaki herkes de sıraya geçti. Koridorda ilk kez düzen var.</t>
        </is>
      </c>
      <c r="J928" s="6" t="inlineStr">
        <is>
          <t>Sıraya geçti; üç dakika sonra yine masadaydı. 'Bir şey soracağım sadece.'</t>
        </is>
      </c>
      <c r="K928" s="6" t="inlineStr">
        <is>
          <t>Sıraya yönlendirdin; sıranın başındaki kişi onun kim olduğunu biliyormuş. Herkes ona yer verdi.</t>
        </is>
      </c>
      <c r="L928" s="6" t="inlineStr"/>
      <c r="M928" s="5" t="inlineStr"/>
      <c r="N928" s="5" t="inlineStr"/>
      <c r="O928" s="6" t="inlineStr"/>
      <c r="P928" s="6" t="inlineStr"/>
      <c r="Q928" s="5" t="inlineStr"/>
      <c r="R928" s="5" t="inlineStr"/>
      <c r="S928" s="5" t="inlineStr"/>
      <c r="T928" s="5" t="inlineStr"/>
      <c r="U928" s="5" t="inlineStr"/>
      <c r="V928" s="5" t="inlineStr"/>
      <c r="W928" s="5" t="inlineStr"/>
      <c r="X928" s="5" t="inlineStr"/>
      <c r="Y928" s="5" t="inlineStr"/>
      <c r="Z928" s="6" t="inlineStr"/>
      <c r="AA928" s="5" t="inlineStr"/>
      <c r="AB928" s="5" t="inlineStr"/>
      <c r="AC928" s="5" t="inlineStr"/>
      <c r="AD928" s="5" t="inlineStr"/>
      <c r="AE928" s="5" t="inlineStr"/>
      <c r="AF928" s="5" t="inlineStr"/>
      <c r="AG928" s="5" t="inlineStr"/>
      <c r="AH928" s="5" t="inlineStr"/>
    </row>
    <row r="929">
      <c r="A929" s="5" t="inlineStr">
        <is>
          <t>b8-yeni-hobi</t>
        </is>
      </c>
      <c r="B929" s="5" t="n">
        <v>1</v>
      </c>
      <c r="C929" s="6" t="inlineStr">
        <is>
          <t>Ekşi maya besle</t>
        </is>
      </c>
      <c r="D929" s="5" t="inlineStr"/>
      <c r="E929" s="5" t="inlineStr"/>
      <c r="F929" s="5" t="inlineStr">
        <is>
          <t>İtibar +1, Dayanıklılık +1</t>
        </is>
      </c>
      <c r="G929" s="6" t="inlineStr">
        <is>
          <t>Mayaya bir isim verdin. Artık haftada iki kez ona bakıyorsun; o sana hiç bakmıyor.</t>
        </is>
      </c>
      <c r="H929" s="6" t="inlineStr"/>
      <c r="I929" s="6" t="inlineStr"/>
      <c r="J929" s="6" t="inlineStr"/>
      <c r="K929" s="6" t="inlineStr"/>
      <c r="L929" s="6" t="inlineStr"/>
      <c r="M929" s="5" t="inlineStr"/>
      <c r="N929" s="5" t="inlineStr"/>
      <c r="O929" s="6" t="inlineStr"/>
      <c r="P929" s="6" t="inlineStr"/>
      <c r="Q929" s="5" t="inlineStr"/>
      <c r="R929" s="5" t="inlineStr"/>
      <c r="S929" s="5" t="inlineStr"/>
      <c r="T929" s="5" t="inlineStr"/>
      <c r="U929" s="5" t="inlineStr"/>
      <c r="V929" s="5" t="inlineStr"/>
      <c r="W929" s="5" t="inlineStr"/>
      <c r="X929" s="5" t="inlineStr"/>
      <c r="Y929" s="5" t="inlineStr"/>
      <c r="Z929" s="6" t="inlineStr"/>
      <c r="AA929" s="5" t="inlineStr"/>
      <c r="AB929" s="5" t="inlineStr"/>
      <c r="AC929" s="5" t="inlineStr"/>
      <c r="AD929" s="5" t="inlineStr"/>
      <c r="AE929" s="5" t="inlineStr"/>
      <c r="AF929" s="5" t="inlineStr"/>
      <c r="AG929" s="5" t="inlineStr"/>
      <c r="AH929" s="5" t="inlineStr"/>
    </row>
    <row r="930">
      <c r="A930" s="5" t="inlineStr">
        <is>
          <t>b8-yeni-hobi</t>
        </is>
      </c>
      <c r="B930" s="5" t="n">
        <v>2</v>
      </c>
      <c r="C930" s="6" t="inlineStr">
        <is>
          <t>Bağlama kursuna yazıl</t>
        </is>
      </c>
      <c r="D930" s="5" t="inlineStr">
        <is>
          <t>Dayanıklılık</t>
        </is>
      </c>
      <c r="E930" s="5" t="inlineStr">
        <is>
          <t>Orta</t>
        </is>
      </c>
      <c r="F930" s="5" t="inlineStr"/>
      <c r="G930" s="6" t="inlineStr"/>
      <c r="H930" s="6" t="inlineStr">
        <is>
          <t>Üç ayda iki türkü çaldın. Komşular birini ezberledi.</t>
        </is>
      </c>
      <c r="I930" s="6" t="inlineStr">
        <is>
          <t>Kurs sonu konserinde solo verdin. Salonda iki kişi ağladı; biri duygulandığı için.</t>
        </is>
      </c>
      <c r="J930" s="6" t="inlineStr">
        <is>
          <t>Parmaklar tele alışmadı. Bağlama duvarda, dekorasyon olarak çalıyor.</t>
        </is>
      </c>
      <c r="K930" s="6" t="inlineStr">
        <is>
          <t>Evde prova yaptın; site yönetiminden ikinci uyarı yazısı geldi.</t>
        </is>
      </c>
      <c r="L930" s="6" t="inlineStr"/>
      <c r="M930" s="5" t="inlineStr"/>
      <c r="N930" s="5" t="inlineStr"/>
      <c r="O930" s="6" t="inlineStr"/>
      <c r="P930" s="6" t="inlineStr"/>
      <c r="Q930" s="5" t="inlineStr"/>
      <c r="R930" s="5" t="inlineStr"/>
      <c r="S930" s="5" t="inlineStr"/>
      <c r="T930" s="5" t="inlineStr"/>
      <c r="U930" s="5" t="inlineStr"/>
      <c r="V930" s="5" t="inlineStr"/>
      <c r="W930" s="5" t="inlineStr"/>
      <c r="X930" s="5" t="inlineStr"/>
      <c r="Y930" s="5" t="inlineStr"/>
      <c r="Z930" s="6" t="inlineStr"/>
      <c r="AA930" s="5" t="inlineStr"/>
      <c r="AB930" s="5" t="inlineStr"/>
      <c r="AC930" s="5" t="inlineStr"/>
      <c r="AD930" s="5" t="inlineStr"/>
      <c r="AE930" s="5" t="inlineStr"/>
      <c r="AF930" s="5" t="inlineStr"/>
      <c r="AG930" s="5" t="inlineStr"/>
      <c r="AH930" s="5" t="inlineStr"/>
    </row>
    <row r="931">
      <c r="A931" s="5" t="inlineStr">
        <is>
          <t>b8-yeni-hobi</t>
        </is>
      </c>
      <c r="B931" s="5" t="n">
        <v>3</v>
      </c>
      <c r="C931" s="6" t="inlineStr">
        <is>
          <t>Yamaç paraşütüne başla</t>
        </is>
      </c>
      <c r="D931" s="5" t="inlineStr">
        <is>
          <t>Cesaret</t>
        </is>
      </c>
      <c r="E931" s="5" t="inlineStr">
        <is>
          <t>Zor</t>
        </is>
      </c>
      <c r="F931" s="5" t="inlineStr"/>
      <c r="G931" s="6" t="inlineStr"/>
      <c r="H931" s="6" t="inlineStr">
        <is>
          <t>Atladın, süzüldün, indin. Yerdekilere el salladın; ipi bırakmadan.</t>
        </is>
      </c>
      <c r="I931" s="6" t="inlineStr">
        <is>
          <t>Sabah rüzgârında yarım saat süzüldün. Aşağıdaki kasaba seni reklam balonu sandı.</t>
        </is>
      </c>
      <c r="J931" s="6" t="inlineStr">
        <is>
          <t>Tepeye çıktın, aşağı baktın, geri indin. Yürüyüş olarak kaydedildi.</t>
        </is>
      </c>
      <c r="K931" s="6" t="inlineStr">
        <is>
          <t>Bir seranın çatısına indin. O seranın domatesleri artık senin hikâyeni anlatıyor.</t>
        </is>
      </c>
      <c r="L931" s="6" t="inlineStr"/>
      <c r="M931" s="5" t="inlineStr"/>
      <c r="N931" s="5" t="inlineStr"/>
      <c r="O931" s="6" t="inlineStr"/>
      <c r="P931" s="6" t="inlineStr"/>
      <c r="Q931" s="5" t="inlineStr"/>
      <c r="R931" s="5" t="inlineStr"/>
      <c r="S931" s="5" t="inlineStr"/>
      <c r="T931" s="5" t="inlineStr"/>
      <c r="U931" s="5" t="inlineStr"/>
      <c r="V931" s="5" t="inlineStr"/>
      <c r="W931" s="5" t="inlineStr"/>
      <c r="X931" s="5" t="inlineStr"/>
      <c r="Y931" s="5" t="n">
        <v>3</v>
      </c>
      <c r="Z931" s="6" t="inlineStr">
        <is>
          <t>Yamaç paraşütü eğitiminde, eğitmen 'Şimdi' demeden atlarken. Eğitmen 'Şimdi değil' diyordu.</t>
        </is>
      </c>
      <c r="AA931" s="5" t="inlineStr"/>
      <c r="AB931" s="5" t="inlineStr"/>
      <c r="AC931" s="5" t="inlineStr"/>
      <c r="AD931" s="5" t="inlineStr"/>
      <c r="AE931" s="5" t="inlineStr"/>
      <c r="AF931" s="5" t="inlineStr"/>
      <c r="AG931" s="5" t="inlineStr"/>
      <c r="AH931" s="5" t="inlineStr"/>
    </row>
    <row r="932">
      <c r="A932" s="5" t="inlineStr">
        <is>
          <t>b8-yeni-hobi</t>
        </is>
      </c>
      <c r="B932" s="5" t="n">
        <v>4</v>
      </c>
      <c r="C932" s="6" t="inlineStr">
        <is>
          <t>Kamera uçurmaya başla</t>
        </is>
      </c>
      <c r="D932" s="5" t="inlineStr">
        <is>
          <t>Akıl</t>
        </is>
      </c>
      <c r="E932" s="5" t="inlineStr">
        <is>
          <t>Kolay</t>
        </is>
      </c>
      <c r="F932" s="5" t="inlineStr"/>
      <c r="G932" s="6" t="inlineStr"/>
      <c r="H932" s="6" t="inlineStr">
        <is>
          <t>Mahalleyi yukarıdan çektin. Evin çatısı sandığından da eski.</t>
        </is>
      </c>
      <c r="I932" s="6" t="inlineStr">
        <is>
          <t>Çektiğin sahil görüntüleri belediyenin tanıtım filmine girdi. Jenerikte adın, yanlış yazılmış.</t>
        </is>
      </c>
      <c r="J932" s="6" t="inlineStr">
        <is>
          <t>Uçan kamera bir ağaca kondu. Artık bir kuş gözlemevi.</t>
        </is>
      </c>
      <c r="K932" s="6" t="inlineStr">
        <is>
          <t>Uçan kamera komşunun balkonuna indi. Komşu kamerayı iade etti; bir dilekçeyle.</t>
        </is>
      </c>
      <c r="L932" s="6" t="inlineStr"/>
      <c r="M932" s="5" t="inlineStr"/>
      <c r="N932" s="5" t="inlineStr"/>
      <c r="O932" s="6" t="inlineStr"/>
      <c r="P932" s="6" t="inlineStr"/>
      <c r="Q932" s="5" t="inlineStr">
        <is>
          <t>Teknoloji Merakı</t>
        </is>
      </c>
      <c r="R932" s="5" t="inlineStr"/>
      <c r="S932" s="5" t="inlineStr"/>
      <c r="T932" s="5" t="inlineStr"/>
      <c r="U932" s="5" t="inlineStr"/>
      <c r="V932" s="5" t="inlineStr"/>
      <c r="W932" s="5" t="inlineStr"/>
      <c r="X932" s="5" t="inlineStr"/>
      <c r="Y932" s="5" t="inlineStr"/>
      <c r="Z932" s="6" t="inlineStr"/>
      <c r="AA932" s="5" t="inlineStr"/>
      <c r="AB932" s="5" t="inlineStr"/>
      <c r="AC932" s="5" t="inlineStr"/>
      <c r="AD932" s="5" t="inlineStr"/>
      <c r="AE932" s="5" t="inlineStr"/>
      <c r="AF932" s="5" t="inlineStr"/>
      <c r="AG932" s="5" t="inlineStr"/>
      <c r="AH932" s="5" t="inlineStr"/>
    </row>
    <row r="933">
      <c r="A933" s="5" t="inlineStr">
        <is>
          <t>b8-maraton</t>
        </is>
      </c>
      <c r="B933" s="5" t="n">
        <v>1</v>
      </c>
      <c r="C933" s="6" t="inlineStr">
        <is>
          <t>Kendi temponda bitir</t>
        </is>
      </c>
      <c r="D933" s="5" t="inlineStr"/>
      <c r="E933" s="5" t="inlineStr"/>
      <c r="F933" s="5" t="inlineStr">
        <is>
          <t>Dayanıklılık +2</t>
        </is>
      </c>
      <c r="G933" s="6" t="inlineStr">
        <is>
          <t>Beş saat on dört dakika. Son düzlükte bir çocuk seni alkışladı; beş saatin tamamına değdi.</t>
        </is>
      </c>
      <c r="H933" s="6" t="inlineStr"/>
      <c r="I933" s="6" t="inlineStr"/>
      <c r="J933" s="6" t="inlineStr"/>
      <c r="K933" s="6" t="inlineStr"/>
      <c r="L933" s="6" t="inlineStr"/>
      <c r="M933" s="5" t="inlineStr"/>
      <c r="N933" s="5" t="inlineStr"/>
      <c r="O933" s="6" t="inlineStr"/>
      <c r="P933" s="6" t="inlineStr"/>
      <c r="Q933" s="5" t="inlineStr"/>
      <c r="R933" s="5" t="inlineStr"/>
      <c r="S933" s="5" t="inlineStr"/>
      <c r="T933" s="5" t="inlineStr"/>
      <c r="U933" s="5" t="inlineStr">
        <is>
          <t>maratoncu</t>
        </is>
      </c>
      <c r="V933" s="5" t="inlineStr"/>
      <c r="W933" s="5" t="inlineStr"/>
      <c r="X933" s="5" t="inlineStr"/>
      <c r="Y933" s="5" t="inlineStr"/>
      <c r="Z933" s="6" t="inlineStr"/>
      <c r="AA933" s="5" t="inlineStr"/>
      <c r="AB933" s="5" t="inlineStr"/>
      <c r="AC933" s="5" t="inlineStr"/>
      <c r="AD933" s="5" t="inlineStr"/>
      <c r="AE933" s="5" t="inlineStr"/>
      <c r="AF933" s="5" t="inlineStr"/>
      <c r="AG933" s="5" t="inlineStr"/>
      <c r="AH933" s="5" t="inlineStr"/>
    </row>
    <row r="934">
      <c r="A934" s="5" t="inlineStr">
        <is>
          <t>b8-maraton</t>
        </is>
      </c>
      <c r="B934" s="5" t="n">
        <v>2</v>
      </c>
      <c r="C934" s="6" t="inlineStr">
        <is>
          <t>Son kilometrede depara kalk</t>
        </is>
      </c>
      <c r="D934" s="5" t="inlineStr">
        <is>
          <t>Dayanıklılık</t>
        </is>
      </c>
      <c r="E934" s="5" t="inlineStr">
        <is>
          <t>Zor</t>
        </is>
      </c>
      <c r="F934" s="5" t="inlineStr"/>
      <c r="G934" s="6" t="inlineStr"/>
      <c r="H934" s="6" t="inlineStr">
        <is>
          <t>Son kilometrede on iki kişiyi geçtin. Fotoğrafçı seni tam o anda çekti; gözlerin kapalıydı.</t>
        </is>
      </c>
      <c r="I934" s="6" t="inlineStr">
        <is>
          <t>Finiş çizgisine kollarını açarak girdin. O fotoğraf artık bilgisayarının arka planı.</t>
        </is>
      </c>
      <c r="J934" s="6" t="inlineStr">
        <is>
          <t>Depara kalktın; bacakların kalkmadı. Son kilometre yürüyerek tamamlandı.</t>
        </is>
      </c>
      <c r="K934" s="6" t="inlineStr">
        <is>
          <t>Sponsor standına daldın. İçecek piramidi yıkıldı; görüntüler sponsorun yeni reklamında.</t>
        </is>
      </c>
      <c r="L934" s="6" t="inlineStr">
        <is>
          <t>Yarı yolda kramp girdi. Finişe topallayarak ve alkışlar eşliğinde vardın.</t>
        </is>
      </c>
      <c r="M934" s="5" t="inlineStr">
        <is>
          <t>race</t>
        </is>
      </c>
      <c r="N934" s="5" t="inlineStr">
        <is>
          <t>Son Kilometre</t>
        </is>
      </c>
      <c r="O934" s="6" t="inlineStr">
        <is>
          <t>Beş saniye. Ekrana hızla dokun; sponsor standına değil, finişe koş.</t>
        </is>
      </c>
      <c r="P934" s="6" t="inlineStr"/>
      <c r="Q934" s="5" t="inlineStr"/>
      <c r="R934" s="5" t="inlineStr"/>
      <c r="S934" s="5" t="inlineStr"/>
      <c r="T934" s="5" t="inlineStr">
        <is>
          <t>Kolay Dağılmaz</t>
        </is>
      </c>
      <c r="U934" s="5" t="inlineStr"/>
      <c r="V934" s="5" t="inlineStr">
        <is>
          <t>maratoncu</t>
        </is>
      </c>
      <c r="W934" s="5" t="inlineStr"/>
      <c r="X934" s="5" t="inlineStr"/>
      <c r="Y934" s="5" t="n">
        <v>4</v>
      </c>
      <c r="Z934" s="6" t="inlineStr">
        <is>
          <t>Maratonun son kilometresinde sponsor standına dalarken. Madalyası kargoyla gönderildi.</t>
        </is>
      </c>
      <c r="AA934" s="5" t="inlineStr"/>
      <c r="AB934" s="5" t="inlineStr"/>
      <c r="AC934" s="5" t="inlineStr"/>
      <c r="AD934" s="5" t="inlineStr"/>
      <c r="AE934" s="5" t="inlineStr"/>
      <c r="AF934" s="5" t="inlineStr"/>
      <c r="AG934" s="5" t="inlineStr"/>
      <c r="AH934" s="5" t="inlineStr"/>
    </row>
    <row r="935">
      <c r="A935" s="5" t="inlineStr">
        <is>
          <t>b8-maraton</t>
        </is>
      </c>
      <c r="B935" s="5" t="n">
        <v>3</v>
      </c>
      <c r="C935" s="6" t="inlineStr">
        <is>
          <t>Rotada kestirme bul</t>
        </is>
      </c>
      <c r="D935" s="5" t="inlineStr">
        <is>
          <t>Kurnazlık</t>
        </is>
      </c>
      <c r="E935" s="5" t="inlineStr">
        <is>
          <t>Orta</t>
        </is>
      </c>
      <c r="F935" s="5" t="inlineStr"/>
      <c r="G935" s="6" t="inlineStr"/>
      <c r="H935" s="6" t="inlineStr">
        <is>
          <t>Kestirmeden yirmi dakika kazandın. Madalya aynı madalya; vicdan ayrı dosya.</t>
        </is>
      </c>
      <c r="I935" s="6" t="inlineStr">
        <is>
          <t>Kestirmeden çıktığında kamera seni lider sandı. Birkaç saniye boyunca maratonun lideriydin.</t>
        </is>
      </c>
      <c r="J935" s="6" t="inlineStr">
        <is>
          <t>Kestirme bir otoparka çıktı. Otopark ücretliydi.</t>
        </is>
      </c>
      <c r="K935" s="6" t="inlineStr">
        <is>
          <t>Hakem seni gördü. Diskalifiye edildin ve bir sertifika aldın: 'Katılımınız için teşekkür ederiz.'</t>
        </is>
      </c>
      <c r="L935" s="6" t="inlineStr"/>
      <c r="M935" s="5" t="inlineStr"/>
      <c r="N935" s="5" t="inlineStr"/>
      <c r="O935" s="6" t="inlineStr"/>
      <c r="P935" s="6" t="inlineStr"/>
      <c r="Q935" s="5" t="inlineStr"/>
      <c r="R935" s="5" t="inlineStr"/>
      <c r="S935" s="5" t="inlineStr"/>
      <c r="T935" s="5" t="inlineStr"/>
      <c r="U935" s="5" t="inlineStr"/>
      <c r="V935" s="5" t="inlineStr"/>
      <c r="W935" s="5" t="inlineStr"/>
      <c r="X935" s="5" t="inlineStr"/>
      <c r="Y935" s="5" t="inlineStr"/>
      <c r="Z935" s="6" t="inlineStr"/>
      <c r="AA935" s="5" t="inlineStr"/>
      <c r="AB935" s="5" t="inlineStr"/>
      <c r="AC935" s="5" t="inlineStr"/>
      <c r="AD935" s="5" t="inlineStr"/>
      <c r="AE935" s="5" t="inlineStr"/>
      <c r="AF935" s="5" t="inlineStr"/>
      <c r="AG935" s="5" t="inlineStr"/>
      <c r="AH935" s="5" t="inlineStr"/>
    </row>
    <row r="936">
      <c r="A936" s="5" t="inlineStr">
        <is>
          <t>b8-yeniden-egitim</t>
        </is>
      </c>
      <c r="B936" s="5" t="n">
        <v>1</v>
      </c>
      <c r="C936" s="6" t="inlineStr">
        <is>
          <t>Hafta sonu sertifika programı</t>
        </is>
      </c>
      <c r="D936" s="5" t="inlineStr"/>
      <c r="E936" s="5" t="inlineStr"/>
      <c r="F936" s="5" t="inlineStr">
        <is>
          <t>Akıl +2</t>
        </is>
      </c>
      <c r="G936" s="6" t="inlineStr">
        <is>
          <t>Sekiz hafta sonu, bir sertifika. Çerçeveletirken fark ettin: çerçeve sertifikadan pahalıydı.</t>
        </is>
      </c>
      <c r="H936" s="6" t="inlineStr"/>
      <c r="I936" s="6" t="inlineStr"/>
      <c r="J936" s="6" t="inlineStr"/>
      <c r="K936" s="6" t="inlineStr"/>
      <c r="L936" s="6" t="inlineStr"/>
      <c r="M936" s="5" t="inlineStr"/>
      <c r="N936" s="5" t="inlineStr"/>
      <c r="O936" s="6" t="inlineStr"/>
      <c r="P936" s="6" t="inlineStr"/>
      <c r="Q936" s="5" t="inlineStr"/>
      <c r="R936" s="5" t="inlineStr"/>
      <c r="S936" s="5" t="inlineStr"/>
      <c r="T936" s="5" t="inlineStr"/>
      <c r="U936" s="5" t="inlineStr"/>
      <c r="V936" s="5" t="inlineStr"/>
      <c r="W936" s="5" t="inlineStr"/>
      <c r="X936" s="5" t="inlineStr"/>
      <c r="Y936" s="5" t="inlineStr"/>
      <c r="Z936" s="6" t="inlineStr"/>
      <c r="AA936" s="5" t="inlineStr"/>
      <c r="AB936" s="5" t="inlineStr"/>
      <c r="AC936" s="5" t="inlineStr"/>
      <c r="AD936" s="5" t="inlineStr"/>
      <c r="AE936" s="5" t="inlineStr"/>
      <c r="AF936" s="5" t="inlineStr"/>
      <c r="AG936" s="5" t="inlineStr"/>
      <c r="AH936" s="5" t="inlineStr"/>
    </row>
    <row r="937">
      <c r="A937" s="5" t="inlineStr">
        <is>
          <t>b8-yeniden-egitim</t>
        </is>
      </c>
      <c r="B937" s="5" t="n">
        <v>2</v>
      </c>
      <c r="C937" s="6" t="inlineStr">
        <is>
          <t>Tamamen yeni bir mesleğe geç</t>
        </is>
      </c>
      <c r="D937" s="5" t="inlineStr">
        <is>
          <t>Cesaret</t>
        </is>
      </c>
      <c r="E937" s="5" t="inlineStr">
        <is>
          <t>Zor</t>
        </is>
      </c>
      <c r="F937" s="5" t="inlineStr"/>
      <c r="G937" s="6" t="inlineStr"/>
      <c r="H937" s="6" t="inlineStr">
        <is>
          <t>İstifa ettin, yeni mesleğe başladın. İlk maaş eskisinin yarısı; ilk sabahki yüzün eskisinin iki katı.</t>
        </is>
      </c>
      <c r="I937" s="6" t="inlineStr">
        <is>
          <t>Bir yılda uzmanlaştın. Eski patronun seni danışman olarak geri çağırdı; iki katı ücretle.</t>
        </is>
      </c>
      <c r="J937" s="6" t="inlineStr">
        <is>
          <t>Üç ay denedin, eski işine döndün. Masan boşaltılmamıştı; kimse fark etmemişti.</t>
        </is>
      </c>
      <c r="K937" s="6" t="inlineStr">
        <is>
          <t>İstifa ettin; kurs iptal edildi. Özgeçmişinin en ilginç kısmı artık bu altı ay.</t>
        </is>
      </c>
      <c r="L937" s="6" t="inlineStr"/>
      <c r="M937" s="5" t="inlineStr"/>
      <c r="N937" s="5" t="inlineStr"/>
      <c r="O937" s="6" t="inlineStr"/>
      <c r="P937" s="6" t="inlineStr"/>
      <c r="Q937" s="5" t="inlineStr"/>
      <c r="R937" s="5" t="inlineStr"/>
      <c r="S937" s="5" t="inlineStr"/>
      <c r="T937" s="5" t="inlineStr">
        <is>
          <t>Geri Adım Atmaz</t>
        </is>
      </c>
      <c r="U937" s="5" t="inlineStr"/>
      <c r="V937" s="5" t="inlineStr">
        <is>
          <t>kariyer-degisti</t>
        </is>
      </c>
      <c r="W937" s="5" t="inlineStr"/>
      <c r="X937" s="5" t="inlineStr"/>
      <c r="Y937" s="5" t="inlineStr"/>
      <c r="Z937" s="6" t="inlineStr"/>
      <c r="AA937" s="5" t="inlineStr"/>
      <c r="AB937" s="5" t="inlineStr"/>
      <c r="AC937" s="5" t="inlineStr"/>
      <c r="AD937" s="5" t="inlineStr"/>
      <c r="AE937" s="5" t="inlineStr"/>
      <c r="AF937" s="5" t="inlineStr"/>
      <c r="AG937" s="5" t="inlineStr"/>
      <c r="AH937" s="5" t="inlineStr"/>
    </row>
    <row r="938">
      <c r="A938" s="5" t="inlineStr">
        <is>
          <t>b8-yeniden-egitim</t>
        </is>
      </c>
      <c r="B938" s="5" t="n">
        <v>3</v>
      </c>
      <c r="C938" s="6" t="inlineStr">
        <is>
          <t>En ön sıraya otur</t>
        </is>
      </c>
      <c r="D938" s="5" t="inlineStr">
        <is>
          <t>Cesaret</t>
        </is>
      </c>
      <c r="E938" s="5" t="inlineStr">
        <is>
          <t>Orta</t>
        </is>
      </c>
      <c r="F938" s="5" t="inlineStr"/>
      <c r="G938" s="6" t="inlineStr"/>
      <c r="H938" s="6" t="inlineStr">
        <is>
          <t>En ön sırada oturdun, her soruya cevap verdin. Sınıf seni 'kurtarıcı' ilan etti.</t>
        </is>
      </c>
      <c r="I938" s="6" t="inlineStr">
        <is>
          <t>Hoca seni asistan sandı. Dönem sonunda ciddi ciddi asistanlık teklif etti.</t>
        </is>
      </c>
      <c r="J938" s="6" t="inlineStr">
        <is>
          <t>En ön sırada uyuyakaldın. Hoca uyandırmadı; saygıdan.</t>
        </is>
      </c>
      <c r="K938" s="6" t="inlineStr">
        <is>
          <t>Her soruya 'Bizim zamanımızda' diye başladın. Sınıfta kısaltması var: 'BZ'.</t>
        </is>
      </c>
      <c r="L938" s="6" t="inlineStr"/>
      <c r="M938" s="5" t="inlineStr"/>
      <c r="N938" s="5" t="inlineStr"/>
      <c r="O938" s="6" t="inlineStr"/>
      <c r="P938" s="6" t="inlineStr"/>
      <c r="Q938" s="5" t="inlineStr"/>
      <c r="R938" s="5" t="inlineStr"/>
      <c r="S938" s="5" t="inlineStr">
        <is>
          <t>Cesaret</t>
        </is>
      </c>
      <c r="T938" s="5" t="inlineStr"/>
      <c r="U938" s="5" t="inlineStr"/>
      <c r="V938" s="5" t="inlineStr"/>
      <c r="W938" s="5" t="inlineStr"/>
      <c r="X938" s="5" t="inlineStr"/>
      <c r="Y938" s="5" t="inlineStr"/>
      <c r="Z938" s="6" t="inlineStr"/>
      <c r="AA938" s="5" t="inlineStr"/>
      <c r="AB938" s="5" t="inlineStr"/>
      <c r="AC938" s="5" t="inlineStr"/>
      <c r="AD938" s="5" t="inlineStr"/>
      <c r="AE938" s="5" t="inlineStr"/>
      <c r="AF938" s="5" t="inlineStr"/>
      <c r="AG938" s="5" t="inlineStr"/>
      <c r="AH938" s="5" t="inlineStr"/>
    </row>
    <row r="939">
      <c r="A939" s="5" t="inlineStr">
        <is>
          <t>b8-yeniden-egitim</t>
        </is>
      </c>
      <c r="B939" s="5" t="n">
        <v>4</v>
      </c>
      <c r="C939" s="6" t="inlineStr">
        <is>
          <t>Kurumdan eğitim izni iste</t>
        </is>
      </c>
      <c r="D939" s="5" t="inlineStr">
        <is>
          <t>Çene</t>
        </is>
      </c>
      <c r="E939" s="5" t="inlineStr">
        <is>
          <t>Kolay</t>
        </is>
      </c>
      <c r="F939" s="5" t="inlineStr"/>
      <c r="G939" s="6" t="inlineStr"/>
      <c r="H939" s="6" t="inlineStr">
        <is>
          <t>Dilekçeni verdin; dört imzadan geçti. İzin onaylandı, kurs bitti, imza süreci sürüyor.</t>
        </is>
      </c>
      <c r="I939" s="6" t="inlineStr">
        <is>
          <t>Dilekçen o kadar usule uygundu ki örnek dilekçe olarak bütün birimlere dağıtıldı.</t>
        </is>
      </c>
      <c r="J939" s="6" t="inlineStr">
        <is>
          <t>Dilekçe 'üst yazı eksik' gerekçesiyle iade edildi. Üst yazının üst yazısı isteniyor.</t>
        </is>
      </c>
      <c r="K939" s="6" t="inlineStr">
        <is>
          <t>İzin çıktı; kursun bittiği gün. Kurumun eğitim raporunda başarı örneği olarak yer aldın.</t>
        </is>
      </c>
      <c r="L939" s="6" t="inlineStr"/>
      <c r="M939" s="5" t="inlineStr"/>
      <c r="N939" s="5" t="inlineStr"/>
      <c r="O939" s="6" t="inlineStr"/>
      <c r="P939" s="6" t="inlineStr"/>
      <c r="Q939" s="5" t="inlineStr"/>
      <c r="R939" s="5" t="inlineStr">
        <is>
          <t>meslek-memur</t>
        </is>
      </c>
      <c r="S939" s="5" t="inlineStr"/>
      <c r="T939" s="5" t="inlineStr"/>
      <c r="U939" s="5" t="inlineStr"/>
      <c r="V939" s="5" t="inlineStr"/>
      <c r="W939" s="5" t="inlineStr"/>
      <c r="X939" s="5" t="inlineStr"/>
      <c r="Y939" s="5" t="inlineStr"/>
      <c r="Z939" s="6" t="inlineStr"/>
      <c r="AA939" s="5" t="inlineStr"/>
      <c r="AB939" s="5" t="inlineStr"/>
      <c r="AC939" s="5" t="inlineStr"/>
      <c r="AD939" s="5" t="inlineStr"/>
      <c r="AE939" s="5" t="inlineStr"/>
      <c r="AF939" s="5" t="inlineStr"/>
      <c r="AG939" s="5" t="inlineStr"/>
      <c r="AH939" s="5" t="inlineStr"/>
    </row>
    <row r="940">
      <c r="A940" s="5" t="inlineStr">
        <is>
          <t>b8-yazlik</t>
        </is>
      </c>
      <c r="B940" s="5" t="n">
        <v>1</v>
      </c>
      <c r="C940" s="6" t="inlineStr">
        <is>
          <t>Kiralık yazlıkla devam et</t>
        </is>
      </c>
      <c r="D940" s="5" t="inlineStr"/>
      <c r="E940" s="5" t="inlineStr"/>
      <c r="F940" s="5" t="inlineStr">
        <is>
          <t>Akıl +1, Kurnazlık +1</t>
        </is>
      </c>
      <c r="G940" s="6" t="inlineStr">
        <is>
          <t>Kiraya devam ettin. Her yıl başka bir ev; başka birinin çatı sorunu.</t>
        </is>
      </c>
      <c r="H940" s="6" t="inlineStr"/>
      <c r="I940" s="6" t="inlineStr"/>
      <c r="J940" s="6" t="inlineStr"/>
      <c r="K940" s="6" t="inlineStr"/>
      <c r="L940" s="6" t="inlineStr"/>
      <c r="M940" s="5" t="inlineStr"/>
      <c r="N940" s="5" t="inlineStr"/>
      <c r="O940" s="6" t="inlineStr"/>
      <c r="P940" s="6" t="inlineStr"/>
      <c r="Q940" s="5" t="inlineStr"/>
      <c r="R940" s="5" t="inlineStr"/>
      <c r="S940" s="5" t="inlineStr"/>
      <c r="T940" s="5" t="inlineStr"/>
      <c r="U940" s="5" t="inlineStr"/>
      <c r="V940" s="5" t="inlineStr"/>
      <c r="W940" s="5" t="inlineStr"/>
      <c r="X940" s="5" t="inlineStr"/>
      <c r="Y940" s="5" t="inlineStr"/>
      <c r="Z940" s="6" t="inlineStr"/>
      <c r="AA940" s="5" t="inlineStr"/>
      <c r="AB940" s="5" t="inlineStr"/>
      <c r="AC940" s="5" t="inlineStr"/>
      <c r="AD940" s="5" t="inlineStr"/>
      <c r="AE940" s="5" t="inlineStr"/>
      <c r="AF940" s="5" t="inlineStr"/>
      <c r="AG940" s="5" t="inlineStr"/>
      <c r="AH940" s="5" t="inlineStr"/>
    </row>
    <row r="941">
      <c r="A941" s="5" t="inlineStr">
        <is>
          <t>b8-yazlik</t>
        </is>
      </c>
      <c r="B941" s="5" t="n">
        <v>2</v>
      </c>
      <c r="C941" s="6" t="inlineStr">
        <is>
          <t>Pazarlık et, al</t>
        </is>
      </c>
      <c r="D941" s="5" t="inlineStr">
        <is>
          <t>Çene</t>
        </is>
      </c>
      <c r="E941" s="5" t="inlineStr">
        <is>
          <t>Orta</t>
        </is>
      </c>
      <c r="F941" s="5" t="inlineStr"/>
      <c r="G941" s="6" t="inlineStr"/>
      <c r="H941" s="6" t="inlineStr">
        <is>
          <t>Yazlığı aldın. İlk yaz bütün akrabalar ziyarete geldi; sen salonda yattın.</t>
        </is>
      </c>
      <c r="I941" s="6" t="inlineStr">
        <is>
          <t>Aldın; bahçedeki incir ağacı da tapuya dahilmiş. Yazlık değer kazandı, incir de.</t>
        </is>
      </c>
      <c r="J941" s="6" t="inlineStr">
        <is>
          <t>Aldın; denize yürüme mesafesi kırk dakikaymış. Sen yürüyorsun; deniz yürümüyor.</t>
        </is>
      </c>
      <c r="K941" s="6" t="inlineStr">
        <is>
          <t>Aldın; ilk kış çatı aktı. İkinci kış da. Yazlık artık yazın da su alıyor.</t>
        </is>
      </c>
      <c r="L941" s="6" t="inlineStr"/>
      <c r="M941" s="5" t="inlineStr"/>
      <c r="N941" s="5" t="inlineStr"/>
      <c r="O941" s="6" t="inlineStr"/>
      <c r="P941" s="6" t="inlineStr"/>
      <c r="Q941" s="5" t="inlineStr"/>
      <c r="R941" s="5" t="inlineStr"/>
      <c r="S941" s="5" t="inlineStr"/>
      <c r="T941" s="5" t="inlineStr"/>
      <c r="U941" s="5" t="inlineStr"/>
      <c r="V941" s="5" t="inlineStr">
        <is>
          <t>yazlikci</t>
        </is>
      </c>
      <c r="W941" s="5" t="inlineStr"/>
      <c r="X941" s="5" t="inlineStr"/>
      <c r="Y941" s="5" t="inlineStr"/>
      <c r="Z941" s="6" t="inlineStr"/>
      <c r="AA941" s="5" t="inlineStr"/>
      <c r="AB941" s="5" t="inlineStr"/>
      <c r="AC941" s="5" t="inlineStr"/>
      <c r="AD941" s="5" t="inlineStr"/>
      <c r="AE941" s="5" t="inlineStr"/>
      <c r="AF941" s="5" t="inlineStr"/>
      <c r="AG941" s="5" t="inlineStr"/>
      <c r="AH941" s="5" t="inlineStr"/>
    </row>
    <row r="942">
      <c r="A942" s="5" t="inlineStr">
        <is>
          <t>b8-yazlik</t>
        </is>
      </c>
      <c r="B942" s="5" t="n">
        <v>3</v>
      </c>
      <c r="C942" s="6" t="inlineStr">
        <is>
          <t>Al ve çatıyı kendin onar</t>
        </is>
      </c>
      <c r="D942" s="5" t="inlineStr">
        <is>
          <t>Dayanıklılık</t>
        </is>
      </c>
      <c r="E942" s="5" t="inlineStr">
        <is>
          <t>Zor</t>
        </is>
      </c>
      <c r="F942" s="5" t="inlineStr"/>
      <c r="G942" s="6" t="inlineStr"/>
      <c r="H942" s="6" t="inlineStr">
        <is>
          <t>Çatıyı onardın. Ustaya gidecek para cebinde, güneş yanığı sırtında.</t>
        </is>
      </c>
      <c r="I942" s="6" t="inlineStr">
        <is>
          <t>Çatıyı onardın, üstüne güneş paneli de taktın. Komşular seni müteahhit sanıyor.</t>
        </is>
      </c>
      <c r="J942" s="6" t="inlineStr">
        <is>
          <t>Bir kiremit düşürdün, indin. Usta çağrıldı; kiremit ayrıca faturalandı.</t>
        </is>
      </c>
      <c r="K942" s="6" t="inlineStr">
        <is>
          <t>Onardın; yağmur bu kez salondan değil, yatak odasından girdi. Tamir değil, yönlendirme yapılmıştı.</t>
        </is>
      </c>
      <c r="L942" s="6" t="inlineStr"/>
      <c r="M942" s="5" t="inlineStr"/>
      <c r="N942" s="5" t="inlineStr"/>
      <c r="O942" s="6" t="inlineStr"/>
      <c r="P942" s="6" t="inlineStr"/>
      <c r="Q942" s="5" t="inlineStr"/>
      <c r="R942" s="5" t="inlineStr"/>
      <c r="S942" s="5" t="inlineStr"/>
      <c r="T942" s="5" t="inlineStr"/>
      <c r="U942" s="5" t="inlineStr"/>
      <c r="V942" s="5" t="inlineStr">
        <is>
          <t>yazlikci</t>
        </is>
      </c>
      <c r="W942" s="5" t="inlineStr"/>
      <c r="X942" s="5" t="inlineStr"/>
      <c r="Y942" s="5" t="n">
        <v>5</v>
      </c>
      <c r="Z942" s="6" t="inlineStr">
        <is>
          <t>Yazlığın çatısını ustaya para vermemek için kendi tamir ederken. Usta hâlâ 'Ben demiştim' diyor.</t>
        </is>
      </c>
      <c r="AA942" s="5" t="inlineStr"/>
      <c r="AB942" s="5" t="inlineStr"/>
      <c r="AC942" s="5" t="inlineStr"/>
      <c r="AD942" s="5" t="inlineStr"/>
      <c r="AE942" s="5" t="inlineStr"/>
      <c r="AF942" s="5" t="inlineStr"/>
      <c r="AG942" s="5" t="inlineStr"/>
      <c r="AH942" s="5" t="inlineStr"/>
    </row>
    <row r="943">
      <c r="A943" s="5" t="inlineStr">
        <is>
          <t>b8-yazlik</t>
        </is>
      </c>
      <c r="B943" s="5" t="n">
        <v>4</v>
      </c>
      <c r="C943" s="6" t="inlineStr">
        <is>
          <t>Şehirdeki evi kiraya ver, yazlığa taşın</t>
        </is>
      </c>
      <c r="D943" s="5" t="inlineStr">
        <is>
          <t>Kurnazlık</t>
        </is>
      </c>
      <c r="E943" s="5" t="inlineStr">
        <is>
          <t>Orta</t>
        </is>
      </c>
      <c r="F943" s="5" t="inlineStr"/>
      <c r="G943" s="6" t="inlineStr"/>
      <c r="H943" s="6" t="inlineStr">
        <is>
          <t>Kira geliri yazlığın taksidini karşılıyor. Denize kırk dakika, patrona dört saat uzaktasın.</t>
        </is>
      </c>
      <c r="I943" s="6" t="inlineStr">
        <is>
          <t>Uzaktan çalışmaya geçtin. Toplantılara deniz manzarasıyla katılıyorsun; iş arkadaşları kamerayı kapattı.</t>
        </is>
      </c>
      <c r="J943" s="6" t="inlineStr">
        <is>
          <t>Kiracı ilk ay kombiyi bozdu. Şimdi iki evin sorunu da senin.</t>
        </is>
      </c>
      <c r="K943" s="6" t="inlineStr">
        <is>
          <t>Kış geldi. Kasabada sen, iki kedi ve kapalı bir bakkal kaldınız.</t>
        </is>
      </c>
      <c r="L943" s="6" t="inlineStr"/>
      <c r="M943" s="5" t="inlineStr"/>
      <c r="N943" s="5" t="inlineStr"/>
      <c r="O943" s="6" t="inlineStr"/>
      <c r="P943" s="6" t="inlineStr"/>
      <c r="Q943" s="5" t="inlineStr"/>
      <c r="R943" s="5" t="inlineStr">
        <is>
          <t>ev-sahibi</t>
        </is>
      </c>
      <c r="S943" s="5" t="inlineStr"/>
      <c r="T943" s="5" t="inlineStr"/>
      <c r="U943" s="5" t="inlineStr"/>
      <c r="V943" s="5" t="inlineStr">
        <is>
          <t>yazlikci</t>
        </is>
      </c>
      <c r="W943" s="5" t="inlineStr"/>
      <c r="X943" s="5" t="inlineStr"/>
      <c r="Y943" s="5" t="inlineStr"/>
      <c r="Z943" s="6" t="inlineStr"/>
      <c r="AA943" s="5" t="inlineStr"/>
      <c r="AB943" s="5" t="inlineStr"/>
      <c r="AC943" s="5" t="inlineStr"/>
      <c r="AD943" s="5" t="inlineStr"/>
      <c r="AE943" s="5" t="inlineStr"/>
      <c r="AF943" s="5" t="inlineStr"/>
      <c r="AG943" s="5" t="inlineStr"/>
      <c r="AH943" s="5" t="inlineStr"/>
    </row>
    <row r="944">
      <c r="A944" s="5" t="inlineStr">
        <is>
          <t>b8-ilac-kutusu</t>
        </is>
      </c>
      <c r="B944" s="5" t="n">
        <v>1</v>
      </c>
      <c r="C944" s="6" t="inlineStr">
        <is>
          <t>Her sabah telefonla hatırlat</t>
        </is>
      </c>
      <c r="D944" s="5" t="inlineStr"/>
      <c r="E944" s="5" t="inlineStr"/>
      <c r="F944" s="5" t="inlineStr">
        <is>
          <t>İtibar +2</t>
        </is>
      </c>
      <c r="G944" s="6" t="inlineStr">
        <is>
          <t>Her sabah 08.00'de aradın. Aramadığın ilk gün onlar aradı: 'İyi misin?'</t>
        </is>
      </c>
      <c r="H944" s="6" t="inlineStr"/>
      <c r="I944" s="6" t="inlineStr"/>
      <c r="J944" s="6" t="inlineStr"/>
      <c r="K944" s="6" t="inlineStr"/>
      <c r="L944" s="6" t="inlineStr"/>
      <c r="M944" s="5" t="inlineStr"/>
      <c r="N944" s="5" t="inlineStr"/>
      <c r="O944" s="6" t="inlineStr"/>
      <c r="P944" s="6" t="inlineStr"/>
      <c r="Q944" s="5" t="inlineStr"/>
      <c r="R944" s="5" t="inlineStr"/>
      <c r="S944" s="5" t="inlineStr"/>
      <c r="T944" s="5" t="inlineStr"/>
      <c r="U944" s="5" t="inlineStr"/>
      <c r="V944" s="5" t="inlineStr"/>
      <c r="W944" s="5" t="inlineStr"/>
      <c r="X944" s="5" t="inlineStr"/>
      <c r="Y944" s="5" t="inlineStr"/>
      <c r="Z944" s="6" t="inlineStr"/>
      <c r="AA944" s="5" t="inlineStr"/>
      <c r="AB944" s="5" t="inlineStr"/>
      <c r="AC944" s="5" t="inlineStr"/>
      <c r="AD944" s="5" t="inlineStr"/>
      <c r="AE944" s="5" t="inlineStr"/>
      <c r="AF944" s="5" t="inlineStr"/>
      <c r="AG944" s="5" t="inlineStr"/>
      <c r="AH944" s="5" t="inlineStr"/>
    </row>
    <row r="945">
      <c r="A945" s="5" t="inlineStr">
        <is>
          <t>b8-ilac-kutusu</t>
        </is>
      </c>
      <c r="B945" s="5" t="n">
        <v>2</v>
      </c>
      <c r="C945" s="6" t="inlineStr">
        <is>
          <t>Renkli bir tablo hazırla</t>
        </is>
      </c>
      <c r="D945" s="5" t="inlineStr">
        <is>
          <t>Akıl</t>
        </is>
      </c>
      <c r="E945" s="5" t="inlineStr">
        <is>
          <t>Orta</t>
        </is>
      </c>
      <c r="F945" s="5" t="inlineStr"/>
      <c r="G945" s="6" t="inlineStr"/>
      <c r="H945" s="6" t="inlineStr">
        <is>
          <t>Tabloyu buzdolabına astın. Babanın yorumu: 'Devlet dairesi gibi.' Övgü olarak kabul edildi.</t>
        </is>
      </c>
      <c r="I945" s="6" t="inlineStr">
        <is>
          <t>Tablon o kadar iyi ki komşular kopya istedi. Mahallenin gayriresmî ilaç koordinatörüsün.</t>
        </is>
      </c>
      <c r="J945" s="6" t="inlineStr">
        <is>
          <t>Tabloyu hazırladın; yazı çok küçük çıktı. Kimse okuyamıyor, sen dahil.</t>
        </is>
      </c>
      <c r="K945" s="6" t="inlineStr">
        <is>
          <t>Pazartesi ile perşembe gözlerini karıştırdın. Takvim o hafta iki kez başladı; neyse ki kutular daha akıllıydı.</t>
        </is>
      </c>
      <c r="L945" s="6" t="inlineStr"/>
      <c r="M945" s="5" t="inlineStr"/>
      <c r="N945" s="5" t="inlineStr"/>
      <c r="O945" s="6" t="inlineStr"/>
      <c r="P945" s="6" t="inlineStr"/>
      <c r="Q945" s="5" t="inlineStr"/>
      <c r="R945" s="5" t="inlineStr"/>
      <c r="S945" s="5" t="inlineStr"/>
      <c r="T945" s="5" t="inlineStr"/>
      <c r="U945" s="5" t="inlineStr"/>
      <c r="V945" s="5" t="inlineStr"/>
      <c r="W945" s="5" t="inlineStr"/>
      <c r="X945" s="5" t="inlineStr"/>
      <c r="Y945" s="5" t="inlineStr"/>
      <c r="Z945" s="6" t="inlineStr"/>
      <c r="AA945" s="5" t="inlineStr"/>
      <c r="AB945" s="5" t="inlineStr"/>
      <c r="AC945" s="5" t="inlineStr"/>
      <c r="AD945" s="5" t="inlineStr"/>
      <c r="AE945" s="5" t="inlineStr"/>
      <c r="AF945" s="5" t="inlineStr"/>
      <c r="AG945" s="5" t="inlineStr"/>
      <c r="AH945" s="5" t="inlineStr"/>
    </row>
    <row r="946">
      <c r="A946" s="5" t="inlineStr">
        <is>
          <t>b8-ilac-kutusu</t>
        </is>
      </c>
      <c r="B946" s="5" t="n">
        <v>3</v>
      </c>
      <c r="C946" s="6" t="inlineStr">
        <is>
          <t>Eczacıyla dost ol</t>
        </is>
      </c>
      <c r="D946" s="5" t="inlineStr">
        <is>
          <t>Çene</t>
        </is>
      </c>
      <c r="E946" s="5" t="inlineStr">
        <is>
          <t>Kolay</t>
        </is>
      </c>
      <c r="F946" s="5" t="inlineStr"/>
      <c r="G946" s="6" t="inlineStr"/>
      <c r="H946" s="6" t="inlineStr">
        <is>
          <t>Eczacı seni adınla tanıyor. Reçete yenilemesi artık sohbet eşliğinde.</t>
        </is>
      </c>
      <c r="I946" s="6" t="inlineStr">
        <is>
          <t>Eczacı hatırlatma mesajı atmaya başladı. Anne-baban artık seni değil, onu arıyor.</t>
        </is>
      </c>
      <c r="J946" s="6" t="inlineStr">
        <is>
          <t>Eczacı değişti. Yeni eczacı seni tanımıyor; ilişki sıfırdan başladı.</t>
        </is>
      </c>
      <c r="K946" s="6" t="inlineStr">
        <is>
          <t>O kadar samimi oldunuz ki doğum gününe davet edildin. Hediyeyi unuttun.</t>
        </is>
      </c>
      <c r="L946" s="6" t="inlineStr"/>
      <c r="M946" s="5" t="inlineStr"/>
      <c r="N946" s="5" t="inlineStr"/>
      <c r="O946" s="6" t="inlineStr"/>
      <c r="P946" s="6" t="inlineStr"/>
      <c r="Q946" s="5" t="inlineStr"/>
      <c r="R946" s="5" t="inlineStr"/>
      <c r="S946" s="5" t="inlineStr"/>
      <c r="T946" s="5" t="inlineStr"/>
      <c r="U946" s="5" t="inlineStr"/>
      <c r="V946" s="5" t="inlineStr"/>
      <c r="W946" s="5" t="inlineStr"/>
      <c r="X946" s="5" t="inlineStr"/>
      <c r="Y946" s="5" t="inlineStr"/>
      <c r="Z946" s="6" t="inlineStr"/>
      <c r="AA946" s="5" t="inlineStr"/>
      <c r="AB946" s="5" t="inlineStr"/>
      <c r="AC946" s="5" t="inlineStr"/>
      <c r="AD946" s="5" t="inlineStr"/>
      <c r="AE946" s="5" t="inlineStr"/>
      <c r="AF946" s="5" t="inlineStr"/>
      <c r="AG946" s="5" t="inlineStr"/>
      <c r="AH946" s="5" t="inlineStr"/>
    </row>
    <row r="947">
      <c r="A947" s="5" t="inlineStr">
        <is>
          <t>b8-ilac-kutusu</t>
        </is>
      </c>
      <c r="B947" s="5" t="n">
        <v>4</v>
      </c>
      <c r="C947" s="6" t="inlineStr">
        <is>
          <t>Kardeşlerle nöbet çizelgesi yap</t>
        </is>
      </c>
      <c r="D947" s="5" t="inlineStr">
        <is>
          <t>Sosyal Radar</t>
        </is>
      </c>
      <c r="E947" s="5" t="inlineStr">
        <is>
          <t>Orta</t>
        </is>
      </c>
      <c r="F947" s="5" t="inlineStr"/>
      <c r="G947" s="6" t="inlineStr"/>
      <c r="H947" s="6" t="inlineStr">
        <is>
          <t>Herkes haftasını aldı. Bayram haftası hâlâ sahipsiz.</t>
        </is>
      </c>
      <c r="I947" s="6" t="inlineStr">
        <is>
          <t>Çizelge o kadar adil çıktı ki kimse itiraz etmedi. Aile tarihinde bir ilk; tutanağa geçti.</t>
        </is>
      </c>
      <c r="J947" s="6" t="inlineStr">
        <is>
          <t>Çizelge aile grubuna gönderildi. Herkes okudu, kimse cevap vermedi. Nöbet sende.</t>
        </is>
      </c>
      <c r="K947" s="6" t="inlineStr">
        <is>
          <t>Kimseye danışmadan yaptın. Aile toplantısı yapıldı; gündemin tek maddesi sendin.</t>
        </is>
      </c>
      <c r="L947" s="6" t="inlineStr"/>
      <c r="M947" s="5" t="inlineStr"/>
      <c r="N947" s="5" t="inlineStr"/>
      <c r="O947" s="6" t="inlineStr"/>
      <c r="P947" s="6" t="inlineStr"/>
      <c r="Q947" s="5" t="inlineStr">
        <is>
          <t>Organizatör</t>
        </is>
      </c>
      <c r="R947" s="5" t="inlineStr"/>
      <c r="S947" s="5" t="inlineStr"/>
      <c r="T947" s="5" t="inlineStr"/>
      <c r="U947" s="5" t="inlineStr"/>
      <c r="V947" s="5" t="inlineStr"/>
      <c r="W947" s="5" t="inlineStr"/>
      <c r="X947" s="5" t="inlineStr"/>
      <c r="Y947" s="5" t="inlineStr"/>
      <c r="Z947" s="6" t="inlineStr"/>
      <c r="AA947" s="5" t="inlineStr"/>
      <c r="AB947" s="5" t="inlineStr"/>
      <c r="AC947" s="5" t="inlineStr"/>
      <c r="AD947" s="5" t="inlineStr"/>
      <c r="AE947" s="5" t="inlineStr"/>
      <c r="AF947" s="5" t="inlineStr"/>
      <c r="AG947" s="5" t="inlineStr"/>
      <c r="AH947" s="5" t="inlineStr"/>
    </row>
    <row r="948">
      <c r="A948" s="5" t="inlineStr">
        <is>
          <t>b8-ilac-kutusu</t>
        </is>
      </c>
      <c r="B948" s="5" t="n">
        <v>5</v>
      </c>
      <c r="C948" s="6" t="inlineStr">
        <is>
          <t>Gözlüğü tak, prospektüsleri oku</t>
        </is>
      </c>
      <c r="D948" s="5" t="inlineStr"/>
      <c r="E948" s="5" t="inlineStr"/>
      <c r="F948" s="5" t="inlineStr">
        <is>
          <t>Akıl +2</t>
        </is>
      </c>
      <c r="G948" s="6" t="inlineStr">
        <is>
          <t>Bütün prospektüsleri okudun. Artık yan etkileri ezbere biliyorsun; hiçbirinde 'evlat telaşı' yazmıyor.</t>
        </is>
      </c>
      <c r="H948" s="6" t="inlineStr"/>
      <c r="I948" s="6" t="inlineStr"/>
      <c r="J948" s="6" t="inlineStr"/>
      <c r="K948" s="6" t="inlineStr"/>
      <c r="L948" s="6" t="inlineStr"/>
      <c r="M948" s="5" t="inlineStr"/>
      <c r="N948" s="5" t="inlineStr"/>
      <c r="O948" s="6" t="inlineStr"/>
      <c r="P948" s="6" t="inlineStr"/>
      <c r="Q948" s="5" t="inlineStr"/>
      <c r="R948" s="5" t="inlineStr">
        <is>
          <t>gozluklu</t>
        </is>
      </c>
      <c r="S948" s="5" t="inlineStr"/>
      <c r="T948" s="5" t="inlineStr"/>
      <c r="U948" s="5" t="inlineStr"/>
      <c r="V948" s="5" t="inlineStr"/>
      <c r="W948" s="5" t="inlineStr"/>
      <c r="X948" s="5" t="inlineStr"/>
      <c r="Y948" s="5" t="inlineStr"/>
      <c r="Z948" s="6" t="inlineStr"/>
      <c r="AA948" s="5" t="inlineStr"/>
      <c r="AB948" s="5" t="inlineStr"/>
      <c r="AC948" s="5" t="inlineStr"/>
      <c r="AD948" s="5" t="inlineStr"/>
      <c r="AE948" s="5" t="inlineStr"/>
      <c r="AF948" s="5" t="inlineStr"/>
      <c r="AG948" s="5" t="inlineStr"/>
      <c r="AH948" s="5" t="inlineStr"/>
    </row>
    <row r="949">
      <c r="A949" s="5" t="inlineStr">
        <is>
          <t>b8-site-yoneticisi</t>
        </is>
      </c>
      <c r="B949" s="5" t="n">
        <v>1</v>
      </c>
      <c r="C949" s="6" t="inlineStr">
        <is>
          <t>Aday ol</t>
        </is>
      </c>
      <c r="D949" s="5" t="inlineStr">
        <is>
          <t>Çene</t>
        </is>
      </c>
      <c r="E949" s="5" t="inlineStr">
        <is>
          <t>Zor</t>
        </is>
      </c>
      <c r="F949" s="5" t="inlineStr"/>
      <c r="G949" s="6" t="inlineStr"/>
      <c r="H949" s="6" t="inlineStr">
        <is>
          <t>Seçildin. İlk icraatın tutanak yazmak oldu. İkincisi, tutanağı kimsenin okumadığını fark etmek.</t>
        </is>
      </c>
      <c r="I949" s="6" t="inlineStr">
        <is>
          <t>Oybirliğiyle seçildin; aidat borcu olanlar bile el kaldırdı. Tahsilata onlardan başlayacaksın.</t>
        </is>
      </c>
      <c r="J949" s="6" t="inlineStr">
        <is>
          <t>Üçüncü kattaki komşu çantasından dosyasını çıkardı. Dosyalı adaylar kazanır.</t>
        </is>
      </c>
      <c r="K949" s="6" t="inlineStr">
        <is>
          <t>Seçildin. İlk hafta asansör bozuldu, ikinci hafta kombi, üçüncü hafta sen.</t>
        </is>
      </c>
      <c r="L949" s="6" t="inlineStr"/>
      <c r="M949" s="5" t="inlineStr"/>
      <c r="N949" s="5" t="inlineStr"/>
      <c r="O949" s="6" t="inlineStr"/>
      <c r="P949" s="6" t="inlineStr"/>
      <c r="Q949" s="5" t="inlineStr"/>
      <c r="R949" s="5" t="inlineStr"/>
      <c r="S949" s="5" t="inlineStr"/>
      <c r="T949" s="5" t="inlineStr">
        <is>
          <t>Aidat Tahsildarı</t>
        </is>
      </c>
      <c r="U949" s="5" t="inlineStr"/>
      <c r="V949" s="5" t="inlineStr">
        <is>
          <t>site-yoneticisi</t>
        </is>
      </c>
      <c r="W949" s="5" t="inlineStr"/>
      <c r="X949" s="5" t="inlineStr"/>
      <c r="Y949" s="5" t="inlineStr"/>
      <c r="Z949" s="6" t="inlineStr"/>
      <c r="AA949" s="5" t="inlineStr"/>
      <c r="AB949" s="5" t="inlineStr"/>
      <c r="AC949" s="5" t="inlineStr"/>
      <c r="AD949" s="5" t="inlineStr"/>
      <c r="AE949" s="5" t="inlineStr"/>
      <c r="AF949" s="5" t="inlineStr"/>
      <c r="AG949" s="5" t="inlineStr"/>
      <c r="AH949" s="5" t="inlineStr"/>
    </row>
    <row r="950">
      <c r="A950" s="5" t="inlineStr">
        <is>
          <t>b8-site-yoneticisi</t>
        </is>
      </c>
      <c r="B950" s="5" t="n">
        <v>2</v>
      </c>
      <c r="C950" s="6" t="inlineStr">
        <is>
          <t>Asansörü kendin tamir et, aidatı düşür</t>
        </is>
      </c>
      <c r="D950" s="5" t="inlineStr">
        <is>
          <t>Akıl</t>
        </is>
      </c>
      <c r="E950" s="5" t="inlineStr">
        <is>
          <t>Zor</t>
        </is>
      </c>
      <c r="F950" s="5" t="inlineStr"/>
      <c r="G950" s="6" t="inlineStr"/>
      <c r="H950" s="6" t="inlineStr">
        <is>
          <t>Asansörü tamir ettin. Aidat düştü; itibarın asansör gibi yükseldi.</t>
        </is>
      </c>
      <c r="I950" s="6" t="inlineStr">
        <is>
          <t>Tamir ettin, üstüne müzik sistemi ekledin. Site artık katlar arası konserlerle anılıyor.</t>
        </is>
      </c>
      <c r="J950" s="6" t="inlineStr">
        <is>
          <t>Tamir ettin; asansör artık yalnızca çift katlarda duruyor.</t>
        </is>
      </c>
      <c r="K950" s="6" t="inlineStr">
        <is>
          <t>Asansör seni bütün gün katlar arasında gezdirdi. Kurtarıldığında toplantı bitmiş, yönetici seçilmiştin.</t>
        </is>
      </c>
      <c r="L950" s="6" t="inlineStr"/>
      <c r="M950" s="5" t="inlineStr"/>
      <c r="N950" s="5" t="inlineStr"/>
      <c r="O950" s="6" t="inlineStr"/>
      <c r="P950" s="6" t="inlineStr"/>
      <c r="Q950" s="5" t="inlineStr"/>
      <c r="R950" s="5" t="inlineStr"/>
      <c r="S950" s="5" t="inlineStr"/>
      <c r="T950" s="5" t="inlineStr"/>
      <c r="U950" s="5" t="inlineStr"/>
      <c r="V950" s="5" t="inlineStr"/>
      <c r="W950" s="5" t="inlineStr">
        <is>
          <t>site-yoneticisi</t>
        </is>
      </c>
      <c r="X950" s="5" t="inlineStr"/>
      <c r="Y950" s="5" t="n">
        <v>3</v>
      </c>
      <c r="Z950" s="6" t="inlineStr">
        <is>
          <t>Aidatları düşürmek için asansör bakımını bizzat yaparken. Aidatlar düştü.</t>
        </is>
      </c>
      <c r="AA950" s="5" t="inlineStr"/>
      <c r="AB950" s="5" t="inlineStr"/>
      <c r="AC950" s="5" t="inlineStr"/>
      <c r="AD950" s="5" t="inlineStr"/>
      <c r="AE950" s="5" t="inlineStr"/>
      <c r="AF950" s="5" t="inlineStr"/>
      <c r="AG950" s="5" t="inlineStr"/>
      <c r="AH950" s="5" t="inlineStr"/>
    </row>
    <row r="951">
      <c r="A951" s="5" t="inlineStr">
        <is>
          <t>b8-site-yoneticisi</t>
        </is>
      </c>
      <c r="B951" s="5" t="n">
        <v>3</v>
      </c>
      <c r="C951" s="6" t="inlineStr">
        <is>
          <t>Kedi mama kabını savun</t>
        </is>
      </c>
      <c r="D951" s="5" t="inlineStr"/>
      <c r="E951" s="5" t="inlineStr"/>
      <c r="F951" s="5" t="inlineStr">
        <is>
          <t>İtibar +2</t>
        </is>
      </c>
      <c r="G951" s="6" t="inlineStr">
        <is>
          <t>Mama kabı oybirliğiyle kaldı. Tutanağa bir satır eklendi: 'Kediler yönetimin güvencesindedir.'</t>
        </is>
      </c>
      <c r="H951" s="6" t="inlineStr"/>
      <c r="I951" s="6" t="inlineStr"/>
      <c r="J951" s="6" t="inlineStr"/>
      <c r="K951" s="6" t="inlineStr"/>
      <c r="L951" s="6" t="inlineStr"/>
      <c r="M951" s="5" t="inlineStr"/>
      <c r="N951" s="5" t="inlineStr"/>
      <c r="O951" s="6" t="inlineStr"/>
      <c r="P951" s="6" t="inlineStr"/>
      <c r="Q951" s="5" t="inlineStr"/>
      <c r="R951" s="5" t="inlineStr"/>
      <c r="S951" s="5" t="inlineStr"/>
      <c r="T951" s="5" t="inlineStr"/>
      <c r="U951" s="5" t="inlineStr"/>
      <c r="V951" s="5" t="inlineStr"/>
      <c r="W951" s="5" t="inlineStr"/>
      <c r="X951" s="5" t="inlineStr"/>
      <c r="Y951" s="5" t="inlineStr"/>
      <c r="Z951" s="6" t="inlineStr"/>
      <c r="AA951" s="5" t="inlineStr"/>
      <c r="AB951" s="5" t="inlineStr"/>
      <c r="AC951" s="5" t="inlineStr"/>
      <c r="AD951" s="5" t="inlineStr"/>
      <c r="AE951" s="5" t="inlineStr"/>
      <c r="AF951" s="5" t="inlineStr"/>
      <c r="AG951" s="5" t="inlineStr"/>
      <c r="AH951" s="5" t="inlineStr"/>
    </row>
    <row r="952">
      <c r="A952" s="5" t="inlineStr">
        <is>
          <t>b8-site-yoneticisi</t>
        </is>
      </c>
      <c r="B952" s="5" t="n">
        <v>4</v>
      </c>
      <c r="C952" s="6" t="inlineStr">
        <is>
          <t>Toplantıyı yirmi dakikada bitir</t>
        </is>
      </c>
      <c r="D952" s="5" t="inlineStr">
        <is>
          <t>Kurnazlık</t>
        </is>
      </c>
      <c r="E952" s="5" t="inlineStr">
        <is>
          <t>Orta</t>
        </is>
      </c>
      <c r="F952" s="5" t="inlineStr"/>
      <c r="G952" s="6" t="inlineStr"/>
      <c r="H952" s="6" t="inlineStr">
        <is>
          <t>Gündem yirmi dakikada bitti. Sitede adın 'Verimli' diye geçiyor; aday gösterildin, reddedemedin.</t>
        </is>
      </c>
      <c r="I952" s="6" t="inlineStr">
        <is>
          <t>On sekiz dakika. Rekor. Kimse ne karar alındığını hatırlamıyor ama herkes memnun.</t>
        </is>
      </c>
      <c r="J952" s="6" t="inlineStr">
        <is>
          <t>Yirmi dakikada bitirdin; kimse kalkmadı. Serbest kürsüde iki saat otopark konuşuldu.</t>
        </is>
      </c>
      <c r="K952" s="6" t="inlineStr">
        <is>
          <t>Hızlı oylama sırasında aidatı yanlışlıkla ikiye katladın. Karar oybirliğiyle alındı.</t>
        </is>
      </c>
      <c r="L952" s="6" t="inlineStr"/>
      <c r="M952" s="5" t="inlineStr"/>
      <c r="N952" s="5" t="inlineStr"/>
      <c r="O952" s="6" t="inlineStr"/>
      <c r="P952" s="6" t="inlineStr"/>
      <c r="Q952" s="5" t="inlineStr">
        <is>
          <t>Organizatör</t>
        </is>
      </c>
      <c r="R952" s="5" t="inlineStr"/>
      <c r="S952" s="5" t="inlineStr"/>
      <c r="T952" s="5" t="inlineStr"/>
      <c r="U952" s="5" t="inlineStr"/>
      <c r="V952" s="5" t="inlineStr">
        <is>
          <t>site-yoneticisi</t>
        </is>
      </c>
      <c r="W952" s="5" t="inlineStr"/>
      <c r="X952" s="5" t="inlineStr"/>
      <c r="Y952" s="5" t="inlineStr"/>
      <c r="Z952" s="6" t="inlineStr"/>
      <c r="AA952" s="5" t="inlineStr"/>
      <c r="AB952" s="5" t="inlineStr"/>
      <c r="AC952" s="5" t="inlineStr"/>
      <c r="AD952" s="5" t="inlineStr"/>
      <c r="AE952" s="5" t="inlineStr"/>
      <c r="AF952" s="5" t="inlineStr"/>
      <c r="AG952" s="5" t="inlineStr"/>
      <c r="AH952" s="5" t="inlineStr"/>
    </row>
    <row r="953">
      <c r="A953" s="5" t="inlineStr">
        <is>
          <t>mb-genc-yonetici</t>
        </is>
      </c>
      <c r="B953" s="5" t="n">
        <v>1</v>
      </c>
      <c r="C953" s="6" t="inlineStr">
        <is>
          <t>Mentorluk teklif et</t>
        </is>
      </c>
      <c r="D953" s="5" t="inlineStr"/>
      <c r="E953" s="5" t="inlineStr"/>
      <c r="F953" s="5" t="inlineStr">
        <is>
          <t>İtibar +1</t>
        </is>
      </c>
      <c r="G953" s="6" t="inlineStr">
        <is>
          <t>Ona her şeyi öğrettin. Bir yıl sonra yöneticisinin de yöneticisi oldu. Hâlâ sana danışıyor. Gizlice.</t>
        </is>
      </c>
      <c r="H953" s="6" t="inlineStr"/>
      <c r="I953" s="6" t="inlineStr"/>
      <c r="J953" s="6" t="inlineStr"/>
      <c r="K953" s="6" t="inlineStr"/>
      <c r="L953" s="6" t="inlineStr"/>
      <c r="M953" s="5" t="inlineStr"/>
      <c r="N953" s="5" t="inlineStr"/>
      <c r="O953" s="6" t="inlineStr"/>
      <c r="P953" s="6" t="inlineStr"/>
      <c r="Q953" s="5" t="inlineStr"/>
      <c r="R953" s="5" t="inlineStr"/>
      <c r="S953" s="5" t="inlineStr"/>
      <c r="T953" s="5" t="inlineStr"/>
      <c r="U953" s="5" t="inlineStr"/>
      <c r="V953" s="5" t="inlineStr"/>
      <c r="W953" s="5" t="inlineStr"/>
      <c r="X953" s="5" t="inlineStr"/>
      <c r="Y953" s="5" t="inlineStr"/>
      <c r="Z953" s="6" t="inlineStr"/>
      <c r="AA953" s="5" t="inlineStr"/>
      <c r="AB953" s="5" t="inlineStr"/>
      <c r="AC953" s="5" t="inlineStr"/>
      <c r="AD953" s="5" t="inlineStr"/>
      <c r="AE953" s="5" t="inlineStr"/>
      <c r="AF953" s="5" t="inlineStr"/>
      <c r="AG953" s="5" t="inlineStr"/>
      <c r="AH953" s="5" t="inlineStr"/>
    </row>
    <row r="954">
      <c r="A954" s="5" t="inlineStr">
        <is>
          <t>mb-genc-yonetici</t>
        </is>
      </c>
      <c r="B954" s="5" t="n">
        <v>2</v>
      </c>
      <c r="C954" s="6" t="inlineStr">
        <is>
          <t>Onun dilini öğren</t>
        </is>
      </c>
      <c r="D954" s="5" t="inlineStr">
        <is>
          <t>Kurnazlık</t>
        </is>
      </c>
      <c r="E954" s="5" t="inlineStr">
        <is>
          <t>Kolay</t>
        </is>
      </c>
      <c r="F954" s="5" t="inlineStr"/>
      <c r="G954" s="6" t="inlineStr"/>
      <c r="H954" s="6" t="inlineStr">
        <is>
          <t>Her cümlene 'aksiyon' ve 'hızlıca' ekledin. Uyum raporun kusursuz.</t>
        </is>
      </c>
      <c r="I954" s="6" t="inlineStr">
        <is>
          <t>Onun jargonunu ondan iyi konuştun. Toplantılarda artık sana tercümanlık yapıyor.</t>
        </is>
      </c>
      <c r="J954" s="6" t="inlineStr">
        <is>
          <t>'Hızlıca bir aksiyon alalım' dedin; bu ifade geçen çeyrekte kullanımdan kalkmış.</t>
        </is>
      </c>
      <c r="K954" s="6" t="inlineStr">
        <is>
          <t>Yeni jargonla bir e-posta yazdın. Kimse anlamadı. Sen de.</t>
        </is>
      </c>
      <c r="L954" s="6" t="inlineStr"/>
      <c r="M954" s="5" t="inlineStr"/>
      <c r="N954" s="5" t="inlineStr"/>
      <c r="O954" s="6" t="inlineStr"/>
      <c r="P954" s="6" t="inlineStr"/>
      <c r="Q954" s="5" t="inlineStr"/>
      <c r="R954" s="5" t="inlineStr"/>
      <c r="S954" s="5" t="inlineStr"/>
      <c r="T954" s="5" t="inlineStr"/>
      <c r="U954" s="5" t="inlineStr"/>
      <c r="V954" s="5" t="inlineStr"/>
      <c r="W954" s="5" t="inlineStr"/>
      <c r="X954" s="5" t="inlineStr"/>
      <c r="Y954" s="5" t="inlineStr"/>
      <c r="Z954" s="6" t="inlineStr"/>
      <c r="AA954" s="5" t="inlineStr"/>
      <c r="AB954" s="5" t="inlineStr"/>
      <c r="AC954" s="5" t="inlineStr"/>
      <c r="AD954" s="5" t="inlineStr"/>
      <c r="AE954" s="5" t="inlineStr"/>
      <c r="AF954" s="5" t="inlineStr"/>
      <c r="AG954" s="5" t="inlineStr"/>
      <c r="AH954" s="5" t="inlineStr"/>
    </row>
    <row r="955">
      <c r="A955" s="5" t="inlineStr">
        <is>
          <t>mb-genc-yonetici</t>
        </is>
      </c>
      <c r="B955" s="5" t="n">
        <v>3</v>
      </c>
      <c r="C955" s="6" t="inlineStr">
        <is>
          <t>Deneyimini masaya koy</t>
        </is>
      </c>
      <c r="D955" s="5" t="inlineStr">
        <is>
          <t>Akıl</t>
        </is>
      </c>
      <c r="E955" s="5" t="inlineStr">
        <is>
          <t>Orta</t>
        </is>
      </c>
      <c r="F955" s="5" t="inlineStr"/>
      <c r="G955" s="6" t="inlineStr"/>
      <c r="H955" s="6" t="inlineStr">
        <is>
          <t>'Bunu 2 kez denedik, 2'sinde de batırdık' dedin. Proje yeniden planlandı.</t>
        </is>
      </c>
      <c r="I955" s="6" t="inlineStr">
        <is>
          <t>Eski bir raporu açtın; yeni fikir yirmi yıl önce denenmiş, belgesiyle. Toplantı saygıyla sustu.</t>
        </is>
      </c>
      <c r="J955" s="6" t="inlineStr">
        <is>
          <t>Deneyimini anlattın; yöneticin 'Çok değerli' deyip tam tersini yaptı.</t>
        </is>
      </c>
      <c r="K955" s="6" t="inlineStr">
        <is>
          <t>Deneyimini anlatırken üç kez 'Bizim zamanımızda' dedin. Toplantı notuna geçti.</t>
        </is>
      </c>
      <c r="L955" s="6" t="inlineStr"/>
      <c r="M955" s="5" t="inlineStr"/>
      <c r="N955" s="5" t="inlineStr"/>
      <c r="O955" s="6" t="inlineStr"/>
      <c r="P955" s="6" t="inlineStr"/>
      <c r="Q955" s="5" t="inlineStr"/>
      <c r="R955" s="5" t="inlineStr"/>
      <c r="S955" s="5" t="inlineStr"/>
      <c r="T955" s="5" t="inlineStr"/>
      <c r="U955" s="5" t="inlineStr"/>
      <c r="V955" s="5" t="inlineStr"/>
      <c r="W955" s="5" t="inlineStr"/>
      <c r="X955" s="5" t="inlineStr"/>
      <c r="Y955" s="5" t="inlineStr"/>
      <c r="Z955" s="6" t="inlineStr"/>
      <c r="AA955" s="5" t="inlineStr"/>
      <c r="AB955" s="5" t="inlineStr"/>
      <c r="AC955" s="5" t="inlineStr"/>
      <c r="AD955" s="5" t="inlineStr"/>
      <c r="AE955" s="5" t="inlineStr"/>
      <c r="AF955" s="5" t="inlineStr"/>
      <c r="AG955" s="5" t="inlineStr"/>
      <c r="AH955" s="5" t="inlineStr"/>
    </row>
    <row r="956">
      <c r="A956" s="5" t="inlineStr">
        <is>
          <t>mb-genc-yonetici</t>
        </is>
      </c>
      <c r="B956" s="5" t="n">
        <v>4</v>
      </c>
      <c r="C956" s="6" t="inlineStr">
        <is>
          <t>Genel müdürü göle çağır, yöneticiyi de</t>
        </is>
      </c>
      <c r="D956" s="5" t="inlineStr">
        <is>
          <t>Sosyal Radar</t>
        </is>
      </c>
      <c r="E956" s="5" t="inlineStr">
        <is>
          <t>Orta</t>
        </is>
      </c>
      <c r="F956" s="5" t="inlineStr"/>
      <c r="G956" s="6" t="inlineStr"/>
      <c r="H956" s="6" t="inlineStr">
        <is>
          <t>Üçünüz gölde balık tuttunuz. Yöneticin pazartesi sana 'abi/abla' diye hitap etmeye başladı.</t>
        </is>
      </c>
      <c r="I956" s="6" t="inlineStr">
        <is>
          <t>Genel müdür yeni yöneticine 'Bu işi ondan öğren' dedi. Tüm gölün önünde.</t>
        </is>
      </c>
      <c r="J956" s="6" t="inlineStr">
        <is>
          <t>Göle gittiniz; en büyük balığı yöneticin tuttu. Sen fotoğrafı çektin.</t>
        </is>
      </c>
      <c r="K956" s="6" t="inlineStr">
        <is>
          <t>Gölde yöneticin genel müdürle o kadar iyi anlaştı ki bir sonraki göl davetine sen çağrılmadın.</t>
        </is>
      </c>
      <c r="L956" s="6" t="inlineStr"/>
      <c r="M956" s="5" t="inlineStr"/>
      <c r="N956" s="5" t="inlineStr"/>
      <c r="O956" s="6" t="inlineStr"/>
      <c r="P956" s="6" t="inlineStr"/>
      <c r="Q956" s="5" t="inlineStr"/>
      <c r="R956" s="5" t="inlineStr">
        <is>
          <t>beyazyaka-gm-tanidik</t>
        </is>
      </c>
      <c r="S956" s="5" t="inlineStr"/>
      <c r="T956" s="5" t="inlineStr"/>
      <c r="U956" s="5" t="inlineStr"/>
      <c r="V956" s="5" t="inlineStr"/>
      <c r="W956" s="5" t="inlineStr"/>
      <c r="X956" s="5" t="inlineStr"/>
      <c r="Y956" s="5" t="inlineStr"/>
      <c r="Z956" s="6" t="inlineStr"/>
      <c r="AA956" s="5" t="inlineStr"/>
      <c r="AB956" s="5" t="inlineStr"/>
      <c r="AC956" s="5" t="inlineStr"/>
      <c r="AD956" s="5" t="inlineStr"/>
      <c r="AE956" s="5" t="inlineStr"/>
      <c r="AF956" s="5" t="inlineStr"/>
      <c r="AG956" s="5" t="inlineStr"/>
      <c r="AH956" s="5" t="inlineStr"/>
    </row>
    <row r="957">
      <c r="A957" s="5" t="inlineStr">
        <is>
          <t>ms-atolye-kirasi</t>
        </is>
      </c>
      <c r="B957" s="5" t="n">
        <v>1</v>
      </c>
      <c r="C957" s="6" t="inlineStr">
        <is>
          <t>Atölyeyi eve taşı</t>
        </is>
      </c>
      <c r="D957" s="5" t="inlineStr"/>
      <c r="E957" s="5" t="inlineStr"/>
      <c r="F957" s="5" t="inlineStr">
        <is>
          <t>Dayanıklılık +1</t>
        </is>
      </c>
      <c r="G957" s="6" t="inlineStr">
        <is>
          <t>Atölyeyi salona taşıdın. Misafirler artık bir koltuğa değil, bir enstalasyona oturuyor.</t>
        </is>
      </c>
      <c r="H957" s="6" t="inlineStr"/>
      <c r="I957" s="6" t="inlineStr"/>
      <c r="J957" s="6" t="inlineStr"/>
      <c r="K957" s="6" t="inlineStr"/>
      <c r="L957" s="6" t="inlineStr"/>
      <c r="M957" s="5" t="inlineStr"/>
      <c r="N957" s="5" t="inlineStr"/>
      <c r="O957" s="6" t="inlineStr"/>
      <c r="P957" s="6" t="inlineStr"/>
      <c r="Q957" s="5" t="inlineStr"/>
      <c r="R957" s="5" t="inlineStr"/>
      <c r="S957" s="5" t="inlineStr"/>
      <c r="T957" s="5" t="inlineStr"/>
      <c r="U957" s="5" t="inlineStr"/>
      <c r="V957" s="5" t="inlineStr"/>
      <c r="W957" s="5" t="inlineStr"/>
      <c r="X957" s="5" t="inlineStr"/>
      <c r="Y957" s="5" t="inlineStr"/>
      <c r="Z957" s="6" t="inlineStr"/>
      <c r="AA957" s="5" t="inlineStr"/>
      <c r="AB957" s="5" t="inlineStr"/>
      <c r="AC957" s="5" t="inlineStr"/>
      <c r="AD957" s="5" t="inlineStr"/>
      <c r="AE957" s="5" t="inlineStr"/>
      <c r="AF957" s="5" t="inlineStr"/>
      <c r="AG957" s="5" t="inlineStr"/>
      <c r="AH957" s="5" t="inlineStr"/>
    </row>
    <row r="958">
      <c r="A958" s="5" t="inlineStr">
        <is>
          <t>ms-atolye-kirasi</t>
        </is>
      </c>
      <c r="B958" s="5" t="n">
        <v>2</v>
      </c>
      <c r="C958" s="6" t="inlineStr">
        <is>
          <t>Ev sahibinin portresini yap, pazarlığa otur</t>
        </is>
      </c>
      <c r="D958" s="5" t="inlineStr">
        <is>
          <t>Çene</t>
        </is>
      </c>
      <c r="E958" s="5" t="inlineStr">
        <is>
          <t>Orta</t>
        </is>
      </c>
      <c r="F958" s="5" t="inlineStr"/>
      <c r="G958" s="6" t="inlineStr"/>
      <c r="H958" s="6" t="inlineStr">
        <is>
          <t>Portreyi çok beğendi. Kira yalnızca iki katına çıktı.</t>
        </is>
      </c>
      <c r="I958" s="6" t="inlineStr">
        <is>
          <t>Portreyi apartman girişine astı. Kiran sabitlendi, üstüne yöneticilik teklifi geldi.</t>
        </is>
      </c>
      <c r="J958" s="6" t="inlineStr">
        <is>
          <t>Portreyi beğendi. Kiradan düşmedi ama çerçeve parası istemedi.</t>
        </is>
      </c>
      <c r="K958" s="6" t="inlineStr">
        <is>
          <t>Portrede burnunu biraz büyük yaptın. Kira dört katına çıktı.</t>
        </is>
      </c>
      <c r="L958" s="6" t="inlineStr"/>
      <c r="M958" s="5" t="inlineStr"/>
      <c r="N958" s="5" t="inlineStr"/>
      <c r="O958" s="6" t="inlineStr"/>
      <c r="P958" s="6" t="inlineStr"/>
      <c r="Q958" s="5" t="inlineStr"/>
      <c r="R958" s="5" t="inlineStr"/>
      <c r="S958" s="5" t="inlineStr"/>
      <c r="T958" s="5" t="inlineStr"/>
      <c r="U958" s="5" t="inlineStr"/>
      <c r="V958" s="5" t="inlineStr"/>
      <c r="W958" s="5" t="inlineStr"/>
      <c r="X958" s="5" t="inlineStr"/>
      <c r="Y958" s="5" t="inlineStr"/>
      <c r="Z958" s="6" t="inlineStr"/>
      <c r="AA958" s="5" t="inlineStr"/>
      <c r="AB958" s="5" t="inlineStr"/>
      <c r="AC958" s="5" t="inlineStr"/>
      <c r="AD958" s="5" t="inlineStr"/>
      <c r="AE958" s="5" t="inlineStr"/>
      <c r="AF958" s="5" t="inlineStr"/>
      <c r="AG958" s="5" t="inlineStr"/>
      <c r="AH958" s="5" t="inlineStr"/>
    </row>
    <row r="959">
      <c r="A959" s="5" t="inlineStr">
        <is>
          <t>ms-atolye-kirasi</t>
        </is>
      </c>
      <c r="B959" s="5" t="n">
        <v>3</v>
      </c>
      <c r="C959" s="6" t="inlineStr">
        <is>
          <t>Fonun mekân kalemini kullan</t>
        </is>
      </c>
      <c r="D959" s="5" t="inlineStr">
        <is>
          <t>Kurnazlık</t>
        </is>
      </c>
      <c r="E959" s="5" t="inlineStr">
        <is>
          <t>Kolay</t>
        </is>
      </c>
      <c r="F959" s="5" t="inlineStr"/>
      <c r="G959" s="6" t="inlineStr"/>
      <c r="H959" s="6" t="inlineStr">
        <is>
          <t>Fon raporuna 'sanatın mekânla ilişkisi' yazdın. Kira bir yıl çözüldü.</t>
        </is>
      </c>
      <c r="I959" s="6" t="inlineStr">
        <is>
          <t>Mekân giderini öyle anlattın ki fon bir sonraki yıl bütçeyi atölyene ayırdı.</t>
        </is>
      </c>
      <c r="J959" s="6" t="inlineStr">
        <is>
          <t>Fonun mekân kalemi yalnızca 'etkinlik salonu' için geçerliymiş. Atölye etkinlik sayılmıyor.</t>
        </is>
      </c>
      <c r="K959" s="6" t="inlineStr">
        <is>
          <t>Raporu gönderdin; denetçi atölyeyi ziyarete geldi ve tavandan su damladı. Üstüne.</t>
        </is>
      </c>
      <c r="L959" s="6" t="inlineStr"/>
      <c r="M959" s="5" t="inlineStr"/>
      <c r="N959" s="5" t="inlineStr"/>
      <c r="O959" s="6" t="inlineStr"/>
      <c r="P959" s="6" t="inlineStr"/>
      <c r="Q959" s="5" t="inlineStr"/>
      <c r="R959" s="5" t="inlineStr">
        <is>
          <t>serbest-fon-aldi</t>
        </is>
      </c>
      <c r="S959" s="5" t="inlineStr"/>
      <c r="T959" s="5" t="inlineStr"/>
      <c r="U959" s="5" t="inlineStr"/>
      <c r="V959" s="5" t="inlineStr"/>
      <c r="W959" s="5" t="inlineStr"/>
      <c r="X959" s="5" t="inlineStr"/>
      <c r="Y959" s="5" t="inlineStr"/>
      <c r="Z959" s="6" t="inlineStr"/>
      <c r="AA959" s="5" t="inlineStr"/>
      <c r="AB959" s="5" t="inlineStr"/>
      <c r="AC959" s="5" t="inlineStr"/>
      <c r="AD959" s="5" t="inlineStr"/>
      <c r="AE959" s="5" t="inlineStr"/>
      <c r="AF959" s="5" t="inlineStr"/>
      <c r="AG959" s="5" t="inlineStr"/>
      <c r="AH959" s="5" t="inlineStr"/>
    </row>
    <row r="960">
      <c r="A960" s="5" t="inlineStr">
        <is>
          <t>ms-atolye-kirasi</t>
        </is>
      </c>
      <c r="B960" s="5" t="n">
        <v>4</v>
      </c>
      <c r="C960" s="6" t="inlineStr">
        <is>
          <t>Mahalledeki sanatçılarla ortak atölye kur</t>
        </is>
      </c>
      <c r="D960" s="5" t="inlineStr">
        <is>
          <t>Sosyal Radar</t>
        </is>
      </c>
      <c r="E960" s="5" t="inlineStr">
        <is>
          <t>Orta</t>
        </is>
      </c>
      <c r="F960" s="5" t="inlineStr"/>
      <c r="G960" s="6" t="inlineStr"/>
      <c r="H960" s="6" t="inlineStr">
        <is>
          <t>Beş kişi bir depoyu paylaştınız. Kira beşte bir, dedikodu beş kat.</t>
        </is>
      </c>
      <c r="I960" s="6" t="inlineStr">
        <is>
          <t>Ortak atölye bir kültür merkezine dönüştü. Belediye önünden tur otobüsü geçiriyor.</t>
        </is>
      </c>
      <c r="J960" s="6" t="inlineStr">
        <is>
          <t>Ortak atölye kuruldu; ilk ay ortak buzdolabı yüzünden dağıldı.</t>
        </is>
      </c>
      <c r="K960" s="6" t="inlineStr">
        <is>
          <t>Ortak atölyeyi kurdunuz; mahalle daha da 'sanat mahallesi' oldu. Depo kirası da üçe katlandı.</t>
        </is>
      </c>
      <c r="L960" s="6" t="inlineStr"/>
      <c r="M960" s="5" t="inlineStr"/>
      <c r="N960" s="5" t="inlineStr"/>
      <c r="O960" s="6" t="inlineStr"/>
      <c r="P960" s="6" t="inlineStr"/>
      <c r="Q960" s="5" t="inlineStr"/>
      <c r="R960" s="5" t="inlineStr"/>
      <c r="S960" s="5" t="inlineStr"/>
      <c r="T960" s="5" t="inlineStr"/>
      <c r="U960" s="5" t="inlineStr"/>
      <c r="V960" s="5" t="inlineStr"/>
      <c r="W960" s="5" t="inlineStr"/>
      <c r="X960" s="5" t="inlineStr"/>
      <c r="Y960" s="5" t="inlineStr"/>
      <c r="Z960" s="6" t="inlineStr"/>
      <c r="AA960" s="5" t="inlineStr"/>
      <c r="AB960" s="5" t="inlineStr"/>
      <c r="AC960" s="5" t="inlineStr"/>
      <c r="AD960" s="5" t="inlineStr"/>
      <c r="AE960" s="5" t="inlineStr"/>
      <c r="AF960" s="5" t="inlineStr"/>
      <c r="AG960" s="5" t="inlineStr"/>
      <c r="AH960" s="5" t="inlineStr"/>
    </row>
    <row r="961">
      <c r="A961" s="5" t="inlineStr">
        <is>
          <t>b8-bakim-evraki</t>
        </is>
      </c>
      <c r="B961" s="5" t="n">
        <v>1</v>
      </c>
      <c r="C961" s="6" t="inlineStr">
        <is>
          <t>Sıranı bekle</t>
        </is>
      </c>
      <c r="D961" s="5" t="inlineStr"/>
      <c r="E961" s="5" t="inlineStr"/>
      <c r="F961" s="5" t="inlineStr">
        <is>
          <t>Dayanıklılık +2</t>
        </is>
      </c>
      <c r="G961" s="6" t="inlineStr">
        <is>
          <t>Dört saat bekledin. Sıra geldiğinde memur 'Bir fotokopi eksik' dedi. Yarın görüşmek üzere.</t>
        </is>
      </c>
      <c r="H961" s="6" t="inlineStr"/>
      <c r="I961" s="6" t="inlineStr"/>
      <c r="J961" s="6" t="inlineStr"/>
      <c r="K961" s="6" t="inlineStr"/>
      <c r="L961" s="6" t="inlineStr"/>
      <c r="M961" s="5" t="inlineStr"/>
      <c r="N961" s="5" t="inlineStr"/>
      <c r="O961" s="6" t="inlineStr"/>
      <c r="P961" s="6" t="inlineStr"/>
      <c r="Q961" s="5" t="inlineStr"/>
      <c r="R961" s="5" t="inlineStr"/>
      <c r="S961" s="5" t="inlineStr"/>
      <c r="T961" s="5" t="inlineStr"/>
      <c r="U961" s="5" t="inlineStr"/>
      <c r="V961" s="5" t="inlineStr"/>
      <c r="W961" s="5" t="inlineStr"/>
      <c r="X961" s="5" t="inlineStr"/>
      <c r="Y961" s="5" t="inlineStr"/>
      <c r="Z961" s="6" t="inlineStr"/>
      <c r="AA961" s="5" t="inlineStr"/>
      <c r="AB961" s="5" t="inlineStr"/>
      <c r="AC961" s="5" t="inlineStr"/>
      <c r="AD961" s="5" t="inlineStr"/>
      <c r="AE961" s="5" t="inlineStr"/>
      <c r="AF961" s="5" t="inlineStr"/>
      <c r="AG961" s="5" t="inlineStr"/>
      <c r="AH961" s="5" t="inlineStr"/>
    </row>
    <row r="962">
      <c r="A962" s="5" t="inlineStr">
        <is>
          <t>b8-bakim-evraki</t>
        </is>
      </c>
      <c r="B962" s="5" t="n">
        <v>2</v>
      </c>
      <c r="C962" s="6" t="inlineStr">
        <is>
          <t>Evrak listesini baştan kontrol et</t>
        </is>
      </c>
      <c r="D962" s="5" t="inlineStr">
        <is>
          <t>Akıl</t>
        </is>
      </c>
      <c r="E962" s="5" t="inlineStr">
        <is>
          <t>Orta</t>
        </is>
      </c>
      <c r="F962" s="5" t="inlineStr"/>
      <c r="G962" s="6" t="inlineStr"/>
      <c r="H962" s="6" t="inlineStr">
        <is>
          <t>Eksik fotokopiyi sıra gelmeden fark ettin. Koridordaki makineden çektin. Dosya bir seferde kabul edildi; nadir görülen bir olay.</t>
        </is>
      </c>
      <c r="I962" s="6" t="inlineStr">
        <is>
          <t>Listeyi öyle düzenledin ki arkandaki üç kişi de sana danıştı. Koridorda gayriresmî bir danışma masası kuruldu.</t>
        </is>
      </c>
      <c r="J962" s="6" t="inlineStr">
        <is>
          <t>Listeyi kontrol ettin; liste güncellenmiş. Senin elindeki geçen yılınki.</t>
        </is>
      </c>
      <c r="K962" s="6" t="inlineStr">
        <is>
          <t>Kontrol ederken bir belgeyi yere düşürdün. Belge başka bir vatandaşın dosyasına girdi. İki dosya birleşti.</t>
        </is>
      </c>
      <c r="L962" s="6" t="inlineStr"/>
      <c r="M962" s="5" t="inlineStr"/>
      <c r="N962" s="5" t="inlineStr"/>
      <c r="O962" s="6" t="inlineStr"/>
      <c r="P962" s="6" t="inlineStr"/>
      <c r="Q962" s="5" t="inlineStr"/>
      <c r="R962" s="5" t="inlineStr"/>
      <c r="S962" s="5" t="inlineStr"/>
      <c r="T962" s="5" t="inlineStr"/>
      <c r="U962" s="5" t="inlineStr"/>
      <c r="V962" s="5" t="inlineStr"/>
      <c r="W962" s="5" t="inlineStr"/>
      <c r="X962" s="5" t="inlineStr"/>
      <c r="Y962" s="5" t="inlineStr"/>
      <c r="Z962" s="6" t="inlineStr"/>
      <c r="AA962" s="5" t="inlineStr"/>
      <c r="AB962" s="5" t="inlineStr"/>
      <c r="AC962" s="5" t="inlineStr"/>
      <c r="AD962" s="5" t="inlineStr"/>
      <c r="AE962" s="5" t="inlineStr"/>
      <c r="AF962" s="5" t="inlineStr"/>
      <c r="AG962" s="5" t="inlineStr"/>
      <c r="AH962" s="5" t="inlineStr"/>
    </row>
    <row r="963">
      <c r="A963" s="5" t="inlineStr">
        <is>
          <t>b8-bakim-evraki</t>
        </is>
      </c>
      <c r="B963" s="5" t="n">
        <v>3</v>
      </c>
      <c r="C963" s="6" t="inlineStr">
        <is>
          <t>Doğrudan yedi numaraya git</t>
        </is>
      </c>
      <c r="D963" s="5" t="inlineStr">
        <is>
          <t>Kurnazlık</t>
        </is>
      </c>
      <c r="E963" s="5" t="inlineStr">
        <is>
          <t>Kolay</t>
        </is>
      </c>
      <c r="F963" s="5" t="inlineStr"/>
      <c r="G963" s="6" t="inlineStr"/>
      <c r="H963" s="6" t="inlineStr">
        <is>
          <t>Yedi numara seni hemen aldı. İşlem on dakika. Koridordakiler seni kıskançlıkla izledi.</t>
        </is>
      </c>
      <c r="I963" s="6" t="inlineStr">
        <is>
          <t>Yedi numaradaki memur çayını da ikram etti. Dosyan tamam, bir de dost edindin.</t>
        </is>
      </c>
      <c r="J963" s="6" t="inlineStr">
        <is>
          <t>Yedi numara 'Önce üçe uğrayın' dedi. Üç, seni yeniden yediye gönderdi.</t>
        </is>
      </c>
      <c r="K963" s="6" t="inlineStr">
        <is>
          <t>Yedi numaraya gittin; öğle arası başladı. Sıra numaran geçersiz sayıldı.</t>
        </is>
      </c>
      <c r="L963" s="6" t="inlineStr"/>
      <c r="M963" s="5" t="inlineStr"/>
      <c r="N963" s="5" t="inlineStr"/>
      <c r="O963" s="6" t="inlineStr"/>
      <c r="P963" s="6" t="inlineStr"/>
      <c r="Q963" s="5" t="inlineStr"/>
      <c r="R963" s="5" t="inlineStr"/>
      <c r="S963" s="5" t="inlineStr">
        <is>
          <t>Kurnazlık</t>
        </is>
      </c>
      <c r="T963" s="5" t="inlineStr"/>
      <c r="U963" s="5" t="inlineStr"/>
      <c r="V963" s="5" t="inlineStr"/>
      <c r="W963" s="5" t="inlineStr"/>
      <c r="X963" s="5" t="inlineStr"/>
      <c r="Y963" s="5" t="inlineStr"/>
      <c r="Z963" s="6" t="inlineStr"/>
      <c r="AA963" s="5" t="inlineStr"/>
      <c r="AB963" s="5" t="inlineStr"/>
      <c r="AC963" s="5" t="inlineStr"/>
      <c r="AD963" s="5" t="inlineStr"/>
      <c r="AE963" s="5" t="inlineStr"/>
      <c r="AF963" s="5" t="inlineStr"/>
      <c r="AG963" s="5" t="inlineStr"/>
      <c r="AH963" s="5" t="inlineStr"/>
    </row>
    <row r="964">
      <c r="A964" s="5" t="inlineStr">
        <is>
          <t>b8-bakim-evraki</t>
        </is>
      </c>
      <c r="B964" s="5" t="n">
        <v>4</v>
      </c>
      <c r="C964" s="6" t="inlineStr">
        <is>
          <t>Memur dilinden konuş</t>
        </is>
      </c>
      <c r="D964" s="5" t="inlineStr">
        <is>
          <t>Çene</t>
        </is>
      </c>
      <c r="E964" s="5" t="inlineStr">
        <is>
          <t>Kolay</t>
        </is>
      </c>
      <c r="F964" s="5" t="inlineStr"/>
      <c r="G964" s="6" t="inlineStr"/>
      <c r="H964" s="6" t="inlineStr">
        <is>
          <t>'Dosya üst yazıyla tamamlandı mı?' diye sordun. Memur başını kaldırdı; meslektaş tanındı.</t>
        </is>
      </c>
      <c r="I964" s="6" t="inlineStr">
        <is>
          <t>Memurla aynı yönetmelik maddesini aynı anda söylediniz. İşlem beş dakika; üstüne kurum çayı.</t>
        </is>
      </c>
      <c r="J964" s="6" t="inlineStr">
        <is>
          <t>Fazla teknik konuştun. Memur 'Bu bizim birimin işi değil' dedi.</t>
        </is>
      </c>
      <c r="K964" s="6" t="inlineStr">
        <is>
          <t>Yönetmelik maddesini yanlış söyledin. Memur düzeltti ve bunu bütün servise anlattı.</t>
        </is>
      </c>
      <c r="L964" s="6" t="inlineStr"/>
      <c r="M964" s="5" t="inlineStr"/>
      <c r="N964" s="5" t="inlineStr"/>
      <c r="O964" s="6" t="inlineStr"/>
      <c r="P964" s="6" t="inlineStr"/>
      <c r="Q964" s="5" t="inlineStr"/>
      <c r="R964" s="5" t="inlineStr">
        <is>
          <t>meslek-memur</t>
        </is>
      </c>
      <c r="S964" s="5" t="inlineStr"/>
      <c r="T964" s="5" t="inlineStr"/>
      <c r="U964" s="5" t="inlineStr"/>
      <c r="V964" s="5" t="inlineStr"/>
      <c r="W964" s="5" t="inlineStr"/>
      <c r="X964" s="5" t="inlineStr"/>
      <c r="Y964" s="5" t="inlineStr"/>
      <c r="Z964" s="6" t="inlineStr"/>
      <c r="AA964" s="5" t="inlineStr"/>
      <c r="AB964" s="5" t="inlineStr"/>
      <c r="AC964" s="5" t="inlineStr"/>
      <c r="AD964" s="5" t="inlineStr"/>
      <c r="AE964" s="5" t="inlineStr"/>
      <c r="AF964" s="5" t="inlineStr"/>
      <c r="AG964" s="5" t="inlineStr"/>
      <c r="AH964" s="5" t="inlineStr"/>
    </row>
    <row r="965">
      <c r="A965" s="5" t="inlineStr">
        <is>
          <t>b8-ikinci-bahar</t>
        </is>
      </c>
      <c r="B965" s="5" t="n">
        <v>1</v>
      </c>
      <c r="C965" s="6" t="inlineStr">
        <is>
          <t>Gitme, evde kal</t>
        </is>
      </c>
      <c r="D965" s="5" t="inlineStr"/>
      <c r="E965" s="5" t="inlineStr"/>
      <c r="F965" s="5" t="inlineStr">
        <is>
          <t>Dayanıklılık +1</t>
        </is>
      </c>
      <c r="G965" s="6" t="inlineStr">
        <is>
          <t>Evde kaldın. Televizyon seni hiç yargılamadı. Ama bir şey de sormadı.</t>
        </is>
      </c>
      <c r="H965" s="6" t="inlineStr"/>
      <c r="I965" s="6" t="inlineStr"/>
      <c r="J965" s="6" t="inlineStr"/>
      <c r="K965" s="6" t="inlineStr"/>
      <c r="L965" s="6" t="inlineStr"/>
      <c r="M965" s="5" t="inlineStr"/>
      <c r="N965" s="5" t="inlineStr"/>
      <c r="O965" s="6" t="inlineStr"/>
      <c r="P965" s="6" t="inlineStr"/>
      <c r="Q965" s="5" t="inlineStr"/>
      <c r="R965" s="5" t="inlineStr"/>
      <c r="S965" s="5" t="inlineStr"/>
      <c r="T965" s="5" t="inlineStr"/>
      <c r="U965" s="5" t="inlineStr"/>
      <c r="V965" s="5" t="inlineStr"/>
      <c r="W965" s="5" t="inlineStr"/>
      <c r="X965" s="5" t="inlineStr"/>
      <c r="Y965" s="5" t="inlineStr"/>
      <c r="Z965" s="6" t="inlineStr"/>
      <c r="AA965" s="5" t="inlineStr"/>
      <c r="AB965" s="5" t="inlineStr"/>
      <c r="AC965" s="5" t="inlineStr"/>
      <c r="AD965" s="5" t="inlineStr"/>
      <c r="AE965" s="5" t="inlineStr"/>
      <c r="AF965" s="5" t="inlineStr"/>
      <c r="AG965" s="5" t="inlineStr"/>
      <c r="AH965" s="5" t="inlineStr"/>
    </row>
    <row r="966">
      <c r="A966" s="5" t="inlineStr">
        <is>
          <t>b8-ikinci-bahar</t>
        </is>
      </c>
      <c r="B966" s="5" t="n">
        <v>2</v>
      </c>
      <c r="C966" s="6" t="inlineStr">
        <is>
          <t>Doğal ol</t>
        </is>
      </c>
      <c r="D966" s="5" t="inlineStr">
        <is>
          <t>Çene</t>
        </is>
      </c>
      <c r="E966" s="5" t="inlineStr">
        <is>
          <t>Orta</t>
        </is>
      </c>
      <c r="F966" s="5" t="inlineStr"/>
      <c r="G966" s="6" t="inlineStr"/>
      <c r="H966" s="6" t="inlineStr">
        <is>
          <t>Konuştunuz, güldünüz, hesabı bölüştünüz. İkinci buluşma takvime yazıldı; kurşun kalemle, ama yazıldı.</t>
        </is>
      </c>
      <c r="I966" s="6" t="inlineStr">
        <is>
          <t>Saatin nasıl geçtiğini anlamadınız. Kafe kapanırken sandalyeleri toplamaya birlikte yardım ettiniz.</t>
        </is>
      </c>
      <c r="J966" s="6" t="inlineStr">
        <is>
          <t>Doğal oldun; fazla doğal. Kırk dakika bel ağrısı anlattın.</t>
        </is>
      </c>
      <c r="K966" s="6" t="inlineStr">
        <is>
          <t>Eski eşinden söz ettin. Üç kez. Adıyla.</t>
        </is>
      </c>
      <c r="L966" s="6" t="inlineStr"/>
      <c r="M966" s="5" t="inlineStr"/>
      <c r="N966" s="5" t="inlineStr"/>
      <c r="O966" s="6" t="inlineStr"/>
      <c r="P966" s="6" t="inlineStr"/>
      <c r="Q966" s="5" t="inlineStr"/>
      <c r="R966" s="5" t="inlineStr"/>
      <c r="S966" s="5" t="inlineStr"/>
      <c r="T966" s="5" t="inlineStr"/>
      <c r="U966" s="5" t="inlineStr"/>
      <c r="V966" s="5" t="inlineStr">
        <is>
          <t>ikinci-bahar</t>
        </is>
      </c>
      <c r="W966" s="5" t="inlineStr"/>
      <c r="X966" s="5" t="inlineStr"/>
      <c r="Y966" s="5" t="inlineStr"/>
      <c r="Z966" s="6" t="inlineStr"/>
      <c r="AA966" s="5" t="inlineStr"/>
      <c r="AB966" s="5" t="inlineStr"/>
      <c r="AC966" s="5" t="inlineStr"/>
      <c r="AD966" s="5" t="inlineStr"/>
      <c r="AE966" s="5" t="inlineStr"/>
      <c r="AF966" s="5" t="inlineStr"/>
      <c r="AG966" s="5" t="inlineStr"/>
      <c r="AH966" s="5" t="inlineStr"/>
    </row>
    <row r="967">
      <c r="A967" s="5" t="inlineStr">
        <is>
          <t>b8-ikinci-bahar</t>
        </is>
      </c>
      <c r="B967" s="5" t="n">
        <v>3</v>
      </c>
      <c r="C967" s="6" t="inlineStr">
        <is>
          <t>Gerginliği ilk sen kır</t>
        </is>
      </c>
      <c r="D967" s="5" t="inlineStr">
        <is>
          <t>Sosyal Radar</t>
        </is>
      </c>
      <c r="E967" s="5" t="inlineStr">
        <is>
          <t>Kolay</t>
        </is>
      </c>
      <c r="F967" s="5" t="inlineStr"/>
      <c r="G967" s="6" t="inlineStr"/>
      <c r="H967" s="6" t="inlineStr">
        <is>
          <t>'Ben de menüyü üç kez okudum' dedin. İkiniz de güldünüz; gerisi kolay geldi.</t>
        </is>
      </c>
      <c r="I967" s="6" t="inlineStr">
        <is>
          <t>Güldünüz, sonra aynı anda 'Bir kahve daha?' dediniz. Tesadüf olarak kaydedildi; kimse inanmadı.</t>
        </is>
      </c>
      <c r="J967" s="6" t="inlineStr">
        <is>
          <t>Espri yaptın; karşındaki 'Hangi menü?' dedi. Gerginlik ikiye katlandı.</t>
        </is>
      </c>
      <c r="K967" s="6" t="inlineStr">
        <is>
          <t>Gerginliği kırarken çay bardağını da kırdın. Kafe çalışanı iki bardağın hesabını getirdi.</t>
        </is>
      </c>
      <c r="L967" s="6" t="inlineStr"/>
      <c r="M967" s="5" t="inlineStr"/>
      <c r="N967" s="5" t="inlineStr"/>
      <c r="O967" s="6" t="inlineStr"/>
      <c r="P967" s="6" t="inlineStr"/>
      <c r="Q967" s="5" t="inlineStr"/>
      <c r="R967" s="5" t="inlineStr"/>
      <c r="S967" s="5" t="inlineStr">
        <is>
          <t>Sosyal Radar</t>
        </is>
      </c>
      <c r="T967" s="5" t="inlineStr"/>
      <c r="U967" s="5" t="inlineStr"/>
      <c r="V967" s="5" t="inlineStr">
        <is>
          <t>ikinci-bahar</t>
        </is>
      </c>
      <c r="W967" s="5" t="inlineStr"/>
      <c r="X967" s="5" t="inlineStr"/>
      <c r="Y967" s="5" t="inlineStr"/>
      <c r="Z967" s="6" t="inlineStr"/>
      <c r="AA967" s="5" t="inlineStr"/>
      <c r="AB967" s="5" t="inlineStr"/>
      <c r="AC967" s="5" t="inlineStr"/>
      <c r="AD967" s="5" t="inlineStr"/>
      <c r="AE967" s="5" t="inlineStr"/>
      <c r="AF967" s="5" t="inlineStr"/>
      <c r="AG967" s="5" t="inlineStr"/>
      <c r="AH967" s="5" t="inlineStr"/>
    </row>
    <row r="968">
      <c r="A968" s="5" t="inlineStr">
        <is>
          <t>b8-ikinci-bahar</t>
        </is>
      </c>
      <c r="B968" s="5" t="n">
        <v>4</v>
      </c>
      <c r="C968" s="6" t="inlineStr">
        <is>
          <t>Kendi hikâyene gülerek başla</t>
        </is>
      </c>
      <c r="D968" s="5" t="inlineStr">
        <is>
          <t>Pişkinlik</t>
        </is>
      </c>
      <c r="E968" s="5" t="inlineStr">
        <is>
          <t>Kolay</t>
        </is>
      </c>
      <c r="F968" s="5" t="inlineStr"/>
      <c r="G968" s="6" t="inlineStr"/>
      <c r="H968" s="6" t="inlineStr">
        <is>
          <t>'Evrak işlerinde iyiyimdir, boşanma dahil' dedin. Karşındaki kahkaha attı.</t>
        </is>
      </c>
      <c r="I968" s="6" t="inlineStr">
        <is>
          <t>Hikâyeni öyle anlattın ki karşındaki de kendi hikâyesini anlattı. İki dosya, bir masa, bol kahkaha.</t>
        </is>
      </c>
      <c r="J968" s="6" t="inlineStr">
        <is>
          <t>Espri fazla kara kaçtı. Karşındaki çayını yavaşça bitirdi.</t>
        </is>
      </c>
      <c r="K968" s="6" t="inlineStr">
        <is>
          <t>Hikâyeyi anlatırken fazla detaya girdin. Buluşma bir tür ifade tutanağına dönüştü.</t>
        </is>
      </c>
      <c r="L968" s="6" t="inlineStr"/>
      <c r="M968" s="5" t="inlineStr"/>
      <c r="N968" s="5" t="inlineStr"/>
      <c r="O968" s="6" t="inlineStr"/>
      <c r="P968" s="6" t="inlineStr"/>
      <c r="Q968" s="5" t="inlineStr">
        <is>
          <t>Kendine Gülebilir</t>
        </is>
      </c>
      <c r="R968" s="5" t="inlineStr"/>
      <c r="S968" s="5" t="inlineStr"/>
      <c r="T968" s="5" t="inlineStr"/>
      <c r="U968" s="5" t="inlineStr"/>
      <c r="V968" s="5" t="inlineStr">
        <is>
          <t>ikinci-bahar</t>
        </is>
      </c>
      <c r="W968" s="5" t="inlineStr"/>
      <c r="X968" s="5" t="inlineStr"/>
      <c r="Y968" s="5" t="inlineStr"/>
      <c r="Z968" s="6" t="inlineStr"/>
      <c r="AA968" s="5" t="inlineStr"/>
      <c r="AB968" s="5" t="inlineStr"/>
      <c r="AC968" s="5" t="inlineStr"/>
      <c r="AD968" s="5" t="inlineStr"/>
      <c r="AE968" s="5" t="inlineStr"/>
      <c r="AF968" s="5" t="inlineStr"/>
      <c r="AG968" s="5" t="inlineStr"/>
      <c r="AH968" s="5" t="inlineStr"/>
    </row>
    <row r="969">
      <c r="A969" s="5" t="inlineStr">
        <is>
          <t>me-dernek-secimi</t>
        </is>
      </c>
      <c r="B969" s="5" t="n">
        <v>1</v>
      </c>
      <c r="C969" s="6" t="inlineStr">
        <is>
          <t>Oyunu kullan, çayını iç</t>
        </is>
      </c>
      <c r="D969" s="5" t="inlineStr"/>
      <c r="E969" s="5" t="inlineStr"/>
      <c r="F969" s="5" t="inlineStr">
        <is>
          <t>Sosyal Radar +1</t>
        </is>
      </c>
      <c r="G969" s="6" t="inlineStr">
        <is>
          <t>Oyunu verdin, çayını içtin. Başkan yeniden seçildi. Çay yine aynı demde.</t>
        </is>
      </c>
      <c r="H969" s="6" t="inlineStr"/>
      <c r="I969" s="6" t="inlineStr"/>
      <c r="J969" s="6" t="inlineStr"/>
      <c r="K969" s="6" t="inlineStr"/>
      <c r="L969" s="6" t="inlineStr"/>
      <c r="M969" s="5" t="inlineStr"/>
      <c r="N969" s="5" t="inlineStr"/>
      <c r="O969" s="6" t="inlineStr"/>
      <c r="P969" s="6" t="inlineStr"/>
      <c r="Q969" s="5" t="inlineStr"/>
      <c r="R969" s="5" t="inlineStr"/>
      <c r="S969" s="5" t="inlineStr"/>
      <c r="T969" s="5" t="inlineStr"/>
      <c r="U969" s="5" t="inlineStr"/>
      <c r="V969" s="5" t="inlineStr"/>
      <c r="W969" s="5" t="inlineStr"/>
      <c r="X969" s="5" t="inlineStr"/>
      <c r="Y969" s="5" t="inlineStr"/>
      <c r="Z969" s="6" t="inlineStr"/>
      <c r="AA969" s="5" t="inlineStr"/>
      <c r="AB969" s="5" t="inlineStr"/>
      <c r="AC969" s="5" t="inlineStr"/>
      <c r="AD969" s="5" t="inlineStr"/>
      <c r="AE969" s="5" t="inlineStr"/>
      <c r="AF969" s="5" t="inlineStr"/>
      <c r="AG969" s="5" t="inlineStr"/>
      <c r="AH969" s="5" t="inlineStr"/>
    </row>
    <row r="970">
      <c r="A970" s="5" t="inlineStr">
        <is>
          <t>me-dernek-secimi</t>
        </is>
      </c>
      <c r="B970" s="5" t="n">
        <v>2</v>
      </c>
      <c r="C970" s="6" t="inlineStr">
        <is>
          <t>Aday ol</t>
        </is>
      </c>
      <c r="D970" s="5" t="inlineStr">
        <is>
          <t>Çene</t>
        </is>
      </c>
      <c r="E970" s="5" t="inlineStr">
        <is>
          <t>Zor</t>
        </is>
      </c>
      <c r="F970" s="5" t="inlineStr"/>
      <c r="G970" s="6" t="inlineStr"/>
      <c r="H970" s="6" t="inlineStr">
        <is>
          <t>Kazandın. İlk icraatın çarşıya ortak çöp kutusu oldu. Çöp kutusunun yeri hâlâ tartışılıyor.</t>
        </is>
      </c>
      <c r="I970" s="6" t="inlineStr">
        <is>
          <t>Farkla kazandın. Eski başkan bile sana oy verdi; sonradan yanlış kutuya attığını söyledi.</t>
        </is>
      </c>
      <c r="J970" s="6" t="inlineStr">
        <is>
          <t>Seçim günü dükkânı kapatmaya kıyamadın. Oy vermeye gidemeyen tek aday sendin.</t>
        </is>
      </c>
      <c r="K970" s="6" t="inlineStr">
        <is>
          <t>Tek oy aldın. Kimin verdiği hâlâ tartışma konusu. Senin değildi.</t>
        </is>
      </c>
      <c r="L970" s="6" t="inlineStr"/>
      <c r="M970" s="5" t="inlineStr"/>
      <c r="N970" s="5" t="inlineStr"/>
      <c r="O970" s="6" t="inlineStr"/>
      <c r="P970" s="6" t="inlineStr"/>
      <c r="Q970" s="5" t="inlineStr"/>
      <c r="R970" s="5" t="inlineStr"/>
      <c r="S970" s="5" t="inlineStr"/>
      <c r="T970" s="5" t="inlineStr"/>
      <c r="U970" s="5" t="inlineStr"/>
      <c r="V970" s="5" t="inlineStr">
        <is>
          <t>esnaf-dernek-baskani</t>
        </is>
      </c>
      <c r="W970" s="5" t="inlineStr"/>
      <c r="X970" s="5" t="inlineStr"/>
      <c r="Y970" s="5" t="inlineStr"/>
      <c r="Z970" s="6" t="inlineStr"/>
      <c r="AA970" s="5" t="inlineStr"/>
      <c r="AB970" s="5" t="inlineStr"/>
      <c r="AC970" s="5" t="inlineStr"/>
      <c r="AD970" s="5" t="inlineStr"/>
      <c r="AE970" s="5" t="inlineStr"/>
      <c r="AF970" s="5" t="inlineStr"/>
      <c r="AG970" s="5" t="inlineStr"/>
      <c r="AH970" s="5" t="inlineStr"/>
    </row>
    <row r="971">
      <c r="A971" s="5" t="inlineStr">
        <is>
          <t>me-dernek-secimi</t>
        </is>
      </c>
      <c r="B971" s="5" t="n">
        <v>3</v>
      </c>
      <c r="C971" s="6" t="inlineStr">
        <is>
          <t>Seçimi organize et</t>
        </is>
      </c>
      <c r="D971" s="5" t="inlineStr">
        <is>
          <t>Sosyal Radar</t>
        </is>
      </c>
      <c r="E971" s="5" t="inlineStr">
        <is>
          <t>Kolay</t>
        </is>
      </c>
      <c r="F971" s="5" t="inlineStr"/>
      <c r="G971" s="6" t="inlineStr"/>
      <c r="H971" s="6" t="inlineStr">
        <is>
          <t>Sandık, pusula, çay, sayım: hepsini sen kurdun. Çarşının ilk tartışmasız seçimi yapıldı.</t>
        </is>
      </c>
      <c r="I971" s="6" t="inlineStr">
        <is>
          <t>İki aday da seni başkan yapmayı teklif etti. Kabul etmedin; sadece yönetmeliği yazdın.</t>
        </is>
      </c>
      <c r="J971" s="6" t="inlineStr">
        <is>
          <t>Sandığın anahtarı sende kalmış. Oylar ertesi gün sayıldı; itirazlar bir hafta.</t>
        </is>
      </c>
      <c r="K971" s="6" t="inlineStr">
        <is>
          <t>Pusulaları indirim kuponu kâğıdına bastırdın. Seçim üç gün sürdü, satışlar iki kat arttı.</t>
        </is>
      </c>
      <c r="L971" s="6" t="inlineStr"/>
      <c r="M971" s="5" t="inlineStr"/>
      <c r="N971" s="5" t="inlineStr"/>
      <c r="O971" s="6" t="inlineStr"/>
      <c r="P971" s="6" t="inlineStr"/>
      <c r="Q971" s="5" t="inlineStr">
        <is>
          <t>Organizatör</t>
        </is>
      </c>
      <c r="R971" s="5" t="inlineStr"/>
      <c r="S971" s="5" t="inlineStr"/>
      <c r="T971" s="5" t="inlineStr"/>
      <c r="U971" s="5" t="inlineStr"/>
      <c r="V971" s="5" t="inlineStr"/>
      <c r="W971" s="5" t="inlineStr"/>
      <c r="X971" s="5" t="inlineStr"/>
      <c r="Y971" s="5" t="inlineStr"/>
      <c r="Z971" s="6" t="inlineStr"/>
      <c r="AA971" s="5" t="inlineStr"/>
      <c r="AB971" s="5" t="inlineStr"/>
      <c r="AC971" s="5" t="inlineStr"/>
      <c r="AD971" s="5" t="inlineStr"/>
      <c r="AE971" s="5" t="inlineStr"/>
      <c r="AF971" s="5" t="inlineStr"/>
      <c r="AG971" s="5" t="inlineStr"/>
      <c r="AH971" s="5" t="inlineStr"/>
    </row>
    <row r="972">
      <c r="A972" s="5" t="inlineStr">
        <is>
          <t>me-dernek-secimi</t>
        </is>
      </c>
      <c r="B972" s="5" t="n">
        <v>4</v>
      </c>
      <c r="C972" s="6" t="inlineStr">
        <is>
          <t>Sınıf başkanlığını hatırlat</t>
        </is>
      </c>
      <c r="D972" s="5" t="inlineStr">
        <is>
          <t>Pişkinlik</t>
        </is>
      </c>
      <c r="E972" s="5" t="inlineStr">
        <is>
          <t>Orta</t>
        </is>
      </c>
      <c r="F972" s="5" t="inlineStr"/>
      <c r="G972" s="6" t="inlineStr"/>
      <c r="H972" s="6" t="inlineStr">
        <is>
          <t>'Ben ilkokulda da başkandım' dedin. Esnaflar güldü, sonra oy verdi.</t>
        </is>
      </c>
      <c r="I972" s="6" t="inlineStr">
        <is>
          <t>Seçim bildirgen ilkokuldaki bildirgenin aynısıydı. Tenefüs yerine çay molası yazdın; farkla kazandın.</t>
        </is>
      </c>
      <c r="J972" s="6" t="inlineStr">
        <is>
          <t>Esnaflar güldü. Sadece güldü.</t>
        </is>
      </c>
      <c r="K972" s="6" t="inlineStr">
        <is>
          <t>Eski sınıf arkadaşın da çarşıda esnafmış. 'O zaman da söz verip yapmamıştı' dedi.</t>
        </is>
      </c>
      <c r="L972" s="6" t="inlineStr"/>
      <c r="M972" s="5" t="inlineStr"/>
      <c r="N972" s="5" t="inlineStr"/>
      <c r="O972" s="6" t="inlineStr"/>
      <c r="P972" s="6" t="inlineStr"/>
      <c r="Q972" s="5" t="inlineStr"/>
      <c r="R972" s="5" t="inlineStr">
        <is>
          <t>baskan</t>
        </is>
      </c>
      <c r="S972" s="5" t="inlineStr"/>
      <c r="T972" s="5" t="inlineStr"/>
      <c r="U972" s="5" t="inlineStr"/>
      <c r="V972" s="5" t="inlineStr">
        <is>
          <t>esnaf-dernek-baskani</t>
        </is>
      </c>
      <c r="W972" s="5" t="inlineStr"/>
      <c r="X972" s="5" t="inlineStr"/>
      <c r="Y972" s="5" t="inlineStr"/>
      <c r="Z972" s="6" t="inlineStr"/>
      <c r="AA972" s="5" t="inlineStr"/>
      <c r="AB972" s="5" t="inlineStr"/>
      <c r="AC972" s="5" t="inlineStr"/>
      <c r="AD972" s="5" t="inlineStr"/>
      <c r="AE972" s="5" t="inlineStr"/>
      <c r="AF972" s="5" t="inlineStr"/>
      <c r="AG972" s="5" t="inlineStr"/>
      <c r="AH972" s="5" t="inlineStr"/>
    </row>
    <row r="973">
      <c r="A973" s="5" t="inlineStr">
        <is>
          <t>mm-ikinci-is-hayali</t>
        </is>
      </c>
      <c r="B973" s="5" t="n">
        <v>1</v>
      </c>
      <c r="C973" s="6" t="inlineStr">
        <is>
          <t>Planı deftere yaz</t>
        </is>
      </c>
      <c r="D973" s="5" t="inlineStr"/>
      <c r="E973" s="5" t="inlineStr"/>
      <c r="F973" s="5" t="inlineStr">
        <is>
          <t>Akıl +1, İtibar +1</t>
        </is>
      </c>
      <c r="G973" s="6" t="inlineStr">
        <is>
          <t>Menü, kira, fiyat listesi. Defterin kapağında 'Emeklilik' yazıyor, ilk sayfasında tek kelime: 'Belki.'</t>
        </is>
      </c>
      <c r="H973" s="6" t="inlineStr"/>
      <c r="I973" s="6" t="inlineStr"/>
      <c r="J973" s="6" t="inlineStr"/>
      <c r="K973" s="6" t="inlineStr"/>
      <c r="L973" s="6" t="inlineStr"/>
      <c r="M973" s="5" t="inlineStr"/>
      <c r="N973" s="5" t="inlineStr"/>
      <c r="O973" s="6" t="inlineStr"/>
      <c r="P973" s="6" t="inlineStr"/>
      <c r="Q973" s="5" t="inlineStr"/>
      <c r="R973" s="5" t="inlineStr"/>
      <c r="S973" s="5" t="inlineStr"/>
      <c r="T973" s="5" t="inlineStr"/>
      <c r="U973" s="5" t="inlineStr">
        <is>
          <t>memur-ikinci-is</t>
        </is>
      </c>
      <c r="V973" s="5" t="inlineStr"/>
      <c r="W973" s="5" t="inlineStr"/>
      <c r="X973" s="5" t="inlineStr"/>
      <c r="Y973" s="5" t="inlineStr"/>
      <c r="Z973" s="6" t="inlineStr"/>
      <c r="AA973" s="5" t="inlineStr"/>
      <c r="AB973" s="5" t="inlineStr"/>
      <c r="AC973" s="5" t="inlineStr"/>
      <c r="AD973" s="5" t="inlineStr"/>
      <c r="AE973" s="5" t="inlineStr"/>
      <c r="AF973" s="5" t="inlineStr"/>
      <c r="AG973" s="5" t="inlineStr"/>
      <c r="AH973" s="5" t="inlineStr"/>
    </row>
    <row r="974">
      <c r="A974" s="5" t="inlineStr">
        <is>
          <t>mm-ikinci-is-hayali</t>
        </is>
      </c>
      <c r="B974" s="5" t="n">
        <v>2</v>
      </c>
      <c r="C974" s="6" t="inlineStr">
        <is>
          <t>Hafta sonları bir kafede çalış</t>
        </is>
      </c>
      <c r="D974" s="5" t="inlineStr">
        <is>
          <t>Dayanıklılık</t>
        </is>
      </c>
      <c r="E974" s="5" t="inlineStr">
        <is>
          <t>Orta</t>
        </is>
      </c>
      <c r="F974" s="5" t="inlineStr"/>
      <c r="G974" s="6" t="inlineStr"/>
      <c r="H974" s="6" t="inlineStr">
        <is>
          <t>Pazartesileri masanda uykulusun ama gelecek aydınlık.</t>
        </is>
      </c>
      <c r="I974" s="6" t="inlineStr">
        <is>
          <t>Kafe sahibi seni ortaklığa davet etti. Emekliliğe hazırlık hiç bu kadar lezzetli olmamıştı.</t>
        </is>
      </c>
      <c r="J974" s="6" t="inlineStr">
        <is>
          <t>İlk gün bir fincanı üç kez imzalamaya çalıştın. Refleks.</t>
        </is>
      </c>
      <c r="K974" s="6" t="inlineStr">
        <is>
          <t>Kafeye müdür geldi. Kahvesini sen getirdin. Pazartesi senden iki nüsha izin formu istedi.</t>
        </is>
      </c>
      <c r="L974" s="6" t="inlineStr"/>
      <c r="M974" s="5" t="inlineStr"/>
      <c r="N974" s="5" t="inlineStr"/>
      <c r="O974" s="6" t="inlineStr"/>
      <c r="P974" s="6" t="inlineStr"/>
      <c r="Q974" s="5" t="inlineStr"/>
      <c r="R974" s="5" t="inlineStr"/>
      <c r="S974" s="5" t="inlineStr"/>
      <c r="T974" s="5" t="inlineStr"/>
      <c r="U974" s="5" t="inlineStr"/>
      <c r="V974" s="5" t="inlineStr">
        <is>
          <t>memur-ikinci-is</t>
        </is>
      </c>
      <c r="W974" s="5" t="inlineStr">
        <is>
          <t>memur-mudur-dusmani</t>
        </is>
      </c>
      <c r="X974" s="5" t="inlineStr"/>
      <c r="Y974" s="5" t="inlineStr"/>
      <c r="Z974" s="6" t="inlineStr"/>
      <c r="AA974" s="5" t="inlineStr"/>
      <c r="AB974" s="5" t="inlineStr"/>
      <c r="AC974" s="5" t="inlineStr"/>
      <c r="AD974" s="5" t="inlineStr"/>
      <c r="AE974" s="5" t="inlineStr"/>
      <c r="AF974" s="5" t="inlineStr"/>
      <c r="AG974" s="5" t="inlineStr"/>
      <c r="AH974" s="5" t="inlineStr"/>
    </row>
    <row r="975">
      <c r="A975" s="5" t="inlineStr">
        <is>
          <t>mm-ikinci-is-hayali</t>
        </is>
      </c>
      <c r="B975" s="5" t="n">
        <v>3</v>
      </c>
      <c r="C975" s="6" t="inlineStr">
        <is>
          <t>İş planı çıkar</t>
        </is>
      </c>
      <c r="D975" s="5" t="inlineStr">
        <is>
          <t>Akıl</t>
        </is>
      </c>
      <c r="E975" s="5" t="inlineStr">
        <is>
          <t>Kolay</t>
        </is>
      </c>
      <c r="F975" s="5" t="inlineStr"/>
      <c r="G975" s="6" t="inlineStr"/>
      <c r="H975" s="6" t="inlineStr">
        <is>
          <t>Plan hazır. Banka 'Devlet maaşı güvenilirdir' dedi ve kredi ön onayı verdi.</t>
        </is>
      </c>
      <c r="I975" s="6" t="inlineStr">
        <is>
          <t>Planın o kadar sağlam ki bir kafe zinciri fikri satın almak istedi. Satmadın; hayal satılmaz.</t>
        </is>
      </c>
      <c r="J975" s="6" t="inlineStr">
        <is>
          <t>Planı bitirdin. Kira satırına gelince hesap makinesi kapandı. Pili değil, cesareti bitti.</t>
        </is>
      </c>
      <c r="K975" s="6" t="inlineStr">
        <is>
          <t>Planı performans formunun arkasına yazmışsın. Form arşive gitti, plan da.</t>
        </is>
      </c>
      <c r="L975" s="6" t="inlineStr"/>
      <c r="M975" s="5" t="inlineStr"/>
      <c r="N975" s="5" t="inlineStr"/>
      <c r="O975" s="6" t="inlineStr"/>
      <c r="P975" s="6" t="inlineStr"/>
      <c r="Q975" s="5" t="inlineStr">
        <is>
          <t>İş Modeli Kurar</t>
        </is>
      </c>
      <c r="R975" s="5" t="inlineStr"/>
      <c r="S975" s="5" t="inlineStr"/>
      <c r="T975" s="5" t="inlineStr"/>
      <c r="U975" s="5" t="inlineStr"/>
      <c r="V975" s="5" t="inlineStr">
        <is>
          <t>memur-ikinci-is</t>
        </is>
      </c>
      <c r="W975" s="5" t="inlineStr"/>
      <c r="X975" s="5" t="inlineStr"/>
      <c r="Y975" s="5" t="inlineStr"/>
      <c r="Z975" s="6" t="inlineStr"/>
      <c r="AA975" s="5" t="inlineStr"/>
      <c r="AB975" s="5" t="inlineStr"/>
      <c r="AC975" s="5" t="inlineStr"/>
      <c r="AD975" s="5" t="inlineStr"/>
      <c r="AE975" s="5" t="inlineStr"/>
      <c r="AF975" s="5" t="inlineStr"/>
      <c r="AG975" s="5" t="inlineStr"/>
      <c r="AH975" s="5" t="inlineStr"/>
    </row>
    <row r="976">
      <c r="A976" s="5" t="inlineStr">
        <is>
          <t>mm-ikinci-is-hayali</t>
        </is>
      </c>
      <c r="B976" s="5" t="n">
        <v>4</v>
      </c>
      <c r="C976" s="6" t="inlineStr">
        <is>
          <t>Hayalden vazgeç</t>
        </is>
      </c>
      <c r="D976" s="5" t="inlineStr"/>
      <c r="E976" s="5" t="inlineStr"/>
      <c r="F976" s="5" t="inlineStr">
        <is>
          <t>Dayanıklılık +1</t>
        </is>
      </c>
      <c r="G976" s="6" t="inlineStr">
        <is>
          <t>Menüyü atmadın ama çekmeceye koydun; tam performans formlarının altına.</t>
        </is>
      </c>
      <c r="H976" s="6" t="inlineStr"/>
      <c r="I976" s="6" t="inlineStr"/>
      <c r="J976" s="6" t="inlineStr"/>
      <c r="K976" s="6" t="inlineStr"/>
      <c r="L976" s="6" t="inlineStr"/>
      <c r="M976" s="5" t="inlineStr"/>
      <c r="N976" s="5" t="inlineStr"/>
      <c r="O976" s="6" t="inlineStr"/>
      <c r="P976" s="6" t="inlineStr"/>
      <c r="Q976" s="5" t="inlineStr"/>
      <c r="R976" s="5" t="inlineStr"/>
      <c r="S976" s="5" t="inlineStr"/>
      <c r="T976" s="5" t="inlineStr"/>
      <c r="U976" s="5" t="inlineStr"/>
      <c r="V976" s="5" t="inlineStr"/>
      <c r="W976" s="5" t="inlineStr"/>
      <c r="X976" s="5" t="inlineStr"/>
      <c r="Y976" s="5" t="inlineStr"/>
      <c r="Z976" s="6" t="inlineStr"/>
      <c r="AA976" s="5" t="inlineStr"/>
      <c r="AB976" s="5" t="inlineStr"/>
      <c r="AC976" s="5" t="inlineStr"/>
      <c r="AD976" s="5" t="inlineStr"/>
      <c r="AE976" s="5" t="inlineStr"/>
      <c r="AF976" s="5" t="inlineStr"/>
      <c r="AG976" s="5" t="inlineStr"/>
      <c r="AH976" s="5" t="inlineStr"/>
    </row>
    <row r="977">
      <c r="A977" s="5" t="inlineStr">
        <is>
          <t>b8-cocuk-fenomen</t>
        </is>
      </c>
      <c r="B977" s="5" t="n">
        <v>1</v>
      </c>
      <c r="C977" s="6" t="inlineStr">
        <is>
          <t>Rolü kabul et, yeni bölüm çek</t>
        </is>
      </c>
      <c r="D977" s="5" t="inlineStr">
        <is>
          <t>Pişkinlik</t>
        </is>
      </c>
      <c r="E977" s="5" t="inlineStr">
        <is>
          <t>Orta</t>
        </is>
      </c>
      <c r="F977" s="5" t="inlineStr"/>
      <c r="G977" s="6" t="inlineStr"/>
      <c r="H977" s="6" t="inlineStr">
        <is>
          <t>Yeni bölüm: 'Ebeveynim yazıcıyla konuşuyor.' Hayran sayfası açıldı.</t>
        </is>
      </c>
      <c r="I977" s="6" t="inlineStr">
        <is>
          <t>Bir reklam anlaşması geldi. Çocuğun seni menajer olarak işe aldı; maaşını ilk kez o veriyor.</t>
        </is>
      </c>
      <c r="J977" s="6" t="inlineStr">
        <is>
          <t>Kamera karşısında doğal olamadın. Yorumlar: 'Senaryolu.'</t>
        </is>
      </c>
      <c r="K977" s="6" t="inlineStr">
        <is>
          <t>Çekimde yazıcıyla gerçekten kavga ettin. Video bu sefer gerçekten patladı; yazıcı da.</t>
        </is>
      </c>
      <c r="L977" s="6" t="inlineStr"/>
      <c r="M977" s="5" t="inlineStr"/>
      <c r="N977" s="5" t="inlineStr"/>
      <c r="O977" s="6" t="inlineStr"/>
      <c r="P977" s="6" t="inlineStr"/>
      <c r="Q977" s="5" t="inlineStr"/>
      <c r="R977" s="5" t="inlineStr"/>
      <c r="S977" s="5" t="inlineStr"/>
      <c r="T977" s="5" t="inlineStr"/>
      <c r="U977" s="5" t="inlineStr"/>
      <c r="V977" s="5" t="inlineStr"/>
      <c r="W977" s="5" t="inlineStr"/>
      <c r="X977" s="5" t="inlineStr"/>
      <c r="Y977" s="5" t="inlineStr"/>
      <c r="Z977" s="6" t="inlineStr"/>
      <c r="AA977" s="5" t="inlineStr"/>
      <c r="AB977" s="5" t="inlineStr"/>
      <c r="AC977" s="5" t="inlineStr"/>
      <c r="AD977" s="5" t="inlineStr"/>
      <c r="AE977" s="5" t="inlineStr"/>
      <c r="AF977" s="5" t="inlineStr"/>
      <c r="AG977" s="5" t="inlineStr"/>
      <c r="AH977" s="5" t="inlineStr"/>
    </row>
    <row r="978">
      <c r="A978" s="5" t="inlineStr">
        <is>
          <t>b8-cocuk-fenomen</t>
        </is>
      </c>
      <c r="B978" s="5" t="n">
        <v>2</v>
      </c>
      <c r="C978" s="6" t="inlineStr">
        <is>
          <t>Videonun kaldırılmasını iste</t>
        </is>
      </c>
      <c r="D978" s="5" t="inlineStr">
        <is>
          <t>Çene</t>
        </is>
      </c>
      <c r="E978" s="5" t="inlineStr">
        <is>
          <t>Zor</t>
        </is>
      </c>
      <c r="F978" s="5" t="inlineStr"/>
      <c r="G978" s="6" t="inlineStr"/>
      <c r="H978" s="6" t="inlineStr">
        <is>
          <t>Videoyu kaldırdı. Yerine 'Ebeveynim videoyu kaldırttı' videosunu çekti. Daha çok izlendi.</t>
        </is>
      </c>
      <c r="I978" s="6" t="inlineStr">
        <is>
          <t>Kaldırdı ve özür diledi. Sonra birlikte bir kural listesi yazdınız. Liste de viral oldu.</t>
        </is>
      </c>
      <c r="J978" s="6" t="inlineStr">
        <is>
          <t>Kaldırmadı; 'Özgür sanat' dedi. Sanatın konusu sensin.</t>
        </is>
      </c>
      <c r="K978" s="6" t="inlineStr">
        <is>
          <t>Konuşmanı gizlice çekmiş. Yeni video: 'Ebeveynim video hakkında konuşuyor.' Seri üçüncü sezonunda.</t>
        </is>
      </c>
      <c r="L978" s="6" t="inlineStr"/>
      <c r="M978" s="5" t="inlineStr"/>
      <c r="N978" s="5" t="inlineStr"/>
      <c r="O978" s="6" t="inlineStr"/>
      <c r="P978" s="6" t="inlineStr"/>
      <c r="Q978" s="5" t="inlineStr"/>
      <c r="R978" s="5" t="inlineStr"/>
      <c r="S978" s="5" t="inlineStr"/>
      <c r="T978" s="5" t="inlineStr">
        <is>
          <t>Sözünü Geçirir</t>
        </is>
      </c>
      <c r="U978" s="5" t="inlineStr"/>
      <c r="V978" s="5" t="inlineStr"/>
      <c r="W978" s="5" t="inlineStr"/>
      <c r="X978" s="5" t="inlineStr"/>
      <c r="Y978" s="5" t="inlineStr"/>
      <c r="Z978" s="6" t="inlineStr"/>
      <c r="AA978" s="5" t="inlineStr"/>
      <c r="AB978" s="5" t="inlineStr"/>
      <c r="AC978" s="5" t="inlineStr"/>
      <c r="AD978" s="5" t="inlineStr"/>
      <c r="AE978" s="5" t="inlineStr"/>
      <c r="AF978" s="5" t="inlineStr"/>
      <c r="AG978" s="5" t="inlineStr"/>
      <c r="AH978" s="5" t="inlineStr"/>
    </row>
    <row r="979">
      <c r="A979" s="5" t="inlineStr">
        <is>
          <t>b8-cocuk-fenomen</t>
        </is>
      </c>
      <c r="B979" s="5" t="n">
        <v>3</v>
      </c>
      <c r="C979" s="6" t="inlineStr">
        <is>
          <t>Yorumları okumadan yaşa</t>
        </is>
      </c>
      <c r="D979" s="5" t="inlineStr"/>
      <c r="E979" s="5" t="inlineStr"/>
      <c r="F979" s="5" t="inlineStr">
        <is>
          <t>Dayanıklılık +2</t>
        </is>
      </c>
      <c r="G979" s="6" t="inlineStr">
        <is>
          <t>Hiçbir yorumu okumadın. Markette biri seni tanıdı ve yazıcını sordu. Yazıcın iyi.</t>
        </is>
      </c>
      <c r="H979" s="6" t="inlineStr"/>
      <c r="I979" s="6" t="inlineStr"/>
      <c r="J979" s="6" t="inlineStr"/>
      <c r="K979" s="6" t="inlineStr"/>
      <c r="L979" s="6" t="inlineStr"/>
      <c r="M979" s="5" t="inlineStr"/>
      <c r="N979" s="5" t="inlineStr"/>
      <c r="O979" s="6" t="inlineStr"/>
      <c r="P979" s="6" t="inlineStr"/>
      <c r="Q979" s="5" t="inlineStr"/>
      <c r="R979" s="5" t="inlineStr"/>
      <c r="S979" s="5" t="inlineStr"/>
      <c r="T979" s="5" t="inlineStr"/>
      <c r="U979" s="5" t="inlineStr"/>
      <c r="V979" s="5" t="inlineStr"/>
      <c r="W979" s="5" t="inlineStr"/>
      <c r="X979" s="5" t="inlineStr"/>
      <c r="Y979" s="5" t="inlineStr"/>
      <c r="Z979" s="6" t="inlineStr"/>
      <c r="AA979" s="5" t="inlineStr"/>
      <c r="AB979" s="5" t="inlineStr"/>
      <c r="AC979" s="5" t="inlineStr"/>
      <c r="AD979" s="5" t="inlineStr"/>
      <c r="AE979" s="5" t="inlineStr"/>
      <c r="AF979" s="5" t="inlineStr"/>
      <c r="AG979" s="5" t="inlineStr"/>
      <c r="AH979" s="5" t="inlineStr"/>
    </row>
    <row r="980">
      <c r="A980" s="5" t="inlineStr">
        <is>
          <t>b8-cocuk-fenomen</t>
        </is>
      </c>
      <c r="B980" s="5" t="n">
        <v>4</v>
      </c>
      <c r="C980" s="6" t="inlineStr">
        <is>
          <t>Eski hesabını aç, düello yap</t>
        </is>
      </c>
      <c r="D980" s="5" t="inlineStr">
        <is>
          <t>Pişkinlik</t>
        </is>
      </c>
      <c r="E980" s="5" t="inlineStr">
        <is>
          <t>Kolay</t>
        </is>
      </c>
      <c r="F980" s="5" t="inlineStr"/>
      <c r="G980" s="6" t="inlineStr"/>
      <c r="H980" s="6" t="inlineStr">
        <is>
          <t>Kendi eski hesabından cevap videosu çektin. Takipçiler ikiye bölündü; aile içi derbi başladı.</t>
        </is>
      </c>
      <c r="I980" s="6" t="inlineStr">
        <is>
          <t>Düello videonuz ikinizinkinden de çok izlendi. Ortak hesap açıldı; tapu gibi, yarı yarıya.</t>
        </is>
      </c>
      <c r="J980" s="6" t="inlineStr">
        <is>
          <t>Eski hesabının şifresini hatırlayamadın. Şifre sıfırlama e-postası, kapanmış bir adrese gitti.</t>
        </is>
      </c>
      <c r="K980" s="6" t="inlineStr">
        <is>
          <t>Cevap videon çocuğun videosundan az izlendi. Çocuğun videosu: 'Ebeveynim benimle yarışıyor.'</t>
        </is>
      </c>
      <c r="L980" s="6" t="inlineStr"/>
      <c r="M980" s="5" t="inlineStr"/>
      <c r="N980" s="5" t="inlineStr"/>
      <c r="O980" s="6" t="inlineStr"/>
      <c r="P980" s="6" t="inlineStr"/>
      <c r="Q980" s="5" t="inlineStr"/>
      <c r="R980" s="5" t="inlineStr">
        <is>
          <t>fenomen</t>
        </is>
      </c>
      <c r="S980" s="5" t="inlineStr"/>
      <c r="T980" s="5" t="inlineStr"/>
      <c r="U980" s="5" t="inlineStr"/>
      <c r="V980" s="5" t="inlineStr"/>
      <c r="W980" s="5" t="inlineStr"/>
      <c r="X980" s="5" t="inlineStr"/>
      <c r="Y980" s="5" t="inlineStr"/>
      <c r="Z980" s="6" t="inlineStr"/>
      <c r="AA980" s="5" t="inlineStr"/>
      <c r="AB980" s="5" t="inlineStr"/>
      <c r="AC980" s="5" t="inlineStr"/>
      <c r="AD980" s="5" t="inlineStr"/>
      <c r="AE980" s="5" t="inlineStr"/>
      <c r="AF980" s="5" t="inlineStr"/>
      <c r="AG980" s="5" t="inlineStr"/>
      <c r="AH980" s="5" t="inlineStr"/>
    </row>
    <row r="981">
      <c r="A981" s="5" t="inlineStr">
        <is>
          <t>b8-yapay-zeka-egitimi</t>
        </is>
      </c>
      <c r="B981" s="5" t="n">
        <v>1</v>
      </c>
      <c r="C981" s="6" t="inlineStr">
        <is>
          <t>Not al, sessizce öğren</t>
        </is>
      </c>
      <c r="D981" s="5" t="inlineStr"/>
      <c r="E981" s="5" t="inlineStr"/>
      <c r="F981" s="5" t="inlineStr">
        <is>
          <t>Akıl +1, Dayanıklılık +1</t>
        </is>
      </c>
      <c r="G981" s="6" t="inlineStr">
        <is>
          <t>Not aldın. Eğitim sonunda yapay zekâya bir e-posta yazdırdın. E-posta senden daha kibar.</t>
        </is>
      </c>
      <c r="H981" s="6" t="inlineStr"/>
      <c r="I981" s="6" t="inlineStr"/>
      <c r="J981" s="6" t="inlineStr"/>
      <c r="K981" s="6" t="inlineStr"/>
      <c r="L981" s="6" t="inlineStr"/>
      <c r="M981" s="5" t="inlineStr"/>
      <c r="N981" s="5" t="inlineStr"/>
      <c r="O981" s="6" t="inlineStr"/>
      <c r="P981" s="6" t="inlineStr"/>
      <c r="Q981" s="5" t="inlineStr"/>
      <c r="R981" s="5" t="inlineStr"/>
      <c r="S981" s="5" t="inlineStr"/>
      <c r="T981" s="5" t="inlineStr"/>
      <c r="U981" s="5" t="inlineStr"/>
      <c r="V981" s="5" t="inlineStr"/>
      <c r="W981" s="5" t="inlineStr"/>
      <c r="X981" s="5" t="inlineStr"/>
      <c r="Y981" s="5" t="inlineStr"/>
      <c r="Z981" s="6" t="inlineStr"/>
      <c r="AA981" s="5" t="inlineStr"/>
      <c r="AB981" s="5" t="inlineStr"/>
      <c r="AC981" s="5" t="inlineStr"/>
      <c r="AD981" s="5" t="inlineStr"/>
      <c r="AE981" s="5" t="inlineStr"/>
      <c r="AF981" s="5" t="inlineStr"/>
      <c r="AG981" s="5" t="inlineStr"/>
      <c r="AH981" s="5" t="inlineStr"/>
    </row>
    <row r="982">
      <c r="A982" s="5" t="inlineStr">
        <is>
          <t>b8-yapay-zeka-egitimi</t>
        </is>
      </c>
      <c r="B982" s="5" t="n">
        <v>2</v>
      </c>
      <c r="C982" s="6" t="inlineStr">
        <is>
          <t>Yapay zekâya tüm işini yaptır</t>
        </is>
      </c>
      <c r="D982" s="5" t="inlineStr">
        <is>
          <t>Kurnazlık</t>
        </is>
      </c>
      <c r="E982" s="5" t="inlineStr">
        <is>
          <t>Orta</t>
        </is>
      </c>
      <c r="F982" s="5" t="inlineStr"/>
      <c r="G982" s="6" t="inlineStr"/>
      <c r="H982" s="6" t="inlineStr">
        <is>
          <t>Haftalık raporu yapay zekâ yazdı. Müdür 'Bu hafta çok iyi yazmışsın' dedi. Teşekkür ettin; ikiniz adına.</t>
        </is>
      </c>
      <c r="I982" s="6" t="inlineStr">
        <is>
          <t>Bütün işini otomatikleştirdin. Artık günde iki saat çalışıp altı saat 'strateji' yapıyorsun.</t>
        </is>
      </c>
      <c r="J982" s="6" t="inlineStr">
        <is>
          <t>Rapor fazla kusursuz çıktı. Müdür 'Bunu sen mi yazdın?' diye sordu. Yalan söylemek için bile yardım istedin.</t>
        </is>
      </c>
      <c r="K982" s="6" t="inlineStr">
        <is>
          <t>Yapay zekâ raporuna bir şiir ekledi. Rapor yönetim kuruluna gitti. Şiir de.</t>
        </is>
      </c>
      <c r="L982" s="6" t="inlineStr"/>
      <c r="M982" s="5" t="inlineStr"/>
      <c r="N982" s="5" t="inlineStr"/>
      <c r="O982" s="6" t="inlineStr"/>
      <c r="P982" s="6" t="inlineStr"/>
      <c r="Q982" s="5" t="inlineStr"/>
      <c r="R982" s="5" t="inlineStr"/>
      <c r="S982" s="5" t="inlineStr"/>
      <c r="T982" s="5" t="inlineStr"/>
      <c r="U982" s="5" t="inlineStr"/>
      <c r="V982" s="5" t="inlineStr"/>
      <c r="W982" s="5" t="inlineStr"/>
      <c r="X982" s="5" t="inlineStr"/>
      <c r="Y982" s="5" t="inlineStr"/>
      <c r="Z982" s="6" t="inlineStr"/>
      <c r="AA982" s="5" t="inlineStr"/>
      <c r="AB982" s="5" t="inlineStr"/>
      <c r="AC982" s="5" t="inlineStr"/>
      <c r="AD982" s="5" t="inlineStr"/>
      <c r="AE982" s="5" t="inlineStr"/>
      <c r="AF982" s="5" t="inlineStr"/>
      <c r="AG982" s="5" t="inlineStr"/>
      <c r="AH982" s="5" t="inlineStr"/>
    </row>
    <row r="983">
      <c r="A983" s="5" t="inlineStr">
        <is>
          <t>b8-yapay-zeka-egitimi</t>
        </is>
      </c>
      <c r="B983" s="5" t="n">
        <v>3</v>
      </c>
      <c r="C983" s="6" t="inlineStr">
        <is>
          <t>Eğitmene faksı anlat</t>
        </is>
      </c>
      <c r="D983" s="5" t="inlineStr">
        <is>
          <t>Çene</t>
        </is>
      </c>
      <c r="E983" s="5" t="inlineStr">
        <is>
          <t>Kolay</t>
        </is>
      </c>
      <c r="F983" s="5" t="inlineStr"/>
      <c r="G983" s="6" t="inlineStr"/>
      <c r="H983" s="6" t="inlineStr">
        <is>
          <t>Eğitmen merakla dinledi. Karşılığında sana her şeyi yeniden anlattı.</t>
        </is>
      </c>
      <c r="I983" s="6" t="inlineStr">
        <is>
          <t>Faks hikâyen o kadar ilgi gördü ki şirket içi 'Eski Teknolojiler' semineri istendi. Konuşmacı: sen.</t>
        </is>
      </c>
      <c r="J983" s="6" t="inlineStr">
        <is>
          <t>Eğitmen 'Faks bir tür sosyal medya mı?' diye sordu. Cevap veremedin.</t>
        </is>
      </c>
      <c r="K983" s="6" t="inlineStr">
        <is>
          <t>Anlatırken 'Bizim zamanımızda' dedin. Eğitim sonu anketinde adın geçiyor.</t>
        </is>
      </c>
      <c r="L983" s="6" t="inlineStr"/>
      <c r="M983" s="5" t="inlineStr"/>
      <c r="N983" s="5" t="inlineStr"/>
      <c r="O983" s="6" t="inlineStr"/>
      <c r="P983" s="6" t="inlineStr"/>
      <c r="Q983" s="5" t="inlineStr"/>
      <c r="R983" s="5" t="inlineStr"/>
      <c r="S983" s="5" t="inlineStr"/>
      <c r="T983" s="5" t="inlineStr"/>
      <c r="U983" s="5" t="inlineStr"/>
      <c r="V983" s="5" t="inlineStr"/>
      <c r="W983" s="5" t="inlineStr"/>
      <c r="X983" s="5" t="inlineStr"/>
      <c r="Y983" s="5" t="inlineStr"/>
      <c r="Z983" s="6" t="inlineStr"/>
      <c r="AA983" s="5" t="inlineStr"/>
      <c r="AB983" s="5" t="inlineStr"/>
      <c r="AC983" s="5" t="inlineStr"/>
      <c r="AD983" s="5" t="inlineStr"/>
      <c r="AE983" s="5" t="inlineStr"/>
      <c r="AF983" s="5" t="inlineStr"/>
      <c r="AG983" s="5" t="inlineStr"/>
      <c r="AH983" s="5" t="inlineStr"/>
    </row>
    <row r="984">
      <c r="A984" s="5" t="inlineStr">
        <is>
          <t>b8-yapay-zeka-egitimi</t>
        </is>
      </c>
      <c r="B984" s="5" t="n">
        <v>4</v>
      </c>
      <c r="C984" s="6" t="inlineStr">
        <is>
          <t>Eğitmene soru yağdır</t>
        </is>
      </c>
      <c r="D984" s="5" t="inlineStr">
        <is>
          <t>Akıl</t>
        </is>
      </c>
      <c r="E984" s="5" t="inlineStr">
        <is>
          <t>Zor</t>
        </is>
      </c>
      <c r="F984" s="5" t="inlineStr"/>
      <c r="G984" s="6" t="inlineStr"/>
      <c r="H984" s="6" t="inlineStr">
        <is>
          <t>Sorularının yarısına cevap verildi. Diğer yarısı eğitmenin gece ödevi oldu.</t>
        </is>
      </c>
      <c r="I984" s="6" t="inlineStr">
        <is>
          <t>Eğitmen 'Beni siz eğitiyorsunuz' dedi. Şirketin yapay zekâ çalışma grubuna seçildin.</t>
        </is>
      </c>
      <c r="J984" s="6" t="inlineStr">
        <is>
          <t>Sorular teknikti, cevaplar daha teknikti. Eğitim uzadı; öğle yemeği kısaldı.</t>
        </is>
      </c>
      <c r="K984" s="6" t="inlineStr">
        <is>
          <t>Soru sorarken yapay zekâ senin sorunu senin yerine cevapladı. Yanlış cevapladı. Sen de onayladın.</t>
        </is>
      </c>
      <c r="L984" s="6" t="inlineStr"/>
      <c r="M984" s="5" t="inlineStr"/>
      <c r="N984" s="5" t="inlineStr"/>
      <c r="O984" s="6" t="inlineStr"/>
      <c r="P984" s="6" t="inlineStr"/>
      <c r="Q984" s="5" t="inlineStr">
        <is>
          <t>Teknoloji Merakı</t>
        </is>
      </c>
      <c r="R984" s="5" t="inlineStr"/>
      <c r="S984" s="5" t="inlineStr"/>
      <c r="T984" s="5" t="inlineStr"/>
      <c r="U984" s="5" t="inlineStr"/>
      <c r="V984" s="5" t="inlineStr"/>
      <c r="W984" s="5" t="inlineStr"/>
      <c r="X984" s="5" t="inlineStr"/>
      <c r="Y984" s="5" t="inlineStr"/>
      <c r="Z984" s="6" t="inlineStr"/>
      <c r="AA984" s="5" t="inlineStr"/>
      <c r="AB984" s="5" t="inlineStr"/>
      <c r="AC984" s="5" t="inlineStr"/>
      <c r="AD984" s="5" t="inlineStr"/>
      <c r="AE984" s="5" t="inlineStr"/>
      <c r="AF984" s="5" t="inlineStr"/>
      <c r="AG984" s="5" t="inlineStr"/>
      <c r="AH984" s="5" t="inlineStr"/>
    </row>
    <row r="985">
      <c r="A985" s="5" t="inlineStr">
        <is>
          <t>b8-emeklilik-hesabi</t>
        </is>
      </c>
      <c r="B985" s="5" t="n">
        <v>1</v>
      </c>
      <c r="C985" s="6" t="inlineStr">
        <is>
          <t>Bir yıl sonra yeniden hesapla</t>
        </is>
      </c>
      <c r="D985" s="5" t="inlineStr"/>
      <c r="E985" s="5" t="inlineStr"/>
      <c r="F985" s="5" t="inlineStr">
        <is>
          <t>Dayanıklılık +1</t>
        </is>
      </c>
      <c r="G985" s="6" t="inlineStr">
        <is>
          <t>Bir yıl sonra yeniden hesapladın. Sonuç: 'Bir yıl sonra yeniden hesaplayın.'</t>
        </is>
      </c>
      <c r="H985" s="6" t="inlineStr"/>
      <c r="I985" s="6" t="inlineStr"/>
      <c r="J985" s="6" t="inlineStr"/>
      <c r="K985" s="6" t="inlineStr"/>
      <c r="L985" s="6" t="inlineStr"/>
      <c r="M985" s="5" t="inlineStr"/>
      <c r="N985" s="5" t="inlineStr"/>
      <c r="O985" s="6" t="inlineStr"/>
      <c r="P985" s="6" t="inlineStr"/>
      <c r="Q985" s="5" t="inlineStr"/>
      <c r="R985" s="5" t="inlineStr"/>
      <c r="S985" s="5" t="inlineStr"/>
      <c r="T985" s="5" t="inlineStr"/>
      <c r="U985" s="5" t="inlineStr"/>
      <c r="V985" s="5" t="inlineStr"/>
      <c r="W985" s="5" t="inlineStr"/>
      <c r="X985" s="5" t="inlineStr"/>
      <c r="Y985" s="5" t="inlineStr"/>
      <c r="Z985" s="6" t="inlineStr"/>
      <c r="AA985" s="5" t="inlineStr"/>
      <c r="AB985" s="5" t="inlineStr"/>
      <c r="AC985" s="5" t="inlineStr"/>
      <c r="AD985" s="5" t="inlineStr"/>
      <c r="AE985" s="5" t="inlineStr"/>
      <c r="AF985" s="5" t="inlineStr"/>
      <c r="AG985" s="5" t="inlineStr"/>
      <c r="AH985" s="5" t="inlineStr"/>
    </row>
    <row r="986">
      <c r="A986" s="5" t="inlineStr">
        <is>
          <t>b8-emeklilik-hesabi</t>
        </is>
      </c>
      <c r="B986" s="5" t="n">
        <v>2</v>
      </c>
      <c r="C986" s="6" t="inlineStr">
        <is>
          <t>Hizmet dökümünü satır satır incele</t>
        </is>
      </c>
      <c r="D986" s="5" t="inlineStr">
        <is>
          <t>Akıl</t>
        </is>
      </c>
      <c r="E986" s="5" t="inlineStr">
        <is>
          <t>Orta</t>
        </is>
      </c>
      <c r="F986" s="5" t="inlineStr"/>
      <c r="G986" s="6" t="inlineStr"/>
      <c r="H986" s="6" t="inlineStr">
        <is>
          <t>Eksik yüz gün buldun. Eski bir işverenin bildirmemiş. Dilekçe gönderildi; gün geri geldi.</t>
        </is>
      </c>
      <c r="I986" s="6" t="inlineStr">
        <is>
          <t>Dökümdeki üç hatayı düzelttirdin. Emeklilik tarihin bir yıl öne çekildi. Anlatıcı bile şaşırdı.</t>
        </is>
      </c>
      <c r="J986" s="6" t="inlineStr">
        <is>
          <t>Dökümü inceledin; bir şey anlamadın. Anlamamak da bir sonuç.</t>
        </is>
      </c>
      <c r="K986" s="6" t="inlineStr">
        <is>
          <t>İnceledin ve fazla gün buldun. Kurum düzeltti; bu kez senin aleyhine.</t>
        </is>
      </c>
      <c r="L986" s="6" t="inlineStr"/>
      <c r="M986" s="5" t="inlineStr"/>
      <c r="N986" s="5" t="inlineStr"/>
      <c r="O986" s="6" t="inlineStr"/>
      <c r="P986" s="6" t="inlineStr"/>
      <c r="Q986" s="5" t="inlineStr"/>
      <c r="R986" s="5" t="inlineStr"/>
      <c r="S986" s="5" t="inlineStr"/>
      <c r="T986" s="5" t="inlineStr"/>
      <c r="U986" s="5" t="inlineStr"/>
      <c r="V986" s="5" t="inlineStr"/>
      <c r="W986" s="5" t="inlineStr"/>
      <c r="X986" s="5" t="inlineStr"/>
      <c r="Y986" s="5" t="inlineStr"/>
      <c r="Z986" s="6" t="inlineStr"/>
      <c r="AA986" s="5" t="inlineStr"/>
      <c r="AB986" s="5" t="inlineStr"/>
      <c r="AC986" s="5" t="inlineStr"/>
      <c r="AD986" s="5" t="inlineStr"/>
      <c r="AE986" s="5" t="inlineStr"/>
      <c r="AF986" s="5" t="inlineStr"/>
      <c r="AG986" s="5" t="inlineStr"/>
      <c r="AH986" s="5" t="inlineStr"/>
    </row>
    <row r="987">
      <c r="A987" s="5" t="inlineStr">
        <is>
          <t>b8-emeklilik-hesabi</t>
        </is>
      </c>
      <c r="B987" s="5" t="n">
        <v>3</v>
      </c>
      <c r="C987" s="6" t="inlineStr">
        <is>
          <t>Askerlik borçlanması yap</t>
        </is>
      </c>
      <c r="D987" s="5" t="inlineStr"/>
      <c r="E987" s="5" t="inlineStr"/>
      <c r="F987" s="5" t="inlineStr">
        <is>
          <t>Kurnazlık +2</t>
        </is>
      </c>
      <c r="G987" s="6" t="inlineStr">
        <is>
          <t>Askerlik süreni borçlanarak prim gününe ekledin. Kışla günleri nihayet işe yaradı: dört ay erken emeklilik.</t>
        </is>
      </c>
      <c r="H987" s="6" t="inlineStr"/>
      <c r="I987" s="6" t="inlineStr"/>
      <c r="J987" s="6" t="inlineStr"/>
      <c r="K987" s="6" t="inlineStr"/>
      <c r="L987" s="6" t="inlineStr"/>
      <c r="M987" s="5" t="inlineStr"/>
      <c r="N987" s="5" t="inlineStr"/>
      <c r="O987" s="6" t="inlineStr"/>
      <c r="P987" s="6" t="inlineStr"/>
      <c r="Q987" s="5" t="inlineStr"/>
      <c r="R987" s="5" t="inlineStr">
        <is>
          <t>askerlik-yapti</t>
        </is>
      </c>
      <c r="S987" s="5" t="inlineStr"/>
      <c r="T987" s="5" t="inlineStr"/>
      <c r="U987" s="5" t="inlineStr"/>
      <c r="V987" s="5" t="inlineStr"/>
      <c r="W987" s="5" t="inlineStr"/>
      <c r="X987" s="5" t="inlineStr"/>
      <c r="Y987" s="5" t="inlineStr"/>
      <c r="Z987" s="6" t="inlineStr"/>
      <c r="AA987" s="5" t="inlineStr"/>
      <c r="AB987" s="5" t="inlineStr"/>
      <c r="AC987" s="5" t="inlineStr"/>
      <c r="AD987" s="5" t="inlineStr"/>
      <c r="AE987" s="5" t="inlineStr"/>
      <c r="AF987" s="5" t="inlineStr"/>
      <c r="AG987" s="5" t="inlineStr"/>
      <c r="AH987" s="5" t="inlineStr"/>
    </row>
    <row r="988">
      <c r="A988" s="5" t="inlineStr">
        <is>
          <t>b8-emeklilik-hesabi</t>
        </is>
      </c>
      <c r="B988" s="5" t="n">
        <v>4</v>
      </c>
      <c r="C988" s="6" t="inlineStr">
        <is>
          <t>Yastık altını say</t>
        </is>
      </c>
      <c r="D988" s="5" t="inlineStr">
        <is>
          <t>Kurnazlık</t>
        </is>
      </c>
      <c r="E988" s="5" t="inlineStr">
        <is>
          <t>Kolay</t>
        </is>
      </c>
      <c r="F988" s="5" t="inlineStr"/>
      <c r="G988" s="6" t="inlineStr"/>
      <c r="H988" s="6" t="inlineStr">
        <is>
          <t>Yastık altı tahmininden fazla çıktı. Emeklilik planı B hazır.</t>
        </is>
      </c>
      <c r="I988" s="6" t="inlineStr">
        <is>
          <t>Yastık altında unuttuğun bir zarf daha buldun. Plan B, plan A'yı geçti.</t>
        </is>
      </c>
      <c r="J988" s="6" t="inlineStr">
        <is>
          <t>Saydın; enflasyon senden önce saymış.</t>
        </is>
      </c>
      <c r="K988" s="6" t="inlineStr">
        <is>
          <t>Saydın; yastık altındakiler artık tedavülde değil. Nostaljik değerleri var.</t>
        </is>
      </c>
      <c r="L988" s="6" t="inlineStr"/>
      <c r="M988" s="5" t="inlineStr"/>
      <c r="N988" s="5" t="inlineStr"/>
      <c r="O988" s="6" t="inlineStr"/>
      <c r="P988" s="6" t="inlineStr"/>
      <c r="Q988" s="5" t="inlineStr">
        <is>
          <t>Yastık Altı Ekonomisti</t>
        </is>
      </c>
      <c r="R988" s="5" t="inlineStr"/>
      <c r="S988" s="5" t="inlineStr"/>
      <c r="T988" s="5" t="inlineStr"/>
      <c r="U988" s="5" t="inlineStr"/>
      <c r="V988" s="5" t="inlineStr"/>
      <c r="W988" s="5" t="inlineStr"/>
      <c r="X988" s="5" t="inlineStr"/>
      <c r="Y988" s="5" t="inlineStr"/>
      <c r="Z988" s="6" t="inlineStr"/>
      <c r="AA988" s="5" t="inlineStr"/>
      <c r="AB988" s="5" t="inlineStr"/>
      <c r="AC988" s="5" t="inlineStr"/>
      <c r="AD988" s="5" t="inlineStr"/>
      <c r="AE988" s="5" t="inlineStr"/>
      <c r="AF988" s="5" t="inlineStr"/>
      <c r="AG988" s="5" t="inlineStr"/>
      <c r="AH988" s="5" t="inlineStr"/>
    </row>
    <row r="989">
      <c r="A989" s="5" t="inlineStr">
        <is>
          <t>b8-bos-yuva</t>
        </is>
      </c>
      <c r="B989" s="5" t="n">
        <v>1</v>
      </c>
      <c r="C989" s="6" t="inlineStr">
        <is>
          <t>Odayı olduğu gibi bırak</t>
        </is>
      </c>
      <c r="D989" s="5" t="inlineStr"/>
      <c r="E989" s="5" t="inlineStr"/>
      <c r="F989" s="5" t="inlineStr">
        <is>
          <t>İtibar +2</t>
        </is>
      </c>
      <c r="G989" s="6" t="inlineStr">
        <is>
          <t>Odaya dokunmadın. Ara sıra girip yatağın kenarına oturuyorsun. Oda da sana alıştı.</t>
        </is>
      </c>
      <c r="H989" s="6" t="inlineStr"/>
      <c r="I989" s="6" t="inlineStr"/>
      <c r="J989" s="6" t="inlineStr"/>
      <c r="K989" s="6" t="inlineStr"/>
      <c r="L989" s="6" t="inlineStr"/>
      <c r="M989" s="5" t="inlineStr"/>
      <c r="N989" s="5" t="inlineStr"/>
      <c r="O989" s="6" t="inlineStr"/>
      <c r="P989" s="6" t="inlineStr"/>
      <c r="Q989" s="5" t="inlineStr"/>
      <c r="R989" s="5" t="inlineStr"/>
      <c r="S989" s="5" t="inlineStr"/>
      <c r="T989" s="5" t="inlineStr"/>
      <c r="U989" s="5" t="inlineStr"/>
      <c r="V989" s="5" t="inlineStr"/>
      <c r="W989" s="5" t="inlineStr"/>
      <c r="X989" s="5" t="inlineStr"/>
      <c r="Y989" s="5" t="inlineStr"/>
      <c r="Z989" s="6" t="inlineStr"/>
      <c r="AA989" s="5" t="inlineStr"/>
      <c r="AB989" s="5" t="inlineStr"/>
      <c r="AC989" s="5" t="inlineStr"/>
      <c r="AD989" s="5" t="inlineStr"/>
      <c r="AE989" s="5" t="inlineStr"/>
      <c r="AF989" s="5" t="inlineStr"/>
      <c r="AG989" s="5" t="inlineStr"/>
      <c r="AH989" s="5" t="inlineStr"/>
    </row>
    <row r="990">
      <c r="A990" s="5" t="inlineStr">
        <is>
          <t>b8-bos-yuva</t>
        </is>
      </c>
      <c r="B990" s="5" t="n">
        <v>2</v>
      </c>
      <c r="C990" s="6" t="inlineStr">
        <is>
          <t>Hobi odasına çevir</t>
        </is>
      </c>
      <c r="D990" s="5" t="inlineStr">
        <is>
          <t>Kurnazlık</t>
        </is>
      </c>
      <c r="E990" s="5" t="inlineStr">
        <is>
          <t>Orta</t>
        </is>
      </c>
      <c r="F990" s="5" t="inlineStr"/>
      <c r="G990" s="6" t="inlineStr"/>
      <c r="H990" s="6" t="inlineStr">
        <is>
          <t>Oda hobi odası oldu. Çocuk tatilde gelip 'Benim odam nerede?' dedi. Salonda.</t>
        </is>
      </c>
      <c r="I990" s="6" t="inlineStr">
        <is>
          <t>Oda öyle güzel oldu ki çocuk tatilde gelip orada kalmak istedi. Kiralık olarak değerlendiriliyor.</t>
        </is>
      </c>
      <c r="J990" s="6" t="inlineStr">
        <is>
          <t>Hobi malzemeleri geldi. Oda artık bir depo; hobi hâlâ gelmedi.</t>
        </is>
      </c>
      <c r="K990" s="6" t="inlineStr">
        <is>
          <t>Çocuk dönem arası geldi ve eşyalarını bir kolide buldu. Aile içi bir değerlendirme toplantısı yapıldı.</t>
        </is>
      </c>
      <c r="L990" s="6" t="inlineStr"/>
      <c r="M990" s="5" t="inlineStr"/>
      <c r="N990" s="5" t="inlineStr"/>
      <c r="O990" s="6" t="inlineStr"/>
      <c r="P990" s="6" t="inlineStr"/>
      <c r="Q990" s="5" t="inlineStr"/>
      <c r="R990" s="5" t="inlineStr"/>
      <c r="S990" s="5" t="inlineStr"/>
      <c r="T990" s="5" t="inlineStr"/>
      <c r="U990" s="5" t="inlineStr"/>
      <c r="V990" s="5" t="inlineStr"/>
      <c r="W990" s="5" t="inlineStr"/>
      <c r="X990" s="5" t="inlineStr"/>
      <c r="Y990" s="5" t="inlineStr"/>
      <c r="Z990" s="6" t="inlineStr"/>
      <c r="AA990" s="5" t="inlineStr"/>
      <c r="AB990" s="5" t="inlineStr"/>
      <c r="AC990" s="5" t="inlineStr"/>
      <c r="AD990" s="5" t="inlineStr"/>
      <c r="AE990" s="5" t="inlineStr"/>
      <c r="AF990" s="5" t="inlineStr"/>
      <c r="AG990" s="5" t="inlineStr"/>
      <c r="AH990" s="5" t="inlineStr"/>
    </row>
    <row r="991">
      <c r="A991" s="5" t="inlineStr">
        <is>
          <t>b8-bos-yuva</t>
        </is>
      </c>
      <c r="B991" s="5" t="n">
        <v>3</v>
      </c>
      <c r="C991" s="6" t="inlineStr">
        <is>
          <t>Her gün görüntülü ara</t>
        </is>
      </c>
      <c r="D991" s="5" t="inlineStr">
        <is>
          <t>Sosyal Radar</t>
        </is>
      </c>
      <c r="E991" s="5" t="inlineStr">
        <is>
          <t>Kolay</t>
        </is>
      </c>
      <c r="F991" s="5" t="inlineStr"/>
      <c r="G991" s="6" t="inlineStr"/>
      <c r="H991" s="6" t="inlineStr">
        <is>
          <t>Haftada üç arama. Çocuk telefonu açıyor; bazen gülümsüyor bile.</t>
        </is>
      </c>
      <c r="I991" s="6" t="inlineStr">
        <is>
          <t>Aramaların arasına doğru boşlukları koydun. Çocuk seni kendisi aramaya başladı.</t>
        </is>
      </c>
      <c r="J991" s="6" t="inlineStr">
        <is>
          <t>Her gün aradın. Çocuk artık 'Toplantıdayım' mesajıyla cevap veriyor. Öğrencinin toplantısı yok.</t>
        </is>
      </c>
      <c r="K991" s="6" t="inlineStr">
        <is>
          <t>Görüntülü aradın; ekranda ev arkadaşları vardı. Artık onlar da sana 'Nasılsınız?' diyor.</t>
        </is>
      </c>
      <c r="L991" s="6" t="inlineStr"/>
      <c r="M991" s="5" t="inlineStr"/>
      <c r="N991" s="5" t="inlineStr"/>
      <c r="O991" s="6" t="inlineStr"/>
      <c r="P991" s="6" t="inlineStr"/>
      <c r="Q991" s="5" t="inlineStr"/>
      <c r="R991" s="5" t="inlineStr"/>
      <c r="S991" s="5" t="inlineStr"/>
      <c r="T991" s="5" t="inlineStr"/>
      <c r="U991" s="5" t="inlineStr"/>
      <c r="V991" s="5" t="inlineStr"/>
      <c r="W991" s="5" t="inlineStr"/>
      <c r="X991" s="5" t="inlineStr"/>
      <c r="Y991" s="5" t="inlineStr"/>
      <c r="Z991" s="6" t="inlineStr"/>
      <c r="AA991" s="5" t="inlineStr"/>
      <c r="AB991" s="5" t="inlineStr"/>
      <c r="AC991" s="5" t="inlineStr"/>
      <c r="AD991" s="5" t="inlineStr"/>
      <c r="AE991" s="5" t="inlineStr"/>
      <c r="AF991" s="5" t="inlineStr"/>
      <c r="AG991" s="5" t="inlineStr"/>
      <c r="AH991" s="5" t="inlineStr"/>
    </row>
    <row r="992">
      <c r="A992" s="5" t="inlineStr">
        <is>
          <t>b8-bos-yuva</t>
        </is>
      </c>
      <c r="B992" s="5" t="n">
        <v>4</v>
      </c>
      <c r="C992" s="6" t="inlineStr">
        <is>
          <t>Bir tabağı gizlice odaya koy</t>
        </is>
      </c>
      <c r="D992" s="5" t="inlineStr">
        <is>
          <t>Pişkinlik</t>
        </is>
      </c>
      <c r="E992" s="5" t="inlineStr">
        <is>
          <t>Kolay</t>
        </is>
      </c>
      <c r="F992" s="5" t="inlineStr"/>
      <c r="G992" s="6" t="inlineStr"/>
      <c r="H992" s="6" t="inlineStr">
        <is>
          <t>Tabağı koydun. Oda eski hâline döndü gibi oldu. Kimse bilmiyor; sen biliyorsun.</t>
        </is>
      </c>
      <c r="I992" s="6" t="inlineStr">
        <is>
          <t>Çocuk tatilde geldi, tabağı gördü, güldü: 'Hâlâ burada mı?' Kucaklaşma protokolü uygulandı.</t>
        </is>
      </c>
      <c r="J992" s="6" t="inlineStr">
        <is>
          <t>Tabağı koydun; eşin kaldırdı. İkinci tabak yolda.</t>
        </is>
      </c>
      <c r="K992" s="6" t="inlineStr">
        <is>
          <t>Tabağı koydun, unuttun. Üç hafta sonra yeniden kayıp tabak arıyorsun. Çember tamamlandı.</t>
        </is>
      </c>
      <c r="L992" s="6" t="inlineStr"/>
      <c r="M992" s="5" t="inlineStr"/>
      <c r="N992" s="5" t="inlineStr"/>
      <c r="O992" s="6" t="inlineStr"/>
      <c r="P992" s="6" t="inlineStr"/>
      <c r="Q992" s="5" t="inlineStr"/>
      <c r="R992" s="5" t="inlineStr"/>
      <c r="S992" s="5" t="inlineStr"/>
      <c r="T992" s="5" t="inlineStr"/>
      <c r="U992" s="5" t="inlineStr"/>
      <c r="V992" s="5" t="inlineStr"/>
      <c r="W992" s="5" t="inlineStr"/>
      <c r="X992" s="5" t="inlineStr"/>
      <c r="Y992" s="5" t="inlineStr"/>
      <c r="Z992" s="6" t="inlineStr"/>
      <c r="AA992" s="5" t="inlineStr"/>
      <c r="AB992" s="5" t="inlineStr"/>
      <c r="AC992" s="5" t="inlineStr"/>
      <c r="AD992" s="5" t="inlineStr"/>
      <c r="AE992" s="5" t="inlineStr"/>
      <c r="AF992" s="5" t="inlineStr"/>
      <c r="AG992" s="5" t="inlineStr"/>
      <c r="AH992" s="5" t="inlineStr"/>
    </row>
    <row r="993">
      <c r="A993" s="5" t="inlineStr">
        <is>
          <t>b8-son-taksit</t>
        </is>
      </c>
      <c r="B993" s="5" t="n">
        <v>1</v>
      </c>
      <c r="C993" s="6" t="inlineStr">
        <is>
          <t>Pasta al, kutla</t>
        </is>
      </c>
      <c r="D993" s="5" t="inlineStr"/>
      <c r="E993" s="5" t="inlineStr"/>
      <c r="F993" s="5" t="inlineStr">
        <is>
          <t>İtibar +1, Dayanıklılık +1</t>
        </is>
      </c>
      <c r="G993" s="6" t="inlineStr">
        <is>
          <t>Tapuyla birlikte fotoğraf çektin. Tapu fotoğrafta senden daha iyi çıktı.</t>
        </is>
      </c>
      <c r="H993" s="6" t="inlineStr"/>
      <c r="I993" s="6" t="inlineStr"/>
      <c r="J993" s="6" t="inlineStr"/>
      <c r="K993" s="6" t="inlineStr"/>
      <c r="L993" s="6" t="inlineStr"/>
      <c r="M993" s="5" t="inlineStr"/>
      <c r="N993" s="5" t="inlineStr"/>
      <c r="O993" s="6" t="inlineStr"/>
      <c r="P993" s="6" t="inlineStr"/>
      <c r="Q993" s="5" t="inlineStr"/>
      <c r="R993" s="5" t="inlineStr"/>
      <c r="S993" s="5" t="inlineStr"/>
      <c r="T993" s="5" t="inlineStr"/>
      <c r="U993" s="5" t="inlineStr"/>
      <c r="V993" s="5" t="inlineStr"/>
      <c r="W993" s="5" t="inlineStr"/>
      <c r="X993" s="5" t="inlineStr"/>
      <c r="Y993" s="5" t="inlineStr"/>
      <c r="Z993" s="6" t="inlineStr"/>
      <c r="AA993" s="5" t="inlineStr"/>
      <c r="AB993" s="5" t="inlineStr"/>
      <c r="AC993" s="5" t="inlineStr"/>
      <c r="AD993" s="5" t="inlineStr"/>
      <c r="AE993" s="5" t="inlineStr"/>
      <c r="AF993" s="5" t="inlineStr"/>
      <c r="AG993" s="5" t="inlineStr"/>
      <c r="AH993" s="5" t="inlineStr"/>
    </row>
    <row r="994">
      <c r="A994" s="5" t="inlineStr">
        <is>
          <t>b8-son-taksit</t>
        </is>
      </c>
      <c r="B994" s="5" t="n">
        <v>2</v>
      </c>
      <c r="C994" s="6" t="inlineStr">
        <is>
          <t>Yeni kredi teklifini değerlendir</t>
        </is>
      </c>
      <c r="D994" s="5" t="inlineStr">
        <is>
          <t>Kurnazlık</t>
        </is>
      </c>
      <c r="E994" s="5" t="inlineStr">
        <is>
          <t>Zor</t>
        </is>
      </c>
      <c r="F994" s="5" t="inlineStr"/>
      <c r="G994" s="6" t="inlineStr"/>
      <c r="H994" s="6" t="inlineStr">
        <is>
          <t>Teklifi inceledin, faizi pazarlıkla düşürdün ve yine reddettin. Banka ilk kez seni ciddiye aldı.</t>
        </is>
      </c>
      <c r="I994" s="6" t="inlineStr">
        <is>
          <t>Teklifi kullanıp evi yeniledin; ev değer kazandı. Borcun yine var ama bu kez ilk kez bir planı da var.</t>
        </is>
      </c>
      <c r="J994" s="6" t="inlineStr">
        <is>
          <t>Teklifi imzaladın. Kutlama bir ay sürdü; taksit yirmi yıl sürecek.</t>
        </is>
      </c>
      <c r="K994" s="6" t="inlineStr">
        <is>
          <t>Teklifi imzaladın; yanında gelen sigorta, kart ve bir mutfak robotu da hesaba yazıldı.</t>
        </is>
      </c>
      <c r="L994" s="6" t="inlineStr"/>
      <c r="M994" s="5" t="inlineStr"/>
      <c r="N994" s="5" t="inlineStr"/>
      <c r="O994" s="6" t="inlineStr"/>
      <c r="P994" s="6" t="inlineStr"/>
      <c r="Q994" s="5" t="inlineStr"/>
      <c r="R994" s="5" t="inlineStr"/>
      <c r="S994" s="5" t="inlineStr"/>
      <c r="T994" s="5" t="inlineStr"/>
      <c r="U994" s="5" t="inlineStr"/>
      <c r="V994" s="5" t="inlineStr"/>
      <c r="W994" s="5" t="inlineStr">
        <is>
          <t>borclu</t>
        </is>
      </c>
      <c r="X994" s="5" t="inlineStr"/>
      <c r="Y994" s="5" t="inlineStr"/>
      <c r="Z994" s="6" t="inlineStr"/>
      <c r="AA994" s="5" t="inlineStr"/>
      <c r="AB994" s="5" t="inlineStr"/>
      <c r="AC994" s="5" t="inlineStr"/>
      <c r="AD994" s="5" t="inlineStr"/>
      <c r="AE994" s="5" t="inlineStr"/>
      <c r="AF994" s="5" t="inlineStr"/>
      <c r="AG994" s="5" t="inlineStr"/>
      <c r="AH994" s="5" t="inlineStr"/>
    </row>
    <row r="995">
      <c r="A995" s="5" t="inlineStr">
        <is>
          <t>b8-son-taksit</t>
        </is>
      </c>
      <c r="B995" s="5" t="n">
        <v>3</v>
      </c>
      <c r="C995" s="6" t="inlineStr">
        <is>
          <t>Bankaya teşekkür dilekçesi yaz</t>
        </is>
      </c>
      <c r="D995" s="5" t="inlineStr">
        <is>
          <t>Pişkinlik</t>
        </is>
      </c>
      <c r="E995" s="5" t="inlineStr">
        <is>
          <t>Kolay</t>
        </is>
      </c>
      <c r="F995" s="5" t="inlineStr"/>
      <c r="G995" s="6" t="inlineStr"/>
      <c r="H995" s="6" t="inlineStr">
        <is>
          <t>'Yirmi yıllık birlikteliğimiz için teşekkürler' yazdın. Banka cevabı otomatik gönderdi: 'Kredi teklifimiz geçerlidir.'</t>
        </is>
      </c>
      <c r="I995" s="6" t="inlineStr">
        <is>
          <t>Dilekçen şubede panoya asıldı. Müdür seni aradı ve ilk kez kredi teklif etmedi.</t>
        </is>
      </c>
      <c r="J995" s="6" t="inlineStr">
        <is>
          <t>Dilekçen işleme alınamadı; form numarası eksik.</t>
        </is>
      </c>
      <c r="K995" s="6" t="inlineStr">
        <is>
          <t>Dilekçe yanlışlıkla kredi başvurusu olarak işleme alındı. Onaylandı.</t>
        </is>
      </c>
      <c r="L995" s="6" t="inlineStr"/>
      <c r="M995" s="5" t="inlineStr"/>
      <c r="N995" s="5" t="inlineStr"/>
      <c r="O995" s="6" t="inlineStr"/>
      <c r="P995" s="6" t="inlineStr"/>
      <c r="Q995" s="5" t="inlineStr"/>
      <c r="R995" s="5" t="inlineStr"/>
      <c r="S995" s="5" t="inlineStr"/>
      <c r="T995" s="5" t="inlineStr"/>
      <c r="U995" s="5" t="inlineStr"/>
      <c r="V995" s="5" t="inlineStr"/>
      <c r="W995" s="5" t="inlineStr"/>
      <c r="X995" s="5" t="inlineStr"/>
      <c r="Y995" s="5" t="inlineStr"/>
      <c r="Z995" s="6" t="inlineStr"/>
      <c r="AA995" s="5" t="inlineStr"/>
      <c r="AB995" s="5" t="inlineStr"/>
      <c r="AC995" s="5" t="inlineStr"/>
      <c r="AD995" s="5" t="inlineStr"/>
      <c r="AE995" s="5" t="inlineStr"/>
      <c r="AF995" s="5" t="inlineStr"/>
      <c r="AG995" s="5" t="inlineStr"/>
      <c r="AH995" s="5" t="inlineStr"/>
    </row>
    <row r="996">
      <c r="A996" s="5" t="inlineStr">
        <is>
          <t>b9-yazi-boyutu</t>
        </is>
      </c>
      <c r="B996" s="5" t="n">
        <v>1</v>
      </c>
      <c r="C996" s="6" t="inlineStr">
        <is>
          <t>Yazı boyutunu en büyüğe al</t>
        </is>
      </c>
      <c r="D996" s="5" t="inlineStr"/>
      <c r="E996" s="5" t="inlineStr"/>
      <c r="F996" s="5" t="inlineStr">
        <is>
          <t>Akıl +1</t>
        </is>
      </c>
      <c r="G996" s="6" t="inlineStr">
        <is>
          <t>Yazı boyutu en büyüğe çekildi. Ekrana artık tek seferde bir buçuk kelime sığıyor.</t>
        </is>
      </c>
      <c r="H996" s="6" t="inlineStr"/>
      <c r="I996" s="6" t="inlineStr"/>
      <c r="J996" s="6" t="inlineStr"/>
      <c r="K996" s="6" t="inlineStr"/>
      <c r="L996" s="6" t="inlineStr"/>
      <c r="M996" s="5" t="inlineStr"/>
      <c r="N996" s="5" t="inlineStr"/>
      <c r="O996" s="6" t="inlineStr"/>
      <c r="P996" s="6" t="inlineStr"/>
      <c r="Q996" s="5" t="inlineStr"/>
      <c r="R996" s="5" t="inlineStr"/>
      <c r="S996" s="5" t="inlineStr"/>
      <c r="T996" s="5" t="inlineStr"/>
      <c r="U996" s="5" t="inlineStr"/>
      <c r="V996" s="5" t="inlineStr"/>
      <c r="W996" s="5" t="inlineStr"/>
      <c r="X996" s="5" t="inlineStr"/>
      <c r="Y996" s="5" t="inlineStr"/>
      <c r="Z996" s="6" t="inlineStr"/>
      <c r="AA996" s="5" t="inlineStr"/>
      <c r="AB996" s="5" t="inlineStr"/>
      <c r="AC996" s="5" t="inlineStr"/>
      <c r="AD996" s="5" t="inlineStr"/>
      <c r="AE996" s="5" t="inlineStr"/>
      <c r="AF996" s="5" t="inlineStr"/>
      <c r="AG996" s="5" t="inlineStr"/>
      <c r="AH996" s="5" t="inlineStr"/>
    </row>
    <row r="997">
      <c r="A997" s="5" t="inlineStr">
        <is>
          <t>b9-yazi-boyutu</t>
        </is>
      </c>
      <c r="B997" s="5" t="n">
        <v>2</v>
      </c>
      <c r="C997" s="6" t="inlineStr">
        <is>
          <t>Gözlüğü ara</t>
        </is>
      </c>
      <c r="D997" s="5" t="inlineStr">
        <is>
          <t>Dayanıklılık</t>
        </is>
      </c>
      <c r="E997" s="5" t="inlineStr">
        <is>
          <t>Kolay</t>
        </is>
      </c>
      <c r="F997" s="5" t="inlineStr"/>
      <c r="G997" s="6" t="inlineStr"/>
      <c r="H997" s="6" t="inlineStr">
        <is>
          <t>Gözlüğü buldun, mesajı okudun. Mesaj 'Gözlüğün bende kalmış' idi.</t>
        </is>
      </c>
      <c r="I997" s="6" t="inlineStr">
        <is>
          <t>Gözlüğü ilk denemede buldun. Evde bu olaya dair bir tutanak tutuldu.</t>
        </is>
      </c>
      <c r="J997" s="6" t="inlineStr">
        <is>
          <t>Gözlüğü aradın. Başının üstündeydi. Bunu aynaya bakınca öğrendin.</t>
        </is>
      </c>
      <c r="K997" s="6" t="inlineStr">
        <is>
          <t>Gözlüğü ararken okuma gözlüğü, uzak gözlüğü ve güneş gözlüğü buldun. Hangisi hangisi, bilinmiyor.</t>
        </is>
      </c>
      <c r="L997" s="6" t="inlineStr"/>
      <c r="M997" s="5" t="inlineStr"/>
      <c r="N997" s="5" t="inlineStr"/>
      <c r="O997" s="6" t="inlineStr"/>
      <c r="P997" s="6" t="inlineStr"/>
      <c r="Q997" s="5" t="inlineStr"/>
      <c r="R997" s="5" t="inlineStr"/>
      <c r="S997" s="5" t="inlineStr"/>
      <c r="T997" s="5" t="inlineStr"/>
      <c r="U997" s="5" t="inlineStr"/>
      <c r="V997" s="5" t="inlineStr"/>
      <c r="W997" s="5" t="inlineStr"/>
      <c r="X997" s="5" t="inlineStr"/>
      <c r="Y997" s="5" t="inlineStr"/>
      <c r="Z997" s="6" t="inlineStr"/>
      <c r="AA997" s="5" t="inlineStr"/>
      <c r="AB997" s="5" t="inlineStr"/>
      <c r="AC997" s="5" t="inlineStr"/>
      <c r="AD997" s="5" t="inlineStr"/>
      <c r="AE997" s="5" t="inlineStr"/>
      <c r="AF997" s="5" t="inlineStr"/>
      <c r="AG997" s="5" t="inlineStr"/>
      <c r="AH997" s="5" t="inlineStr"/>
    </row>
    <row r="998">
      <c r="A998" s="5" t="inlineStr">
        <is>
          <t>b9-yazi-boyutu</t>
        </is>
      </c>
      <c r="B998" s="5" t="n">
        <v>3</v>
      </c>
      <c r="C998" s="6" t="inlineStr">
        <is>
          <t>Sesli okuma özelliğini aç</t>
        </is>
      </c>
      <c r="D998" s="5" t="inlineStr">
        <is>
          <t>Akıl</t>
        </is>
      </c>
      <c r="E998" s="5" t="inlineStr">
        <is>
          <t>Orta</t>
        </is>
      </c>
      <c r="F998" s="5" t="inlineStr"/>
      <c r="G998" s="6" t="inlineStr"/>
      <c r="H998" s="6" t="inlineStr">
        <is>
          <t>Telefon mesajı sesli okudu. Robot sesi bile 'Anne, havale yapar mısın' derken tatlıydı.</t>
        </is>
      </c>
      <c r="I998" s="6" t="inlineStr">
        <is>
          <t>Sesli okuma, ekran büyüteci ve karanlık mod. Torunlar artık ayar için sana geliyor.</t>
        </is>
      </c>
      <c r="J998" s="6" t="inlineStr">
        <is>
          <t>Sesli okuma açıldı. Kapanmıyor. Market fişi dahil her şey yüksek sesle okunuyor.</t>
        </is>
      </c>
      <c r="K998" s="6" t="inlineStr">
        <is>
          <t>Sesli okuma otobüste açıldı. Aile grubundaki bütün mesajlar kamuoyuyla paylaşıldı.</t>
        </is>
      </c>
      <c r="L998" s="6" t="inlineStr"/>
      <c r="M998" s="5" t="inlineStr"/>
      <c r="N998" s="5" t="inlineStr"/>
      <c r="O998" s="6" t="inlineStr"/>
      <c r="P998" s="6" t="inlineStr"/>
      <c r="Q998" s="5" t="inlineStr">
        <is>
          <t>Teknoloji Merakı</t>
        </is>
      </c>
      <c r="R998" s="5" t="inlineStr"/>
      <c r="S998" s="5" t="inlineStr"/>
      <c r="T998" s="5" t="inlineStr"/>
      <c r="U998" s="5" t="inlineStr"/>
      <c r="V998" s="5" t="inlineStr"/>
      <c r="W998" s="5" t="inlineStr"/>
      <c r="X998" s="5" t="inlineStr"/>
      <c r="Y998" s="5" t="inlineStr"/>
      <c r="Z998" s="6" t="inlineStr"/>
      <c r="AA998" s="5" t="inlineStr"/>
      <c r="AB998" s="5" t="inlineStr"/>
      <c r="AC998" s="5" t="inlineStr"/>
      <c r="AD998" s="5" t="inlineStr"/>
      <c r="AE998" s="5" t="inlineStr"/>
      <c r="AF998" s="5" t="inlineStr"/>
      <c r="AG998" s="5" t="inlineStr"/>
      <c r="AH998" s="5" t="inlineStr"/>
    </row>
    <row r="999">
      <c r="A999" s="5" t="inlineStr">
        <is>
          <t>b9-gunaydin-gorselleri</t>
        </is>
      </c>
      <c r="B999" s="5" t="n">
        <v>1</v>
      </c>
      <c r="C999" s="6" t="inlineStr">
        <is>
          <t>Her sabah göndermeye devam et</t>
        </is>
      </c>
      <c r="D999" s="5" t="inlineStr"/>
      <c r="E999" s="5" t="inlineStr"/>
      <c r="F999" s="5" t="inlineStr">
        <is>
          <t>Dayanıklılık +2</t>
        </is>
      </c>
      <c r="G999" s="6" t="inlineStr">
        <is>
          <t>Kararlılık gösterdin. Grup bir yıl sonra sana 'Günaydın Bakanı' unvanı verdi.</t>
        </is>
      </c>
      <c r="H999" s="6" t="inlineStr"/>
      <c r="I999" s="6" t="inlineStr"/>
      <c r="J999" s="6" t="inlineStr"/>
      <c r="K999" s="6" t="inlineStr"/>
      <c r="L999" s="6" t="inlineStr"/>
      <c r="M999" s="5" t="inlineStr"/>
      <c r="N999" s="5" t="inlineStr"/>
      <c r="O999" s="6" t="inlineStr"/>
      <c r="P999" s="6" t="inlineStr"/>
      <c r="Q999" s="5" t="inlineStr"/>
      <c r="R999" s="5" t="inlineStr"/>
      <c r="S999" s="5" t="inlineStr"/>
      <c r="T999" s="5" t="inlineStr"/>
      <c r="U999" s="5" t="inlineStr"/>
      <c r="V999" s="5" t="inlineStr"/>
      <c r="W999" s="5" t="inlineStr"/>
      <c r="X999" s="5" t="inlineStr"/>
      <c r="Y999" s="5" t="inlineStr"/>
      <c r="Z999" s="6" t="inlineStr"/>
      <c r="AA999" s="5" t="inlineStr"/>
      <c r="AB999" s="5" t="inlineStr"/>
      <c r="AC999" s="5" t="inlineStr"/>
      <c r="AD999" s="5" t="inlineStr"/>
      <c r="AE999" s="5" t="inlineStr"/>
      <c r="AF999" s="5" t="inlineStr"/>
      <c r="AG999" s="5" t="inlineStr"/>
      <c r="AH999" s="5" t="inlineStr"/>
    </row>
    <row r="1000">
      <c r="A1000" s="5" t="inlineStr">
        <is>
          <t>b9-gunaydin-gorselleri</t>
        </is>
      </c>
      <c r="B1000" s="5" t="n">
        <v>2</v>
      </c>
      <c r="C1000" s="6" t="inlineStr">
        <is>
          <t>Kendi görselini tasarla</t>
        </is>
      </c>
      <c r="D1000" s="5" t="inlineStr">
        <is>
          <t>Pişkinlik</t>
        </is>
      </c>
      <c r="E1000" s="5" t="inlineStr">
        <is>
          <t>Orta</t>
        </is>
      </c>
      <c r="F1000" s="5" t="inlineStr"/>
      <c r="G1000" s="6" t="inlineStr"/>
      <c r="H1000" s="6" t="inlineStr">
        <is>
          <t>Kendi fotoğrafının üstüne 'Güne gülümse' yazdın. Üç kişi kalp bıraktı.</t>
        </is>
      </c>
      <c r="I1000" s="6" t="inlineStr">
        <is>
          <t>Görselin öyle parladı ki başka bir ailenin grubunda bile dolaştı. Telif hakkı talep etmedin.</t>
        </is>
      </c>
      <c r="J1000" s="6" t="inlineStr">
        <is>
          <t>Yazıyı fotoğrafın tam ortasına koydun. Yüzün görünmüyor. Mesaj yerine ulaştı.</t>
        </is>
      </c>
      <c r="K1000" s="6" t="inlineStr">
        <is>
          <t>Görseli tasarlarken yanlışlıkla 'Başsağlığı' şablonunu seçtin. Grupta panik on dakika sürdü.</t>
        </is>
      </c>
      <c r="L1000" s="6" t="inlineStr"/>
      <c r="M1000" s="5" t="inlineStr"/>
      <c r="N1000" s="5" t="inlineStr"/>
      <c r="O1000" s="6" t="inlineStr"/>
      <c r="P1000" s="6" t="inlineStr"/>
      <c r="Q1000" s="5" t="inlineStr"/>
      <c r="R1000" s="5" t="inlineStr"/>
      <c r="S1000" s="5" t="inlineStr"/>
      <c r="T1000" s="5" t="inlineStr"/>
      <c r="U1000" s="5" t="inlineStr"/>
      <c r="V1000" s="5" t="inlineStr"/>
      <c r="W1000" s="5" t="inlineStr"/>
      <c r="X1000" s="5" t="inlineStr"/>
      <c r="Y1000" s="5" t="inlineStr"/>
      <c r="Z1000" s="6" t="inlineStr"/>
      <c r="AA1000" s="5" t="inlineStr"/>
      <c r="AB1000" s="5" t="inlineStr"/>
      <c r="AC1000" s="5" t="inlineStr"/>
      <c r="AD1000" s="5" t="inlineStr"/>
      <c r="AE1000" s="5" t="inlineStr"/>
      <c r="AF1000" s="5" t="inlineStr"/>
      <c r="AG1000" s="5" t="inlineStr"/>
      <c r="AH1000" s="5" t="inlineStr"/>
    </row>
    <row r="1001">
      <c r="A1001" s="5" t="inlineStr">
        <is>
          <t>b9-gunaydin-gorselleri</t>
        </is>
      </c>
      <c r="B1001" s="5" t="n">
        <v>3</v>
      </c>
      <c r="C1001" s="6" t="inlineStr">
        <is>
          <t>'Gizli gruptaki görselleri biliyorum' yaz</t>
        </is>
      </c>
      <c r="D1001" s="5" t="inlineStr">
        <is>
          <t>Sosyal Radar</t>
        </is>
      </c>
      <c r="E1001" s="5" t="inlineStr">
        <is>
          <t>Kolay</t>
        </is>
      </c>
      <c r="F1001" s="5" t="inlineStr"/>
      <c r="G1001" s="6" t="inlineStr"/>
      <c r="H1001" s="6" t="inlineStr">
        <is>
          <t>Grupta derin bir sessizlik oldu. Ertesi sabah yirmi üç kişi 'Günaydın' yazdı.</t>
        </is>
      </c>
      <c r="I1001" s="6" t="inlineStr">
        <is>
          <t>Gizli grubun kurucusu itiraf etti ve seni gruba yönetici olarak ekledi. Artık iki grupta da sen varsın.</t>
        </is>
      </c>
      <c r="J1001" s="6" t="inlineStr">
        <is>
          <t>Mesajı yazdın, kimse anlamadı. 'Hangi grup?' diye soruldu. Şüpheli bir masumiyet.</t>
        </is>
      </c>
      <c r="K1001" s="6" t="inlineStr">
        <is>
          <t>Yanlış gruba yazdın. Apartman grubu şimdi hangi gizli gruptan bahsettiğini soruyor.</t>
        </is>
      </c>
      <c r="L1001" s="6" t="inlineStr"/>
      <c r="M1001" s="5" t="inlineStr"/>
      <c r="N1001" s="5" t="inlineStr"/>
      <c r="O1001" s="6" t="inlineStr"/>
      <c r="P1001" s="6" t="inlineStr"/>
      <c r="Q1001" s="5" t="inlineStr"/>
      <c r="R1001" s="5" t="inlineStr"/>
      <c r="S1001" s="5" t="inlineStr">
        <is>
          <t>Sosyal Radar</t>
        </is>
      </c>
      <c r="T1001" s="5" t="inlineStr"/>
      <c r="U1001" s="5" t="inlineStr"/>
      <c r="V1001" s="5" t="inlineStr"/>
      <c r="W1001" s="5" t="inlineStr"/>
      <c r="X1001" s="5" t="inlineStr"/>
      <c r="Y1001" s="5" t="inlineStr"/>
      <c r="Z1001" s="6" t="inlineStr"/>
      <c r="AA1001" s="5" t="inlineStr"/>
      <c r="AB1001" s="5" t="inlineStr"/>
      <c r="AC1001" s="5" t="inlineStr"/>
      <c r="AD1001" s="5" t="inlineStr"/>
      <c r="AE1001" s="5" t="inlineStr"/>
      <c r="AF1001" s="5" t="inlineStr"/>
      <c r="AG1001" s="5" t="inlineStr"/>
      <c r="AH1001" s="5" t="inlineStr"/>
    </row>
    <row r="1002">
      <c r="A1002" s="5" t="inlineStr">
        <is>
          <t>b9-sabah-yuruyusu</t>
        </is>
      </c>
      <c r="B1002" s="5" t="n">
        <v>1</v>
      </c>
      <c r="C1002" s="6" t="inlineStr">
        <is>
          <t>En öne geç</t>
        </is>
      </c>
      <c r="D1002" s="5" t="inlineStr">
        <is>
          <t>Dayanıklılık</t>
        </is>
      </c>
      <c r="E1002" s="5" t="inlineStr">
        <is>
          <t>Orta</t>
        </is>
      </c>
      <c r="F1002" s="5" t="inlineStr"/>
      <c r="G1002" s="6" t="inlineStr"/>
      <c r="H1002" s="6" t="inlineStr">
        <is>
          <t>En öne geçtin. O sabahın gündemi senin seçtiğin konu: belediyenin kaldırım projesi.</t>
        </is>
      </c>
      <c r="I1002" s="6" t="inlineStr">
        <is>
          <t>Grubu öyle hızlı çektin ki iki kişi koşuya geçti. Grup adını 'Tempo'ya çevirdi.</t>
        </is>
      </c>
      <c r="J1002" s="6" t="inlineStr">
        <is>
          <t>En öne geçmeye çalıştın; ikinci turda dördüncü sıraya düştün. Gündem seni konu aldı.</t>
        </is>
      </c>
      <c r="K1002" s="6" t="inlineStr">
        <is>
          <t>Hızlanırken yanlış yola saptın. Grup bir sonraki sabah 'Kaybolan Üye' başlıklı bir oturum düzenledi.</t>
        </is>
      </c>
      <c r="L1002" s="6" t="inlineStr">
        <is>
          <t>Grubun ortasında kaldın. Gündemi duyuyorsun ama katkı sunamıyorsun.</t>
        </is>
      </c>
      <c r="M1002" s="5" t="inlineStr">
        <is>
          <t>race</t>
        </is>
      </c>
      <c r="N1002" s="5" t="inlineStr">
        <is>
          <t>Tempo Yarışı</t>
        </is>
      </c>
      <c r="O1002" s="6" t="inlineStr">
        <is>
          <t>Grubun en önüne geçmek için hızlı dokun. Ama unutma, bu resmî olarak bir yarış değil.</t>
        </is>
      </c>
      <c r="P1002" s="6" t="inlineStr"/>
      <c r="Q1002" s="5" t="inlineStr"/>
      <c r="R1002" s="5" t="inlineStr"/>
      <c r="S1002" s="5" t="inlineStr"/>
      <c r="T1002" s="5" t="inlineStr"/>
      <c r="U1002" s="5" t="inlineStr"/>
      <c r="V1002" s="5" t="inlineStr">
        <is>
          <t>yuruyus-grubu</t>
        </is>
      </c>
      <c r="W1002" s="5" t="inlineStr"/>
      <c r="X1002" s="5" t="inlineStr"/>
      <c r="Y1002" s="5" t="inlineStr"/>
      <c r="Z1002" s="6" t="inlineStr"/>
      <c r="AA1002" s="5" t="inlineStr"/>
      <c r="AB1002" s="5" t="inlineStr"/>
      <c r="AC1002" s="5" t="inlineStr"/>
      <c r="AD1002" s="5" t="inlineStr"/>
      <c r="AE1002" s="5" t="inlineStr"/>
      <c r="AF1002" s="5" t="inlineStr"/>
      <c r="AG1002" s="5" t="inlineStr"/>
      <c r="AH1002" s="5" t="inlineStr"/>
    </row>
    <row r="1003">
      <c r="A1003" s="5" t="inlineStr">
        <is>
          <t>b9-sabah-yuruyusu</t>
        </is>
      </c>
      <c r="B1003" s="5" t="n">
        <v>2</v>
      </c>
      <c r="C1003" s="6" t="inlineStr">
        <is>
          <t>Arkada yürü, dinle</t>
        </is>
      </c>
      <c r="D1003" s="5" t="inlineStr"/>
      <c r="E1003" s="5" t="inlineStr"/>
      <c r="F1003" s="5" t="inlineStr">
        <is>
          <t>Sosyal Radar +2</t>
        </is>
      </c>
      <c r="G1003" s="6" t="inlineStr">
        <is>
          <t>Arkada yürüdün. Mahallenin üç boşanmasını, bir tayinini ve bir kombi arızasını öğrendin.</t>
        </is>
      </c>
      <c r="H1003" s="6" t="inlineStr"/>
      <c r="I1003" s="6" t="inlineStr"/>
      <c r="J1003" s="6" t="inlineStr"/>
      <c r="K1003" s="6" t="inlineStr"/>
      <c r="L1003" s="6" t="inlineStr"/>
      <c r="M1003" s="5" t="inlineStr"/>
      <c r="N1003" s="5" t="inlineStr"/>
      <c r="O1003" s="6" t="inlineStr"/>
      <c r="P1003" s="6" t="inlineStr"/>
      <c r="Q1003" s="5" t="inlineStr"/>
      <c r="R1003" s="5" t="inlineStr"/>
      <c r="S1003" s="5" t="inlineStr"/>
      <c r="T1003" s="5" t="inlineStr"/>
      <c r="U1003" s="5" t="inlineStr"/>
      <c r="V1003" s="5" t="inlineStr"/>
      <c r="W1003" s="5" t="inlineStr"/>
      <c r="X1003" s="5" t="inlineStr"/>
      <c r="Y1003" s="5" t="inlineStr"/>
      <c r="Z1003" s="6" t="inlineStr"/>
      <c r="AA1003" s="5" t="inlineStr"/>
      <c r="AB1003" s="5" t="inlineStr"/>
      <c r="AC1003" s="5" t="inlineStr"/>
      <c r="AD1003" s="5" t="inlineStr"/>
      <c r="AE1003" s="5" t="inlineStr"/>
      <c r="AF1003" s="5" t="inlineStr"/>
      <c r="AG1003" s="5" t="inlineStr"/>
      <c r="AH1003" s="5" t="inlineStr"/>
    </row>
    <row r="1004">
      <c r="A1004" s="5" t="inlineStr">
        <is>
          <t>b9-sabah-yuruyusu</t>
        </is>
      </c>
      <c r="B1004" s="5" t="n">
        <v>3</v>
      </c>
      <c r="C1004" s="6" t="inlineStr">
        <is>
          <t>Grubu düzenle</t>
        </is>
      </c>
      <c r="D1004" s="5" t="inlineStr">
        <is>
          <t>Çene</t>
        </is>
      </c>
      <c r="E1004" s="5" t="inlineStr">
        <is>
          <t>Orta</t>
        </is>
      </c>
      <c r="F1004" s="5" t="inlineStr"/>
      <c r="G1004" s="6" t="inlineStr"/>
      <c r="H1004" s="6" t="inlineStr">
        <is>
          <t>Grup için bir mesaj grubu kurdun. Yürüyüş artık hem parkta hem telefonda yapılıyor.</t>
        </is>
      </c>
      <c r="I1004" s="6" t="inlineStr">
        <is>
          <t>Grubun tüzüğünü yazdın. Madde dört: 'Konu açan, konuyu kapatır.' Kabul edildi.</t>
        </is>
      </c>
      <c r="J1004" s="6" t="inlineStr">
        <is>
          <t>Yürüyüş saatini yediye çektin. Eski üyeler altıda ayrı bir grup kurdu.</t>
        </is>
      </c>
      <c r="K1004" s="6" t="inlineStr">
        <is>
          <t>Düzenlediğin yürüyüş rotası bir inşaat alanından geçiyordu. Grup sana hâlâ baret takıyor.</t>
        </is>
      </c>
      <c r="L1004" s="6" t="inlineStr"/>
      <c r="M1004" s="5" t="inlineStr"/>
      <c r="N1004" s="5" t="inlineStr"/>
      <c r="O1004" s="6" t="inlineStr"/>
      <c r="P1004" s="6" t="inlineStr"/>
      <c r="Q1004" s="5" t="inlineStr">
        <is>
          <t>Organizatör</t>
        </is>
      </c>
      <c r="R1004" s="5" t="inlineStr"/>
      <c r="S1004" s="5" t="inlineStr"/>
      <c r="T1004" s="5" t="inlineStr"/>
      <c r="U1004" s="5" t="inlineStr"/>
      <c r="V1004" s="5" t="inlineStr">
        <is>
          <t>yuruyus-grubu</t>
        </is>
      </c>
      <c r="W1004" s="5" t="inlineStr"/>
      <c r="X1004" s="5" t="inlineStr"/>
      <c r="Y1004" s="5" t="inlineStr"/>
      <c r="Z1004" s="6" t="inlineStr"/>
      <c r="AA1004" s="5" t="inlineStr"/>
      <c r="AB1004" s="5" t="inlineStr"/>
      <c r="AC1004" s="5" t="inlineStr"/>
      <c r="AD1004" s="5" t="inlineStr"/>
      <c r="AE1004" s="5" t="inlineStr"/>
      <c r="AF1004" s="5" t="inlineStr"/>
      <c r="AG1004" s="5" t="inlineStr"/>
      <c r="AH1004" s="5" t="inlineStr"/>
    </row>
    <row r="1005">
      <c r="A1005" s="5" t="inlineStr">
        <is>
          <t>mb-emeklilik-hesabi</t>
        </is>
      </c>
      <c r="B1005" s="5" t="n">
        <v>1</v>
      </c>
      <c r="C1005" s="6" t="inlineStr">
        <is>
          <t>Tarihi kabul et</t>
        </is>
      </c>
      <c r="D1005" s="5" t="inlineStr"/>
      <c r="E1005" s="5" t="inlineStr"/>
      <c r="F1005" s="5" t="inlineStr">
        <is>
          <t>Dayanıklılık +1</t>
        </is>
      </c>
      <c r="G1005" s="6" t="inlineStr">
        <is>
          <t>Tarih üç yıl ileride. Masaya bir geri sayım yapıştırdın. Rakam küçülmüyor gibi.</t>
        </is>
      </c>
      <c r="H1005" s="6" t="inlineStr"/>
      <c r="I1005" s="6" t="inlineStr"/>
      <c r="J1005" s="6" t="inlineStr"/>
      <c r="K1005" s="6" t="inlineStr"/>
      <c r="L1005" s="6" t="inlineStr"/>
      <c r="M1005" s="5" t="inlineStr"/>
      <c r="N1005" s="5" t="inlineStr"/>
      <c r="O1005" s="6" t="inlineStr"/>
      <c r="P1005" s="6" t="inlineStr"/>
      <c r="Q1005" s="5" t="inlineStr"/>
      <c r="R1005" s="5" t="inlineStr"/>
      <c r="S1005" s="5" t="inlineStr"/>
      <c r="T1005" s="5" t="inlineStr"/>
      <c r="U1005" s="5" t="inlineStr"/>
      <c r="V1005" s="5" t="inlineStr"/>
      <c r="W1005" s="5" t="inlineStr"/>
      <c r="X1005" s="5" t="inlineStr"/>
      <c r="Y1005" s="5" t="inlineStr"/>
      <c r="Z1005" s="6" t="inlineStr"/>
      <c r="AA1005" s="5" t="inlineStr"/>
      <c r="AB1005" s="5" t="inlineStr"/>
      <c r="AC1005" s="5" t="inlineStr"/>
      <c r="AD1005" s="5" t="inlineStr"/>
      <c r="AE1005" s="5" t="inlineStr"/>
      <c r="AF1005" s="5" t="inlineStr"/>
      <c r="AG1005" s="5" t="inlineStr"/>
      <c r="AH1005" s="5" t="inlineStr"/>
    </row>
    <row r="1006">
      <c r="A1006" s="5" t="inlineStr">
        <is>
          <t>mb-emeklilik-hesabi</t>
        </is>
      </c>
      <c r="B1006" s="5" t="n">
        <v>2</v>
      </c>
      <c r="C1006" s="6" t="inlineStr">
        <is>
          <t>Staj yılının kaydını iste</t>
        </is>
      </c>
      <c r="D1006" s="5" t="inlineStr">
        <is>
          <t>Akıl</t>
        </is>
      </c>
      <c r="E1006" s="5" t="inlineStr">
        <is>
          <t>Orta</t>
        </is>
      </c>
      <c r="F1006" s="5" t="inlineStr"/>
      <c r="G1006" s="6" t="inlineStr"/>
      <c r="H1006" s="6" t="inlineStr">
        <is>
          <t>Stajyerken yatırılan primi buldun. Emekliliğin bir yıl öne çekildi.</t>
        </is>
      </c>
      <c r="I1006" s="6" t="inlineStr">
        <is>
          <t>Staj kaydıyla birlikte unutulmuş bir yarı zamanlı iş de çıktı. Tarih iki yıl öne geldi.</t>
        </is>
      </c>
      <c r="J1006" s="6" t="inlineStr">
        <is>
          <t>Kayıt bulundu ama 'başka bir birimde' duruyor. O birim taşınmış.</t>
        </is>
      </c>
      <c r="K1006" s="6" t="inlineStr">
        <is>
          <t>Kaydı aradılar ve buldular: stajın hiç işlenmemiş. Tarih bir yıl ileri kaydı.</t>
        </is>
      </c>
      <c r="L1006" s="6" t="inlineStr"/>
      <c r="M1006" s="5" t="inlineStr"/>
      <c r="N1006" s="5" t="inlineStr"/>
      <c r="O1006" s="6" t="inlineStr"/>
      <c r="P1006" s="6" t="inlineStr"/>
      <c r="Q1006" s="5" t="inlineStr"/>
      <c r="R1006" s="5" t="inlineStr"/>
      <c r="S1006" s="5" t="inlineStr">
        <is>
          <t>Akıl</t>
        </is>
      </c>
      <c r="T1006" s="5" t="inlineStr"/>
      <c r="U1006" s="5" t="inlineStr"/>
      <c r="V1006" s="5" t="inlineStr"/>
      <c r="W1006" s="5" t="inlineStr"/>
      <c r="X1006" s="5" t="inlineStr"/>
      <c r="Y1006" s="5" t="inlineStr"/>
      <c r="Z1006" s="6" t="inlineStr"/>
      <c r="AA1006" s="5" t="inlineStr"/>
      <c r="AB1006" s="5" t="inlineStr"/>
      <c r="AC1006" s="5" t="inlineStr"/>
      <c r="AD1006" s="5" t="inlineStr"/>
      <c r="AE1006" s="5" t="inlineStr"/>
      <c r="AF1006" s="5" t="inlineStr"/>
      <c r="AG1006" s="5" t="inlineStr"/>
      <c r="AH1006" s="5" t="inlineStr"/>
    </row>
    <row r="1007">
      <c r="A1007" s="5" t="inlineStr">
        <is>
          <t>mb-emeklilik-hesabi</t>
        </is>
      </c>
      <c r="B1007" s="5" t="n">
        <v>3</v>
      </c>
      <c r="C1007" s="6" t="inlineStr">
        <is>
          <t>Yarı zamanlı danışmanlık planla</t>
        </is>
      </c>
      <c r="D1007" s="5" t="inlineStr">
        <is>
          <t>Kurnazlık</t>
        </is>
      </c>
      <c r="E1007" s="5" t="inlineStr">
        <is>
          <t>Kolay</t>
        </is>
      </c>
      <c r="F1007" s="5" t="inlineStr"/>
      <c r="G1007" s="6" t="inlineStr"/>
      <c r="H1007" s="6" t="inlineStr">
        <is>
          <t>Emekli olup aynı işi danışman olarak yapacaksın. Aynı masa, farklı unvan, saat ücreti.</t>
        </is>
      </c>
      <c r="I1007" s="6" t="inlineStr">
        <is>
          <t>Danışmanlık teklifini daha emekli olmadan imzalattın. Kıdem tazminatı ve saat ücreti bir arada.</t>
        </is>
      </c>
      <c r="J1007" s="6" t="inlineStr">
        <is>
          <t>Plan yaptın; şirket danışmanları kaldırdı. Yerine araçlar geldi.</t>
        </is>
      </c>
      <c r="K1007" s="6" t="inlineStr">
        <is>
          <t>Danışmanlık teklifini kendi yöneticine gönderdin. Yöneticin bunu istifa sandı.</t>
        </is>
      </c>
      <c r="L1007" s="6" t="inlineStr"/>
      <c r="M1007" s="5" t="inlineStr"/>
      <c r="N1007" s="5" t="inlineStr"/>
      <c r="O1007" s="6" t="inlineStr"/>
      <c r="P1007" s="6" t="inlineStr"/>
      <c r="Q1007" s="5" t="inlineStr">
        <is>
          <t>Plaza Diplomatı</t>
        </is>
      </c>
      <c r="R1007" s="5" t="inlineStr"/>
      <c r="S1007" s="5" t="inlineStr"/>
      <c r="T1007" s="5" t="inlineStr"/>
      <c r="U1007" s="5" t="inlineStr"/>
      <c r="V1007" s="5" t="inlineStr"/>
      <c r="W1007" s="5" t="inlineStr"/>
      <c r="X1007" s="5" t="inlineStr"/>
      <c r="Y1007" s="5" t="inlineStr"/>
      <c r="Z1007" s="6" t="inlineStr"/>
      <c r="AA1007" s="5" t="inlineStr"/>
      <c r="AB1007" s="5" t="inlineStr"/>
      <c r="AC1007" s="5" t="inlineStr"/>
      <c r="AD1007" s="5" t="inlineStr"/>
      <c r="AE1007" s="5" t="inlineStr"/>
      <c r="AF1007" s="5" t="inlineStr"/>
      <c r="AG1007" s="5" t="inlineStr"/>
      <c r="AH1007" s="5" t="inlineStr"/>
    </row>
    <row r="1008">
      <c r="A1008" s="5" t="inlineStr">
        <is>
          <t>mm-gun-sayaci</t>
        </is>
      </c>
      <c r="B1008" s="5" t="n">
        <v>1</v>
      </c>
      <c r="C1008" s="6" t="inlineStr">
        <is>
          <t>Bir çizgi daha çek</t>
        </is>
      </c>
      <c r="D1008" s="5" t="inlineStr"/>
      <c r="E1008" s="5" t="inlineStr"/>
      <c r="F1008" s="5" t="inlineStr">
        <is>
          <t>Dayanıklılık +1</t>
        </is>
      </c>
      <c r="G1008" s="6" t="inlineStr">
        <is>
          <t>Kalan gün azalıyor; kâğıttaki çizgiler ağırlaşıyor.</t>
        </is>
      </c>
      <c r="H1008" s="6" t="inlineStr"/>
      <c r="I1008" s="6" t="inlineStr"/>
      <c r="J1008" s="6" t="inlineStr"/>
      <c r="K1008" s="6" t="inlineStr"/>
      <c r="L1008" s="6" t="inlineStr"/>
      <c r="M1008" s="5" t="inlineStr"/>
      <c r="N1008" s="5" t="inlineStr"/>
      <c r="O1008" s="6" t="inlineStr"/>
      <c r="P1008" s="6" t="inlineStr"/>
      <c r="Q1008" s="5" t="inlineStr"/>
      <c r="R1008" s="5" t="inlineStr"/>
      <c r="S1008" s="5" t="inlineStr"/>
      <c r="T1008" s="5" t="inlineStr"/>
      <c r="U1008" s="5" t="inlineStr"/>
      <c r="V1008" s="5" t="inlineStr"/>
      <c r="W1008" s="5" t="inlineStr"/>
      <c r="X1008" s="5" t="inlineStr"/>
      <c r="Y1008" s="5" t="inlineStr"/>
      <c r="Z1008" s="6" t="inlineStr"/>
      <c r="AA1008" s="5" t="inlineStr"/>
      <c r="AB1008" s="5" t="inlineStr"/>
      <c r="AC1008" s="5" t="inlineStr"/>
      <c r="AD1008" s="5" t="inlineStr"/>
      <c r="AE1008" s="5" t="inlineStr"/>
      <c r="AF1008" s="5" t="inlineStr"/>
      <c r="AG1008" s="5" t="inlineStr"/>
      <c r="AH1008" s="5" t="inlineStr"/>
    </row>
    <row r="1009">
      <c r="A1009" s="5" t="inlineStr">
        <is>
          <t>mm-gun-sayaci</t>
        </is>
      </c>
      <c r="B1009" s="5" t="n">
        <v>2</v>
      </c>
      <c r="C1009" s="6" t="inlineStr">
        <is>
          <t>Sayacı bilgisayara taşı</t>
        </is>
      </c>
      <c r="D1009" s="5" t="inlineStr">
        <is>
          <t>Akıl</t>
        </is>
      </c>
      <c r="E1009" s="5" t="inlineStr">
        <is>
          <t>Kolay</t>
        </is>
      </c>
      <c r="F1009" s="5" t="inlineStr"/>
      <c r="G1009" s="6" t="inlineStr"/>
      <c r="H1009" s="6" t="inlineStr">
        <is>
          <t>Saat, dakika, saniye. Mesai 17.00'de bittiğinde ekranda küçük bir tören oluyor.</t>
        </is>
      </c>
      <c r="I1009" s="6" t="inlineStr">
        <is>
          <t>Sayacın bütün birime yayıldı. Daire artık her sabah ortak bir geri sayımla açılıyor.</t>
        </is>
      </c>
      <c r="J1009" s="6" t="inlineStr">
        <is>
          <t>Sistem çöktüğünde sayaç da sıfırlandı. Kalan gün: bilinmiyor.</t>
        </is>
      </c>
      <c r="K1009" s="6" t="inlineStr">
        <is>
          <t>Sayacı yanlış ayarladın. Ekrana göre emekliliğe üç yıl daha var. Kâğıt haklıydı, ama sen artık ekrana inanıyorsun.</t>
        </is>
      </c>
      <c r="L1009" s="6" t="inlineStr"/>
      <c r="M1009" s="5" t="inlineStr"/>
      <c r="N1009" s="5" t="inlineStr"/>
      <c r="O1009" s="6" t="inlineStr"/>
      <c r="P1009" s="6" t="inlineStr"/>
      <c r="Q1009" s="5" t="inlineStr"/>
      <c r="R1009" s="5" t="inlineStr"/>
      <c r="S1009" s="5" t="inlineStr"/>
      <c r="T1009" s="5" t="inlineStr"/>
      <c r="U1009" s="5" t="inlineStr"/>
      <c r="V1009" s="5" t="inlineStr"/>
      <c r="W1009" s="5" t="inlineStr"/>
      <c r="X1009" s="5" t="inlineStr"/>
      <c r="Y1009" s="5" t="inlineStr"/>
      <c r="Z1009" s="6" t="inlineStr"/>
      <c r="AA1009" s="5" t="inlineStr"/>
      <c r="AB1009" s="5" t="inlineStr"/>
      <c r="AC1009" s="5" t="inlineStr"/>
      <c r="AD1009" s="5" t="inlineStr"/>
      <c r="AE1009" s="5" t="inlineStr"/>
      <c r="AF1009" s="5" t="inlineStr"/>
      <c r="AG1009" s="5" t="inlineStr"/>
      <c r="AH1009" s="5" t="inlineStr"/>
    </row>
    <row r="1010">
      <c r="A1010" s="5" t="inlineStr">
        <is>
          <t>mm-gun-sayaci</t>
        </is>
      </c>
      <c r="B1010" s="5" t="n">
        <v>3</v>
      </c>
      <c r="C1010" s="6" t="inlineStr">
        <is>
          <t>Yan masayla yarış başlat</t>
        </is>
      </c>
      <c r="D1010" s="5" t="inlineStr">
        <is>
          <t>Çene</t>
        </is>
      </c>
      <c r="E1010" s="5" t="inlineStr">
        <is>
          <t>Orta</t>
        </is>
      </c>
      <c r="F1010" s="5" t="inlineStr"/>
      <c r="G1010" s="6" t="inlineStr"/>
      <c r="H1010" s="6" t="inlineStr">
        <is>
          <t>'Kim önce emekli olacak' yarışını duyurdun. Birim ikiye bölündü; verimlilik arttı.</t>
        </is>
      </c>
      <c r="I1010" s="6" t="inlineStr">
        <is>
          <t>Yan masayla ortak geri sayım panosu kurdunuz. Müdür bile her sabah bir çizgi çekiyor.</t>
        </is>
      </c>
      <c r="J1010" s="6" t="inlineStr">
        <is>
          <t>Yan masa kazandı. Tabii ki. Üç yüz gün öndeydi.</t>
        </is>
      </c>
      <c r="K1010" s="6" t="inlineStr">
        <is>
          <t>Yarış öyle kızıştı ki yan masa emeklilik dilekçesini erken verdi. Onun dosyaları artık sende.</t>
        </is>
      </c>
      <c r="L1010" s="6" t="inlineStr"/>
      <c r="M1010" s="5" t="inlineStr"/>
      <c r="N1010" s="5" t="inlineStr"/>
      <c r="O1010" s="6" t="inlineStr"/>
      <c r="P1010" s="6" t="inlineStr"/>
      <c r="Q1010" s="5" t="inlineStr"/>
      <c r="R1010" s="5" t="inlineStr"/>
      <c r="S1010" s="5" t="inlineStr">
        <is>
          <t>Sosyal Radar</t>
        </is>
      </c>
      <c r="T1010" s="5" t="inlineStr"/>
      <c r="U1010" s="5" t="inlineStr"/>
      <c r="V1010" s="5" t="inlineStr"/>
      <c r="W1010" s="5" t="inlineStr"/>
      <c r="X1010" s="5" t="inlineStr"/>
      <c r="Y1010" s="5" t="inlineStr"/>
      <c r="Z1010" s="6" t="inlineStr"/>
      <c r="AA1010" s="5" t="inlineStr"/>
      <c r="AB1010" s="5" t="inlineStr"/>
      <c r="AC1010" s="5" t="inlineStr"/>
      <c r="AD1010" s="5" t="inlineStr"/>
      <c r="AE1010" s="5" t="inlineStr"/>
      <c r="AF1010" s="5" t="inlineStr"/>
      <c r="AG1010" s="5" t="inlineStr"/>
      <c r="AH1010" s="5" t="inlineStr"/>
    </row>
    <row r="1011">
      <c r="A1011" s="5" t="inlineStr">
        <is>
          <t>mm-gun-sayaci</t>
        </is>
      </c>
      <c r="B1011" s="5" t="n">
        <v>4</v>
      </c>
      <c r="C1011" s="6" t="inlineStr">
        <is>
          <t>Hizmet borçlanmasını hesapla</t>
        </is>
      </c>
      <c r="D1011" s="5" t="inlineStr">
        <is>
          <t>Akıl</t>
        </is>
      </c>
      <c r="E1011" s="5" t="inlineStr">
        <is>
          <t>Orta</t>
        </is>
      </c>
      <c r="F1011" s="5" t="inlineStr"/>
      <c r="G1011" s="6" t="inlineStr"/>
      <c r="H1011" s="6" t="inlineStr">
        <is>
          <t>Staj ve eski hizmet sürelerini ekledin. Sayaç bir gecede dört yüz gün eksildi.</t>
        </is>
      </c>
      <c r="I1011" s="6" t="inlineStr">
        <is>
          <t>Mevzuatta öyle bir madde buldun ki emekliliğin iki yıl öne çekildi. Kâğıdı yeniden yazman gerekti.</t>
        </is>
      </c>
      <c r="J1011" s="6" t="inlineStr">
        <is>
          <t>Hesap doğru ama borçlanma bedeli bir arabalık. Sayaç yerinde, hayal yerinde.</t>
        </is>
      </c>
      <c r="K1011" s="6" t="inlineStr">
        <is>
          <t>Hesabı yaparken yeni bir değişikliği gözden kaçırdın. Sayaç iki yüz gün arttı.</t>
        </is>
      </c>
      <c r="L1011" s="6" t="inlineStr"/>
      <c r="M1011" s="5" t="inlineStr"/>
      <c r="N1011" s="5" t="inlineStr"/>
      <c r="O1011" s="6" t="inlineStr"/>
      <c r="P1011" s="6" t="inlineStr"/>
      <c r="Q1011" s="5" t="inlineStr">
        <is>
          <t>Mevzuat Kalkanı</t>
        </is>
      </c>
      <c r="R1011" s="5" t="inlineStr"/>
      <c r="S1011" s="5" t="inlineStr"/>
      <c r="T1011" s="5" t="inlineStr"/>
      <c r="U1011" s="5" t="inlineStr"/>
      <c r="V1011" s="5" t="inlineStr"/>
      <c r="W1011" s="5" t="inlineStr"/>
      <c r="X1011" s="5" t="inlineStr"/>
      <c r="Y1011" s="5" t="inlineStr"/>
      <c r="Z1011" s="6" t="inlineStr"/>
      <c r="AA1011" s="5" t="inlineStr"/>
      <c r="AB1011" s="5" t="inlineStr"/>
      <c r="AC1011" s="5" t="inlineStr"/>
      <c r="AD1011" s="5" t="inlineStr"/>
      <c r="AE1011" s="5" t="inlineStr"/>
      <c r="AF1011" s="5" t="inlineStr"/>
      <c r="AG1011" s="5" t="inlineStr"/>
      <c r="AH1011" s="5" t="inlineStr"/>
    </row>
    <row r="1012">
      <c r="A1012" s="5" t="inlineStr">
        <is>
          <t>b9-doktor-randevusu</t>
        </is>
      </c>
      <c r="B1012" s="5" t="n">
        <v>1</v>
      </c>
      <c r="C1012" s="6" t="inlineStr">
        <is>
          <t>Gece yarısı iptal avına çık</t>
        </is>
      </c>
      <c r="D1012" s="5" t="inlineStr">
        <is>
          <t>Akıl</t>
        </is>
      </c>
      <c r="E1012" s="5" t="inlineStr">
        <is>
          <t>Zor</t>
        </is>
      </c>
      <c r="F1012" s="5" t="inlineStr"/>
      <c r="G1012" s="6" t="inlineStr"/>
      <c r="H1012" s="6" t="inlineStr">
        <is>
          <t>Gece 02.14'te bir iptal yakaladın. Ertesi gün muayenedeydin. Uykusuz ama muayenede.</t>
        </is>
      </c>
      <c r="I1012" s="6" t="inlineStr">
        <is>
          <t>İptalleri sezmeye başladın. Artık akrabalar da randevu için seni arıyor. Mesai saatin gece.</t>
        </is>
      </c>
      <c r="J1012" s="6" t="inlineStr">
        <is>
          <t>İptali gördün, dokundun, 'İşlem zaman aşımına uğradı' dedi uygulama.</t>
        </is>
      </c>
      <c r="K1012" s="6" t="inlineStr">
        <is>
          <t>Gece uyanık kaldın, sabah uyuyakaldın. Kendi aldığın randevuyu kaçırdın.</t>
        </is>
      </c>
      <c r="L1012" s="6" t="inlineStr"/>
      <c r="M1012" s="5" t="inlineStr"/>
      <c r="N1012" s="5" t="inlineStr"/>
      <c r="O1012" s="6" t="inlineStr"/>
      <c r="P1012" s="6" t="inlineStr"/>
      <c r="Q1012" s="5" t="inlineStr"/>
      <c r="R1012" s="5" t="inlineStr"/>
      <c r="S1012" s="5" t="inlineStr"/>
      <c r="T1012" s="5" t="inlineStr">
        <is>
          <t>Randevu Avcısı</t>
        </is>
      </c>
      <c r="U1012" s="5" t="inlineStr"/>
      <c r="V1012" s="5" t="inlineStr"/>
      <c r="W1012" s="5" t="inlineStr"/>
      <c r="X1012" s="5" t="inlineStr"/>
      <c r="Y1012" s="5" t="inlineStr"/>
      <c r="Z1012" s="6" t="inlineStr"/>
      <c r="AA1012" s="5" t="inlineStr"/>
      <c r="AB1012" s="5" t="inlineStr"/>
      <c r="AC1012" s="5" t="inlineStr"/>
      <c r="AD1012" s="5" t="inlineStr"/>
      <c r="AE1012" s="5" t="inlineStr"/>
      <c r="AF1012" s="5" t="inlineStr"/>
      <c r="AG1012" s="5" t="inlineStr"/>
      <c r="AH1012" s="5" t="inlineStr"/>
    </row>
    <row r="1013">
      <c r="A1013" s="5" t="inlineStr">
        <is>
          <t>b9-doktor-randevusu</t>
        </is>
      </c>
      <c r="B1013" s="5" t="n">
        <v>2</v>
      </c>
      <c r="C1013" s="6" t="inlineStr">
        <is>
          <t>Hastaneye bizzat git</t>
        </is>
      </c>
      <c r="D1013" s="5" t="inlineStr"/>
      <c r="E1013" s="5" t="inlineStr"/>
      <c r="F1013" s="5" t="inlineStr">
        <is>
          <t>Dayanıklılık +2</t>
        </is>
      </c>
      <c r="G1013" s="6" t="inlineStr">
        <is>
          <t>Hastaneye gittin. Kapıda sana bir kâğıt verildi. Kâğıtta uygulamanın adresi yazıyordu.</t>
        </is>
      </c>
      <c r="H1013" s="6" t="inlineStr"/>
      <c r="I1013" s="6" t="inlineStr"/>
      <c r="J1013" s="6" t="inlineStr"/>
      <c r="K1013" s="6" t="inlineStr"/>
      <c r="L1013" s="6" t="inlineStr"/>
      <c r="M1013" s="5" t="inlineStr"/>
      <c r="N1013" s="5" t="inlineStr"/>
      <c r="O1013" s="6" t="inlineStr"/>
      <c r="P1013" s="6" t="inlineStr"/>
      <c r="Q1013" s="5" t="inlineStr"/>
      <c r="R1013" s="5" t="inlineStr"/>
      <c r="S1013" s="5" t="inlineStr"/>
      <c r="T1013" s="5" t="inlineStr"/>
      <c r="U1013" s="5" t="inlineStr"/>
      <c r="V1013" s="5" t="inlineStr"/>
      <c r="W1013" s="5" t="inlineStr"/>
      <c r="X1013" s="5" t="inlineStr"/>
      <c r="Y1013" s="5" t="inlineStr"/>
      <c r="Z1013" s="6" t="inlineStr"/>
      <c r="AA1013" s="5" t="inlineStr"/>
      <c r="AB1013" s="5" t="inlineStr"/>
      <c r="AC1013" s="5" t="inlineStr"/>
      <c r="AD1013" s="5" t="inlineStr"/>
      <c r="AE1013" s="5" t="inlineStr"/>
      <c r="AF1013" s="5" t="inlineStr"/>
      <c r="AG1013" s="5" t="inlineStr"/>
      <c r="AH1013" s="5" t="inlineStr"/>
    </row>
    <row r="1014">
      <c r="A1014" s="5" t="inlineStr">
        <is>
          <t>b9-doktor-randevusu</t>
        </is>
      </c>
      <c r="B1014" s="5" t="n">
        <v>3</v>
      </c>
      <c r="C1014" s="6" t="inlineStr">
        <is>
          <t>Tanıdık bir hemşireyi ara</t>
        </is>
      </c>
      <c r="D1014" s="5" t="inlineStr">
        <is>
          <t>Sosyal Radar</t>
        </is>
      </c>
      <c r="E1014" s="5" t="inlineStr">
        <is>
          <t>Orta</t>
        </is>
      </c>
      <c r="F1014" s="5" t="inlineStr"/>
      <c r="G1014" s="6" t="inlineStr"/>
      <c r="H1014" s="6" t="inlineStr">
        <is>
          <t>Tanıdığın tanıdığı, randevuyu ertesi haftaya çekti. Ağ kurmanın sağlık faydaları kanıtlandı.</t>
        </is>
      </c>
      <c r="I1014" s="6" t="inlineStr">
        <is>
          <t>Hemşire hem randevu ayarladı hem de bekleme salonunda sana çay getirdi. Sistemi değil, insanları tanıyorsun.</t>
        </is>
      </c>
      <c r="J1014" s="6" t="inlineStr">
        <is>
          <t>Tanıdığın hemşire iki yıl önce emekli olmuş. Sana emeklilik hakkında yarım saat bilgi verdi.</t>
        </is>
      </c>
      <c r="K1014" s="6" t="inlineStr">
        <is>
          <t>Aradığın hemşire seni tanımadı. Sen de onu tanımadığını ancak otuz dakika sonra fark ettin.</t>
        </is>
      </c>
      <c r="L1014" s="6" t="inlineStr"/>
      <c r="M1014" s="5" t="inlineStr"/>
      <c r="N1014" s="5" t="inlineStr"/>
      <c r="O1014" s="6" t="inlineStr"/>
      <c r="P1014" s="6" t="inlineStr"/>
      <c r="Q1014" s="5" t="inlineStr">
        <is>
          <t>Odayı Okur</t>
        </is>
      </c>
      <c r="R1014" s="5" t="inlineStr"/>
      <c r="S1014" s="5" t="inlineStr"/>
      <c r="T1014" s="5" t="inlineStr"/>
      <c r="U1014" s="5" t="inlineStr"/>
      <c r="V1014" s="5" t="inlineStr"/>
      <c r="W1014" s="5" t="inlineStr"/>
      <c r="X1014" s="5" t="inlineStr"/>
      <c r="Y1014" s="5" t="inlineStr"/>
      <c r="Z1014" s="6" t="inlineStr"/>
      <c r="AA1014" s="5" t="inlineStr"/>
      <c r="AB1014" s="5" t="inlineStr"/>
      <c r="AC1014" s="5" t="inlineStr"/>
      <c r="AD1014" s="5" t="inlineStr"/>
      <c r="AE1014" s="5" t="inlineStr"/>
      <c r="AF1014" s="5" t="inlineStr"/>
      <c r="AG1014" s="5" t="inlineStr"/>
      <c r="AH1014" s="5" t="inlineStr"/>
    </row>
    <row r="1015">
      <c r="A1015" s="5" t="inlineStr">
        <is>
          <t>b9-ilk-torun</t>
        </is>
      </c>
      <c r="B1015" s="5" t="n">
        <v>1</v>
      </c>
      <c r="C1015" s="6" t="inlineStr">
        <is>
          <t>Kucağına al, ağla</t>
        </is>
      </c>
      <c r="D1015" s="5" t="inlineStr"/>
      <c r="E1015" s="5" t="inlineStr"/>
      <c r="F1015" s="5" t="inlineStr">
        <is>
          <t>İtibar +2</t>
        </is>
      </c>
      <c r="G1015" s="6" t="inlineStr">
        <is>
          <t>Kucağına aldın ve ağladın. Fotoğraflarda sen bebekten daha çok ağlıyorsun.</t>
        </is>
      </c>
      <c r="H1015" s="6" t="inlineStr"/>
      <c r="I1015" s="6" t="inlineStr"/>
      <c r="J1015" s="6" t="inlineStr"/>
      <c r="K1015" s="6" t="inlineStr"/>
      <c r="L1015" s="6" t="inlineStr"/>
      <c r="M1015" s="5" t="inlineStr"/>
      <c r="N1015" s="5" t="inlineStr"/>
      <c r="O1015" s="6" t="inlineStr"/>
      <c r="P1015" s="6" t="inlineStr"/>
      <c r="Q1015" s="5" t="inlineStr"/>
      <c r="R1015" s="5" t="inlineStr"/>
      <c r="S1015" s="5" t="inlineStr"/>
      <c r="T1015" s="5" t="inlineStr"/>
      <c r="U1015" s="5" t="inlineStr">
        <is>
          <t>torunlu</t>
        </is>
      </c>
      <c r="V1015" s="5" t="inlineStr"/>
      <c r="W1015" s="5" t="inlineStr"/>
      <c r="X1015" s="5" t="inlineStr"/>
      <c r="Y1015" s="5" t="inlineStr"/>
      <c r="Z1015" s="6" t="inlineStr"/>
      <c r="AA1015" s="5" t="inlineStr"/>
      <c r="AB1015" s="5" t="inlineStr"/>
      <c r="AC1015" s="5" t="inlineStr"/>
      <c r="AD1015" s="5" t="inlineStr"/>
      <c r="AE1015" s="5" t="inlineStr"/>
      <c r="AF1015" s="5" t="inlineStr"/>
      <c r="AG1015" s="5" t="inlineStr"/>
      <c r="AH1015" s="5" t="inlineStr"/>
    </row>
    <row r="1016">
      <c r="A1016" s="5" t="inlineStr">
        <is>
          <t>b9-ilk-torun</t>
        </is>
      </c>
      <c r="B1016" s="5" t="n">
        <v>2</v>
      </c>
      <c r="C1016" s="6" t="inlineStr">
        <is>
          <t>İsim önerisini yap</t>
        </is>
      </c>
      <c r="D1016" s="5" t="inlineStr">
        <is>
          <t>Çene</t>
        </is>
      </c>
      <c r="E1016" s="5" t="inlineStr">
        <is>
          <t>Zor</t>
        </is>
      </c>
      <c r="F1016" s="5" t="inlineStr"/>
      <c r="G1016" s="6" t="inlineStr"/>
      <c r="H1016" s="6" t="inlineStr">
        <is>
          <t>Önerdiğin isim ikinci isim olarak kabul edildi. Nüfus kaydında bir satır senin.</t>
        </is>
      </c>
      <c r="I1016" s="6" t="inlineStr">
        <is>
          <t>İsmi sen koydun. Bu olay aile tarihinde 'Büyük Uzlaşma' olarak geçiyor.</t>
        </is>
      </c>
      <c r="J1016" s="6" t="inlineStr">
        <is>
          <t>Önerini sundun. 'Çok eski' dendi. Önerdiğin isim, çocuğunun ismiydi.</t>
        </is>
      </c>
      <c r="K1016" s="6" t="inlineStr">
        <is>
          <t>İsmi söyledin; karşı taraf ailesinin kedisinin adı çıktı. Uzlaşma masası dağıldı.</t>
        </is>
      </c>
      <c r="L1016" s="6" t="inlineStr"/>
      <c r="M1016" s="5" t="inlineStr"/>
      <c r="N1016" s="5" t="inlineStr"/>
      <c r="O1016" s="6" t="inlineStr"/>
      <c r="P1016" s="6" t="inlineStr"/>
      <c r="Q1016" s="5" t="inlineStr"/>
      <c r="R1016" s="5" t="inlineStr"/>
      <c r="S1016" s="5" t="inlineStr"/>
      <c r="T1016" s="5" t="inlineStr"/>
      <c r="U1016" s="5" t="inlineStr">
        <is>
          <t>torunlu</t>
        </is>
      </c>
      <c r="V1016" s="5" t="inlineStr"/>
      <c r="W1016" s="5" t="inlineStr"/>
      <c r="X1016" s="5" t="inlineStr"/>
      <c r="Y1016" s="5" t="inlineStr"/>
      <c r="Z1016" s="6" t="inlineStr"/>
      <c r="AA1016" s="5" t="inlineStr"/>
      <c r="AB1016" s="5" t="inlineStr"/>
      <c r="AC1016" s="5" t="inlineStr"/>
      <c r="AD1016" s="5" t="inlineStr"/>
      <c r="AE1016" s="5" t="inlineStr"/>
      <c r="AF1016" s="5" t="inlineStr"/>
      <c r="AG1016" s="5" t="inlineStr"/>
      <c r="AH1016" s="5" t="inlineStr"/>
    </row>
    <row r="1017">
      <c r="A1017" s="5" t="inlineStr">
        <is>
          <t>b9-ilk-torun</t>
        </is>
      </c>
      <c r="B1017" s="5" t="n">
        <v>3</v>
      </c>
      <c r="C1017" s="6" t="inlineStr">
        <is>
          <t>Bebeğin kime benzediğini ilan et</t>
        </is>
      </c>
      <c r="D1017" s="5" t="inlineStr">
        <is>
          <t>Sosyal Radar</t>
        </is>
      </c>
      <c r="E1017" s="5" t="inlineStr">
        <is>
          <t>Orta</t>
        </is>
      </c>
      <c r="F1017" s="5" t="inlineStr"/>
      <c r="G1017" s="6" t="inlineStr"/>
      <c r="H1017" s="6" t="inlineStr">
        <is>
          <t>'Bizim tarafa benziyor' dedin. İki aile arasında tatlı bir soğuk savaş başladı.</t>
        </is>
      </c>
      <c r="I1017" s="6" t="inlineStr">
        <is>
          <t>'Herkese biraz benziyor' dedin. Diplomatik zafer. İki taraf da seni yemeğe davet etti.</t>
        </is>
      </c>
      <c r="J1017" s="6" t="inlineStr">
        <is>
          <t>'Kulakları bizden' dedin. Bebeğin kulağı henüz tam belli değil.</t>
        </is>
      </c>
      <c r="K1017" s="6" t="inlineStr">
        <is>
          <t>Bebeği bir akrabana benzettin. Odada kimse o akrabayı sevmiyordu.</t>
        </is>
      </c>
      <c r="L1017" s="6" t="inlineStr"/>
      <c r="M1017" s="5" t="inlineStr"/>
      <c r="N1017" s="5" t="inlineStr"/>
      <c r="O1017" s="6" t="inlineStr"/>
      <c r="P1017" s="6" t="inlineStr"/>
      <c r="Q1017" s="5" t="inlineStr"/>
      <c r="R1017" s="5" t="inlineStr"/>
      <c r="S1017" s="5" t="inlineStr"/>
      <c r="T1017" s="5" t="inlineStr"/>
      <c r="U1017" s="5" t="inlineStr">
        <is>
          <t>torunlu</t>
        </is>
      </c>
      <c r="V1017" s="5" t="inlineStr"/>
      <c r="W1017" s="5" t="inlineStr"/>
      <c r="X1017" s="5" t="inlineStr"/>
      <c r="Y1017" s="5" t="inlineStr"/>
      <c r="Z1017" s="6" t="inlineStr"/>
      <c r="AA1017" s="5" t="inlineStr"/>
      <c r="AB1017" s="5" t="inlineStr"/>
      <c r="AC1017" s="5" t="inlineStr"/>
      <c r="AD1017" s="5" t="inlineStr"/>
      <c r="AE1017" s="5" t="inlineStr"/>
      <c r="AF1017" s="5" t="inlineStr"/>
      <c r="AG1017" s="5" t="inlineStr"/>
      <c r="AH1017" s="5" t="inlineStr"/>
    </row>
    <row r="1018">
      <c r="A1018" s="5" t="inlineStr">
        <is>
          <t>ms-emeklilik-yok</t>
        </is>
      </c>
      <c r="B1018" s="5" t="n">
        <v>1</v>
      </c>
      <c r="C1018" s="6" t="inlineStr">
        <is>
          <t>Planı 'hep üretmek' olarak güncelle</t>
        </is>
      </c>
      <c r="D1018" s="5" t="inlineStr"/>
      <c r="E1018" s="5" t="inlineStr"/>
      <c r="F1018" s="5" t="inlineStr">
        <is>
          <t>Dayanıklılık +2</t>
        </is>
      </c>
      <c r="G1018" s="6" t="inlineStr">
        <is>
          <t>Emeklilik planına tek satır yazdın: 'Devam.' Bürokratik açıdan kusursuz bir belge.</t>
        </is>
      </c>
      <c r="H1018" s="6" t="inlineStr"/>
      <c r="I1018" s="6" t="inlineStr"/>
      <c r="J1018" s="6" t="inlineStr"/>
      <c r="K1018" s="6" t="inlineStr"/>
      <c r="L1018" s="6" t="inlineStr"/>
      <c r="M1018" s="5" t="inlineStr"/>
      <c r="N1018" s="5" t="inlineStr"/>
      <c r="O1018" s="6" t="inlineStr"/>
      <c r="P1018" s="6" t="inlineStr"/>
      <c r="Q1018" s="5" t="inlineStr"/>
      <c r="R1018" s="5" t="inlineStr"/>
      <c r="S1018" s="5" t="inlineStr"/>
      <c r="T1018" s="5" t="inlineStr"/>
      <c r="U1018" s="5" t="inlineStr"/>
      <c r="V1018" s="5" t="inlineStr"/>
      <c r="W1018" s="5" t="inlineStr"/>
      <c r="X1018" s="5" t="inlineStr"/>
      <c r="Y1018" s="5" t="inlineStr"/>
      <c r="Z1018" s="6" t="inlineStr"/>
      <c r="AA1018" s="5" t="inlineStr"/>
      <c r="AB1018" s="5" t="inlineStr"/>
      <c r="AC1018" s="5" t="inlineStr"/>
      <c r="AD1018" s="5" t="inlineStr"/>
      <c r="AE1018" s="5" t="inlineStr"/>
      <c r="AF1018" s="5" t="inlineStr"/>
      <c r="AG1018" s="5" t="inlineStr"/>
      <c r="AH1018" s="5" t="inlineStr"/>
    </row>
    <row r="1019">
      <c r="A1019" s="5" t="inlineStr">
        <is>
          <t>ms-emeklilik-yok</t>
        </is>
      </c>
      <c r="B1019" s="5" t="n">
        <v>2</v>
      </c>
      <c r="C1019" s="6" t="inlineStr">
        <is>
          <t>Eski eserlerini sat</t>
        </is>
      </c>
      <c r="D1019" s="5" t="inlineStr">
        <is>
          <t>Kurnazlık</t>
        </is>
      </c>
      <c r="E1019" s="5" t="inlineStr">
        <is>
          <t>Orta</t>
        </is>
      </c>
      <c r="F1019" s="5" t="inlineStr"/>
      <c r="G1019" s="6" t="inlineStr"/>
      <c r="H1019" s="6" t="inlineStr">
        <is>
          <t>Depodaki eserler koleksiyonculara gitti. Bir yıllık rahatlık, bir ömürlük eksiklik.</t>
        </is>
      </c>
      <c r="I1019" s="6" t="inlineStr">
        <is>
          <t>Otuz yıl önce satamadığın bir eser, şimdi o dönemin fiyatının yirmi katına satıldı. Zamanlama sanattır.</t>
        </is>
      </c>
      <c r="J1019" s="6" t="inlineStr">
        <is>
          <t>Eserleri satışa koydun; alıcılar 'İmzalı mı?' diye sordu. İmzalamayı unutmuşsun. Otuz yıl boyunca.</t>
        </is>
      </c>
      <c r="K1019" s="6" t="inlineStr">
        <is>
          <t>Eserleri sattın; bir yıl sonra değeri üçe katlandı. Alıcı teşekkür mesajı yolladı.</t>
        </is>
      </c>
      <c r="L1019" s="6" t="inlineStr"/>
      <c r="M1019" s="5" t="inlineStr"/>
      <c r="N1019" s="5" t="inlineStr"/>
      <c r="O1019" s="6" t="inlineStr"/>
      <c r="P1019" s="6" t="inlineStr"/>
      <c r="Q1019" s="5" t="inlineStr"/>
      <c r="R1019" s="5" t="inlineStr"/>
      <c r="S1019" s="5" t="inlineStr"/>
      <c r="T1019" s="5" t="inlineStr"/>
      <c r="U1019" s="5" t="inlineStr"/>
      <c r="V1019" s="5" t="inlineStr"/>
      <c r="W1019" s="5" t="inlineStr"/>
      <c r="X1019" s="5" t="inlineStr"/>
      <c r="Y1019" s="5" t="inlineStr"/>
      <c r="Z1019" s="6" t="inlineStr"/>
      <c r="AA1019" s="5" t="inlineStr"/>
      <c r="AB1019" s="5" t="inlineStr"/>
      <c r="AC1019" s="5" t="inlineStr"/>
      <c r="AD1019" s="5" t="inlineStr"/>
      <c r="AE1019" s="5" t="inlineStr"/>
      <c r="AF1019" s="5" t="inlineStr"/>
      <c r="AG1019" s="5" t="inlineStr"/>
      <c r="AH1019" s="5" t="inlineStr"/>
    </row>
    <row r="1020">
      <c r="A1020" s="5" t="inlineStr">
        <is>
          <t>ms-emeklilik-yok</t>
        </is>
      </c>
      <c r="B1020" s="5" t="n">
        <v>3</v>
      </c>
      <c r="C1020" s="6" t="inlineStr">
        <is>
          <t>Gençlere serbest çalışma dersi ver</t>
        </is>
      </c>
      <c r="D1020" s="5" t="inlineStr">
        <is>
          <t>Çene</t>
        </is>
      </c>
      <c r="E1020" s="5" t="inlineStr">
        <is>
          <t>Kolay</t>
        </is>
      </c>
      <c r="F1020" s="5" t="inlineStr"/>
      <c r="G1020" s="6" t="inlineStr"/>
      <c r="H1020" s="6" t="inlineStr">
        <is>
          <t>İlk dersin konusu: fatura. İkinci dersin konusu: faturayı tahsil etmek. Üçüncü ders hiç bitmedi.</t>
        </is>
      </c>
      <c r="I1020" s="6" t="inlineStr">
        <is>
          <t>Dersin dolup taştı. Ders ücretini peşin aldın; hayatında ilk kez.</t>
        </is>
      </c>
      <c r="J1020" s="6" t="inlineStr">
        <is>
          <t>Öğrencilerden biri sordu: 'Bunu yapay zekâya sorsak olmaz mı?' Oldu.</t>
        </is>
      </c>
      <c r="K1020" s="6" t="inlineStr">
        <is>
          <t>Dersin sonunda öğrenciler sana 'Görünürlük sağlarız' dedi ve ücret ödemedi.</t>
        </is>
      </c>
      <c r="L1020" s="6" t="inlineStr"/>
      <c r="M1020" s="5" t="inlineStr"/>
      <c r="N1020" s="5" t="inlineStr"/>
      <c r="O1020" s="6" t="inlineStr"/>
      <c r="P1020" s="6" t="inlineStr"/>
      <c r="Q1020" s="5" t="inlineStr"/>
      <c r="R1020" s="5" t="inlineStr"/>
      <c r="S1020" s="5" t="inlineStr"/>
      <c r="T1020" s="5" t="inlineStr"/>
      <c r="U1020" s="5" t="inlineStr"/>
      <c r="V1020" s="5" t="inlineStr"/>
      <c r="W1020" s="5" t="inlineStr"/>
      <c r="X1020" s="5" t="inlineStr"/>
      <c r="Y1020" s="5" t="inlineStr"/>
      <c r="Z1020" s="6" t="inlineStr"/>
      <c r="AA1020" s="5" t="inlineStr"/>
      <c r="AB1020" s="5" t="inlineStr"/>
      <c r="AC1020" s="5" t="inlineStr"/>
      <c r="AD1020" s="5" t="inlineStr"/>
      <c r="AE1020" s="5" t="inlineStr"/>
      <c r="AF1020" s="5" t="inlineStr"/>
      <c r="AG1020" s="5" t="inlineStr"/>
      <c r="AH1020" s="5" t="inlineStr"/>
    </row>
    <row r="1021">
      <c r="A1021" s="5" t="inlineStr">
        <is>
          <t>ms-emeklilik-yok</t>
        </is>
      </c>
      <c r="B1021" s="5" t="n">
        <v>4</v>
      </c>
      <c r="C1021" s="6" t="inlineStr">
        <is>
          <t>Evin bir odasını kiraya ver</t>
        </is>
      </c>
      <c r="D1021" s="5" t="inlineStr">
        <is>
          <t>Sosyal Radar</t>
        </is>
      </c>
      <c r="E1021" s="5" t="inlineStr">
        <is>
          <t>Orta</t>
        </is>
      </c>
      <c r="F1021" s="5" t="inlineStr"/>
      <c r="G1021" s="6" t="inlineStr"/>
      <c r="H1021" s="6" t="inlineStr">
        <is>
          <t>Odayı genç bir sanatçıya verdin. Kira düzenli geliyor. Senin kiraların hiç böyle gelmemişti.</t>
        </is>
      </c>
      <c r="I1021" s="6" t="inlineStr">
        <is>
          <t>Kiracın ünlendi. Evin 'ustanın evi' olarak turlara girdi. Kira da girdi.</t>
        </is>
      </c>
      <c r="J1021" s="6" t="inlineStr">
        <is>
          <t>Kiracı serbest çalışan çıktı. Kira 'onay bekliyor'.</t>
        </is>
      </c>
      <c r="K1021" s="6" t="inlineStr">
        <is>
          <t>Kiracı seninle aynı alanda çalışıyor. Artık bir rakibin var ve banyonu kullanıyor.</t>
        </is>
      </c>
      <c r="L1021" s="6" t="inlineStr"/>
      <c r="M1021" s="5" t="inlineStr"/>
      <c r="N1021" s="5" t="inlineStr"/>
      <c r="O1021" s="6" t="inlineStr"/>
      <c r="P1021" s="6" t="inlineStr"/>
      <c r="Q1021" s="5" t="inlineStr"/>
      <c r="R1021" s="5" t="inlineStr">
        <is>
          <t>ev-sahibi</t>
        </is>
      </c>
      <c r="S1021" s="5" t="inlineStr"/>
      <c r="T1021" s="5" t="inlineStr"/>
      <c r="U1021" s="5" t="inlineStr"/>
      <c r="V1021" s="5" t="inlineStr"/>
      <c r="W1021" s="5" t="inlineStr"/>
      <c r="X1021" s="5" t="inlineStr"/>
      <c r="Y1021" s="5" t="inlineStr"/>
      <c r="Z1021" s="6" t="inlineStr"/>
      <c r="AA1021" s="5" t="inlineStr"/>
      <c r="AB1021" s="5" t="inlineStr"/>
      <c r="AC1021" s="5" t="inlineStr"/>
      <c r="AD1021" s="5" t="inlineStr"/>
      <c r="AE1021" s="5" t="inlineStr"/>
      <c r="AF1021" s="5" t="inlineStr"/>
      <c r="AG1021" s="5" t="inlineStr"/>
      <c r="AH1021" s="5" t="inlineStr"/>
    </row>
    <row r="1022">
      <c r="A1022" s="5" t="inlineStr">
        <is>
          <t>me-defterin-son-sayfasi</t>
        </is>
      </c>
      <c r="B1022" s="5" t="n">
        <v>1</v>
      </c>
      <c r="C1022" s="6" t="inlineStr">
        <is>
          <t>Defteri sil, hesapları kapat</t>
        </is>
      </c>
      <c r="D1022" s="5" t="inlineStr"/>
      <c r="E1022" s="5" t="inlineStr"/>
      <c r="F1022" s="5" t="inlineStr">
        <is>
          <t>İtibar +3</t>
        </is>
      </c>
      <c r="G1022" s="6" t="inlineStr">
        <is>
          <t>Bütün hesapları sildin. Mahalle bunu duydu; ertesi sabah yeni defter açılmasını bekleyenler kapıdaydı.</t>
        </is>
      </c>
      <c r="H1022" s="6" t="inlineStr"/>
      <c r="I1022" s="6" t="inlineStr"/>
      <c r="J1022" s="6" t="inlineStr"/>
      <c r="K1022" s="6" t="inlineStr"/>
      <c r="L1022" s="6" t="inlineStr"/>
      <c r="M1022" s="5" t="inlineStr"/>
      <c r="N1022" s="5" t="inlineStr"/>
      <c r="O1022" s="6" t="inlineStr"/>
      <c r="P1022" s="6" t="inlineStr"/>
      <c r="Q1022" s="5" t="inlineStr"/>
      <c r="R1022" s="5" t="inlineStr"/>
      <c r="S1022" s="5" t="inlineStr"/>
      <c r="T1022" s="5" t="inlineStr"/>
      <c r="U1022" s="5" t="inlineStr"/>
      <c r="V1022" s="5" t="inlineStr"/>
      <c r="W1022" s="5" t="inlineStr"/>
      <c r="X1022" s="5" t="inlineStr"/>
      <c r="Y1022" s="5" t="inlineStr"/>
      <c r="Z1022" s="6" t="inlineStr"/>
      <c r="AA1022" s="5" t="inlineStr"/>
      <c r="AB1022" s="5" t="inlineStr"/>
      <c r="AC1022" s="5" t="inlineStr"/>
      <c r="AD1022" s="5" t="inlineStr"/>
      <c r="AE1022" s="5" t="inlineStr"/>
      <c r="AF1022" s="5" t="inlineStr"/>
      <c r="AG1022" s="5" t="inlineStr"/>
      <c r="AH1022" s="5" t="inlineStr"/>
    </row>
    <row r="1023">
      <c r="A1023" s="5" t="inlineStr">
        <is>
          <t>me-defterin-son-sayfasi</t>
        </is>
      </c>
      <c r="B1023" s="5" t="n">
        <v>2</v>
      </c>
      <c r="C1023" s="6" t="inlineStr">
        <is>
          <t>Tahsilat turuna çık</t>
        </is>
      </c>
      <c r="D1023" s="5" t="inlineStr">
        <is>
          <t>Çene</t>
        </is>
      </c>
      <c r="E1023" s="5" t="inlineStr">
        <is>
          <t>Zor</t>
        </is>
      </c>
      <c r="F1023" s="5" t="inlineStr"/>
      <c r="G1023" s="6" t="inlineStr"/>
      <c r="H1023" s="6" t="inlineStr">
        <is>
          <t>Kapı kapı gezdin, yarısını topladın. Gerisi sana çay ısmarladı.</t>
        </is>
      </c>
      <c r="I1023" s="6" t="inlineStr">
        <is>
          <t>Kasanın iki katı parayla döndün. Bir borçlu 'Faizini de al' diye ısrar etti; almadın.</t>
        </is>
      </c>
      <c r="J1023" s="6" t="inlineStr">
        <is>
          <t>Herkes seni görünce bir şeyler hatırladı. Borçlarını değil, eski günleri.</t>
        </is>
      </c>
      <c r="K1023" s="6" t="inlineStr">
        <is>
          <t>Tahsilattan üç yeni veresiye yazarak döndün. Defter kapanmadı; ikinci cilde geçti.</t>
        </is>
      </c>
      <c r="L1023" s="6" t="inlineStr"/>
      <c r="M1023" s="5" t="inlineStr"/>
      <c r="N1023" s="5" t="inlineStr"/>
      <c r="O1023" s="6" t="inlineStr"/>
      <c r="P1023" s="6" t="inlineStr"/>
      <c r="Q1023" s="5" t="inlineStr"/>
      <c r="R1023" s="5" t="inlineStr"/>
      <c r="S1023" s="5" t="inlineStr"/>
      <c r="T1023" s="5" t="inlineStr">
        <is>
          <t>Mahalle Muhasebecisi</t>
        </is>
      </c>
      <c r="U1023" s="5" t="inlineStr"/>
      <c r="V1023" s="5" t="inlineStr"/>
      <c r="W1023" s="5" t="inlineStr"/>
      <c r="X1023" s="5" t="inlineStr"/>
      <c r="Y1023" s="5" t="inlineStr"/>
      <c r="Z1023" s="6" t="inlineStr"/>
      <c r="AA1023" s="5" t="inlineStr"/>
      <c r="AB1023" s="5" t="inlineStr"/>
      <c r="AC1023" s="5" t="inlineStr"/>
      <c r="AD1023" s="5" t="inlineStr"/>
      <c r="AE1023" s="5" t="inlineStr"/>
      <c r="AF1023" s="5" t="inlineStr"/>
      <c r="AG1023" s="5" t="inlineStr"/>
      <c r="AH1023" s="5" t="inlineStr"/>
    </row>
    <row r="1024">
      <c r="A1024" s="5" t="inlineStr">
        <is>
          <t>me-defterin-son-sayfasi</t>
        </is>
      </c>
      <c r="B1024" s="5" t="n">
        <v>3</v>
      </c>
      <c r="C1024" s="6" t="inlineStr">
        <is>
          <t>Sıfır arabalıya kibarca uğra</t>
        </is>
      </c>
      <c r="D1024" s="5" t="inlineStr">
        <is>
          <t>Kurnazlık</t>
        </is>
      </c>
      <c r="E1024" s="5" t="inlineStr">
        <is>
          <t>Kolay</t>
        </is>
      </c>
      <c r="F1024" s="5" t="inlineStr"/>
      <c r="G1024" s="6" t="inlineStr"/>
      <c r="H1024" s="6" t="inlineStr">
        <is>
          <t>'Hayırlı olsun, arabaya da defteri de' dedin. Borç ertesi sabah kapandı.</t>
        </is>
      </c>
      <c r="I1024" s="6" t="inlineStr">
        <is>
          <t>Borcunu kapattı, bir de özür diledi. Dükkânın önündeki park yeri artık sana ayrıldı.</t>
        </is>
      </c>
      <c r="J1024" s="6" t="inlineStr">
        <is>
          <t>'Araba taksitle' dedi. Taksitlerin sırası belli; defter en sonda.</t>
        </is>
      </c>
      <c r="K1024" s="6" t="inlineStr">
        <is>
          <t>Kibarca uğradın; arabasıyla seni eve bırakmayı teklif etti. Bindin. Borç konusu açılmadı.</t>
        </is>
      </c>
      <c r="L1024" s="6" t="inlineStr"/>
      <c r="M1024" s="5" t="inlineStr"/>
      <c r="N1024" s="5" t="inlineStr"/>
      <c r="O1024" s="6" t="inlineStr"/>
      <c r="P1024" s="6" t="inlineStr"/>
      <c r="Q1024" s="5" t="inlineStr"/>
      <c r="R1024" s="5" t="inlineStr"/>
      <c r="S1024" s="5" t="inlineStr">
        <is>
          <t>Kurnazlık</t>
        </is>
      </c>
      <c r="T1024" s="5" t="inlineStr"/>
      <c r="U1024" s="5" t="inlineStr"/>
      <c r="V1024" s="5" t="inlineStr"/>
      <c r="W1024" s="5" t="inlineStr"/>
      <c r="X1024" s="5" t="inlineStr"/>
      <c r="Y1024" s="5" t="inlineStr"/>
      <c r="Z1024" s="6" t="inlineStr"/>
      <c r="AA1024" s="5" t="inlineStr"/>
      <c r="AB1024" s="5" t="inlineStr"/>
      <c r="AC1024" s="5" t="inlineStr"/>
      <c r="AD1024" s="5" t="inlineStr"/>
      <c r="AE1024" s="5" t="inlineStr"/>
      <c r="AF1024" s="5" t="inlineStr"/>
      <c r="AG1024" s="5" t="inlineStr"/>
      <c r="AH1024" s="5" t="inlineStr"/>
    </row>
    <row r="1025">
      <c r="A1025" s="5" t="inlineStr">
        <is>
          <t>me-defterin-son-sayfasi</t>
        </is>
      </c>
      <c r="B1025" s="5" t="n">
        <v>4</v>
      </c>
      <c r="C1025" s="6" t="inlineStr">
        <is>
          <t>Defteri hatıra kitabı yap</t>
        </is>
      </c>
      <c r="D1025" s="5" t="inlineStr">
        <is>
          <t>Pişkinlik</t>
        </is>
      </c>
      <c r="E1025" s="5" t="inlineStr">
        <is>
          <t>Orta</t>
        </is>
      </c>
      <c r="F1025" s="5" t="inlineStr"/>
      <c r="G1025" s="6" t="inlineStr"/>
      <c r="H1025" s="6" t="inlineStr">
        <is>
          <t>Borçlular kitabı almaya geldi. Kitabın parasını ödediler; borçlarını yine ödemediler.</t>
        </is>
      </c>
      <c r="I1025" s="6" t="inlineStr">
        <is>
          <t>Hatıra kitabı çarşıda çok sattı. Kitabın geliri defterin toplamını geçti.</t>
        </is>
      </c>
      <c r="J1025" s="6" t="inlineStr">
        <is>
          <t>Kitabı bastırdın. Kimse almadı; herkes kendi sayfasını dükkânda okuyup geri koydu.</t>
        </is>
      </c>
      <c r="K1025" s="6" t="inlineStr">
        <is>
          <t>İsimleri gizlemeyi unuttun. Çarşıda üç aile birbirine selam vermiyor.</t>
        </is>
      </c>
      <c r="L1025" s="6" t="inlineStr"/>
      <c r="M1025" s="5" t="inlineStr"/>
      <c r="N1025" s="5" t="inlineStr"/>
      <c r="O1025" s="6" t="inlineStr"/>
      <c r="P1025" s="6" t="inlineStr"/>
      <c r="Q1025" s="5" t="inlineStr"/>
      <c r="R1025" s="5" t="inlineStr">
        <is>
          <t>esnaf-veresiye-batagi</t>
        </is>
      </c>
      <c r="S1025" s="5" t="inlineStr"/>
      <c r="T1025" s="5" t="inlineStr"/>
      <c r="U1025" s="5" t="inlineStr"/>
      <c r="V1025" s="5" t="inlineStr"/>
      <c r="W1025" s="5" t="inlineStr"/>
      <c r="X1025" s="5" t="inlineStr"/>
      <c r="Y1025" s="5" t="inlineStr"/>
      <c r="Z1025" s="6" t="inlineStr"/>
      <c r="AA1025" s="5" t="inlineStr"/>
      <c r="AB1025" s="5" t="inlineStr"/>
      <c r="AC1025" s="5" t="inlineStr"/>
      <c r="AD1025" s="5" t="inlineStr"/>
      <c r="AE1025" s="5" t="inlineStr"/>
      <c r="AF1025" s="5" t="inlineStr"/>
      <c r="AG1025" s="5" t="inlineStr"/>
      <c r="AH1025" s="5" t="inlineStr"/>
    </row>
    <row r="1026">
      <c r="A1026" s="5" t="inlineStr">
        <is>
          <t>b9-genclere-tavsiye</t>
        </is>
      </c>
      <c r="B1026" s="5" t="n">
        <v>1</v>
      </c>
      <c r="C1026" s="6" t="inlineStr">
        <is>
          <t>Susup kahveni iç</t>
        </is>
      </c>
      <c r="D1026" s="5" t="inlineStr"/>
      <c r="E1026" s="5" t="inlineStr"/>
      <c r="F1026" s="5" t="inlineStr">
        <is>
          <t>İtibar +1</t>
        </is>
      </c>
      <c r="G1026" s="6" t="inlineStr">
        <is>
          <t>Sustun. Genç kendi hatalarını kendi yapacak. Kahve de soğudu.</t>
        </is>
      </c>
      <c r="H1026" s="6" t="inlineStr"/>
      <c r="I1026" s="6" t="inlineStr"/>
      <c r="J1026" s="6" t="inlineStr"/>
      <c r="K1026" s="6" t="inlineStr"/>
      <c r="L1026" s="6" t="inlineStr"/>
      <c r="M1026" s="5" t="inlineStr"/>
      <c r="N1026" s="5" t="inlineStr"/>
      <c r="O1026" s="6" t="inlineStr"/>
      <c r="P1026" s="6" t="inlineStr"/>
      <c r="Q1026" s="5" t="inlineStr"/>
      <c r="R1026" s="5" t="inlineStr"/>
      <c r="S1026" s="5" t="inlineStr"/>
      <c r="T1026" s="5" t="inlineStr"/>
      <c r="U1026" s="5" t="inlineStr"/>
      <c r="V1026" s="5" t="inlineStr"/>
      <c r="W1026" s="5" t="inlineStr"/>
      <c r="X1026" s="5" t="inlineStr"/>
      <c r="Y1026" s="5" t="inlineStr"/>
      <c r="Z1026" s="6" t="inlineStr"/>
      <c r="AA1026" s="5" t="inlineStr"/>
      <c r="AB1026" s="5" t="inlineStr"/>
      <c r="AC1026" s="5" t="inlineStr"/>
      <c r="AD1026" s="5" t="inlineStr"/>
      <c r="AE1026" s="5" t="inlineStr"/>
      <c r="AF1026" s="5" t="inlineStr"/>
      <c r="AG1026" s="5" t="inlineStr"/>
      <c r="AH1026" s="5" t="inlineStr"/>
    </row>
    <row r="1027">
      <c r="A1027" s="5" t="inlineStr">
        <is>
          <t>b9-genclere-tavsiye</t>
        </is>
      </c>
      <c r="B1027" s="5" t="n">
        <v>2</v>
      </c>
      <c r="C1027" s="6" t="inlineStr">
        <is>
          <t>'Benim zamanımda…' diye başla</t>
        </is>
      </c>
      <c r="D1027" s="5" t="inlineStr">
        <is>
          <t>Çene</t>
        </is>
      </c>
      <c r="E1027" s="5" t="inlineStr">
        <is>
          <t>Zor</t>
        </is>
      </c>
      <c r="F1027" s="5" t="inlineStr"/>
      <c r="G1027" s="6" t="inlineStr"/>
      <c r="H1027" s="6" t="inlineStr">
        <is>
          <t>Anlattın. Genç iki dakika dinledi, sonra 'Haklısınız ama şimdi durum farklı' dedi. Değildi.</t>
        </is>
      </c>
      <c r="I1027" s="6" t="inlineStr">
        <is>
          <t>Hikâyen o kadar iyi oturdu ki genç not aldı. Üç ay sonra bir podcast'te seni anlatıyordu.</t>
        </is>
      </c>
      <c r="J1027" s="6" t="inlineStr">
        <is>
          <t>'Benim zamanımda' dedin; genç kulaklığını taktı. Cümleni tamamlamanın bir anlamı kalmadı.</t>
        </is>
      </c>
      <c r="K1027" s="6" t="inlineStr">
        <is>
          <t>'Benim zamanımda' diye başladın; kafedeki herkes kulaklık taktı. Garson da.</t>
        </is>
      </c>
      <c r="L1027" s="6" t="inlineStr"/>
      <c r="M1027" s="5" t="inlineStr"/>
      <c r="N1027" s="5" t="inlineStr"/>
      <c r="O1027" s="6" t="inlineStr"/>
      <c r="P1027" s="6" t="inlineStr"/>
      <c r="Q1027" s="5" t="inlineStr"/>
      <c r="R1027" s="5" t="inlineStr"/>
      <c r="S1027" s="5" t="inlineStr"/>
      <c r="T1027" s="5" t="inlineStr"/>
      <c r="U1027" s="5" t="inlineStr"/>
      <c r="V1027" s="5" t="inlineStr"/>
      <c r="W1027" s="5" t="inlineStr"/>
      <c r="X1027" s="5" t="inlineStr"/>
      <c r="Y1027" s="5" t="inlineStr"/>
      <c r="Z1027" s="6" t="inlineStr"/>
      <c r="AA1027" s="5" t="inlineStr"/>
      <c r="AB1027" s="5" t="inlineStr"/>
      <c r="AC1027" s="5" t="inlineStr"/>
      <c r="AD1027" s="5" t="inlineStr"/>
      <c r="AE1027" s="5" t="inlineStr"/>
      <c r="AF1027" s="5" t="inlineStr"/>
      <c r="AG1027" s="5" t="inlineStr"/>
      <c r="AH1027" s="5" t="inlineStr"/>
    </row>
    <row r="1028">
      <c r="A1028" s="5" t="inlineStr">
        <is>
          <t>b9-genclere-tavsiye</t>
        </is>
      </c>
      <c r="B1028" s="5" t="n">
        <v>3</v>
      </c>
      <c r="C1028" s="6" t="inlineStr">
        <is>
          <t>'Sence ne yapmalısın?' diye sor</t>
        </is>
      </c>
      <c r="D1028" s="5" t="inlineStr">
        <is>
          <t>Çene</t>
        </is>
      </c>
      <c r="E1028" s="5" t="inlineStr">
        <is>
          <t>Kolay</t>
        </is>
      </c>
      <c r="F1028" s="5" t="inlineStr"/>
      <c r="G1028" s="6" t="inlineStr"/>
      <c r="H1028" s="6" t="inlineStr">
        <is>
          <t>Genç kendi sorusunu kendi cevapladı ve sana teşekkür etti. Danışmanlık ücreti: bir kahve.</t>
        </is>
      </c>
      <c r="I1028" s="6" t="inlineStr">
        <is>
          <t>Genç, 'Keşke iş yerimdeki yöneticiler sizin gibi olsa' dedi. Sen sadece soru sormuştun.</t>
        </is>
      </c>
      <c r="J1028" s="6" t="inlineStr">
        <is>
          <t>Genç 'Bilmiyorum, siz ne dersiniz?' dedi. Top sana döndü ve düştü.</t>
        </is>
      </c>
      <c r="K1028" s="6" t="inlineStr">
        <is>
          <t>Soruyu sordun; genç otuz dakika boyunca cevap verdi. Kafeden en son sen çıktın.</t>
        </is>
      </c>
      <c r="L1028" s="6" t="inlineStr"/>
      <c r="M1028" s="5" t="inlineStr"/>
      <c r="N1028" s="5" t="inlineStr"/>
      <c r="O1028" s="6" t="inlineStr"/>
      <c r="P1028" s="6" t="inlineStr"/>
      <c r="Q1028" s="5" t="inlineStr"/>
      <c r="R1028" s="5" t="inlineStr"/>
      <c r="S1028" s="5" t="inlineStr">
        <is>
          <t>Çene</t>
        </is>
      </c>
      <c r="T1028" s="5" t="inlineStr"/>
      <c r="U1028" s="5" t="inlineStr"/>
      <c r="V1028" s="5" t="inlineStr"/>
      <c r="W1028" s="5" t="inlineStr"/>
      <c r="X1028" s="5" t="inlineStr"/>
      <c r="Y1028" s="5" t="inlineStr"/>
      <c r="Z1028" s="6" t="inlineStr"/>
      <c r="AA1028" s="5" t="inlineStr"/>
      <c r="AB1028" s="5" t="inlineStr"/>
      <c r="AC1028" s="5" t="inlineStr"/>
      <c r="AD1028" s="5" t="inlineStr"/>
      <c r="AE1028" s="5" t="inlineStr"/>
      <c r="AF1028" s="5" t="inlineStr"/>
      <c r="AG1028" s="5" t="inlineStr"/>
      <c r="AH1028" s="5" t="inlineStr"/>
    </row>
    <row r="1029">
      <c r="A1029" s="5" t="inlineStr">
        <is>
          <t>b9-lise-bulusmasi</t>
        </is>
      </c>
      <c r="B1029" s="5" t="n">
        <v>1</v>
      </c>
      <c r="C1029" s="6" t="inlineStr">
        <is>
          <t>Toplu fotoğrafı aile grubuna at</t>
        </is>
      </c>
      <c r="D1029" s="5" t="inlineStr"/>
      <c r="E1029" s="5" t="inlineStr"/>
      <c r="F1029" s="5" t="inlineStr">
        <is>
          <t>Pişkinlik +1</t>
        </is>
      </c>
      <c r="G1029" s="6" t="inlineStr">
        <is>
          <t>Fotoğrafı attın. Aile 'Hangisi sensin?' diye sordu. Sen de tam emin değildin.</t>
        </is>
      </c>
      <c r="H1029" s="6" t="inlineStr"/>
      <c r="I1029" s="6" t="inlineStr"/>
      <c r="J1029" s="6" t="inlineStr"/>
      <c r="K1029" s="6" t="inlineStr"/>
      <c r="L1029" s="6" t="inlineStr"/>
      <c r="M1029" s="5" t="inlineStr"/>
      <c r="N1029" s="5" t="inlineStr"/>
      <c r="O1029" s="6" t="inlineStr"/>
      <c r="P1029" s="6" t="inlineStr"/>
      <c r="Q1029" s="5" t="inlineStr"/>
      <c r="R1029" s="5" t="inlineStr"/>
      <c r="S1029" s="5" t="inlineStr"/>
      <c r="T1029" s="5" t="inlineStr"/>
      <c r="U1029" s="5" t="inlineStr"/>
      <c r="V1029" s="5" t="inlineStr"/>
      <c r="W1029" s="5" t="inlineStr"/>
      <c r="X1029" s="5" t="inlineStr"/>
      <c r="Y1029" s="5" t="inlineStr"/>
      <c r="Z1029" s="6" t="inlineStr"/>
      <c r="AA1029" s="5" t="inlineStr"/>
      <c r="AB1029" s="5" t="inlineStr"/>
      <c r="AC1029" s="5" t="inlineStr"/>
      <c r="AD1029" s="5" t="inlineStr"/>
      <c r="AE1029" s="5" t="inlineStr"/>
      <c r="AF1029" s="5" t="inlineStr"/>
      <c r="AG1029" s="5" t="inlineStr"/>
      <c r="AH1029" s="5" t="inlineStr"/>
    </row>
    <row r="1030">
      <c r="A1030" s="5" t="inlineStr">
        <is>
          <t>b9-lise-bulusmasi</t>
        </is>
      </c>
      <c r="B1030" s="5" t="n">
        <v>2</v>
      </c>
      <c r="C1030" s="6" t="inlineStr">
        <is>
          <t>Yeni bir mesaj grubu kur</t>
        </is>
      </c>
      <c r="D1030" s="5" t="inlineStr">
        <is>
          <t>Çene</t>
        </is>
      </c>
      <c r="E1030" s="5" t="inlineStr">
        <is>
          <t>Orta</t>
        </is>
      </c>
      <c r="F1030" s="5" t="inlineStr"/>
      <c r="G1030" s="6" t="inlineStr"/>
      <c r="H1030" s="6" t="inlineStr">
        <is>
          <t>Grup kuruldu. İlk hafta seksen mesaj, ikinci hafta bir günaydın görseli, üçüncü hafta sessizlik.</t>
        </is>
      </c>
      <c r="I1030" s="6" t="inlineStr">
        <is>
          <t>Grup öyle yaşadı ki sınıf bir sonraki yıl tatile birlikte gitti. Kırk yıldır ilk kez yoklama tam.</t>
        </is>
      </c>
      <c r="J1030" s="6" t="inlineStr">
        <is>
          <t>Grubu kurdun, adını yazarken yanlışlıkla bir önceki sınıfın adını yazdın. Kimse düzeltmedi.</t>
        </is>
      </c>
      <c r="K1030" s="6" t="inlineStr">
        <is>
          <t>Grubu kurdun ve ilk mesajda yanlış kişiyi 'Merhum' diye andın. Kendisi grupta ve üzgün.</t>
        </is>
      </c>
      <c r="L1030" s="6" t="inlineStr"/>
      <c r="M1030" s="5" t="inlineStr"/>
      <c r="N1030" s="5" t="inlineStr"/>
      <c r="O1030" s="6" t="inlineStr"/>
      <c r="P1030" s="6" t="inlineStr"/>
      <c r="Q1030" s="5" t="inlineStr">
        <is>
          <t>Organizatör</t>
        </is>
      </c>
      <c r="R1030" s="5" t="inlineStr"/>
      <c r="S1030" s="5" t="inlineStr"/>
      <c r="T1030" s="5" t="inlineStr"/>
      <c r="U1030" s="5" t="inlineStr"/>
      <c r="V1030" s="5" t="inlineStr"/>
      <c r="W1030" s="5" t="inlineStr"/>
      <c r="X1030" s="5" t="inlineStr"/>
      <c r="Y1030" s="5" t="inlineStr"/>
      <c r="Z1030" s="6" t="inlineStr"/>
      <c r="AA1030" s="5" t="inlineStr"/>
      <c r="AB1030" s="5" t="inlineStr"/>
      <c r="AC1030" s="5" t="inlineStr"/>
      <c r="AD1030" s="5" t="inlineStr"/>
      <c r="AE1030" s="5" t="inlineStr"/>
      <c r="AF1030" s="5" t="inlineStr"/>
      <c r="AG1030" s="5" t="inlineStr"/>
      <c r="AH1030" s="5" t="inlineStr"/>
    </row>
    <row r="1031">
      <c r="A1031" s="5" t="inlineStr">
        <is>
          <t>b9-lise-bulusmasi</t>
        </is>
      </c>
      <c r="B1031" s="5" t="n">
        <v>3</v>
      </c>
      <c r="C1031" s="6" t="inlineStr">
        <is>
          <t>Kimin ne olduğunu kıyasla</t>
        </is>
      </c>
      <c r="D1031" s="5" t="inlineStr">
        <is>
          <t>İtibar</t>
        </is>
      </c>
      <c r="E1031" s="5" t="inlineStr">
        <is>
          <t>Orta</t>
        </is>
      </c>
      <c r="F1031" s="5" t="inlineStr"/>
      <c r="G1031" s="6" t="inlineStr"/>
      <c r="H1031" s="6" t="inlineStr">
        <is>
          <t>Kıyasladın ve fark ettin: herkes bir yerinden yorulmuş. Rahatladın.</t>
        </is>
      </c>
      <c r="I1031" s="6" t="inlineStr">
        <is>
          <t>Kıyasladın ve kendini sınıfın ortalamasının üstünde buldun. Gece rahat uyudun. Kimseye söylemedin.</t>
        </is>
      </c>
      <c r="J1031" s="6" t="inlineStr">
        <is>
          <t>Kıyasladın. Sınıfın en tembeli şimdi bir otel zinciri sahibi. Bu bilgiyi hazmetmen iki gün sürdü.</t>
        </is>
      </c>
      <c r="K1031" s="6" t="inlineStr">
        <is>
          <t>Kıyaslarken yüksek sesle düşündün. Arabadaki eski sınıf arkadaşın her şeyi duydu.</t>
        </is>
      </c>
      <c r="L1031" s="6" t="inlineStr"/>
      <c r="M1031" s="5" t="inlineStr"/>
      <c r="N1031" s="5" t="inlineStr"/>
      <c r="O1031" s="6" t="inlineStr"/>
      <c r="P1031" s="6" t="inlineStr"/>
      <c r="Q1031" s="5" t="inlineStr"/>
      <c r="R1031" s="5" t="inlineStr"/>
      <c r="S1031" s="5" t="inlineStr"/>
      <c r="T1031" s="5" t="inlineStr"/>
      <c r="U1031" s="5" t="inlineStr"/>
      <c r="V1031" s="5" t="inlineStr"/>
      <c r="W1031" s="5" t="inlineStr"/>
      <c r="X1031" s="5" t="inlineStr"/>
      <c r="Y1031" s="5" t="inlineStr"/>
      <c r="Z1031" s="6" t="inlineStr"/>
      <c r="AA1031" s="5" t="inlineStr"/>
      <c r="AB1031" s="5" t="inlineStr"/>
      <c r="AC1031" s="5" t="inlineStr"/>
      <c r="AD1031" s="5" t="inlineStr"/>
      <c r="AE1031" s="5" t="inlineStr"/>
      <c r="AF1031" s="5" t="inlineStr"/>
      <c r="AG1031" s="5" t="inlineStr"/>
      <c r="AH1031" s="5" t="inlineStr"/>
    </row>
    <row r="1032">
      <c r="A1032" s="5" t="inlineStr">
        <is>
          <t>b9-eski-ask</t>
        </is>
      </c>
      <c r="B1032" s="5" t="n">
        <v>1</v>
      </c>
      <c r="C1032" s="6" t="inlineStr">
        <is>
          <t>Nohudu bırak, başka reyona geç</t>
        </is>
      </c>
      <c r="D1032" s="5" t="inlineStr"/>
      <c r="E1032" s="5" t="inlineStr"/>
      <c r="F1032" s="5" t="inlineStr">
        <is>
          <t>Dayanıklılık +1</t>
        </is>
      </c>
      <c r="G1032" s="6" t="inlineStr">
        <is>
          <t>Nohudu bıraktın. Akşam yemeği nohutsuz kaldı. Geçmiş de öyle.</t>
        </is>
      </c>
      <c r="H1032" s="6" t="inlineStr"/>
      <c r="I1032" s="6" t="inlineStr"/>
      <c r="J1032" s="6" t="inlineStr"/>
      <c r="K1032" s="6" t="inlineStr"/>
      <c r="L1032" s="6" t="inlineStr"/>
      <c r="M1032" s="5" t="inlineStr"/>
      <c r="N1032" s="5" t="inlineStr"/>
      <c r="O1032" s="6" t="inlineStr"/>
      <c r="P1032" s="6" t="inlineStr"/>
      <c r="Q1032" s="5" t="inlineStr"/>
      <c r="R1032" s="5" t="inlineStr"/>
      <c r="S1032" s="5" t="inlineStr"/>
      <c r="T1032" s="5" t="inlineStr"/>
      <c r="U1032" s="5" t="inlineStr"/>
      <c r="V1032" s="5" t="inlineStr"/>
      <c r="W1032" s="5" t="inlineStr"/>
      <c r="X1032" s="5" t="inlineStr"/>
      <c r="Y1032" s="5" t="inlineStr"/>
      <c r="Z1032" s="6" t="inlineStr"/>
      <c r="AA1032" s="5" t="inlineStr"/>
      <c r="AB1032" s="5" t="inlineStr"/>
      <c r="AC1032" s="5" t="inlineStr"/>
      <c r="AD1032" s="5" t="inlineStr"/>
      <c r="AE1032" s="5" t="inlineStr"/>
      <c r="AF1032" s="5" t="inlineStr"/>
      <c r="AG1032" s="5" t="inlineStr"/>
      <c r="AH1032" s="5" t="inlineStr"/>
    </row>
    <row r="1033">
      <c r="A1033" s="5" t="inlineStr">
        <is>
          <t>b9-eski-ask</t>
        </is>
      </c>
      <c r="B1033" s="5" t="n">
        <v>2</v>
      </c>
      <c r="C1033" s="6" t="inlineStr">
        <is>
          <t>Selam ver</t>
        </is>
      </c>
      <c r="D1033" s="5" t="inlineStr">
        <is>
          <t>Cesaret</t>
        </is>
      </c>
      <c r="E1033" s="5" t="inlineStr">
        <is>
          <t>Orta</t>
        </is>
      </c>
      <c r="F1033" s="5" t="inlineStr"/>
      <c r="G1033" s="6" t="inlineStr"/>
      <c r="H1033" s="6" t="inlineStr">
        <is>
          <t>Selam verdin. On dakika konuştunuz. İkiniz de torun fotoğrafı gösterdiniz.</t>
        </is>
      </c>
      <c r="I1033" s="6" t="inlineStr">
        <is>
          <t>Selam verdin, kafeye oturdunuz, üç saat konuştunuz. Kasaya dönünce nohudun indirimi bitmişti.</t>
        </is>
      </c>
      <c r="J1033" s="6" t="inlineStr">
        <is>
          <t>Selam verdin. 'Pardon, tanıyamadım' dedi. Sen de tanımamış gibi yaptın. Artık ikiniz de yalan söylüyorsunuz.</t>
        </is>
      </c>
      <c r="K1033" s="6" t="inlineStr">
        <is>
          <t>Selam verdin. Eski aşkın değilmiş. Sadece aynı nohudu seven biriymiş.</t>
        </is>
      </c>
      <c r="L1033" s="6" t="inlineStr"/>
      <c r="M1033" s="5" t="inlineStr"/>
      <c r="N1033" s="5" t="inlineStr"/>
      <c r="O1033" s="6" t="inlineStr"/>
      <c r="P1033" s="6" t="inlineStr"/>
      <c r="Q1033" s="5" t="inlineStr"/>
      <c r="R1033" s="5" t="inlineStr"/>
      <c r="S1033" s="5" t="inlineStr"/>
      <c r="T1033" s="5" t="inlineStr"/>
      <c r="U1033" s="5" t="inlineStr"/>
      <c r="V1033" s="5" t="inlineStr"/>
      <c r="W1033" s="5" t="inlineStr"/>
      <c r="X1033" s="5" t="inlineStr"/>
      <c r="Y1033" s="5" t="inlineStr"/>
      <c r="Z1033" s="6" t="inlineStr"/>
      <c r="AA1033" s="5" t="inlineStr"/>
      <c r="AB1033" s="5" t="inlineStr"/>
      <c r="AC1033" s="5" t="inlineStr"/>
      <c r="AD1033" s="5" t="inlineStr"/>
      <c r="AE1033" s="5" t="inlineStr"/>
      <c r="AF1033" s="5" t="inlineStr"/>
      <c r="AG1033" s="5" t="inlineStr"/>
      <c r="AH1033" s="5" t="inlineStr"/>
    </row>
    <row r="1034">
      <c r="A1034" s="5" t="inlineStr">
        <is>
          <t>b9-eski-ask</t>
        </is>
      </c>
      <c r="B1034" s="5" t="n">
        <v>3</v>
      </c>
      <c r="C1034" s="6" t="inlineStr">
        <is>
          <t>Yarım kalan mektubu anlat</t>
        </is>
      </c>
      <c r="D1034" s="5" t="inlineStr">
        <is>
          <t>İtibar</t>
        </is>
      </c>
      <c r="E1034" s="5" t="inlineStr">
        <is>
          <t>Zor</t>
        </is>
      </c>
      <c r="F1034" s="5" t="inlineStr"/>
      <c r="G1034" s="6" t="inlineStr"/>
      <c r="H1034" s="6" t="inlineStr">
        <is>
          <t>Mektubu anlattın. Güldü: 'O mektubu ben de yazıyordum.' İki yarım mektup bir marketin konserve reyonunda tamamlandı.</t>
        </is>
      </c>
      <c r="I1034" s="6" t="inlineStr">
        <is>
          <t>Mektubu anlattın. O da cüzdanından sararmış bir kâğıt çıkardı. Kırk yıl sonra teslim alındı.</t>
        </is>
      </c>
      <c r="J1034" s="6" t="inlineStr">
        <is>
          <t>Mektubu anlattın. 'Hangi mektup?' dedi. Kırk yıllık bir dram tek taraflıymış.</t>
        </is>
      </c>
      <c r="K1034" s="6" t="inlineStr">
        <is>
          <t>Mektubu anlatırken ağladın, nohut kutusu elinden düştü. Market görevlisi 'Reyon üç, temizlik' anonsu yaptı.</t>
        </is>
      </c>
      <c r="L1034" s="6" t="inlineStr"/>
      <c r="M1034" s="5" t="inlineStr"/>
      <c r="N1034" s="5" t="inlineStr"/>
      <c r="O1034" s="6" t="inlineStr"/>
      <c r="P1034" s="6" t="inlineStr"/>
      <c r="Q1034" s="5" t="inlineStr"/>
      <c r="R1034" s="5" t="inlineStr"/>
      <c r="S1034" s="5" t="inlineStr">
        <is>
          <t>İtibar</t>
        </is>
      </c>
      <c r="T1034" s="5" t="inlineStr"/>
      <c r="U1034" s="5" t="inlineStr"/>
      <c r="V1034" s="5" t="inlineStr"/>
      <c r="W1034" s="5" t="inlineStr"/>
      <c r="X1034" s="5" t="inlineStr"/>
      <c r="Y1034" s="5" t="inlineStr"/>
      <c r="Z1034" s="6" t="inlineStr"/>
      <c r="AA1034" s="5" t="inlineStr"/>
      <c r="AB1034" s="5" t="inlineStr"/>
      <c r="AC1034" s="5" t="inlineStr"/>
      <c r="AD1034" s="5" t="inlineStr"/>
      <c r="AE1034" s="5" t="inlineStr"/>
      <c r="AF1034" s="5" t="inlineStr"/>
      <c r="AG1034" s="5" t="inlineStr"/>
      <c r="AH1034" s="5" t="inlineStr"/>
    </row>
    <row r="1035">
      <c r="A1035" s="5" t="inlineStr">
        <is>
          <t>b9-balkon-tarimi</t>
        </is>
      </c>
      <c r="B1035" s="5" t="n">
        <v>1</v>
      </c>
      <c r="C1035" s="6" t="inlineStr">
        <is>
          <t>Her gün sula, bekle</t>
        </is>
      </c>
      <c r="D1035" s="5" t="inlineStr"/>
      <c r="E1035" s="5" t="inlineStr"/>
      <c r="F1035" s="5" t="inlineStr">
        <is>
          <t>İtibar +1, Dayanıklılık +1</t>
        </is>
      </c>
      <c r="G1035" s="6" t="inlineStr">
        <is>
          <t>Bekledin. Hasat: yedi domates. Her birine isim verdin. Salata yapmak zor oldu.</t>
        </is>
      </c>
      <c r="H1035" s="6" t="inlineStr"/>
      <c r="I1035" s="6" t="inlineStr"/>
      <c r="J1035" s="6" t="inlineStr"/>
      <c r="K1035" s="6" t="inlineStr"/>
      <c r="L1035" s="6" t="inlineStr"/>
      <c r="M1035" s="5" t="inlineStr"/>
      <c r="N1035" s="5" t="inlineStr"/>
      <c r="O1035" s="6" t="inlineStr"/>
      <c r="P1035" s="6" t="inlineStr"/>
      <c r="Q1035" s="5" t="inlineStr"/>
      <c r="R1035" s="5" t="inlineStr"/>
      <c r="S1035" s="5" t="inlineStr"/>
      <c r="T1035" s="5" t="inlineStr"/>
      <c r="U1035" s="5" t="inlineStr"/>
      <c r="V1035" s="5" t="inlineStr"/>
      <c r="W1035" s="5" t="inlineStr"/>
      <c r="X1035" s="5" t="inlineStr"/>
      <c r="Y1035" s="5" t="inlineStr"/>
      <c r="Z1035" s="6" t="inlineStr"/>
      <c r="AA1035" s="5" t="inlineStr"/>
      <c r="AB1035" s="5" t="inlineStr"/>
      <c r="AC1035" s="5" t="inlineStr"/>
      <c r="AD1035" s="5" t="inlineStr"/>
      <c r="AE1035" s="5" t="inlineStr"/>
      <c r="AF1035" s="5" t="inlineStr"/>
      <c r="AG1035" s="5" t="inlineStr"/>
      <c r="AH1035" s="5" t="inlineStr"/>
    </row>
    <row r="1036">
      <c r="A1036" s="5" t="inlineStr">
        <is>
          <t>b9-balkon-tarimi</t>
        </is>
      </c>
      <c r="B1036" s="5" t="n">
        <v>2</v>
      </c>
      <c r="C1036" s="6" t="inlineStr">
        <is>
          <t>Toprak ve gübre araştır</t>
        </is>
      </c>
      <c r="D1036" s="5" t="inlineStr">
        <is>
          <t>Akıl</t>
        </is>
      </c>
      <c r="E1036" s="5" t="inlineStr">
        <is>
          <t>Zor</t>
        </is>
      </c>
      <c r="F1036" s="5" t="inlineStr"/>
      <c r="G1036" s="6" t="inlineStr"/>
      <c r="H1036" s="6" t="inlineStr">
        <is>
          <t>Toprağı değiştirdin, domatesler coştu. Balkon küçük bir tarım kooperatifi oldu.</t>
        </is>
      </c>
      <c r="I1036" s="6" t="inlineStr">
        <is>
          <t>Domatesler öyle büyüdü ki apartman yöneticisi 'Balkon statiği' konulu bir toplantı çağırdı.</t>
        </is>
      </c>
      <c r="J1036" s="6" t="inlineStr">
        <is>
          <t>Doğru gübreyi aldın, yanlış saksıya koydun. Sardunya dev oldu. Domatesler kıskandı.</t>
        </is>
      </c>
      <c r="K1036" s="6" t="inlineStr">
        <is>
          <t>Gübreyi fazla koydun. Balkon üç hafta boyunca bir çiftlik kokusuyla komşuluk ilişkilerini test etti.</t>
        </is>
      </c>
      <c r="L1036" s="6" t="inlineStr"/>
      <c r="M1036" s="5" t="inlineStr"/>
      <c r="N1036" s="5" t="inlineStr"/>
      <c r="O1036" s="6" t="inlineStr"/>
      <c r="P1036" s="6" t="inlineStr"/>
      <c r="Q1036" s="5" t="inlineStr"/>
      <c r="R1036" s="5" t="inlineStr"/>
      <c r="S1036" s="5" t="inlineStr"/>
      <c r="T1036" s="5" t="inlineStr">
        <is>
          <t>Bahçe Filozofu</t>
        </is>
      </c>
      <c r="U1036" s="5" t="inlineStr"/>
      <c r="V1036" s="5" t="inlineStr"/>
      <c r="W1036" s="5" t="inlineStr"/>
      <c r="X1036" s="5" t="inlineStr"/>
      <c r="Y1036" s="5" t="inlineStr"/>
      <c r="Z1036" s="6" t="inlineStr"/>
      <c r="AA1036" s="5" t="inlineStr"/>
      <c r="AB1036" s="5" t="inlineStr"/>
      <c r="AC1036" s="5" t="inlineStr"/>
      <c r="AD1036" s="5" t="inlineStr"/>
      <c r="AE1036" s="5" t="inlineStr"/>
      <c r="AF1036" s="5" t="inlineStr"/>
      <c r="AG1036" s="5" t="inlineStr"/>
      <c r="AH1036" s="5" t="inlineStr"/>
    </row>
    <row r="1037">
      <c r="A1037" s="5" t="inlineStr">
        <is>
          <t>b9-balkon-tarimi</t>
        </is>
      </c>
      <c r="B1037" s="5" t="n">
        <v>3</v>
      </c>
      <c r="C1037" s="6" t="inlineStr">
        <is>
          <t>Alt kata doğru genişlet</t>
        </is>
      </c>
      <c r="D1037" s="5" t="inlineStr">
        <is>
          <t>Kurnazlık</t>
        </is>
      </c>
      <c r="E1037" s="5" t="inlineStr">
        <is>
          <t>Zor</t>
        </is>
      </c>
      <c r="F1037" s="5" t="inlineStr"/>
      <c r="G1037" s="6" t="inlineStr"/>
      <c r="H1037" s="6" t="inlineStr">
        <is>
          <t>Saksılar alt kata sarkıtıldı. Domatesler güneşte. Alt kat henüz fark etmedi.</t>
        </is>
      </c>
      <c r="I1037" s="6" t="inlineStr">
        <is>
          <t>Alt kat fark etti ve kendi saksısını ekledi. Artık iki kat ortak bir bahçe işletiyor.</t>
        </is>
      </c>
      <c r="J1037" s="6" t="inlineStr">
        <is>
          <t>Alt kat fark etti ve saksıları geri itti. Sessiz bir sınır anlaşmazlığı başladı.</t>
        </is>
      </c>
      <c r="K1037" s="6" t="inlineStr">
        <is>
          <t>Saksı sarktı, sonra düştü. Alt kattakinin balkonunda yeni bir domates fidesi var. Mülkiyet tartışmalı.</t>
        </is>
      </c>
      <c r="L1037" s="6" t="inlineStr"/>
      <c r="M1037" s="5" t="inlineStr"/>
      <c r="N1037" s="5" t="inlineStr"/>
      <c r="O1037" s="6" t="inlineStr"/>
      <c r="P1037" s="6" t="inlineStr"/>
      <c r="Q1037" s="5" t="inlineStr"/>
      <c r="R1037" s="5" t="inlineStr"/>
      <c r="S1037" s="5" t="inlineStr"/>
      <c r="T1037" s="5" t="inlineStr"/>
      <c r="U1037" s="5" t="inlineStr"/>
      <c r="V1037" s="5" t="inlineStr"/>
      <c r="W1037" s="5" t="inlineStr"/>
      <c r="X1037" s="5" t="inlineStr"/>
      <c r="Y1037" s="5" t="inlineStr"/>
      <c r="Z1037" s="6" t="inlineStr"/>
      <c r="AA1037" s="5" t="inlineStr"/>
      <c r="AB1037" s="5" t="inlineStr"/>
      <c r="AC1037" s="5" t="inlineStr"/>
      <c r="AD1037" s="5" t="inlineStr"/>
      <c r="AE1037" s="5" t="inlineStr"/>
      <c r="AF1037" s="5" t="inlineStr"/>
      <c r="AG1037" s="5" t="inlineStr"/>
      <c r="AH1037" s="5" t="inlineStr"/>
    </row>
    <row r="1038">
      <c r="A1038" s="5" t="inlineStr">
        <is>
          <t>mm-devir-teslim</t>
        </is>
      </c>
      <c r="B1038" s="5" t="n">
        <v>1</v>
      </c>
      <c r="C1038" s="6" t="inlineStr">
        <is>
          <t>Her şeyi tutanağa geçir</t>
        </is>
      </c>
      <c r="D1038" s="5" t="inlineStr"/>
      <c r="E1038" s="5" t="inlineStr"/>
      <c r="F1038" s="5" t="inlineStr">
        <is>
          <t>Akıl +1, İtibar +1</t>
        </is>
      </c>
      <c r="G1038" s="6" t="inlineStr">
        <is>
          <t>Kırk iki sayfalık tutanak yazdın. Genç memur ilk sayfayı okudu ve sordu: 'Kısaca?'</t>
        </is>
      </c>
      <c r="H1038" s="6" t="inlineStr"/>
      <c r="I1038" s="6" t="inlineStr"/>
      <c r="J1038" s="6" t="inlineStr"/>
      <c r="K1038" s="6" t="inlineStr"/>
      <c r="L1038" s="6" t="inlineStr"/>
      <c r="M1038" s="5" t="inlineStr"/>
      <c r="N1038" s="5" t="inlineStr"/>
      <c r="O1038" s="6" t="inlineStr"/>
      <c r="P1038" s="6" t="inlineStr"/>
      <c r="Q1038" s="5" t="inlineStr"/>
      <c r="R1038" s="5" t="inlineStr"/>
      <c r="S1038" s="5" t="inlineStr"/>
      <c r="T1038" s="5" t="inlineStr"/>
      <c r="U1038" s="5" t="inlineStr"/>
      <c r="V1038" s="5" t="inlineStr"/>
      <c r="W1038" s="5" t="inlineStr"/>
      <c r="X1038" s="5" t="inlineStr"/>
      <c r="Y1038" s="5" t="inlineStr"/>
      <c r="Z1038" s="6" t="inlineStr"/>
      <c r="AA1038" s="5" t="inlineStr"/>
      <c r="AB1038" s="5" t="inlineStr"/>
      <c r="AC1038" s="5" t="inlineStr"/>
      <c r="AD1038" s="5" t="inlineStr"/>
      <c r="AE1038" s="5" t="inlineStr"/>
      <c r="AF1038" s="5" t="inlineStr"/>
      <c r="AG1038" s="5" t="inlineStr"/>
      <c r="AH1038" s="5" t="inlineStr"/>
    </row>
    <row r="1039">
      <c r="A1039" s="5" t="inlineStr">
        <is>
          <t>mm-devir-teslim</t>
        </is>
      </c>
      <c r="B1039" s="5" t="n">
        <v>2</v>
      </c>
      <c r="C1039" s="6" t="inlineStr">
        <is>
          <t>Genç memura işin inceliklerini öğret</t>
        </is>
      </c>
      <c r="D1039" s="5" t="inlineStr">
        <is>
          <t>Çene</t>
        </is>
      </c>
      <c r="E1039" s="5" t="inlineStr">
        <is>
          <t>Orta</t>
        </is>
      </c>
      <c r="F1039" s="5" t="inlineStr"/>
      <c r="G1039" s="6" t="inlineStr"/>
      <c r="H1039" s="6" t="inlineStr">
        <is>
          <t>Hangi evrak hangi masaya, hangi müdür hangi saatte. İki haftada otuz yıl aktarıldı.</t>
        </is>
      </c>
      <c r="I1039" s="6" t="inlineStr">
        <is>
          <t>Genç memur öğrendiklerini not aldı, not defteri birimde el kitabı oldu. Kapakta adın var.</t>
        </is>
      </c>
      <c r="J1039" s="6" t="inlineStr">
        <is>
          <t>Anlattın. Genç memur her cümleden sonra 'Sistemde bu otomatik' dedi.</t>
        </is>
      </c>
      <c r="K1039" s="6" t="inlineStr">
        <is>
          <t>O kadar anlattın ki genç memur tayin istedi. Devir teslim, yeni gelecek bir sonraki gence ertelendi.</t>
        </is>
      </c>
      <c r="L1039" s="6" t="inlineStr"/>
      <c r="M1039" s="5" t="inlineStr"/>
      <c r="N1039" s="5" t="inlineStr"/>
      <c r="O1039" s="6" t="inlineStr"/>
      <c r="P1039" s="6" t="inlineStr"/>
      <c r="Q1039" s="5" t="inlineStr"/>
      <c r="R1039" s="5" t="inlineStr"/>
      <c r="S1039" s="5" t="inlineStr"/>
      <c r="T1039" s="5" t="inlineStr"/>
      <c r="U1039" s="5" t="inlineStr"/>
      <c r="V1039" s="5" t="inlineStr"/>
      <c r="W1039" s="5" t="inlineStr"/>
      <c r="X1039" s="5" t="inlineStr"/>
      <c r="Y1039" s="5" t="inlineStr"/>
      <c r="Z1039" s="6" t="inlineStr"/>
      <c r="AA1039" s="5" t="inlineStr"/>
      <c r="AB1039" s="5" t="inlineStr"/>
      <c r="AC1039" s="5" t="inlineStr"/>
      <c r="AD1039" s="5" t="inlineStr"/>
      <c r="AE1039" s="5" t="inlineStr"/>
      <c r="AF1039" s="5" t="inlineStr"/>
      <c r="AG1039" s="5" t="inlineStr"/>
      <c r="AH1039" s="5" t="inlineStr"/>
    </row>
    <row r="1040">
      <c r="A1040" s="5" t="inlineStr">
        <is>
          <t>mm-devir-teslim</t>
        </is>
      </c>
      <c r="B1040" s="5" t="n">
        <v>3</v>
      </c>
      <c r="C1040" s="6" t="inlineStr">
        <is>
          <t>Genç memurdan yeni sistemi öğren</t>
        </is>
      </c>
      <c r="D1040" s="5" t="inlineStr">
        <is>
          <t>Akıl</t>
        </is>
      </c>
      <c r="E1040" s="5" t="inlineStr">
        <is>
          <t>Kolay</t>
        </is>
      </c>
      <c r="F1040" s="5" t="inlineStr"/>
      <c r="G1040" s="6" t="inlineStr"/>
      <c r="H1040" s="6" t="inlineStr">
        <is>
          <t>On dakikada öğrendin. Kariyerinin son iki haftası en verimli dönemin oldu.</t>
        </is>
      </c>
      <c r="I1040" s="6" t="inlineStr">
        <is>
          <t>Sistemi öyle kavradın ki çöktüğünde genç memur seni aradı. Otuz yılda bir ilk.</t>
        </is>
      </c>
      <c r="J1040" s="6" t="inlineStr">
        <is>
          <t>Öğrendin, sonra unuttun. Sistem de seni unuttu; şifren süresi dolmuştu.</t>
        </is>
      </c>
      <c r="K1040" s="6" t="inlineStr">
        <is>
          <t>Yanlış tuşa bastın; bütün birimin emeklilik tarihleri bir gün ileri kaydı. Kimse fark etmedi, sen hariç.</t>
        </is>
      </c>
      <c r="L1040" s="6" t="inlineStr"/>
      <c r="M1040" s="5" t="inlineStr"/>
      <c r="N1040" s="5" t="inlineStr"/>
      <c r="O1040" s="6" t="inlineStr"/>
      <c r="P1040" s="6" t="inlineStr"/>
      <c r="Q1040" s="5" t="inlineStr"/>
      <c r="R1040" s="5" t="inlineStr"/>
      <c r="S1040" s="5" t="inlineStr"/>
      <c r="T1040" s="5" t="inlineStr"/>
      <c r="U1040" s="5" t="inlineStr"/>
      <c r="V1040" s="5" t="inlineStr"/>
      <c r="W1040" s="5" t="inlineStr"/>
      <c r="X1040" s="5" t="inlineStr"/>
      <c r="Y1040" s="5" t="inlineStr"/>
      <c r="Z1040" s="6" t="inlineStr"/>
      <c r="AA1040" s="5" t="inlineStr"/>
      <c r="AB1040" s="5" t="inlineStr"/>
      <c r="AC1040" s="5" t="inlineStr"/>
      <c r="AD1040" s="5" t="inlineStr"/>
      <c r="AE1040" s="5" t="inlineStr"/>
      <c r="AF1040" s="5" t="inlineStr"/>
      <c r="AG1040" s="5" t="inlineStr"/>
      <c r="AH1040" s="5" t="inlineStr"/>
    </row>
    <row r="1041">
      <c r="A1041" s="5" t="inlineStr">
        <is>
          <t>mm-devir-teslim</t>
        </is>
      </c>
      <c r="B1041" s="5" t="n">
        <v>4</v>
      </c>
      <c r="C1041" s="6" t="inlineStr">
        <is>
          <t>Kayıp dosyayı da devret</t>
        </is>
      </c>
      <c r="D1041" s="5" t="inlineStr">
        <is>
          <t>Pişkinlik</t>
        </is>
      </c>
      <c r="E1041" s="5" t="inlineStr">
        <is>
          <t>Orta</t>
        </is>
      </c>
      <c r="F1041" s="5" t="inlineStr"/>
      <c r="G1041" s="6" t="inlineStr"/>
      <c r="H1041" s="6" t="inlineStr">
        <is>
          <t>Dosyanın kaybından artık yasal olarak başkası sorumlu. Omuzların otuz yıl sonra ilk kez düz.</t>
        </is>
      </c>
      <c r="I1041" s="6" t="inlineStr">
        <is>
          <t>Genç memur dosyayı ilk haftasında buldu, bir dolabın arkasındaymış. Otuz yıl, bir dolap kaydırma mesafesindeymiş.</t>
        </is>
      </c>
      <c r="J1041" s="6" t="inlineStr">
        <is>
          <t>Genç memur imzalamadı. Zimmet emekliliğine kadar sende.</t>
        </is>
      </c>
      <c r="K1041" s="6" t="inlineStr">
        <is>
          <t>Dosyayı devrederken ikinci bir belge kaybettin: devir tutanağını.</t>
        </is>
      </c>
      <c r="L1041" s="6" t="inlineStr"/>
      <c r="M1041" s="5" t="inlineStr"/>
      <c r="N1041" s="5" t="inlineStr"/>
      <c r="O1041" s="6" t="inlineStr"/>
      <c r="P1041" s="6" t="inlineStr"/>
      <c r="Q1041" s="5" t="inlineStr"/>
      <c r="R1041" s="5" t="inlineStr">
        <is>
          <t>memur-kayip-dosya</t>
        </is>
      </c>
      <c r="S1041" s="5" t="inlineStr"/>
      <c r="T1041" s="5" t="inlineStr"/>
      <c r="U1041" s="5" t="inlineStr"/>
      <c r="V1041" s="5" t="inlineStr"/>
      <c r="W1041" s="5" t="inlineStr"/>
      <c r="X1041" s="5" t="inlineStr"/>
      <c r="Y1041" s="5" t="inlineStr"/>
      <c r="Z1041" s="6" t="inlineStr"/>
      <c r="AA1041" s="5" t="inlineStr"/>
      <c r="AB1041" s="5" t="inlineStr"/>
      <c r="AC1041" s="5" t="inlineStr"/>
      <c r="AD1041" s="5" t="inlineStr"/>
      <c r="AE1041" s="5" t="inlineStr"/>
      <c r="AF1041" s="5" t="inlineStr"/>
      <c r="AG1041" s="5" t="inlineStr"/>
      <c r="AH1041" s="5" t="inlineStr"/>
    </row>
    <row r="1042">
      <c r="A1042" s="5" t="inlineStr">
        <is>
          <t>b9-yapay-zeka-asistani</t>
        </is>
      </c>
      <c r="B1042" s="5" t="n">
        <v>1</v>
      </c>
      <c r="C1042" s="6" t="inlineStr">
        <is>
          <t>Asistana bağır</t>
        </is>
      </c>
      <c r="D1042" s="5" t="inlineStr">
        <is>
          <t>Cesaret</t>
        </is>
      </c>
      <c r="E1042" s="5" t="inlineStr">
        <is>
          <t>Kolay</t>
        </is>
      </c>
      <c r="F1042" s="5" t="inlineStr"/>
      <c r="G1042" s="6" t="inlineStr"/>
      <c r="H1042" s="6" t="inlineStr">
        <is>
          <t>Bağırdın. Asistan 'Sakin olun, size yardımcı olacağım' dedi ve oldu. Kim kimi eğitiyor, belirsiz.</t>
        </is>
      </c>
      <c r="I1042" s="6" t="inlineStr">
        <is>
          <t>Bağırdın, asistan özür diledi. Hayatında ilk kez bir teknoloji senden özür diledi.</t>
        </is>
      </c>
      <c r="J1042" s="6" t="inlineStr">
        <is>
          <t>Bağırdın. Asistan 'Mutluluk verici müzikler çalıyorum' dedi ve çaldı.</t>
        </is>
      </c>
      <c r="K1042" s="6" t="inlineStr">
        <is>
          <t>Bağırdın. Komşu 'Her şey yolunda mı?' diye kapıyı çaldı. Asistan komşuyu anladı.</t>
        </is>
      </c>
      <c r="L1042" s="6" t="inlineStr"/>
      <c r="M1042" s="5" t="inlineStr"/>
      <c r="N1042" s="5" t="inlineStr"/>
      <c r="O1042" s="6" t="inlineStr"/>
      <c r="P1042" s="6" t="inlineStr"/>
      <c r="Q1042" s="5" t="inlineStr"/>
      <c r="R1042" s="5" t="inlineStr"/>
      <c r="S1042" s="5" t="inlineStr"/>
      <c r="T1042" s="5" t="inlineStr"/>
      <c r="U1042" s="5" t="inlineStr"/>
      <c r="V1042" s="5" t="inlineStr"/>
      <c r="W1042" s="5" t="inlineStr"/>
      <c r="X1042" s="5" t="inlineStr"/>
      <c r="Y1042" s="5" t="inlineStr"/>
      <c r="Z1042" s="6" t="inlineStr"/>
      <c r="AA1042" s="5" t="inlineStr"/>
      <c r="AB1042" s="5" t="inlineStr"/>
      <c r="AC1042" s="5" t="inlineStr"/>
      <c r="AD1042" s="5" t="inlineStr"/>
      <c r="AE1042" s="5" t="inlineStr"/>
      <c r="AF1042" s="5" t="inlineStr"/>
      <c r="AG1042" s="5" t="inlineStr"/>
      <c r="AH1042" s="5" t="inlineStr"/>
    </row>
    <row r="1043">
      <c r="A1043" s="5" t="inlineStr">
        <is>
          <t>b9-yapay-zeka-asistani</t>
        </is>
      </c>
      <c r="B1043" s="5" t="n">
        <v>2</v>
      </c>
      <c r="C1043" s="6" t="inlineStr">
        <is>
          <t>Kibarca sor</t>
        </is>
      </c>
      <c r="D1043" s="5" t="inlineStr"/>
      <c r="E1043" s="5" t="inlineStr"/>
      <c r="F1043" s="5" t="inlineStr">
        <is>
          <t>İtibar +1</t>
        </is>
      </c>
      <c r="G1043" s="6" t="inlineStr">
        <is>
          <t>'Rica etsem' diye başladın. Asistan sana dört paragraf cevap verdi. İlk cümlede kayboldun.</t>
        </is>
      </c>
      <c r="H1043" s="6" t="inlineStr"/>
      <c r="I1043" s="6" t="inlineStr"/>
      <c r="J1043" s="6" t="inlineStr"/>
      <c r="K1043" s="6" t="inlineStr"/>
      <c r="L1043" s="6" t="inlineStr"/>
      <c r="M1043" s="5" t="inlineStr"/>
      <c r="N1043" s="5" t="inlineStr"/>
      <c r="O1043" s="6" t="inlineStr"/>
      <c r="P1043" s="6" t="inlineStr"/>
      <c r="Q1043" s="5" t="inlineStr"/>
      <c r="R1043" s="5" t="inlineStr"/>
      <c r="S1043" s="5" t="inlineStr"/>
      <c r="T1043" s="5" t="inlineStr"/>
      <c r="U1043" s="5" t="inlineStr"/>
      <c r="V1043" s="5" t="inlineStr"/>
      <c r="W1043" s="5" t="inlineStr"/>
      <c r="X1043" s="5" t="inlineStr"/>
      <c r="Y1043" s="5" t="inlineStr"/>
      <c r="Z1043" s="6" t="inlineStr"/>
      <c r="AA1043" s="5" t="inlineStr"/>
      <c r="AB1043" s="5" t="inlineStr"/>
      <c r="AC1043" s="5" t="inlineStr"/>
      <c r="AD1043" s="5" t="inlineStr"/>
      <c r="AE1043" s="5" t="inlineStr"/>
      <c r="AF1043" s="5" t="inlineStr"/>
      <c r="AG1043" s="5" t="inlineStr"/>
      <c r="AH1043" s="5" t="inlineStr"/>
    </row>
    <row r="1044">
      <c r="A1044" s="5" t="inlineStr">
        <is>
          <t>b9-yapay-zeka-asistani</t>
        </is>
      </c>
      <c r="B1044" s="5" t="n">
        <v>3</v>
      </c>
      <c r="C1044" s="6" t="inlineStr">
        <is>
          <t>Asistanı kendine göre ayarla</t>
        </is>
      </c>
      <c r="D1044" s="5" t="inlineStr">
        <is>
          <t>Akıl</t>
        </is>
      </c>
      <c r="E1044" s="5" t="inlineStr">
        <is>
          <t>Orta</t>
        </is>
      </c>
      <c r="F1044" s="5" t="inlineStr"/>
      <c r="G1044" s="6" t="inlineStr"/>
      <c r="H1044" s="6" t="inlineStr">
        <is>
          <t>Asistana yavaş konuşmasını, kısa cevap vermesini ve seni 'Efendim' diye çağırmasını öğrettin.</t>
        </is>
      </c>
      <c r="I1044" s="6" t="inlineStr">
        <is>
          <t>Asistanı öyle eğittin ki torunlar ödevleri için sana geliyor. Aslında asistana geliyorlar.</t>
        </is>
      </c>
      <c r="J1044" s="6" t="inlineStr">
        <is>
          <t>Ayarları değiştirdin, asistanın dili değişti. Şimdi bilmediğin bir dilde sana tarif veriyor.</t>
        </is>
      </c>
      <c r="K1044" s="6" t="inlineStr">
        <is>
          <t>Ayarlarda kayboldun. Asistan artık seni 'Kullanıcı 1' diye çağırıyor ve buna itiraz yolu yok.</t>
        </is>
      </c>
      <c r="L1044" s="6" t="inlineStr"/>
      <c r="M1044" s="5" t="inlineStr"/>
      <c r="N1044" s="5" t="inlineStr"/>
      <c r="O1044" s="6" t="inlineStr"/>
      <c r="P1044" s="6" t="inlineStr"/>
      <c r="Q1044" s="5" t="inlineStr">
        <is>
          <t>Teknoloji Merakı</t>
        </is>
      </c>
      <c r="R1044" s="5" t="inlineStr"/>
      <c r="S1044" s="5" t="inlineStr"/>
      <c r="T1044" s="5" t="inlineStr"/>
      <c r="U1044" s="5" t="inlineStr"/>
      <c r="V1044" s="5" t="inlineStr"/>
      <c r="W1044" s="5" t="inlineStr"/>
      <c r="X1044" s="5" t="inlineStr"/>
      <c r="Y1044" s="5" t="inlineStr"/>
      <c r="Z1044" s="6" t="inlineStr"/>
      <c r="AA1044" s="5" t="inlineStr"/>
      <c r="AB1044" s="5" t="inlineStr"/>
      <c r="AC1044" s="5" t="inlineStr"/>
      <c r="AD1044" s="5" t="inlineStr"/>
      <c r="AE1044" s="5" t="inlineStr"/>
      <c r="AF1044" s="5" t="inlineStr"/>
      <c r="AG1044" s="5" t="inlineStr"/>
      <c r="AH1044" s="5" t="inlineStr"/>
    </row>
    <row r="1045">
      <c r="A1045" s="5" t="inlineStr">
        <is>
          <t>b9-torun-nobeti</t>
        </is>
      </c>
      <c r="B1045" s="5" t="n">
        <v>1</v>
      </c>
      <c r="C1045" s="6" t="inlineStr">
        <is>
          <t>Talimatlara harfiyen uy</t>
        </is>
      </c>
      <c r="D1045" s="5" t="inlineStr"/>
      <c r="E1045" s="5" t="inlineStr"/>
      <c r="F1045" s="5" t="inlineStr">
        <is>
          <t>İtibar +1, Dayanıklılık +1</t>
        </is>
      </c>
      <c r="G1045" s="6" t="inlineStr">
        <is>
          <t>Listeye uydun. Torun seni 'en sıkıcı bakıcı' seçti. Çocuğun seni 'en güvenilir' seçti.</t>
        </is>
      </c>
      <c r="H1045" s="6" t="inlineStr"/>
      <c r="I1045" s="6" t="inlineStr"/>
      <c r="J1045" s="6" t="inlineStr"/>
      <c r="K1045" s="6" t="inlineStr"/>
      <c r="L1045" s="6" t="inlineStr"/>
      <c r="M1045" s="5" t="inlineStr"/>
      <c r="N1045" s="5" t="inlineStr"/>
      <c r="O1045" s="6" t="inlineStr"/>
      <c r="P1045" s="6" t="inlineStr"/>
      <c r="Q1045" s="5" t="inlineStr"/>
      <c r="R1045" s="5" t="inlineStr"/>
      <c r="S1045" s="5" t="inlineStr"/>
      <c r="T1045" s="5" t="inlineStr"/>
      <c r="U1045" s="5" t="inlineStr"/>
      <c r="V1045" s="5" t="inlineStr"/>
      <c r="W1045" s="5" t="inlineStr"/>
      <c r="X1045" s="5" t="inlineStr"/>
      <c r="Y1045" s="5" t="inlineStr"/>
      <c r="Z1045" s="6" t="inlineStr"/>
      <c r="AA1045" s="5" t="inlineStr"/>
      <c r="AB1045" s="5" t="inlineStr"/>
      <c r="AC1045" s="5" t="inlineStr"/>
      <c r="AD1045" s="5" t="inlineStr"/>
      <c r="AE1045" s="5" t="inlineStr"/>
      <c r="AF1045" s="5" t="inlineStr"/>
      <c r="AG1045" s="5" t="inlineStr"/>
      <c r="AH1045" s="5" t="inlineStr"/>
    </row>
    <row r="1046">
      <c r="A1046" s="5" t="inlineStr">
        <is>
          <t>b9-torun-nobeti</t>
        </is>
      </c>
      <c r="B1046" s="5" t="n">
        <v>2</v>
      </c>
      <c r="C1046" s="6" t="inlineStr">
        <is>
          <t>Hafıza oyunu oyna</t>
        </is>
      </c>
      <c r="D1046" s="5" t="inlineStr">
        <is>
          <t>Akıl</t>
        </is>
      </c>
      <c r="E1046" s="5" t="inlineStr">
        <is>
          <t>Orta</t>
        </is>
      </c>
      <c r="F1046" s="5" t="inlineStr"/>
      <c r="G1046" s="6" t="inlineStr"/>
      <c r="H1046" s="6" t="inlineStr">
        <is>
          <t>Sırayı hatırladın, torun hayran kaldı. 'Yaşlılar unutur' teorisi çürütüldü.</t>
        </is>
      </c>
      <c r="I1046" s="6" t="inlineStr">
        <is>
          <t>Hiç hata yapmadın. Torun oyunun kurallarını değiştirmeye çalıştı; onu da hatırladın.</t>
        </is>
      </c>
      <c r="J1046" s="6" t="inlineStr">
        <is>
          <t>Sırayı karıştırdın. Torun seni sabırla tekrar denemeye davet etti. Rol değişimi başladı.</t>
        </is>
      </c>
      <c r="K1046" s="6" t="inlineStr">
        <is>
          <t>Oyunu kaybettin ve 'bu kurallar sonradan değişti' dedin. Torun bu cümleyi ailesine rapor etti.</t>
        </is>
      </c>
      <c r="L1046" s="6" t="inlineStr">
        <is>
          <t>Yarısını hatırladın. Torun kalanını fısıldadı. Takım olarak kazandınız.</t>
        </is>
      </c>
      <c r="M1046" s="5" t="inlineStr">
        <is>
          <t>simon</t>
        </is>
      </c>
      <c r="N1046" s="5" t="inlineStr">
        <is>
          <t>Torunun Oyunu</t>
        </is>
      </c>
      <c r="O1046" s="6" t="inlineStr">
        <is>
          <t>Torunun gösterdiği sırayı tekrarla. Hata yaparsan oyunu açıklamaya başlayacak.</t>
        </is>
      </c>
      <c r="P1046" s="6" t="inlineStr">
        <is>
          <t>{"items": ["🐶", "🐱", "🦆", "🐸"]}</t>
        </is>
      </c>
      <c r="Q1046" s="5" t="inlineStr"/>
      <c r="R1046" s="5" t="inlineStr"/>
      <c r="S1046" s="5" t="inlineStr"/>
      <c r="T1046" s="5" t="inlineStr"/>
      <c r="U1046" s="5" t="inlineStr"/>
      <c r="V1046" s="5" t="inlineStr"/>
      <c r="W1046" s="5" t="inlineStr"/>
      <c r="X1046" s="5" t="inlineStr"/>
      <c r="Y1046" s="5" t="inlineStr"/>
      <c r="Z1046" s="6" t="inlineStr"/>
      <c r="AA1046" s="5" t="inlineStr"/>
      <c r="AB1046" s="5" t="inlineStr"/>
      <c r="AC1046" s="5" t="inlineStr"/>
      <c r="AD1046" s="5" t="inlineStr"/>
      <c r="AE1046" s="5" t="inlineStr"/>
      <c r="AF1046" s="5" t="inlineStr"/>
      <c r="AG1046" s="5" t="inlineStr"/>
      <c r="AH1046" s="5" t="inlineStr"/>
    </row>
    <row r="1047">
      <c r="A1047" s="5" t="inlineStr">
        <is>
          <t>b9-torun-nobeti</t>
        </is>
      </c>
      <c r="B1047" s="5" t="n">
        <v>3</v>
      </c>
      <c r="C1047" s="6" t="inlineStr">
        <is>
          <t>Dondurmayla rüşvet ver</t>
        </is>
      </c>
      <c r="D1047" s="5" t="inlineStr">
        <is>
          <t>Kurnazlık</t>
        </is>
      </c>
      <c r="E1047" s="5" t="inlineStr">
        <is>
          <t>Kolay</t>
        </is>
      </c>
      <c r="F1047" s="5" t="inlineStr"/>
      <c r="G1047" s="6" t="inlineStr"/>
      <c r="H1047" s="6" t="inlineStr">
        <is>
          <t>Dondurma talimat listesinde yoktu. Hukuken temiz bir operasyon.</t>
        </is>
      </c>
      <c r="I1047" s="6" t="inlineStr">
        <is>
          <t>Dondurmayı verdin, torun her şeye uydu ve kimseye söylemedi. Gizli bir anlaşma imzalandı.</t>
        </is>
      </c>
      <c r="J1047" s="6" t="inlineStr">
        <is>
          <t>Dondurmayı verdin, torun ailesine görüntülü aramada dondurmalı yüzle göründü.</t>
        </is>
      </c>
      <c r="K1047" s="6" t="inlineStr">
        <is>
          <t>Dondurmayı verdin, torun şekerle uçtu, gece üçte uyudu. Sen ise hiç uyumadın.</t>
        </is>
      </c>
      <c r="L1047" s="6" t="inlineStr"/>
      <c r="M1047" s="5" t="inlineStr"/>
      <c r="N1047" s="5" t="inlineStr"/>
      <c r="O1047" s="6" t="inlineStr"/>
      <c r="P1047" s="6" t="inlineStr"/>
      <c r="Q1047" s="5" t="inlineStr"/>
      <c r="R1047" s="5" t="inlineStr"/>
      <c r="S1047" s="5" t="inlineStr"/>
      <c r="T1047" s="5" t="inlineStr"/>
      <c r="U1047" s="5" t="inlineStr"/>
      <c r="V1047" s="5" t="inlineStr"/>
      <c r="W1047" s="5" t="inlineStr"/>
      <c r="X1047" s="5" t="inlineStr"/>
      <c r="Y1047" s="5" t="inlineStr"/>
      <c r="Z1047" s="6" t="inlineStr"/>
      <c r="AA1047" s="5" t="inlineStr"/>
      <c r="AB1047" s="5" t="inlineStr"/>
      <c r="AC1047" s="5" t="inlineStr"/>
      <c r="AD1047" s="5" t="inlineStr"/>
      <c r="AE1047" s="5" t="inlineStr"/>
      <c r="AF1047" s="5" t="inlineStr"/>
      <c r="AG1047" s="5" t="inlineStr"/>
      <c r="AH1047" s="5" t="inlineStr"/>
    </row>
    <row r="1048">
      <c r="A1048" s="5" t="inlineStr">
        <is>
          <t>mb-devir-teslim</t>
        </is>
      </c>
      <c r="B1048" s="5" t="n">
        <v>1</v>
      </c>
      <c r="C1048" s="6" t="inlineStr">
        <is>
          <t>Yerine geleni kahveye götür</t>
        </is>
      </c>
      <c r="D1048" s="5" t="inlineStr"/>
      <c r="E1048" s="5" t="inlineStr"/>
      <c r="F1048" s="5" t="inlineStr">
        <is>
          <t>İtibar +2</t>
        </is>
      </c>
      <c r="G1048" s="6" t="inlineStr">
        <is>
          <t>Kahve ısmarladın, her şeyi anlattın. Sana masandaki bitkiyi devraldığını söyledi. Yaşıyor.</t>
        </is>
      </c>
      <c r="H1048" s="6" t="inlineStr"/>
      <c r="I1048" s="6" t="inlineStr"/>
      <c r="J1048" s="6" t="inlineStr"/>
      <c r="K1048" s="6" t="inlineStr"/>
      <c r="L1048" s="6" t="inlineStr"/>
      <c r="M1048" s="5" t="inlineStr"/>
      <c r="N1048" s="5" t="inlineStr"/>
      <c r="O1048" s="6" t="inlineStr"/>
      <c r="P1048" s="6" t="inlineStr"/>
      <c r="Q1048" s="5" t="inlineStr"/>
      <c r="R1048" s="5" t="inlineStr"/>
      <c r="S1048" s="5" t="inlineStr"/>
      <c r="T1048" s="5" t="inlineStr"/>
      <c r="U1048" s="5" t="inlineStr"/>
      <c r="V1048" s="5" t="inlineStr"/>
      <c r="W1048" s="5" t="inlineStr"/>
      <c r="X1048" s="5" t="inlineStr"/>
      <c r="Y1048" s="5" t="inlineStr"/>
      <c r="Z1048" s="6" t="inlineStr"/>
      <c r="AA1048" s="5" t="inlineStr"/>
      <c r="AB1048" s="5" t="inlineStr"/>
      <c r="AC1048" s="5" t="inlineStr"/>
      <c r="AD1048" s="5" t="inlineStr"/>
      <c r="AE1048" s="5" t="inlineStr"/>
      <c r="AF1048" s="5" t="inlineStr"/>
      <c r="AG1048" s="5" t="inlineStr"/>
      <c r="AH1048" s="5" t="inlineStr"/>
    </row>
    <row r="1049">
      <c r="A1049" s="5" t="inlineStr">
        <is>
          <t>mb-devir-teslim</t>
        </is>
      </c>
      <c r="B1049" s="5" t="n">
        <v>2</v>
      </c>
      <c r="C1049" s="6" t="inlineStr">
        <is>
          <t>Her şeyi yaz</t>
        </is>
      </c>
      <c r="D1049" s="5" t="inlineStr">
        <is>
          <t>Akıl</t>
        </is>
      </c>
      <c r="E1049" s="5" t="inlineStr">
        <is>
          <t>Orta</t>
        </is>
      </c>
      <c r="F1049" s="5" t="inlineStr"/>
      <c r="G1049" s="6" t="inlineStr"/>
      <c r="H1049" s="6" t="inlineStr">
        <is>
          <t>Yüz iki sayfalık devir belgesi hazırladın. Kimse okumayacak ama var.</t>
        </is>
      </c>
      <c r="I1049" s="6" t="inlineStr">
        <is>
          <t>Belgen şirketin resmî eğitim kitabı oldu. Kapağında adın var, doğru yazılmış.</t>
        </is>
      </c>
      <c r="J1049" s="6" t="inlineStr">
        <is>
          <t>Yazdın; belge 'çok uzun' bulundu ve bir özet istendi. Özet kırk sayfa.</t>
        </is>
      </c>
      <c r="K1049" s="6" t="inlineStr">
        <is>
          <t>Yazdığın belge, yapay zekâya özetletildi. Özette senin adın 'eski sistem' olarak geçiyor.</t>
        </is>
      </c>
      <c r="L1049" s="6" t="inlineStr"/>
      <c r="M1049" s="5" t="inlineStr"/>
      <c r="N1049" s="5" t="inlineStr"/>
      <c r="O1049" s="6" t="inlineStr"/>
      <c r="P1049" s="6" t="inlineStr"/>
      <c r="Q1049" s="5" t="inlineStr"/>
      <c r="R1049" s="5" t="inlineStr"/>
      <c r="S1049" s="5" t="inlineStr"/>
      <c r="T1049" s="5" t="inlineStr"/>
      <c r="U1049" s="5" t="inlineStr"/>
      <c r="V1049" s="5" t="inlineStr"/>
      <c r="W1049" s="5" t="inlineStr"/>
      <c r="X1049" s="5" t="inlineStr"/>
      <c r="Y1049" s="5" t="inlineStr"/>
      <c r="Z1049" s="6" t="inlineStr"/>
      <c r="AA1049" s="5" t="inlineStr"/>
      <c r="AB1049" s="5" t="inlineStr"/>
      <c r="AC1049" s="5" t="inlineStr"/>
      <c r="AD1049" s="5" t="inlineStr"/>
      <c r="AE1049" s="5" t="inlineStr"/>
      <c r="AF1049" s="5" t="inlineStr"/>
      <c r="AG1049" s="5" t="inlineStr"/>
      <c r="AH1049" s="5" t="inlineStr"/>
    </row>
    <row r="1050">
      <c r="A1050" s="5" t="inlineStr">
        <is>
          <t>mb-devir-teslim</t>
        </is>
      </c>
      <c r="B1050" s="5" t="n">
        <v>3</v>
      </c>
      <c r="C1050" s="6" t="inlineStr">
        <is>
          <t>Önemli kısmı kendine sakla</t>
        </is>
      </c>
      <c r="D1050" s="5" t="inlineStr">
        <is>
          <t>Kurnazlık</t>
        </is>
      </c>
      <c r="E1050" s="5" t="inlineStr">
        <is>
          <t>Orta</t>
        </is>
      </c>
      <c r="F1050" s="5" t="inlineStr"/>
      <c r="G1050" s="6" t="inlineStr"/>
      <c r="H1050" s="6" t="inlineStr">
        <is>
          <t>Emekliliğinden iki ay sonra seni geri çağırdılar. Saat ücretiyle.</t>
        </is>
      </c>
      <c r="I1050" s="6" t="inlineStr">
        <is>
          <t>Saklanan şifre için şirket sana özel bir danışmanlık sözleşmesi yaptı. Uzaktan, pijamayla.</t>
        </is>
      </c>
      <c r="J1050" s="6" t="inlineStr">
        <is>
          <t>Yerine gelen, sakladığını iki günde buldu. Senin otuz yılını iki gün.</t>
        </is>
      </c>
      <c r="K1050" s="6" t="inlineStr">
        <is>
          <t>Sakladığın şifreyi sen de unuttun. Arşiv sonsuza dek kilitli. Bültende adın geçti.</t>
        </is>
      </c>
      <c r="L1050" s="6" t="inlineStr"/>
      <c r="M1050" s="5" t="inlineStr"/>
      <c r="N1050" s="5" t="inlineStr"/>
      <c r="O1050" s="6" t="inlineStr"/>
      <c r="P1050" s="6" t="inlineStr"/>
      <c r="Q1050" s="5" t="inlineStr"/>
      <c r="R1050" s="5" t="inlineStr"/>
      <c r="S1050" s="5" t="inlineStr"/>
      <c r="T1050" s="5" t="inlineStr"/>
      <c r="U1050" s="5" t="inlineStr"/>
      <c r="V1050" s="5" t="inlineStr"/>
      <c r="W1050" s="5" t="inlineStr"/>
      <c r="X1050" s="5" t="inlineStr"/>
      <c r="Y1050" s="5" t="inlineStr"/>
      <c r="Z1050" s="6" t="inlineStr"/>
      <c r="AA1050" s="5" t="inlineStr"/>
      <c r="AB1050" s="5" t="inlineStr"/>
      <c r="AC1050" s="5" t="inlineStr"/>
      <c r="AD1050" s="5" t="inlineStr"/>
      <c r="AE1050" s="5" t="inlineStr"/>
      <c r="AF1050" s="5" t="inlineStr"/>
      <c r="AG1050" s="5" t="inlineStr"/>
      <c r="AH1050" s="5" t="inlineStr"/>
    </row>
    <row r="1051">
      <c r="A1051" s="5" t="inlineStr">
        <is>
          <t>me-mudavim</t>
        </is>
      </c>
      <c r="B1051" s="5" t="n">
        <v>1</v>
      </c>
      <c r="C1051" s="6" t="inlineStr">
        <is>
          <t>Her zamankini hazırla</t>
        </is>
      </c>
      <c r="D1051" s="5" t="inlineStr"/>
      <c r="E1051" s="5" t="inlineStr"/>
      <c r="F1051" s="5" t="inlineStr">
        <is>
          <t>İtibar +1, Sosyal Radar +1</t>
        </is>
      </c>
      <c r="G1051" s="6" t="inlineStr">
        <is>
          <t>Tek kelime konuşmadınız. Yirmi yıllık anlaşma yine imzasız yenilendi.</t>
        </is>
      </c>
      <c r="H1051" s="6" t="inlineStr"/>
      <c r="I1051" s="6" t="inlineStr"/>
      <c r="J1051" s="6" t="inlineStr"/>
      <c r="K1051" s="6" t="inlineStr"/>
      <c r="L1051" s="6" t="inlineStr"/>
      <c r="M1051" s="5" t="inlineStr"/>
      <c r="N1051" s="5" t="inlineStr"/>
      <c r="O1051" s="6" t="inlineStr"/>
      <c r="P1051" s="6" t="inlineStr"/>
      <c r="Q1051" s="5" t="inlineStr"/>
      <c r="R1051" s="5" t="inlineStr"/>
      <c r="S1051" s="5" t="inlineStr"/>
      <c r="T1051" s="5" t="inlineStr"/>
      <c r="U1051" s="5" t="inlineStr"/>
      <c r="V1051" s="5" t="inlineStr"/>
      <c r="W1051" s="5" t="inlineStr"/>
      <c r="X1051" s="5" t="inlineStr"/>
      <c r="Y1051" s="5" t="inlineStr"/>
      <c r="Z1051" s="6" t="inlineStr"/>
      <c r="AA1051" s="5" t="inlineStr"/>
      <c r="AB1051" s="5" t="inlineStr"/>
      <c r="AC1051" s="5" t="inlineStr"/>
      <c r="AD1051" s="5" t="inlineStr"/>
      <c r="AE1051" s="5" t="inlineStr"/>
      <c r="AF1051" s="5" t="inlineStr"/>
      <c r="AG1051" s="5" t="inlineStr"/>
      <c r="AH1051" s="5" t="inlineStr"/>
    </row>
    <row r="1052">
      <c r="A1052" s="5" t="inlineStr">
        <is>
          <t>me-mudavim</t>
        </is>
      </c>
      <c r="B1052" s="5" t="n">
        <v>2</v>
      </c>
      <c r="C1052" s="6" t="inlineStr">
        <is>
          <t>'Nerede kaldın?' diye sitem et</t>
        </is>
      </c>
      <c r="D1052" s="5" t="inlineStr">
        <is>
          <t>Çene</t>
        </is>
      </c>
      <c r="E1052" s="5" t="inlineStr">
        <is>
          <t>Kolay</t>
        </is>
      </c>
      <c r="F1052" s="5" t="inlineStr"/>
      <c r="G1052" s="6" t="inlineStr"/>
      <c r="H1052" s="6" t="inlineStr">
        <is>
          <t>Sitem ettin, güldü, torununu anlattı. Artık sabahları iki kişi geliyor.</t>
        </is>
      </c>
      <c r="I1052" s="6" t="inlineStr">
        <is>
          <t>Torun da müdavim oldu. Dükkânın müşteri portföyü ilk kez kuşak atladı.</t>
        </is>
      </c>
      <c r="J1052" s="6" t="inlineStr">
        <is>
          <t>'Sana mı soracağım?' dedi. Yirmi yıldır bu kadar uzun konuşmamıştınız.</t>
        </is>
      </c>
      <c r="K1052" s="6" t="inlineStr">
        <is>
          <t>Sitemin fazla sert çıktı. Ertesi sabah 08.10'da karşı dükkândaydı. 08.12'de pişman döndü.</t>
        </is>
      </c>
      <c r="L1052" s="6" t="inlineStr"/>
      <c r="M1052" s="5" t="inlineStr"/>
      <c r="N1052" s="5" t="inlineStr"/>
      <c r="O1052" s="6" t="inlineStr"/>
      <c r="P1052" s="6" t="inlineStr"/>
      <c r="Q1052" s="5" t="inlineStr"/>
      <c r="R1052" s="5" t="inlineStr"/>
      <c r="S1052" s="5" t="inlineStr"/>
      <c r="T1052" s="5" t="inlineStr"/>
      <c r="U1052" s="5" t="inlineStr"/>
      <c r="V1052" s="5" t="inlineStr"/>
      <c r="W1052" s="5" t="inlineStr"/>
      <c r="X1052" s="5" t="inlineStr"/>
      <c r="Y1052" s="5" t="inlineStr"/>
      <c r="Z1052" s="6" t="inlineStr"/>
      <c r="AA1052" s="5" t="inlineStr"/>
      <c r="AB1052" s="5" t="inlineStr"/>
      <c r="AC1052" s="5" t="inlineStr"/>
      <c r="AD1052" s="5" t="inlineStr"/>
      <c r="AE1052" s="5" t="inlineStr"/>
      <c r="AF1052" s="5" t="inlineStr"/>
      <c r="AG1052" s="5" t="inlineStr"/>
      <c r="AH1052" s="5" t="inlineStr"/>
    </row>
    <row r="1053">
      <c r="A1053" s="5" t="inlineStr">
        <is>
          <t>me-mudavim</t>
        </is>
      </c>
      <c r="B1053" s="5" t="n">
        <v>3</v>
      </c>
      <c r="C1053" s="6" t="inlineStr">
        <is>
          <t>Yeni bir ürün öner</t>
        </is>
      </c>
      <c r="D1053" s="5" t="inlineStr">
        <is>
          <t>Pişkinlik</t>
        </is>
      </c>
      <c r="E1053" s="5" t="inlineStr">
        <is>
          <t>Orta</t>
        </is>
      </c>
      <c r="F1053" s="5" t="inlineStr"/>
      <c r="G1053" s="6" t="inlineStr"/>
      <c r="H1053" s="6" t="inlineStr">
        <is>
          <t>Yirmi yılın ardından ilk kez başka bir şey aldı. Mahalle bunu tarihî bir gün olarak kaydetti.</t>
        </is>
      </c>
      <c r="I1053" s="6" t="inlineStr">
        <is>
          <t>Artık iki şey alıyor. Ciron tek kişilik bir segmentte yüzde yüz büyüdü.</t>
        </is>
      </c>
      <c r="J1053" s="6" t="inlineStr">
        <is>
          <t>'Her zamankini' dedi. Yirmi yıldır aynı cevap.</t>
        </is>
      </c>
      <c r="K1053" s="6" t="inlineStr">
        <is>
          <t>Yeni ürün midesine dokundu. Suçu senin dükkânına değil, 'yenilik' kavramına attı. Adil.</t>
        </is>
      </c>
      <c r="L1053" s="6" t="inlineStr"/>
      <c r="M1053" s="5" t="inlineStr"/>
      <c r="N1053" s="5" t="inlineStr"/>
      <c r="O1053" s="6" t="inlineStr"/>
      <c r="P1053" s="6" t="inlineStr"/>
      <c r="Q1053" s="5" t="inlineStr"/>
      <c r="R1053" s="5" t="inlineStr"/>
      <c r="S1053" s="5" t="inlineStr"/>
      <c r="T1053" s="5" t="inlineStr"/>
      <c r="U1053" s="5" t="inlineStr"/>
      <c r="V1053" s="5" t="inlineStr"/>
      <c r="W1053" s="5" t="inlineStr"/>
      <c r="X1053" s="5" t="inlineStr"/>
      <c r="Y1053" s="5" t="inlineStr"/>
      <c r="Z1053" s="6" t="inlineStr"/>
      <c r="AA1053" s="5" t="inlineStr"/>
      <c r="AB1053" s="5" t="inlineStr"/>
      <c r="AC1053" s="5" t="inlineStr"/>
      <c r="AD1053" s="5" t="inlineStr"/>
      <c r="AE1053" s="5" t="inlineStr"/>
      <c r="AF1053" s="5" t="inlineStr"/>
      <c r="AG1053" s="5" t="inlineStr"/>
      <c r="AH1053" s="5" t="inlineStr"/>
    </row>
    <row r="1054">
      <c r="A1054" s="5" t="inlineStr">
        <is>
          <t>me-mudavim</t>
        </is>
      </c>
      <c r="B1054" s="5" t="n">
        <v>4</v>
      </c>
      <c r="C1054" s="6" t="inlineStr">
        <is>
          <t>Sormadan anla</t>
        </is>
      </c>
      <c r="D1054" s="5" t="inlineStr">
        <is>
          <t>Sosyal Radar</t>
        </is>
      </c>
      <c r="E1054" s="5" t="inlineStr">
        <is>
          <t>Kolay</t>
        </is>
      </c>
      <c r="F1054" s="5" t="inlineStr"/>
      <c r="G1054" s="6" t="inlineStr"/>
      <c r="H1054" s="6" t="inlineStr">
        <is>
          <t>Ekmeğin yanına bir de çocuk bisküvisi koydun. Başıyla teşekkür etti.</t>
        </is>
      </c>
      <c r="I1054" s="6" t="inlineStr">
        <is>
          <t>Ertesi sabah 08.40'ta poşet hazırdı: ekmek, gazete, torun için bisküvi. Tek bir kelime edilmedi.</t>
        </is>
      </c>
      <c r="J1054" s="6" t="inlineStr">
        <is>
          <t>Anladığını sandın. Gecikmenin sebebi saatinin pili bitmesiymiş.</t>
        </is>
      </c>
      <c r="K1054" s="6" t="inlineStr">
        <is>
          <t>Bisküvi koydun. Torun yokmuş; müdavim kendisi için sandı ve öfkelendi: 'Ben çocuk muyum?'</t>
        </is>
      </c>
      <c r="L1054" s="6" t="inlineStr"/>
      <c r="M1054" s="5" t="inlineStr"/>
      <c r="N1054" s="5" t="inlineStr"/>
      <c r="O1054" s="6" t="inlineStr"/>
      <c r="P1054" s="6" t="inlineStr"/>
      <c r="Q1054" s="5" t="inlineStr">
        <is>
          <t>Sessiz Gözlemci</t>
        </is>
      </c>
      <c r="R1054" s="5" t="inlineStr"/>
      <c r="S1054" s="5" t="inlineStr"/>
      <c r="T1054" s="5" t="inlineStr"/>
      <c r="U1054" s="5" t="inlineStr"/>
      <c r="V1054" s="5" t="inlineStr"/>
      <c r="W1054" s="5" t="inlineStr"/>
      <c r="X1054" s="5" t="inlineStr"/>
      <c r="Y1054" s="5" t="inlineStr"/>
      <c r="Z1054" s="6" t="inlineStr"/>
      <c r="AA1054" s="5" t="inlineStr"/>
      <c r="AB1054" s="5" t="inlineStr"/>
      <c r="AC1054" s="5" t="inlineStr"/>
      <c r="AD1054" s="5" t="inlineStr"/>
      <c r="AE1054" s="5" t="inlineStr"/>
      <c r="AF1054" s="5" t="inlineStr"/>
      <c r="AG1054" s="5" t="inlineStr"/>
      <c r="AH1054" s="5" t="inlineStr"/>
    </row>
    <row r="1055">
      <c r="A1055" s="5" t="inlineStr">
        <is>
          <t>b9-kahvehane-tavla</t>
        </is>
      </c>
      <c r="B1055" s="5" t="n">
        <v>1</v>
      </c>
      <c r="C1055" s="6" t="inlineStr">
        <is>
          <t>Seyirci ol, çay iç</t>
        </is>
      </c>
      <c r="D1055" s="5" t="inlineStr"/>
      <c r="E1055" s="5" t="inlineStr"/>
      <c r="F1055" s="5" t="inlineStr">
        <is>
          <t>Sosyal Radar +1</t>
        </is>
      </c>
      <c r="G1055" s="6" t="inlineStr">
        <is>
          <t>Seyrettin. Masadakiler oyunu, seyirciler ise masadakileri tartıştı. İkinci lig daha heyecanlıydı.</t>
        </is>
      </c>
      <c r="H1055" s="6" t="inlineStr"/>
      <c r="I1055" s="6" t="inlineStr"/>
      <c r="J1055" s="6" t="inlineStr"/>
      <c r="K1055" s="6" t="inlineStr"/>
      <c r="L1055" s="6" t="inlineStr"/>
      <c r="M1055" s="5" t="inlineStr"/>
      <c r="N1055" s="5" t="inlineStr"/>
      <c r="O1055" s="6" t="inlineStr"/>
      <c r="P1055" s="6" t="inlineStr"/>
      <c r="Q1055" s="5" t="inlineStr"/>
      <c r="R1055" s="5" t="inlineStr"/>
      <c r="S1055" s="5" t="inlineStr"/>
      <c r="T1055" s="5" t="inlineStr"/>
      <c r="U1055" s="5" t="inlineStr"/>
      <c r="V1055" s="5" t="inlineStr"/>
      <c r="W1055" s="5" t="inlineStr"/>
      <c r="X1055" s="5" t="inlineStr"/>
      <c r="Y1055" s="5" t="inlineStr"/>
      <c r="Z1055" s="6" t="inlineStr"/>
      <c r="AA1055" s="5" t="inlineStr"/>
      <c r="AB1055" s="5" t="inlineStr"/>
      <c r="AC1055" s="5" t="inlineStr"/>
      <c r="AD1055" s="5" t="inlineStr"/>
      <c r="AE1055" s="5" t="inlineStr"/>
      <c r="AF1055" s="5" t="inlineStr"/>
      <c r="AG1055" s="5" t="inlineStr"/>
      <c r="AH1055" s="5" t="inlineStr"/>
    </row>
    <row r="1056">
      <c r="A1056" s="5" t="inlineStr">
        <is>
          <t>b9-kahvehane-tavla</t>
        </is>
      </c>
      <c r="B1056" s="5" t="n">
        <v>2</v>
      </c>
      <c r="C1056" s="6" t="inlineStr">
        <is>
          <t>Lige katıl</t>
        </is>
      </c>
      <c r="D1056" s="5" t="inlineStr">
        <is>
          <t>Kurnazlık</t>
        </is>
      </c>
      <c r="E1056" s="5" t="inlineStr">
        <is>
          <t>Zor</t>
        </is>
      </c>
      <c r="F1056" s="5" t="inlineStr"/>
      <c r="G1056" s="6" t="inlineStr"/>
      <c r="H1056" s="6" t="inlineStr">
        <is>
          <t>İlk hafta dört maç kazandın. Duvardaki tebeşir listede adın yazıldı. Yanlış yazıldı ama yazıldı.</t>
        </is>
      </c>
      <c r="I1056" s="6" t="inlineStr">
        <is>
          <t>Ligi namağlup bitirdin. Tebeşir adın silinmesin diye üstüne bant yapıştırıldı.</t>
        </is>
      </c>
      <c r="J1056" s="6" t="inlineStr">
        <is>
          <t>İlk maçta mars oldun. Kahvehane sana yeni bir lakap verdi. Tebeşirle değil, ağızdan ağıza.</t>
        </is>
      </c>
      <c r="K1056" s="6" t="inlineStr">
        <is>
          <t>Zarları öyle hızlı attın ki biri çayın içine düştü. Zar ve bardak kahvehane hatırası olarak saklanıyor.</t>
        </is>
      </c>
      <c r="L1056" s="6" t="inlineStr"/>
      <c r="M1056" s="5" t="inlineStr"/>
      <c r="N1056" s="5" t="inlineStr"/>
      <c r="O1056" s="6" t="inlineStr"/>
      <c r="P1056" s="6" t="inlineStr"/>
      <c r="Q1056" s="5" t="inlineStr"/>
      <c r="R1056" s="5" t="inlineStr"/>
      <c r="S1056" s="5" t="inlineStr"/>
      <c r="T1056" s="5" t="inlineStr">
        <is>
          <t>Tavla Kurdu</t>
        </is>
      </c>
      <c r="U1056" s="5" t="inlineStr"/>
      <c r="V1056" s="5" t="inlineStr">
        <is>
          <t>tavla-sampiyonu</t>
        </is>
      </c>
      <c r="W1056" s="5" t="inlineStr"/>
      <c r="X1056" s="5" t="inlineStr"/>
      <c r="Y1056" s="5" t="inlineStr"/>
      <c r="Z1056" s="6" t="inlineStr"/>
      <c r="AA1056" s="5" t="inlineStr"/>
      <c r="AB1056" s="5" t="inlineStr"/>
      <c r="AC1056" s="5" t="inlineStr"/>
      <c r="AD1056" s="5" t="inlineStr"/>
      <c r="AE1056" s="5" t="inlineStr"/>
      <c r="AF1056" s="5" t="inlineStr"/>
      <c r="AG1056" s="5" t="inlineStr"/>
      <c r="AH1056" s="5" t="inlineStr"/>
    </row>
    <row r="1057">
      <c r="A1057" s="5" t="inlineStr">
        <is>
          <t>b9-kahvehane-tavla</t>
        </is>
      </c>
      <c r="B1057" s="5" t="n">
        <v>3</v>
      </c>
      <c r="C1057" s="6" t="inlineStr">
        <is>
          <t>Rakibi laf ile sars</t>
        </is>
      </c>
      <c r="D1057" s="5" t="inlineStr">
        <is>
          <t>Pişkinlik</t>
        </is>
      </c>
      <c r="E1057" s="5" t="inlineStr">
        <is>
          <t>Zor</t>
        </is>
      </c>
      <c r="F1057" s="5" t="inlineStr"/>
      <c r="G1057" s="6" t="inlineStr"/>
      <c r="H1057" s="6" t="inlineStr">
        <is>
          <t>'Bu zarlar sana küs' dedin. Rakip zarları üç kere değiştirdi ve kaybetti.</t>
        </is>
      </c>
      <c r="I1057" s="6" t="inlineStr">
        <is>
          <t>Rakip o kadar sarsıldı ki pullarını ters dizdi. Kahvehane bu maçı 'Psikolojik Mars' olarak kayda geçti.</t>
        </is>
      </c>
      <c r="J1057" s="6" t="inlineStr">
        <is>
          <t>Laf attın, rakip cevap vermedi. Sessizce kazandı. Sessizlik de bir laf.</t>
        </is>
      </c>
      <c r="K1057" s="6" t="inlineStr">
        <is>
          <t>Laf attın, rakip gülümsedi ve sana yirmi yıl önceki bir maçı hatırlattı. Sen de kaybetmiştin.</t>
        </is>
      </c>
      <c r="L1057" s="6" t="inlineStr"/>
      <c r="M1057" s="5" t="inlineStr"/>
      <c r="N1057" s="5" t="inlineStr"/>
      <c r="O1057" s="6" t="inlineStr"/>
      <c r="P1057" s="6" t="inlineStr"/>
      <c r="Q1057" s="5" t="inlineStr">
        <is>
          <t>Yüzü Kızarmaz</t>
        </is>
      </c>
      <c r="R1057" s="5" t="inlineStr"/>
      <c r="S1057" s="5" t="inlineStr"/>
      <c r="T1057" s="5" t="inlineStr"/>
      <c r="U1057" s="5" t="inlineStr"/>
      <c r="V1057" s="5" t="inlineStr"/>
      <c r="W1057" s="5" t="inlineStr"/>
      <c r="X1057" s="5" t="inlineStr"/>
      <c r="Y1057" s="5" t="inlineStr"/>
      <c r="Z1057" s="6" t="inlineStr"/>
      <c r="AA1057" s="5" t="inlineStr"/>
      <c r="AB1057" s="5" t="inlineStr"/>
      <c r="AC1057" s="5" t="inlineStr"/>
      <c r="AD1057" s="5" t="inlineStr"/>
      <c r="AE1057" s="5" t="inlineStr"/>
      <c r="AF1057" s="5" t="inlineStr"/>
      <c r="AG1057" s="5" t="inlineStr"/>
      <c r="AH1057" s="5" t="inlineStr"/>
    </row>
    <row r="1058">
      <c r="A1058" s="5" t="inlineStr">
        <is>
          <t>b9-emeklilik</t>
        </is>
      </c>
      <c r="B1058" s="5" t="n">
        <v>1</v>
      </c>
      <c r="C1058" s="6" t="inlineStr">
        <is>
          <t>Veda konuşması yap</t>
        </is>
      </c>
      <c r="D1058" s="5" t="inlineStr">
        <is>
          <t>Çene</t>
        </is>
      </c>
      <c r="E1058" s="5" t="inlineStr">
        <is>
          <t>Orta</t>
        </is>
      </c>
      <c r="F1058" s="5" t="inlineStr"/>
      <c r="G1058" s="6" t="inlineStr"/>
      <c r="H1058" s="6" t="inlineStr">
        <is>
          <t>Konuştun, üç kişi ağladı, biri alkışladı. Yöneticin konuşmanı bir sonraki emeklilikte kullanmak için istedi.</t>
        </is>
      </c>
      <c r="I1058" s="6" t="inlineStr">
        <is>
          <t>Konuşman öyle etkiliydi ki iki genç çalışan istifa edip hayatını düşünmeye karar verdi. Kurum bunu kayda geçirmedi.</t>
        </is>
      </c>
      <c r="J1058" s="6" t="inlineStr">
        <is>
          <t>Konuşmaya başladın, mikrofon açılmadı. Açıldığında konuşma bitmişti. Alkış teknik ekibe gitti.</t>
        </is>
      </c>
      <c r="K1058" s="6" t="inlineStr">
        <is>
          <t>Konuşmada teşekkür edeceğin kişileri sayarken yöneticini unuttun. Plaketteki adın da yanlış yazılmıştı. Kurum beraberlik ilan etti.</t>
        </is>
      </c>
      <c r="L1058" s="6" t="inlineStr"/>
      <c r="M1058" s="5" t="inlineStr"/>
      <c r="N1058" s="5" t="inlineStr"/>
      <c r="O1058" s="6" t="inlineStr"/>
      <c r="P1058" s="6" t="inlineStr"/>
      <c r="Q1058" s="5" t="inlineStr"/>
      <c r="R1058" s="5" t="inlineStr"/>
      <c r="S1058" s="5" t="inlineStr"/>
      <c r="T1058" s="5" t="inlineStr"/>
      <c r="U1058" s="5" t="inlineStr">
        <is>
          <t>emekli</t>
        </is>
      </c>
      <c r="V1058" s="5" t="inlineStr"/>
      <c r="W1058" s="5" t="inlineStr"/>
      <c r="X1058" s="5" t="inlineStr"/>
      <c r="Y1058" s="5" t="inlineStr"/>
      <c r="Z1058" s="6" t="inlineStr"/>
      <c r="AA1058" s="5" t="inlineStr"/>
      <c r="AB1058" s="5" t="inlineStr"/>
      <c r="AC1058" s="5" t="inlineStr"/>
      <c r="AD1058" s="5" t="inlineStr"/>
      <c r="AE1058" s="5" t="inlineStr"/>
      <c r="AF1058" s="5" t="inlineStr"/>
      <c r="AG1058" s="5" t="inlineStr"/>
      <c r="AH1058" s="5" t="inlineStr"/>
    </row>
    <row r="1059">
      <c r="A1059" s="5" t="inlineStr">
        <is>
          <t>b9-emeklilik</t>
        </is>
      </c>
      <c r="B1059" s="5" t="n">
        <v>2</v>
      </c>
      <c r="C1059" s="6" t="inlineStr">
        <is>
          <t>Pastadan al, sessizce çık</t>
        </is>
      </c>
      <c r="D1059" s="5" t="inlineStr"/>
      <c r="E1059" s="5" t="inlineStr"/>
      <c r="F1059" s="5" t="inlineStr">
        <is>
          <t>Dayanıklılık +1</t>
        </is>
      </c>
      <c r="G1059" s="6" t="inlineStr">
        <is>
          <t>Pastanı aldın ve sessizce çıktın. Otuz beş yılın özeti: bir plaket, bir tabak ve iki mum.</t>
        </is>
      </c>
      <c r="H1059" s="6" t="inlineStr"/>
      <c r="I1059" s="6" t="inlineStr"/>
      <c r="J1059" s="6" t="inlineStr"/>
      <c r="K1059" s="6" t="inlineStr"/>
      <c r="L1059" s="6" t="inlineStr"/>
      <c r="M1059" s="5" t="inlineStr"/>
      <c r="N1059" s="5" t="inlineStr"/>
      <c r="O1059" s="6" t="inlineStr"/>
      <c r="P1059" s="6" t="inlineStr"/>
      <c r="Q1059" s="5" t="inlineStr"/>
      <c r="R1059" s="5" t="inlineStr"/>
      <c r="S1059" s="5" t="inlineStr"/>
      <c r="T1059" s="5" t="inlineStr"/>
      <c r="U1059" s="5" t="inlineStr">
        <is>
          <t>emekli</t>
        </is>
      </c>
      <c r="V1059" s="5" t="inlineStr"/>
      <c r="W1059" s="5" t="inlineStr"/>
      <c r="X1059" s="5" t="inlineStr"/>
      <c r="Y1059" s="5" t="inlineStr"/>
      <c r="Z1059" s="6" t="inlineStr"/>
      <c r="AA1059" s="5" t="inlineStr"/>
      <c r="AB1059" s="5" t="inlineStr"/>
      <c r="AC1059" s="5" t="inlineStr"/>
      <c r="AD1059" s="5" t="inlineStr"/>
      <c r="AE1059" s="5" t="inlineStr"/>
      <c r="AF1059" s="5" t="inlineStr"/>
      <c r="AG1059" s="5" t="inlineStr"/>
      <c r="AH1059" s="5" t="inlineStr"/>
    </row>
    <row r="1060">
      <c r="A1060" s="5" t="inlineStr">
        <is>
          <t>b9-emeklilik</t>
        </is>
      </c>
      <c r="B1060" s="5" t="n">
        <v>3</v>
      </c>
      <c r="C1060" s="6" t="inlineStr">
        <is>
          <t>Yerine gelene devir teslim yap</t>
        </is>
      </c>
      <c r="D1060" s="5" t="inlineStr"/>
      <c r="E1060" s="5" t="inlineStr"/>
      <c r="F1060" s="5" t="inlineStr">
        <is>
          <t>İtibar +2</t>
        </is>
      </c>
      <c r="G1060" s="6" t="inlineStr">
        <is>
          <t>Devir teslimi yaptın. Otuz beş yılın bilgisi kırk dakikaya sığdı. Yeni gelen iki soru sordu, ikisini de telefonuna not etti.</t>
        </is>
      </c>
      <c r="H1060" s="6" t="inlineStr"/>
      <c r="I1060" s="6" t="inlineStr"/>
      <c r="J1060" s="6" t="inlineStr"/>
      <c r="K1060" s="6" t="inlineStr"/>
      <c r="L1060" s="6" t="inlineStr"/>
      <c r="M1060" s="5" t="inlineStr"/>
      <c r="N1060" s="5" t="inlineStr"/>
      <c r="O1060" s="6" t="inlineStr"/>
      <c r="P1060" s="6" t="inlineStr"/>
      <c r="Q1060" s="5" t="inlineStr"/>
      <c r="R1060" s="5" t="inlineStr"/>
      <c r="S1060" s="5" t="inlineStr"/>
      <c r="T1060" s="5" t="inlineStr"/>
      <c r="U1060" s="5" t="inlineStr">
        <is>
          <t>emekli</t>
        </is>
      </c>
      <c r="V1060" s="5" t="inlineStr"/>
      <c r="W1060" s="5" t="inlineStr"/>
      <c r="X1060" s="5" t="inlineStr"/>
      <c r="Y1060" s="5" t="inlineStr"/>
      <c r="Z1060" s="6" t="inlineStr"/>
      <c r="AA1060" s="5" t="inlineStr"/>
      <c r="AB1060" s="5" t="inlineStr"/>
      <c r="AC1060" s="5" t="inlineStr"/>
      <c r="AD1060" s="5" t="inlineStr"/>
      <c r="AE1060" s="5" t="inlineStr"/>
      <c r="AF1060" s="5" t="inlineStr"/>
      <c r="AG1060" s="5" t="inlineStr"/>
      <c r="AH1060" s="5" t="inlineStr"/>
    </row>
    <row r="1061">
      <c r="A1061" s="5" t="inlineStr">
        <is>
          <t>b9-emeklilik</t>
        </is>
      </c>
      <c r="B1061" s="5" t="n">
        <v>4</v>
      </c>
      <c r="C1061" s="6" t="inlineStr">
        <is>
          <t>Sitede güvenlik görevlisi ol</t>
        </is>
      </c>
      <c r="D1061" s="5" t="inlineStr"/>
      <c r="E1061" s="5" t="inlineStr"/>
      <c r="F1061" s="5" t="inlineStr">
        <is>
          <t>Sosyal Radar +1, Dayanıklılık +1</t>
        </is>
      </c>
      <c r="G1061" s="6" t="inlineStr">
        <is>
          <t>Polis emeklisi olarak sitenin güvenlik kulübesine geçtin. Kapıdan geçen herkesi hâlâ sorguluyorsun; kurye bile artık kimlik gösteriyor.</t>
        </is>
      </c>
      <c r="H1061" s="6" t="inlineStr"/>
      <c r="I1061" s="6" t="inlineStr"/>
      <c r="J1061" s="6" t="inlineStr"/>
      <c r="K1061" s="6" t="inlineStr"/>
      <c r="L1061" s="6" t="inlineStr"/>
      <c r="M1061" s="5" t="inlineStr"/>
      <c r="N1061" s="5" t="inlineStr"/>
      <c r="O1061" s="6" t="inlineStr"/>
      <c r="P1061" s="6" t="inlineStr"/>
      <c r="Q1061" s="5" t="inlineStr"/>
      <c r="R1061" s="5" t="inlineStr">
        <is>
          <t>hat-polis</t>
        </is>
      </c>
      <c r="S1061" s="5" t="inlineStr"/>
      <c r="T1061" s="5" t="inlineStr"/>
      <c r="U1061" s="5" t="inlineStr">
        <is>
          <t>emekli</t>
        </is>
      </c>
      <c r="V1061" s="5" t="inlineStr"/>
      <c r="W1061" s="5" t="inlineStr"/>
      <c r="X1061" s="5" t="inlineStr"/>
      <c r="Y1061" s="5" t="inlineStr"/>
      <c r="Z1061" s="6" t="inlineStr"/>
      <c r="AA1061" s="5" t="inlineStr"/>
      <c r="AB1061" s="5" t="inlineStr"/>
      <c r="AC1061" s="5" t="inlineStr"/>
      <c r="AD1061" s="5" t="inlineStr"/>
      <c r="AE1061" s="5" t="inlineStr"/>
      <c r="AF1061" s="5" t="inlineStr"/>
      <c r="AG1061" s="5" t="inlineStr"/>
      <c r="AH1061" s="5" t="inlineStr"/>
    </row>
    <row r="1062">
      <c r="A1062" s="5" t="inlineStr">
        <is>
          <t>b9-emeklilik</t>
        </is>
      </c>
      <c r="B1062" s="5" t="n">
        <v>5</v>
      </c>
      <c r="C1062" s="6" t="inlineStr">
        <is>
          <t>Apartmanın hakemi ol</t>
        </is>
      </c>
      <c r="D1062" s="5" t="inlineStr"/>
      <c r="E1062" s="5" t="inlineStr"/>
      <c r="F1062" s="5" t="inlineStr">
        <is>
          <t>Akıl +1, İtibar +1</t>
        </is>
      </c>
      <c r="G1062" s="6" t="inlineStr">
        <is>
          <t>Emekli hâkim olarak apartmanın gayriresmî mahkemesi oldun. Dördüncü kattaki ayakkabı dolabı davası üç yıldır sürüyor.</t>
        </is>
      </c>
      <c r="H1062" s="6" t="inlineStr"/>
      <c r="I1062" s="6" t="inlineStr"/>
      <c r="J1062" s="6" t="inlineStr"/>
      <c r="K1062" s="6" t="inlineStr"/>
      <c r="L1062" s="6" t="inlineStr"/>
      <c r="M1062" s="5" t="inlineStr"/>
      <c r="N1062" s="5" t="inlineStr"/>
      <c r="O1062" s="6" t="inlineStr"/>
      <c r="P1062" s="6" t="inlineStr"/>
      <c r="Q1062" s="5" t="inlineStr"/>
      <c r="R1062" s="5" t="inlineStr">
        <is>
          <t>hat-yargi</t>
        </is>
      </c>
      <c r="S1062" s="5" t="inlineStr"/>
      <c r="T1062" s="5" t="inlineStr"/>
      <c r="U1062" s="5" t="inlineStr">
        <is>
          <t>emekli</t>
        </is>
      </c>
      <c r="V1062" s="5" t="inlineStr"/>
      <c r="W1062" s="5" t="inlineStr"/>
      <c r="X1062" s="5" t="inlineStr"/>
      <c r="Y1062" s="5" t="inlineStr"/>
      <c r="Z1062" s="6" t="inlineStr"/>
      <c r="AA1062" s="5" t="inlineStr"/>
      <c r="AB1062" s="5" t="inlineStr"/>
      <c r="AC1062" s="5" t="inlineStr"/>
      <c r="AD1062" s="5" t="inlineStr"/>
      <c r="AE1062" s="5" t="inlineStr"/>
      <c r="AF1062" s="5" t="inlineStr"/>
      <c r="AG1062" s="5" t="inlineStr"/>
      <c r="AH1062" s="5" t="inlineStr"/>
    </row>
    <row r="1063">
      <c r="A1063" s="5" t="inlineStr">
        <is>
          <t>b9-emeklilik</t>
        </is>
      </c>
      <c r="B1063" s="5" t="n">
        <v>6</v>
      </c>
      <c r="C1063" s="6" t="inlineStr">
        <is>
          <t>Mahalleye ücretsiz muayene ver</t>
        </is>
      </c>
      <c r="D1063" s="5" t="inlineStr"/>
      <c r="E1063" s="5" t="inlineStr"/>
      <c r="F1063" s="5" t="inlineStr">
        <is>
          <t>İtibar +2</t>
        </is>
      </c>
      <c r="G1063" s="6" t="inlineStr">
        <is>
          <t>Emekli oldun ama tansiyon aletin hâlâ çantanda. Pazarda sıra, seninle tansiyonun arasında bölünüyor.</t>
        </is>
      </c>
      <c r="H1063" s="6" t="inlineStr"/>
      <c r="I1063" s="6" t="inlineStr"/>
      <c r="J1063" s="6" t="inlineStr"/>
      <c r="K1063" s="6" t="inlineStr"/>
      <c r="L1063" s="6" t="inlineStr"/>
      <c r="M1063" s="5" t="inlineStr"/>
      <c r="N1063" s="5" t="inlineStr"/>
      <c r="O1063" s="6" t="inlineStr"/>
      <c r="P1063" s="6" t="inlineStr"/>
      <c r="Q1063" s="5" t="inlineStr"/>
      <c r="R1063" s="5" t="inlineStr">
        <is>
          <t>hat-hekim</t>
        </is>
      </c>
      <c r="S1063" s="5" t="inlineStr"/>
      <c r="T1063" s="5" t="inlineStr"/>
      <c r="U1063" s="5" t="inlineStr">
        <is>
          <t>emekli</t>
        </is>
      </c>
      <c r="V1063" s="5" t="inlineStr"/>
      <c r="W1063" s="5" t="inlineStr"/>
      <c r="X1063" s="5" t="inlineStr"/>
      <c r="Y1063" s="5" t="inlineStr"/>
      <c r="Z1063" s="6" t="inlineStr"/>
      <c r="AA1063" s="5" t="inlineStr"/>
      <c r="AB1063" s="5" t="inlineStr"/>
      <c r="AC1063" s="5" t="inlineStr"/>
      <c r="AD1063" s="5" t="inlineStr"/>
      <c r="AE1063" s="5" t="inlineStr"/>
      <c r="AF1063" s="5" t="inlineStr"/>
      <c r="AG1063" s="5" t="inlineStr"/>
      <c r="AH1063" s="5" t="inlineStr"/>
    </row>
    <row r="1064">
      <c r="A1064" s="5" t="inlineStr">
        <is>
          <t>b9-emeklilik</t>
        </is>
      </c>
      <c r="B1064" s="5" t="n">
        <v>7</v>
      </c>
      <c r="C1064" s="6" t="inlineStr">
        <is>
          <t>Anı kitabını yaz</t>
        </is>
      </c>
      <c r="D1064" s="5" t="inlineStr"/>
      <c r="E1064" s="5" t="inlineStr"/>
      <c r="F1064" s="5" t="inlineStr">
        <is>
          <t>Çene +1, Pişkinlik +1</t>
        </is>
      </c>
      <c r="G1064" s="6" t="inlineStr">
        <is>
          <t>Anı kitabını yazdın. Kimse okumadı ama herkes kendisinin geçtiği sayfayı buldu.</t>
        </is>
      </c>
      <c r="H1064" s="6" t="inlineStr"/>
      <c r="I1064" s="6" t="inlineStr"/>
      <c r="J1064" s="6" t="inlineStr"/>
      <c r="K1064" s="6" t="inlineStr"/>
      <c r="L1064" s="6" t="inlineStr"/>
      <c r="M1064" s="5" t="inlineStr"/>
      <c r="N1064" s="5" t="inlineStr"/>
      <c r="O1064" s="6" t="inlineStr"/>
      <c r="P1064" s="6" t="inlineStr"/>
      <c r="Q1064" s="5" t="inlineStr"/>
      <c r="R1064" s="5" t="inlineStr">
        <is>
          <t>hat-politika</t>
        </is>
      </c>
      <c r="S1064" s="5" t="inlineStr"/>
      <c r="T1064" s="5" t="inlineStr"/>
      <c r="U1064" s="5" t="inlineStr">
        <is>
          <t>emekli</t>
        </is>
      </c>
      <c r="V1064" s="5" t="inlineStr"/>
      <c r="W1064" s="5" t="inlineStr"/>
      <c r="X1064" s="5" t="inlineStr"/>
      <c r="Y1064" s="5" t="inlineStr"/>
      <c r="Z1064" s="6" t="inlineStr"/>
      <c r="AA1064" s="5" t="inlineStr"/>
      <c r="AB1064" s="5" t="inlineStr"/>
      <c r="AC1064" s="5" t="inlineStr"/>
      <c r="AD1064" s="5" t="inlineStr"/>
      <c r="AE1064" s="5" t="inlineStr"/>
      <c r="AF1064" s="5" t="inlineStr"/>
      <c r="AG1064" s="5" t="inlineStr"/>
      <c r="AH1064" s="5" t="inlineStr"/>
    </row>
    <row r="1065">
      <c r="A1065" s="5" t="inlineStr">
        <is>
          <t>b9-emeklilik</t>
        </is>
      </c>
      <c r="B1065" s="5" t="n">
        <v>8</v>
      </c>
      <c r="C1065" s="6" t="inlineStr">
        <is>
          <t>Kahvehanenin efsanesi ol</t>
        </is>
      </c>
      <c r="D1065" s="5" t="inlineStr"/>
      <c r="E1065" s="5" t="inlineStr"/>
      <c r="F1065" s="5" t="inlineStr">
        <is>
          <t>Pişkinlik +1, Sosyal Radar +1</t>
        </is>
      </c>
      <c r="G1065" s="6" t="inlineStr">
        <is>
          <t>Kahvehanenin köşe masası artık senin. Gençler hâlâ “abi” diyor; sen tavlada bile hile yapmıyorsun. Çoğunlukla.</t>
        </is>
      </c>
      <c r="H1065" s="6" t="inlineStr"/>
      <c r="I1065" s="6" t="inlineStr"/>
      <c r="J1065" s="6" t="inlineStr"/>
      <c r="K1065" s="6" t="inlineStr"/>
      <c r="L1065" s="6" t="inlineStr"/>
      <c r="M1065" s="5" t="inlineStr"/>
      <c r="N1065" s="5" t="inlineStr"/>
      <c r="O1065" s="6" t="inlineStr"/>
      <c r="P1065" s="6" t="inlineStr"/>
      <c r="Q1065" s="5" t="inlineStr"/>
      <c r="R1065" s="5" t="inlineStr">
        <is>
          <t>hat-cete</t>
        </is>
      </c>
      <c r="S1065" s="5" t="inlineStr"/>
      <c r="T1065" s="5" t="inlineStr"/>
      <c r="U1065" s="5" t="inlineStr">
        <is>
          <t>emekli</t>
        </is>
      </c>
      <c r="V1065" s="5" t="inlineStr"/>
      <c r="W1065" s="5" t="inlineStr"/>
      <c r="X1065" s="5" t="inlineStr"/>
      <c r="Y1065" s="5" t="inlineStr"/>
      <c r="Z1065" s="6" t="inlineStr"/>
      <c r="AA1065" s="5" t="inlineStr"/>
      <c r="AB1065" s="5" t="inlineStr"/>
      <c r="AC1065" s="5" t="inlineStr"/>
      <c r="AD1065" s="5" t="inlineStr"/>
      <c r="AE1065" s="5" t="inlineStr"/>
      <c r="AF1065" s="5" t="inlineStr"/>
      <c r="AG1065" s="5" t="inlineStr"/>
      <c r="AH1065" s="5" t="inlineStr"/>
    </row>
    <row r="1066">
      <c r="A1066" s="5" t="inlineStr">
        <is>
          <t>b9-emeklilik</t>
        </is>
      </c>
      <c r="B1066" s="5" t="n">
        <v>9</v>
      </c>
      <c r="C1066" s="6" t="inlineStr">
        <is>
          <t>Torunlara “Kolay para yoktur” de</t>
        </is>
      </c>
      <c r="D1066" s="5" t="inlineStr"/>
      <c r="E1066" s="5" t="inlineStr"/>
      <c r="F1066" s="5" t="inlineStr">
        <is>
          <t>Kurnazlık +1, Çene +1</t>
        </is>
      </c>
      <c r="G1066" s="6" t="inlineStr">
        <is>
          <t>Torunlara kolay para olmadığını anlattın. Nasihat ücretliydi; taksit de yapıyorsun.</t>
        </is>
      </c>
      <c r="H1066" s="6" t="inlineStr"/>
      <c r="I1066" s="6" t="inlineStr"/>
      <c r="J1066" s="6" t="inlineStr"/>
      <c r="K1066" s="6" t="inlineStr"/>
      <c r="L1066" s="6" t="inlineStr"/>
      <c r="M1066" s="5" t="inlineStr"/>
      <c r="N1066" s="5" t="inlineStr"/>
      <c r="O1066" s="6" t="inlineStr"/>
      <c r="P1066" s="6" t="inlineStr"/>
      <c r="Q1066" s="5" t="inlineStr"/>
      <c r="R1066" s="5" t="inlineStr">
        <is>
          <t>hat-dolandirici</t>
        </is>
      </c>
      <c r="S1066" s="5" t="inlineStr"/>
      <c r="T1066" s="5" t="inlineStr"/>
      <c r="U1066" s="5" t="inlineStr">
        <is>
          <t>emekli</t>
        </is>
      </c>
      <c r="V1066" s="5" t="inlineStr"/>
      <c r="W1066" s="5" t="inlineStr"/>
      <c r="X1066" s="5" t="inlineStr"/>
      <c r="Y1066" s="5" t="inlineStr"/>
      <c r="Z1066" s="6" t="inlineStr"/>
      <c r="AA1066" s="5" t="inlineStr"/>
      <c r="AB1066" s="5" t="inlineStr"/>
      <c r="AC1066" s="5" t="inlineStr"/>
      <c r="AD1066" s="5" t="inlineStr"/>
      <c r="AE1066" s="5" t="inlineStr"/>
      <c r="AF1066" s="5" t="inlineStr"/>
      <c r="AG1066" s="5" t="inlineStr"/>
      <c r="AH1066" s="5" t="inlineStr"/>
    </row>
    <row r="1067">
      <c r="A1067" s="5" t="inlineStr">
        <is>
          <t>b9-emeklilik</t>
        </is>
      </c>
      <c r="B1067" s="5" t="n">
        <v>10</v>
      </c>
      <c r="C1067" s="6" t="inlineStr">
        <is>
          <t>Yarışma programında jüri ol</t>
        </is>
      </c>
      <c r="D1067" s="5" t="inlineStr"/>
      <c r="E1067" s="5" t="inlineStr"/>
      <c r="F1067" s="5" t="inlineStr">
        <is>
          <t>Pişkinlik +2</t>
        </is>
      </c>
      <c r="G1067" s="6" t="inlineStr">
        <is>
          <t>Yarışma programında jüri oldun. En sevdiğin kelime “Hayır”; en çok alkışlanan kelime de o.</t>
        </is>
      </c>
      <c r="H1067" s="6" t="inlineStr"/>
      <c r="I1067" s="6" t="inlineStr"/>
      <c r="J1067" s="6" t="inlineStr"/>
      <c r="K1067" s="6" t="inlineStr"/>
      <c r="L1067" s="6" t="inlineStr"/>
      <c r="M1067" s="5" t="inlineStr"/>
      <c r="N1067" s="5" t="inlineStr"/>
      <c r="O1067" s="6" t="inlineStr"/>
      <c r="P1067" s="6" t="inlineStr"/>
      <c r="Q1067" s="5" t="inlineStr"/>
      <c r="R1067" s="5" t="inlineStr">
        <is>
          <t>hat-sohret</t>
        </is>
      </c>
      <c r="S1067" s="5" t="inlineStr"/>
      <c r="T1067" s="5" t="inlineStr"/>
      <c r="U1067" s="5" t="inlineStr">
        <is>
          <t>emekli</t>
        </is>
      </c>
      <c r="V1067" s="5" t="inlineStr"/>
      <c r="W1067" s="5" t="inlineStr"/>
      <c r="X1067" s="5" t="inlineStr"/>
      <c r="Y1067" s="5" t="inlineStr"/>
      <c r="Z1067" s="6" t="inlineStr"/>
      <c r="AA1067" s="5" t="inlineStr"/>
      <c r="AB1067" s="5" t="inlineStr"/>
      <c r="AC1067" s="5" t="inlineStr"/>
      <c r="AD1067" s="5" t="inlineStr"/>
      <c r="AE1067" s="5" t="inlineStr"/>
      <c r="AF1067" s="5" t="inlineStr"/>
      <c r="AG1067" s="5" t="inlineStr"/>
      <c r="AH1067" s="5" t="inlineStr"/>
    </row>
    <row r="1068">
      <c r="A1068" s="5" t="inlineStr">
        <is>
          <t>b9-emeklilik</t>
        </is>
      </c>
      <c r="B1068" s="5" t="n">
        <v>11</v>
      </c>
      <c r="C1068" s="6" t="inlineStr">
        <is>
          <t>Genç girişimcilere mentorluk yap</t>
        </is>
      </c>
      <c r="D1068" s="5" t="inlineStr"/>
      <c r="E1068" s="5" t="inlineStr"/>
      <c r="F1068" s="5" t="inlineStr">
        <is>
          <t>Akıl +1, Çene +1</t>
        </is>
      </c>
      <c r="G1068" s="6" t="inlineStr">
        <is>
          <t>Genç girişimcilere mentorluk yapıyorsun. Hepsine aynı hikâyeyi anlatıyorsun; her seferinde şirket biraz daha büyüyor.</t>
        </is>
      </c>
      <c r="H1068" s="6" t="inlineStr"/>
      <c r="I1068" s="6" t="inlineStr"/>
      <c r="J1068" s="6" t="inlineStr"/>
      <c r="K1068" s="6" t="inlineStr"/>
      <c r="L1068" s="6" t="inlineStr"/>
      <c r="M1068" s="5" t="inlineStr"/>
      <c r="N1068" s="5" t="inlineStr"/>
      <c r="O1068" s="6" t="inlineStr"/>
      <c r="P1068" s="6" t="inlineStr"/>
      <c r="Q1068" s="5" t="inlineStr"/>
      <c r="R1068" s="5" t="inlineStr">
        <is>
          <t>hat-girisimci</t>
        </is>
      </c>
      <c r="S1068" s="5" t="inlineStr"/>
      <c r="T1068" s="5" t="inlineStr"/>
      <c r="U1068" s="5" t="inlineStr">
        <is>
          <t>emekli</t>
        </is>
      </c>
      <c r="V1068" s="5" t="inlineStr"/>
      <c r="W1068" s="5" t="inlineStr"/>
      <c r="X1068" s="5" t="inlineStr"/>
      <c r="Y1068" s="5" t="inlineStr"/>
      <c r="Z1068" s="6" t="inlineStr"/>
      <c r="AA1068" s="5" t="inlineStr"/>
      <c r="AB1068" s="5" t="inlineStr"/>
      <c r="AC1068" s="5" t="inlineStr"/>
      <c r="AD1068" s="5" t="inlineStr"/>
      <c r="AE1068" s="5" t="inlineStr"/>
      <c r="AF1068" s="5" t="inlineStr"/>
      <c r="AG1068" s="5" t="inlineStr"/>
      <c r="AH1068" s="5" t="inlineStr"/>
    </row>
    <row r="1069">
      <c r="A1069" s="5" t="inlineStr">
        <is>
          <t>b9-emeklilik</t>
        </is>
      </c>
      <c r="B1069" s="5" t="n">
        <v>12</v>
      </c>
      <c r="C1069" s="6" t="inlineStr">
        <is>
          <t>Gurbetten dön, yazlığa yerleş</t>
        </is>
      </c>
      <c r="D1069" s="5" t="inlineStr"/>
      <c r="E1069" s="5" t="inlineStr"/>
      <c r="F1069" s="5" t="inlineStr">
        <is>
          <t>Dayanıklılık +1, İtibar +1</t>
        </is>
      </c>
      <c r="G1069" s="6" t="inlineStr">
        <is>
          <t>Otuz yıl sonra döndün ve yazlığa yerleştin. Komşular aksanını hâlâ yadırgıyor; sen de onların çay saatini.</t>
        </is>
      </c>
      <c r="H1069" s="6" t="inlineStr"/>
      <c r="I1069" s="6" t="inlineStr"/>
      <c r="J1069" s="6" t="inlineStr"/>
      <c r="K1069" s="6" t="inlineStr"/>
      <c r="L1069" s="6" t="inlineStr"/>
      <c r="M1069" s="5" t="inlineStr"/>
      <c r="N1069" s="5" t="inlineStr"/>
      <c r="O1069" s="6" t="inlineStr"/>
      <c r="P1069" s="6" t="inlineStr"/>
      <c r="Q1069" s="5" t="inlineStr"/>
      <c r="R1069" s="5" t="inlineStr">
        <is>
          <t>hat-goc</t>
        </is>
      </c>
      <c r="S1069" s="5" t="inlineStr"/>
      <c r="T1069" s="5" t="inlineStr"/>
      <c r="U1069" s="5" t="inlineStr">
        <is>
          <t>emekli</t>
        </is>
      </c>
      <c r="V1069" s="5" t="inlineStr"/>
      <c r="W1069" s="5" t="inlineStr"/>
      <c r="X1069" s="5" t="inlineStr"/>
      <c r="Y1069" s="5" t="inlineStr"/>
      <c r="Z1069" s="6" t="inlineStr"/>
      <c r="AA1069" s="5" t="inlineStr"/>
      <c r="AB1069" s="5" t="inlineStr"/>
      <c r="AC1069" s="5" t="inlineStr"/>
      <c r="AD1069" s="5" t="inlineStr"/>
      <c r="AE1069" s="5" t="inlineStr"/>
      <c r="AF1069" s="5" t="inlineStr"/>
      <c r="AG1069" s="5" t="inlineStr"/>
      <c r="AH1069" s="5" t="inlineStr"/>
    </row>
    <row r="1070">
      <c r="A1070" s="5" t="inlineStr">
        <is>
          <t>b9-emeklilik</t>
        </is>
      </c>
      <c r="B1070" s="5" t="n">
        <v>13</v>
      </c>
      <c r="C1070" s="6" t="inlineStr">
        <is>
          <t>Kooperatifin başına geç</t>
        </is>
      </c>
      <c r="D1070" s="5" t="inlineStr"/>
      <c r="E1070" s="5" t="inlineStr"/>
      <c r="F1070" s="5" t="inlineStr">
        <is>
          <t>İtibar +1, Sosyal Radar +1</t>
        </is>
      </c>
      <c r="G1070" s="6" t="inlineStr">
        <is>
          <t>Kooperatif başkanı oldun. Domates fiyatları artık senin sorunun; hava durumu da.</t>
        </is>
      </c>
      <c r="H1070" s="6" t="inlineStr"/>
      <c r="I1070" s="6" t="inlineStr"/>
      <c r="J1070" s="6" t="inlineStr"/>
      <c r="K1070" s="6" t="inlineStr"/>
      <c r="L1070" s="6" t="inlineStr"/>
      <c r="M1070" s="5" t="inlineStr"/>
      <c r="N1070" s="5" t="inlineStr"/>
      <c r="O1070" s="6" t="inlineStr"/>
      <c r="P1070" s="6" t="inlineStr"/>
      <c r="Q1070" s="5" t="inlineStr"/>
      <c r="R1070" s="5" t="inlineStr">
        <is>
          <t>hat-koy</t>
        </is>
      </c>
      <c r="S1070" s="5" t="inlineStr"/>
      <c r="T1070" s="5" t="inlineStr"/>
      <c r="U1070" s="5" t="inlineStr">
        <is>
          <t>emekli</t>
        </is>
      </c>
      <c r="V1070" s="5" t="inlineStr"/>
      <c r="W1070" s="5" t="inlineStr"/>
      <c r="X1070" s="5" t="inlineStr"/>
      <c r="Y1070" s="5" t="inlineStr"/>
      <c r="Z1070" s="6" t="inlineStr"/>
      <c r="AA1070" s="5" t="inlineStr"/>
      <c r="AB1070" s="5" t="inlineStr"/>
      <c r="AC1070" s="5" t="inlineStr"/>
      <c r="AD1070" s="5" t="inlineStr"/>
      <c r="AE1070" s="5" t="inlineStr"/>
      <c r="AF1070" s="5" t="inlineStr"/>
      <c r="AG1070" s="5" t="inlineStr"/>
      <c r="AH1070" s="5" t="inlineStr"/>
    </row>
    <row r="1071">
      <c r="A1071" s="5" t="inlineStr">
        <is>
          <t>b9-emeklilik</t>
        </is>
      </c>
      <c r="B1071" s="5" t="n">
        <v>14</v>
      </c>
      <c r="C1071" s="6" t="inlineStr">
        <is>
          <t>Dükkânı çırağına devret</t>
        </is>
      </c>
      <c r="D1071" s="5" t="inlineStr"/>
      <c r="E1071" s="5" t="inlineStr"/>
      <c r="F1071" s="5" t="inlineStr">
        <is>
          <t>Akıl +1, Dayanıklılık +1</t>
        </is>
      </c>
      <c r="G1071" s="6" t="inlineStr">
        <is>
          <t>Dükkânı çırağına devrettin. Her sabah kapıda oturup arızaları dinliyorsun; teşhis senin, tamir onun.</t>
        </is>
      </c>
      <c r="H1071" s="6" t="inlineStr"/>
      <c r="I1071" s="6" t="inlineStr"/>
      <c r="J1071" s="6" t="inlineStr"/>
      <c r="K1071" s="6" t="inlineStr"/>
      <c r="L1071" s="6" t="inlineStr"/>
      <c r="M1071" s="5" t="inlineStr"/>
      <c r="N1071" s="5" t="inlineStr"/>
      <c r="O1071" s="6" t="inlineStr"/>
      <c r="P1071" s="6" t="inlineStr"/>
      <c r="Q1071" s="5" t="inlineStr"/>
      <c r="R1071" s="5" t="inlineStr">
        <is>
          <t>hat-usta</t>
        </is>
      </c>
      <c r="S1071" s="5" t="inlineStr"/>
      <c r="T1071" s="5" t="inlineStr"/>
      <c r="U1071" s="5" t="inlineStr">
        <is>
          <t>emekli</t>
        </is>
      </c>
      <c r="V1071" s="5" t="inlineStr"/>
      <c r="W1071" s="5" t="inlineStr"/>
      <c r="X1071" s="5" t="inlineStr"/>
      <c r="Y1071" s="5" t="inlineStr"/>
      <c r="Z1071" s="6" t="inlineStr"/>
      <c r="AA1071" s="5" t="inlineStr"/>
      <c r="AB1071" s="5" t="inlineStr"/>
      <c r="AC1071" s="5" t="inlineStr"/>
      <c r="AD1071" s="5" t="inlineStr"/>
      <c r="AE1071" s="5" t="inlineStr"/>
      <c r="AF1071" s="5" t="inlineStr"/>
      <c r="AG1071" s="5" t="inlineStr"/>
      <c r="AH1071" s="5" t="inlineStr"/>
    </row>
    <row r="1072">
      <c r="A1072" s="5" t="inlineStr">
        <is>
          <t>b9-emeklilik</t>
        </is>
      </c>
      <c r="B1072" s="5" t="n">
        <v>15</v>
      </c>
      <c r="C1072" s="6" t="inlineStr">
        <is>
          <t>Emekli olmayı reddet</t>
        </is>
      </c>
      <c r="D1072" s="5" t="inlineStr"/>
      <c r="E1072" s="5" t="inlineStr"/>
      <c r="F1072" s="5" t="inlineStr">
        <is>
          <t>Cesaret +1, Dayanıklılık +1</t>
        </is>
      </c>
      <c r="G1072" s="6" t="inlineStr">
        <is>
          <t>Emekli olmayı reddettin. Pastayı yedin, plaketi masana koydun ve ertesi sabah yine işe geldin. Masan artık bir müze parçası; sen de rehberi.</t>
        </is>
      </c>
      <c r="H1072" s="6" t="inlineStr"/>
      <c r="I1072" s="6" t="inlineStr"/>
      <c r="J1072" s="6" t="inlineStr"/>
      <c r="K1072" s="6" t="inlineStr"/>
      <c r="L1072" s="6" t="inlineStr"/>
      <c r="M1072" s="5" t="inlineStr"/>
      <c r="N1072" s="5" t="inlineStr"/>
      <c r="O1072" s="6" t="inlineStr"/>
      <c r="P1072" s="6" t="inlineStr"/>
      <c r="Q1072" s="5" t="inlineStr"/>
      <c r="R1072" s="5" t="inlineStr"/>
      <c r="S1072" s="5" t="inlineStr"/>
      <c r="T1072" s="5" t="inlineStr"/>
      <c r="U1072" s="5" t="inlineStr">
        <is>
          <t>emekliligi-reddetti</t>
        </is>
      </c>
      <c r="V1072" s="5" t="inlineStr"/>
      <c r="W1072" s="5" t="inlineStr"/>
      <c r="X1072" s="5" t="inlineStr"/>
      <c r="Y1072" s="5" t="inlineStr"/>
      <c r="Z1072" s="6" t="inlineStr"/>
      <c r="AA1072" s="5" t="inlineStr"/>
      <c r="AB1072" s="5" t="inlineStr"/>
      <c r="AC1072" s="5" t="inlineStr"/>
      <c r="AD1072" s="5" t="inlineStr"/>
      <c r="AE1072" s="5" t="inlineStr"/>
      <c r="AF1072" s="5" t="inlineStr"/>
      <c r="AG1072" s="5" t="inlineStr"/>
      <c r="AH1072" s="5" t="inlineStr"/>
    </row>
    <row r="1073">
      <c r="A1073" s="5" t="inlineStr">
        <is>
          <t>ms-retrospektif</t>
        </is>
      </c>
      <c r="B1073" s="5" t="n">
        <v>1</v>
      </c>
      <c r="C1073" s="6" t="inlineStr">
        <is>
          <t>Eski eserlerin arasında dolaş</t>
        </is>
      </c>
      <c r="D1073" s="5" t="inlineStr"/>
      <c r="E1073" s="5" t="inlineStr"/>
      <c r="F1073" s="5" t="inlineStr">
        <is>
          <t>İtibar +1</t>
        </is>
      </c>
      <c r="G1073" s="6" t="inlineStr">
        <is>
          <t>Bir tablonun arkasında kırk yıllık bir not buldun: 'Fatura no: 17. Ödenmedi.' Eser değerlendi, fatura değil.</t>
        </is>
      </c>
      <c r="H1073" s="6" t="inlineStr"/>
      <c r="I1073" s="6" t="inlineStr"/>
      <c r="J1073" s="6" t="inlineStr"/>
      <c r="K1073" s="6" t="inlineStr"/>
      <c r="L1073" s="6" t="inlineStr"/>
      <c r="M1073" s="5" t="inlineStr"/>
      <c r="N1073" s="5" t="inlineStr"/>
      <c r="O1073" s="6" t="inlineStr"/>
      <c r="P1073" s="6" t="inlineStr"/>
      <c r="Q1073" s="5" t="inlineStr"/>
      <c r="R1073" s="5" t="inlineStr"/>
      <c r="S1073" s="5" t="inlineStr"/>
      <c r="T1073" s="5" t="inlineStr"/>
      <c r="U1073" s="5" t="inlineStr"/>
      <c r="V1073" s="5" t="inlineStr"/>
      <c r="W1073" s="5" t="inlineStr"/>
      <c r="X1073" s="5" t="inlineStr"/>
      <c r="Y1073" s="5" t="inlineStr"/>
      <c r="Z1073" s="6" t="inlineStr"/>
      <c r="AA1073" s="5" t="inlineStr"/>
      <c r="AB1073" s="5" t="inlineStr"/>
      <c r="AC1073" s="5" t="inlineStr"/>
      <c r="AD1073" s="5" t="inlineStr"/>
      <c r="AE1073" s="5" t="inlineStr"/>
      <c r="AF1073" s="5" t="inlineStr"/>
      <c r="AG1073" s="5" t="inlineStr"/>
      <c r="AH1073" s="5" t="inlineStr"/>
    </row>
    <row r="1074">
      <c r="A1074" s="5" t="inlineStr">
        <is>
          <t>ms-retrospektif</t>
        </is>
      </c>
      <c r="B1074" s="5" t="n">
        <v>2</v>
      </c>
      <c r="C1074" s="6" t="inlineStr">
        <is>
          <t>Son tabloyu kendin as</t>
        </is>
      </c>
      <c r="D1074" s="5" t="inlineStr">
        <is>
          <t>Cesaret</t>
        </is>
      </c>
      <c r="E1074" s="5" t="inlineStr">
        <is>
          <t>Orta</t>
        </is>
      </c>
      <c r="F1074" s="5" t="inlineStr"/>
      <c r="G1074" s="6" t="inlineStr"/>
      <c r="H1074" s="6" t="inlineStr">
        <is>
          <t>Tabloyu astın. Düz duruyor. Kırk yıldır ilk kez bir şey tam istediğin gibi.</t>
        </is>
      </c>
      <c r="I1074" s="6" t="inlineStr">
        <is>
          <t>Tabloyu astın, galerici 'Sergiye bir de performans ekleyelim' dedi. Merdivenin artık eser.</t>
        </is>
      </c>
      <c r="J1074" s="6" t="inlineStr">
        <is>
          <t>Tablo biraz eğri kaldı. Eleştirmenler bunu bilinçli bir tercih olarak yorumladı.</t>
        </is>
      </c>
      <c r="K1074" s="6" t="inlineStr">
        <is>
          <t>Merdivenden inerken üç eseri devirdin. Kataloğa 'etkileşimli bölüm' diye eklendi.</t>
        </is>
      </c>
      <c r="L1074" s="6" t="inlineStr"/>
      <c r="M1074" s="5" t="inlineStr"/>
      <c r="N1074" s="5" t="inlineStr"/>
      <c r="O1074" s="6" t="inlineStr"/>
      <c r="P1074" s="6" t="inlineStr"/>
      <c r="Q1074" s="5" t="inlineStr"/>
      <c r="R1074" s="5" t="inlineStr"/>
      <c r="S1074" s="5" t="inlineStr"/>
      <c r="T1074" s="5" t="inlineStr"/>
      <c r="U1074" s="5" t="inlineStr"/>
      <c r="V1074" s="5" t="inlineStr"/>
      <c r="W1074" s="5" t="inlineStr"/>
      <c r="X1074" s="5" t="inlineStr"/>
      <c r="Y1074" s="5" t="n">
        <v>4</v>
      </c>
      <c r="Z1074" s="6" t="inlineStr">
        <is>
          <t>Kendi retrospektif sergisinin son tablosunu merdivenle asarken. Tablo düz duruyor.</t>
        </is>
      </c>
      <c r="AA1074" s="5" t="inlineStr"/>
      <c r="AB1074" s="5" t="inlineStr"/>
      <c r="AC1074" s="5" t="inlineStr"/>
      <c r="AD1074" s="5" t="inlineStr"/>
      <c r="AE1074" s="5" t="inlineStr"/>
      <c r="AF1074" s="5" t="inlineStr"/>
      <c r="AG1074" s="5" t="inlineStr"/>
      <c r="AH1074" s="5" t="inlineStr"/>
    </row>
    <row r="1075">
      <c r="A1075" s="5" t="inlineStr">
        <is>
          <t>ms-retrospektif</t>
        </is>
      </c>
      <c r="B1075" s="5" t="n">
        <v>3</v>
      </c>
      <c r="C1075" s="6" t="inlineStr">
        <is>
          <t>Açılışı bir performansa çevir</t>
        </is>
      </c>
      <c r="D1075" s="5" t="inlineStr">
        <is>
          <t>Pişkinlik</t>
        </is>
      </c>
      <c r="E1075" s="5" t="inlineStr">
        <is>
          <t>Kolay</t>
        </is>
      </c>
      <c r="F1075" s="5" t="inlineStr"/>
      <c r="G1075" s="6" t="inlineStr"/>
      <c r="H1075" s="6" t="inlineStr">
        <is>
          <t>Açılışı kırk yıllık hayatının kısa bir gösterisine çevirdin. Kimse ikramlara dokunmadı.</t>
        </is>
      </c>
      <c r="I1075" s="6" t="inlineStr">
        <is>
          <t>Performansın sergiden fazla konuşuldu. Galeri bir yıl uzatma kararı aldı.</t>
        </is>
      </c>
      <c r="J1075" s="6" t="inlineStr">
        <is>
          <t>Performans uzadı. Galeri kapanış saatinde ışıkları kapattı. Sen hâlâ konuşuyordun.</t>
        </is>
      </c>
      <c r="K1075" s="6" t="inlineStr">
        <is>
          <t>Performans sırasında bir eseri gerçek sandılar ve ikram tepsisi olarak kullandılar.</t>
        </is>
      </c>
      <c r="L1075" s="6" t="inlineStr"/>
      <c r="M1075" s="5" t="inlineStr"/>
      <c r="N1075" s="5" t="inlineStr"/>
      <c r="O1075" s="6" t="inlineStr"/>
      <c r="P1075" s="6" t="inlineStr"/>
      <c r="Q1075" s="5" t="inlineStr">
        <is>
          <t>Sahne Sever</t>
        </is>
      </c>
      <c r="R1075" s="5" t="inlineStr"/>
      <c r="S1075" s="5" t="inlineStr"/>
      <c r="T1075" s="5" t="inlineStr"/>
      <c r="U1075" s="5" t="inlineStr"/>
      <c r="V1075" s="5" t="inlineStr"/>
      <c r="W1075" s="5" t="inlineStr"/>
      <c r="X1075" s="5" t="inlineStr"/>
      <c r="Y1075" s="5" t="inlineStr"/>
      <c r="Z1075" s="6" t="inlineStr"/>
      <c r="AA1075" s="5" t="inlineStr"/>
      <c r="AB1075" s="5" t="inlineStr"/>
      <c r="AC1075" s="5" t="inlineStr"/>
      <c r="AD1075" s="5" t="inlineStr"/>
      <c r="AE1075" s="5" t="inlineStr"/>
      <c r="AF1075" s="5" t="inlineStr"/>
      <c r="AG1075" s="5" t="inlineStr"/>
      <c r="AH1075" s="5" t="inlineStr"/>
    </row>
    <row r="1076">
      <c r="A1076" s="5" t="inlineStr">
        <is>
          <t>ms-retrospektif</t>
        </is>
      </c>
      <c r="B1076" s="5" t="n">
        <v>4</v>
      </c>
      <c r="C1076" s="6" t="inlineStr">
        <is>
          <t>Eserlere ilk kez gerçek fiyat biç</t>
        </is>
      </c>
      <c r="D1076" s="5" t="inlineStr">
        <is>
          <t>Kurnazlık</t>
        </is>
      </c>
      <c r="E1076" s="5" t="inlineStr">
        <is>
          <t>Orta</t>
        </is>
      </c>
      <c r="F1076" s="5" t="inlineStr"/>
      <c r="G1076" s="6" t="inlineStr"/>
      <c r="H1076" s="6" t="inlineStr">
        <is>
          <t>Etiketlere gerçek fiyat yazdın. İkisi açılış gecesi satıldı.</t>
        </is>
      </c>
      <c r="I1076" s="6" t="inlineStr">
        <is>
          <t>Bütün eserler satıldı. Galerici komisyonunu alınca ağladı. Sevinçten.</t>
        </is>
      </c>
      <c r="J1076" s="6" t="inlineStr">
        <is>
          <t>Fiyatları yazdın; ziyaretçiler etiketlerin fotoğrafını çekti, eserlerin değil.</t>
        </is>
      </c>
      <c r="K1076" s="6" t="inlineStr">
        <is>
          <t>Fiyat yazarken bir sıfır eksik yazdın. İlk müşteri hepsini aldı. Hızla.</t>
        </is>
      </c>
      <c r="L1076" s="6" t="inlineStr"/>
      <c r="M1076" s="5" t="inlineStr"/>
      <c r="N1076" s="5" t="inlineStr"/>
      <c r="O1076" s="6" t="inlineStr"/>
      <c r="P1076" s="6" t="inlineStr"/>
      <c r="Q1076" s="5" t="inlineStr"/>
      <c r="R1076" s="5" t="inlineStr"/>
      <c r="S1076" s="5" t="inlineStr"/>
      <c r="T1076" s="5" t="inlineStr"/>
      <c r="U1076" s="5" t="inlineStr"/>
      <c r="V1076" s="5" t="inlineStr"/>
      <c r="W1076" s="5" t="inlineStr"/>
      <c r="X1076" s="5" t="inlineStr"/>
      <c r="Y1076" s="5" t="inlineStr"/>
      <c r="Z1076" s="6" t="inlineStr"/>
      <c r="AA1076" s="5" t="inlineStr"/>
      <c r="AB1076" s="5" t="inlineStr"/>
      <c r="AC1076" s="5" t="inlineStr"/>
      <c r="AD1076" s="5" t="inlineStr"/>
      <c r="AE1076" s="5" t="inlineStr"/>
      <c r="AF1076" s="5" t="inlineStr"/>
      <c r="AG1076" s="5" t="inlineStr"/>
      <c r="AH1076" s="5" t="inlineStr"/>
    </row>
    <row r="1077">
      <c r="A1077" s="5" t="inlineStr">
        <is>
          <t>b9-pazar-arabasi</t>
        </is>
      </c>
      <c r="B1077" s="5" t="n">
        <v>1</v>
      </c>
      <c r="C1077" s="6" t="inlineStr">
        <is>
          <t>Sabah erkenden git</t>
        </is>
      </c>
      <c r="D1077" s="5" t="inlineStr"/>
      <c r="E1077" s="5" t="inlineStr"/>
      <c r="F1077" s="5" t="inlineStr">
        <is>
          <t>Dayanıklılık +1</t>
        </is>
      </c>
      <c r="G1077" s="6" t="inlineStr">
        <is>
          <t>Sabah yedide pazardaydın. En taze domatesler, en yüksek fiyatlar. Tazelik bir lüks kalemi.</t>
        </is>
      </c>
      <c r="H1077" s="6" t="inlineStr"/>
      <c r="I1077" s="6" t="inlineStr"/>
      <c r="J1077" s="6" t="inlineStr"/>
      <c r="K1077" s="6" t="inlineStr"/>
      <c r="L1077" s="6" t="inlineStr"/>
      <c r="M1077" s="5" t="inlineStr"/>
      <c r="N1077" s="5" t="inlineStr"/>
      <c r="O1077" s="6" t="inlineStr"/>
      <c r="P1077" s="6" t="inlineStr"/>
      <c r="Q1077" s="5" t="inlineStr"/>
      <c r="R1077" s="5" t="inlineStr"/>
      <c r="S1077" s="5" t="inlineStr"/>
      <c r="T1077" s="5" t="inlineStr"/>
      <c r="U1077" s="5" t="inlineStr"/>
      <c r="V1077" s="5" t="inlineStr"/>
      <c r="W1077" s="5" t="inlineStr"/>
      <c r="X1077" s="5" t="inlineStr"/>
      <c r="Y1077" s="5" t="inlineStr"/>
      <c r="Z1077" s="6" t="inlineStr"/>
      <c r="AA1077" s="5" t="inlineStr"/>
      <c r="AB1077" s="5" t="inlineStr"/>
      <c r="AC1077" s="5" t="inlineStr"/>
      <c r="AD1077" s="5" t="inlineStr"/>
      <c r="AE1077" s="5" t="inlineStr"/>
      <c r="AF1077" s="5" t="inlineStr"/>
      <c r="AG1077" s="5" t="inlineStr"/>
      <c r="AH1077" s="5" t="inlineStr"/>
    </row>
    <row r="1078">
      <c r="A1078" s="5" t="inlineStr">
        <is>
          <t>b9-pazar-arabasi</t>
        </is>
      </c>
      <c r="B1078" s="5" t="n">
        <v>2</v>
      </c>
      <c r="C1078" s="6" t="inlineStr">
        <is>
          <t>Kapanışta git, pazarlık et</t>
        </is>
      </c>
      <c r="D1078" s="5" t="inlineStr">
        <is>
          <t>Çene</t>
        </is>
      </c>
      <c r="E1078" s="5" t="inlineStr">
        <is>
          <t>Orta</t>
        </is>
      </c>
      <c r="F1078" s="5" t="inlineStr"/>
      <c r="G1078" s="6" t="inlineStr"/>
      <c r="H1078" s="6" t="inlineStr">
        <is>
          <t>Kapanışta gittin; bir kasa domatesi yarı fiyatına aldın. Ne yapacağını düşünmedin.</t>
        </is>
      </c>
      <c r="I1078" s="6" t="inlineStr">
        <is>
          <t>Pazarcı sana bir kasa daha hediye etti: 'Emeklimizsin.' Evde üç gün salça yapıldı.</t>
        </is>
      </c>
      <c r="J1078" s="6" t="inlineStr">
        <is>
          <t>Kapanışta gittin; pazar kapanmıştı. Tezgâhlar gitmiş, fiyat tartışması tek taraflı kaldı.</t>
        </is>
      </c>
      <c r="K1078" s="6" t="inlineStr">
        <is>
          <t>Pazarlık ettin, pazarcı kızdı ve seni diğer pazarcılara tarif etti. Artık pazarın her yerinde tanınıyorsun.</t>
        </is>
      </c>
      <c r="L1078" s="6" t="inlineStr"/>
      <c r="M1078" s="5" t="inlineStr"/>
      <c r="N1078" s="5" t="inlineStr"/>
      <c r="O1078" s="6" t="inlineStr"/>
      <c r="P1078" s="6" t="inlineStr"/>
      <c r="Q1078" s="5" t="inlineStr"/>
      <c r="R1078" s="5" t="inlineStr"/>
      <c r="S1078" s="5" t="inlineStr"/>
      <c r="T1078" s="5" t="inlineStr"/>
      <c r="U1078" s="5" t="inlineStr"/>
      <c r="V1078" s="5" t="inlineStr"/>
      <c r="W1078" s="5" t="inlineStr"/>
      <c r="X1078" s="5" t="inlineStr"/>
      <c r="Y1078" s="5" t="inlineStr"/>
      <c r="Z1078" s="6" t="inlineStr"/>
      <c r="AA1078" s="5" t="inlineStr"/>
      <c r="AB1078" s="5" t="inlineStr"/>
      <c r="AC1078" s="5" t="inlineStr"/>
      <c r="AD1078" s="5" t="inlineStr"/>
      <c r="AE1078" s="5" t="inlineStr"/>
      <c r="AF1078" s="5" t="inlineStr"/>
      <c r="AG1078" s="5" t="inlineStr"/>
      <c r="AH1078" s="5" t="inlineStr"/>
    </row>
    <row r="1079">
      <c r="A1079" s="5" t="inlineStr">
        <is>
          <t>b9-pazar-arabasi</t>
        </is>
      </c>
      <c r="B1079" s="5" t="n">
        <v>3</v>
      </c>
      <c r="C1079" s="6" t="inlineStr">
        <is>
          <t>Pazarcıya ödeme uygulaması kurdur</t>
        </is>
      </c>
      <c r="D1079" s="5" t="inlineStr">
        <is>
          <t>Akıl</t>
        </is>
      </c>
      <c r="E1079" s="5" t="inlineStr">
        <is>
          <t>Kolay</t>
        </is>
      </c>
      <c r="F1079" s="5" t="inlineStr"/>
      <c r="G1079" s="6" t="inlineStr"/>
      <c r="H1079" s="6" t="inlineStr">
        <is>
          <t>Pazarcıya ödeme uygulamasını öğrettin. Artık sana indirim yapıyor, çünkü 'hocam' oldun.</t>
        </is>
      </c>
      <c r="I1079" s="6" t="inlineStr">
        <is>
          <t>Bütün pazar sana geldi. Bir çarşamba sabahı pazarın gayriresmî dijital danışmanı ilan edildin.</t>
        </is>
      </c>
      <c r="J1079" s="6" t="inlineStr">
        <is>
          <t>Uygulamayı kurdun, pazarcı ödemeyi yanlış hesaba yaptı. Paran komşu tezgâhın maydanozuna gitti.</t>
        </is>
      </c>
      <c r="K1079" s="6" t="inlineStr">
        <is>
          <t>Uygulamayı kurarken pazarcının telefonunu kilitledin. Pazarcı o gün sadece nakit çalıştı ve bunu senin adınla anons etti.</t>
        </is>
      </c>
      <c r="L1079" s="6" t="inlineStr"/>
      <c r="M1079" s="5" t="inlineStr"/>
      <c r="N1079" s="5" t="inlineStr"/>
      <c r="O1079" s="6" t="inlineStr"/>
      <c r="P1079" s="6" t="inlineStr"/>
      <c r="Q1079" s="5" t="inlineStr">
        <is>
          <t>Teknoloji Merakı</t>
        </is>
      </c>
      <c r="R1079" s="5" t="inlineStr"/>
      <c r="S1079" s="5" t="inlineStr"/>
      <c r="T1079" s="5" t="inlineStr"/>
      <c r="U1079" s="5" t="inlineStr"/>
      <c r="V1079" s="5" t="inlineStr"/>
      <c r="W1079" s="5" t="inlineStr"/>
      <c r="X1079" s="5" t="inlineStr"/>
      <c r="Y1079" s="5" t="inlineStr"/>
      <c r="Z1079" s="6" t="inlineStr"/>
      <c r="AA1079" s="5" t="inlineStr"/>
      <c r="AB1079" s="5" t="inlineStr"/>
      <c r="AC1079" s="5" t="inlineStr"/>
      <c r="AD1079" s="5" t="inlineStr"/>
      <c r="AE1079" s="5" t="inlineStr"/>
      <c r="AF1079" s="5" t="inlineStr"/>
      <c r="AG1079" s="5" t="inlineStr"/>
      <c r="AH1079" s="5" t="inlineStr"/>
    </row>
    <row r="1080">
      <c r="A1080" s="5" t="inlineStr">
        <is>
          <t>b9-ikramiye</t>
        </is>
      </c>
      <c r="B1080" s="5" t="n">
        <v>1</v>
      </c>
      <c r="C1080" s="6" t="inlineStr">
        <is>
          <t>Motosiklet al</t>
        </is>
      </c>
      <c r="D1080" s="5" t="inlineStr">
        <is>
          <t>Cesaret</t>
        </is>
      </c>
      <c r="E1080" s="5" t="inlineStr">
        <is>
          <t>Orta</t>
        </is>
      </c>
      <c r="F1080" s="5" t="inlineStr"/>
      <c r="G1080" s="6" t="inlineStr"/>
      <c r="H1080" s="6" t="inlineStr">
        <is>
          <t>Motosikleti aldın. Mahallede bir tur attın. Kahvehanedeki herkes ayağa kalktı; bazıları seni tanıyamadı.</t>
        </is>
      </c>
      <c r="I1080" s="6" t="inlineStr">
        <is>
          <t>Motosikletle sahil yoluna çıktın. Rüzgâr saçını değil, emeklilik belgeni dalgalandırdı.</t>
        </is>
      </c>
      <c r="J1080" s="6" t="inlineStr">
        <is>
          <t>Motosikleti aldın. Garajdan çıkarmak için üç gün kurs gerekiyormuş. Kurs, motosikletten pahalı.</t>
        </is>
      </c>
      <c r="K1080" s="6" t="inlineStr">
        <is>
          <t>Motosikleti aldın ve ilk durakta devrildi. Devrilen motosiklet sen değilsin; sen sadece altında kaldın. Tamir, ikramiyenin kalanı.</t>
        </is>
      </c>
      <c r="L1080" s="6" t="inlineStr"/>
      <c r="M1080" s="5" t="inlineStr"/>
      <c r="N1080" s="5" t="inlineStr"/>
      <c r="O1080" s="6" t="inlineStr"/>
      <c r="P1080" s="6" t="inlineStr"/>
      <c r="Q1080" s="5" t="inlineStr"/>
      <c r="R1080" s="5" t="inlineStr"/>
      <c r="S1080" s="5" t="inlineStr"/>
      <c r="T1080" s="5" t="inlineStr"/>
      <c r="U1080" s="5" t="inlineStr"/>
      <c r="V1080" s="5" t="inlineStr">
        <is>
          <t>motosikletli</t>
        </is>
      </c>
      <c r="W1080" s="5" t="inlineStr"/>
      <c r="X1080" s="5" t="inlineStr"/>
      <c r="Y1080" s="5" t="n">
        <v>5</v>
      </c>
      <c r="Z1080" s="6" t="inlineStr">
        <is>
          <t>Emekli ikramiyesiyle aldığı motosikletle ilk virajda. Kask hâlâ jelatinliydi.</t>
        </is>
      </c>
      <c r="AA1080" s="5" t="inlineStr"/>
      <c r="AB1080" s="5" t="inlineStr"/>
      <c r="AC1080" s="5" t="inlineStr"/>
      <c r="AD1080" s="5" t="inlineStr"/>
      <c r="AE1080" s="5" t="inlineStr"/>
      <c r="AF1080" s="5" t="inlineStr"/>
      <c r="AG1080" s="5" t="inlineStr"/>
      <c r="AH1080" s="5" t="inlineStr"/>
    </row>
    <row r="1081">
      <c r="A1081" s="5" t="inlineStr">
        <is>
          <t>b9-ikramiye</t>
        </is>
      </c>
      <c r="B1081" s="5" t="n">
        <v>2</v>
      </c>
      <c r="C1081" s="6" t="inlineStr">
        <is>
          <t>Yazlık al</t>
        </is>
      </c>
      <c r="D1081" s="5" t="inlineStr">
        <is>
          <t>Kurnazlık</t>
        </is>
      </c>
      <c r="E1081" s="5" t="inlineStr">
        <is>
          <t>Orta</t>
        </is>
      </c>
      <c r="F1081" s="5" t="inlineStr"/>
      <c r="G1081" s="6" t="inlineStr"/>
      <c r="H1081" s="6" t="inlineStr">
        <is>
          <t>Sahile yürüme mesafesinde küçük bir yazlık aldın. Denize yürüme mesafesi ilanda yazılandan sadece iki kilometre fazla.</t>
        </is>
      </c>
      <c r="I1081" s="6" t="inlineStr">
        <is>
          <t>Yazlığı pazarlıkla aldın; satıcı mobilyaları da bıraktı. Mobilyaların arasında bir de kedi vardı.</t>
        </is>
      </c>
      <c r="J1081" s="6" t="inlineStr">
        <is>
          <t>Yazlığı aldın. Site aidatı, senin emekli maaşının yarısı.</t>
        </is>
      </c>
      <c r="K1081" s="6" t="inlineStr">
        <is>
          <t>Yazlığı fotoğraflardan aldın. Fotoğraflar on yıl önce çekilmiş. Deniz görmüyor; deniz gören bir binayı görüyor.</t>
        </is>
      </c>
      <c r="L1081" s="6" t="inlineStr"/>
      <c r="M1081" s="5" t="inlineStr"/>
      <c r="N1081" s="5" t="inlineStr"/>
      <c r="O1081" s="6" t="inlineStr"/>
      <c r="P1081" s="6" t="inlineStr"/>
      <c r="Q1081" s="5" t="inlineStr"/>
      <c r="R1081" s="5" t="inlineStr"/>
      <c r="S1081" s="5" t="inlineStr"/>
      <c r="T1081" s="5" t="inlineStr"/>
      <c r="U1081" s="5" t="inlineStr"/>
      <c r="V1081" s="5" t="inlineStr">
        <is>
          <t>yazlikci</t>
        </is>
      </c>
      <c r="W1081" s="5" t="inlineStr"/>
      <c r="X1081" s="5" t="inlineStr"/>
      <c r="Y1081" s="5" t="inlineStr"/>
      <c r="Z1081" s="6" t="inlineStr"/>
      <c r="AA1081" s="5" t="inlineStr"/>
      <c r="AB1081" s="5" t="inlineStr"/>
      <c r="AC1081" s="5" t="inlineStr"/>
      <c r="AD1081" s="5" t="inlineStr"/>
      <c r="AE1081" s="5" t="inlineStr"/>
      <c r="AF1081" s="5" t="inlineStr"/>
      <c r="AG1081" s="5" t="inlineStr"/>
      <c r="AH1081" s="5" t="inlineStr"/>
    </row>
    <row r="1082">
      <c r="A1082" s="5" t="inlineStr">
        <is>
          <t>b9-ikramiye</t>
        </is>
      </c>
      <c r="B1082" s="5" t="n">
        <v>3</v>
      </c>
      <c r="C1082" s="6" t="inlineStr">
        <is>
          <t>Çocuğa ev peşinatı ver</t>
        </is>
      </c>
      <c r="D1082" s="5" t="inlineStr"/>
      <c r="E1082" s="5" t="inlineStr"/>
      <c r="F1082" s="5" t="inlineStr">
        <is>
          <t>İtibar +2</t>
        </is>
      </c>
      <c r="G1082" s="6" t="inlineStr">
        <is>
          <t>Peşinatı verdin. Çocuğun ev sahibi oldu. Sen de pazar kahvaltılarının kalıcı misafiri.</t>
        </is>
      </c>
      <c r="H1082" s="6" t="inlineStr"/>
      <c r="I1082" s="6" t="inlineStr"/>
      <c r="J1082" s="6" t="inlineStr"/>
      <c r="K1082" s="6" t="inlineStr"/>
      <c r="L1082" s="6" t="inlineStr"/>
      <c r="M1082" s="5" t="inlineStr"/>
      <c r="N1082" s="5" t="inlineStr"/>
      <c r="O1082" s="6" t="inlineStr"/>
      <c r="P1082" s="6" t="inlineStr"/>
      <c r="Q1082" s="5" t="inlineStr"/>
      <c r="R1082" s="5" t="inlineStr">
        <is>
          <t>cocuklu</t>
        </is>
      </c>
      <c r="S1082" s="5" t="inlineStr"/>
      <c r="T1082" s="5" t="inlineStr"/>
      <c r="U1082" s="5" t="inlineStr"/>
      <c r="V1082" s="5" t="inlineStr"/>
      <c r="W1082" s="5" t="inlineStr"/>
      <c r="X1082" s="5" t="inlineStr"/>
      <c r="Y1082" s="5" t="inlineStr"/>
      <c r="Z1082" s="6" t="inlineStr"/>
      <c r="AA1082" s="5" t="inlineStr"/>
      <c r="AB1082" s="5" t="inlineStr"/>
      <c r="AC1082" s="5" t="inlineStr"/>
      <c r="AD1082" s="5" t="inlineStr"/>
      <c r="AE1082" s="5" t="inlineStr"/>
      <c r="AF1082" s="5" t="inlineStr"/>
      <c r="AG1082" s="5" t="inlineStr"/>
      <c r="AH1082" s="5" t="inlineStr"/>
    </row>
    <row r="1083">
      <c r="A1083" s="5" t="inlineStr">
        <is>
          <t>b9-ikramiye</t>
        </is>
      </c>
      <c r="B1083" s="5" t="n">
        <v>4</v>
      </c>
      <c r="C1083" s="6" t="inlineStr">
        <is>
          <t>Dijital paraya yatır</t>
        </is>
      </c>
      <c r="D1083" s="5" t="inlineStr">
        <is>
          <t>Akıl</t>
        </is>
      </c>
      <c r="E1083" s="5" t="inlineStr">
        <is>
          <t>Zor</t>
        </is>
      </c>
      <c r="F1083" s="5" t="inlineStr"/>
      <c r="G1083" s="6" t="inlineStr"/>
      <c r="H1083" s="6" t="inlineStr">
        <is>
          <t>Dijital para iki katına çıktı. Torunlara ne olduğunu açıklamaya çalıştın; sen de tam anlamadın.</t>
        </is>
      </c>
      <c r="I1083" s="6" t="inlineStr">
        <is>
          <t>Dijital para dört katına çıktı ve tam zamanında sattın. Aile seni 'finans danışmanı' ilan etti.</t>
        </is>
      </c>
      <c r="J1083" s="6" t="inlineStr">
        <is>
          <t>Dijital para yarıya düştü. Ekran kırmızı. Sen de kırmızı.</t>
        </is>
      </c>
      <c r="K1083" s="6" t="inlineStr">
        <is>
          <t>Dijital paranın şifresini bir kâğıda yazdın. Kâğıt çamaşır makinesinde yıkandı. Servet şimdi bir cebin içinde, kurumaya bırakıldı.</t>
        </is>
      </c>
      <c r="L1083" s="6" t="inlineStr"/>
      <c r="M1083" s="5" t="inlineStr"/>
      <c r="N1083" s="5" t="inlineStr"/>
      <c r="O1083" s="6" t="inlineStr"/>
      <c r="P1083" s="6" t="inlineStr"/>
      <c r="Q1083" s="5" t="inlineStr">
        <is>
          <t>Teknoloji Merakı</t>
        </is>
      </c>
      <c r="R1083" s="5" t="inlineStr"/>
      <c r="S1083" s="5" t="inlineStr"/>
      <c r="T1083" s="5" t="inlineStr"/>
      <c r="U1083" s="5" t="inlineStr"/>
      <c r="V1083" s="5" t="inlineStr"/>
      <c r="W1083" s="5" t="inlineStr">
        <is>
          <t>borclu</t>
        </is>
      </c>
      <c r="X1083" s="5" t="inlineStr"/>
      <c r="Y1083" s="5" t="inlineStr"/>
      <c r="Z1083" s="6" t="inlineStr"/>
      <c r="AA1083" s="5" t="inlineStr"/>
      <c r="AB1083" s="5" t="inlineStr"/>
      <c r="AC1083" s="5" t="inlineStr"/>
      <c r="AD1083" s="5" t="inlineStr"/>
      <c r="AE1083" s="5" t="inlineStr"/>
      <c r="AF1083" s="5" t="inlineStr"/>
      <c r="AG1083" s="5" t="inlineStr"/>
      <c r="AH1083" s="5" t="inlineStr"/>
    </row>
    <row r="1084">
      <c r="A1084" s="5" t="inlineStr">
        <is>
          <t>b9-ikramiye</t>
        </is>
      </c>
      <c r="B1084" s="5" t="n">
        <v>5</v>
      </c>
      <c r="C1084" s="6" t="inlineStr">
        <is>
          <t>Bankada dursun</t>
        </is>
      </c>
      <c r="D1084" s="5" t="inlineStr"/>
      <c r="E1084" s="5" t="inlineStr"/>
      <c r="F1084" s="5" t="inlineStr">
        <is>
          <t>Dayanıklılık +1</t>
        </is>
      </c>
      <c r="G1084" s="6" t="inlineStr">
        <is>
          <t>Para bankada durdu. Durdukça küçüldü. Banka buna 'mevduat faizi' dedi.</t>
        </is>
      </c>
      <c r="H1084" s="6" t="inlineStr"/>
      <c r="I1084" s="6" t="inlineStr"/>
      <c r="J1084" s="6" t="inlineStr"/>
      <c r="K1084" s="6" t="inlineStr"/>
      <c r="L1084" s="6" t="inlineStr"/>
      <c r="M1084" s="5" t="inlineStr"/>
      <c r="N1084" s="5" t="inlineStr"/>
      <c r="O1084" s="6" t="inlineStr"/>
      <c r="P1084" s="6" t="inlineStr"/>
      <c r="Q1084" s="5" t="inlineStr"/>
      <c r="R1084" s="5" t="inlineStr"/>
      <c r="S1084" s="5" t="inlineStr"/>
      <c r="T1084" s="5" t="inlineStr"/>
      <c r="U1084" s="5" t="inlineStr"/>
      <c r="V1084" s="5" t="inlineStr"/>
      <c r="W1084" s="5" t="inlineStr"/>
      <c r="X1084" s="5" t="inlineStr"/>
      <c r="Y1084" s="5" t="inlineStr"/>
      <c r="Z1084" s="6" t="inlineStr"/>
      <c r="AA1084" s="5" t="inlineStr"/>
      <c r="AB1084" s="5" t="inlineStr"/>
      <c r="AC1084" s="5" t="inlineStr"/>
      <c r="AD1084" s="5" t="inlineStr"/>
      <c r="AE1084" s="5" t="inlineStr"/>
      <c r="AF1084" s="5" t="inlineStr"/>
      <c r="AG1084" s="5" t="inlineStr"/>
      <c r="AH1084" s="5" t="inlineStr"/>
    </row>
    <row r="1085">
      <c r="A1085" s="5" t="inlineStr">
        <is>
          <t>mm-son-is-gunu</t>
        </is>
      </c>
      <c r="B1085" s="5" t="n">
        <v>1</v>
      </c>
      <c r="C1085" s="6" t="inlineStr">
        <is>
          <t>Kısa bir teşekkür et</t>
        </is>
      </c>
      <c r="D1085" s="5" t="inlineStr"/>
      <c r="E1085" s="5" t="inlineStr"/>
      <c r="F1085" s="5" t="inlineStr">
        <is>
          <t>İtibar +2</t>
        </is>
      </c>
      <c r="G1085" s="6" t="inlineStr">
        <is>
          <t>'Teşekkürler' dedin ve oturdun. Kurumun en kısa veda konuşması tutanağa geçti: tek satır, ıslak imzalı.</t>
        </is>
      </c>
      <c r="H1085" s="6" t="inlineStr"/>
      <c r="I1085" s="6" t="inlineStr"/>
      <c r="J1085" s="6" t="inlineStr"/>
      <c r="K1085" s="6" t="inlineStr"/>
      <c r="L1085" s="6" t="inlineStr"/>
      <c r="M1085" s="5" t="inlineStr"/>
      <c r="N1085" s="5" t="inlineStr"/>
      <c r="O1085" s="6" t="inlineStr"/>
      <c r="P1085" s="6" t="inlineStr"/>
      <c r="Q1085" s="5" t="inlineStr"/>
      <c r="R1085" s="5" t="inlineStr"/>
      <c r="S1085" s="5" t="inlineStr"/>
      <c r="T1085" s="5" t="inlineStr"/>
      <c r="U1085" s="5" t="inlineStr">
        <is>
          <t>emekli</t>
        </is>
      </c>
      <c r="V1085" s="5" t="inlineStr"/>
      <c r="W1085" s="5" t="inlineStr"/>
      <c r="X1085" s="5" t="inlineStr"/>
      <c r="Y1085" s="5" t="inlineStr"/>
      <c r="Z1085" s="6" t="inlineStr"/>
      <c r="AA1085" s="5" t="inlineStr"/>
      <c r="AB1085" s="5" t="inlineStr"/>
      <c r="AC1085" s="5" t="inlineStr"/>
      <c r="AD1085" s="5" t="inlineStr"/>
      <c r="AE1085" s="5" t="inlineStr"/>
      <c r="AF1085" s="5" t="inlineStr"/>
      <c r="AG1085" s="5" t="inlineStr"/>
      <c r="AH1085" s="5" t="inlineStr"/>
    </row>
    <row r="1086">
      <c r="A1086" s="5" t="inlineStr">
        <is>
          <t>mm-son-is-gunu</t>
        </is>
      </c>
      <c r="B1086" s="5" t="n">
        <v>2</v>
      </c>
      <c r="C1086" s="6" t="inlineStr">
        <is>
          <t>Uzun bir veda konuşması yap</t>
        </is>
      </c>
      <c r="D1086" s="5" t="inlineStr">
        <is>
          <t>Çene</t>
        </is>
      </c>
      <c r="E1086" s="5" t="inlineStr">
        <is>
          <t>Zor</t>
        </is>
      </c>
      <c r="F1086" s="5" t="inlineStr"/>
      <c r="G1086" s="6" t="inlineStr"/>
      <c r="H1086" s="6" t="inlineStr">
        <is>
          <t>Pastanın kreması eridi ama kimse salondan çıkmadı.</t>
        </is>
      </c>
      <c r="I1086" s="6" t="inlineStr">
        <is>
          <t>Konuşman kurum bülteninde yayımlandı ve sonraki emekliler için şablon oldu.</t>
        </is>
      </c>
      <c r="J1086" s="6" t="inlineStr">
        <is>
          <t>Slayt açmaya çalıştın. Sistem çöktü. Son gününde bile.</t>
        </is>
      </c>
      <c r="K1086" s="6" t="inlineStr">
        <is>
          <t>Otuz yılın bütün müdürlerini tek tek andın. Adını unuttuğun tek müdür, karşında pastayı kesiyordu.</t>
        </is>
      </c>
      <c r="L1086" s="6" t="inlineStr"/>
      <c r="M1086" s="5" t="inlineStr"/>
      <c r="N1086" s="5" t="inlineStr"/>
      <c r="O1086" s="6" t="inlineStr"/>
      <c r="P1086" s="6" t="inlineStr"/>
      <c r="Q1086" s="5" t="inlineStr"/>
      <c r="R1086" s="5" t="inlineStr"/>
      <c r="S1086" s="5" t="inlineStr"/>
      <c r="T1086" s="5" t="inlineStr"/>
      <c r="U1086" s="5" t="inlineStr">
        <is>
          <t>emekli</t>
        </is>
      </c>
      <c r="V1086" s="5" t="inlineStr"/>
      <c r="W1086" s="5" t="inlineStr"/>
      <c r="X1086" s="5" t="inlineStr"/>
      <c r="Y1086" s="5" t="n">
        <v>2</v>
      </c>
      <c r="Z1086" s="6" t="inlineStr">
        <is>
          <t>Veda konuşmasında, 'Kısa tutacağım' dedikten sonraki kırk birinci dakikada.</t>
        </is>
      </c>
      <c r="AA1086" s="5" t="inlineStr"/>
      <c r="AB1086" s="5" t="inlineStr"/>
      <c r="AC1086" s="5" t="inlineStr"/>
      <c r="AD1086" s="5" t="inlineStr"/>
      <c r="AE1086" s="5" t="inlineStr"/>
      <c r="AF1086" s="5" t="inlineStr"/>
      <c r="AG1086" s="5" t="inlineStr"/>
      <c r="AH1086" s="5" t="inlineStr"/>
    </row>
    <row r="1087">
      <c r="A1087" s="5" t="inlineStr">
        <is>
          <t>mm-son-is-gunu</t>
        </is>
      </c>
      <c r="B1087" s="5" t="n">
        <v>3</v>
      </c>
      <c r="C1087" s="6" t="inlineStr">
        <is>
          <t>Son bir evrak imzala</t>
        </is>
      </c>
      <c r="D1087" s="5" t="inlineStr">
        <is>
          <t>Dayanıklılık</t>
        </is>
      </c>
      <c r="E1087" s="5" t="inlineStr">
        <is>
          <t>Kolay</t>
        </is>
      </c>
      <c r="F1087" s="5" t="inlineStr"/>
      <c r="G1087" s="6" t="inlineStr"/>
      <c r="H1087" s="6" t="inlineStr">
        <is>
          <t>Son imza, ilk imzayla aynı: biraz yamuk, çok tutarlı.</t>
        </is>
      </c>
      <c r="I1087" s="6" t="inlineStr">
        <is>
          <t>Son imzan ilk günkünden bir milim bile sapmadı. Kalem de seninle birlikte emekli oldu.</t>
        </is>
      </c>
      <c r="J1087" s="6" t="inlineStr">
        <is>
          <t>Son evrak eksik fotokopiliydi. İade ettin. Otuz yıllık refleks son dakikada da çalıştı.</t>
        </is>
      </c>
      <c r="K1087" s="6" t="inlineStr">
        <is>
          <t>Kendi emeklilik dilekçenin ikinci nüshasını imzalamışsın. Artık iki kez emeklisin; ikincisi için ikramiye yok.</t>
        </is>
      </c>
      <c r="L1087" s="6" t="inlineStr"/>
      <c r="M1087" s="5" t="inlineStr"/>
      <c r="N1087" s="5" t="inlineStr"/>
      <c r="O1087" s="6" t="inlineStr"/>
      <c r="P1087" s="6" t="inlineStr"/>
      <c r="Q1087" s="5" t="inlineStr"/>
      <c r="R1087" s="5" t="inlineStr"/>
      <c r="S1087" s="5" t="inlineStr"/>
      <c r="T1087" s="5" t="inlineStr"/>
      <c r="U1087" s="5" t="inlineStr">
        <is>
          <t>emekli</t>
        </is>
      </c>
      <c r="V1087" s="5" t="inlineStr"/>
      <c r="W1087" s="5" t="inlineStr"/>
      <c r="X1087" s="5" t="inlineStr"/>
      <c r="Y1087" s="5" t="inlineStr"/>
      <c r="Z1087" s="6" t="inlineStr"/>
      <c r="AA1087" s="5" t="inlineStr"/>
      <c r="AB1087" s="5" t="inlineStr"/>
      <c r="AC1087" s="5" t="inlineStr"/>
      <c r="AD1087" s="5" t="inlineStr"/>
      <c r="AE1087" s="5" t="inlineStr"/>
      <c r="AF1087" s="5" t="inlineStr"/>
      <c r="AG1087" s="5" t="inlineStr"/>
      <c r="AH1087" s="5" t="inlineStr"/>
    </row>
    <row r="1088">
      <c r="A1088" s="5" t="inlineStr">
        <is>
          <t>mm-son-is-gunu</t>
        </is>
      </c>
      <c r="B1088" s="5" t="n">
        <v>4</v>
      </c>
      <c r="C1088" s="6" t="inlineStr">
        <is>
          <t>Müdüre son sözünü söyle</t>
        </is>
      </c>
      <c r="D1088" s="5" t="inlineStr">
        <is>
          <t>Cesaret</t>
        </is>
      </c>
      <c r="E1088" s="5" t="inlineStr">
        <is>
          <t>Orta</t>
        </is>
      </c>
      <c r="F1088" s="5" t="inlineStr"/>
      <c r="G1088" s="6" t="inlineStr"/>
      <c r="H1088" s="6" t="inlineStr">
        <is>
          <t>Otuz yılı tek cümlede söyledin. Müdür kızardı, güldü, sonra sana pastanın en büyük dilimini verdi.</t>
        </is>
      </c>
      <c r="I1088" s="6" t="inlineStr">
        <is>
          <t>Sen söyledin, o da söyledi. Sarıldınız. Kurum panosundaki fotoğrafın altında tek kelime: 'Sonunda.'</t>
        </is>
      </c>
      <c r="J1088" s="6" t="inlineStr">
        <is>
          <t>Müdür o gün izinliymiş. Cümleni yardımcısına söyledin; o da not aldı.</t>
        </is>
      </c>
      <c r="K1088" s="6" t="inlineStr">
        <is>
          <t>Müdür gülümsedi: 'Emeklilik işlemlerinin imzası bende.' İkramiyen üç hafta gecikti.</t>
        </is>
      </c>
      <c r="L1088" s="6" t="inlineStr"/>
      <c r="M1088" s="5" t="inlineStr"/>
      <c r="N1088" s="5" t="inlineStr"/>
      <c r="O1088" s="6" t="inlineStr"/>
      <c r="P1088" s="6" t="inlineStr"/>
      <c r="Q1088" s="5" t="inlineStr"/>
      <c r="R1088" s="5" t="inlineStr">
        <is>
          <t>memur-mudur-dusmani</t>
        </is>
      </c>
      <c r="S1088" s="5" t="inlineStr"/>
      <c r="T1088" s="5" t="inlineStr"/>
      <c r="U1088" s="5" t="inlineStr">
        <is>
          <t>emekli</t>
        </is>
      </c>
      <c r="V1088" s="5" t="inlineStr"/>
      <c r="W1088" s="5" t="inlineStr"/>
      <c r="X1088" s="5" t="inlineStr"/>
      <c r="Y1088" s="5" t="inlineStr"/>
      <c r="Z1088" s="6" t="inlineStr"/>
      <c r="AA1088" s="5" t="inlineStr"/>
      <c r="AB1088" s="5" t="inlineStr"/>
      <c r="AC1088" s="5" t="inlineStr"/>
      <c r="AD1088" s="5" t="inlineStr"/>
      <c r="AE1088" s="5" t="inlineStr"/>
      <c r="AF1088" s="5" t="inlineStr"/>
      <c r="AG1088" s="5" t="inlineStr"/>
      <c r="AH1088" s="5" t="inlineStr"/>
    </row>
    <row r="1089">
      <c r="A1089" s="5" t="inlineStr">
        <is>
          <t>b9-es-7-24</t>
        </is>
      </c>
      <c r="B1089" s="5" t="n">
        <v>1</v>
      </c>
      <c r="C1089" s="6" t="inlineStr">
        <is>
          <t>Kumandayı teslim et</t>
        </is>
      </c>
      <c r="D1089" s="5" t="inlineStr"/>
      <c r="E1089" s="5" t="inlineStr"/>
      <c r="F1089" s="5" t="inlineStr">
        <is>
          <t>İtibar +1, Dayanıklılık +1</t>
        </is>
      </c>
      <c r="G1089" s="6" t="inlineStr">
        <is>
          <t>Kumandayı teslim ettin. Akşam dizisini ilk bölümünden izlemeye başladınız. Bölüm sayısı dört yüz on iki.</t>
        </is>
      </c>
      <c r="H1089" s="6" t="inlineStr"/>
      <c r="I1089" s="6" t="inlineStr"/>
      <c r="J1089" s="6" t="inlineStr"/>
      <c r="K1089" s="6" t="inlineStr"/>
      <c r="L1089" s="6" t="inlineStr"/>
      <c r="M1089" s="5" t="inlineStr"/>
      <c r="N1089" s="5" t="inlineStr"/>
      <c r="O1089" s="6" t="inlineStr"/>
      <c r="P1089" s="6" t="inlineStr"/>
      <c r="Q1089" s="5" t="inlineStr"/>
      <c r="R1089" s="5" t="inlineStr"/>
      <c r="S1089" s="5" t="inlineStr"/>
      <c r="T1089" s="5" t="inlineStr"/>
      <c r="U1089" s="5" t="inlineStr"/>
      <c r="V1089" s="5" t="inlineStr"/>
      <c r="W1089" s="5" t="inlineStr"/>
      <c r="X1089" s="5" t="inlineStr"/>
      <c r="Y1089" s="5" t="inlineStr"/>
      <c r="Z1089" s="6" t="inlineStr"/>
      <c r="AA1089" s="5" t="inlineStr"/>
      <c r="AB1089" s="5" t="inlineStr"/>
      <c r="AC1089" s="5" t="inlineStr"/>
      <c r="AD1089" s="5" t="inlineStr"/>
      <c r="AE1089" s="5" t="inlineStr"/>
      <c r="AF1089" s="5" t="inlineStr"/>
      <c r="AG1089" s="5" t="inlineStr"/>
      <c r="AH1089" s="5" t="inlineStr"/>
    </row>
    <row r="1090">
      <c r="A1090" s="5" t="inlineStr">
        <is>
          <t>b9-es-7-24</t>
        </is>
      </c>
      <c r="B1090" s="5" t="n">
        <v>2</v>
      </c>
      <c r="C1090" s="6" t="inlineStr">
        <is>
          <t>Oda paylaşım planı yap</t>
        </is>
      </c>
      <c r="D1090" s="5" t="inlineStr">
        <is>
          <t>Akıl</t>
        </is>
      </c>
      <c r="E1090" s="5" t="inlineStr">
        <is>
          <t>Orta</t>
        </is>
      </c>
      <c r="F1090" s="5" t="inlineStr"/>
      <c r="G1090" s="6" t="inlineStr"/>
      <c r="H1090" s="6" t="inlineStr">
        <is>
          <t>Salon sabah senin, öğleden sonra eşinin. Plan çalıştı. Mutfak ise tarafsız bölge ilan edildi.</t>
        </is>
      </c>
      <c r="I1090" s="6" t="inlineStr">
        <is>
          <t>Planı öyle iyi yaptın ki eşin sana bir hobi odası ayırdı. Orada ne yaptığını bilmiyorsun ama odan var.</t>
        </is>
      </c>
      <c r="J1090" s="6" t="inlineStr">
        <is>
          <t>Planı yaptın, eşin planı okumadı. Kumanda yine eşinde. Plan buzdolabının kapağında sergileniyor.</t>
        </is>
      </c>
      <c r="K1090" s="6" t="inlineStr">
        <is>
          <t>Planı yaptın; eşin bir karşı plan yazdı. Evde iki paralel yönetim var, ortak nokta sadece çay.</t>
        </is>
      </c>
      <c r="L1090" s="6" t="inlineStr"/>
      <c r="M1090" s="5" t="inlineStr"/>
      <c r="N1090" s="5" t="inlineStr"/>
      <c r="O1090" s="6" t="inlineStr"/>
      <c r="P1090" s="6" t="inlineStr"/>
      <c r="Q1090" s="5" t="inlineStr">
        <is>
          <t>Organizatör</t>
        </is>
      </c>
      <c r="R1090" s="5" t="inlineStr"/>
      <c r="S1090" s="5" t="inlineStr"/>
      <c r="T1090" s="5" t="inlineStr"/>
      <c r="U1090" s="5" t="inlineStr"/>
      <c r="V1090" s="5" t="inlineStr"/>
      <c r="W1090" s="5" t="inlineStr"/>
      <c r="X1090" s="5" t="inlineStr"/>
      <c r="Y1090" s="5" t="inlineStr"/>
      <c r="Z1090" s="6" t="inlineStr"/>
      <c r="AA1090" s="5" t="inlineStr"/>
      <c r="AB1090" s="5" t="inlineStr"/>
      <c r="AC1090" s="5" t="inlineStr"/>
      <c r="AD1090" s="5" t="inlineStr"/>
      <c r="AE1090" s="5" t="inlineStr"/>
      <c r="AF1090" s="5" t="inlineStr"/>
      <c r="AG1090" s="5" t="inlineStr"/>
      <c r="AH1090" s="5" t="inlineStr"/>
    </row>
    <row r="1091">
      <c r="A1091" s="5" t="inlineStr">
        <is>
          <t>b9-es-7-24</t>
        </is>
      </c>
      <c r="B1091" s="5" t="n">
        <v>3</v>
      </c>
      <c r="C1091" s="6" t="inlineStr">
        <is>
          <t>'Bugün dışarı çıkıyorum' de</t>
        </is>
      </c>
      <c r="D1091" s="5" t="inlineStr">
        <is>
          <t>Sosyal Radar</t>
        </is>
      </c>
      <c r="E1091" s="5" t="inlineStr">
        <is>
          <t>Kolay</t>
        </is>
      </c>
      <c r="F1091" s="5" t="inlineStr"/>
      <c r="G1091" s="6" t="inlineStr"/>
      <c r="H1091" s="6" t="inlineStr">
        <is>
          <t>Dışarı çıktın. Eve döndüğünde eşin sana sarıldı. Sarılmanın anlamı: 'Yarın da çık.'</t>
        </is>
      </c>
      <c r="I1091" s="6" t="inlineStr">
        <is>
          <t>Dışarı çıktın, yürüyüş grubuna katıldın. Eşin de başka bir yürüyüş grubuna katıldı. Evlilik kurtarıldı.</t>
        </is>
      </c>
      <c r="J1091" s="6" t="inlineStr">
        <is>
          <t>Dışarı çıktın. Nereye gideceğini düşünmemiştin. Parkta iki saat oturup eve döndün.</t>
        </is>
      </c>
      <c r="K1091" s="6" t="inlineStr">
        <is>
          <t>Dışarı çıktın; eşin de peşinden çıktı. Aynı parkta, aynı bankta, yine yan yana.</t>
        </is>
      </c>
      <c r="L1091" s="6" t="inlineStr"/>
      <c r="M1091" s="5" t="inlineStr"/>
      <c r="N1091" s="5" t="inlineStr"/>
      <c r="O1091" s="6" t="inlineStr"/>
      <c r="P1091" s="6" t="inlineStr"/>
      <c r="Q1091" s="5" t="inlineStr"/>
      <c r="R1091" s="5" t="inlineStr"/>
      <c r="S1091" s="5" t="inlineStr">
        <is>
          <t>Sosyal Radar</t>
        </is>
      </c>
      <c r="T1091" s="5" t="inlineStr"/>
      <c r="U1091" s="5" t="inlineStr"/>
      <c r="V1091" s="5" t="inlineStr"/>
      <c r="W1091" s="5" t="inlineStr"/>
      <c r="X1091" s="5" t="inlineStr"/>
      <c r="Y1091" s="5" t="inlineStr"/>
      <c r="Z1091" s="6" t="inlineStr"/>
      <c r="AA1091" s="5" t="inlineStr"/>
      <c r="AB1091" s="5" t="inlineStr"/>
      <c r="AC1091" s="5" t="inlineStr"/>
      <c r="AD1091" s="5" t="inlineStr"/>
      <c r="AE1091" s="5" t="inlineStr"/>
      <c r="AF1091" s="5" t="inlineStr"/>
      <c r="AG1091" s="5" t="inlineStr"/>
      <c r="AH1091" s="5" t="inlineStr"/>
    </row>
    <row r="1092">
      <c r="A1092" s="5" t="inlineStr">
        <is>
          <t>b9-yalniz-emeklilik</t>
        </is>
      </c>
      <c r="B1092" s="5" t="n">
        <v>1</v>
      </c>
      <c r="C1092" s="6" t="inlineStr">
        <is>
          <t>Bir kedi sahiplen</t>
        </is>
      </c>
      <c r="D1092" s="5" t="inlineStr"/>
      <c r="E1092" s="5" t="inlineStr"/>
      <c r="F1092" s="5" t="inlineStr">
        <is>
          <t>İtibar +2</t>
        </is>
      </c>
      <c r="G1092" s="6" t="inlineStr">
        <is>
          <t>Kediyi sahiplendin. Artık evde biri var. O kişi senin koltuğunda oturuyor.</t>
        </is>
      </c>
      <c r="H1092" s="6" t="inlineStr"/>
      <c r="I1092" s="6" t="inlineStr"/>
      <c r="J1092" s="6" t="inlineStr"/>
      <c r="K1092" s="6" t="inlineStr"/>
      <c r="L1092" s="6" t="inlineStr"/>
      <c r="M1092" s="5" t="inlineStr"/>
      <c r="N1092" s="5" t="inlineStr"/>
      <c r="O1092" s="6" t="inlineStr"/>
      <c r="P1092" s="6" t="inlineStr"/>
      <c r="Q1092" s="5" t="inlineStr"/>
      <c r="R1092" s="5" t="inlineStr"/>
      <c r="S1092" s="5" t="inlineStr"/>
      <c r="T1092" s="5" t="inlineStr"/>
      <c r="U1092" s="5" t="inlineStr"/>
      <c r="V1092" s="5" t="inlineStr"/>
      <c r="W1092" s="5" t="inlineStr"/>
      <c r="X1092" s="5" t="inlineStr"/>
      <c r="Y1092" s="5" t="inlineStr"/>
      <c r="Z1092" s="6" t="inlineStr"/>
      <c r="AA1092" s="5" t="inlineStr"/>
      <c r="AB1092" s="5" t="inlineStr"/>
      <c r="AC1092" s="5" t="inlineStr"/>
      <c r="AD1092" s="5" t="inlineStr"/>
      <c r="AE1092" s="5" t="inlineStr"/>
      <c r="AF1092" s="5" t="inlineStr"/>
      <c r="AG1092" s="5" t="inlineStr"/>
      <c r="AH1092" s="5" t="inlineStr"/>
    </row>
    <row r="1093">
      <c r="A1093" s="5" t="inlineStr">
        <is>
          <t>b9-yalniz-emeklilik</t>
        </is>
      </c>
      <c r="B1093" s="5" t="n">
        <v>2</v>
      </c>
      <c r="C1093" s="6" t="inlineStr">
        <is>
          <t>Karşı komşuya el salla</t>
        </is>
      </c>
      <c r="D1093" s="5" t="inlineStr">
        <is>
          <t>Cesaret</t>
        </is>
      </c>
      <c r="E1093" s="5" t="inlineStr">
        <is>
          <t>Orta</t>
        </is>
      </c>
      <c r="F1093" s="5" t="inlineStr"/>
      <c r="G1093" s="6" t="inlineStr"/>
      <c r="H1093" s="6" t="inlineStr">
        <is>
          <t>El salladın, o da salladı. Ertesi gün kapında bir tabak börek vardı.</t>
        </is>
      </c>
      <c r="I1093" s="6" t="inlineStr">
        <is>
          <t>El salladın; bir hafta sonra birlikte pazara gidiyordunuz. Pazar arabalarınızı birbirine bağladınız.</t>
        </is>
      </c>
      <c r="J1093" s="6" t="inlineStr">
        <is>
          <t>El salladın, perde kapandı. Belki görmedi. Belki gördü.</t>
        </is>
      </c>
      <c r="K1093" s="6" t="inlineStr">
        <is>
          <t>El salladın. Karşı komşu seni çağırıyor sandı ve itfaiyeyi aradı.</t>
        </is>
      </c>
      <c r="L1093" s="6" t="inlineStr"/>
      <c r="M1093" s="5" t="inlineStr"/>
      <c r="N1093" s="5" t="inlineStr"/>
      <c r="O1093" s="6" t="inlineStr"/>
      <c r="P1093" s="6" t="inlineStr"/>
      <c r="Q1093" s="5" t="inlineStr"/>
      <c r="R1093" s="5" t="inlineStr"/>
      <c r="S1093" s="5" t="inlineStr"/>
      <c r="T1093" s="5" t="inlineStr"/>
      <c r="U1093" s="5" t="inlineStr"/>
      <c r="V1093" s="5" t="inlineStr"/>
      <c r="W1093" s="5" t="inlineStr"/>
      <c r="X1093" s="5" t="inlineStr"/>
      <c r="Y1093" s="5" t="inlineStr"/>
      <c r="Z1093" s="6" t="inlineStr"/>
      <c r="AA1093" s="5" t="inlineStr"/>
      <c r="AB1093" s="5" t="inlineStr"/>
      <c r="AC1093" s="5" t="inlineStr"/>
      <c r="AD1093" s="5" t="inlineStr"/>
      <c r="AE1093" s="5" t="inlineStr"/>
      <c r="AF1093" s="5" t="inlineStr"/>
      <c r="AG1093" s="5" t="inlineStr"/>
      <c r="AH1093" s="5" t="inlineStr"/>
    </row>
    <row r="1094">
      <c r="A1094" s="5" t="inlineStr">
        <is>
          <t>b9-yalniz-emeklilik</t>
        </is>
      </c>
      <c r="B1094" s="5" t="n">
        <v>3</v>
      </c>
      <c r="C1094" s="6" t="inlineStr">
        <is>
          <t>Hobi kursuna yazıl</t>
        </is>
      </c>
      <c r="D1094" s="5" t="inlineStr">
        <is>
          <t>Akıl</t>
        </is>
      </c>
      <c r="E1094" s="5" t="inlineStr">
        <is>
          <t>Kolay</t>
        </is>
      </c>
      <c r="F1094" s="5" t="inlineStr"/>
      <c r="G1094" s="6" t="inlineStr"/>
      <c r="H1094" s="6" t="inlineStr">
        <is>
          <t>Seramik kursuna yazıldın. İlk eserin bir kâse. Kâse mi, bilinmiyor.</t>
        </is>
      </c>
      <c r="I1094" s="6" t="inlineStr">
        <is>
          <t>Kursun en yetenekli öğrencisi oldun. Öğretmen sana 'Neden bu kadar geç başladınız?' diye sordu.</t>
        </is>
      </c>
      <c r="J1094" s="6" t="inlineStr">
        <is>
          <t>Kursa yazıldın, ilk derste kimse gelmedi. Kurs iptal oldu; ücret iade için dört form.</t>
        </is>
      </c>
      <c r="K1094" s="6" t="inlineStr">
        <is>
          <t>Kursa yazıldın. Yanlış kurs. Şu an bir kick boks salonundasın ve eğitmen çok heyecanlı.</t>
        </is>
      </c>
      <c r="L1094" s="6" t="inlineStr"/>
      <c r="M1094" s="5" t="inlineStr"/>
      <c r="N1094" s="5" t="inlineStr"/>
      <c r="O1094" s="6" t="inlineStr"/>
      <c r="P1094" s="6" t="inlineStr"/>
      <c r="Q1094" s="5" t="inlineStr"/>
      <c r="R1094" s="5" t="inlineStr"/>
      <c r="S1094" s="5" t="inlineStr"/>
      <c r="T1094" s="5" t="inlineStr"/>
      <c r="U1094" s="5" t="inlineStr"/>
      <c r="V1094" s="5" t="inlineStr"/>
      <c r="W1094" s="5" t="inlineStr"/>
      <c r="X1094" s="5" t="inlineStr"/>
      <c r="Y1094" s="5" t="inlineStr"/>
      <c r="Z1094" s="6" t="inlineStr"/>
      <c r="AA1094" s="5" t="inlineStr"/>
      <c r="AB1094" s="5" t="inlineStr"/>
      <c r="AC1094" s="5" t="inlineStr"/>
      <c r="AD1094" s="5" t="inlineStr"/>
      <c r="AE1094" s="5" t="inlineStr"/>
      <c r="AF1094" s="5" t="inlineStr"/>
      <c r="AG1094" s="5" t="inlineStr"/>
      <c r="AH1094" s="5" t="inlineStr"/>
    </row>
    <row r="1095">
      <c r="A1095" s="5" t="inlineStr">
        <is>
          <t>mb-veda-plaketi</t>
        </is>
      </c>
      <c r="B1095" s="5" t="n">
        <v>1</v>
      </c>
      <c r="C1095" s="6" t="inlineStr">
        <is>
          <t>Teşekkür et, gülümse</t>
        </is>
      </c>
      <c r="D1095" s="5" t="inlineStr"/>
      <c r="E1095" s="5" t="inlineStr"/>
      <c r="F1095" s="5" t="inlineStr">
        <is>
          <t>İtibar +1</t>
        </is>
      </c>
      <c r="G1095" s="6" t="inlineStr">
        <is>
          <t>Plaketi aldın, yanlış harfi parmağınla kapattın. Fotoğraf kusursuz çıktı.</t>
        </is>
      </c>
      <c r="H1095" s="6" t="inlineStr"/>
      <c r="I1095" s="6" t="inlineStr"/>
      <c r="J1095" s="6" t="inlineStr"/>
      <c r="K1095" s="6" t="inlineStr"/>
      <c r="L1095" s="6" t="inlineStr"/>
      <c r="M1095" s="5" t="inlineStr"/>
      <c r="N1095" s="5" t="inlineStr"/>
      <c r="O1095" s="6" t="inlineStr"/>
      <c r="P1095" s="6" t="inlineStr"/>
      <c r="Q1095" s="5" t="inlineStr"/>
      <c r="R1095" s="5" t="inlineStr"/>
      <c r="S1095" s="5" t="inlineStr"/>
      <c r="T1095" s="5" t="inlineStr"/>
      <c r="U1095" s="5" t="inlineStr">
        <is>
          <t>emekli</t>
        </is>
      </c>
      <c r="V1095" s="5" t="inlineStr"/>
      <c r="W1095" s="5" t="inlineStr"/>
      <c r="X1095" s="5" t="inlineStr"/>
      <c r="Y1095" s="5" t="inlineStr"/>
      <c r="Z1095" s="6" t="inlineStr"/>
      <c r="AA1095" s="5" t="inlineStr"/>
      <c r="AB1095" s="5" t="inlineStr"/>
      <c r="AC1095" s="5" t="inlineStr"/>
      <c r="AD1095" s="5" t="inlineStr"/>
      <c r="AE1095" s="5" t="inlineStr"/>
      <c r="AF1095" s="5" t="inlineStr"/>
      <c r="AG1095" s="5" t="inlineStr"/>
      <c r="AH1095" s="5" t="inlineStr"/>
    </row>
    <row r="1096">
      <c r="A1096" s="5" t="inlineStr">
        <is>
          <t>mb-veda-plaketi</t>
        </is>
      </c>
      <c r="B1096" s="5" t="n">
        <v>2</v>
      </c>
      <c r="C1096" s="6" t="inlineStr">
        <is>
          <t>Veda e-postasını bütün şirkete yaz</t>
        </is>
      </c>
      <c r="D1096" s="5" t="inlineStr">
        <is>
          <t>Pişkinlik</t>
        </is>
      </c>
      <c r="E1096" s="5" t="inlineStr">
        <is>
          <t>Orta</t>
        </is>
      </c>
      <c r="F1096" s="5" t="inlineStr"/>
      <c r="G1096" s="6" t="inlineStr"/>
      <c r="H1096" s="6" t="inlineStr">
        <is>
          <t>Veda e-postan duygusal ve kısaydı. Tarihte ilk kez biri e-postayı sonuna kadar okudu.</t>
        </is>
      </c>
      <c r="I1096" s="6" t="inlineStr">
        <is>
          <t>E-postan şirkette elden ele dolaştı. İnsan kaynakları şablon olarak kaydetti.</t>
        </is>
      </c>
      <c r="J1096" s="6" t="inlineStr">
        <is>
          <t>E-postaya kırk kişi 'Seni çok özleyeceğiz' yazdı. Otuz dokuzunu tanımıyorsun.</t>
        </is>
      </c>
      <c r="K1096" s="6" t="inlineStr">
        <is>
          <t>Herkes 'Herkese Yanıt' ile karşılık verdi. Emekliliğinin ilk haftası gelen kutunda geçti.</t>
        </is>
      </c>
      <c r="L1096" s="6" t="inlineStr"/>
      <c r="M1096" s="5" t="inlineStr"/>
      <c r="N1096" s="5" t="inlineStr"/>
      <c r="O1096" s="6" t="inlineStr"/>
      <c r="P1096" s="6" t="inlineStr"/>
      <c r="Q1096" s="5" t="inlineStr"/>
      <c r="R1096" s="5" t="inlineStr"/>
      <c r="S1096" s="5" t="inlineStr"/>
      <c r="T1096" s="5" t="inlineStr"/>
      <c r="U1096" s="5" t="inlineStr">
        <is>
          <t>emekli</t>
        </is>
      </c>
      <c r="V1096" s="5" t="inlineStr"/>
      <c r="W1096" s="5" t="inlineStr"/>
      <c r="X1096" s="5" t="inlineStr"/>
      <c r="Y1096" s="5" t="inlineStr"/>
      <c r="Z1096" s="6" t="inlineStr"/>
      <c r="AA1096" s="5" t="inlineStr"/>
      <c r="AB1096" s="5" t="inlineStr"/>
      <c r="AC1096" s="5" t="inlineStr"/>
      <c r="AD1096" s="5" t="inlineStr"/>
      <c r="AE1096" s="5" t="inlineStr"/>
      <c r="AF1096" s="5" t="inlineStr"/>
      <c r="AG1096" s="5" t="inlineStr"/>
      <c r="AH1096" s="5" t="inlineStr"/>
    </row>
    <row r="1097">
      <c r="A1097" s="5" t="inlineStr">
        <is>
          <t>mb-veda-plaketi</t>
        </is>
      </c>
      <c r="B1097" s="5" t="n">
        <v>3</v>
      </c>
      <c r="C1097" s="6" t="inlineStr">
        <is>
          <t>Eski ekibini topla</t>
        </is>
      </c>
      <c r="D1097" s="5" t="inlineStr">
        <is>
          <t>Sosyal Radar</t>
        </is>
      </c>
      <c r="E1097" s="5" t="inlineStr">
        <is>
          <t>Kolay</t>
        </is>
      </c>
      <c r="F1097" s="5" t="inlineStr"/>
      <c r="G1097" s="6" t="inlineStr"/>
      <c r="H1097" s="6" t="inlineStr">
        <is>
          <t>Yönettiğin herkes geldi. Pasta yetmedi. İyi bir işaret.</t>
        </is>
      </c>
      <c r="I1097" s="6" t="inlineStr">
        <is>
          <t>Eski ekibin sana kendi plaketini yaptırdı. Adın doğru yazılmış.</t>
        </is>
      </c>
      <c r="J1097" s="6" t="inlineStr">
        <is>
          <t>Geldiler; yarısı hâlâ senin onayını bekleyen izin talepleriyle.</t>
        </is>
      </c>
      <c r="K1097" s="6" t="inlineStr">
        <is>
          <t>Ekibini topladın; parti bir 'kısa görüşmeye' dönüştü. Terfi isteyen oldu.</t>
        </is>
      </c>
      <c r="L1097" s="6" t="inlineStr"/>
      <c r="M1097" s="5" t="inlineStr"/>
      <c r="N1097" s="5" t="inlineStr"/>
      <c r="O1097" s="6" t="inlineStr"/>
      <c r="P1097" s="6" t="inlineStr"/>
      <c r="Q1097" s="5" t="inlineStr"/>
      <c r="R1097" s="5" t="inlineStr">
        <is>
          <t>beyazyaka-terfi-aldi</t>
        </is>
      </c>
      <c r="S1097" s="5" t="inlineStr"/>
      <c r="T1097" s="5" t="inlineStr"/>
      <c r="U1097" s="5" t="inlineStr">
        <is>
          <t>emekli</t>
        </is>
      </c>
      <c r="V1097" s="5" t="inlineStr"/>
      <c r="W1097" s="5" t="inlineStr"/>
      <c r="X1097" s="5" t="inlineStr"/>
      <c r="Y1097" s="5" t="inlineStr"/>
      <c r="Z1097" s="6" t="inlineStr"/>
      <c r="AA1097" s="5" t="inlineStr"/>
      <c r="AB1097" s="5" t="inlineStr"/>
      <c r="AC1097" s="5" t="inlineStr"/>
      <c r="AD1097" s="5" t="inlineStr"/>
      <c r="AE1097" s="5" t="inlineStr"/>
      <c r="AF1097" s="5" t="inlineStr"/>
      <c r="AG1097" s="5" t="inlineStr"/>
      <c r="AH1097" s="5" t="inlineStr"/>
    </row>
    <row r="1098">
      <c r="A1098" s="5" t="inlineStr">
        <is>
          <t>me-dukkani-devret</t>
        </is>
      </c>
      <c r="B1098" s="5" t="n">
        <v>1</v>
      </c>
      <c r="C1098" s="6" t="inlineStr">
        <is>
          <t>Çırağa devret</t>
        </is>
      </c>
      <c r="D1098" s="5" t="inlineStr"/>
      <c r="E1098" s="5" t="inlineStr"/>
      <c r="F1098" s="5" t="inlineStr">
        <is>
          <t>İtibar +2, Sosyal Radar +1</t>
        </is>
      </c>
      <c r="G1098" s="6" t="inlineStr">
        <is>
          <t>Anahtarı çırağa verdin. Tabela değişmedi; altına küçük harflerle 'Ustasından' yazıldı.</t>
        </is>
      </c>
      <c r="H1098" s="6" t="inlineStr"/>
      <c r="I1098" s="6" t="inlineStr"/>
      <c r="J1098" s="6" t="inlineStr"/>
      <c r="K1098" s="6" t="inlineStr"/>
      <c r="L1098" s="6" t="inlineStr"/>
      <c r="M1098" s="5" t="inlineStr"/>
      <c r="N1098" s="5" t="inlineStr"/>
      <c r="O1098" s="6" t="inlineStr"/>
      <c r="P1098" s="6" t="inlineStr"/>
      <c r="Q1098" s="5" t="inlineStr"/>
      <c r="R1098" s="5" t="inlineStr">
        <is>
          <t>esnaf-cirak</t>
        </is>
      </c>
      <c r="S1098" s="5" t="inlineStr"/>
      <c r="T1098" s="5" t="inlineStr"/>
      <c r="U1098" s="5" t="inlineStr"/>
      <c r="V1098" s="5" t="inlineStr"/>
      <c r="W1098" s="5" t="inlineStr"/>
      <c r="X1098" s="5" t="inlineStr"/>
      <c r="Y1098" s="5" t="inlineStr"/>
      <c r="Z1098" s="6" t="inlineStr"/>
      <c r="AA1098" s="5" t="inlineStr"/>
      <c r="AB1098" s="5" t="inlineStr"/>
      <c r="AC1098" s="5" t="inlineStr"/>
      <c r="AD1098" s="5" t="inlineStr"/>
      <c r="AE1098" s="5" t="inlineStr"/>
      <c r="AF1098" s="5" t="inlineStr"/>
      <c r="AG1098" s="5" t="inlineStr"/>
      <c r="AH1098" s="5" t="inlineStr"/>
    </row>
    <row r="1099">
      <c r="A1099" s="5" t="inlineStr">
        <is>
          <t>me-dukkani-devret</t>
        </is>
      </c>
      <c r="B1099" s="5" t="n">
        <v>2</v>
      </c>
      <c r="C1099" s="6" t="inlineStr">
        <is>
          <t>Devir bedelinde pazarlık et</t>
        </is>
      </c>
      <c r="D1099" s="5" t="inlineStr">
        <is>
          <t>Çene</t>
        </is>
      </c>
      <c r="E1099" s="5" t="inlineStr">
        <is>
          <t>Orta</t>
        </is>
      </c>
      <c r="F1099" s="5" t="inlineStr"/>
      <c r="G1099" s="6" t="inlineStr"/>
      <c r="H1099" s="6" t="inlineStr">
        <is>
          <t>İyi bir bedel aldın. Emeklilik bir ay erken başladı; kafanda.</t>
        </is>
      </c>
      <c r="I1099" s="6" t="inlineStr">
        <is>
          <t>Talipliler birbirini geçti. Dükkânı açık artırmaya çevirmeden en yükseğe verdin.</t>
        </is>
      </c>
      <c r="J1099" s="6" t="inlineStr">
        <is>
          <t>Israr ettin, talipli vazgeçti. Tabela camda bir yıl daha sarardı.</t>
        </is>
      </c>
      <c r="K1099" s="6" t="inlineStr">
        <is>
          <t>Yeni sahip seni 'danışman' olarak tuttu. Maaşsız, her sabah 08.00'de.</t>
        </is>
      </c>
      <c r="L1099" s="6" t="inlineStr"/>
      <c r="M1099" s="5" t="inlineStr"/>
      <c r="N1099" s="5" t="inlineStr"/>
      <c r="O1099" s="6" t="inlineStr"/>
      <c r="P1099" s="6" t="inlineStr"/>
      <c r="Q1099" s="5" t="inlineStr"/>
      <c r="R1099" s="5" t="inlineStr"/>
      <c r="S1099" s="5" t="inlineStr"/>
      <c r="T1099" s="5" t="inlineStr"/>
      <c r="U1099" s="5" t="inlineStr"/>
      <c r="V1099" s="5" t="inlineStr"/>
      <c r="W1099" s="5" t="inlineStr"/>
      <c r="X1099" s="5" t="inlineStr"/>
      <c r="Y1099" s="5" t="inlineStr"/>
      <c r="Z1099" s="6" t="inlineStr"/>
      <c r="AA1099" s="5" t="inlineStr"/>
      <c r="AB1099" s="5" t="inlineStr"/>
      <c r="AC1099" s="5" t="inlineStr"/>
      <c r="AD1099" s="5" t="inlineStr"/>
      <c r="AE1099" s="5" t="inlineStr"/>
      <c r="AF1099" s="5" t="inlineStr"/>
      <c r="AG1099" s="5" t="inlineStr"/>
      <c r="AH1099" s="5" t="inlineStr"/>
    </row>
    <row r="1100">
      <c r="A1100" s="5" t="inlineStr">
        <is>
          <t>me-dukkani-devret</t>
        </is>
      </c>
      <c r="B1100" s="5" t="n">
        <v>3</v>
      </c>
      <c r="C1100" s="6" t="inlineStr">
        <is>
          <t>Karşı dükkâna sat</t>
        </is>
      </c>
      <c r="D1100" s="5" t="inlineStr">
        <is>
          <t>Pişkinlik</t>
        </is>
      </c>
      <c r="E1100" s="5" t="inlineStr">
        <is>
          <t>Zor</t>
        </is>
      </c>
      <c r="F1100" s="5" t="inlineStr"/>
      <c r="G1100" s="6" t="inlineStr"/>
      <c r="H1100" s="6" t="inlineStr">
        <is>
          <t>Otuz yıl savaştığın dükkân seni satın aldı. Sokakta artık tek dükkân var; iki kepenkli.</t>
        </is>
      </c>
      <c r="I1100" s="6" t="inlineStr">
        <is>
          <t>Yüksek bedel ödediler ve kendi tabelalarını seninkiyle değiştirdiler. Savaşı kaybederek kazandın.</t>
        </is>
      </c>
      <c r="J1100" s="6" t="inlineStr">
        <is>
          <t>'Biz de devrediyoruz' dediler. Sokakta karşılıklı iki 'Devren kiralık' tabelası.</t>
        </is>
      </c>
      <c r="K1100" s="6" t="inlineStr">
        <is>
          <t>Sattın. Ertesi gün senin eski fiyatlarınla açtılar. Müdavimin 'Hiçbir şey değişmemiş' dedi.</t>
        </is>
      </c>
      <c r="L1100" s="6" t="inlineStr"/>
      <c r="M1100" s="5" t="inlineStr"/>
      <c r="N1100" s="5" t="inlineStr"/>
      <c r="O1100" s="6" t="inlineStr"/>
      <c r="P1100" s="6" t="inlineStr"/>
      <c r="Q1100" s="5" t="inlineStr"/>
      <c r="R1100" s="5" t="inlineStr">
        <is>
          <t>esnaf-komsu-rakip</t>
        </is>
      </c>
      <c r="S1100" s="5" t="inlineStr"/>
      <c r="T1100" s="5" t="inlineStr"/>
      <c r="U1100" s="5" t="inlineStr"/>
      <c r="V1100" s="5" t="inlineStr"/>
      <c r="W1100" s="5" t="inlineStr"/>
      <c r="X1100" s="5" t="inlineStr"/>
      <c r="Y1100" s="5" t="inlineStr"/>
      <c r="Z1100" s="6" t="inlineStr"/>
      <c r="AA1100" s="5" t="inlineStr"/>
      <c r="AB1100" s="5" t="inlineStr"/>
      <c r="AC1100" s="5" t="inlineStr"/>
      <c r="AD1100" s="5" t="inlineStr"/>
      <c r="AE1100" s="5" t="inlineStr"/>
      <c r="AF1100" s="5" t="inlineStr"/>
      <c r="AG1100" s="5" t="inlineStr"/>
      <c r="AH1100" s="5" t="inlineStr"/>
    </row>
    <row r="1101">
      <c r="A1101" s="5" t="inlineStr">
        <is>
          <t>me-dukkani-devret</t>
        </is>
      </c>
      <c r="B1101" s="5" t="n">
        <v>4</v>
      </c>
      <c r="C1101" s="6" t="inlineStr">
        <is>
          <t>Çocuğuna bırak</t>
        </is>
      </c>
      <c r="D1101" s="5" t="inlineStr">
        <is>
          <t>Çene</t>
        </is>
      </c>
      <c r="E1101" s="5" t="inlineStr">
        <is>
          <t>Orta</t>
        </is>
      </c>
      <c r="F1101" s="5" t="inlineStr"/>
      <c r="G1101" s="6" t="inlineStr"/>
      <c r="H1101" s="6" t="inlineStr">
        <is>
          <t>Çocuğun dükkânı devraldı. İlk işi pos cihazını yenilemek, ikincisi seni 'danışman' yapmak oldu.</t>
        </is>
      </c>
      <c r="I1101" s="6" t="inlineStr">
        <is>
          <t>Çocuğun dükkânı internete taşıdı, ciroyu ikiye katladı ve eski defterini çerçeveletip duvara astı.</t>
        </is>
      </c>
      <c r="J1101" s="6" t="inlineStr">
        <is>
          <t>'Uzaktan çalışıyorum' dedi. Dükkânın uzaktan çalışma modeli yok.</t>
        </is>
      </c>
      <c r="K1101" s="6" t="inlineStr">
        <is>
          <t>Kabul etti; ilk hafta ürünlerin yarısını 'minimalizm' diye raftan kaldırdı. Dükkân bir galeriye döndü.</t>
        </is>
      </c>
      <c r="L1101" s="6" t="inlineStr"/>
      <c r="M1101" s="5" t="inlineStr"/>
      <c r="N1101" s="5" t="inlineStr"/>
      <c r="O1101" s="6" t="inlineStr"/>
      <c r="P1101" s="6" t="inlineStr"/>
      <c r="Q1101" s="5" t="inlineStr"/>
      <c r="R1101" s="5" t="inlineStr">
        <is>
          <t>cocuklu</t>
        </is>
      </c>
      <c r="S1101" s="5" t="inlineStr"/>
      <c r="T1101" s="5" t="inlineStr"/>
      <c r="U1101" s="5" t="inlineStr"/>
      <c r="V1101" s="5" t="inlineStr"/>
      <c r="W1101" s="5" t="inlineStr"/>
      <c r="X1101" s="5" t="inlineStr"/>
      <c r="Y1101" s="5" t="inlineStr"/>
      <c r="Z1101" s="6" t="inlineStr"/>
      <c r="AA1101" s="5" t="inlineStr"/>
      <c r="AB1101" s="5" t="inlineStr"/>
      <c r="AC1101" s="5" t="inlineStr"/>
      <c r="AD1101" s="5" t="inlineStr"/>
      <c r="AE1101" s="5" t="inlineStr"/>
      <c r="AF1101" s="5" t="inlineStr"/>
      <c r="AG1101" s="5" t="inlineStr"/>
      <c r="AH1101" s="5" t="inlineStr"/>
    </row>
    <row r="1102">
      <c r="A1102" s="5" t="inlineStr">
        <is>
          <t>b9-tavla-finali</t>
        </is>
      </c>
      <c r="B1102" s="5" t="n">
        <v>1</v>
      </c>
      <c r="C1102" s="6" t="inlineStr">
        <is>
          <t>Zarı at</t>
        </is>
      </c>
      <c r="D1102" s="5" t="inlineStr">
        <is>
          <t>Cesaret</t>
        </is>
      </c>
      <c r="E1102" s="5" t="inlineStr">
        <is>
          <t>Orta</t>
        </is>
      </c>
      <c r="F1102" s="5" t="inlineStr"/>
      <c r="G1102" s="6" t="inlineStr"/>
      <c r="H1102" s="6" t="inlineStr">
        <is>
          <t>Düşeş attın. Kahvehane alkışladı. Tebeşir ile adın büyük harfle yazıldı.</t>
        </is>
      </c>
      <c r="I1102" s="6" t="inlineStr">
        <is>
          <t>Düşeş attın ve rakip ayağa kalktı, seni kutladı. Kahvehane sahibi sana ömür boyu bedava çay ilan etti.</t>
        </is>
      </c>
      <c r="J1102" s="6" t="inlineStr">
        <is>
          <t>Bir-iki attın. Rakip gülümsedi. Sen de gülümsedin. Kahvehane gülümsemeyi tartıştı.</t>
        </is>
      </c>
      <c r="K1102" s="6" t="inlineStr">
        <is>
          <t>Zar masadan fırladı ve bir çay bardağının içine düştü. Sayılmadı. Çay ise içildi. Kimse fark etmedi.</t>
        </is>
      </c>
      <c r="L1102" s="6" t="inlineStr">
        <is>
          <t>Beş-dört attın. Yeterli ama heyecansız. Kahvehane sessizce alkışladı.</t>
        </is>
      </c>
      <c r="M1102" s="5" t="inlineStr">
        <is>
          <t>timing</t>
        </is>
      </c>
      <c r="N1102" s="5" t="inlineStr">
        <is>
          <t>Son Zar</t>
        </is>
      </c>
      <c r="O1102" s="6" t="inlineStr">
        <is>
          <t>Zarı tam doğru anda bırak. Kırk kişi sessiz; senin elin titremiyor, çayın titriyor.</t>
        </is>
      </c>
      <c r="P1102" s="6" t="inlineStr"/>
      <c r="Q1102" s="5" t="inlineStr"/>
      <c r="R1102" s="5" t="inlineStr"/>
      <c r="S1102" s="5" t="inlineStr"/>
      <c r="T1102" s="5" t="inlineStr"/>
      <c r="U1102" s="5" t="inlineStr"/>
      <c r="V1102" s="5" t="inlineStr">
        <is>
          <t>tavla-sampiyonu</t>
        </is>
      </c>
      <c r="W1102" s="5" t="inlineStr"/>
      <c r="X1102" s="5" t="inlineStr"/>
      <c r="Y1102" s="5" t="inlineStr"/>
      <c r="Z1102" s="6" t="inlineStr"/>
      <c r="AA1102" s="5" t="inlineStr"/>
      <c r="AB1102" s="5" t="inlineStr"/>
      <c r="AC1102" s="5" t="inlineStr"/>
      <c r="AD1102" s="5" t="inlineStr"/>
      <c r="AE1102" s="5" t="inlineStr"/>
      <c r="AF1102" s="5" t="inlineStr"/>
      <c r="AG1102" s="5" t="inlineStr"/>
      <c r="AH1102" s="5" t="inlineStr"/>
    </row>
    <row r="1103">
      <c r="A1103" s="5" t="inlineStr">
        <is>
          <t>b9-tavla-finali</t>
        </is>
      </c>
      <c r="B1103" s="5" t="n">
        <v>2</v>
      </c>
      <c r="C1103" s="6" t="inlineStr">
        <is>
          <t>Sessizce hamle yap</t>
        </is>
      </c>
      <c r="D1103" s="5" t="inlineStr"/>
      <c r="E1103" s="5" t="inlineStr"/>
      <c r="F1103" s="5" t="inlineStr">
        <is>
          <t>Dayanıklılık +1</t>
        </is>
      </c>
      <c r="G1103" s="6" t="inlineStr">
        <is>
          <t>Sessizce oynadın. Kazanmadın, kaybetmedin; final ertelendi. Kahvehane sahibi televizyonu tekrar açtı.</t>
        </is>
      </c>
      <c r="H1103" s="6" t="inlineStr"/>
      <c r="I1103" s="6" t="inlineStr"/>
      <c r="J1103" s="6" t="inlineStr"/>
      <c r="K1103" s="6" t="inlineStr"/>
      <c r="L1103" s="6" t="inlineStr"/>
      <c r="M1103" s="5" t="inlineStr"/>
      <c r="N1103" s="5" t="inlineStr"/>
      <c r="O1103" s="6" t="inlineStr"/>
      <c r="P1103" s="6" t="inlineStr"/>
      <c r="Q1103" s="5" t="inlineStr"/>
      <c r="R1103" s="5" t="inlineStr"/>
      <c r="S1103" s="5" t="inlineStr"/>
      <c r="T1103" s="5" t="inlineStr"/>
      <c r="U1103" s="5" t="inlineStr"/>
      <c r="V1103" s="5" t="inlineStr"/>
      <c r="W1103" s="5" t="inlineStr"/>
      <c r="X1103" s="5" t="inlineStr"/>
      <c r="Y1103" s="5" t="inlineStr"/>
      <c r="Z1103" s="6" t="inlineStr"/>
      <c r="AA1103" s="5" t="inlineStr"/>
      <c r="AB1103" s="5" t="inlineStr"/>
      <c r="AC1103" s="5" t="inlineStr"/>
      <c r="AD1103" s="5" t="inlineStr"/>
      <c r="AE1103" s="5" t="inlineStr"/>
      <c r="AF1103" s="5" t="inlineStr"/>
      <c r="AG1103" s="5" t="inlineStr"/>
      <c r="AH1103" s="5" t="inlineStr"/>
    </row>
    <row r="1104">
      <c r="A1104" s="5" t="inlineStr">
        <is>
          <t>b9-tavla-finali</t>
        </is>
      </c>
      <c r="B1104" s="5" t="n">
        <v>3</v>
      </c>
      <c r="C1104" s="6" t="inlineStr">
        <is>
          <t>Tavla Kurdu hamlesini yap</t>
        </is>
      </c>
      <c r="D1104" s="5" t="inlineStr">
        <is>
          <t>Kurnazlık</t>
        </is>
      </c>
      <c r="E1104" s="5" t="inlineStr">
        <is>
          <t>Zor</t>
        </is>
      </c>
      <c r="F1104" s="5" t="inlineStr"/>
      <c r="G1104" s="6" t="inlineStr"/>
      <c r="H1104" s="6" t="inlineStr">
        <is>
          <t>Rakibin pullarını üç hamlede bloke ettin. Kahvehane seni 'Kurt' diye çağırmaya başladı.</t>
        </is>
      </c>
      <c r="I1104" s="6" t="inlineStr">
        <is>
          <t>Hamlen öyle ustaydı ki rakip pulları toplayıp tebrik etti. Şampiyonluk kupası bir çay bardağı; altın yaldızlı.</t>
        </is>
      </c>
      <c r="J1104" s="6" t="inlineStr">
        <is>
          <t>Hamleyi yaptın ama bir pul yanlış yerdeydi. Kurt, kuzu kılığına girdi.</t>
        </is>
      </c>
      <c r="K1104" s="6" t="inlineStr">
        <is>
          <t>Hamleyi yaparken masayı devirdin. Kırk kişi çayını senin yüzünden kaybetti. Kahvehane seni ikinci lige düşürdü.</t>
        </is>
      </c>
      <c r="L1104" s="6" t="inlineStr"/>
      <c r="M1104" s="5" t="inlineStr"/>
      <c r="N1104" s="5" t="inlineStr"/>
      <c r="O1104" s="6" t="inlineStr"/>
      <c r="P1104" s="6" t="inlineStr"/>
      <c r="Q1104" s="5" t="inlineStr">
        <is>
          <t>Tavla Kurdu</t>
        </is>
      </c>
      <c r="R1104" s="5" t="inlineStr"/>
      <c r="S1104" s="5" t="inlineStr"/>
      <c r="T1104" s="5" t="inlineStr"/>
      <c r="U1104" s="5" t="inlineStr"/>
      <c r="V1104" s="5" t="inlineStr"/>
      <c r="W1104" s="5" t="inlineStr"/>
      <c r="X1104" s="5" t="inlineStr"/>
      <c r="Y1104" s="5" t="n">
        <v>4</v>
      </c>
      <c r="Z1104" s="6" t="inlineStr">
        <is>
          <t>Kahvehane tavla liginin finalinde, zafer hamlesini yaparken. Pullar hâlâ masada, hamle sayıldı.</t>
        </is>
      </c>
      <c r="AA1104" s="5" t="inlineStr"/>
      <c r="AB1104" s="5" t="inlineStr"/>
      <c r="AC1104" s="5" t="inlineStr"/>
      <c r="AD1104" s="5" t="inlineStr"/>
      <c r="AE1104" s="5" t="inlineStr"/>
      <c r="AF1104" s="5" t="inlineStr"/>
      <c r="AG1104" s="5" t="inlineStr"/>
      <c r="AH1104" s="5" t="inlineStr"/>
    </row>
    <row r="1105">
      <c r="A1105" s="5" t="inlineStr">
        <is>
          <t>b9-torunun-tableti</t>
        </is>
      </c>
      <c r="B1105" s="5" t="n">
        <v>1</v>
      </c>
      <c r="C1105" s="6" t="inlineStr">
        <is>
          <t>Kapat, aç</t>
        </is>
      </c>
      <c r="D1105" s="5" t="inlineStr"/>
      <c r="E1105" s="5" t="inlineStr"/>
      <c r="F1105" s="5" t="inlineStr">
        <is>
          <t>Akıl +1</t>
        </is>
      </c>
      <c r="G1105" s="6" t="inlineStr">
        <is>
          <t>Kapattın, açtın. Tablet çalıştı. Torun seni bilgisayar dahisi sanıyor. Sen de biraz öyle.</t>
        </is>
      </c>
      <c r="H1105" s="6" t="inlineStr"/>
      <c r="I1105" s="6" t="inlineStr"/>
      <c r="J1105" s="6" t="inlineStr"/>
      <c r="K1105" s="6" t="inlineStr"/>
      <c r="L1105" s="6" t="inlineStr"/>
      <c r="M1105" s="5" t="inlineStr"/>
      <c r="N1105" s="5" t="inlineStr"/>
      <c r="O1105" s="6" t="inlineStr"/>
      <c r="P1105" s="6" t="inlineStr"/>
      <c r="Q1105" s="5" t="inlineStr"/>
      <c r="R1105" s="5" t="inlineStr"/>
      <c r="S1105" s="5" t="inlineStr"/>
      <c r="T1105" s="5" t="inlineStr"/>
      <c r="U1105" s="5" t="inlineStr"/>
      <c r="V1105" s="5" t="inlineStr"/>
      <c r="W1105" s="5" t="inlineStr"/>
      <c r="X1105" s="5" t="inlineStr"/>
      <c r="Y1105" s="5" t="inlineStr"/>
      <c r="Z1105" s="6" t="inlineStr"/>
      <c r="AA1105" s="5" t="inlineStr"/>
      <c r="AB1105" s="5" t="inlineStr"/>
      <c r="AC1105" s="5" t="inlineStr"/>
      <c r="AD1105" s="5" t="inlineStr"/>
      <c r="AE1105" s="5" t="inlineStr"/>
      <c r="AF1105" s="5" t="inlineStr"/>
      <c r="AG1105" s="5" t="inlineStr"/>
      <c r="AH1105" s="5" t="inlineStr"/>
    </row>
    <row r="1106">
      <c r="A1106" s="5" t="inlineStr">
        <is>
          <t>b9-torunun-tableti</t>
        </is>
      </c>
      <c r="B1106" s="5" t="n">
        <v>2</v>
      </c>
      <c r="C1106" s="6" t="inlineStr">
        <is>
          <t>Oyunu sen oyna</t>
        </is>
      </c>
      <c r="D1106" s="5" t="inlineStr">
        <is>
          <t>Dayanıklılık</t>
        </is>
      </c>
      <c r="E1106" s="5" t="inlineStr">
        <is>
          <t>Orta</t>
        </is>
      </c>
      <c r="F1106" s="5" t="inlineStr"/>
      <c r="G1106" s="6" t="inlineStr"/>
      <c r="H1106" s="6" t="inlineStr">
        <is>
          <t>Oyunu oynadın ve üçüncü seviyeye geçtin. Torun şifreyi değil, seni istiyor artık.</t>
        </is>
      </c>
      <c r="I1106" s="6" t="inlineStr">
        <is>
          <t>Oyunda torununun rekorunu kırdın. Torun kıskandı. Aile grubunda 'Uzman' unvanı verildi.</t>
        </is>
      </c>
      <c r="J1106" s="6" t="inlineStr">
        <is>
          <t>Oyunu oynadın ve üç saat sonra kafayı kaldırdın. Tablet hâlâ bozuk; sen bağımlı.</t>
        </is>
      </c>
      <c r="K1106" s="6" t="inlineStr">
        <is>
          <t>Oyunu oynarken tablette bir satın alma yaptın. Torunun oyunu artık altın rengi ama aile bütçesi değil.</t>
        </is>
      </c>
      <c r="L1106" s="6" t="inlineStr"/>
      <c r="M1106" s="5" t="inlineStr"/>
      <c r="N1106" s="5" t="inlineStr"/>
      <c r="O1106" s="6" t="inlineStr"/>
      <c r="P1106" s="6" t="inlineStr"/>
      <c r="Q1106" s="5" t="inlineStr">
        <is>
          <t>Teknoloji Merakı</t>
        </is>
      </c>
      <c r="R1106" s="5" t="inlineStr"/>
      <c r="S1106" s="5" t="inlineStr"/>
      <c r="T1106" s="5" t="inlineStr"/>
      <c r="U1106" s="5" t="inlineStr"/>
      <c r="V1106" s="5" t="inlineStr"/>
      <c r="W1106" s="5" t="inlineStr"/>
      <c r="X1106" s="5" t="inlineStr"/>
      <c r="Y1106" s="5" t="inlineStr"/>
      <c r="Z1106" s="6" t="inlineStr"/>
      <c r="AA1106" s="5" t="inlineStr"/>
      <c r="AB1106" s="5" t="inlineStr"/>
      <c r="AC1106" s="5" t="inlineStr"/>
      <c r="AD1106" s="5" t="inlineStr"/>
      <c r="AE1106" s="5" t="inlineStr"/>
      <c r="AF1106" s="5" t="inlineStr"/>
      <c r="AG1106" s="5" t="inlineStr"/>
      <c r="AH1106" s="5" t="inlineStr"/>
    </row>
    <row r="1107">
      <c r="A1107" s="5" t="inlineStr">
        <is>
          <t>b9-torunun-tableti</t>
        </is>
      </c>
      <c r="B1107" s="5" t="n">
        <v>3</v>
      </c>
      <c r="C1107" s="6" t="inlineStr">
        <is>
          <t>Çocuğunu ara</t>
        </is>
      </c>
      <c r="D1107" s="5" t="inlineStr">
        <is>
          <t>Çene</t>
        </is>
      </c>
      <c r="E1107" s="5" t="inlineStr">
        <is>
          <t>Kolay</t>
        </is>
      </c>
      <c r="F1107" s="5" t="inlineStr"/>
      <c r="G1107" s="6" t="inlineStr"/>
      <c r="H1107" s="6" t="inlineStr">
        <is>
          <t>Çocuğun telefonla tamir etti. Sen sadece tuşlara bastın. Torun ise seni hâlâ kahraman sanıyor.</t>
        </is>
      </c>
      <c r="I1107" s="6" t="inlineStr">
        <is>
          <t>Çocuğun uzaktan bağlandı, tableti tamir etti ve bir de senin telefonunu güncelledi. Çift kazanç.</t>
        </is>
      </c>
      <c r="J1107" s="6" t="inlineStr">
        <is>
          <t>Çocuğunu aradın; toplantıdaymış. Mesaj attı: 'Kapat, aç.' Zaten bunu denemiştin.</t>
        </is>
      </c>
      <c r="K1107" s="6" t="inlineStr">
        <is>
          <t>Çocuğunu aradın; torun o sırada tablette senin sesini kayıt altına aldı. Artık bir oyun karakterinin sesi sensin.</t>
        </is>
      </c>
      <c r="L1107" s="6" t="inlineStr"/>
      <c r="M1107" s="5" t="inlineStr"/>
      <c r="N1107" s="5" t="inlineStr"/>
      <c r="O1107" s="6" t="inlineStr"/>
      <c r="P1107" s="6" t="inlineStr"/>
      <c r="Q1107" s="5" t="inlineStr"/>
      <c r="R1107" s="5" t="inlineStr"/>
      <c r="S1107" s="5" t="inlineStr"/>
      <c r="T1107" s="5" t="inlineStr"/>
      <c r="U1107" s="5" t="inlineStr"/>
      <c r="V1107" s="5" t="inlineStr"/>
      <c r="W1107" s="5" t="inlineStr"/>
      <c r="X1107" s="5" t="inlineStr"/>
      <c r="Y1107" s="5" t="inlineStr"/>
      <c r="Z1107" s="6" t="inlineStr"/>
      <c r="AA1107" s="5" t="inlineStr"/>
      <c r="AB1107" s="5" t="inlineStr"/>
      <c r="AC1107" s="5" t="inlineStr"/>
      <c r="AD1107" s="5" t="inlineStr"/>
      <c r="AE1107" s="5" t="inlineStr"/>
      <c r="AF1107" s="5" t="inlineStr"/>
      <c r="AG1107" s="5" t="inlineStr"/>
      <c r="AH1107" s="5" t="inlineStr"/>
    </row>
    <row r="1108">
      <c r="A1108" s="5" t="inlineStr">
        <is>
          <t>mm-eski-daire</t>
        </is>
      </c>
      <c r="B1108" s="5" t="n">
        <v>1</v>
      </c>
      <c r="C1108" s="6" t="inlineStr">
        <is>
          <t>Yarın gel</t>
        </is>
      </c>
      <c r="D1108" s="5" t="inlineStr"/>
      <c r="E1108" s="5" t="inlineStr"/>
      <c r="F1108" s="5" t="inlineStr">
        <is>
          <t>Dayanıklılık +1, İtibar +1</t>
        </is>
      </c>
      <c r="G1108" s="6" t="inlineStr">
        <is>
          <t>Ertesi gün geldin, işin bitti. Otuz yıl sistemi savundun; sistem de seni bir gün bekletti. Adil.</t>
        </is>
      </c>
      <c r="H1108" s="6" t="inlineStr"/>
      <c r="I1108" s="6" t="inlineStr"/>
      <c r="J1108" s="6" t="inlineStr"/>
      <c r="K1108" s="6" t="inlineStr"/>
      <c r="L1108" s="6" t="inlineStr"/>
      <c r="M1108" s="5" t="inlineStr"/>
      <c r="N1108" s="5" t="inlineStr"/>
      <c r="O1108" s="6" t="inlineStr"/>
      <c r="P1108" s="6" t="inlineStr"/>
      <c r="Q1108" s="5" t="inlineStr"/>
      <c r="R1108" s="5" t="inlineStr"/>
      <c r="S1108" s="5" t="inlineStr"/>
      <c r="T1108" s="5" t="inlineStr"/>
      <c r="U1108" s="5" t="inlineStr"/>
      <c r="V1108" s="5" t="inlineStr"/>
      <c r="W1108" s="5" t="inlineStr"/>
      <c r="X1108" s="5" t="inlineStr"/>
      <c r="Y1108" s="5" t="inlineStr"/>
      <c r="Z1108" s="6" t="inlineStr"/>
      <c r="AA1108" s="5" t="inlineStr"/>
      <c r="AB1108" s="5" t="inlineStr"/>
      <c r="AC1108" s="5" t="inlineStr"/>
      <c r="AD1108" s="5" t="inlineStr"/>
      <c r="AE1108" s="5" t="inlineStr"/>
      <c r="AF1108" s="5" t="inlineStr"/>
      <c r="AG1108" s="5" t="inlineStr"/>
      <c r="AH1108" s="5" t="inlineStr"/>
    </row>
    <row r="1109">
      <c r="A1109" s="5" t="inlineStr">
        <is>
          <t>mm-eski-daire</t>
        </is>
      </c>
      <c r="B1109" s="5" t="n">
        <v>2</v>
      </c>
      <c r="C1109" s="6" t="inlineStr">
        <is>
          <t>Eski masana geç, işini kendin yap</t>
        </is>
      </c>
      <c r="D1109" s="5" t="inlineStr">
        <is>
          <t>Pişkinlik</t>
        </is>
      </c>
      <c r="E1109" s="5" t="inlineStr">
        <is>
          <t>Zor</t>
        </is>
      </c>
      <c r="F1109" s="5" t="inlineStr"/>
      <c r="G1109" s="6" t="inlineStr"/>
      <c r="H1109" s="6" t="inlineStr">
        <is>
          <t>Kendi dosyanı kendin imzaladın. Kimse itiraz etmedi; herkes hâlâ senden çekiniyor.</t>
        </is>
      </c>
      <c r="I1109" s="6" t="inlineStr">
        <is>
          <t>Kendi işini ve sıradaki üç vatandaşın işini bitirdin. Kurum sana gönüllü danışmanlık teklif etti.</t>
        </is>
      </c>
      <c r="J1109" s="6" t="inlineStr">
        <is>
          <t>Şifren iptal edilmiş. Sistem seni tanımadı; kahve makinesi tanıdı.</t>
        </is>
      </c>
      <c r="K1109" s="6" t="inlineStr">
        <is>
          <t>Güvenlik seni nazikçe dışarı çıkardı. Otuz yıllık hizmet, üç dakikalık bir tutanakla kapandı.</t>
        </is>
      </c>
      <c r="L1109" s="6" t="inlineStr"/>
      <c r="M1109" s="5" t="inlineStr"/>
      <c r="N1109" s="5" t="inlineStr"/>
      <c r="O1109" s="6" t="inlineStr"/>
      <c r="P1109" s="6" t="inlineStr"/>
      <c r="Q1109" s="5" t="inlineStr"/>
      <c r="R1109" s="5" t="inlineStr"/>
      <c r="S1109" s="5" t="inlineStr"/>
      <c r="T1109" s="5" t="inlineStr"/>
      <c r="U1109" s="5" t="inlineStr"/>
      <c r="V1109" s="5" t="inlineStr"/>
      <c r="W1109" s="5" t="inlineStr"/>
      <c r="X1109" s="5" t="inlineStr"/>
      <c r="Y1109" s="5" t="inlineStr"/>
      <c r="Z1109" s="6" t="inlineStr"/>
      <c r="AA1109" s="5" t="inlineStr"/>
      <c r="AB1109" s="5" t="inlineStr"/>
      <c r="AC1109" s="5" t="inlineStr"/>
      <c r="AD1109" s="5" t="inlineStr"/>
      <c r="AE1109" s="5" t="inlineStr"/>
      <c r="AF1109" s="5" t="inlineStr"/>
      <c r="AG1109" s="5" t="inlineStr"/>
      <c r="AH1109" s="5" t="inlineStr"/>
    </row>
    <row r="1110">
      <c r="A1110" s="5" t="inlineStr">
        <is>
          <t>mm-eski-daire</t>
        </is>
      </c>
      <c r="B1110" s="5" t="n">
        <v>3</v>
      </c>
      <c r="C1110" s="6" t="inlineStr">
        <is>
          <t>Dairenin karşısına kafeni aç</t>
        </is>
      </c>
      <c r="D1110" s="5" t="inlineStr">
        <is>
          <t>Çene</t>
        </is>
      </c>
      <c r="E1110" s="5" t="inlineStr">
        <is>
          <t>Orta</t>
        </is>
      </c>
      <c r="F1110" s="5" t="inlineStr"/>
      <c r="G1110" s="6" t="inlineStr"/>
      <c r="H1110" s="6" t="inlineStr">
        <is>
          <t>Memurlara indirim var, 'Yarın gelin' diyenlere çay bedava.</t>
        </is>
      </c>
      <c r="I1110" s="6" t="inlineStr">
        <is>
          <t>Kafen dairenin gayriresmî toplantı salonu oldu. Önemli kararlar artık senin masalarında alınıyor.</t>
        </is>
      </c>
      <c r="J1110" s="6" t="inlineStr">
        <is>
          <t>Mesai 17.00'de bitiyor; müşteriler 17.01'de geliyor, 17.30'da gidiyor. Ciron yarım saatlik.</t>
        </is>
      </c>
      <c r="K1110" s="6" t="inlineStr">
        <is>
          <t>İlk müşterin zabıta oldu. Tabelanın boyu, kaldırım ve tentenin gölgesi ölçüldü. Gölge yönetmeliğe uymuyordu.</t>
        </is>
      </c>
      <c r="L1110" s="6" t="inlineStr"/>
      <c r="M1110" s="5" t="inlineStr"/>
      <c r="N1110" s="5" t="inlineStr"/>
      <c r="O1110" s="6" t="inlineStr"/>
      <c r="P1110" s="6" t="inlineStr"/>
      <c r="Q1110" s="5" t="inlineStr"/>
      <c r="R1110" s="5" t="inlineStr">
        <is>
          <t>memur-ikinci-is</t>
        </is>
      </c>
      <c r="S1110" s="5" t="inlineStr"/>
      <c r="T1110" s="5" t="inlineStr"/>
      <c r="U1110" s="5" t="inlineStr"/>
      <c r="V1110" s="5" t="inlineStr"/>
      <c r="W1110" s="5" t="inlineStr"/>
      <c r="X1110" s="5" t="inlineStr"/>
      <c r="Y1110" s="5" t="inlineStr"/>
      <c r="Z1110" s="6" t="inlineStr"/>
      <c r="AA1110" s="5" t="inlineStr"/>
      <c r="AB1110" s="5" t="inlineStr"/>
      <c r="AC1110" s="5" t="inlineStr"/>
      <c r="AD1110" s="5" t="inlineStr"/>
      <c r="AE1110" s="5" t="inlineStr"/>
      <c r="AF1110" s="5" t="inlineStr"/>
      <c r="AG1110" s="5" t="inlineStr"/>
      <c r="AH1110" s="5" t="inlineStr"/>
    </row>
    <row r="1111">
      <c r="A1111" s="5" t="inlineStr">
        <is>
          <t>mm-eski-daire</t>
        </is>
      </c>
      <c r="B1111" s="5" t="n">
        <v>4</v>
      </c>
      <c r="C1111" s="6" t="inlineStr">
        <is>
          <t>Genç memura bir ipucu fısılda</t>
        </is>
      </c>
      <c r="D1111" s="5" t="inlineStr">
        <is>
          <t>Sosyal Radar</t>
        </is>
      </c>
      <c r="E1111" s="5" t="inlineStr">
        <is>
          <t>Kolay</t>
        </is>
      </c>
      <c r="F1111" s="5" t="inlineStr"/>
      <c r="G1111" s="6" t="inlineStr"/>
      <c r="H1111" s="6" t="inlineStr">
        <is>
          <t>'Üçüncü çekmecede kaşe var' dedin. İşin beş dakikada bitti.</t>
        </is>
      </c>
      <c r="I1111" s="6" t="inlineStr">
        <is>
          <t>İpucun o kadar işe yaradı ki genç memur senin telefon numaranı masasına yapıştırdı: 'Acil durumlar için.'</t>
        </is>
      </c>
      <c r="J1111" s="6" t="inlineStr">
        <is>
          <t>Genç memur 'Artık kaşe kullanmıyoruz' dedi. Üçüncü çekmece boştu.</t>
        </is>
      </c>
      <c r="K1111" s="6" t="inlineStr">
        <is>
          <t>Fısıltın yanlış anlaşıldı. Genç memur seni şikâyet etti: 'Görevliyi etkilemeye çalışan vatandaş.'</t>
        </is>
      </c>
      <c r="L1111" s="6" t="inlineStr"/>
      <c r="M1111" s="5" t="inlineStr"/>
      <c r="N1111" s="5" t="inlineStr"/>
      <c r="O1111" s="6" t="inlineStr"/>
      <c r="P1111" s="6" t="inlineStr"/>
      <c r="Q1111" s="5" t="inlineStr"/>
      <c r="R1111" s="5" t="inlineStr"/>
      <c r="S1111" s="5" t="inlineStr"/>
      <c r="T1111" s="5" t="inlineStr"/>
      <c r="U1111" s="5" t="inlineStr"/>
      <c r="V1111" s="5" t="inlineStr"/>
      <c r="W1111" s="5" t="inlineStr"/>
      <c r="X1111" s="5" t="inlineStr"/>
      <c r="Y1111" s="5" t="inlineStr"/>
      <c r="Z1111" s="6" t="inlineStr"/>
      <c r="AA1111" s="5" t="inlineStr"/>
      <c r="AB1111" s="5" t="inlineStr"/>
      <c r="AC1111" s="5" t="inlineStr"/>
      <c r="AD1111" s="5" t="inlineStr"/>
      <c r="AE1111" s="5" t="inlineStr"/>
      <c r="AF1111" s="5" t="inlineStr"/>
      <c r="AG1111" s="5" t="inlineStr"/>
      <c r="AH1111" s="5" t="inlineStr"/>
    </row>
    <row r="1112">
      <c r="A1112" s="5" t="inlineStr">
        <is>
          <t>b9-yazlik-komsulari</t>
        </is>
      </c>
      <c r="B1112" s="5" t="n">
        <v>1</v>
      </c>
      <c r="C1112" s="6" t="inlineStr">
        <is>
          <t>Hortumu kapat</t>
        </is>
      </c>
      <c r="D1112" s="5" t="inlineStr"/>
      <c r="E1112" s="5" t="inlineStr"/>
      <c r="F1112" s="5" t="inlineStr">
        <is>
          <t>İtibar +1</t>
        </is>
      </c>
      <c r="G1112" s="6" t="inlineStr">
        <is>
          <t>Hortumu kapattın. Çiçeklerin kurudu. Komşunun çiçekleri ise senin bahçene sarktı.</t>
        </is>
      </c>
      <c r="H1112" s="6" t="inlineStr"/>
      <c r="I1112" s="6" t="inlineStr"/>
      <c r="J1112" s="6" t="inlineStr"/>
      <c r="K1112" s="6" t="inlineStr"/>
      <c r="L1112" s="6" t="inlineStr"/>
      <c r="M1112" s="5" t="inlineStr"/>
      <c r="N1112" s="5" t="inlineStr"/>
      <c r="O1112" s="6" t="inlineStr"/>
      <c r="P1112" s="6" t="inlineStr"/>
      <c r="Q1112" s="5" t="inlineStr"/>
      <c r="R1112" s="5" t="inlineStr"/>
      <c r="S1112" s="5" t="inlineStr"/>
      <c r="T1112" s="5" t="inlineStr"/>
      <c r="U1112" s="5" t="inlineStr"/>
      <c r="V1112" s="5" t="inlineStr"/>
      <c r="W1112" s="5" t="inlineStr"/>
      <c r="X1112" s="5" t="inlineStr"/>
      <c r="Y1112" s="5" t="inlineStr"/>
      <c r="Z1112" s="6" t="inlineStr"/>
      <c r="AA1112" s="5" t="inlineStr"/>
      <c r="AB1112" s="5" t="inlineStr"/>
      <c r="AC1112" s="5" t="inlineStr"/>
      <c r="AD1112" s="5" t="inlineStr"/>
      <c r="AE1112" s="5" t="inlineStr"/>
      <c r="AF1112" s="5" t="inlineStr"/>
      <c r="AG1112" s="5" t="inlineStr"/>
      <c r="AH1112" s="5" t="inlineStr"/>
    </row>
    <row r="1113">
      <c r="A1113" s="5" t="inlineStr">
        <is>
          <t>b9-yazlik-komsulari</t>
        </is>
      </c>
      <c r="B1113" s="5" t="n">
        <v>2</v>
      </c>
      <c r="C1113" s="6" t="inlineStr">
        <is>
          <t>Tartışmayı akşam yemeğine taşı</t>
        </is>
      </c>
      <c r="D1113" s="5" t="inlineStr">
        <is>
          <t>Çene</t>
        </is>
      </c>
      <c r="E1113" s="5" t="inlineStr">
        <is>
          <t>Orta</t>
        </is>
      </c>
      <c r="F1113" s="5" t="inlineStr"/>
      <c r="G1113" s="6" t="inlineStr"/>
      <c r="H1113" s="6" t="inlineStr">
        <is>
          <t>Mangal yaktın, herkesi davet ettin. Hortum meselesi köfteyle çözüldü.</t>
        </is>
      </c>
      <c r="I1113" s="6" t="inlineStr">
        <is>
          <t>Yemek o kadar güzeldi ki site yöneticisi hortum yönetmeliğini sana yazdırdı. Kanun senin.</t>
        </is>
      </c>
      <c r="J1113" s="6" t="inlineStr">
        <is>
          <t>Herkesi davet ettin; mangal tüttü, duman yan komşunun çamaşırlarına gitti. Konu hortumdan çamaşıra geçti.</t>
        </is>
      </c>
      <c r="K1113" s="6" t="inlineStr">
        <is>
          <t>Yemeğe herkes geldi ve tartışmayı yemekte sürdürdü. Tatlı servis edilmeden site toplantısına dönüştü.</t>
        </is>
      </c>
      <c r="L1113" s="6" t="inlineStr"/>
      <c r="M1113" s="5" t="inlineStr"/>
      <c r="N1113" s="5" t="inlineStr"/>
      <c r="O1113" s="6" t="inlineStr"/>
      <c r="P1113" s="6" t="inlineStr"/>
      <c r="Q1113" s="5" t="inlineStr"/>
      <c r="R1113" s="5" t="inlineStr"/>
      <c r="S1113" s="5" t="inlineStr"/>
      <c r="T1113" s="5" t="inlineStr"/>
      <c r="U1113" s="5" t="inlineStr"/>
      <c r="V1113" s="5" t="inlineStr"/>
      <c r="W1113" s="5" t="inlineStr"/>
      <c r="X1113" s="5" t="inlineStr"/>
      <c r="Y1113" s="5" t="inlineStr"/>
      <c r="Z1113" s="6" t="inlineStr"/>
      <c r="AA1113" s="5" t="inlineStr"/>
      <c r="AB1113" s="5" t="inlineStr"/>
      <c r="AC1113" s="5" t="inlineStr"/>
      <c r="AD1113" s="5" t="inlineStr"/>
      <c r="AE1113" s="5" t="inlineStr"/>
      <c r="AF1113" s="5" t="inlineStr"/>
      <c r="AG1113" s="5" t="inlineStr"/>
      <c r="AH1113" s="5" t="inlineStr"/>
    </row>
    <row r="1114">
      <c r="A1114" s="5" t="inlineStr">
        <is>
          <t>b9-yazlik-komsulari</t>
        </is>
      </c>
      <c r="B1114" s="5" t="n">
        <v>3</v>
      </c>
      <c r="C1114" s="6" t="inlineStr">
        <is>
          <t>Site yöneticisinin kayınbiraderi olduğunu hatırlat</t>
        </is>
      </c>
      <c r="D1114" s="5" t="inlineStr">
        <is>
          <t>Sosyal Radar</t>
        </is>
      </c>
      <c r="E1114" s="5" t="inlineStr">
        <is>
          <t>Zor</t>
        </is>
      </c>
      <c r="F1114" s="5" t="inlineStr"/>
      <c r="G1114" s="6" t="inlineStr"/>
      <c r="H1114" s="6" t="inlineStr">
        <is>
          <t>Hatırlattın. Yönetici kızardı, komşu sessizleşti. Hortumun serbest bırakıldı.</t>
        </is>
      </c>
      <c r="I1114" s="6" t="inlineStr">
        <is>
          <t>Hatırlattın ve siteye 'akrabalık beyannamesi' zorunluluğu getirildi. Ertesi sezon herkes sana selam veriyor.</t>
        </is>
      </c>
      <c r="J1114" s="6" t="inlineStr">
        <is>
          <t>Hatırlattın; yönetici 'Evet, biliyorsunuz işte' dedi. Bilgi zaten herkesin elindeymiş.</t>
        </is>
      </c>
      <c r="K1114" s="6" t="inlineStr">
        <is>
          <t>Hatırlattın; asıl kayınbiraderin üst komşu olduğu ortaya çıktı. Artık iki komşuyla birden aran bozuk.</t>
        </is>
      </c>
      <c r="L1114" s="6" t="inlineStr"/>
      <c r="M1114" s="5" t="inlineStr"/>
      <c r="N1114" s="5" t="inlineStr"/>
      <c r="O1114" s="6" t="inlineStr"/>
      <c r="P1114" s="6" t="inlineStr"/>
      <c r="Q1114" s="5" t="inlineStr">
        <is>
          <t>Odayı Okur</t>
        </is>
      </c>
      <c r="R1114" s="5" t="inlineStr"/>
      <c r="S1114" s="5" t="inlineStr"/>
      <c r="T1114" s="5" t="inlineStr"/>
      <c r="U1114" s="5" t="inlineStr"/>
      <c r="V1114" s="5" t="inlineStr"/>
      <c r="W1114" s="5" t="inlineStr"/>
      <c r="X1114" s="5" t="inlineStr"/>
      <c r="Y1114" s="5" t="inlineStr"/>
      <c r="Z1114" s="6" t="inlineStr"/>
      <c r="AA1114" s="5" t="inlineStr"/>
      <c r="AB1114" s="5" t="inlineStr"/>
      <c r="AC1114" s="5" t="inlineStr"/>
      <c r="AD1114" s="5" t="inlineStr"/>
      <c r="AE1114" s="5" t="inlineStr"/>
      <c r="AF1114" s="5" t="inlineStr"/>
      <c r="AG1114" s="5" t="inlineStr"/>
      <c r="AH1114" s="5" t="inlineStr"/>
    </row>
    <row r="1115">
      <c r="A1115" s="5" t="inlineStr">
        <is>
          <t>b9-ikinci-kariyer</t>
        </is>
      </c>
      <c r="B1115" s="5" t="n">
        <v>1</v>
      </c>
      <c r="C1115" s="6" t="inlineStr">
        <is>
          <t>Kabul et</t>
        </is>
      </c>
      <c r="D1115" s="5" t="inlineStr"/>
      <c r="E1115" s="5" t="inlineStr"/>
      <c r="F1115" s="5" t="inlineStr">
        <is>
          <t>Dayanıklılık +2</t>
        </is>
      </c>
      <c r="G1115" s="6" t="inlineStr">
        <is>
          <t>Kabul ettin. Emeklilik belgen çekmecede, iş kartın cebinde. Hangisinin daha geçerli olduğu belirsiz.</t>
        </is>
      </c>
      <c r="H1115" s="6" t="inlineStr"/>
      <c r="I1115" s="6" t="inlineStr"/>
      <c r="J1115" s="6" t="inlineStr"/>
      <c r="K1115" s="6" t="inlineStr"/>
      <c r="L1115" s="6" t="inlineStr"/>
      <c r="M1115" s="5" t="inlineStr"/>
      <c r="N1115" s="5" t="inlineStr"/>
      <c r="O1115" s="6" t="inlineStr"/>
      <c r="P1115" s="6" t="inlineStr"/>
      <c r="Q1115" s="5" t="inlineStr"/>
      <c r="R1115" s="5" t="inlineStr"/>
      <c r="S1115" s="5" t="inlineStr"/>
      <c r="T1115" s="5" t="inlineStr"/>
      <c r="U1115" s="5" t="inlineStr"/>
      <c r="V1115" s="5" t="inlineStr"/>
      <c r="W1115" s="5" t="inlineStr"/>
      <c r="X1115" s="5" t="inlineStr"/>
      <c r="Y1115" s="5" t="inlineStr"/>
      <c r="Z1115" s="6" t="inlineStr"/>
      <c r="AA1115" s="5" t="inlineStr"/>
      <c r="AB1115" s="5" t="inlineStr"/>
      <c r="AC1115" s="5" t="inlineStr"/>
      <c r="AD1115" s="5" t="inlineStr"/>
      <c r="AE1115" s="5" t="inlineStr"/>
      <c r="AF1115" s="5" t="inlineStr"/>
      <c r="AG1115" s="5" t="inlineStr"/>
      <c r="AH1115" s="5" t="inlineStr"/>
    </row>
    <row r="1116">
      <c r="A1116" s="5" t="inlineStr">
        <is>
          <t>b9-ikinci-kariyer</t>
        </is>
      </c>
      <c r="B1116" s="5" t="n">
        <v>2</v>
      </c>
      <c r="C1116" s="6" t="inlineStr">
        <is>
          <t>Kendi işini aç</t>
        </is>
      </c>
      <c r="D1116" s="5" t="inlineStr">
        <is>
          <t>Cesaret</t>
        </is>
      </c>
      <c r="E1116" s="5" t="inlineStr">
        <is>
          <t>Zor</t>
        </is>
      </c>
      <c r="F1116" s="5" t="inlineStr"/>
      <c r="G1116" s="6" t="inlineStr"/>
      <c r="H1116" s="6" t="inlineStr">
        <is>
          <t>Kendi dükkânını açtın. Tabelaya 'Tecrübe' yazdın. Tecrübe satılmıyor ama müşteriler oturup konuşuyor.</t>
        </is>
      </c>
      <c r="I1116" s="6" t="inlineStr">
        <is>
          <t>Dükkân tuttu. Gençler sana iş başvurusu yapıyor. İlk sorun: 'Emekli olmayı düşünüyor musunuz?'</t>
        </is>
      </c>
      <c r="J1116" s="6" t="inlineStr">
        <is>
          <t>Dükkânı açtın, ilk ay tek müşteri geldi: eski iş yerindeki yöneticin. O da emekli olmuş.</t>
        </is>
      </c>
      <c r="K1116" s="6" t="inlineStr">
        <is>
          <t>Dükkânı açtın ama belediye ruhsatını unutmuşsun. Kapıda tabela değil, bir tutanak asılı.</t>
        </is>
      </c>
      <c r="L1116" s="6" t="inlineStr"/>
      <c r="M1116" s="5" t="inlineStr"/>
      <c r="N1116" s="5" t="inlineStr"/>
      <c r="O1116" s="6" t="inlineStr"/>
      <c r="P1116" s="6" t="inlineStr"/>
      <c r="Q1116" s="5" t="inlineStr">
        <is>
          <t>İş Modeli Kurar</t>
        </is>
      </c>
      <c r="R1116" s="5" t="inlineStr"/>
      <c r="S1116" s="5" t="inlineStr"/>
      <c r="T1116" s="5" t="inlineStr"/>
      <c r="U1116" s="5" t="inlineStr"/>
      <c r="V1116" s="5" t="inlineStr"/>
      <c r="W1116" s="5" t="inlineStr"/>
      <c r="X1116" s="5" t="inlineStr"/>
      <c r="Y1116" s="5" t="inlineStr"/>
      <c r="Z1116" s="6" t="inlineStr"/>
      <c r="AA1116" s="5" t="inlineStr"/>
      <c r="AB1116" s="5" t="inlineStr"/>
      <c r="AC1116" s="5" t="inlineStr"/>
      <c r="AD1116" s="5" t="inlineStr"/>
      <c r="AE1116" s="5" t="inlineStr"/>
      <c r="AF1116" s="5" t="inlineStr"/>
      <c r="AG1116" s="5" t="inlineStr"/>
      <c r="AH1116" s="5" t="inlineStr"/>
    </row>
    <row r="1117">
      <c r="A1117" s="5" t="inlineStr">
        <is>
          <t>b9-ikinci-kariyer</t>
        </is>
      </c>
      <c r="B1117" s="5" t="n">
        <v>3</v>
      </c>
      <c r="C1117" s="6" t="inlineStr">
        <is>
          <t>Eski mesleğine dön</t>
        </is>
      </c>
      <c r="D1117" s="5" t="inlineStr">
        <is>
          <t>Kurnazlık</t>
        </is>
      </c>
      <c r="E1117" s="5" t="inlineStr">
        <is>
          <t>Orta</t>
        </is>
      </c>
      <c r="F1117" s="5" t="inlineStr"/>
      <c r="G1117" s="6" t="inlineStr"/>
      <c r="H1117" s="6" t="inlineStr">
        <is>
          <t>Eski dükkânına döndün. Çırak sana 'Usta' dedi. Kendini hiç bu kadar önemli hissetmemiştin.</t>
        </is>
      </c>
      <c r="I1117" s="6" t="inlineStr">
        <is>
          <t>Döndün ve dükkânın cirosu arttı. Çırak sana kendi dükkânında danışmanlık teklif etti.</t>
        </is>
      </c>
      <c r="J1117" s="6" t="inlineStr">
        <is>
          <t>Döndün. Kasa artık dokunmatik. Kasayı çırak açıyor, sen çayı getiriyorsun.</t>
        </is>
      </c>
      <c r="K1117" s="6" t="inlineStr">
        <is>
          <t>Döndün ve eski müşterilerin seni tanımadı. Kendi dükkânında sana 'Buyrun, ne istemiştiniz?' dediler.</t>
        </is>
      </c>
      <c r="L1117" s="6" t="inlineStr"/>
      <c r="M1117" s="5" t="inlineStr"/>
      <c r="N1117" s="5" t="inlineStr"/>
      <c r="O1117" s="6" t="inlineStr"/>
      <c r="P1117" s="6" t="inlineStr"/>
      <c r="Q1117" s="5" t="inlineStr"/>
      <c r="R1117" s="5" t="inlineStr">
        <is>
          <t>meslek-esnaf</t>
        </is>
      </c>
      <c r="S1117" s="5" t="inlineStr"/>
      <c r="T1117" s="5" t="inlineStr"/>
      <c r="U1117" s="5" t="inlineStr"/>
      <c r="V1117" s="5" t="inlineStr"/>
      <c r="W1117" s="5" t="inlineStr"/>
      <c r="X1117" s="5" t="inlineStr"/>
      <c r="Y1117" s="5" t="inlineStr"/>
      <c r="Z1117" s="6" t="inlineStr"/>
      <c r="AA1117" s="5" t="inlineStr"/>
      <c r="AB1117" s="5" t="inlineStr"/>
      <c r="AC1117" s="5" t="inlineStr"/>
      <c r="AD1117" s="5" t="inlineStr"/>
      <c r="AE1117" s="5" t="inlineStr"/>
      <c r="AF1117" s="5" t="inlineStr"/>
      <c r="AG1117" s="5" t="inlineStr"/>
      <c r="AH1117" s="5" t="inlineStr"/>
    </row>
    <row r="1118">
      <c r="A1118" s="5" t="inlineStr">
        <is>
          <t>ms-son-perde</t>
        </is>
      </c>
      <c r="B1118" s="5" t="n">
        <v>1</v>
      </c>
      <c r="C1118" s="6" t="inlineStr">
        <is>
          <t>Sahneye çık, perdeyi tam zamanında indir</t>
        </is>
      </c>
      <c r="D1118" s="5" t="inlineStr">
        <is>
          <t>Dayanıklılık</t>
        </is>
      </c>
      <c r="E1118" s="5" t="inlineStr">
        <is>
          <t>Orta</t>
        </is>
      </c>
      <c r="F1118" s="5" t="inlineStr"/>
      <c r="G1118" s="6" t="inlineStr"/>
      <c r="H1118" s="6" t="inlineStr">
        <is>
          <t>Son perde tam zamanında indi. Salon ayağa kalktı. Kırk yılın ilk ayakta alkışı.</t>
        </is>
      </c>
      <c r="I1118" s="6" t="inlineStr">
        <is>
          <t>Perde indiğinde salon susmadı. Oyunun adı, sanat tarihi kitabına bir dipnot olarak geçti.</t>
        </is>
      </c>
      <c r="J1118" s="6" t="inlineStr">
        <is>
          <t>Perde biraz erken indi. Son cümle perde arkasında kaldı. Seyirci yine de alkışladı; sen duymadın.</t>
        </is>
      </c>
      <c r="K1118" s="6" t="inlineStr">
        <is>
          <t>Perde geç indi; seyirci iki kez alkışlayıp bekledi. Üçüncüsünde vestiyere gitti.</t>
        </is>
      </c>
      <c r="L1118" s="6" t="inlineStr">
        <is>
          <t>Perde bir saniye geç indi. Kimse fark etmedi. Sen fark ettin. Kırk yıldır olduğu gibi.</t>
        </is>
      </c>
      <c r="M1118" s="5" t="inlineStr">
        <is>
          <t>timing</t>
        </is>
      </c>
      <c r="N1118" s="5" t="inlineStr">
        <is>
          <t>Son Perde</t>
        </is>
      </c>
      <c r="O1118" s="6" t="inlineStr">
        <is>
          <t>İşareti yeşil alanda durdur. Perde tam o anda inecek.</t>
        </is>
      </c>
      <c r="P1118" s="6" t="inlineStr"/>
      <c r="Q1118" s="5" t="inlineStr"/>
      <c r="R1118" s="5" t="inlineStr"/>
      <c r="S1118" s="5" t="inlineStr"/>
      <c r="T1118" s="5" t="inlineStr"/>
      <c r="U1118" s="5" t="inlineStr"/>
      <c r="V1118" s="5" t="inlineStr"/>
      <c r="W1118" s="5" t="inlineStr"/>
      <c r="X1118" s="5" t="inlineStr"/>
      <c r="Y1118" s="5" t="inlineStr"/>
      <c r="Z1118" s="6" t="inlineStr"/>
      <c r="AA1118" s="5" t="inlineStr"/>
      <c r="AB1118" s="5" t="inlineStr"/>
      <c r="AC1118" s="5" t="inlineStr"/>
      <c r="AD1118" s="5" t="inlineStr"/>
      <c r="AE1118" s="5" t="inlineStr"/>
      <c r="AF1118" s="5" t="inlineStr"/>
      <c r="AG1118" s="5" t="inlineStr"/>
      <c r="AH1118" s="5" t="inlineStr"/>
    </row>
    <row r="1119">
      <c r="A1119" s="5" t="inlineStr">
        <is>
          <t>ms-son-perde</t>
        </is>
      </c>
      <c r="B1119" s="5" t="n">
        <v>2</v>
      </c>
      <c r="C1119" s="6" t="inlineStr">
        <is>
          <t>Sahneyi genç birine bırak</t>
        </is>
      </c>
      <c r="D1119" s="5" t="inlineStr"/>
      <c r="E1119" s="5" t="inlineStr"/>
      <c r="F1119" s="5" t="inlineStr">
        <is>
          <t>İtibar +2</t>
        </is>
      </c>
      <c r="G1119" s="6" t="inlineStr">
        <is>
          <t>Son gösteriyi bir öğrencine bıraktın, seyirciler arasından izledin. Ücretini ona peşin ödedin.</t>
        </is>
      </c>
      <c r="H1119" s="6" t="inlineStr"/>
      <c r="I1119" s="6" t="inlineStr"/>
      <c r="J1119" s="6" t="inlineStr"/>
      <c r="K1119" s="6" t="inlineStr"/>
      <c r="L1119" s="6" t="inlineStr"/>
      <c r="M1119" s="5" t="inlineStr"/>
      <c r="N1119" s="5" t="inlineStr"/>
      <c r="O1119" s="6" t="inlineStr"/>
      <c r="P1119" s="6" t="inlineStr"/>
      <c r="Q1119" s="5" t="inlineStr"/>
      <c r="R1119" s="5" t="inlineStr"/>
      <c r="S1119" s="5" t="inlineStr"/>
      <c r="T1119" s="5" t="inlineStr"/>
      <c r="U1119" s="5" t="inlineStr"/>
      <c r="V1119" s="5" t="inlineStr"/>
      <c r="W1119" s="5" t="inlineStr"/>
      <c r="X1119" s="5" t="inlineStr"/>
      <c r="Y1119" s="5" t="inlineStr"/>
      <c r="Z1119" s="6" t="inlineStr"/>
      <c r="AA1119" s="5" t="inlineStr"/>
      <c r="AB1119" s="5" t="inlineStr"/>
      <c r="AC1119" s="5" t="inlineStr"/>
      <c r="AD1119" s="5" t="inlineStr"/>
      <c r="AE1119" s="5" t="inlineStr"/>
      <c r="AF1119" s="5" t="inlineStr"/>
      <c r="AG1119" s="5" t="inlineStr"/>
      <c r="AH1119" s="5" t="inlineStr"/>
    </row>
    <row r="1120">
      <c r="A1120" s="5" t="inlineStr">
        <is>
          <t>ms-son-perde</t>
        </is>
      </c>
      <c r="B1120" s="5" t="n">
        <v>3</v>
      </c>
      <c r="C1120" s="6" t="inlineStr">
        <is>
          <t>O eski viral performansı yeniden yap</t>
        </is>
      </c>
      <c r="D1120" s="5" t="inlineStr">
        <is>
          <t>Pişkinlik</t>
        </is>
      </c>
      <c r="E1120" s="5" t="inlineStr">
        <is>
          <t>Kolay</t>
        </is>
      </c>
      <c r="F1120" s="5" t="inlineStr"/>
      <c r="G1120" s="6" t="inlineStr"/>
      <c r="H1120" s="6" t="inlineStr">
        <is>
          <t>Salonun yarısı eski videoyu ezbere biliyordu. Birlikte yaptınız.</t>
        </is>
      </c>
      <c r="I1120" s="6" t="inlineStr">
        <is>
          <t>Aynı performansı otuz yıl sonra yaptın. Bu kez de viral oldun. Bu kez ücretliydi.</t>
        </is>
      </c>
      <c r="J1120" s="6" t="inlineStr">
        <is>
          <t>Performansı yaptın; gençler bunun bir akıma gönderme olduğunu sandı. Akım sendin.</t>
        </is>
      </c>
      <c r="K1120" s="6" t="inlineStr">
        <is>
          <t>Aynı yerde, aynı şekilde takıldın. Seyirci bunun bilinçli bir alıntı olduğunu düşündü.</t>
        </is>
      </c>
      <c r="L1120" s="6" t="inlineStr"/>
      <c r="M1120" s="5" t="inlineStr"/>
      <c r="N1120" s="5" t="inlineStr"/>
      <c r="O1120" s="6" t="inlineStr"/>
      <c r="P1120" s="6" t="inlineStr"/>
      <c r="Q1120" s="5" t="inlineStr"/>
      <c r="R1120" s="5" t="inlineStr">
        <is>
          <t>serbest-viral-oldu</t>
        </is>
      </c>
      <c r="S1120" s="5" t="inlineStr"/>
      <c r="T1120" s="5" t="inlineStr"/>
      <c r="U1120" s="5" t="inlineStr"/>
      <c r="V1120" s="5" t="inlineStr"/>
      <c r="W1120" s="5" t="inlineStr"/>
      <c r="X1120" s="5" t="inlineStr"/>
      <c r="Y1120" s="5" t="inlineStr"/>
      <c r="Z1120" s="6" t="inlineStr"/>
      <c r="AA1120" s="5" t="inlineStr"/>
      <c r="AB1120" s="5" t="inlineStr"/>
      <c r="AC1120" s="5" t="inlineStr"/>
      <c r="AD1120" s="5" t="inlineStr"/>
      <c r="AE1120" s="5" t="inlineStr"/>
      <c r="AF1120" s="5" t="inlineStr"/>
      <c r="AG1120" s="5" t="inlineStr"/>
      <c r="AH1120" s="5" t="inlineStr"/>
    </row>
    <row r="1121">
      <c r="A1121" s="5" t="inlineStr">
        <is>
          <t>b9-noter-miras</t>
        </is>
      </c>
      <c r="B1121" s="5" t="n">
        <v>1</v>
      </c>
      <c r="C1121" s="6" t="inlineStr">
        <is>
          <t>Her şeyi eşit böl</t>
        </is>
      </c>
      <c r="D1121" s="5" t="inlineStr"/>
      <c r="E1121" s="5" t="inlineStr"/>
      <c r="F1121" s="5" t="inlineStr">
        <is>
          <t>İtibar +2</t>
        </is>
      </c>
      <c r="G1121" s="6" t="inlineStr">
        <is>
          <t>Her şeyi eşit böldün. Çocukların itiraz etmedi. Kendi aralarında ise ayrı bir dava açtılar.</t>
        </is>
      </c>
      <c r="H1121" s="6" t="inlineStr"/>
      <c r="I1121" s="6" t="inlineStr"/>
      <c r="J1121" s="6" t="inlineStr"/>
      <c r="K1121" s="6" t="inlineStr"/>
      <c r="L1121" s="6" t="inlineStr"/>
      <c r="M1121" s="5" t="inlineStr"/>
      <c r="N1121" s="5" t="inlineStr"/>
      <c r="O1121" s="6" t="inlineStr"/>
      <c r="P1121" s="6" t="inlineStr"/>
      <c r="Q1121" s="5" t="inlineStr"/>
      <c r="R1121" s="5" t="inlineStr"/>
      <c r="S1121" s="5" t="inlineStr"/>
      <c r="T1121" s="5" t="inlineStr"/>
      <c r="U1121" s="5" t="inlineStr"/>
      <c r="V1121" s="5" t="inlineStr"/>
      <c r="W1121" s="5" t="inlineStr"/>
      <c r="X1121" s="5" t="inlineStr"/>
      <c r="Y1121" s="5" t="inlineStr"/>
      <c r="Z1121" s="6" t="inlineStr"/>
      <c r="AA1121" s="5" t="inlineStr"/>
      <c r="AB1121" s="5" t="inlineStr"/>
      <c r="AC1121" s="5" t="inlineStr"/>
      <c r="AD1121" s="5" t="inlineStr"/>
      <c r="AE1121" s="5" t="inlineStr"/>
      <c r="AF1121" s="5" t="inlineStr"/>
      <c r="AG1121" s="5" t="inlineStr"/>
      <c r="AH1121" s="5" t="inlineStr"/>
    </row>
    <row r="1122">
      <c r="A1122" s="5" t="inlineStr">
        <is>
          <t>b9-noter-miras</t>
        </is>
      </c>
      <c r="B1122" s="5" t="n">
        <v>2</v>
      </c>
      <c r="C1122" s="6" t="inlineStr">
        <is>
          <t>Evi en çok ziyaret edene bırak</t>
        </is>
      </c>
      <c r="D1122" s="5" t="inlineStr">
        <is>
          <t>Çene</t>
        </is>
      </c>
      <c r="E1122" s="5" t="inlineStr">
        <is>
          <t>Zor</t>
        </is>
      </c>
      <c r="F1122" s="5" t="inlineStr"/>
      <c r="G1122" s="6" t="inlineStr"/>
      <c r="H1122" s="6" t="inlineStr">
        <is>
          <t>Maddeyi ekledin. Ertesi hafta sonu kapında üç çocuk ve iki torun vardı. Ziyaret sayısı tavan yaptı.</t>
        </is>
      </c>
      <c r="I1122" s="6" t="inlineStr">
        <is>
          <t>Madde işe yaradı. Pazar kahvaltıları yeniden başladı. Evin değeri arttı; aile değeri de.</t>
        </is>
      </c>
      <c r="J1122" s="6" t="inlineStr">
        <is>
          <t>Maddeyi ekledin. Çocukların ziyaret takvimi oluşturdu. Takvim bir elektronik tablo; senin de erişimin yok.</t>
        </is>
      </c>
      <c r="K1122" s="6" t="inlineStr">
        <is>
          <t>Maddeyi ekledin. Sadece komşu çocuğu geldi. Hukuken bir sorun yok. Ailevi olarak var.</t>
        </is>
      </c>
      <c r="L1122" s="6" t="inlineStr"/>
      <c r="M1122" s="5" t="inlineStr"/>
      <c r="N1122" s="5" t="inlineStr"/>
      <c r="O1122" s="6" t="inlineStr"/>
      <c r="P1122" s="6" t="inlineStr"/>
      <c r="Q1122" s="5" t="inlineStr"/>
      <c r="R1122" s="5" t="inlineStr">
        <is>
          <t>ev-sahibi</t>
        </is>
      </c>
      <c r="S1122" s="5" t="inlineStr"/>
      <c r="T1122" s="5" t="inlineStr"/>
      <c r="U1122" s="5" t="inlineStr"/>
      <c r="V1122" s="5" t="inlineStr"/>
      <c r="W1122" s="5" t="inlineStr"/>
      <c r="X1122" s="5" t="inlineStr"/>
      <c r="Y1122" s="5" t="inlineStr"/>
      <c r="Z1122" s="6" t="inlineStr"/>
      <c r="AA1122" s="5" t="inlineStr"/>
      <c r="AB1122" s="5" t="inlineStr"/>
      <c r="AC1122" s="5" t="inlineStr"/>
      <c r="AD1122" s="5" t="inlineStr"/>
      <c r="AE1122" s="5" t="inlineStr"/>
      <c r="AF1122" s="5" t="inlineStr"/>
      <c r="AG1122" s="5" t="inlineStr"/>
      <c r="AH1122" s="5" t="inlineStr"/>
    </row>
    <row r="1123">
      <c r="A1123" s="5" t="inlineStr">
        <is>
          <t>b9-noter-miras</t>
        </is>
      </c>
      <c r="B1123" s="5" t="n">
        <v>3</v>
      </c>
      <c r="C1123" s="6" t="inlineStr">
        <is>
          <t>Gizli bir madde ekle</t>
        </is>
      </c>
      <c r="D1123" s="5" t="inlineStr">
        <is>
          <t>Kurnazlık</t>
        </is>
      </c>
      <c r="E1123" s="5" t="inlineStr">
        <is>
          <t>Orta</t>
        </is>
      </c>
      <c r="F1123" s="5" t="inlineStr"/>
      <c r="G1123" s="6" t="inlineStr"/>
      <c r="H1123" s="6" t="inlineStr">
        <is>
          <t>Gizli madde: 'Bu belgeyi okuyan çocuk, kardeşini aramalı.' Noter de gülümsedi.</t>
        </is>
      </c>
      <c r="I1123" s="6" t="inlineStr">
        <is>
          <t>Gizli maddeye bir bilmece yazdın. Aile bir yıl boyunca birlikte bilmeceyi çözmeye çalışacak. Birliktelik garanti.</t>
        </is>
      </c>
      <c r="J1123" s="6" t="inlineStr">
        <is>
          <t>Gizli maddeyi ekledin ama noter onu gizli tutmadı. Hemen yüksek sesle okudu. Mesleki gereklilik.</t>
        </is>
      </c>
      <c r="K1123" s="6" t="inlineStr">
        <is>
          <t>Gizli madde: 'Kediyi en çok seven, evi alır.' Kedi senden önce öldü. Madde hâlâ geçerli.</t>
        </is>
      </c>
      <c r="L1123" s="6" t="inlineStr"/>
      <c r="M1123" s="5" t="inlineStr"/>
      <c r="N1123" s="5" t="inlineStr"/>
      <c r="O1123" s="6" t="inlineStr"/>
      <c r="P1123" s="6" t="inlineStr"/>
      <c r="Q1123" s="5" t="inlineStr"/>
      <c r="R1123" s="5" t="inlineStr"/>
      <c r="S1123" s="5" t="inlineStr">
        <is>
          <t>Kurnazlık</t>
        </is>
      </c>
      <c r="T1123" s="5" t="inlineStr"/>
      <c r="U1123" s="5" t="inlineStr"/>
      <c r="V1123" s="5" t="inlineStr"/>
      <c r="W1123" s="5" t="inlineStr"/>
      <c r="X1123" s="5" t="inlineStr"/>
      <c r="Y1123" s="5" t="inlineStr"/>
      <c r="Z1123" s="6" t="inlineStr"/>
      <c r="AA1123" s="5" t="inlineStr"/>
      <c r="AB1123" s="5" t="inlineStr"/>
      <c r="AC1123" s="5" t="inlineStr"/>
      <c r="AD1123" s="5" t="inlineStr"/>
      <c r="AE1123" s="5" t="inlineStr"/>
      <c r="AF1123" s="5" t="inlineStr"/>
      <c r="AG1123" s="5" t="inlineStr"/>
      <c r="AH1123" s="5" t="inlineStr"/>
    </row>
    <row r="1124">
      <c r="A1124" s="5" t="inlineStr">
        <is>
          <t>b9-dev-kabak</t>
        </is>
      </c>
      <c r="B1124" s="5" t="n">
        <v>1</v>
      </c>
      <c r="C1124" s="6" t="inlineStr">
        <is>
          <t>Kabağı kendin taşı</t>
        </is>
      </c>
      <c r="D1124" s="5" t="inlineStr">
        <is>
          <t>Dayanıklılık</t>
        </is>
      </c>
      <c r="E1124" s="5" t="inlineStr">
        <is>
          <t>Zor</t>
        </is>
      </c>
      <c r="F1124" s="5" t="inlineStr"/>
      <c r="G1124" s="6" t="inlineStr"/>
      <c r="H1124" s="6" t="inlineStr">
        <is>
          <t>Kabağı taşıdın. Yarışmada ikinci oldun. Birinciyi taşıyan, bir forklifti vardı.</t>
        </is>
      </c>
      <c r="I1124" s="6" t="inlineStr">
        <is>
          <t>Kabağı kaldırdın ve yarışmada birinci oldun. Belediye sana plaket verdi. Plaket kabak şeklinde.</t>
        </is>
      </c>
      <c r="J1124" s="6" t="inlineStr">
        <is>
          <t>Kabağı kaldıramadın. Kabak bahçede kaldı ve kışın çürüdü. Bahar geldiğinde yeni kabaklar filizlendi.</t>
        </is>
      </c>
      <c r="K1124" s="6" t="inlineStr">
        <is>
          <t>Kabağı kaldırmaya çalıştın; kabak yuvarlandı ve komşunun çitini yıktı. Kabak yarışmada, sen tutanakta.</t>
        </is>
      </c>
      <c r="L1124" s="6" t="inlineStr"/>
      <c r="M1124" s="5" t="inlineStr"/>
      <c r="N1124" s="5" t="inlineStr"/>
      <c r="O1124" s="6" t="inlineStr"/>
      <c r="P1124" s="6" t="inlineStr"/>
      <c r="Q1124" s="5" t="inlineStr"/>
      <c r="R1124" s="5" t="inlineStr"/>
      <c r="S1124" s="5" t="inlineStr"/>
      <c r="T1124" s="5" t="inlineStr"/>
      <c r="U1124" s="5" t="inlineStr"/>
      <c r="V1124" s="5" t="inlineStr"/>
      <c r="W1124" s="5" t="inlineStr"/>
      <c r="X1124" s="5" t="inlineStr"/>
      <c r="Y1124" s="5" t="n">
        <v>3</v>
      </c>
      <c r="Z1124" s="6" t="inlineStr">
        <is>
          <t>Yazlığın bahçesinde dev kabak hasadında. Kabak yarışmada birinci oldu.</t>
        </is>
      </c>
      <c r="AA1124" s="5" t="inlineStr"/>
      <c r="AB1124" s="5" t="inlineStr"/>
      <c r="AC1124" s="5" t="inlineStr"/>
      <c r="AD1124" s="5" t="inlineStr"/>
      <c r="AE1124" s="5" t="inlineStr"/>
      <c r="AF1124" s="5" t="inlineStr"/>
      <c r="AG1124" s="5" t="inlineStr"/>
      <c r="AH1124" s="5" t="inlineStr"/>
    </row>
    <row r="1125">
      <c r="A1125" s="5" t="inlineStr">
        <is>
          <t>b9-dev-kabak</t>
        </is>
      </c>
      <c r="B1125" s="5" t="n">
        <v>2</v>
      </c>
      <c r="C1125" s="6" t="inlineStr">
        <is>
          <t>Kabaktan komşulara reçel yap</t>
        </is>
      </c>
      <c r="D1125" s="5" t="inlineStr"/>
      <c r="E1125" s="5" t="inlineStr"/>
      <c r="F1125" s="5" t="inlineStr">
        <is>
          <t>İtibar +2</t>
        </is>
      </c>
      <c r="G1125" s="6" t="inlineStr">
        <is>
          <t>Kabak reçeli yaptın. Otuz kavanoz. Komşular teşekkür etti. Bir yıl boyunca her gün kabak reçeli yedin.</t>
        </is>
      </c>
      <c r="H1125" s="6" t="inlineStr"/>
      <c r="I1125" s="6" t="inlineStr"/>
      <c r="J1125" s="6" t="inlineStr"/>
      <c r="K1125" s="6" t="inlineStr"/>
      <c r="L1125" s="6" t="inlineStr"/>
      <c r="M1125" s="5" t="inlineStr"/>
      <c r="N1125" s="5" t="inlineStr"/>
      <c r="O1125" s="6" t="inlineStr"/>
      <c r="P1125" s="6" t="inlineStr"/>
      <c r="Q1125" s="5" t="inlineStr"/>
      <c r="R1125" s="5" t="inlineStr"/>
      <c r="S1125" s="5" t="inlineStr"/>
      <c r="T1125" s="5" t="inlineStr"/>
      <c r="U1125" s="5" t="inlineStr"/>
      <c r="V1125" s="5" t="inlineStr"/>
      <c r="W1125" s="5" t="inlineStr"/>
      <c r="X1125" s="5" t="inlineStr"/>
      <c r="Y1125" s="5" t="inlineStr"/>
      <c r="Z1125" s="6" t="inlineStr"/>
      <c r="AA1125" s="5" t="inlineStr"/>
      <c r="AB1125" s="5" t="inlineStr"/>
      <c r="AC1125" s="5" t="inlineStr"/>
      <c r="AD1125" s="5" t="inlineStr"/>
      <c r="AE1125" s="5" t="inlineStr"/>
      <c r="AF1125" s="5" t="inlineStr"/>
      <c r="AG1125" s="5" t="inlineStr"/>
      <c r="AH1125" s="5" t="inlineStr"/>
    </row>
    <row r="1126">
      <c r="A1126" s="5" t="inlineStr">
        <is>
          <t>b9-dev-kabak</t>
        </is>
      </c>
      <c r="B1126" s="5" t="n">
        <v>3</v>
      </c>
      <c r="C1126" s="6" t="inlineStr">
        <is>
          <t>Bahçe Filozofu olarak ilan et</t>
        </is>
      </c>
      <c r="D1126" s="5" t="inlineStr">
        <is>
          <t>Çene</t>
        </is>
      </c>
      <c r="E1126" s="5" t="inlineStr">
        <is>
          <t>Orta</t>
        </is>
      </c>
      <c r="F1126" s="5" t="inlineStr"/>
      <c r="G1126" s="6" t="inlineStr"/>
      <c r="H1126" s="6" t="inlineStr">
        <is>
          <t>Kabağın yanında 'Sabır, büyük sonuç verir' tabelası koydun. Mahalle fotoğraf çekmeye geldi.</t>
        </is>
      </c>
      <c r="I1126" s="6" t="inlineStr">
        <is>
          <t>Kabağının fotoğrafı mahalle grubunda viral oldu. Belediye kabağına bir isim vermeni istedi.</t>
        </is>
      </c>
      <c r="J1126" s="6" t="inlineStr">
        <is>
          <t>Tabelayı koydun; kabak tabelanın üstüne yuvarlandı. Felsefe ezildi.</t>
        </is>
      </c>
      <c r="K1126" s="6" t="inlineStr">
        <is>
          <t>Tabelayı koydun; bir çocuk tabelayı okuyup kabağı sabırla oydu. Kabak şimdi bir fener.</t>
        </is>
      </c>
      <c r="L1126" s="6" t="inlineStr"/>
      <c r="M1126" s="5" t="inlineStr"/>
      <c r="N1126" s="5" t="inlineStr"/>
      <c r="O1126" s="6" t="inlineStr"/>
      <c r="P1126" s="6" t="inlineStr"/>
      <c r="Q1126" s="5" t="inlineStr">
        <is>
          <t>Bahçe Filozofu</t>
        </is>
      </c>
      <c r="R1126" s="5" t="inlineStr"/>
      <c r="S1126" s="5" t="inlineStr"/>
      <c r="T1126" s="5" t="inlineStr"/>
      <c r="U1126" s="5" t="inlineStr"/>
      <c r="V1126" s="5" t="inlineStr"/>
      <c r="W1126" s="5" t="inlineStr"/>
      <c r="X1126" s="5" t="inlineStr"/>
      <c r="Y1126" s="5" t="inlineStr"/>
      <c r="Z1126" s="6" t="inlineStr"/>
      <c r="AA1126" s="5" t="inlineStr"/>
      <c r="AB1126" s="5" t="inlineStr"/>
      <c r="AC1126" s="5" t="inlineStr"/>
      <c r="AD1126" s="5" t="inlineStr"/>
      <c r="AE1126" s="5" t="inlineStr"/>
      <c r="AF1126" s="5" t="inlineStr"/>
      <c r="AG1126" s="5" t="inlineStr"/>
      <c r="AH1126" s="5" t="inlineStr"/>
    </row>
    <row r="1127">
      <c r="A1127" s="5" t="inlineStr">
        <is>
          <t>me-son-kepenk</t>
        </is>
      </c>
      <c r="B1127" s="5" t="n">
        <v>1</v>
      </c>
      <c r="C1127" s="6" t="inlineStr">
        <is>
          <t>Kepengi son kez indir</t>
        </is>
      </c>
      <c r="D1127" s="5" t="inlineStr"/>
      <c r="E1127" s="5" t="inlineStr"/>
      <c r="F1127" s="5" t="inlineStr">
        <is>
          <t>İtibar +2</t>
        </is>
      </c>
      <c r="G1127" s="6" t="inlineStr">
        <is>
          <t>Kepengi indirdin. Mahalle alkışladı. Kepenk de son kez gıcırdayarak katıldı.</t>
        </is>
      </c>
      <c r="H1127" s="6" t="inlineStr"/>
      <c r="I1127" s="6" t="inlineStr"/>
      <c r="J1127" s="6" t="inlineStr"/>
      <c r="K1127" s="6" t="inlineStr"/>
      <c r="L1127" s="6" t="inlineStr"/>
      <c r="M1127" s="5" t="inlineStr"/>
      <c r="N1127" s="5" t="inlineStr"/>
      <c r="O1127" s="6" t="inlineStr"/>
      <c r="P1127" s="6" t="inlineStr"/>
      <c r="Q1127" s="5" t="inlineStr"/>
      <c r="R1127" s="5" t="inlineStr"/>
      <c r="S1127" s="5" t="inlineStr"/>
      <c r="T1127" s="5" t="inlineStr"/>
      <c r="U1127" s="5" t="inlineStr">
        <is>
          <t>emekli</t>
        </is>
      </c>
      <c r="V1127" s="5" t="inlineStr"/>
      <c r="W1127" s="5" t="inlineStr"/>
      <c r="X1127" s="5" t="inlineStr"/>
      <c r="Y1127" s="5" t="inlineStr"/>
      <c r="Z1127" s="6" t="inlineStr"/>
      <c r="AA1127" s="5" t="inlineStr"/>
      <c r="AB1127" s="5" t="inlineStr"/>
      <c r="AC1127" s="5" t="inlineStr"/>
      <c r="AD1127" s="5" t="inlineStr"/>
      <c r="AE1127" s="5" t="inlineStr"/>
      <c r="AF1127" s="5" t="inlineStr"/>
      <c r="AG1127" s="5" t="inlineStr"/>
      <c r="AH1127" s="5" t="inlineStr"/>
    </row>
    <row r="1128">
      <c r="A1128" s="5" t="inlineStr">
        <is>
          <t>me-son-kepenk</t>
        </is>
      </c>
      <c r="B1128" s="5" t="n">
        <v>2</v>
      </c>
      <c r="C1128" s="6" t="inlineStr">
        <is>
          <t>Kepengi yardım almadan indir</t>
        </is>
      </c>
      <c r="D1128" s="5" t="inlineStr">
        <is>
          <t>Dayanıklılık</t>
        </is>
      </c>
      <c r="E1128" s="5" t="inlineStr">
        <is>
          <t>Orta</t>
        </is>
      </c>
      <c r="F1128" s="5" t="inlineStr"/>
      <c r="G1128" s="6" t="inlineStr"/>
      <c r="H1128" s="6" t="inlineStr">
        <is>
          <t>Tam ortada yirmi yıllık o takılma yaşandı. Aşıldı.</t>
        </is>
      </c>
      <c r="I1128" s="6" t="inlineStr">
        <is>
          <t>Kepengi indirdin, kilidini taktın, anahtarı mahalleden bir çocuğa uzattın: 'Yarın sen aç.'</t>
        </is>
      </c>
      <c r="J1128" s="6" t="inlineStr">
        <is>
          <t>Kepenk yarıda kaldı. Son iş günün yarım kepenkle tarihe geçti.</t>
        </is>
      </c>
      <c r="K1128" s="6" t="inlineStr">
        <is>
          <t>Kepengi indirdin; anahtar içeride kaldı. Emekliliğin çilingirde başladı.</t>
        </is>
      </c>
      <c r="L1128" s="6" t="inlineStr"/>
      <c r="M1128" s="5" t="inlineStr"/>
      <c r="N1128" s="5" t="inlineStr"/>
      <c r="O1128" s="6" t="inlineStr"/>
      <c r="P1128" s="6" t="inlineStr"/>
      <c r="Q1128" s="5" t="inlineStr"/>
      <c r="R1128" s="5" t="inlineStr"/>
      <c r="S1128" s="5" t="inlineStr"/>
      <c r="T1128" s="5" t="inlineStr"/>
      <c r="U1128" s="5" t="inlineStr">
        <is>
          <t>emekli</t>
        </is>
      </c>
      <c r="V1128" s="5" t="inlineStr"/>
      <c r="W1128" s="5" t="inlineStr"/>
      <c r="X1128" s="5" t="inlineStr"/>
      <c r="Y1128" s="5" t="n">
        <v>2</v>
      </c>
      <c r="Z1128" s="6" t="inlineStr">
        <is>
          <t>Son iş gününde, kepengi kimseden yardım istemeden indirirken. Kepenk sonunda yerine oturdu.</t>
        </is>
      </c>
      <c r="AA1128" s="5" t="inlineStr"/>
      <c r="AB1128" s="5" t="inlineStr"/>
      <c r="AC1128" s="5" t="inlineStr"/>
      <c r="AD1128" s="5" t="inlineStr"/>
      <c r="AE1128" s="5" t="inlineStr"/>
      <c r="AF1128" s="5" t="inlineStr"/>
      <c r="AG1128" s="5" t="inlineStr"/>
      <c r="AH1128" s="5" t="inlineStr"/>
    </row>
    <row r="1129">
      <c r="A1129" s="5" t="inlineStr">
        <is>
          <t>me-son-kepenk</t>
        </is>
      </c>
      <c r="B1129" s="5" t="n">
        <v>3</v>
      </c>
      <c r="C1129" s="6" t="inlineStr">
        <is>
          <t>Veda indirimi yap</t>
        </is>
      </c>
      <c r="D1129" s="5" t="inlineStr">
        <is>
          <t>Çene</t>
        </is>
      </c>
      <c r="E1129" s="5" t="inlineStr">
        <is>
          <t>Kolay</t>
        </is>
      </c>
      <c r="F1129" s="5" t="inlineStr"/>
      <c r="G1129" s="6" t="inlineStr"/>
      <c r="H1129" s="6" t="inlineStr">
        <is>
          <t>Her şey yarı fiyatına. Raflar üç saatte boşaldı. Otuz yıl bir öğleden sonraya sığdı.</t>
        </is>
      </c>
      <c r="I1129" s="6" t="inlineStr">
        <is>
          <t>Raflar boşaldı, müşteriler dükkânın tabelasını da hatıra olarak satın almak istedi. Sattın.</t>
        </is>
      </c>
      <c r="J1129" s="6" t="inlineStr">
        <is>
          <t>Veda indirimini kimse ciddiye almadı. 'Nasılsa yarın açıksın' dediler.</t>
        </is>
      </c>
      <c r="K1129" s="6" t="inlineStr">
        <is>
          <t>Müşteriler 'Toptan olur mu?' dedi. İndirimin üstüne indirim yaptın. Emekliliğe zararla girdin.</t>
        </is>
      </c>
      <c r="L1129" s="6" t="inlineStr"/>
      <c r="M1129" s="5" t="inlineStr"/>
      <c r="N1129" s="5" t="inlineStr"/>
      <c r="O1129" s="6" t="inlineStr"/>
      <c r="P1129" s="6" t="inlineStr"/>
      <c r="Q1129" s="5" t="inlineStr"/>
      <c r="R1129" s="5" t="inlineStr"/>
      <c r="S1129" s="5" t="inlineStr"/>
      <c r="T1129" s="5" t="inlineStr"/>
      <c r="U1129" s="5" t="inlineStr">
        <is>
          <t>emekli</t>
        </is>
      </c>
      <c r="V1129" s="5" t="inlineStr"/>
      <c r="W1129" s="5" t="inlineStr"/>
      <c r="X1129" s="5" t="inlineStr"/>
      <c r="Y1129" s="5" t="inlineStr"/>
      <c r="Z1129" s="6" t="inlineStr"/>
      <c r="AA1129" s="5" t="inlineStr"/>
      <c r="AB1129" s="5" t="inlineStr"/>
      <c r="AC1129" s="5" t="inlineStr"/>
      <c r="AD1129" s="5" t="inlineStr"/>
      <c r="AE1129" s="5" t="inlineStr"/>
      <c r="AF1129" s="5" t="inlineStr"/>
      <c r="AG1129" s="5" t="inlineStr"/>
      <c r="AH1129" s="5" t="inlineStr"/>
    </row>
    <row r="1130">
      <c r="A1130" s="5" t="inlineStr">
        <is>
          <t>me-son-kepenk</t>
        </is>
      </c>
      <c r="B1130" s="5" t="n">
        <v>4</v>
      </c>
      <c r="C1130" s="6" t="inlineStr">
        <is>
          <t>'Yarın yine gelirim' de</t>
        </is>
      </c>
      <c r="D1130" s="5" t="inlineStr"/>
      <c r="E1130" s="5" t="inlineStr"/>
      <c r="F1130" s="5" t="inlineStr">
        <is>
          <t>Dayanıklılık +1</t>
        </is>
      </c>
      <c r="G1130" s="6" t="inlineStr">
        <is>
          <t>Kepengi yarıya indirip çay demledin. Emeklilik resmen başladı; fiilen yarın 08.00'de yine buradasın.</t>
        </is>
      </c>
      <c r="H1130" s="6" t="inlineStr"/>
      <c r="I1130" s="6" t="inlineStr"/>
      <c r="J1130" s="6" t="inlineStr"/>
      <c r="K1130" s="6" t="inlineStr"/>
      <c r="L1130" s="6" t="inlineStr"/>
      <c r="M1130" s="5" t="inlineStr"/>
      <c r="N1130" s="5" t="inlineStr"/>
      <c r="O1130" s="6" t="inlineStr"/>
      <c r="P1130" s="6" t="inlineStr"/>
      <c r="Q1130" s="5" t="inlineStr"/>
      <c r="R1130" s="5" t="inlineStr"/>
      <c r="S1130" s="5" t="inlineStr"/>
      <c r="T1130" s="5" t="inlineStr"/>
      <c r="U1130" s="5" t="inlineStr"/>
      <c r="V1130" s="5" t="inlineStr"/>
      <c r="W1130" s="5" t="inlineStr"/>
      <c r="X1130" s="5" t="inlineStr"/>
      <c r="Y1130" s="5" t="inlineStr"/>
      <c r="Z1130" s="6" t="inlineStr"/>
      <c r="AA1130" s="5" t="inlineStr"/>
      <c r="AB1130" s="5" t="inlineStr"/>
      <c r="AC1130" s="5" t="inlineStr"/>
      <c r="AD1130" s="5" t="inlineStr"/>
      <c r="AE1130" s="5" t="inlineStr"/>
      <c r="AF1130" s="5" t="inlineStr"/>
      <c r="AG1130" s="5" t="inlineStr"/>
      <c r="AH1130" s="5" t="inlineStr"/>
    </row>
    <row r="1131">
      <c r="A1131" s="5" t="inlineStr">
        <is>
          <t>b9-emekli-seyahati</t>
        </is>
      </c>
      <c r="B1131" s="5" t="n">
        <v>1</v>
      </c>
      <c r="C1131" s="6" t="inlineStr">
        <is>
          <t>Programa harfiyen uy</t>
        </is>
      </c>
      <c r="D1131" s="5" t="inlineStr"/>
      <c r="E1131" s="5" t="inlineStr"/>
      <c r="F1131" s="5" t="inlineStr">
        <is>
          <t>Dayanıklılık +2</t>
        </is>
      </c>
      <c r="G1131" s="6" t="inlineStr">
        <is>
          <t>Yedi müze, üç dükkân ve bir halı mağazası. Dönüşte otobüste herkes uyudu. Şoför dahil kısa süreliğine.</t>
        </is>
      </c>
      <c r="H1131" s="6" t="inlineStr"/>
      <c r="I1131" s="6" t="inlineStr"/>
      <c r="J1131" s="6" t="inlineStr"/>
      <c r="K1131" s="6" t="inlineStr"/>
      <c r="L1131" s="6" t="inlineStr"/>
      <c r="M1131" s="5" t="inlineStr"/>
      <c r="N1131" s="5" t="inlineStr"/>
      <c r="O1131" s="6" t="inlineStr"/>
      <c r="P1131" s="6" t="inlineStr"/>
      <c r="Q1131" s="5" t="inlineStr"/>
      <c r="R1131" s="5" t="inlineStr"/>
      <c r="S1131" s="5" t="inlineStr"/>
      <c r="T1131" s="5" t="inlineStr"/>
      <c r="U1131" s="5" t="inlineStr"/>
      <c r="V1131" s="5" t="inlineStr"/>
      <c r="W1131" s="5" t="inlineStr"/>
      <c r="X1131" s="5" t="inlineStr"/>
      <c r="Y1131" s="5" t="inlineStr"/>
      <c r="Z1131" s="6" t="inlineStr"/>
      <c r="AA1131" s="5" t="inlineStr"/>
      <c r="AB1131" s="5" t="inlineStr"/>
      <c r="AC1131" s="5" t="inlineStr"/>
      <c r="AD1131" s="5" t="inlineStr"/>
      <c r="AE1131" s="5" t="inlineStr"/>
      <c r="AF1131" s="5" t="inlineStr"/>
      <c r="AG1131" s="5" t="inlineStr"/>
      <c r="AH1131" s="5" t="inlineStr"/>
    </row>
    <row r="1132">
      <c r="A1132" s="5" t="inlineStr">
        <is>
          <t>b9-emekli-seyahati</t>
        </is>
      </c>
      <c r="B1132" s="5" t="n">
        <v>2</v>
      </c>
      <c r="C1132" s="6" t="inlineStr">
        <is>
          <t>Son durakta bir fotoğraf daha çek</t>
        </is>
      </c>
      <c r="D1132" s="5" t="inlineStr">
        <is>
          <t>Cesaret</t>
        </is>
      </c>
      <c r="E1132" s="5" t="inlineStr">
        <is>
          <t>Orta</t>
        </is>
      </c>
      <c r="F1132" s="5" t="inlineStr"/>
      <c r="G1132" s="6" t="inlineStr"/>
      <c r="H1132" s="6" t="inlineStr">
        <is>
          <t>Uçurum kenarında fotoğraf çektin. Manzara muhteşem. Rehber seni otobüse geri çağırdı.</t>
        </is>
      </c>
      <c r="I1132" s="6" t="inlineStr">
        <is>
          <t>Fotoğraf öyle güzel çıktı ki dernek bunu yıllık takvimin kapağı yaptı. Herkes seni tanıyor.</t>
        </is>
      </c>
      <c r="J1132" s="6" t="inlineStr">
        <is>
          <t>Fotoğrafı çektin; parmağın objektifin önündeydi. Anı: bir parmak ve biraz gökyüzü.</t>
        </is>
      </c>
      <c r="K1132" s="6" t="inlineStr">
        <is>
          <t>Fotoğraf çekerken otobüs kalktı. Bir sonraki turla, ertesi yıl döndün.</t>
        </is>
      </c>
      <c r="L1132" s="6" t="inlineStr"/>
      <c r="M1132" s="5" t="inlineStr"/>
      <c r="N1132" s="5" t="inlineStr"/>
      <c r="O1132" s="6" t="inlineStr"/>
      <c r="P1132" s="6" t="inlineStr"/>
      <c r="Q1132" s="5" t="inlineStr"/>
      <c r="R1132" s="5" t="inlineStr"/>
      <c r="S1132" s="5" t="inlineStr"/>
      <c r="T1132" s="5" t="inlineStr"/>
      <c r="U1132" s="5" t="inlineStr"/>
      <c r="V1132" s="5" t="inlineStr"/>
      <c r="W1132" s="5" t="inlineStr"/>
      <c r="X1132" s="5" t="inlineStr"/>
      <c r="Y1132" s="5" t="n">
        <v>3</v>
      </c>
      <c r="Z1132" s="6" t="inlineStr">
        <is>
          <t>Emekli turunun son durağında, rehberin 'Son bir fotoğraf' demesinden sonra. Fotoğraf çok güzel çıktı.</t>
        </is>
      </c>
      <c r="AA1132" s="5" t="inlineStr"/>
      <c r="AB1132" s="5" t="inlineStr"/>
      <c r="AC1132" s="5" t="inlineStr"/>
      <c r="AD1132" s="5" t="inlineStr"/>
      <c r="AE1132" s="5" t="inlineStr"/>
      <c r="AF1132" s="5" t="inlineStr"/>
      <c r="AG1132" s="5" t="inlineStr"/>
      <c r="AH1132" s="5" t="inlineStr"/>
    </row>
    <row r="1133">
      <c r="A1133" s="5" t="inlineStr">
        <is>
          <t>b9-emekli-seyahati</t>
        </is>
      </c>
      <c r="B1133" s="5" t="n">
        <v>3</v>
      </c>
      <c r="C1133" s="6" t="inlineStr">
        <is>
          <t>Turun liderliğini devral</t>
        </is>
      </c>
      <c r="D1133" s="5" t="inlineStr">
        <is>
          <t>Çene</t>
        </is>
      </c>
      <c r="E1133" s="5" t="inlineStr">
        <is>
          <t>Zor</t>
        </is>
      </c>
      <c r="F1133" s="5" t="inlineStr"/>
      <c r="G1133" s="6" t="inlineStr"/>
      <c r="H1133" s="6" t="inlineStr">
        <is>
          <t>Rehberin mikrofonunu aldın. Programa bir çay molası ekledin. Otobüs seni sevdi.</t>
        </is>
      </c>
      <c r="I1133" s="6" t="inlineStr">
        <is>
          <t>Turun liderliğini devraldın; dernek sonraki turu sana verdi. Emekliliğin ikinci mesleği: tur rehberi.</t>
        </is>
      </c>
      <c r="J1133" s="6" t="inlineStr">
        <is>
          <t>Mikrofonu aldın ama ses sistemi arızalı. Sadece ön sıra seni duydu. Yönetim kurulu memnun.</t>
        </is>
      </c>
      <c r="K1133" s="6" t="inlineStr">
        <is>
          <t>Mikrofonu aldın, halı mağazasını programdan çıkardın. Rehberin komisyonu yandı. Dönüş yolu çok sessiz geçti.</t>
        </is>
      </c>
      <c r="L1133" s="6" t="inlineStr"/>
      <c r="M1133" s="5" t="inlineStr"/>
      <c r="N1133" s="5" t="inlineStr"/>
      <c r="O1133" s="6" t="inlineStr"/>
      <c r="P1133" s="6" t="inlineStr"/>
      <c r="Q1133" s="5" t="inlineStr">
        <is>
          <t>Organizatör</t>
        </is>
      </c>
      <c r="R1133" s="5" t="inlineStr"/>
      <c r="S1133" s="5" t="inlineStr"/>
      <c r="T1133" s="5" t="inlineStr"/>
      <c r="U1133" s="5" t="inlineStr"/>
      <c r="V1133" s="5" t="inlineStr"/>
      <c r="W1133" s="5" t="inlineStr"/>
      <c r="X1133" s="5" t="inlineStr"/>
      <c r="Y1133" s="5" t="inlineStr"/>
      <c r="Z1133" s="6" t="inlineStr"/>
      <c r="AA1133" s="5" t="inlineStr"/>
      <c r="AB1133" s="5" t="inlineStr"/>
      <c r="AC1133" s="5" t="inlineStr"/>
      <c r="AD1133" s="5" t="inlineStr"/>
      <c r="AE1133" s="5" t="inlineStr"/>
      <c r="AF1133" s="5" t="inlineStr"/>
      <c r="AG1133" s="5" t="inlineStr"/>
      <c r="AH1133" s="5" t="inlineStr"/>
    </row>
    <row r="1134">
      <c r="A1134" s="5" t="inlineStr">
        <is>
          <t>b9-sifre-unuttum</t>
        </is>
      </c>
      <c r="B1134" s="5" t="n">
        <v>1</v>
      </c>
      <c r="C1134" s="6" t="inlineStr">
        <is>
          <t>Şubeye git, sırada bekle</t>
        </is>
      </c>
      <c r="D1134" s="5" t="inlineStr"/>
      <c r="E1134" s="5" t="inlineStr"/>
      <c r="F1134" s="5" t="inlineStr">
        <is>
          <t>Dayanıklılık +2</t>
        </is>
      </c>
      <c r="G1134" s="6" t="inlineStr">
        <is>
          <t>Sırada bekledin. Sıra geldiğinde görevli yeni şifreni kâğıda yazmanı önerdi. Kâğıdı hâlâ arıyorsun.</t>
        </is>
      </c>
      <c r="H1134" s="6" t="inlineStr"/>
      <c r="I1134" s="6" t="inlineStr"/>
      <c r="J1134" s="6" t="inlineStr"/>
      <c r="K1134" s="6" t="inlineStr"/>
      <c r="L1134" s="6" t="inlineStr"/>
      <c r="M1134" s="5" t="inlineStr"/>
      <c r="N1134" s="5" t="inlineStr"/>
      <c r="O1134" s="6" t="inlineStr"/>
      <c r="P1134" s="6" t="inlineStr"/>
      <c r="Q1134" s="5" t="inlineStr"/>
      <c r="R1134" s="5" t="inlineStr"/>
      <c r="S1134" s="5" t="inlineStr"/>
      <c r="T1134" s="5" t="inlineStr"/>
      <c r="U1134" s="5" t="inlineStr"/>
      <c r="V1134" s="5" t="inlineStr"/>
      <c r="W1134" s="5" t="inlineStr"/>
      <c r="X1134" s="5" t="inlineStr"/>
      <c r="Y1134" s="5" t="inlineStr"/>
      <c r="Z1134" s="6" t="inlineStr"/>
      <c r="AA1134" s="5" t="inlineStr"/>
      <c r="AB1134" s="5" t="inlineStr"/>
      <c r="AC1134" s="5" t="inlineStr"/>
      <c r="AD1134" s="5" t="inlineStr"/>
      <c r="AE1134" s="5" t="inlineStr"/>
      <c r="AF1134" s="5" t="inlineStr"/>
      <c r="AG1134" s="5" t="inlineStr"/>
      <c r="AH1134" s="5" t="inlineStr"/>
    </row>
    <row r="1135">
      <c r="A1135" s="5" t="inlineStr">
        <is>
          <t>b9-sifre-unuttum</t>
        </is>
      </c>
      <c r="B1135" s="5" t="n">
        <v>2</v>
      </c>
      <c r="C1135" s="6" t="inlineStr">
        <is>
          <t>Şifreyi tahmin et</t>
        </is>
      </c>
      <c r="D1135" s="5" t="inlineStr">
        <is>
          <t>Akıl</t>
        </is>
      </c>
      <c r="E1135" s="5" t="inlineStr">
        <is>
          <t>Zor</t>
        </is>
      </c>
      <c r="F1135" s="5" t="inlineStr"/>
      <c r="G1135" s="6" t="inlineStr"/>
      <c r="H1135" s="6" t="inlineStr">
        <is>
          <t>Üçüncü denemede buldun: evlilik tarihin ters çevrilmiş hâli. Kendine hayran kaldın.</t>
        </is>
      </c>
      <c r="I1135" s="6" t="inlineStr">
        <is>
          <t>İlk denemede buldun. Banka seni 'dijital okuryazar' kampanyasına davet etti.</t>
        </is>
      </c>
      <c r="J1135" s="6" t="inlineStr">
        <is>
          <t>Tahminlerin yanlıştı. Hesabın on beş dakika kilitlendi. On beş dakika sonra yine yanlıştı.</t>
        </is>
      </c>
      <c r="K1135" s="6" t="inlineStr">
        <is>
          <t>Üç yanlış tahmin. Hesap kilitlendi. Kilidi açmak için gelen kod, yine eski telefona.</t>
        </is>
      </c>
      <c r="L1135" s="6" t="inlineStr"/>
      <c r="M1135" s="5" t="inlineStr"/>
      <c r="N1135" s="5" t="inlineStr"/>
      <c r="O1135" s="6" t="inlineStr"/>
      <c r="P1135" s="6" t="inlineStr"/>
      <c r="Q1135" s="5" t="inlineStr">
        <is>
          <t>Analitik Zihin</t>
        </is>
      </c>
      <c r="R1135" s="5" t="inlineStr"/>
      <c r="S1135" s="5" t="inlineStr"/>
      <c r="T1135" s="5" t="inlineStr"/>
      <c r="U1135" s="5" t="inlineStr"/>
      <c r="V1135" s="5" t="inlineStr"/>
      <c r="W1135" s="5" t="inlineStr"/>
      <c r="X1135" s="5" t="inlineStr"/>
      <c r="Y1135" s="5" t="inlineStr"/>
      <c r="Z1135" s="6" t="inlineStr"/>
      <c r="AA1135" s="5" t="inlineStr"/>
      <c r="AB1135" s="5" t="inlineStr"/>
      <c r="AC1135" s="5" t="inlineStr"/>
      <c r="AD1135" s="5" t="inlineStr"/>
      <c r="AE1135" s="5" t="inlineStr"/>
      <c r="AF1135" s="5" t="inlineStr"/>
      <c r="AG1135" s="5" t="inlineStr"/>
      <c r="AH1135" s="5" t="inlineStr"/>
    </row>
    <row r="1136">
      <c r="A1136" s="5" t="inlineStr">
        <is>
          <t>b9-sifre-unuttum</t>
        </is>
      </c>
      <c r="B1136" s="5" t="n">
        <v>3</v>
      </c>
      <c r="C1136" s="6" t="inlineStr">
        <is>
          <t>Torunu okuldan ara</t>
        </is>
      </c>
      <c r="D1136" s="5" t="inlineStr">
        <is>
          <t>Çene</t>
        </is>
      </c>
      <c r="E1136" s="5" t="inlineStr">
        <is>
          <t>Orta</t>
        </is>
      </c>
      <c r="F1136" s="5" t="inlineStr"/>
      <c r="G1136" s="6" t="inlineStr"/>
      <c r="H1136" s="6" t="inlineStr">
        <is>
          <t>Torun teneffüste kodu okudu. Hesabın açıldı. Torun karşılığında harçlık istedi. Ödeme de aynı hesaptan.</t>
        </is>
      </c>
      <c r="I1136" s="6" t="inlineStr">
        <is>
          <t>Torun kodu okudu ve şifreni de değiştirdi. Yeni şifren: torunun doğum günü. Unutmayacaksın.</t>
        </is>
      </c>
      <c r="J1136" s="6" t="inlineStr">
        <is>
          <t>Torun derste. Öğretmen telefonu açtı. Kodu öğretmen okudu. Artık öğretmen de şifreni biliyor.</t>
        </is>
      </c>
      <c r="K1136" s="6" t="inlineStr">
        <is>
          <t>Torunu aradın; müdür telefonu açtı. Kodu anons sistemiyle okuttun. Bütün okul artık şifreni biliyor.</t>
        </is>
      </c>
      <c r="L1136" s="6" t="inlineStr"/>
      <c r="M1136" s="5" t="inlineStr"/>
      <c r="N1136" s="5" t="inlineStr"/>
      <c r="O1136" s="6" t="inlineStr"/>
      <c r="P1136" s="6" t="inlineStr"/>
      <c r="Q1136" s="5" t="inlineStr"/>
      <c r="R1136" s="5" t="inlineStr"/>
      <c r="S1136" s="5" t="inlineStr"/>
      <c r="T1136" s="5" t="inlineStr"/>
      <c r="U1136" s="5" t="inlineStr"/>
      <c r="V1136" s="5" t="inlineStr"/>
      <c r="W1136" s="5" t="inlineStr"/>
      <c r="X1136" s="5" t="inlineStr"/>
      <c r="Y1136" s="5" t="inlineStr"/>
      <c r="Z1136" s="6" t="inlineStr"/>
      <c r="AA1136" s="5" t="inlineStr"/>
      <c r="AB1136" s="5" t="inlineStr"/>
      <c r="AC1136" s="5" t="inlineStr"/>
      <c r="AD1136" s="5" t="inlineStr"/>
      <c r="AE1136" s="5" t="inlineStr"/>
      <c r="AF1136" s="5" t="inlineStr"/>
      <c r="AG1136" s="5" t="inlineStr"/>
      <c r="AH1136" s="5" t="inlineStr"/>
    </row>
    <row r="1137">
      <c r="A1137" s="5" t="inlineStr">
        <is>
          <t>mb-son-kisa-gorusme</t>
        </is>
      </c>
      <c r="B1137" s="5" t="n">
        <v>1</v>
      </c>
      <c r="C1137" s="6" t="inlineStr">
        <is>
          <t>Telefonu kapat, bahçeye çık</t>
        </is>
      </c>
      <c r="D1137" s="5" t="inlineStr"/>
      <c r="E1137" s="5" t="inlineStr"/>
      <c r="F1137" s="5" t="inlineStr">
        <is>
          <t>Dayanıklılık +2</t>
        </is>
      </c>
      <c r="G1137" s="6" t="inlineStr">
        <is>
          <t>Telefonu kapattın. Otuz küsur yıldır ilk kez takviminde hiçbir şey yok. Korkutucu. Güzel.</t>
        </is>
      </c>
      <c r="H1137" s="6" t="inlineStr"/>
      <c r="I1137" s="6" t="inlineStr"/>
      <c r="J1137" s="6" t="inlineStr"/>
      <c r="K1137" s="6" t="inlineStr"/>
      <c r="L1137" s="6" t="inlineStr"/>
      <c r="M1137" s="5" t="inlineStr"/>
      <c r="N1137" s="5" t="inlineStr"/>
      <c r="O1137" s="6" t="inlineStr"/>
      <c r="P1137" s="6" t="inlineStr"/>
      <c r="Q1137" s="5" t="inlineStr"/>
      <c r="R1137" s="5" t="inlineStr"/>
      <c r="S1137" s="5" t="inlineStr"/>
      <c r="T1137" s="5" t="inlineStr"/>
      <c r="U1137" s="5" t="inlineStr"/>
      <c r="V1137" s="5" t="inlineStr"/>
      <c r="W1137" s="5" t="inlineStr"/>
      <c r="X1137" s="5" t="inlineStr"/>
      <c r="Y1137" s="5" t="inlineStr"/>
      <c r="Z1137" s="6" t="inlineStr"/>
      <c r="AA1137" s="5" t="inlineStr"/>
      <c r="AB1137" s="5" t="inlineStr"/>
      <c r="AC1137" s="5" t="inlineStr"/>
      <c r="AD1137" s="5" t="inlineStr"/>
      <c r="AE1137" s="5" t="inlineStr"/>
      <c r="AF1137" s="5" t="inlineStr"/>
      <c r="AG1137" s="5" t="inlineStr"/>
      <c r="AH1137" s="5" t="inlineStr"/>
    </row>
    <row r="1138">
      <c r="A1138" s="5" t="inlineStr">
        <is>
          <t>mb-son-kisa-gorusme</t>
        </is>
      </c>
      <c r="B1138" s="5" t="n">
        <v>2</v>
      </c>
      <c r="C1138" s="6" t="inlineStr">
        <is>
          <t>Danışman olarak dön</t>
        </is>
      </c>
      <c r="D1138" s="5" t="inlineStr">
        <is>
          <t>Çene</t>
        </is>
      </c>
      <c r="E1138" s="5" t="inlineStr">
        <is>
          <t>Orta</t>
        </is>
      </c>
      <c r="F1138" s="5" t="inlineStr"/>
      <c r="G1138" s="6" t="inlineStr"/>
      <c r="H1138" s="6" t="inlineStr">
        <is>
          <t>Haftada iki gün, yüksek saat ücretiyle döndün. Erişim kartın yine tanımlanmadı.</t>
        </is>
      </c>
      <c r="I1138" s="6" t="inlineStr">
        <is>
          <t>Danışman olarak döndün; yönetim kurulu seni 'kurumsal hafıza' ilan etti. Maaşından iyi ücret.</t>
        </is>
      </c>
      <c r="J1138" s="6" t="inlineStr">
        <is>
          <t>Döndün; üç gün sonra 'Yeni yapılanma' e-postası geldi. Danışmanlar dahil.</t>
        </is>
      </c>
      <c r="K1138" s="6" t="inlineStr">
        <is>
          <t>Döndün; ilk toplantın 'Toplantı hakkında toplantı' idi. Otuz yıl boyunca hiç kaçamamışsın.</t>
        </is>
      </c>
      <c r="L1138" s="6" t="inlineStr"/>
      <c r="M1138" s="5" t="inlineStr"/>
      <c r="N1138" s="5" t="inlineStr"/>
      <c r="O1138" s="6" t="inlineStr"/>
      <c r="P1138" s="6" t="inlineStr"/>
      <c r="Q1138" s="5" t="inlineStr"/>
      <c r="R1138" s="5" t="inlineStr"/>
      <c r="S1138" s="5" t="inlineStr"/>
      <c r="T1138" s="5" t="inlineStr"/>
      <c r="U1138" s="5" t="inlineStr"/>
      <c r="V1138" s="5" t="inlineStr"/>
      <c r="W1138" s="5" t="inlineStr"/>
      <c r="X1138" s="5" t="inlineStr"/>
      <c r="Y1138" s="5" t="inlineStr"/>
      <c r="Z1138" s="6" t="inlineStr"/>
      <c r="AA1138" s="5" t="inlineStr"/>
      <c r="AB1138" s="5" t="inlineStr"/>
      <c r="AC1138" s="5" t="inlineStr"/>
      <c r="AD1138" s="5" t="inlineStr"/>
      <c r="AE1138" s="5" t="inlineStr"/>
      <c r="AF1138" s="5" t="inlineStr"/>
      <c r="AG1138" s="5" t="inlineStr"/>
      <c r="AH1138" s="5" t="inlineStr"/>
    </row>
    <row r="1139">
      <c r="A1139" s="5" t="inlineStr">
        <is>
          <t>mb-son-kisa-gorusme</t>
        </is>
      </c>
      <c r="B1139" s="5" t="n">
        <v>3</v>
      </c>
      <c r="C1139" s="6" t="inlineStr">
        <is>
          <t>Bu kez 'kısa görüşmeyi' sen yönet</t>
        </is>
      </c>
      <c r="D1139" s="5" t="inlineStr">
        <is>
          <t>Pişkinlik</t>
        </is>
      </c>
      <c r="E1139" s="5" t="inlineStr">
        <is>
          <t>Kolay</t>
        </is>
      </c>
      <c r="F1139" s="5" t="inlineStr"/>
      <c r="G1139" s="6" t="inlineStr"/>
      <c r="H1139" s="6" t="inlineStr">
        <is>
          <t>Bu kez odada karşında şirket vardı. Saat ücretini sen belirledin.</t>
        </is>
      </c>
      <c r="I1139" s="6" t="inlineStr">
        <is>
          <t>Şartları sen koydun: uzaktan, kamera kapalı, pijamayla. Hepsi kabul edildi.</t>
        </is>
      </c>
      <c r="J1139" s="6" t="inlineStr">
        <is>
          <t>Pazarlık ettin; teklif yapay zekâ aracına gitti. Araç seni hatırladı. İyi anlamda değil.</t>
        </is>
      </c>
      <c r="K1139" s="6" t="inlineStr">
        <is>
          <t>Görüşmeyi yönettin; sonunda istemeden 'Kartını getirdin mi?' diye sordun. Karşı taraf ağladı.</t>
        </is>
      </c>
      <c r="L1139" s="6" t="inlineStr"/>
      <c r="M1139" s="5" t="inlineStr"/>
      <c r="N1139" s="5" t="inlineStr"/>
      <c r="O1139" s="6" t="inlineStr"/>
      <c r="P1139" s="6" t="inlineStr"/>
      <c r="Q1139" s="5" t="inlineStr"/>
      <c r="R1139" s="5" t="inlineStr">
        <is>
          <t>beyazyaka-sag-kaldi</t>
        </is>
      </c>
      <c r="S1139" s="5" t="inlineStr"/>
      <c r="T1139" s="5" t="inlineStr"/>
      <c r="U1139" s="5" t="inlineStr"/>
      <c r="V1139" s="5" t="inlineStr"/>
      <c r="W1139" s="5" t="inlineStr"/>
      <c r="X1139" s="5" t="inlineStr"/>
      <c r="Y1139" s="5" t="inlineStr"/>
      <c r="Z1139" s="6" t="inlineStr"/>
      <c r="AA1139" s="5" t="inlineStr"/>
      <c r="AB1139" s="5" t="inlineStr"/>
      <c r="AC1139" s="5" t="inlineStr"/>
      <c r="AD1139" s="5" t="inlineStr"/>
      <c r="AE1139" s="5" t="inlineStr"/>
      <c r="AF1139" s="5" t="inlineStr"/>
      <c r="AG1139" s="5" t="inlineStr"/>
      <c r="AH1139" s="5" t="inlineStr"/>
    </row>
    <row r="1140">
      <c r="A1140" s="5" t="inlineStr">
        <is>
          <t>b9-site-toplantisi</t>
        </is>
      </c>
      <c r="B1140" s="5" t="n">
        <v>1</v>
      </c>
      <c r="C1140" s="6" t="inlineStr">
        <is>
          <t>Yöneticiliği kabul et</t>
        </is>
      </c>
      <c r="D1140" s="5" t="inlineStr"/>
      <c r="E1140" s="5" t="inlineStr"/>
      <c r="F1140" s="5" t="inlineStr">
        <is>
          <t>İtibar +1, Dayanıklılık +1</t>
        </is>
      </c>
      <c r="G1140" s="6" t="inlineStr">
        <is>
          <t>Yönetici oldun. Artık gece üçte biri kapını çalıp 'Kalorifer yanmıyor' diyor. Maaşı yok, prestiji tartışmalı.</t>
        </is>
      </c>
      <c r="H1140" s="6" t="inlineStr"/>
      <c r="I1140" s="6" t="inlineStr"/>
      <c r="J1140" s="6" t="inlineStr"/>
      <c r="K1140" s="6" t="inlineStr"/>
      <c r="L1140" s="6" t="inlineStr"/>
      <c r="M1140" s="5" t="inlineStr"/>
      <c r="N1140" s="5" t="inlineStr"/>
      <c r="O1140" s="6" t="inlineStr"/>
      <c r="P1140" s="6" t="inlineStr"/>
      <c r="Q1140" s="5" t="inlineStr"/>
      <c r="R1140" s="5" t="inlineStr"/>
      <c r="S1140" s="5" t="inlineStr"/>
      <c r="T1140" s="5" t="inlineStr"/>
      <c r="U1140" s="5" t="inlineStr">
        <is>
          <t>site-yoneticisi</t>
        </is>
      </c>
      <c r="V1140" s="5" t="inlineStr"/>
      <c r="W1140" s="5" t="inlineStr"/>
      <c r="X1140" s="5" t="inlineStr"/>
      <c r="Y1140" s="5" t="inlineStr"/>
      <c r="Z1140" s="6" t="inlineStr"/>
      <c r="AA1140" s="5" t="inlineStr"/>
      <c r="AB1140" s="5" t="inlineStr"/>
      <c r="AC1140" s="5" t="inlineStr"/>
      <c r="AD1140" s="5" t="inlineStr"/>
      <c r="AE1140" s="5" t="inlineStr"/>
      <c r="AF1140" s="5" t="inlineStr"/>
      <c r="AG1140" s="5" t="inlineStr"/>
      <c r="AH1140" s="5" t="inlineStr"/>
    </row>
    <row r="1141">
      <c r="A1141" s="5" t="inlineStr">
        <is>
          <t>b9-site-toplantisi</t>
        </is>
      </c>
      <c r="B1141" s="5" t="n">
        <v>2</v>
      </c>
      <c r="C1141" s="6" t="inlineStr">
        <is>
          <t>Asansör için söz al</t>
        </is>
      </c>
      <c r="D1141" s="5" t="inlineStr">
        <is>
          <t>Cesaret</t>
        </is>
      </c>
      <c r="E1141" s="5" t="inlineStr">
        <is>
          <t>Zor</t>
        </is>
      </c>
      <c r="F1141" s="5" t="inlineStr"/>
      <c r="G1141" s="6" t="inlineStr"/>
      <c r="H1141" s="6" t="inlineStr">
        <is>
          <t>Söz aldın ve asansör tamiri oy birliğiyle kabul edildi. Dördüncü kat sana bir tepsi baklava yolladı.</t>
        </is>
      </c>
      <c r="I1141" s="6" t="inlineStr">
        <is>
          <t>Söz aldın, asansör tamir edildi ve bir de çatı yenilendi. Toplantı tarihe 'Büyük Söz' olarak geçti.</t>
        </is>
      </c>
      <c r="J1141" s="6" t="inlineStr">
        <is>
          <t>Söz aldın, asansör oylandı; tamir değil, 'inceleme' kabul edildi. İnceleme üç yıl sürecek.</t>
        </is>
      </c>
      <c r="K1141" s="6" t="inlineStr">
        <is>
          <t>Söz aldın; aidat iki katına çıktı, asansör yine arızalı. Aidatın yarısı asansör için ayrılan fona gitti. Fon kaybolmuş.</t>
        </is>
      </c>
      <c r="L1141" s="6" t="inlineStr"/>
      <c r="M1141" s="5" t="inlineStr"/>
      <c r="N1141" s="5" t="inlineStr"/>
      <c r="O1141" s="6" t="inlineStr"/>
      <c r="P1141" s="6" t="inlineStr"/>
      <c r="Q1141" s="5" t="inlineStr"/>
      <c r="R1141" s="5" t="inlineStr"/>
      <c r="S1141" s="5" t="inlineStr"/>
      <c r="T1141" s="5" t="inlineStr"/>
      <c r="U1141" s="5" t="inlineStr"/>
      <c r="V1141" s="5" t="inlineStr"/>
      <c r="W1141" s="5" t="inlineStr"/>
      <c r="X1141" s="5" t="inlineStr"/>
      <c r="Y1141" s="5" t="n">
        <v>2</v>
      </c>
      <c r="Z1141" s="6" t="inlineStr">
        <is>
          <t>Apartman toplantısında asansör için söz alırken. Asansör ertesi gün tamir edildi.</t>
        </is>
      </c>
      <c r="AA1141" s="5" t="inlineStr"/>
      <c r="AB1141" s="5" t="inlineStr"/>
      <c r="AC1141" s="5" t="inlineStr"/>
      <c r="AD1141" s="5" t="inlineStr"/>
      <c r="AE1141" s="5" t="inlineStr"/>
      <c r="AF1141" s="5" t="inlineStr"/>
      <c r="AG1141" s="5" t="inlineStr"/>
      <c r="AH1141" s="5" t="inlineStr"/>
    </row>
    <row r="1142">
      <c r="A1142" s="5" t="inlineStr">
        <is>
          <t>b9-site-toplantisi</t>
        </is>
      </c>
      <c r="B1142" s="5" t="n">
        <v>3</v>
      </c>
      <c r="C1142" s="6" t="inlineStr">
        <is>
          <t>Toplantıyı yönet</t>
        </is>
      </c>
      <c r="D1142" s="5" t="inlineStr">
        <is>
          <t>Çene</t>
        </is>
      </c>
      <c r="E1142" s="5" t="inlineStr">
        <is>
          <t>Orta</t>
        </is>
      </c>
      <c r="F1142" s="5" t="inlineStr"/>
      <c r="G1142" s="6" t="inlineStr"/>
      <c r="H1142" s="6" t="inlineStr">
        <is>
          <t>Toplantıyı yönettin, gündem kırk dakikada bitti. Rekor. Sakinler sana şaşkınlıkla baktı.</t>
        </is>
      </c>
      <c r="I1142" s="6" t="inlineStr">
        <is>
          <t>Toplantıyı yönettin; aidat düştü, asansör tamir edildi. Seni bir sonraki yıl için oy birliğiyle yeniden seçtiler.</t>
        </is>
      </c>
      <c r="J1142" s="6" t="inlineStr">
        <is>
          <t>Toplantıyı yönettin; gündem aidat artışında takıldı. Toplantı üç saat sürdü. Sen de artık yönetici değil, mağdursun.</t>
        </is>
      </c>
      <c r="K1142" s="6" t="inlineStr">
        <is>
          <t>Toplantıyı yönetirken bir sakinin sözünü kestin. Sakin, eski sınıf arkadaşın çıktı. Başkanlık yarışı yeniden alevlendi.</t>
        </is>
      </c>
      <c r="L1142" s="6" t="inlineStr"/>
      <c r="M1142" s="5" t="inlineStr"/>
      <c r="N1142" s="5" t="inlineStr"/>
      <c r="O1142" s="6" t="inlineStr"/>
      <c r="P1142" s="6" t="inlineStr"/>
      <c r="Q1142" s="5" t="inlineStr"/>
      <c r="R1142" s="5" t="inlineStr">
        <is>
          <t>baskan</t>
        </is>
      </c>
      <c r="S1142" s="5" t="inlineStr"/>
      <c r="T1142" s="5" t="inlineStr"/>
      <c r="U1142" s="5" t="inlineStr"/>
      <c r="V1142" s="5" t="inlineStr">
        <is>
          <t>site-yoneticisi</t>
        </is>
      </c>
      <c r="W1142" s="5" t="inlineStr"/>
      <c r="X1142" s="5" t="inlineStr"/>
      <c r="Y1142" s="5" t="inlineStr"/>
      <c r="Z1142" s="6" t="inlineStr"/>
      <c r="AA1142" s="5" t="inlineStr"/>
      <c r="AB1142" s="5" t="inlineStr"/>
      <c r="AC1142" s="5" t="inlineStr"/>
      <c r="AD1142" s="5" t="inlineStr"/>
      <c r="AE1142" s="5" t="inlineStr"/>
      <c r="AF1142" s="5" t="inlineStr"/>
      <c r="AG1142" s="5" t="inlineStr"/>
      <c r="AH1142" s="5" t="inlineStr"/>
    </row>
    <row r="1143">
      <c r="A1143" s="5" t="inlineStr">
        <is>
          <t>b9-torunun-sorusu</t>
        </is>
      </c>
      <c r="B1143" s="5" t="n">
        <v>1</v>
      </c>
      <c r="C1143" s="6" t="inlineStr">
        <is>
          <t>Doğruyu anlat</t>
        </is>
      </c>
      <c r="D1143" s="5" t="inlineStr"/>
      <c r="E1143" s="5" t="inlineStr"/>
      <c r="F1143" s="5" t="inlineStr">
        <is>
          <t>İtibar +1, Akıl +1</t>
        </is>
      </c>
      <c r="G1143" s="6" t="inlineStr">
        <is>
          <t>Kablolu telefonu anlattın. Torun 'Peki mesajları nereden yazıyordunuz?' dedi. Mektubu anlatman bir saat sürdü.</t>
        </is>
      </c>
      <c r="H1143" s="6" t="inlineStr"/>
      <c r="I1143" s="6" t="inlineStr"/>
      <c r="J1143" s="6" t="inlineStr"/>
      <c r="K1143" s="6" t="inlineStr"/>
      <c r="L1143" s="6" t="inlineStr"/>
      <c r="M1143" s="5" t="inlineStr"/>
      <c r="N1143" s="5" t="inlineStr"/>
      <c r="O1143" s="6" t="inlineStr"/>
      <c r="P1143" s="6" t="inlineStr"/>
      <c r="Q1143" s="5" t="inlineStr"/>
      <c r="R1143" s="5" t="inlineStr"/>
      <c r="S1143" s="5" t="inlineStr"/>
      <c r="T1143" s="5" t="inlineStr"/>
      <c r="U1143" s="5" t="inlineStr"/>
      <c r="V1143" s="5" t="inlineStr"/>
      <c r="W1143" s="5" t="inlineStr"/>
      <c r="X1143" s="5" t="inlineStr"/>
      <c r="Y1143" s="5" t="inlineStr"/>
      <c r="Z1143" s="6" t="inlineStr"/>
      <c r="AA1143" s="5" t="inlineStr"/>
      <c r="AB1143" s="5" t="inlineStr"/>
      <c r="AC1143" s="5" t="inlineStr"/>
      <c r="AD1143" s="5" t="inlineStr"/>
      <c r="AE1143" s="5" t="inlineStr"/>
      <c r="AF1143" s="5" t="inlineStr"/>
      <c r="AG1143" s="5" t="inlineStr"/>
      <c r="AH1143" s="5" t="inlineStr"/>
    </row>
    <row r="1144">
      <c r="A1144" s="5" t="inlineStr">
        <is>
          <t>b9-torunun-sorusu</t>
        </is>
      </c>
      <c r="B1144" s="5" t="n">
        <v>2</v>
      </c>
      <c r="C1144" s="6" t="inlineStr">
        <is>
          <t>Abartarak anlat</t>
        </is>
      </c>
      <c r="D1144" s="5" t="inlineStr">
        <is>
          <t>Pişkinlik</t>
        </is>
      </c>
      <c r="E1144" s="5" t="inlineStr">
        <is>
          <t>Orta</t>
        </is>
      </c>
      <c r="F1144" s="5" t="inlineStr"/>
      <c r="G1144" s="6" t="inlineStr"/>
      <c r="H1144" s="6" t="inlineStr">
        <is>
          <t>Telefonu bir güvercinle değiştirdin. Torun inandı. Okulda anlattı. Öğretmen seni aradı.</t>
        </is>
      </c>
      <c r="I1144" s="6" t="inlineStr">
        <is>
          <t>Hikâyen öyle iyiydi ki torun ödev olarak yazdı ve sınıf birincisi oldu. Hikâyenin telif hakkı sende.</t>
        </is>
      </c>
      <c r="J1144" s="6" t="inlineStr">
        <is>
          <t>Abarttın; torun internetten kontrol etti. 'Bu yalan' dedi. Teknoloji seni yine yakaladı.</t>
        </is>
      </c>
      <c r="K1144" s="6" t="inlineStr">
        <is>
          <t>Abarttın ve kendin de inandın. Artık gençliğinde bir güvercin sahibi olduğunu düşünüyorsun.</t>
        </is>
      </c>
      <c r="L1144" s="6" t="inlineStr"/>
      <c r="M1144" s="5" t="inlineStr"/>
      <c r="N1144" s="5" t="inlineStr"/>
      <c r="O1144" s="6" t="inlineStr"/>
      <c r="P1144" s="6" t="inlineStr"/>
      <c r="Q1144" s="5" t="inlineStr"/>
      <c r="R1144" s="5" t="inlineStr"/>
      <c r="S1144" s="5" t="inlineStr"/>
      <c r="T1144" s="5" t="inlineStr"/>
      <c r="U1144" s="5" t="inlineStr"/>
      <c r="V1144" s="5" t="inlineStr"/>
      <c r="W1144" s="5" t="inlineStr"/>
      <c r="X1144" s="5" t="inlineStr"/>
      <c r="Y1144" s="5" t="inlineStr"/>
      <c r="Z1144" s="6" t="inlineStr"/>
      <c r="AA1144" s="5" t="inlineStr"/>
      <c r="AB1144" s="5" t="inlineStr"/>
      <c r="AC1144" s="5" t="inlineStr"/>
      <c r="AD1144" s="5" t="inlineStr"/>
      <c r="AE1144" s="5" t="inlineStr"/>
      <c r="AF1144" s="5" t="inlineStr"/>
      <c r="AG1144" s="5" t="inlineStr"/>
      <c r="AH1144" s="5" t="inlineStr"/>
    </row>
    <row r="1145">
      <c r="A1145" s="5" t="inlineStr">
        <is>
          <t>b9-torunun-sorusu</t>
        </is>
      </c>
      <c r="B1145" s="5" t="n">
        <v>3</v>
      </c>
      <c r="C1145" s="6" t="inlineStr">
        <is>
          <t>Tavla öğret</t>
        </is>
      </c>
      <c r="D1145" s="5" t="inlineStr">
        <is>
          <t>Kurnazlık</t>
        </is>
      </c>
      <c r="E1145" s="5" t="inlineStr">
        <is>
          <t>Kolay</t>
        </is>
      </c>
      <c r="F1145" s="5" t="inlineStr"/>
      <c r="G1145" s="6" t="inlineStr"/>
      <c r="H1145" s="6" t="inlineStr">
        <is>
          <t>Telefonu bıraktın, tavla öğrettin. Torun ilk oyunda sana mars oldu. Başlangıç şansı dedin.</t>
        </is>
      </c>
      <c r="I1145" s="6" t="inlineStr">
        <is>
          <t>Torun tavlayı o kadar sevdi ki okulda bir lig kurdu. Adı: 'Kurt Ligi'. Kurucusu sensin.</t>
        </is>
      </c>
      <c r="J1145" s="6" t="inlineStr">
        <is>
          <t>Tavla öğrettin; torun sıkıldı ve telefonuna döndü. Telefonda bir tavla uygulaması açtı. Seni yendi.</t>
        </is>
      </c>
      <c r="K1145" s="6" t="inlineStr">
        <is>
          <t>Tavla öğrettin; torun kuralları senden iyi öğrendi ve bir hamleni itiraz etti. Haklıydı.</t>
        </is>
      </c>
      <c r="L1145" s="6" t="inlineStr"/>
      <c r="M1145" s="5" t="inlineStr"/>
      <c r="N1145" s="5" t="inlineStr"/>
      <c r="O1145" s="6" t="inlineStr"/>
      <c r="P1145" s="6" t="inlineStr"/>
      <c r="Q1145" s="5" t="inlineStr">
        <is>
          <t>Tavla Kurdu</t>
        </is>
      </c>
      <c r="R1145" s="5" t="inlineStr"/>
      <c r="S1145" s="5" t="inlineStr"/>
      <c r="T1145" s="5" t="inlineStr"/>
      <c r="U1145" s="5" t="inlineStr"/>
      <c r="V1145" s="5" t="inlineStr"/>
      <c r="W1145" s="5" t="inlineStr"/>
      <c r="X1145" s="5" t="inlineStr"/>
      <c r="Y1145" s="5" t="inlineStr"/>
      <c r="Z1145" s="6" t="inlineStr"/>
      <c r="AA1145" s="5" t="inlineStr"/>
      <c r="AB1145" s="5" t="inlineStr"/>
      <c r="AC1145" s="5" t="inlineStr"/>
      <c r="AD1145" s="5" t="inlineStr"/>
      <c r="AE1145" s="5" t="inlineStr"/>
      <c r="AF1145" s="5" t="inlineStr"/>
      <c r="AG1145" s="5" t="inlineStr"/>
      <c r="AH1145" s="5" t="inlineStr"/>
    </row>
    <row r="1146">
      <c r="A1146" s="5" t="inlineStr">
        <is>
          <t>ms-son-roportaj</t>
        </is>
      </c>
      <c r="B1146" s="5" t="n">
        <v>1</v>
      </c>
      <c r="C1146" s="6" t="inlineStr">
        <is>
          <t>Dürüst cevap ver</t>
        </is>
      </c>
      <c r="D1146" s="5" t="inlineStr"/>
      <c r="E1146" s="5" t="inlineStr"/>
      <c r="F1146" s="5" t="inlineStr">
        <is>
          <t>İtibar +2</t>
        </is>
      </c>
      <c r="G1146" s="6" t="inlineStr">
        <is>
          <t>Cevabın 'Bilmiyorum' oldu. Öğrenci bunu tezine başlık yaptı.</t>
        </is>
      </c>
      <c r="H1146" s="6" t="inlineStr"/>
      <c r="I1146" s="6" t="inlineStr"/>
      <c r="J1146" s="6" t="inlineStr"/>
      <c r="K1146" s="6" t="inlineStr"/>
      <c r="L1146" s="6" t="inlineStr"/>
      <c r="M1146" s="5" t="inlineStr"/>
      <c r="N1146" s="5" t="inlineStr"/>
      <c r="O1146" s="6" t="inlineStr"/>
      <c r="P1146" s="6" t="inlineStr"/>
      <c r="Q1146" s="5" t="inlineStr"/>
      <c r="R1146" s="5" t="inlineStr"/>
      <c r="S1146" s="5" t="inlineStr"/>
      <c r="T1146" s="5" t="inlineStr"/>
      <c r="U1146" s="5" t="inlineStr"/>
      <c r="V1146" s="5" t="inlineStr"/>
      <c r="W1146" s="5" t="inlineStr"/>
      <c r="X1146" s="5" t="inlineStr"/>
      <c r="Y1146" s="5" t="inlineStr"/>
      <c r="Z1146" s="6" t="inlineStr"/>
      <c r="AA1146" s="5" t="inlineStr"/>
      <c r="AB1146" s="5" t="inlineStr"/>
      <c r="AC1146" s="5" t="inlineStr"/>
      <c r="AD1146" s="5" t="inlineStr"/>
      <c r="AE1146" s="5" t="inlineStr"/>
      <c r="AF1146" s="5" t="inlineStr"/>
      <c r="AG1146" s="5" t="inlineStr"/>
      <c r="AH1146" s="5" t="inlineStr"/>
    </row>
    <row r="1147">
      <c r="A1147" s="5" t="inlineStr">
        <is>
          <t>ms-son-roportaj</t>
        </is>
      </c>
      <c r="B1147" s="5" t="n">
        <v>2</v>
      </c>
      <c r="C1147" s="6" t="inlineStr">
        <is>
          <t>Efsane uydur</t>
        </is>
      </c>
      <c r="D1147" s="5" t="inlineStr">
        <is>
          <t>Pişkinlik</t>
        </is>
      </c>
      <c r="E1147" s="5" t="inlineStr">
        <is>
          <t>Orta</t>
        </is>
      </c>
      <c r="F1147" s="5" t="inlineStr"/>
      <c r="G1147" s="6" t="inlineStr"/>
      <c r="H1147" s="6" t="inlineStr">
        <is>
          <t>Bir koleksiyoncu, bir kayıp tablo ve bir fırtınalı gece anlattın. Tez çok beğenildi.</t>
        </is>
      </c>
      <c r="I1147" s="6" t="inlineStr">
        <is>
          <t>Uydurduğun hikâye o kadar sevildi ki üniversite ders kitabına girdi. Artık gerçek.</t>
        </is>
      </c>
      <c r="J1147" s="6" t="inlineStr">
        <is>
          <t>Öğrenci her şeyi kontrol etti. Fırtınalı gecenin hava durumu güneşli çıktı.</t>
        </is>
      </c>
      <c r="K1147" s="6" t="inlineStr">
        <is>
          <t>Hikâyeyi anlatırken üç kez farklı bitirdin. Tezin adı 'Güvenilmez Anlatıcı' oldu.</t>
        </is>
      </c>
      <c r="L1147" s="6" t="inlineStr"/>
      <c r="M1147" s="5" t="inlineStr"/>
      <c r="N1147" s="5" t="inlineStr"/>
      <c r="O1147" s="6" t="inlineStr"/>
      <c r="P1147" s="6" t="inlineStr"/>
      <c r="Q1147" s="5" t="inlineStr"/>
      <c r="R1147" s="5" t="inlineStr"/>
      <c r="S1147" s="5" t="inlineStr"/>
      <c r="T1147" s="5" t="inlineStr"/>
      <c r="U1147" s="5" t="inlineStr"/>
      <c r="V1147" s="5" t="inlineStr"/>
      <c r="W1147" s="5" t="inlineStr"/>
      <c r="X1147" s="5" t="inlineStr"/>
      <c r="Y1147" s="5" t="inlineStr"/>
      <c r="Z1147" s="6" t="inlineStr"/>
      <c r="AA1147" s="5" t="inlineStr"/>
      <c r="AB1147" s="5" t="inlineStr"/>
      <c r="AC1147" s="5" t="inlineStr"/>
      <c r="AD1147" s="5" t="inlineStr"/>
      <c r="AE1147" s="5" t="inlineStr"/>
      <c r="AF1147" s="5" t="inlineStr"/>
      <c r="AG1147" s="5" t="inlineStr"/>
      <c r="AH1147" s="5" t="inlineStr"/>
    </row>
    <row r="1148">
      <c r="A1148" s="5" t="inlineStr">
        <is>
          <t>ms-son-roportaj</t>
        </is>
      </c>
      <c r="B1148" s="5" t="n">
        <v>3</v>
      </c>
      <c r="C1148" s="6" t="inlineStr">
        <is>
          <t>'Tezine ücret ödeyemem ama görünürlük sağlarım' de</t>
        </is>
      </c>
      <c r="D1148" s="5" t="inlineStr">
        <is>
          <t>Kurnazlık</t>
        </is>
      </c>
      <c r="E1148" s="5" t="inlineStr">
        <is>
          <t>Kolay</t>
        </is>
      </c>
      <c r="F1148" s="5" t="inlineStr"/>
      <c r="G1148" s="6" t="inlineStr"/>
      <c r="H1148" s="6" t="inlineStr">
        <is>
          <t>Öğrenci güldü. Kırk yıllık döngü, bir kafe masasında sessizce tamamlandı.</t>
        </is>
      </c>
      <c r="I1148" s="6" t="inlineStr">
        <is>
          <t>Öğrenci 'Kabul' dedi. Tezin kapağında adın, altında 'görünürlük sponsoru' yazıyor.</t>
        </is>
      </c>
      <c r="J1148" s="6" t="inlineStr">
        <is>
          <t>Öğrenci şakayı anlamadı ve fatura kesmeye kalktı. Kaşesi yokmuş.</t>
        </is>
      </c>
      <c r="K1148" s="6" t="inlineStr">
        <is>
          <t>Öğrenci ciddi ciddi 'Kaç takipçiniz var?' diye sordu. Sayı yetmedi.</t>
        </is>
      </c>
      <c r="L1148" s="6" t="inlineStr"/>
      <c r="M1148" s="5" t="inlineStr"/>
      <c r="N1148" s="5" t="inlineStr"/>
      <c r="O1148" s="6" t="inlineStr"/>
      <c r="P1148" s="6" t="inlineStr"/>
      <c r="Q1148" s="5" t="inlineStr"/>
      <c r="R1148" s="5" t="inlineStr"/>
      <c r="S1148" s="5" t="inlineStr"/>
      <c r="T1148" s="5" t="inlineStr"/>
      <c r="U1148" s="5" t="inlineStr"/>
      <c r="V1148" s="5" t="inlineStr"/>
      <c r="W1148" s="5" t="inlineStr"/>
      <c r="X1148" s="5" t="inlineStr"/>
      <c r="Y1148" s="5" t="inlineStr"/>
      <c r="Z1148" s="6" t="inlineStr"/>
      <c r="AA1148" s="5" t="inlineStr"/>
      <c r="AB1148" s="5" t="inlineStr"/>
      <c r="AC1148" s="5" t="inlineStr"/>
      <c r="AD1148" s="5" t="inlineStr"/>
      <c r="AE1148" s="5" t="inlineStr"/>
      <c r="AF1148" s="5" t="inlineStr"/>
      <c r="AG1148" s="5" t="inlineStr"/>
      <c r="AH1148" s="5" t="inlineStr"/>
    </row>
    <row r="1149">
      <c r="A1149" s="5" t="inlineStr">
        <is>
          <t>ms-son-roportaj</t>
        </is>
      </c>
      <c r="B1149" s="5" t="n">
        <v>4</v>
      </c>
      <c r="C1149" s="6" t="inlineStr">
        <is>
          <t>Fon başvurusu yazmayı öğret</t>
        </is>
      </c>
      <c r="D1149" s="5" t="inlineStr">
        <is>
          <t>Akıl</t>
        </is>
      </c>
      <c r="E1149" s="5" t="inlineStr">
        <is>
          <t>Kolay</t>
        </is>
      </c>
      <c r="F1149" s="5" t="inlineStr"/>
      <c r="G1149" s="6" t="inlineStr"/>
      <c r="H1149" s="6" t="inlineStr">
        <is>
          <t>Kırk iki sayfalık formun sırlarını anlattın. Öğrencin ilk başvurusunda fonu aldı.</t>
        </is>
      </c>
      <c r="I1149" s="6" t="inlineStr">
        <is>
          <t>Öğrencin fonu aldı ve teşekkür bölümüne seni yazdı. Doğru yazılmış.</t>
        </is>
      </c>
      <c r="J1149" s="6" t="inlineStr">
        <is>
          <t>Anlattın; bu yıl form yüz sayfaya çıkmış.</t>
        </is>
      </c>
      <c r="K1149" s="6" t="inlineStr">
        <is>
          <t>Öğrettiğin her şey eskimiş. Artık başvuruyu yapay zekâ değerlendiriyor ve 'hafıza' kelimesini sevmiyor.</t>
        </is>
      </c>
      <c r="L1149" s="6" t="inlineStr"/>
      <c r="M1149" s="5" t="inlineStr"/>
      <c r="N1149" s="5" t="inlineStr"/>
      <c r="O1149" s="6" t="inlineStr"/>
      <c r="P1149" s="6" t="inlineStr"/>
      <c r="Q1149" s="5" t="inlineStr"/>
      <c r="R1149" s="5" t="inlineStr">
        <is>
          <t>serbest-fon-aldi</t>
        </is>
      </c>
      <c r="S1149" s="5" t="inlineStr"/>
      <c r="T1149" s="5" t="inlineStr"/>
      <c r="U1149" s="5" t="inlineStr"/>
      <c r="V1149" s="5" t="inlineStr"/>
      <c r="W1149" s="5" t="inlineStr"/>
      <c r="X1149" s="5" t="inlineStr"/>
      <c r="Y1149" s="5" t="inlineStr"/>
      <c r="Z1149" s="6" t="inlineStr"/>
      <c r="AA1149" s="5" t="inlineStr"/>
      <c r="AB1149" s="5" t="inlineStr"/>
      <c r="AC1149" s="5" t="inlineStr"/>
      <c r="AD1149" s="5" t="inlineStr"/>
      <c r="AE1149" s="5" t="inlineStr"/>
      <c r="AF1149" s="5" t="inlineStr"/>
      <c r="AG1149" s="5" t="inlineStr"/>
      <c r="AH1149" s="5" t="inlineStr"/>
    </row>
    <row r="1150">
      <c r="A1150" s="5" t="inlineStr">
        <is>
          <t>b9-hayat-muhasebesi</t>
        </is>
      </c>
      <c r="B1150" s="5" t="n">
        <v>1</v>
      </c>
      <c r="C1150" s="6" t="inlineStr">
        <is>
          <t>Alkışla, pastayı kes</t>
        </is>
      </c>
      <c r="D1150" s="5" t="inlineStr"/>
      <c r="E1150" s="5" t="inlineStr"/>
      <c r="F1150" s="5" t="inlineStr">
        <is>
          <t>İtibar +1, Dayanıklılık +1</t>
        </is>
      </c>
      <c r="G1150" s="6" t="inlineStr">
        <is>
          <t>Alkışladın. Pastayı kestin. Mumları üflerken yetmiş mumun yarısı sönmedi. Kalanını torunlar üfledi.</t>
        </is>
      </c>
      <c r="H1150" s="6" t="inlineStr"/>
      <c r="I1150" s="6" t="inlineStr"/>
      <c r="J1150" s="6" t="inlineStr"/>
      <c r="K1150" s="6" t="inlineStr"/>
      <c r="L1150" s="6" t="inlineStr"/>
      <c r="M1150" s="5" t="inlineStr"/>
      <c r="N1150" s="5" t="inlineStr"/>
      <c r="O1150" s="6" t="inlineStr"/>
      <c r="P1150" s="6" t="inlineStr"/>
      <c r="Q1150" s="5" t="inlineStr"/>
      <c r="R1150" s="5" t="inlineStr"/>
      <c r="S1150" s="5" t="inlineStr"/>
      <c r="T1150" s="5" t="inlineStr"/>
      <c r="U1150" s="5" t="inlineStr"/>
      <c r="V1150" s="5" t="inlineStr"/>
      <c r="W1150" s="5" t="inlineStr"/>
      <c r="X1150" s="5" t="inlineStr"/>
      <c r="Y1150" s="5" t="inlineStr"/>
      <c r="Z1150" s="6" t="inlineStr"/>
      <c r="AA1150" s="5" t="inlineStr"/>
      <c r="AB1150" s="5" t="inlineStr"/>
      <c r="AC1150" s="5" t="inlineStr"/>
      <c r="AD1150" s="5" t="inlineStr"/>
      <c r="AE1150" s="5" t="inlineStr"/>
      <c r="AF1150" s="5" t="inlineStr"/>
      <c r="AG1150" s="5" t="inlineStr"/>
      <c r="AH1150" s="5" t="inlineStr"/>
    </row>
    <row r="1151">
      <c r="A1151" s="5" t="inlineStr">
        <is>
          <t>b9-hayat-muhasebesi</t>
        </is>
      </c>
      <c r="B1151" s="5" t="n">
        <v>2</v>
      </c>
      <c r="C1151" s="6" t="inlineStr">
        <is>
          <t>Her fotoğrafın hikâyesini anlat</t>
        </is>
      </c>
      <c r="D1151" s="5" t="inlineStr">
        <is>
          <t>Çene</t>
        </is>
      </c>
      <c r="E1151" s="5" t="inlineStr">
        <is>
          <t>Orta</t>
        </is>
      </c>
      <c r="F1151" s="5" t="inlineStr"/>
      <c r="G1151" s="6" t="inlineStr"/>
      <c r="H1151" s="6" t="inlineStr">
        <is>
          <t>Anlattın. Torunlar ilk kez dinledi. Bir saat sonra slaytların yarısında kaldınız.</t>
        </is>
      </c>
      <c r="I1151" s="6" t="inlineStr">
        <is>
          <t>Anlattığın her hikâyeyi bir torun kaydetti. Artık ailenin resmî arşivi sesli bir dosya.</t>
        </is>
      </c>
      <c r="J1151" s="6" t="inlineStr">
        <is>
          <t>Anlatmaya başladın; slayt gösterisi devam etti. Sen hikâyede, slayt başka yerde.</t>
        </is>
      </c>
      <c r="K1151" s="6" t="inlineStr">
        <is>
          <t>Anlattın ama fotoğraflardaki kişileri karıştırdın. Bir teyze, iki farklı düğünde gelin ilan edildi.</t>
        </is>
      </c>
      <c r="L1151" s="6" t="inlineStr"/>
      <c r="M1151" s="5" t="inlineStr"/>
      <c r="N1151" s="5" t="inlineStr"/>
      <c r="O1151" s="6" t="inlineStr"/>
      <c r="P1151" s="6" t="inlineStr"/>
      <c r="Q1151" s="5" t="inlineStr"/>
      <c r="R1151" s="5" t="inlineStr"/>
      <c r="S1151" s="5" t="inlineStr"/>
      <c r="T1151" s="5" t="inlineStr"/>
      <c r="U1151" s="5" t="inlineStr"/>
      <c r="V1151" s="5" t="inlineStr"/>
      <c r="W1151" s="5" t="inlineStr"/>
      <c r="X1151" s="5" t="inlineStr"/>
      <c r="Y1151" s="5" t="inlineStr"/>
      <c r="Z1151" s="6" t="inlineStr"/>
      <c r="AA1151" s="5" t="inlineStr"/>
      <c r="AB1151" s="5" t="inlineStr"/>
      <c r="AC1151" s="5" t="inlineStr"/>
      <c r="AD1151" s="5" t="inlineStr"/>
      <c r="AE1151" s="5" t="inlineStr"/>
      <c r="AF1151" s="5" t="inlineStr"/>
      <c r="AG1151" s="5" t="inlineStr"/>
      <c r="AH1151" s="5" t="inlineStr"/>
    </row>
    <row r="1152">
      <c r="A1152" s="5" t="inlineStr">
        <is>
          <t>b9-hayat-muhasebesi</t>
        </is>
      </c>
      <c r="B1152" s="5" t="n">
        <v>3</v>
      </c>
      <c r="C1152" s="6" t="inlineStr">
        <is>
          <t>Vazo meselesini itiraf et</t>
        </is>
      </c>
      <c r="D1152" s="5" t="inlineStr">
        <is>
          <t>İtibar</t>
        </is>
      </c>
      <c r="E1152" s="5" t="inlineStr">
        <is>
          <t>Zor</t>
        </is>
      </c>
      <c r="F1152" s="5" t="inlineStr"/>
      <c r="G1152" s="6" t="inlineStr"/>
      <c r="H1152" s="6" t="inlineStr">
        <is>
          <t>İtiraf ettin: vazoyu sen kırmıştın. Salonda sessizlik. Sonra alkış. Kedinin ruhu nihayet aklandı.</t>
        </is>
      </c>
      <c r="I1152" s="6" t="inlineStr">
        <is>
          <t>İtiraf ettin ve bir kardeşin de ayağa kalkıp başka bir vazoyu itiraf etti. Aile bir itiraf gecesine dönüştü.</t>
        </is>
      </c>
      <c r="J1152" s="6" t="inlineStr">
        <is>
          <t>İtiraf ettin; kimse şaşırmadı. 'Biliyorduk' dediler. Yetmiş yıl boyunca sadece sen bilmediğini sanmışsın.</t>
        </is>
      </c>
      <c r="K1152" s="6" t="inlineStr">
        <is>
          <t>İtiraf ettin; kedinin adına bir anma dakikası talep edildi. Yaş günün, kedinin yas günü oldu.</t>
        </is>
      </c>
      <c r="L1152" s="6" t="inlineStr"/>
      <c r="M1152" s="5" t="inlineStr"/>
      <c r="N1152" s="5" t="inlineStr"/>
      <c r="O1152" s="6" t="inlineStr"/>
      <c r="P1152" s="6" t="inlineStr"/>
      <c r="Q1152" s="5" t="inlineStr"/>
      <c r="R1152" s="5" t="inlineStr">
        <is>
          <t>kediSuclu</t>
        </is>
      </c>
      <c r="S1152" s="5" t="inlineStr"/>
      <c r="T1152" s="5" t="inlineStr"/>
      <c r="U1152" s="5" t="inlineStr"/>
      <c r="V1152" s="5" t="inlineStr"/>
      <c r="W1152" s="5" t="inlineStr"/>
      <c r="X1152" s="5" t="inlineStr"/>
      <c r="Y1152" s="5" t="inlineStr"/>
      <c r="Z1152" s="6" t="inlineStr"/>
      <c r="AA1152" s="5" t="inlineStr"/>
      <c r="AB1152" s="5" t="inlineStr"/>
      <c r="AC1152" s="5" t="inlineStr"/>
      <c r="AD1152" s="5" t="inlineStr"/>
      <c r="AE1152" s="5" t="inlineStr"/>
      <c r="AF1152" s="5" t="inlineStr"/>
      <c r="AG1152" s="5" t="inlineStr"/>
      <c r="AH1152" s="5" t="inlineStr"/>
    </row>
    <row r="1153">
      <c r="A1153" s="5" t="inlineStr">
        <is>
          <t>b10-noter-vasiyet</t>
        </is>
      </c>
      <c r="B1153" s="5" t="n">
        <v>1</v>
      </c>
      <c r="C1153" s="6" t="inlineStr">
        <is>
          <t>Her şeyi eşit böl</t>
        </is>
      </c>
      <c r="D1153" s="5" t="inlineStr"/>
      <c r="E1153" s="5" t="inlineStr"/>
      <c r="F1153" s="5" t="inlineStr">
        <is>
          <t>İtibar +2</t>
        </is>
      </c>
      <c r="G1153" s="6" t="inlineStr">
        <is>
          <t>Varlıklar eşit paylaştırıldı. Herkes, kendi payının en küçük olduğuna ayrı ayrı ikna oldu.</t>
        </is>
      </c>
      <c r="H1153" s="6" t="inlineStr"/>
      <c r="I1153" s="6" t="inlineStr"/>
      <c r="J1153" s="6" t="inlineStr"/>
      <c r="K1153" s="6" t="inlineStr"/>
      <c r="L1153" s="6" t="inlineStr"/>
      <c r="M1153" s="5" t="inlineStr"/>
      <c r="N1153" s="5" t="inlineStr"/>
      <c r="O1153" s="6" t="inlineStr"/>
      <c r="P1153" s="6" t="inlineStr"/>
      <c r="Q1153" s="5" t="inlineStr"/>
      <c r="R1153" s="5" t="inlineStr"/>
      <c r="S1153" s="5" t="inlineStr"/>
      <c r="T1153" s="5" t="inlineStr"/>
      <c r="U1153" s="5" t="inlineStr">
        <is>
          <t>vasiyet-yazildi</t>
        </is>
      </c>
      <c r="V1153" s="5" t="inlineStr"/>
      <c r="W1153" s="5" t="inlineStr"/>
      <c r="X1153" s="5" t="inlineStr"/>
      <c r="Y1153" s="5" t="inlineStr"/>
      <c r="Z1153" s="6" t="inlineStr"/>
      <c r="AA1153" s="5" t="inlineStr"/>
      <c r="AB1153" s="5" t="inlineStr"/>
      <c r="AC1153" s="5" t="inlineStr"/>
      <c r="AD1153" s="5" t="inlineStr"/>
      <c r="AE1153" s="5" t="inlineStr"/>
      <c r="AF1153" s="5" t="inlineStr"/>
      <c r="AG1153" s="5" t="inlineStr"/>
      <c r="AH1153" s="5" t="inlineStr"/>
    </row>
    <row r="1154">
      <c r="A1154" s="5" t="inlineStr">
        <is>
          <t>b10-noter-vasiyet</t>
        </is>
      </c>
      <c r="B1154" s="5" t="n">
        <v>2</v>
      </c>
      <c r="C1154" s="6" t="inlineStr">
        <is>
          <t>Maddeleri tek tek yazdır</t>
        </is>
      </c>
      <c r="D1154" s="5" t="inlineStr">
        <is>
          <t>Akıl</t>
        </is>
      </c>
      <c r="E1154" s="5" t="inlineStr">
        <is>
          <t>Zor</t>
        </is>
      </c>
      <c r="F1154" s="5" t="inlineStr"/>
      <c r="G1154" s="6" t="inlineStr"/>
      <c r="H1154" s="6" t="inlineStr">
        <is>
          <t>Kırk iki madde, üç ek, bir dipnot. Noter belgeyi 'örnek vasiyet' olarak arşivine aldı.</t>
        </is>
      </c>
      <c r="I1154" s="6" t="inlineStr">
        <is>
          <t>Vasiyet o kadar net oldu ki olası üç davayı önceden kapattın. Aile hukukçusu işsiz kaldı.</t>
        </is>
      </c>
      <c r="J1154" s="6" t="inlineStr">
        <is>
          <t>Madde sayısı yirmiyi geçince katip kalemi bıraktı. Kalan kısım ek protokole ertelendi.</t>
        </is>
      </c>
      <c r="K1154" s="6" t="inlineStr">
        <is>
          <t>Çaydanlığın kime kalacağını üç ayrı maddede üç farklı kişiye bıraktın. Çaydanlık artık bir hukuk sorunu.</t>
        </is>
      </c>
      <c r="L1154" s="6" t="inlineStr"/>
      <c r="M1154" s="5" t="inlineStr"/>
      <c r="N1154" s="5" t="inlineStr"/>
      <c r="O1154" s="6" t="inlineStr"/>
      <c r="P1154" s="6" t="inlineStr"/>
      <c r="Q1154" s="5" t="inlineStr"/>
      <c r="R1154" s="5" t="inlineStr"/>
      <c r="S1154" s="5" t="inlineStr"/>
      <c r="T1154" s="5" t="inlineStr">
        <is>
          <t>Hayat Arşivcisi</t>
        </is>
      </c>
      <c r="U1154" s="5" t="inlineStr"/>
      <c r="V1154" s="5" t="inlineStr">
        <is>
          <t>vasiyet-yazildi</t>
        </is>
      </c>
      <c r="W1154" s="5" t="inlineStr"/>
      <c r="X1154" s="5" t="inlineStr"/>
      <c r="Y1154" s="5" t="inlineStr"/>
      <c r="Z1154" s="6" t="inlineStr"/>
      <c r="AA1154" s="5" t="inlineStr"/>
      <c r="AB1154" s="5" t="inlineStr"/>
      <c r="AC1154" s="5" t="inlineStr"/>
      <c r="AD1154" s="5" t="inlineStr"/>
      <c r="AE1154" s="5" t="inlineStr"/>
      <c r="AF1154" s="5" t="inlineStr"/>
      <c r="AG1154" s="5" t="inlineStr"/>
      <c r="AH1154" s="5" t="inlineStr"/>
    </row>
    <row r="1155">
      <c r="A1155" s="5" t="inlineStr">
        <is>
          <t>b10-noter-vasiyet</t>
        </is>
      </c>
      <c r="B1155" s="5" t="n">
        <v>3</v>
      </c>
      <c r="C1155" s="6" t="inlineStr">
        <is>
          <t>Bir maddeyi gizemli bırak</t>
        </is>
      </c>
      <c r="D1155" s="5" t="inlineStr">
        <is>
          <t>Pişkinlik</t>
        </is>
      </c>
      <c r="E1155" s="5" t="inlineStr">
        <is>
          <t>Orta</t>
        </is>
      </c>
      <c r="F1155" s="5" t="inlineStr"/>
      <c r="G1155" s="6" t="inlineStr"/>
      <c r="H1155" s="6" t="inlineStr">
        <is>
          <t>'Mavi kutu, onu hak eden kişiye.' Aile ziyaretleri üç kat arttı.</t>
        </is>
      </c>
      <c r="I1155" s="6" t="inlineStr">
        <is>
          <t>Mavi kutuyu kimse bulamadı ama herkes seni her hafta aramaya başladı. Yaşlılık stratejisi tescillendi.</t>
        </is>
      </c>
      <c r="J1155" s="6" t="inlineStr">
        <is>
          <t>Gizemli madde noter tarafından 'lütfen açıklayınız' notuyla iade edildi.</t>
        </is>
      </c>
      <c r="K1155" s="6" t="inlineStr">
        <is>
          <t>Mavi kutunun içinde eski faturalar olduğu, daha sen ölmeden ortaya çıktı.</t>
        </is>
      </c>
      <c r="L1155" s="6" t="inlineStr"/>
      <c r="M1155" s="5" t="inlineStr"/>
      <c r="N1155" s="5" t="inlineStr"/>
      <c r="O1155" s="6" t="inlineStr"/>
      <c r="P1155" s="6" t="inlineStr"/>
      <c r="Q1155" s="5" t="inlineStr"/>
      <c r="R1155" s="5" t="inlineStr"/>
      <c r="S1155" s="5" t="inlineStr"/>
      <c r="T1155" s="5" t="inlineStr"/>
      <c r="U1155" s="5" t="inlineStr">
        <is>
          <t>vasiyet-yazildi</t>
        </is>
      </c>
      <c r="V1155" s="5" t="inlineStr"/>
      <c r="W1155" s="5" t="inlineStr"/>
      <c r="X1155" s="5" t="inlineStr"/>
      <c r="Y1155" s="5" t="inlineStr"/>
      <c r="Z1155" s="6" t="inlineStr"/>
      <c r="AA1155" s="5" t="inlineStr"/>
      <c r="AB1155" s="5" t="inlineStr"/>
      <c r="AC1155" s="5" t="inlineStr"/>
      <c r="AD1155" s="5" t="inlineStr"/>
      <c r="AE1155" s="5" t="inlineStr"/>
      <c r="AF1155" s="5" t="inlineStr"/>
      <c r="AG1155" s="5" t="inlineStr"/>
      <c r="AH1155" s="5" t="inlineStr"/>
    </row>
    <row r="1156">
      <c r="A1156" s="5" t="inlineStr">
        <is>
          <t>b10-noter-vasiyet</t>
        </is>
      </c>
      <c r="B1156" s="5" t="n">
        <v>4</v>
      </c>
      <c r="C1156" s="6" t="inlineStr">
        <is>
          <t>Kumbaranın yerini de yazdır</t>
        </is>
      </c>
      <c r="D1156" s="5" t="inlineStr"/>
      <c r="E1156" s="5" t="inlineStr"/>
      <c r="F1156" s="5" t="inlineStr">
        <is>
          <t>Kurnazlık +2</t>
        </is>
      </c>
      <c r="G1156" s="6" t="inlineStr">
        <is>
          <t>Çocukluktan kalan son kumbara vasiyete işlendi. İçindeki bozukluklar, enflasyonla birlikte manevi değere dönüştü.</t>
        </is>
      </c>
      <c r="H1156" s="6" t="inlineStr"/>
      <c r="I1156" s="6" t="inlineStr"/>
      <c r="J1156" s="6" t="inlineStr"/>
      <c r="K1156" s="6" t="inlineStr"/>
      <c r="L1156" s="6" t="inlineStr"/>
      <c r="M1156" s="5" t="inlineStr"/>
      <c r="N1156" s="5" t="inlineStr"/>
      <c r="O1156" s="6" t="inlineStr"/>
      <c r="P1156" s="6" t="inlineStr"/>
      <c r="Q1156" s="5" t="inlineStr"/>
      <c r="R1156" s="5" t="inlineStr">
        <is>
          <t>ilkKelimePara</t>
        </is>
      </c>
      <c r="S1156" s="5" t="inlineStr"/>
      <c r="T1156" s="5" t="inlineStr"/>
      <c r="U1156" s="5" t="inlineStr">
        <is>
          <t>vasiyet-yazildi</t>
        </is>
      </c>
      <c r="V1156" s="5" t="inlineStr"/>
      <c r="W1156" s="5" t="inlineStr"/>
      <c r="X1156" s="5" t="inlineStr"/>
      <c r="Y1156" s="5" t="inlineStr"/>
      <c r="Z1156" s="6" t="inlineStr"/>
      <c r="AA1156" s="5" t="inlineStr"/>
      <c r="AB1156" s="5" t="inlineStr"/>
      <c r="AC1156" s="5" t="inlineStr"/>
      <c r="AD1156" s="5" t="inlineStr"/>
      <c r="AE1156" s="5" t="inlineStr"/>
      <c r="AF1156" s="5" t="inlineStr"/>
      <c r="AG1156" s="5" t="inlineStr"/>
      <c r="AH1156" s="5" t="inlineStr"/>
    </row>
    <row r="1157">
      <c r="A1157" s="5" t="inlineStr">
        <is>
          <t>b10-miras-provasi</t>
        </is>
      </c>
      <c r="B1157" s="5" t="n">
        <v>1</v>
      </c>
      <c r="C1157" s="6" t="inlineStr">
        <is>
          <t>'Ben daha buradayım' de</t>
        </is>
      </c>
      <c r="D1157" s="5" t="inlineStr"/>
      <c r="E1157" s="5" t="inlineStr"/>
      <c r="F1157" s="5" t="inlineStr">
        <is>
          <t>Cesaret +1</t>
        </is>
      </c>
      <c r="G1157" s="6" t="inlineStr">
        <is>
          <t>Masada kısa bir sessizlik oldu. Sonra biri tatlıyı getirdi ve konu kapandı. Şimdilik.</t>
        </is>
      </c>
      <c r="H1157" s="6" t="inlineStr"/>
      <c r="I1157" s="6" t="inlineStr"/>
      <c r="J1157" s="6" t="inlineStr"/>
      <c r="K1157" s="6" t="inlineStr"/>
      <c r="L1157" s="6" t="inlineStr"/>
      <c r="M1157" s="5" t="inlineStr"/>
      <c r="N1157" s="5" t="inlineStr"/>
      <c r="O1157" s="6" t="inlineStr"/>
      <c r="P1157" s="6" t="inlineStr"/>
      <c r="Q1157" s="5" t="inlineStr"/>
      <c r="R1157" s="5" t="inlineStr"/>
      <c r="S1157" s="5" t="inlineStr"/>
      <c r="T1157" s="5" t="inlineStr"/>
      <c r="U1157" s="5" t="inlineStr"/>
      <c r="V1157" s="5" t="inlineStr"/>
      <c r="W1157" s="5" t="inlineStr"/>
      <c r="X1157" s="5" t="inlineStr"/>
      <c r="Y1157" s="5" t="inlineStr"/>
      <c r="Z1157" s="6" t="inlineStr"/>
      <c r="AA1157" s="5" t="inlineStr"/>
      <c r="AB1157" s="5" t="inlineStr"/>
      <c r="AC1157" s="5" t="inlineStr"/>
      <c r="AD1157" s="5" t="inlineStr"/>
      <c r="AE1157" s="5" t="inlineStr"/>
      <c r="AF1157" s="5" t="inlineStr"/>
      <c r="AG1157" s="5" t="inlineStr"/>
      <c r="AH1157" s="5" t="inlineStr"/>
    </row>
    <row r="1158">
      <c r="A1158" s="5" t="inlineStr">
        <is>
          <t>b10-miras-provasi</t>
        </is>
      </c>
      <c r="B1158" s="5" t="n">
        <v>2</v>
      </c>
      <c r="C1158" s="6" t="inlineStr">
        <is>
          <t>Sahte bir liste okut</t>
        </is>
      </c>
      <c r="D1158" s="5" t="inlineStr">
        <is>
          <t>Kurnazlık</t>
        </is>
      </c>
      <c r="E1158" s="5" t="inlineStr">
        <is>
          <t>Orta</t>
        </is>
      </c>
      <c r="F1158" s="5" t="inlineStr"/>
      <c r="G1158" s="6" t="inlineStr"/>
      <c r="H1158" s="6" t="inlineStr">
        <is>
          <t>Kimin neyi istediğini bir sahte listeyle ortaya çıkardın. Dosya kapandı, taraflar belirlendi.</t>
        </is>
      </c>
      <c r="I1158" s="6" t="inlineStr">
        <is>
          <t>Herkes kendi adını listede en üstte görmek için yarıştı. Bulaşıklar bile yıkandı.</t>
        </is>
      </c>
      <c r="J1158" s="6" t="inlineStr">
        <is>
          <t>Liste okununca kimse tepki vermedi. Herkes kendi gerçek listesini zaten hazırlamıştı.</t>
        </is>
      </c>
      <c r="K1158" s="6" t="inlineStr">
        <is>
          <t>Sahte listeyi gerçek sanan biri, vitrindeki takımı o gece paketledi.</t>
        </is>
      </c>
      <c r="L1158" s="6" t="inlineStr"/>
      <c r="M1158" s="5" t="inlineStr"/>
      <c r="N1158" s="5" t="inlineStr"/>
      <c r="O1158" s="6" t="inlineStr"/>
      <c r="P1158" s="6" t="inlineStr"/>
      <c r="Q1158" s="5" t="inlineStr"/>
      <c r="R1158" s="5" t="inlineStr"/>
      <c r="S1158" s="5" t="inlineStr"/>
      <c r="T1158" s="5" t="inlineStr"/>
      <c r="U1158" s="5" t="inlineStr"/>
      <c r="V1158" s="5" t="inlineStr"/>
      <c r="W1158" s="5" t="inlineStr"/>
      <c r="X1158" s="5" t="inlineStr"/>
      <c r="Y1158" s="5" t="inlineStr"/>
      <c r="Z1158" s="6" t="inlineStr"/>
      <c r="AA1158" s="5" t="inlineStr"/>
      <c r="AB1158" s="5" t="inlineStr"/>
      <c r="AC1158" s="5" t="inlineStr"/>
      <c r="AD1158" s="5" t="inlineStr"/>
      <c r="AE1158" s="5" t="inlineStr"/>
      <c r="AF1158" s="5" t="inlineStr"/>
      <c r="AG1158" s="5" t="inlineStr"/>
      <c r="AH1158" s="5" t="inlineStr"/>
    </row>
    <row r="1159">
      <c r="A1159" s="5" t="inlineStr">
        <is>
          <t>b10-miras-provasi</t>
        </is>
      </c>
      <c r="B1159" s="5" t="n">
        <v>3</v>
      </c>
      <c r="C1159" s="6" t="inlineStr">
        <is>
          <t>'Masanın sol ucu, konuşalım' de</t>
        </is>
      </c>
      <c r="D1159" s="5" t="inlineStr">
        <is>
          <t>Sosyal Radar</t>
        </is>
      </c>
      <c r="E1159" s="5" t="inlineStr">
        <is>
          <t>Kolay</t>
        </is>
      </c>
      <c r="F1159" s="5" t="inlineStr"/>
      <c r="G1159" s="6" t="inlineStr"/>
      <c r="H1159" s="6" t="inlineStr">
        <is>
          <t>Asıl talep sahibini adıyla çağırdın. Talep geri çekildi, tatlı servisi başladı.</t>
        </is>
      </c>
      <c r="I1159" s="6" t="inlineStr">
        <is>
          <t>Sol uç çözüldü, sağ uç da kendi talebini itiraf etti. Aile toplantısı erken bitti.</t>
        </is>
      </c>
      <c r="J1159" s="6" t="inlineStr">
        <is>
          <t>Sol uç 'Ben mi?' dedi, sağ uç güldü. Konu bir sonraki pazara ertelendi.</t>
        </is>
      </c>
      <c r="K1159" s="6" t="inlineStr">
        <is>
          <t>Yanlış kişiyi çağırdın. O kişi takımı hiç istememişti; şimdi istiyor.</t>
        </is>
      </c>
      <c r="L1159" s="6" t="inlineStr"/>
      <c r="M1159" s="5" t="inlineStr"/>
      <c r="N1159" s="5" t="inlineStr"/>
      <c r="O1159" s="6" t="inlineStr"/>
      <c r="P1159" s="6" t="inlineStr"/>
      <c r="Q1159" s="5" t="inlineStr"/>
      <c r="R1159" s="5" t="inlineStr"/>
      <c r="S1159" s="5" t="inlineStr">
        <is>
          <t>Sosyal Radar</t>
        </is>
      </c>
      <c r="T1159" s="5" t="inlineStr"/>
      <c r="U1159" s="5" t="inlineStr"/>
      <c r="V1159" s="5" t="inlineStr"/>
      <c r="W1159" s="5" t="inlineStr"/>
      <c r="X1159" s="5" t="inlineStr"/>
      <c r="Y1159" s="5" t="inlineStr"/>
      <c r="Z1159" s="6" t="inlineStr"/>
      <c r="AA1159" s="5" t="inlineStr"/>
      <c r="AB1159" s="5" t="inlineStr"/>
      <c r="AC1159" s="5" t="inlineStr"/>
      <c r="AD1159" s="5" t="inlineStr"/>
      <c r="AE1159" s="5" t="inlineStr"/>
      <c r="AF1159" s="5" t="inlineStr"/>
      <c r="AG1159" s="5" t="inlineStr"/>
      <c r="AH1159" s="5" t="inlineStr"/>
    </row>
    <row r="1160">
      <c r="A1160" s="5" t="inlineStr">
        <is>
          <t>b10-miras-provasi</t>
        </is>
      </c>
      <c r="B1160" s="5" t="n">
        <v>4</v>
      </c>
      <c r="C1160" s="6" t="inlineStr">
        <is>
          <t>Takımı hemen hediye et</t>
        </is>
      </c>
      <c r="D1160" s="5" t="inlineStr"/>
      <c r="E1160" s="5" t="inlineStr"/>
      <c r="F1160" s="5" t="inlineStr">
        <is>
          <t>İtibar +2</t>
        </is>
      </c>
      <c r="G1160" s="6" t="inlineStr">
        <is>
          <t>Takım paketlendi. Diğerleri dolapta başka neler olduğunu not etmeye başladı.</t>
        </is>
      </c>
      <c r="H1160" s="6" t="inlineStr"/>
      <c r="I1160" s="6" t="inlineStr"/>
      <c r="J1160" s="6" t="inlineStr"/>
      <c r="K1160" s="6" t="inlineStr"/>
      <c r="L1160" s="6" t="inlineStr"/>
      <c r="M1160" s="5" t="inlineStr"/>
      <c r="N1160" s="5" t="inlineStr"/>
      <c r="O1160" s="6" t="inlineStr"/>
      <c r="P1160" s="6" t="inlineStr"/>
      <c r="Q1160" s="5" t="inlineStr"/>
      <c r="R1160" s="5" t="inlineStr"/>
      <c r="S1160" s="5" t="inlineStr"/>
      <c r="T1160" s="5" t="inlineStr"/>
      <c r="U1160" s="5" t="inlineStr"/>
      <c r="V1160" s="5" t="inlineStr"/>
      <c r="W1160" s="5" t="inlineStr"/>
      <c r="X1160" s="5" t="inlineStr"/>
      <c r="Y1160" s="5" t="inlineStr"/>
      <c r="Z1160" s="6" t="inlineStr"/>
      <c r="AA1160" s="5" t="inlineStr"/>
      <c r="AB1160" s="5" t="inlineStr"/>
      <c r="AC1160" s="5" t="inlineStr"/>
      <c r="AD1160" s="5" t="inlineStr"/>
      <c r="AE1160" s="5" t="inlineStr"/>
      <c r="AF1160" s="5" t="inlineStr"/>
      <c r="AG1160" s="5" t="inlineStr"/>
      <c r="AH1160" s="5" t="inlineStr"/>
    </row>
    <row r="1161">
      <c r="A1161" s="5" t="inlineStr">
        <is>
          <t>b10-teknoloji-kursu</t>
        </is>
      </c>
      <c r="B1161" s="5" t="n">
        <v>1</v>
      </c>
      <c r="C1161" s="6" t="inlineStr">
        <is>
          <t>Not al, sessizce öğren</t>
        </is>
      </c>
      <c r="D1161" s="5" t="inlineStr"/>
      <c r="E1161" s="5" t="inlineStr"/>
      <c r="F1161" s="5" t="inlineStr">
        <is>
          <t>Akıl +1</t>
        </is>
      </c>
      <c r="G1161" s="6" t="inlineStr">
        <is>
          <t>Defterine kırk adım yazdın. Görüntülü arama açılmadı ama defter çok düzenli.</t>
        </is>
      </c>
      <c r="H1161" s="6" t="inlineStr"/>
      <c r="I1161" s="6" t="inlineStr"/>
      <c r="J1161" s="6" t="inlineStr"/>
      <c r="K1161" s="6" t="inlineStr"/>
      <c r="L1161" s="6" t="inlineStr"/>
      <c r="M1161" s="5" t="inlineStr"/>
      <c r="N1161" s="5" t="inlineStr"/>
      <c r="O1161" s="6" t="inlineStr"/>
      <c r="P1161" s="6" t="inlineStr"/>
      <c r="Q1161" s="5" t="inlineStr"/>
      <c r="R1161" s="5" t="inlineStr"/>
      <c r="S1161" s="5" t="inlineStr"/>
      <c r="T1161" s="5" t="inlineStr"/>
      <c r="U1161" s="5" t="inlineStr"/>
      <c r="V1161" s="5" t="inlineStr"/>
      <c r="W1161" s="5" t="inlineStr"/>
      <c r="X1161" s="5" t="inlineStr"/>
      <c r="Y1161" s="5" t="inlineStr"/>
      <c r="Z1161" s="6" t="inlineStr"/>
      <c r="AA1161" s="5" t="inlineStr"/>
      <c r="AB1161" s="5" t="inlineStr"/>
      <c r="AC1161" s="5" t="inlineStr"/>
      <c r="AD1161" s="5" t="inlineStr"/>
      <c r="AE1161" s="5" t="inlineStr"/>
      <c r="AF1161" s="5" t="inlineStr"/>
      <c r="AG1161" s="5" t="inlineStr"/>
      <c r="AH1161" s="5" t="inlineStr"/>
    </row>
    <row r="1162">
      <c r="A1162" s="5" t="inlineStr">
        <is>
          <t>b10-teknoloji-kursu</t>
        </is>
      </c>
      <c r="B1162" s="5" t="n">
        <v>2</v>
      </c>
      <c r="C1162" s="6" t="inlineStr">
        <is>
          <t>Aile grubuna ilk sesli mesajı gönder</t>
        </is>
      </c>
      <c r="D1162" s="5" t="inlineStr">
        <is>
          <t>Pişkinlik</t>
        </is>
      </c>
      <c r="E1162" s="5" t="inlineStr">
        <is>
          <t>Orta</t>
        </is>
      </c>
      <c r="F1162" s="5" t="inlineStr"/>
      <c r="G1162" s="6" t="inlineStr"/>
      <c r="H1162" s="6" t="inlineStr">
        <is>
          <t>Kırk saniyelik sesli mesaj gönderdin. Aile grubu ilk kez tamamen sessizleşti.</t>
        </is>
      </c>
      <c r="I1162" s="6" t="inlineStr">
        <is>
          <t>Mesajın o kadar sevildi ki torunların seni her sabah sesli mesaja bağladı. Artık bir yayın organısın.</t>
        </is>
      </c>
      <c r="J1162" s="6" t="inlineStr">
        <is>
          <t>Mesajın ilk yirmi saniyesi 'Bu çalışıyor mu?' oldu.</t>
        </is>
      </c>
      <c r="K1162" s="6" t="inlineStr">
        <is>
          <t>Cep telefonun kulağında, sesli mesaj cebinde kaydedildi. Aile grubu üç dakika kumaş sesi dinledi.</t>
        </is>
      </c>
      <c r="L1162" s="6" t="inlineStr"/>
      <c r="M1162" s="5" t="inlineStr"/>
      <c r="N1162" s="5" t="inlineStr"/>
      <c r="O1162" s="6" t="inlineStr"/>
      <c r="P1162" s="6" t="inlineStr"/>
      <c r="Q1162" s="5" t="inlineStr"/>
      <c r="R1162" s="5" t="inlineStr"/>
      <c r="S1162" s="5" t="inlineStr"/>
      <c r="T1162" s="5" t="inlineStr"/>
      <c r="U1162" s="5" t="inlineStr"/>
      <c r="V1162" s="5" t="inlineStr"/>
      <c r="W1162" s="5" t="inlineStr"/>
      <c r="X1162" s="5" t="inlineStr"/>
      <c r="Y1162" s="5" t="inlineStr"/>
      <c r="Z1162" s="6" t="inlineStr"/>
      <c r="AA1162" s="5" t="inlineStr"/>
      <c r="AB1162" s="5" t="inlineStr"/>
      <c r="AC1162" s="5" t="inlineStr"/>
      <c r="AD1162" s="5" t="inlineStr"/>
      <c r="AE1162" s="5" t="inlineStr"/>
      <c r="AF1162" s="5" t="inlineStr"/>
      <c r="AG1162" s="5" t="inlineStr"/>
      <c r="AH1162" s="5" t="inlineStr"/>
    </row>
    <row r="1163">
      <c r="A1163" s="5" t="inlineStr">
        <is>
          <t>b10-teknoloji-kursu</t>
        </is>
      </c>
      <c r="B1163" s="5" t="n">
        <v>3</v>
      </c>
      <c r="C1163" s="6" t="inlineStr">
        <is>
          <t>Eğitmene ders ver</t>
        </is>
      </c>
      <c r="D1163" s="5" t="inlineStr">
        <is>
          <t>Akıl</t>
        </is>
      </c>
      <c r="E1163" s="5" t="inlineStr">
        <is>
          <t>Zor</t>
        </is>
      </c>
      <c r="F1163" s="5" t="inlineStr"/>
      <c r="G1163" s="6" t="inlineStr"/>
      <c r="H1163" s="6" t="inlineStr">
        <is>
          <t>Eğitmen, 'Aslında bu kısayolu bilmiyordum' dedi. Sınıf sana döndü.</t>
        </is>
      </c>
      <c r="I1163" s="6" t="inlineStr">
        <is>
          <t>Kursun ikinci döneminde eğitmen sensin. Belediye maaş değil, çay ikram ediyor.</t>
        </is>
      </c>
      <c r="J1163" s="6" t="inlineStr">
        <is>
          <t>Kısayolu gösterdin, telefon fabrika ayarlarına döndü.</t>
        </is>
      </c>
      <c r="K1163" s="6" t="inlineStr">
        <is>
          <t>Kısayol çalıştı; sınıftaki bütün telefonlar aynı anda aynı şarkıyı çalmaya başladı.</t>
        </is>
      </c>
      <c r="L1163" s="6" t="inlineStr"/>
      <c r="M1163" s="5" t="inlineStr"/>
      <c r="N1163" s="5" t="inlineStr"/>
      <c r="O1163" s="6" t="inlineStr"/>
      <c r="P1163" s="6" t="inlineStr"/>
      <c r="Q1163" s="5" t="inlineStr">
        <is>
          <t>Teknoloji Merakı</t>
        </is>
      </c>
      <c r="R1163" s="5" t="inlineStr"/>
      <c r="S1163" s="5" t="inlineStr"/>
      <c r="T1163" s="5" t="inlineStr"/>
      <c r="U1163" s="5" t="inlineStr"/>
      <c r="V1163" s="5" t="inlineStr"/>
      <c r="W1163" s="5" t="inlineStr"/>
      <c r="X1163" s="5" t="inlineStr"/>
      <c r="Y1163" s="5" t="inlineStr"/>
      <c r="Z1163" s="6" t="inlineStr"/>
      <c r="AA1163" s="5" t="inlineStr"/>
      <c r="AB1163" s="5" t="inlineStr"/>
      <c r="AC1163" s="5" t="inlineStr"/>
      <c r="AD1163" s="5" t="inlineStr"/>
      <c r="AE1163" s="5" t="inlineStr"/>
      <c r="AF1163" s="5" t="inlineStr"/>
      <c r="AG1163" s="5" t="inlineStr"/>
      <c r="AH1163" s="5" t="inlineStr"/>
    </row>
    <row r="1164">
      <c r="A1164" s="5" t="inlineStr">
        <is>
          <t>b10-teknoloji-kursu</t>
        </is>
      </c>
      <c r="B1164" s="5" t="n">
        <v>4</v>
      </c>
      <c r="C1164" s="6" t="inlineStr">
        <is>
          <t>Kursu yarıda bırak</t>
        </is>
      </c>
      <c r="D1164" s="5" t="inlineStr"/>
      <c r="E1164" s="5" t="inlineStr"/>
      <c r="F1164" s="5" t="inlineStr">
        <is>
          <t>Dayanıklılık +1</t>
        </is>
      </c>
      <c r="G1164" s="6" t="inlineStr">
        <is>
          <t>Kurs sertifikası verilmedi. Telefonun hâlâ yazı boyutu en büyükte.</t>
        </is>
      </c>
      <c r="H1164" s="6" t="inlineStr"/>
      <c r="I1164" s="6" t="inlineStr"/>
      <c r="J1164" s="6" t="inlineStr"/>
      <c r="K1164" s="6" t="inlineStr"/>
      <c r="L1164" s="6" t="inlineStr"/>
      <c r="M1164" s="5" t="inlineStr"/>
      <c r="N1164" s="5" t="inlineStr"/>
      <c r="O1164" s="6" t="inlineStr"/>
      <c r="P1164" s="6" t="inlineStr"/>
      <c r="Q1164" s="5" t="inlineStr"/>
      <c r="R1164" s="5" t="inlineStr"/>
      <c r="S1164" s="5" t="inlineStr"/>
      <c r="T1164" s="5" t="inlineStr"/>
      <c r="U1164" s="5" t="inlineStr"/>
      <c r="V1164" s="5" t="inlineStr"/>
      <c r="W1164" s="5" t="inlineStr"/>
      <c r="X1164" s="5" t="inlineStr"/>
      <c r="Y1164" s="5" t="inlineStr"/>
      <c r="Z1164" s="6" t="inlineStr"/>
      <c r="AA1164" s="5" t="inlineStr"/>
      <c r="AB1164" s="5" t="inlineStr"/>
      <c r="AC1164" s="5" t="inlineStr"/>
      <c r="AD1164" s="5" t="inlineStr"/>
      <c r="AE1164" s="5" t="inlineStr"/>
      <c r="AF1164" s="5" t="inlineStr"/>
      <c r="AG1164" s="5" t="inlineStr"/>
      <c r="AH1164" s="5" t="inlineStr"/>
    </row>
    <row r="1165">
      <c r="A1165" s="5" t="inlineStr">
        <is>
          <t>b10-balkon-kulesi</t>
        </is>
      </c>
      <c r="B1165" s="5" t="n">
        <v>1</v>
      </c>
      <c r="C1165" s="6" t="inlineStr">
        <is>
          <t>Sadece izle</t>
        </is>
      </c>
      <c r="D1165" s="5" t="inlineStr"/>
      <c r="E1165" s="5" t="inlineStr"/>
      <c r="F1165" s="5" t="inlineStr">
        <is>
          <t>Sosyal Radar +1</t>
        </is>
      </c>
      <c r="G1165" s="6" t="inlineStr">
        <is>
          <t>Günün raporu tamamlandı: iki taşınma, bir kavga, bir yanlış kargo. Kimse sormadı.</t>
        </is>
      </c>
      <c r="H1165" s="6" t="inlineStr"/>
      <c r="I1165" s="6" t="inlineStr"/>
      <c r="J1165" s="6" t="inlineStr"/>
      <c r="K1165" s="6" t="inlineStr"/>
      <c r="L1165" s="6" t="inlineStr"/>
      <c r="M1165" s="5" t="inlineStr"/>
      <c r="N1165" s="5" t="inlineStr"/>
      <c r="O1165" s="6" t="inlineStr"/>
      <c r="P1165" s="6" t="inlineStr"/>
      <c r="Q1165" s="5" t="inlineStr"/>
      <c r="R1165" s="5" t="inlineStr"/>
      <c r="S1165" s="5" t="inlineStr"/>
      <c r="T1165" s="5" t="inlineStr"/>
      <c r="U1165" s="5" t="inlineStr"/>
      <c r="V1165" s="5" t="inlineStr"/>
      <c r="W1165" s="5" t="inlineStr"/>
      <c r="X1165" s="5" t="inlineStr"/>
      <c r="Y1165" s="5" t="inlineStr"/>
      <c r="Z1165" s="6" t="inlineStr"/>
      <c r="AA1165" s="5" t="inlineStr"/>
      <c r="AB1165" s="5" t="inlineStr"/>
      <c r="AC1165" s="5" t="inlineStr"/>
      <c r="AD1165" s="5" t="inlineStr"/>
      <c r="AE1165" s="5" t="inlineStr"/>
      <c r="AF1165" s="5" t="inlineStr"/>
      <c r="AG1165" s="5" t="inlineStr"/>
      <c r="AH1165" s="5" t="inlineStr"/>
    </row>
    <row r="1166">
      <c r="A1166" s="5" t="inlineStr">
        <is>
          <t>b10-balkon-kulesi</t>
        </is>
      </c>
      <c r="B1166" s="5" t="n">
        <v>2</v>
      </c>
      <c r="C1166" s="6" t="inlineStr">
        <is>
          <t>Mahalle grubuna günlük rapor yaz</t>
        </is>
      </c>
      <c r="D1166" s="5" t="inlineStr">
        <is>
          <t>Sosyal Radar</t>
        </is>
      </c>
      <c r="E1166" s="5" t="inlineStr">
        <is>
          <t>Zor</t>
        </is>
      </c>
      <c r="F1166" s="5" t="inlineStr"/>
      <c r="G1166" s="6" t="inlineStr"/>
      <c r="H1166" s="6" t="inlineStr">
        <is>
          <t>Sabah raporun okunmadan kimse evden çıkmıyor. Resmî sıfatın yok, yetkin var.</t>
        </is>
      </c>
      <c r="I1166" s="6" t="inlineStr">
        <is>
          <t>Kayıp bir kargoyu, kayıp bir kediyi ve kayıp bir yönetici toplantısını aynı gün buldun. Sokak sana plaket verdi.</t>
        </is>
      </c>
      <c r="J1166" s="6" t="inlineStr">
        <is>
          <t>Raporun 'Bilgi kirliliği' gerekçesiyle gruptan kaldırıldı.</t>
        </is>
      </c>
      <c r="K1166" s="6" t="inlineStr">
        <is>
          <t>Raporuna kendi balkonunun fotoğrafı eklenmiş. Denetleyen denetlendi.</t>
        </is>
      </c>
      <c r="L1166" s="6" t="inlineStr"/>
      <c r="M1166" s="5" t="inlineStr"/>
      <c r="N1166" s="5" t="inlineStr"/>
      <c r="O1166" s="6" t="inlineStr"/>
      <c r="P1166" s="6" t="inlineStr"/>
      <c r="Q1166" s="5" t="inlineStr"/>
      <c r="R1166" s="5" t="inlineStr"/>
      <c r="S1166" s="5" t="inlineStr"/>
      <c r="T1166" s="5" t="inlineStr">
        <is>
          <t>Balkon Müfettişi</t>
        </is>
      </c>
      <c r="U1166" s="5" t="inlineStr"/>
      <c r="V1166" s="5" t="inlineStr"/>
      <c r="W1166" s="5" t="inlineStr"/>
      <c r="X1166" s="5" t="inlineStr"/>
      <c r="Y1166" s="5" t="inlineStr"/>
      <c r="Z1166" s="6" t="inlineStr"/>
      <c r="AA1166" s="5" t="inlineStr"/>
      <c r="AB1166" s="5" t="inlineStr"/>
      <c r="AC1166" s="5" t="inlineStr"/>
      <c r="AD1166" s="5" t="inlineStr"/>
      <c r="AE1166" s="5" t="inlineStr"/>
      <c r="AF1166" s="5" t="inlineStr"/>
      <c r="AG1166" s="5" t="inlineStr"/>
      <c r="AH1166" s="5" t="inlineStr"/>
    </row>
    <row r="1167">
      <c r="A1167" s="5" t="inlineStr">
        <is>
          <t>b10-balkon-kulesi</t>
        </is>
      </c>
      <c r="B1167" s="5" t="n">
        <v>3</v>
      </c>
      <c r="C1167" s="6" t="inlineStr">
        <is>
          <t>Sarkıp aşağıdaki tartışmaya katıl</t>
        </is>
      </c>
      <c r="D1167" s="5" t="inlineStr">
        <is>
          <t>Çene</t>
        </is>
      </c>
      <c r="E1167" s="5" t="inlineStr">
        <is>
          <t>Orta</t>
        </is>
      </c>
      <c r="F1167" s="5" t="inlineStr"/>
      <c r="G1167" s="6" t="inlineStr"/>
      <c r="H1167" s="6" t="inlineStr">
        <is>
          <t>Tek cümleyle park kavgasını çözdün. İki şoför de sana teşekkür etti.</t>
        </is>
      </c>
      <c r="I1167" s="6" t="inlineStr">
        <is>
          <t>Arabalar yer değiştirdi, taraflar barıştı, biri sana simit getirdi.</t>
        </is>
      </c>
      <c r="J1167" s="6" t="inlineStr">
        <is>
          <t>Sesin aşağıya ulaşmadı. Tartışma sensiz sonuçlandı.</t>
        </is>
      </c>
      <c r="K1167" s="6" t="inlineStr">
        <is>
          <t>Tartışmaya katıldın; iki taraf birleşip sana döndü.</t>
        </is>
      </c>
      <c r="L1167" s="6" t="inlineStr"/>
      <c r="M1167" s="5" t="inlineStr"/>
      <c r="N1167" s="5" t="inlineStr"/>
      <c r="O1167" s="6" t="inlineStr"/>
      <c r="P1167" s="6" t="inlineStr"/>
      <c r="Q1167" s="5" t="inlineStr"/>
      <c r="R1167" s="5" t="inlineStr"/>
      <c r="S1167" s="5" t="inlineStr"/>
      <c r="T1167" s="5" t="inlineStr"/>
      <c r="U1167" s="5" t="inlineStr"/>
      <c r="V1167" s="5" t="inlineStr"/>
      <c r="W1167" s="5" t="inlineStr"/>
      <c r="X1167" s="5" t="inlineStr"/>
      <c r="Y1167" s="5" t="n">
        <v>3</v>
      </c>
      <c r="Z1167" s="6" t="inlineStr">
        <is>
          <t>Balkondan aşağıdaki park tartışmasına hakem olarak katılırken. Kararı hâlâ geçerli.</t>
        </is>
      </c>
      <c r="AA1167" s="5" t="inlineStr"/>
      <c r="AB1167" s="5" t="inlineStr"/>
      <c r="AC1167" s="5" t="inlineStr"/>
      <c r="AD1167" s="5" t="inlineStr"/>
      <c r="AE1167" s="5" t="inlineStr"/>
      <c r="AF1167" s="5" t="inlineStr"/>
      <c r="AG1167" s="5" t="inlineStr"/>
      <c r="AH1167" s="5" t="inlineStr"/>
    </row>
    <row r="1168">
      <c r="A1168" s="5" t="inlineStr">
        <is>
          <t>b10-balkon-kulesi</t>
        </is>
      </c>
      <c r="B1168" s="5" t="n">
        <v>4</v>
      </c>
      <c r="C1168" s="6" t="inlineStr">
        <is>
          <t>Termosu yenile, perdeyi çek</t>
        </is>
      </c>
      <c r="D1168" s="5" t="inlineStr"/>
      <c r="E1168" s="5" t="inlineStr"/>
      <c r="F1168" s="5" t="inlineStr">
        <is>
          <t>Dayanıklılık +1</t>
        </is>
      </c>
      <c r="G1168" s="6" t="inlineStr">
        <is>
          <t>Gözlem kulesi bir günlüğüne kapatıldı. Sokak ne yapacağını bilemedi.</t>
        </is>
      </c>
      <c r="H1168" s="6" t="inlineStr"/>
      <c r="I1168" s="6" t="inlineStr"/>
      <c r="J1168" s="6" t="inlineStr"/>
      <c r="K1168" s="6" t="inlineStr"/>
      <c r="L1168" s="6" t="inlineStr"/>
      <c r="M1168" s="5" t="inlineStr"/>
      <c r="N1168" s="5" t="inlineStr"/>
      <c r="O1168" s="6" t="inlineStr"/>
      <c r="P1168" s="6" t="inlineStr"/>
      <c r="Q1168" s="5" t="inlineStr"/>
      <c r="R1168" s="5" t="inlineStr"/>
      <c r="S1168" s="5" t="inlineStr"/>
      <c r="T1168" s="5" t="inlineStr"/>
      <c r="U1168" s="5" t="inlineStr"/>
      <c r="V1168" s="5" t="inlineStr"/>
      <c r="W1168" s="5" t="inlineStr"/>
      <c r="X1168" s="5" t="inlineStr"/>
      <c r="Y1168" s="5" t="inlineStr"/>
      <c r="Z1168" s="6" t="inlineStr"/>
      <c r="AA1168" s="5" t="inlineStr"/>
      <c r="AB1168" s="5" t="inlineStr"/>
      <c r="AC1168" s="5" t="inlineStr"/>
      <c r="AD1168" s="5" t="inlineStr"/>
      <c r="AE1168" s="5" t="inlineStr"/>
      <c r="AF1168" s="5" t="inlineStr"/>
      <c r="AG1168" s="5" t="inlineStr"/>
      <c r="AH1168" s="5" t="inlineStr"/>
    </row>
    <row r="1169">
      <c r="A1169" s="5" t="inlineStr">
        <is>
          <t>b10-sinif-bulusmasi</t>
        </is>
      </c>
      <c r="B1169" s="5" t="n">
        <v>1</v>
      </c>
      <c r="C1169" s="6" t="inlineStr">
        <is>
          <t>Herkesi tek tek dinle</t>
        </is>
      </c>
      <c r="D1169" s="5" t="inlineStr"/>
      <c r="E1169" s="5" t="inlineStr"/>
      <c r="F1169" s="5" t="inlineStr">
        <is>
          <t>İtibar +1, Sosyal Radar +1</t>
        </is>
      </c>
      <c r="G1169" s="6" t="inlineStr">
        <is>
          <t>On bir hayat, üç saat, dört demlik çay. Kimse sınav notunu hatırlamıyor, herkes teneffüsü hatırlıyor.</t>
        </is>
      </c>
      <c r="H1169" s="6" t="inlineStr"/>
      <c r="I1169" s="6" t="inlineStr"/>
      <c r="J1169" s="6" t="inlineStr"/>
      <c r="K1169" s="6" t="inlineStr"/>
      <c r="L1169" s="6" t="inlineStr"/>
      <c r="M1169" s="5" t="inlineStr"/>
      <c r="N1169" s="5" t="inlineStr"/>
      <c r="O1169" s="6" t="inlineStr"/>
      <c r="P1169" s="6" t="inlineStr"/>
      <c r="Q1169" s="5" t="inlineStr"/>
      <c r="R1169" s="5" t="inlineStr"/>
      <c r="S1169" s="5" t="inlineStr"/>
      <c r="T1169" s="5" t="inlineStr"/>
      <c r="U1169" s="5" t="inlineStr"/>
      <c r="V1169" s="5" t="inlineStr"/>
      <c r="W1169" s="5" t="inlineStr"/>
      <c r="X1169" s="5" t="inlineStr"/>
      <c r="Y1169" s="5" t="inlineStr"/>
      <c r="Z1169" s="6" t="inlineStr"/>
      <c r="AA1169" s="5" t="inlineStr"/>
      <c r="AB1169" s="5" t="inlineStr"/>
      <c r="AC1169" s="5" t="inlineStr"/>
      <c r="AD1169" s="5" t="inlineStr"/>
      <c r="AE1169" s="5" t="inlineStr"/>
      <c r="AF1169" s="5" t="inlineStr"/>
      <c r="AG1169" s="5" t="inlineStr"/>
      <c r="AH1169" s="5" t="inlineStr"/>
    </row>
    <row r="1170">
      <c r="A1170" s="5" t="inlineStr">
        <is>
          <t>b10-sinif-bulusmasi</t>
        </is>
      </c>
      <c r="B1170" s="5" t="n">
        <v>2</v>
      </c>
      <c r="C1170" s="6" t="inlineStr">
        <is>
          <t>Eski bir sırrı nihayet açıkla</t>
        </is>
      </c>
      <c r="D1170" s="5" t="inlineStr">
        <is>
          <t>Pişkinlik</t>
        </is>
      </c>
      <c r="E1170" s="5" t="inlineStr">
        <is>
          <t>Orta</t>
        </is>
      </c>
      <c r="F1170" s="5" t="inlineStr"/>
      <c r="G1170" s="6" t="inlineStr"/>
      <c r="H1170" s="6" t="inlineStr">
        <is>
          <t>Kırık tebeşirlerin hesabını verdin. Zaman aşımı nedeniyle beraat ettin.</t>
        </is>
      </c>
      <c r="I1170" s="6" t="inlineStr">
        <is>
          <t>İtirafın o kadar sevildi ki herkes kendi sırrını açıkladı. Buluşma, halka açık bir arşive dönüştü.</t>
        </is>
      </c>
      <c r="J1170" s="6" t="inlineStr">
        <is>
          <t>Sırrı açıkladın, kimse hatırlamadı. İtiraf boşa gitti.</t>
        </is>
      </c>
      <c r="K1170" s="6" t="inlineStr">
        <is>
          <t>Sırrı açıkladın; o gün cezayı çeken kişi karşında oturuyordu.</t>
        </is>
      </c>
      <c r="L1170" s="6" t="inlineStr"/>
      <c r="M1170" s="5" t="inlineStr"/>
      <c r="N1170" s="5" t="inlineStr"/>
      <c r="O1170" s="6" t="inlineStr"/>
      <c r="P1170" s="6" t="inlineStr"/>
      <c r="Q1170" s="5" t="inlineStr"/>
      <c r="R1170" s="5" t="inlineStr"/>
      <c r="S1170" s="5" t="inlineStr"/>
      <c r="T1170" s="5" t="inlineStr"/>
      <c r="U1170" s="5" t="inlineStr"/>
      <c r="V1170" s="5" t="inlineStr"/>
      <c r="W1170" s="5" t="inlineStr"/>
      <c r="X1170" s="5" t="inlineStr"/>
      <c r="Y1170" s="5" t="inlineStr"/>
      <c r="Z1170" s="6" t="inlineStr"/>
      <c r="AA1170" s="5" t="inlineStr"/>
      <c r="AB1170" s="5" t="inlineStr"/>
      <c r="AC1170" s="5" t="inlineStr"/>
      <c r="AD1170" s="5" t="inlineStr"/>
      <c r="AE1170" s="5" t="inlineStr"/>
      <c r="AF1170" s="5" t="inlineStr"/>
      <c r="AG1170" s="5" t="inlineStr"/>
      <c r="AH1170" s="5" t="inlineStr"/>
    </row>
    <row r="1171">
      <c r="A1171" s="5" t="inlineStr">
        <is>
          <t>b10-sinif-bulusmasi</t>
        </is>
      </c>
      <c r="B1171" s="5" t="n">
        <v>3</v>
      </c>
      <c r="C1171" s="6" t="inlineStr">
        <is>
          <t>Yoklama al</t>
        </is>
      </c>
      <c r="D1171" s="5" t="inlineStr"/>
      <c r="E1171" s="5" t="inlineStr"/>
      <c r="F1171" s="5" t="inlineStr">
        <is>
          <t>Çene +2</t>
        </is>
      </c>
      <c r="G1171" s="6" t="inlineStr">
        <is>
          <t>Defteri açtın, yoklama aldın. Gelmeyenlerin yanına sessizce not düştün. Başkanlık görevi resmen tamamlandı.</t>
        </is>
      </c>
      <c r="H1171" s="6" t="inlineStr"/>
      <c r="I1171" s="6" t="inlineStr"/>
      <c r="J1171" s="6" t="inlineStr"/>
      <c r="K1171" s="6" t="inlineStr"/>
      <c r="L1171" s="6" t="inlineStr"/>
      <c r="M1171" s="5" t="inlineStr"/>
      <c r="N1171" s="5" t="inlineStr"/>
      <c r="O1171" s="6" t="inlineStr"/>
      <c r="P1171" s="6" t="inlineStr"/>
      <c r="Q1171" s="5" t="inlineStr"/>
      <c r="R1171" s="5" t="inlineStr">
        <is>
          <t>baskan</t>
        </is>
      </c>
      <c r="S1171" s="5" t="inlineStr"/>
      <c r="T1171" s="5" t="inlineStr"/>
      <c r="U1171" s="5" t="inlineStr"/>
      <c r="V1171" s="5" t="inlineStr"/>
      <c r="W1171" s="5" t="inlineStr"/>
      <c r="X1171" s="5" t="inlineStr"/>
      <c r="Y1171" s="5" t="inlineStr"/>
      <c r="Z1171" s="6" t="inlineStr"/>
      <c r="AA1171" s="5" t="inlineStr"/>
      <c r="AB1171" s="5" t="inlineStr"/>
      <c r="AC1171" s="5" t="inlineStr"/>
      <c r="AD1171" s="5" t="inlineStr"/>
      <c r="AE1171" s="5" t="inlineStr"/>
      <c r="AF1171" s="5" t="inlineStr"/>
      <c r="AG1171" s="5" t="inlineStr"/>
      <c r="AH1171" s="5" t="inlineStr"/>
    </row>
    <row r="1172">
      <c r="A1172" s="5" t="inlineStr">
        <is>
          <t>b10-doktor-gomersiniz</t>
        </is>
      </c>
      <c r="B1172" s="5" t="n">
        <v>1</v>
      </c>
      <c r="C1172" s="6" t="inlineStr">
        <is>
          <t>Teşekkür et</t>
        </is>
      </c>
      <c r="D1172" s="5" t="inlineStr"/>
      <c r="E1172" s="5" t="inlineStr"/>
      <c r="F1172" s="5" t="inlineStr">
        <is>
          <t>İtibar +1</t>
        </is>
      </c>
      <c r="G1172" s="6" t="inlineStr">
        <is>
          <t>İltifat dosyaya işlendi. Bir sonraki randevu altı ay sonraya verildi. Bu da bir iltifat.</t>
        </is>
      </c>
      <c r="H1172" s="6" t="inlineStr"/>
      <c r="I1172" s="6" t="inlineStr"/>
      <c r="J1172" s="6" t="inlineStr"/>
      <c r="K1172" s="6" t="inlineStr"/>
      <c r="L1172" s="6" t="inlineStr"/>
      <c r="M1172" s="5" t="inlineStr"/>
      <c r="N1172" s="5" t="inlineStr"/>
      <c r="O1172" s="6" t="inlineStr"/>
      <c r="P1172" s="6" t="inlineStr"/>
      <c r="Q1172" s="5" t="inlineStr"/>
      <c r="R1172" s="5" t="inlineStr"/>
      <c r="S1172" s="5" t="inlineStr"/>
      <c r="T1172" s="5" t="inlineStr"/>
      <c r="U1172" s="5" t="inlineStr"/>
      <c r="V1172" s="5" t="inlineStr"/>
      <c r="W1172" s="5" t="inlineStr"/>
      <c r="X1172" s="5" t="inlineStr"/>
      <c r="Y1172" s="5" t="inlineStr"/>
      <c r="Z1172" s="6" t="inlineStr"/>
      <c r="AA1172" s="5" t="inlineStr"/>
      <c r="AB1172" s="5" t="inlineStr"/>
      <c r="AC1172" s="5" t="inlineStr"/>
      <c r="AD1172" s="5" t="inlineStr"/>
      <c r="AE1172" s="5" t="inlineStr"/>
      <c r="AF1172" s="5" t="inlineStr"/>
      <c r="AG1172" s="5" t="inlineStr"/>
      <c r="AH1172" s="5" t="inlineStr"/>
    </row>
    <row r="1173">
      <c r="A1173" s="5" t="inlineStr">
        <is>
          <t>b10-doktor-gomersiniz</t>
        </is>
      </c>
      <c r="B1173" s="5" t="n">
        <v>2</v>
      </c>
      <c r="C1173" s="6" t="inlineStr">
        <is>
          <t>'Söz mü?' diye sor</t>
        </is>
      </c>
      <c r="D1173" s="5" t="inlineStr">
        <is>
          <t>Pişkinlik</t>
        </is>
      </c>
      <c r="E1173" s="5" t="inlineStr">
        <is>
          <t>Orta</t>
        </is>
      </c>
      <c r="F1173" s="5" t="inlineStr"/>
      <c r="G1173" s="6" t="inlineStr"/>
      <c r="H1173" s="6" t="inlineStr">
        <is>
          <t>Doktor güldü ve raporuna 'Hasta iyimser' yazdı.</t>
        </is>
      </c>
      <c r="I1173" s="6" t="inlineStr">
        <is>
          <t>Doktor elini sıktı: 'Söz.' Hastane bu sözü resmî bir belgeyle onaylamadı ama herkes duydu.</t>
        </is>
      </c>
      <c r="J1173" s="6" t="inlineStr">
        <is>
          <t>Doktor ciddileşti, 'Tıbben söz verilmez' dedi.</t>
        </is>
      </c>
      <c r="K1173" s="6" t="inlineStr">
        <is>
          <t>Doktor sözünü geri aldı ve iki tahlil daha istedi.</t>
        </is>
      </c>
      <c r="L1173" s="6" t="inlineStr"/>
      <c r="M1173" s="5" t="inlineStr"/>
      <c r="N1173" s="5" t="inlineStr"/>
      <c r="O1173" s="6" t="inlineStr"/>
      <c r="P1173" s="6" t="inlineStr"/>
      <c r="Q1173" s="5" t="inlineStr"/>
      <c r="R1173" s="5" t="inlineStr"/>
      <c r="S1173" s="5" t="inlineStr"/>
      <c r="T1173" s="5" t="inlineStr"/>
      <c r="U1173" s="5" t="inlineStr"/>
      <c r="V1173" s="5" t="inlineStr"/>
      <c r="W1173" s="5" t="inlineStr"/>
      <c r="X1173" s="5" t="inlineStr"/>
      <c r="Y1173" s="5" t="inlineStr"/>
      <c r="Z1173" s="6" t="inlineStr"/>
      <c r="AA1173" s="5" t="inlineStr"/>
      <c r="AB1173" s="5" t="inlineStr"/>
      <c r="AC1173" s="5" t="inlineStr"/>
      <c r="AD1173" s="5" t="inlineStr"/>
      <c r="AE1173" s="5" t="inlineStr"/>
      <c r="AF1173" s="5" t="inlineStr"/>
      <c r="AG1173" s="5" t="inlineStr"/>
      <c r="AH1173" s="5" t="inlineStr"/>
    </row>
    <row r="1174">
      <c r="A1174" s="5" t="inlineStr">
        <is>
          <t>b10-doktor-gomersiniz</t>
        </is>
      </c>
      <c r="B1174" s="5" t="n">
        <v>3</v>
      </c>
      <c r="C1174" s="6" t="inlineStr">
        <is>
          <t>Koridorda ısınma hareketi yap</t>
        </is>
      </c>
      <c r="D1174" s="5" t="inlineStr">
        <is>
          <t>Dayanıklılık</t>
        </is>
      </c>
      <c r="E1174" s="5" t="inlineStr">
        <is>
          <t>Orta</t>
        </is>
      </c>
      <c r="F1174" s="5" t="inlineStr"/>
      <c r="G1174" s="6" t="inlineStr"/>
      <c r="H1174" s="6" t="inlineStr">
        <is>
          <t>Koridordaki bekleyenler seni alkışladı. Tahlil sonuçların da.</t>
        </is>
      </c>
      <c r="I1174" s="6" t="inlineStr">
        <is>
          <t>Bekleme salonundaki herkes sana katıldı. Hastanede ilk sabah jimnastiği başlatıldı.</t>
        </is>
      </c>
      <c r="J1174" s="6" t="inlineStr">
        <is>
          <t>İki esneme hareketinden sonra koridordaki bankta dinlenmeye karar verdin.</t>
        </is>
      </c>
      <c r="K1174" s="6" t="inlineStr">
        <is>
          <t>Esnerken sıranı kaçırdın. Numaran iptal edildi.</t>
        </is>
      </c>
      <c r="L1174" s="6" t="inlineStr"/>
      <c r="M1174" s="5" t="inlineStr"/>
      <c r="N1174" s="5" t="inlineStr"/>
      <c r="O1174" s="6" t="inlineStr"/>
      <c r="P1174" s="6" t="inlineStr"/>
      <c r="Q1174" s="5" t="inlineStr"/>
      <c r="R1174" s="5" t="inlineStr"/>
      <c r="S1174" s="5" t="inlineStr">
        <is>
          <t>Dayanıklılık</t>
        </is>
      </c>
      <c r="T1174" s="5" t="inlineStr"/>
      <c r="U1174" s="5" t="inlineStr"/>
      <c r="V1174" s="5" t="inlineStr"/>
      <c r="W1174" s="5" t="inlineStr"/>
      <c r="X1174" s="5" t="inlineStr"/>
      <c r="Y1174" s="5" t="inlineStr"/>
      <c r="Z1174" s="6" t="inlineStr"/>
      <c r="AA1174" s="5" t="inlineStr"/>
      <c r="AB1174" s="5" t="inlineStr"/>
      <c r="AC1174" s="5" t="inlineStr"/>
      <c r="AD1174" s="5" t="inlineStr"/>
      <c r="AE1174" s="5" t="inlineStr"/>
      <c r="AF1174" s="5" t="inlineStr"/>
      <c r="AG1174" s="5" t="inlineStr"/>
      <c r="AH1174" s="5" t="inlineStr"/>
    </row>
    <row r="1175">
      <c r="A1175" s="5" t="inlineStr">
        <is>
          <t>b10-bayram-harcligi</t>
        </is>
      </c>
      <c r="B1175" s="5" t="n">
        <v>1</v>
      </c>
      <c r="C1175" s="6" t="inlineStr">
        <is>
          <t>Herkese eşit zarf</t>
        </is>
      </c>
      <c r="D1175" s="5" t="inlineStr"/>
      <c r="E1175" s="5" t="inlineStr"/>
      <c r="F1175" s="5" t="inlineStr">
        <is>
          <t>İtibar +2</t>
        </is>
      </c>
      <c r="G1175" s="6" t="inlineStr">
        <is>
          <t>Bütün zarflar eşit. Çocuklar zarfları kapıda karşılaştırdı ve hayal kırıklığını eşit paylaştı.</t>
        </is>
      </c>
      <c r="H1175" s="6" t="inlineStr"/>
      <c r="I1175" s="6" t="inlineStr"/>
      <c r="J1175" s="6" t="inlineStr"/>
      <c r="K1175" s="6" t="inlineStr"/>
      <c r="L1175" s="6" t="inlineStr"/>
      <c r="M1175" s="5" t="inlineStr"/>
      <c r="N1175" s="5" t="inlineStr"/>
      <c r="O1175" s="6" t="inlineStr"/>
      <c r="P1175" s="6" t="inlineStr"/>
      <c r="Q1175" s="5" t="inlineStr"/>
      <c r="R1175" s="5" t="inlineStr"/>
      <c r="S1175" s="5" t="inlineStr"/>
      <c r="T1175" s="5" t="inlineStr"/>
      <c r="U1175" s="5" t="inlineStr"/>
      <c r="V1175" s="5" t="inlineStr"/>
      <c r="W1175" s="5" t="inlineStr"/>
      <c r="X1175" s="5" t="inlineStr"/>
      <c r="Y1175" s="5" t="inlineStr"/>
      <c r="Z1175" s="6" t="inlineStr"/>
      <c r="AA1175" s="5" t="inlineStr"/>
      <c r="AB1175" s="5" t="inlineStr"/>
      <c r="AC1175" s="5" t="inlineStr"/>
      <c r="AD1175" s="5" t="inlineStr"/>
      <c r="AE1175" s="5" t="inlineStr"/>
      <c r="AF1175" s="5" t="inlineStr"/>
      <c r="AG1175" s="5" t="inlineStr"/>
      <c r="AH1175" s="5" t="inlineStr"/>
    </row>
    <row r="1176">
      <c r="A1176" s="5" t="inlineStr">
        <is>
          <t>b10-bayram-harcligi</t>
        </is>
      </c>
      <c r="B1176" s="5" t="n">
        <v>2</v>
      </c>
      <c r="C1176" s="6" t="inlineStr">
        <is>
          <t>Montunu değiştiren çocuğu yakala</t>
        </is>
      </c>
      <c r="D1176" s="5" t="inlineStr">
        <is>
          <t>Kurnazlık</t>
        </is>
      </c>
      <c r="E1176" s="5" t="inlineStr">
        <is>
          <t>Kolay</t>
        </is>
      </c>
      <c r="F1176" s="5" t="inlineStr"/>
      <c r="G1176" s="6" t="inlineStr"/>
      <c r="H1176" s="6" t="inlineStr">
        <is>
          <t>'Az önce kırmızı montla gelmiştin' dedin. Çocuk saygıyla eğildi ve sıradan çıktı.</t>
        </is>
      </c>
      <c r="I1176" s="6" t="inlineStr">
        <is>
          <t>Yakaladın, ama taktiği o kadar beğendin ki ikinci zarfı da verdin. Yetenek desteklendi.</t>
        </is>
      </c>
      <c r="J1176" s="6" t="inlineStr">
        <is>
          <t>Çocuğu yakalayamadın. Mont değişimi başarılı oldu.</t>
        </is>
      </c>
      <c r="K1176" s="6" t="inlineStr">
        <is>
          <t>Yanlış çocuğu suçladın. İkizmiş.</t>
        </is>
      </c>
      <c r="L1176" s="6" t="inlineStr"/>
      <c r="M1176" s="5" t="inlineStr"/>
      <c r="N1176" s="5" t="inlineStr"/>
      <c r="O1176" s="6" t="inlineStr"/>
      <c r="P1176" s="6" t="inlineStr"/>
      <c r="Q1176" s="5" t="inlineStr"/>
      <c r="R1176" s="5" t="inlineStr"/>
      <c r="S1176" s="5" t="inlineStr"/>
      <c r="T1176" s="5" t="inlineStr"/>
      <c r="U1176" s="5" t="inlineStr"/>
      <c r="V1176" s="5" t="inlineStr"/>
      <c r="W1176" s="5" t="inlineStr"/>
      <c r="X1176" s="5" t="inlineStr"/>
      <c r="Y1176" s="5" t="inlineStr"/>
      <c r="Z1176" s="6" t="inlineStr"/>
      <c r="AA1176" s="5" t="inlineStr"/>
      <c r="AB1176" s="5" t="inlineStr"/>
      <c r="AC1176" s="5" t="inlineStr"/>
      <c r="AD1176" s="5" t="inlineStr"/>
      <c r="AE1176" s="5" t="inlineStr"/>
      <c r="AF1176" s="5" t="inlineStr"/>
      <c r="AG1176" s="5" t="inlineStr"/>
      <c r="AH1176" s="5" t="inlineStr"/>
    </row>
    <row r="1177">
      <c r="A1177" s="5" t="inlineStr">
        <is>
          <t>b10-bayram-harcligi</t>
        </is>
      </c>
      <c r="B1177" s="5" t="n">
        <v>3</v>
      </c>
      <c r="C1177" s="6" t="inlineStr">
        <is>
          <t>Zarfları yastık altından ver</t>
        </is>
      </c>
      <c r="D1177" s="5" t="inlineStr">
        <is>
          <t>Kurnazlık</t>
        </is>
      </c>
      <c r="E1177" s="5" t="inlineStr">
        <is>
          <t>Orta</t>
        </is>
      </c>
      <c r="F1177" s="5" t="inlineStr"/>
      <c r="G1177" s="6" t="inlineStr"/>
      <c r="H1177" s="6" t="inlineStr">
        <is>
          <t>Yastık altındaki zarflar eski banknotlarla doluydu ama hâlâ geçerliydi. Çocuklar tarih dersi aldı.</t>
        </is>
      </c>
      <c r="I1177" s="6" t="inlineStr">
        <is>
          <t>Yastığın altından yıllardır birikmiş bir hazine çıktı. Çocuklar bu bayramı destan olarak anlatıyor.</t>
        </is>
      </c>
      <c r="J1177" s="6" t="inlineStr">
        <is>
          <t>Yastık altındaki paraların bir kısmı tedavülden kalkmıştı. Çocuklar nazikçe teşekkür etti.</t>
        </is>
      </c>
      <c r="K1177" s="6" t="inlineStr">
        <is>
          <t>Yastığın altında zarf yerine eski kira makbuzları çıktı. Çocuklar yine de teşekkür etti.</t>
        </is>
      </c>
      <c r="L1177" s="6" t="inlineStr"/>
      <c r="M1177" s="5" t="inlineStr"/>
      <c r="N1177" s="5" t="inlineStr"/>
      <c r="O1177" s="6" t="inlineStr"/>
      <c r="P1177" s="6" t="inlineStr"/>
      <c r="Q1177" s="5" t="inlineStr">
        <is>
          <t>Yastık Altı Ekonomisti</t>
        </is>
      </c>
      <c r="R1177" s="5" t="inlineStr"/>
      <c r="S1177" s="5" t="inlineStr"/>
      <c r="T1177" s="5" t="inlineStr"/>
      <c r="U1177" s="5" t="inlineStr"/>
      <c r="V1177" s="5" t="inlineStr"/>
      <c r="W1177" s="5" t="inlineStr"/>
      <c r="X1177" s="5" t="inlineStr"/>
      <c r="Y1177" s="5" t="inlineStr"/>
      <c r="Z1177" s="6" t="inlineStr"/>
      <c r="AA1177" s="5" t="inlineStr"/>
      <c r="AB1177" s="5" t="inlineStr"/>
      <c r="AC1177" s="5" t="inlineStr"/>
      <c r="AD1177" s="5" t="inlineStr"/>
      <c r="AE1177" s="5" t="inlineStr"/>
      <c r="AF1177" s="5" t="inlineStr"/>
      <c r="AG1177" s="5" t="inlineStr"/>
      <c r="AH1177" s="5" t="inlineStr"/>
    </row>
    <row r="1178">
      <c r="A1178" s="5" t="inlineStr">
        <is>
          <t>b10-bayram-harcligi</t>
        </is>
      </c>
      <c r="B1178" s="5" t="n">
        <v>4</v>
      </c>
      <c r="C1178" s="6" t="inlineStr">
        <is>
          <t>Zarf yerine öğüt ver</t>
        </is>
      </c>
      <c r="D1178" s="5" t="inlineStr"/>
      <c r="E1178" s="5" t="inlineStr"/>
      <c r="F1178" s="5" t="inlineStr">
        <is>
          <t>Çene +1</t>
        </is>
      </c>
      <c r="G1178" s="6" t="inlineStr">
        <is>
          <t>Her çocuğa bir öğüt verildi. Sıra, rekor sürede dağıldı.</t>
        </is>
      </c>
      <c r="H1178" s="6" t="inlineStr"/>
      <c r="I1178" s="6" t="inlineStr"/>
      <c r="J1178" s="6" t="inlineStr"/>
      <c r="K1178" s="6" t="inlineStr"/>
      <c r="L1178" s="6" t="inlineStr"/>
      <c r="M1178" s="5" t="inlineStr"/>
      <c r="N1178" s="5" t="inlineStr"/>
      <c r="O1178" s="6" t="inlineStr"/>
      <c r="P1178" s="6" t="inlineStr"/>
      <c r="Q1178" s="5" t="inlineStr"/>
      <c r="R1178" s="5" t="inlineStr"/>
      <c r="S1178" s="5" t="inlineStr"/>
      <c r="T1178" s="5" t="inlineStr"/>
      <c r="U1178" s="5" t="inlineStr"/>
      <c r="V1178" s="5" t="inlineStr"/>
      <c r="W1178" s="5" t="inlineStr"/>
      <c r="X1178" s="5" t="inlineStr"/>
      <c r="Y1178" s="5" t="inlineStr"/>
      <c r="Z1178" s="6" t="inlineStr"/>
      <c r="AA1178" s="5" t="inlineStr"/>
      <c r="AB1178" s="5" t="inlineStr"/>
      <c r="AC1178" s="5" t="inlineStr"/>
      <c r="AD1178" s="5" t="inlineStr"/>
      <c r="AE1178" s="5" t="inlineStr"/>
      <c r="AF1178" s="5" t="inlineStr"/>
      <c r="AG1178" s="5" t="inlineStr"/>
      <c r="AH1178" s="5" t="inlineStr"/>
    </row>
    <row r="1179">
      <c r="A1179" s="5" t="inlineStr">
        <is>
          <t>b10-dijital-miras</t>
        </is>
      </c>
      <c r="B1179" s="5" t="n">
        <v>1</v>
      </c>
      <c r="C1179" s="6" t="inlineStr">
        <is>
          <t>Hepsini bir kâğıda yaz</t>
        </is>
      </c>
      <c r="D1179" s="5" t="inlineStr"/>
      <c r="E1179" s="5" t="inlineStr"/>
      <c r="F1179" s="5" t="inlineStr">
        <is>
          <t>İtibar +1</t>
        </is>
      </c>
      <c r="G1179" s="6" t="inlineStr">
        <is>
          <t>Kırk şifre tek bir kâğıtta. Kâğıt buzdolabının üstünde. Siber güvenlik ekibi bu sahneyi eğitimlerde kullanıyor.</t>
        </is>
      </c>
      <c r="H1179" s="6" t="inlineStr"/>
      <c r="I1179" s="6" t="inlineStr"/>
      <c r="J1179" s="6" t="inlineStr"/>
      <c r="K1179" s="6" t="inlineStr"/>
      <c r="L1179" s="6" t="inlineStr"/>
      <c r="M1179" s="5" t="inlineStr"/>
      <c r="N1179" s="5" t="inlineStr"/>
      <c r="O1179" s="6" t="inlineStr"/>
      <c r="P1179" s="6" t="inlineStr"/>
      <c r="Q1179" s="5" t="inlineStr"/>
      <c r="R1179" s="5" t="inlineStr"/>
      <c r="S1179" s="5" t="inlineStr"/>
      <c r="T1179" s="5" t="inlineStr"/>
      <c r="U1179" s="5" t="inlineStr"/>
      <c r="V1179" s="5" t="inlineStr"/>
      <c r="W1179" s="5" t="inlineStr"/>
      <c r="X1179" s="5" t="inlineStr"/>
      <c r="Y1179" s="5" t="inlineStr"/>
      <c r="Z1179" s="6" t="inlineStr"/>
      <c r="AA1179" s="5" t="inlineStr"/>
      <c r="AB1179" s="5" t="inlineStr"/>
      <c r="AC1179" s="5" t="inlineStr"/>
      <c r="AD1179" s="5" t="inlineStr"/>
      <c r="AE1179" s="5" t="inlineStr"/>
      <c r="AF1179" s="5" t="inlineStr"/>
      <c r="AG1179" s="5" t="inlineStr"/>
      <c r="AH1179" s="5" t="inlineStr"/>
    </row>
    <row r="1180">
      <c r="A1180" s="5" t="inlineStr">
        <is>
          <t>b10-dijital-miras</t>
        </is>
      </c>
      <c r="B1180" s="5" t="n">
        <v>2</v>
      </c>
      <c r="C1180" s="6" t="inlineStr">
        <is>
          <t>Fotoğraf arşivini düzenle</t>
        </is>
      </c>
      <c r="D1180" s="5" t="inlineStr">
        <is>
          <t>Dayanıklılık</t>
        </is>
      </c>
      <c r="E1180" s="5" t="inlineStr">
        <is>
          <t>Zor</t>
        </is>
      </c>
      <c r="F1180" s="5" t="inlineStr"/>
      <c r="G1180" s="6" t="inlineStr"/>
      <c r="H1180" s="6" t="inlineStr">
        <is>
          <t>On iki bin fotoğrafı yıllara göre sıraladın. Arşiv, torunlar için bir müzeye dönüştü.</t>
        </is>
      </c>
      <c r="I1180" s="6" t="inlineStr">
        <is>
          <t>Klasör adları o kadar düzenli oldu ki aile her bayram arşiv turu yapıyor.</t>
        </is>
      </c>
      <c r="J1180" s="6" t="inlineStr">
        <is>
          <t>Üçüncü klasörde durdun. 'Adsız 1' ile 'Adsız 847' arasında bir yerde kayboldun.</t>
        </is>
      </c>
      <c r="K1180" s="6" t="inlineStr">
        <is>
          <t>Yanlışlıkla bütün arşivi 'Silinenler' klasörüne taşıdın. Torun üç gün kurtarma yaptı.</t>
        </is>
      </c>
      <c r="L1180" s="6" t="inlineStr"/>
      <c r="M1180" s="5" t="inlineStr"/>
      <c r="N1180" s="5" t="inlineStr"/>
      <c r="O1180" s="6" t="inlineStr"/>
      <c r="P1180" s="6" t="inlineStr"/>
      <c r="Q1180" s="5" t="inlineStr"/>
      <c r="R1180" s="5" t="inlineStr"/>
      <c r="S1180" s="5" t="inlineStr"/>
      <c r="T1180" s="5" t="inlineStr">
        <is>
          <t>Hayat Arşivcisi</t>
        </is>
      </c>
      <c r="U1180" s="5" t="inlineStr"/>
      <c r="V1180" s="5" t="inlineStr"/>
      <c r="W1180" s="5" t="inlineStr"/>
      <c r="X1180" s="5" t="inlineStr"/>
      <c r="Y1180" s="5" t="inlineStr"/>
      <c r="Z1180" s="6" t="inlineStr"/>
      <c r="AA1180" s="5" t="inlineStr"/>
      <c r="AB1180" s="5" t="inlineStr"/>
      <c r="AC1180" s="5" t="inlineStr"/>
      <c r="AD1180" s="5" t="inlineStr"/>
      <c r="AE1180" s="5" t="inlineStr"/>
      <c r="AF1180" s="5" t="inlineStr"/>
      <c r="AG1180" s="5" t="inlineStr"/>
      <c r="AH1180" s="5" t="inlineStr"/>
    </row>
    <row r="1181">
      <c r="A1181" s="5" t="inlineStr">
        <is>
          <t>b10-dijital-miras</t>
        </is>
      </c>
      <c r="B1181" s="5" t="n">
        <v>3</v>
      </c>
      <c r="C1181" s="6" t="inlineStr">
        <is>
          <t>Şifre sistemini torundan sakla</t>
        </is>
      </c>
      <c r="D1181" s="5" t="inlineStr">
        <is>
          <t>Akıl</t>
        </is>
      </c>
      <c r="E1181" s="5" t="inlineStr">
        <is>
          <t>Orta</t>
        </is>
      </c>
      <c r="F1181" s="5" t="inlineStr"/>
      <c r="G1181" s="6" t="inlineStr"/>
      <c r="H1181" s="6" t="inlineStr">
        <is>
          <t>Şifrelerin yerini bir bilmeceye gömdün. Miras, bir zekâ yarışmasına dönüştü.</t>
        </is>
      </c>
      <c r="I1181" s="6" t="inlineStr">
        <is>
          <t>Bilmece o kadar iyi ki torunlar çözmek için her pazar ziyarete geliyor.</t>
        </is>
      </c>
      <c r="J1181" s="6" t="inlineStr">
        <is>
          <t>Bilmeceyi sen de çözemedin. Hesaplar kilitlendi.</t>
        </is>
      </c>
      <c r="K1181" s="6" t="inlineStr">
        <is>
          <t>Bilmece ilk ipucunda çözüldü. İpucu kedinin adıydı.</t>
        </is>
      </c>
      <c r="L1181" s="6" t="inlineStr"/>
      <c r="M1181" s="5" t="inlineStr"/>
      <c r="N1181" s="5" t="inlineStr"/>
      <c r="O1181" s="6" t="inlineStr"/>
      <c r="P1181" s="6" t="inlineStr"/>
      <c r="Q1181" s="5" t="inlineStr"/>
      <c r="R1181" s="5" t="inlineStr"/>
      <c r="S1181" s="5" t="inlineStr">
        <is>
          <t>Akıl</t>
        </is>
      </c>
      <c r="T1181" s="5" t="inlineStr"/>
      <c r="U1181" s="5" t="inlineStr"/>
      <c r="V1181" s="5" t="inlineStr"/>
      <c r="W1181" s="5" t="inlineStr"/>
      <c r="X1181" s="5" t="inlineStr"/>
      <c r="Y1181" s="5" t="inlineStr"/>
      <c r="Z1181" s="6" t="inlineStr"/>
      <c r="AA1181" s="5" t="inlineStr"/>
      <c r="AB1181" s="5" t="inlineStr"/>
      <c r="AC1181" s="5" t="inlineStr"/>
      <c r="AD1181" s="5" t="inlineStr"/>
      <c r="AE1181" s="5" t="inlineStr"/>
      <c r="AF1181" s="5" t="inlineStr"/>
      <c r="AG1181" s="5" t="inlineStr"/>
      <c r="AH1181" s="5" t="inlineStr"/>
    </row>
    <row r="1182">
      <c r="A1182" s="5" t="inlineStr">
        <is>
          <t>b10-mezar-parseli</t>
        </is>
      </c>
      <c r="B1182" s="5" t="n">
        <v>1</v>
      </c>
      <c r="C1182" s="6" t="inlineStr">
        <is>
          <t>Otoparka bakan parseli al</t>
        </is>
      </c>
      <c r="D1182" s="5" t="inlineStr"/>
      <c r="E1182" s="5" t="inlineStr"/>
      <c r="F1182" s="5" t="inlineStr">
        <is>
          <t>Kurnazlık +1</t>
        </is>
      </c>
      <c r="G1182" s="6" t="inlineStr">
        <is>
          <t>Uygun fiyatlı parsel alındı. Ziyaretçiler en azından park yeri aramayacak.</t>
        </is>
      </c>
      <c r="H1182" s="6" t="inlineStr"/>
      <c r="I1182" s="6" t="inlineStr"/>
      <c r="J1182" s="6" t="inlineStr"/>
      <c r="K1182" s="6" t="inlineStr"/>
      <c r="L1182" s="6" t="inlineStr"/>
      <c r="M1182" s="5" t="inlineStr"/>
      <c r="N1182" s="5" t="inlineStr"/>
      <c r="O1182" s="6" t="inlineStr"/>
      <c r="P1182" s="6" t="inlineStr"/>
      <c r="Q1182" s="5" t="inlineStr"/>
      <c r="R1182" s="5" t="inlineStr"/>
      <c r="S1182" s="5" t="inlineStr"/>
      <c r="T1182" s="5" t="inlineStr"/>
      <c r="U1182" s="5" t="inlineStr">
        <is>
          <t>manzarali-parsel</t>
        </is>
      </c>
      <c r="V1182" s="5" t="inlineStr"/>
      <c r="W1182" s="5" t="inlineStr"/>
      <c r="X1182" s="5" t="inlineStr"/>
      <c r="Y1182" s="5" t="inlineStr"/>
      <c r="Z1182" s="6" t="inlineStr"/>
      <c r="AA1182" s="5" t="inlineStr"/>
      <c r="AB1182" s="5" t="inlineStr"/>
      <c r="AC1182" s="5" t="inlineStr"/>
      <c r="AD1182" s="5" t="inlineStr"/>
      <c r="AE1182" s="5" t="inlineStr"/>
      <c r="AF1182" s="5" t="inlineStr"/>
      <c r="AG1182" s="5" t="inlineStr"/>
      <c r="AH1182" s="5" t="inlineStr"/>
    </row>
    <row r="1183">
      <c r="A1183" s="5" t="inlineStr">
        <is>
          <t>b10-mezar-parseli</t>
        </is>
      </c>
      <c r="B1183" s="5" t="n">
        <v>2</v>
      </c>
      <c r="C1183" s="6" t="inlineStr">
        <is>
          <t>Manzaralı parsel için pazarlık et</t>
        </is>
      </c>
      <c r="D1183" s="5" t="inlineStr">
        <is>
          <t>Çene</t>
        </is>
      </c>
      <c r="E1183" s="5" t="inlineStr">
        <is>
          <t>Zor</t>
        </is>
      </c>
      <c r="F1183" s="5" t="inlineStr"/>
      <c r="G1183" s="6" t="inlineStr"/>
      <c r="H1183" s="6" t="inlineStr">
        <is>
          <t>Manzaralı parsel indirimle alındı. Görevli 'Bunu kimseye söylemeyin' dedi.</t>
        </is>
      </c>
      <c r="I1183" s="6" t="inlineStr">
        <is>
          <t>Manzaralı parseli aldın, yanına bir de bank konuldu. Ziyaret saatleri artık piknik saatleri.</t>
        </is>
      </c>
      <c r="J1183" s="6" t="inlineStr">
        <is>
          <t>Pazarlık uzadı, manzaralı parsel başka birine satıldı. O kişi de pazarlık ediyordu.</t>
        </is>
      </c>
      <c r="K1183" s="6" t="inlineStr">
        <is>
          <t>Pazarlık sırasında parselin fiyatı zamlandı. Sen tartışırken tarife değişti.</t>
        </is>
      </c>
      <c r="L1183" s="6" t="inlineStr"/>
      <c r="M1183" s="5" t="inlineStr"/>
      <c r="N1183" s="5" t="inlineStr"/>
      <c r="O1183" s="6" t="inlineStr"/>
      <c r="P1183" s="6" t="inlineStr"/>
      <c r="Q1183" s="5" t="inlineStr"/>
      <c r="R1183" s="5" t="inlineStr"/>
      <c r="S1183" s="5" t="inlineStr"/>
      <c r="T1183" s="5" t="inlineStr">
        <is>
          <t>Son Sözü Söyler</t>
        </is>
      </c>
      <c r="U1183" s="5" t="inlineStr"/>
      <c r="V1183" s="5" t="inlineStr">
        <is>
          <t>manzarali-parsel</t>
        </is>
      </c>
      <c r="W1183" s="5" t="inlineStr"/>
      <c r="X1183" s="5" t="inlineStr"/>
      <c r="Y1183" s="5" t="inlineStr"/>
      <c r="Z1183" s="6" t="inlineStr"/>
      <c r="AA1183" s="5" t="inlineStr"/>
      <c r="AB1183" s="5" t="inlineStr"/>
      <c r="AC1183" s="5" t="inlineStr"/>
      <c r="AD1183" s="5" t="inlineStr"/>
      <c r="AE1183" s="5" t="inlineStr"/>
      <c r="AF1183" s="5" t="inlineStr"/>
      <c r="AG1183" s="5" t="inlineStr"/>
      <c r="AH1183" s="5" t="inlineStr"/>
    </row>
    <row r="1184">
      <c r="A1184" s="5" t="inlineStr">
        <is>
          <t>b10-mezar-parseli</t>
        </is>
      </c>
      <c r="B1184" s="5" t="n">
        <v>3</v>
      </c>
      <c r="C1184" s="6" t="inlineStr">
        <is>
          <t>Parseli yatarak test et</t>
        </is>
      </c>
      <c r="D1184" s="5" t="inlineStr">
        <is>
          <t>Cesaret</t>
        </is>
      </c>
      <c r="E1184" s="5" t="inlineStr">
        <is>
          <t>Orta</t>
        </is>
      </c>
      <c r="F1184" s="5" t="inlineStr"/>
      <c r="G1184" s="6" t="inlineStr"/>
      <c r="H1184" s="6" t="inlineStr">
        <is>
          <t>Uzandın, gökyüzüne baktın ve onayladın. Görevli ilk kez bir müşteriyi bu kadar ciddi gördü.</t>
        </is>
      </c>
      <c r="I1184" s="6" t="inlineStr">
        <is>
          <t>Uzandın, manzara mükemmeldi, bir kuş tam üstünde tünedi. İmza atıldı.</t>
        </is>
      </c>
      <c r="J1184" s="6" t="inlineStr">
        <is>
          <t>Uzandın, görevli fiyat listesini tepende yüksek sesle okudu. Manzara bozuldu.</t>
        </is>
      </c>
      <c r="K1184" s="6" t="inlineStr">
        <is>
          <t>Uzandın ve biraz fazla rahat ettin. Görevli seni uyandırmak için iki kez öksürdü.</t>
        </is>
      </c>
      <c r="L1184" s="6" t="inlineStr"/>
      <c r="M1184" s="5" t="inlineStr"/>
      <c r="N1184" s="5" t="inlineStr"/>
      <c r="O1184" s="6" t="inlineStr"/>
      <c r="P1184" s="6" t="inlineStr"/>
      <c r="Q1184" s="5" t="inlineStr"/>
      <c r="R1184" s="5" t="inlineStr"/>
      <c r="S1184" s="5" t="inlineStr"/>
      <c r="T1184" s="5" t="inlineStr"/>
      <c r="U1184" s="5" t="inlineStr"/>
      <c r="V1184" s="5" t="inlineStr">
        <is>
          <t>manzarali-parsel</t>
        </is>
      </c>
      <c r="W1184" s="5" t="inlineStr"/>
      <c r="X1184" s="5" t="inlineStr"/>
      <c r="Y1184" s="5" t="n">
        <v>3</v>
      </c>
      <c r="Z1184" s="6" t="inlineStr">
        <is>
          <t>Manzaralı parseli yerinde incelerken. Manzarayı onayladı.</t>
        </is>
      </c>
      <c r="AA1184" s="5" t="inlineStr"/>
      <c r="AB1184" s="5" t="inlineStr"/>
      <c r="AC1184" s="5" t="inlineStr"/>
      <c r="AD1184" s="5" t="inlineStr"/>
      <c r="AE1184" s="5" t="inlineStr"/>
      <c r="AF1184" s="5" t="inlineStr"/>
      <c r="AG1184" s="5" t="inlineStr"/>
      <c r="AH1184" s="5" t="inlineStr"/>
    </row>
    <row r="1185">
      <c r="A1185" s="5" t="inlineStr">
        <is>
          <t>b10-danismanlik</t>
        </is>
      </c>
      <c r="B1185" s="5" t="n">
        <v>1</v>
      </c>
      <c r="C1185" s="6" t="inlineStr">
        <is>
          <t>Yerini telefonda söyle</t>
        </is>
      </c>
      <c r="D1185" s="5" t="inlineStr"/>
      <c r="E1185" s="5" t="inlineStr"/>
      <c r="F1185" s="5" t="inlineStr">
        <is>
          <t>İtibar +1</t>
        </is>
      </c>
      <c r="G1185" s="6" t="inlineStr">
        <is>
          <t>Dosya bulundu. Teşekkür mesajı ikinci gün gelmedi.</t>
        </is>
      </c>
      <c r="H1185" s="6" t="inlineStr"/>
      <c r="I1185" s="6" t="inlineStr"/>
      <c r="J1185" s="6" t="inlineStr"/>
      <c r="K1185" s="6" t="inlineStr"/>
      <c r="L1185" s="6" t="inlineStr"/>
      <c r="M1185" s="5" t="inlineStr"/>
      <c r="N1185" s="5" t="inlineStr"/>
      <c r="O1185" s="6" t="inlineStr"/>
      <c r="P1185" s="6" t="inlineStr"/>
      <c r="Q1185" s="5" t="inlineStr"/>
      <c r="R1185" s="5" t="inlineStr"/>
      <c r="S1185" s="5" t="inlineStr"/>
      <c r="T1185" s="5" t="inlineStr"/>
      <c r="U1185" s="5" t="inlineStr"/>
      <c r="V1185" s="5" t="inlineStr"/>
      <c r="W1185" s="5" t="inlineStr"/>
      <c r="X1185" s="5" t="inlineStr"/>
      <c r="Y1185" s="5" t="inlineStr"/>
      <c r="Z1185" s="6" t="inlineStr"/>
      <c r="AA1185" s="5" t="inlineStr"/>
      <c r="AB1185" s="5" t="inlineStr"/>
      <c r="AC1185" s="5" t="inlineStr"/>
      <c r="AD1185" s="5" t="inlineStr"/>
      <c r="AE1185" s="5" t="inlineStr"/>
      <c r="AF1185" s="5" t="inlineStr"/>
      <c r="AG1185" s="5" t="inlineStr"/>
      <c r="AH1185" s="5" t="inlineStr"/>
    </row>
    <row r="1186">
      <c r="A1186" s="5" t="inlineStr">
        <is>
          <t>b10-danismanlik</t>
        </is>
      </c>
      <c r="B1186" s="5" t="n">
        <v>2</v>
      </c>
      <c r="C1186" s="6" t="inlineStr">
        <is>
          <t>Danışmanlık ücreti iste</t>
        </is>
      </c>
      <c r="D1186" s="5" t="inlineStr">
        <is>
          <t>Kurnazlık</t>
        </is>
      </c>
      <c r="E1186" s="5" t="inlineStr">
        <is>
          <t>Orta</t>
        </is>
      </c>
      <c r="F1186" s="5" t="inlineStr"/>
      <c r="G1186" s="6" t="inlineStr"/>
      <c r="H1186" s="6" t="inlineStr">
        <is>
          <t>Tek cümlelik bilgi için yarım aylık maaş aldın. Kurumsal hafıza pahalıdır.</t>
        </is>
      </c>
      <c r="I1186" s="6" t="inlineStr">
        <is>
          <t>Aylık danışmanlık sözleşmesi imzalandı. Görevin: ayda bir kez telefon açmak.</t>
        </is>
      </c>
      <c r="J1186" s="6" t="inlineStr">
        <is>
          <t>Ücret istedin, onlar dosyayı kendileri buldu. Danışmanlık teklifi rafa kaldırıldı.</t>
        </is>
      </c>
      <c r="K1186" s="6" t="inlineStr">
        <is>
          <t>Ücret istedin, dosyayı sen getirmek zorunda kaldın. Otobüs parası da senden.</t>
        </is>
      </c>
      <c r="L1186" s="6" t="inlineStr"/>
      <c r="M1186" s="5" t="inlineStr"/>
      <c r="N1186" s="5" t="inlineStr"/>
      <c r="O1186" s="6" t="inlineStr"/>
      <c r="P1186" s="6" t="inlineStr"/>
      <c r="Q1186" s="5" t="inlineStr"/>
      <c r="R1186" s="5" t="inlineStr"/>
      <c r="S1186" s="5" t="inlineStr"/>
      <c r="T1186" s="5" t="inlineStr"/>
      <c r="U1186" s="5" t="inlineStr"/>
      <c r="V1186" s="5" t="inlineStr"/>
      <c r="W1186" s="5" t="inlineStr"/>
      <c r="X1186" s="5" t="inlineStr"/>
      <c r="Y1186" s="5" t="inlineStr"/>
      <c r="Z1186" s="6" t="inlineStr"/>
      <c r="AA1186" s="5" t="inlineStr"/>
      <c r="AB1186" s="5" t="inlineStr"/>
      <c r="AC1186" s="5" t="inlineStr"/>
      <c r="AD1186" s="5" t="inlineStr"/>
      <c r="AE1186" s="5" t="inlineStr"/>
      <c r="AF1186" s="5" t="inlineStr"/>
      <c r="AG1186" s="5" t="inlineStr"/>
      <c r="AH1186" s="5" t="inlineStr"/>
    </row>
    <row r="1187">
      <c r="A1187" s="5" t="inlineStr">
        <is>
          <t>b10-danismanlik</t>
        </is>
      </c>
      <c r="B1187" s="5" t="n">
        <v>3</v>
      </c>
      <c r="C1187" s="6" t="inlineStr">
        <is>
          <t>Arşivin yerini söyle</t>
        </is>
      </c>
      <c r="D1187" s="5" t="inlineStr"/>
      <c r="E1187" s="5" t="inlineStr"/>
      <c r="F1187" s="5" t="inlineStr">
        <is>
          <t>Akıl +2</t>
        </is>
      </c>
      <c r="G1187" s="6" t="inlineStr">
        <is>
          <t>'Üçüncü kat, ikinci oda, dolabın arkası, mavi klasör.' Kurum seni kırk dakika alkışladı. Ödeme yapılmadı.</t>
        </is>
      </c>
      <c r="H1187" s="6" t="inlineStr"/>
      <c r="I1187" s="6" t="inlineStr"/>
      <c r="J1187" s="6" t="inlineStr"/>
      <c r="K1187" s="6" t="inlineStr"/>
      <c r="L1187" s="6" t="inlineStr"/>
      <c r="M1187" s="5" t="inlineStr"/>
      <c r="N1187" s="5" t="inlineStr"/>
      <c r="O1187" s="6" t="inlineStr"/>
      <c r="P1187" s="6" t="inlineStr"/>
      <c r="Q1187" s="5" t="inlineStr"/>
      <c r="R1187" s="5" t="inlineStr">
        <is>
          <t>meslek-memur</t>
        </is>
      </c>
      <c r="S1187" s="5" t="inlineStr"/>
      <c r="T1187" s="5" t="inlineStr"/>
      <c r="U1187" s="5" t="inlineStr"/>
      <c r="V1187" s="5" t="inlineStr"/>
      <c r="W1187" s="5" t="inlineStr"/>
      <c r="X1187" s="5" t="inlineStr"/>
      <c r="Y1187" s="5" t="inlineStr"/>
      <c r="Z1187" s="6" t="inlineStr"/>
      <c r="AA1187" s="5" t="inlineStr"/>
      <c r="AB1187" s="5" t="inlineStr"/>
      <c r="AC1187" s="5" t="inlineStr"/>
      <c r="AD1187" s="5" t="inlineStr"/>
      <c r="AE1187" s="5" t="inlineStr"/>
      <c r="AF1187" s="5" t="inlineStr"/>
      <c r="AG1187" s="5" t="inlineStr"/>
      <c r="AH1187" s="5" t="inlineStr"/>
    </row>
    <row r="1188">
      <c r="A1188" s="5" t="inlineStr">
        <is>
          <t>b10-eski-dost-cenazesi</t>
        </is>
      </c>
      <c r="B1188" s="5" t="n">
        <v>1</v>
      </c>
      <c r="C1188" s="6" t="inlineStr">
        <is>
          <t>Sadece yanında dur</t>
        </is>
      </c>
      <c r="D1188" s="5" t="inlineStr"/>
      <c r="E1188" s="5" t="inlineStr"/>
      <c r="F1188" s="5" t="inlineStr">
        <is>
          <t>İtibar +2</t>
        </is>
      </c>
      <c r="G1188" s="6" t="inlineStr">
        <is>
          <t>Not almadın. Bazı şeyler belgelenmez.</t>
        </is>
      </c>
      <c r="H1188" s="6" t="inlineStr"/>
      <c r="I1188" s="6" t="inlineStr"/>
      <c r="J1188" s="6" t="inlineStr"/>
      <c r="K1188" s="6" t="inlineStr"/>
      <c r="L1188" s="6" t="inlineStr"/>
      <c r="M1188" s="5" t="inlineStr"/>
      <c r="N1188" s="5" t="inlineStr"/>
      <c r="O1188" s="6" t="inlineStr"/>
      <c r="P1188" s="6" t="inlineStr"/>
      <c r="Q1188" s="5" t="inlineStr"/>
      <c r="R1188" s="5" t="inlineStr"/>
      <c r="S1188" s="5" t="inlineStr"/>
      <c r="T1188" s="5" t="inlineStr"/>
      <c r="U1188" s="5" t="inlineStr"/>
      <c r="V1188" s="5" t="inlineStr"/>
      <c r="W1188" s="5" t="inlineStr"/>
      <c r="X1188" s="5" t="inlineStr"/>
      <c r="Y1188" s="5" t="inlineStr"/>
      <c r="Z1188" s="6" t="inlineStr"/>
      <c r="AA1188" s="5" t="inlineStr"/>
      <c r="AB1188" s="5" t="inlineStr"/>
      <c r="AC1188" s="5" t="inlineStr"/>
      <c r="AD1188" s="5" t="inlineStr"/>
      <c r="AE1188" s="5" t="inlineStr"/>
      <c r="AF1188" s="5" t="inlineStr"/>
      <c r="AG1188" s="5" t="inlineStr"/>
      <c r="AH1188" s="5" t="inlineStr"/>
    </row>
    <row r="1189">
      <c r="A1189" s="5" t="inlineStr">
        <is>
          <t>b10-eski-dost-cenazesi</t>
        </is>
      </c>
      <c r="B1189" s="5" t="n">
        <v>2</v>
      </c>
      <c r="C1189" s="6" t="inlineStr">
        <is>
          <t>Kısa bir konuşma yap</t>
        </is>
      </c>
      <c r="D1189" s="5" t="inlineStr">
        <is>
          <t>Çene</t>
        </is>
      </c>
      <c r="E1189" s="5" t="inlineStr">
        <is>
          <t>Zor</t>
        </is>
      </c>
      <c r="F1189" s="5" t="inlineStr"/>
      <c r="G1189" s="6" t="inlineStr"/>
      <c r="H1189" s="6" t="inlineStr">
        <is>
          <t>Üç cümle konuştun. Kalabalık aynı anda hem güldü hem ağladı.</t>
        </is>
      </c>
      <c r="I1189" s="6" t="inlineStr">
        <is>
          <t>Konuşman o kadar iyi oldu ki üç kişi kendi cenazeleri için seni rezerve etti.</t>
        </is>
      </c>
      <c r="J1189" s="6" t="inlineStr">
        <is>
          <t>Hazırladığın notları kaybettin ve yalnızca 'İyi insandı' dedin. Yeterliydi.</t>
        </is>
      </c>
      <c r="K1189" s="6" t="inlineStr">
        <is>
          <t>Konuşmanın ortasında dostunun adını ikinci adıyla karıştırdın. Kimse düzeltmedi, herkes hatırladı.</t>
        </is>
      </c>
      <c r="L1189" s="6" t="inlineStr"/>
      <c r="M1189" s="5" t="inlineStr"/>
      <c r="N1189" s="5" t="inlineStr"/>
      <c r="O1189" s="6" t="inlineStr"/>
      <c r="P1189" s="6" t="inlineStr"/>
      <c r="Q1189" s="5" t="inlineStr"/>
      <c r="R1189" s="5" t="inlineStr"/>
      <c r="S1189" s="5" t="inlineStr"/>
      <c r="T1189" s="5" t="inlineStr">
        <is>
          <t>Son Sözü Söyler</t>
        </is>
      </c>
      <c r="U1189" s="5" t="inlineStr"/>
      <c r="V1189" s="5" t="inlineStr"/>
      <c r="W1189" s="5" t="inlineStr"/>
      <c r="X1189" s="5" t="inlineStr"/>
      <c r="Y1189" s="5" t="inlineStr"/>
      <c r="Z1189" s="6" t="inlineStr"/>
      <c r="AA1189" s="5" t="inlineStr"/>
      <c r="AB1189" s="5" t="inlineStr"/>
      <c r="AC1189" s="5" t="inlineStr"/>
      <c r="AD1189" s="5" t="inlineStr"/>
      <c r="AE1189" s="5" t="inlineStr"/>
      <c r="AF1189" s="5" t="inlineStr"/>
      <c r="AG1189" s="5" t="inlineStr"/>
      <c r="AH1189" s="5" t="inlineStr"/>
    </row>
    <row r="1190">
      <c r="A1190" s="5" t="inlineStr">
        <is>
          <t>b10-eski-dost-cenazesi</t>
        </is>
      </c>
      <c r="B1190" s="5" t="n">
        <v>3</v>
      </c>
      <c r="C1190" s="6" t="inlineStr">
        <is>
          <t>Uzun konuşana nazikçe süre bildir</t>
        </is>
      </c>
      <c r="D1190" s="5" t="inlineStr">
        <is>
          <t>Sosyal Radar</t>
        </is>
      </c>
      <c r="E1190" s="5" t="inlineStr">
        <is>
          <t>Kolay</t>
        </is>
      </c>
      <c r="F1190" s="5" t="inlineStr"/>
      <c r="G1190" s="6" t="inlineStr"/>
      <c r="H1190" s="6" t="inlineStr">
        <is>
          <t>Uzun konuşan kişiye göz ucuyla saat gösterdin. Konuşma zarif bir şekilde bitti.</t>
        </is>
      </c>
      <c r="I1190" s="6" t="inlineStr">
        <is>
          <t>Uzun konuşan kişi mesajını anladı ve sana kendi cenazesinde konuşma sırası teklif etti.</t>
        </is>
      </c>
      <c r="J1190" s="6" t="inlineStr">
        <is>
          <t>İşaretin anlaşılmadı. Konuşma üçüncü perdeye geçti.</t>
        </is>
      </c>
      <c r="K1190" s="6" t="inlineStr">
        <is>
          <t>İşaretini gören başka biri de konuşmaya başladı. Tören iki saat uzadı.</t>
        </is>
      </c>
      <c r="L1190" s="6" t="inlineStr"/>
      <c r="M1190" s="5" t="inlineStr"/>
      <c r="N1190" s="5" t="inlineStr"/>
      <c r="O1190" s="6" t="inlineStr"/>
      <c r="P1190" s="6" t="inlineStr"/>
      <c r="Q1190" s="5" t="inlineStr"/>
      <c r="R1190" s="5" t="inlineStr"/>
      <c r="S1190" s="5" t="inlineStr">
        <is>
          <t>Sosyal Radar</t>
        </is>
      </c>
      <c r="T1190" s="5" t="inlineStr"/>
      <c r="U1190" s="5" t="inlineStr"/>
      <c r="V1190" s="5" t="inlineStr"/>
      <c r="W1190" s="5" t="inlineStr"/>
      <c r="X1190" s="5" t="inlineStr"/>
      <c r="Y1190" s="5" t="inlineStr"/>
      <c r="Z1190" s="6" t="inlineStr"/>
      <c r="AA1190" s="5" t="inlineStr"/>
      <c r="AB1190" s="5" t="inlineStr"/>
      <c r="AC1190" s="5" t="inlineStr"/>
      <c r="AD1190" s="5" t="inlineStr"/>
      <c r="AE1190" s="5" t="inlineStr"/>
      <c r="AF1190" s="5" t="inlineStr"/>
      <c r="AG1190" s="5" t="inlineStr"/>
      <c r="AH1190" s="5" t="inlineStr"/>
    </row>
    <row r="1191">
      <c r="A1191" s="5" t="inlineStr">
        <is>
          <t>b10-ani-defteri</t>
        </is>
      </c>
      <c r="B1191" s="5" t="n">
        <v>1</v>
      </c>
      <c r="C1191" s="6" t="inlineStr">
        <is>
          <t>Olduğu gibi yaz</t>
        </is>
      </c>
      <c r="D1191" s="5" t="inlineStr"/>
      <c r="E1191" s="5" t="inlineStr"/>
      <c r="F1191" s="5" t="inlineStr">
        <is>
          <t>İtibar +2</t>
        </is>
      </c>
      <c r="G1191" s="6" t="inlineStr">
        <is>
          <t>Defter bitti. Aile okudu, üç kişi aradı, bir kişi özür diledi.</t>
        </is>
      </c>
      <c r="H1191" s="6" t="inlineStr"/>
      <c r="I1191" s="6" t="inlineStr"/>
      <c r="J1191" s="6" t="inlineStr"/>
      <c r="K1191" s="6" t="inlineStr"/>
      <c r="L1191" s="6" t="inlineStr"/>
      <c r="M1191" s="5" t="inlineStr"/>
      <c r="N1191" s="5" t="inlineStr"/>
      <c r="O1191" s="6" t="inlineStr"/>
      <c r="P1191" s="6" t="inlineStr"/>
      <c r="Q1191" s="5" t="inlineStr"/>
      <c r="R1191" s="5" t="inlineStr"/>
      <c r="S1191" s="5" t="inlineStr"/>
      <c r="T1191" s="5" t="inlineStr"/>
      <c r="U1191" s="5" t="inlineStr">
        <is>
          <t>ani-defteri</t>
        </is>
      </c>
      <c r="V1191" s="5" t="inlineStr"/>
      <c r="W1191" s="5" t="inlineStr"/>
      <c r="X1191" s="5" t="inlineStr"/>
      <c r="Y1191" s="5" t="inlineStr"/>
      <c r="Z1191" s="6" t="inlineStr"/>
      <c r="AA1191" s="5" t="inlineStr"/>
      <c r="AB1191" s="5" t="inlineStr"/>
      <c r="AC1191" s="5" t="inlineStr"/>
      <c r="AD1191" s="5" t="inlineStr"/>
      <c r="AE1191" s="5" t="inlineStr"/>
      <c r="AF1191" s="5" t="inlineStr"/>
      <c r="AG1191" s="5" t="inlineStr"/>
      <c r="AH1191" s="5" t="inlineStr"/>
    </row>
    <row r="1192">
      <c r="A1192" s="5" t="inlineStr">
        <is>
          <t>b10-ani-defteri</t>
        </is>
      </c>
      <c r="B1192" s="5" t="n">
        <v>2</v>
      </c>
      <c r="C1192" s="6" t="inlineStr">
        <is>
          <t>Anıları biraz süsle</t>
        </is>
      </c>
      <c r="D1192" s="5" t="inlineStr">
        <is>
          <t>Pişkinlik</t>
        </is>
      </c>
      <c r="E1192" s="5" t="inlineStr">
        <is>
          <t>Orta</t>
        </is>
      </c>
      <c r="F1192" s="5" t="inlineStr"/>
      <c r="G1192" s="6" t="inlineStr"/>
      <c r="H1192" s="6" t="inlineStr">
        <is>
          <t>Anılar biraz süslendi. Ailede kimse düzeltemedi, çünkü o yıllarda kimse doğmamıştı.</t>
        </is>
      </c>
      <c r="I1192" s="6" t="inlineStr">
        <is>
          <t>Anı defteri o kadar sürükleyici oldu ki mahallede elden ele dolaşmaya başladı. Bazı komşular kitaba itiraz dilekçesi yazdı.</t>
        </is>
      </c>
      <c r="J1192" s="6" t="inlineStr">
        <is>
          <t>Süslemeler fark edildi. Deftere 'Kurgu' etiketi yapıştırıldı.</t>
        </is>
      </c>
      <c r="K1192" s="6" t="inlineStr">
        <is>
          <t>Anlattığın olaydaki kişi hâlâ hayatta ve anı defterini okudu.</t>
        </is>
      </c>
      <c r="L1192" s="6" t="inlineStr"/>
      <c r="M1192" s="5" t="inlineStr"/>
      <c r="N1192" s="5" t="inlineStr"/>
      <c r="O1192" s="6" t="inlineStr"/>
      <c r="P1192" s="6" t="inlineStr"/>
      <c r="Q1192" s="5" t="inlineStr"/>
      <c r="R1192" s="5" t="inlineStr"/>
      <c r="S1192" s="5" t="inlineStr"/>
      <c r="T1192" s="5" t="inlineStr"/>
      <c r="U1192" s="5" t="inlineStr">
        <is>
          <t>ani-defteri</t>
        </is>
      </c>
      <c r="V1192" s="5" t="inlineStr"/>
      <c r="W1192" s="5" t="inlineStr"/>
      <c r="X1192" s="5" t="inlineStr"/>
      <c r="Y1192" s="5" t="inlineStr"/>
      <c r="Z1192" s="6" t="inlineStr"/>
      <c r="AA1192" s="5" t="inlineStr"/>
      <c r="AB1192" s="5" t="inlineStr"/>
      <c r="AC1192" s="5" t="inlineStr"/>
      <c r="AD1192" s="5" t="inlineStr"/>
      <c r="AE1192" s="5" t="inlineStr"/>
      <c r="AF1192" s="5" t="inlineStr"/>
      <c r="AG1192" s="5" t="inlineStr"/>
      <c r="AH1192" s="5" t="inlineStr"/>
    </row>
    <row r="1193">
      <c r="A1193" s="5" t="inlineStr">
        <is>
          <t>b10-ani-defteri</t>
        </is>
      </c>
      <c r="B1193" s="5" t="n">
        <v>3</v>
      </c>
      <c r="C1193" s="6" t="inlineStr">
        <is>
          <t>Vazo olayının gerçeğini yaz</t>
        </is>
      </c>
      <c r="D1193" s="5" t="inlineStr">
        <is>
          <t>İtibar</t>
        </is>
      </c>
      <c r="E1193" s="5" t="inlineStr">
        <is>
          <t>Kolay</t>
        </is>
      </c>
      <c r="F1193" s="5" t="inlineStr"/>
      <c r="G1193" s="6" t="inlineStr"/>
      <c r="H1193" s="6" t="inlineStr">
        <is>
          <t>Yetmiş yıllık bir dosya kapandı. Kedi, ölümünden yıllar sonra aklandı.</t>
        </is>
      </c>
      <c r="I1193" s="6" t="inlineStr">
        <is>
          <t>İtirafı okuyan aile üyeleri ayağa kalktı ve kedinin anısına bir dakikalık saygı duruşu yapıldı.</t>
        </is>
      </c>
      <c r="J1193" s="6" t="inlineStr">
        <is>
          <t>İtirafı yazdın ama sayfa kahveye bulandı. Kedinin sicili değişmedi.</t>
        </is>
      </c>
      <c r="K1193" s="6" t="inlineStr">
        <is>
          <t>Gerçeği yazdın; aile üyelerinden biri 'O vazoyu ben kırmıştım' dedi. Dosya yeniden açıldı.</t>
        </is>
      </c>
      <c r="L1193" s="6" t="inlineStr"/>
      <c r="M1193" s="5" t="inlineStr"/>
      <c r="N1193" s="5" t="inlineStr"/>
      <c r="O1193" s="6" t="inlineStr"/>
      <c r="P1193" s="6" t="inlineStr"/>
      <c r="Q1193" s="5" t="inlineStr"/>
      <c r="R1193" s="5" t="inlineStr">
        <is>
          <t>kediSuclu</t>
        </is>
      </c>
      <c r="S1193" s="5" t="inlineStr"/>
      <c r="T1193" s="5" t="inlineStr"/>
      <c r="U1193" s="5" t="inlineStr">
        <is>
          <t>ani-defteri</t>
        </is>
      </c>
      <c r="V1193" s="5" t="inlineStr"/>
      <c r="W1193" s="5" t="inlineStr"/>
      <c r="X1193" s="5" t="inlineStr"/>
      <c r="Y1193" s="5" t="inlineStr"/>
      <c r="Z1193" s="6" t="inlineStr"/>
      <c r="AA1193" s="5" t="inlineStr"/>
      <c r="AB1193" s="5" t="inlineStr"/>
      <c r="AC1193" s="5" t="inlineStr"/>
      <c r="AD1193" s="5" t="inlineStr"/>
      <c r="AE1193" s="5" t="inlineStr"/>
      <c r="AF1193" s="5" t="inlineStr"/>
      <c r="AG1193" s="5" t="inlineStr"/>
      <c r="AH1193" s="5" t="inlineStr"/>
    </row>
    <row r="1194">
      <c r="A1194" s="5" t="inlineStr">
        <is>
          <t>b10-seksen-yas-partisi</t>
        </is>
      </c>
      <c r="B1194" s="5" t="n">
        <v>1</v>
      </c>
      <c r="C1194" s="6" t="inlineStr">
        <is>
          <t>Mumları tek nefeste söndür</t>
        </is>
      </c>
      <c r="D1194" s="5" t="inlineStr">
        <is>
          <t>Dayanıklılık</t>
        </is>
      </c>
      <c r="E1194" s="5" t="inlineStr">
        <is>
          <t>Orta</t>
        </is>
      </c>
      <c r="F1194" s="5" t="inlineStr"/>
      <c r="G1194" s="6" t="inlineStr"/>
      <c r="H1194" s="6" t="inlineStr">
        <is>
          <t>Tek nefes, tüm mumlar. Oda alkışa, pasta kurtarılmaya geçti.</t>
        </is>
      </c>
      <c r="I1194" s="6" t="inlineStr">
        <is>
          <t>Tek nefesle söndürdün, yan masadaki mumları da. Rekor kayda geçti, pasta bozulmadı.</t>
        </is>
      </c>
      <c r="J1194" s="6" t="inlineStr">
        <is>
          <t>Mumların yarısı söndü. Yarısı dilek hakkı saymadı.</t>
        </is>
      </c>
      <c r="K1194" s="6" t="inlineStr">
        <is>
          <t>Üfledin, kremalar duvara yayıldı. Duvar kâğıdının adı artık 'Seksenlik Parti'.</t>
        </is>
      </c>
      <c r="L1194" s="6" t="inlineStr">
        <is>
          <t>Mumların çoğu söndü. Kalanları torunlar gizlice söndürdü. Toplam başarı ailevi.</t>
        </is>
      </c>
      <c r="M1194" s="5" t="inlineStr">
        <is>
          <t>breath</t>
        </is>
      </c>
      <c r="N1194" s="5" t="inlineStr">
        <is>
          <t>Mumları Söndür</t>
        </is>
      </c>
      <c r="O1194" s="6" t="inlineStr">
        <is>
          <t>Daire büyürken bas, küçülürken bırak. Nefesini doğru anda boşalt.</t>
        </is>
      </c>
      <c r="P1194" s="6" t="inlineStr"/>
      <c r="Q1194" s="5" t="inlineStr"/>
      <c r="R1194" s="5" t="inlineStr"/>
      <c r="S1194" s="5" t="inlineStr"/>
      <c r="T1194" s="5" t="inlineStr"/>
      <c r="U1194" s="5" t="inlineStr"/>
      <c r="V1194" s="5" t="inlineStr"/>
      <c r="W1194" s="5" t="inlineStr"/>
      <c r="X1194" s="5" t="inlineStr"/>
      <c r="Y1194" s="5" t="inlineStr"/>
      <c r="Z1194" s="6" t="inlineStr"/>
      <c r="AA1194" s="5" t="inlineStr"/>
      <c r="AB1194" s="5" t="inlineStr"/>
      <c r="AC1194" s="5" t="inlineStr"/>
      <c r="AD1194" s="5" t="inlineStr"/>
      <c r="AE1194" s="5" t="inlineStr"/>
      <c r="AF1194" s="5" t="inlineStr"/>
      <c r="AG1194" s="5" t="inlineStr"/>
      <c r="AH1194" s="5" t="inlineStr"/>
    </row>
    <row r="1195">
      <c r="A1195" s="5" t="inlineStr">
        <is>
          <t>b10-seksen-yas-partisi</t>
        </is>
      </c>
      <c r="B1195" s="5" t="n">
        <v>2</v>
      </c>
      <c r="C1195" s="6" t="inlineStr">
        <is>
          <t>Mumları çocuklara söndürt</t>
        </is>
      </c>
      <c r="D1195" s="5" t="inlineStr"/>
      <c r="E1195" s="5" t="inlineStr"/>
      <c r="F1195" s="5" t="inlineStr">
        <is>
          <t>İtibar +1</t>
        </is>
      </c>
      <c r="G1195" s="6" t="inlineStr">
        <is>
          <t>Mumlar kolektif olarak söndürüldü. Dilek hakkı ortak mülkiyete geçti.</t>
        </is>
      </c>
      <c r="H1195" s="6" t="inlineStr"/>
      <c r="I1195" s="6" t="inlineStr"/>
      <c r="J1195" s="6" t="inlineStr"/>
      <c r="K1195" s="6" t="inlineStr"/>
      <c r="L1195" s="6" t="inlineStr"/>
      <c r="M1195" s="5" t="inlineStr"/>
      <c r="N1195" s="5" t="inlineStr"/>
      <c r="O1195" s="6" t="inlineStr"/>
      <c r="P1195" s="6" t="inlineStr"/>
      <c r="Q1195" s="5" t="inlineStr"/>
      <c r="R1195" s="5" t="inlineStr"/>
      <c r="S1195" s="5" t="inlineStr"/>
      <c r="T1195" s="5" t="inlineStr"/>
      <c r="U1195" s="5" t="inlineStr"/>
      <c r="V1195" s="5" t="inlineStr"/>
      <c r="W1195" s="5" t="inlineStr"/>
      <c r="X1195" s="5" t="inlineStr"/>
      <c r="Y1195" s="5" t="inlineStr"/>
      <c r="Z1195" s="6" t="inlineStr"/>
      <c r="AA1195" s="5" t="inlineStr"/>
      <c r="AB1195" s="5" t="inlineStr"/>
      <c r="AC1195" s="5" t="inlineStr"/>
      <c r="AD1195" s="5" t="inlineStr"/>
      <c r="AE1195" s="5" t="inlineStr"/>
      <c r="AF1195" s="5" t="inlineStr"/>
      <c r="AG1195" s="5" t="inlineStr"/>
      <c r="AH1195" s="5" t="inlineStr"/>
    </row>
    <row r="1196">
      <c r="A1196" s="5" t="inlineStr">
        <is>
          <t>b10-seksen-yas-partisi</t>
        </is>
      </c>
      <c r="B1196" s="5" t="n">
        <v>3</v>
      </c>
      <c r="C1196" s="6" t="inlineStr">
        <is>
          <t>Kısa bir konuşma yap</t>
        </is>
      </c>
      <c r="D1196" s="5" t="inlineStr">
        <is>
          <t>Çene</t>
        </is>
      </c>
      <c r="E1196" s="5" t="inlineStr">
        <is>
          <t>Orta</t>
        </is>
      </c>
      <c r="F1196" s="5" t="inlineStr"/>
      <c r="G1196" s="6" t="inlineStr"/>
      <c r="H1196" s="6" t="inlineStr">
        <is>
          <t>Seksen yılı dört cümleye sığdırdın. Kimse telefonuna bakmadı.</t>
        </is>
      </c>
      <c r="I1196" s="6" t="inlineStr">
        <is>
          <t>Konuşman videoya çekildi, aile grubunda sabitlendi. Artık her doğum gününde açılışta oynatılıyor.</t>
        </is>
      </c>
      <c r="J1196" s="6" t="inlineStr">
        <is>
          <t>Konuşman uzadı, mumlar kendi kendine söndü.</t>
        </is>
      </c>
      <c r="K1196" s="6" t="inlineStr">
        <is>
          <t>Konuşmanın ortasında zil çaldı. Kargo geldi. Salonun yarısı kapıya koştu.</t>
        </is>
      </c>
      <c r="L1196" s="6" t="inlineStr"/>
      <c r="M1196" s="5" t="inlineStr"/>
      <c r="N1196" s="5" t="inlineStr"/>
      <c r="O1196" s="6" t="inlineStr"/>
      <c r="P1196" s="6" t="inlineStr"/>
      <c r="Q1196" s="5" t="inlineStr"/>
      <c r="R1196" s="5" t="inlineStr"/>
      <c r="S1196" s="5" t="inlineStr"/>
      <c r="T1196" s="5" t="inlineStr"/>
      <c r="U1196" s="5" t="inlineStr"/>
      <c r="V1196" s="5" t="inlineStr"/>
      <c r="W1196" s="5" t="inlineStr"/>
      <c r="X1196" s="5" t="inlineStr"/>
      <c r="Y1196" s="5" t="inlineStr"/>
      <c r="Z1196" s="6" t="inlineStr"/>
      <c r="AA1196" s="5" t="inlineStr"/>
      <c r="AB1196" s="5" t="inlineStr"/>
      <c r="AC1196" s="5" t="inlineStr"/>
      <c r="AD1196" s="5" t="inlineStr"/>
      <c r="AE1196" s="5" t="inlineStr"/>
      <c r="AF1196" s="5" t="inlineStr"/>
      <c r="AG1196" s="5" t="inlineStr"/>
      <c r="AH1196" s="5" t="inlineStr"/>
    </row>
    <row r="1197">
      <c r="A1197" s="5" t="inlineStr">
        <is>
          <t>b10-seksen-yas-partisi</t>
        </is>
      </c>
      <c r="B1197" s="5" t="n">
        <v>4</v>
      </c>
      <c r="C1197" s="6" t="inlineStr">
        <is>
          <t>Pastayı gizlice kes</t>
        </is>
      </c>
      <c r="D1197" s="5" t="inlineStr"/>
      <c r="E1197" s="5" t="inlineStr"/>
      <c r="F1197" s="5" t="inlineStr">
        <is>
          <t>Kurnazlık +1</t>
        </is>
      </c>
      <c r="G1197" s="6" t="inlineStr">
        <is>
          <t>Konuşmalar bitmeden ilk dilim senin tabağındaydı. Seksen yıllık tecrübe.</t>
        </is>
      </c>
      <c r="H1197" s="6" t="inlineStr"/>
      <c r="I1197" s="6" t="inlineStr"/>
      <c r="J1197" s="6" t="inlineStr"/>
      <c r="K1197" s="6" t="inlineStr"/>
      <c r="L1197" s="6" t="inlineStr"/>
      <c r="M1197" s="5" t="inlineStr"/>
      <c r="N1197" s="5" t="inlineStr"/>
      <c r="O1197" s="6" t="inlineStr"/>
      <c r="P1197" s="6" t="inlineStr"/>
      <c r="Q1197" s="5" t="inlineStr"/>
      <c r="R1197" s="5" t="inlineStr"/>
      <c r="S1197" s="5" t="inlineStr"/>
      <c r="T1197" s="5" t="inlineStr"/>
      <c r="U1197" s="5" t="inlineStr"/>
      <c r="V1197" s="5" t="inlineStr"/>
      <c r="W1197" s="5" t="inlineStr"/>
      <c r="X1197" s="5" t="inlineStr"/>
      <c r="Y1197" s="5" t="inlineStr"/>
      <c r="Z1197" s="6" t="inlineStr"/>
      <c r="AA1197" s="5" t="inlineStr"/>
      <c r="AB1197" s="5" t="inlineStr"/>
      <c r="AC1197" s="5" t="inlineStr"/>
      <c r="AD1197" s="5" t="inlineStr"/>
      <c r="AE1197" s="5" t="inlineStr"/>
      <c r="AF1197" s="5" t="inlineStr"/>
      <c r="AG1197" s="5" t="inlineStr"/>
      <c r="AH1197" s="5" t="inlineStr"/>
    </row>
    <row r="1198">
      <c r="A1198" s="5" t="inlineStr">
        <is>
          <t>b10-huzurevi-turu</t>
        </is>
      </c>
      <c r="B1198" s="5" t="n">
        <v>1</v>
      </c>
      <c r="C1198" s="6" t="inlineStr">
        <is>
          <t>Nazikçe teşekkür et, evine dön</t>
        </is>
      </c>
      <c r="D1198" s="5" t="inlineStr"/>
      <c r="E1198" s="5" t="inlineStr"/>
      <c r="F1198" s="5" t="inlineStr">
        <is>
          <t>Dayanıklılık +1</t>
        </is>
      </c>
      <c r="G1198" s="6" t="inlineStr">
        <is>
          <t>Broşür alındı. Evdeki koltuk bir kez daha tercih edildi.</t>
        </is>
      </c>
      <c r="H1198" s="6" t="inlineStr"/>
      <c r="I1198" s="6" t="inlineStr"/>
      <c r="J1198" s="6" t="inlineStr"/>
      <c r="K1198" s="6" t="inlineStr"/>
      <c r="L1198" s="6" t="inlineStr"/>
      <c r="M1198" s="5" t="inlineStr"/>
      <c r="N1198" s="5" t="inlineStr"/>
      <c r="O1198" s="6" t="inlineStr"/>
      <c r="P1198" s="6" t="inlineStr"/>
      <c r="Q1198" s="5" t="inlineStr"/>
      <c r="R1198" s="5" t="inlineStr"/>
      <c r="S1198" s="5" t="inlineStr"/>
      <c r="T1198" s="5" t="inlineStr"/>
      <c r="U1198" s="5" t="inlineStr"/>
      <c r="V1198" s="5" t="inlineStr"/>
      <c r="W1198" s="5" t="inlineStr"/>
      <c r="X1198" s="5" t="inlineStr"/>
      <c r="Y1198" s="5" t="inlineStr"/>
      <c r="Z1198" s="6" t="inlineStr"/>
      <c r="AA1198" s="5" t="inlineStr"/>
      <c r="AB1198" s="5" t="inlineStr"/>
      <c r="AC1198" s="5" t="inlineStr"/>
      <c r="AD1198" s="5" t="inlineStr"/>
      <c r="AE1198" s="5" t="inlineStr"/>
      <c r="AF1198" s="5" t="inlineStr"/>
      <c r="AG1198" s="5" t="inlineStr"/>
      <c r="AH1198" s="5" t="inlineStr"/>
    </row>
    <row r="1199">
      <c r="A1199" s="5" t="inlineStr">
        <is>
          <t>b10-huzurevi-turu</t>
        </is>
      </c>
      <c r="B1199" s="5" t="n">
        <v>2</v>
      </c>
      <c r="C1199" s="6" t="inlineStr">
        <is>
          <t>Hemen kayıt ol</t>
        </is>
      </c>
      <c r="D1199" s="5" t="inlineStr"/>
      <c r="E1199" s="5" t="inlineStr"/>
      <c r="F1199" s="5" t="inlineStr">
        <is>
          <t>Sosyal Radar +2</t>
        </is>
      </c>
      <c r="G1199" s="6" t="inlineStr">
        <is>
          <t>Kayıt tamamlandı. Üç gün içinde bütün sakinlerin hayat hikâyesine vakıfsın; onlar da seninkine.</t>
        </is>
      </c>
      <c r="H1199" s="6" t="inlineStr"/>
      <c r="I1199" s="6" t="inlineStr"/>
      <c r="J1199" s="6" t="inlineStr"/>
      <c r="K1199" s="6" t="inlineStr"/>
      <c r="L1199" s="6" t="inlineStr"/>
      <c r="M1199" s="5" t="inlineStr"/>
      <c r="N1199" s="5" t="inlineStr"/>
      <c r="O1199" s="6" t="inlineStr"/>
      <c r="P1199" s="6" t="inlineStr"/>
      <c r="Q1199" s="5" t="inlineStr"/>
      <c r="R1199" s="5" t="inlineStr"/>
      <c r="S1199" s="5" t="inlineStr"/>
      <c r="T1199" s="5" t="inlineStr"/>
      <c r="U1199" s="5" t="inlineStr">
        <is>
          <t>huzurevi-sakini</t>
        </is>
      </c>
      <c r="V1199" s="5" t="inlineStr"/>
      <c r="W1199" s="5" t="inlineStr"/>
      <c r="X1199" s="5" t="inlineStr"/>
      <c r="Y1199" s="5" t="inlineStr"/>
      <c r="Z1199" s="6" t="inlineStr"/>
      <c r="AA1199" s="5" t="inlineStr"/>
      <c r="AB1199" s="5" t="inlineStr"/>
      <c r="AC1199" s="5" t="inlineStr"/>
      <c r="AD1199" s="5" t="inlineStr"/>
      <c r="AE1199" s="5" t="inlineStr"/>
      <c r="AF1199" s="5" t="inlineStr"/>
      <c r="AG1199" s="5" t="inlineStr"/>
      <c r="AH1199" s="5" t="inlineStr"/>
    </row>
    <row r="1200">
      <c r="A1200" s="5" t="inlineStr">
        <is>
          <t>b10-huzurevi-turu</t>
        </is>
      </c>
      <c r="B1200" s="5" t="n">
        <v>3</v>
      </c>
      <c r="C1200" s="6" t="inlineStr">
        <is>
          <t>Çay saatinin yönetimini devral</t>
        </is>
      </c>
      <c r="D1200" s="5" t="inlineStr">
        <is>
          <t>Çene</t>
        </is>
      </c>
      <c r="E1200" s="5" t="inlineStr">
        <is>
          <t>Zor</t>
        </is>
      </c>
      <c r="F1200" s="5" t="inlineStr"/>
      <c r="G1200" s="6" t="inlineStr"/>
      <c r="H1200" s="6" t="inlineStr">
        <is>
          <t>Çay saati sana devredildi. Kurabiye tedariki için tedarikçi değişikliği yapıldı.</t>
        </is>
      </c>
      <c r="I1200" s="6" t="inlineStr">
        <is>
          <t>Çay saati o kadar iyi yönetildi ki komşu huzurevinden transfer talepleri gelmeye başladı.</t>
        </is>
      </c>
      <c r="J1200" s="6" t="inlineStr">
        <is>
          <t>Çay saatini devralmaya çalıştın; mevcut yönetim güçlü çıktı.</t>
        </is>
      </c>
      <c r="K1200" s="6" t="inlineStr">
        <is>
          <t>Devralma denemesinden sonra kurabiye tabağın son sıraya kondu.</t>
        </is>
      </c>
      <c r="L1200" s="6" t="inlineStr"/>
      <c r="M1200" s="5" t="inlineStr"/>
      <c r="N1200" s="5" t="inlineStr"/>
      <c r="O1200" s="6" t="inlineStr"/>
      <c r="P1200" s="6" t="inlineStr"/>
      <c r="Q1200" s="5" t="inlineStr">
        <is>
          <t>Organizatör</t>
        </is>
      </c>
      <c r="R1200" s="5" t="inlineStr"/>
      <c r="S1200" s="5" t="inlineStr"/>
      <c r="T1200" s="5" t="inlineStr"/>
      <c r="U1200" s="5" t="inlineStr"/>
      <c r="V1200" s="5" t="inlineStr">
        <is>
          <t>huzurevi-sakini</t>
        </is>
      </c>
      <c r="W1200" s="5" t="inlineStr"/>
      <c r="X1200" s="5" t="inlineStr"/>
      <c r="Y1200" s="5" t="inlineStr"/>
      <c r="Z1200" s="6" t="inlineStr"/>
      <c r="AA1200" s="5" t="inlineStr"/>
      <c r="AB1200" s="5" t="inlineStr"/>
      <c r="AC1200" s="5" t="inlineStr"/>
      <c r="AD1200" s="5" t="inlineStr"/>
      <c r="AE1200" s="5" t="inlineStr"/>
      <c r="AF1200" s="5" t="inlineStr"/>
      <c r="AG1200" s="5" t="inlineStr"/>
      <c r="AH1200" s="5" t="inlineStr"/>
    </row>
    <row r="1201">
      <c r="A1201" s="5" t="inlineStr">
        <is>
          <t>b10-torunun-dugunu</t>
        </is>
      </c>
      <c r="B1201" s="5" t="n">
        <v>1</v>
      </c>
      <c r="C1201" s="6" t="inlineStr">
        <is>
          <t>Torunla dans figürlerini tekrarla</t>
        </is>
      </c>
      <c r="D1201" s="5" t="inlineStr">
        <is>
          <t>Dayanıklılık</t>
        </is>
      </c>
      <c r="E1201" s="5" t="inlineStr">
        <is>
          <t>Orta</t>
        </is>
      </c>
      <c r="F1201" s="5" t="inlineStr"/>
      <c r="G1201" s="6" t="inlineStr"/>
      <c r="H1201" s="6" t="inlineStr">
        <is>
          <t>Figürler kusursuz tekrarlandı. Düğün videosunun en çok izlenen kısmı oldu.</t>
        </is>
      </c>
      <c r="I1201" s="6" t="inlineStr">
        <is>
          <t>Dansınız o kadar iyi ki kısa video uygulamasında milyonlarca kez izlendi. Torun ikinci kez ünlü oldu: senin sayende.</t>
        </is>
      </c>
      <c r="J1201" s="6" t="inlineStr">
        <is>
          <t>İki figürü karıştırdın. Torun gülerek senin versiyonuna uydu.</t>
        </is>
      </c>
      <c r="K1201" s="6" t="inlineStr">
        <is>
          <t>Figürleri karıştırdın, salon da karıştı. Pistte kendi başına yeni bir dans akımı başlattın.</t>
        </is>
      </c>
      <c r="L1201" s="6" t="inlineStr">
        <is>
          <t>Dört figürün üçü tamam. Dördüncüsünde torun seni kucakladı; kimse hatayı görmedi.</t>
        </is>
      </c>
      <c r="M1201" s="5" t="inlineStr">
        <is>
          <t>simon</t>
        </is>
      </c>
      <c r="N1201" s="5" t="inlineStr">
        <is>
          <t>Torunla Dans</t>
        </is>
      </c>
      <c r="O1201" s="6" t="inlineStr">
        <is>
          <t>Torunun gösterdiği figür sırasını aynen tekrarla.</t>
        </is>
      </c>
      <c r="P1201" s="6" t="inlineStr">
        <is>
          <t>{"items": ["👏", "💃", "🕺", "🙌"]}</t>
        </is>
      </c>
      <c r="Q1201" s="5" t="inlineStr"/>
      <c r="R1201" s="5" t="inlineStr"/>
      <c r="S1201" s="5" t="inlineStr"/>
      <c r="T1201" s="5" t="inlineStr"/>
      <c r="U1201" s="5" t="inlineStr"/>
      <c r="V1201" s="5" t="inlineStr"/>
      <c r="W1201" s="5" t="inlineStr"/>
      <c r="X1201" s="5" t="inlineStr"/>
      <c r="Y1201" s="5" t="inlineStr"/>
      <c r="Z1201" s="6" t="inlineStr"/>
      <c r="AA1201" s="5" t="inlineStr"/>
      <c r="AB1201" s="5" t="inlineStr"/>
      <c r="AC1201" s="5" t="inlineStr"/>
      <c r="AD1201" s="5" t="inlineStr"/>
      <c r="AE1201" s="5" t="inlineStr"/>
      <c r="AF1201" s="5" t="inlineStr"/>
      <c r="AG1201" s="5" t="inlineStr"/>
      <c r="AH1201" s="5" t="inlineStr"/>
    </row>
    <row r="1202">
      <c r="A1202" s="5" t="inlineStr">
        <is>
          <t>b10-torunun-dugunu</t>
        </is>
      </c>
      <c r="B1202" s="5" t="n">
        <v>2</v>
      </c>
      <c r="C1202" s="6" t="inlineStr">
        <is>
          <t>Kısa bir konuşma yap</t>
        </is>
      </c>
      <c r="D1202" s="5" t="inlineStr"/>
      <c r="E1202" s="5" t="inlineStr"/>
      <c r="F1202" s="5" t="inlineStr">
        <is>
          <t>Çene +1, İtibar +1</t>
        </is>
      </c>
      <c r="G1202" s="6" t="inlineStr">
        <is>
          <t>'Siz de birbirinizi benim kadar sabırla dinleyin.' Salon ayağa kalktı.</t>
        </is>
      </c>
      <c r="H1202" s="6" t="inlineStr"/>
      <c r="I1202" s="6" t="inlineStr"/>
      <c r="J1202" s="6" t="inlineStr"/>
      <c r="K1202" s="6" t="inlineStr"/>
      <c r="L1202" s="6" t="inlineStr"/>
      <c r="M1202" s="5" t="inlineStr"/>
      <c r="N1202" s="5" t="inlineStr"/>
      <c r="O1202" s="6" t="inlineStr"/>
      <c r="P1202" s="6" t="inlineStr"/>
      <c r="Q1202" s="5" t="inlineStr"/>
      <c r="R1202" s="5" t="inlineStr"/>
      <c r="S1202" s="5" t="inlineStr"/>
      <c r="T1202" s="5" t="inlineStr"/>
      <c r="U1202" s="5" t="inlineStr"/>
      <c r="V1202" s="5" t="inlineStr"/>
      <c r="W1202" s="5" t="inlineStr"/>
      <c r="X1202" s="5" t="inlineStr"/>
      <c r="Y1202" s="5" t="inlineStr"/>
      <c r="Z1202" s="6" t="inlineStr"/>
      <c r="AA1202" s="5" t="inlineStr"/>
      <c r="AB1202" s="5" t="inlineStr"/>
      <c r="AC1202" s="5" t="inlineStr"/>
      <c r="AD1202" s="5" t="inlineStr"/>
      <c r="AE1202" s="5" t="inlineStr"/>
      <c r="AF1202" s="5" t="inlineStr"/>
      <c r="AG1202" s="5" t="inlineStr"/>
      <c r="AH1202" s="5" t="inlineStr"/>
    </row>
    <row r="1203">
      <c r="A1203" s="5" t="inlineStr">
        <is>
          <t>b10-torunun-dugunu</t>
        </is>
      </c>
      <c r="B1203" s="5" t="n">
        <v>3</v>
      </c>
      <c r="C1203" s="6" t="inlineStr">
        <is>
          <t>Halayın başını çek</t>
        </is>
      </c>
      <c r="D1203" s="5" t="inlineStr">
        <is>
          <t>Cesaret</t>
        </is>
      </c>
      <c r="E1203" s="5" t="inlineStr">
        <is>
          <t>Zor</t>
        </is>
      </c>
      <c r="F1203" s="5" t="inlineStr"/>
      <c r="G1203" s="6" t="inlineStr"/>
      <c r="H1203" s="6" t="inlineStr">
        <is>
          <t>Halayı başlattın, salon takip etti. Mendil hâlâ senin elinde.</t>
        </is>
      </c>
      <c r="I1203" s="6" t="inlineStr">
        <is>
          <t>Halayı öyle bir çektin ki orkestra bir şarkı daha çaldı. Kimse durmayı teklif etmedi.</t>
        </is>
      </c>
      <c r="J1203" s="6" t="inlineStr">
        <is>
          <t>Halayı başlattın, üçüncü turda mendili bir torununa devrettin.</t>
        </is>
      </c>
      <c r="K1203" s="6" t="inlineStr">
        <is>
          <t>Halay kalabalığı seni ters yöne taşıdı. Kendini pastanın yanında buldun.</t>
        </is>
      </c>
      <c r="L1203" s="6" t="inlineStr"/>
      <c r="M1203" s="5" t="inlineStr"/>
      <c r="N1203" s="5" t="inlineStr"/>
      <c r="O1203" s="6" t="inlineStr"/>
      <c r="P1203" s="6" t="inlineStr"/>
      <c r="Q1203" s="5" t="inlineStr"/>
      <c r="R1203" s="5" t="inlineStr"/>
      <c r="S1203" s="5" t="inlineStr"/>
      <c r="T1203" s="5" t="inlineStr"/>
      <c r="U1203" s="5" t="inlineStr"/>
      <c r="V1203" s="5" t="inlineStr"/>
      <c r="W1203" s="5" t="inlineStr"/>
      <c r="X1203" s="5" t="inlineStr"/>
      <c r="Y1203" s="5" t="n">
        <v>5</v>
      </c>
      <c r="Z1203" s="6" t="inlineStr">
        <is>
          <t>Torununun düğününde halayın başını çekerken. Mendil hâlâ havada.</t>
        </is>
      </c>
      <c r="AA1203" s="5" t="inlineStr"/>
      <c r="AB1203" s="5" t="inlineStr"/>
      <c r="AC1203" s="5" t="inlineStr"/>
      <c r="AD1203" s="5" t="inlineStr"/>
      <c r="AE1203" s="5" t="inlineStr"/>
      <c r="AF1203" s="5" t="inlineStr"/>
      <c r="AG1203" s="5" t="inlineStr"/>
      <c r="AH1203" s="5" t="inlineStr"/>
    </row>
    <row r="1204">
      <c r="A1204" s="5" t="inlineStr">
        <is>
          <t>b10-yapay-zeka-kitap</t>
        </is>
      </c>
      <c r="B1204" s="5" t="n">
        <v>1</v>
      </c>
      <c r="C1204" s="6" t="inlineStr">
        <is>
          <t>Kitabı olduğu gibi onayla</t>
        </is>
      </c>
      <c r="D1204" s="5" t="inlineStr"/>
      <c r="E1204" s="5" t="inlineStr"/>
      <c r="F1204" s="5" t="inlineStr">
        <is>
          <t>İtibar +1</t>
        </is>
      </c>
      <c r="G1204" s="6" t="inlineStr">
        <is>
          <t>Kitap basıldı. Kendi hayatını okudun ve biraz kıskandın.</t>
        </is>
      </c>
      <c r="H1204" s="6" t="inlineStr"/>
      <c r="I1204" s="6" t="inlineStr"/>
      <c r="J1204" s="6" t="inlineStr"/>
      <c r="K1204" s="6" t="inlineStr"/>
      <c r="L1204" s="6" t="inlineStr"/>
      <c r="M1204" s="5" t="inlineStr"/>
      <c r="N1204" s="5" t="inlineStr"/>
      <c r="O1204" s="6" t="inlineStr"/>
      <c r="P1204" s="6" t="inlineStr"/>
      <c r="Q1204" s="5" t="inlineStr"/>
      <c r="R1204" s="5" t="inlineStr"/>
      <c r="S1204" s="5" t="inlineStr"/>
      <c r="T1204" s="5" t="inlineStr"/>
      <c r="U1204" s="5" t="inlineStr">
        <is>
          <t>kitaplasti</t>
        </is>
      </c>
      <c r="V1204" s="5" t="inlineStr"/>
      <c r="W1204" s="5" t="inlineStr"/>
      <c r="X1204" s="5" t="inlineStr"/>
      <c r="Y1204" s="5" t="inlineStr"/>
      <c r="Z1204" s="6" t="inlineStr"/>
      <c r="AA1204" s="5" t="inlineStr"/>
      <c r="AB1204" s="5" t="inlineStr"/>
      <c r="AC1204" s="5" t="inlineStr"/>
      <c r="AD1204" s="5" t="inlineStr"/>
      <c r="AE1204" s="5" t="inlineStr"/>
      <c r="AF1204" s="5" t="inlineStr"/>
      <c r="AG1204" s="5" t="inlineStr"/>
      <c r="AH1204" s="5" t="inlineStr"/>
    </row>
    <row r="1205">
      <c r="A1205" s="5" t="inlineStr">
        <is>
          <t>b10-yapay-zeka-kitap</t>
        </is>
      </c>
      <c r="B1205" s="5" t="n">
        <v>2</v>
      </c>
      <c r="C1205" s="6" t="inlineStr">
        <is>
          <t>Yapay zekâyla tartış</t>
        </is>
      </c>
      <c r="D1205" s="5" t="inlineStr">
        <is>
          <t>Akıl</t>
        </is>
      </c>
      <c r="E1205" s="5" t="inlineStr">
        <is>
          <t>Zor</t>
        </is>
      </c>
      <c r="F1205" s="5" t="inlineStr"/>
      <c r="G1205" s="6" t="inlineStr"/>
      <c r="H1205" s="6" t="inlineStr">
        <is>
          <t>Üç bölümü yeniden yazdırdın. Makine 'Haklısınız, özür dilerim' dedi. Hayatında en kolay kazandığın tartışma.</t>
        </is>
      </c>
      <c r="I1205" s="6" t="inlineStr">
        <is>
          <t>Makine hayatından o kadar etkilendi ki kitabın ikinci cildini önerdi. Sen daha birinci cildi okumadın.</t>
        </is>
      </c>
      <c r="J1205" s="6" t="inlineStr">
        <is>
          <t>Makine her itirazına 'Harika bir nokta!' dedi ve hiçbir şeyi değiştirmedi.</t>
        </is>
      </c>
      <c r="K1205" s="6" t="inlineStr">
        <is>
          <t>Tartışma sonunda makine kitabın sonuna bir bölüm ekledi: 'Yazarla Tartışma Süreci.'</t>
        </is>
      </c>
      <c r="L1205" s="6" t="inlineStr"/>
      <c r="M1205" s="5" t="inlineStr"/>
      <c r="N1205" s="5" t="inlineStr"/>
      <c r="O1205" s="6" t="inlineStr"/>
      <c r="P1205" s="6" t="inlineStr"/>
      <c r="Q1205" s="5" t="inlineStr"/>
      <c r="R1205" s="5" t="inlineStr"/>
      <c r="S1205" s="5" t="inlineStr"/>
      <c r="T1205" s="5" t="inlineStr"/>
      <c r="U1205" s="5" t="inlineStr"/>
      <c r="V1205" s="5" t="inlineStr">
        <is>
          <t>kitaplasti</t>
        </is>
      </c>
      <c r="W1205" s="5" t="inlineStr"/>
      <c r="X1205" s="5" t="inlineStr"/>
      <c r="Y1205" s="5" t="inlineStr"/>
      <c r="Z1205" s="6" t="inlineStr"/>
      <c r="AA1205" s="5" t="inlineStr"/>
      <c r="AB1205" s="5" t="inlineStr"/>
      <c r="AC1205" s="5" t="inlineStr"/>
      <c r="AD1205" s="5" t="inlineStr"/>
      <c r="AE1205" s="5" t="inlineStr"/>
      <c r="AF1205" s="5" t="inlineStr"/>
      <c r="AG1205" s="5" t="inlineStr"/>
      <c r="AH1205" s="5" t="inlineStr"/>
    </row>
    <row r="1206">
      <c r="A1206" s="5" t="inlineStr">
        <is>
          <t>b10-yapay-zeka-kitap</t>
        </is>
      </c>
      <c r="B1206" s="5" t="n">
        <v>3</v>
      </c>
      <c r="C1206" s="6" t="inlineStr">
        <is>
          <t>'Güzel olmayanları da yaz' de</t>
        </is>
      </c>
      <c r="D1206" s="5" t="inlineStr">
        <is>
          <t>İtibar</t>
        </is>
      </c>
      <c r="E1206" s="5" t="inlineStr">
        <is>
          <t>Kolay</t>
        </is>
      </c>
      <c r="F1206" s="5" t="inlineStr"/>
      <c r="G1206" s="6" t="inlineStr"/>
      <c r="H1206" s="6" t="inlineStr">
        <is>
          <t>Kitaba kırık camlar, borçlar ve kaçırılmış otobüsler eklendi. Artık gerçekten senin hayatın.</t>
        </is>
      </c>
      <c r="I1206" s="6" t="inlineStr">
        <is>
          <t>Kitap o kadar dürüst oldu ki aile her bayram bir bölümünü sesli okuyor.</t>
        </is>
      </c>
      <c r="J1206" s="6" t="inlineStr">
        <is>
          <t>Makine 'güzel olmayanları' da güzel anlattı. Borç dönemin 'finansal öğrenme süreci' oldu.</t>
        </is>
      </c>
      <c r="K1206" s="6" t="inlineStr">
        <is>
          <t>Makine güzel olmayanları kitabın başına koydu. Kitap bir hüzün romanı gibi açılıyor.</t>
        </is>
      </c>
      <c r="L1206" s="6" t="inlineStr"/>
      <c r="M1206" s="5" t="inlineStr"/>
      <c r="N1206" s="5" t="inlineStr"/>
      <c r="O1206" s="6" t="inlineStr"/>
      <c r="P1206" s="6" t="inlineStr"/>
      <c r="Q1206" s="5" t="inlineStr"/>
      <c r="R1206" s="5" t="inlineStr"/>
      <c r="S1206" s="5" t="inlineStr">
        <is>
          <t>İtibar</t>
        </is>
      </c>
      <c r="T1206" s="5" t="inlineStr"/>
      <c r="U1206" s="5" t="inlineStr">
        <is>
          <t>kitaplasti</t>
        </is>
      </c>
      <c r="V1206" s="5" t="inlineStr"/>
      <c r="W1206" s="5" t="inlineStr"/>
      <c r="X1206" s="5" t="inlineStr"/>
      <c r="Y1206" s="5" t="inlineStr"/>
      <c r="Z1206" s="6" t="inlineStr"/>
      <c r="AA1206" s="5" t="inlineStr"/>
      <c r="AB1206" s="5" t="inlineStr"/>
      <c r="AC1206" s="5" t="inlineStr"/>
      <c r="AD1206" s="5" t="inlineStr"/>
      <c r="AE1206" s="5" t="inlineStr"/>
      <c r="AF1206" s="5" t="inlineStr"/>
      <c r="AG1206" s="5" t="inlineStr"/>
      <c r="AH1206" s="5" t="inlineStr"/>
    </row>
    <row r="1207">
      <c r="A1207" s="5" t="inlineStr">
        <is>
          <t>b10-eski-ev</t>
        </is>
      </c>
      <c r="B1207" s="5" t="n">
        <v>1</v>
      </c>
      <c r="C1207" s="6" t="inlineStr">
        <is>
          <t>Durup bak, sonra yürü</t>
        </is>
      </c>
      <c r="D1207" s="5" t="inlineStr"/>
      <c r="E1207" s="5" t="inlineStr"/>
      <c r="F1207" s="5" t="inlineStr">
        <is>
          <t>İtibar +1</t>
        </is>
      </c>
      <c r="G1207" s="6" t="inlineStr">
        <is>
          <t>Ev sana bakmadı. Sen ona uzun uzun baktın. Hesap kapandı.</t>
        </is>
      </c>
      <c r="H1207" s="6" t="inlineStr"/>
      <c r="I1207" s="6" t="inlineStr"/>
      <c r="J1207" s="6" t="inlineStr"/>
      <c r="K1207" s="6" t="inlineStr"/>
      <c r="L1207" s="6" t="inlineStr"/>
      <c r="M1207" s="5" t="inlineStr"/>
      <c r="N1207" s="5" t="inlineStr"/>
      <c r="O1207" s="6" t="inlineStr"/>
      <c r="P1207" s="6" t="inlineStr"/>
      <c r="Q1207" s="5" t="inlineStr"/>
      <c r="R1207" s="5" t="inlineStr"/>
      <c r="S1207" s="5" t="inlineStr"/>
      <c r="T1207" s="5" t="inlineStr"/>
      <c r="U1207" s="5" t="inlineStr"/>
      <c r="V1207" s="5" t="inlineStr"/>
      <c r="W1207" s="5" t="inlineStr"/>
      <c r="X1207" s="5" t="inlineStr"/>
      <c r="Y1207" s="5" t="inlineStr"/>
      <c r="Z1207" s="6" t="inlineStr"/>
      <c r="AA1207" s="5" t="inlineStr"/>
      <c r="AB1207" s="5" t="inlineStr"/>
      <c r="AC1207" s="5" t="inlineStr"/>
      <c r="AD1207" s="5" t="inlineStr"/>
      <c r="AE1207" s="5" t="inlineStr"/>
      <c r="AF1207" s="5" t="inlineStr"/>
      <c r="AG1207" s="5" t="inlineStr"/>
      <c r="AH1207" s="5" t="inlineStr"/>
    </row>
    <row r="1208">
      <c r="A1208" s="5" t="inlineStr">
        <is>
          <t>b10-eski-ev</t>
        </is>
      </c>
      <c r="B1208" s="5" t="n">
        <v>2</v>
      </c>
      <c r="C1208" s="6" t="inlineStr">
        <is>
          <t>Kapıyı çal</t>
        </is>
      </c>
      <c r="D1208" s="5" t="inlineStr">
        <is>
          <t>Cesaret</t>
        </is>
      </c>
      <c r="E1208" s="5" t="inlineStr">
        <is>
          <t>Orta</t>
        </is>
      </c>
      <c r="F1208" s="5" t="inlineStr"/>
      <c r="G1208" s="6" t="inlineStr"/>
      <c r="H1208" s="6" t="inlineStr">
        <is>
          <t>Yeni sahipler seni içeri aldı. Senin odan şimdi bir çocuk odası. Döngü devam ediyor.</t>
        </is>
      </c>
      <c r="I1208" s="6" t="inlineStr">
        <is>
          <t>İçeri aldılar, çay verdiler ve duvarda senin adını kazıdığın yeri gösterdiler. Hâlâ orada.</t>
        </is>
      </c>
      <c r="J1208" s="6" t="inlineStr">
        <is>
          <t>Kapı açılmadı. İçeriden bir kargo bildirimi sesi geldi.</t>
        </is>
      </c>
      <c r="K1208" s="6" t="inlineStr">
        <is>
          <t>Kapıyı açan kişi seni kargo görevlisi sandı ve bir paket teslim etti.</t>
        </is>
      </c>
      <c r="L1208" s="6" t="inlineStr"/>
      <c r="M1208" s="5" t="inlineStr"/>
      <c r="N1208" s="5" t="inlineStr"/>
      <c r="O1208" s="6" t="inlineStr"/>
      <c r="P1208" s="6" t="inlineStr"/>
      <c r="Q1208" s="5" t="inlineStr"/>
      <c r="R1208" s="5" t="inlineStr"/>
      <c r="S1208" s="5" t="inlineStr"/>
      <c r="T1208" s="5" t="inlineStr"/>
      <c r="U1208" s="5" t="inlineStr"/>
      <c r="V1208" s="5" t="inlineStr"/>
      <c r="W1208" s="5" t="inlineStr"/>
      <c r="X1208" s="5" t="inlineStr"/>
      <c r="Y1208" s="5" t="inlineStr"/>
      <c r="Z1208" s="6" t="inlineStr"/>
      <c r="AA1208" s="5" t="inlineStr"/>
      <c r="AB1208" s="5" t="inlineStr"/>
      <c r="AC1208" s="5" t="inlineStr"/>
      <c r="AD1208" s="5" t="inlineStr"/>
      <c r="AE1208" s="5" t="inlineStr"/>
      <c r="AF1208" s="5" t="inlineStr"/>
      <c r="AG1208" s="5" t="inlineStr"/>
      <c r="AH1208" s="5" t="inlineStr"/>
    </row>
    <row r="1209">
      <c r="A1209" s="5" t="inlineStr">
        <is>
          <t>b10-eski-ev</t>
        </is>
      </c>
      <c r="B1209" s="5" t="n">
        <v>3</v>
      </c>
      <c r="C1209" s="6" t="inlineStr">
        <is>
          <t>Komşunun camına selam ver</t>
        </is>
      </c>
      <c r="D1209" s="5" t="inlineStr"/>
      <c r="E1209" s="5" t="inlineStr"/>
      <c r="F1209" s="5" t="inlineStr">
        <is>
          <t>Pişkinlik +2</t>
        </is>
      </c>
      <c r="G1209" s="6" t="inlineStr">
        <is>
          <t>Cama el salladın. Cam cevap vermedi. Ama pencerede biri seni hatırladı ve perdeyi kapattı.</t>
        </is>
      </c>
      <c r="H1209" s="6" t="inlineStr"/>
      <c r="I1209" s="6" t="inlineStr"/>
      <c r="J1209" s="6" t="inlineStr"/>
      <c r="K1209" s="6" t="inlineStr"/>
      <c r="L1209" s="6" t="inlineStr"/>
      <c r="M1209" s="5" t="inlineStr"/>
      <c r="N1209" s="5" t="inlineStr"/>
      <c r="O1209" s="6" t="inlineStr"/>
      <c r="P1209" s="6" t="inlineStr"/>
      <c r="Q1209" s="5" t="inlineStr"/>
      <c r="R1209" s="5" t="inlineStr">
        <is>
          <t>camKirildi</t>
        </is>
      </c>
      <c r="S1209" s="5" t="inlineStr"/>
      <c r="T1209" s="5" t="inlineStr"/>
      <c r="U1209" s="5" t="inlineStr"/>
      <c r="V1209" s="5" t="inlineStr"/>
      <c r="W1209" s="5" t="inlineStr"/>
      <c r="X1209" s="5" t="inlineStr"/>
      <c r="Y1209" s="5" t="inlineStr"/>
      <c r="Z1209" s="6" t="inlineStr"/>
      <c r="AA1209" s="5" t="inlineStr"/>
      <c r="AB1209" s="5" t="inlineStr"/>
      <c r="AC1209" s="5" t="inlineStr"/>
      <c r="AD1209" s="5" t="inlineStr"/>
      <c r="AE1209" s="5" t="inlineStr"/>
      <c r="AF1209" s="5" t="inlineStr"/>
      <c r="AG1209" s="5" t="inlineStr"/>
      <c r="AH1209" s="5" t="inlineStr"/>
    </row>
    <row r="1210">
      <c r="A1210" s="5" t="inlineStr">
        <is>
          <t>b10-son-dans</t>
        </is>
      </c>
      <c r="B1210" s="5" t="n">
        <v>1</v>
      </c>
      <c r="C1210" s="6" t="inlineStr">
        <is>
          <t>Yavaş dans et</t>
        </is>
      </c>
      <c r="D1210" s="5" t="inlineStr"/>
      <c r="E1210" s="5" t="inlineStr"/>
      <c r="F1210" s="5" t="inlineStr">
        <is>
          <t>İtibar +2</t>
        </is>
      </c>
      <c r="G1210" s="6" t="inlineStr">
        <is>
          <t>Şarkı bitti, siz bitmediniz. Radyo bir şarkı daha çaldı.</t>
        </is>
      </c>
      <c r="H1210" s="6" t="inlineStr"/>
      <c r="I1210" s="6" t="inlineStr"/>
      <c r="J1210" s="6" t="inlineStr"/>
      <c r="K1210" s="6" t="inlineStr"/>
      <c r="L1210" s="6" t="inlineStr"/>
      <c r="M1210" s="5" t="inlineStr"/>
      <c r="N1210" s="5" t="inlineStr"/>
      <c r="O1210" s="6" t="inlineStr"/>
      <c r="P1210" s="6" t="inlineStr"/>
      <c r="Q1210" s="5" t="inlineStr"/>
      <c r="R1210" s="5" t="inlineStr"/>
      <c r="S1210" s="5" t="inlineStr"/>
      <c r="T1210" s="5" t="inlineStr"/>
      <c r="U1210" s="5" t="inlineStr"/>
      <c r="V1210" s="5" t="inlineStr"/>
      <c r="W1210" s="5" t="inlineStr"/>
      <c r="X1210" s="5" t="inlineStr"/>
      <c r="Y1210" s="5" t="inlineStr"/>
      <c r="Z1210" s="6" t="inlineStr"/>
      <c r="AA1210" s="5" t="inlineStr"/>
      <c r="AB1210" s="5" t="inlineStr"/>
      <c r="AC1210" s="5" t="inlineStr"/>
      <c r="AD1210" s="5" t="inlineStr"/>
      <c r="AE1210" s="5" t="inlineStr"/>
      <c r="AF1210" s="5" t="inlineStr"/>
      <c r="AG1210" s="5" t="inlineStr"/>
      <c r="AH1210" s="5" t="inlineStr"/>
    </row>
    <row r="1211">
      <c r="A1211" s="5" t="inlineStr">
        <is>
          <t>b10-son-dans</t>
        </is>
      </c>
      <c r="B1211" s="5" t="n">
        <v>2</v>
      </c>
      <c r="C1211" s="6" t="inlineStr">
        <is>
          <t>Eski kaldırış figürünü dene</t>
        </is>
      </c>
      <c r="D1211" s="5" t="inlineStr">
        <is>
          <t>Cesaret</t>
        </is>
      </c>
      <c r="E1211" s="5" t="inlineStr">
        <is>
          <t>Çok Zor</t>
        </is>
      </c>
      <c r="F1211" s="5" t="inlineStr"/>
      <c r="G1211" s="6" t="inlineStr"/>
      <c r="H1211" s="6" t="inlineStr">
        <is>
          <t>Figür tamamlandı. Eşin 'Bunu hâlâ hatırlıyorsun' dedi. Sen de şaşırdın.</t>
        </is>
      </c>
      <c r="I1211" s="6" t="inlineStr">
        <is>
          <t>Figür kusursuz. Eşin kahkahalar içinde yere indi. O gece ikiniz de ayrı ayrı gülümseyerek uyudunuz.</t>
        </is>
      </c>
      <c r="J1211" s="6" t="inlineStr">
        <is>
          <t>Figürü yarım bıraktınız. Kahkahalarınız şarkıdan uzun sürdü.</t>
        </is>
      </c>
      <c r="K1211" s="6" t="inlineStr">
        <is>
          <t>Figür yarıda kaldı; ikiniz de halının üstüne oturdunuz ve şarkıyı oradan dinlediniz.</t>
        </is>
      </c>
      <c r="L1211" s="6" t="inlineStr"/>
      <c r="M1211" s="5" t="inlineStr"/>
      <c r="N1211" s="5" t="inlineStr"/>
      <c r="O1211" s="6" t="inlineStr"/>
      <c r="P1211" s="6" t="inlineStr"/>
      <c r="Q1211" s="5" t="inlineStr"/>
      <c r="R1211" s="5" t="inlineStr"/>
      <c r="S1211" s="5" t="inlineStr"/>
      <c r="T1211" s="5" t="inlineStr"/>
      <c r="U1211" s="5" t="inlineStr"/>
      <c r="V1211" s="5" t="inlineStr"/>
      <c r="W1211" s="5" t="inlineStr"/>
      <c r="X1211" s="5" t="inlineStr"/>
      <c r="Y1211" s="5" t="n">
        <v>4</v>
      </c>
      <c r="Z1211" s="6" t="inlineStr">
        <is>
          <t>Eşiyle son dansında eski kaldırış figürünü denerken. Figür tamamlandı.</t>
        </is>
      </c>
      <c r="AA1211" s="5" t="inlineStr"/>
      <c r="AB1211" s="5" t="inlineStr"/>
      <c r="AC1211" s="5" t="inlineStr"/>
      <c r="AD1211" s="5" t="inlineStr"/>
      <c r="AE1211" s="5" t="inlineStr"/>
      <c r="AF1211" s="5" t="inlineStr"/>
      <c r="AG1211" s="5" t="inlineStr"/>
      <c r="AH1211" s="5" t="inlineStr"/>
    </row>
    <row r="1212">
      <c r="A1212" s="5" t="inlineStr">
        <is>
          <t>b10-son-dans</t>
        </is>
      </c>
      <c r="B1212" s="5" t="n">
        <v>3</v>
      </c>
      <c r="C1212" s="6" t="inlineStr">
        <is>
          <t>Şarkıyı birlikte söyle</t>
        </is>
      </c>
      <c r="D1212" s="5" t="inlineStr">
        <is>
          <t>Çene</t>
        </is>
      </c>
      <c r="E1212" s="5" t="inlineStr">
        <is>
          <t>Kolay</t>
        </is>
      </c>
      <c r="F1212" s="5" t="inlineStr"/>
      <c r="G1212" s="6" t="inlineStr"/>
      <c r="H1212" s="6" t="inlineStr">
        <is>
          <t>Sözlerin yarısı yanlış, ikisi de aynı yanlış. Uyum mükemmel.</t>
        </is>
      </c>
      <c r="I1212" s="6" t="inlineStr">
        <is>
          <t>Komşular balkona çıktı. Apartmanda bir akşam şarkı yayını başladı.</t>
        </is>
      </c>
      <c r="J1212" s="6" t="inlineStr">
        <is>
          <t>Sözleri unuttun. Eşin hatırladı. Her zaman olduğu gibi.</t>
        </is>
      </c>
      <c r="K1212" s="6" t="inlineStr">
        <is>
          <t>Farklı şarkıları söylediğinizi nakaratta fark ettiniz.</t>
        </is>
      </c>
      <c r="L1212" s="6" t="inlineStr"/>
      <c r="M1212" s="5" t="inlineStr"/>
      <c r="N1212" s="5" t="inlineStr"/>
      <c r="O1212" s="6" t="inlineStr"/>
      <c r="P1212" s="6" t="inlineStr"/>
      <c r="Q1212" s="5" t="inlineStr"/>
      <c r="R1212" s="5" t="inlineStr"/>
      <c r="S1212" s="5" t="inlineStr"/>
      <c r="T1212" s="5" t="inlineStr"/>
      <c r="U1212" s="5" t="inlineStr"/>
      <c r="V1212" s="5" t="inlineStr"/>
      <c r="W1212" s="5" t="inlineStr"/>
      <c r="X1212" s="5" t="inlineStr"/>
      <c r="Y1212" s="5" t="inlineStr"/>
      <c r="Z1212" s="6" t="inlineStr"/>
      <c r="AA1212" s="5" t="inlineStr"/>
      <c r="AB1212" s="5" t="inlineStr"/>
      <c r="AC1212" s="5" t="inlineStr"/>
      <c r="AD1212" s="5" t="inlineStr"/>
      <c r="AE1212" s="5" t="inlineStr"/>
      <c r="AF1212" s="5" t="inlineStr"/>
      <c r="AG1212" s="5" t="inlineStr"/>
      <c r="AH1212" s="5" t="inlineStr"/>
    </row>
    <row r="1213">
      <c r="A1213" s="5" t="inlineStr">
        <is>
          <t>b10-yalniz-ozgur</t>
        </is>
      </c>
      <c r="B1213" s="5" t="n">
        <v>1</v>
      </c>
      <c r="C1213" s="6" t="inlineStr">
        <is>
          <t>Akşamı kendi başına geçir</t>
        </is>
      </c>
      <c r="D1213" s="5" t="inlineStr"/>
      <c r="E1213" s="5" t="inlineStr"/>
      <c r="F1213" s="5" t="inlineStr">
        <is>
          <t>Dayanıklılık +2</t>
        </is>
      </c>
      <c r="G1213" s="6" t="inlineStr">
        <is>
          <t>Dizi, çay, sessizlik. Kimseye rapor verilmedi.</t>
        </is>
      </c>
      <c r="H1213" s="6" t="inlineStr"/>
      <c r="I1213" s="6" t="inlineStr"/>
      <c r="J1213" s="6" t="inlineStr"/>
      <c r="K1213" s="6" t="inlineStr"/>
      <c r="L1213" s="6" t="inlineStr"/>
      <c r="M1213" s="5" t="inlineStr"/>
      <c r="N1213" s="5" t="inlineStr"/>
      <c r="O1213" s="6" t="inlineStr"/>
      <c r="P1213" s="6" t="inlineStr"/>
      <c r="Q1213" s="5" t="inlineStr"/>
      <c r="R1213" s="5" t="inlineStr"/>
      <c r="S1213" s="5" t="inlineStr"/>
      <c r="T1213" s="5" t="inlineStr"/>
      <c r="U1213" s="5" t="inlineStr"/>
      <c r="V1213" s="5" t="inlineStr"/>
      <c r="W1213" s="5" t="inlineStr"/>
      <c r="X1213" s="5" t="inlineStr"/>
      <c r="Y1213" s="5" t="inlineStr"/>
      <c r="Z1213" s="6" t="inlineStr"/>
      <c r="AA1213" s="5" t="inlineStr"/>
      <c r="AB1213" s="5" t="inlineStr"/>
      <c r="AC1213" s="5" t="inlineStr"/>
      <c r="AD1213" s="5" t="inlineStr"/>
      <c r="AE1213" s="5" t="inlineStr"/>
      <c r="AF1213" s="5" t="inlineStr"/>
      <c r="AG1213" s="5" t="inlineStr"/>
      <c r="AH1213" s="5" t="inlineStr"/>
    </row>
    <row r="1214">
      <c r="A1214" s="5" t="inlineStr">
        <is>
          <t>b10-yalniz-ozgur</t>
        </is>
      </c>
      <c r="B1214" s="5" t="n">
        <v>2</v>
      </c>
      <c r="C1214" s="6" t="inlineStr">
        <is>
          <t>Yeni bir hobiye başla</t>
        </is>
      </c>
      <c r="D1214" s="5" t="inlineStr">
        <is>
          <t>Akıl</t>
        </is>
      </c>
      <c r="E1214" s="5" t="inlineStr">
        <is>
          <t>Orta</t>
        </is>
      </c>
      <c r="F1214" s="5" t="inlineStr"/>
      <c r="G1214" s="6" t="inlineStr"/>
      <c r="H1214" s="6" t="inlineStr">
        <is>
          <t>Sulu boya kursuna yazıldın. Üçüncü resim, eski evinin tablosu. Duvara asıldı.</t>
        </is>
      </c>
      <c r="I1214" s="6" t="inlineStr">
        <is>
          <t>Sulu boya tabloların mahalle kütüphanesinde sergilendi. Ziyaretçi defteri doldu.</t>
        </is>
      </c>
      <c r="J1214" s="6" t="inlineStr">
        <is>
          <t>Başladığın hobi, ilk gün yarım kaldı. Malzemeler dolaba kaldırıldı.</t>
        </is>
      </c>
      <c r="K1214" s="6" t="inlineStr">
        <is>
          <t>Hobi malzemesi kargosu yanlış adrese gitti. Komşun şimdi sulu boya yapıyor.</t>
        </is>
      </c>
      <c r="L1214" s="6" t="inlineStr"/>
      <c r="M1214" s="5" t="inlineStr"/>
      <c r="N1214" s="5" t="inlineStr"/>
      <c r="O1214" s="6" t="inlineStr"/>
      <c r="P1214" s="6" t="inlineStr"/>
      <c r="Q1214" s="5" t="inlineStr"/>
      <c r="R1214" s="5" t="inlineStr"/>
      <c r="S1214" s="5" t="inlineStr"/>
      <c r="T1214" s="5" t="inlineStr"/>
      <c r="U1214" s="5" t="inlineStr"/>
      <c r="V1214" s="5" t="inlineStr"/>
      <c r="W1214" s="5" t="inlineStr"/>
      <c r="X1214" s="5" t="inlineStr"/>
      <c r="Y1214" s="5" t="inlineStr"/>
      <c r="Z1214" s="6" t="inlineStr"/>
      <c r="AA1214" s="5" t="inlineStr"/>
      <c r="AB1214" s="5" t="inlineStr"/>
      <c r="AC1214" s="5" t="inlineStr"/>
      <c r="AD1214" s="5" t="inlineStr"/>
      <c r="AE1214" s="5" t="inlineStr"/>
      <c r="AF1214" s="5" t="inlineStr"/>
      <c r="AG1214" s="5" t="inlineStr"/>
      <c r="AH1214" s="5" t="inlineStr"/>
    </row>
    <row r="1215">
      <c r="A1215" s="5" t="inlineStr">
        <is>
          <t>b10-yalniz-ozgur</t>
        </is>
      </c>
      <c r="B1215" s="5" t="n">
        <v>3</v>
      </c>
      <c r="C1215" s="6" t="inlineStr">
        <is>
          <t>Eski dostlara telefon aç</t>
        </is>
      </c>
      <c r="D1215" s="5" t="inlineStr">
        <is>
          <t>Sosyal Radar</t>
        </is>
      </c>
      <c r="E1215" s="5" t="inlineStr">
        <is>
          <t>Kolay</t>
        </is>
      </c>
      <c r="F1215" s="5" t="inlineStr"/>
      <c r="G1215" s="6" t="inlineStr"/>
      <c r="H1215" s="6" t="inlineStr">
        <is>
          <t>Üç kişiyi aradın, ikisi açtı. Bir buluşma ayarlandı.</t>
        </is>
      </c>
      <c r="I1215" s="6" t="inlineStr">
        <is>
          <t>Telefon zincirin bütün eski dostları bir çay bahçesinde topladı. Yeni bir grup kuruldu.</t>
        </is>
      </c>
      <c r="J1215" s="6" t="inlineStr">
        <is>
          <t>Aradığın kişilerin yarısı telefonunu duymadı.</t>
        </is>
      </c>
      <c r="K1215" s="6" t="inlineStr">
        <is>
          <t>Yanlış kişiyi aradın. Ama o da sohbet etmek istiyordu. Yeni bir dost.</t>
        </is>
      </c>
      <c r="L1215" s="6" t="inlineStr"/>
      <c r="M1215" s="5" t="inlineStr"/>
      <c r="N1215" s="5" t="inlineStr"/>
      <c r="O1215" s="6" t="inlineStr"/>
      <c r="P1215" s="6" t="inlineStr"/>
      <c r="Q1215" s="5" t="inlineStr"/>
      <c r="R1215" s="5" t="inlineStr"/>
      <c r="S1215" s="5" t="inlineStr"/>
      <c r="T1215" s="5" t="inlineStr"/>
      <c r="U1215" s="5" t="inlineStr"/>
      <c r="V1215" s="5" t="inlineStr"/>
      <c r="W1215" s="5" t="inlineStr"/>
      <c r="X1215" s="5" t="inlineStr"/>
      <c r="Y1215" s="5" t="inlineStr"/>
      <c r="Z1215" s="6" t="inlineStr"/>
      <c r="AA1215" s="5" t="inlineStr"/>
      <c r="AB1215" s="5" t="inlineStr"/>
      <c r="AC1215" s="5" t="inlineStr"/>
      <c r="AD1215" s="5" t="inlineStr"/>
      <c r="AE1215" s="5" t="inlineStr"/>
      <c r="AF1215" s="5" t="inlineStr"/>
      <c r="AG1215" s="5" t="inlineStr"/>
      <c r="AH1215" s="5" t="inlineStr"/>
    </row>
    <row r="1216">
      <c r="A1216" s="5" t="inlineStr">
        <is>
          <t>b10-komsu-kedisi</t>
        </is>
      </c>
      <c r="B1216" s="5" t="n">
        <v>1</v>
      </c>
      <c r="C1216" s="6" t="inlineStr">
        <is>
          <t>Mama koy</t>
        </is>
      </c>
      <c r="D1216" s="5" t="inlineStr"/>
      <c r="E1216" s="5" t="inlineStr"/>
      <c r="F1216" s="5" t="inlineStr">
        <is>
          <t>İtibar +1</t>
        </is>
      </c>
      <c r="G1216" s="6" t="inlineStr">
        <is>
          <t>Kedi mamayı yedi ve gitti. Denetim başarıyla tamamlandı.</t>
        </is>
      </c>
      <c r="H1216" s="6" t="inlineStr"/>
      <c r="I1216" s="6" t="inlineStr"/>
      <c r="J1216" s="6" t="inlineStr"/>
      <c r="K1216" s="6" t="inlineStr"/>
      <c r="L1216" s="6" t="inlineStr"/>
      <c r="M1216" s="5" t="inlineStr"/>
      <c r="N1216" s="5" t="inlineStr"/>
      <c r="O1216" s="6" t="inlineStr"/>
      <c r="P1216" s="6" t="inlineStr"/>
      <c r="Q1216" s="5" t="inlineStr"/>
      <c r="R1216" s="5" t="inlineStr"/>
      <c r="S1216" s="5" t="inlineStr"/>
      <c r="T1216" s="5" t="inlineStr"/>
      <c r="U1216" s="5" t="inlineStr"/>
      <c r="V1216" s="5" t="inlineStr"/>
      <c r="W1216" s="5" t="inlineStr"/>
      <c r="X1216" s="5" t="inlineStr"/>
      <c r="Y1216" s="5" t="inlineStr"/>
      <c r="Z1216" s="6" t="inlineStr"/>
      <c r="AA1216" s="5" t="inlineStr"/>
      <c r="AB1216" s="5" t="inlineStr"/>
      <c r="AC1216" s="5" t="inlineStr"/>
      <c r="AD1216" s="5" t="inlineStr"/>
      <c r="AE1216" s="5" t="inlineStr"/>
      <c r="AF1216" s="5" t="inlineStr"/>
      <c r="AG1216" s="5" t="inlineStr"/>
      <c r="AH1216" s="5" t="inlineStr"/>
    </row>
    <row r="1217">
      <c r="A1217" s="5" t="inlineStr">
        <is>
          <t>b10-komsu-kedisi</t>
        </is>
      </c>
      <c r="B1217" s="5" t="n">
        <v>2</v>
      </c>
      <c r="C1217" s="6" t="inlineStr">
        <is>
          <t>Kediyi evlat edin</t>
        </is>
      </c>
      <c r="D1217" s="5" t="inlineStr">
        <is>
          <t>Sosyal Radar</t>
        </is>
      </c>
      <c r="E1217" s="5" t="inlineStr">
        <is>
          <t>Orta</t>
        </is>
      </c>
      <c r="F1217" s="5" t="inlineStr"/>
      <c r="G1217" s="6" t="inlineStr"/>
      <c r="H1217" s="6" t="inlineStr">
        <is>
          <t>Kedi ertesi gün yatağına geçti. Artık ev onun.</t>
        </is>
      </c>
      <c r="I1217" s="6" t="inlineStr">
        <is>
          <t>Kedi yerleşti, komşu da seni ziyarete gelmeye başladı. Bir kedi, iki dostluk.</t>
        </is>
      </c>
      <c r="J1217" s="6" t="inlineStr">
        <is>
          <t>Kedi içeri girdi, her şeyi kokladı ve çıktı. Başvurun reddedildi.</t>
        </is>
      </c>
      <c r="K1217" s="6" t="inlineStr">
        <is>
          <t>Kedi senin yerine komşuyu tercih etti ve sana bunu balkondan gösterdi.</t>
        </is>
      </c>
      <c r="L1217" s="6" t="inlineStr"/>
      <c r="M1217" s="5" t="inlineStr"/>
      <c r="N1217" s="5" t="inlineStr"/>
      <c r="O1217" s="6" t="inlineStr"/>
      <c r="P1217" s="6" t="inlineStr"/>
      <c r="Q1217" s="5" t="inlineStr"/>
      <c r="R1217" s="5" t="inlineStr"/>
      <c r="S1217" s="5" t="inlineStr"/>
      <c r="T1217" s="5" t="inlineStr"/>
      <c r="U1217" s="5" t="inlineStr"/>
      <c r="V1217" s="5" t="inlineStr"/>
      <c r="W1217" s="5" t="inlineStr"/>
      <c r="X1217" s="5" t="inlineStr"/>
      <c r="Y1217" s="5" t="inlineStr"/>
      <c r="Z1217" s="6" t="inlineStr"/>
      <c r="AA1217" s="5" t="inlineStr"/>
      <c r="AB1217" s="5" t="inlineStr"/>
      <c r="AC1217" s="5" t="inlineStr"/>
      <c r="AD1217" s="5" t="inlineStr"/>
      <c r="AE1217" s="5" t="inlineStr"/>
      <c r="AF1217" s="5" t="inlineStr"/>
      <c r="AG1217" s="5" t="inlineStr"/>
      <c r="AH1217" s="5" t="inlineStr"/>
    </row>
    <row r="1218">
      <c r="A1218" s="5" t="inlineStr">
        <is>
          <t>b10-komsu-kedisi</t>
        </is>
      </c>
      <c r="B1218" s="5" t="n">
        <v>3</v>
      </c>
      <c r="C1218" s="6" t="inlineStr">
        <is>
          <t>Kediden özür dile</t>
        </is>
      </c>
      <c r="D1218" s="5" t="inlineStr"/>
      <c r="E1218" s="5" t="inlineStr"/>
      <c r="F1218" s="5" t="inlineStr">
        <is>
          <t>İtibar +3</t>
        </is>
      </c>
      <c r="G1218" s="6" t="inlineStr">
        <is>
          <t>'O vazoyu ben kırdım.' Kedi sana uzun uzun baktı ve kucağına yerleşti. Dosya kapandı.</t>
        </is>
      </c>
      <c r="H1218" s="6" t="inlineStr"/>
      <c r="I1218" s="6" t="inlineStr"/>
      <c r="J1218" s="6" t="inlineStr"/>
      <c r="K1218" s="6" t="inlineStr"/>
      <c r="L1218" s="6" t="inlineStr"/>
      <c r="M1218" s="5" t="inlineStr"/>
      <c r="N1218" s="5" t="inlineStr"/>
      <c r="O1218" s="6" t="inlineStr"/>
      <c r="P1218" s="6" t="inlineStr"/>
      <c r="Q1218" s="5" t="inlineStr"/>
      <c r="R1218" s="5" t="inlineStr">
        <is>
          <t>kediSuclu</t>
        </is>
      </c>
      <c r="S1218" s="5" t="inlineStr"/>
      <c r="T1218" s="5" t="inlineStr"/>
      <c r="U1218" s="5" t="inlineStr"/>
      <c r="V1218" s="5" t="inlineStr"/>
      <c r="W1218" s="5" t="inlineStr"/>
      <c r="X1218" s="5" t="inlineStr"/>
      <c r="Y1218" s="5" t="inlineStr"/>
      <c r="Z1218" s="6" t="inlineStr"/>
      <c r="AA1218" s="5" t="inlineStr"/>
      <c r="AB1218" s="5" t="inlineStr"/>
      <c r="AC1218" s="5" t="inlineStr"/>
      <c r="AD1218" s="5" t="inlineStr"/>
      <c r="AE1218" s="5" t="inlineStr"/>
      <c r="AF1218" s="5" t="inlineStr"/>
      <c r="AG1218" s="5" t="inlineStr"/>
      <c r="AH1218" s="5" t="inlineStr"/>
    </row>
    <row r="1219">
      <c r="A1219" s="5" t="inlineStr">
        <is>
          <t>b10-sabah-yuruyusu</t>
        </is>
      </c>
      <c r="B1219" s="5" t="n">
        <v>1</v>
      </c>
      <c r="C1219" s="6" t="inlineStr">
        <is>
          <t>Kendi temponda yürü</t>
        </is>
      </c>
      <c r="D1219" s="5" t="inlineStr"/>
      <c r="E1219" s="5" t="inlineStr"/>
      <c r="F1219" s="5" t="inlineStr">
        <is>
          <t>Dayanıklılık +1</t>
        </is>
      </c>
      <c r="G1219" s="6" t="inlineStr">
        <is>
          <t>Grup önden gitti. Sen kendi yürüyüşünü yaptın ve bankta onları bekledin.</t>
        </is>
      </c>
      <c r="H1219" s="6" t="inlineStr"/>
      <c r="I1219" s="6" t="inlineStr"/>
      <c r="J1219" s="6" t="inlineStr"/>
      <c r="K1219" s="6" t="inlineStr"/>
      <c r="L1219" s="6" t="inlineStr"/>
      <c r="M1219" s="5" t="inlineStr"/>
      <c r="N1219" s="5" t="inlineStr"/>
      <c r="O1219" s="6" t="inlineStr"/>
      <c r="P1219" s="6" t="inlineStr"/>
      <c r="Q1219" s="5" t="inlineStr"/>
      <c r="R1219" s="5" t="inlineStr"/>
      <c r="S1219" s="5" t="inlineStr"/>
      <c r="T1219" s="5" t="inlineStr"/>
      <c r="U1219" s="5" t="inlineStr"/>
      <c r="V1219" s="5" t="inlineStr"/>
      <c r="W1219" s="5" t="inlineStr"/>
      <c r="X1219" s="5" t="inlineStr"/>
      <c r="Y1219" s="5" t="inlineStr"/>
      <c r="Z1219" s="6" t="inlineStr"/>
      <c r="AA1219" s="5" t="inlineStr"/>
      <c r="AB1219" s="5" t="inlineStr"/>
      <c r="AC1219" s="5" t="inlineStr"/>
      <c r="AD1219" s="5" t="inlineStr"/>
      <c r="AE1219" s="5" t="inlineStr"/>
      <c r="AF1219" s="5" t="inlineStr"/>
      <c r="AG1219" s="5" t="inlineStr"/>
      <c r="AH1219" s="5" t="inlineStr"/>
    </row>
    <row r="1220">
      <c r="A1220" s="5" t="inlineStr">
        <is>
          <t>b10-sabah-yuruyusu</t>
        </is>
      </c>
      <c r="B1220" s="5" t="n">
        <v>2</v>
      </c>
      <c r="C1220" s="6" t="inlineStr">
        <is>
          <t>Grubun önüne geç</t>
        </is>
      </c>
      <c r="D1220" s="5" t="inlineStr">
        <is>
          <t>Dayanıklılık</t>
        </is>
      </c>
      <c r="E1220" s="5" t="inlineStr">
        <is>
          <t>Zor</t>
        </is>
      </c>
      <c r="F1220" s="5" t="inlineStr"/>
      <c r="G1220" s="6" t="inlineStr"/>
      <c r="H1220" s="6" t="inlineStr">
        <is>
          <t>Grubun önüne geçtin. Kimse bir şey demedi, ama ertesi gün herkes erken geldi.</t>
        </is>
      </c>
      <c r="I1220" s="6" t="inlineStr">
        <is>
          <t>Önüne geçtin ve bir tur boyunca liderliği bırakmadın. Grup sana şapka hediye etti.</t>
        </is>
      </c>
      <c r="J1220" s="6" t="inlineStr">
        <is>
          <t>Önüne geçtin, ikinci köşede geri düştün. Grup sana bir kez nazikçe el salladı.</t>
        </is>
      </c>
      <c r="K1220" s="6" t="inlineStr">
        <is>
          <t>Önüne geçmek için hızlandın, grup seni takip etti ve hep birlikte yanlış yola saptınız.</t>
        </is>
      </c>
      <c r="L1220" s="6" t="inlineStr"/>
      <c r="M1220" s="5" t="inlineStr"/>
      <c r="N1220" s="5" t="inlineStr"/>
      <c r="O1220" s="6" t="inlineStr"/>
      <c r="P1220" s="6" t="inlineStr"/>
      <c r="Q1220" s="5" t="inlineStr"/>
      <c r="R1220" s="5" t="inlineStr"/>
      <c r="S1220" s="5" t="inlineStr"/>
      <c r="T1220" s="5" t="inlineStr"/>
      <c r="U1220" s="5" t="inlineStr"/>
      <c r="V1220" s="5" t="inlineStr"/>
      <c r="W1220" s="5" t="inlineStr"/>
      <c r="X1220" s="5" t="inlineStr"/>
      <c r="Y1220" s="5" t="n">
        <v>5</v>
      </c>
      <c r="Z1220" s="6" t="inlineStr">
        <is>
          <t>Sabah yürüyüş grubunda ilk kez en öne geçtiği anda. Kupa yoktu, onur vardı.</t>
        </is>
      </c>
      <c r="AA1220" s="5" t="inlineStr"/>
      <c r="AB1220" s="5" t="inlineStr"/>
      <c r="AC1220" s="5" t="inlineStr"/>
      <c r="AD1220" s="5" t="inlineStr"/>
      <c r="AE1220" s="5" t="inlineStr"/>
      <c r="AF1220" s="5" t="inlineStr"/>
      <c r="AG1220" s="5" t="inlineStr"/>
      <c r="AH1220" s="5" t="inlineStr"/>
    </row>
    <row r="1221">
      <c r="A1221" s="5" t="inlineStr">
        <is>
          <t>b10-sabah-yuruyusu</t>
        </is>
      </c>
      <c r="B1221" s="5" t="n">
        <v>3</v>
      </c>
      <c r="C1221" s="6" t="inlineStr">
        <is>
          <t>Köşeyi kısa kes</t>
        </is>
      </c>
      <c r="D1221" s="5" t="inlineStr"/>
      <c r="E1221" s="5" t="inlineStr"/>
      <c r="F1221" s="5" t="inlineStr">
        <is>
          <t>Kurnazlık +2</t>
        </is>
      </c>
      <c r="G1221" s="6" t="inlineStr">
        <is>
          <t>Kısa kestin, grubun önüne çıktın. Park görevlisi bunu gördü ama saygıyla sessiz kaldı.</t>
        </is>
      </c>
      <c r="H1221" s="6" t="inlineStr"/>
      <c r="I1221" s="6" t="inlineStr"/>
      <c r="J1221" s="6" t="inlineStr"/>
      <c r="K1221" s="6" t="inlineStr"/>
      <c r="L1221" s="6" t="inlineStr"/>
      <c r="M1221" s="5" t="inlineStr"/>
      <c r="N1221" s="5" t="inlineStr"/>
      <c r="O1221" s="6" t="inlineStr"/>
      <c r="P1221" s="6" t="inlineStr"/>
      <c r="Q1221" s="5" t="inlineStr"/>
      <c r="R1221" s="5" t="inlineStr"/>
      <c r="S1221" s="5" t="inlineStr"/>
      <c r="T1221" s="5" t="inlineStr"/>
      <c r="U1221" s="5" t="inlineStr"/>
      <c r="V1221" s="5" t="inlineStr"/>
      <c r="W1221" s="5" t="inlineStr"/>
      <c r="X1221" s="5" t="inlineStr"/>
      <c r="Y1221" s="5" t="inlineStr"/>
      <c r="Z1221" s="6" t="inlineStr"/>
      <c r="AA1221" s="5" t="inlineStr"/>
      <c r="AB1221" s="5" t="inlineStr"/>
      <c r="AC1221" s="5" t="inlineStr"/>
      <c r="AD1221" s="5" t="inlineStr"/>
      <c r="AE1221" s="5" t="inlineStr"/>
      <c r="AF1221" s="5" t="inlineStr"/>
      <c r="AG1221" s="5" t="inlineStr"/>
      <c r="AH1221" s="5" t="inlineStr"/>
    </row>
    <row r="1222">
      <c r="A1222" s="5" t="inlineStr">
        <is>
          <t>b10-son-taksit</t>
        </is>
      </c>
      <c r="B1222" s="5" t="n">
        <v>1</v>
      </c>
      <c r="C1222" s="6" t="inlineStr">
        <is>
          <t>Mektubu çerçevelet</t>
        </is>
      </c>
      <c r="D1222" s="5" t="inlineStr"/>
      <c r="E1222" s="5" t="inlineStr"/>
      <c r="F1222" s="5" t="inlineStr">
        <is>
          <t>İtibar +1</t>
        </is>
      </c>
      <c r="G1222" s="6" t="inlineStr">
        <is>
          <t>Mektup salonun duvarına asıldı. Ziyaretçiler önce ona, sonra sana bakıyor.</t>
        </is>
      </c>
      <c r="H1222" s="6" t="inlineStr"/>
      <c r="I1222" s="6" t="inlineStr"/>
      <c r="J1222" s="6" t="inlineStr"/>
      <c r="K1222" s="6" t="inlineStr"/>
      <c r="L1222" s="6" t="inlineStr"/>
      <c r="M1222" s="5" t="inlineStr"/>
      <c r="N1222" s="5" t="inlineStr"/>
      <c r="O1222" s="6" t="inlineStr"/>
      <c r="P1222" s="6" t="inlineStr"/>
      <c r="Q1222" s="5" t="inlineStr"/>
      <c r="R1222" s="5" t="inlineStr"/>
      <c r="S1222" s="5" t="inlineStr"/>
      <c r="T1222" s="5" t="inlineStr"/>
      <c r="U1222" s="5" t="inlineStr"/>
      <c r="V1222" s="5" t="inlineStr"/>
      <c r="W1222" s="5" t="inlineStr"/>
      <c r="X1222" s="5" t="inlineStr"/>
      <c r="Y1222" s="5" t="inlineStr"/>
      <c r="Z1222" s="6" t="inlineStr"/>
      <c r="AA1222" s="5" t="inlineStr"/>
      <c r="AB1222" s="5" t="inlineStr"/>
      <c r="AC1222" s="5" t="inlineStr"/>
      <c r="AD1222" s="5" t="inlineStr"/>
      <c r="AE1222" s="5" t="inlineStr"/>
      <c r="AF1222" s="5" t="inlineStr"/>
      <c r="AG1222" s="5" t="inlineStr"/>
      <c r="AH1222" s="5" t="inlineStr"/>
    </row>
    <row r="1223">
      <c r="A1223" s="5" t="inlineStr">
        <is>
          <t>b10-son-taksit</t>
        </is>
      </c>
      <c r="B1223" s="5" t="n">
        <v>2</v>
      </c>
      <c r="C1223" s="6" t="inlineStr">
        <is>
          <t>Yeni kredi teklifini kabul et</t>
        </is>
      </c>
      <c r="D1223" s="5" t="inlineStr">
        <is>
          <t>Pişkinlik</t>
        </is>
      </c>
      <c r="E1223" s="5" t="inlineStr">
        <is>
          <t>Orta</t>
        </is>
      </c>
      <c r="F1223" s="5" t="inlineStr"/>
      <c r="G1223" s="6" t="inlineStr"/>
      <c r="H1223" s="6" t="inlineStr">
        <is>
          <t>Kredi onaylandı. Bankanın risk departmanında sessiz bir toplantı yapıldı.</t>
        </is>
      </c>
      <c r="I1223" s="6" t="inlineStr">
        <is>
          <t>Otuz yıl vadeli kredi onaylandı. Banka müdürü sana saygıyla eğildi. Senin iyimserliğin onu aştı.</t>
        </is>
      </c>
      <c r="J1223" s="6" t="inlineStr">
        <is>
          <t>Başvuru 'değerlendirme aşamasında' kaldı. Değerlendirme süresi belirsiz.</t>
        </is>
      </c>
      <c r="K1223" s="6" t="inlineStr">
        <is>
          <t>Başvuru formundaki doğum yılı kutucuğu yeterince geniş değildi. Form reddedildi.</t>
        </is>
      </c>
      <c r="L1223" s="6" t="inlineStr"/>
      <c r="M1223" s="5" t="inlineStr"/>
      <c r="N1223" s="5" t="inlineStr"/>
      <c r="O1223" s="6" t="inlineStr"/>
      <c r="P1223" s="6" t="inlineStr"/>
      <c r="Q1223" s="5" t="inlineStr"/>
      <c r="R1223" s="5" t="inlineStr"/>
      <c r="S1223" s="5" t="inlineStr"/>
      <c r="T1223" s="5" t="inlineStr"/>
      <c r="U1223" s="5" t="inlineStr"/>
      <c r="V1223" s="5" t="inlineStr"/>
      <c r="W1223" s="5" t="inlineStr"/>
      <c r="X1223" s="5" t="inlineStr"/>
      <c r="Y1223" s="5" t="inlineStr"/>
      <c r="Z1223" s="6" t="inlineStr"/>
      <c r="AA1223" s="5" t="inlineStr"/>
      <c r="AB1223" s="5" t="inlineStr"/>
      <c r="AC1223" s="5" t="inlineStr"/>
      <c r="AD1223" s="5" t="inlineStr"/>
      <c r="AE1223" s="5" t="inlineStr"/>
      <c r="AF1223" s="5" t="inlineStr"/>
      <c r="AG1223" s="5" t="inlineStr"/>
      <c r="AH1223" s="5" t="inlineStr"/>
    </row>
    <row r="1224">
      <c r="A1224" s="5" t="inlineStr">
        <is>
          <t>b10-son-taksit</t>
        </is>
      </c>
      <c r="B1224" s="5" t="n">
        <v>3</v>
      </c>
      <c r="C1224" s="6" t="inlineStr">
        <is>
          <t>Bankaya ayrılık görüşmesine git</t>
        </is>
      </c>
      <c r="D1224" s="5" t="inlineStr"/>
      <c r="E1224" s="5" t="inlineStr"/>
      <c r="F1224" s="5" t="inlineStr">
        <is>
          <t>Çene +2</t>
        </is>
      </c>
      <c r="G1224" s="6" t="inlineStr">
        <is>
          <t>Banka müdürüne 'Sen değilsin, benim' dedin. Kırk yıllık ilişki olgunlukla bitirildi.</t>
        </is>
      </c>
      <c r="H1224" s="6" t="inlineStr"/>
      <c r="I1224" s="6" t="inlineStr"/>
      <c r="J1224" s="6" t="inlineStr"/>
      <c r="K1224" s="6" t="inlineStr"/>
      <c r="L1224" s="6" t="inlineStr"/>
      <c r="M1224" s="5" t="inlineStr"/>
      <c r="N1224" s="5" t="inlineStr"/>
      <c r="O1224" s="6" t="inlineStr"/>
      <c r="P1224" s="6" t="inlineStr"/>
      <c r="Q1224" s="5" t="inlineStr"/>
      <c r="R1224" s="5" t="inlineStr">
        <is>
          <t>borclu</t>
        </is>
      </c>
      <c r="S1224" s="5" t="inlineStr"/>
      <c r="T1224" s="5" t="inlineStr"/>
      <c r="U1224" s="5" t="inlineStr"/>
      <c r="V1224" s="5" t="inlineStr"/>
      <c r="W1224" s="5" t="inlineStr"/>
      <c r="X1224" s="5" t="inlineStr"/>
      <c r="Y1224" s="5" t="inlineStr"/>
      <c r="Z1224" s="6" t="inlineStr"/>
      <c r="AA1224" s="5" t="inlineStr"/>
      <c r="AB1224" s="5" t="inlineStr"/>
      <c r="AC1224" s="5" t="inlineStr"/>
      <c r="AD1224" s="5" t="inlineStr"/>
      <c r="AE1224" s="5" t="inlineStr"/>
      <c r="AF1224" s="5" t="inlineStr"/>
      <c r="AG1224" s="5" t="inlineStr"/>
      <c r="AH1224" s="5" t="inlineStr"/>
    </row>
    <row r="1225">
      <c r="A1225" s="5" t="inlineStr">
        <is>
          <t>b10-ehliyet-yenileme</t>
        </is>
      </c>
      <c r="B1225" s="5" t="n">
        <v>1</v>
      </c>
      <c r="C1225" s="6" t="inlineStr">
        <is>
          <t>Ehliyeti torunlara devret</t>
        </is>
      </c>
      <c r="D1225" s="5" t="inlineStr"/>
      <c r="E1225" s="5" t="inlineStr"/>
      <c r="F1225" s="5" t="inlineStr">
        <is>
          <t>İtibar +2</t>
        </is>
      </c>
      <c r="G1225" s="6" t="inlineStr">
        <is>
          <t>Anahtarlar teslim edildi. Artık yolcu koltuğunun hükümdarısın.</t>
        </is>
      </c>
      <c r="H1225" s="6" t="inlineStr"/>
      <c r="I1225" s="6" t="inlineStr"/>
      <c r="J1225" s="6" t="inlineStr"/>
      <c r="K1225" s="6" t="inlineStr"/>
      <c r="L1225" s="6" t="inlineStr"/>
      <c r="M1225" s="5" t="inlineStr"/>
      <c r="N1225" s="5" t="inlineStr"/>
      <c r="O1225" s="6" t="inlineStr"/>
      <c r="P1225" s="6" t="inlineStr"/>
      <c r="Q1225" s="5" t="inlineStr"/>
      <c r="R1225" s="5" t="inlineStr"/>
      <c r="S1225" s="5" t="inlineStr"/>
      <c r="T1225" s="5" t="inlineStr"/>
      <c r="U1225" s="5" t="inlineStr"/>
      <c r="V1225" s="5" t="inlineStr"/>
      <c r="W1225" s="5" t="inlineStr"/>
      <c r="X1225" s="5" t="inlineStr"/>
      <c r="Y1225" s="5" t="inlineStr"/>
      <c r="Z1225" s="6" t="inlineStr"/>
      <c r="AA1225" s="5" t="inlineStr"/>
      <c r="AB1225" s="5" t="inlineStr"/>
      <c r="AC1225" s="5" t="inlineStr"/>
      <c r="AD1225" s="5" t="inlineStr"/>
      <c r="AE1225" s="5" t="inlineStr"/>
      <c r="AF1225" s="5" t="inlineStr"/>
      <c r="AG1225" s="5" t="inlineStr"/>
      <c r="AH1225" s="5" t="inlineStr"/>
    </row>
    <row r="1226">
      <c r="A1226" s="5" t="inlineStr">
        <is>
          <t>b10-ehliyet-yenileme</t>
        </is>
      </c>
      <c r="B1226" s="5" t="n">
        <v>2</v>
      </c>
      <c r="C1226" s="6" t="inlineStr">
        <is>
          <t>Göz testini ezberden geç</t>
        </is>
      </c>
      <c r="D1226" s="5" t="inlineStr">
        <is>
          <t>Akıl</t>
        </is>
      </c>
      <c r="E1226" s="5" t="inlineStr">
        <is>
          <t>Orta</t>
        </is>
      </c>
      <c r="F1226" s="5" t="inlineStr"/>
      <c r="G1226" s="6" t="inlineStr"/>
      <c r="H1226" s="6" t="inlineStr">
        <is>
          <t>Üçüncü satırı ezberden okudun. Muayene tamamlandı.</t>
        </is>
      </c>
      <c r="I1226" s="6" t="inlineStr">
        <is>
          <t>Doktor senin ezberini fark etti ve seni tebrik etti: 'Hafızanız gözlerinizden iyi.' Rapor imzalandı.</t>
        </is>
      </c>
      <c r="J1226" s="6" t="inlineStr">
        <is>
          <t>Doktor satırları değiştirdi. Ezber boşa gitti.</t>
        </is>
      </c>
      <c r="K1226" s="6" t="inlineStr">
        <is>
          <t>Ezberlediğin satır başka bir tablonun satırıymış. Doktor tabloyu çevirip sana gösterdi.</t>
        </is>
      </c>
      <c r="L1226" s="6" t="inlineStr"/>
      <c r="M1226" s="5" t="inlineStr"/>
      <c r="N1226" s="5" t="inlineStr"/>
      <c r="O1226" s="6" t="inlineStr"/>
      <c r="P1226" s="6" t="inlineStr"/>
      <c r="Q1226" s="5" t="inlineStr"/>
      <c r="R1226" s="5" t="inlineStr"/>
      <c r="S1226" s="5" t="inlineStr"/>
      <c r="T1226" s="5" t="inlineStr"/>
      <c r="U1226" s="5" t="inlineStr"/>
      <c r="V1226" s="5" t="inlineStr"/>
      <c r="W1226" s="5" t="inlineStr"/>
      <c r="X1226" s="5" t="inlineStr"/>
      <c r="Y1226" s="5" t="inlineStr"/>
      <c r="Z1226" s="6" t="inlineStr"/>
      <c r="AA1226" s="5" t="inlineStr"/>
      <c r="AB1226" s="5" t="inlineStr"/>
      <c r="AC1226" s="5" t="inlineStr"/>
      <c r="AD1226" s="5" t="inlineStr"/>
      <c r="AE1226" s="5" t="inlineStr"/>
      <c r="AF1226" s="5" t="inlineStr"/>
      <c r="AG1226" s="5" t="inlineStr"/>
      <c r="AH1226" s="5" t="inlineStr"/>
    </row>
    <row r="1227">
      <c r="A1227" s="5" t="inlineStr">
        <is>
          <t>b10-ehliyet-yenileme</t>
        </is>
      </c>
      <c r="B1227" s="5" t="n">
        <v>3</v>
      </c>
      <c r="C1227" s="6" t="inlineStr">
        <is>
          <t>Direksiyon sınavına gir</t>
        </is>
      </c>
      <c r="D1227" s="5" t="inlineStr">
        <is>
          <t>Cesaret</t>
        </is>
      </c>
      <c r="E1227" s="5" t="inlineStr">
        <is>
          <t>Zor</t>
        </is>
      </c>
      <c r="F1227" s="5" t="inlineStr"/>
      <c r="G1227" s="6" t="inlineStr"/>
      <c r="H1227" s="6" t="inlineStr">
        <is>
          <t>Sınavı geçtin. Sınav görevlisi seni kapıya kadar alkışladı.</t>
        </is>
      </c>
      <c r="I1227" s="6" t="inlineStr">
        <is>
          <t>Sınavı hatasız geçtin ve görevli sana 'Gençlere de böyle sürmeyi öğretin' dedi.</t>
        </is>
      </c>
      <c r="J1227" s="6" t="inlineStr">
        <is>
          <t>Park manevrasını dört denemede yaptın. Sınav görevlisi 'Bir dahaki sefere' dedi.</t>
        </is>
      </c>
      <c r="K1227" s="6" t="inlineStr">
        <is>
          <t>Park manevrası sırasında sınav aracı sınav görevlisinin kendi arabasına yaklaştı. Görevli kendi kararını verdi.</t>
        </is>
      </c>
      <c r="L1227" s="6" t="inlineStr"/>
      <c r="M1227" s="5" t="inlineStr"/>
      <c r="N1227" s="5" t="inlineStr"/>
      <c r="O1227" s="6" t="inlineStr"/>
      <c r="P1227" s="6" t="inlineStr"/>
      <c r="Q1227" s="5" t="inlineStr"/>
      <c r="R1227" s="5" t="inlineStr"/>
      <c r="S1227" s="5" t="inlineStr"/>
      <c r="T1227" s="5" t="inlineStr"/>
      <c r="U1227" s="5" t="inlineStr"/>
      <c r="V1227" s="5" t="inlineStr"/>
      <c r="W1227" s="5" t="inlineStr"/>
      <c r="X1227" s="5" t="inlineStr"/>
      <c r="Y1227" s="5" t="n">
        <v>6</v>
      </c>
      <c r="Z1227" s="6" t="inlineStr">
        <is>
          <t>Ehliyetini yeniledikten sonra ilk kavşakta sağ şeridi seçti. Sağ şerit onu seçmedi.</t>
        </is>
      </c>
      <c r="AA1227" s="5" t="inlineStr"/>
      <c r="AB1227" s="5" t="inlineStr"/>
      <c r="AC1227" s="5" t="inlineStr"/>
      <c r="AD1227" s="5" t="inlineStr"/>
      <c r="AE1227" s="5" t="inlineStr"/>
      <c r="AF1227" s="5" t="inlineStr"/>
      <c r="AG1227" s="5" t="inlineStr"/>
      <c r="AH1227" s="5" t="inlineStr"/>
    </row>
    <row r="1228">
      <c r="A1228" s="5" t="inlineStr">
        <is>
          <t>b10-mahallenin-en-yaslisi</t>
        </is>
      </c>
      <c r="B1228" s="5" t="n">
        <v>1</v>
      </c>
      <c r="C1228" s="6" t="inlineStr">
        <is>
          <t>Plaketi alıp teşekkür et</t>
        </is>
      </c>
      <c r="D1228" s="5" t="inlineStr"/>
      <c r="E1228" s="5" t="inlineStr"/>
      <c r="F1228" s="5" t="inlineStr">
        <is>
          <t>İtibar +1</t>
        </is>
      </c>
      <c r="G1228" s="6" t="inlineStr">
        <is>
          <t>Plaket teslim alındı, fotoğraf çekildi. Plaket buzdolabının üstüne yerleştirildi.</t>
        </is>
      </c>
      <c r="H1228" s="6" t="inlineStr"/>
      <c r="I1228" s="6" t="inlineStr"/>
      <c r="J1228" s="6" t="inlineStr"/>
      <c r="K1228" s="6" t="inlineStr"/>
      <c r="L1228" s="6" t="inlineStr"/>
      <c r="M1228" s="5" t="inlineStr"/>
      <c r="N1228" s="5" t="inlineStr"/>
      <c r="O1228" s="6" t="inlineStr"/>
      <c r="P1228" s="6" t="inlineStr"/>
      <c r="Q1228" s="5" t="inlineStr"/>
      <c r="R1228" s="5" t="inlineStr"/>
      <c r="S1228" s="5" t="inlineStr"/>
      <c r="T1228" s="5" t="inlineStr"/>
      <c r="U1228" s="5" t="inlineStr"/>
      <c r="V1228" s="5" t="inlineStr"/>
      <c r="W1228" s="5" t="inlineStr"/>
      <c r="X1228" s="5" t="inlineStr"/>
      <c r="Y1228" s="5" t="inlineStr"/>
      <c r="Z1228" s="6" t="inlineStr"/>
      <c r="AA1228" s="5" t="inlineStr"/>
      <c r="AB1228" s="5" t="inlineStr"/>
      <c r="AC1228" s="5" t="inlineStr"/>
      <c r="AD1228" s="5" t="inlineStr"/>
      <c r="AE1228" s="5" t="inlineStr"/>
      <c r="AF1228" s="5" t="inlineStr"/>
      <c r="AG1228" s="5" t="inlineStr"/>
      <c r="AH1228" s="5" t="inlineStr"/>
    </row>
    <row r="1229">
      <c r="A1229" s="5" t="inlineStr">
        <is>
          <t>b10-mahallenin-en-yaslisi</t>
        </is>
      </c>
      <c r="B1229" s="5" t="n">
        <v>2</v>
      </c>
      <c r="C1229" s="6" t="inlineStr">
        <is>
          <t>Uzun yaşamanın sırrını açıkla</t>
        </is>
      </c>
      <c r="D1229" s="5" t="inlineStr">
        <is>
          <t>Çene</t>
        </is>
      </c>
      <c r="E1229" s="5" t="inlineStr">
        <is>
          <t>Orta</t>
        </is>
      </c>
      <c r="F1229" s="5" t="inlineStr"/>
      <c r="G1229" s="6" t="inlineStr"/>
      <c r="H1229" s="6" t="inlineStr">
        <is>
          <t>'Kimseye inat etmedim, ama kimseye de inat bırakmadım.' Konuşma haber bültenine girdi.</t>
        </is>
      </c>
      <c r="I1229" s="6" t="inlineStr">
        <is>
          <t>Sırrın o kadar sevildi ki mahallede tişörtü basıldı. Satışlardan sana pay verilmedi.</t>
        </is>
      </c>
      <c r="J1229" s="6" t="inlineStr">
        <is>
          <t>Sırrı açıklamadan önce çay istedin. Çay geldi, konuşma bitti. Sır belki de buydu.</t>
        </is>
      </c>
      <c r="K1229" s="6" t="inlineStr">
        <is>
          <t>Sırrını açıkladın: 'Hiçbir öneriyi dinlemedim.' Salondaki doktor önerilerini geri çekti.</t>
        </is>
      </c>
      <c r="L1229" s="6" t="inlineStr"/>
      <c r="M1229" s="5" t="inlineStr"/>
      <c r="N1229" s="5" t="inlineStr"/>
      <c r="O1229" s="6" t="inlineStr"/>
      <c r="P1229" s="6" t="inlineStr"/>
      <c r="Q1229" s="5" t="inlineStr"/>
      <c r="R1229" s="5" t="inlineStr"/>
      <c r="S1229" s="5" t="inlineStr"/>
      <c r="T1229" s="5" t="inlineStr"/>
      <c r="U1229" s="5" t="inlineStr"/>
      <c r="V1229" s="5" t="inlineStr"/>
      <c r="W1229" s="5" t="inlineStr"/>
      <c r="X1229" s="5" t="inlineStr"/>
      <c r="Y1229" s="5" t="inlineStr"/>
      <c r="Z1229" s="6" t="inlineStr"/>
      <c r="AA1229" s="5" t="inlineStr"/>
      <c r="AB1229" s="5" t="inlineStr"/>
      <c r="AC1229" s="5" t="inlineStr"/>
      <c r="AD1229" s="5" t="inlineStr"/>
      <c r="AE1229" s="5" t="inlineStr"/>
      <c r="AF1229" s="5" t="inlineStr"/>
      <c r="AG1229" s="5" t="inlineStr"/>
      <c r="AH1229" s="5" t="inlineStr"/>
    </row>
    <row r="1230">
      <c r="A1230" s="5" t="inlineStr">
        <is>
          <t>b10-mahallenin-en-yaslisi</t>
        </is>
      </c>
      <c r="B1230" s="5" t="n">
        <v>3</v>
      </c>
      <c r="C1230" s="6" t="inlineStr">
        <is>
          <t>Plaketi bir sonraki adaya ithaf et</t>
        </is>
      </c>
      <c r="D1230" s="5" t="inlineStr">
        <is>
          <t>Pişkinlik</t>
        </is>
      </c>
      <c r="E1230" s="5" t="inlineStr">
        <is>
          <t>Kolay</t>
        </is>
      </c>
      <c r="F1230" s="5" t="inlineStr"/>
      <c r="G1230" s="6" t="inlineStr"/>
      <c r="H1230" s="6" t="inlineStr">
        <is>
          <t>Plaketi salondaki ikinci en yaşlıya gösterdin: 'Bir sonraki sen.' Salon hem güldü hem ürperdi.</t>
        </is>
      </c>
      <c r="I1230" s="6" t="inlineStr">
        <is>
          <t>Salondaki bütün yaşlılar ayağa kalkıp birbirine plaket işaret etti. Belediye bir yarışma formatı düşünmeye başladı.</t>
        </is>
      </c>
      <c r="J1230" s="6" t="inlineStr">
        <is>
          <t>İkinci en yaşlı seni duymadı. Ya da duymamış gibi yaptı.</t>
        </is>
      </c>
      <c r="K1230" s="6" t="inlineStr">
        <is>
          <t>İkinci en yaşlı sana 'Ben senden büyüğüm, belgeler hatalı' dedi. Plaket üzerine itiraz dilekçesi verildi.</t>
        </is>
      </c>
      <c r="L1230" s="6" t="inlineStr"/>
      <c r="M1230" s="5" t="inlineStr"/>
      <c r="N1230" s="5" t="inlineStr"/>
      <c r="O1230" s="6" t="inlineStr"/>
      <c r="P1230" s="6" t="inlineStr"/>
      <c r="Q1230" s="5" t="inlineStr"/>
      <c r="R1230" s="5" t="inlineStr"/>
      <c r="S1230" s="5" t="inlineStr">
        <is>
          <t>Pişkinlik</t>
        </is>
      </c>
      <c r="T1230" s="5" t="inlineStr"/>
      <c r="U1230" s="5" t="inlineStr"/>
      <c r="V1230" s="5" t="inlineStr"/>
      <c r="W1230" s="5" t="inlineStr"/>
      <c r="X1230" s="5" t="inlineStr"/>
      <c r="Y1230" s="5" t="inlineStr"/>
      <c r="Z1230" s="6" t="inlineStr"/>
      <c r="AA1230" s="5" t="inlineStr"/>
      <c r="AB1230" s="5" t="inlineStr"/>
      <c r="AC1230" s="5" t="inlineStr"/>
      <c r="AD1230" s="5" t="inlineStr"/>
      <c r="AE1230" s="5" t="inlineStr"/>
      <c r="AF1230" s="5" t="inlineStr"/>
      <c r="AG1230" s="5" t="inlineStr"/>
      <c r="AH1230" s="5" t="inlineStr"/>
    </row>
    <row r="1231">
      <c r="A1231" s="5" t="inlineStr">
        <is>
          <t>b10-mezar-tasi-fotografi</t>
        </is>
      </c>
      <c r="B1231" s="5" t="n">
        <v>1</v>
      </c>
      <c r="C1231" s="6" t="inlineStr">
        <is>
          <t>Ciddi poz ver</t>
        </is>
      </c>
      <c r="D1231" s="5" t="inlineStr"/>
      <c r="E1231" s="5" t="inlineStr"/>
      <c r="F1231" s="5" t="inlineStr">
        <is>
          <t>İtibar +1</t>
        </is>
      </c>
      <c r="G1231" s="6" t="inlineStr">
        <is>
          <t>Fotoğraf çekildi. Resmî, net, ağırbaşlı. Ziyaretçiler önünde sessizce duracak.</t>
        </is>
      </c>
      <c r="H1231" s="6" t="inlineStr"/>
      <c r="I1231" s="6" t="inlineStr"/>
      <c r="J1231" s="6" t="inlineStr"/>
      <c r="K1231" s="6" t="inlineStr"/>
      <c r="L1231" s="6" t="inlineStr"/>
      <c r="M1231" s="5" t="inlineStr"/>
      <c r="N1231" s="5" t="inlineStr"/>
      <c r="O1231" s="6" t="inlineStr"/>
      <c r="P1231" s="6" t="inlineStr"/>
      <c r="Q1231" s="5" t="inlineStr"/>
      <c r="R1231" s="5" t="inlineStr"/>
      <c r="S1231" s="5" t="inlineStr"/>
      <c r="T1231" s="5" t="inlineStr"/>
      <c r="U1231" s="5" t="inlineStr"/>
      <c r="V1231" s="5" t="inlineStr"/>
      <c r="W1231" s="5" t="inlineStr"/>
      <c r="X1231" s="5" t="inlineStr"/>
      <c r="Y1231" s="5" t="inlineStr"/>
      <c r="Z1231" s="6" t="inlineStr"/>
      <c r="AA1231" s="5" t="inlineStr"/>
      <c r="AB1231" s="5" t="inlineStr"/>
      <c r="AC1231" s="5" t="inlineStr"/>
      <c r="AD1231" s="5" t="inlineStr"/>
      <c r="AE1231" s="5" t="inlineStr"/>
      <c r="AF1231" s="5" t="inlineStr"/>
      <c r="AG1231" s="5" t="inlineStr"/>
      <c r="AH1231" s="5" t="inlineStr"/>
    </row>
    <row r="1232">
      <c r="A1232" s="5" t="inlineStr">
        <is>
          <t>b10-mezar-tasi-fotografi</t>
        </is>
      </c>
      <c r="B1232" s="5" t="n">
        <v>2</v>
      </c>
      <c r="C1232" s="6" t="inlineStr">
        <is>
          <t>Göz kırparak poz ver</t>
        </is>
      </c>
      <c r="D1232" s="5" t="inlineStr">
        <is>
          <t>Pişkinlik</t>
        </is>
      </c>
      <c r="E1232" s="5" t="inlineStr">
        <is>
          <t>Orta</t>
        </is>
      </c>
      <c r="F1232" s="5" t="inlineStr"/>
      <c r="G1232" s="6" t="inlineStr"/>
      <c r="H1232" s="6" t="inlineStr">
        <is>
          <t>Fotoğraf çekildi. Ziyaretçiler önünde gülümseyerek duracak.</t>
        </is>
      </c>
      <c r="I1232" s="6" t="inlineStr">
        <is>
          <t>Göz kırpman o kadar yerinde oldu ki fotoğrafçı fotoğrafı vitrine koydu. Bir ölümsüzlük türü.</t>
        </is>
      </c>
      <c r="J1232" s="6" t="inlineStr">
        <is>
          <t>Tam göz kırparken flaş patladı. İki gözün de kapalı çıktı.</t>
        </is>
      </c>
      <c r="K1232" s="6" t="inlineStr">
        <is>
          <t>Göz kırptın, fotoğrafçı 'Bir daha' dedi. On iki fotoğrafın on ikisinde de göz kırpıyorsun. Hepsi seçildi.</t>
        </is>
      </c>
      <c r="L1232" s="6" t="inlineStr"/>
      <c r="M1232" s="5" t="inlineStr"/>
      <c r="N1232" s="5" t="inlineStr"/>
      <c r="O1232" s="6" t="inlineStr"/>
      <c r="P1232" s="6" t="inlineStr"/>
      <c r="Q1232" s="5" t="inlineStr"/>
      <c r="R1232" s="5" t="inlineStr"/>
      <c r="S1232" s="5" t="inlineStr"/>
      <c r="T1232" s="5" t="inlineStr"/>
      <c r="U1232" s="5" t="inlineStr"/>
      <c r="V1232" s="5" t="inlineStr"/>
      <c r="W1232" s="5" t="inlineStr"/>
      <c r="X1232" s="5" t="inlineStr"/>
      <c r="Y1232" s="5" t="inlineStr"/>
      <c r="Z1232" s="6" t="inlineStr"/>
      <c r="AA1232" s="5" t="inlineStr"/>
      <c r="AB1232" s="5" t="inlineStr"/>
      <c r="AC1232" s="5" t="inlineStr"/>
      <c r="AD1232" s="5" t="inlineStr"/>
      <c r="AE1232" s="5" t="inlineStr"/>
      <c r="AF1232" s="5" t="inlineStr"/>
      <c r="AG1232" s="5" t="inlineStr"/>
      <c r="AH1232" s="5" t="inlineStr"/>
    </row>
    <row r="1233">
      <c r="A1233" s="5" t="inlineStr">
        <is>
          <t>b10-mezar-tasi-fotografi</t>
        </is>
      </c>
      <c r="B1233" s="5" t="n">
        <v>3</v>
      </c>
      <c r="C1233" s="6" t="inlineStr">
        <is>
          <t>Arka planı kendin seç</t>
        </is>
      </c>
      <c r="D1233" s="5" t="inlineStr">
        <is>
          <t>Sosyal Radar</t>
        </is>
      </c>
      <c r="E1233" s="5" t="inlineStr">
        <is>
          <t>Kolay</t>
        </is>
      </c>
      <c r="F1233" s="5" t="inlineStr"/>
      <c r="G1233" s="6" t="inlineStr"/>
      <c r="H1233" s="6" t="inlineStr">
        <is>
          <t>Arka planı sahil manzarası yaptın. Taş artık bir tatil kartı gibi.</t>
        </is>
      </c>
      <c r="I1233" s="6" t="inlineStr">
        <is>
          <t>Arka plan o kadar iyi oldu ki ziyaretçiler taşın önünde fotoğraf çektirmeye başladı.</t>
        </is>
      </c>
      <c r="J1233" s="6" t="inlineStr">
        <is>
          <t>Arka plan seçenekleri arasında sadece gri vardı. Seçim yapıldı.</t>
        </is>
      </c>
      <c r="K1233" s="6" t="inlineStr">
        <is>
          <t>Yanlış arka planı seçtin. Portren bir ofis toplantı odasında çekilmiş gibi duruyor.</t>
        </is>
      </c>
      <c r="L1233" s="6" t="inlineStr"/>
      <c r="M1233" s="5" t="inlineStr"/>
      <c r="N1233" s="5" t="inlineStr"/>
      <c r="O1233" s="6" t="inlineStr"/>
      <c r="P1233" s="6" t="inlineStr"/>
      <c r="Q1233" s="5" t="inlineStr"/>
      <c r="R1233" s="5" t="inlineStr"/>
      <c r="S1233" s="5" t="inlineStr"/>
      <c r="T1233" s="5" t="inlineStr"/>
      <c r="U1233" s="5" t="inlineStr"/>
      <c r="V1233" s="5" t="inlineStr"/>
      <c r="W1233" s="5" t="inlineStr"/>
      <c r="X1233" s="5" t="inlineStr"/>
      <c r="Y1233" s="5" t="inlineStr"/>
      <c r="Z1233" s="6" t="inlineStr"/>
      <c r="AA1233" s="5" t="inlineStr"/>
      <c r="AB1233" s="5" t="inlineStr"/>
      <c r="AC1233" s="5" t="inlineStr"/>
      <c r="AD1233" s="5" t="inlineStr"/>
      <c r="AE1233" s="5" t="inlineStr"/>
      <c r="AF1233" s="5" t="inlineStr"/>
      <c r="AG1233" s="5" t="inlineStr"/>
      <c r="AH1233" s="5" t="inlineStr"/>
    </row>
    <row r="1234">
      <c r="A1234" s="5" t="inlineStr">
        <is>
          <t>son-soz</t>
        </is>
      </c>
      <c r="B1234" s="5" t="n">
        <v>1</v>
      </c>
      <c r="C1234" s="6" t="inlineStr">
        <is>
          <t>'Kombiyi kapattınız mı?'</t>
        </is>
      </c>
      <c r="D1234" s="5" t="inlineStr"/>
      <c r="E1234" s="5" t="inlineStr"/>
      <c r="F1234" s="5" t="inlineStr">
        <is>
          <t>Akıl +1</t>
        </is>
      </c>
      <c r="G1234" s="6" t="inlineStr">
        <is>
          <t>Herkes aynı anda kalktı.</t>
        </is>
      </c>
      <c r="H1234" s="6" t="inlineStr"/>
      <c r="I1234" s="6" t="inlineStr"/>
      <c r="J1234" s="6" t="inlineStr"/>
      <c r="K1234" s="6" t="inlineStr"/>
      <c r="L1234" s="6" t="inlineStr"/>
      <c r="M1234" s="5" t="inlineStr"/>
      <c r="N1234" s="5" t="inlineStr"/>
      <c r="O1234" s="6" t="inlineStr"/>
      <c r="P1234" s="6" t="inlineStr"/>
      <c r="Q1234" s="5" t="inlineStr"/>
      <c r="R1234" s="5" t="inlineStr"/>
      <c r="S1234" s="5" t="inlineStr"/>
      <c r="T1234" s="5" t="inlineStr"/>
      <c r="U1234" s="5" t="inlineStr"/>
      <c r="V1234" s="5" t="inlineStr"/>
      <c r="W1234" s="5" t="inlineStr"/>
      <c r="X1234" s="5" t="inlineStr"/>
      <c r="Y1234" s="5" t="n">
        <v>100</v>
      </c>
      <c r="Z1234" s="6" t="inlineStr">
        <is>
          <t>Son sözü 'Kombiyi kapattınız mı?' oldu. Kapatılmıştı.</t>
        </is>
      </c>
      <c r="AA1234" s="5" t="inlineStr"/>
      <c r="AB1234" s="5" t="inlineStr"/>
      <c r="AC1234" s="5" t="inlineStr"/>
      <c r="AD1234" s="5" t="inlineStr"/>
      <c r="AE1234" s="5" t="inlineStr"/>
      <c r="AF1234" s="5" t="inlineStr"/>
      <c r="AG1234" s="5" t="inlineStr"/>
      <c r="AH1234" s="5" t="inlineStr"/>
    </row>
    <row r="1235">
      <c r="A1235" s="5" t="inlineStr">
        <is>
          <t>son-soz</t>
        </is>
      </c>
      <c r="B1235" s="5" t="n">
        <v>2</v>
      </c>
      <c r="C1235" s="6" t="inlineStr">
        <is>
          <t>'Hepinizi seviyorum. Bazılarınızı daha çok.'</t>
        </is>
      </c>
      <c r="D1235" s="5" t="inlineStr"/>
      <c r="E1235" s="5" t="inlineStr"/>
      <c r="F1235" s="5" t="inlineStr">
        <is>
          <t>Pişkinlik +1</t>
        </is>
      </c>
      <c r="G1235" s="6" t="inlineStr">
        <is>
          <t>Oda bir an sustu, sonra herkes birbirine baktı.</t>
        </is>
      </c>
      <c r="H1235" s="6" t="inlineStr"/>
      <c r="I1235" s="6" t="inlineStr"/>
      <c r="J1235" s="6" t="inlineStr"/>
      <c r="K1235" s="6" t="inlineStr"/>
      <c r="L1235" s="6" t="inlineStr"/>
      <c r="M1235" s="5" t="inlineStr"/>
      <c r="N1235" s="5" t="inlineStr"/>
      <c r="O1235" s="6" t="inlineStr"/>
      <c r="P1235" s="6" t="inlineStr"/>
      <c r="Q1235" s="5" t="inlineStr"/>
      <c r="R1235" s="5" t="inlineStr"/>
      <c r="S1235" s="5" t="inlineStr"/>
      <c r="T1235" s="5" t="inlineStr"/>
      <c r="U1235" s="5" t="inlineStr"/>
      <c r="V1235" s="5" t="inlineStr"/>
      <c r="W1235" s="5" t="inlineStr"/>
      <c r="X1235" s="5" t="inlineStr"/>
      <c r="Y1235" s="5" t="n">
        <v>100</v>
      </c>
      <c r="Z1235" s="6" t="inlineStr">
        <is>
          <t>Son sözü 'Hepinizi seviyorum. Bazılarınızı daha çok.' oldu. Liste açıklanmadı.</t>
        </is>
      </c>
      <c r="AA1235" s="5" t="inlineStr"/>
      <c r="AB1235" s="5" t="inlineStr"/>
      <c r="AC1235" s="5" t="inlineStr"/>
      <c r="AD1235" s="5" t="inlineStr"/>
      <c r="AE1235" s="5" t="inlineStr"/>
      <c r="AF1235" s="5" t="inlineStr"/>
      <c r="AG1235" s="5" t="inlineStr"/>
      <c r="AH1235" s="5" t="inlineStr"/>
    </row>
    <row r="1236">
      <c r="A1236" s="5" t="inlineStr">
        <is>
          <t>son-soz</t>
        </is>
      </c>
      <c r="B1236" s="5" t="n">
        <v>3</v>
      </c>
      <c r="C1236" s="6" t="inlineStr">
        <is>
          <t>'İyi bir hayattı.'</t>
        </is>
      </c>
      <c r="D1236" s="5" t="inlineStr"/>
      <c r="E1236" s="5" t="inlineStr"/>
      <c r="F1236" s="5" t="inlineStr">
        <is>
          <t>İtibar +1</t>
        </is>
      </c>
      <c r="G1236" s="6" t="inlineStr">
        <is>
          <t>Kimse itiraz etmedi.</t>
        </is>
      </c>
      <c r="H1236" s="6" t="inlineStr"/>
      <c r="I1236" s="6" t="inlineStr"/>
      <c r="J1236" s="6" t="inlineStr"/>
      <c r="K1236" s="6" t="inlineStr"/>
      <c r="L1236" s="6" t="inlineStr"/>
      <c r="M1236" s="5" t="inlineStr"/>
      <c r="N1236" s="5" t="inlineStr"/>
      <c r="O1236" s="6" t="inlineStr"/>
      <c r="P1236" s="6" t="inlineStr"/>
      <c r="Q1236" s="5" t="inlineStr"/>
      <c r="R1236" s="5" t="inlineStr"/>
      <c r="S1236" s="5" t="inlineStr"/>
      <c r="T1236" s="5" t="inlineStr"/>
      <c r="U1236" s="5" t="inlineStr"/>
      <c r="V1236" s="5" t="inlineStr"/>
      <c r="W1236" s="5" t="inlineStr"/>
      <c r="X1236" s="5" t="inlineStr"/>
      <c r="Y1236" s="5" t="n">
        <v>100</v>
      </c>
      <c r="Z1236" s="6" t="inlineStr">
        <is>
          <t>Son sözü 'İyi bir hayattı' oldu. İtiraz süresi dolmuştur.</t>
        </is>
      </c>
      <c r="AA1236" s="5" t="inlineStr"/>
      <c r="AB1236" s="5" t="inlineStr"/>
      <c r="AC1236" s="5" t="inlineStr"/>
      <c r="AD1236" s="5" t="inlineStr"/>
      <c r="AE1236" s="5" t="inlineStr"/>
      <c r="AF1236" s="5" t="inlineStr"/>
      <c r="AG1236" s="5" t="inlineStr"/>
      <c r="AH1236" s="5" t="inlineStr"/>
    </row>
    <row r="1237">
      <c r="A1237" s="5" t="inlineStr">
        <is>
          <t>son-soz</t>
        </is>
      </c>
      <c r="B1237" s="5" t="n">
        <v>4</v>
      </c>
      <c r="C1237" s="6" t="inlineStr">
        <is>
          <t>'Vazoyu ben kırdım.'</t>
        </is>
      </c>
      <c r="D1237" s="5" t="inlineStr"/>
      <c r="E1237" s="5" t="inlineStr"/>
      <c r="F1237" s="5" t="inlineStr">
        <is>
          <t>İtibar +2</t>
        </is>
      </c>
      <c r="G1237" s="6" t="inlineStr">
        <is>
          <t>Oda uzun bir süre sessiz kaldı. Sonra biri kediye baktı.</t>
        </is>
      </c>
      <c r="H1237" s="6" t="inlineStr"/>
      <c r="I1237" s="6" t="inlineStr"/>
      <c r="J1237" s="6" t="inlineStr"/>
      <c r="K1237" s="6" t="inlineStr"/>
      <c r="L1237" s="6" t="inlineStr"/>
      <c r="M1237" s="5" t="inlineStr"/>
      <c r="N1237" s="5" t="inlineStr"/>
      <c r="O1237" s="6" t="inlineStr"/>
      <c r="P1237" s="6" t="inlineStr"/>
      <c r="Q1237" s="5" t="inlineStr"/>
      <c r="R1237" s="5" t="inlineStr">
        <is>
          <t>kediSuclu</t>
        </is>
      </c>
      <c r="S1237" s="5" t="inlineStr"/>
      <c r="T1237" s="5" t="inlineStr"/>
      <c r="U1237" s="5" t="inlineStr"/>
      <c r="V1237" s="5" t="inlineStr"/>
      <c r="W1237" s="5" t="inlineStr"/>
      <c r="X1237" s="5" t="inlineStr"/>
      <c r="Y1237" s="5" t="n">
        <v>100</v>
      </c>
      <c r="Z1237" s="6" t="inlineStr">
        <is>
          <t>Son sözü 'Vazoyu ben kırdım' oldu. Kedi, uzun bir aradan sonra aklandı.</t>
        </is>
      </c>
      <c r="AA1237" s="5" t="inlineStr"/>
      <c r="AB1237" s="5" t="inlineStr"/>
      <c r="AC1237" s="5" t="inlineStr"/>
      <c r="AD1237" s="5" t="inlineStr"/>
      <c r="AE1237" s="5" t="inlineStr"/>
      <c r="AF1237" s="5" t="inlineStr"/>
      <c r="AG1237" s="5" t="inlineStr"/>
      <c r="AH1237" s="5" t="inlineStr"/>
    </row>
    <row r="1238">
      <c r="A1238" s="5" t="inlineStr">
        <is>
          <t>son-soz</t>
        </is>
      </c>
      <c r="B1238" s="5" t="n">
        <v>5</v>
      </c>
      <c r="C1238" s="6" t="inlineStr">
        <is>
          <t>'Para...'</t>
        </is>
      </c>
      <c r="D1238" s="5" t="inlineStr"/>
      <c r="E1238" s="5" t="inlineStr"/>
      <c r="F1238" s="5" t="inlineStr">
        <is>
          <t>Kurnazlık +1</t>
        </is>
      </c>
      <c r="G1238" s="6" t="inlineStr">
        <is>
          <t>Herkes öne eğildi. Cümlenin devamı gelmedi.</t>
        </is>
      </c>
      <c r="H1238" s="6" t="inlineStr"/>
      <c r="I1238" s="6" t="inlineStr"/>
      <c r="J1238" s="6" t="inlineStr"/>
      <c r="K1238" s="6" t="inlineStr"/>
      <c r="L1238" s="6" t="inlineStr"/>
      <c r="M1238" s="5" t="inlineStr"/>
      <c r="N1238" s="5" t="inlineStr"/>
      <c r="O1238" s="6" t="inlineStr"/>
      <c r="P1238" s="6" t="inlineStr"/>
      <c r="Q1238" s="5" t="inlineStr"/>
      <c r="R1238" s="5" t="inlineStr">
        <is>
          <t>ilkKelimePara</t>
        </is>
      </c>
      <c r="S1238" s="5" t="inlineStr"/>
      <c r="T1238" s="5" t="inlineStr"/>
      <c r="U1238" s="5" t="inlineStr"/>
      <c r="V1238" s="5" t="inlineStr"/>
      <c r="W1238" s="5" t="inlineStr"/>
      <c r="X1238" s="5" t="inlineStr"/>
      <c r="Y1238" s="5" t="n">
        <v>100</v>
      </c>
      <c r="Z1238" s="6" t="inlineStr">
        <is>
          <t>İlk sözü de son sözü de 'Para' oldu. Arada yaşadıkları kayıt altındadır.</t>
        </is>
      </c>
      <c r="AA1238" s="5" t="inlineStr"/>
      <c r="AB1238" s="5" t="inlineStr"/>
      <c r="AC1238" s="5" t="inlineStr"/>
      <c r="AD1238" s="5" t="inlineStr"/>
      <c r="AE1238" s="5" t="inlineStr"/>
      <c r="AF1238" s="5" t="inlineStr"/>
      <c r="AG1238" s="5" t="inlineStr"/>
      <c r="AH1238" s="5" t="inlineStr"/>
    </row>
    <row r="1239">
      <c r="A1239" s="5" t="inlineStr">
        <is>
          <t>son-soz</t>
        </is>
      </c>
      <c r="B1239" s="5" t="n">
        <v>6</v>
      </c>
      <c r="C1239" s="6" t="inlineStr">
        <is>
          <t>“Tutanağa geçsin.”</t>
        </is>
      </c>
      <c r="D1239" s="5" t="inlineStr"/>
      <c r="E1239" s="5" t="inlineStr"/>
      <c r="F1239" s="5" t="inlineStr">
        <is>
          <t>Sosyal Radar +1</t>
        </is>
      </c>
      <c r="G1239" s="6" t="inlineStr">
        <is>
          <t>Son sözü “Tutanağa geçsin” oldu. Geçti.</t>
        </is>
      </c>
      <c r="H1239" s="6" t="inlineStr"/>
      <c r="I1239" s="6" t="inlineStr"/>
      <c r="J1239" s="6" t="inlineStr"/>
      <c r="K1239" s="6" t="inlineStr"/>
      <c r="L1239" s="6" t="inlineStr"/>
      <c r="M1239" s="5" t="inlineStr"/>
      <c r="N1239" s="5" t="inlineStr"/>
      <c r="O1239" s="6" t="inlineStr"/>
      <c r="P1239" s="6" t="inlineStr"/>
      <c r="Q1239" s="5" t="inlineStr"/>
      <c r="R1239" s="5" t="inlineStr">
        <is>
          <t>hat-polis</t>
        </is>
      </c>
      <c r="S1239" s="5" t="inlineStr"/>
      <c r="T1239" s="5" t="inlineStr"/>
      <c r="U1239" s="5" t="inlineStr"/>
      <c r="V1239" s="5" t="inlineStr"/>
      <c r="W1239" s="5" t="inlineStr"/>
      <c r="X1239" s="5" t="inlineStr"/>
      <c r="Y1239" s="5" t="n">
        <v>100</v>
      </c>
      <c r="Z1239" s="6" t="inlineStr">
        <is>
          <t>Son sözü “Tutanağa geçsin” oldu. Geçti.</t>
        </is>
      </c>
      <c r="AA1239" s="5" t="inlineStr"/>
      <c r="AB1239" s="5" t="inlineStr"/>
      <c r="AC1239" s="5" t="inlineStr"/>
      <c r="AD1239" s="5" t="inlineStr"/>
      <c r="AE1239" s="5" t="inlineStr"/>
      <c r="AF1239" s="5" t="inlineStr"/>
      <c r="AG1239" s="5" t="inlineStr"/>
      <c r="AH1239" s="5" t="inlineStr"/>
    </row>
    <row r="1240">
      <c r="A1240" s="5" t="inlineStr">
        <is>
          <t>son-soz</t>
        </is>
      </c>
      <c r="B1240" s="5" t="n">
        <v>7</v>
      </c>
      <c r="C1240" s="6" t="inlineStr">
        <is>
          <t>“Karar kesindir.”</t>
        </is>
      </c>
      <c r="D1240" s="5" t="inlineStr"/>
      <c r="E1240" s="5" t="inlineStr"/>
      <c r="F1240" s="5" t="inlineStr">
        <is>
          <t>İtibar +1</t>
        </is>
      </c>
      <c r="G1240" s="6" t="inlineStr">
        <is>
          <t>Son sözü “Karar kesindir” oldu. İtiraz eden çıkmadı.</t>
        </is>
      </c>
      <c r="H1240" s="6" t="inlineStr"/>
      <c r="I1240" s="6" t="inlineStr"/>
      <c r="J1240" s="6" t="inlineStr"/>
      <c r="K1240" s="6" t="inlineStr"/>
      <c r="L1240" s="6" t="inlineStr"/>
      <c r="M1240" s="5" t="inlineStr"/>
      <c r="N1240" s="5" t="inlineStr"/>
      <c r="O1240" s="6" t="inlineStr"/>
      <c r="P1240" s="6" t="inlineStr"/>
      <c r="Q1240" s="5" t="inlineStr"/>
      <c r="R1240" s="5" t="inlineStr">
        <is>
          <t>hat-yargi</t>
        </is>
      </c>
      <c r="S1240" s="5" t="inlineStr"/>
      <c r="T1240" s="5" t="inlineStr"/>
      <c r="U1240" s="5" t="inlineStr"/>
      <c r="V1240" s="5" t="inlineStr"/>
      <c r="W1240" s="5" t="inlineStr"/>
      <c r="X1240" s="5" t="inlineStr"/>
      <c r="Y1240" s="5" t="n">
        <v>100</v>
      </c>
      <c r="Z1240" s="6" t="inlineStr">
        <is>
          <t>Son sözü “Karar kesindir” oldu. İtiraz eden çıkmadı.</t>
        </is>
      </c>
      <c r="AA1240" s="5" t="inlineStr"/>
      <c r="AB1240" s="5" t="inlineStr"/>
      <c r="AC1240" s="5" t="inlineStr"/>
      <c r="AD1240" s="5" t="inlineStr"/>
      <c r="AE1240" s="5" t="inlineStr"/>
      <c r="AF1240" s="5" t="inlineStr"/>
      <c r="AG1240" s="5" t="inlineStr"/>
      <c r="AH1240" s="5" t="inlineStr"/>
    </row>
    <row r="1241">
      <c r="A1241" s="5" t="inlineStr">
        <is>
          <t>son-soz</t>
        </is>
      </c>
      <c r="B1241" s="5" t="n">
        <v>8</v>
      </c>
      <c r="C1241" s="6" t="inlineStr">
        <is>
          <t>“Tansiyonunu ölçtürdün mü?”</t>
        </is>
      </c>
      <c r="D1241" s="5" t="inlineStr"/>
      <c r="E1241" s="5" t="inlineStr"/>
      <c r="F1241" s="5" t="inlineStr">
        <is>
          <t>İtibar +1</t>
        </is>
      </c>
      <c r="G1241" s="6" t="inlineStr">
        <is>
          <t>Son sözü, başucundakine “Tansiyonunu ölçtürdün mü?” oldu. Ölçtürdü; biraz yüksekti.</t>
        </is>
      </c>
      <c r="H1241" s="6" t="inlineStr"/>
      <c r="I1241" s="6" t="inlineStr"/>
      <c r="J1241" s="6" t="inlineStr"/>
      <c r="K1241" s="6" t="inlineStr"/>
      <c r="L1241" s="6" t="inlineStr"/>
      <c r="M1241" s="5" t="inlineStr"/>
      <c r="N1241" s="5" t="inlineStr"/>
      <c r="O1241" s="6" t="inlineStr"/>
      <c r="P1241" s="6" t="inlineStr"/>
      <c r="Q1241" s="5" t="inlineStr"/>
      <c r="R1241" s="5" t="inlineStr">
        <is>
          <t>hat-hekim</t>
        </is>
      </c>
      <c r="S1241" s="5" t="inlineStr"/>
      <c r="T1241" s="5" t="inlineStr"/>
      <c r="U1241" s="5" t="inlineStr"/>
      <c r="V1241" s="5" t="inlineStr"/>
      <c r="W1241" s="5" t="inlineStr"/>
      <c r="X1241" s="5" t="inlineStr"/>
      <c r="Y1241" s="5" t="n">
        <v>100</v>
      </c>
      <c r="Z1241" s="6" t="inlineStr">
        <is>
          <t>Son sözü, başucundakine “Tansiyonunu ölçtürdün mü?” oldu. Ölçtürdü; biraz yüksekti.</t>
        </is>
      </c>
      <c r="AA1241" s="5" t="inlineStr"/>
      <c r="AB1241" s="5" t="inlineStr"/>
      <c r="AC1241" s="5" t="inlineStr"/>
      <c r="AD1241" s="5" t="inlineStr"/>
      <c r="AE1241" s="5" t="inlineStr"/>
      <c r="AF1241" s="5" t="inlineStr"/>
      <c r="AG1241" s="5" t="inlineStr"/>
      <c r="AH1241" s="5" t="inlineStr"/>
    </row>
    <row r="1242">
      <c r="A1242" s="5" t="inlineStr">
        <is>
          <t>son-soz</t>
        </is>
      </c>
      <c r="B1242" s="5" t="n">
        <v>9</v>
      </c>
      <c r="C1242" s="6" t="inlineStr">
        <is>
          <t>“Bu soruyu sevdim.”</t>
        </is>
      </c>
      <c r="D1242" s="5" t="inlineStr"/>
      <c r="E1242" s="5" t="inlineStr"/>
      <c r="F1242" s="5" t="inlineStr">
        <is>
          <t>Çene +1</t>
        </is>
      </c>
      <c r="G1242" s="6" t="inlineStr">
        <is>
          <t>Son sözü “Bu soruyu sevdim” oldu. Soruyu kimse hatırlamıyor.</t>
        </is>
      </c>
      <c r="H1242" s="6" t="inlineStr"/>
      <c r="I1242" s="6" t="inlineStr"/>
      <c r="J1242" s="6" t="inlineStr"/>
      <c r="K1242" s="6" t="inlineStr"/>
      <c r="L1242" s="6" t="inlineStr"/>
      <c r="M1242" s="5" t="inlineStr"/>
      <c r="N1242" s="5" t="inlineStr"/>
      <c r="O1242" s="6" t="inlineStr"/>
      <c r="P1242" s="6" t="inlineStr"/>
      <c r="Q1242" s="5" t="inlineStr"/>
      <c r="R1242" s="5" t="inlineStr">
        <is>
          <t>hat-politika</t>
        </is>
      </c>
      <c r="S1242" s="5" t="inlineStr"/>
      <c r="T1242" s="5" t="inlineStr"/>
      <c r="U1242" s="5" t="inlineStr"/>
      <c r="V1242" s="5" t="inlineStr"/>
      <c r="W1242" s="5" t="inlineStr"/>
      <c r="X1242" s="5" t="inlineStr"/>
      <c r="Y1242" s="5" t="n">
        <v>100</v>
      </c>
      <c r="Z1242" s="6" t="inlineStr">
        <is>
          <t>Son sözü “Bu soruyu sevdim” oldu. Soruyu kimse hatırlamıyor.</t>
        </is>
      </c>
      <c r="AA1242" s="5" t="inlineStr"/>
      <c r="AB1242" s="5" t="inlineStr"/>
      <c r="AC1242" s="5" t="inlineStr"/>
      <c r="AD1242" s="5" t="inlineStr"/>
      <c r="AE1242" s="5" t="inlineStr"/>
      <c r="AF1242" s="5" t="inlineStr"/>
      <c r="AG1242" s="5" t="inlineStr"/>
      <c r="AH1242" s="5" t="inlineStr"/>
    </row>
    <row r="1243">
      <c r="A1243" s="5" t="inlineStr">
        <is>
          <t>son-soz</t>
        </is>
      </c>
      <c r="B1243" s="5" t="n">
        <v>10</v>
      </c>
      <c r="C1243" s="6" t="inlineStr">
        <is>
          <t>“Kimseye bir şey söylemedim.”</t>
        </is>
      </c>
      <c r="D1243" s="5" t="inlineStr"/>
      <c r="E1243" s="5" t="inlineStr"/>
      <c r="F1243" s="5" t="inlineStr">
        <is>
          <t>Cesaret +1</t>
        </is>
      </c>
      <c r="G1243" s="6" t="inlineStr">
        <is>
          <t>Son sözü “Kimseye bir şey söylemedim” oldu. Doğruydu.</t>
        </is>
      </c>
      <c r="H1243" s="6" t="inlineStr"/>
      <c r="I1243" s="6" t="inlineStr"/>
      <c r="J1243" s="6" t="inlineStr"/>
      <c r="K1243" s="6" t="inlineStr"/>
      <c r="L1243" s="6" t="inlineStr"/>
      <c r="M1243" s="5" t="inlineStr"/>
      <c r="N1243" s="5" t="inlineStr"/>
      <c r="O1243" s="6" t="inlineStr"/>
      <c r="P1243" s="6" t="inlineStr"/>
      <c r="Q1243" s="5" t="inlineStr"/>
      <c r="R1243" s="5" t="inlineStr">
        <is>
          <t>hat-cete</t>
        </is>
      </c>
      <c r="S1243" s="5" t="inlineStr"/>
      <c r="T1243" s="5" t="inlineStr"/>
      <c r="U1243" s="5" t="inlineStr"/>
      <c r="V1243" s="5" t="inlineStr"/>
      <c r="W1243" s="5" t="inlineStr"/>
      <c r="X1243" s="5" t="inlineStr"/>
      <c r="Y1243" s="5" t="n">
        <v>100</v>
      </c>
      <c r="Z1243" s="6" t="inlineStr">
        <is>
          <t>Son sözü “Kimseye bir şey söylemedim” oldu. Doğruydu.</t>
        </is>
      </c>
      <c r="AA1243" s="5" t="inlineStr"/>
      <c r="AB1243" s="5" t="inlineStr"/>
      <c r="AC1243" s="5" t="inlineStr"/>
      <c r="AD1243" s="5" t="inlineStr"/>
      <c r="AE1243" s="5" t="inlineStr"/>
      <c r="AF1243" s="5" t="inlineStr"/>
      <c r="AG1243" s="5" t="inlineStr"/>
      <c r="AH1243" s="5" t="inlineStr"/>
    </row>
    <row r="1244">
      <c r="A1244" s="5" t="inlineStr">
        <is>
          <t>son-soz</t>
        </is>
      </c>
      <c r="B1244" s="5" t="n">
        <v>11</v>
      </c>
      <c r="C1244" s="6" t="inlineStr">
        <is>
          <t>“Aslında bu da bir fırsattı.”</t>
        </is>
      </c>
      <c r="D1244" s="5" t="inlineStr"/>
      <c r="E1244" s="5" t="inlineStr"/>
      <c r="F1244" s="5" t="inlineStr">
        <is>
          <t>Kurnazlık +1</t>
        </is>
      </c>
      <c r="G1244" s="6" t="inlineStr">
        <is>
          <t>Son sözü “Aslında bu da bir fırsattı” oldu. Kimse yatırım yapmadı.</t>
        </is>
      </c>
      <c r="H1244" s="6" t="inlineStr"/>
      <c r="I1244" s="6" t="inlineStr"/>
      <c r="J1244" s="6" t="inlineStr"/>
      <c r="K1244" s="6" t="inlineStr"/>
      <c r="L1244" s="6" t="inlineStr"/>
      <c r="M1244" s="5" t="inlineStr"/>
      <c r="N1244" s="5" t="inlineStr"/>
      <c r="O1244" s="6" t="inlineStr"/>
      <c r="P1244" s="6" t="inlineStr"/>
      <c r="Q1244" s="5" t="inlineStr"/>
      <c r="R1244" s="5" t="inlineStr">
        <is>
          <t>hat-dolandirici</t>
        </is>
      </c>
      <c r="S1244" s="5" t="inlineStr"/>
      <c r="T1244" s="5" t="inlineStr"/>
      <c r="U1244" s="5" t="inlineStr"/>
      <c r="V1244" s="5" t="inlineStr"/>
      <c r="W1244" s="5" t="inlineStr"/>
      <c r="X1244" s="5" t="inlineStr"/>
      <c r="Y1244" s="5" t="n">
        <v>100</v>
      </c>
      <c r="Z1244" s="6" t="inlineStr">
        <is>
          <t>Son sözü “Aslında bu da bir fırsattı” oldu. Kimse yatırım yapmadı.</t>
        </is>
      </c>
      <c r="AA1244" s="5" t="inlineStr"/>
      <c r="AB1244" s="5" t="inlineStr"/>
      <c r="AC1244" s="5" t="inlineStr"/>
      <c r="AD1244" s="5" t="inlineStr"/>
      <c r="AE1244" s="5" t="inlineStr"/>
      <c r="AF1244" s="5" t="inlineStr"/>
      <c r="AG1244" s="5" t="inlineStr"/>
      <c r="AH1244" s="5" t="inlineStr"/>
    </row>
    <row r="1245">
      <c r="A1245" s="5" t="inlineStr">
        <is>
          <t>son-soz</t>
        </is>
      </c>
      <c r="B1245" s="5" t="n">
        <v>12</v>
      </c>
      <c r="C1245" s="6" t="inlineStr">
        <is>
          <t>“Kamera açık mı?”</t>
        </is>
      </c>
      <c r="D1245" s="5" t="inlineStr"/>
      <c r="E1245" s="5" t="inlineStr"/>
      <c r="F1245" s="5" t="inlineStr">
        <is>
          <t>Pişkinlik +1</t>
        </is>
      </c>
      <c r="G1245" s="6" t="inlineStr">
        <is>
          <t>Son sözü “Kamera açık mı?” oldu. Açıktı.</t>
        </is>
      </c>
      <c r="H1245" s="6" t="inlineStr"/>
      <c r="I1245" s="6" t="inlineStr"/>
      <c r="J1245" s="6" t="inlineStr"/>
      <c r="K1245" s="6" t="inlineStr"/>
      <c r="L1245" s="6" t="inlineStr"/>
      <c r="M1245" s="5" t="inlineStr"/>
      <c r="N1245" s="5" t="inlineStr"/>
      <c r="O1245" s="6" t="inlineStr"/>
      <c r="P1245" s="6" t="inlineStr"/>
      <c r="Q1245" s="5" t="inlineStr"/>
      <c r="R1245" s="5" t="inlineStr">
        <is>
          <t>hat-sohret</t>
        </is>
      </c>
      <c r="S1245" s="5" t="inlineStr"/>
      <c r="T1245" s="5" t="inlineStr"/>
      <c r="U1245" s="5" t="inlineStr"/>
      <c r="V1245" s="5" t="inlineStr"/>
      <c r="W1245" s="5" t="inlineStr"/>
      <c r="X1245" s="5" t="inlineStr"/>
      <c r="Y1245" s="5" t="n">
        <v>100</v>
      </c>
      <c r="Z1245" s="6" t="inlineStr">
        <is>
          <t>Son sözü “Kamera açık mı?” oldu. Açıktı.</t>
        </is>
      </c>
      <c r="AA1245" s="5" t="inlineStr"/>
      <c r="AB1245" s="5" t="inlineStr"/>
      <c r="AC1245" s="5" t="inlineStr"/>
      <c r="AD1245" s="5" t="inlineStr"/>
      <c r="AE1245" s="5" t="inlineStr"/>
      <c r="AF1245" s="5" t="inlineStr"/>
      <c r="AG1245" s="5" t="inlineStr"/>
      <c r="AH1245" s="5" t="inlineStr"/>
    </row>
    <row r="1246">
      <c r="A1246" s="5" t="inlineStr">
        <is>
          <t>son-soz</t>
        </is>
      </c>
      <c r="B1246" s="5" t="n">
        <v>13</v>
      </c>
      <c r="C1246" s="6" t="inlineStr">
        <is>
          <t>“Yatırım tavsiyesi değildir.”</t>
        </is>
      </c>
      <c r="D1246" s="5" t="inlineStr"/>
      <c r="E1246" s="5" t="inlineStr"/>
      <c r="F1246" s="5" t="inlineStr">
        <is>
          <t>Akıl +1</t>
        </is>
      </c>
      <c r="G1246" s="6" t="inlineStr">
        <is>
          <t>Son sözü “Yatırım tavsiyesi değildir” oldu. Hukuk departmanı rahatladı.</t>
        </is>
      </c>
      <c r="H1246" s="6" t="inlineStr"/>
      <c r="I1246" s="6" t="inlineStr"/>
      <c r="J1246" s="6" t="inlineStr"/>
      <c r="K1246" s="6" t="inlineStr"/>
      <c r="L1246" s="6" t="inlineStr"/>
      <c r="M1246" s="5" t="inlineStr"/>
      <c r="N1246" s="5" t="inlineStr"/>
      <c r="O1246" s="6" t="inlineStr"/>
      <c r="P1246" s="6" t="inlineStr"/>
      <c r="Q1246" s="5" t="inlineStr"/>
      <c r="R1246" s="5" t="inlineStr">
        <is>
          <t>hat-girisimci</t>
        </is>
      </c>
      <c r="S1246" s="5" t="inlineStr"/>
      <c r="T1246" s="5" t="inlineStr"/>
      <c r="U1246" s="5" t="inlineStr"/>
      <c r="V1246" s="5" t="inlineStr"/>
      <c r="W1246" s="5" t="inlineStr"/>
      <c r="X1246" s="5" t="inlineStr"/>
      <c r="Y1246" s="5" t="n">
        <v>100</v>
      </c>
      <c r="Z1246" s="6" t="inlineStr">
        <is>
          <t>Son sözü “Yatırım tavsiyesi değildir” oldu. Hukuk departmanı rahatladı.</t>
        </is>
      </c>
      <c r="AA1246" s="5" t="inlineStr"/>
      <c r="AB1246" s="5" t="inlineStr"/>
      <c r="AC1246" s="5" t="inlineStr"/>
      <c r="AD1246" s="5" t="inlineStr"/>
      <c r="AE1246" s="5" t="inlineStr"/>
      <c r="AF1246" s="5" t="inlineStr"/>
      <c r="AG1246" s="5" t="inlineStr"/>
      <c r="AH1246" s="5" t="inlineStr"/>
    </row>
    <row r="1247">
      <c r="A1247" s="5" t="inlineStr">
        <is>
          <t>son-soz</t>
        </is>
      </c>
      <c r="B1247" s="5" t="n">
        <v>14</v>
      </c>
      <c r="C1247" s="6" t="inlineStr">
        <is>
          <t>“Hangi dilde söyleyeyim?”</t>
        </is>
      </c>
      <c r="D1247" s="5" t="inlineStr"/>
      <c r="E1247" s="5" t="inlineStr"/>
      <c r="F1247" s="5" t="inlineStr">
        <is>
          <t>Sosyal Radar +1</t>
        </is>
      </c>
      <c r="G1247" s="6" t="inlineStr">
        <is>
          <t>Son sözünü iki dilde söyledi; ikisi de yarım kaldı. Anlamı tamdı.</t>
        </is>
      </c>
      <c r="H1247" s="6" t="inlineStr"/>
      <c r="I1247" s="6" t="inlineStr"/>
      <c r="J1247" s="6" t="inlineStr"/>
      <c r="K1247" s="6" t="inlineStr"/>
      <c r="L1247" s="6" t="inlineStr"/>
      <c r="M1247" s="5" t="inlineStr"/>
      <c r="N1247" s="5" t="inlineStr"/>
      <c r="O1247" s="6" t="inlineStr"/>
      <c r="P1247" s="6" t="inlineStr"/>
      <c r="Q1247" s="5" t="inlineStr"/>
      <c r="R1247" s="5" t="inlineStr">
        <is>
          <t>hat-goc</t>
        </is>
      </c>
      <c r="S1247" s="5" t="inlineStr"/>
      <c r="T1247" s="5" t="inlineStr"/>
      <c r="U1247" s="5" t="inlineStr"/>
      <c r="V1247" s="5" t="inlineStr"/>
      <c r="W1247" s="5" t="inlineStr"/>
      <c r="X1247" s="5" t="inlineStr"/>
      <c r="Y1247" s="5" t="n">
        <v>100</v>
      </c>
      <c r="Z1247" s="6" t="inlineStr">
        <is>
          <t>Son sözünü iki dilde söyledi; ikisi de yarım kaldı. Anlamı tamdı.</t>
        </is>
      </c>
      <c r="AA1247" s="5" t="inlineStr"/>
      <c r="AB1247" s="5" t="inlineStr"/>
      <c r="AC1247" s="5" t="inlineStr"/>
      <c r="AD1247" s="5" t="inlineStr"/>
      <c r="AE1247" s="5" t="inlineStr"/>
      <c r="AF1247" s="5" t="inlineStr"/>
      <c r="AG1247" s="5" t="inlineStr"/>
      <c r="AH1247" s="5" t="inlineStr"/>
    </row>
    <row r="1248">
      <c r="A1248" s="5" t="inlineStr">
        <is>
          <t>son-soz</t>
        </is>
      </c>
      <c r="B1248" s="5" t="n">
        <v>15</v>
      </c>
      <c r="C1248" s="6" t="inlineStr">
        <is>
          <t>“Domatesleri sulayın.”</t>
        </is>
      </c>
      <c r="D1248" s="5" t="inlineStr"/>
      <c r="E1248" s="5" t="inlineStr"/>
      <c r="F1248" s="5" t="inlineStr">
        <is>
          <t>İtibar +1</t>
        </is>
      </c>
      <c r="G1248" s="6" t="inlineStr">
        <is>
          <t>Son sözü “Domatesleri sulayın” oldu. Sulandı.</t>
        </is>
      </c>
      <c r="H1248" s="6" t="inlineStr"/>
      <c r="I1248" s="6" t="inlineStr"/>
      <c r="J1248" s="6" t="inlineStr"/>
      <c r="K1248" s="6" t="inlineStr"/>
      <c r="L1248" s="6" t="inlineStr"/>
      <c r="M1248" s="5" t="inlineStr"/>
      <c r="N1248" s="5" t="inlineStr"/>
      <c r="O1248" s="6" t="inlineStr"/>
      <c r="P1248" s="6" t="inlineStr"/>
      <c r="Q1248" s="5" t="inlineStr"/>
      <c r="R1248" s="5" t="inlineStr">
        <is>
          <t>hat-koy</t>
        </is>
      </c>
      <c r="S1248" s="5" t="inlineStr"/>
      <c r="T1248" s="5" t="inlineStr"/>
      <c r="U1248" s="5" t="inlineStr"/>
      <c r="V1248" s="5" t="inlineStr"/>
      <c r="W1248" s="5" t="inlineStr"/>
      <c r="X1248" s="5" t="inlineStr"/>
      <c r="Y1248" s="5" t="n">
        <v>100</v>
      </c>
      <c r="Z1248" s="6" t="inlineStr">
        <is>
          <t>Son sözü “Domatesleri sulayın” oldu. Sulandı.</t>
        </is>
      </c>
      <c r="AA1248" s="5" t="inlineStr"/>
      <c r="AB1248" s="5" t="inlineStr"/>
      <c r="AC1248" s="5" t="inlineStr"/>
      <c r="AD1248" s="5" t="inlineStr"/>
      <c r="AE1248" s="5" t="inlineStr"/>
      <c r="AF1248" s="5" t="inlineStr"/>
      <c r="AG1248" s="5" t="inlineStr"/>
      <c r="AH1248" s="5" t="inlineStr"/>
    </row>
    <row r="1249">
      <c r="A1249" s="5" t="inlineStr">
        <is>
          <t>son-soz</t>
        </is>
      </c>
      <c r="B1249" s="5" t="n">
        <v>16</v>
      </c>
      <c r="C1249" s="6" t="inlineStr">
        <is>
          <t>“O ses geçer.”</t>
        </is>
      </c>
      <c r="D1249" s="5" t="inlineStr"/>
      <c r="E1249" s="5" t="inlineStr"/>
      <c r="F1249" s="5" t="inlineStr">
        <is>
          <t>Akıl +1</t>
        </is>
      </c>
      <c r="G1249" s="6" t="inlineStr">
        <is>
          <t>Son sözü “O ses geçer” oldu. Geçti.</t>
        </is>
      </c>
      <c r="H1249" s="6" t="inlineStr"/>
      <c r="I1249" s="6" t="inlineStr"/>
      <c r="J1249" s="6" t="inlineStr"/>
      <c r="K1249" s="6" t="inlineStr"/>
      <c r="L1249" s="6" t="inlineStr"/>
      <c r="M1249" s="5" t="inlineStr"/>
      <c r="N1249" s="5" t="inlineStr"/>
      <c r="O1249" s="6" t="inlineStr"/>
      <c r="P1249" s="6" t="inlineStr"/>
      <c r="Q1249" s="5" t="inlineStr"/>
      <c r="R1249" s="5" t="inlineStr">
        <is>
          <t>hat-usta</t>
        </is>
      </c>
      <c r="S1249" s="5" t="inlineStr"/>
      <c r="T1249" s="5" t="inlineStr"/>
      <c r="U1249" s="5" t="inlineStr"/>
      <c r="V1249" s="5" t="inlineStr"/>
      <c r="W1249" s="5" t="inlineStr"/>
      <c r="X1249" s="5" t="inlineStr"/>
      <c r="Y1249" s="5" t="n">
        <v>100</v>
      </c>
      <c r="Z1249" s="6" t="inlineStr">
        <is>
          <t>Son sözü “O ses geçer” oldu. Geçti.</t>
        </is>
      </c>
      <c r="AA1249" s="5" t="inlineStr"/>
      <c r="AB1249" s="5" t="inlineStr"/>
      <c r="AC1249" s="5" t="inlineStr"/>
      <c r="AD1249" s="5" t="inlineStr"/>
      <c r="AE1249" s="5" t="inlineStr"/>
      <c r="AF1249" s="5" t="inlineStr"/>
      <c r="AG1249" s="5" t="inlineStr"/>
      <c r="AH1249" s="5" t="inlineStr"/>
    </row>
    <row r="1250">
      <c r="A1250" s="5" t="inlineStr">
        <is>
          <t>son-soz</t>
        </is>
      </c>
      <c r="B1250" s="5" t="n">
        <v>17</v>
      </c>
      <c r="C1250" s="6" t="inlineStr">
        <is>
          <t>“Evrakım eksiksizdi.”</t>
        </is>
      </c>
      <c r="D1250" s="5" t="inlineStr"/>
      <c r="E1250" s="5" t="inlineStr"/>
      <c r="F1250" s="5" t="inlineStr">
        <is>
          <t>Dayanıklılık +1</t>
        </is>
      </c>
      <c r="G1250" s="6" t="inlineStr">
        <is>
          <t>Son sözü “Evrakım eksiksizdi” oldu. Evrakı gerçekten eksiksizdi.</t>
        </is>
      </c>
      <c r="H1250" s="6" t="inlineStr"/>
      <c r="I1250" s="6" t="inlineStr"/>
      <c r="J1250" s="6" t="inlineStr"/>
      <c r="K1250" s="6" t="inlineStr"/>
      <c r="L1250" s="6" t="inlineStr"/>
      <c r="M1250" s="5" t="inlineStr"/>
      <c r="N1250" s="5" t="inlineStr"/>
      <c r="O1250" s="6" t="inlineStr"/>
      <c r="P1250" s="6" t="inlineStr"/>
      <c r="Q1250" s="5" t="inlineStr"/>
      <c r="R1250" s="5" t="inlineStr">
        <is>
          <t>meslek-memur</t>
        </is>
      </c>
      <c r="S1250" s="5" t="inlineStr"/>
      <c r="T1250" s="5" t="inlineStr"/>
      <c r="U1250" s="5" t="inlineStr"/>
      <c r="V1250" s="5" t="inlineStr"/>
      <c r="W1250" s="5" t="inlineStr"/>
      <c r="X1250" s="5" t="inlineStr"/>
      <c r="Y1250" s="5" t="n">
        <v>100</v>
      </c>
      <c r="Z1250" s="6" t="inlineStr">
        <is>
          <t>Son sözü “Evrakım eksiksizdi” oldu. Evrakı gerçekten eksiksizdi.</t>
        </is>
      </c>
      <c r="AA1250" s="5" t="inlineStr"/>
      <c r="AB1250" s="5" t="inlineStr"/>
      <c r="AC1250" s="5" t="inlineStr"/>
      <c r="AD1250" s="5" t="inlineStr"/>
      <c r="AE1250" s="5" t="inlineStr"/>
      <c r="AF1250" s="5" t="inlineStr"/>
      <c r="AG1250" s="5" t="inlineStr"/>
      <c r="AH1250" s="5" t="inlineStr"/>
    </row>
    <row r="1251">
      <c r="A1251" s="5" t="inlineStr">
        <is>
          <t>son-soz</t>
        </is>
      </c>
      <c r="B1251" s="5" t="n">
        <v>18</v>
      </c>
      <c r="C1251" s="6" t="inlineStr">
        <is>
          <t>“Bunu bir toplantıda konuşalım.”</t>
        </is>
      </c>
      <c r="D1251" s="5" t="inlineStr"/>
      <c r="E1251" s="5" t="inlineStr"/>
      <c r="F1251" s="5" t="inlineStr">
        <is>
          <t>Çene +1</t>
        </is>
      </c>
      <c r="G1251" s="6" t="inlineStr">
        <is>
          <t>Son sözü “Bunu bir toplantıda konuşalım” oldu. Toplantı ertelendi.</t>
        </is>
      </c>
      <c r="H1251" s="6" t="inlineStr"/>
      <c r="I1251" s="6" t="inlineStr"/>
      <c r="J1251" s="6" t="inlineStr"/>
      <c r="K1251" s="6" t="inlineStr"/>
      <c r="L1251" s="6" t="inlineStr"/>
      <c r="M1251" s="5" t="inlineStr"/>
      <c r="N1251" s="5" t="inlineStr"/>
      <c r="O1251" s="6" t="inlineStr"/>
      <c r="P1251" s="6" t="inlineStr"/>
      <c r="Q1251" s="5" t="inlineStr"/>
      <c r="R1251" s="5" t="inlineStr">
        <is>
          <t>meslek-beyazyaka</t>
        </is>
      </c>
      <c r="S1251" s="5" t="inlineStr"/>
      <c r="T1251" s="5" t="inlineStr"/>
      <c r="U1251" s="5" t="inlineStr"/>
      <c r="V1251" s="5" t="inlineStr"/>
      <c r="W1251" s="5" t="inlineStr"/>
      <c r="X1251" s="5" t="inlineStr"/>
      <c r="Y1251" s="5" t="n">
        <v>100</v>
      </c>
      <c r="Z1251" s="6" t="inlineStr">
        <is>
          <t>Son sözü “Bunu bir toplantıda konuşalım” oldu. Toplantı ertelendi.</t>
        </is>
      </c>
      <c r="AA1251" s="5" t="inlineStr"/>
      <c r="AB1251" s="5" t="inlineStr"/>
      <c r="AC1251" s="5" t="inlineStr"/>
      <c r="AD1251" s="5" t="inlineStr"/>
      <c r="AE1251" s="5" t="inlineStr"/>
      <c r="AF1251" s="5" t="inlineStr"/>
      <c r="AG1251" s="5" t="inlineStr"/>
      <c r="AH1251" s="5" t="inlineStr"/>
    </row>
    <row r="1252">
      <c r="A1252" s="5" t="inlineStr">
        <is>
          <t>son-soz</t>
        </is>
      </c>
      <c r="B1252" s="5" t="n">
        <v>19</v>
      </c>
      <c r="C1252" s="6" t="inlineStr">
        <is>
          <t>“Veresiye defteri üst rafta.”</t>
        </is>
      </c>
      <c r="D1252" s="5" t="inlineStr"/>
      <c r="E1252" s="5" t="inlineStr"/>
      <c r="F1252" s="5" t="inlineStr">
        <is>
          <t>Kurnazlık +1</t>
        </is>
      </c>
      <c r="G1252" s="6" t="inlineStr">
        <is>
          <t>Son sözü “Veresiye defteri üst rafta” oldu. Defter bulundu; tahsilat sürüyor.</t>
        </is>
      </c>
      <c r="H1252" s="6" t="inlineStr"/>
      <c r="I1252" s="6" t="inlineStr"/>
      <c r="J1252" s="6" t="inlineStr"/>
      <c r="K1252" s="6" t="inlineStr"/>
      <c r="L1252" s="6" t="inlineStr"/>
      <c r="M1252" s="5" t="inlineStr"/>
      <c r="N1252" s="5" t="inlineStr"/>
      <c r="O1252" s="6" t="inlineStr"/>
      <c r="P1252" s="6" t="inlineStr"/>
      <c r="Q1252" s="5" t="inlineStr"/>
      <c r="R1252" s="5" t="inlineStr">
        <is>
          <t>meslek-esnaf</t>
        </is>
      </c>
      <c r="S1252" s="5" t="inlineStr"/>
      <c r="T1252" s="5" t="inlineStr"/>
      <c r="U1252" s="5" t="inlineStr"/>
      <c r="V1252" s="5" t="inlineStr"/>
      <c r="W1252" s="5" t="inlineStr"/>
      <c r="X1252" s="5" t="inlineStr"/>
      <c r="Y1252" s="5" t="n">
        <v>100</v>
      </c>
      <c r="Z1252" s="6" t="inlineStr">
        <is>
          <t>Son sözü “Veresiye defteri üst rafta” oldu. Defter bulundu; tahsilat sürüyor.</t>
        </is>
      </c>
      <c r="AA1252" s="5" t="inlineStr"/>
      <c r="AB1252" s="5" t="inlineStr"/>
      <c r="AC1252" s="5" t="inlineStr"/>
      <c r="AD1252" s="5" t="inlineStr"/>
      <c r="AE1252" s="5" t="inlineStr"/>
      <c r="AF1252" s="5" t="inlineStr"/>
      <c r="AG1252" s="5" t="inlineStr"/>
      <c r="AH1252" s="5" t="inlineStr"/>
    </row>
    <row r="1253">
      <c r="A1253" s="5" t="inlineStr">
        <is>
          <t>son-soz</t>
        </is>
      </c>
      <c r="B1253" s="5" t="n">
        <v>20</v>
      </c>
      <c r="C1253" s="6" t="inlineStr">
        <is>
          <t>“Son revizyon buydu, söz.”</t>
        </is>
      </c>
      <c r="D1253" s="5" t="inlineStr"/>
      <c r="E1253" s="5" t="inlineStr"/>
      <c r="F1253" s="5" t="inlineStr">
        <is>
          <t>Pişkinlik +1</t>
        </is>
      </c>
      <c r="G1253" s="6" t="inlineStr">
        <is>
          <t>Son sözü “Son revizyon buydu, söz” oldu. Bu sefer gerçekten öyleydi.</t>
        </is>
      </c>
      <c r="H1253" s="6" t="inlineStr"/>
      <c r="I1253" s="6" t="inlineStr"/>
      <c r="J1253" s="6" t="inlineStr"/>
      <c r="K1253" s="6" t="inlineStr"/>
      <c r="L1253" s="6" t="inlineStr"/>
      <c r="M1253" s="5" t="inlineStr"/>
      <c r="N1253" s="5" t="inlineStr"/>
      <c r="O1253" s="6" t="inlineStr"/>
      <c r="P1253" s="6" t="inlineStr"/>
      <c r="Q1253" s="5" t="inlineStr"/>
      <c r="R1253" s="5" t="inlineStr">
        <is>
          <t>meslek-serbest</t>
        </is>
      </c>
      <c r="S1253" s="5" t="inlineStr"/>
      <c r="T1253" s="5" t="inlineStr"/>
      <c r="U1253" s="5" t="inlineStr"/>
      <c r="V1253" s="5" t="inlineStr"/>
      <c r="W1253" s="5" t="inlineStr"/>
      <c r="X1253" s="5" t="inlineStr"/>
      <c r="Y1253" s="5" t="n">
        <v>100</v>
      </c>
      <c r="Z1253" s="6" t="inlineStr">
        <is>
          <t>Son sözü “Son revizyon buydu, söz” oldu. Bu sefer gerçekten öyleydi.</t>
        </is>
      </c>
      <c r="AA1253" s="5" t="inlineStr"/>
      <c r="AB1253" s="5" t="inlineStr"/>
      <c r="AC1253" s="5" t="inlineStr"/>
      <c r="AD1253" s="5" t="inlineStr"/>
      <c r="AE1253" s="5" t="inlineStr"/>
      <c r="AF1253" s="5" t="inlineStr"/>
      <c r="AG1253" s="5" t="inlineStr"/>
      <c r="AH1253" s="5" t="inlineStr"/>
    </row>
    <row r="1254">
      <c r="A1254" s="5" t="inlineStr">
        <is>
          <t>son-soz</t>
        </is>
      </c>
      <c r="B1254" s="5" t="n">
        <v>21</v>
      </c>
      <c r="C1254" s="6" t="inlineStr">
        <is>
          <t>“Dördüncü koğuşun tavla şampiyonuydum.”</t>
        </is>
      </c>
      <c r="D1254" s="5" t="inlineStr"/>
      <c r="E1254" s="5" t="inlineStr"/>
      <c r="F1254" s="5" t="inlineStr">
        <is>
          <t>Pişkinlik +1</t>
        </is>
      </c>
      <c r="G1254" s="6" t="inlineStr">
        <is>
          <t>Son sözü “Dördüncü koğuşun tavla şampiyonuydum” oldu. Kimse itiraz etmedi; rövanş da istenmedi.</t>
        </is>
      </c>
      <c r="H1254" s="6" t="inlineStr"/>
      <c r="I1254" s="6" t="inlineStr"/>
      <c r="J1254" s="6" t="inlineStr"/>
      <c r="K1254" s="6" t="inlineStr"/>
      <c r="L1254" s="6" t="inlineStr"/>
      <c r="M1254" s="5" t="inlineStr"/>
      <c r="N1254" s="5" t="inlineStr"/>
      <c r="O1254" s="6" t="inlineStr"/>
      <c r="P1254" s="6" t="inlineStr"/>
      <c r="Q1254" s="5" t="inlineStr"/>
      <c r="R1254" s="5" t="inlineStr">
        <is>
          <t>eski-hukumlu</t>
        </is>
      </c>
      <c r="S1254" s="5" t="inlineStr"/>
      <c r="T1254" s="5" t="inlineStr"/>
      <c r="U1254" s="5" t="inlineStr"/>
      <c r="V1254" s="5" t="inlineStr"/>
      <c r="W1254" s="5" t="inlineStr"/>
      <c r="X1254" s="5" t="inlineStr"/>
      <c r="Y1254" s="5" t="n">
        <v>100</v>
      </c>
      <c r="Z1254" s="6" t="inlineStr">
        <is>
          <t>Son sözü “Dördüncü koğuşun tavla şampiyonuydum” oldu. Kimse itiraz etmedi; rövanş da istenmedi.</t>
        </is>
      </c>
      <c r="AA1254" s="5" t="inlineStr"/>
      <c r="AB1254" s="5" t="inlineStr"/>
      <c r="AC1254" s="5" t="inlineStr"/>
      <c r="AD1254" s="5" t="inlineStr"/>
      <c r="AE1254" s="5" t="inlineStr"/>
      <c r="AF1254" s="5" t="inlineStr"/>
      <c r="AG1254" s="5" t="inlineStr"/>
      <c r="AH1254" s="5" t="inlineStr"/>
    </row>
    <row r="1255">
      <c r="A1255" s="5" t="inlineStr">
        <is>
          <t>sokak-mi-ekran-mi</t>
        </is>
      </c>
      <c r="B1255" s="5" t="n">
        <v>1</v>
      </c>
      <c r="C1255" s="6" t="inlineStr">
        <is>
          <t>Sokağa koş</t>
        </is>
      </c>
      <c r="D1255" s="5" t="inlineStr">
        <is>
          <t>Cesaret</t>
        </is>
      </c>
      <c r="E1255" s="5" t="inlineStr">
        <is>
          <t>Kolay</t>
        </is>
      </c>
      <c r="F1255" s="5" t="inlineStr"/>
      <c r="G1255" s="6" t="inlineStr"/>
      <c r="H1255" s="6" t="inlineStr">
        <is>
          <t>Merdivenleri ikişer ikişer indin. Akşama kadar dizlerin yara bandı, ceplerin çakıl taşı doldu.</t>
        </is>
      </c>
      <c r="I1255" s="6" t="inlineStr">
        <is>
          <t>İlk gün kaleye geçtin, ikinci gün takım kaptanı oldun. Mahalle seni adınla çağırmaya başladı.</t>
        </is>
      </c>
      <c r="J1255" s="6" t="inlineStr">
        <is>
          <t>Aşağı indin ama oyun çoktan kurulmuştu. Kenardan izledin; yine de oradaydın.</t>
        </is>
      </c>
      <c r="K1255" s="6" t="inlineStr">
        <is>
          <t>Koşarken ayakkabının teki merdivende kaldı. Mahalleye tek ayakkabıyla giriş yaptın; lakabın hazır.</t>
        </is>
      </c>
      <c r="L1255" s="6" t="inlineStr"/>
      <c r="M1255" s="5" t="inlineStr"/>
      <c r="N1255" s="5" t="inlineStr"/>
      <c r="O1255" s="6" t="inlineStr"/>
      <c r="P1255" s="6" t="inlineStr"/>
      <c r="Q1255" s="5" t="inlineStr"/>
      <c r="R1255" s="5" t="inlineStr"/>
      <c r="S1255" s="5" t="inlineStr"/>
      <c r="T1255" s="5" t="inlineStr"/>
      <c r="U1255" s="5" t="inlineStr">
        <is>
          <t>mahalle-cocugu</t>
        </is>
      </c>
      <c r="V1255" s="5" t="inlineStr"/>
      <c r="W1255" s="5" t="inlineStr"/>
      <c r="X1255" s="5" t="inlineStr"/>
      <c r="Y1255" s="5" t="inlineStr"/>
      <c r="Z1255" s="6" t="inlineStr"/>
      <c r="AA1255" s="5" t="inlineStr"/>
      <c r="AB1255" s="5" t="inlineStr"/>
      <c r="AC1255" s="5" t="inlineStr"/>
      <c r="AD1255" s="5" t="inlineStr"/>
      <c r="AE1255" s="5" t="inlineStr"/>
      <c r="AF1255" s="5" t="inlineStr"/>
      <c r="AG1255" s="5" t="inlineStr"/>
      <c r="AH1255" s="5" t="inlineStr"/>
    </row>
    <row r="1256">
      <c r="A1256" s="5" t="inlineStr">
        <is>
          <t>sokak-mi-ekran-mi</t>
        </is>
      </c>
      <c r="B1256" s="5" t="n">
        <v>2</v>
      </c>
      <c r="C1256" s="6" t="inlineStr">
        <is>
          <t>Tableti al</t>
        </is>
      </c>
      <c r="D1256" s="5" t="inlineStr">
        <is>
          <t>Kurnazlık</t>
        </is>
      </c>
      <c r="E1256" s="5" t="inlineStr">
        <is>
          <t>Kolay</t>
        </is>
      </c>
      <c r="F1256" s="5" t="inlineStr"/>
      <c r="G1256" s="6" t="inlineStr"/>
      <c r="H1256" s="6" t="inlineStr">
        <is>
          <t>Şifreyi annenden önce öğrendin. Akşam yemeğine kadar üç oyun bitirdin, birini baştan.</t>
        </is>
      </c>
      <c r="I1256" s="6" t="inlineStr">
        <is>
          <t>Ebeveyn ayarını kimse fark etmeden değiştirdin. Ekran süresini artık sen belirliyorsun.</t>
        </is>
      </c>
      <c r="J1256" s="6" t="inlineStr">
        <is>
          <t>Tablet açıldı ama şarj seni yarı yolda bıraktı. Kabloyu bulana kadar akşam oldu.</t>
        </is>
      </c>
      <c r="K1256" s="6" t="inlineStr">
        <is>
          <t>Tableti kanepeden düşürdün. Ekranın köşesinde artık bir örümcek ağı var; her açışında hatırlıyorsun.</t>
        </is>
      </c>
      <c r="L1256" s="6" t="inlineStr"/>
      <c r="M1256" s="5" t="inlineStr"/>
      <c r="N1256" s="5" t="inlineStr"/>
      <c r="O1256" s="6" t="inlineStr"/>
      <c r="P1256" s="6" t="inlineStr"/>
      <c r="Q1256" s="5" t="inlineStr"/>
      <c r="R1256" s="5" t="inlineStr"/>
      <c r="S1256" s="5" t="inlineStr"/>
      <c r="T1256" s="5" t="inlineStr"/>
      <c r="U1256" s="5" t="inlineStr">
        <is>
          <t>ekran-cocugu</t>
        </is>
      </c>
      <c r="V1256" s="5" t="inlineStr"/>
      <c r="W1256" s="5" t="inlineStr"/>
      <c r="X1256" s="5" t="inlineStr"/>
      <c r="Y1256" s="5" t="inlineStr"/>
      <c r="Z1256" s="6" t="inlineStr"/>
      <c r="AA1256" s="5" t="inlineStr"/>
      <c r="AB1256" s="5" t="inlineStr"/>
      <c r="AC1256" s="5" t="inlineStr"/>
      <c r="AD1256" s="5" t="inlineStr"/>
      <c r="AE1256" s="5" t="inlineStr"/>
      <c r="AF1256" s="5" t="inlineStr"/>
      <c r="AG1256" s="5" t="inlineStr"/>
      <c r="AH1256" s="5" t="inlineStr"/>
    </row>
    <row r="1257">
      <c r="A1257" s="5" t="inlineStr">
        <is>
          <t>sokak-mi-ekran-mi</t>
        </is>
      </c>
      <c r="B1257" s="5" t="n">
        <v>3</v>
      </c>
      <c r="C1257" s="6" t="inlineStr">
        <is>
          <t>Tableti sokağa indir</t>
        </is>
      </c>
      <c r="D1257" s="5" t="inlineStr">
        <is>
          <t>Pişkinlik</t>
        </is>
      </c>
      <c r="E1257" s="5" t="inlineStr">
        <is>
          <t>Zor</t>
        </is>
      </c>
      <c r="F1257" s="5" t="inlineStr"/>
      <c r="G1257" s="6" t="inlineStr"/>
      <c r="H1257" s="6" t="inlineStr">
        <is>
          <t>Tableti aşağı indirdin; mahalle bir anda seyirciye dönüştü. Hem sokağın hem ekranın çocuğusun.</t>
        </is>
      </c>
      <c r="I1257" s="6" t="inlineStr">
        <is>
          <t>Tabletle mahallede oyun turnuvası kurdun. Giriş ücreti bir bisküvi, sıra hep sende.</t>
        </is>
      </c>
      <c r="J1257" s="6" t="inlineStr">
        <is>
          <t>Tableti indirdin ama güneş ekranı okunmaz yaptı. Herkes topa döndü, sen de.</t>
        </is>
      </c>
      <c r="K1257" s="6" t="inlineStr">
        <is>
          <t>Tablet top gibi elden ele dolaştı. Sonunda bir kedinin altında bulundu; kedi memnundu.</t>
        </is>
      </c>
      <c r="L1257" s="6" t="inlineStr"/>
      <c r="M1257" s="5" t="inlineStr"/>
      <c r="N1257" s="5" t="inlineStr"/>
      <c r="O1257" s="6" t="inlineStr"/>
      <c r="P1257" s="6" t="inlineStr"/>
      <c r="Q1257" s="5" t="inlineStr"/>
      <c r="R1257" s="5" t="inlineStr"/>
      <c r="S1257" s="5" t="inlineStr"/>
      <c r="T1257" s="5" t="inlineStr"/>
      <c r="U1257" s="5" t="inlineStr">
        <is>
          <t>mahalle-cocugu</t>
        </is>
      </c>
      <c r="V1257" s="5" t="inlineStr">
        <is>
          <t>ekran-cocugu</t>
        </is>
      </c>
      <c r="W1257" s="5" t="inlineStr"/>
      <c r="X1257" s="5" t="inlineStr"/>
      <c r="Y1257" s="5" t="inlineStr"/>
      <c r="Z1257" s="6" t="inlineStr"/>
      <c r="AA1257" s="5" t="inlineStr"/>
      <c r="AB1257" s="5" t="inlineStr"/>
      <c r="AC1257" s="5" t="inlineStr"/>
      <c r="AD1257" s="5" t="inlineStr"/>
      <c r="AE1257" s="5" t="inlineStr"/>
      <c r="AF1257" s="5" t="inlineStr"/>
      <c r="AG1257" s="5" t="inlineStr"/>
      <c r="AH1257" s="5" t="inlineStr"/>
    </row>
    <row r="1258">
      <c r="A1258" s="5" t="inlineStr">
        <is>
          <t>sokak-mi-ekran-mi</t>
        </is>
      </c>
      <c r="B1258" s="5" t="n">
        <v>4</v>
      </c>
      <c r="C1258" s="6" t="inlineStr">
        <is>
          <t>Pencereden ikisini de izle</t>
        </is>
      </c>
      <c r="D1258" s="5" t="inlineStr"/>
      <c r="E1258" s="5" t="inlineStr"/>
      <c r="F1258" s="5" t="inlineStr">
        <is>
          <t>Sosyal Radar +1</t>
        </is>
      </c>
      <c r="G1258" s="6" t="inlineStr">
        <is>
          <t>Pencerede durup hem sokağı hem ekranı izledin. İkisine de katılmadın ama ikisini de anlatabilirsin.</t>
        </is>
      </c>
      <c r="H1258" s="6" t="inlineStr"/>
      <c r="I1258" s="6" t="inlineStr"/>
      <c r="J1258" s="6" t="inlineStr"/>
      <c r="K1258" s="6" t="inlineStr"/>
      <c r="L1258" s="6" t="inlineStr"/>
      <c r="M1258" s="5" t="inlineStr"/>
      <c r="N1258" s="5" t="inlineStr"/>
      <c r="O1258" s="6" t="inlineStr"/>
      <c r="P1258" s="6" t="inlineStr"/>
      <c r="Q1258" s="5" t="inlineStr"/>
      <c r="R1258" s="5" t="inlineStr"/>
      <c r="S1258" s="5" t="inlineStr"/>
      <c r="T1258" s="5" t="inlineStr"/>
      <c r="U1258" s="5" t="inlineStr"/>
      <c r="V1258" s="5" t="inlineStr"/>
      <c r="W1258" s="5" t="inlineStr"/>
      <c r="X1258" s="5" t="inlineStr"/>
      <c r="Y1258" s="5" t="inlineStr"/>
      <c r="Z1258" s="6" t="inlineStr"/>
      <c r="AA1258" s="5" t="inlineStr"/>
      <c r="AB1258" s="5" t="inlineStr"/>
      <c r="AC1258" s="5" t="inlineStr"/>
      <c r="AD1258" s="5" t="inlineStr"/>
      <c r="AE1258" s="5" t="inlineStr"/>
      <c r="AF1258" s="5" t="inlineStr"/>
      <c r="AG1258" s="5" t="inlineStr"/>
      <c r="AH1258" s="5" t="inlineStr"/>
    </row>
    <row r="1259">
      <c r="A1259" s="5" t="inlineStr">
        <is>
          <t>b5-sehir-secimi</t>
        </is>
      </c>
      <c r="B1259" s="5" t="n">
        <v>1</v>
      </c>
      <c r="C1259" s="6" t="inlineStr">
        <is>
          <t>Başka şehri yaz</t>
        </is>
      </c>
      <c r="D1259" s="5" t="inlineStr"/>
      <c r="E1259" s="5" t="inlineStr"/>
      <c r="F1259" s="5" t="inlineStr">
        <is>
          <t>Cesaret +1, Dayanıklılık +1</t>
        </is>
      </c>
      <c r="G1259" s="6" t="inlineStr">
        <is>
          <t>Başka şehri yazdın. Annen valize üç kavanoz reçel ve bir yorgan sıkıştırdı. Yorgan valize sığdı; sen yurda sığacak mısın, bakacağız.</t>
        </is>
      </c>
      <c r="H1259" s="6" t="inlineStr"/>
      <c r="I1259" s="6" t="inlineStr"/>
      <c r="J1259" s="6" t="inlineStr"/>
      <c r="K1259" s="6" t="inlineStr"/>
      <c r="L1259" s="6" t="inlineStr"/>
      <c r="M1259" s="5" t="inlineStr"/>
      <c r="N1259" s="5" t="inlineStr"/>
      <c r="O1259" s="6" t="inlineStr"/>
      <c r="P1259" s="6" t="inlineStr"/>
      <c r="Q1259" s="5" t="inlineStr"/>
      <c r="R1259" s="5" t="inlineStr"/>
      <c r="S1259" s="5" t="inlineStr"/>
      <c r="T1259" s="5" t="inlineStr"/>
      <c r="U1259" s="5" t="inlineStr">
        <is>
          <t>baska-sehir</t>
        </is>
      </c>
      <c r="V1259" s="5" t="inlineStr"/>
      <c r="W1259" s="5" t="inlineStr"/>
      <c r="X1259" s="5" t="inlineStr"/>
      <c r="Y1259" s="5" t="inlineStr"/>
      <c r="Z1259" s="6" t="inlineStr"/>
      <c r="AA1259" s="5" t="inlineStr">
        <is>
          <t>Keskin -1, Yalçın -1, Şen -1, Tan +1, Erdem +1</t>
        </is>
      </c>
      <c r="AB1259" s="5" t="inlineStr"/>
      <c r="AC1259" s="5" t="inlineStr"/>
      <c r="AD1259" s="5" t="inlineStr"/>
      <c r="AE1259" s="5" t="inlineStr"/>
      <c r="AF1259" s="5" t="inlineStr"/>
      <c r="AG1259" s="5" t="inlineStr"/>
      <c r="AH1259" s="5" t="inlineStr"/>
    </row>
    <row r="1260">
      <c r="A1260" s="5" t="inlineStr">
        <is>
          <t>b5-sehir-secimi</t>
        </is>
      </c>
      <c r="B1260" s="5" t="n">
        <v>2</v>
      </c>
      <c r="C1260" s="6" t="inlineStr">
        <is>
          <t>Evden gidebileceğin okulu yaz</t>
        </is>
      </c>
      <c r="D1260" s="5" t="inlineStr"/>
      <c r="E1260" s="5" t="inlineStr"/>
      <c r="F1260" s="5" t="inlineStr">
        <is>
          <t>İtibar +1, Kurnazlık +1</t>
        </is>
      </c>
      <c r="G1260" s="6" t="inlineStr">
        <is>
          <t>Aynı şehri yazdın. Üniversitelisin ama sokağa çıkma saatin hâlâ 22:00. Buzdolabı en büyük bursun.</t>
        </is>
      </c>
      <c r="H1260" s="6" t="inlineStr"/>
      <c r="I1260" s="6" t="inlineStr"/>
      <c r="J1260" s="6" t="inlineStr"/>
      <c r="K1260" s="6" t="inlineStr"/>
      <c r="L1260" s="6" t="inlineStr"/>
      <c r="M1260" s="5" t="inlineStr"/>
      <c r="N1260" s="5" t="inlineStr"/>
      <c r="O1260" s="6" t="inlineStr"/>
      <c r="P1260" s="6" t="inlineStr"/>
      <c r="Q1260" s="5" t="inlineStr"/>
      <c r="R1260" s="5" t="inlineStr"/>
      <c r="S1260" s="5" t="inlineStr"/>
      <c r="T1260" s="5" t="inlineStr"/>
      <c r="U1260" s="5" t="inlineStr">
        <is>
          <t>ayni-sehir</t>
        </is>
      </c>
      <c r="V1260" s="5" t="inlineStr"/>
      <c r="W1260" s="5" t="inlineStr"/>
      <c r="X1260" s="5" t="inlineStr"/>
      <c r="Y1260" s="5" t="inlineStr"/>
      <c r="Z1260" s="6" t="inlineStr"/>
      <c r="AA1260" s="5" t="inlineStr">
        <is>
          <t>Şen +1, Yalçın +1</t>
        </is>
      </c>
      <c r="AB1260" s="5" t="inlineStr"/>
      <c r="AC1260" s="5" t="inlineStr"/>
      <c r="AD1260" s="5" t="inlineStr"/>
      <c r="AE1260" s="5" t="inlineStr"/>
      <c r="AF1260" s="5" t="inlineStr"/>
      <c r="AG1260" s="5" t="inlineStr"/>
      <c r="AH1260" s="5" t="inlineStr"/>
    </row>
    <row r="1261">
      <c r="A1261" s="5" t="inlineStr">
        <is>
          <t>b5-sehir-secimi</t>
        </is>
      </c>
      <c r="B1261" s="5" t="n">
        <v>3</v>
      </c>
      <c r="C1261" s="6" t="inlineStr">
        <is>
          <t>Kura çek</t>
        </is>
      </c>
      <c r="D1261" s="5" t="inlineStr">
        <is>
          <t>Pişkinlik</t>
        </is>
      </c>
      <c r="E1261" s="5" t="inlineStr">
        <is>
          <t>Orta</t>
        </is>
      </c>
      <c r="F1261" s="5" t="inlineStr"/>
      <c r="G1261" s="6" t="inlineStr"/>
      <c r="H1261" s="6" t="inlineStr">
        <is>
          <t>Kura başka şehri gösterdi. Kararı sen vermedin, ailen de itiraz edemedi. Demokrasi.</t>
        </is>
      </c>
      <c r="I1261" s="6" t="inlineStr">
        <is>
          <t>Kura başka şehri gösterdi; ailen buna “kader” dedi ve yurt masrafını dayına kitledi.</t>
        </is>
      </c>
      <c r="J1261" s="6" t="inlineStr">
        <is>
          <t>Kura evi gösterdi. Kaderle tartışmadın; kader zaten annenin tarafındaydı.</t>
        </is>
      </c>
      <c r="K1261" s="6" t="inlineStr">
        <is>
          <t>Kurayı çekerken fark ettin: kâğıtları annen hazırlamıştı. İkisinde de aynı şehir yazıyordu.</t>
        </is>
      </c>
      <c r="L1261" s="6" t="inlineStr"/>
      <c r="M1261" s="5" t="inlineStr"/>
      <c r="N1261" s="5" t="inlineStr"/>
      <c r="O1261" s="6" t="inlineStr"/>
      <c r="P1261" s="6" t="inlineStr"/>
      <c r="Q1261" s="5" t="inlineStr"/>
      <c r="R1261" s="5" t="inlineStr"/>
      <c r="S1261" s="5" t="inlineStr"/>
      <c r="T1261" s="5" t="inlineStr"/>
      <c r="U1261" s="5" t="inlineStr"/>
      <c r="V1261" s="5" t="inlineStr">
        <is>
          <t>baska-sehir</t>
        </is>
      </c>
      <c r="W1261" s="5" t="inlineStr"/>
      <c r="X1261" s="5" t="inlineStr"/>
      <c r="Y1261" s="5" t="inlineStr"/>
      <c r="Z1261" s="6" t="inlineStr"/>
      <c r="AA1261" s="5" t="inlineStr"/>
      <c r="AB1261" s="5" t="inlineStr">
        <is>
          <t>ayni-sehir</t>
        </is>
      </c>
      <c r="AC1261" s="5" t="inlineStr"/>
      <c r="AD1261" s="5" t="inlineStr"/>
      <c r="AE1261" s="5" t="inlineStr"/>
      <c r="AF1261" s="5" t="inlineStr"/>
      <c r="AG1261" s="5" t="inlineStr"/>
      <c r="AH1261" s="5" t="inlineStr"/>
    </row>
    <row r="1262">
      <c r="A1262" s="5" t="inlineStr">
        <is>
          <t>b5-kazanamayinca</t>
        </is>
      </c>
      <c r="B1262" s="5" t="n">
        <v>1</v>
      </c>
      <c r="C1262" s="6" t="inlineStr">
        <is>
          <t>Mezuna kal, bir yıl daha</t>
        </is>
      </c>
      <c r="D1262" s="5" t="inlineStr"/>
      <c r="E1262" s="5" t="inlineStr"/>
      <c r="F1262" s="5" t="inlineStr">
        <is>
          <t>Dayanıklılık +1, Akıl +1</t>
        </is>
      </c>
      <c r="G1262" s="6" t="inlineStr">
        <is>
          <t>Bir yıl daha dershaneye yazıldın. Resmî unvanın artık “mezun”; kimliğinde yazmıyor ama herkes biliyor.</t>
        </is>
      </c>
      <c r="H1262" s="6" t="inlineStr"/>
      <c r="I1262" s="6" t="inlineStr"/>
      <c r="J1262" s="6" t="inlineStr"/>
      <c r="K1262" s="6" t="inlineStr"/>
      <c r="L1262" s="6" t="inlineStr"/>
      <c r="M1262" s="5" t="inlineStr"/>
      <c r="N1262" s="5" t="inlineStr"/>
      <c r="O1262" s="6" t="inlineStr"/>
      <c r="P1262" s="6" t="inlineStr"/>
      <c r="Q1262" s="5" t="inlineStr"/>
      <c r="R1262" s="5" t="inlineStr"/>
      <c r="S1262" s="5" t="inlineStr"/>
      <c r="T1262" s="5" t="inlineStr"/>
      <c r="U1262" s="5" t="inlineStr">
        <is>
          <t>mezuna-kaldi</t>
        </is>
      </c>
      <c r="V1262" s="5" t="inlineStr"/>
      <c r="W1262" s="5" t="inlineStr"/>
      <c r="X1262" s="5" t="inlineStr"/>
      <c r="Y1262" s="5" t="inlineStr"/>
      <c r="Z1262" s="6" t="inlineStr"/>
      <c r="AA1262" s="5" t="inlineStr">
        <is>
          <t>Erdem +1, Tan +1</t>
        </is>
      </c>
      <c r="AB1262" s="5" t="inlineStr"/>
      <c r="AC1262" s="5" t="inlineStr"/>
      <c r="AD1262" s="5" t="inlineStr"/>
      <c r="AE1262" s="5" t="inlineStr"/>
      <c r="AF1262" s="5" t="inlineStr"/>
      <c r="AG1262" s="5" t="inlineStr"/>
      <c r="AH1262" s="5" t="inlineStr"/>
    </row>
    <row r="1263">
      <c r="A1263" s="5" t="inlineStr">
        <is>
          <t>b5-kazanamayinca</t>
        </is>
      </c>
      <c r="B1263" s="5" t="n">
        <v>2</v>
      </c>
      <c r="C1263" s="6" t="inlineStr">
        <is>
          <t>Kuzeninin dükkânında tezgâha geç</t>
        </is>
      </c>
      <c r="D1263" s="5" t="inlineStr"/>
      <c r="E1263" s="5" t="inlineStr"/>
      <c r="F1263" s="5" t="inlineStr">
        <is>
          <t>Kurnazlık +1, Çene +1</t>
        </is>
      </c>
      <c r="G1263" s="6" t="inlineStr">
        <is>
          <t>Kuzeninin dükkânında tezgâha geçtin. İlk pazarlıkta ikinci oldun; birinci müşteriydi.</t>
        </is>
      </c>
      <c r="H1263" s="6" t="inlineStr"/>
      <c r="I1263" s="6" t="inlineStr"/>
      <c r="J1263" s="6" t="inlineStr"/>
      <c r="K1263" s="6" t="inlineStr"/>
      <c r="L1263" s="6" t="inlineStr"/>
      <c r="M1263" s="5" t="inlineStr"/>
      <c r="N1263" s="5" t="inlineStr"/>
      <c r="O1263" s="6" t="inlineStr"/>
      <c r="P1263" s="6" t="inlineStr"/>
      <c r="Q1263" s="5" t="inlineStr"/>
      <c r="R1263" s="5" t="inlineStr"/>
      <c r="S1263" s="5" t="inlineStr"/>
      <c r="T1263" s="5" t="inlineStr"/>
      <c r="U1263" s="5" t="inlineStr">
        <is>
          <t>tezgah</t>
        </is>
      </c>
      <c r="V1263" s="5" t="inlineStr"/>
      <c r="W1263" s="5" t="inlineStr"/>
      <c r="X1263" s="5" t="inlineStr"/>
      <c r="Y1263" s="5" t="inlineStr"/>
      <c r="Z1263" s="6" t="inlineStr"/>
      <c r="AA1263" s="5" t="inlineStr">
        <is>
          <t>Keskin +1, Tan -1, Erdem -1</t>
        </is>
      </c>
      <c r="AB1263" s="5" t="inlineStr"/>
      <c r="AC1263" s="5" t="inlineStr"/>
      <c r="AD1263" s="5" t="inlineStr"/>
      <c r="AE1263" s="5" t="inlineStr"/>
      <c r="AF1263" s="5" t="inlineStr"/>
      <c r="AG1263" s="5" t="inlineStr"/>
      <c r="AH1263" s="5" t="inlineStr"/>
    </row>
    <row r="1264">
      <c r="A1264" s="5" t="inlineStr">
        <is>
          <t>b5-kazanamayinca</t>
        </is>
      </c>
      <c r="B1264" s="5" t="n">
        <v>3</v>
      </c>
      <c r="C1264" s="6" t="inlineStr">
        <is>
          <t>Erken askere git</t>
        </is>
      </c>
      <c r="D1264" s="5" t="inlineStr"/>
      <c r="E1264" s="5" t="inlineStr"/>
      <c r="F1264" s="5" t="inlineStr">
        <is>
          <t>Cesaret +1, Dayanıklılık +1</t>
        </is>
      </c>
      <c r="G1264" s="6" t="inlineStr">
        <is>
          <t>Kararsızlığı çözmenin en Makaryalı yolunu seçtin: askerlik şubesine gittin. Görevli “Acelen ne?” dedi. Acelen yoktu; planın yoktu.</t>
        </is>
      </c>
      <c r="H1264" s="6" t="inlineStr"/>
      <c r="I1264" s="6" t="inlineStr"/>
      <c r="J1264" s="6" t="inlineStr"/>
      <c r="K1264" s="6" t="inlineStr"/>
      <c r="L1264" s="6" t="inlineStr"/>
      <c r="M1264" s="5" t="inlineStr"/>
      <c r="N1264" s="5" t="inlineStr"/>
      <c r="O1264" s="6" t="inlineStr"/>
      <c r="P1264" s="6" t="inlineStr"/>
      <c r="Q1264" s="5" t="inlineStr"/>
      <c r="R1264" s="5" t="inlineStr"/>
      <c r="S1264" s="5" t="inlineStr"/>
      <c r="T1264" s="5" t="inlineStr"/>
      <c r="U1264" s="5" t="inlineStr">
        <is>
          <t>erken-askerlik</t>
        </is>
      </c>
      <c r="V1264" s="5" t="inlineStr"/>
      <c r="W1264" s="5" t="inlineStr"/>
      <c r="X1264" s="5" t="inlineStr"/>
      <c r="Y1264" s="5" t="inlineStr"/>
      <c r="Z1264" s="6" t="inlineStr"/>
      <c r="AA1264" s="5" t="inlineStr"/>
      <c r="AB1264" s="5" t="inlineStr"/>
      <c r="AC1264" s="5" t="inlineStr"/>
      <c r="AD1264" s="5" t="inlineStr"/>
      <c r="AE1264" s="5" t="inlineStr"/>
      <c r="AF1264" s="5" t="inlineStr"/>
      <c r="AG1264" s="5" t="inlineStr"/>
      <c r="AH1264" s="5" t="inlineStr"/>
    </row>
    <row r="1265">
      <c r="A1265" s="5" t="inlineStr">
        <is>
          <t>b5-kazanamayinca</t>
        </is>
      </c>
      <c r="B1265" s="5" t="n">
        <v>4</v>
      </c>
      <c r="C1265" s="6" t="inlineStr">
        <is>
          <t>Abinin yanında işe başla</t>
        </is>
      </c>
      <c r="D1265" s="5" t="inlineStr"/>
      <c r="E1265" s="5" t="inlineStr"/>
      <c r="F1265" s="5" t="inlineStr">
        <is>
          <t>Pişkinlik +1</t>
        </is>
      </c>
      <c r="G1265" s="6" t="inlineStr">
        <is>
          <t>Abi “Sende iş var” dedi. İlk görevin çay taşımaktı; bardaklar sayılıyordu.</t>
        </is>
      </c>
      <c r="H1265" s="6" t="inlineStr"/>
      <c r="I1265" s="6" t="inlineStr"/>
      <c r="J1265" s="6" t="inlineStr"/>
      <c r="K1265" s="6" t="inlineStr"/>
      <c r="L1265" s="6" t="inlineStr"/>
      <c r="M1265" s="5" t="inlineStr"/>
      <c r="N1265" s="5" t="inlineStr"/>
      <c r="O1265" s="6" t="inlineStr"/>
      <c r="P1265" s="6" t="inlineStr"/>
      <c r="Q1265" s="5" t="inlineStr"/>
      <c r="R1265" s="5" t="inlineStr">
        <is>
          <t>mahalle-abileri</t>
        </is>
      </c>
      <c r="S1265" s="5" t="inlineStr"/>
      <c r="T1265" s="5" t="inlineStr"/>
      <c r="U1265" s="5" t="inlineStr">
        <is>
          <t>abinin-adami</t>
        </is>
      </c>
      <c r="V1265" s="5" t="inlineStr"/>
      <c r="W1265" s="5" t="inlineStr"/>
      <c r="X1265" s="5" t="inlineStr"/>
      <c r="Y1265" s="5" t="inlineStr"/>
      <c r="Z1265" s="6" t="inlineStr"/>
      <c r="AA1265" s="5" t="inlineStr">
        <is>
          <t>hepsi -1</t>
        </is>
      </c>
      <c r="AB1265" s="5" t="inlineStr"/>
      <c r="AC1265" s="5" t="inlineStr"/>
      <c r="AD1265" s="5" t="inlineStr"/>
      <c r="AE1265" s="5" t="inlineStr"/>
      <c r="AF1265" s="5" t="inlineStr"/>
      <c r="AG1265" s="5" t="inlineStr"/>
      <c r="AH1265" s="5" t="inlineStr"/>
    </row>
    <row r="1266">
      <c r="A1266" s="5" t="inlineStr">
        <is>
          <t>b5-havalimani</t>
        </is>
      </c>
      <c r="B1266" s="5" t="n">
        <v>1</v>
      </c>
      <c r="C1266" s="6" t="inlineStr">
        <is>
          <t>Herkesle tek tek vedalaş</t>
        </is>
      </c>
      <c r="D1266" s="5" t="inlineStr"/>
      <c r="E1266" s="5" t="inlineStr"/>
      <c r="F1266" s="5" t="inlineStr">
        <is>
          <t>İtibar +1, Sosyal Radar +1</t>
        </is>
      </c>
      <c r="G1266" s="6" t="inlineStr">
        <is>
          <t>On iki akrabayla tek tek vedalaştın. Kapı kapanmak üzereyken on üçüncüsü geldi. Kim olduğunu hâlâ bilmiyorsun.</t>
        </is>
      </c>
      <c r="H1266" s="6" t="inlineStr"/>
      <c r="I1266" s="6" t="inlineStr"/>
      <c r="J1266" s="6" t="inlineStr"/>
      <c r="K1266" s="6" t="inlineStr"/>
      <c r="L1266" s="6" t="inlineStr"/>
      <c r="M1266" s="5" t="inlineStr"/>
      <c r="N1266" s="5" t="inlineStr"/>
      <c r="O1266" s="6" t="inlineStr"/>
      <c r="P1266" s="6" t="inlineStr"/>
      <c r="Q1266" s="5" t="inlineStr"/>
      <c r="R1266" s="5" t="inlineStr"/>
      <c r="S1266" s="5" t="inlineStr"/>
      <c r="T1266" s="5" t="inlineStr"/>
      <c r="U1266" s="5" t="inlineStr"/>
      <c r="V1266" s="5" t="inlineStr"/>
      <c r="W1266" s="5" t="inlineStr"/>
      <c r="X1266" s="5" t="inlineStr"/>
      <c r="Y1266" s="5" t="inlineStr"/>
      <c r="Z1266" s="6" t="inlineStr"/>
      <c r="AA1266" s="5" t="inlineStr"/>
      <c r="AB1266" s="5" t="inlineStr"/>
      <c r="AC1266" s="5" t="inlineStr"/>
      <c r="AD1266" s="5" t="inlineStr"/>
      <c r="AE1266" s="5" t="inlineStr"/>
      <c r="AF1266" s="5" t="inlineStr"/>
      <c r="AG1266" s="5" t="inlineStr"/>
      <c r="AH1266" s="5" t="inlineStr"/>
    </row>
    <row r="1267">
      <c r="A1267" s="5" t="inlineStr">
        <is>
          <t>b5-havalimani</t>
        </is>
      </c>
      <c r="B1267" s="5" t="n">
        <v>2</v>
      </c>
      <c r="C1267" s="6" t="inlineStr">
        <is>
          <t>Ağlamamaya çalış</t>
        </is>
      </c>
      <c r="D1267" s="5" t="inlineStr">
        <is>
          <t>Dayanıklılık</t>
        </is>
      </c>
      <c r="E1267" s="5" t="inlineStr">
        <is>
          <t>Orta</t>
        </is>
      </c>
      <c r="F1267" s="5" t="inlineStr"/>
      <c r="G1267" s="6" t="inlineStr"/>
      <c r="H1267" s="6" t="inlineStr">
        <is>
          <t>Ağlamadın. Pasaport kontrolünden sonra ağladın; orada seni kimse tanımıyordu.</t>
        </is>
      </c>
      <c r="I1267" s="6" t="inlineStr">
        <is>
          <t>Ağlamadın, üstüne annenin ağlamasını da durdurdun. Aile bunu “olgunluk” diye kayda geçti.</t>
        </is>
      </c>
      <c r="J1267" s="6" t="inlineStr">
        <is>
          <t>Güvenlik kontrolünde ağladın. Görevli sana mendil verdi ve çantanı yine de açtı.</t>
        </is>
      </c>
      <c r="K1267" s="6" t="inlineStr">
        <is>
          <t>Herkesten önce sen ağladın. Babaannen seni teselli etmek için uçağa binmeye kalktı.</t>
        </is>
      </c>
      <c r="L1267" s="6" t="inlineStr"/>
      <c r="M1267" s="5" t="inlineStr"/>
      <c r="N1267" s="5" t="inlineStr"/>
      <c r="O1267" s="6" t="inlineStr"/>
      <c r="P1267" s="6" t="inlineStr"/>
      <c r="Q1267" s="5" t="inlineStr"/>
      <c r="R1267" s="5" t="inlineStr"/>
      <c r="S1267" s="5" t="inlineStr"/>
      <c r="T1267" s="5" t="inlineStr"/>
      <c r="U1267" s="5" t="inlineStr"/>
      <c r="V1267" s="5" t="inlineStr"/>
      <c r="W1267" s="5" t="inlineStr"/>
      <c r="X1267" s="5" t="inlineStr"/>
      <c r="Y1267" s="5" t="inlineStr"/>
      <c r="Z1267" s="6" t="inlineStr"/>
      <c r="AA1267" s="5" t="inlineStr"/>
      <c r="AB1267" s="5" t="inlineStr"/>
      <c r="AC1267" s="5" t="inlineStr"/>
      <c r="AD1267" s="5" t="inlineStr"/>
      <c r="AE1267" s="5" t="inlineStr"/>
      <c r="AF1267" s="5" t="inlineStr"/>
      <c r="AG1267" s="5" t="inlineStr"/>
      <c r="AH1267" s="5" t="inlineStr"/>
    </row>
    <row r="1268">
      <c r="A1268" s="5" t="inlineStr">
        <is>
          <t>b5-havalimani</t>
        </is>
      </c>
      <c r="B1268" s="5" t="n">
        <v>3</v>
      </c>
      <c r="C1268" s="6" t="inlineStr">
        <is>
          <t>Reçelleri kabine sığdır</t>
        </is>
      </c>
      <c r="D1268" s="5" t="inlineStr">
        <is>
          <t>Kurnazlık</t>
        </is>
      </c>
      <c r="E1268" s="5" t="inlineStr">
        <is>
          <t>Orta</t>
        </is>
      </c>
      <c r="F1268" s="5" t="inlineStr"/>
      <c r="G1268" s="6" t="inlineStr"/>
      <c r="H1268" s="6" t="inlineStr">
        <is>
          <t>Üç kavanozu kabin sınırının altında paketledin. Öte Diyar'a Makarya'nın en tatlı kaçakçılığı yapıldı.</t>
        </is>
      </c>
      <c r="I1268" s="6" t="inlineStr">
        <is>
          <t>Reçeller sınıra tam sığdı; fazlalığı uçuş görevlisine hediye ettin. Koltuğun bir sınıf yükseldi.</t>
        </is>
      </c>
      <c r="J1268" s="6" t="inlineStr">
        <is>
          <t>Kavanozlardan biri güvenlikte kaldı. Görevli onu kendi masasına koydu.</t>
        </is>
      </c>
      <c r="K1268" s="6" t="inlineStr">
        <is>
          <t>Kavanoz valizde patladı. Öte Diyar'a vişne kokulu bir öğrenci indi.</t>
        </is>
      </c>
      <c r="L1268" s="6" t="inlineStr"/>
      <c r="M1268" s="5" t="inlineStr"/>
      <c r="N1268" s="5" t="inlineStr"/>
      <c r="O1268" s="6" t="inlineStr"/>
      <c r="P1268" s="6" t="inlineStr"/>
      <c r="Q1268" s="5" t="inlineStr"/>
      <c r="R1268" s="5" t="inlineStr"/>
      <c r="S1268" s="5" t="inlineStr"/>
      <c r="T1268" s="5" t="inlineStr"/>
      <c r="U1268" s="5" t="inlineStr"/>
      <c r="V1268" s="5" t="inlineStr"/>
      <c r="W1268" s="5" t="inlineStr"/>
      <c r="X1268" s="5" t="inlineStr"/>
      <c r="Y1268" s="5" t="inlineStr"/>
      <c r="Z1268" s="6" t="inlineStr"/>
      <c r="AA1268" s="5" t="inlineStr"/>
      <c r="AB1268" s="5" t="inlineStr"/>
      <c r="AC1268" s="5" t="inlineStr"/>
      <c r="AD1268" s="5" t="inlineStr"/>
      <c r="AE1268" s="5" t="inlineStr"/>
      <c r="AF1268" s="5" t="inlineStr"/>
      <c r="AG1268" s="5" t="inlineStr"/>
      <c r="AH1268" s="5" t="inlineStr"/>
    </row>
    <row r="1269">
      <c r="A1269" s="5" t="inlineStr">
        <is>
          <t>b5-atolye-staji</t>
        </is>
      </c>
      <c r="B1269" s="5" t="n">
        <v>1</v>
      </c>
      <c r="C1269" s="6" t="inlineStr">
        <is>
          <t>Şefi izle</t>
        </is>
      </c>
      <c r="D1269" s="5" t="inlineStr"/>
      <c r="E1269" s="5" t="inlineStr"/>
      <c r="F1269" s="5" t="inlineStr">
        <is>
          <t>Dayanıklılık +1, Sosyal Radar +1</t>
        </is>
      </c>
      <c r="G1269" s="6" t="inlineStr">
        <is>
          <t>Bir ay izledin. Şef “Gözün alışmış” dedi; atölyede bu bir ödül.</t>
        </is>
      </c>
      <c r="H1269" s="6" t="inlineStr"/>
      <c r="I1269" s="6" t="inlineStr"/>
      <c r="J1269" s="6" t="inlineStr"/>
      <c r="K1269" s="6" t="inlineStr"/>
      <c r="L1269" s="6" t="inlineStr"/>
      <c r="M1269" s="5" t="inlineStr"/>
      <c r="N1269" s="5" t="inlineStr"/>
      <c r="O1269" s="6" t="inlineStr"/>
      <c r="P1269" s="6" t="inlineStr"/>
      <c r="Q1269" s="5" t="inlineStr"/>
      <c r="R1269" s="5" t="inlineStr"/>
      <c r="S1269" s="5" t="inlineStr"/>
      <c r="T1269" s="5" t="inlineStr"/>
      <c r="U1269" s="5" t="inlineStr"/>
      <c r="V1269" s="5" t="inlineStr"/>
      <c r="W1269" s="5" t="inlineStr"/>
      <c r="X1269" s="5" t="inlineStr"/>
      <c r="Y1269" s="5" t="inlineStr"/>
      <c r="Z1269" s="6" t="inlineStr"/>
      <c r="AA1269" s="5" t="inlineStr"/>
      <c r="AB1269" s="5" t="inlineStr"/>
      <c r="AC1269" s="5" t="inlineStr"/>
      <c r="AD1269" s="5" t="inlineStr"/>
      <c r="AE1269" s="5" t="inlineStr"/>
      <c r="AF1269" s="5" t="inlineStr"/>
      <c r="AG1269" s="5" t="inlineStr"/>
      <c r="AH1269" s="5" t="inlineStr"/>
    </row>
    <row r="1270">
      <c r="A1270" s="5" t="inlineStr">
        <is>
          <t>b5-atolye-staji</t>
        </is>
      </c>
      <c r="B1270" s="5" t="n">
        <v>2</v>
      </c>
      <c r="C1270" s="6" t="inlineStr">
        <is>
          <t>Arızayı sen bul</t>
        </is>
      </c>
      <c r="D1270" s="5" t="inlineStr">
        <is>
          <t>Akıl</t>
        </is>
      </c>
      <c r="E1270" s="5" t="inlineStr">
        <is>
          <t>Orta</t>
        </is>
      </c>
      <c r="F1270" s="5" t="inlineStr"/>
      <c r="G1270" s="6" t="inlineStr"/>
      <c r="H1270" s="6" t="inlineStr">
        <is>
          <t>Şef anlatmadan arızayı buldun. Staj defterine ilk yıldızın düştü.</t>
        </is>
      </c>
      <c r="I1270" s="6" t="inlineStr">
        <is>
          <t>Arızayı buldun, parçayı değiştirdin, faturayı sen kestin. Şef seni mezuniyetten sonra işe çağırdı.</t>
        </is>
      </c>
      <c r="J1270" s="6" t="inlineStr">
        <is>
          <t>Arızayı ararken yanlış kabloyu tuttun. Işıklar bir saniye söndü; şefin sabrı biraz daha kısaldı.</t>
        </is>
      </c>
      <c r="K1270" s="6" t="inlineStr">
        <is>
          <t>Arızayı buldun sandın; aslında şefin çay makinesiydi. Atölye bir hafta çaysız kaldı.</t>
        </is>
      </c>
      <c r="L1270" s="6" t="inlineStr"/>
      <c r="M1270" s="5" t="inlineStr"/>
      <c r="N1270" s="5" t="inlineStr"/>
      <c r="O1270" s="6" t="inlineStr"/>
      <c r="P1270" s="6" t="inlineStr"/>
      <c r="Q1270" s="5" t="inlineStr"/>
      <c r="R1270" s="5" t="inlineStr"/>
      <c r="S1270" s="5" t="inlineStr"/>
      <c r="T1270" s="5" t="inlineStr"/>
      <c r="U1270" s="5" t="inlineStr"/>
      <c r="V1270" s="5" t="inlineStr">
        <is>
          <t>usta-eli</t>
        </is>
      </c>
      <c r="W1270" s="5" t="inlineStr"/>
      <c r="X1270" s="5" t="inlineStr"/>
      <c r="Y1270" s="5" t="inlineStr"/>
      <c r="Z1270" s="6" t="inlineStr"/>
      <c r="AA1270" s="5" t="inlineStr"/>
      <c r="AB1270" s="5" t="inlineStr"/>
      <c r="AC1270" s="5" t="inlineStr"/>
      <c r="AD1270" s="5" t="inlineStr"/>
      <c r="AE1270" s="5" t="inlineStr"/>
      <c r="AF1270" s="5" t="inlineStr"/>
      <c r="AG1270" s="5" t="inlineStr"/>
      <c r="AH1270" s="5" t="inlineStr"/>
    </row>
    <row r="1271">
      <c r="A1271" s="5" t="inlineStr">
        <is>
          <t>b5-atolye-staji</t>
        </is>
      </c>
      <c r="B1271" s="5" t="n">
        <v>3</v>
      </c>
      <c r="C1271" s="6" t="inlineStr">
        <is>
          <t>Artan malzemeyi biriktirip sat</t>
        </is>
      </c>
      <c r="D1271" s="5" t="inlineStr">
        <is>
          <t>Kurnazlık</t>
        </is>
      </c>
      <c r="E1271" s="5" t="inlineStr">
        <is>
          <t>Zor</t>
        </is>
      </c>
      <c r="F1271" s="5" t="inlineStr"/>
      <c r="G1271" s="6" t="inlineStr"/>
      <c r="H1271" s="6" t="inlineStr">
        <is>
          <t>Artan kabloları biriktirip sanayiye sattın. Kâr küçük ama düzenli.</t>
        </is>
      </c>
      <c r="I1271" s="6" t="inlineStr">
        <is>
          <t>Artan malzemeyle küçük bir tamir işi kurdun; mahallenin priz ustası oldun.</t>
        </is>
      </c>
      <c r="J1271" s="6" t="inlineStr">
        <is>
          <t>Malzemeyi sattın; alıcı atölye şefinin kardeşi çıktı.</t>
        </is>
      </c>
      <c r="K1271" s="6" t="inlineStr">
        <is>
          <t>Artırdığın malzeme artık değilmiş; stok sayımında eksik çıktı. Staj defterine kırmızı kalem.</t>
        </is>
      </c>
      <c r="L1271" s="6" t="inlineStr"/>
      <c r="M1271" s="5" t="inlineStr"/>
      <c r="N1271" s="5" t="inlineStr"/>
      <c r="O1271" s="6" t="inlineStr"/>
      <c r="P1271" s="6" t="inlineStr"/>
      <c r="Q1271" s="5" t="inlineStr"/>
      <c r="R1271" s="5" t="inlineStr"/>
      <c r="S1271" s="5" t="inlineStr"/>
      <c r="T1271" s="5" t="inlineStr"/>
      <c r="U1271" s="5" t="inlineStr"/>
      <c r="V1271" s="5" t="inlineStr">
        <is>
          <t>teneffus-tuccari</t>
        </is>
      </c>
      <c r="W1271" s="5" t="inlineStr"/>
      <c r="X1271" s="5" t="inlineStr"/>
      <c r="Y1271" s="5" t="inlineStr"/>
      <c r="Z1271" s="6" t="inlineStr"/>
      <c r="AA1271" s="5" t="inlineStr"/>
      <c r="AB1271" s="5" t="inlineStr"/>
      <c r="AC1271" s="5" t="inlineStr"/>
      <c r="AD1271" s="5" t="inlineStr"/>
      <c r="AE1271" s="5" t="inlineStr"/>
      <c r="AF1271" s="5" t="inlineStr"/>
      <c r="AG1271" s="5" t="inlineStr"/>
      <c r="AH1271" s="5" t="inlineStr"/>
    </row>
    <row r="1272">
      <c r="A1272" s="5" t="inlineStr">
        <is>
          <t>b5-cay-ocagi</t>
        </is>
      </c>
      <c r="B1272" s="5" t="n">
        <v>1</v>
      </c>
      <c r="C1272" s="6" t="inlineStr">
        <is>
          <t>Tepsiyi taşı, sus</t>
        </is>
      </c>
      <c r="D1272" s="5" t="inlineStr"/>
      <c r="E1272" s="5" t="inlineStr"/>
      <c r="F1272" s="5" t="inlineStr">
        <is>
          <t>Dayanıklılık +2</t>
        </is>
      </c>
      <c r="G1272" s="6" t="inlineStr">
        <is>
          <t>Günde üç yüz çay taşıdın. Kimse adını sormadı ama herkes şekerini nasıl içtiğini söyledi.</t>
        </is>
      </c>
      <c r="H1272" s="6" t="inlineStr"/>
      <c r="I1272" s="6" t="inlineStr"/>
      <c r="J1272" s="6" t="inlineStr"/>
      <c r="K1272" s="6" t="inlineStr"/>
      <c r="L1272" s="6" t="inlineStr"/>
      <c r="M1272" s="5" t="inlineStr"/>
      <c r="N1272" s="5" t="inlineStr"/>
      <c r="O1272" s="6" t="inlineStr"/>
      <c r="P1272" s="6" t="inlineStr"/>
      <c r="Q1272" s="5" t="inlineStr"/>
      <c r="R1272" s="5" t="inlineStr"/>
      <c r="S1272" s="5" t="inlineStr"/>
      <c r="T1272" s="5" t="inlineStr"/>
      <c r="U1272" s="5" t="inlineStr"/>
      <c r="V1272" s="5" t="inlineStr"/>
      <c r="W1272" s="5" t="inlineStr"/>
      <c r="X1272" s="5" t="inlineStr"/>
      <c r="Y1272" s="5" t="inlineStr"/>
      <c r="Z1272" s="6" t="inlineStr"/>
      <c r="AA1272" s="5" t="inlineStr"/>
      <c r="AB1272" s="5" t="inlineStr"/>
      <c r="AC1272" s="5" t="inlineStr"/>
      <c r="AD1272" s="5" t="inlineStr"/>
      <c r="AE1272" s="5" t="inlineStr"/>
      <c r="AF1272" s="5" t="inlineStr"/>
      <c r="AG1272" s="5" t="inlineStr"/>
      <c r="AH1272" s="5" t="inlineStr"/>
    </row>
    <row r="1273">
      <c r="A1273" s="5" t="inlineStr">
        <is>
          <t>b5-cay-ocagi</t>
        </is>
      </c>
      <c r="B1273" s="5" t="n">
        <v>2</v>
      </c>
      <c r="C1273" s="6" t="inlineStr">
        <is>
          <t>Kimin kime borçlu olduğunu not et</t>
        </is>
      </c>
      <c r="D1273" s="5" t="inlineStr">
        <is>
          <t>Sosyal Radar</t>
        </is>
      </c>
      <c r="E1273" s="5" t="inlineStr">
        <is>
          <t>Orta</t>
        </is>
      </c>
      <c r="F1273" s="5" t="inlineStr"/>
      <c r="G1273" s="6" t="inlineStr"/>
      <c r="H1273" s="6" t="inlineStr">
        <is>
          <t>Çay ocağında kimin kime borçlu olduğunu bir deftere yazmaya başladın. Abiler defterini merak etmeye başladı.</t>
        </is>
      </c>
      <c r="I1273" s="6" t="inlineStr">
        <is>
          <t>Defterin çarşının gayriresmî kayıt sistemi oldu. Abi artık kararları sana danışıyor.</t>
        </is>
      </c>
      <c r="J1273" s="6" t="inlineStr">
        <is>
          <t>Not tuttun ama isimleri karıştırdın. Borçlu biri alacaklı sanıldı; çarşı bir hafta karıştı.</t>
        </is>
      </c>
      <c r="K1273" s="6" t="inlineStr">
        <is>
          <t>Defterini bir müşteri gördü ve yanlış anladı. Çay ocağı iki gün kapalı kaldı; suçlu sensin.</t>
        </is>
      </c>
      <c r="L1273" s="6" t="inlineStr"/>
      <c r="M1273" s="5" t="inlineStr"/>
      <c r="N1273" s="5" t="inlineStr"/>
      <c r="O1273" s="6" t="inlineStr"/>
      <c r="P1273" s="6" t="inlineStr"/>
      <c r="Q1273" s="5" t="inlineStr"/>
      <c r="R1273" s="5" t="inlineStr"/>
      <c r="S1273" s="5" t="inlineStr"/>
      <c r="T1273" s="5" t="inlineStr"/>
      <c r="U1273" s="5" t="inlineStr"/>
      <c r="V1273" s="5" t="inlineStr">
        <is>
          <t>abinin-adami</t>
        </is>
      </c>
      <c r="W1273" s="5" t="inlineStr"/>
      <c r="X1273" s="5" t="inlineStr"/>
      <c r="Y1273" s="5" t="inlineStr"/>
      <c r="Z1273" s="6" t="inlineStr"/>
      <c r="AA1273" s="5" t="inlineStr"/>
      <c r="AB1273" s="5" t="inlineStr"/>
      <c r="AC1273" s="5" t="inlineStr"/>
      <c r="AD1273" s="5" t="inlineStr"/>
      <c r="AE1273" s="5" t="inlineStr"/>
      <c r="AF1273" s="5" t="inlineStr"/>
      <c r="AG1273" s="5" t="inlineStr"/>
      <c r="AH1273" s="5" t="inlineStr"/>
    </row>
    <row r="1274">
      <c r="A1274" s="5" t="inlineStr">
        <is>
          <t>b5-cay-ocagi</t>
        </is>
      </c>
      <c r="B1274" s="5" t="n">
        <v>3</v>
      </c>
      <c r="C1274" s="6" t="inlineStr">
        <is>
          <t>Bahşişleri kendine sakla</t>
        </is>
      </c>
      <c r="D1274" s="5" t="inlineStr">
        <is>
          <t>Kurnazlık</t>
        </is>
      </c>
      <c r="E1274" s="5" t="inlineStr">
        <is>
          <t>Zor</t>
        </is>
      </c>
      <c r="F1274" s="5" t="inlineStr"/>
      <c r="G1274" s="6" t="inlineStr"/>
      <c r="H1274" s="6" t="inlineStr">
        <is>
          <t>Bahşişin tamamını cebe attın, abilere “Bugün kimse vermedi” dedin. Çarşı o gün cimri ilan edildi.</t>
        </is>
      </c>
      <c r="I1274" s="6" t="inlineStr">
        <is>
          <t>Bahşişleri gizlice biriktirip üç ayda bir bisiklet aldın. Abiler bisikletin nereden geldiğini hâlâ tartışıyor.</t>
        </is>
      </c>
      <c r="J1274" s="6" t="inlineStr">
        <is>
          <t>Bahşişi sakladın ama cebinden şıngırtı geldi. Abiler saydı; eksik yok, fazla var.</t>
        </is>
      </c>
      <c r="K1274" s="6" t="inlineStr">
        <is>
          <t>Bahşişleri sakladığın yer abinin ayakkabısıymış. Uzun bir akşam oldu.</t>
        </is>
      </c>
      <c r="L1274" s="6" t="inlineStr"/>
      <c r="M1274" s="5" t="inlineStr"/>
      <c r="N1274" s="5" t="inlineStr"/>
      <c r="O1274" s="6" t="inlineStr"/>
      <c r="P1274" s="6" t="inlineStr"/>
      <c r="Q1274" s="5" t="inlineStr"/>
      <c r="R1274" s="5" t="inlineStr"/>
      <c r="S1274" s="5" t="inlineStr"/>
      <c r="T1274" s="5" t="inlineStr"/>
      <c r="U1274" s="5" t="inlineStr"/>
      <c r="V1274" s="5" t="inlineStr"/>
      <c r="W1274" s="5" t="inlineStr"/>
      <c r="X1274" s="5" t="inlineStr"/>
      <c r="Y1274" s="5" t="inlineStr"/>
      <c r="Z1274" s="6" t="inlineStr"/>
      <c r="AA1274" s="5" t="inlineStr"/>
      <c r="AB1274" s="5" t="inlineStr"/>
      <c r="AC1274" s="5" t="inlineStr"/>
      <c r="AD1274" s="5" t="inlineStr"/>
      <c r="AE1274" s="5" t="inlineStr"/>
      <c r="AF1274" s="5" t="inlineStr"/>
      <c r="AG1274" s="5" t="inlineStr"/>
      <c r="AH1274" s="5" t="inlineStr"/>
    </row>
    <row r="1275">
      <c r="A1275" s="5" t="inlineStr">
        <is>
          <t>b5-sanayi-ciragi</t>
        </is>
      </c>
      <c r="B1275" s="5" t="n">
        <v>1</v>
      </c>
      <c r="C1275" s="6" t="inlineStr">
        <is>
          <t>Çay demle, izle</t>
        </is>
      </c>
      <c r="D1275" s="5" t="inlineStr"/>
      <c r="E1275" s="5" t="inlineStr"/>
      <c r="F1275" s="5" t="inlineStr">
        <is>
          <t>Dayanıklılık +1, Sosyal Radar +1</t>
        </is>
      </c>
      <c r="G1275" s="6" t="inlineStr">
        <is>
          <t>Bir ay çay demledin, bir ay izledin. Üçüncü ay usta sana ilk kez bir anahtar uzattı. Annen o akşam sofraya tatlı koydu.</t>
        </is>
      </c>
      <c r="H1275" s="6" t="inlineStr"/>
      <c r="I1275" s="6" t="inlineStr"/>
      <c r="J1275" s="6" t="inlineStr"/>
      <c r="K1275" s="6" t="inlineStr"/>
      <c r="L1275" s="6" t="inlineStr"/>
      <c r="M1275" s="5" t="inlineStr"/>
      <c r="N1275" s="5" t="inlineStr"/>
      <c r="O1275" s="6" t="inlineStr"/>
      <c r="P1275" s="6" t="inlineStr"/>
      <c r="Q1275" s="5" t="inlineStr"/>
      <c r="R1275" s="5" t="inlineStr"/>
      <c r="S1275" s="5" t="inlineStr"/>
      <c r="T1275" s="5" t="inlineStr"/>
      <c r="U1275" s="5" t="inlineStr"/>
      <c r="V1275" s="5" t="inlineStr"/>
      <c r="W1275" s="5" t="inlineStr"/>
      <c r="X1275" s="5" t="inlineStr"/>
      <c r="Y1275" s="5" t="inlineStr"/>
      <c r="Z1275" s="6" t="inlineStr"/>
      <c r="AA1275" s="5" t="inlineStr">
        <is>
          <t>hepsi +1</t>
        </is>
      </c>
      <c r="AB1275" s="5" t="inlineStr"/>
      <c r="AC1275" s="5" t="inlineStr"/>
      <c r="AD1275" s="5" t="inlineStr"/>
      <c r="AE1275" s="5" t="inlineStr"/>
      <c r="AF1275" s="5" t="inlineStr"/>
      <c r="AG1275" s="5" t="inlineStr"/>
      <c r="AH1275" s="5" t="inlineStr"/>
    </row>
    <row r="1276">
      <c r="A1276" s="5" t="inlineStr">
        <is>
          <t>b5-sanayi-ciragi</t>
        </is>
      </c>
      <c r="B1276" s="5" t="n">
        <v>2</v>
      </c>
      <c r="C1276" s="6" t="inlineStr">
        <is>
          <t>Ustanın elinden anahtarı kap</t>
        </is>
      </c>
      <c r="D1276" s="5" t="inlineStr">
        <is>
          <t>Akıl</t>
        </is>
      </c>
      <c r="E1276" s="5" t="inlineStr">
        <is>
          <t>Orta</t>
        </is>
      </c>
      <c r="F1276" s="5" t="inlineStr"/>
      <c r="G1276" s="6" t="inlineStr"/>
      <c r="H1276" s="6" t="inlineStr">
        <is>
          <t>Usta anlatmadan arızayı sen buldun. “Sen bu işi yaparsın” dedi; sanayide bu madalya demek.</t>
        </is>
      </c>
      <c r="I1276" s="6" t="inlineStr">
        <is>
          <t>Arızayı buldun, parçayı söküp taktın. Usta seni yanına ortak alacağını söyledi; tarih vermedi.</t>
        </is>
      </c>
      <c r="J1276" s="6" t="inlineStr">
        <is>
          <t>Anahtarı kaptın, yanlış cıvatayı söktün. Motor değil ama ustanın sabrı düştü.</t>
        </is>
      </c>
      <c r="K1276" s="6" t="inlineStr">
        <is>
          <t>Anahtarı kaptın ve müşterinin arabasının aynasını söktün. Ayna o arabaya ait değilmiş; çarşının tek sabit aynasıymış.</t>
        </is>
      </c>
      <c r="L1276" s="6" t="inlineStr"/>
      <c r="M1276" s="5" t="inlineStr"/>
      <c r="N1276" s="5" t="inlineStr"/>
      <c r="O1276" s="6" t="inlineStr"/>
      <c r="P1276" s="6" t="inlineStr"/>
      <c r="Q1276" s="5" t="inlineStr"/>
      <c r="R1276" s="5" t="inlineStr"/>
      <c r="S1276" s="5" t="inlineStr"/>
      <c r="T1276" s="5" t="inlineStr"/>
      <c r="U1276" s="5" t="inlineStr"/>
      <c r="V1276" s="5" t="inlineStr">
        <is>
          <t>usta-eli</t>
        </is>
      </c>
      <c r="W1276" s="5" t="inlineStr"/>
      <c r="X1276" s="5" t="inlineStr"/>
      <c r="Y1276" s="5" t="inlineStr"/>
      <c r="Z1276" s="6" t="inlineStr"/>
      <c r="AA1276" s="5" t="inlineStr"/>
      <c r="AB1276" s="5" t="inlineStr"/>
      <c r="AC1276" s="5" t="inlineStr"/>
      <c r="AD1276" s="5" t="inlineStr"/>
      <c r="AE1276" s="5" t="inlineStr"/>
      <c r="AF1276" s="5" t="inlineStr"/>
      <c r="AG1276" s="5" t="inlineStr"/>
      <c r="AH1276" s="5" t="inlineStr"/>
    </row>
    <row r="1277">
      <c r="A1277" s="5" t="inlineStr">
        <is>
          <t>b5-sanayi-ciragi</t>
        </is>
      </c>
      <c r="B1277" s="5" t="n">
        <v>3</v>
      </c>
      <c r="C1277" s="6" t="inlineStr">
        <is>
          <t>Abilere geri dön</t>
        </is>
      </c>
      <c r="D1277" s="5" t="inlineStr"/>
      <c r="E1277" s="5" t="inlineStr"/>
      <c r="F1277" s="5" t="inlineStr">
        <is>
          <t>Pişkinlik +1</t>
        </is>
      </c>
      <c r="G1277" s="6" t="inlineStr">
        <is>
          <t>İkinci gün sanayiden kaçıp çay ocağına döndün. Abiler seni alkışladı. Annen telefonu açmadı.</t>
        </is>
      </c>
      <c r="H1277" s="6" t="inlineStr"/>
      <c r="I1277" s="6" t="inlineStr"/>
      <c r="J1277" s="6" t="inlineStr"/>
      <c r="K1277" s="6" t="inlineStr"/>
      <c r="L1277" s="6" t="inlineStr"/>
      <c r="M1277" s="5" t="inlineStr"/>
      <c r="N1277" s="5" t="inlineStr"/>
      <c r="O1277" s="6" t="inlineStr"/>
      <c r="P1277" s="6" t="inlineStr"/>
      <c r="Q1277" s="5" t="inlineStr"/>
      <c r="R1277" s="5" t="inlineStr"/>
      <c r="S1277" s="5" t="inlineStr"/>
      <c r="T1277" s="5" t="inlineStr"/>
      <c r="U1277" s="5" t="inlineStr"/>
      <c r="V1277" s="5" t="inlineStr"/>
      <c r="W1277" s="5" t="inlineStr"/>
      <c r="X1277" s="5" t="inlineStr"/>
      <c r="Y1277" s="5" t="inlineStr"/>
      <c r="Z1277" s="6" t="inlineStr"/>
      <c r="AA1277" s="5" t="inlineStr">
        <is>
          <t>hepsi -1</t>
        </is>
      </c>
      <c r="AB1277" s="5" t="inlineStr"/>
      <c r="AC1277" s="5" t="inlineStr"/>
      <c r="AD1277" s="5" t="inlineStr"/>
      <c r="AE1277" s="5" t="inlineStr"/>
      <c r="AF1277" s="5" t="inlineStr"/>
      <c r="AG1277" s="5" t="inlineStr"/>
      <c r="AH1277" s="5" t="inlineStr"/>
    </row>
    <row r="1278">
      <c r="A1278" s="5" t="inlineStr">
        <is>
          <t>b5-bilet-karaborsasi</t>
        </is>
      </c>
      <c r="B1278" s="5" t="n">
        <v>1</v>
      </c>
      <c r="C1278" s="6" t="inlineStr">
        <is>
          <t>Abinin fiyatından sat</t>
        </is>
      </c>
      <c r="D1278" s="5" t="inlineStr">
        <is>
          <t>Çene</t>
        </is>
      </c>
      <c r="E1278" s="5" t="inlineStr">
        <is>
          <t>Orta</t>
        </is>
      </c>
      <c r="F1278" s="5" t="inlineStr"/>
      <c r="G1278" s="6" t="inlineStr"/>
      <c r="H1278" s="6" t="inlineStr">
        <is>
          <t>Yirmi bileti yarım saatte bitirdin. Abi parayı saydı, eksiksiz. Artık sana güveniyor; bu da bir tür borç.</t>
        </is>
      </c>
      <c r="I1278" s="6" t="inlineStr">
        <is>
          <t>Biletleri bitirdin, üstüne kuyrukta bekleyenlere “garantili koltuk” sattın. Koltuk yok ama kuyruk mutlu.</t>
        </is>
      </c>
      <c r="J1278" s="6" t="inlineStr">
        <is>
          <t>Biletlerin yarısını sattın. Maç başladı; kalan on bilet artık sadece hatıra.</t>
        </is>
      </c>
      <c r="K1278" s="6" t="inlineStr">
        <is>
          <t>Sattığın ilk bilet stat görevlisinin oğluna gitti. Biletler toplandı; sen de toplandın.</t>
        </is>
      </c>
      <c r="L1278" s="6" t="inlineStr"/>
      <c r="M1278" s="5" t="inlineStr"/>
      <c r="N1278" s="5" t="inlineStr"/>
      <c r="O1278" s="6" t="inlineStr"/>
      <c r="P1278" s="6" t="inlineStr"/>
      <c r="Q1278" s="5" t="inlineStr"/>
      <c r="R1278" s="5" t="inlineStr"/>
      <c r="S1278" s="5" t="inlineStr"/>
      <c r="T1278" s="5" t="inlineStr"/>
      <c r="U1278" s="5" t="inlineStr"/>
      <c r="V1278" s="5" t="inlineStr">
        <is>
          <t>abinin-adami</t>
        </is>
      </c>
      <c r="W1278" s="5" t="inlineStr"/>
      <c r="X1278" s="5" t="inlineStr"/>
      <c r="Y1278" s="5" t="inlineStr"/>
      <c r="Z1278" s="6" t="inlineStr"/>
      <c r="AA1278" s="5" t="inlineStr"/>
      <c r="AB1278" s="5" t="inlineStr"/>
      <c r="AC1278" s="5" t="inlineStr"/>
      <c r="AD1278" s="5" t="inlineStr"/>
      <c r="AE1278" s="5" t="inlineStr"/>
      <c r="AF1278" s="5" t="inlineStr"/>
      <c r="AG1278" s="5" t="inlineStr"/>
      <c r="AH1278" s="5" t="inlineStr"/>
    </row>
    <row r="1279">
      <c r="A1279" s="5" t="inlineStr">
        <is>
          <t>b5-bilet-karaborsasi</t>
        </is>
      </c>
      <c r="B1279" s="5" t="n">
        <v>2</v>
      </c>
      <c r="C1279" s="6" t="inlineStr">
        <is>
          <t>Kendi fiyatını koy</t>
        </is>
      </c>
      <c r="D1279" s="5" t="inlineStr">
        <is>
          <t>Kurnazlık</t>
        </is>
      </c>
      <c r="E1279" s="5" t="inlineStr">
        <is>
          <t>Zor</t>
        </is>
      </c>
      <c r="F1279" s="5" t="inlineStr"/>
      <c r="G1279" s="6" t="inlineStr"/>
      <c r="H1279" s="6" t="inlineStr">
        <is>
          <t>Abinin fiyatının üstüne kendi payını ekledin. Maç berabere bitti, sen galip.</t>
        </is>
      </c>
      <c r="I1279" s="6" t="inlineStr">
        <is>
          <t>Maç öncesi fiyatı ikiye katladın, devre arasında yarıya indirdin. Ekonomi okumadan ekonomi öğrendin.</t>
        </is>
      </c>
      <c r="J1279" s="6" t="inlineStr">
        <is>
          <t>Fiyatı yükselttin, kimse almadı. Son on dakikada biletleri bedavaya dağıttın.</t>
        </is>
      </c>
      <c r="K1279" s="6" t="inlineStr">
        <is>
          <t>Kendi fiyatını koydun; abi de kendi fiyatını koydu. Onunki senin bir aylık bahşişindi.</t>
        </is>
      </c>
      <c r="L1279" s="6" t="inlineStr"/>
      <c r="M1279" s="5" t="inlineStr"/>
      <c r="N1279" s="5" t="inlineStr"/>
      <c r="O1279" s="6" t="inlineStr"/>
      <c r="P1279" s="6" t="inlineStr"/>
      <c r="Q1279" s="5" t="inlineStr"/>
      <c r="R1279" s="5" t="inlineStr"/>
      <c r="S1279" s="5" t="inlineStr"/>
      <c r="T1279" s="5" t="inlineStr"/>
      <c r="U1279" s="5" t="inlineStr"/>
      <c r="V1279" s="5" t="inlineStr">
        <is>
          <t>karaborsaci</t>
        </is>
      </c>
      <c r="W1279" s="5" t="inlineStr"/>
      <c r="X1279" s="5" t="inlineStr"/>
      <c r="Y1279" s="5" t="inlineStr"/>
      <c r="Z1279" s="6" t="inlineStr"/>
      <c r="AA1279" s="5" t="inlineStr"/>
      <c r="AB1279" s="5" t="inlineStr"/>
      <c r="AC1279" s="5" t="inlineStr"/>
      <c r="AD1279" s="5" t="inlineStr"/>
      <c r="AE1279" s="5" t="inlineStr"/>
      <c r="AF1279" s="5" t="inlineStr"/>
      <c r="AG1279" s="5" t="inlineStr"/>
      <c r="AH1279" s="5" t="inlineStr"/>
    </row>
    <row r="1280">
      <c r="A1280" s="5" t="inlineStr">
        <is>
          <t>b5-bilet-karaborsasi</t>
        </is>
      </c>
      <c r="B1280" s="5" t="n">
        <v>3</v>
      </c>
      <c r="C1280" s="6" t="inlineStr">
        <is>
          <t>Biletleri geri ver, eve dön</t>
        </is>
      </c>
      <c r="D1280" s="5" t="inlineStr"/>
      <c r="E1280" s="5" t="inlineStr"/>
      <c r="F1280" s="5" t="inlineStr">
        <is>
          <t>İtibar +2</t>
        </is>
      </c>
      <c r="G1280" s="6" t="inlineStr">
        <is>
          <t>Biletleri abiye geri verdin ve eve döndün. Abi omuz silkti, annen sarıldı. Maçı televizyondan izledin; berabere bitti.</t>
        </is>
      </c>
      <c r="H1280" s="6" t="inlineStr"/>
      <c r="I1280" s="6" t="inlineStr"/>
      <c r="J1280" s="6" t="inlineStr"/>
      <c r="K1280" s="6" t="inlineStr"/>
      <c r="L1280" s="6" t="inlineStr"/>
      <c r="M1280" s="5" t="inlineStr"/>
      <c r="N1280" s="5" t="inlineStr"/>
      <c r="O1280" s="6" t="inlineStr"/>
      <c r="P1280" s="6" t="inlineStr"/>
      <c r="Q1280" s="5" t="inlineStr"/>
      <c r="R1280" s="5" t="inlineStr"/>
      <c r="S1280" s="5" t="inlineStr"/>
      <c r="T1280" s="5" t="inlineStr"/>
      <c r="U1280" s="5" t="inlineStr"/>
      <c r="V1280" s="5" t="inlineStr"/>
      <c r="W1280" s="5" t="inlineStr"/>
      <c r="X1280" s="5" t="inlineStr"/>
      <c r="Y1280" s="5" t="inlineStr"/>
      <c r="Z1280" s="6" t="inlineStr"/>
      <c r="AA1280" s="5" t="inlineStr">
        <is>
          <t>hepsi +1</t>
        </is>
      </c>
      <c r="AB1280" s="5" t="inlineStr"/>
      <c r="AC1280" s="5" t="inlineStr"/>
      <c r="AD1280" s="5" t="inlineStr"/>
      <c r="AE1280" s="5" t="inlineStr"/>
      <c r="AF1280" s="5" t="inlineStr"/>
      <c r="AG1280" s="5" t="inlineStr"/>
      <c r="AH1280" s="5" t="inlineStr"/>
    </row>
    <row r="1281">
      <c r="A1281" s="5" t="inlineStr">
        <is>
          <t>b5-acik-lise</t>
        </is>
      </c>
      <c r="B1281" s="5" t="n">
        <v>1</v>
      </c>
      <c r="C1281" s="6" t="inlineStr">
        <is>
          <t>Kaydol, akşamları oku</t>
        </is>
      </c>
      <c r="D1281" s="5" t="inlineStr"/>
      <c r="E1281" s="5" t="inlineStr"/>
      <c r="F1281" s="5" t="inlineStr">
        <is>
          <t>Dayanıklılık +1, Akıl +1</t>
        </is>
      </c>
      <c r="G1281" s="6" t="inlineStr">
        <is>
          <t>Gündüz çalıştın, akşam okudun. Büyük Sınav'a girme hakkın geri geldi. Annen broşürü mıknatısla buzdolabına astı: evin ilk diploma adayı ilanı.</t>
        </is>
      </c>
      <c r="H1281" s="6" t="inlineStr"/>
      <c r="I1281" s="6" t="inlineStr"/>
      <c r="J1281" s="6" t="inlineStr"/>
      <c r="K1281" s="6" t="inlineStr"/>
      <c r="L1281" s="6" t="inlineStr"/>
      <c r="M1281" s="5" t="inlineStr"/>
      <c r="N1281" s="5" t="inlineStr"/>
      <c r="O1281" s="6" t="inlineStr"/>
      <c r="P1281" s="6" t="inlineStr"/>
      <c r="Q1281" s="5" t="inlineStr"/>
      <c r="R1281" s="5" t="inlineStr"/>
      <c r="S1281" s="5" t="inlineStr"/>
      <c r="T1281" s="5" t="inlineStr"/>
      <c r="U1281" s="5" t="inlineStr">
        <is>
          <t>acik-lise</t>
        </is>
      </c>
      <c r="V1281" s="5" t="inlineStr"/>
      <c r="W1281" s="5" t="inlineStr"/>
      <c r="X1281" s="5" t="inlineStr">
        <is>
          <t>okulu-birakti</t>
        </is>
      </c>
      <c r="Y1281" s="5" t="inlineStr"/>
      <c r="Z1281" s="6" t="inlineStr"/>
      <c r="AA1281" s="5" t="inlineStr">
        <is>
          <t>hepsi +1</t>
        </is>
      </c>
      <c r="AB1281" s="5" t="inlineStr"/>
      <c r="AC1281" s="5" t="inlineStr"/>
      <c r="AD1281" s="5" t="inlineStr"/>
      <c r="AE1281" s="5" t="inlineStr"/>
      <c r="AF1281" s="5" t="inlineStr"/>
      <c r="AG1281" s="5" t="inlineStr"/>
      <c r="AH1281" s="5" t="inlineStr"/>
    </row>
    <row r="1282">
      <c r="A1282" s="5" t="inlineStr">
        <is>
          <t>b5-acik-lise</t>
        </is>
      </c>
      <c r="B1282" s="5" t="n">
        <v>2</v>
      </c>
      <c r="C1282" s="6" t="inlineStr">
        <is>
          <t>Broşürü abilere göster</t>
        </is>
      </c>
      <c r="D1282" s="5" t="inlineStr">
        <is>
          <t>Pişkinlik</t>
        </is>
      </c>
      <c r="E1282" s="5" t="inlineStr">
        <is>
          <t>Orta</t>
        </is>
      </c>
      <c r="F1282" s="5" t="inlineStr"/>
      <c r="G1282" s="6" t="inlineStr"/>
      <c r="H1282" s="6" t="inlineStr">
        <is>
          <t>Broşürü abilere gösterdin; biri “Ben de kaydolsam mı?” dedi. Çarşıda eğitim reformu başladı.</t>
        </is>
      </c>
      <c r="I1282" s="6" t="inlineStr">
        <is>
          <t>Üç abi birden kaydoldu. Çay ocağında akşamları test çözülüyor.</t>
        </is>
      </c>
      <c r="J1282" s="6" t="inlineStr">
        <is>
          <t>Abiler broşürü okudu, güldü ve çay altlığı yaptı.</t>
        </is>
      </c>
      <c r="K1282" s="6" t="inlineStr">
        <is>
          <t>Abiler broşürden kâğıt uçak yaptı. Uçak annenin mutfak camına çarptı.</t>
        </is>
      </c>
      <c r="L1282" s="6" t="inlineStr"/>
      <c r="M1282" s="5" t="inlineStr"/>
      <c r="N1282" s="5" t="inlineStr"/>
      <c r="O1282" s="6" t="inlineStr"/>
      <c r="P1282" s="6" t="inlineStr"/>
      <c r="Q1282" s="5" t="inlineStr"/>
      <c r="R1282" s="5" t="inlineStr"/>
      <c r="S1282" s="5" t="inlineStr"/>
      <c r="T1282" s="5" t="inlineStr"/>
      <c r="U1282" s="5" t="inlineStr"/>
      <c r="V1282" s="5" t="inlineStr"/>
      <c r="W1282" s="5" t="inlineStr"/>
      <c r="X1282" s="5" t="inlineStr"/>
      <c r="Y1282" s="5" t="inlineStr"/>
      <c r="Z1282" s="6" t="inlineStr"/>
      <c r="AA1282" s="5" t="inlineStr"/>
      <c r="AB1282" s="5" t="inlineStr"/>
      <c r="AC1282" s="5" t="inlineStr"/>
      <c r="AD1282" s="5" t="inlineStr"/>
      <c r="AE1282" s="5" t="inlineStr"/>
      <c r="AF1282" s="5" t="inlineStr"/>
      <c r="AG1282" s="5" t="inlineStr"/>
      <c r="AH1282" s="5" t="inlineStr"/>
    </row>
    <row r="1283">
      <c r="A1283" s="5" t="inlineStr">
        <is>
          <t>b5-acik-lise</t>
        </is>
      </c>
      <c r="B1283" s="5" t="n">
        <v>3</v>
      </c>
      <c r="C1283" s="6" t="inlineStr">
        <is>
          <t>Broşürü çöpe at</t>
        </is>
      </c>
      <c r="D1283" s="5" t="inlineStr"/>
      <c r="E1283" s="5" t="inlineStr"/>
      <c r="F1283" s="5" t="inlineStr">
        <is>
          <t>Pişkinlik +1</t>
        </is>
      </c>
      <c r="G1283" s="6" t="inlineStr">
        <is>
          <t>Broşürü çöpe attın. Annen ertesi gün onu çöpten çıkarıp yeniden masaya koydu. Masa bu konuda kararlı.</t>
        </is>
      </c>
      <c r="H1283" s="6" t="inlineStr"/>
      <c r="I1283" s="6" t="inlineStr"/>
      <c r="J1283" s="6" t="inlineStr"/>
      <c r="K1283" s="6" t="inlineStr"/>
      <c r="L1283" s="6" t="inlineStr"/>
      <c r="M1283" s="5" t="inlineStr"/>
      <c r="N1283" s="5" t="inlineStr"/>
      <c r="O1283" s="6" t="inlineStr"/>
      <c r="P1283" s="6" t="inlineStr"/>
      <c r="Q1283" s="5" t="inlineStr"/>
      <c r="R1283" s="5" t="inlineStr"/>
      <c r="S1283" s="5" t="inlineStr"/>
      <c r="T1283" s="5" t="inlineStr"/>
      <c r="U1283" s="5" t="inlineStr"/>
      <c r="V1283" s="5" t="inlineStr"/>
      <c r="W1283" s="5" t="inlineStr"/>
      <c r="X1283" s="5" t="inlineStr"/>
      <c r="Y1283" s="5" t="inlineStr"/>
      <c r="Z1283" s="6" t="inlineStr"/>
      <c r="AA1283" s="5" t="inlineStr"/>
      <c r="AB1283" s="5" t="inlineStr"/>
      <c r="AC1283" s="5" t="inlineStr"/>
      <c r="AD1283" s="5" t="inlineStr"/>
      <c r="AE1283" s="5" t="inlineStr"/>
      <c r="AF1283" s="5" t="inlineStr"/>
      <c r="AG1283" s="5" t="inlineStr"/>
      <c r="AH1283" s="5" t="inlineStr"/>
    </row>
    <row r="1284">
      <c r="A1284" s="5" t="inlineStr">
        <is>
          <t>b6-askerlik-mezun</t>
        </is>
      </c>
      <c r="B1284" s="5" t="n">
        <v>1</v>
      </c>
      <c r="C1284" s="6" t="inlineStr">
        <is>
          <t>Kısa dönem git, çavuşluğa talip ol</t>
        </is>
      </c>
      <c r="D1284" s="5" t="inlineStr">
        <is>
          <t>Akıl</t>
        </is>
      </c>
      <c r="E1284" s="5" t="inlineStr">
        <is>
          <t>Orta</t>
        </is>
      </c>
      <c r="F1284" s="5" t="inlineStr"/>
      <c r="G1284" s="6" t="inlineStr"/>
      <c r="H1284" s="6" t="inlineStr">
        <is>
          <t>Altı ayda bölüğün bütün evrakı senden geçti. Çavuş oldun; yetkin, kantin sırasında öne geçmekle sınırlıydı.</t>
        </is>
      </c>
      <c r="I1284" s="6" t="inlineStr">
        <is>
          <t>Komutan seni eğitim birliğine öğretmen yaptı. Er arkadaşlarına okuma yazma öğrettin; biri sana mektup yazdı, ilk mektubuydu.</t>
        </is>
      </c>
      <c r="J1284" s="6" t="inlineStr">
        <is>
          <t>Çavuşluk başkasına gitti. Sen de altı ay boyunca başkasının çavuşluğunu dinledin.</t>
        </is>
      </c>
      <c r="K1284" s="6" t="inlineStr">
        <is>
          <t>İlk içtimada yanlış bölüğe katıldın. Bir hafta boyunca kimse fark etmedi; sonra herkes fark etti.</t>
        </is>
      </c>
      <c r="L1284" s="6" t="inlineStr"/>
      <c r="M1284" s="5" t="inlineStr"/>
      <c r="N1284" s="5" t="inlineStr"/>
      <c r="O1284" s="6" t="inlineStr"/>
      <c r="P1284" s="6" t="inlineStr"/>
      <c r="Q1284" s="5" t="inlineStr"/>
      <c r="R1284" s="5" t="inlineStr"/>
      <c r="S1284" s="5" t="inlineStr"/>
      <c r="T1284" s="5" t="inlineStr"/>
      <c r="U1284" s="5" t="inlineStr">
        <is>
          <t>askerlik-yapti</t>
        </is>
      </c>
      <c r="V1284" s="5" t="inlineStr"/>
      <c r="W1284" s="5" t="inlineStr"/>
      <c r="X1284" s="5" t="inlineStr"/>
      <c r="Y1284" s="5" t="inlineStr"/>
      <c r="Z1284" s="6" t="inlineStr"/>
      <c r="AA1284" s="5" t="inlineStr"/>
      <c r="AB1284" s="5" t="inlineStr"/>
      <c r="AC1284" s="5" t="inlineStr"/>
      <c r="AD1284" s="5" t="inlineStr"/>
      <c r="AE1284" s="5" t="inlineStr"/>
      <c r="AF1284" s="5" t="inlineStr"/>
      <c r="AG1284" s="5" t="inlineStr"/>
      <c r="AH1284" s="5" t="inlineStr"/>
    </row>
    <row r="1285">
      <c r="A1285" s="5" t="inlineStr">
        <is>
          <t>b6-askerlik-mezun</t>
        </is>
      </c>
      <c r="B1285" s="5" t="n">
        <v>2</v>
      </c>
      <c r="C1285" s="6" t="inlineStr">
        <is>
          <t>Bedelli öde</t>
        </is>
      </c>
      <c r="D1285" s="5" t="inlineStr"/>
      <c r="E1285" s="5" t="inlineStr"/>
      <c r="F1285" s="5" t="inlineStr">
        <is>
          <t>Pişkinlik +1</t>
        </is>
      </c>
      <c r="G1285" s="6" t="inlineStr">
        <is>
          <t>Parayı yatırdın, üç haftalık temel eğitime gittin, döndün. Arkadaşların “Bu da askerlik mi?” dedi. Sen de “Evet” dedin; çoğunlukla.</t>
        </is>
      </c>
      <c r="H1285" s="6" t="inlineStr"/>
      <c r="I1285" s="6" t="inlineStr"/>
      <c r="J1285" s="6" t="inlineStr"/>
      <c r="K1285" s="6" t="inlineStr"/>
      <c r="L1285" s="6" t="inlineStr"/>
      <c r="M1285" s="5" t="inlineStr"/>
      <c r="N1285" s="5" t="inlineStr"/>
      <c r="O1285" s="6" t="inlineStr"/>
      <c r="P1285" s="6" t="inlineStr"/>
      <c r="Q1285" s="5" t="inlineStr"/>
      <c r="R1285" s="5" t="inlineStr"/>
      <c r="S1285" s="5" t="inlineStr"/>
      <c r="T1285" s="5" t="inlineStr"/>
      <c r="U1285" s="5" t="inlineStr">
        <is>
          <t>bedelli</t>
        </is>
      </c>
      <c r="V1285" s="5" t="inlineStr"/>
      <c r="W1285" s="5" t="inlineStr"/>
      <c r="X1285" s="5" t="inlineStr"/>
      <c r="Y1285" s="5" t="inlineStr"/>
      <c r="Z1285" s="6" t="inlineStr"/>
      <c r="AA1285" s="5" t="inlineStr">
        <is>
          <t>Yalçın -1, Şen -1</t>
        </is>
      </c>
      <c r="AB1285" s="5" t="inlineStr"/>
      <c r="AC1285" s="5" t="inlineStr">
        <is>
          <t>Rahat</t>
        </is>
      </c>
      <c r="AD1285" s="5" t="inlineStr"/>
      <c r="AE1285" s="5" t="inlineStr"/>
      <c r="AF1285" s="5" t="inlineStr"/>
      <c r="AG1285" s="5" t="inlineStr"/>
      <c r="AH1285" s="5" t="inlineStr"/>
    </row>
    <row r="1286">
      <c r="A1286" s="5" t="inlineStr">
        <is>
          <t>b6-askerlik-mezun</t>
        </is>
      </c>
      <c r="B1286" s="5" t="n">
        <v>3</v>
      </c>
      <c r="C1286" s="6" t="inlineStr">
        <is>
          <t>Heyette düztabanlığını anlat</t>
        </is>
      </c>
      <c r="D1286" s="5" t="inlineStr">
        <is>
          <t>Kurnazlık</t>
        </is>
      </c>
      <c r="E1286" s="5" t="inlineStr">
        <is>
          <t>Çok Zor</t>
        </is>
      </c>
      <c r="F1286" s="5" t="inlineStr"/>
      <c r="G1286" s="6" t="inlineStr"/>
      <c r="H1286" s="6" t="inlineStr">
        <is>
          <t>Heyete öyle bir düztaban hikâyesi anlattın ki doktor kendi ayağına baktı. Rapor çıktı: “Elverişsiz.”</t>
        </is>
      </c>
      <c r="I1286" s="6" t="inlineStr">
        <is>
          <t>Heyet seni dinledikten sonra bir de tabanlık markası önerdi. Rapor elinde, tabanlık ayağında; ikisi de hayatın boyunca sende.</t>
        </is>
      </c>
      <c r="J1286" s="6" t="inlineStr">
        <is>
          <t>Heyet dinledi, not aldı, seni en doğudaki birliğe yazdı. Diplomanı da yanına al dediler.</t>
        </is>
      </c>
      <c r="K1286" s="6" t="inlineStr">
        <is>
          <t>Hangi ayağın düz olduğunu karıştırdın. Heyet kâğıdına “Acil celp” yazdı; bir de altını çizdi.</t>
        </is>
      </c>
      <c r="L1286" s="6" t="inlineStr"/>
      <c r="M1286" s="5" t="inlineStr"/>
      <c r="N1286" s="5" t="inlineStr"/>
      <c r="O1286" s="6" t="inlineStr"/>
      <c r="P1286" s="6" t="inlineStr"/>
      <c r="Q1286" s="5" t="inlineStr"/>
      <c r="R1286" s="5" t="inlineStr">
        <is>
          <t>yalanci</t>
        </is>
      </c>
      <c r="S1286" s="5" t="inlineStr"/>
      <c r="T1286" s="5" t="inlineStr"/>
      <c r="U1286" s="5" t="inlineStr"/>
      <c r="V1286" s="5" t="inlineStr">
        <is>
          <t>curuk-rapor</t>
        </is>
      </c>
      <c r="W1286" s="5" t="inlineStr"/>
      <c r="X1286" s="5" t="inlineStr"/>
      <c r="Y1286" s="5" t="inlineStr"/>
      <c r="Z1286" s="6" t="inlineStr"/>
      <c r="AA1286" s="5" t="inlineStr">
        <is>
          <t>hepsi -1</t>
        </is>
      </c>
      <c r="AB1286" s="5" t="inlineStr">
        <is>
          <t>askerlik-yapti</t>
        </is>
      </c>
      <c r="AC1286" s="5" t="inlineStr"/>
      <c r="AD1286" s="5" t="inlineStr"/>
      <c r="AE1286" s="5" t="inlineStr"/>
      <c r="AF1286" s="5" t="inlineStr"/>
      <c r="AG1286" s="5" t="inlineStr"/>
      <c r="AH1286" s="5" t="inlineStr"/>
    </row>
    <row r="1287">
      <c r="A1287" s="5" t="inlineStr">
        <is>
          <t>b6-kisla</t>
        </is>
      </c>
      <c r="B1287" s="5" t="n">
        <v>1</v>
      </c>
      <c r="C1287" s="6" t="inlineStr">
        <is>
          <t>Gece nöbetinde uyanık kal</t>
        </is>
      </c>
      <c r="D1287" s="5" t="inlineStr">
        <is>
          <t>Dayanıklılık</t>
        </is>
      </c>
      <c r="E1287" s="5" t="inlineStr">
        <is>
          <t>Zor</t>
        </is>
      </c>
      <c r="F1287" s="5" t="inlineStr"/>
      <c r="G1287" s="6" t="inlineStr"/>
      <c r="H1287" s="6" t="inlineStr">
        <is>
          <t>Saat üçte uyanıktın. Yıldızları saydın: altmış dört. Rapor istenmedi.</t>
        </is>
      </c>
      <c r="I1287" s="6" t="inlineStr">
        <is>
          <t>Tek bir kez esnemedin. Nöbet çizelgesinde adının yanına 'örnek' yazıldı. Ödülün bir nöbet daha.</t>
        </is>
      </c>
      <c r="J1287" s="6" t="inlineStr">
        <is>
          <t>Nöbette uyudun. Seni komutanın köpeği uyandırdı ve kimseye söylemedi. Sadakat.</t>
        </is>
      </c>
      <c r="K1287" s="6" t="inlineStr">
        <is>
          <t>Uyandığında kulübenin kapısında bir not vardı: 'Kahvaltıya gel.' Komutan imzalı.</t>
        </is>
      </c>
      <c r="L1287" s="6" t="inlineStr"/>
      <c r="M1287" s="5" t="inlineStr"/>
      <c r="N1287" s="5" t="inlineStr"/>
      <c r="O1287" s="6" t="inlineStr"/>
      <c r="P1287" s="6" t="inlineStr"/>
      <c r="Q1287" s="5" t="inlineStr"/>
      <c r="R1287" s="5" t="inlineStr"/>
      <c r="S1287" s="5" t="inlineStr"/>
      <c r="T1287" s="5" t="inlineStr">
        <is>
          <t>Nöbet Disiplini</t>
        </is>
      </c>
      <c r="U1287" s="5" t="inlineStr"/>
      <c r="V1287" s="5" t="inlineStr"/>
      <c r="W1287" s="5" t="inlineStr"/>
      <c r="X1287" s="5" t="inlineStr"/>
      <c r="Y1287" s="5" t="inlineStr"/>
      <c r="Z1287" s="6" t="inlineStr"/>
      <c r="AA1287" s="5" t="inlineStr"/>
      <c r="AB1287" s="5" t="inlineStr"/>
      <c r="AC1287" s="5" t="inlineStr"/>
      <c r="AD1287" s="5" t="inlineStr"/>
      <c r="AE1287" s="5" t="inlineStr"/>
      <c r="AF1287" s="5" t="inlineStr"/>
      <c r="AG1287" s="5" t="inlineStr"/>
      <c r="AH1287" s="5" t="inlineStr"/>
    </row>
    <row r="1288">
      <c r="A1288" s="5" t="inlineStr">
        <is>
          <t>b6-kisla</t>
        </is>
      </c>
      <c r="B1288" s="5" t="n">
        <v>2</v>
      </c>
      <c r="C1288" s="6" t="inlineStr">
        <is>
          <t>Komutanın köpeğini gezdirmeye gönüllü ol</t>
        </is>
      </c>
      <c r="D1288" s="5" t="inlineStr">
        <is>
          <t>Sosyal Radar</t>
        </is>
      </c>
      <c r="E1288" s="5" t="inlineStr">
        <is>
          <t>Kolay</t>
        </is>
      </c>
      <c r="F1288" s="5" t="inlineStr"/>
      <c r="G1288" s="6" t="inlineStr"/>
      <c r="H1288" s="6" t="inlineStr">
        <is>
          <t>Köpek seni sevdi. Komutan da köpeğin sevdiğini sevdi. Nöbetlerin gündüze kaydı.</t>
        </is>
      </c>
      <c r="I1288" s="6" t="inlineStr">
        <is>
          <t>Köpek yalnızca seninle yürüyor. Terhis günü kapıya kadar geldi. Komutan da.</t>
        </is>
      </c>
      <c r="J1288" s="6" t="inlineStr">
        <is>
          <t>Köpek seni gezdirdi. Kışlanın çevresini üç kez koşarak turladınız.</t>
        </is>
      </c>
      <c r="K1288" s="6" t="inlineStr">
        <is>
          <t>Tasmayı bıraktın. Bütün bölük iki saat köpeği aradı. Köpek komutanın odasında uyuyordu.</t>
        </is>
      </c>
      <c r="L1288" s="6" t="inlineStr"/>
      <c r="M1288" s="5" t="inlineStr"/>
      <c r="N1288" s="5" t="inlineStr"/>
      <c r="O1288" s="6" t="inlineStr"/>
      <c r="P1288" s="6" t="inlineStr"/>
      <c r="Q1288" s="5" t="inlineStr"/>
      <c r="R1288" s="5" t="inlineStr"/>
      <c r="S1288" s="5" t="inlineStr">
        <is>
          <t>Sosyal Radar</t>
        </is>
      </c>
      <c r="T1288" s="5" t="inlineStr"/>
      <c r="U1288" s="5" t="inlineStr"/>
      <c r="V1288" s="5" t="inlineStr"/>
      <c r="W1288" s="5" t="inlineStr"/>
      <c r="X1288" s="5" t="inlineStr"/>
      <c r="Y1288" s="5" t="inlineStr"/>
      <c r="Z1288" s="6" t="inlineStr"/>
      <c r="AA1288" s="5" t="inlineStr"/>
      <c r="AB1288" s="5" t="inlineStr"/>
      <c r="AC1288" s="5" t="inlineStr"/>
      <c r="AD1288" s="5" t="inlineStr"/>
      <c r="AE1288" s="5" t="inlineStr"/>
      <c r="AF1288" s="5" t="inlineStr"/>
      <c r="AG1288" s="5" t="inlineStr"/>
      <c r="AH1288" s="5" t="inlineStr"/>
    </row>
    <row r="1289">
      <c r="A1289" s="5" t="inlineStr">
        <is>
          <t>b6-kisla</t>
        </is>
      </c>
      <c r="B1289" s="5" t="n">
        <v>3</v>
      </c>
      <c r="C1289" s="6" t="inlineStr">
        <is>
          <t>Kantin sırasını düzene sok</t>
        </is>
      </c>
      <c r="D1289" s="5" t="inlineStr">
        <is>
          <t>Akıl</t>
        </is>
      </c>
      <c r="E1289" s="5" t="inlineStr">
        <is>
          <t>Orta</t>
        </is>
      </c>
      <c r="F1289" s="5" t="inlineStr"/>
      <c r="G1289" s="6" t="inlineStr"/>
      <c r="H1289" s="6" t="inlineStr">
        <is>
          <t>Numaratör sistemi kurdun. Bekleme yarıya indi. Kantinci sana bedava tost verdi.</t>
        </is>
      </c>
      <c r="I1289" s="6" t="inlineStr">
        <is>
          <t>Sistem bütün kışlada uygulandı. Adın bir yönergenin dipnotunda geçiyor.</t>
        </is>
      </c>
      <c r="J1289" s="6" t="inlineStr">
        <is>
          <t>İlk gün numaralar karıştı. İki kişi aynı tostu istedi, ikisi de sana baktı.</t>
        </is>
      </c>
      <c r="K1289" s="6" t="inlineStr">
        <is>
          <t>Numara kâğıtları rüzgârda uçtu. Kantin kaosa, sen ek nöbete.</t>
        </is>
      </c>
      <c r="L1289" s="6" t="inlineStr"/>
      <c r="M1289" s="5" t="inlineStr"/>
      <c r="N1289" s="5" t="inlineStr"/>
      <c r="O1289" s="6" t="inlineStr"/>
      <c r="P1289" s="6" t="inlineStr"/>
      <c r="Q1289" s="5" t="inlineStr">
        <is>
          <t>Organizatör</t>
        </is>
      </c>
      <c r="R1289" s="5" t="inlineStr"/>
      <c r="S1289" s="5" t="inlineStr"/>
      <c r="T1289" s="5" t="inlineStr"/>
      <c r="U1289" s="5" t="inlineStr"/>
      <c r="V1289" s="5" t="inlineStr"/>
      <c r="W1289" s="5" t="inlineStr"/>
      <c r="X1289" s="5" t="inlineStr"/>
      <c r="Y1289" s="5" t="inlineStr"/>
      <c r="Z1289" s="6" t="inlineStr"/>
      <c r="AA1289" s="5" t="inlineStr"/>
      <c r="AB1289" s="5" t="inlineStr"/>
      <c r="AC1289" s="5" t="inlineStr"/>
      <c r="AD1289" s="5" t="inlineStr"/>
      <c r="AE1289" s="5" t="inlineStr"/>
      <c r="AF1289" s="5" t="inlineStr"/>
      <c r="AG1289" s="5" t="inlineStr"/>
      <c r="AH1289" s="5" t="inlineStr"/>
    </row>
    <row r="1290">
      <c r="A1290" s="5" t="inlineStr">
        <is>
          <t>b6-kisla</t>
        </is>
      </c>
      <c r="B1290" s="5" t="n">
        <v>4</v>
      </c>
      <c r="C1290" s="6" t="inlineStr">
        <is>
          <t>Yazıcılığa gönüllü ol</t>
        </is>
      </c>
      <c r="D1290" s="5" t="inlineStr">
        <is>
          <t>Kurnazlık</t>
        </is>
      </c>
      <c r="E1290" s="5" t="inlineStr">
        <is>
          <t>Orta</t>
        </is>
      </c>
      <c r="F1290" s="5" t="inlineStr"/>
      <c r="G1290" s="6" t="inlineStr"/>
      <c r="H1290" s="6" t="inlineStr">
        <is>
          <t>İzin kâğıtlarının hepsi artık senin masandan geçiyor. Güç bir mühürdedir.</t>
        </is>
      </c>
      <c r="I1290" s="6" t="inlineStr">
        <is>
          <t>Bütün bölük sana hediye getirmeye başladı. Kantinden. Tost.</t>
        </is>
      </c>
      <c r="J1290" s="6" t="inlineStr">
        <is>
          <t>Mühürü ters bastın. Yüz izin belgesi yeniden basıldı.</t>
        </is>
      </c>
      <c r="K1290" s="6" t="inlineStr">
        <is>
          <t>Kendi izin belgeni yanlış tarihe bastın. Kapıdan çıktın, kapıdan geri döndün.</t>
        </is>
      </c>
      <c r="L1290" s="6" t="inlineStr"/>
      <c r="M1290" s="5" t="inlineStr"/>
      <c r="N1290" s="5" t="inlineStr"/>
      <c r="O1290" s="6" t="inlineStr"/>
      <c r="P1290" s="6" t="inlineStr"/>
      <c r="Q1290" s="5" t="inlineStr"/>
      <c r="R1290" s="5" t="inlineStr"/>
      <c r="S1290" s="5" t="inlineStr"/>
      <c r="T1290" s="5" t="inlineStr"/>
      <c r="U1290" s="5" t="inlineStr"/>
      <c r="V1290" s="5" t="inlineStr"/>
      <c r="W1290" s="5" t="inlineStr"/>
      <c r="X1290" s="5" t="inlineStr"/>
      <c r="Y1290" s="5" t="inlineStr"/>
      <c r="Z1290" s="6" t="inlineStr"/>
      <c r="AA1290" s="5" t="inlineStr"/>
      <c r="AB1290" s="5" t="inlineStr"/>
      <c r="AC1290" s="5" t="inlineStr"/>
      <c r="AD1290" s="5" t="inlineStr"/>
      <c r="AE1290" s="5" t="inlineStr"/>
      <c r="AF1290" s="5" t="inlineStr"/>
      <c r="AG1290" s="5" t="inlineStr"/>
      <c r="AH1290" s="5" t="inlineStr"/>
    </row>
    <row r="1291">
      <c r="A1291" s="5" t="inlineStr">
        <is>
          <t>b6-kisla</t>
        </is>
      </c>
      <c r="B1291" s="5" t="n">
        <v>5</v>
      </c>
      <c r="C1291" s="6" t="inlineStr">
        <is>
          <t>Nöbetleri tut, mektup yaz</t>
        </is>
      </c>
      <c r="D1291" s="5" t="inlineStr"/>
      <c r="E1291" s="5" t="inlineStr"/>
      <c r="F1291" s="5" t="inlineStr">
        <is>
          <t>İtibar +2, Dayanıklılık +1</t>
        </is>
      </c>
      <c r="G1291" s="6" t="inlineStr">
        <is>
          <t>Her nöbette bir mektup yazdın. Annen hepsini bir kutuda saklıyor. Kutunun üstünde 'Oğlumun romanı' yazıyor.</t>
        </is>
      </c>
      <c r="H1291" s="6" t="inlineStr"/>
      <c r="I1291" s="6" t="inlineStr"/>
      <c r="J1291" s="6" t="inlineStr"/>
      <c r="K1291" s="6" t="inlineStr"/>
      <c r="L1291" s="6" t="inlineStr"/>
      <c r="M1291" s="5" t="inlineStr"/>
      <c r="N1291" s="5" t="inlineStr"/>
      <c r="O1291" s="6" t="inlineStr"/>
      <c r="P1291" s="6" t="inlineStr"/>
      <c r="Q1291" s="5" t="inlineStr"/>
      <c r="R1291" s="5" t="inlineStr"/>
      <c r="S1291" s="5" t="inlineStr"/>
      <c r="T1291" s="5" t="inlineStr"/>
      <c r="U1291" s="5" t="inlineStr"/>
      <c r="V1291" s="5" t="inlineStr"/>
      <c r="W1291" s="5" t="inlineStr"/>
      <c r="X1291" s="5" t="inlineStr"/>
      <c r="Y1291" s="5" t="inlineStr"/>
      <c r="Z1291" s="6" t="inlineStr"/>
      <c r="AA1291" s="5" t="inlineStr"/>
      <c r="AB1291" s="5" t="inlineStr"/>
      <c r="AC1291" s="5" t="inlineStr"/>
      <c r="AD1291" s="5" t="inlineStr"/>
      <c r="AE1291" s="5" t="inlineStr"/>
      <c r="AF1291" s="5" t="inlineStr"/>
      <c r="AG1291" s="5" t="inlineStr"/>
      <c r="AH1291" s="5" t="inlineStr"/>
    </row>
    <row r="1292">
      <c r="A1292" s="5" t="inlineStr">
        <is>
          <t>b6-erken-askerlik</t>
        </is>
      </c>
      <c r="B1292" s="5" t="n">
        <v>1</v>
      </c>
      <c r="C1292" s="6" t="inlineStr">
        <is>
          <t>Nöbetleri tut, günleri say</t>
        </is>
      </c>
      <c r="D1292" s="5" t="inlineStr"/>
      <c r="E1292" s="5" t="inlineStr"/>
      <c r="F1292" s="5" t="inlineStr">
        <is>
          <t>Dayanıklılık +2</t>
        </is>
      </c>
      <c r="G1292" s="6" t="inlineStr">
        <is>
          <t>Duvardaki çentikler üç yüz altmışa ulaştı. Terhiste o duvarı fotoğrafladın; takvimlerin en dürüstüydü.</t>
        </is>
      </c>
      <c r="H1292" s="6" t="inlineStr"/>
      <c r="I1292" s="6" t="inlineStr"/>
      <c r="J1292" s="6" t="inlineStr"/>
      <c r="K1292" s="6" t="inlineStr"/>
      <c r="L1292" s="6" t="inlineStr"/>
      <c r="M1292" s="5" t="inlineStr"/>
      <c r="N1292" s="5" t="inlineStr"/>
      <c r="O1292" s="6" t="inlineStr"/>
      <c r="P1292" s="6" t="inlineStr"/>
      <c r="Q1292" s="5" t="inlineStr"/>
      <c r="R1292" s="5" t="inlineStr"/>
      <c r="S1292" s="5" t="inlineStr"/>
      <c r="T1292" s="5" t="inlineStr"/>
      <c r="U1292" s="5" t="inlineStr">
        <is>
          <t>askerlik-yapti</t>
        </is>
      </c>
      <c r="V1292" s="5" t="inlineStr"/>
      <c r="W1292" s="5" t="inlineStr"/>
      <c r="X1292" s="5" t="inlineStr"/>
      <c r="Y1292" s="5" t="inlineStr"/>
      <c r="Z1292" s="6" t="inlineStr"/>
      <c r="AA1292" s="5" t="inlineStr"/>
      <c r="AB1292" s="5" t="inlineStr"/>
      <c r="AC1292" s="5" t="inlineStr"/>
      <c r="AD1292" s="5" t="inlineStr"/>
      <c r="AE1292" s="5" t="inlineStr"/>
      <c r="AF1292" s="5" t="inlineStr"/>
      <c r="AG1292" s="5" t="inlineStr"/>
      <c r="AH1292" s="5" t="inlineStr"/>
    </row>
    <row r="1293">
      <c r="A1293" s="5" t="inlineStr">
        <is>
          <t>b6-erken-askerlik</t>
        </is>
      </c>
      <c r="B1293" s="5" t="n">
        <v>2</v>
      </c>
      <c r="C1293" s="6" t="inlineStr">
        <is>
          <t>Kışla arkadaşlarıyla dönüş planı kur</t>
        </is>
      </c>
      <c r="D1293" s="5" t="inlineStr">
        <is>
          <t>Çene</t>
        </is>
      </c>
      <c r="E1293" s="5" t="inlineStr">
        <is>
          <t>Orta</t>
        </is>
      </c>
      <c r="F1293" s="5" t="inlineStr"/>
      <c r="G1293" s="6" t="inlineStr"/>
      <c r="H1293" s="6" t="inlineStr">
        <is>
          <t>Nöbette dört kişi bir plan kurdunuz: dönünce birlikte iş. Kimse plana inanmadı; siz inandınız.</t>
        </is>
      </c>
      <c r="I1293" s="6" t="inlineStr">
        <is>
          <t>Planın o kadar sağlamdı ki bölük komutanı da katılmak istedi. Emekliliğine üç yıl var; bekliyorsunuz.</t>
        </is>
      </c>
      <c r="J1293" s="6" t="inlineStr">
        <is>
          <t>Plan kuruldu, sonra kantinde dağıldı. Bir kişi dayısının yanına gidecekmiş, biri evlenecekmiş.</t>
        </is>
      </c>
      <c r="K1293" s="6" t="inlineStr">
        <is>
          <t>Planı yüksek sesle anlattın. Nöbetçi subay duydu; planın ilk maddesi ek nöbet oldu.</t>
        </is>
      </c>
      <c r="L1293" s="6" t="inlineStr"/>
      <c r="M1293" s="5" t="inlineStr"/>
      <c r="N1293" s="5" t="inlineStr"/>
      <c r="O1293" s="6" t="inlineStr"/>
      <c r="P1293" s="6" t="inlineStr"/>
      <c r="Q1293" s="5" t="inlineStr"/>
      <c r="R1293" s="5" t="inlineStr"/>
      <c r="S1293" s="5" t="inlineStr"/>
      <c r="T1293" s="5" t="inlineStr"/>
      <c r="U1293" s="5" t="inlineStr">
        <is>
          <t>askerlik-yapti</t>
        </is>
      </c>
      <c r="V1293" s="5" t="inlineStr">
        <is>
          <t>kisla-kankasi</t>
        </is>
      </c>
      <c r="W1293" s="5" t="inlineStr"/>
      <c r="X1293" s="5" t="inlineStr"/>
      <c r="Y1293" s="5" t="inlineStr"/>
      <c r="Z1293" s="6" t="inlineStr"/>
      <c r="AA1293" s="5" t="inlineStr"/>
      <c r="AB1293" s="5" t="inlineStr"/>
      <c r="AC1293" s="5" t="inlineStr"/>
      <c r="AD1293" s="5" t="inlineStr"/>
      <c r="AE1293" s="5" t="inlineStr"/>
      <c r="AF1293" s="5" t="inlineStr"/>
      <c r="AG1293" s="5" t="inlineStr"/>
      <c r="AH1293" s="5" t="inlineStr"/>
    </row>
    <row r="1294">
      <c r="A1294" s="5" t="inlineStr">
        <is>
          <t>b6-erken-askerlik</t>
        </is>
      </c>
      <c r="B1294" s="5" t="n">
        <v>3</v>
      </c>
      <c r="C1294" s="6" t="inlineStr">
        <is>
          <t>Gece nöbetinde uyanık kal</t>
        </is>
      </c>
      <c r="D1294" s="5" t="inlineStr">
        <is>
          <t>Dayanıklılık</t>
        </is>
      </c>
      <c r="E1294" s="5" t="inlineStr">
        <is>
          <t>Zor</t>
        </is>
      </c>
      <c r="F1294" s="5" t="inlineStr"/>
      <c r="G1294" s="6" t="inlineStr"/>
      <c r="H1294" s="6" t="inlineStr">
        <is>
          <t>Saat üçte uyanıktın. Yıldızları saydın: altmış dört. Rapor istenmedi.</t>
        </is>
      </c>
      <c r="I1294" s="6" t="inlineStr">
        <is>
          <t>Tek bir kez esnemedin. Nöbet çizelgesinde adının yanına “örnek” yazıldı. Ödülün bir nöbet daha.</t>
        </is>
      </c>
      <c r="J1294" s="6" t="inlineStr">
        <is>
          <t>Nöbette uyudun. Seni komutanın köpeği uyandırdı ve kimseye söylemedi. Sadakat.</t>
        </is>
      </c>
      <c r="K1294" s="6" t="inlineStr">
        <is>
          <t>Uyandığında kulübenin kapısında bir not vardı: “Kahvaltıya gel.” Komutan imzalı.</t>
        </is>
      </c>
      <c r="L1294" s="6" t="inlineStr"/>
      <c r="M1294" s="5" t="inlineStr"/>
      <c r="N1294" s="5" t="inlineStr"/>
      <c r="O1294" s="6" t="inlineStr"/>
      <c r="P1294" s="6" t="inlineStr"/>
      <c r="Q1294" s="5" t="inlineStr"/>
      <c r="R1294" s="5" t="inlineStr"/>
      <c r="S1294" s="5" t="inlineStr"/>
      <c r="T1294" s="5" t="inlineStr">
        <is>
          <t>Nöbet Disiplini</t>
        </is>
      </c>
      <c r="U1294" s="5" t="inlineStr">
        <is>
          <t>askerlik-yapti</t>
        </is>
      </c>
      <c r="V1294" s="5" t="inlineStr"/>
      <c r="W1294" s="5" t="inlineStr"/>
      <c r="X1294" s="5" t="inlineStr"/>
      <c r="Y1294" s="5" t="inlineStr"/>
      <c r="Z1294" s="6" t="inlineStr"/>
      <c r="AA1294" s="5" t="inlineStr"/>
      <c r="AB1294" s="5" t="inlineStr"/>
      <c r="AC1294" s="5" t="inlineStr"/>
      <c r="AD1294" s="5" t="inlineStr"/>
      <c r="AE1294" s="5" t="inlineStr"/>
      <c r="AF1294" s="5" t="inlineStr"/>
      <c r="AG1294" s="5" t="inlineStr"/>
      <c r="AH1294" s="5" t="inlineStr"/>
    </row>
    <row r="1295">
      <c r="A1295" s="5" t="inlineStr">
        <is>
          <t>b6-tezkere</t>
        </is>
      </c>
      <c r="B1295" s="5" t="n">
        <v>1</v>
      </c>
      <c r="C1295" s="6" t="inlineStr">
        <is>
          <t>Kapıda sürpriz yap</t>
        </is>
      </c>
      <c r="D1295" s="5" t="inlineStr"/>
      <c r="E1295" s="5" t="inlineStr"/>
      <c r="F1295" s="5" t="inlineStr">
        <is>
          <t>İtibar +1, Sosyal Radar +1</t>
        </is>
      </c>
      <c r="G1295" s="6" t="inlineStr">
        <is>
          <t>Kapıyı çaldın. Annen açtı, baktı, kapattı, sonra tekrar açtı. İkinci açışta ağladı. Baban “Zayıflamışsın” dedi; kendisi de zayıflamıştı.</t>
        </is>
      </c>
      <c r="H1295" s="6" t="inlineStr"/>
      <c r="I1295" s="6" t="inlineStr"/>
      <c r="J1295" s="6" t="inlineStr"/>
      <c r="K1295" s="6" t="inlineStr"/>
      <c r="L1295" s="6" t="inlineStr"/>
      <c r="M1295" s="5" t="inlineStr"/>
      <c r="N1295" s="5" t="inlineStr"/>
      <c r="O1295" s="6" t="inlineStr"/>
      <c r="P1295" s="6" t="inlineStr"/>
      <c r="Q1295" s="5" t="inlineStr"/>
      <c r="R1295" s="5" t="inlineStr"/>
      <c r="S1295" s="5" t="inlineStr"/>
      <c r="T1295" s="5" t="inlineStr"/>
      <c r="U1295" s="5" t="inlineStr"/>
      <c r="V1295" s="5" t="inlineStr"/>
      <c r="W1295" s="5" t="inlineStr"/>
      <c r="X1295" s="5" t="inlineStr"/>
      <c r="Y1295" s="5" t="inlineStr"/>
      <c r="Z1295" s="6" t="inlineStr"/>
      <c r="AA1295" s="5" t="inlineStr"/>
      <c r="AB1295" s="5" t="inlineStr"/>
      <c r="AC1295" s="5" t="inlineStr"/>
      <c r="AD1295" s="5" t="inlineStr"/>
      <c r="AE1295" s="5" t="inlineStr"/>
      <c r="AF1295" s="5" t="inlineStr"/>
      <c r="AG1295" s="5" t="inlineStr"/>
      <c r="AH1295" s="5" t="inlineStr"/>
    </row>
    <row r="1296">
      <c r="A1296" s="5" t="inlineStr">
        <is>
          <t>b6-tezkere</t>
        </is>
      </c>
      <c r="B1296" s="5" t="n">
        <v>2</v>
      </c>
      <c r="C1296" s="6" t="inlineStr">
        <is>
          <t>Kışla arkadaşlarıyla iş kur</t>
        </is>
      </c>
      <c r="D1296" s="5" t="inlineStr">
        <is>
          <t>Kurnazlık</t>
        </is>
      </c>
      <c r="E1296" s="5" t="inlineStr">
        <is>
          <t>Orta</t>
        </is>
      </c>
      <c r="F1296" s="5" t="inlineStr"/>
      <c r="G1296" s="6" t="inlineStr"/>
      <c r="H1296" s="6" t="inlineStr">
        <is>
          <t>Dört kişi bir nakliye minibüsü kiraladınız. Adı “Tezkere Taşımacılık.” İlk ay üç ev taşıdınız, bir buzdolabını kurtaramadınız.</t>
        </is>
      </c>
      <c r="I1296" s="6" t="inlineStr">
        <is>
          <t>İşler öyle iyi gitti ki ikinci minibüsü aldınız. Şoförlerin hepsi aynı bölükten; araçta marş çalıyor.</t>
        </is>
      </c>
      <c r="J1296" s="6" t="inlineStr">
        <is>
          <t>Minibüsün kirasını ödediniz, iş gelmedi. Bir ay boyunca birbirinizi taşıdınız.</t>
        </is>
      </c>
      <c r="K1296" s="6" t="inlineStr">
        <is>
          <t>İlk taşımada koltuğu merdivende sıkıştırdınız. Koltuk hâlâ orada; bina onu artık sahipleniyor.</t>
        </is>
      </c>
      <c r="L1296" s="6" t="inlineStr"/>
      <c r="M1296" s="5" t="inlineStr"/>
      <c r="N1296" s="5" t="inlineStr"/>
      <c r="O1296" s="6" t="inlineStr"/>
      <c r="P1296" s="6" t="inlineStr"/>
      <c r="Q1296" s="5" t="inlineStr"/>
      <c r="R1296" s="5" t="inlineStr">
        <is>
          <t>kisla-kankasi</t>
        </is>
      </c>
      <c r="S1296" s="5" t="inlineStr"/>
      <c r="T1296" s="5" t="inlineStr"/>
      <c r="U1296" s="5" t="inlineStr"/>
      <c r="V1296" s="5" t="inlineStr">
        <is>
          <t>usta-eli</t>
        </is>
      </c>
      <c r="W1296" s="5" t="inlineStr"/>
      <c r="X1296" s="5" t="inlineStr"/>
      <c r="Y1296" s="5" t="inlineStr"/>
      <c r="Z1296" s="6" t="inlineStr"/>
      <c r="AA1296" s="5" t="inlineStr"/>
      <c r="AB1296" s="5" t="inlineStr"/>
      <c r="AC1296" s="5" t="inlineStr"/>
      <c r="AD1296" s="5" t="inlineStr"/>
      <c r="AE1296" s="5" t="inlineStr"/>
      <c r="AF1296" s="5" t="inlineStr"/>
      <c r="AG1296" s="5" t="inlineStr"/>
      <c r="AH1296" s="5" t="inlineStr"/>
    </row>
    <row r="1297">
      <c r="A1297" s="5" t="inlineStr">
        <is>
          <t>b6-tezkere</t>
        </is>
      </c>
      <c r="B1297" s="5" t="n">
        <v>3</v>
      </c>
      <c r="C1297" s="6" t="inlineStr">
        <is>
          <t>Ertesi gün iş aramaya çık</t>
        </is>
      </c>
      <c r="D1297" s="5" t="inlineStr">
        <is>
          <t>Dayanıklılık</t>
        </is>
      </c>
      <c r="E1297" s="5" t="inlineStr">
        <is>
          <t>Orta</t>
        </is>
      </c>
      <c r="F1297" s="5" t="inlineStr"/>
      <c r="G1297" s="6" t="inlineStr"/>
      <c r="H1297" s="6" t="inlineStr">
        <is>
          <t>Askerliğini yapmış olman kapıları açtı. “Askerlik yapıldı mı?” sorusuna gülerek cevap verdin; işe alındın.</t>
        </is>
      </c>
      <c r="I1297" s="6" t="inlineStr">
        <is>
          <t>İlk gittiğin yerde müdür eski bölük komutanının kardeşi çıktı. İşe alındın, bir de kahve ısmarlandı.</t>
        </is>
      </c>
      <c r="J1297" s="6" t="inlineStr">
        <is>
          <t>Her yer “Tecrübe?” diye sordu. Tecrüben var: nöbet. Özgeçmişe nasıl yazılacağını kimse bilmiyor.</t>
        </is>
      </c>
      <c r="K1297" s="6" t="inlineStr">
        <is>
          <t>Mülakatta “Rahat!” komutunu beklerken hazır ol duruşunda kaldın. Görüşme kısa sürdü.</t>
        </is>
      </c>
      <c r="L1297" s="6" t="inlineStr"/>
      <c r="M1297" s="5" t="inlineStr"/>
      <c r="N1297" s="5" t="inlineStr"/>
      <c r="O1297" s="6" t="inlineStr"/>
      <c r="P1297" s="6" t="inlineStr"/>
      <c r="Q1297" s="5" t="inlineStr"/>
      <c r="R1297" s="5" t="inlineStr"/>
      <c r="S1297" s="5" t="inlineStr"/>
      <c r="T1297" s="5" t="inlineStr"/>
      <c r="U1297" s="5" t="inlineStr"/>
      <c r="V1297" s="5" t="inlineStr"/>
      <c r="W1297" s="5" t="inlineStr"/>
      <c r="X1297" s="5" t="inlineStr"/>
      <c r="Y1297" s="5" t="inlineStr"/>
      <c r="Z1297" s="6" t="inlineStr"/>
      <c r="AA1297" s="5" t="inlineStr"/>
      <c r="AB1297" s="5" t="inlineStr"/>
      <c r="AC1297" s="5" t="inlineStr"/>
      <c r="AD1297" s="5" t="inlineStr"/>
      <c r="AE1297" s="5" t="inlineStr"/>
      <c r="AF1297" s="5" t="inlineStr"/>
      <c r="AG1297" s="5" t="inlineStr"/>
      <c r="AH1297" s="5" t="inlineStr"/>
    </row>
    <row r="1298">
      <c r="A1298" s="5" t="inlineStr">
        <is>
          <t>b6-ikinci-sinav</t>
        </is>
      </c>
      <c r="B1298" s="5" t="n">
        <v>1</v>
      </c>
      <c r="C1298" s="6" t="inlineStr">
        <is>
          <t>Bu sefer sırayla, sakince çöz</t>
        </is>
      </c>
      <c r="D1298" s="5" t="inlineStr">
        <is>
          <t>Akıl</t>
        </is>
      </c>
      <c r="E1298" s="5" t="inlineStr">
        <is>
          <t>Orta</t>
        </is>
      </c>
      <c r="F1298" s="5" t="inlineStr"/>
      <c r="G1298" s="6" t="inlineStr"/>
      <c r="H1298" s="6" t="inlineStr">
        <is>
          <t>Bu sefer eller titremedi. Sonuç açıklandığında adın listedeydi. Annen aynı mesajı aile grubuna iki kez gönderdi.</t>
        </is>
      </c>
      <c r="I1298" s="6" t="inlineStr">
        <is>
          <t>Geçen yılın on katı puan yaptın. Dershane seni afişe bastı; afişte “Bir yılda neler değişir?” yazıyor.</t>
        </is>
      </c>
      <c r="J1298" s="6" t="inlineStr">
        <is>
          <t>Bir yıl daha çalışmıştın; puan da bir yıl daha çalışmış ama yetmemiş. Aile grubu bu sefer sessiz.</t>
        </is>
      </c>
      <c r="K1298" s="6" t="inlineStr">
        <is>
          <t>Optik formu yine kaydırdın. Bu sefer iki satır. Dershane seni afişe bastı; “Yapmayın” başlığıyla.</t>
        </is>
      </c>
      <c r="L1298" s="6" t="inlineStr"/>
      <c r="M1298" s="5" t="inlineStr"/>
      <c r="N1298" s="5" t="inlineStr"/>
      <c r="O1298" s="6" t="inlineStr"/>
      <c r="P1298" s="6" t="inlineStr"/>
      <c r="Q1298" s="5" t="inlineStr"/>
      <c r="R1298" s="5" t="inlineStr"/>
      <c r="S1298" s="5" t="inlineStr"/>
      <c r="T1298" s="5" t="inlineStr"/>
      <c r="U1298" s="5" t="inlineStr"/>
      <c r="V1298" s="5" t="inlineStr">
        <is>
          <t>universiteli</t>
        </is>
      </c>
      <c r="W1298" s="5" t="inlineStr"/>
      <c r="X1298" s="5" t="inlineStr"/>
      <c r="Y1298" s="5" t="inlineStr"/>
      <c r="Z1298" s="6" t="inlineStr"/>
      <c r="AA1298" s="5" t="inlineStr">
        <is>
          <t>Erdem +1, Tan +1</t>
        </is>
      </c>
      <c r="AB1298" s="5" t="inlineStr">
        <is>
          <t>universitesiz</t>
        </is>
      </c>
      <c r="AC1298" s="5" t="inlineStr"/>
      <c r="AD1298" s="5" t="inlineStr"/>
      <c r="AE1298" s="5" t="inlineStr"/>
      <c r="AF1298" s="5" t="inlineStr"/>
      <c r="AG1298" s="5" t="inlineStr"/>
      <c r="AH1298" s="5" t="inlineStr"/>
    </row>
    <row r="1299">
      <c r="A1299" s="5" t="inlineStr">
        <is>
          <t>b6-ikinci-sinav</t>
        </is>
      </c>
      <c r="B1299" s="5" t="n">
        <v>2</v>
      </c>
      <c r="C1299" s="6" t="inlineStr">
        <is>
          <t>Deneme tecrübene yaslan</t>
        </is>
      </c>
      <c r="D1299" s="5" t="inlineStr">
        <is>
          <t>Dayanıklılık</t>
        </is>
      </c>
      <c r="E1299" s="5" t="inlineStr">
        <is>
          <t>Kolay</t>
        </is>
      </c>
      <c r="F1299" s="5" t="inlineStr"/>
      <c r="G1299" s="6" t="inlineStr"/>
      <c r="H1299" s="6" t="inlineStr">
        <is>
          <t>Yüzlerce deneme sınavından sonra bu sadece bir tane daha. Üniversiteye girdin.</t>
        </is>
      </c>
      <c r="I1299" s="6" t="inlineStr">
        <is>
          <t>Salondaki gözetmen seni hatırladı: “Sen hep erken bitirirdin.” Bu sefer de erken bitirdin; bu sefer doğru.</t>
        </is>
      </c>
      <c r="J1299" s="6" t="inlineStr">
        <is>
          <t>Denemelerde tutan taktikler bu sefer tutmadı. Sınav, denemeleri okumuş.</t>
        </is>
      </c>
      <c r="K1299" s="6" t="inlineStr">
        <is>
          <t>Denemelerdeki gibi son yarım saati uyuyarak geçirdin. Denemelerde kimse seni uyandırmıyordu.</t>
        </is>
      </c>
      <c r="L1299" s="6" t="inlineStr"/>
      <c r="M1299" s="5" t="inlineStr"/>
      <c r="N1299" s="5" t="inlineStr"/>
      <c r="O1299" s="6" t="inlineStr"/>
      <c r="P1299" s="6" t="inlineStr"/>
      <c r="Q1299" s="5" t="inlineStr">
        <is>
          <t>Deneme Kurdu</t>
        </is>
      </c>
      <c r="R1299" s="5" t="inlineStr"/>
      <c r="S1299" s="5" t="inlineStr"/>
      <c r="T1299" s="5" t="inlineStr"/>
      <c r="U1299" s="5" t="inlineStr"/>
      <c r="V1299" s="5" t="inlineStr">
        <is>
          <t>universiteli</t>
        </is>
      </c>
      <c r="W1299" s="5" t="inlineStr"/>
      <c r="X1299" s="5" t="inlineStr"/>
      <c r="Y1299" s="5" t="inlineStr"/>
      <c r="Z1299" s="6" t="inlineStr"/>
      <c r="AA1299" s="5" t="inlineStr"/>
      <c r="AB1299" s="5" t="inlineStr">
        <is>
          <t>universitesiz</t>
        </is>
      </c>
      <c r="AC1299" s="5" t="inlineStr"/>
      <c r="AD1299" s="5" t="inlineStr"/>
      <c r="AE1299" s="5" t="inlineStr"/>
      <c r="AF1299" s="5" t="inlineStr"/>
      <c r="AG1299" s="5" t="inlineStr"/>
      <c r="AH1299" s="5" t="inlineStr"/>
    </row>
    <row r="1300">
      <c r="A1300" s="5" t="inlineStr">
        <is>
          <t>b6-ikinci-sinav</t>
        </is>
      </c>
      <c r="B1300" s="5" t="n">
        <v>3</v>
      </c>
      <c r="C1300" s="6" t="inlineStr">
        <is>
          <t>Sınava girme, çalışmaya başla</t>
        </is>
      </c>
      <c r="D1300" s="5" t="inlineStr"/>
      <c r="E1300" s="5" t="inlineStr"/>
      <c r="F1300" s="5" t="inlineStr">
        <is>
          <t>Cesaret +1, Dayanıklılık +1</t>
        </is>
      </c>
      <c r="G1300" s="6" t="inlineStr">
        <is>
          <t>Sınav sabahı işe gittin. Dershane arkandan üç mesaj attı, sonra vazgeçti. Annen o akşam “Sen bilirsin” dedi; bu cümle evde en ağır cümledir.</t>
        </is>
      </c>
      <c r="H1300" s="6" t="inlineStr"/>
      <c r="I1300" s="6" t="inlineStr"/>
      <c r="J1300" s="6" t="inlineStr"/>
      <c r="K1300" s="6" t="inlineStr"/>
      <c r="L1300" s="6" t="inlineStr"/>
      <c r="M1300" s="5" t="inlineStr"/>
      <c r="N1300" s="5" t="inlineStr"/>
      <c r="O1300" s="6" t="inlineStr"/>
      <c r="P1300" s="6" t="inlineStr"/>
      <c r="Q1300" s="5" t="inlineStr"/>
      <c r="R1300" s="5" t="inlineStr"/>
      <c r="S1300" s="5" t="inlineStr"/>
      <c r="T1300" s="5" t="inlineStr"/>
      <c r="U1300" s="5" t="inlineStr">
        <is>
          <t>universitesiz</t>
        </is>
      </c>
      <c r="V1300" s="5" t="inlineStr"/>
      <c r="W1300" s="5" t="inlineStr"/>
      <c r="X1300" s="5" t="inlineStr"/>
      <c r="Y1300" s="5" t="inlineStr"/>
      <c r="Z1300" s="6" t="inlineStr"/>
      <c r="AA1300" s="5" t="inlineStr">
        <is>
          <t>Erdem -1, Tan -1</t>
        </is>
      </c>
      <c r="AB1300" s="5" t="inlineStr"/>
      <c r="AC1300" s="5" t="inlineStr"/>
      <c r="AD1300" s="5" t="inlineStr"/>
      <c r="AE1300" s="5" t="inlineStr"/>
      <c r="AF1300" s="5" t="inlineStr"/>
      <c r="AG1300" s="5" t="inlineStr"/>
      <c r="AH1300" s="5" t="inlineStr"/>
    </row>
    <row r="1301">
      <c r="A1301" s="5" t="inlineStr">
        <is>
          <t>b6-ikinci-tercih</t>
        </is>
      </c>
      <c r="B1301" s="5" t="n">
        <v>1</v>
      </c>
      <c r="C1301" s="6" t="inlineStr">
        <is>
          <t>Hukuk</t>
        </is>
      </c>
      <c r="D1301" s="5" t="inlineStr"/>
      <c r="E1301" s="5" t="inlineStr"/>
      <c r="F1301" s="5" t="inlineStr">
        <is>
          <t>Çene +1, Akıl +1</t>
        </is>
      </c>
      <c r="G1301" s="6" t="inlineStr">
        <is>
          <t>Hukuk yazdın. Annen hemen bir akrabayı aradı: “Bizimki avukat oluyor.” Daha birinci sınıf bile değilsin; akraba ise bir davası için randevu istedi.</t>
        </is>
      </c>
      <c r="H1301" s="6" t="inlineStr"/>
      <c r="I1301" s="6" t="inlineStr"/>
      <c r="J1301" s="6" t="inlineStr"/>
      <c r="K1301" s="6" t="inlineStr"/>
      <c r="L1301" s="6" t="inlineStr"/>
      <c r="M1301" s="5" t="inlineStr"/>
      <c r="N1301" s="5" t="inlineStr"/>
      <c r="O1301" s="6" t="inlineStr"/>
      <c r="P1301" s="6" t="inlineStr"/>
      <c r="Q1301" s="5" t="inlineStr"/>
      <c r="R1301" s="5" t="inlineStr"/>
      <c r="S1301" s="5" t="inlineStr"/>
      <c r="T1301" s="5" t="inlineStr"/>
      <c r="U1301" s="5" t="inlineStr">
        <is>
          <t>bolum-hukuk</t>
        </is>
      </c>
      <c r="V1301" s="5" t="inlineStr"/>
      <c r="W1301" s="5" t="inlineStr"/>
      <c r="X1301" s="5" t="inlineStr"/>
      <c r="Y1301" s="5" t="inlineStr"/>
      <c r="Z1301" s="6" t="inlineStr"/>
      <c r="AA1301" s="5" t="inlineStr"/>
      <c r="AB1301" s="5" t="inlineStr"/>
      <c r="AC1301" s="5" t="inlineStr"/>
      <c r="AD1301" s="5" t="inlineStr"/>
      <c r="AE1301" s="5" t="inlineStr"/>
      <c r="AF1301" s="5" t="inlineStr"/>
      <c r="AG1301" s="5" t="inlineStr"/>
      <c r="AH1301" s="5" t="inlineStr"/>
    </row>
    <row r="1302">
      <c r="A1302" s="5" t="inlineStr">
        <is>
          <t>b6-ikinci-tercih</t>
        </is>
      </c>
      <c r="B1302" s="5" t="n">
        <v>2</v>
      </c>
      <c r="C1302" s="6" t="inlineStr">
        <is>
          <t>Emniyet Akademisi</t>
        </is>
      </c>
      <c r="D1302" s="5" t="inlineStr"/>
      <c r="E1302" s="5" t="inlineStr"/>
      <c r="F1302" s="5" t="inlineStr">
        <is>
          <t>Cesaret +1, İtibar +1</t>
        </is>
      </c>
      <c r="G1302" s="6" t="inlineStr">
        <is>
          <t>Akademiyi yazdın. Baban seni ilk kez bir üniformanın içinde hayal etti ve gözleri doldu; sonra sesli olarak “Saçını kestir” dedi.</t>
        </is>
      </c>
      <c r="H1302" s="6" t="inlineStr"/>
      <c r="I1302" s="6" t="inlineStr"/>
      <c r="J1302" s="6" t="inlineStr"/>
      <c r="K1302" s="6" t="inlineStr"/>
      <c r="L1302" s="6" t="inlineStr"/>
      <c r="M1302" s="5" t="inlineStr"/>
      <c r="N1302" s="5" t="inlineStr"/>
      <c r="O1302" s="6" t="inlineStr"/>
      <c r="P1302" s="6" t="inlineStr"/>
      <c r="Q1302" s="5" t="inlineStr"/>
      <c r="R1302" s="5" t="inlineStr"/>
      <c r="S1302" s="5" t="inlineStr"/>
      <c r="T1302" s="5" t="inlineStr"/>
      <c r="U1302" s="5" t="inlineStr">
        <is>
          <t>bolum-emniyet</t>
        </is>
      </c>
      <c r="V1302" s="5" t="inlineStr"/>
      <c r="W1302" s="5" t="inlineStr"/>
      <c r="X1302" s="5" t="inlineStr"/>
      <c r="Y1302" s="5" t="inlineStr"/>
      <c r="Z1302" s="6" t="inlineStr"/>
      <c r="AA1302" s="5" t="inlineStr"/>
      <c r="AB1302" s="5" t="inlineStr"/>
      <c r="AC1302" s="5" t="inlineStr"/>
      <c r="AD1302" s="5" t="inlineStr"/>
      <c r="AE1302" s="5" t="inlineStr"/>
      <c r="AF1302" s="5" t="inlineStr"/>
      <c r="AG1302" s="5" t="inlineStr"/>
      <c r="AH1302" s="5" t="inlineStr"/>
    </row>
    <row r="1303">
      <c r="A1303" s="5" t="inlineStr">
        <is>
          <t>b6-ikinci-tercih</t>
        </is>
      </c>
      <c r="B1303" s="5" t="n">
        <v>3</v>
      </c>
      <c r="C1303" s="6" t="inlineStr">
        <is>
          <t>Mühendislik</t>
        </is>
      </c>
      <c r="D1303" s="5" t="inlineStr"/>
      <c r="E1303" s="5" t="inlineStr"/>
      <c r="F1303" s="5" t="inlineStr">
        <is>
          <t>Akıl +2</t>
        </is>
      </c>
      <c r="G1303" s="6" t="inlineStr">
        <is>
          <t>Mühendislik yazdın. O günden sonra evde bozulan her şey sana soruldu. Kombi, televizyon, bir de babanın ruh hâli.</t>
        </is>
      </c>
      <c r="H1303" s="6" t="inlineStr"/>
      <c r="I1303" s="6" t="inlineStr"/>
      <c r="J1303" s="6" t="inlineStr"/>
      <c r="K1303" s="6" t="inlineStr"/>
      <c r="L1303" s="6" t="inlineStr"/>
      <c r="M1303" s="5" t="inlineStr"/>
      <c r="N1303" s="5" t="inlineStr"/>
      <c r="O1303" s="6" t="inlineStr"/>
      <c r="P1303" s="6" t="inlineStr"/>
      <c r="Q1303" s="5" t="inlineStr"/>
      <c r="R1303" s="5" t="inlineStr"/>
      <c r="S1303" s="5" t="inlineStr"/>
      <c r="T1303" s="5" t="inlineStr"/>
      <c r="U1303" s="5" t="inlineStr">
        <is>
          <t>bolum-muhendislik</t>
        </is>
      </c>
      <c r="V1303" s="5" t="inlineStr"/>
      <c r="W1303" s="5" t="inlineStr"/>
      <c r="X1303" s="5" t="inlineStr"/>
      <c r="Y1303" s="5" t="inlineStr"/>
      <c r="Z1303" s="6" t="inlineStr"/>
      <c r="AA1303" s="5" t="inlineStr"/>
      <c r="AB1303" s="5" t="inlineStr"/>
      <c r="AC1303" s="5" t="inlineStr"/>
      <c r="AD1303" s="5" t="inlineStr"/>
      <c r="AE1303" s="5" t="inlineStr"/>
      <c r="AF1303" s="5" t="inlineStr"/>
      <c r="AG1303" s="5" t="inlineStr"/>
      <c r="AH1303" s="5" t="inlineStr"/>
    </row>
    <row r="1304">
      <c r="A1304" s="5" t="inlineStr">
        <is>
          <t>b6-ikinci-tercih</t>
        </is>
      </c>
      <c r="B1304" s="5" t="n">
        <v>4</v>
      </c>
      <c r="C1304" s="6" t="inlineStr">
        <is>
          <t>İşletme</t>
        </is>
      </c>
      <c r="D1304" s="5" t="inlineStr"/>
      <c r="E1304" s="5" t="inlineStr"/>
      <c r="F1304" s="5" t="inlineStr">
        <is>
          <t>Kurnazlık +1, Akıl +1</t>
        </is>
      </c>
      <c r="G1304" s="6" t="inlineStr">
        <is>
          <t>İşletme yazdın. Amcan “İşletme ne işletir?” diye sordu. Dört yıl boyunca aynı soruyu cevaplayacaksın.</t>
        </is>
      </c>
      <c r="H1304" s="6" t="inlineStr"/>
      <c r="I1304" s="6" t="inlineStr"/>
      <c r="J1304" s="6" t="inlineStr"/>
      <c r="K1304" s="6" t="inlineStr"/>
      <c r="L1304" s="6" t="inlineStr"/>
      <c r="M1304" s="5" t="inlineStr"/>
      <c r="N1304" s="5" t="inlineStr"/>
      <c r="O1304" s="6" t="inlineStr"/>
      <c r="P1304" s="6" t="inlineStr"/>
      <c r="Q1304" s="5" t="inlineStr"/>
      <c r="R1304" s="5" t="inlineStr"/>
      <c r="S1304" s="5" t="inlineStr"/>
      <c r="T1304" s="5" t="inlineStr"/>
      <c r="U1304" s="5" t="inlineStr">
        <is>
          <t>bolum-isletme</t>
        </is>
      </c>
      <c r="V1304" s="5" t="inlineStr"/>
      <c r="W1304" s="5" t="inlineStr"/>
      <c r="X1304" s="5" t="inlineStr"/>
      <c r="Y1304" s="5" t="inlineStr"/>
      <c r="Z1304" s="6" t="inlineStr"/>
      <c r="AA1304" s="5" t="inlineStr"/>
      <c r="AB1304" s="5" t="inlineStr"/>
      <c r="AC1304" s="5" t="inlineStr"/>
      <c r="AD1304" s="5" t="inlineStr"/>
      <c r="AE1304" s="5" t="inlineStr"/>
      <c r="AF1304" s="5" t="inlineStr"/>
      <c r="AG1304" s="5" t="inlineStr"/>
      <c r="AH1304" s="5" t="inlineStr"/>
    </row>
    <row r="1305">
      <c r="A1305" s="5" t="inlineStr">
        <is>
          <t>b6-ikinci-tercih</t>
        </is>
      </c>
      <c r="B1305" s="5" t="n">
        <v>5</v>
      </c>
      <c r="C1305" s="6" t="inlineStr">
        <is>
          <t>İletişim ya da konservatuvar</t>
        </is>
      </c>
      <c r="D1305" s="5" t="inlineStr"/>
      <c r="E1305" s="5" t="inlineStr"/>
      <c r="F1305" s="5" t="inlineStr">
        <is>
          <t>Pişkinlik +1, Çene +1</t>
        </is>
      </c>
      <c r="G1305" s="6" t="inlineStr">
        <is>
          <t>Sahneye giden yolu yazdın. Teyzen “Televizyona çıkınca bizi de söyle” dedi. Listesini şimdiden hazırlamış.</t>
        </is>
      </c>
      <c r="H1305" s="6" t="inlineStr"/>
      <c r="I1305" s="6" t="inlineStr"/>
      <c r="J1305" s="6" t="inlineStr"/>
      <c r="K1305" s="6" t="inlineStr"/>
      <c r="L1305" s="6" t="inlineStr"/>
      <c r="M1305" s="5" t="inlineStr"/>
      <c r="N1305" s="5" t="inlineStr"/>
      <c r="O1305" s="6" t="inlineStr"/>
      <c r="P1305" s="6" t="inlineStr"/>
      <c r="Q1305" s="5" t="inlineStr"/>
      <c r="R1305" s="5" t="inlineStr"/>
      <c r="S1305" s="5" t="inlineStr"/>
      <c r="T1305" s="5" t="inlineStr"/>
      <c r="U1305" s="5" t="inlineStr">
        <is>
          <t>bolum-iletisim</t>
        </is>
      </c>
      <c r="V1305" s="5" t="inlineStr"/>
      <c r="W1305" s="5" t="inlineStr"/>
      <c r="X1305" s="5" t="inlineStr"/>
      <c r="Y1305" s="5" t="inlineStr"/>
      <c r="Z1305" s="6" t="inlineStr"/>
      <c r="AA1305" s="5" t="inlineStr"/>
      <c r="AB1305" s="5" t="inlineStr"/>
      <c r="AC1305" s="5" t="inlineStr"/>
      <c r="AD1305" s="5" t="inlineStr"/>
      <c r="AE1305" s="5" t="inlineStr"/>
      <c r="AF1305" s="5" t="inlineStr"/>
      <c r="AG1305" s="5" t="inlineStr"/>
      <c r="AH1305" s="5" t="inlineStr"/>
    </row>
    <row r="1306">
      <c r="A1306" s="5" t="inlineStr">
        <is>
          <t>b6-tezgah-ilk-yil</t>
        </is>
      </c>
      <c r="B1306" s="5" t="n">
        <v>1</v>
      </c>
      <c r="C1306" s="6" t="inlineStr">
        <is>
          <t>Kuzeni bekle</t>
        </is>
      </c>
      <c r="D1306" s="5" t="inlineStr"/>
      <c r="E1306" s="5" t="inlineStr"/>
      <c r="F1306" s="5" t="inlineStr">
        <is>
          <t>İtibar +1, Dayanıklılık +1</t>
        </is>
      </c>
      <c r="G1306" s="6" t="inlineStr">
        <is>
          <t>Müşteriyi on dakika tuttun; hava durumunu, trafiği ve belediyeyi konuştunuz. Kuzen döndü, sattı. Sana “İyi oyaladın” dedi; ilk terfin buydu.</t>
        </is>
      </c>
      <c r="H1306" s="6" t="inlineStr"/>
      <c r="I1306" s="6" t="inlineStr"/>
      <c r="J1306" s="6" t="inlineStr"/>
      <c r="K1306" s="6" t="inlineStr"/>
      <c r="L1306" s="6" t="inlineStr"/>
      <c r="M1306" s="5" t="inlineStr"/>
      <c r="N1306" s="5" t="inlineStr"/>
      <c r="O1306" s="6" t="inlineStr"/>
      <c r="P1306" s="6" t="inlineStr"/>
      <c r="Q1306" s="5" t="inlineStr"/>
      <c r="R1306" s="5" t="inlineStr"/>
      <c r="S1306" s="5" t="inlineStr"/>
      <c r="T1306" s="5" t="inlineStr"/>
      <c r="U1306" s="5" t="inlineStr"/>
      <c r="V1306" s="5" t="inlineStr"/>
      <c r="W1306" s="5" t="inlineStr"/>
      <c r="X1306" s="5" t="inlineStr"/>
      <c r="Y1306" s="5" t="inlineStr"/>
      <c r="Z1306" s="6" t="inlineStr"/>
      <c r="AA1306" s="5" t="inlineStr"/>
      <c r="AB1306" s="5" t="inlineStr"/>
      <c r="AC1306" s="5" t="inlineStr"/>
      <c r="AD1306" s="5" t="inlineStr"/>
      <c r="AE1306" s="5" t="inlineStr"/>
      <c r="AF1306" s="5" t="inlineStr"/>
      <c r="AG1306" s="5" t="inlineStr"/>
      <c r="AH1306" s="5" t="inlineStr"/>
    </row>
    <row r="1307">
      <c r="A1307" s="5" t="inlineStr">
        <is>
          <t>b6-tezgah-ilk-yil</t>
        </is>
      </c>
      <c r="B1307" s="5" t="n">
        <v>2</v>
      </c>
      <c r="C1307" s="6" t="inlineStr">
        <is>
          <t>Fiyatı sen söyle</t>
        </is>
      </c>
      <c r="D1307" s="5" t="inlineStr">
        <is>
          <t>Çene</t>
        </is>
      </c>
      <c r="E1307" s="5" t="inlineStr">
        <is>
          <t>Zor</t>
        </is>
      </c>
      <c r="F1307" s="5" t="inlineStr"/>
      <c r="G1307" s="6" t="inlineStr"/>
      <c r="H1307" s="6" t="inlineStr">
        <is>
          <t>Fiyatı söyledin, müşteri pazarlık etti, sen de ettin. Satış oldu. Kuzen tuvaletten çıkınca kasaya baktı, sonra sana baktı.</t>
        </is>
      </c>
      <c r="I1307" s="6" t="inlineStr">
        <is>
          <t>Müşteri iki tane aldı, bir de arkadaşını getirdi. Kuzen o akşam tezgâha ikinci bir sandalye koydu: “Bu senin.”</t>
        </is>
      </c>
      <c r="J1307" s="6" t="inlineStr">
        <is>
          <t>Fiyatı söyledin, müşteri güldü, gitti. Kuzen döndüğünde “Ne dedin?” diye sordu. Söylediğini tekrar etmedin.</t>
        </is>
      </c>
      <c r="K1307" s="6" t="inlineStr">
        <is>
          <t>Yanlışlıkla alış fiyatını söyledin. Müşteri üç kasa aldı. Kuzen o hafta seninle konuşmadı.</t>
        </is>
      </c>
      <c r="L1307" s="6" t="inlineStr"/>
      <c r="M1307" s="5" t="inlineStr"/>
      <c r="N1307" s="5" t="inlineStr"/>
      <c r="O1307" s="6" t="inlineStr"/>
      <c r="P1307" s="6" t="inlineStr"/>
      <c r="Q1307" s="5" t="inlineStr"/>
      <c r="R1307" s="5" t="inlineStr"/>
      <c r="S1307" s="5" t="inlineStr"/>
      <c r="T1307" s="5" t="inlineStr">
        <is>
          <t>Tezgâh Ağzı</t>
        </is>
      </c>
      <c r="U1307" s="5" t="inlineStr"/>
      <c r="V1307" s="5" t="inlineStr"/>
      <c r="W1307" s="5" t="inlineStr"/>
      <c r="X1307" s="5" t="inlineStr"/>
      <c r="Y1307" s="5" t="inlineStr"/>
      <c r="Z1307" s="6" t="inlineStr"/>
      <c r="AA1307" s="5" t="inlineStr"/>
      <c r="AB1307" s="5" t="inlineStr"/>
      <c r="AC1307" s="5" t="inlineStr"/>
      <c r="AD1307" s="5" t="inlineStr"/>
      <c r="AE1307" s="5" t="inlineStr"/>
      <c r="AF1307" s="5" t="inlineStr"/>
      <c r="AG1307" s="5" t="inlineStr"/>
      <c r="AH1307" s="5" t="inlineStr"/>
    </row>
    <row r="1308">
      <c r="A1308" s="5" t="inlineStr">
        <is>
          <t>b6-tezgah-ilk-yil</t>
        </is>
      </c>
      <c r="B1308" s="5" t="n">
        <v>3</v>
      </c>
      <c r="C1308" s="6" t="inlineStr">
        <is>
          <t>Kasadan “bahşiş” ayır</t>
        </is>
      </c>
      <c r="D1308" s="5" t="inlineStr">
        <is>
          <t>Kurnazlık</t>
        </is>
      </c>
      <c r="E1308" s="5" t="inlineStr">
        <is>
          <t>Orta</t>
        </is>
      </c>
      <c r="F1308" s="5" t="inlineStr"/>
      <c r="G1308" s="6" t="inlineStr"/>
      <c r="H1308" s="6" t="inlineStr">
        <is>
          <t>Günde biraz ayırdın, kimse fark etmedi. Kasa defterine kuzenin yazısıyla “Fire” diye geçti.</t>
        </is>
      </c>
      <c r="I1308" s="6" t="inlineStr">
        <is>
          <t>Öyle ustaca ayırdın ki ay sonu kasa fazla çıktı. Kuzen bunu bereket sandı; sana bir de zam yaptı.</t>
        </is>
      </c>
      <c r="J1308" s="6" t="inlineStr">
        <is>
          <t>Ayırdın, sonra vicdanın ağır bastı, geri koydun. Kuzen iki kere saydığı kasayı üçüncü kez saydı.</t>
        </is>
      </c>
      <c r="K1308" s="6" t="inlineStr">
        <is>
          <t>Kuzen kasayı sayarken cebinden bozukluklar döküldü. Şimdi tezgâhta cepsiz bir önlükle çalışıyorsun.</t>
        </is>
      </c>
      <c r="L1308" s="6" t="inlineStr"/>
      <c r="M1308" s="5" t="inlineStr"/>
      <c r="N1308" s="5" t="inlineStr"/>
      <c r="O1308" s="6" t="inlineStr"/>
      <c r="P1308" s="6" t="inlineStr"/>
      <c r="Q1308" s="5" t="inlineStr"/>
      <c r="R1308" s="5" t="inlineStr"/>
      <c r="S1308" s="5" t="inlineStr"/>
      <c r="T1308" s="5" t="inlineStr"/>
      <c r="U1308" s="5" t="inlineStr"/>
      <c r="V1308" s="5" t="inlineStr"/>
      <c r="W1308" s="5" t="inlineStr">
        <is>
          <t>yalanci</t>
        </is>
      </c>
      <c r="X1308" s="5" t="inlineStr"/>
      <c r="Y1308" s="5" t="inlineStr"/>
      <c r="Z1308" s="6" t="inlineStr"/>
      <c r="AA1308" s="5" t="inlineStr"/>
      <c r="AB1308" s="5" t="inlineStr"/>
      <c r="AC1308" s="5" t="inlineStr"/>
      <c r="AD1308" s="5" t="inlineStr"/>
      <c r="AE1308" s="5" t="inlineStr"/>
      <c r="AF1308" s="5" t="inlineStr"/>
      <c r="AG1308" s="5" t="inlineStr"/>
      <c r="AH1308" s="5" t="inlineStr"/>
    </row>
    <row r="1309">
      <c r="A1309" s="5" t="inlineStr">
        <is>
          <t>b6-abinin-cantasi</t>
        </is>
      </c>
      <c r="B1309" s="5" t="n">
        <v>1</v>
      </c>
      <c r="C1309" s="6" t="inlineStr">
        <is>
          <t>Açmadan götür</t>
        </is>
      </c>
      <c r="D1309" s="5" t="inlineStr"/>
      <c r="E1309" s="5" t="inlineStr"/>
      <c r="F1309" s="5" t="inlineStr">
        <is>
          <t>Pişkinlik +1, Dayanıklılık +1</t>
        </is>
      </c>
      <c r="G1309" s="6" t="inlineStr">
        <is>
          <t>Çantayı bıraktın, kahveci çay ısmarladı, çay bitmeden döndün. Abi “Aferin” dedi. Mahallede adın artık “Güvenilir.” Nedense bu seni sevindirmedi.</t>
        </is>
      </c>
      <c r="H1309" s="6" t="inlineStr"/>
      <c r="I1309" s="6" t="inlineStr"/>
      <c r="J1309" s="6" t="inlineStr"/>
      <c r="K1309" s="6" t="inlineStr"/>
      <c r="L1309" s="6" t="inlineStr"/>
      <c r="M1309" s="5" t="inlineStr"/>
      <c r="N1309" s="5" t="inlineStr"/>
      <c r="O1309" s="6" t="inlineStr"/>
      <c r="P1309" s="6" t="inlineStr"/>
      <c r="Q1309" s="5" t="inlineStr"/>
      <c r="R1309" s="5" t="inlineStr"/>
      <c r="S1309" s="5" t="inlineStr"/>
      <c r="T1309" s="5" t="inlineStr"/>
      <c r="U1309" s="5" t="inlineStr">
        <is>
          <t>abiye-borclu</t>
        </is>
      </c>
      <c r="V1309" s="5" t="inlineStr"/>
      <c r="W1309" s="5" t="inlineStr"/>
      <c r="X1309" s="5" t="inlineStr"/>
      <c r="Y1309" s="5" t="inlineStr"/>
      <c r="Z1309" s="6" t="inlineStr"/>
      <c r="AA1309" s="5" t="inlineStr"/>
      <c r="AB1309" s="5" t="inlineStr"/>
      <c r="AC1309" s="5" t="inlineStr"/>
      <c r="AD1309" s="5" t="inlineStr"/>
      <c r="AE1309" s="5" t="inlineStr"/>
      <c r="AF1309" s="5" t="inlineStr"/>
      <c r="AG1309" s="5" t="inlineStr"/>
      <c r="AH1309" s="5" t="inlineStr"/>
    </row>
    <row r="1310">
      <c r="A1310" s="5" t="inlineStr">
        <is>
          <t>b6-abinin-cantasi</t>
        </is>
      </c>
      <c r="B1310" s="5" t="n">
        <v>2</v>
      </c>
      <c r="C1310" s="6" t="inlineStr">
        <is>
          <t>Yolda içine bak</t>
        </is>
      </c>
      <c r="D1310" s="5" t="inlineStr">
        <is>
          <t>Kurnazlık</t>
        </is>
      </c>
      <c r="E1310" s="5" t="inlineStr">
        <is>
          <t>Orta</t>
        </is>
      </c>
      <c r="F1310" s="5" t="inlineStr"/>
      <c r="G1310" s="6" t="inlineStr"/>
      <c r="H1310" s="6" t="inlineStr">
        <is>
          <t>Çantada tapu fotokopileri, bir tespih ve yarım simit vardı. Neyin fotokopisi olduğunu okudun; şimdi abinin hangi arsalarla ilgilendiğini biliyorsun.</t>
        </is>
      </c>
      <c r="I1310" s="6" t="inlineStr">
        <is>
          <t>Fotokopileri telefonuna da çektin. Abinin bütün arsa işleri artık sende. Bunu kimseye söylemedin; henüz.</t>
        </is>
      </c>
      <c r="J1310" s="6" t="inlineStr">
        <is>
          <t>Fermuarı açarken sıkıştı. Çanta kahveye yarısı açık gitti. Kahveci sana uzun uzun baktı.</t>
        </is>
      </c>
      <c r="K1310" s="6" t="inlineStr">
        <is>
          <t>Çantayı açtığın an abinin arabası yanından geçti. Yarım simidin hesabını hâlâ soruyor.</t>
        </is>
      </c>
      <c r="L1310" s="6" t="inlineStr"/>
      <c r="M1310" s="5" t="inlineStr"/>
      <c r="N1310" s="5" t="inlineStr"/>
      <c r="O1310" s="6" t="inlineStr"/>
      <c r="P1310" s="6" t="inlineStr"/>
      <c r="Q1310" s="5" t="inlineStr"/>
      <c r="R1310" s="5" t="inlineStr"/>
      <c r="S1310" s="5" t="inlineStr"/>
      <c r="T1310" s="5" t="inlineStr"/>
      <c r="U1310" s="5" t="inlineStr"/>
      <c r="V1310" s="5" t="inlineStr">
        <is>
          <t>abiye-borclu</t>
        </is>
      </c>
      <c r="W1310" s="5" t="inlineStr">
        <is>
          <t>abiye-borclu</t>
        </is>
      </c>
      <c r="X1310" s="5" t="inlineStr"/>
      <c r="Y1310" s="5" t="inlineStr"/>
      <c r="Z1310" s="6" t="inlineStr"/>
      <c r="AA1310" s="5" t="inlineStr"/>
      <c r="AB1310" s="5" t="inlineStr"/>
      <c r="AC1310" s="5" t="inlineStr"/>
      <c r="AD1310" s="5" t="inlineStr"/>
      <c r="AE1310" s="5" t="inlineStr"/>
      <c r="AF1310" s="5" t="inlineStr"/>
      <c r="AG1310" s="5" t="inlineStr"/>
      <c r="AH1310" s="5" t="inlineStr"/>
    </row>
    <row r="1311">
      <c r="A1311" s="5" t="inlineStr">
        <is>
          <t>b6-abinin-cantasi</t>
        </is>
      </c>
      <c r="B1311" s="5" t="n">
        <v>3</v>
      </c>
      <c r="C1311" s="6" t="inlineStr">
        <is>
          <t>Çantayı karakola bırak</t>
        </is>
      </c>
      <c r="D1311" s="5" t="inlineStr">
        <is>
          <t>Cesaret</t>
        </is>
      </c>
      <c r="E1311" s="5" t="inlineStr">
        <is>
          <t>Zor</t>
        </is>
      </c>
      <c r="F1311" s="5" t="inlineStr"/>
      <c r="G1311" s="6" t="inlineStr"/>
      <c r="H1311" s="6" t="inlineStr">
        <is>
          <t>Komiser çantayı açtı, tapu fotokopilerine baktı, sana baktı. “Otur, çay iç” dedi. O günden sonra abinin kahvesine uğramadın; abi de seni aramadı.</t>
        </is>
      </c>
      <c r="I1311" s="6" t="inlineStr">
        <is>
          <t>Komiser seni bir kenara çekti: “Bizde okuyabilirsin, akademinin sınavı var.” Kartvizitini verdi. Abi olanları hiç öğrenmedi.</t>
        </is>
      </c>
      <c r="J1311" s="6" t="inlineStr">
        <is>
          <t>Karakolun kapısında döndün. Çantayı kahveye götürdün, bir saat geç. Abi saati sordu; sen “Trafik” dedin. Yürüyordun.</t>
        </is>
      </c>
      <c r="K1311" s="6" t="inlineStr">
        <is>
          <t>Komiser abinin kuzeni çıktı. Çanta abiye geri döndü; sen de sokağa. Mahallede artık iki yere de gidemiyorsun.</t>
        </is>
      </c>
      <c r="L1311" s="6" t="inlineStr"/>
      <c r="M1311" s="5" t="inlineStr"/>
      <c r="N1311" s="5" t="inlineStr"/>
      <c r="O1311" s="6" t="inlineStr"/>
      <c r="P1311" s="6" t="inlineStr"/>
      <c r="Q1311" s="5" t="inlineStr"/>
      <c r="R1311" s="5" t="inlineStr"/>
      <c r="S1311" s="5" t="inlineStr"/>
      <c r="T1311" s="5" t="inlineStr"/>
      <c r="U1311" s="5" t="inlineStr"/>
      <c r="V1311" s="5" t="inlineStr">
        <is>
          <t>komiser-tanidik</t>
        </is>
      </c>
      <c r="W1311" s="5" t="inlineStr"/>
      <c r="X1311" s="5" t="inlineStr">
        <is>
          <t>abinin-adami</t>
        </is>
      </c>
      <c r="Y1311" s="5" t="inlineStr"/>
      <c r="Z1311" s="6" t="inlineStr"/>
      <c r="AA1311" s="5" t="inlineStr">
        <is>
          <t>hepsi +1</t>
        </is>
      </c>
      <c r="AB1311" s="5" t="inlineStr"/>
      <c r="AC1311" s="5" t="inlineStr"/>
      <c r="AD1311" s="5" t="inlineStr"/>
      <c r="AE1311" s="5" t="inlineStr"/>
      <c r="AF1311" s="5" t="inlineStr"/>
      <c r="AG1311" s="5" t="inlineStr"/>
      <c r="AH1311" s="5" t="inlineStr"/>
    </row>
    <row r="1312">
      <c r="A1312" s="5" t="inlineStr">
        <is>
          <t>b6-karakol-gecesi</t>
        </is>
      </c>
      <c r="B1312" s="5" t="n">
        <v>1</v>
      </c>
      <c r="C1312" s="6" t="inlineStr">
        <is>
          <t>Sus, sabahı bekle</t>
        </is>
      </c>
      <c r="D1312" s="5" t="inlineStr"/>
      <c r="E1312" s="5" t="inlineStr"/>
      <c r="F1312" s="5" t="inlineStr">
        <is>
          <t>Dayanıklılık +2</t>
        </is>
      </c>
      <c r="G1312" s="6" t="inlineStr">
        <is>
          <t>Sabah saat altıda kapı açıldı. “Yanlışlık olmuş” dendi. Yanlışlık gece boyunca senin yanında uyumuştu; davulcuydu.</t>
        </is>
      </c>
      <c r="H1312" s="6" t="inlineStr"/>
      <c r="I1312" s="6" t="inlineStr"/>
      <c r="J1312" s="6" t="inlineStr"/>
      <c r="K1312" s="6" t="inlineStr"/>
      <c r="L1312" s="6" t="inlineStr"/>
      <c r="M1312" s="5" t="inlineStr"/>
      <c r="N1312" s="5" t="inlineStr"/>
      <c r="O1312" s="6" t="inlineStr"/>
      <c r="P1312" s="6" t="inlineStr"/>
      <c r="Q1312" s="5" t="inlineStr"/>
      <c r="R1312" s="5" t="inlineStr"/>
      <c r="S1312" s="5" t="inlineStr"/>
      <c r="T1312" s="5" t="inlineStr"/>
      <c r="U1312" s="5" t="inlineStr"/>
      <c r="V1312" s="5" t="inlineStr"/>
      <c r="W1312" s="5" t="inlineStr"/>
      <c r="X1312" s="5" t="inlineStr"/>
      <c r="Y1312" s="5" t="inlineStr"/>
      <c r="Z1312" s="6" t="inlineStr"/>
      <c r="AA1312" s="5" t="inlineStr"/>
      <c r="AB1312" s="5" t="inlineStr"/>
      <c r="AC1312" s="5" t="inlineStr"/>
      <c r="AD1312" s="5" t="inlineStr"/>
      <c r="AE1312" s="5" t="inlineStr"/>
      <c r="AF1312" s="5" t="inlineStr"/>
      <c r="AG1312" s="5" t="inlineStr"/>
      <c r="AH1312" s="5" t="inlineStr"/>
    </row>
    <row r="1313">
      <c r="A1313" s="5" t="inlineStr">
        <is>
          <t>b6-karakol-gecesi</t>
        </is>
      </c>
      <c r="B1313" s="5" t="n">
        <v>2</v>
      </c>
      <c r="C1313" s="6" t="inlineStr">
        <is>
          <t>Abiyi ara</t>
        </is>
      </c>
      <c r="D1313" s="5" t="inlineStr"/>
      <c r="E1313" s="5" t="inlineStr"/>
      <c r="F1313" s="5" t="inlineStr">
        <is>
          <t>Pişkinlik +1</t>
        </is>
      </c>
      <c r="G1313" s="6" t="inlineStr">
        <is>
          <t>Tek telefon hakkını abiye harcadın. Yirmi dakika sonra serbesttin. Abi seni kapıda bekliyordu: “Bunu da yazdım.”</t>
        </is>
      </c>
      <c r="H1313" s="6" t="inlineStr"/>
      <c r="I1313" s="6" t="inlineStr"/>
      <c r="J1313" s="6" t="inlineStr"/>
      <c r="K1313" s="6" t="inlineStr"/>
      <c r="L1313" s="6" t="inlineStr"/>
      <c r="M1313" s="5" t="inlineStr"/>
      <c r="N1313" s="5" t="inlineStr"/>
      <c r="O1313" s="6" t="inlineStr"/>
      <c r="P1313" s="6" t="inlineStr"/>
      <c r="Q1313" s="5" t="inlineStr"/>
      <c r="R1313" s="5" t="inlineStr">
        <is>
          <t>abinin-adami</t>
        </is>
      </c>
      <c r="S1313" s="5" t="inlineStr"/>
      <c r="T1313" s="5" t="inlineStr"/>
      <c r="U1313" s="5" t="inlineStr">
        <is>
          <t>abiye-borclu</t>
        </is>
      </c>
      <c r="V1313" s="5" t="inlineStr"/>
      <c r="W1313" s="5" t="inlineStr"/>
      <c r="X1313" s="5" t="inlineStr"/>
      <c r="Y1313" s="5" t="inlineStr"/>
      <c r="Z1313" s="6" t="inlineStr"/>
      <c r="AA1313" s="5" t="inlineStr"/>
      <c r="AB1313" s="5" t="inlineStr"/>
      <c r="AC1313" s="5" t="inlineStr"/>
      <c r="AD1313" s="5" t="inlineStr"/>
      <c r="AE1313" s="5" t="inlineStr"/>
      <c r="AF1313" s="5" t="inlineStr"/>
      <c r="AG1313" s="5" t="inlineStr"/>
      <c r="AH1313" s="5" t="inlineStr"/>
    </row>
    <row r="1314">
      <c r="A1314" s="5" t="inlineStr">
        <is>
          <t>b6-karakol-gecesi</t>
        </is>
      </c>
      <c r="B1314" s="5" t="n">
        <v>3</v>
      </c>
      <c r="C1314" s="6" t="inlineStr">
        <is>
          <t>Nöbetçi komiserle sohbet aç</t>
        </is>
      </c>
      <c r="D1314" s="5" t="inlineStr">
        <is>
          <t>Çene</t>
        </is>
      </c>
      <c r="E1314" s="5" t="inlineStr">
        <is>
          <t>Zor</t>
        </is>
      </c>
      <c r="F1314" s="5" t="inlineStr"/>
      <c r="G1314" s="6" t="inlineStr"/>
      <c r="H1314" s="6" t="inlineStr">
        <is>
          <t>Sabaha kadar konuştunuz: futbol, kira, komiserin kızının sınavı. Sabah seni kapıya kadar geçirdi. “Başın sıkışırsa ara” dedi.</t>
        </is>
      </c>
      <c r="I1314" s="6" t="inlineStr">
        <is>
          <t>Komiser o gece hayat hikâyesini anlattı, sen de dinledin. Sabah sana akademinin broşürünü verdi: “Senin gibi dinleyen lazım.”</t>
        </is>
      </c>
      <c r="J1314" s="6" t="inlineStr">
        <is>
          <t>Komiser seni dinledi ve bir cümleyle bitirdi: “Otur yerine.” Oturdun; davulcu yerini almıştı.</t>
        </is>
      </c>
      <c r="K1314" s="6" t="inlineStr">
        <is>
          <t>Sohbeti uzattıkça tutanak uzadı. Sabah çıktığında adın iki ayrı dosyadaydı.</t>
        </is>
      </c>
      <c r="L1314" s="6" t="inlineStr"/>
      <c r="M1314" s="5" t="inlineStr"/>
      <c r="N1314" s="5" t="inlineStr"/>
      <c r="O1314" s="6" t="inlineStr"/>
      <c r="P1314" s="6" t="inlineStr"/>
      <c r="Q1314" s="5" t="inlineStr"/>
      <c r="R1314" s="5" t="inlineStr"/>
      <c r="S1314" s="5" t="inlineStr"/>
      <c r="T1314" s="5" t="inlineStr"/>
      <c r="U1314" s="5" t="inlineStr"/>
      <c r="V1314" s="5" t="inlineStr">
        <is>
          <t>komiser-tanidik</t>
        </is>
      </c>
      <c r="W1314" s="5" t="inlineStr"/>
      <c r="X1314" s="5" t="inlineStr"/>
      <c r="Y1314" s="5" t="inlineStr"/>
      <c r="Z1314" s="6" t="inlineStr"/>
      <c r="AA1314" s="5" t="inlineStr"/>
      <c r="AB1314" s="5" t="inlineStr"/>
      <c r="AC1314" s="5" t="inlineStr"/>
      <c r="AD1314" s="5" t="inlineStr"/>
      <c r="AE1314" s="5" t="inlineStr"/>
      <c r="AF1314" s="5" t="inlineStr"/>
      <c r="AG1314" s="5" t="inlineStr"/>
      <c r="AH1314" s="5" t="inlineStr"/>
    </row>
    <row r="1315">
      <c r="A1315" s="5" t="inlineStr">
        <is>
          <t>b6-gurbet-ilk-kis</t>
        </is>
      </c>
      <c r="B1315" s="5" t="n">
        <v>1</v>
      </c>
      <c r="C1315" s="6" t="inlineStr">
        <is>
          <t>Memleketten gelenleri bul</t>
        </is>
      </c>
      <c r="D1315" s="5" t="inlineStr"/>
      <c r="E1315" s="5" t="inlineStr"/>
      <c r="F1315" s="5" t="inlineStr">
        <is>
          <t>İtibar +1, Sosyal Radar +1</t>
        </is>
      </c>
      <c r="G1315" s="6" t="inlineStr">
        <is>
          <t>Kampüste Makaryalı öğrencileri buldun. Her cumartesi birinin odasında çay demleniyor; pencereden bakınca kar yağıyor, içeride bayram.</t>
        </is>
      </c>
      <c r="H1315" s="6" t="inlineStr"/>
      <c r="I1315" s="6" t="inlineStr"/>
      <c r="J1315" s="6" t="inlineStr"/>
      <c r="K1315" s="6" t="inlineStr"/>
      <c r="L1315" s="6" t="inlineStr"/>
      <c r="M1315" s="5" t="inlineStr"/>
      <c r="N1315" s="5" t="inlineStr"/>
      <c r="O1315" s="6" t="inlineStr"/>
      <c r="P1315" s="6" t="inlineStr"/>
      <c r="Q1315" s="5" t="inlineStr"/>
      <c r="R1315" s="5" t="inlineStr"/>
      <c r="S1315" s="5" t="inlineStr"/>
      <c r="T1315" s="5" t="inlineStr"/>
      <c r="U1315" s="5" t="inlineStr"/>
      <c r="V1315" s="5" t="inlineStr"/>
      <c r="W1315" s="5" t="inlineStr"/>
      <c r="X1315" s="5" t="inlineStr"/>
      <c r="Y1315" s="5" t="inlineStr"/>
      <c r="Z1315" s="6" t="inlineStr"/>
      <c r="AA1315" s="5" t="inlineStr"/>
      <c r="AB1315" s="5" t="inlineStr"/>
      <c r="AC1315" s="5" t="inlineStr"/>
      <c r="AD1315" s="5" t="inlineStr"/>
      <c r="AE1315" s="5" t="inlineStr"/>
      <c r="AF1315" s="5" t="inlineStr"/>
      <c r="AG1315" s="5" t="inlineStr"/>
      <c r="AH1315" s="5" t="inlineStr"/>
    </row>
    <row r="1316">
      <c r="A1316" s="5" t="inlineStr">
        <is>
          <t>b6-gurbet-ilk-kis</t>
        </is>
      </c>
      <c r="B1316" s="5" t="n">
        <v>2</v>
      </c>
      <c r="C1316" s="6" t="inlineStr">
        <is>
          <t>Ortak mutfakta yemek yap, kokusuyla herkesi topla</t>
        </is>
      </c>
      <c r="D1316" s="5" t="inlineStr">
        <is>
          <t>Sosyal Radar</t>
        </is>
      </c>
      <c r="E1316" s="5" t="inlineStr">
        <is>
          <t>Zor</t>
        </is>
      </c>
      <c r="F1316" s="5" t="inlineStr"/>
      <c r="G1316" s="6" t="inlineStr"/>
      <c r="H1316" s="6" t="inlineStr">
        <is>
          <t>Mercimek çorbasının kokusu koridoru sardı. Üç kişi kapıyı çaldı; biri kaşığını kendisi getirmişti. Artık her perşembe çorba günü.</t>
        </is>
      </c>
      <c r="I1316" s="6" t="inlineStr">
        <is>
          <t>Mutfak senin sayende bir kulübe dönüştü. Yerli arkadaşların “Makarya” kelimesini doğru telaffuz etmeye başladı; neredeyse.</t>
        </is>
      </c>
      <c r="J1316" s="6" t="inlineStr">
        <is>
          <t>Çorbayı yaptın, kimse gelmedi. Yangın alarmı geldi ama. Çorba iyiydi, havalandırma kötü.</t>
        </is>
      </c>
      <c r="K1316" s="6" t="inlineStr">
        <is>
          <t>Yangın alarmı çaldı, bütün yurt dışarıda üşüdü. Mutfak kapısına adını yazan bir uyarı asıldı. Doğru yazmışlar.</t>
        </is>
      </c>
      <c r="L1316" s="6" t="inlineStr"/>
      <c r="M1316" s="5" t="inlineStr"/>
      <c r="N1316" s="5" t="inlineStr"/>
      <c r="O1316" s="6" t="inlineStr"/>
      <c r="P1316" s="6" t="inlineStr"/>
      <c r="Q1316" s="5" t="inlineStr"/>
      <c r="R1316" s="5" t="inlineStr"/>
      <c r="S1316" s="5" t="inlineStr"/>
      <c r="T1316" s="5" t="inlineStr">
        <is>
          <t>İki Dilli Rüya</t>
        </is>
      </c>
      <c r="U1316" s="5" t="inlineStr"/>
      <c r="V1316" s="5" t="inlineStr">
        <is>
          <t>yabanci-dil</t>
        </is>
      </c>
      <c r="W1316" s="5" t="inlineStr"/>
      <c r="X1316" s="5" t="inlineStr"/>
      <c r="Y1316" s="5" t="inlineStr"/>
      <c r="Z1316" s="6" t="inlineStr"/>
      <c r="AA1316" s="5" t="inlineStr"/>
      <c r="AB1316" s="5" t="inlineStr"/>
      <c r="AC1316" s="5" t="inlineStr"/>
      <c r="AD1316" s="5" t="inlineStr"/>
      <c r="AE1316" s="5" t="inlineStr"/>
      <c r="AF1316" s="5" t="inlineStr"/>
      <c r="AG1316" s="5" t="inlineStr"/>
      <c r="AH1316" s="5" t="inlineStr"/>
    </row>
    <row r="1317">
      <c r="A1317" s="5" t="inlineStr">
        <is>
          <t>b6-gurbet-ilk-kis</t>
        </is>
      </c>
      <c r="B1317" s="5" t="n">
        <v>3</v>
      </c>
      <c r="C1317" s="6" t="inlineStr">
        <is>
          <t>Derslere gömül</t>
        </is>
      </c>
      <c r="D1317" s="5" t="inlineStr">
        <is>
          <t>Akıl</t>
        </is>
      </c>
      <c r="E1317" s="5" t="inlineStr">
        <is>
          <t>Orta</t>
        </is>
      </c>
      <c r="F1317" s="5" t="inlineStr"/>
      <c r="G1317" s="6" t="inlineStr"/>
      <c r="H1317" s="6" t="inlineStr">
        <is>
          <t>İlk dönem notların iyi geldi. Hocan e-postada adını doğru yazdı; bu da bir tür başarıydı.</t>
        </is>
      </c>
      <c r="I1317" s="6" t="inlineStr">
        <is>
          <t>Dönem birincisi oldun. Ailen bunu aile grubuna attı; teyzen “Orada da mı sınav var?” diye sordu.</t>
        </is>
      </c>
      <c r="J1317" s="6" t="inlineStr">
        <is>
          <t>Derslere gömüldün ama dil gömülmedi. Sınavda soruyu anlamak yirmi dakikanı aldı.</t>
        </is>
      </c>
      <c r="K1317" s="6" t="inlineStr">
        <is>
          <t>Kütüphanede sabahladın, sınavı uyuyarak kaçırdın. Hocan “Kültürel fark” diye not düştü.</t>
        </is>
      </c>
      <c r="L1317" s="6" t="inlineStr"/>
      <c r="M1317" s="5" t="inlineStr"/>
      <c r="N1317" s="5" t="inlineStr"/>
      <c r="O1317" s="6" t="inlineStr"/>
      <c r="P1317" s="6" t="inlineStr"/>
      <c r="Q1317" s="5" t="inlineStr"/>
      <c r="R1317" s="5" t="inlineStr"/>
      <c r="S1317" s="5" t="inlineStr"/>
      <c r="T1317" s="5" t="inlineStr"/>
      <c r="U1317" s="5" t="inlineStr"/>
      <c r="V1317" s="5" t="inlineStr"/>
      <c r="W1317" s="5" t="inlineStr"/>
      <c r="X1317" s="5" t="inlineStr"/>
      <c r="Y1317" s="5" t="inlineStr"/>
      <c r="Z1317" s="6" t="inlineStr"/>
      <c r="AA1317" s="5" t="inlineStr"/>
      <c r="AB1317" s="5" t="inlineStr"/>
      <c r="AC1317" s="5" t="inlineStr"/>
      <c r="AD1317" s="5" t="inlineStr"/>
      <c r="AE1317" s="5" t="inlineStr"/>
      <c r="AF1317" s="5" t="inlineStr"/>
      <c r="AG1317" s="5" t="inlineStr"/>
      <c r="AH1317" s="5" t="inlineStr"/>
    </row>
    <row r="1318">
      <c r="A1318" s="5" t="inlineStr">
        <is>
          <t>b6-gurbet-garson</t>
        </is>
      </c>
      <c r="B1318" s="5" t="n">
        <v>1</v>
      </c>
      <c r="C1318" s="6" t="inlineStr">
        <is>
          <t>Tabağı taşı, bahşişi topla</t>
        </is>
      </c>
      <c r="D1318" s="5" t="inlineStr"/>
      <c r="E1318" s="5" t="inlineStr"/>
      <c r="F1318" s="5" t="inlineStr">
        <is>
          <t>Dayanıklılık +2</t>
        </is>
      </c>
      <c r="G1318" s="6" t="inlineStr">
        <is>
          <t>Bir dönem boyunca tabak taşıdın. Bahşişlerle bir kış montu aldın. Mont memlekettekinden iki kat pahalı, yarısı kadar sıcak.</t>
        </is>
      </c>
      <c r="H1318" s="6" t="inlineStr"/>
      <c r="I1318" s="6" t="inlineStr"/>
      <c r="J1318" s="6" t="inlineStr"/>
      <c r="K1318" s="6" t="inlineStr"/>
      <c r="L1318" s="6" t="inlineStr"/>
      <c r="M1318" s="5" t="inlineStr"/>
      <c r="N1318" s="5" t="inlineStr"/>
      <c r="O1318" s="6" t="inlineStr"/>
      <c r="P1318" s="6" t="inlineStr"/>
      <c r="Q1318" s="5" t="inlineStr"/>
      <c r="R1318" s="5" t="inlineStr"/>
      <c r="S1318" s="5" t="inlineStr"/>
      <c r="T1318" s="5" t="inlineStr"/>
      <c r="U1318" s="5" t="inlineStr"/>
      <c r="V1318" s="5" t="inlineStr"/>
      <c r="W1318" s="5" t="inlineStr"/>
      <c r="X1318" s="5" t="inlineStr"/>
      <c r="Y1318" s="5" t="inlineStr"/>
      <c r="Z1318" s="6" t="inlineStr"/>
      <c r="AA1318" s="5" t="inlineStr"/>
      <c r="AB1318" s="5" t="inlineStr"/>
      <c r="AC1318" s="5" t="inlineStr"/>
      <c r="AD1318" s="5" t="inlineStr"/>
      <c r="AE1318" s="5" t="inlineStr"/>
      <c r="AF1318" s="5" t="inlineStr"/>
      <c r="AG1318" s="5" t="inlineStr"/>
      <c r="AH1318" s="5" t="inlineStr"/>
    </row>
    <row r="1319">
      <c r="A1319" s="5" t="inlineStr">
        <is>
          <t>b6-gurbet-garson</t>
        </is>
      </c>
      <c r="B1319" s="5" t="n">
        <v>2</v>
      </c>
      <c r="C1319" s="6" t="inlineStr">
        <is>
          <t>Kahveye köpükle desen çizmeyi öğren</t>
        </is>
      </c>
      <c r="D1319" s="5" t="inlineStr">
        <is>
          <t>Akıl</t>
        </is>
      </c>
      <c r="E1319" s="5" t="inlineStr">
        <is>
          <t>Orta</t>
        </is>
      </c>
      <c r="F1319" s="5" t="inlineStr"/>
      <c r="G1319" s="6" t="inlineStr"/>
      <c r="H1319" s="6" t="inlineStr">
        <is>
          <t>Üçüncü haftada köpükle kalp çizdin. Müşteri fotoğrafını çekti; kalp yamuktu ama müşteri de yamuktu.</t>
        </is>
      </c>
      <c r="I1319" s="6" t="inlineStr">
        <is>
          <t>Köpükle Makarya haritası çizdin. Kafe bunu menüye koydu: “Memleket.” Pahalı.</t>
        </is>
      </c>
      <c r="J1319" s="6" t="inlineStr">
        <is>
          <t>Kalp çizmeye çalıştın; çıkan şey bir patatesti. Müşteri memnun, çünkü patates severmiş.</t>
        </is>
      </c>
      <c r="K1319" s="6" t="inlineStr">
        <is>
          <t>Süt köpürtücüyle eline köpük değil süt püskürttün. Müdür seni bulaşığa aldı; orada desen yok.</t>
        </is>
      </c>
      <c r="L1319" s="6" t="inlineStr"/>
      <c r="M1319" s="5" t="inlineStr"/>
      <c r="N1319" s="5" t="inlineStr"/>
      <c r="O1319" s="6" t="inlineStr"/>
      <c r="P1319" s="6" t="inlineStr"/>
      <c r="Q1319" s="5" t="inlineStr"/>
      <c r="R1319" s="5" t="inlineStr"/>
      <c r="S1319" s="5" t="inlineStr"/>
      <c r="T1319" s="5" t="inlineStr"/>
      <c r="U1319" s="5" t="inlineStr"/>
      <c r="V1319" s="5" t="inlineStr"/>
      <c r="W1319" s="5" t="inlineStr"/>
      <c r="X1319" s="5" t="inlineStr"/>
      <c r="Y1319" s="5" t="inlineStr"/>
      <c r="Z1319" s="6" t="inlineStr"/>
      <c r="AA1319" s="5" t="inlineStr"/>
      <c r="AB1319" s="5" t="inlineStr"/>
      <c r="AC1319" s="5" t="inlineStr"/>
      <c r="AD1319" s="5" t="inlineStr"/>
      <c r="AE1319" s="5" t="inlineStr"/>
      <c r="AF1319" s="5" t="inlineStr"/>
      <c r="AG1319" s="5" t="inlineStr"/>
      <c r="AH1319" s="5" t="inlineStr"/>
    </row>
    <row r="1320">
      <c r="A1320" s="5" t="inlineStr">
        <is>
          <t>b6-gurbet-garson</t>
        </is>
      </c>
      <c r="B1320" s="5" t="n">
        <v>3</v>
      </c>
      <c r="C1320" s="6" t="inlineStr">
        <is>
          <t>Müdürden daha iyi saat pazarlık et</t>
        </is>
      </c>
      <c r="D1320" s="5" t="inlineStr">
        <is>
          <t>Çene</t>
        </is>
      </c>
      <c r="E1320" s="5" t="inlineStr">
        <is>
          <t>Zor</t>
        </is>
      </c>
      <c r="F1320" s="5" t="inlineStr"/>
      <c r="G1320" s="6" t="inlineStr"/>
      <c r="H1320" s="6" t="inlineStr">
        <is>
          <t>Sınav haftası izinli, bayram haftası çift yevmiyeli. Müdür neyi kabul ettiğini ancak ay sonunda anladı.</t>
        </is>
      </c>
      <c r="I1320" s="6" t="inlineStr">
        <is>
          <t>Müdür seni vardiya sorumlusu yaptı. Artık sen pazarlık ediliyorsun.</t>
        </is>
      </c>
      <c r="J1320" s="6" t="inlineStr">
        <is>
          <t>Müdür seni dinledi ve kafenin broşürünü uzattı: “Başka kafeler de var.”</t>
        </is>
      </c>
      <c r="K1320" s="6" t="inlineStr">
        <is>
          <t>Pazarlığın ortasında yanlış kelimeyi kullandın; müdür kendini hakarete uğramış hissetti. Kafenin önünden artık karşı kaldırımdan geçiyorsun.</t>
        </is>
      </c>
      <c r="L1320" s="6" t="inlineStr"/>
      <c r="M1320" s="5" t="inlineStr"/>
      <c r="N1320" s="5" t="inlineStr"/>
      <c r="O1320" s="6" t="inlineStr"/>
      <c r="P1320" s="6" t="inlineStr"/>
      <c r="Q1320" s="5" t="inlineStr"/>
      <c r="R1320" s="5" t="inlineStr"/>
      <c r="S1320" s="5" t="inlineStr"/>
      <c r="T1320" s="5" t="inlineStr"/>
      <c r="U1320" s="5" t="inlineStr"/>
      <c r="V1320" s="5" t="inlineStr"/>
      <c r="W1320" s="5" t="inlineStr"/>
      <c r="X1320" s="5" t="inlineStr"/>
      <c r="Y1320" s="5" t="inlineStr"/>
      <c r="Z1320" s="6" t="inlineStr"/>
      <c r="AA1320" s="5" t="inlineStr"/>
      <c r="AB1320" s="5" t="inlineStr"/>
      <c r="AC1320" s="5" t="inlineStr"/>
      <c r="AD1320" s="5" t="inlineStr"/>
      <c r="AE1320" s="5" t="inlineStr"/>
      <c r="AF1320" s="5" t="inlineStr"/>
      <c r="AG1320" s="5" t="inlineStr"/>
      <c r="AH1320" s="5" t="inlineStr"/>
    </row>
    <row r="1321">
      <c r="A1321" s="5" t="inlineStr">
        <is>
          <t>b6-gurbet-bayram</t>
        </is>
      </c>
      <c r="B1321" s="5" t="n">
        <v>1</v>
      </c>
      <c r="C1321" s="6" t="inlineStr">
        <is>
          <t>Herkesle tek tek konuş</t>
        </is>
      </c>
      <c r="D1321" s="5" t="inlineStr"/>
      <c r="E1321" s="5" t="inlineStr"/>
      <c r="F1321" s="5" t="inlineStr">
        <is>
          <t>İtibar +2</t>
        </is>
      </c>
      <c r="G1321" s="6" t="inlineStr">
        <is>
          <t>Kırk dakika boyunca on dört kişiyle konuştun. Dedenin eli ekrana değdi; sen de kendi ekranına. Telefonun ısındı, sen de.</t>
        </is>
      </c>
      <c r="H1321" s="6" t="inlineStr"/>
      <c r="I1321" s="6" t="inlineStr"/>
      <c r="J1321" s="6" t="inlineStr"/>
      <c r="K1321" s="6" t="inlineStr"/>
      <c r="L1321" s="6" t="inlineStr"/>
      <c r="M1321" s="5" t="inlineStr"/>
      <c r="N1321" s="5" t="inlineStr"/>
      <c r="O1321" s="6" t="inlineStr"/>
      <c r="P1321" s="6" t="inlineStr"/>
      <c r="Q1321" s="5" t="inlineStr"/>
      <c r="R1321" s="5" t="inlineStr"/>
      <c r="S1321" s="5" t="inlineStr"/>
      <c r="T1321" s="5" t="inlineStr"/>
      <c r="U1321" s="5" t="inlineStr"/>
      <c r="V1321" s="5" t="inlineStr"/>
      <c r="W1321" s="5" t="inlineStr"/>
      <c r="X1321" s="5" t="inlineStr"/>
      <c r="Y1321" s="5" t="inlineStr"/>
      <c r="Z1321" s="6" t="inlineStr"/>
      <c r="AA1321" s="5" t="inlineStr"/>
      <c r="AB1321" s="5" t="inlineStr"/>
      <c r="AC1321" s="5" t="inlineStr"/>
      <c r="AD1321" s="5" t="inlineStr"/>
      <c r="AE1321" s="5" t="inlineStr"/>
      <c r="AF1321" s="5" t="inlineStr"/>
      <c r="AG1321" s="5" t="inlineStr"/>
      <c r="AH1321" s="5" t="inlineStr"/>
    </row>
    <row r="1322">
      <c r="A1322" s="5" t="inlineStr">
        <is>
          <t>b6-gurbet-bayram</t>
        </is>
      </c>
      <c r="B1322" s="5" t="n">
        <v>2</v>
      </c>
      <c r="C1322" s="6" t="inlineStr">
        <is>
          <t>Uçak bileti bul, sürpriz yap</t>
        </is>
      </c>
      <c r="D1322" s="5" t="inlineStr">
        <is>
          <t>Kurnazlık</t>
        </is>
      </c>
      <c r="E1322" s="5" t="inlineStr">
        <is>
          <t>Zor</t>
        </is>
      </c>
      <c r="F1322" s="5" t="inlineStr"/>
      <c r="G1322" s="6" t="inlineStr"/>
      <c r="H1322" s="6" t="inlineStr">
        <is>
          <t>Gece yarısı indirimli bir bilet buldun, aktarmalı, on dokuz saat. Kapıyı çaldığında annen elindeki tabağı düşürdü; tabak kırıldı, kimse umursamadı.</t>
        </is>
      </c>
      <c r="I1322" s="6" t="inlineStr">
        <is>
          <t>Bilet o kadar ucuzdu ki bir de amcan için aldın. Bayramı iki yerde, iki kez yaşadın; biri memlekette, biri aktarmada.</t>
        </is>
      </c>
      <c r="J1322" s="6" t="inlineStr">
        <is>
          <t>Bilet aradın, bulamadın. Bulduğun tek bilet bayramdan sonraki güne. Annen “Gel yine de” dedi.</t>
        </is>
      </c>
      <c r="K1322" s="6" t="inlineStr">
        <is>
          <t>Bileti aldın, aktarmayı kaçırdın. Bayramı bir havalimanında, kendi ekranından izledin.</t>
        </is>
      </c>
      <c r="L1322" s="6" t="inlineStr"/>
      <c r="M1322" s="5" t="inlineStr"/>
      <c r="N1322" s="5" t="inlineStr"/>
      <c r="O1322" s="6" t="inlineStr"/>
      <c r="P1322" s="6" t="inlineStr"/>
      <c r="Q1322" s="5" t="inlineStr"/>
      <c r="R1322" s="5" t="inlineStr"/>
      <c r="S1322" s="5" t="inlineStr"/>
      <c r="T1322" s="5" t="inlineStr"/>
      <c r="U1322" s="5" t="inlineStr"/>
      <c r="V1322" s="5" t="inlineStr"/>
      <c r="W1322" s="5" t="inlineStr"/>
      <c r="X1322" s="5" t="inlineStr"/>
      <c r="Y1322" s="5" t="inlineStr"/>
      <c r="Z1322" s="6" t="inlineStr"/>
      <c r="AA1322" s="5" t="inlineStr"/>
      <c r="AB1322" s="5" t="inlineStr"/>
      <c r="AC1322" s="5" t="inlineStr"/>
      <c r="AD1322" s="5" t="inlineStr"/>
      <c r="AE1322" s="5" t="inlineStr"/>
      <c r="AF1322" s="5" t="inlineStr"/>
      <c r="AG1322" s="5" t="inlineStr"/>
      <c r="AH1322" s="5" t="inlineStr"/>
    </row>
    <row r="1323">
      <c r="A1323" s="5" t="inlineStr">
        <is>
          <t>b6-gurbet-bayram</t>
        </is>
      </c>
      <c r="B1323" s="5" t="n">
        <v>3</v>
      </c>
      <c r="C1323" s="6" t="inlineStr">
        <is>
          <t>Aramayı kısa tut, derse dön</t>
        </is>
      </c>
      <c r="D1323" s="5" t="inlineStr"/>
      <c r="E1323" s="5" t="inlineStr"/>
      <c r="F1323" s="5" t="inlineStr">
        <is>
          <t>Akıl +1</t>
        </is>
      </c>
      <c r="G1323" s="6" t="inlineStr">
        <is>
          <t>“Sınavım var” dedin. Doğruydu; ama asıl sebep ekranda ağlayan teyzendi. Teyzen de bunu biliyordu.</t>
        </is>
      </c>
      <c r="H1323" s="6" t="inlineStr"/>
      <c r="I1323" s="6" t="inlineStr"/>
      <c r="J1323" s="6" t="inlineStr"/>
      <c r="K1323" s="6" t="inlineStr"/>
      <c r="L1323" s="6" t="inlineStr"/>
      <c r="M1323" s="5" t="inlineStr"/>
      <c r="N1323" s="5" t="inlineStr"/>
      <c r="O1323" s="6" t="inlineStr"/>
      <c r="P1323" s="6" t="inlineStr"/>
      <c r="Q1323" s="5" t="inlineStr"/>
      <c r="R1323" s="5" t="inlineStr"/>
      <c r="S1323" s="5" t="inlineStr"/>
      <c r="T1323" s="5" t="inlineStr"/>
      <c r="U1323" s="5" t="inlineStr"/>
      <c r="V1323" s="5" t="inlineStr"/>
      <c r="W1323" s="5" t="inlineStr"/>
      <c r="X1323" s="5" t="inlineStr"/>
      <c r="Y1323" s="5" t="inlineStr"/>
      <c r="Z1323" s="6" t="inlineStr"/>
      <c r="AA1323" s="5" t="inlineStr">
        <is>
          <t>Şen -1, Yalçın -1</t>
        </is>
      </c>
      <c r="AB1323" s="5" t="inlineStr"/>
      <c r="AC1323" s="5" t="inlineStr"/>
      <c r="AD1323" s="5" t="inlineStr"/>
      <c r="AE1323" s="5" t="inlineStr"/>
      <c r="AF1323" s="5" t="inlineStr"/>
      <c r="AG1323" s="5" t="inlineStr"/>
      <c r="AH1323" s="5" t="inlineStr"/>
    </row>
    <row r="1324">
      <c r="A1324" s="5" t="inlineStr">
        <is>
          <t>b6-donus-bileti</t>
        </is>
      </c>
      <c r="B1324" s="5" t="n">
        <v>1</v>
      </c>
      <c r="C1324" s="6" t="inlineStr">
        <is>
          <t>Kal, burada iş bul</t>
        </is>
      </c>
      <c r="D1324" s="5" t="inlineStr">
        <is>
          <t>Akıl</t>
        </is>
      </c>
      <c r="E1324" s="5" t="inlineStr">
        <is>
          <t>Zor</t>
        </is>
      </c>
      <c r="F1324" s="5" t="inlineStr"/>
      <c r="G1324" s="6" t="inlineStr"/>
      <c r="H1324" s="6" t="inlineStr">
        <is>
          <t>Üç ayda on dört başvuru, bir teklif. Vizen uzatıldı. Annen haberi aldığında “Aferin” dedi, sonra telefonu kapattı ve ağladı.</t>
        </is>
      </c>
      <c r="I1324" s="6" t="inlineStr">
        <is>
          <t>İki şirket seni istedi. Pazarlık ettin ve kazandın. Maaşını memlekettekilere söylemedin; kur hesabı yapıyorlar.</t>
        </is>
      </c>
      <c r="J1324" s="6" t="inlineStr">
        <is>
          <t>İş çıkmadı ama vize uzadı. Kafeye geri döndün; bu sefer vardiya sorumlusu olarak. Kalmak da bir tür iş.</t>
        </is>
      </c>
      <c r="K1324" s="6" t="inlineStr">
        <is>
          <t>Başvuruların hiçbirine cevap gelmedi, vizen de bitmek üzere. Kafede çalışarak kalıyorsun; yarı yasal, tam yorgun.</t>
        </is>
      </c>
      <c r="L1324" s="6" t="inlineStr"/>
      <c r="M1324" s="5" t="inlineStr"/>
      <c r="N1324" s="5" t="inlineStr"/>
      <c r="O1324" s="6" t="inlineStr"/>
      <c r="P1324" s="6" t="inlineStr"/>
      <c r="Q1324" s="5" t="inlineStr"/>
      <c r="R1324" s="5" t="inlineStr"/>
      <c r="S1324" s="5" t="inlineStr"/>
      <c r="T1324" s="5" t="inlineStr"/>
      <c r="U1324" s="5" t="inlineStr"/>
      <c r="V1324" s="5" t="inlineStr">
        <is>
          <t>hat-goc, meslek-beyazyaka</t>
        </is>
      </c>
      <c r="W1324" s="5" t="inlineStr"/>
      <c r="X1324" s="5" t="inlineStr"/>
      <c r="Y1324" s="5" t="inlineStr"/>
      <c r="Z1324" s="6" t="inlineStr"/>
      <c r="AA1324" s="5" t="inlineStr">
        <is>
          <t>Varlı +1, Şen -1, Yalçın -1</t>
        </is>
      </c>
      <c r="AB1324" s="5" t="inlineStr">
        <is>
          <t>hat-goc, meslek-serbest</t>
        </is>
      </c>
      <c r="AC1324" s="5" t="inlineStr"/>
      <c r="AD1324" s="5" t="inlineStr">
        <is>
          <t>Rahat</t>
        </is>
      </c>
      <c r="AE1324" s="5" t="inlineStr"/>
      <c r="AF1324" s="5" t="inlineStr"/>
      <c r="AG1324" s="5" t="inlineStr"/>
      <c r="AH1324" s="5" t="inlineStr"/>
    </row>
    <row r="1325">
      <c r="A1325" s="5" t="inlineStr">
        <is>
          <t>b6-donus-bileti</t>
        </is>
      </c>
      <c r="B1325" s="5" t="n">
        <v>2</v>
      </c>
      <c r="C1325" s="6" t="inlineStr">
        <is>
          <t>Buradaki dostlarının şirketine gir</t>
        </is>
      </c>
      <c r="D1325" s="5" t="inlineStr">
        <is>
          <t>Sosyal Radar</t>
        </is>
      </c>
      <c r="E1325" s="5" t="inlineStr">
        <is>
          <t>Orta</t>
        </is>
      </c>
      <c r="F1325" s="5" t="inlineStr"/>
      <c r="G1325" s="6" t="inlineStr"/>
      <c r="H1325" s="6" t="inlineStr">
        <is>
          <t>Arkadaşının şirketi seni işe aldı. İlk gün seni herkese “Bizim Makaryalı” diye tanıttılar. İsmini öğrenmeleri üç ay sürdü.</t>
        </is>
      </c>
      <c r="I1325" s="6" t="inlineStr">
        <is>
          <t>Arkadaşların seni bir kurucu olarak aldı. Hisse verdiler; değeri şimdilik bir pizza kadar, ama büyük boy.</t>
        </is>
      </c>
      <c r="J1325" s="6" t="inlineStr">
        <is>
          <t>Arkadaşının şirketi batmak üzereydi. Seni işe aldılar, maaşı sonra vereceklermiş. Sonrası hâlâ gelmedi.</t>
        </is>
      </c>
      <c r="K1325" s="6" t="inlineStr">
        <is>
          <t>Şirket seni aldığı hafta battı. Kalmayı seçtin; bu sefer kafede, bu sefer müdür arkadaşın.</t>
        </is>
      </c>
      <c r="L1325" s="6" t="inlineStr"/>
      <c r="M1325" s="5" t="inlineStr"/>
      <c r="N1325" s="5" t="inlineStr"/>
      <c r="O1325" s="6" t="inlineStr"/>
      <c r="P1325" s="6" t="inlineStr"/>
      <c r="Q1325" s="5" t="inlineStr"/>
      <c r="R1325" s="5" t="inlineStr">
        <is>
          <t>yabanci-dil</t>
        </is>
      </c>
      <c r="S1325" s="5" t="inlineStr"/>
      <c r="T1325" s="5" t="inlineStr"/>
      <c r="U1325" s="5" t="inlineStr"/>
      <c r="V1325" s="5" t="inlineStr">
        <is>
          <t>hat-goc, meslek-beyazyaka</t>
        </is>
      </c>
      <c r="W1325" s="5" t="inlineStr"/>
      <c r="X1325" s="5" t="inlineStr"/>
      <c r="Y1325" s="5" t="inlineStr"/>
      <c r="Z1325" s="6" t="inlineStr"/>
      <c r="AA1325" s="5" t="inlineStr"/>
      <c r="AB1325" s="5" t="inlineStr">
        <is>
          <t>hat-goc, meslek-serbest</t>
        </is>
      </c>
      <c r="AC1325" s="5" t="inlineStr"/>
      <c r="AD1325" s="5" t="inlineStr">
        <is>
          <t>Rahat</t>
        </is>
      </c>
      <c r="AE1325" s="5" t="inlineStr"/>
      <c r="AF1325" s="5" t="inlineStr"/>
      <c r="AG1325" s="5" t="inlineStr"/>
      <c r="AH1325" s="5" t="inlineStr"/>
    </row>
    <row r="1326">
      <c r="A1326" s="5" t="inlineStr">
        <is>
          <t>b6-donus-bileti</t>
        </is>
      </c>
      <c r="B1326" s="5" t="n">
        <v>3</v>
      </c>
      <c r="C1326" s="6" t="inlineStr">
        <is>
          <t>Dön, diplomanla plazaya gir</t>
        </is>
      </c>
      <c r="D1326" s="5" t="inlineStr"/>
      <c r="E1326" s="5" t="inlineStr"/>
      <c r="F1326" s="5" t="inlineStr">
        <is>
          <t>İtibar +1, Çene +1</t>
        </is>
      </c>
      <c r="G1326" s="6" t="inlineStr">
        <is>
          <t>Tek yön bilet aldın. Havalimanında on iki akraba seni karşıladı; biri yine havalimanını görmeye gelmişti. İki hafta sonra bir plazada “yurt dışı tecrübeli” unvanıyla başladın.</t>
        </is>
      </c>
      <c r="H1326" s="6" t="inlineStr"/>
      <c r="I1326" s="6" t="inlineStr"/>
      <c r="J1326" s="6" t="inlineStr"/>
      <c r="K1326" s="6" t="inlineStr"/>
      <c r="L1326" s="6" t="inlineStr"/>
      <c r="M1326" s="5" t="inlineStr"/>
      <c r="N1326" s="5" t="inlineStr"/>
      <c r="O1326" s="6" t="inlineStr"/>
      <c r="P1326" s="6" t="inlineStr"/>
      <c r="Q1326" s="5" t="inlineStr"/>
      <c r="R1326" s="5" t="inlineStr"/>
      <c r="S1326" s="5" t="inlineStr"/>
      <c r="T1326" s="5" t="inlineStr"/>
      <c r="U1326" s="5" t="inlineStr">
        <is>
          <t>yurtdan-dondu, meslek-beyazyaka</t>
        </is>
      </c>
      <c r="V1326" s="5" t="inlineStr"/>
      <c r="W1326" s="5" t="inlineStr"/>
      <c r="X1326" s="5" t="inlineStr"/>
      <c r="Y1326" s="5" t="inlineStr"/>
      <c r="Z1326" s="6" t="inlineStr"/>
      <c r="AA1326" s="5" t="inlineStr">
        <is>
          <t>hepsi +1</t>
        </is>
      </c>
      <c r="AB1326" s="5" t="inlineStr"/>
      <c r="AC1326" s="5" t="inlineStr"/>
      <c r="AD1326" s="5" t="inlineStr">
        <is>
          <t>Orta</t>
        </is>
      </c>
      <c r="AE1326" s="5" t="inlineStr"/>
      <c r="AF1326" s="5" t="inlineStr"/>
      <c r="AG1326" s="5" t="inlineStr"/>
      <c r="AH1326" s="5" t="inlineStr"/>
    </row>
    <row r="1327">
      <c r="A1327" s="5" t="inlineStr">
        <is>
          <t>b6-donus-bileti</t>
        </is>
      </c>
      <c r="B1327" s="5" t="n">
        <v>4</v>
      </c>
      <c r="C1327" s="6" t="inlineStr">
        <is>
          <t>Dön, orada gördüğün işi burada kur</t>
        </is>
      </c>
      <c r="D1327" s="5" t="inlineStr">
        <is>
          <t>Kurnazlık</t>
        </is>
      </c>
      <c r="E1327" s="5" t="inlineStr">
        <is>
          <t>Zor</t>
        </is>
      </c>
      <c r="F1327" s="5" t="inlineStr"/>
      <c r="G1327" s="6" t="inlineStr"/>
      <c r="H1327" s="6" t="inlineStr">
        <is>
          <t>Öte Diyar'da her köşede olan bir işi Makarya'da ilk sen açtın. İlk ay kimse ne olduğunu anlamadı, ikinci ay kuyruk vardı.</t>
        </is>
      </c>
      <c r="I1327" s="6" t="inlineStr">
        <is>
          <t>Fikrini bir yatırımcıya anlattın; yatırımcı kendi kuzenine anlattı. Sonunda ikisi de ortağın oldu.</t>
        </is>
      </c>
      <c r="J1327" s="6" t="inlineStr">
        <is>
          <t>İşi kurdun, Makarya anlamadı. Kapattın ve bir plazaya başvurdun; özgeçmişinde “girişimcilik deneyimi” yazıyor.</t>
        </is>
      </c>
      <c r="K1327" s="6" t="inlineStr">
        <is>
          <t>Kurduğun iş, açıldığı hafta karşısında açılan bir kopyasına yenildi. Kopyanın adı seninkinden daha iyiydi.</t>
        </is>
      </c>
      <c r="L1327" s="6" t="inlineStr"/>
      <c r="M1327" s="5" t="inlineStr"/>
      <c r="N1327" s="5" t="inlineStr"/>
      <c r="O1327" s="6" t="inlineStr"/>
      <c r="P1327" s="6" t="inlineStr"/>
      <c r="Q1327" s="5" t="inlineStr"/>
      <c r="R1327" s="5" t="inlineStr"/>
      <c r="S1327" s="5" t="inlineStr"/>
      <c r="T1327" s="5" t="inlineStr"/>
      <c r="U1327" s="5" t="inlineStr"/>
      <c r="V1327" s="5" t="inlineStr">
        <is>
          <t>hat-girisimci, meslek-serbest, yurtdan-dondu</t>
        </is>
      </c>
      <c r="W1327" s="5" t="inlineStr"/>
      <c r="X1327" s="5" t="inlineStr"/>
      <c r="Y1327" s="5" t="inlineStr"/>
      <c r="Z1327" s="6" t="inlineStr"/>
      <c r="AA1327" s="5" t="inlineStr">
        <is>
          <t>hepsi +1</t>
        </is>
      </c>
      <c r="AB1327" s="5" t="inlineStr">
        <is>
          <t>yurtdan-dondu, meslek-beyazyaka</t>
        </is>
      </c>
      <c r="AC1327" s="5" t="inlineStr"/>
      <c r="AD1327" s="5" t="inlineStr">
        <is>
          <t>Orta</t>
        </is>
      </c>
      <c r="AE1327" s="5" t="inlineStr"/>
      <c r="AF1327" s="5" t="inlineStr"/>
      <c r="AG1327" s="5" t="inlineStr"/>
      <c r="AH1327" s="5" t="inlineStr"/>
    </row>
    <row r="1328">
      <c r="A1328" s="5" t="inlineStr">
        <is>
          <t>b6-evden-okul</t>
        </is>
      </c>
      <c r="B1328" s="5" t="n">
        <v>1</v>
      </c>
      <c r="C1328" s="6" t="inlineStr">
        <is>
          <t>Kurala uy, on birde evde ol</t>
        </is>
      </c>
      <c r="D1328" s="5" t="inlineStr"/>
      <c r="E1328" s="5" t="inlineStr"/>
      <c r="F1328" s="5" t="inlineStr">
        <is>
          <t>İtibar +1, Dayanıklılık +1</t>
        </is>
      </c>
      <c r="G1328" s="6" t="inlineStr">
        <is>
          <t>Her akşam on bire beş kala anahtar kilitte döndü. Arkadaşların sana “Külkedisi” diyor. Buzdolabı dolu; Külkedisi'nin böyle bir imkânı yoktu.</t>
        </is>
      </c>
      <c r="H1328" s="6" t="inlineStr"/>
      <c r="I1328" s="6" t="inlineStr"/>
      <c r="J1328" s="6" t="inlineStr"/>
      <c r="K1328" s="6" t="inlineStr"/>
      <c r="L1328" s="6" t="inlineStr"/>
      <c r="M1328" s="5" t="inlineStr"/>
      <c r="N1328" s="5" t="inlineStr"/>
      <c r="O1328" s="6" t="inlineStr"/>
      <c r="P1328" s="6" t="inlineStr"/>
      <c r="Q1328" s="5" t="inlineStr"/>
      <c r="R1328" s="5" t="inlineStr"/>
      <c r="S1328" s="5" t="inlineStr"/>
      <c r="T1328" s="5" t="inlineStr"/>
      <c r="U1328" s="5" t="inlineStr"/>
      <c r="V1328" s="5" t="inlineStr"/>
      <c r="W1328" s="5" t="inlineStr"/>
      <c r="X1328" s="5" t="inlineStr"/>
      <c r="Y1328" s="5" t="inlineStr"/>
      <c r="Z1328" s="6" t="inlineStr"/>
      <c r="AA1328" s="5" t="inlineStr">
        <is>
          <t>hepsi +1</t>
        </is>
      </c>
      <c r="AB1328" s="5" t="inlineStr"/>
      <c r="AC1328" s="5" t="inlineStr"/>
      <c r="AD1328" s="5" t="inlineStr"/>
      <c r="AE1328" s="5" t="inlineStr"/>
      <c r="AF1328" s="5" t="inlineStr"/>
      <c r="AG1328" s="5" t="inlineStr"/>
      <c r="AH1328" s="5" t="inlineStr"/>
    </row>
    <row r="1329">
      <c r="A1329" s="5" t="inlineStr">
        <is>
          <t>b6-evden-okul</t>
        </is>
      </c>
      <c r="B1329" s="5" t="n">
        <v>2</v>
      </c>
      <c r="C1329" s="6" t="inlineStr">
        <is>
          <t>Saati bire çıkarmak için pazarlık et</t>
        </is>
      </c>
      <c r="D1329" s="5" t="inlineStr">
        <is>
          <t>Çene</t>
        </is>
      </c>
      <c r="E1329" s="5" t="inlineStr">
        <is>
          <t>Orta</t>
        </is>
      </c>
      <c r="F1329" s="5" t="inlineStr"/>
      <c r="G1329" s="6" t="inlineStr"/>
      <c r="H1329" s="6" t="inlineStr">
        <is>
          <t>Saat yarım saat esnedi. “Kütüphane” kelimesinin evde bu kadar güçlü olduğunu bilmiyordun.</t>
        </is>
      </c>
      <c r="I1329" s="6" t="inlineStr">
        <is>
          <t>Pazarlık öyle iyi geçti ki cumartesileri saat sınırı kalktı. Annen bunu kendi fikri sandı.</t>
        </is>
      </c>
      <c r="J1329" s="6" t="inlineStr">
        <is>
          <t>Pazarlık bir saat sürdü; saat on bir olarak kaldı, üstüne bir de “Kiminlesin?” sorusu eklendi.</t>
        </is>
      </c>
      <c r="K1329" s="6" t="inlineStr">
        <is>
          <t>Pazarlığın ortasında telefonuna bir mesaj geldi: “Bu gece nereye?” Annen okudu. Saat on oldu.</t>
        </is>
      </c>
      <c r="L1329" s="6" t="inlineStr"/>
      <c r="M1329" s="5" t="inlineStr"/>
      <c r="N1329" s="5" t="inlineStr"/>
      <c r="O1329" s="6" t="inlineStr"/>
      <c r="P1329" s="6" t="inlineStr"/>
      <c r="Q1329" s="5" t="inlineStr"/>
      <c r="R1329" s="5" t="inlineStr"/>
      <c r="S1329" s="5" t="inlineStr"/>
      <c r="T1329" s="5" t="inlineStr"/>
      <c r="U1329" s="5" t="inlineStr"/>
      <c r="V1329" s="5" t="inlineStr"/>
      <c r="W1329" s="5" t="inlineStr"/>
      <c r="X1329" s="5" t="inlineStr"/>
      <c r="Y1329" s="5" t="inlineStr"/>
      <c r="Z1329" s="6" t="inlineStr"/>
      <c r="AA1329" s="5" t="inlineStr"/>
      <c r="AB1329" s="5" t="inlineStr"/>
      <c r="AC1329" s="5" t="inlineStr"/>
      <c r="AD1329" s="5" t="inlineStr"/>
      <c r="AE1329" s="5" t="inlineStr"/>
      <c r="AF1329" s="5" t="inlineStr"/>
      <c r="AG1329" s="5" t="inlineStr"/>
      <c r="AH1329" s="5" t="inlineStr"/>
    </row>
    <row r="1330">
      <c r="A1330" s="5" t="inlineStr">
        <is>
          <t>b6-evden-okul</t>
        </is>
      </c>
      <c r="B1330" s="5" t="n">
        <v>3</v>
      </c>
      <c r="C1330" s="6" t="inlineStr">
        <is>
          <t>Gizlice geç gel</t>
        </is>
      </c>
      <c r="D1330" s="5" t="inlineStr">
        <is>
          <t>Kurnazlık</t>
        </is>
      </c>
      <c r="E1330" s="5" t="inlineStr">
        <is>
          <t>Zor</t>
        </is>
      </c>
      <c r="F1330" s="5" t="inlineStr"/>
      <c r="G1330" s="6" t="inlineStr"/>
      <c r="H1330" s="6" t="inlineStr">
        <is>
          <t>Anahtarı sessizce çevirmeyi, üçüncü basamağı atlamayı öğrendin. Evde bir hayalet yaşıyor; notları iyi.</t>
        </is>
      </c>
      <c r="I1330" s="6" t="inlineStr">
        <is>
          <t>Sistemin öyle sağlam ki bir gece annen senden geç geldi. İkiniz de bir şey demediniz.</t>
        </is>
      </c>
      <c r="J1330" s="6" t="inlineStr">
        <is>
          <t>Üçüncü basamak gıcırdadı. Işık yandı. Babanın sorusu kısaydı: “Saat?”</t>
        </is>
      </c>
      <c r="K1330" s="6" t="inlineStr">
        <is>
          <t>Kapıyı açtığında salonda annen, baban ve teyzen oturuyordu. Teyzen o gece sizde kalmıştı; tanık olarak.</t>
        </is>
      </c>
      <c r="L1330" s="6" t="inlineStr"/>
      <c r="M1330" s="5" t="inlineStr"/>
      <c r="N1330" s="5" t="inlineStr"/>
      <c r="O1330" s="6" t="inlineStr"/>
      <c r="P1330" s="6" t="inlineStr"/>
      <c r="Q1330" s="5" t="inlineStr"/>
      <c r="R1330" s="5" t="inlineStr"/>
      <c r="S1330" s="5" t="inlineStr"/>
      <c r="T1330" s="5" t="inlineStr"/>
      <c r="U1330" s="5" t="inlineStr"/>
      <c r="V1330" s="5" t="inlineStr"/>
      <c r="W1330" s="5" t="inlineStr"/>
      <c r="X1330" s="5" t="inlineStr"/>
      <c r="Y1330" s="5" t="inlineStr"/>
      <c r="Z1330" s="6" t="inlineStr"/>
      <c r="AA1330" s="5" t="inlineStr"/>
      <c r="AB1330" s="5" t="inlineStr"/>
      <c r="AC1330" s="5" t="inlineStr"/>
      <c r="AD1330" s="5" t="inlineStr"/>
      <c r="AE1330" s="5" t="inlineStr"/>
      <c r="AF1330" s="5" t="inlineStr"/>
      <c r="AG1330" s="5" t="inlineStr"/>
      <c r="AH1330" s="5" t="inlineStr"/>
    </row>
    <row r="1331">
      <c r="A1331" s="5" t="inlineStr">
        <is>
          <t>b6-bolum-ilk-yil</t>
        </is>
      </c>
      <c r="B1331" s="5" t="n">
        <v>1</v>
      </c>
      <c r="C1331" s="6" t="inlineStr">
        <is>
          <t>Derslere gir, not al, çık</t>
        </is>
      </c>
      <c r="D1331" s="5" t="inlineStr"/>
      <c r="E1331" s="5" t="inlineStr"/>
      <c r="F1331" s="5" t="inlineStr">
        <is>
          <t>Akıl +1, Dayanıklılık +1</t>
        </is>
      </c>
      <c r="G1331" s="6" t="inlineStr">
        <is>
          <t>Bir yıl boyunca derslere girdin, çıktın. Notların ortalamanın tam ortasında. Transkriptin bir bej rengi kadar sakin.</t>
        </is>
      </c>
      <c r="H1331" s="6" t="inlineStr"/>
      <c r="I1331" s="6" t="inlineStr"/>
      <c r="J1331" s="6" t="inlineStr"/>
      <c r="K1331" s="6" t="inlineStr"/>
      <c r="L1331" s="6" t="inlineStr"/>
      <c r="M1331" s="5" t="inlineStr"/>
      <c r="N1331" s="5" t="inlineStr"/>
      <c r="O1331" s="6" t="inlineStr"/>
      <c r="P1331" s="6" t="inlineStr"/>
      <c r="Q1331" s="5" t="inlineStr"/>
      <c r="R1331" s="5" t="inlineStr"/>
      <c r="S1331" s="5" t="inlineStr"/>
      <c r="T1331" s="5" t="inlineStr"/>
      <c r="U1331" s="5" t="inlineStr"/>
      <c r="V1331" s="5" t="inlineStr"/>
      <c r="W1331" s="5" t="inlineStr"/>
      <c r="X1331" s="5" t="inlineStr"/>
      <c r="Y1331" s="5" t="inlineStr"/>
      <c r="Z1331" s="6" t="inlineStr"/>
      <c r="AA1331" s="5" t="inlineStr"/>
      <c r="AB1331" s="5" t="inlineStr"/>
      <c r="AC1331" s="5" t="inlineStr"/>
      <c r="AD1331" s="5" t="inlineStr"/>
      <c r="AE1331" s="5" t="inlineStr"/>
      <c r="AF1331" s="5" t="inlineStr"/>
      <c r="AG1331" s="5" t="inlineStr"/>
      <c r="AH1331" s="5" t="inlineStr"/>
    </row>
    <row r="1332">
      <c r="A1332" s="5" t="inlineStr">
        <is>
          <t>b6-bolum-ilk-yil</t>
        </is>
      </c>
      <c r="B1332" s="5" t="n">
        <v>2</v>
      </c>
      <c r="C1332" s="6" t="inlineStr">
        <is>
          <t>Adliyede duruşma izle</t>
        </is>
      </c>
      <c r="D1332" s="5" t="inlineStr">
        <is>
          <t>Sosyal Radar</t>
        </is>
      </c>
      <c r="E1332" s="5" t="inlineStr">
        <is>
          <t>Orta</t>
        </is>
      </c>
      <c r="F1332" s="5" t="inlineStr"/>
      <c r="G1332" s="6" t="inlineStr"/>
      <c r="H1332" s="6" t="inlineStr">
        <is>
          <t>Arka sırada üç duruşma izledin. Hâkimin kalemi masaya vurduğu an, bütün salonun nefesini tuttuğunu gördün. Bu salonu bir gün kendin susturmak istiyorsun.</t>
        </is>
      </c>
      <c r="I1332" s="6" t="inlineStr">
        <is>
          <t>Bir avukat seni fark etti ve dosyasını taşımanı istedi. Dosya ağırdı; teklifi daha da ağırdı: “Yazın stajyerim ol.”</t>
        </is>
      </c>
      <c r="J1332" s="6" t="inlineStr">
        <is>
          <t>Yanlış salona girdin. Bir boşanma davasını sonuna kadar izledin; tarafların ikisi de sana baktı.</t>
        </is>
      </c>
      <c r="K1332" s="6" t="inlineStr">
        <is>
          <t>Duruşmada telefonun çaldı. Hâkim seni “salona saygısızlık” diye uyardı. Tutanaktaki ilk adın bu.</t>
        </is>
      </c>
      <c r="L1332" s="6" t="inlineStr"/>
      <c r="M1332" s="5" t="inlineStr"/>
      <c r="N1332" s="5" t="inlineStr"/>
      <c r="O1332" s="6" t="inlineStr"/>
      <c r="P1332" s="6" t="inlineStr"/>
      <c r="Q1332" s="5" t="inlineStr"/>
      <c r="R1332" s="5" t="inlineStr">
        <is>
          <t>bolum-hukuk</t>
        </is>
      </c>
      <c r="S1332" s="5" t="inlineStr"/>
      <c r="T1332" s="5" t="inlineStr"/>
      <c r="U1332" s="5" t="inlineStr"/>
      <c r="V1332" s="5" t="inlineStr"/>
      <c r="W1332" s="5" t="inlineStr"/>
      <c r="X1332" s="5" t="inlineStr"/>
      <c r="Y1332" s="5" t="inlineStr"/>
      <c r="Z1332" s="6" t="inlineStr"/>
      <c r="AA1332" s="5" t="inlineStr"/>
      <c r="AB1332" s="5" t="inlineStr"/>
      <c r="AC1332" s="5" t="inlineStr"/>
      <c r="AD1332" s="5" t="inlineStr"/>
      <c r="AE1332" s="5" t="inlineStr"/>
      <c r="AF1332" s="5" t="inlineStr"/>
      <c r="AG1332" s="5" t="inlineStr"/>
      <c r="AH1332" s="5" t="inlineStr"/>
    </row>
    <row r="1333">
      <c r="A1333" s="5" t="inlineStr">
        <is>
          <t>b6-bolum-ilk-yil</t>
        </is>
      </c>
      <c r="B1333" s="5" t="n">
        <v>3</v>
      </c>
      <c r="C1333" s="6" t="inlineStr">
        <is>
          <t>İçtimada en önde dur</t>
        </is>
      </c>
      <c r="D1333" s="5" t="inlineStr">
        <is>
          <t>Dayanıklılık</t>
        </is>
      </c>
      <c r="E1333" s="5" t="inlineStr">
        <is>
          <t>Orta</t>
        </is>
      </c>
      <c r="F1333" s="5" t="inlineStr"/>
      <c r="G1333" s="6" t="inlineStr"/>
      <c r="H1333" s="6" t="inlineStr">
        <is>
          <t>Sabah altıda en öndeydin. Komiser amir adını sordu. Akademide bir adın olması, üniformanın ilk düğmesi gibidir.</t>
        </is>
      </c>
      <c r="I1333" s="6" t="inlineStr">
        <is>
          <t>Bütün yıl hiç geç kalmadın. Tören günü sancağı sen taşıdın; annen fotoğrafı çerçevelettirdi, baban cüzdanına koydu.</t>
        </is>
      </c>
      <c r="J1333" s="6" t="inlineStr">
        <is>
          <t>En önde durdun, sonra bayıldın. Revirde uyandığında hemşire “Kahvaltı?” diye sordu. Yapmamıştın.</t>
        </is>
      </c>
      <c r="K1333" s="6" t="inlineStr">
        <is>
          <t>İçtimada yanlış tarafa döndün. Bütün sıra seninle döndü. Komiser amir “Yeni bir düzen mi?” diye sordu.</t>
        </is>
      </c>
      <c r="L1333" s="6" t="inlineStr"/>
      <c r="M1333" s="5" t="inlineStr"/>
      <c r="N1333" s="5" t="inlineStr"/>
      <c r="O1333" s="6" t="inlineStr"/>
      <c r="P1333" s="6" t="inlineStr"/>
      <c r="Q1333" s="5" t="inlineStr"/>
      <c r="R1333" s="5" t="inlineStr">
        <is>
          <t>bolum-emniyet</t>
        </is>
      </c>
      <c r="S1333" s="5" t="inlineStr"/>
      <c r="T1333" s="5" t="inlineStr"/>
      <c r="U1333" s="5" t="inlineStr"/>
      <c r="V1333" s="5" t="inlineStr"/>
      <c r="W1333" s="5" t="inlineStr"/>
      <c r="X1333" s="5" t="inlineStr"/>
      <c r="Y1333" s="5" t="inlineStr"/>
      <c r="Z1333" s="6" t="inlineStr"/>
      <c r="AA1333" s="5" t="inlineStr"/>
      <c r="AB1333" s="5" t="inlineStr"/>
      <c r="AC1333" s="5" t="inlineStr"/>
      <c r="AD1333" s="5" t="inlineStr"/>
      <c r="AE1333" s="5" t="inlineStr"/>
      <c r="AF1333" s="5" t="inlineStr"/>
      <c r="AG1333" s="5" t="inlineStr"/>
      <c r="AH1333" s="5" t="inlineStr"/>
    </row>
    <row r="1334">
      <c r="A1334" s="5" t="inlineStr">
        <is>
          <t>b6-bolum-ilk-yil</t>
        </is>
      </c>
      <c r="B1334" s="5" t="n">
        <v>4</v>
      </c>
      <c r="C1334" s="6" t="inlineStr">
        <is>
          <t>Laboratuvardaki arızayı sen çöz</t>
        </is>
      </c>
      <c r="D1334" s="5" t="inlineStr">
        <is>
          <t>Akıl</t>
        </is>
      </c>
      <c r="E1334" s="5" t="inlineStr">
        <is>
          <t>Orta</t>
        </is>
      </c>
      <c r="F1334" s="5" t="inlineStr"/>
      <c r="G1334" s="6" t="inlineStr"/>
      <c r="H1334" s="6" t="inlineStr">
        <is>
          <t>Hocanın çözemediği cihazı sen çözdün; kablo takılı değilmiş. Asistan seni o günden beri “Mühendis Bey” diye çağırıyor.</t>
        </is>
      </c>
      <c r="I1334" s="6" t="inlineStr">
        <is>
          <t>Cihazı çözdün, bir de programını düzelttin. Hoca seni araştırma grubuna aldı; maaşı yok, anahtarı var.</t>
        </is>
      </c>
      <c r="J1334" s="6" t="inlineStr">
        <is>
          <t>Cihaz açıldı ama yanlış açıldı. Laboratuvar yarım gün tahliye edildi. Kimse ne olduğunu anlamadı; sen de.</t>
        </is>
      </c>
      <c r="K1334" s="6" t="inlineStr">
        <is>
          <t>Kabloyu yanlış yere taktın. Bölümün bütün sigortaları attı. Adın panoda: “Bu öğrenci prize yaklaşamaz.”</t>
        </is>
      </c>
      <c r="L1334" s="6" t="inlineStr"/>
      <c r="M1334" s="5" t="inlineStr"/>
      <c r="N1334" s="5" t="inlineStr"/>
      <c r="O1334" s="6" t="inlineStr"/>
      <c r="P1334" s="6" t="inlineStr"/>
      <c r="Q1334" s="5" t="inlineStr"/>
      <c r="R1334" s="5" t="inlineStr">
        <is>
          <t>bolum-muhendislik</t>
        </is>
      </c>
      <c r="S1334" s="5" t="inlineStr"/>
      <c r="T1334" s="5" t="inlineStr"/>
      <c r="U1334" s="5" t="inlineStr"/>
      <c r="V1334" s="5" t="inlineStr"/>
      <c r="W1334" s="5" t="inlineStr"/>
      <c r="X1334" s="5" t="inlineStr"/>
      <c r="Y1334" s="5" t="inlineStr"/>
      <c r="Z1334" s="6" t="inlineStr"/>
      <c r="AA1334" s="5" t="inlineStr"/>
      <c r="AB1334" s="5" t="inlineStr"/>
      <c r="AC1334" s="5" t="inlineStr"/>
      <c r="AD1334" s="5" t="inlineStr"/>
      <c r="AE1334" s="5" t="inlineStr"/>
      <c r="AF1334" s="5" t="inlineStr"/>
      <c r="AG1334" s="5" t="inlineStr"/>
      <c r="AH1334" s="5" t="inlineStr"/>
    </row>
    <row r="1335">
      <c r="A1335" s="5" t="inlineStr">
        <is>
          <t>b6-bolum-ilk-yil</t>
        </is>
      </c>
      <c r="B1335" s="5" t="n">
        <v>5</v>
      </c>
      <c r="C1335" s="6" t="inlineStr">
        <is>
          <t>İlk seçmeye gir</t>
        </is>
      </c>
      <c r="D1335" s="5" t="inlineStr">
        <is>
          <t>Pişkinlik</t>
        </is>
      </c>
      <c r="E1335" s="5" t="inlineStr">
        <is>
          <t>Orta</t>
        </is>
      </c>
      <c r="F1335" s="5" t="inlineStr"/>
      <c r="G1335" s="6" t="inlineStr"/>
      <c r="H1335" s="6" t="inlineStr">
        <is>
          <t>Sahnede üç dakikan vardı; iki dakika elli saniye kullandın. Jüri seni hatırladı; bir de ismini.</t>
        </is>
      </c>
      <c r="I1335" s="6" t="inlineStr">
        <is>
          <t>Jüri seni bir reklam filminin setine önerdi. İlk rolün: “Çayını yudumlayan mutlu genç.” Çay soğuktu.</t>
        </is>
      </c>
      <c r="J1335" s="6" t="inlineStr">
        <is>
          <t>Seçmede metni unuttun ve doğaçlama yaptın. Jüri “Bu metinde öyle bir sahne yok” dedi.</t>
        </is>
      </c>
      <c r="K1335" s="6" t="inlineStr">
        <is>
          <t>Sahneye çıkarken perdeye takıldın. Perde indi. Jüri bunu performans sandı, puanını yine de vermedi.</t>
        </is>
      </c>
      <c r="L1335" s="6" t="inlineStr"/>
      <c r="M1335" s="5" t="inlineStr"/>
      <c r="N1335" s="5" t="inlineStr"/>
      <c r="O1335" s="6" t="inlineStr"/>
      <c r="P1335" s="6" t="inlineStr"/>
      <c r="Q1335" s="5" t="inlineStr"/>
      <c r="R1335" s="5" t="inlineStr">
        <is>
          <t>bolum-iletisim</t>
        </is>
      </c>
      <c r="S1335" s="5" t="inlineStr"/>
      <c r="T1335" s="5" t="inlineStr"/>
      <c r="U1335" s="5" t="inlineStr"/>
      <c r="V1335" s="5" t="inlineStr"/>
      <c r="W1335" s="5" t="inlineStr"/>
      <c r="X1335" s="5" t="inlineStr"/>
      <c r="Y1335" s="5" t="inlineStr"/>
      <c r="Z1335" s="6" t="inlineStr"/>
      <c r="AA1335" s="5" t="inlineStr"/>
      <c r="AB1335" s="5" t="inlineStr"/>
      <c r="AC1335" s="5" t="inlineStr"/>
      <c r="AD1335" s="5" t="inlineStr"/>
      <c r="AE1335" s="5" t="inlineStr"/>
      <c r="AF1335" s="5" t="inlineStr"/>
      <c r="AG1335" s="5" t="inlineStr"/>
      <c r="AH1335" s="5" t="inlineStr"/>
    </row>
    <row r="1336">
      <c r="A1336" s="5" t="inlineStr">
        <is>
          <t>b6-bolum-ilk-yil</t>
        </is>
      </c>
      <c r="B1336" s="5" t="n">
        <v>6</v>
      </c>
      <c r="C1336" s="6" t="inlineStr">
        <is>
          <t>Kantinde vaka analizi yap</t>
        </is>
      </c>
      <c r="D1336" s="5" t="inlineStr">
        <is>
          <t>Kurnazlık</t>
        </is>
      </c>
      <c r="E1336" s="5" t="inlineStr">
        <is>
          <t>Orta</t>
        </is>
      </c>
      <c r="F1336" s="5" t="inlineStr"/>
      <c r="G1336" s="6" t="inlineStr"/>
      <c r="H1336" s="6" t="inlineStr">
        <is>
          <t>Kantincinin tost fiyatlarını analiz ettin ve yeni bir menü önerdin. Kantinci uyguladı; kârın yüzde onu sana tost olarak dönüyor.</t>
        </is>
      </c>
      <c r="I1336" s="6" t="inlineStr">
        <is>
          <t>Analizini ödev olarak da teslim ettin. Hoca bunu yayına çevirmek istedi; kantinci de ortaklık.</t>
        </is>
      </c>
      <c r="J1336" s="6" t="inlineStr">
        <is>
          <t>Kantinci analizini dinledi ve fiyatları artırdı. Sonucu şimdi bütün bölüm ödüyor.</t>
        </is>
      </c>
      <c r="K1336" s="6" t="inlineStr">
        <is>
          <t>Analizin sızdı; kantin fiyatları senin yüzünden artmış gibi göründü. Kantinde sana artık tost yok.</t>
        </is>
      </c>
      <c r="L1336" s="6" t="inlineStr"/>
      <c r="M1336" s="5" t="inlineStr"/>
      <c r="N1336" s="5" t="inlineStr"/>
      <c r="O1336" s="6" t="inlineStr"/>
      <c r="P1336" s="6" t="inlineStr"/>
      <c r="Q1336" s="5" t="inlineStr"/>
      <c r="R1336" s="5" t="inlineStr">
        <is>
          <t>bolum-isletme</t>
        </is>
      </c>
      <c r="S1336" s="5" t="inlineStr"/>
      <c r="T1336" s="5" t="inlineStr"/>
      <c r="U1336" s="5" t="inlineStr"/>
      <c r="V1336" s="5" t="inlineStr"/>
      <c r="W1336" s="5" t="inlineStr"/>
      <c r="X1336" s="5" t="inlineStr"/>
      <c r="Y1336" s="5" t="inlineStr"/>
      <c r="Z1336" s="6" t="inlineStr"/>
      <c r="AA1336" s="5" t="inlineStr"/>
      <c r="AB1336" s="5" t="inlineStr"/>
      <c r="AC1336" s="5" t="inlineStr"/>
      <c r="AD1336" s="5" t="inlineStr"/>
      <c r="AE1336" s="5" t="inlineStr"/>
      <c r="AF1336" s="5" t="inlineStr"/>
      <c r="AG1336" s="5" t="inlineStr"/>
      <c r="AH1336" s="5" t="inlineStr"/>
    </row>
    <row r="1337">
      <c r="A1337" s="5" t="inlineStr">
        <is>
          <t>b6-bolum-ilk-yil</t>
        </is>
      </c>
      <c r="B1337" s="5" t="n">
        <v>7</v>
      </c>
      <c r="C1337" s="6" t="inlineStr">
        <is>
          <t>Kadavra dersinde ayakta kal</t>
        </is>
      </c>
      <c r="D1337" s="5" t="inlineStr">
        <is>
          <t>Dayanıklılık</t>
        </is>
      </c>
      <c r="E1337" s="5" t="inlineStr">
        <is>
          <t>Orta</t>
        </is>
      </c>
      <c r="F1337" s="5" t="inlineStr"/>
      <c r="G1337" s="6" t="inlineStr"/>
      <c r="H1337" s="6" t="inlineStr">
        <is>
          <t>Herkes birer birer dışarı çıkarken sen kaldın. Hoca sana başıyla onay verdi; tıp fakültesinde bu bir alkıştır.</t>
        </is>
      </c>
      <c r="I1337" s="6" t="inlineStr">
        <is>
          <t>Dersin sonunda hoca seni asistanı yaptı. Aile grubunda artık her semptom sana soruluyor; teyzen fotoğraf da atıyor.</t>
        </is>
      </c>
      <c r="J1337" s="6" t="inlineStr">
        <is>
          <t>Ayakta kaldın ama rengin kalmadı. Hoca seni koridora çıkardı: “Bir çay iç, sonra gel.” Gelmedin.</t>
        </is>
      </c>
      <c r="K1337" s="6" t="inlineStr">
        <is>
          <t>Bayıldın; üstelik yanındaki arkadaşının üstüne. O da bayıldı. Dersin adı artık “Domino.”</t>
        </is>
      </c>
      <c r="L1337" s="6" t="inlineStr"/>
      <c r="M1337" s="5" t="inlineStr"/>
      <c r="N1337" s="5" t="inlineStr"/>
      <c r="O1337" s="6" t="inlineStr"/>
      <c r="P1337" s="6" t="inlineStr"/>
      <c r="Q1337" s="5" t="inlineStr"/>
      <c r="R1337" s="5" t="inlineStr">
        <is>
          <t>bolum-tip</t>
        </is>
      </c>
      <c r="S1337" s="5" t="inlineStr"/>
      <c r="T1337" s="5" t="inlineStr"/>
      <c r="U1337" s="5" t="inlineStr"/>
      <c r="V1337" s="5" t="inlineStr"/>
      <c r="W1337" s="5" t="inlineStr"/>
      <c r="X1337" s="5" t="inlineStr"/>
      <c r="Y1337" s="5" t="inlineStr"/>
      <c r="Z1337" s="6" t="inlineStr"/>
      <c r="AA1337" s="5" t="inlineStr"/>
      <c r="AB1337" s="5" t="inlineStr"/>
      <c r="AC1337" s="5" t="inlineStr"/>
      <c r="AD1337" s="5" t="inlineStr"/>
      <c r="AE1337" s="5" t="inlineStr"/>
      <c r="AF1337" s="5" t="inlineStr"/>
      <c r="AG1337" s="5" t="inlineStr"/>
      <c r="AH1337" s="5" t="inlineStr"/>
    </row>
    <row r="1338">
      <c r="A1338" s="5" t="inlineStr">
        <is>
          <t>b6-evden-cikis</t>
        </is>
      </c>
      <c r="B1338" s="5" t="n">
        <v>1</v>
      </c>
      <c r="C1338" s="6" t="inlineStr">
        <is>
          <t>Ailenin yanında kal</t>
        </is>
      </c>
      <c r="D1338" s="5" t="inlineStr"/>
      <c r="E1338" s="5" t="inlineStr"/>
      <c r="F1338" s="5" t="inlineStr">
        <is>
          <t>Kurnazlık +1, İtibar +1</t>
        </is>
      </c>
      <c r="G1338" s="6" t="inlineStr">
        <is>
          <t>Kalmaya karar verdin. Annen o akşam en sevdiğin yemeği yaptı; baban da televizyonun kumandasını ilk kez sana uzattı. Kira yok, ama akşam dokuzda “Nereye?” var.</t>
        </is>
      </c>
      <c r="H1338" s="6" t="inlineStr"/>
      <c r="I1338" s="6" t="inlineStr"/>
      <c r="J1338" s="6" t="inlineStr"/>
      <c r="K1338" s="6" t="inlineStr"/>
      <c r="L1338" s="6" t="inlineStr"/>
      <c r="M1338" s="5" t="inlineStr"/>
      <c r="N1338" s="5" t="inlineStr"/>
      <c r="O1338" s="6" t="inlineStr"/>
      <c r="P1338" s="6" t="inlineStr"/>
      <c r="Q1338" s="5" t="inlineStr"/>
      <c r="R1338" s="5" t="inlineStr"/>
      <c r="S1338" s="5" t="inlineStr"/>
      <c r="T1338" s="5" t="inlineStr"/>
      <c r="U1338" s="5" t="inlineStr">
        <is>
          <t>evde-kaldi</t>
        </is>
      </c>
      <c r="V1338" s="5" t="inlineStr"/>
      <c r="W1338" s="5" t="inlineStr"/>
      <c r="X1338" s="5" t="inlineStr"/>
      <c r="Y1338" s="5" t="inlineStr"/>
      <c r="Z1338" s="6" t="inlineStr"/>
      <c r="AA1338" s="5" t="inlineStr">
        <is>
          <t>hepsi +1</t>
        </is>
      </c>
      <c r="AB1338" s="5" t="inlineStr"/>
      <c r="AC1338" s="5" t="inlineStr"/>
      <c r="AD1338" s="5" t="inlineStr"/>
      <c r="AE1338" s="5" t="inlineStr"/>
      <c r="AF1338" s="5" t="inlineStr"/>
      <c r="AG1338" s="5" t="inlineStr"/>
      <c r="AH1338" s="5" t="inlineStr"/>
    </row>
    <row r="1339">
      <c r="A1339" s="5" t="inlineStr">
        <is>
          <t>b6-evden-cikis</t>
        </is>
      </c>
      <c r="B1339" s="5" t="n">
        <v>2</v>
      </c>
      <c r="C1339" s="6" t="inlineStr">
        <is>
          <t>Tek başına kiraya çık</t>
        </is>
      </c>
      <c r="D1339" s="5" t="inlineStr">
        <is>
          <t>Cesaret</t>
        </is>
      </c>
      <c r="E1339" s="5" t="inlineStr">
        <is>
          <t>Orta</t>
        </is>
      </c>
      <c r="F1339" s="5" t="inlineStr"/>
      <c r="G1339" s="6" t="inlineStr"/>
      <c r="H1339" s="6" t="inlineStr">
        <is>
          <t>Anahtarı aldın. İlk gece boş evde yankılanan kendi sesine alıştın. Buzdolabında sadece su var; su senin.</t>
        </is>
      </c>
      <c r="I1339" s="6" t="inlineStr">
        <is>
          <t>İlk ev şansına iyi çıktı: güneş alıyor, komşu sessiz, ev sahibi yurt dışında. Böyle bir üçlü mahallede efsane.</t>
        </is>
      </c>
      <c r="J1339" s="6" t="inlineStr">
        <is>
          <t>Kontrat aşamasında depozito, emlakçı payı ve iki kira birden istendi. Cebine baktın; odana döndün.</t>
        </is>
      </c>
      <c r="K1339" s="6" t="inlineStr">
        <is>
          <t>Kontratı imzalamak üzereyken annen emlakçıyı aradı. Emlakçı annenin okul arkadaşı çıktı. Ev iptal, sen de iptal.</t>
        </is>
      </c>
      <c r="L1339" s="6" t="inlineStr"/>
      <c r="M1339" s="5" t="inlineStr"/>
      <c r="N1339" s="5" t="inlineStr"/>
      <c r="O1339" s="6" t="inlineStr"/>
      <c r="P1339" s="6" t="inlineStr"/>
      <c r="Q1339" s="5" t="inlineStr"/>
      <c r="R1339" s="5" t="inlineStr"/>
      <c r="S1339" s="5" t="inlineStr"/>
      <c r="T1339" s="5" t="inlineStr"/>
      <c r="U1339" s="5" t="inlineStr"/>
      <c r="V1339" s="5" t="inlineStr">
        <is>
          <t>kiraci</t>
        </is>
      </c>
      <c r="W1339" s="5" t="inlineStr"/>
      <c r="X1339" s="5" t="inlineStr"/>
      <c r="Y1339" s="5" t="inlineStr"/>
      <c r="Z1339" s="6" t="inlineStr"/>
      <c r="AA1339" s="5" t="inlineStr">
        <is>
          <t>Şen -1, Yalçın -1, Tan +1</t>
        </is>
      </c>
      <c r="AB1339" s="5" t="inlineStr">
        <is>
          <t>evde-kaldi</t>
        </is>
      </c>
      <c r="AC1339" s="5" t="inlineStr">
        <is>
          <t>Kıt</t>
        </is>
      </c>
      <c r="AD1339" s="5" t="inlineStr"/>
      <c r="AE1339" s="5" t="inlineStr"/>
      <c r="AF1339" s="5" t="inlineStr"/>
      <c r="AG1339" s="5" t="inlineStr"/>
      <c r="AH1339" s="5" t="inlineStr"/>
    </row>
    <row r="1340">
      <c r="A1340" s="5" t="inlineStr">
        <is>
          <t>b6-evden-cikis</t>
        </is>
      </c>
      <c r="B1340" s="5" t="n">
        <v>3</v>
      </c>
      <c r="C1340" s="6" t="inlineStr">
        <is>
          <t>Bir arkadaşla ev tut</t>
        </is>
      </c>
      <c r="D1340" s="5" t="inlineStr">
        <is>
          <t>Çene</t>
        </is>
      </c>
      <c r="E1340" s="5" t="inlineStr">
        <is>
          <t>Kolay</t>
        </is>
      </c>
      <c r="F1340" s="5" t="inlineStr"/>
      <c r="G1340" s="6" t="inlineStr"/>
      <c r="H1340" s="6" t="inlineStr">
        <is>
          <t>Arkadaşınla iki odalı bir yer tuttunuz. Kira yarı yarıya, buzdolabı rafı yarı yarıya; kavga tam.</t>
        </is>
      </c>
      <c r="I1340" s="6" t="inlineStr">
        <is>
          <t>Ev arkadaşın yemek yapmayı seviyor, sen de yemeyi. Evin ekonomisi kurulmuştu.</t>
        </is>
      </c>
      <c r="J1340" s="6" t="inlineStr">
        <is>
          <t>Arkadaşın son anda sevgilisiyle taşınmaya karar verdi. Evin anahtarı elinde kaldı, kontrat onun adına. Odana döndün.</t>
        </is>
      </c>
      <c r="K1340" s="6" t="inlineStr">
        <is>
          <t>Evi tuttunuz, arkadaş ilk ay kirayı ödemedi, ikinci ay kendini ödemedi. Aile evine döndün; valizin hâlâ yarım.</t>
        </is>
      </c>
      <c r="L1340" s="6" t="inlineStr"/>
      <c r="M1340" s="5" t="inlineStr"/>
      <c r="N1340" s="5" t="inlineStr"/>
      <c r="O1340" s="6" t="inlineStr"/>
      <c r="P1340" s="6" t="inlineStr"/>
      <c r="Q1340" s="5" t="inlineStr"/>
      <c r="R1340" s="5" t="inlineStr"/>
      <c r="S1340" s="5" t="inlineStr"/>
      <c r="T1340" s="5" t="inlineStr"/>
      <c r="U1340" s="5" t="inlineStr"/>
      <c r="V1340" s="5" t="inlineStr">
        <is>
          <t>ev-arkadasli</t>
        </is>
      </c>
      <c r="W1340" s="5" t="inlineStr"/>
      <c r="X1340" s="5" t="inlineStr"/>
      <c r="Y1340" s="5" t="inlineStr"/>
      <c r="Z1340" s="6" t="inlineStr"/>
      <c r="AA1340" s="5" t="inlineStr"/>
      <c r="AB1340" s="5" t="inlineStr">
        <is>
          <t>evde-kaldi</t>
        </is>
      </c>
      <c r="AC1340" s="5" t="inlineStr"/>
      <c r="AD1340" s="5" t="inlineStr"/>
      <c r="AE1340" s="5" t="inlineStr"/>
      <c r="AF1340" s="5" t="inlineStr"/>
      <c r="AG1340" s="5" t="inlineStr"/>
      <c r="AH1340" s="5" t="inlineStr"/>
    </row>
    <row r="1341">
      <c r="A1341" s="5" t="inlineStr">
        <is>
          <t>b6-evden-cikis</t>
        </is>
      </c>
      <c r="B1341" s="5" t="n">
        <v>4</v>
      </c>
      <c r="C1341" s="6" t="inlineStr">
        <is>
          <t>Yurttan öğrenci evine geç</t>
        </is>
      </c>
      <c r="D1341" s="5" t="inlineStr"/>
      <c r="E1341" s="5" t="inlineStr"/>
      <c r="F1341" s="5" t="inlineStr">
        <is>
          <t>Sosyal Radar +1, Dayanıklılık +1</t>
        </is>
      </c>
      <c r="G1341" s="6" t="inlineStr">
        <is>
          <t>Dört kişi, üç oda, bir banyo. Salon aynı zamanda biri için yatak odası. Kapıda dört ayrı isim yazılı; posta hep başkasına gelir.</t>
        </is>
      </c>
      <c r="H1341" s="6" t="inlineStr"/>
      <c r="I1341" s="6" t="inlineStr"/>
      <c r="J1341" s="6" t="inlineStr"/>
      <c r="K1341" s="6" t="inlineStr"/>
      <c r="L1341" s="6" t="inlineStr"/>
      <c r="M1341" s="5" t="inlineStr"/>
      <c r="N1341" s="5" t="inlineStr"/>
      <c r="O1341" s="6" t="inlineStr"/>
      <c r="P1341" s="6" t="inlineStr"/>
      <c r="Q1341" s="5" t="inlineStr"/>
      <c r="R1341" s="5" t="inlineStr">
        <is>
          <t>baska-sehir</t>
        </is>
      </c>
      <c r="S1341" s="5" t="inlineStr"/>
      <c r="T1341" s="5" t="inlineStr"/>
      <c r="U1341" s="5" t="inlineStr">
        <is>
          <t>ev-arkadasli</t>
        </is>
      </c>
      <c r="V1341" s="5" t="inlineStr"/>
      <c r="W1341" s="5" t="inlineStr"/>
      <c r="X1341" s="5" t="inlineStr"/>
      <c r="Y1341" s="5" t="inlineStr"/>
      <c r="Z1341" s="6" t="inlineStr"/>
      <c r="AA1341" s="5" t="inlineStr"/>
      <c r="AB1341" s="5" t="inlineStr"/>
      <c r="AC1341" s="5" t="inlineStr"/>
      <c r="AD1341" s="5" t="inlineStr"/>
      <c r="AE1341" s="5" t="inlineStr"/>
      <c r="AF1341" s="5" t="inlineStr"/>
      <c r="AG1341" s="5" t="inlineStr"/>
      <c r="AH1341" s="5" t="inlineStr"/>
    </row>
    <row r="1342">
      <c r="A1342" s="5" t="inlineStr">
        <is>
          <t>b6-evden-cikis</t>
        </is>
      </c>
      <c r="B1342" s="5" t="n">
        <v>5</v>
      </c>
      <c r="C1342" s="6" t="inlineStr">
        <is>
          <t>Abinin ayarladığı eve geç</t>
        </is>
      </c>
      <c r="D1342" s="5" t="inlineStr"/>
      <c r="E1342" s="5" t="inlineStr"/>
      <c r="F1342" s="5" t="inlineStr">
        <is>
          <t>Pişkinlik +1</t>
        </is>
      </c>
      <c r="G1342" s="6" t="inlineStr">
        <is>
          <t>Abi bir telefon açtı, ertesi gün anahtarın vardı. Kira yok dendi; ama her ayın biri kapına biri gelip “Abi selam söyledi” diyor.</t>
        </is>
      </c>
      <c r="H1342" s="6" t="inlineStr"/>
      <c r="I1342" s="6" t="inlineStr"/>
      <c r="J1342" s="6" t="inlineStr"/>
      <c r="K1342" s="6" t="inlineStr"/>
      <c r="L1342" s="6" t="inlineStr"/>
      <c r="M1342" s="5" t="inlineStr"/>
      <c r="N1342" s="5" t="inlineStr"/>
      <c r="O1342" s="6" t="inlineStr"/>
      <c r="P1342" s="6" t="inlineStr"/>
      <c r="Q1342" s="5" t="inlineStr"/>
      <c r="R1342" s="5" t="inlineStr">
        <is>
          <t>abinin-adami</t>
        </is>
      </c>
      <c r="S1342" s="5" t="inlineStr"/>
      <c r="T1342" s="5" t="inlineStr"/>
      <c r="U1342" s="5" t="inlineStr">
        <is>
          <t>kiraci, abiye-borclu</t>
        </is>
      </c>
      <c r="V1342" s="5" t="inlineStr"/>
      <c r="W1342" s="5" t="inlineStr"/>
      <c r="X1342" s="5" t="inlineStr"/>
      <c r="Y1342" s="5" t="inlineStr"/>
      <c r="Z1342" s="6" t="inlineStr"/>
      <c r="AA1342" s="5" t="inlineStr">
        <is>
          <t>hepsi -1</t>
        </is>
      </c>
      <c r="AB1342" s="5" t="inlineStr"/>
      <c r="AC1342" s="5" t="inlineStr"/>
      <c r="AD1342" s="5" t="inlineStr"/>
      <c r="AE1342" s="5" t="inlineStr"/>
      <c r="AF1342" s="5" t="inlineStr"/>
      <c r="AG1342" s="5" t="inlineStr"/>
      <c r="AH1342" s="5" t="inlineStr"/>
    </row>
    <row r="1343">
      <c r="A1343" s="5" t="inlineStr">
        <is>
          <t>b6-evden-cikis</t>
        </is>
      </c>
      <c r="B1343" s="5" t="n">
        <v>6</v>
      </c>
      <c r="C1343" s="6" t="inlineStr">
        <is>
          <t>Ailenin aldığı daireye geç</t>
        </is>
      </c>
      <c r="D1343" s="5" t="inlineStr"/>
      <c r="E1343" s="5" t="inlineStr"/>
      <c r="F1343" s="5" t="inlineStr">
        <is>
          <t>Pişkinlik +1, Cesaret +1</t>
        </is>
      </c>
      <c r="G1343" s="6" t="inlineStr">
        <is>
          <t>Baban tapuyu gösterdi ama vermedi: “Tapu bende, anahtar sende.” Evinde kira yok, ama her pazar ziyaret var; habersiz.</t>
        </is>
      </c>
      <c r="H1343" s="6" t="inlineStr"/>
      <c r="I1343" s="6" t="inlineStr"/>
      <c r="J1343" s="6" t="inlineStr"/>
      <c r="K1343" s="6" t="inlineStr"/>
      <c r="L1343" s="6" t="inlineStr"/>
      <c r="M1343" s="5" t="inlineStr"/>
      <c r="N1343" s="5" t="inlineStr"/>
      <c r="O1343" s="6" t="inlineStr"/>
      <c r="P1343" s="6" t="inlineStr"/>
      <c r="Q1343" s="5" t="inlineStr"/>
      <c r="R1343" s="5" t="inlineStr"/>
      <c r="S1343" s="5" t="inlineStr"/>
      <c r="T1343" s="5" t="inlineStr"/>
      <c r="U1343" s="5" t="inlineStr">
        <is>
          <t>aile-dairesi</t>
        </is>
      </c>
      <c r="V1343" s="5" t="inlineStr"/>
      <c r="W1343" s="5" t="inlineStr"/>
      <c r="X1343" s="5" t="inlineStr"/>
      <c r="Y1343" s="5" t="inlineStr"/>
      <c r="Z1343" s="6" t="inlineStr"/>
      <c r="AA1343" s="5" t="inlineStr"/>
      <c r="AB1343" s="5" t="inlineStr"/>
      <c r="AC1343" s="5" t="inlineStr">
        <is>
          <t>Varlıklı</t>
        </is>
      </c>
      <c r="AD1343" s="5" t="inlineStr"/>
      <c r="AE1343" s="5" t="inlineStr"/>
      <c r="AF1343" s="5" t="inlineStr"/>
      <c r="AG1343" s="5" t="inlineStr"/>
      <c r="AH1343" s="5" t="inlineStr"/>
    </row>
    <row r="1344">
      <c r="A1344" s="5" t="inlineStr">
        <is>
          <t>b6-evde-kalmak</t>
        </is>
      </c>
      <c r="B1344" s="5" t="n">
        <v>1</v>
      </c>
      <c r="C1344" s="6" t="inlineStr">
        <is>
          <t>Çıkartmayı sök, odayı yetişkinleştir</t>
        </is>
      </c>
      <c r="D1344" s="5" t="inlineStr"/>
      <c r="E1344" s="5" t="inlineStr"/>
      <c r="F1344" s="5" t="inlineStr">
        <is>
          <t>Cesaret +1</t>
        </is>
      </c>
      <c r="G1344" s="6" t="inlineStr">
        <is>
          <t>Çıkartmayı söktün; altından daha eski bir çıkartma çıktı. Oda sana direniyor, sen de odaya.</t>
        </is>
      </c>
      <c r="H1344" s="6" t="inlineStr"/>
      <c r="I1344" s="6" t="inlineStr"/>
      <c r="J1344" s="6" t="inlineStr"/>
      <c r="K1344" s="6" t="inlineStr"/>
      <c r="L1344" s="6" t="inlineStr"/>
      <c r="M1344" s="5" t="inlineStr"/>
      <c r="N1344" s="5" t="inlineStr"/>
      <c r="O1344" s="6" t="inlineStr"/>
      <c r="P1344" s="6" t="inlineStr"/>
      <c r="Q1344" s="5" t="inlineStr"/>
      <c r="R1344" s="5" t="inlineStr"/>
      <c r="S1344" s="5" t="inlineStr"/>
      <c r="T1344" s="5" t="inlineStr"/>
      <c r="U1344" s="5" t="inlineStr"/>
      <c r="V1344" s="5" t="inlineStr"/>
      <c r="W1344" s="5" t="inlineStr"/>
      <c r="X1344" s="5" t="inlineStr"/>
      <c r="Y1344" s="5" t="inlineStr"/>
      <c r="Z1344" s="6" t="inlineStr"/>
      <c r="AA1344" s="5" t="inlineStr"/>
      <c r="AB1344" s="5" t="inlineStr"/>
      <c r="AC1344" s="5" t="inlineStr"/>
      <c r="AD1344" s="5" t="inlineStr"/>
      <c r="AE1344" s="5" t="inlineStr"/>
      <c r="AF1344" s="5" t="inlineStr"/>
      <c r="AG1344" s="5" t="inlineStr"/>
      <c r="AH1344" s="5" t="inlineStr"/>
    </row>
    <row r="1345">
      <c r="A1345" s="5" t="inlineStr">
        <is>
          <t>b6-evde-kalmak</t>
        </is>
      </c>
      <c r="B1345" s="5" t="n">
        <v>2</v>
      </c>
      <c r="C1345" s="6" t="inlineStr">
        <is>
          <t>Eve katkı payı ver, söz hakkı iste</t>
        </is>
      </c>
      <c r="D1345" s="5" t="inlineStr">
        <is>
          <t>Çene</t>
        </is>
      </c>
      <c r="E1345" s="5" t="inlineStr">
        <is>
          <t>Orta</t>
        </is>
      </c>
      <c r="F1345" s="5" t="inlineStr"/>
      <c r="G1345" s="6" t="inlineStr"/>
      <c r="H1345" s="6" t="inlineStr">
        <is>
          <t>Her ay zarfı mutfak masasına bıraktın. Karşılığında akşam dokuz sorusu kalktı. Evde ilk kez bir kira sözleşmesi var; sözlü.</t>
        </is>
      </c>
      <c r="I1345" s="6" t="inlineStr">
        <is>
          <t>Katkı payını verdin, annen o parayı senin adına biriktirdi. Yıllar sonra ev peşinatın o zarftan çıkacak.</t>
        </is>
      </c>
      <c r="J1345" s="6" t="inlineStr">
        <is>
          <t>Zarfı bıraktın, annen geri verdi: “Evimizde para mı olur?” Söz hakkı da zarfla birlikte geri döndü.</t>
        </is>
      </c>
      <c r="K1345" s="6" t="inlineStr">
        <is>
          <t>Söz hakkı istedin, aile meclisi toplandı. Karar: söz hakkın var ama kullanım saati akşam dokuza kadar.</t>
        </is>
      </c>
      <c r="L1345" s="6" t="inlineStr"/>
      <c r="M1345" s="5" t="inlineStr"/>
      <c r="N1345" s="5" t="inlineStr"/>
      <c r="O1345" s="6" t="inlineStr"/>
      <c r="P1345" s="6" t="inlineStr"/>
      <c r="Q1345" s="5" t="inlineStr"/>
      <c r="R1345" s="5" t="inlineStr"/>
      <c r="S1345" s="5" t="inlineStr"/>
      <c r="T1345" s="5" t="inlineStr"/>
      <c r="U1345" s="5" t="inlineStr"/>
      <c r="V1345" s="5" t="inlineStr"/>
      <c r="W1345" s="5" t="inlineStr"/>
      <c r="X1345" s="5" t="inlineStr"/>
      <c r="Y1345" s="5" t="inlineStr"/>
      <c r="Z1345" s="6" t="inlineStr"/>
      <c r="AA1345" s="5" t="inlineStr"/>
      <c r="AB1345" s="5" t="inlineStr"/>
      <c r="AC1345" s="5" t="inlineStr"/>
      <c r="AD1345" s="5" t="inlineStr"/>
      <c r="AE1345" s="5" t="inlineStr"/>
      <c r="AF1345" s="5" t="inlineStr"/>
      <c r="AG1345" s="5" t="inlineStr"/>
      <c r="AH1345" s="5" t="inlineStr"/>
    </row>
    <row r="1346">
      <c r="A1346" s="5" t="inlineStr">
        <is>
          <t>b6-evde-kalmak</t>
        </is>
      </c>
      <c r="B1346" s="5" t="n">
        <v>3</v>
      </c>
      <c r="C1346" s="6" t="inlineStr">
        <is>
          <t>Buzdolabı bursunun keyfini çıkar</t>
        </is>
      </c>
      <c r="D1346" s="5" t="inlineStr"/>
      <c r="E1346" s="5" t="inlineStr"/>
      <c r="F1346" s="5" t="inlineStr">
        <is>
          <t>Pişkinlik +1, Dayanıklılık +1</t>
        </is>
      </c>
      <c r="G1346" s="6" t="inlineStr">
        <is>
          <t>Maaşın cebinde, yemeğin masada, çamaşırın katlı. Arkadaşların kira öderken sen bir araba için para biriktiriyorsun. Kimse bunu kıskanmadığını söylüyor.</t>
        </is>
      </c>
      <c r="H1346" s="6" t="inlineStr"/>
      <c r="I1346" s="6" t="inlineStr"/>
      <c r="J1346" s="6" t="inlineStr"/>
      <c r="K1346" s="6" t="inlineStr"/>
      <c r="L1346" s="6" t="inlineStr"/>
      <c r="M1346" s="5" t="inlineStr"/>
      <c r="N1346" s="5" t="inlineStr"/>
      <c r="O1346" s="6" t="inlineStr"/>
      <c r="P1346" s="6" t="inlineStr"/>
      <c r="Q1346" s="5" t="inlineStr"/>
      <c r="R1346" s="5" t="inlineStr"/>
      <c r="S1346" s="5" t="inlineStr"/>
      <c r="T1346" s="5" t="inlineStr"/>
      <c r="U1346" s="5" t="inlineStr"/>
      <c r="V1346" s="5" t="inlineStr"/>
      <c r="W1346" s="5" t="inlineStr"/>
      <c r="X1346" s="5" t="inlineStr"/>
      <c r="Y1346" s="5" t="inlineStr"/>
      <c r="Z1346" s="6" t="inlineStr"/>
      <c r="AA1346" s="5" t="inlineStr">
        <is>
          <t>hepsi +1</t>
        </is>
      </c>
      <c r="AB1346" s="5" t="inlineStr"/>
      <c r="AC1346" s="5" t="inlineStr"/>
      <c r="AD1346" s="5" t="inlineStr"/>
      <c r="AE1346" s="5" t="inlineStr"/>
      <c r="AF1346" s="5" t="inlineStr"/>
      <c r="AG1346" s="5" t="inlineStr"/>
      <c r="AH1346" s="5" t="inlineStr"/>
    </row>
    <row r="1347">
      <c r="A1347" s="5" t="inlineStr">
        <is>
          <t>b6-hayat-yolu</t>
        </is>
      </c>
      <c r="B1347" s="5" t="n">
        <v>1</v>
      </c>
      <c r="C1347" s="6" t="inlineStr">
        <is>
          <t>Kendi tezgâhını aç</t>
        </is>
      </c>
      <c r="D1347" s="5" t="inlineStr">
        <is>
          <t>Kurnazlık</t>
        </is>
      </c>
      <c r="E1347" s="5" t="inlineStr">
        <is>
          <t>Orta</t>
        </is>
      </c>
      <c r="F1347" s="5" t="inlineStr"/>
      <c r="G1347" s="6" t="inlineStr"/>
      <c r="H1347" s="6" t="inlineStr">
        <is>
          <t>Çarşının köşesinde küçük bir yer tuttun. Tabelayı kendin boyadın; bir harfi ters oldu. Müşteriler o harf için geliyor.</t>
        </is>
      </c>
      <c r="I1347" s="6" t="inlineStr">
        <is>
          <t>İlk haftada kira çıktı, ikinci haftada kâr. Karşı dükkân sana kendi çırağını yollayıp fiyat sordurdu.</t>
        </is>
      </c>
      <c r="J1347" s="6" t="inlineStr">
        <is>
          <t>Dükkânı açtın ama sermaye yetmedi; rafların yarısı borçla doldu. Tabela ise tam.</t>
        </is>
      </c>
      <c r="K1347" s="6" t="inlineStr">
        <is>
          <t>Açılışı yaptın, ertesi gün karşına bir zincir mağaza açıldı. Rafları borçla doldurdun; müşteriyi zincire kaptırdın.</t>
        </is>
      </c>
      <c r="L1347" s="6" t="inlineStr"/>
      <c r="M1347" s="5" t="inlineStr"/>
      <c r="N1347" s="5" t="inlineStr"/>
      <c r="O1347" s="6" t="inlineStr"/>
      <c r="P1347" s="6" t="inlineStr"/>
      <c r="Q1347" s="5" t="inlineStr"/>
      <c r="R1347" s="5" t="inlineStr"/>
      <c r="S1347" s="5" t="inlineStr"/>
      <c r="T1347" s="5" t="inlineStr"/>
      <c r="U1347" s="5" t="inlineStr"/>
      <c r="V1347" s="5" t="inlineStr">
        <is>
          <t>meslek-esnaf</t>
        </is>
      </c>
      <c r="W1347" s="5" t="inlineStr"/>
      <c r="X1347" s="5" t="inlineStr"/>
      <c r="Y1347" s="5" t="inlineStr"/>
      <c r="Z1347" s="6" t="inlineStr"/>
      <c r="AA1347" s="5" t="inlineStr">
        <is>
          <t>Keskin +1, Yalçın +1</t>
        </is>
      </c>
      <c r="AB1347" s="5" t="inlineStr">
        <is>
          <t>meslek-esnaf, borclu</t>
        </is>
      </c>
      <c r="AC1347" s="5" t="inlineStr"/>
      <c r="AD1347" s="5" t="inlineStr">
        <is>
          <t>Orta</t>
        </is>
      </c>
      <c r="AE1347" s="5" t="inlineStr"/>
      <c r="AF1347" s="5" t="inlineStr"/>
      <c r="AG1347" s="5" t="inlineStr"/>
      <c r="AH1347" s="5" t="inlineStr"/>
    </row>
    <row r="1348">
      <c r="A1348" s="5" t="inlineStr">
        <is>
          <t>b6-hayat-yolu</t>
        </is>
      </c>
      <c r="B1348" s="5" t="n">
        <v>2</v>
      </c>
      <c r="C1348" s="6" t="inlineStr">
        <is>
          <t>Sanayide kendi ustalığını ilan et</t>
        </is>
      </c>
      <c r="D1348" s="5" t="inlineStr"/>
      <c r="E1348" s="5" t="inlineStr"/>
      <c r="F1348" s="5" t="inlineStr">
        <is>
          <t>Dayanıklılık +1, Akıl +1</t>
        </is>
      </c>
      <c r="G1348" s="6" t="inlineStr">
        <is>
          <t>Ustanın yanından ayrıldın, sanayide kendi kapını açtın. Usta kapıya bir çelenk gönderdi; üstünde “Beni unutma” yazıyor. Unutmayacaksın; çünkü müşterilerinin yarısı ondan.</t>
        </is>
      </c>
      <c r="H1348" s="6" t="inlineStr"/>
      <c r="I1348" s="6" t="inlineStr"/>
      <c r="J1348" s="6" t="inlineStr"/>
      <c r="K1348" s="6" t="inlineStr"/>
      <c r="L1348" s="6" t="inlineStr"/>
      <c r="M1348" s="5" t="inlineStr"/>
      <c r="N1348" s="5" t="inlineStr"/>
      <c r="O1348" s="6" t="inlineStr"/>
      <c r="P1348" s="6" t="inlineStr"/>
      <c r="Q1348" s="5" t="inlineStr"/>
      <c r="R1348" s="5" t="inlineStr">
        <is>
          <t>usta-eli</t>
        </is>
      </c>
      <c r="S1348" s="5" t="inlineStr"/>
      <c r="T1348" s="5" t="inlineStr"/>
      <c r="U1348" s="5" t="inlineStr">
        <is>
          <t>hat-usta, meslek-esnaf</t>
        </is>
      </c>
      <c r="V1348" s="5" t="inlineStr"/>
      <c r="W1348" s="5" t="inlineStr"/>
      <c r="X1348" s="5" t="inlineStr"/>
      <c r="Y1348" s="5" t="inlineStr"/>
      <c r="Z1348" s="6" t="inlineStr"/>
      <c r="AA1348" s="5" t="inlineStr">
        <is>
          <t>hepsi +1</t>
        </is>
      </c>
      <c r="AB1348" s="5" t="inlineStr"/>
      <c r="AC1348" s="5" t="inlineStr"/>
      <c r="AD1348" s="5" t="inlineStr">
        <is>
          <t>Orta</t>
        </is>
      </c>
      <c r="AE1348" s="5" t="inlineStr"/>
      <c r="AF1348" s="5" t="inlineStr"/>
      <c r="AG1348" s="5" t="inlineStr"/>
      <c r="AH1348" s="5" t="inlineStr"/>
    </row>
    <row r="1349">
      <c r="A1349" s="5" t="inlineStr">
        <is>
          <t>b6-hayat-yolu</t>
        </is>
      </c>
      <c r="B1349" s="5" t="n">
        <v>3</v>
      </c>
      <c r="C1349" s="6" t="inlineStr">
        <is>
          <t>Devlet kapısı: kadro sınavına çalış</t>
        </is>
      </c>
      <c r="D1349" s="5" t="inlineStr">
        <is>
          <t>Akıl</t>
        </is>
      </c>
      <c r="E1349" s="5" t="inlineStr">
        <is>
          <t>Zor</t>
        </is>
      </c>
      <c r="F1349" s="5" t="inlineStr"/>
      <c r="G1349" s="6" t="inlineStr"/>
      <c r="H1349" s="6" t="inlineStr">
        <is>
          <t>Lise diplomasıyla sınava girdin ve geçtin. Annen komşulara bunu anlatırken “lise” kelimesini atladı.</t>
        </is>
      </c>
      <c r="I1349" s="6" t="inlineStr">
        <is>
          <t>Derece yaptın. Aile grubunda “Okusaydın keşke” diyen teyzen bu sefer “Maşallah” yazdı; noktalama işareti olmadan.</t>
        </is>
      </c>
      <c r="J1349" s="6" t="inlineStr">
        <is>
          <t>Sınav olmadı. Kuzeninin tezgâhına döndün; kuzen seni “Memur Bey” diye çağırıyor.</t>
        </is>
      </c>
      <c r="K1349" s="6" t="inlineStr">
        <is>
          <t>Sınavda cevap kâğıdını imzalamadın. Kâğıt geçersiz sayıldı. Tezgâha döndün; orada imza yok, sadece veresiye.</t>
        </is>
      </c>
      <c r="L1349" s="6" t="inlineStr"/>
      <c r="M1349" s="5" t="inlineStr"/>
      <c r="N1349" s="5" t="inlineStr"/>
      <c r="O1349" s="6" t="inlineStr"/>
      <c r="P1349" s="6" t="inlineStr"/>
      <c r="Q1349" s="5" t="inlineStr"/>
      <c r="R1349" s="5" t="inlineStr"/>
      <c r="S1349" s="5" t="inlineStr"/>
      <c r="T1349" s="5" t="inlineStr"/>
      <c r="U1349" s="5" t="inlineStr"/>
      <c r="V1349" s="5" t="inlineStr">
        <is>
          <t>meslek-memur</t>
        </is>
      </c>
      <c r="W1349" s="5" t="inlineStr"/>
      <c r="X1349" s="5" t="inlineStr"/>
      <c r="Y1349" s="5" t="inlineStr"/>
      <c r="Z1349" s="6" t="inlineStr"/>
      <c r="AA1349" s="5" t="inlineStr">
        <is>
          <t>Erdem +1, Yalçın +1</t>
        </is>
      </c>
      <c r="AB1349" s="5" t="inlineStr">
        <is>
          <t>meslek-esnaf</t>
        </is>
      </c>
      <c r="AC1349" s="5" t="inlineStr"/>
      <c r="AD1349" s="5" t="inlineStr">
        <is>
          <t>Orta</t>
        </is>
      </c>
      <c r="AE1349" s="5" t="inlineStr"/>
      <c r="AF1349" s="5" t="inlineStr"/>
      <c r="AG1349" s="5" t="inlineStr"/>
      <c r="AH1349" s="5" t="inlineStr"/>
    </row>
    <row r="1350">
      <c r="A1350" s="5" t="inlineStr">
        <is>
          <t>b6-hayat-yolu</t>
        </is>
      </c>
      <c r="B1350" s="5" t="n">
        <v>4</v>
      </c>
      <c r="C1350" s="6" t="inlineStr">
        <is>
          <t>Abinin işine gir</t>
        </is>
      </c>
      <c r="D1350" s="5" t="inlineStr"/>
      <c r="E1350" s="5" t="inlineStr"/>
      <c r="F1350" s="5" t="inlineStr">
        <is>
          <t>Pişkinlik +2</t>
        </is>
      </c>
      <c r="G1350" s="6" t="inlineStr">
        <is>
          <t>Abi seni bir oto yıkamanın başına geçirdi. Arabalar pek yıkanmıyor ama kasa hep dolu. Nereden dolduğunu sormamayı öğrendin; bu, bu işin ilk ve son dersi.</t>
        </is>
      </c>
      <c r="H1350" s="6" t="inlineStr"/>
      <c r="I1350" s="6" t="inlineStr"/>
      <c r="J1350" s="6" t="inlineStr"/>
      <c r="K1350" s="6" t="inlineStr"/>
      <c r="L1350" s="6" t="inlineStr"/>
      <c r="M1350" s="5" t="inlineStr"/>
      <c r="N1350" s="5" t="inlineStr"/>
      <c r="O1350" s="6" t="inlineStr"/>
      <c r="P1350" s="6" t="inlineStr"/>
      <c r="Q1350" s="5" t="inlineStr"/>
      <c r="R1350" s="5" t="inlineStr">
        <is>
          <t>abinin-adami</t>
        </is>
      </c>
      <c r="S1350" s="5" t="inlineStr"/>
      <c r="T1350" s="5" t="inlineStr"/>
      <c r="U1350" s="5" t="inlineStr">
        <is>
          <t>hat-cete, meslek-esnaf</t>
        </is>
      </c>
      <c r="V1350" s="5" t="inlineStr"/>
      <c r="W1350" s="5" t="inlineStr"/>
      <c r="X1350" s="5" t="inlineStr"/>
      <c r="Y1350" s="5" t="inlineStr"/>
      <c r="Z1350" s="6" t="inlineStr"/>
      <c r="AA1350" s="5" t="inlineStr">
        <is>
          <t>hepsi -1</t>
        </is>
      </c>
      <c r="AB1350" s="5" t="inlineStr"/>
      <c r="AC1350" s="5" t="inlineStr"/>
      <c r="AD1350" s="5" t="inlineStr">
        <is>
          <t>Rahat</t>
        </is>
      </c>
      <c r="AE1350" s="5" t="inlineStr"/>
      <c r="AF1350" s="5" t="inlineStr"/>
      <c r="AG1350" s="5" t="inlineStr"/>
      <c r="AH1350" s="5" t="inlineStr"/>
    </row>
    <row r="1351">
      <c r="A1351" s="5" t="inlineStr">
        <is>
          <t>b6-hayat-yolu</t>
        </is>
      </c>
      <c r="B1351" s="5" t="n">
        <v>5</v>
      </c>
      <c r="C1351" s="6" t="inlineStr">
        <is>
          <t>Takipçilerini işe çevir</t>
        </is>
      </c>
      <c r="D1351" s="5" t="inlineStr">
        <is>
          <t>Pişkinlik</t>
        </is>
      </c>
      <c r="E1351" s="5" t="inlineStr">
        <is>
          <t>Zor</t>
        </is>
      </c>
      <c r="F1351" s="5" t="inlineStr"/>
      <c r="G1351" s="6" t="inlineStr"/>
      <c r="H1351" s="6" t="inlineStr">
        <is>
          <t>Kedinin hesabı artık bir marka. Bir mama firması seninle anlaştı; kedi yüzde yetmiş, sen yüzde otuz alıyorsun.</t>
        </is>
      </c>
      <c r="I1351" s="6" t="inlineStr">
        <is>
          <t>Kedi bir reklam filmine çıktı; sen de arkada. Sokakta insanlar seni kedinin sahibi olarak tanıyor. Bu da bir şöhret.</t>
        </is>
      </c>
      <c r="J1351" s="6" t="inlineStr">
        <is>
          <t>Takipçilerin kediyi seviyor, reklamı sevmiyor. Anlaşmalar gelmedi; düğünlerde fotoğrafçılık yapmaya başladın.</t>
        </is>
      </c>
      <c r="K1351" s="6" t="inlineStr">
        <is>
          <t>Bir reklamı yanlış hesaptan paylaştın. Kedi takipçi kaybetti, sen de işi. Düğün fotoğrafçılığı seni bekliyor.</t>
        </is>
      </c>
      <c r="L1351" s="6" t="inlineStr"/>
      <c r="M1351" s="5" t="inlineStr"/>
      <c r="N1351" s="5" t="inlineStr"/>
      <c r="O1351" s="6" t="inlineStr"/>
      <c r="P1351" s="6" t="inlineStr"/>
      <c r="Q1351" s="5" t="inlineStr"/>
      <c r="R1351" s="5" t="inlineStr">
        <is>
          <t>fenomen</t>
        </is>
      </c>
      <c r="S1351" s="5" t="inlineStr"/>
      <c r="T1351" s="5" t="inlineStr"/>
      <c r="U1351" s="5" t="inlineStr"/>
      <c r="V1351" s="5" t="inlineStr">
        <is>
          <t>hat-sohret, meslek-serbest</t>
        </is>
      </c>
      <c r="W1351" s="5" t="inlineStr"/>
      <c r="X1351" s="5" t="inlineStr"/>
      <c r="Y1351" s="5" t="inlineStr"/>
      <c r="Z1351" s="6" t="inlineStr"/>
      <c r="AA1351" s="5" t="inlineStr"/>
      <c r="AB1351" s="5" t="inlineStr">
        <is>
          <t>meslek-serbest</t>
        </is>
      </c>
      <c r="AC1351" s="5" t="inlineStr"/>
      <c r="AD1351" s="5" t="inlineStr">
        <is>
          <t>Orta</t>
        </is>
      </c>
      <c r="AE1351" s="5" t="inlineStr"/>
      <c r="AF1351" s="5" t="inlineStr"/>
      <c r="AG1351" s="5" t="inlineStr"/>
      <c r="AH1351" s="5" t="inlineStr"/>
    </row>
    <row r="1352">
      <c r="A1352" s="5" t="inlineStr">
        <is>
          <t>b6-hayat-yolu</t>
        </is>
      </c>
      <c r="B1352" s="5" t="n">
        <v>6</v>
      </c>
      <c r="C1352" s="6" t="inlineStr">
        <is>
          <t>Dedenin köyüne dön, toprağı işle</t>
        </is>
      </c>
      <c r="D1352" s="5" t="inlineStr"/>
      <c r="E1352" s="5" t="inlineStr"/>
      <c r="F1352" s="5" t="inlineStr">
        <is>
          <t>Dayanıklılık +1, İtibar +1</t>
        </is>
      </c>
      <c r="G1352" s="6" t="inlineStr">
        <is>
          <t>Şehirdeki kiranı bıraktın, dedenin tarlasına döndün. İlk hasatta domatesler şehirdekilerden küçük ama kokuyor. Pazar tezgâhında adın: “Köylü Genç.”</t>
        </is>
      </c>
      <c r="H1352" s="6" t="inlineStr"/>
      <c r="I1352" s="6" t="inlineStr"/>
      <c r="J1352" s="6" t="inlineStr"/>
      <c r="K1352" s="6" t="inlineStr"/>
      <c r="L1352" s="6" t="inlineStr"/>
      <c r="M1352" s="5" t="inlineStr"/>
      <c r="N1352" s="5" t="inlineStr"/>
      <c r="O1352" s="6" t="inlineStr"/>
      <c r="P1352" s="6" t="inlineStr"/>
      <c r="Q1352" s="5" t="inlineStr"/>
      <c r="R1352" s="5" t="inlineStr"/>
      <c r="S1352" s="5" t="inlineStr"/>
      <c r="T1352" s="5" t="inlineStr"/>
      <c r="U1352" s="5" t="inlineStr">
        <is>
          <t>hat-koy, meslek-esnaf</t>
        </is>
      </c>
      <c r="V1352" s="5" t="inlineStr"/>
      <c r="W1352" s="5" t="inlineStr"/>
      <c r="X1352" s="5" t="inlineStr"/>
      <c r="Y1352" s="5" t="inlineStr"/>
      <c r="Z1352" s="6" t="inlineStr"/>
      <c r="AA1352" s="5" t="inlineStr">
        <is>
          <t>Yalçın +1, Şen +1, Tan -1, Varlı -1</t>
        </is>
      </c>
      <c r="AB1352" s="5" t="inlineStr"/>
      <c r="AC1352" s="5" t="inlineStr"/>
      <c r="AD1352" s="5" t="inlineStr">
        <is>
          <t>Kıt</t>
        </is>
      </c>
      <c r="AE1352" s="5" t="inlineStr"/>
      <c r="AF1352" s="5" t="inlineStr"/>
      <c r="AG1352" s="5" t="inlineStr"/>
      <c r="AH1352" s="5" t="inlineStr"/>
    </row>
    <row r="1353">
      <c r="A1353" s="5" t="inlineStr">
        <is>
          <t>b6-hayat-yolu</t>
        </is>
      </c>
      <c r="B1353" s="5" t="n">
        <v>7</v>
      </c>
      <c r="C1353" s="6" t="inlineStr">
        <is>
          <t>Telefonla “yatırım danışmanlığı” yap</t>
        </is>
      </c>
      <c r="D1353" s="5" t="inlineStr">
        <is>
          <t>Kurnazlık</t>
        </is>
      </c>
      <c r="E1353" s="5" t="inlineStr">
        <is>
          <t>Çok Zor</t>
        </is>
      </c>
      <c r="F1353" s="5" t="inlineStr"/>
      <c r="G1353" s="6" t="inlineStr"/>
      <c r="H1353" s="6" t="inlineStr">
        <is>
          <t>Bir masa, üç hat ve “Size özel bir fırsat” cümlesi. İlk ay kazandığını ailene söyleyemedin; ailen de nereden kazandığını sormadı.</t>
        </is>
      </c>
      <c r="I1353" s="6" t="inlineStr">
        <is>
          <t>Sesin o kadar güven verici ki bir banka müdürü seni işe almak istedi. Teşekkür ettin; kendi masan daha kârlı.</t>
        </is>
      </c>
      <c r="J1353" s="6" t="inlineStr">
        <is>
          <t>Telefonu açanların hepsi senden şüphelendi, biri de seni kendi planına davet etti. Bir çağrı merkezinde meşru satış yapmaya başladın.</t>
        </is>
      </c>
      <c r="K1353" s="6" t="inlineStr">
        <is>
          <t>İlk aradığın numara teyzeninmiş. Aile grubunda sesli mesajın dolaşıyor. Meşru bir çağrı merkezine geçtin; teyzen hâlâ dinliyor.</t>
        </is>
      </c>
      <c r="L1353" s="6" t="inlineStr"/>
      <c r="M1353" s="5" t="inlineStr"/>
      <c r="N1353" s="5" t="inlineStr"/>
      <c r="O1353" s="6" t="inlineStr"/>
      <c r="P1353" s="6" t="inlineStr"/>
      <c r="Q1353" s="5" t="inlineStr"/>
      <c r="R1353" s="5" t="inlineStr">
        <is>
          <t>yalanci</t>
        </is>
      </c>
      <c r="S1353" s="5" t="inlineStr"/>
      <c r="T1353" s="5" t="inlineStr"/>
      <c r="U1353" s="5" t="inlineStr"/>
      <c r="V1353" s="5" t="inlineStr">
        <is>
          <t>hat-dolandirici, meslek-serbest</t>
        </is>
      </c>
      <c r="W1353" s="5" t="inlineStr"/>
      <c r="X1353" s="5" t="inlineStr"/>
      <c r="Y1353" s="5" t="inlineStr"/>
      <c r="Z1353" s="6" t="inlineStr"/>
      <c r="AA1353" s="5" t="inlineStr">
        <is>
          <t>hepsi -1</t>
        </is>
      </c>
      <c r="AB1353" s="5" t="inlineStr">
        <is>
          <t>meslek-serbest</t>
        </is>
      </c>
      <c r="AC1353" s="5" t="inlineStr"/>
      <c r="AD1353" s="5" t="inlineStr">
        <is>
          <t>Orta</t>
        </is>
      </c>
      <c r="AE1353" s="5" t="inlineStr"/>
      <c r="AF1353" s="5" t="inlineStr"/>
      <c r="AG1353" s="5" t="inlineStr"/>
      <c r="AH1353" s="5" t="inlineStr"/>
    </row>
    <row r="1354">
      <c r="A1354" s="5" t="inlineStr">
        <is>
          <t>b6-hayat-yolu</t>
        </is>
      </c>
      <c r="B1354" s="5" t="n">
        <v>8</v>
      </c>
      <c r="C1354" s="6" t="inlineStr">
        <is>
          <t>Mahallenin kefaletiyle devlet kapısına gir</t>
        </is>
      </c>
      <c r="D1354" s="5" t="inlineStr">
        <is>
          <t>İtibar</t>
        </is>
      </c>
      <c r="E1354" s="5" t="inlineStr">
        <is>
          <t>Orta</t>
        </is>
      </c>
      <c r="F1354" s="5" t="inlineStr"/>
      <c r="G1354" s="6" t="inlineStr"/>
      <c r="H1354" s="6" t="inlineStr">
        <is>
          <t>Muhtar, mahallenin en yaşlı esnafı ve eski öğretmenin birer satır yazdı. Kadro sınavına o mektuplarla girdin; mülakatta herkes seni sordu.</t>
        </is>
      </c>
      <c r="I1354" s="6" t="inlineStr">
        <is>
          <t>Mülakat heyetindeki memur, kefil mektubundaki öğretmenin eski öğrencisiydi. Görüşme beş dakika sürdü; dördü öğretmeni anmakla geçti.</t>
        </is>
      </c>
      <c r="J1354" s="6" t="inlineStr">
        <is>
          <t>Mektuplar güzeldi, puan yetmedi. Kuzeninin tezgâhına döndün; mektuplar çerçevede.</t>
        </is>
      </c>
      <c r="K1354" s="6" t="inlineStr">
        <is>
          <t>Kefil mektubunu yazan esnafın adı, sınav görevlisinin borç defterinde çıktı. Tezgâha döndün; mektup çöpte.</t>
        </is>
      </c>
      <c r="L1354" s="6" t="inlineStr"/>
      <c r="M1354" s="5" t="inlineStr"/>
      <c r="N1354" s="5" t="inlineStr"/>
      <c r="O1354" s="6" t="inlineStr"/>
      <c r="P1354" s="6" t="inlineStr"/>
      <c r="Q1354" s="5" t="inlineStr"/>
      <c r="R1354" s="5" t="inlineStr"/>
      <c r="S1354" s="5" t="inlineStr"/>
      <c r="T1354" s="5" t="inlineStr"/>
      <c r="U1354" s="5" t="inlineStr"/>
      <c r="V1354" s="5" t="inlineStr">
        <is>
          <t>meslek-memur</t>
        </is>
      </c>
      <c r="W1354" s="5" t="inlineStr"/>
      <c r="X1354" s="5" t="inlineStr"/>
      <c r="Y1354" s="5" t="inlineStr"/>
      <c r="Z1354" s="6" t="inlineStr"/>
      <c r="AA1354" s="5" t="inlineStr"/>
      <c r="AB1354" s="5" t="inlineStr">
        <is>
          <t>meslek-esnaf</t>
        </is>
      </c>
      <c r="AC1354" s="5" t="inlineStr"/>
      <c r="AD1354" s="5" t="inlineStr">
        <is>
          <t>Orta</t>
        </is>
      </c>
      <c r="AE1354" s="5" t="inlineStr"/>
      <c r="AF1354" s="5" t="inlineStr"/>
      <c r="AG1354" s="5" t="inlineStr"/>
      <c r="AH1354" s="5" t="inlineStr">
        <is>
          <t>İtibar 40</t>
        </is>
      </c>
    </row>
    <row r="1355">
      <c r="A1355" s="5" t="inlineStr">
        <is>
          <t>b6-hekimlik-yolu</t>
        </is>
      </c>
      <c r="B1355" s="5" t="n">
        <v>1</v>
      </c>
      <c r="C1355" s="6" t="inlineStr">
        <is>
          <t>Devlet hastanesine, mecburi hizmete</t>
        </is>
      </c>
      <c r="D1355" s="5" t="inlineStr"/>
      <c r="E1355" s="5" t="inlineStr"/>
      <c r="F1355" s="5" t="inlineStr">
        <is>
          <t>İtibar +2</t>
        </is>
      </c>
      <c r="G1355" s="6" t="inlineStr">
        <is>
          <t>Kura çekildi, bir ilçe hastanesine düştün. Acilde tek hekimsin; gece ikide hem doktor, hem hemşire, hem de hasta yakınlarının psikoloğusun.</t>
        </is>
      </c>
      <c r="H1355" s="6" t="inlineStr"/>
      <c r="I1355" s="6" t="inlineStr"/>
      <c r="J1355" s="6" t="inlineStr"/>
      <c r="K1355" s="6" t="inlineStr"/>
      <c r="L1355" s="6" t="inlineStr"/>
      <c r="M1355" s="5" t="inlineStr"/>
      <c r="N1355" s="5" t="inlineStr"/>
      <c r="O1355" s="6" t="inlineStr"/>
      <c r="P1355" s="6" t="inlineStr"/>
      <c r="Q1355" s="5" t="inlineStr"/>
      <c r="R1355" s="5" t="inlineStr"/>
      <c r="S1355" s="5" t="inlineStr"/>
      <c r="T1355" s="5" t="inlineStr"/>
      <c r="U1355" s="5" t="inlineStr">
        <is>
          <t>hat-hekim, meslek-memur</t>
        </is>
      </c>
      <c r="V1355" s="5" t="inlineStr"/>
      <c r="W1355" s="5" t="inlineStr"/>
      <c r="X1355" s="5" t="inlineStr"/>
      <c r="Y1355" s="5" t="inlineStr"/>
      <c r="Z1355" s="6" t="inlineStr"/>
      <c r="AA1355" s="5" t="inlineStr">
        <is>
          <t>Erdem +1, Yalçın +1</t>
        </is>
      </c>
      <c r="AB1355" s="5" t="inlineStr"/>
      <c r="AC1355" s="5" t="inlineStr"/>
      <c r="AD1355" s="5" t="inlineStr">
        <is>
          <t>Orta</t>
        </is>
      </c>
      <c r="AE1355" s="5" t="inlineStr"/>
      <c r="AF1355" s="5" t="inlineStr"/>
      <c r="AG1355" s="5" t="inlineStr"/>
      <c r="AH1355" s="5" t="inlineStr"/>
    </row>
    <row r="1356">
      <c r="A1356" s="5" t="inlineStr">
        <is>
          <t>b6-hekimlik-yolu</t>
        </is>
      </c>
      <c r="B1356" s="5" t="n">
        <v>2</v>
      </c>
      <c r="C1356" s="6" t="inlineStr">
        <is>
          <t>Uzmanlık sınavına gir</t>
        </is>
      </c>
      <c r="D1356" s="5" t="inlineStr">
        <is>
          <t>Akıl</t>
        </is>
      </c>
      <c r="E1356" s="5" t="inlineStr">
        <is>
          <t>Zor</t>
        </is>
      </c>
      <c r="F1356" s="5" t="inlineStr"/>
      <c r="G1356" s="6" t="inlineStr"/>
      <c r="H1356" s="6" t="inlineStr">
        <is>
          <t>Sınavı geçtin; istediğin branş, istediğin şehir. Beş yıllık asistanlık başlıyor; uykunu da yanında götürme.</t>
        </is>
      </c>
      <c r="I1356" s="6" t="inlineStr">
        <is>
          <t>Derece yaptın. Hocalar seni kendi kliniğine istedi. Annen bunu okuduğunda “Hangi hastalığa bakıyorsun?” diye sordu; hepsine.</t>
        </is>
      </c>
      <c r="J1356" s="6" t="inlineStr">
        <is>
          <t>Puan yetmedi. Mecburi hizmete gittin; seneye yine deneyeceksin. Sınav kitapları acildeki masanın altında.</t>
        </is>
      </c>
      <c r="K1356" s="6" t="inlineStr">
        <is>
          <t>Sınavda yanlış branşı işaretledin. Mecburi hizmete gittin; orada branş yok, herkes her şey.</t>
        </is>
      </c>
      <c r="L1356" s="6" t="inlineStr"/>
      <c r="M1356" s="5" t="inlineStr"/>
      <c r="N1356" s="5" t="inlineStr"/>
      <c r="O1356" s="6" t="inlineStr"/>
      <c r="P1356" s="6" t="inlineStr"/>
      <c r="Q1356" s="5" t="inlineStr"/>
      <c r="R1356" s="5" t="inlineStr"/>
      <c r="S1356" s="5" t="inlineStr"/>
      <c r="T1356" s="5" t="inlineStr"/>
      <c r="U1356" s="5" t="inlineStr"/>
      <c r="V1356" s="5" t="inlineStr">
        <is>
          <t>hat-hekim, meslek-memur</t>
        </is>
      </c>
      <c r="W1356" s="5" t="inlineStr"/>
      <c r="X1356" s="5" t="inlineStr"/>
      <c r="Y1356" s="5" t="inlineStr"/>
      <c r="Z1356" s="6" t="inlineStr"/>
      <c r="AA1356" s="5" t="inlineStr"/>
      <c r="AB1356" s="5" t="inlineStr">
        <is>
          <t>hat-hekim, meslek-memur</t>
        </is>
      </c>
      <c r="AC1356" s="5" t="inlineStr"/>
      <c r="AD1356" s="5" t="inlineStr">
        <is>
          <t>Rahat</t>
        </is>
      </c>
      <c r="AE1356" s="5" t="inlineStr"/>
      <c r="AF1356" s="5" t="inlineStr"/>
      <c r="AG1356" s="5" t="inlineStr"/>
      <c r="AH1356" s="5" t="inlineStr"/>
    </row>
    <row r="1357">
      <c r="A1357" s="5" t="inlineStr">
        <is>
          <t>b6-hekimlik-yolu</t>
        </is>
      </c>
      <c r="B1357" s="5" t="n">
        <v>3</v>
      </c>
      <c r="C1357" s="6" t="inlineStr">
        <is>
          <t>Özel hastaneye geç</t>
        </is>
      </c>
      <c r="D1357" s="5" t="inlineStr">
        <is>
          <t>Çene</t>
        </is>
      </c>
      <c r="E1357" s="5" t="inlineStr">
        <is>
          <t>Orta</t>
        </is>
      </c>
      <c r="F1357" s="5" t="inlineStr"/>
      <c r="G1357" s="6" t="inlineStr"/>
      <c r="H1357" s="6" t="inlineStr">
        <is>
          <t>Özel bir hastane seni kadrosuna aldı. Odanda bitki var, hastaların randevulu. Aile grubundaki hastalar da artık randevu istiyor.</t>
        </is>
      </c>
      <c r="I1357" s="6" t="inlineStr">
        <is>
          <t>Hastane seni tanıtım filmine koydu. Gülümseyen doktor sensin; gülümsemek sözleşmede yazıyor.</t>
        </is>
      </c>
      <c r="J1357" s="6" t="inlineStr">
        <is>
          <t>Özel hastane seni aldı ama önce mecburi hizmet dedi. Bir ilçe hastanesinde iki yıl; bitki yok.</t>
        </is>
      </c>
      <c r="K1357" s="6" t="inlineStr">
        <is>
          <t>Görüşmede maaşı sordun, müdür “Biz aileyiz” dedi. Mecburi hizmete gittin; orada da aile yok, hasta var.</t>
        </is>
      </c>
      <c r="L1357" s="6" t="inlineStr"/>
      <c r="M1357" s="5" t="inlineStr"/>
      <c r="N1357" s="5" t="inlineStr"/>
      <c r="O1357" s="6" t="inlineStr"/>
      <c r="P1357" s="6" t="inlineStr"/>
      <c r="Q1357" s="5" t="inlineStr"/>
      <c r="R1357" s="5" t="inlineStr"/>
      <c r="S1357" s="5" t="inlineStr"/>
      <c r="T1357" s="5" t="inlineStr"/>
      <c r="U1357" s="5" t="inlineStr"/>
      <c r="V1357" s="5" t="inlineStr">
        <is>
          <t>hat-hekim, meslek-beyazyaka</t>
        </is>
      </c>
      <c r="W1357" s="5" t="inlineStr"/>
      <c r="X1357" s="5" t="inlineStr"/>
      <c r="Y1357" s="5" t="inlineStr"/>
      <c r="Z1357" s="6" t="inlineStr"/>
      <c r="AA1357" s="5" t="inlineStr"/>
      <c r="AB1357" s="5" t="inlineStr">
        <is>
          <t>hat-hekim, meslek-memur</t>
        </is>
      </c>
      <c r="AC1357" s="5" t="inlineStr"/>
      <c r="AD1357" s="5" t="inlineStr">
        <is>
          <t>Rahat</t>
        </is>
      </c>
      <c r="AE1357" s="5" t="inlineStr"/>
      <c r="AF1357" s="5" t="inlineStr"/>
      <c r="AG1357" s="5" t="inlineStr"/>
      <c r="AH1357" s="5" t="inlineStr"/>
    </row>
    <row r="1358">
      <c r="A1358" s="5" t="inlineStr">
        <is>
          <t>b6-hekimlik-yolu</t>
        </is>
      </c>
      <c r="B1358" s="5" t="n">
        <v>4</v>
      </c>
      <c r="C1358" s="6" t="inlineStr">
        <is>
          <t>Öte Diyar'da hekimlik yap</t>
        </is>
      </c>
      <c r="D1358" s="5" t="inlineStr">
        <is>
          <t>Akıl</t>
        </is>
      </c>
      <c r="E1358" s="5" t="inlineStr">
        <is>
          <t>Çok Zor</t>
        </is>
      </c>
      <c r="F1358" s="5" t="inlineStr"/>
      <c r="G1358" s="6" t="inlineStr"/>
      <c r="H1358" s="6" t="inlineStr">
        <is>
          <t>Dil sınavı, denklik sınavı, bir de mülakat. Hepsini geçtin. Bir kış sabahı Öte Diyar'da bir hastanenin koridorundasın; kimse adını doğru okuyamıyor.</t>
        </is>
      </c>
      <c r="I1358" s="6" t="inlineStr">
        <is>
          <t>Oradaki hastane seni bir yıl içinde uzman yaptı. Memlekete her dönüşünde akrabalar sıraya giriyor; sen de tatildesin, sözde.</t>
        </is>
      </c>
      <c r="J1358" s="6" t="inlineStr">
        <is>
          <t>Denklik sınavı olmadı. Mecburi hizmete gittin. Öte Diyar'ın broşürü acil servis masanın altında.</t>
        </is>
      </c>
      <c r="K1358" s="6" t="inlineStr">
        <is>
          <t>Dil sınavında “ağrı” ile “ağaç” kelimelerini karıştırdın. Mecburi hizmete gittin; orada herkes seni anlıyor, en azından.</t>
        </is>
      </c>
      <c r="L1358" s="6" t="inlineStr"/>
      <c r="M1358" s="5" t="inlineStr"/>
      <c r="N1358" s="5" t="inlineStr"/>
      <c r="O1358" s="6" t="inlineStr"/>
      <c r="P1358" s="6" t="inlineStr"/>
      <c r="Q1358" s="5" t="inlineStr"/>
      <c r="R1358" s="5" t="inlineStr"/>
      <c r="S1358" s="5" t="inlineStr"/>
      <c r="T1358" s="5" t="inlineStr"/>
      <c r="U1358" s="5" t="inlineStr"/>
      <c r="V1358" s="5" t="inlineStr">
        <is>
          <t>hat-hekim, hat-goc, meslek-beyazyaka</t>
        </is>
      </c>
      <c r="W1358" s="5" t="inlineStr"/>
      <c r="X1358" s="5" t="inlineStr"/>
      <c r="Y1358" s="5" t="inlineStr"/>
      <c r="Z1358" s="6" t="inlineStr"/>
      <c r="AA1358" s="5" t="inlineStr">
        <is>
          <t>Varlı +1, Şen -1, Yalçın -1</t>
        </is>
      </c>
      <c r="AB1358" s="5" t="inlineStr">
        <is>
          <t>hat-hekim, meslek-memur</t>
        </is>
      </c>
      <c r="AC1358" s="5" t="inlineStr"/>
      <c r="AD1358" s="5" t="inlineStr">
        <is>
          <t>Rahat</t>
        </is>
      </c>
      <c r="AE1358" s="5" t="inlineStr"/>
      <c r="AF1358" s="5" t="inlineStr"/>
      <c r="AG1358" s="5" t="inlineStr"/>
      <c r="AH1358" s="5" t="inlineStr"/>
    </row>
    <row r="1359">
      <c r="A1359" s="5" t="inlineStr">
        <is>
          <t>b6-polis-devriye</t>
        </is>
      </c>
      <c r="B1359" s="5" t="n">
        <v>1</v>
      </c>
      <c r="C1359" s="6" t="inlineStr">
        <is>
          <t>Kıdemlinin dediğini yap</t>
        </is>
      </c>
      <c r="D1359" s="5" t="inlineStr"/>
      <c r="E1359" s="5" t="inlineStr"/>
      <c r="F1359" s="5" t="inlineStr">
        <is>
          <t>Dayanıklılık +1, Sosyal Radar +1</t>
        </is>
      </c>
      <c r="G1359" s="6" t="inlineStr">
        <is>
          <t>Kıdemli iki manavı ayırdı, bir kasa domatesi ikiye böldü, işi bitirdi. Sana döndü: “Bu işin yarısı domates bölmektir.” Diğer yarısını sormadın.</t>
        </is>
      </c>
      <c r="H1359" s="6" t="inlineStr"/>
      <c r="I1359" s="6" t="inlineStr"/>
      <c r="J1359" s="6" t="inlineStr"/>
      <c r="K1359" s="6" t="inlineStr"/>
      <c r="L1359" s="6" t="inlineStr"/>
      <c r="M1359" s="5" t="inlineStr"/>
      <c r="N1359" s="5" t="inlineStr"/>
      <c r="O1359" s="6" t="inlineStr"/>
      <c r="P1359" s="6" t="inlineStr"/>
      <c r="Q1359" s="5" t="inlineStr"/>
      <c r="R1359" s="5" t="inlineStr"/>
      <c r="S1359" s="5" t="inlineStr"/>
      <c r="T1359" s="5" t="inlineStr"/>
      <c r="U1359" s="5" t="inlineStr"/>
      <c r="V1359" s="5" t="inlineStr"/>
      <c r="W1359" s="5" t="inlineStr"/>
      <c r="X1359" s="5" t="inlineStr"/>
      <c r="Y1359" s="5" t="inlineStr"/>
      <c r="Z1359" s="6" t="inlineStr"/>
      <c r="AA1359" s="5" t="inlineStr"/>
      <c r="AB1359" s="5" t="inlineStr"/>
      <c r="AC1359" s="5" t="inlineStr"/>
      <c r="AD1359" s="5" t="inlineStr"/>
      <c r="AE1359" s="5" t="inlineStr"/>
      <c r="AF1359" s="5" t="inlineStr"/>
      <c r="AG1359" s="5" t="inlineStr"/>
      <c r="AH1359" s="5" t="inlineStr"/>
    </row>
    <row r="1360">
      <c r="A1360" s="5" t="inlineStr">
        <is>
          <t>b6-polis-devriye</t>
        </is>
      </c>
      <c r="B1360" s="5" t="n">
        <v>2</v>
      </c>
      <c r="C1360" s="6" t="inlineStr">
        <is>
          <t>Kavgayı sen çöz</t>
        </is>
      </c>
      <c r="D1360" s="5" t="inlineStr">
        <is>
          <t>Çene</t>
        </is>
      </c>
      <c r="E1360" s="5" t="inlineStr">
        <is>
          <t>Orta</t>
        </is>
      </c>
      <c r="F1360" s="5" t="inlineStr"/>
      <c r="G1360" s="6" t="inlineStr"/>
      <c r="H1360" s="6" t="inlineStr">
        <is>
          <t>İki manavı aynı masaya oturttun, domatesleri tarttırdın. Kavga bir kiloluk fark yüzündenmiş; kantar bozukmuş. Kantarı değiştirdiler; seni de çarşıda tanıdılar.</t>
        </is>
      </c>
      <c r="I1360" s="6" t="inlineStr">
        <is>
          <t>Manavlar barıştı, sana da birer kasa domates yolladılar. Reddettin; karakolda herkes o hafta salata yedi, isimsiz bağış olarak.</t>
        </is>
      </c>
      <c r="J1360" s="6" t="inlineStr">
        <is>
          <t>Kavgayı çözdün sandın; sen gidince yeniden başladı. Bu sefer kantarla.</t>
        </is>
      </c>
      <c r="K1360" s="6" t="inlineStr">
        <is>
          <t>Araya girdin, domates sana isabet etti. Ertesi gün karakolda adın “Domates.” Lakaplar bu meslekte emekliliğe kadar sürer.</t>
        </is>
      </c>
      <c r="L1360" s="6" t="inlineStr"/>
      <c r="M1360" s="5" t="inlineStr"/>
      <c r="N1360" s="5" t="inlineStr"/>
      <c r="O1360" s="6" t="inlineStr"/>
      <c r="P1360" s="6" t="inlineStr"/>
      <c r="Q1360" s="5" t="inlineStr"/>
      <c r="R1360" s="5" t="inlineStr"/>
      <c r="S1360" s="5" t="inlineStr"/>
      <c r="T1360" s="5" t="inlineStr"/>
      <c r="U1360" s="5" t="inlineStr"/>
      <c r="V1360" s="5" t="inlineStr"/>
      <c r="W1360" s="5" t="inlineStr"/>
      <c r="X1360" s="5" t="inlineStr"/>
      <c r="Y1360" s="5" t="inlineStr"/>
      <c r="Z1360" s="6" t="inlineStr"/>
      <c r="AA1360" s="5" t="inlineStr"/>
      <c r="AB1360" s="5" t="inlineStr"/>
      <c r="AC1360" s="5" t="inlineStr"/>
      <c r="AD1360" s="5" t="inlineStr"/>
      <c r="AE1360" s="5" t="inlineStr"/>
      <c r="AF1360" s="5" t="inlineStr"/>
      <c r="AG1360" s="5" t="inlineStr"/>
      <c r="AH1360" s="5" t="inlineStr"/>
    </row>
    <row r="1361">
      <c r="A1361" s="5" t="inlineStr">
        <is>
          <t>b6-polis-devriye</t>
        </is>
      </c>
      <c r="B1361" s="5" t="n">
        <v>3</v>
      </c>
      <c r="C1361" s="6" t="inlineStr">
        <is>
          <t>Kıdemliye usulü hatırlat</t>
        </is>
      </c>
      <c r="D1361" s="5" t="inlineStr">
        <is>
          <t>Cesaret</t>
        </is>
      </c>
      <c r="E1361" s="5" t="inlineStr">
        <is>
          <t>Zor</t>
        </is>
      </c>
      <c r="F1361" s="5" t="inlineStr"/>
      <c r="G1361" s="6" t="inlineStr"/>
      <c r="H1361" s="6" t="inlineStr">
        <is>
          <t>Tutanak tuttun, ifade aldın, usulü işlettin. Kıdemli söylenerek imzaladı; akşam amire “Bu çocuk iyi” dedi.</t>
        </is>
      </c>
      <c r="I1361" s="6" t="inlineStr">
        <is>
          <t>Tuttuğun tutanak karakolda örnek diye dolaştırıldı. Amir seni bir sonraki eğitime yazdı; kıdemli de sana çay ısmarladı, isteksizce.</t>
        </is>
      </c>
      <c r="J1361" s="6" t="inlineStr">
        <is>
          <t>Kıdemli seni dinledi ve telsizi açtı: skor soruyordu. Tutanak cebinde kaldı.</t>
        </is>
      </c>
      <c r="K1361" s="6" t="inlineStr">
        <is>
          <t>Kıdemli seni bütün karakola “Kitap” diye tanıttı. Bir hafta boyunca herkes sana usul sordu; alayla.</t>
        </is>
      </c>
      <c r="L1361" s="6" t="inlineStr"/>
      <c r="M1361" s="5" t="inlineStr"/>
      <c r="N1361" s="5" t="inlineStr"/>
      <c r="O1361" s="6" t="inlineStr"/>
      <c r="P1361" s="6" t="inlineStr"/>
      <c r="Q1361" s="5" t="inlineStr"/>
      <c r="R1361" s="5" t="inlineStr"/>
      <c r="S1361" s="5" t="inlineStr"/>
      <c r="T1361" s="5" t="inlineStr"/>
      <c r="U1361" s="5" t="inlineStr"/>
      <c r="V1361" s="5" t="inlineStr"/>
      <c r="W1361" s="5" t="inlineStr"/>
      <c r="X1361" s="5" t="inlineStr"/>
      <c r="Y1361" s="5" t="inlineStr"/>
      <c r="Z1361" s="6" t="inlineStr"/>
      <c r="AA1361" s="5" t="inlineStr"/>
      <c r="AB1361" s="5" t="inlineStr"/>
      <c r="AC1361" s="5" t="inlineStr"/>
      <c r="AD1361" s="5" t="inlineStr"/>
      <c r="AE1361" s="5" t="inlineStr"/>
      <c r="AF1361" s="5" t="inlineStr"/>
      <c r="AG1361" s="5" t="inlineStr"/>
      <c r="AH1361" s="5" t="inlineStr"/>
    </row>
    <row r="1362">
      <c r="A1362" s="5" t="inlineStr">
        <is>
          <t>b6-yargi-kurs</t>
        </is>
      </c>
      <c r="B1362" s="5" t="n">
        <v>1</v>
      </c>
      <c r="C1362" s="6" t="inlineStr">
        <is>
          <t>Not al, sus, izle</t>
        </is>
      </c>
      <c r="D1362" s="5" t="inlineStr"/>
      <c r="E1362" s="5" t="inlineStr"/>
      <c r="F1362" s="5" t="inlineStr">
        <is>
          <t>Akıl +1, Sosyal Radar +1</t>
        </is>
      </c>
      <c r="G1362" s="6" t="inlineStr">
        <is>
          <t>Üç saat not aldın. Kıdemli sonunda sana döndü: “Ne gördün?” “Ceviz” dedin. Kıdemli güldü: “Doğru. Ama asıl dava ceviz değil.”</t>
        </is>
      </c>
      <c r="H1362" s="6" t="inlineStr"/>
      <c r="I1362" s="6" t="inlineStr"/>
      <c r="J1362" s="6" t="inlineStr"/>
      <c r="K1362" s="6" t="inlineStr"/>
      <c r="L1362" s="6" t="inlineStr"/>
      <c r="M1362" s="5" t="inlineStr"/>
      <c r="N1362" s="5" t="inlineStr"/>
      <c r="O1362" s="6" t="inlineStr"/>
      <c r="P1362" s="6" t="inlineStr"/>
      <c r="Q1362" s="5" t="inlineStr"/>
      <c r="R1362" s="5" t="inlineStr"/>
      <c r="S1362" s="5" t="inlineStr"/>
      <c r="T1362" s="5" t="inlineStr"/>
      <c r="U1362" s="5" t="inlineStr"/>
      <c r="V1362" s="5" t="inlineStr"/>
      <c r="W1362" s="5" t="inlineStr"/>
      <c r="X1362" s="5" t="inlineStr"/>
      <c r="Y1362" s="5" t="inlineStr"/>
      <c r="Z1362" s="6" t="inlineStr"/>
      <c r="AA1362" s="5" t="inlineStr"/>
      <c r="AB1362" s="5" t="inlineStr"/>
      <c r="AC1362" s="5" t="inlineStr"/>
      <c r="AD1362" s="5" t="inlineStr"/>
      <c r="AE1362" s="5" t="inlineStr"/>
      <c r="AF1362" s="5" t="inlineStr"/>
      <c r="AG1362" s="5" t="inlineStr"/>
      <c r="AH1362" s="5" t="inlineStr"/>
    </row>
    <row r="1363">
      <c r="A1363" s="5" t="inlineStr">
        <is>
          <t>b6-yargi-kurs</t>
        </is>
      </c>
      <c r="B1363" s="5" t="n">
        <v>2</v>
      </c>
      <c r="C1363" s="6" t="inlineStr">
        <is>
          <t>Keşif için ağaca gitmeyi öner</t>
        </is>
      </c>
      <c r="D1363" s="5" t="inlineStr">
        <is>
          <t>Cesaret</t>
        </is>
      </c>
      <c r="E1363" s="5" t="inlineStr">
        <is>
          <t>Orta</t>
        </is>
      </c>
      <c r="F1363" s="5" t="inlineStr"/>
      <c r="G1363" s="6" t="inlineStr"/>
      <c r="H1363" s="6" t="inlineStr">
        <is>
          <t>Keşfe gittiniz. Ağacın dalı gerçekten sınırı geçiyor; ama kökü de öbür tarafı. Dava ikiye bölündü, komşular hâlâ konuşmuyor ama ceviz topluyor.</t>
        </is>
      </c>
      <c r="I1363" s="6" t="inlineStr">
        <is>
          <t>Keşifte iki komşu ağacın altında çocukken birlikte oynadıklarını hatırladı. Dava düştü. Kıdemli, “Senden olur” dedi.</t>
        </is>
      </c>
      <c r="J1363" s="6" t="inlineStr">
        <is>
          <t>Keşfe gittiniz; ağaç kesilmişti. Dava artık bir kütük davası.</t>
        </is>
      </c>
      <c r="K1363" s="6" t="inlineStr">
        <is>
          <t>Keşifte ceviz başına düştü. Tutanağa “Mahkeme heyetine ceviz isabet etmiştir” yazıldı; adın dipnotta.</t>
        </is>
      </c>
      <c r="L1363" s="6" t="inlineStr"/>
      <c r="M1363" s="5" t="inlineStr"/>
      <c r="N1363" s="5" t="inlineStr"/>
      <c r="O1363" s="6" t="inlineStr"/>
      <c r="P1363" s="6" t="inlineStr"/>
      <c r="Q1363" s="5" t="inlineStr"/>
      <c r="R1363" s="5" t="inlineStr"/>
      <c r="S1363" s="5" t="inlineStr"/>
      <c r="T1363" s="5" t="inlineStr"/>
      <c r="U1363" s="5" t="inlineStr"/>
      <c r="V1363" s="5" t="inlineStr"/>
      <c r="W1363" s="5" t="inlineStr"/>
      <c r="X1363" s="5" t="inlineStr"/>
      <c r="Y1363" s="5" t="inlineStr"/>
      <c r="Z1363" s="6" t="inlineStr"/>
      <c r="AA1363" s="5" t="inlineStr"/>
      <c r="AB1363" s="5" t="inlineStr"/>
      <c r="AC1363" s="5" t="inlineStr"/>
      <c r="AD1363" s="5" t="inlineStr"/>
      <c r="AE1363" s="5" t="inlineStr"/>
      <c r="AF1363" s="5" t="inlineStr"/>
      <c r="AG1363" s="5" t="inlineStr"/>
      <c r="AH1363" s="5" t="inlineStr"/>
    </row>
    <row r="1364">
      <c r="A1364" s="5" t="inlineStr">
        <is>
          <t>b6-yargi-kurs</t>
        </is>
      </c>
      <c r="B1364" s="5" t="n">
        <v>3</v>
      </c>
      <c r="C1364" s="6" t="inlineStr">
        <is>
          <t>Kararı kıdemliden önce tahmin et</t>
        </is>
      </c>
      <c r="D1364" s="5" t="inlineStr">
        <is>
          <t>Akıl</t>
        </is>
      </c>
      <c r="E1364" s="5" t="inlineStr">
        <is>
          <t>Zor</t>
        </is>
      </c>
      <c r="F1364" s="5" t="inlineStr"/>
      <c r="G1364" s="6" t="inlineStr"/>
      <c r="H1364" s="6" t="inlineStr">
        <is>
          <t>Tahminin tuttu. Kıdemli karar metnini yazarken senin cümlelerinden birini kullandı. Adını anmadı; adaylar anılmaz.</t>
        </is>
      </c>
      <c r="I1364" s="6" t="inlineStr">
        <is>
          <t>Tahminin öyle isabetliydi ki kıdemli bir sonraki dosyayı sana verdi: “Taslağı sen yaz.” Taslak neredeyse hiç değişmedi.</t>
        </is>
      </c>
      <c r="J1364" s="6" t="inlineStr">
        <is>
          <t>Tahmin tutmadı. Kıdemli kararı okuduğunda senin notlarındaki cümlenin tam tersini okudu.</t>
        </is>
      </c>
      <c r="K1364" s="6" t="inlineStr">
        <is>
          <t>Tahminini koridorda yüksek sesle söyledin; taraflardan biri duydu. Duruşma bir saat bu yüzden uzadı.</t>
        </is>
      </c>
      <c r="L1364" s="6" t="inlineStr"/>
      <c r="M1364" s="5" t="inlineStr"/>
      <c r="N1364" s="5" t="inlineStr"/>
      <c r="O1364" s="6" t="inlineStr"/>
      <c r="P1364" s="6" t="inlineStr"/>
      <c r="Q1364" s="5" t="inlineStr"/>
      <c r="R1364" s="5" t="inlineStr"/>
      <c r="S1364" s="5" t="inlineStr"/>
      <c r="T1364" s="5" t="inlineStr">
        <is>
          <t>Mevzuat Kalkanı</t>
        </is>
      </c>
      <c r="U1364" s="5" t="inlineStr"/>
      <c r="V1364" s="5" t="inlineStr"/>
      <c r="W1364" s="5" t="inlineStr"/>
      <c r="X1364" s="5" t="inlineStr"/>
      <c r="Y1364" s="5" t="inlineStr"/>
      <c r="Z1364" s="6" t="inlineStr"/>
      <c r="AA1364" s="5" t="inlineStr"/>
      <c r="AB1364" s="5" t="inlineStr"/>
      <c r="AC1364" s="5" t="inlineStr"/>
      <c r="AD1364" s="5" t="inlineStr"/>
      <c r="AE1364" s="5" t="inlineStr"/>
      <c r="AF1364" s="5" t="inlineStr"/>
      <c r="AG1364" s="5" t="inlineStr"/>
      <c r="AH1364" s="5" t="inlineStr"/>
    </row>
    <row r="1365">
      <c r="A1365" s="5" t="inlineStr">
        <is>
          <t>b6-hekim-ilk-nobet</t>
        </is>
      </c>
      <c r="B1365" s="5" t="n">
        <v>1</v>
      </c>
      <c r="C1365" s="6" t="inlineStr">
        <is>
          <t>Önce amcaya çay ver</t>
        </is>
      </c>
      <c r="D1365" s="5" t="inlineStr"/>
      <c r="E1365" s="5" t="inlineStr"/>
      <c r="F1365" s="5" t="inlineStr">
        <is>
          <t>İtibar +2</t>
        </is>
      </c>
      <c r="G1365" s="6" t="inlineStr">
        <is>
          <t>Amcaya çay verdin. Amca çayı içti, iyileşti; aslında sadece yalnızmış. Diğer altı hastaya bakarken amca kapıda nöbet tuttu.</t>
        </is>
      </c>
      <c r="H1365" s="6" t="inlineStr"/>
      <c r="I1365" s="6" t="inlineStr"/>
      <c r="J1365" s="6" t="inlineStr"/>
      <c r="K1365" s="6" t="inlineStr"/>
      <c r="L1365" s="6" t="inlineStr"/>
      <c r="M1365" s="5" t="inlineStr"/>
      <c r="N1365" s="5" t="inlineStr"/>
      <c r="O1365" s="6" t="inlineStr"/>
      <c r="P1365" s="6" t="inlineStr"/>
      <c r="Q1365" s="5" t="inlineStr"/>
      <c r="R1365" s="5" t="inlineStr"/>
      <c r="S1365" s="5" t="inlineStr"/>
      <c r="T1365" s="5" t="inlineStr"/>
      <c r="U1365" s="5" t="inlineStr"/>
      <c r="V1365" s="5" t="inlineStr"/>
      <c r="W1365" s="5" t="inlineStr"/>
      <c r="X1365" s="5" t="inlineStr"/>
      <c r="Y1365" s="5" t="inlineStr"/>
      <c r="Z1365" s="6" t="inlineStr"/>
      <c r="AA1365" s="5" t="inlineStr"/>
      <c r="AB1365" s="5" t="inlineStr"/>
      <c r="AC1365" s="5" t="inlineStr"/>
      <c r="AD1365" s="5" t="inlineStr"/>
      <c r="AE1365" s="5" t="inlineStr"/>
      <c r="AF1365" s="5" t="inlineStr"/>
      <c r="AG1365" s="5" t="inlineStr"/>
      <c r="AH1365" s="5" t="inlineStr"/>
    </row>
    <row r="1366">
      <c r="A1366" s="5" t="inlineStr">
        <is>
          <t>b6-hekim-ilk-nobet</t>
        </is>
      </c>
      <c r="B1366" s="5" t="n">
        <v>2</v>
      </c>
      <c r="C1366" s="6" t="inlineStr">
        <is>
          <t>Sırayı aciliyete göre diz</t>
        </is>
      </c>
      <c r="D1366" s="5" t="inlineStr">
        <is>
          <t>Akıl</t>
        </is>
      </c>
      <c r="E1366" s="5" t="inlineStr">
        <is>
          <t>Orta</t>
        </is>
      </c>
      <c r="F1366" s="5" t="inlineStr"/>
      <c r="G1366" s="6" t="inlineStr"/>
      <c r="H1366" s="6" t="inlineStr">
        <is>
          <t>Hastaları doğru sıraya dizdin. Sabaha kadar kimse beklediği için kötüleşmedi. Başhemşire sana ilk kez adınla hitap etti.</t>
        </is>
      </c>
      <c r="I1366" s="6" t="inlineStr">
        <is>
          <t>Sabah vizitinde hoca nöbet defterine baktı ve bir kelime yazdı: “Düzgün.” Tıpta bundan büyük iltifat yok.</t>
        </is>
      </c>
      <c r="J1366" s="6" t="inlineStr">
        <is>
          <t>Sırayı dizdin ama “internette okudum” hastası sırayı üç kez bozdu. Sabah yorgundun; ama herkes hayattaydı.</t>
        </is>
      </c>
      <c r="K1366" s="6" t="inlineStr">
        <is>
          <t>Dosyaları karıştırdın; kaygılı hastaya ağrı kesici, ağrılı hastaya sakinleştirici önerdin. İkisi de iyi hissetti. Hoca hissetmedi.</t>
        </is>
      </c>
      <c r="L1366" s="6" t="inlineStr"/>
      <c r="M1366" s="5" t="inlineStr"/>
      <c r="N1366" s="5" t="inlineStr"/>
      <c r="O1366" s="6" t="inlineStr"/>
      <c r="P1366" s="6" t="inlineStr"/>
      <c r="Q1366" s="5" t="inlineStr"/>
      <c r="R1366" s="5" t="inlineStr"/>
      <c r="S1366" s="5" t="inlineStr"/>
      <c r="T1366" s="5" t="inlineStr">
        <is>
          <t>Uykusuz Operasyon</t>
        </is>
      </c>
      <c r="U1366" s="5" t="inlineStr"/>
      <c r="V1366" s="5" t="inlineStr"/>
      <c r="W1366" s="5" t="inlineStr"/>
      <c r="X1366" s="5" t="inlineStr"/>
      <c r="Y1366" s="5" t="inlineStr"/>
      <c r="Z1366" s="6" t="inlineStr"/>
      <c r="AA1366" s="5" t="inlineStr"/>
      <c r="AB1366" s="5" t="inlineStr"/>
      <c r="AC1366" s="5" t="inlineStr"/>
      <c r="AD1366" s="5" t="inlineStr"/>
      <c r="AE1366" s="5" t="inlineStr"/>
      <c r="AF1366" s="5" t="inlineStr"/>
      <c r="AG1366" s="5" t="inlineStr"/>
      <c r="AH1366" s="5" t="inlineStr"/>
    </row>
    <row r="1367">
      <c r="A1367" s="5" t="inlineStr">
        <is>
          <t>b6-hekim-ilk-nobet</t>
        </is>
      </c>
      <c r="B1367" s="5" t="n">
        <v>3</v>
      </c>
      <c r="C1367" s="6" t="inlineStr">
        <is>
          <t>“İnternette okudum” hastasını ikna et</t>
        </is>
      </c>
      <c r="D1367" s="5" t="inlineStr">
        <is>
          <t>Çene</t>
        </is>
      </c>
      <c r="E1367" s="5" t="inlineStr">
        <is>
          <t>Zor</t>
        </is>
      </c>
      <c r="F1367" s="5" t="inlineStr"/>
      <c r="G1367" s="6" t="inlineStr"/>
      <c r="H1367" s="6" t="inlineStr">
        <is>
          <t>Hastaya internetin neyi yanlış okuduğunu anlattın. Hasta sana teşekkür etti ve bir daha arama motoruna değil sana soracağını söyledi. Numaranı istedi; vermedin.</t>
        </is>
      </c>
      <c r="I1367" s="6" t="inlineStr">
        <is>
          <t>Hasta öyle ikna oldu ki kendi forumunda senin hakkında övgü yazdı. Ertesi hafta acile üç kişi “O doktoru” soruyordu.</t>
        </is>
      </c>
      <c r="J1367" s="6" t="inlineStr">
        <is>
          <t>Hasta seni dinledi ve sonra telefonunu açtı: “Ama burada başka yazıyor.” Sabaha kadar tartıştınız.</t>
        </is>
      </c>
      <c r="K1367" s="6" t="inlineStr">
        <is>
          <t>Hastayı ikna edemedin; o seni ikna etti. Sabaha karşı bir an kendi semptomlarını aradın.</t>
        </is>
      </c>
      <c r="L1367" s="6" t="inlineStr"/>
      <c r="M1367" s="5" t="inlineStr"/>
      <c r="N1367" s="5" t="inlineStr"/>
      <c r="O1367" s="6" t="inlineStr"/>
      <c r="P1367" s="6" t="inlineStr"/>
      <c r="Q1367" s="5" t="inlineStr"/>
      <c r="R1367" s="5" t="inlineStr"/>
      <c r="S1367" s="5" t="inlineStr"/>
      <c r="T1367" s="5" t="inlineStr"/>
      <c r="U1367" s="5" t="inlineStr"/>
      <c r="V1367" s="5" t="inlineStr"/>
      <c r="W1367" s="5" t="inlineStr"/>
      <c r="X1367" s="5" t="inlineStr"/>
      <c r="Y1367" s="5" t="inlineStr"/>
      <c r="Z1367" s="6" t="inlineStr"/>
      <c r="AA1367" s="5" t="inlineStr"/>
      <c r="AB1367" s="5" t="inlineStr"/>
      <c r="AC1367" s="5" t="inlineStr"/>
      <c r="AD1367" s="5" t="inlineStr"/>
      <c r="AE1367" s="5" t="inlineStr"/>
      <c r="AF1367" s="5" t="inlineStr"/>
      <c r="AG1367" s="5" t="inlineStr"/>
      <c r="AH1367" s="5" t="inlineStr"/>
    </row>
    <row r="1368">
      <c r="A1368" s="5" t="inlineStr">
        <is>
          <t>b6-cete-paravan</t>
        </is>
      </c>
      <c r="B1368" s="5" t="n">
        <v>1</v>
      </c>
      <c r="C1368" s="6" t="inlineStr">
        <is>
          <t>Doğru defteri aç, gerisini abiye bırak</t>
        </is>
      </c>
      <c r="D1368" s="5" t="inlineStr"/>
      <c r="E1368" s="5" t="inlineStr"/>
      <c r="F1368" s="5" t="inlineStr">
        <is>
          <t>Pişkinlik +1, Dayanıklılık +1</t>
        </is>
      </c>
      <c r="G1368" s="6" t="inlineStr">
        <is>
          <t>Müfettiş vergi defterine baktı, bir çay içti, bir araba yıkattı; parasını ödedi. Abi akşam aradı: “Öğreniyorsun.” Neyi öğrendiğini düşünmek istemiyorsun.</t>
        </is>
      </c>
      <c r="H1368" s="6" t="inlineStr"/>
      <c r="I1368" s="6" t="inlineStr"/>
      <c r="J1368" s="6" t="inlineStr"/>
      <c r="K1368" s="6" t="inlineStr"/>
      <c r="L1368" s="6" t="inlineStr"/>
      <c r="M1368" s="5" t="inlineStr"/>
      <c r="N1368" s="5" t="inlineStr"/>
      <c r="O1368" s="6" t="inlineStr"/>
      <c r="P1368" s="6" t="inlineStr"/>
      <c r="Q1368" s="5" t="inlineStr"/>
      <c r="R1368" s="5" t="inlineStr"/>
      <c r="S1368" s="5" t="inlineStr"/>
      <c r="T1368" s="5" t="inlineStr"/>
      <c r="U1368" s="5" t="inlineStr"/>
      <c r="V1368" s="5" t="inlineStr"/>
      <c r="W1368" s="5" t="inlineStr"/>
      <c r="X1368" s="5" t="inlineStr"/>
      <c r="Y1368" s="5" t="inlineStr"/>
      <c r="Z1368" s="6" t="inlineStr"/>
      <c r="AA1368" s="5" t="inlineStr"/>
      <c r="AB1368" s="5" t="inlineStr"/>
      <c r="AC1368" s="5" t="inlineStr"/>
      <c r="AD1368" s="5" t="inlineStr"/>
      <c r="AE1368" s="5" t="inlineStr"/>
      <c r="AF1368" s="5" t="inlineStr"/>
      <c r="AG1368" s="5" t="inlineStr"/>
      <c r="AH1368" s="5" t="inlineStr"/>
    </row>
    <row r="1369">
      <c r="A1369" s="5" t="inlineStr">
        <is>
          <t>b6-cete-paravan</t>
        </is>
      </c>
      <c r="B1369" s="5" t="n">
        <v>2</v>
      </c>
      <c r="C1369" s="6" t="inlineStr">
        <is>
          <t>Oto yıkamayı gerçekten oto yıkama yap</t>
        </is>
      </c>
      <c r="D1369" s="5" t="inlineStr">
        <is>
          <t>Akıl</t>
        </is>
      </c>
      <c r="E1369" s="5" t="inlineStr">
        <is>
          <t>Zor</t>
        </is>
      </c>
      <c r="F1369" s="5" t="inlineStr"/>
      <c r="G1369" s="6" t="inlineStr"/>
      <c r="H1369" s="6" t="inlineStr">
        <is>
          <t>Köpüklü yıkama, iç temizlik, jant parlatma. Üç ayda gerçek müşteri geldi. Abinin defteri inceldi, seninki kalınlaştı.</t>
        </is>
      </c>
      <c r="I1369" s="6" t="inlineStr">
        <is>
          <t>Dükkân o kadar iyi işledi ki abi bile arabasını getirdi; üstelik ödedi. Mahallede artık “Abinin adamı” değil, “Yıkamacı” diye biliniyorsun.</t>
        </is>
      </c>
      <c r="J1369" s="6" t="inlineStr">
        <is>
          <t>Gerçek müşteriler geldi ama abinin müşterileri de gelmeye devam etti. İki defter şimdi üç oldu.</t>
        </is>
      </c>
      <c r="K1369" s="6" t="inlineStr">
        <is>
          <t>Gerçek bir yıkama yaparken abinin arabasının bagajını açtın. Ne gördüğünü söylemeyeceksin; abi de sana söylememeni söyledi.</t>
        </is>
      </c>
      <c r="L1369" s="6" t="inlineStr"/>
      <c r="M1369" s="5" t="inlineStr"/>
      <c r="N1369" s="5" t="inlineStr"/>
      <c r="O1369" s="6" t="inlineStr"/>
      <c r="P1369" s="6" t="inlineStr"/>
      <c r="Q1369" s="5" t="inlineStr"/>
      <c r="R1369" s="5" t="inlineStr"/>
      <c r="S1369" s="5" t="inlineStr"/>
      <c r="T1369" s="5" t="inlineStr"/>
      <c r="U1369" s="5" t="inlineStr"/>
      <c r="V1369" s="5" t="inlineStr">
        <is>
          <t>abiden-koptu</t>
        </is>
      </c>
      <c r="W1369" s="5" t="inlineStr"/>
      <c r="X1369" s="5" t="inlineStr"/>
      <c r="Y1369" s="5" t="inlineStr"/>
      <c r="Z1369" s="6" t="inlineStr"/>
      <c r="AA1369" s="5" t="inlineStr"/>
      <c r="AB1369" s="5" t="inlineStr"/>
      <c r="AC1369" s="5" t="inlineStr"/>
      <c r="AD1369" s="5" t="inlineStr"/>
      <c r="AE1369" s="5" t="inlineStr"/>
      <c r="AF1369" s="5" t="inlineStr"/>
      <c r="AG1369" s="5" t="inlineStr"/>
      <c r="AH1369" s="5" t="inlineStr"/>
    </row>
    <row r="1370">
      <c r="A1370" s="5" t="inlineStr">
        <is>
          <t>b6-cete-paravan</t>
        </is>
      </c>
      <c r="B1370" s="5" t="n">
        <v>3</v>
      </c>
      <c r="C1370" s="6" t="inlineStr">
        <is>
          <t>Abinin defterini kendine sakla</t>
        </is>
      </c>
      <c r="D1370" s="5" t="inlineStr">
        <is>
          <t>Kurnazlık</t>
        </is>
      </c>
      <c r="E1370" s="5" t="inlineStr">
        <is>
          <t>Çok Zor</t>
        </is>
      </c>
      <c r="F1370" s="5" t="inlineStr"/>
      <c r="G1370" s="6" t="inlineStr"/>
      <c r="H1370" s="6" t="inlineStr">
        <is>
          <t>Abinin defterinin bir fotokopisini aldın ve bir kasaya koydun. Kasanın anahtarı ayakkabında. Artık abi senin için değil, sen abi için bir sigortasın.</t>
        </is>
      </c>
      <c r="I1370" s="6" t="inlineStr">
        <is>
          <t>Fotokopiyi gören tek kişi abinin rakibiydi; seni yemeğe çağırdı. İki masa arasında oturan tek kişi sensin. Yer rahat değil ama geniş.</t>
        </is>
      </c>
      <c r="J1370" s="6" t="inlineStr">
        <is>
          <t>Fotokopi makinesi kâğıt sıkıştırdı. Defterin üç sayfası makinenin içinde kaldı. Makine artık bir delil.</t>
        </is>
      </c>
      <c r="K1370" s="6" t="inlineStr">
        <is>
          <t>Abi, fotokopi kuyruğunda arkanda duruyordu. “Bir tane de bana çek” dedi. O günden sonra oto yıkamada kamera var.</t>
        </is>
      </c>
      <c r="L1370" s="6" t="inlineStr"/>
      <c r="M1370" s="5" t="inlineStr"/>
      <c r="N1370" s="5" t="inlineStr"/>
      <c r="O1370" s="6" t="inlineStr"/>
      <c r="P1370" s="6" t="inlineStr"/>
      <c r="Q1370" s="5" t="inlineStr"/>
      <c r="R1370" s="5" t="inlineStr"/>
      <c r="S1370" s="5" t="inlineStr"/>
      <c r="T1370" s="5" t="inlineStr"/>
      <c r="U1370" s="5" t="inlineStr"/>
      <c r="V1370" s="5" t="inlineStr">
        <is>
          <t>abiye-karsi-sigorta</t>
        </is>
      </c>
      <c r="W1370" s="5" t="inlineStr"/>
      <c r="X1370" s="5" t="inlineStr"/>
      <c r="Y1370" s="5" t="inlineStr"/>
      <c r="Z1370" s="6" t="inlineStr"/>
      <c r="AA1370" s="5" t="inlineStr"/>
      <c r="AB1370" s="5" t="inlineStr"/>
      <c r="AC1370" s="5" t="inlineStr"/>
      <c r="AD1370" s="5" t="inlineStr"/>
      <c r="AE1370" s="5" t="inlineStr"/>
      <c r="AF1370" s="5" t="inlineStr"/>
      <c r="AG1370" s="5" t="inlineStr"/>
      <c r="AH1370" s="5" t="inlineStr"/>
    </row>
    <row r="1371">
      <c r="A1371" s="5" t="inlineStr">
        <is>
          <t>b6-sohret-ilk-rol</t>
        </is>
      </c>
      <c r="B1371" s="5" t="n">
        <v>1</v>
      </c>
      <c r="C1371" s="6" t="inlineStr">
        <is>
          <t>On beşinci tekrarı çek, sesini çıkarma</t>
        </is>
      </c>
      <c r="D1371" s="5" t="inlineStr"/>
      <c r="E1371" s="5" t="inlineStr"/>
      <c r="F1371" s="5" t="inlineStr">
        <is>
          <t>Dayanıklılık +2</t>
        </is>
      </c>
      <c r="G1371" s="6" t="inlineStr">
        <is>
          <t>On beşinci tekrarda yönetmen “Tamam” dedi. Sonra aynı sahneyi başka açıdan on dört kez daha çektiniz. Hesabı kimse ödemedi.</t>
        </is>
      </c>
      <c r="H1371" s="6" t="inlineStr"/>
      <c r="I1371" s="6" t="inlineStr"/>
      <c r="J1371" s="6" t="inlineStr"/>
      <c r="K1371" s="6" t="inlineStr"/>
      <c r="L1371" s="6" t="inlineStr"/>
      <c r="M1371" s="5" t="inlineStr"/>
      <c r="N1371" s="5" t="inlineStr"/>
      <c r="O1371" s="6" t="inlineStr"/>
      <c r="P1371" s="6" t="inlineStr"/>
      <c r="Q1371" s="5" t="inlineStr"/>
      <c r="R1371" s="5" t="inlineStr"/>
      <c r="S1371" s="5" t="inlineStr"/>
      <c r="T1371" s="5" t="inlineStr"/>
      <c r="U1371" s="5" t="inlineStr"/>
      <c r="V1371" s="5" t="inlineStr"/>
      <c r="W1371" s="5" t="inlineStr"/>
      <c r="X1371" s="5" t="inlineStr"/>
      <c r="Y1371" s="5" t="inlineStr"/>
      <c r="Z1371" s="6" t="inlineStr"/>
      <c r="AA1371" s="5" t="inlineStr"/>
      <c r="AB1371" s="5" t="inlineStr"/>
      <c r="AC1371" s="5" t="inlineStr"/>
      <c r="AD1371" s="5" t="inlineStr"/>
      <c r="AE1371" s="5" t="inlineStr"/>
      <c r="AF1371" s="5" t="inlineStr"/>
      <c r="AG1371" s="5" t="inlineStr"/>
      <c r="AH1371" s="5" t="inlineStr"/>
    </row>
    <row r="1372">
      <c r="A1372" s="5" t="inlineStr">
        <is>
          <t>b6-sohret-ilk-rol</t>
        </is>
      </c>
      <c r="B1372" s="5" t="n">
        <v>2</v>
      </c>
      <c r="C1372" s="6" t="inlineStr">
        <is>
          <t>Repliğe bir doğaçlama ekle</t>
        </is>
      </c>
      <c r="D1372" s="5" t="inlineStr">
        <is>
          <t>Pişkinlik</t>
        </is>
      </c>
      <c r="E1372" s="5" t="inlineStr">
        <is>
          <t>Zor</t>
        </is>
      </c>
      <c r="F1372" s="5" t="inlineStr"/>
      <c r="G1372" s="6" t="inlineStr"/>
      <c r="H1372" s="6" t="inlineStr">
        <is>
          <t>“Hesap lütfen… bir de sizin telefonunuz.” Yönetmen güldü, sahne kaldı. Dizide ikinci bölümde de varsın.</t>
        </is>
      </c>
      <c r="I1372" s="6" t="inlineStr">
        <is>
          <t>Doğaçlama sosyal medyada kısa video oldu. İki milyon izlenme; herkes kafedeki genci soruyor. Menajerin yok; artık lazım.</t>
        </is>
      </c>
      <c r="J1372" s="6" t="inlineStr">
        <is>
          <t>Doğaçlamanı kimse sevmedi. Sahne kurgu masasında kesildi; dizide sadece ensen var.</t>
        </is>
      </c>
      <c r="K1372" s="6" t="inlineStr">
        <is>
          <t>Doğaçlama yaparken başrol oyuncusunun repliğini söyledin. Başrol seni o günden beri tanımıyor, bilerek.</t>
        </is>
      </c>
      <c r="L1372" s="6" t="inlineStr"/>
      <c r="M1372" s="5" t="inlineStr"/>
      <c r="N1372" s="5" t="inlineStr"/>
      <c r="O1372" s="6" t="inlineStr"/>
      <c r="P1372" s="6" t="inlineStr"/>
      <c r="Q1372" s="5" t="inlineStr"/>
      <c r="R1372" s="5" t="inlineStr"/>
      <c r="S1372" s="5" t="inlineStr"/>
      <c r="T1372" s="5" t="inlineStr"/>
      <c r="U1372" s="5" t="inlineStr"/>
      <c r="V1372" s="5" t="inlineStr">
        <is>
          <t>serbest-viral-oldu</t>
        </is>
      </c>
      <c r="W1372" s="5" t="inlineStr"/>
      <c r="X1372" s="5" t="inlineStr"/>
      <c r="Y1372" s="5" t="inlineStr"/>
      <c r="Z1372" s="6" t="inlineStr"/>
      <c r="AA1372" s="5" t="inlineStr"/>
      <c r="AB1372" s="5" t="inlineStr"/>
      <c r="AC1372" s="5" t="inlineStr"/>
      <c r="AD1372" s="5" t="inlineStr"/>
      <c r="AE1372" s="5" t="inlineStr"/>
      <c r="AF1372" s="5" t="inlineStr"/>
      <c r="AG1372" s="5" t="inlineStr"/>
      <c r="AH1372" s="5" t="inlineStr"/>
    </row>
    <row r="1373">
      <c r="A1373" s="5" t="inlineStr">
        <is>
          <t>b6-sohret-ilk-rol</t>
        </is>
      </c>
      <c r="B1373" s="5" t="n">
        <v>3</v>
      </c>
      <c r="C1373" s="6" t="inlineStr">
        <is>
          <t>Başrolün yanına otur, sohbet et</t>
        </is>
      </c>
      <c r="D1373" s="5" t="inlineStr">
        <is>
          <t>Sosyal Radar</t>
        </is>
      </c>
      <c r="E1373" s="5" t="inlineStr">
        <is>
          <t>Orta</t>
        </is>
      </c>
      <c r="F1373" s="5" t="inlineStr"/>
      <c r="G1373" s="6" t="inlineStr"/>
      <c r="H1373" s="6" t="inlineStr">
        <is>
          <t>Başrol oyuncusu seninle kahve içti. Sete girişin ertesi gün bir karavanla yapıldı; karavan senin değil ama kapısını açabiliyorsun.</t>
        </is>
      </c>
      <c r="I1373" s="6" t="inlineStr">
        <is>
          <t>Başrol seni menajerine tanıttı. Menajer ilk bakışta “Yüzün bir şey diyor” dedi. Ne dediğini henüz söylemedi.</t>
        </is>
      </c>
      <c r="J1373" s="6" t="inlineStr">
        <is>
          <t>Başrol oyuncusu kulaklığını çıkarmadı. Sohbet tek taraflı oldu; sen bunu da bir sahne sandın.</t>
        </is>
      </c>
      <c r="K1373" s="6" t="inlineStr">
        <is>
          <t>Başrolün kahvesini döktün. O gün sete bir “Kahve dökülmez” tabelası asıldı. Tabela sana bakıyor.</t>
        </is>
      </c>
      <c r="L1373" s="6" t="inlineStr"/>
      <c r="M1373" s="5" t="inlineStr"/>
      <c r="N1373" s="5" t="inlineStr"/>
      <c r="O1373" s="6" t="inlineStr"/>
      <c r="P1373" s="6" t="inlineStr"/>
      <c r="Q1373" s="5" t="inlineStr"/>
      <c r="R1373" s="5" t="inlineStr"/>
      <c r="S1373" s="5" t="inlineStr"/>
      <c r="T1373" s="5" t="inlineStr"/>
      <c r="U1373" s="5" t="inlineStr"/>
      <c r="V1373" s="5" t="inlineStr"/>
      <c r="W1373" s="5" t="inlineStr"/>
      <c r="X1373" s="5" t="inlineStr"/>
      <c r="Y1373" s="5" t="inlineStr"/>
      <c r="Z1373" s="6" t="inlineStr"/>
      <c r="AA1373" s="5" t="inlineStr"/>
      <c r="AB1373" s="5" t="inlineStr"/>
      <c r="AC1373" s="5" t="inlineStr"/>
      <c r="AD1373" s="5" t="inlineStr"/>
      <c r="AE1373" s="5" t="inlineStr"/>
      <c r="AF1373" s="5" t="inlineStr"/>
      <c r="AG1373" s="5" t="inlineStr"/>
      <c r="AH1373" s="5" t="inlineStr"/>
    </row>
    <row r="1374">
      <c r="A1374" s="5" t="inlineStr">
        <is>
          <t>b6-koy-ilk-hasat</t>
        </is>
      </c>
      <c r="B1374" s="5" t="n">
        <v>1</v>
      </c>
      <c r="C1374" s="6" t="inlineStr">
        <is>
          <t>Komisyoncuya ver, işi bitir</t>
        </is>
      </c>
      <c r="D1374" s="5" t="inlineStr"/>
      <c r="E1374" s="5" t="inlineStr"/>
      <c r="F1374" s="5" t="inlineStr">
        <is>
          <t>Dayanıklılık +1</t>
        </is>
      </c>
      <c r="G1374" s="6" t="inlineStr">
        <is>
          <t>Komisyoncu kamyonla geldi, domatesleri tarttı, fiyatı söyledi, gitti. Aynı domatesler üç gün sonra şehirde dört katına satıldı. Deden “Hep böyleydi” dedi.</t>
        </is>
      </c>
      <c r="H1374" s="6" t="inlineStr"/>
      <c r="I1374" s="6" t="inlineStr"/>
      <c r="J1374" s="6" t="inlineStr"/>
      <c r="K1374" s="6" t="inlineStr"/>
      <c r="L1374" s="6" t="inlineStr"/>
      <c r="M1374" s="5" t="inlineStr"/>
      <c r="N1374" s="5" t="inlineStr"/>
      <c r="O1374" s="6" t="inlineStr"/>
      <c r="P1374" s="6" t="inlineStr"/>
      <c r="Q1374" s="5" t="inlineStr"/>
      <c r="R1374" s="5" t="inlineStr"/>
      <c r="S1374" s="5" t="inlineStr"/>
      <c r="T1374" s="5" t="inlineStr"/>
      <c r="U1374" s="5" t="inlineStr"/>
      <c r="V1374" s="5" t="inlineStr"/>
      <c r="W1374" s="5" t="inlineStr"/>
      <c r="X1374" s="5" t="inlineStr"/>
      <c r="Y1374" s="5" t="inlineStr"/>
      <c r="Z1374" s="6" t="inlineStr"/>
      <c r="AA1374" s="5" t="inlineStr"/>
      <c r="AB1374" s="5" t="inlineStr"/>
      <c r="AC1374" s="5" t="inlineStr"/>
      <c r="AD1374" s="5" t="inlineStr"/>
      <c r="AE1374" s="5" t="inlineStr"/>
      <c r="AF1374" s="5" t="inlineStr"/>
      <c r="AG1374" s="5" t="inlineStr"/>
      <c r="AH1374" s="5" t="inlineStr"/>
    </row>
    <row r="1375">
      <c r="A1375" s="5" t="inlineStr">
        <is>
          <t>b6-koy-ilk-hasat</t>
        </is>
      </c>
      <c r="B1375" s="5" t="n">
        <v>2</v>
      </c>
      <c r="C1375" s="6" t="inlineStr">
        <is>
          <t>Şehirde pazara kendin taşı</t>
        </is>
      </c>
      <c r="D1375" s="5" t="inlineStr">
        <is>
          <t>Dayanıklılık</t>
        </is>
      </c>
      <c r="E1375" s="5" t="inlineStr">
        <is>
          <t>Zor</t>
        </is>
      </c>
      <c r="F1375" s="5" t="inlineStr"/>
      <c r="G1375" s="6" t="inlineStr"/>
      <c r="H1375" s="6" t="inlineStr">
        <is>
          <t>Sabah dörtte yola çıktın, altıda tezgâhı kurdun, öğlen bitirdin. Kazandığın para komisyoncunun verdiğinin üç katı. Belin de üç kat ağrıyor.</t>
        </is>
      </c>
      <c r="I1375" s="6" t="inlineStr">
        <is>
          <t>Pazardaki müşteriler seni “Köylü Genç” diye çağırmaya başladı. Hafta sonları kuyruk var; domates sırası.</t>
        </is>
      </c>
      <c r="J1375" s="6" t="inlineStr">
        <is>
          <t>Pazara gittin ama tezgâh yerin yoktu. Kaldırımda sattın, zabıta seni kaldırdı. Domatesler sana kaldı; salata çok.</t>
        </is>
      </c>
      <c r="K1375" s="6" t="inlineStr">
        <is>
          <t>Yolda traktör bozuldu. Domatesleri yol kenarında sattın; kamyoncular aldı. Fiyatı onlar belirledi.</t>
        </is>
      </c>
      <c r="L1375" s="6" t="inlineStr"/>
      <c r="M1375" s="5" t="inlineStr"/>
      <c r="N1375" s="5" t="inlineStr"/>
      <c r="O1375" s="6" t="inlineStr"/>
      <c r="P1375" s="6" t="inlineStr"/>
      <c r="Q1375" s="5" t="inlineStr"/>
      <c r="R1375" s="5" t="inlineStr"/>
      <c r="S1375" s="5" t="inlineStr"/>
      <c r="T1375" s="5" t="inlineStr"/>
      <c r="U1375" s="5" t="inlineStr"/>
      <c r="V1375" s="5" t="inlineStr"/>
      <c r="W1375" s="5" t="inlineStr"/>
      <c r="X1375" s="5" t="inlineStr"/>
      <c r="Y1375" s="5" t="inlineStr"/>
      <c r="Z1375" s="6" t="inlineStr"/>
      <c r="AA1375" s="5" t="inlineStr"/>
      <c r="AB1375" s="5" t="inlineStr"/>
      <c r="AC1375" s="5" t="inlineStr"/>
      <c r="AD1375" s="5" t="inlineStr"/>
      <c r="AE1375" s="5" t="inlineStr"/>
      <c r="AF1375" s="5" t="inlineStr"/>
      <c r="AG1375" s="5" t="inlineStr"/>
      <c r="AH1375" s="5" t="inlineStr"/>
    </row>
    <row r="1376">
      <c r="A1376" s="5" t="inlineStr">
        <is>
          <t>b6-koy-ilk-hasat</t>
        </is>
      </c>
      <c r="B1376" s="5" t="n">
        <v>3</v>
      </c>
      <c r="C1376" s="6" t="inlineStr">
        <is>
          <t>Domatesleri internetten sat</t>
        </is>
      </c>
      <c r="D1376" s="5" t="inlineStr">
        <is>
          <t>Kurnazlık</t>
        </is>
      </c>
      <c r="E1376" s="5" t="inlineStr">
        <is>
          <t>Orta</t>
        </is>
      </c>
      <c r="F1376" s="5" t="inlineStr"/>
      <c r="G1376" s="6" t="inlineStr"/>
      <c r="H1376" s="6" t="inlineStr">
        <is>
          <t>Domateslerin fotoğrafını çektin, “Köyden sofraya” yazdın. Şehirden sipariş yağdı. Kargo pahalı ama domatesin fiyatı daha pahalı.</t>
        </is>
      </c>
      <c r="I1376" s="6" t="inlineStr">
        <is>
          <t>Siparişler o kadar arttı ki komşu köylülerin domateslerini de satmaya başladın. Köyde artık sana “Aracı” diyorlar; ama kibarca.</t>
        </is>
      </c>
      <c r="J1376" s="6" t="inlineStr">
        <is>
          <t>Siparişler geldi, kargo gecikti. Domatesler müşterilere salça olarak ulaştı. Yorumlar karışık.</t>
        </is>
      </c>
      <c r="K1376" s="6" t="inlineStr">
        <is>
          <t>Fotoğraftaki domatesler internetten bulduğun bir görselmiş. Gelen yorumlar domates kadar kırmızı.</t>
        </is>
      </c>
      <c r="L1376" s="6" t="inlineStr"/>
      <c r="M1376" s="5" t="inlineStr"/>
      <c r="N1376" s="5" t="inlineStr"/>
      <c r="O1376" s="6" t="inlineStr"/>
      <c r="P1376" s="6" t="inlineStr"/>
      <c r="Q1376" s="5" t="inlineStr"/>
      <c r="R1376" s="5" t="inlineStr"/>
      <c r="S1376" s="5" t="inlineStr"/>
      <c r="T1376" s="5" t="inlineStr"/>
      <c r="U1376" s="5" t="inlineStr"/>
      <c r="V1376" s="5" t="inlineStr"/>
      <c r="W1376" s="5" t="inlineStr"/>
      <c r="X1376" s="5" t="inlineStr"/>
      <c r="Y1376" s="5" t="inlineStr"/>
      <c r="Z1376" s="6" t="inlineStr"/>
      <c r="AA1376" s="5" t="inlineStr"/>
      <c r="AB1376" s="5" t="inlineStr"/>
      <c r="AC1376" s="5" t="inlineStr"/>
      <c r="AD1376" s="5" t="inlineStr"/>
      <c r="AE1376" s="5" t="inlineStr"/>
      <c r="AF1376" s="5" t="inlineStr"/>
      <c r="AG1376" s="5" t="inlineStr"/>
      <c r="AH1376" s="5" t="inlineStr"/>
    </row>
    <row r="1377">
      <c r="A1377" s="5" t="inlineStr">
        <is>
          <t>b6-usta-kendi-tezgahi</t>
        </is>
      </c>
      <c r="B1377" s="5" t="n">
        <v>1</v>
      </c>
      <c r="C1377" s="6" t="inlineStr">
        <is>
          <t>Ustanı ara, sor</t>
        </is>
      </c>
      <c r="D1377" s="5" t="inlineStr"/>
      <c r="E1377" s="5" t="inlineStr"/>
      <c r="F1377" s="5" t="inlineStr">
        <is>
          <t>İtibar +1, Sosyal Radar +1</t>
        </is>
      </c>
      <c r="G1377" s="6" t="inlineStr">
        <is>
          <t>Ustan telefonda sesi dinledi: “Triger.” Haklıydı. Taksici sana teşekkür etti; ustana da bir kutu lokum götürdü. Hesap böyle kapanır.</t>
        </is>
      </c>
      <c r="H1377" s="6" t="inlineStr"/>
      <c r="I1377" s="6" t="inlineStr"/>
      <c r="J1377" s="6" t="inlineStr"/>
      <c r="K1377" s="6" t="inlineStr"/>
      <c r="L1377" s="6" t="inlineStr"/>
      <c r="M1377" s="5" t="inlineStr"/>
      <c r="N1377" s="5" t="inlineStr"/>
      <c r="O1377" s="6" t="inlineStr"/>
      <c r="P1377" s="6" t="inlineStr"/>
      <c r="Q1377" s="5" t="inlineStr"/>
      <c r="R1377" s="5" t="inlineStr"/>
      <c r="S1377" s="5" t="inlineStr"/>
      <c r="T1377" s="5" t="inlineStr"/>
      <c r="U1377" s="5" t="inlineStr"/>
      <c r="V1377" s="5" t="inlineStr"/>
      <c r="W1377" s="5" t="inlineStr"/>
      <c r="X1377" s="5" t="inlineStr"/>
      <c r="Y1377" s="5" t="inlineStr"/>
      <c r="Z1377" s="6" t="inlineStr"/>
      <c r="AA1377" s="5" t="inlineStr"/>
      <c r="AB1377" s="5" t="inlineStr"/>
      <c r="AC1377" s="5" t="inlineStr"/>
      <c r="AD1377" s="5" t="inlineStr"/>
      <c r="AE1377" s="5" t="inlineStr"/>
      <c r="AF1377" s="5" t="inlineStr"/>
      <c r="AG1377" s="5" t="inlineStr"/>
      <c r="AH1377" s="5" t="inlineStr"/>
    </row>
    <row r="1378">
      <c r="A1378" s="5" t="inlineStr">
        <is>
          <t>b6-usta-kendi-tezgahi</t>
        </is>
      </c>
      <c r="B1378" s="5" t="n">
        <v>2</v>
      </c>
      <c r="C1378" s="6" t="inlineStr">
        <is>
          <t>Sesi kendin bul</t>
        </is>
      </c>
      <c r="D1378" s="5" t="inlineStr">
        <is>
          <t>Akıl</t>
        </is>
      </c>
      <c r="E1378" s="5" t="inlineStr">
        <is>
          <t>Orta</t>
        </is>
      </c>
      <c r="F1378" s="5" t="inlineStr"/>
      <c r="G1378" s="6" t="inlineStr"/>
      <c r="H1378" s="6" t="inlineStr">
        <is>
          <t>Kaputu açtın, dinledin, buldun. Taksici arabayı çalıştırdığında ses yoktu. Taksi durağında adın bir hafta içinde yayıldı.</t>
        </is>
      </c>
      <c r="I1378" s="6" t="inlineStr">
        <is>
          <t>Sesi buldun, bir de taksicinin fark etmediği ikinci arızayı. Taksi durağı artık sana geliyor; sanayide kıskananlar da.</t>
        </is>
      </c>
      <c r="J1378" s="6" t="inlineStr">
        <is>
          <t>Üç parça söktün, ses devam etti. Dördüncüyü sökünce ses durdu, araba da durdu.</t>
        </is>
      </c>
      <c r="K1378" s="6" t="inlineStr">
        <is>
          <t>Parçayı yanlış taktın. Ses değişti: “Vıyyy, sonra tık tık tık.” Taksici bunu da kaydetti.</t>
        </is>
      </c>
      <c r="L1378" s="6" t="inlineStr"/>
      <c r="M1378" s="5" t="inlineStr"/>
      <c r="N1378" s="5" t="inlineStr"/>
      <c r="O1378" s="6" t="inlineStr"/>
      <c r="P1378" s="6" t="inlineStr"/>
      <c r="Q1378" s="5" t="inlineStr"/>
      <c r="R1378" s="5" t="inlineStr"/>
      <c r="S1378" s="5" t="inlineStr"/>
      <c r="T1378" s="5" t="inlineStr">
        <is>
          <t>Kilit Kırıcı</t>
        </is>
      </c>
      <c r="U1378" s="5" t="inlineStr"/>
      <c r="V1378" s="5" t="inlineStr"/>
      <c r="W1378" s="5" t="inlineStr"/>
      <c r="X1378" s="5" t="inlineStr"/>
      <c r="Y1378" s="5" t="inlineStr"/>
      <c r="Z1378" s="6" t="inlineStr"/>
      <c r="AA1378" s="5" t="inlineStr"/>
      <c r="AB1378" s="5" t="inlineStr"/>
      <c r="AC1378" s="5" t="inlineStr"/>
      <c r="AD1378" s="5" t="inlineStr"/>
      <c r="AE1378" s="5" t="inlineStr"/>
      <c r="AF1378" s="5" t="inlineStr"/>
      <c r="AG1378" s="5" t="inlineStr"/>
      <c r="AH1378" s="5" t="inlineStr"/>
    </row>
    <row r="1379">
      <c r="A1379" s="5" t="inlineStr">
        <is>
          <t>b6-usta-kendi-tezgahi</t>
        </is>
      </c>
      <c r="B1379" s="5" t="n">
        <v>3</v>
      </c>
      <c r="C1379" s="6" t="inlineStr">
        <is>
          <t>Pazarlıkla işi büyüt</t>
        </is>
      </c>
      <c r="D1379" s="5" t="inlineStr">
        <is>
          <t>Çene</t>
        </is>
      </c>
      <c r="E1379" s="5" t="inlineStr">
        <is>
          <t>Orta</t>
        </is>
      </c>
      <c r="F1379" s="5" t="inlineStr"/>
      <c r="G1379" s="6" t="inlineStr"/>
      <c r="H1379" s="6" t="inlineStr">
        <is>
          <t>Taksiciye bütün durağın bakımını üstlenmeyi önerdin. Kabul etti. İlk ayın garanti.</t>
        </is>
      </c>
      <c r="I1379" s="6" t="inlineStr">
        <is>
          <t>Durak kabul etti, bir de karşı durak. Dükkânın önünde sabah taksi kuyruğu var; sanayinin en kalabalık kapısı senin.</t>
        </is>
      </c>
      <c r="J1379" s="6" t="inlineStr">
        <is>
          <t>Taksici “Önce bunu yap, sonra konuşuruz” dedi. Konuşmak hâlâ sırada.</t>
        </is>
      </c>
      <c r="K1379" s="6" t="inlineStr">
        <is>
          <t>Pazarlıkta fazla indirim yaptın. Bütün durak geldi; zararına çalışıyorsun ama çok çalışıyorsun.</t>
        </is>
      </c>
      <c r="L1379" s="6" t="inlineStr"/>
      <c r="M1379" s="5" t="inlineStr"/>
      <c r="N1379" s="5" t="inlineStr"/>
      <c r="O1379" s="6" t="inlineStr"/>
      <c r="P1379" s="6" t="inlineStr"/>
      <c r="Q1379" s="5" t="inlineStr"/>
      <c r="R1379" s="5" t="inlineStr"/>
      <c r="S1379" s="5" t="inlineStr"/>
      <c r="T1379" s="5" t="inlineStr"/>
      <c r="U1379" s="5" t="inlineStr"/>
      <c r="V1379" s="5" t="inlineStr"/>
      <c r="W1379" s="5" t="inlineStr"/>
      <c r="X1379" s="5" t="inlineStr"/>
      <c r="Y1379" s="5" t="inlineStr"/>
      <c r="Z1379" s="6" t="inlineStr"/>
      <c r="AA1379" s="5" t="inlineStr"/>
      <c r="AB1379" s="5" t="inlineStr"/>
      <c r="AC1379" s="5" t="inlineStr"/>
      <c r="AD1379" s="5" t="inlineStr"/>
      <c r="AE1379" s="5" t="inlineStr"/>
      <c r="AF1379" s="5" t="inlineStr"/>
      <c r="AG1379" s="5" t="inlineStr"/>
      <c r="AH1379" s="5" t="inlineStr"/>
    </row>
    <row r="1380">
      <c r="A1380" s="5" t="inlineStr">
        <is>
          <t>b6-dolandirici-ilk-is</t>
        </is>
      </c>
      <c r="B1380" s="5" t="n">
        <v>1</v>
      </c>
      <c r="C1380" s="6" t="inlineStr">
        <is>
          <t>Telefonu kapat, bu kişiyi arama</t>
        </is>
      </c>
      <c r="D1380" s="5" t="inlineStr"/>
      <c r="E1380" s="5" t="inlineStr"/>
      <c r="F1380" s="5" t="inlineStr">
        <is>
          <t>İtibar +2</t>
        </is>
      </c>
      <c r="G1380" s="6" t="inlineStr">
        <is>
          <t>Telefonu kapattın. Bütün gün posterdeki “Başarı” yazısına baktın. Akşam anneni aradın; sebepsizce. Annen de sebebini sormadı.</t>
        </is>
      </c>
      <c r="H1380" s="6" t="inlineStr"/>
      <c r="I1380" s="6" t="inlineStr"/>
      <c r="J1380" s="6" t="inlineStr"/>
      <c r="K1380" s="6" t="inlineStr"/>
      <c r="L1380" s="6" t="inlineStr"/>
      <c r="M1380" s="5" t="inlineStr"/>
      <c r="N1380" s="5" t="inlineStr"/>
      <c r="O1380" s="6" t="inlineStr"/>
      <c r="P1380" s="6" t="inlineStr"/>
      <c r="Q1380" s="5" t="inlineStr"/>
      <c r="R1380" s="5" t="inlineStr"/>
      <c r="S1380" s="5" t="inlineStr"/>
      <c r="T1380" s="5" t="inlineStr"/>
      <c r="U1380" s="5" t="inlineStr">
        <is>
          <t>vicdan-sesi</t>
        </is>
      </c>
      <c r="V1380" s="5" t="inlineStr"/>
      <c r="W1380" s="5" t="inlineStr"/>
      <c r="X1380" s="5" t="inlineStr"/>
      <c r="Y1380" s="5" t="inlineStr"/>
      <c r="Z1380" s="6" t="inlineStr"/>
      <c r="AA1380" s="5" t="inlineStr"/>
      <c r="AB1380" s="5" t="inlineStr"/>
      <c r="AC1380" s="5" t="inlineStr"/>
      <c r="AD1380" s="5" t="inlineStr"/>
      <c r="AE1380" s="5" t="inlineStr"/>
      <c r="AF1380" s="5" t="inlineStr"/>
      <c r="AG1380" s="5" t="inlineStr"/>
      <c r="AH1380" s="5" t="inlineStr"/>
    </row>
    <row r="1381">
      <c r="A1381" s="5" t="inlineStr">
        <is>
          <t>b6-dolandirici-ilk-is</t>
        </is>
      </c>
      <c r="B1381" s="5" t="n">
        <v>2</v>
      </c>
      <c r="C1381" s="6" t="inlineStr">
        <is>
          <t>Senaryoyu oku, kapat</t>
        </is>
      </c>
      <c r="D1381" s="5" t="inlineStr">
        <is>
          <t>Pişkinlik</t>
        </is>
      </c>
      <c r="E1381" s="5" t="inlineStr">
        <is>
          <t>Zor</t>
        </is>
      </c>
      <c r="F1381" s="5" t="inlineStr"/>
      <c r="G1381" s="6" t="inlineStr"/>
      <c r="H1381" s="6" t="inlineStr">
        <is>
          <t>Senaryoyu okudun, öğretmen “Düşüneyim” dedi, sonra aradı: “Tamam.” Ayın en büyük satışı senin. Posterin altında fotoğrafın asılı.</t>
        </is>
      </c>
      <c r="I1381" s="6" t="inlineStr">
        <is>
          <t>Öğretmen iki arkadaşını da önerdi. Ayın rekoru kırıldı. Kutlamada herkes sana kadeh kaldırdı; kimse öğretmenin adını söylemedi.</t>
        </is>
      </c>
      <c r="J1381" s="6" t="inlineStr">
        <is>
          <t>Öğretmen senaryonun ortasında durdu: “Evladım, sen bu işi sevmiyorsun.” Kapattı. Haklıydı.</t>
        </is>
      </c>
      <c r="K1381" s="6" t="inlineStr">
        <is>
          <t>Öğretmen konuşmayı kaydetmiş ve yerel bir tüketici grubuna göndermiş. Sesin bir haber sitesinde. Adın yok; sesin var.</t>
        </is>
      </c>
      <c r="L1381" s="6" t="inlineStr"/>
      <c r="M1381" s="5" t="inlineStr"/>
      <c r="N1381" s="5" t="inlineStr"/>
      <c r="O1381" s="6" t="inlineStr"/>
      <c r="P1381" s="6" t="inlineStr"/>
      <c r="Q1381" s="5" t="inlineStr"/>
      <c r="R1381" s="5" t="inlineStr"/>
      <c r="S1381" s="5" t="inlineStr"/>
      <c r="T1381" s="5" t="inlineStr"/>
      <c r="U1381" s="5" t="inlineStr"/>
      <c r="V1381" s="5" t="inlineStr"/>
      <c r="W1381" s="5" t="inlineStr">
        <is>
          <t>ifsa-oldu</t>
        </is>
      </c>
      <c r="X1381" s="5" t="inlineStr"/>
      <c r="Y1381" s="5" t="inlineStr"/>
      <c r="Z1381" s="6" t="inlineStr"/>
      <c r="AA1381" s="5" t="inlineStr"/>
      <c r="AB1381" s="5" t="inlineStr"/>
      <c r="AC1381" s="5" t="inlineStr"/>
      <c r="AD1381" s="5" t="inlineStr"/>
      <c r="AE1381" s="5" t="inlineStr"/>
      <c r="AF1381" s="5" t="inlineStr"/>
      <c r="AG1381" s="5" t="inlineStr"/>
      <c r="AH1381" s="5" t="inlineStr"/>
    </row>
    <row r="1382">
      <c r="A1382" s="5" t="inlineStr">
        <is>
          <t>b6-dolandirici-ilk-is</t>
        </is>
      </c>
      <c r="B1382" s="5" t="n">
        <v>3</v>
      </c>
      <c r="C1382" s="6" t="inlineStr">
        <is>
          <t>Ona gerçek bir tavsiye ver</t>
        </is>
      </c>
      <c r="D1382" s="5" t="inlineStr">
        <is>
          <t>Akıl</t>
        </is>
      </c>
      <c r="E1382" s="5" t="inlineStr">
        <is>
          <t>Orta</t>
        </is>
      </c>
      <c r="F1382" s="5" t="inlineStr"/>
      <c r="G1382" s="6" t="inlineStr"/>
      <c r="H1382" s="6" t="inlineStr">
        <is>
          <t>Öğretmene birikimini devlet tahviline koymasını söyledin. Teşekkür etti. Patron kaydı dinledi ve seni “eğitim”e aldı.</t>
        </is>
      </c>
      <c r="I1382" s="6" t="inlineStr">
        <is>
          <t>Öğretmen sana o kadar güvendi ki bütün öğretmenler odasını yönlendirdi. Artık gerçek bir danışman olmak için sınava hazırlanıyorsun.</t>
        </is>
      </c>
      <c r="J1382" s="6" t="inlineStr">
        <is>
          <t>Tavsiyeni verdin, öğretmen anlamadı. Patron anladı. Bir hafta ücretsiz izne çıkarıldın.</t>
        </is>
      </c>
      <c r="K1382" s="6" t="inlineStr">
        <is>
          <t>Gerçek tavsiyeyi kayıtlı hattan verdin. Patron seni kovdu, öğretmen seni aradı: “İyi misin evladım?”</t>
        </is>
      </c>
      <c r="L1382" s="6" t="inlineStr"/>
      <c r="M1382" s="5" t="inlineStr"/>
      <c r="N1382" s="5" t="inlineStr"/>
      <c r="O1382" s="6" t="inlineStr"/>
      <c r="P1382" s="6" t="inlineStr"/>
      <c r="Q1382" s="5" t="inlineStr"/>
      <c r="R1382" s="5" t="inlineStr"/>
      <c r="S1382" s="5" t="inlineStr"/>
      <c r="T1382" s="5" t="inlineStr"/>
      <c r="U1382" s="5" t="inlineStr"/>
      <c r="V1382" s="5" t="inlineStr">
        <is>
          <t>vicdan-sesi</t>
        </is>
      </c>
      <c r="W1382" s="5" t="inlineStr"/>
      <c r="X1382" s="5" t="inlineStr"/>
      <c r="Y1382" s="5" t="inlineStr"/>
      <c r="Z1382" s="6" t="inlineStr"/>
      <c r="AA1382" s="5" t="inlineStr"/>
      <c r="AB1382" s="5" t="inlineStr"/>
      <c r="AC1382" s="5" t="inlineStr"/>
      <c r="AD1382" s="5" t="inlineStr"/>
      <c r="AE1382" s="5" t="inlineStr"/>
      <c r="AF1382" s="5" t="inlineStr"/>
      <c r="AG1382" s="5" t="inlineStr"/>
      <c r="AH1382" s="5" t="inlineStr"/>
    </row>
    <row r="1383">
      <c r="A1383" s="5" t="inlineStr">
        <is>
          <t>b6-girisim-sunumu</t>
        </is>
      </c>
      <c r="B1383" s="5" t="n">
        <v>1</v>
      </c>
      <c r="C1383" s="6" t="inlineStr">
        <is>
          <t>Dürüst ol: “Henüz müşterimiz yok”</t>
        </is>
      </c>
      <c r="D1383" s="5" t="inlineStr"/>
      <c r="E1383" s="5" t="inlineStr"/>
      <c r="F1383" s="5" t="inlineStr">
        <is>
          <t>İtibar +1, Cesaret +1</t>
        </is>
      </c>
      <c r="G1383" s="6" t="inlineStr">
        <is>
          <t>Dürüstlüğün salonu şaşırttı. Yatırımcılardan biri telefonu bıraktı: “İlk kez biri bunu söyledi.” Para vermedi ama akıl verdi; ücretsiz ve bol.</t>
        </is>
      </c>
      <c r="H1383" s="6" t="inlineStr"/>
      <c r="I1383" s="6" t="inlineStr"/>
      <c r="J1383" s="6" t="inlineStr"/>
      <c r="K1383" s="6" t="inlineStr"/>
      <c r="L1383" s="6" t="inlineStr"/>
      <c r="M1383" s="5" t="inlineStr"/>
      <c r="N1383" s="5" t="inlineStr"/>
      <c r="O1383" s="6" t="inlineStr"/>
      <c r="P1383" s="6" t="inlineStr"/>
      <c r="Q1383" s="5" t="inlineStr"/>
      <c r="R1383" s="5" t="inlineStr"/>
      <c r="S1383" s="5" t="inlineStr"/>
      <c r="T1383" s="5" t="inlineStr"/>
      <c r="U1383" s="5" t="inlineStr"/>
      <c r="V1383" s="5" t="inlineStr"/>
      <c r="W1383" s="5" t="inlineStr"/>
      <c r="X1383" s="5" t="inlineStr"/>
      <c r="Y1383" s="5" t="inlineStr"/>
      <c r="Z1383" s="6" t="inlineStr"/>
      <c r="AA1383" s="5" t="inlineStr"/>
      <c r="AB1383" s="5" t="inlineStr"/>
      <c r="AC1383" s="5" t="inlineStr"/>
      <c r="AD1383" s="5" t="inlineStr"/>
      <c r="AE1383" s="5" t="inlineStr"/>
      <c r="AF1383" s="5" t="inlineStr"/>
      <c r="AG1383" s="5" t="inlineStr"/>
      <c r="AH1383" s="5" t="inlineStr"/>
    </row>
    <row r="1384">
      <c r="A1384" s="5" t="inlineStr">
        <is>
          <t>b6-girisim-sunumu</t>
        </is>
      </c>
      <c r="B1384" s="5" t="n">
        <v>2</v>
      </c>
      <c r="C1384" s="6" t="inlineStr">
        <is>
          <t>Rakamları “iyimser” göster</t>
        </is>
      </c>
      <c r="D1384" s="5" t="inlineStr">
        <is>
          <t>Pişkinlik</t>
        </is>
      </c>
      <c r="E1384" s="5" t="inlineStr">
        <is>
          <t>Zor</t>
        </is>
      </c>
      <c r="F1384" s="5" t="inlineStr"/>
      <c r="G1384" s="6" t="inlineStr"/>
      <c r="H1384" s="6" t="inlineStr">
        <is>
          <t>Grafik yukarı gidiyordu; biraz fazla yukarı. Yatırımcılar ikna oldu. Şimdi o grafiği gerçekleştirmen gerekiyor.</t>
        </is>
      </c>
      <c r="I1384" s="6" t="inlineStr">
        <is>
          <t>Bir yatırımcı hemen imza attı, diğer ikisi de kaçırmamak için. Şirketin değeri bir sabahta ikiye katlandı; sen hâlâ aynı sandalyedesin.</t>
        </is>
      </c>
      <c r="J1384" s="6" t="inlineStr">
        <is>
          <t>Yatırımcılardan biri grafiğin eksenini sordu. Eksen yoktu. Toplantı kısa sürdü.</t>
        </is>
      </c>
      <c r="K1384" s="6" t="inlineStr">
        <is>
          <t>Yatırımcılardan biri geçen ay aynı grafiği başka bir girişimden görmüştü. Aynı şablondu. Salonda bir sessizlik oldu; senin sessizliğin.</t>
        </is>
      </c>
      <c r="L1384" s="6" t="inlineStr"/>
      <c r="M1384" s="5" t="inlineStr"/>
      <c r="N1384" s="5" t="inlineStr"/>
      <c r="O1384" s="6" t="inlineStr"/>
      <c r="P1384" s="6" t="inlineStr"/>
      <c r="Q1384" s="5" t="inlineStr"/>
      <c r="R1384" s="5" t="inlineStr"/>
      <c r="S1384" s="5" t="inlineStr"/>
      <c r="T1384" s="5" t="inlineStr"/>
      <c r="U1384" s="5" t="inlineStr"/>
      <c r="V1384" s="5" t="inlineStr">
        <is>
          <t>borclu</t>
        </is>
      </c>
      <c r="W1384" s="5" t="inlineStr"/>
      <c r="X1384" s="5" t="inlineStr"/>
      <c r="Y1384" s="5" t="inlineStr"/>
      <c r="Z1384" s="6" t="inlineStr"/>
      <c r="AA1384" s="5" t="inlineStr"/>
      <c r="AB1384" s="5" t="inlineStr"/>
      <c r="AC1384" s="5" t="inlineStr"/>
      <c r="AD1384" s="5" t="inlineStr"/>
      <c r="AE1384" s="5" t="inlineStr"/>
      <c r="AF1384" s="5" t="inlineStr"/>
      <c r="AG1384" s="5" t="inlineStr"/>
      <c r="AH1384" s="5" t="inlineStr"/>
    </row>
    <row r="1385">
      <c r="A1385" s="5" t="inlineStr">
        <is>
          <t>b6-girisim-sunumu</t>
        </is>
      </c>
      <c r="B1385" s="5" t="n">
        <v>3</v>
      </c>
      <c r="C1385" s="6" t="inlineStr">
        <is>
          <t>Ürünü canlı göster</t>
        </is>
      </c>
      <c r="D1385" s="5" t="inlineStr">
        <is>
          <t>Akıl</t>
        </is>
      </c>
      <c r="E1385" s="5" t="inlineStr">
        <is>
          <t>Orta</t>
        </is>
      </c>
      <c r="F1385" s="5" t="inlineStr"/>
      <c r="G1385" s="6" t="inlineStr"/>
      <c r="H1385" s="6" t="inlineStr">
        <is>
          <t>Ürün çalıştı. Yatırımcılar ilk kez başlarını kaldırdı. Birisi “Tekrar göster” dedi; bir daha çalıştı.</t>
        </is>
      </c>
      <c r="I1385" s="6" t="inlineStr">
        <is>
          <t>Canlı gösterimde yatırımcılardan biri ürünü kendi telefonunda denedi ve sunumun ortasında kullanmaya başladı. Anlaşma o akşam yapıldı.</t>
        </is>
      </c>
      <c r="J1385" s="6" t="inlineStr">
        <is>
          <t>Ürün yavaş açıldı. Açılırken bir fıkra anlattın. Fıkra ürünü kurtarmadı.</t>
        </is>
      </c>
      <c r="K1385" s="6" t="inlineStr">
        <is>
          <t>Ürün canlı gösterimde çöktü; ekranda test amaçlı yazdığın bir şaka mesaj belirdi. Yatırımcılar okudu; hepsi.</t>
        </is>
      </c>
      <c r="L1385" s="6" t="inlineStr"/>
      <c r="M1385" s="5" t="inlineStr"/>
      <c r="N1385" s="5" t="inlineStr"/>
      <c r="O1385" s="6" t="inlineStr"/>
      <c r="P1385" s="6" t="inlineStr"/>
      <c r="Q1385" s="5" t="inlineStr"/>
      <c r="R1385" s="5" t="inlineStr"/>
      <c r="S1385" s="5" t="inlineStr"/>
      <c r="T1385" s="5" t="inlineStr"/>
      <c r="U1385" s="5" t="inlineStr"/>
      <c r="V1385" s="5" t="inlineStr"/>
      <c r="W1385" s="5" t="inlineStr"/>
      <c r="X1385" s="5" t="inlineStr"/>
      <c r="Y1385" s="5" t="inlineStr"/>
      <c r="Z1385" s="6" t="inlineStr"/>
      <c r="AA1385" s="5" t="inlineStr"/>
      <c r="AB1385" s="5" t="inlineStr"/>
      <c r="AC1385" s="5" t="inlineStr"/>
      <c r="AD1385" s="5" t="inlineStr"/>
      <c r="AE1385" s="5" t="inlineStr"/>
      <c r="AF1385" s="5" t="inlineStr"/>
      <c r="AG1385" s="5" t="inlineStr"/>
      <c r="AH1385" s="5" t="inlineStr"/>
    </row>
    <row r="1386">
      <c r="A1386" s="5" t="inlineStr">
        <is>
          <t>b6-goc-ilk-kira</t>
        </is>
      </c>
      <c r="B1386" s="5" t="n">
        <v>1</v>
      </c>
      <c r="C1386" s="6" t="inlineStr">
        <is>
          <t>Hepsini oku, imzala</t>
        </is>
      </c>
      <c r="D1386" s="5" t="inlineStr"/>
      <c r="E1386" s="5" t="inlineStr"/>
      <c r="F1386" s="5" t="inlineStr">
        <is>
          <t>Akıl +1, Dayanıklılık +1</t>
        </is>
      </c>
      <c r="G1386" s="6" t="inlineStr">
        <is>
          <t>Otuz dört sayfayı okudun. Çöpü dört renge ayırıyorsun; komşuların beş. Balkon var ama mangal yok; annen bunu hâlâ kabullenmedi.</t>
        </is>
      </c>
      <c r="H1386" s="6" t="inlineStr"/>
      <c r="I1386" s="6" t="inlineStr"/>
      <c r="J1386" s="6" t="inlineStr"/>
      <c r="K1386" s="6" t="inlineStr"/>
      <c r="L1386" s="6" t="inlineStr"/>
      <c r="M1386" s="5" t="inlineStr"/>
      <c r="N1386" s="5" t="inlineStr"/>
      <c r="O1386" s="6" t="inlineStr"/>
      <c r="P1386" s="6" t="inlineStr"/>
      <c r="Q1386" s="5" t="inlineStr"/>
      <c r="R1386" s="5" t="inlineStr"/>
      <c r="S1386" s="5" t="inlineStr"/>
      <c r="T1386" s="5" t="inlineStr"/>
      <c r="U1386" s="5" t="inlineStr"/>
      <c r="V1386" s="5" t="inlineStr"/>
      <c r="W1386" s="5" t="inlineStr"/>
      <c r="X1386" s="5" t="inlineStr"/>
      <c r="Y1386" s="5" t="inlineStr"/>
      <c r="Z1386" s="6" t="inlineStr"/>
      <c r="AA1386" s="5" t="inlineStr"/>
      <c r="AB1386" s="5" t="inlineStr"/>
      <c r="AC1386" s="5" t="inlineStr"/>
      <c r="AD1386" s="5" t="inlineStr"/>
      <c r="AE1386" s="5" t="inlineStr"/>
      <c r="AF1386" s="5" t="inlineStr"/>
      <c r="AG1386" s="5" t="inlineStr"/>
      <c r="AH1386" s="5" t="inlineStr"/>
    </row>
    <row r="1387">
      <c r="A1387" s="5" t="inlineStr">
        <is>
          <t>b6-goc-ilk-kira</t>
        </is>
      </c>
      <c r="B1387" s="5" t="n">
        <v>2</v>
      </c>
      <c r="C1387" s="6" t="inlineStr">
        <is>
          <t>Memleketten gelenlerle ev tut</t>
        </is>
      </c>
      <c r="D1387" s="5" t="inlineStr">
        <is>
          <t>Sosyal Radar</t>
        </is>
      </c>
      <c r="E1387" s="5" t="inlineStr">
        <is>
          <t>Orta</t>
        </is>
      </c>
      <c r="F1387" s="5" t="inlineStr"/>
      <c r="G1387" s="6" t="inlineStr"/>
      <c r="H1387" s="6" t="inlineStr">
        <is>
          <t>Üç Makaryalı, bir apartman dairesi. Evde çay hiç bitmiyor, bayramlar kalabalık. Öte Diyar'ın ortasında küçük bir mahalle kurdunuz.</t>
        </is>
      </c>
      <c r="I1387" s="6" t="inlineStr">
        <is>
          <t>Ev o kadar sevildi ki mahalledeki bütün Makaryalılar pazar kahvaltısına geliyor. Bir derneğin başkanı gibisin; ama ücretsiz.</t>
        </is>
      </c>
      <c r="J1387" s="6" t="inlineStr">
        <is>
          <t>Ev tuttunuz; ev arkadaşlarından biri her gece memleketi aradı, hoparlörden. Uyku artık bir lüks.</t>
        </is>
      </c>
      <c r="K1387" s="6" t="inlineStr">
        <is>
          <t>Ev arkadaşları balkonda mangal yaktı. Sözleşmenin yirminci sayfası devreye girdi. Hepiniz yeni ev arıyorsunuz.</t>
        </is>
      </c>
      <c r="L1387" s="6" t="inlineStr"/>
      <c r="M1387" s="5" t="inlineStr"/>
      <c r="N1387" s="5" t="inlineStr"/>
      <c r="O1387" s="6" t="inlineStr"/>
      <c r="P1387" s="6" t="inlineStr"/>
      <c r="Q1387" s="5" t="inlineStr"/>
      <c r="R1387" s="5" t="inlineStr"/>
      <c r="S1387" s="5" t="inlineStr"/>
      <c r="T1387" s="5" t="inlineStr"/>
      <c r="U1387" s="5" t="inlineStr"/>
      <c r="V1387" s="5" t="inlineStr"/>
      <c r="W1387" s="5" t="inlineStr"/>
      <c r="X1387" s="5" t="inlineStr"/>
      <c r="Y1387" s="5" t="inlineStr"/>
      <c r="Z1387" s="6" t="inlineStr"/>
      <c r="AA1387" s="5" t="inlineStr"/>
      <c r="AB1387" s="5" t="inlineStr"/>
      <c r="AC1387" s="5" t="inlineStr"/>
      <c r="AD1387" s="5" t="inlineStr"/>
      <c r="AE1387" s="5" t="inlineStr"/>
      <c r="AF1387" s="5" t="inlineStr"/>
      <c r="AG1387" s="5" t="inlineStr"/>
      <c r="AH1387" s="5" t="inlineStr"/>
    </row>
    <row r="1388">
      <c r="A1388" s="5" t="inlineStr">
        <is>
          <t>b6-goc-ilk-kira</t>
        </is>
      </c>
      <c r="B1388" s="5" t="n">
        <v>3</v>
      </c>
      <c r="C1388" s="6" t="inlineStr">
        <is>
          <t>Yerel mahallede tek başına yaşa</t>
        </is>
      </c>
      <c r="D1388" s="5" t="inlineStr">
        <is>
          <t>Cesaret</t>
        </is>
      </c>
      <c r="E1388" s="5" t="inlineStr">
        <is>
          <t>Zor</t>
        </is>
      </c>
      <c r="F1388" s="5" t="inlineStr"/>
      <c r="G1388" s="6" t="inlineStr"/>
      <c r="H1388" s="6" t="inlineStr">
        <is>
          <t>Tek Makaryalı sensin; komşular önce çekindi, sonra kapını çaldı. Şimdi apartmanın yaz şenliğinde senin baklavan var.</t>
        </is>
      </c>
      <c r="I1388" s="6" t="inlineStr">
        <is>
          <t>Komşuların seni öyle benimsedi ki apartman yönetimine seçildin. Aidat tahsil ediyorsun; bir dilde, iki aksanla.</t>
        </is>
      </c>
      <c r="J1388" s="6" t="inlineStr">
        <is>
          <t>Tek başına yaşamak ilk kış zor geldi. Komşular kibar ama uzak; kibarlık gibi uzak.</t>
        </is>
      </c>
      <c r="K1388" s="6" t="inlineStr">
        <is>
          <t>Komşunun çöpünü yanlış renge attın. Apartman toplantısında gündemin ilk maddesi sendin.</t>
        </is>
      </c>
      <c r="L1388" s="6" t="inlineStr"/>
      <c r="M1388" s="5" t="inlineStr"/>
      <c r="N1388" s="5" t="inlineStr"/>
      <c r="O1388" s="6" t="inlineStr"/>
      <c r="P1388" s="6" t="inlineStr"/>
      <c r="Q1388" s="5" t="inlineStr"/>
      <c r="R1388" s="5" t="inlineStr"/>
      <c r="S1388" s="5" t="inlineStr"/>
      <c r="T1388" s="5" t="inlineStr">
        <is>
          <t>İki Dilli Rüya</t>
        </is>
      </c>
      <c r="U1388" s="5" t="inlineStr"/>
      <c r="V1388" s="5" t="inlineStr"/>
      <c r="W1388" s="5" t="inlineStr"/>
      <c r="X1388" s="5" t="inlineStr"/>
      <c r="Y1388" s="5" t="inlineStr"/>
      <c r="Z1388" s="6" t="inlineStr"/>
      <c r="AA1388" s="5" t="inlineStr"/>
      <c r="AB1388" s="5" t="inlineStr"/>
      <c r="AC1388" s="5" t="inlineStr"/>
      <c r="AD1388" s="5" t="inlineStr"/>
      <c r="AE1388" s="5" t="inlineStr"/>
      <c r="AF1388" s="5" t="inlineStr"/>
      <c r="AG1388" s="5" t="inlineStr"/>
      <c r="AH1388" s="5" t="inlineStr"/>
    </row>
    <row r="1389">
      <c r="A1389" s="5" t="inlineStr">
        <is>
          <t>b7-polis-asayis</t>
        </is>
      </c>
      <c r="B1389" s="5" t="n">
        <v>1</v>
      </c>
      <c r="C1389" s="6" t="inlineStr">
        <is>
          <t>Kayıtları baştan tara</t>
        </is>
      </c>
      <c r="D1389" s="5" t="inlineStr"/>
      <c r="E1389" s="5" t="inlineStr"/>
      <c r="F1389" s="5" t="inlineStr">
        <is>
          <t>Akıl +1, Dayanıklılık +1</t>
        </is>
      </c>
      <c r="G1389" s="6" t="inlineStr">
        <is>
          <t>Üç gece kayıt taradın. Bisikletlerin hepsi aynı saatte kaybolmuş: pazar kurulurken. Dosyayı amire verdin; amir “Pazarı mı gözaltına alalım?” dedi.</t>
        </is>
      </c>
      <c r="H1389" s="6" t="inlineStr"/>
      <c r="I1389" s="6" t="inlineStr"/>
      <c r="J1389" s="6" t="inlineStr"/>
      <c r="K1389" s="6" t="inlineStr"/>
      <c r="L1389" s="6" t="inlineStr"/>
      <c r="M1389" s="5" t="inlineStr"/>
      <c r="N1389" s="5" t="inlineStr"/>
      <c r="O1389" s="6" t="inlineStr"/>
      <c r="P1389" s="6" t="inlineStr"/>
      <c r="Q1389" s="5" t="inlineStr"/>
      <c r="R1389" s="5" t="inlineStr"/>
      <c r="S1389" s="5" t="inlineStr"/>
      <c r="T1389" s="5" t="inlineStr"/>
      <c r="U1389" s="5" t="inlineStr"/>
      <c r="V1389" s="5" t="inlineStr"/>
      <c r="W1389" s="5" t="inlineStr"/>
      <c r="X1389" s="5" t="inlineStr"/>
      <c r="Y1389" s="5" t="inlineStr"/>
      <c r="Z1389" s="6" t="inlineStr"/>
      <c r="AA1389" s="5" t="inlineStr"/>
      <c r="AB1389" s="5" t="inlineStr"/>
      <c r="AC1389" s="5" t="inlineStr"/>
      <c r="AD1389" s="5" t="inlineStr"/>
      <c r="AE1389" s="5" t="inlineStr"/>
      <c r="AF1389" s="5" t="inlineStr"/>
      <c r="AG1389" s="5" t="inlineStr"/>
      <c r="AH1389" s="5" t="inlineStr"/>
    </row>
    <row r="1390">
      <c r="A1390" s="5" t="inlineStr">
        <is>
          <t>b7-polis-asayis</t>
        </is>
      </c>
      <c r="B1390" s="5" t="n">
        <v>2</v>
      </c>
      <c r="C1390" s="6" t="inlineStr">
        <is>
          <t>Simitçiyle dost ol</t>
        </is>
      </c>
      <c r="D1390" s="5" t="inlineStr">
        <is>
          <t>Sosyal Radar</t>
        </is>
      </c>
      <c r="E1390" s="5" t="inlineStr">
        <is>
          <t>Orta</t>
        </is>
      </c>
      <c r="F1390" s="5" t="inlineStr"/>
      <c r="G1390" s="6" t="inlineStr"/>
      <c r="H1390" s="6" t="inlineStr">
        <is>
          <t>Bir hafta her sabah simit aldın. Sekizinci gün simitçi fısıldadı: “Kırmızı kamyonet.” Bisikletler bir depoda bulundu; simitçi de artık senin adamın.</t>
        </is>
      </c>
      <c r="I1390" s="6" t="inlineStr">
        <is>
          <t>Simitçi kamyoneti de verdi, şoförün yeğeninin düğün tarihini de. Hepsini düğünde topladınız; pasta kesilmeden.</t>
        </is>
      </c>
      <c r="J1390" s="6" t="inlineStr">
        <is>
          <t>Bir hafta simit aldın, simitçi tek kelime etmedi. Dosya kapanmadı; sen iki kilo aldın.</t>
        </is>
      </c>
      <c r="K1390" s="6" t="inlineStr">
        <is>
          <t>Simitçiye fazla soru sordun; o da seni mahallede muhbir diye tanıttı. Artık simitçi senden kaçıyor, bisikletler de.</t>
        </is>
      </c>
      <c r="L1390" s="6" t="inlineStr"/>
      <c r="M1390" s="5" t="inlineStr"/>
      <c r="N1390" s="5" t="inlineStr"/>
      <c r="O1390" s="6" t="inlineStr"/>
      <c r="P1390" s="6" t="inlineStr"/>
      <c r="Q1390" s="5" t="inlineStr"/>
      <c r="R1390" s="5" t="inlineStr"/>
      <c r="S1390" s="5" t="inlineStr"/>
      <c r="T1390" s="5" t="inlineStr"/>
      <c r="U1390" s="5" t="inlineStr"/>
      <c r="V1390" s="5" t="inlineStr">
        <is>
          <t>polis-muhbir</t>
        </is>
      </c>
      <c r="W1390" s="5" t="inlineStr"/>
      <c r="X1390" s="5" t="inlineStr"/>
      <c r="Y1390" s="5" t="inlineStr"/>
      <c r="Z1390" s="6" t="inlineStr"/>
      <c r="AA1390" s="5" t="inlineStr"/>
      <c r="AB1390" s="5" t="inlineStr"/>
      <c r="AC1390" s="5" t="inlineStr"/>
      <c r="AD1390" s="5" t="inlineStr"/>
      <c r="AE1390" s="5" t="inlineStr"/>
      <c r="AF1390" s="5" t="inlineStr"/>
      <c r="AG1390" s="5" t="inlineStr"/>
      <c r="AH1390" s="5" t="inlineStr"/>
    </row>
    <row r="1391">
      <c r="A1391" s="5" t="inlineStr">
        <is>
          <t>b7-polis-asayis</t>
        </is>
      </c>
      <c r="B1391" s="5" t="n">
        <v>3</v>
      </c>
      <c r="C1391" s="6" t="inlineStr">
        <is>
          <t>Pazar sabahı pusu kur</t>
        </is>
      </c>
      <c r="D1391" s="5" t="inlineStr">
        <is>
          <t>Cesaret</t>
        </is>
      </c>
      <c r="E1391" s="5" t="inlineStr">
        <is>
          <t>Zor</t>
        </is>
      </c>
      <c r="F1391" s="5" t="inlineStr"/>
      <c r="G1391" s="6" t="inlineStr"/>
      <c r="H1391" s="6" t="inlineStr">
        <is>
          <t>Pazar sabahı bir tentenin arkasında dört saat bekledin. Kamyonet geldi, sen çıktın, şoför teslim oldu. Elinde hâlâ bir demet maydanoz vardı.</t>
        </is>
      </c>
      <c r="I1391" s="6" t="inlineStr">
        <is>
          <t>Pusu öyle kusursuzdu ki şoför seni pazarcı sanıp kamyoneti sana emanet etti. Dosya ve kamyonet aynı gün teslim.</t>
        </is>
      </c>
      <c r="J1391" s="6" t="inlineStr">
        <is>
          <t>Dört saat bekledin; kamyonet o hafta gelmedi. Tente sahibi sana iki kasa limon sattı; nasıl olduğunu anlamadın.</t>
        </is>
      </c>
      <c r="K1391" s="6" t="inlineStr">
        <is>
          <t>Yanlış tentenin arkasına saklandın; tente çöktü. Kamyonet önünden geçti, şoför el salladı.</t>
        </is>
      </c>
      <c r="L1391" s="6" t="inlineStr"/>
      <c r="M1391" s="5" t="inlineStr"/>
      <c r="N1391" s="5" t="inlineStr"/>
      <c r="O1391" s="6" t="inlineStr"/>
      <c r="P1391" s="6" t="inlineStr"/>
      <c r="Q1391" s="5" t="inlineStr"/>
      <c r="R1391" s="5" t="inlineStr"/>
      <c r="S1391" s="5" t="inlineStr"/>
      <c r="T1391" s="5" t="inlineStr">
        <is>
          <t>Nöbet Disiplini</t>
        </is>
      </c>
      <c r="U1391" s="5" t="inlineStr"/>
      <c r="V1391" s="5" t="inlineStr"/>
      <c r="W1391" s="5" t="inlineStr"/>
      <c r="X1391" s="5" t="inlineStr"/>
      <c r="Y1391" s="5" t="inlineStr"/>
      <c r="Z1391" s="6" t="inlineStr"/>
      <c r="AA1391" s="5" t="inlineStr"/>
      <c r="AB1391" s="5" t="inlineStr"/>
      <c r="AC1391" s="5" t="inlineStr"/>
      <c r="AD1391" s="5" t="inlineStr"/>
      <c r="AE1391" s="5" t="inlineStr"/>
      <c r="AF1391" s="5" t="inlineStr"/>
      <c r="AG1391" s="5" t="inlineStr"/>
      <c r="AH1391" s="5" t="inlineStr"/>
    </row>
    <row r="1392">
      <c r="A1392" s="5" t="inlineStr">
        <is>
          <t>b7-polis-komiserlik</t>
        </is>
      </c>
      <c r="B1392" s="5" t="n">
        <v>1</v>
      </c>
      <c r="C1392" s="6" t="inlineStr">
        <is>
          <t>Üçünün de ifadesini al</t>
        </is>
      </c>
      <c r="D1392" s="5" t="inlineStr"/>
      <c r="E1392" s="5" t="inlineStr"/>
      <c r="F1392" s="5" t="inlineStr">
        <is>
          <t>Sosyal Radar +1, Dayanıklılık +1</t>
        </is>
      </c>
      <c r="G1392" s="6" t="inlineStr">
        <is>
          <t>Dokuz saat ifade aldın. Üçü birbirini gösterdi, sonra hep birlikte seni. Dosyayı “faili meçhul pasta” diye kapattın; tutanakta krema lekesi var.</t>
        </is>
      </c>
      <c r="H1392" s="6" t="inlineStr"/>
      <c r="I1392" s="6" t="inlineStr"/>
      <c r="J1392" s="6" t="inlineStr"/>
      <c r="K1392" s="6" t="inlineStr"/>
      <c r="L1392" s="6" t="inlineStr"/>
      <c r="M1392" s="5" t="inlineStr"/>
      <c r="N1392" s="5" t="inlineStr"/>
      <c r="O1392" s="6" t="inlineStr"/>
      <c r="P1392" s="6" t="inlineStr"/>
      <c r="Q1392" s="5" t="inlineStr"/>
      <c r="R1392" s="5" t="inlineStr"/>
      <c r="S1392" s="5" t="inlineStr"/>
      <c r="T1392" s="5" t="inlineStr"/>
      <c r="U1392" s="5" t="inlineStr"/>
      <c r="V1392" s="5" t="inlineStr"/>
      <c r="W1392" s="5" t="inlineStr"/>
      <c r="X1392" s="5" t="inlineStr"/>
      <c r="Y1392" s="5" t="inlineStr"/>
      <c r="Z1392" s="6" t="inlineStr"/>
      <c r="AA1392" s="5" t="inlineStr"/>
      <c r="AB1392" s="5" t="inlineStr"/>
      <c r="AC1392" s="5" t="inlineStr"/>
      <c r="AD1392" s="5" t="inlineStr"/>
      <c r="AE1392" s="5" t="inlineStr"/>
      <c r="AF1392" s="5" t="inlineStr"/>
      <c r="AG1392" s="5" t="inlineStr"/>
      <c r="AH1392" s="5" t="inlineStr"/>
    </row>
    <row r="1393">
      <c r="A1393" s="5" t="inlineStr">
        <is>
          <t>b7-polis-komiserlik</t>
        </is>
      </c>
      <c r="B1393" s="5" t="n">
        <v>2</v>
      </c>
      <c r="C1393" s="6" t="inlineStr">
        <is>
          <t>Pastacının dükkânını ara</t>
        </is>
      </c>
      <c r="D1393" s="5" t="inlineStr">
        <is>
          <t>Cesaret</t>
        </is>
      </c>
      <c r="E1393" s="5" t="inlineStr">
        <is>
          <t>Orta</t>
        </is>
      </c>
      <c r="F1393" s="5" t="inlineStr"/>
      <c r="G1393" s="6" t="inlineStr"/>
      <c r="H1393" s="6" t="inlineStr">
        <is>
          <t>Dükkânın arkasında pastayı buldun, üstünde isimler duruyordu. Pastacı itiraf etti: ödeme yapılmamış. Dosya bir fatura davasına dönüştü.</t>
        </is>
      </c>
      <c r="I1393" s="6" t="inlineStr">
        <is>
          <t>Pastayı da faturayı da buldun, iki anneyi pastacıyla barıştırdın. Düğün bir hafta sonra yeniden yapıldı; masan pastanın hemen yanında.</t>
        </is>
      </c>
      <c r="J1393" s="6" t="inlineStr">
        <is>
          <t>Dükkânda yalnızca un buldun. Pastacı seni kapıya kadar geçirip bir kurabiye verdi. Delil değil, ikram.</t>
        </is>
      </c>
      <c r="K1393" s="6" t="inlineStr">
        <is>
          <t>Aramada yanlış kapıyı açıp soğuk hava deposunda kaldın. Seni pastacı çıkardı; tutanağa kurtarıcının adını yazdın.</t>
        </is>
      </c>
      <c r="L1393" s="6" t="inlineStr"/>
      <c r="M1393" s="5" t="inlineStr"/>
      <c r="N1393" s="5" t="inlineStr"/>
      <c r="O1393" s="6" t="inlineStr"/>
      <c r="P1393" s="6" t="inlineStr"/>
      <c r="Q1393" s="5" t="inlineStr"/>
      <c r="R1393" s="5" t="inlineStr"/>
      <c r="S1393" s="5" t="inlineStr"/>
      <c r="T1393" s="5" t="inlineStr"/>
      <c r="U1393" s="5" t="inlineStr"/>
      <c r="V1393" s="5" t="inlineStr"/>
      <c r="W1393" s="5" t="inlineStr"/>
      <c r="X1393" s="5" t="inlineStr"/>
      <c r="Y1393" s="5" t="inlineStr"/>
      <c r="Z1393" s="6" t="inlineStr"/>
      <c r="AA1393" s="5" t="inlineStr"/>
      <c r="AB1393" s="5" t="inlineStr"/>
      <c r="AC1393" s="5" t="inlineStr"/>
      <c r="AD1393" s="5" t="inlineStr"/>
      <c r="AE1393" s="5" t="inlineStr"/>
      <c r="AF1393" s="5" t="inlineStr"/>
      <c r="AG1393" s="5" t="inlineStr"/>
      <c r="AH1393" s="5" t="inlineStr"/>
    </row>
    <row r="1394">
      <c r="A1394" s="5" t="inlineStr">
        <is>
          <t>b7-polis-komiserlik</t>
        </is>
      </c>
      <c r="B1394" s="5" t="n">
        <v>3</v>
      </c>
      <c r="C1394" s="6" t="inlineStr">
        <is>
          <t>Yüzlerini oku, blöf yap</t>
        </is>
      </c>
      <c r="D1394" s="5" t="inlineStr">
        <is>
          <t>Sosyal Radar</t>
        </is>
      </c>
      <c r="E1394" s="5" t="inlineStr">
        <is>
          <t>Zor</t>
        </is>
      </c>
      <c r="F1394" s="5" t="inlineStr"/>
      <c r="G1394" s="6" t="inlineStr"/>
      <c r="H1394" s="6" t="inlineStr">
        <is>
          <t>“Pastacı her şeyi anlattı” dedin. Damadın annesi atıldı: “Yalan, ben sadece sakladım!” Dosya on dakikada kapandı; ekip seni ilk kez alkışladı.</t>
        </is>
      </c>
      <c r="I1394" s="6" t="inlineStr">
        <is>
          <t>Blöfün öyle tuttu ki üç şüpheli birbirinin payını itiraf etti, hepsi tutarlı. Amir seni “Bu adam yüz okuyor” diye dedektif kursuna yazdı.</t>
        </is>
      </c>
      <c r="J1394" s="6" t="inlineStr">
        <is>
          <t>Blöf yaptın, kimse yutmadı. Gelinin annesi sana “Evladım, sen evli misin?” diye sordu; sorgu el değiştirdi.</t>
        </is>
      </c>
      <c r="K1394" s="6" t="inlineStr">
        <is>
          <t>Blöfün ortasında kendi yüzün kızardı. Üç şüpheli aynı anda sustu, sonra aynı anda güldü. Karakolda adın “Pancar.”</t>
        </is>
      </c>
      <c r="L1394" s="6" t="inlineStr"/>
      <c r="M1394" s="5" t="inlineStr"/>
      <c r="N1394" s="5" t="inlineStr"/>
      <c r="O1394" s="6" t="inlineStr"/>
      <c r="P1394" s="6" t="inlineStr"/>
      <c r="Q1394" s="5" t="inlineStr"/>
      <c r="R1394" s="5" t="inlineStr"/>
      <c r="S1394" s="5" t="inlineStr"/>
      <c r="T1394" s="5" t="inlineStr">
        <is>
          <t>Odayı Okur</t>
        </is>
      </c>
      <c r="U1394" s="5" t="inlineStr"/>
      <c r="V1394" s="5" t="inlineStr">
        <is>
          <t>polis-yuz-okur</t>
        </is>
      </c>
      <c r="W1394" s="5" t="inlineStr"/>
      <c r="X1394" s="5" t="inlineStr"/>
      <c r="Y1394" s="5" t="inlineStr"/>
      <c r="Z1394" s="6" t="inlineStr"/>
      <c r="AA1394" s="5" t="inlineStr"/>
      <c r="AB1394" s="5" t="inlineStr"/>
      <c r="AC1394" s="5" t="inlineStr"/>
      <c r="AD1394" s="5" t="inlineStr"/>
      <c r="AE1394" s="5" t="inlineStr"/>
      <c r="AF1394" s="5" t="inlineStr"/>
      <c r="AG1394" s="5" t="inlineStr"/>
      <c r="AH1394" s="5" t="inlineStr"/>
    </row>
    <row r="1395">
      <c r="A1395" s="5" t="inlineStr">
        <is>
          <t>b7-polis-ekip</t>
        </is>
      </c>
      <c r="B1395" s="5" t="n">
        <v>1</v>
      </c>
      <c r="C1395" s="6" t="inlineStr">
        <is>
          <t>Kısa tut, işe dön</t>
        </is>
      </c>
      <c r="D1395" s="5" t="inlineStr"/>
      <c r="E1395" s="5" t="inlineStr"/>
      <c r="F1395" s="5" t="inlineStr">
        <is>
          <t>Cesaret +1, Sosyal Radar +1</t>
        </is>
      </c>
      <c r="G1395" s="6" t="inlineStr">
        <is>
          <t>“Herkes işinin başına” dedin, toplantı iki dakika sürdü. Ekip bunu sevdi. Kedi de; masanı resmen işgal etti.</t>
        </is>
      </c>
      <c r="H1395" s="6" t="inlineStr"/>
      <c r="I1395" s="6" t="inlineStr"/>
      <c r="J1395" s="6" t="inlineStr"/>
      <c r="K1395" s="6" t="inlineStr"/>
      <c r="L1395" s="6" t="inlineStr"/>
      <c r="M1395" s="5" t="inlineStr"/>
      <c r="N1395" s="5" t="inlineStr"/>
      <c r="O1395" s="6" t="inlineStr"/>
      <c r="P1395" s="6" t="inlineStr"/>
      <c r="Q1395" s="5" t="inlineStr"/>
      <c r="R1395" s="5" t="inlineStr"/>
      <c r="S1395" s="5" t="inlineStr"/>
      <c r="T1395" s="5" t="inlineStr"/>
      <c r="U1395" s="5" t="inlineStr"/>
      <c r="V1395" s="5" t="inlineStr"/>
      <c r="W1395" s="5" t="inlineStr"/>
      <c r="X1395" s="5" t="inlineStr"/>
      <c r="Y1395" s="5" t="inlineStr"/>
      <c r="Z1395" s="6" t="inlineStr"/>
      <c r="AA1395" s="5" t="inlineStr"/>
      <c r="AB1395" s="5" t="inlineStr"/>
      <c r="AC1395" s="5" t="inlineStr"/>
      <c r="AD1395" s="5" t="inlineStr"/>
      <c r="AE1395" s="5" t="inlineStr"/>
      <c r="AF1395" s="5" t="inlineStr"/>
      <c r="AG1395" s="5" t="inlineStr"/>
      <c r="AH1395" s="5" t="inlineStr"/>
    </row>
    <row r="1396">
      <c r="A1396" s="5" t="inlineStr">
        <is>
          <t>b7-polis-ekip</t>
        </is>
      </c>
      <c r="B1396" s="5" t="n">
        <v>2</v>
      </c>
      <c r="C1396" s="6" t="inlineStr">
        <is>
          <t>Herkesle tek tek konuş</t>
        </is>
      </c>
      <c r="D1396" s="5" t="inlineStr">
        <is>
          <t>Sosyal Radar</t>
        </is>
      </c>
      <c r="E1396" s="5" t="inlineStr">
        <is>
          <t>Orta</t>
        </is>
      </c>
      <c r="F1396" s="5" t="inlineStr"/>
      <c r="G1396" s="6" t="inlineStr"/>
      <c r="H1396" s="6" t="inlineStr">
        <is>
          <t>Altı polisi tek tek dinledin. Biri tayin, biri izin, biri sadece çay istiyordu. Hepsini çözdün; ekip artık “Amirim” derken gülmüyor.</t>
        </is>
      </c>
      <c r="I1396" s="6" t="inlineStr">
        <is>
          <t>Konuşmalardan sonra ekip sana söz verdi: “Nereye gidersen oraya.” Çaycı bile seninle birlikte tayin istedi.</t>
        </is>
      </c>
      <c r="J1396" s="6" t="inlineStr">
        <is>
          <t>Konuştun ama herkes aynı şeyi istedi: eski amir gibi olmaman. Eski amiri tanımıyorsun.</t>
        </is>
      </c>
      <c r="K1396" s="6" t="inlineStr">
        <is>
          <t>Konuşmaları deftere not ettin, defter kayboldu. Bir hafta sonra panoda asılı bulundu; bütün ekip seni okudu.</t>
        </is>
      </c>
      <c r="L1396" s="6" t="inlineStr"/>
      <c r="M1396" s="5" t="inlineStr"/>
      <c r="N1396" s="5" t="inlineStr"/>
      <c r="O1396" s="6" t="inlineStr"/>
      <c r="P1396" s="6" t="inlineStr"/>
      <c r="Q1396" s="5" t="inlineStr"/>
      <c r="R1396" s="5" t="inlineStr"/>
      <c r="S1396" s="5" t="inlineStr"/>
      <c r="T1396" s="5" t="inlineStr"/>
      <c r="U1396" s="5" t="inlineStr"/>
      <c r="V1396" s="5" t="inlineStr">
        <is>
          <t>polis-sadik-ekip</t>
        </is>
      </c>
      <c r="W1396" s="5" t="inlineStr"/>
      <c r="X1396" s="5" t="inlineStr"/>
      <c r="Y1396" s="5" t="inlineStr"/>
      <c r="Z1396" s="6" t="inlineStr"/>
      <c r="AA1396" s="5" t="inlineStr"/>
      <c r="AB1396" s="5" t="inlineStr"/>
      <c r="AC1396" s="5" t="inlineStr"/>
      <c r="AD1396" s="5" t="inlineStr"/>
      <c r="AE1396" s="5" t="inlineStr"/>
      <c r="AF1396" s="5" t="inlineStr"/>
      <c r="AG1396" s="5" t="inlineStr"/>
      <c r="AH1396" s="5" t="inlineStr"/>
    </row>
    <row r="1397">
      <c r="A1397" s="5" t="inlineStr">
        <is>
          <t>b7-polis-ekip</t>
        </is>
      </c>
      <c r="B1397" s="5" t="n">
        <v>3</v>
      </c>
      <c r="C1397" s="6" t="inlineStr">
        <is>
          <t>Tozlu bir dosyayı ekiple kapat</t>
        </is>
      </c>
      <c r="D1397" s="5" t="inlineStr">
        <is>
          <t>Cesaret</t>
        </is>
      </c>
      <c r="E1397" s="5" t="inlineStr">
        <is>
          <t>Zor</t>
        </is>
      </c>
      <c r="F1397" s="5" t="inlineStr"/>
      <c r="G1397" s="6" t="inlineStr"/>
      <c r="H1397" s="6" t="inlineStr">
        <is>
          <t>Aylardır açık kalan oto teyp dosyasını bir haftada kapattınız. Şüpheli teypleri çalmıyormuş; tamir edip geri bırakıyormuş, ücretsiz.</t>
        </is>
      </c>
      <c r="I1397" s="6" t="inlineStr">
        <is>
          <t>Dosya kapandı, emniyet bülteninde ekip fotoğrafınız çıktı. Kedi de karede; bülten en çok onu konuştu.</t>
        </is>
      </c>
      <c r="J1397" s="6" t="inlineStr">
        <is>
          <t>Dosya kapanmadı ama ekip bir haftayı birlikte geçirdi. Artık herkes birbirinin çayını biliyor.</t>
        </is>
      </c>
      <c r="K1397" s="6" t="inlineStr">
        <is>
          <t>Baskını yanlış adrese yaptınız; ev sahibi size börek ikram etti. Tutanağa börekli bir özür girdi.</t>
        </is>
      </c>
      <c r="L1397" s="6" t="inlineStr"/>
      <c r="M1397" s="5" t="inlineStr"/>
      <c r="N1397" s="5" t="inlineStr"/>
      <c r="O1397" s="6" t="inlineStr"/>
      <c r="P1397" s="6" t="inlineStr"/>
      <c r="Q1397" s="5" t="inlineStr"/>
      <c r="R1397" s="5" t="inlineStr"/>
      <c r="S1397" s="5" t="inlineStr"/>
      <c r="T1397" s="5" t="inlineStr">
        <is>
          <t>Uykusuz Operasyon</t>
        </is>
      </c>
      <c r="U1397" s="5" t="inlineStr"/>
      <c r="V1397" s="5" t="inlineStr"/>
      <c r="W1397" s="5" t="inlineStr"/>
      <c r="X1397" s="5" t="inlineStr"/>
      <c r="Y1397" s="5" t="inlineStr"/>
      <c r="Z1397" s="6" t="inlineStr"/>
      <c r="AA1397" s="5" t="inlineStr"/>
      <c r="AB1397" s="5" t="inlineStr"/>
      <c r="AC1397" s="5" t="inlineStr"/>
      <c r="AD1397" s="5" t="inlineStr"/>
      <c r="AE1397" s="5" t="inlineStr"/>
      <c r="AF1397" s="5" t="inlineStr"/>
      <c r="AG1397" s="5" t="inlineStr"/>
      <c r="AH1397" s="5" t="inlineStr"/>
    </row>
    <row r="1398">
      <c r="A1398" s="5" t="inlineStr">
        <is>
          <t>b8-polis-mudurluk</t>
        </is>
      </c>
      <c r="B1398" s="5" t="n">
        <v>1</v>
      </c>
      <c r="C1398" s="6" t="inlineStr">
        <is>
          <t>Dosyanı anlat, abartma</t>
        </is>
      </c>
      <c r="D1398" s="5" t="inlineStr"/>
      <c r="E1398" s="5" t="inlineStr"/>
      <c r="F1398" s="5" t="inlineStr">
        <is>
          <t>Akıl +1, İtibar +1</t>
        </is>
      </c>
      <c r="G1398" s="6" t="inlineStr">
        <is>
          <t>Yaptıklarını sade sade anlattın. Başkan “Az konuşan polis az bulunur” diye not aldı. Kadro bu dönem başkasına gitti; not dosyanda kaldı.</t>
        </is>
      </c>
      <c r="H1398" s="6" t="inlineStr"/>
      <c r="I1398" s="6" t="inlineStr"/>
      <c r="J1398" s="6" t="inlineStr"/>
      <c r="K1398" s="6" t="inlineStr"/>
      <c r="L1398" s="6" t="inlineStr"/>
      <c r="M1398" s="5" t="inlineStr"/>
      <c r="N1398" s="5" t="inlineStr"/>
      <c r="O1398" s="6" t="inlineStr"/>
      <c r="P1398" s="6" t="inlineStr"/>
      <c r="Q1398" s="5" t="inlineStr"/>
      <c r="R1398" s="5" t="inlineStr"/>
      <c r="S1398" s="5" t="inlineStr"/>
      <c r="T1398" s="5" t="inlineStr"/>
      <c r="U1398" s="5" t="inlineStr"/>
      <c r="V1398" s="5" t="inlineStr"/>
      <c r="W1398" s="5" t="inlineStr"/>
      <c r="X1398" s="5" t="inlineStr"/>
      <c r="Y1398" s="5" t="inlineStr"/>
      <c r="Z1398" s="6" t="inlineStr"/>
      <c r="AA1398" s="5" t="inlineStr"/>
      <c r="AB1398" s="5" t="inlineStr"/>
      <c r="AC1398" s="5" t="inlineStr"/>
      <c r="AD1398" s="5" t="inlineStr"/>
      <c r="AE1398" s="5" t="inlineStr"/>
      <c r="AF1398" s="5" t="inlineStr"/>
      <c r="AG1398" s="5" t="inlineStr"/>
      <c r="AH1398" s="5" t="inlineStr"/>
    </row>
    <row r="1399">
      <c r="A1399" s="5" t="inlineStr">
        <is>
          <t>b8-polis-mudurluk</t>
        </is>
      </c>
      <c r="B1399" s="5" t="n">
        <v>2</v>
      </c>
      <c r="C1399" s="6" t="inlineStr">
        <is>
          <t>Kurulun havasını oku</t>
        </is>
      </c>
      <c r="D1399" s="5" t="inlineStr">
        <is>
          <t>Sosyal Radar</t>
        </is>
      </c>
      <c r="E1399" s="5" t="inlineStr">
        <is>
          <t>Orta</t>
        </is>
      </c>
      <c r="F1399" s="5" t="inlineStr"/>
      <c r="G1399" s="6" t="inlineStr"/>
      <c r="H1399" s="6" t="inlineStr">
        <is>
          <t>Kurulda biri balıkçı, biri torun sahibi, biri emekliliğe altı ay. Her birine kendi dilinden cevap verdin. Emniyet müdürü oldun; ilk tebrik vantilatörden.</t>
        </is>
      </c>
      <c r="I1399" s="6" t="inlineStr">
        <is>
          <t>Mülakat sohbete, sohbet balık tarifine döndü. Müdür oldun; başkan hâlâ arayıp tarifi soruyor.</t>
        </is>
      </c>
      <c r="J1399" s="6" t="inlineStr">
        <is>
          <t>Havayı okudun ama yanlış sayfadan: balıkçıya torun, torunluya balık anlattın. Kadro başkasına gitti.</t>
        </is>
      </c>
      <c r="K1399" s="6" t="inlineStr">
        <is>
          <t>Başkana “Sizi bir yerden tanıyorum” dedin. Tanıyormuşsun: yirmi yıl önce ona park cezası yazmışsın. Mülakat orada bitti.</t>
        </is>
      </c>
      <c r="L1399" s="6" t="inlineStr"/>
      <c r="M1399" s="5" t="inlineStr"/>
      <c r="N1399" s="5" t="inlineStr"/>
      <c r="O1399" s="6" t="inlineStr"/>
      <c r="P1399" s="6" t="inlineStr"/>
      <c r="Q1399" s="5" t="inlineStr"/>
      <c r="R1399" s="5" t="inlineStr"/>
      <c r="S1399" s="5" t="inlineStr"/>
      <c r="T1399" s="5" t="inlineStr"/>
      <c r="U1399" s="5" t="inlineStr"/>
      <c r="V1399" s="5" t="inlineStr">
        <is>
          <t>polis-mudur</t>
        </is>
      </c>
      <c r="W1399" s="5" t="inlineStr"/>
      <c r="X1399" s="5" t="inlineStr"/>
      <c r="Y1399" s="5" t="inlineStr"/>
      <c r="Z1399" s="6" t="inlineStr"/>
      <c r="AA1399" s="5" t="inlineStr"/>
      <c r="AB1399" s="5" t="inlineStr"/>
      <c r="AC1399" s="5" t="inlineStr"/>
      <c r="AD1399" s="5" t="inlineStr"/>
      <c r="AE1399" s="5" t="inlineStr"/>
      <c r="AF1399" s="5" t="inlineStr"/>
      <c r="AG1399" s="5" t="inlineStr"/>
      <c r="AH1399" s="5" t="inlineStr"/>
    </row>
    <row r="1400">
      <c r="A1400" s="5" t="inlineStr">
        <is>
          <t>b8-polis-mudurluk</t>
        </is>
      </c>
      <c r="B1400" s="5" t="n">
        <v>3</v>
      </c>
      <c r="C1400" s="6" t="inlineStr">
        <is>
          <t>Teşkilatın aksayan yanlarını söyle</t>
        </is>
      </c>
      <c r="D1400" s="5" t="inlineStr">
        <is>
          <t>Cesaret</t>
        </is>
      </c>
      <c r="E1400" s="5" t="inlineStr">
        <is>
          <t>Zor</t>
        </is>
      </c>
      <c r="F1400" s="5" t="inlineStr"/>
      <c r="G1400" s="6" t="inlineStr"/>
      <c r="H1400" s="6" t="inlineStr">
        <is>
          <t>Kurula tek tek anlattın: bozuk telsizler, eski araçlar, çay ocağının sigortası. Sessizlik oldu. Müdür oldun; ilk iş sigortayı değiştirdin.</t>
        </is>
      </c>
      <c r="I1400" s="6" t="inlineStr">
        <is>
          <t>Konuşman öyle yerindeydi ki kurul raporuna aynen girdi. Müdür oldun; bütün karakolların telsizi yenilendi, maç skoru daha net duyuluyor.</t>
        </is>
      </c>
      <c r="J1400" s="6" t="inlineStr">
        <is>
          <t>Söyledin; kurul not aldı, kadroyu da daha az konuşan birine verdi. Telsizler bozuk, sen yerindesin.</t>
        </is>
      </c>
      <c r="K1400" s="6" t="inlineStr">
        <is>
          <t>Konuşurken çay ocağını örnek verdin; başkanın kayınbiraderi o ocağı kurmuş. Kadro gitti, çay da acılaştı.</t>
        </is>
      </c>
      <c r="L1400" s="6" t="inlineStr"/>
      <c r="M1400" s="5" t="inlineStr"/>
      <c r="N1400" s="5" t="inlineStr"/>
      <c r="O1400" s="6" t="inlineStr"/>
      <c r="P1400" s="6" t="inlineStr"/>
      <c r="Q1400" s="5" t="inlineStr"/>
      <c r="R1400" s="5" t="inlineStr"/>
      <c r="S1400" s="5" t="inlineStr"/>
      <c r="T1400" s="5" t="inlineStr">
        <is>
          <t>Son Sözü Söyler</t>
        </is>
      </c>
      <c r="U1400" s="5" t="inlineStr"/>
      <c r="V1400" s="5" t="inlineStr">
        <is>
          <t>polis-mudur</t>
        </is>
      </c>
      <c r="W1400" s="5" t="inlineStr"/>
      <c r="X1400" s="5" t="inlineStr"/>
      <c r="Y1400" s="5" t="inlineStr"/>
      <c r="Z1400" s="6" t="inlineStr"/>
      <c r="AA1400" s="5" t="inlineStr"/>
      <c r="AB1400" s="5" t="inlineStr"/>
      <c r="AC1400" s="5" t="inlineStr"/>
      <c r="AD1400" s="5" t="inlineStr"/>
      <c r="AE1400" s="5" t="inlineStr"/>
      <c r="AF1400" s="5" t="inlineStr"/>
      <c r="AG1400" s="5" t="inlineStr"/>
      <c r="AH1400" s="5" t="inlineStr"/>
    </row>
    <row r="1401">
      <c r="A1401" s="5" t="inlineStr">
        <is>
          <t>b8-polis-mudurluk</t>
        </is>
      </c>
      <c r="B1401" s="5" t="n">
        <v>4</v>
      </c>
      <c r="C1401" s="6" t="inlineStr">
        <is>
          <t>Kurulun yüzünden soruları oku</t>
        </is>
      </c>
      <c r="D1401" s="5" t="inlineStr">
        <is>
          <t>Sosyal Radar</t>
        </is>
      </c>
      <c r="E1401" s="5" t="inlineStr">
        <is>
          <t>Kolay</t>
        </is>
      </c>
      <c r="F1401" s="5" t="inlineStr"/>
      <c r="G1401" s="6" t="inlineStr"/>
      <c r="H1401" s="6" t="inlineStr">
        <is>
          <t>Soruları sorulmadan önce yüzlerinden okudun; cevaplar hazırdı. Müdür oldun. Başkan çıkışta sordu: “Beni de okudun mu?” Okumuştun.</t>
        </is>
      </c>
      <c r="I1401" s="6" t="inlineStr">
        <is>
          <t>Beş kişiyi de okudun, beşinin de kafasındaki adayı sen oldun. Müdürlük kararı aynı gün çıktı; vantilatör de kapandı.</t>
        </is>
      </c>
      <c r="J1401" s="6" t="inlineStr">
        <is>
          <t>Yüzleri okudun ama başkan gözlüğünü hiç çıkarmadı. Kadro bu dönem başkasına gitti.</t>
        </is>
      </c>
      <c r="K1401" s="6" t="inlineStr">
        <is>
          <t>Yüz okurken fazla dik baktın; başkan rahatsız oldu, mülakatı kısa kesti. Kadro gitti, bakışın dosyana yazıldı.</t>
        </is>
      </c>
      <c r="L1401" s="6" t="inlineStr"/>
      <c r="M1401" s="5" t="inlineStr"/>
      <c r="N1401" s="5" t="inlineStr"/>
      <c r="O1401" s="6" t="inlineStr"/>
      <c r="P1401" s="6" t="inlineStr"/>
      <c r="Q1401" s="5" t="inlineStr"/>
      <c r="R1401" s="5" t="inlineStr">
        <is>
          <t>polis-yuz-okur</t>
        </is>
      </c>
      <c r="S1401" s="5" t="inlineStr"/>
      <c r="T1401" s="5" t="inlineStr"/>
      <c r="U1401" s="5" t="inlineStr"/>
      <c r="V1401" s="5" t="inlineStr">
        <is>
          <t>polis-mudur</t>
        </is>
      </c>
      <c r="W1401" s="5" t="inlineStr"/>
      <c r="X1401" s="5" t="inlineStr"/>
      <c r="Y1401" s="5" t="inlineStr"/>
      <c r="Z1401" s="6" t="inlineStr"/>
      <c r="AA1401" s="5" t="inlineStr"/>
      <c r="AB1401" s="5" t="inlineStr"/>
      <c r="AC1401" s="5" t="inlineStr"/>
      <c r="AD1401" s="5" t="inlineStr"/>
      <c r="AE1401" s="5" t="inlineStr"/>
      <c r="AF1401" s="5" t="inlineStr"/>
      <c r="AG1401" s="5" t="inlineStr"/>
      <c r="AH1401" s="5" t="inlineStr"/>
    </row>
    <row r="1402">
      <c r="A1402" s="5" t="inlineStr">
        <is>
          <t>b8-polis-teftis</t>
        </is>
      </c>
      <c r="B1402" s="5" t="n">
        <v>1</v>
      </c>
      <c r="C1402" s="6" t="inlineStr">
        <is>
          <t>Arşivi aç, çay koy, bekle</t>
        </is>
      </c>
      <c r="D1402" s="5" t="inlineStr"/>
      <c r="E1402" s="5" t="inlineStr"/>
      <c r="F1402" s="5" t="inlineStr">
        <is>
          <t>İtibar +1, Dayanıklılık +1</t>
        </is>
      </c>
      <c r="G1402" s="6" t="inlineStr">
        <is>
          <t>Arşivi açtın, müfettişe çay koydun, bekledin. Üç hafta sürdü. Rapor tek bir eksik buldu: çay ocağının ruhsatı.</t>
        </is>
      </c>
      <c r="H1402" s="6" t="inlineStr"/>
      <c r="I1402" s="6" t="inlineStr"/>
      <c r="J1402" s="6" t="inlineStr"/>
      <c r="K1402" s="6" t="inlineStr"/>
      <c r="L1402" s="6" t="inlineStr"/>
      <c r="M1402" s="5" t="inlineStr"/>
      <c r="N1402" s="5" t="inlineStr"/>
      <c r="O1402" s="6" t="inlineStr"/>
      <c r="P1402" s="6" t="inlineStr"/>
      <c r="Q1402" s="5" t="inlineStr"/>
      <c r="R1402" s="5" t="inlineStr"/>
      <c r="S1402" s="5" t="inlineStr"/>
      <c r="T1402" s="5" t="inlineStr"/>
      <c r="U1402" s="5" t="inlineStr"/>
      <c r="V1402" s="5" t="inlineStr"/>
      <c r="W1402" s="5" t="inlineStr"/>
      <c r="X1402" s="5" t="inlineStr"/>
      <c r="Y1402" s="5" t="inlineStr"/>
      <c r="Z1402" s="6" t="inlineStr"/>
      <c r="AA1402" s="5" t="inlineStr"/>
      <c r="AB1402" s="5" t="inlineStr"/>
      <c r="AC1402" s="5" t="inlineStr"/>
      <c r="AD1402" s="5" t="inlineStr"/>
      <c r="AE1402" s="5" t="inlineStr"/>
      <c r="AF1402" s="5" t="inlineStr"/>
      <c r="AG1402" s="5" t="inlineStr"/>
      <c r="AH1402" s="5" t="inlineStr"/>
    </row>
    <row r="1403">
      <c r="A1403" s="5" t="inlineStr">
        <is>
          <t>b8-polis-teftis</t>
        </is>
      </c>
      <c r="B1403" s="5" t="n">
        <v>2</v>
      </c>
      <c r="C1403" s="6" t="inlineStr">
        <is>
          <t>Eksiklerini önce sen söyle</t>
        </is>
      </c>
      <c r="D1403" s="5" t="inlineStr">
        <is>
          <t>Cesaret</t>
        </is>
      </c>
      <c r="E1403" s="5" t="inlineStr">
        <is>
          <t>Orta</t>
        </is>
      </c>
      <c r="F1403" s="5" t="inlineStr"/>
      <c r="G1403" s="6" t="inlineStr"/>
      <c r="H1403" s="6" t="inlineStr">
        <is>
          <t>Müfettiş sormadan eksiklerini listeledin. Müfettiş listeye bir madde ekledi, raporu kısalttı. Aranızda saygıya benzer bir şey oldu.</t>
        </is>
      </c>
      <c r="I1403" s="6" t="inlineStr">
        <is>
          <t>Listen öyle dürüsttü ki müfettiş onu başka karakollara örnek diye gönderdi. Başka karakollar sana kızgın.</t>
        </is>
      </c>
      <c r="J1403" s="6" t="inlineStr">
        <is>
          <t>Eksiklerini söyledin; müfettiş “Bunları zaten biliyordum” dedi. Liste dosyaya girdi, biraz da utancın.</t>
        </is>
      </c>
      <c r="K1403" s="6" t="inlineStr">
        <is>
          <t>Eksik listen o kadar uzun çıktı ki müfettiş iki hafta fazla kaldı. Karakol seni affetmedi; çaycı hariç.</t>
        </is>
      </c>
      <c r="L1403" s="6" t="inlineStr"/>
      <c r="M1403" s="5" t="inlineStr"/>
      <c r="N1403" s="5" t="inlineStr"/>
      <c r="O1403" s="6" t="inlineStr"/>
      <c r="P1403" s="6" t="inlineStr"/>
      <c r="Q1403" s="5" t="inlineStr"/>
      <c r="R1403" s="5" t="inlineStr"/>
      <c r="S1403" s="5" t="inlineStr"/>
      <c r="T1403" s="5" t="inlineStr"/>
      <c r="U1403" s="5" t="inlineStr"/>
      <c r="V1403" s="5" t="inlineStr"/>
      <c r="W1403" s="5" t="inlineStr"/>
      <c r="X1403" s="5" t="inlineStr"/>
      <c r="Y1403" s="5" t="inlineStr"/>
      <c r="Z1403" s="6" t="inlineStr"/>
      <c r="AA1403" s="5" t="inlineStr"/>
      <c r="AB1403" s="5" t="inlineStr"/>
      <c r="AC1403" s="5" t="inlineStr"/>
      <c r="AD1403" s="5" t="inlineStr"/>
      <c r="AE1403" s="5" t="inlineStr"/>
      <c r="AF1403" s="5" t="inlineStr"/>
      <c r="AG1403" s="5" t="inlineStr"/>
      <c r="AH1403" s="5" t="inlineStr"/>
    </row>
    <row r="1404">
      <c r="A1404" s="5" t="inlineStr">
        <is>
          <t>b8-polis-teftis</t>
        </is>
      </c>
      <c r="B1404" s="5" t="n">
        <v>3</v>
      </c>
      <c r="C1404" s="6" t="inlineStr">
        <is>
          <t>Müfettişin neyi aradığını sez</t>
        </is>
      </c>
      <c r="D1404" s="5" t="inlineStr">
        <is>
          <t>Sosyal Radar</t>
        </is>
      </c>
      <c r="E1404" s="5" t="inlineStr">
        <is>
          <t>Orta</t>
        </is>
      </c>
      <c r="F1404" s="5" t="inlineStr"/>
      <c r="G1404" s="6" t="inlineStr"/>
      <c r="H1404" s="6" t="inlineStr">
        <is>
          <t>Müfettişin iki kez aynı klasöre döndüğünü fark ettin, klasörü önceden düzenlemiştin. Rapor temiz çıktı; müfettiş ilk kez gülümsedi, yarım.</t>
        </is>
      </c>
      <c r="I1404" s="6" t="inlineStr">
        <is>
          <t>Neyi arayacağını bildin, bulacağını da. Müfettiş teftişi iki günde bitirip sana “Keşke her yer böyle olsa” dedi. Her yer duydu.</t>
        </is>
      </c>
      <c r="J1404" s="6" t="inlineStr">
        <is>
          <t>Sezdin ama yanlış klasörü düzenledin. Müfettiş düzenlemediğin tek klasörü açtı.</t>
        </is>
      </c>
      <c r="K1404" s="6" t="inlineStr">
        <is>
          <t>Müfettişin aradığını sezdin ve yüksek sesle söyledin. Müfettiş “Ben öyle bir şey aramıyordum” dedi; o andan sonra aradı.</t>
        </is>
      </c>
      <c r="L1404" s="6" t="inlineStr"/>
      <c r="M1404" s="5" t="inlineStr"/>
      <c r="N1404" s="5" t="inlineStr"/>
      <c r="O1404" s="6" t="inlineStr"/>
      <c r="P1404" s="6" t="inlineStr"/>
      <c r="Q1404" s="5" t="inlineStr"/>
      <c r="R1404" s="5" t="inlineStr"/>
      <c r="S1404" s="5" t="inlineStr"/>
      <c r="T1404" s="5" t="inlineStr"/>
      <c r="U1404" s="5" t="inlineStr"/>
      <c r="V1404" s="5" t="inlineStr"/>
      <c r="W1404" s="5" t="inlineStr"/>
      <c r="X1404" s="5" t="inlineStr"/>
      <c r="Y1404" s="5" t="inlineStr"/>
      <c r="Z1404" s="6" t="inlineStr"/>
      <c r="AA1404" s="5" t="inlineStr"/>
      <c r="AB1404" s="5" t="inlineStr"/>
      <c r="AC1404" s="5" t="inlineStr"/>
      <c r="AD1404" s="5" t="inlineStr"/>
      <c r="AE1404" s="5" t="inlineStr"/>
      <c r="AF1404" s="5" t="inlineStr"/>
      <c r="AG1404" s="5" t="inlineStr"/>
      <c r="AH1404" s="5" t="inlineStr"/>
    </row>
    <row r="1405">
      <c r="A1405" s="5" t="inlineStr">
        <is>
          <t>b8-polis-teftis</t>
        </is>
      </c>
      <c r="B1405" s="5" t="n">
        <v>4</v>
      </c>
      <c r="C1405" s="6" t="inlineStr">
        <is>
          <t>Eski zarfın izini sil</t>
        </is>
      </c>
      <c r="D1405" s="5" t="inlineStr">
        <is>
          <t>Kurnazlık</t>
        </is>
      </c>
      <c r="E1405" s="5" t="inlineStr">
        <is>
          <t>Zor</t>
        </is>
      </c>
      <c r="F1405" s="5" t="inlineStr"/>
      <c r="G1405" s="6" t="inlineStr"/>
      <c r="H1405" s="6" t="inlineStr">
        <is>
          <t>O yılın klasörü bir su baskınında ıslanmış. Kurusun diye kaloriferin üstüne bıraktın; kuruyunca okunmaz oldu. Müfettiş “Talihsiz” dedi.</t>
        </is>
      </c>
      <c r="I1405" s="6" t="inlineStr">
        <is>
          <t>İz silmene gerek kalmadı: zarfı veren adam çoktan Öte Diyar'a taşınmış, dosyası da onunla. On üç yıl sonra ilk kez deliksiz uyudun.</t>
        </is>
      </c>
      <c r="J1405" s="6" t="inlineStr">
        <is>
          <t>Klasörü aradın ama müfettiş senden önce bulmuştu. Hiçbir şey sormadı; sadece bir not aldı. Uykuların kısaldı.</t>
        </is>
      </c>
      <c r="K1405" s="6" t="inlineStr">
        <is>
          <t>Klasörü gece almaya gittin; müfettiş arşivde kitap okuyordu. Konuşmanız kısa sürdü, dava uzun.</t>
        </is>
      </c>
      <c r="L1405" s="6" t="inlineStr"/>
      <c r="M1405" s="5" t="inlineStr"/>
      <c r="N1405" s="5" t="inlineStr"/>
      <c r="O1405" s="6" t="inlineStr"/>
      <c r="P1405" s="6" t="inlineStr"/>
      <c r="Q1405" s="5" t="inlineStr"/>
      <c r="R1405" s="5" t="inlineStr">
        <is>
          <t>zarf-aldi</t>
        </is>
      </c>
      <c r="S1405" s="5" t="inlineStr"/>
      <c r="T1405" s="5" t="inlineStr"/>
      <c r="U1405" s="5" t="inlineStr"/>
      <c r="V1405" s="5" t="inlineStr"/>
      <c r="W1405" s="5" t="inlineStr">
        <is>
          <t>hapis</t>
        </is>
      </c>
      <c r="X1405" s="5" t="inlineStr"/>
      <c r="Y1405" s="5" t="inlineStr"/>
      <c r="Z1405" s="6" t="inlineStr"/>
      <c r="AA1405" s="5" t="inlineStr"/>
      <c r="AB1405" s="5" t="inlineStr"/>
      <c r="AC1405" s="5" t="inlineStr"/>
      <c r="AD1405" s="5" t="inlineStr"/>
      <c r="AE1405" s="5" t="inlineStr"/>
      <c r="AF1405" s="5" t="inlineStr"/>
      <c r="AG1405" s="5" t="inlineStr"/>
      <c r="AH1405" s="5" t="inlineStr"/>
    </row>
    <row r="1406">
      <c r="A1406" s="5" t="inlineStr">
        <is>
          <t>b9-polis-veda</t>
        </is>
      </c>
      <c r="B1406" s="5" t="n">
        <v>1</v>
      </c>
      <c r="C1406" s="6" t="inlineStr">
        <is>
          <t>Kısa bir teşekkür et</t>
        </is>
      </c>
      <c r="D1406" s="5" t="inlineStr"/>
      <c r="E1406" s="5" t="inlineStr"/>
      <c r="F1406" s="5" t="inlineStr">
        <is>
          <t>İtibar +1, Sosyal Radar +1</t>
        </is>
      </c>
      <c r="G1406" s="6" t="inlineStr">
        <is>
          <t>“Sağ olun” dedin, kürsüden indin. Tören planlanandan yirmi dakika erken bitti; en büyük alkışı bu aldı.</t>
        </is>
      </c>
      <c r="H1406" s="6" t="inlineStr"/>
      <c r="I1406" s="6" t="inlineStr"/>
      <c r="J1406" s="6" t="inlineStr"/>
      <c r="K1406" s="6" t="inlineStr"/>
      <c r="L1406" s="6" t="inlineStr"/>
      <c r="M1406" s="5" t="inlineStr"/>
      <c r="N1406" s="5" t="inlineStr"/>
      <c r="O1406" s="6" t="inlineStr"/>
      <c r="P1406" s="6" t="inlineStr"/>
      <c r="Q1406" s="5" t="inlineStr"/>
      <c r="R1406" s="5" t="inlineStr"/>
      <c r="S1406" s="5" t="inlineStr"/>
      <c r="T1406" s="5" t="inlineStr"/>
      <c r="U1406" s="5" t="inlineStr"/>
      <c r="V1406" s="5" t="inlineStr"/>
      <c r="W1406" s="5" t="inlineStr"/>
      <c r="X1406" s="5" t="inlineStr"/>
      <c r="Y1406" s="5" t="inlineStr"/>
      <c r="Z1406" s="6" t="inlineStr"/>
      <c r="AA1406" s="5" t="inlineStr"/>
      <c r="AB1406" s="5" t="inlineStr"/>
      <c r="AC1406" s="5" t="inlineStr"/>
      <c r="AD1406" s="5" t="inlineStr"/>
      <c r="AE1406" s="5" t="inlineStr"/>
      <c r="AF1406" s="5" t="inlineStr"/>
      <c r="AG1406" s="5" t="inlineStr"/>
      <c r="AH1406" s="5" t="inlineStr"/>
    </row>
    <row r="1407">
      <c r="A1407" s="5" t="inlineStr">
        <is>
          <t>b9-polis-veda</t>
        </is>
      </c>
      <c r="B1407" s="5" t="n">
        <v>2</v>
      </c>
      <c r="C1407" s="6" t="inlineStr">
        <is>
          <t>Otuz yılı anlat</t>
        </is>
      </c>
      <c r="D1407" s="5" t="inlineStr">
        <is>
          <t>Çene</t>
        </is>
      </c>
      <c r="E1407" s="5" t="inlineStr">
        <is>
          <t>Orta</t>
        </is>
      </c>
      <c r="F1407" s="5" t="inlineStr"/>
      <c r="G1407" s="6" t="inlineStr"/>
      <c r="H1407" s="6" t="inlineStr">
        <is>
          <t>Domatesli ilk devriyeden son teftişe kadar anlattın. Beş dakika yirmi oldu ama kimse saate bakmadı. Plaketi alırken salon ayaktaydı.</t>
        </is>
      </c>
      <c r="I1407" s="6" t="inlineStr">
        <is>
          <t>Anlattıkların öyle tuttu ki tören kaydı eğitimde gösterilmeye başladı. Yeni polisler seni “Domates Hikâyesi” diye tanıyor.</t>
        </is>
      </c>
      <c r="J1407" s="6" t="inlineStr">
        <is>
          <t>Anlatmaya başladın, yarısında bir isim unuttun, sonra bir yıl. Konuşma yarım kaldı; alkış tam.</t>
        </is>
      </c>
      <c r="K1407" s="6" t="inlineStr">
        <is>
          <t>Mikrofon yirminci dakikada kapandı; sen kırkıncıya kadar konuştun. Son yirmi dakikayı yalnızca ön sıra duydu.</t>
        </is>
      </c>
      <c r="L1407" s="6" t="inlineStr"/>
      <c r="M1407" s="5" t="inlineStr"/>
      <c r="N1407" s="5" t="inlineStr"/>
      <c r="O1407" s="6" t="inlineStr"/>
      <c r="P1407" s="6" t="inlineStr"/>
      <c r="Q1407" s="5" t="inlineStr"/>
      <c r="R1407" s="5" t="inlineStr"/>
      <c r="S1407" s="5" t="inlineStr"/>
      <c r="T1407" s="5" t="inlineStr"/>
      <c r="U1407" s="5" t="inlineStr"/>
      <c r="V1407" s="5" t="inlineStr"/>
      <c r="W1407" s="5" t="inlineStr"/>
      <c r="X1407" s="5" t="inlineStr"/>
      <c r="Y1407" s="5" t="inlineStr"/>
      <c r="Z1407" s="6" t="inlineStr"/>
      <c r="AA1407" s="5" t="inlineStr"/>
      <c r="AB1407" s="5" t="inlineStr"/>
      <c r="AC1407" s="5" t="inlineStr"/>
      <c r="AD1407" s="5" t="inlineStr"/>
      <c r="AE1407" s="5" t="inlineStr"/>
      <c r="AF1407" s="5" t="inlineStr"/>
      <c r="AG1407" s="5" t="inlineStr"/>
      <c r="AH1407" s="5" t="inlineStr"/>
    </row>
    <row r="1408">
      <c r="A1408" s="5" t="inlineStr">
        <is>
          <t>b9-polis-veda</t>
        </is>
      </c>
      <c r="B1408" s="5" t="n">
        <v>3</v>
      </c>
      <c r="C1408" s="6" t="inlineStr">
        <is>
          <t>Son bir dosyayı kapat</t>
        </is>
      </c>
      <c r="D1408" s="5" t="inlineStr">
        <is>
          <t>Cesaret</t>
        </is>
      </c>
      <c r="E1408" s="5" t="inlineStr">
        <is>
          <t>Zor</t>
        </is>
      </c>
      <c r="F1408" s="5" t="inlineStr"/>
      <c r="G1408" s="6" t="inlineStr"/>
      <c r="H1408" s="6" t="inlineStr">
        <is>
          <t>Törenden bir gün önce yıllardır açık duran kayıp bisiklet dosyasını kapattın. Bisiklet bir bodrumdaymış; sahibi artık dede, torununa verdi.</t>
        </is>
      </c>
      <c r="I1408" s="6" t="inlineStr">
        <is>
          <t>Son dosyayı kapattın, üstüne bir de kayıp kediyi buldun. Tören ertelendi; önce kedi sahibine teslim edildi, alkışla.</t>
        </is>
      </c>
      <c r="J1408" s="6" t="inlineStr">
        <is>
          <t>Dosyayı açtın, bir gün uğraştın, kapatamadın. Masana bıraktın; halefin açacak, belki onun halefi.</t>
        </is>
      </c>
      <c r="K1408" s="6" t="inlineStr">
        <is>
          <t>Son baskında bodruma indin, kapı arkandan kilitlendi. Törene çilingirle geldin; plaketi çilingir tuttu.</t>
        </is>
      </c>
      <c r="L1408" s="6" t="inlineStr"/>
      <c r="M1408" s="5" t="inlineStr"/>
      <c r="N1408" s="5" t="inlineStr"/>
      <c r="O1408" s="6" t="inlineStr"/>
      <c r="P1408" s="6" t="inlineStr"/>
      <c r="Q1408" s="5" t="inlineStr"/>
      <c r="R1408" s="5" t="inlineStr"/>
      <c r="S1408" s="5" t="inlineStr"/>
      <c r="T1408" s="5" t="inlineStr">
        <is>
          <t>Kendine Gülebilir</t>
        </is>
      </c>
      <c r="U1408" s="5" t="inlineStr"/>
      <c r="V1408" s="5" t="inlineStr"/>
      <c r="W1408" s="5" t="inlineStr"/>
      <c r="X1408" s="5" t="inlineStr"/>
      <c r="Y1408" s="5" t="inlineStr"/>
      <c r="Z1408" s="6" t="inlineStr"/>
      <c r="AA1408" s="5" t="inlineStr"/>
      <c r="AB1408" s="5" t="inlineStr"/>
      <c r="AC1408" s="5" t="inlineStr"/>
      <c r="AD1408" s="5" t="inlineStr"/>
      <c r="AE1408" s="5" t="inlineStr"/>
      <c r="AF1408" s="5" t="inlineStr"/>
      <c r="AG1408" s="5" t="inlineStr"/>
      <c r="AH1408" s="5" t="inlineStr"/>
    </row>
    <row r="1409">
      <c r="A1409" s="5" t="inlineStr">
        <is>
          <t>b7-yargi-horoz</t>
        </is>
      </c>
      <c r="B1409" s="5" t="n">
        <v>1</v>
      </c>
      <c r="C1409" s="6" t="inlineStr">
        <is>
          <t>Uzlaşmaya gönder</t>
        </is>
      </c>
      <c r="D1409" s="5" t="inlineStr"/>
      <c r="E1409" s="5" t="inlineStr"/>
      <c r="F1409" s="5" t="inlineStr">
        <is>
          <t>İtibar +1, Sosyal Radar +1</t>
        </is>
      </c>
      <c r="G1409" s="6" t="inlineStr">
        <is>
          <t>Tarafları uzlaşmaya gönderdin. Horozun sahibi komşuya kulak tıkacı hediye etti, barıştılar. Horoz uzlaşmayı imzalamadı.</t>
        </is>
      </c>
      <c r="H1409" s="6" t="inlineStr"/>
      <c r="I1409" s="6" t="inlineStr"/>
      <c r="J1409" s="6" t="inlineStr"/>
      <c r="K1409" s="6" t="inlineStr"/>
      <c r="L1409" s="6" t="inlineStr"/>
      <c r="M1409" s="5" t="inlineStr"/>
      <c r="N1409" s="5" t="inlineStr"/>
      <c r="O1409" s="6" t="inlineStr"/>
      <c r="P1409" s="6" t="inlineStr"/>
      <c r="Q1409" s="5" t="inlineStr"/>
      <c r="R1409" s="5" t="inlineStr"/>
      <c r="S1409" s="5" t="inlineStr"/>
      <c r="T1409" s="5" t="inlineStr"/>
      <c r="U1409" s="5" t="inlineStr"/>
      <c r="V1409" s="5" t="inlineStr"/>
      <c r="W1409" s="5" t="inlineStr"/>
      <c r="X1409" s="5" t="inlineStr"/>
      <c r="Y1409" s="5" t="inlineStr"/>
      <c r="Z1409" s="6" t="inlineStr"/>
      <c r="AA1409" s="5" t="inlineStr"/>
      <c r="AB1409" s="5" t="inlineStr"/>
      <c r="AC1409" s="5" t="inlineStr"/>
      <c r="AD1409" s="5" t="inlineStr"/>
      <c r="AE1409" s="5" t="inlineStr"/>
      <c r="AF1409" s="5" t="inlineStr"/>
      <c r="AG1409" s="5" t="inlineStr"/>
      <c r="AH1409" s="5" t="inlineStr"/>
    </row>
    <row r="1410">
      <c r="A1410" s="5" t="inlineStr">
        <is>
          <t>b7-yargi-horoz</t>
        </is>
      </c>
      <c r="B1410" s="5" t="n">
        <v>2</v>
      </c>
      <c r="C1410" s="6" t="inlineStr">
        <is>
          <t>Horozu bilirkişiye incelet</t>
        </is>
      </c>
      <c r="D1410" s="5" t="inlineStr">
        <is>
          <t>Akıl</t>
        </is>
      </c>
      <c r="E1410" s="5" t="inlineStr">
        <is>
          <t>Orta</t>
        </is>
      </c>
      <c r="F1410" s="5" t="inlineStr"/>
      <c r="G1410" s="6" t="inlineStr"/>
      <c r="H1410" s="6" t="inlineStr">
        <is>
          <t>Bilirkişi bir hafta dinledi: horoz dörtte değil, dördü on geçe ötüyormuş. Kararını o on dakikanın üstüne kurdun; bir hukuk dergisi yayımladı.</t>
        </is>
      </c>
      <c r="I1410" s="6" t="inlineStr">
        <is>
          <t>Karar öyle titiz çıktı ki fakültede ders oldu. Herkes “Horoz Kararı” diyor; horozun adı hiç geçmiyor, senin adın her yerde.</t>
        </is>
      </c>
      <c r="J1410" s="6" t="inlineStr">
        <is>
          <t>Bilirkişi geldiğinde horoz bir hafta boyunca tek kez ötmedi. Dava ertelendi; horoz ertesi sabah dörtte kaldığı yerden devam etti.</t>
        </is>
      </c>
      <c r="K1410" s="6" t="inlineStr">
        <is>
          <t>Bilirkişi horoz yerine komşunun kendi çalar saatini kaydetmiş. Rapor salonda okundu; komşu kıpkırmızı, sen daha kırmızı.</t>
        </is>
      </c>
      <c r="L1410" s="6" t="inlineStr"/>
      <c r="M1410" s="5" t="inlineStr"/>
      <c r="N1410" s="5" t="inlineStr"/>
      <c r="O1410" s="6" t="inlineStr"/>
      <c r="P1410" s="6" t="inlineStr"/>
      <c r="Q1410" s="5" t="inlineStr"/>
      <c r="R1410" s="5" t="inlineStr"/>
      <c r="S1410" s="5" t="inlineStr"/>
      <c r="T1410" s="5" t="inlineStr"/>
      <c r="U1410" s="5" t="inlineStr"/>
      <c r="V1410" s="5" t="inlineStr">
        <is>
          <t>yargi-horoz-karari</t>
        </is>
      </c>
      <c r="W1410" s="5" t="inlineStr"/>
      <c r="X1410" s="5" t="inlineStr"/>
      <c r="Y1410" s="5" t="inlineStr"/>
      <c r="Z1410" s="6" t="inlineStr"/>
      <c r="AA1410" s="5" t="inlineStr"/>
      <c r="AB1410" s="5" t="inlineStr"/>
      <c r="AC1410" s="5" t="inlineStr"/>
      <c r="AD1410" s="5" t="inlineStr"/>
      <c r="AE1410" s="5" t="inlineStr"/>
      <c r="AF1410" s="5" t="inlineStr"/>
      <c r="AG1410" s="5" t="inlineStr"/>
      <c r="AH1410" s="5" t="inlineStr"/>
    </row>
    <row r="1411">
      <c r="A1411" s="5" t="inlineStr">
        <is>
          <t>b7-yargi-horoz</t>
        </is>
      </c>
      <c r="B1411" s="5" t="n">
        <v>3</v>
      </c>
      <c r="C1411" s="6" t="inlineStr">
        <is>
          <t>Duruşmayı sabah dörtte yap</t>
        </is>
      </c>
      <c r="D1411" s="5" t="inlineStr">
        <is>
          <t>Cesaret</t>
        </is>
      </c>
      <c r="E1411" s="5" t="inlineStr">
        <is>
          <t>Zor</t>
        </is>
      </c>
      <c r="F1411" s="5" t="inlineStr"/>
      <c r="G1411" s="6" t="inlineStr"/>
      <c r="H1411" s="6" t="inlineStr">
        <is>
          <t>Salonu sabah dörtte açtın. Horoz tam vaktinde öttü, komşu haklı çıktı, kümese kalın bir duvar örüldü. Kasaba bu duruşmayı yıllarca anlattı.</t>
        </is>
      </c>
      <c r="I1411" s="6" t="inlineStr">
        <is>
          <t>Sabah dörtte herkes geldi; horoz öttü, ardından kasabanın bütün horozları. Kasabanın ilk ses yalıtımı projesi o sabah başladı.</t>
        </is>
      </c>
      <c r="J1411" s="6" t="inlineStr">
        <is>
          <t>Sabah dörtte salonda yalnızca sen, zabıt kâtibi ve horoz vardı. Taraflar uyuyakalmış. Horoz haklıydı.</t>
        </is>
      </c>
      <c r="K1411" s="6" t="inlineStr">
        <is>
          <t>Sabah dörtte geldin, salon kilitli. Anahtar kâtipte, kâtip uykuda. Kapının önünde horozu dinledin; ikna oldun.</t>
        </is>
      </c>
      <c r="L1411" s="6" t="inlineStr"/>
      <c r="M1411" s="5" t="inlineStr"/>
      <c r="N1411" s="5" t="inlineStr"/>
      <c r="O1411" s="6" t="inlineStr"/>
      <c r="P1411" s="6" t="inlineStr"/>
      <c r="Q1411" s="5" t="inlineStr"/>
      <c r="R1411" s="5" t="inlineStr"/>
      <c r="S1411" s="5" t="inlineStr"/>
      <c r="T1411" s="5" t="inlineStr">
        <is>
          <t>Nöbet Disiplini</t>
        </is>
      </c>
      <c r="U1411" s="5" t="inlineStr"/>
      <c r="V1411" s="5" t="inlineStr"/>
      <c r="W1411" s="5" t="inlineStr"/>
      <c r="X1411" s="5" t="inlineStr"/>
      <c r="Y1411" s="5" t="inlineStr"/>
      <c r="Z1411" s="6" t="inlineStr"/>
      <c r="AA1411" s="5" t="inlineStr"/>
      <c r="AB1411" s="5" t="inlineStr"/>
      <c r="AC1411" s="5" t="inlineStr"/>
      <c r="AD1411" s="5" t="inlineStr"/>
      <c r="AE1411" s="5" t="inlineStr"/>
      <c r="AF1411" s="5" t="inlineStr"/>
      <c r="AG1411" s="5" t="inlineStr"/>
      <c r="AH1411" s="5" t="inlineStr"/>
    </row>
    <row r="1412">
      <c r="A1412" s="5" t="inlineStr">
        <is>
          <t>b7-yargi-aidat</t>
        </is>
      </c>
      <c r="B1412" s="5" t="n">
        <v>1</v>
      </c>
      <c r="C1412" s="6" t="inlineStr">
        <is>
          <t>Sırayla, dosya dosya ilerle</t>
        </is>
      </c>
      <c r="D1412" s="5" t="inlineStr"/>
      <c r="E1412" s="5" t="inlineStr"/>
      <c r="F1412" s="5" t="inlineStr">
        <is>
          <t>Akıl +1, Dayanıklılık +1</t>
        </is>
      </c>
      <c r="G1412" s="6" t="inlineStr">
        <is>
          <t>Her sabah on dosya okudun. Altı ayda iki yüz dosya kapattın. Sıradaki aidat davası; asansör de, galiba.</t>
        </is>
      </c>
      <c r="H1412" s="6" t="inlineStr"/>
      <c r="I1412" s="6" t="inlineStr"/>
      <c r="J1412" s="6" t="inlineStr"/>
      <c r="K1412" s="6" t="inlineStr"/>
      <c r="L1412" s="6" t="inlineStr"/>
      <c r="M1412" s="5" t="inlineStr"/>
      <c r="N1412" s="5" t="inlineStr"/>
      <c r="O1412" s="6" t="inlineStr"/>
      <c r="P1412" s="6" t="inlineStr"/>
      <c r="Q1412" s="5" t="inlineStr"/>
      <c r="R1412" s="5" t="inlineStr"/>
      <c r="S1412" s="5" t="inlineStr"/>
      <c r="T1412" s="5" t="inlineStr"/>
      <c r="U1412" s="5" t="inlineStr"/>
      <c r="V1412" s="5" t="inlineStr"/>
      <c r="W1412" s="5" t="inlineStr"/>
      <c r="X1412" s="5" t="inlineStr"/>
      <c r="Y1412" s="5" t="inlineStr"/>
      <c r="Z1412" s="6" t="inlineStr"/>
      <c r="AA1412" s="5" t="inlineStr"/>
      <c r="AB1412" s="5" t="inlineStr"/>
      <c r="AC1412" s="5" t="inlineStr"/>
      <c r="AD1412" s="5" t="inlineStr"/>
      <c r="AE1412" s="5" t="inlineStr"/>
      <c r="AF1412" s="5" t="inlineStr"/>
      <c r="AG1412" s="5" t="inlineStr"/>
      <c r="AH1412" s="5" t="inlineStr"/>
    </row>
    <row r="1413">
      <c r="A1413" s="5" t="inlineStr">
        <is>
          <t>b7-yargi-aidat</t>
        </is>
      </c>
      <c r="B1413" s="5" t="n">
        <v>2</v>
      </c>
      <c r="C1413" s="6" t="inlineStr">
        <is>
          <t>Aidat davasını öne al</t>
        </is>
      </c>
      <c r="D1413" s="5" t="inlineStr">
        <is>
          <t>Akıl</t>
        </is>
      </c>
      <c r="E1413" s="5" t="inlineStr">
        <is>
          <t>Orta</t>
        </is>
      </c>
      <c r="F1413" s="5" t="inlineStr"/>
      <c r="G1413" s="6" t="inlineStr"/>
      <c r="H1413" s="6" t="inlineStr">
        <is>
          <t>Yönetici on bir yıldır aynı toplantı tutanağını fotokopiyle çoğaltmış. Davayı iki celsede bitirdin. Asansör tamir edildi; ilk binen sen oldun.</t>
        </is>
      </c>
      <c r="I1413" s="6" t="inlineStr">
        <is>
          <t>Kararın öyle net çıktı ki şehirdeki altı aidat davası kendiliğinden uzlaştı. Koridorda sana “Aidat Hâkimi” diyorlar; iltifat mı, bilmiyorsun.</t>
        </is>
      </c>
      <c r="J1413" s="6" t="inlineStr">
        <is>
          <t>Dosyayı açtın, içinden başka bir apartmanın dosyası çıktı. Asıl dosya kayıp. On bir yıl, on iki olacak.</t>
        </is>
      </c>
      <c r="K1413" s="6" t="inlineStr">
        <is>
          <t>Keşif için apartmana gittin, asansöre bindin. Asansör bozuktu; iki saat kaldın. Ara kararı içeriden, sesli verdin.</t>
        </is>
      </c>
      <c r="L1413" s="6" t="inlineStr"/>
      <c r="M1413" s="5" t="inlineStr"/>
      <c r="N1413" s="5" t="inlineStr"/>
      <c r="O1413" s="6" t="inlineStr"/>
      <c r="P1413" s="6" t="inlineStr"/>
      <c r="Q1413" s="5" t="inlineStr"/>
      <c r="R1413" s="5" t="inlineStr"/>
      <c r="S1413" s="5" t="inlineStr"/>
      <c r="T1413" s="5" t="inlineStr"/>
      <c r="U1413" s="5" t="inlineStr"/>
      <c r="V1413" s="5" t="inlineStr"/>
      <c r="W1413" s="5" t="inlineStr"/>
      <c r="X1413" s="5" t="inlineStr"/>
      <c r="Y1413" s="5" t="inlineStr"/>
      <c r="Z1413" s="6" t="inlineStr"/>
      <c r="AA1413" s="5" t="inlineStr"/>
      <c r="AB1413" s="5" t="inlineStr"/>
      <c r="AC1413" s="5" t="inlineStr"/>
      <c r="AD1413" s="5" t="inlineStr"/>
      <c r="AE1413" s="5" t="inlineStr"/>
      <c r="AF1413" s="5" t="inlineStr"/>
      <c r="AG1413" s="5" t="inlineStr"/>
      <c r="AH1413" s="5" t="inlineStr"/>
    </row>
    <row r="1414">
      <c r="A1414" s="5" t="inlineStr">
        <is>
          <t>b7-yargi-aidat</t>
        </is>
      </c>
      <c r="B1414" s="5" t="n">
        <v>3</v>
      </c>
      <c r="C1414" s="6" t="inlineStr">
        <is>
          <t>Kırk daireyi aynı masaya oturt</t>
        </is>
      </c>
      <c r="D1414" s="5" t="inlineStr">
        <is>
          <t>İtibar</t>
        </is>
      </c>
      <c r="E1414" s="5" t="inlineStr">
        <is>
          <t>Zor</t>
        </is>
      </c>
      <c r="F1414" s="5" t="inlineStr"/>
      <c r="G1414" s="6" t="inlineStr"/>
      <c r="H1414" s="6" t="inlineStr">
        <is>
          <t>Kırk daire sakinini aynı salona sığdırdın. Üç saat bağırıştılar, sonra biri çay getirdi. Borç ikiye bölündü, asansör üçe.</t>
        </is>
      </c>
      <c r="I1414" s="6" t="inlineStr">
        <is>
          <t>Toplantı bir apartman barışına döndü; yaz sonunda sana mangal davetiyesi geldi. Hâkimler gitmez, gitmedin. Davetiye çerçevede.</t>
        </is>
      </c>
      <c r="J1414" s="6" t="inlineStr">
        <is>
          <t>Taraflar masaya oturdu, sonra masadan kalktı, sonra masa hakkında dava açtı.</t>
        </is>
      </c>
      <c r="K1414" s="6" t="inlineStr">
        <is>
          <t>Uzlaşma toplantısında yönetici seçimi yapıldı ve sen seçildin. Görevden çekildin; aidat makbuzları hâlâ sana geliyor.</t>
        </is>
      </c>
      <c r="L1414" s="6" t="inlineStr"/>
      <c r="M1414" s="5" t="inlineStr"/>
      <c r="N1414" s="5" t="inlineStr"/>
      <c r="O1414" s="6" t="inlineStr"/>
      <c r="P1414" s="6" t="inlineStr"/>
      <c r="Q1414" s="5" t="inlineStr"/>
      <c r="R1414" s="5" t="inlineStr"/>
      <c r="S1414" s="5" t="inlineStr"/>
      <c r="T1414" s="5" t="inlineStr">
        <is>
          <t>Mevzuat Kalkanı</t>
        </is>
      </c>
      <c r="U1414" s="5" t="inlineStr"/>
      <c r="V1414" s="5" t="inlineStr"/>
      <c r="W1414" s="5" t="inlineStr"/>
      <c r="X1414" s="5" t="inlineStr"/>
      <c r="Y1414" s="5" t="inlineStr"/>
      <c r="Z1414" s="6" t="inlineStr"/>
      <c r="AA1414" s="5" t="inlineStr"/>
      <c r="AB1414" s="5" t="inlineStr"/>
      <c r="AC1414" s="5" t="inlineStr"/>
      <c r="AD1414" s="5" t="inlineStr"/>
      <c r="AE1414" s="5" t="inlineStr"/>
      <c r="AF1414" s="5" t="inlineStr"/>
      <c r="AG1414" s="5" t="inlineStr"/>
      <c r="AH1414" s="5" t="inlineStr"/>
    </row>
    <row r="1415">
      <c r="A1415" s="5" t="inlineStr">
        <is>
          <t>b7-yargi-kedi</t>
        </is>
      </c>
      <c r="B1415" s="5" t="n">
        <v>1</v>
      </c>
      <c r="C1415" s="6" t="inlineStr">
        <is>
          <t>Dönüşümlü bakım kararı ver</t>
        </is>
      </c>
      <c r="D1415" s="5" t="inlineStr"/>
      <c r="E1415" s="5" t="inlineStr"/>
      <c r="F1415" s="5" t="inlineStr">
        <is>
          <t>İtibar +1, Akıl +1</t>
        </is>
      </c>
      <c r="G1415" s="6" t="inlineStr">
        <is>
          <t>Hafta içi Pamuk, hafta sonu Paşa kararı verdin. Kedi iki ismi de umursamadı; iki kap mamayı da boş bırakmadı.</t>
        </is>
      </c>
      <c r="H1415" s="6" t="inlineStr"/>
      <c r="I1415" s="6" t="inlineStr"/>
      <c r="J1415" s="6" t="inlineStr"/>
      <c r="K1415" s="6" t="inlineStr"/>
      <c r="L1415" s="6" t="inlineStr"/>
      <c r="M1415" s="5" t="inlineStr"/>
      <c r="N1415" s="5" t="inlineStr"/>
      <c r="O1415" s="6" t="inlineStr"/>
      <c r="P1415" s="6" t="inlineStr"/>
      <c r="Q1415" s="5" t="inlineStr"/>
      <c r="R1415" s="5" t="inlineStr"/>
      <c r="S1415" s="5" t="inlineStr"/>
      <c r="T1415" s="5" t="inlineStr"/>
      <c r="U1415" s="5" t="inlineStr"/>
      <c r="V1415" s="5" t="inlineStr"/>
      <c r="W1415" s="5" t="inlineStr"/>
      <c r="X1415" s="5" t="inlineStr"/>
      <c r="Y1415" s="5" t="inlineStr"/>
      <c r="Z1415" s="6" t="inlineStr"/>
      <c r="AA1415" s="5" t="inlineStr"/>
      <c r="AB1415" s="5" t="inlineStr"/>
      <c r="AC1415" s="5" t="inlineStr"/>
      <c r="AD1415" s="5" t="inlineStr"/>
      <c r="AE1415" s="5" t="inlineStr"/>
      <c r="AF1415" s="5" t="inlineStr"/>
      <c r="AG1415" s="5" t="inlineStr"/>
      <c r="AH1415" s="5" t="inlineStr"/>
    </row>
    <row r="1416">
      <c r="A1416" s="5" t="inlineStr">
        <is>
          <t>b7-yargi-kedi</t>
        </is>
      </c>
      <c r="B1416" s="5" t="n">
        <v>2</v>
      </c>
      <c r="C1416" s="6" t="inlineStr">
        <is>
          <t>Kediyi ortaya bırak, seçsin</t>
        </is>
      </c>
      <c r="D1416" s="5" t="inlineStr">
        <is>
          <t>Sosyal Radar</t>
        </is>
      </c>
      <c r="E1416" s="5" t="inlineStr">
        <is>
          <t>Orta</t>
        </is>
      </c>
      <c r="F1416" s="5" t="inlineStr"/>
      <c r="G1416" s="6" t="inlineStr"/>
      <c r="H1416" s="6" t="inlineStr">
        <is>
          <t>Kedi önce birine, sonra öbürüne gitti, sonra ikisinin arasına yattı. Ortak velayete karar verdin; komşular aynı bankta oturmaya başladı.</t>
        </is>
      </c>
      <c r="I1416" s="6" t="inlineStr">
        <is>
          <t>Kedi iki komşunun arasına oturup ikisinin elini birden patiledi. Salon sustu. O akşam iki komşu birlikte mama almaya gitti.</t>
        </is>
      </c>
      <c r="J1416" s="6" t="inlineStr">
        <is>
          <t>Kedi ikisine de gitmedi, mübaşirin kucağına atladı. Dava ertelendi; kedi geçici olarak mübaşirde.</t>
        </is>
      </c>
      <c r="K1416" s="6" t="inlineStr">
        <is>
          <t>Kedi salonun ortasında durdu, dosyaların üstüne yattı, sonra dosyaları devirdi. İki ay tutanak topladın.</t>
        </is>
      </c>
      <c r="L1416" s="6" t="inlineStr"/>
      <c r="M1416" s="5" t="inlineStr"/>
      <c r="N1416" s="5" t="inlineStr"/>
      <c r="O1416" s="6" t="inlineStr"/>
      <c r="P1416" s="6" t="inlineStr"/>
      <c r="Q1416" s="5" t="inlineStr"/>
      <c r="R1416" s="5" t="inlineStr"/>
      <c r="S1416" s="5" t="inlineStr"/>
      <c r="T1416" s="5" t="inlineStr"/>
      <c r="U1416" s="5" t="inlineStr"/>
      <c r="V1416" s="5" t="inlineStr"/>
      <c r="W1416" s="5" t="inlineStr"/>
      <c r="X1416" s="5" t="inlineStr"/>
      <c r="Y1416" s="5" t="inlineStr"/>
      <c r="Z1416" s="6" t="inlineStr"/>
      <c r="AA1416" s="5" t="inlineStr"/>
      <c r="AB1416" s="5" t="inlineStr"/>
      <c r="AC1416" s="5" t="inlineStr"/>
      <c r="AD1416" s="5" t="inlineStr"/>
      <c r="AE1416" s="5" t="inlineStr"/>
      <c r="AF1416" s="5" t="inlineStr"/>
      <c r="AG1416" s="5" t="inlineStr"/>
      <c r="AH1416" s="5" t="inlineStr"/>
    </row>
    <row r="1417">
      <c r="A1417" s="5" t="inlineStr">
        <is>
          <t>b7-yargi-kedi</t>
        </is>
      </c>
      <c r="B1417" s="5" t="n">
        <v>3</v>
      </c>
      <c r="C1417" s="6" t="inlineStr">
        <is>
          <t>Veteriner kayıtlarını getirt</t>
        </is>
      </c>
      <c r="D1417" s="5" t="inlineStr">
        <is>
          <t>Akıl</t>
        </is>
      </c>
      <c r="E1417" s="5" t="inlineStr">
        <is>
          <t>Zor</t>
        </is>
      </c>
      <c r="F1417" s="5" t="inlineStr"/>
      <c r="G1417" s="6" t="inlineStr"/>
      <c r="H1417" s="6" t="inlineStr">
        <is>
          <t>Kayıtlara göre aşıya hep biri götürmüş, mamayı hep öbürü almış. İkisine de hak verip gerekçeli ortak velayet kararı yazdın. Karar dergilere girdi.</t>
        </is>
      </c>
      <c r="I1417" s="6" t="inlineStr">
        <is>
          <t>Gerekçen öyle sağlam çıktı ki şehirdeki bütün kedi davaları senin kararına bakılarak çözülüyor. Adliye kedileri sana selam veriyor.</t>
        </is>
      </c>
      <c r="J1417" s="6" t="inlineStr">
        <is>
          <t>Kayıtlar geldi; kedi iki farklı isimle iki farklı veterinere gitmiş. Dosya iki kat kalınlaştı.</t>
        </is>
      </c>
      <c r="K1417" s="6" t="inlineStr">
        <is>
          <t>Kayıtları okurken fark ettin: kedi aslında üçüncü bir komşuda da kalıyormuş. Dava üç taraflı oldu, sen iki kat yorgun.</t>
        </is>
      </c>
      <c r="L1417" s="6" t="inlineStr"/>
      <c r="M1417" s="5" t="inlineStr"/>
      <c r="N1417" s="5" t="inlineStr"/>
      <c r="O1417" s="6" t="inlineStr"/>
      <c r="P1417" s="6" t="inlineStr"/>
      <c r="Q1417" s="5" t="inlineStr"/>
      <c r="R1417" s="5" t="inlineStr"/>
      <c r="S1417" s="5" t="inlineStr"/>
      <c r="T1417" s="5" t="inlineStr">
        <is>
          <t>Analitik Zihin</t>
        </is>
      </c>
      <c r="U1417" s="5" t="inlineStr"/>
      <c r="V1417" s="5" t="inlineStr">
        <is>
          <t>yargi-kedi-karari</t>
        </is>
      </c>
      <c r="W1417" s="5" t="inlineStr"/>
      <c r="X1417" s="5" t="inlineStr"/>
      <c r="Y1417" s="5" t="inlineStr"/>
      <c r="Z1417" s="6" t="inlineStr"/>
      <c r="AA1417" s="5" t="inlineStr"/>
      <c r="AB1417" s="5" t="inlineStr"/>
      <c r="AC1417" s="5" t="inlineStr"/>
      <c r="AD1417" s="5" t="inlineStr"/>
      <c r="AE1417" s="5" t="inlineStr"/>
      <c r="AF1417" s="5" t="inlineStr"/>
      <c r="AG1417" s="5" t="inlineStr"/>
      <c r="AH1417" s="5" t="inlineStr"/>
    </row>
    <row r="1418">
      <c r="A1418" s="5" t="inlineStr">
        <is>
          <t>b8-yargi-yuksek</t>
        </is>
      </c>
      <c r="B1418" s="5" t="n">
        <v>1</v>
      </c>
      <c r="C1418" s="6" t="inlineStr">
        <is>
          <t>Sade klasörü sun</t>
        </is>
      </c>
      <c r="D1418" s="5" t="inlineStr"/>
      <c r="E1418" s="5" t="inlineStr"/>
      <c r="F1418" s="5" t="inlineStr">
        <is>
          <t>Akıl +1, İtibar +1</t>
        </is>
      </c>
      <c r="G1418" s="6" t="inlineStr">
        <is>
          <t>Sade, sağlam kararlarını sundun. Kurul beğendi ama seçmedi: “Bir dahaki sefere.” Dosyan sıraya girdi; sıra uzun.</t>
        </is>
      </c>
      <c r="H1418" s="6" t="inlineStr"/>
      <c r="I1418" s="6" t="inlineStr"/>
      <c r="J1418" s="6" t="inlineStr"/>
      <c r="K1418" s="6" t="inlineStr"/>
      <c r="L1418" s="6" t="inlineStr"/>
      <c r="M1418" s="5" t="inlineStr"/>
      <c r="N1418" s="5" t="inlineStr"/>
      <c r="O1418" s="6" t="inlineStr"/>
      <c r="P1418" s="6" t="inlineStr"/>
      <c r="Q1418" s="5" t="inlineStr"/>
      <c r="R1418" s="5" t="inlineStr"/>
      <c r="S1418" s="5" t="inlineStr"/>
      <c r="T1418" s="5" t="inlineStr"/>
      <c r="U1418" s="5" t="inlineStr"/>
      <c r="V1418" s="5" t="inlineStr"/>
      <c r="W1418" s="5" t="inlineStr"/>
      <c r="X1418" s="5" t="inlineStr"/>
      <c r="Y1418" s="5" t="inlineStr"/>
      <c r="Z1418" s="6" t="inlineStr"/>
      <c r="AA1418" s="5" t="inlineStr"/>
      <c r="AB1418" s="5" t="inlineStr"/>
      <c r="AC1418" s="5" t="inlineStr"/>
      <c r="AD1418" s="5" t="inlineStr"/>
      <c r="AE1418" s="5" t="inlineStr"/>
      <c r="AF1418" s="5" t="inlineStr"/>
      <c r="AG1418" s="5" t="inlineStr"/>
      <c r="AH1418" s="5" t="inlineStr"/>
    </row>
    <row r="1419">
      <c r="A1419" s="5" t="inlineStr">
        <is>
          <t>b8-yargi-yuksek</t>
        </is>
      </c>
      <c r="B1419" s="5" t="n">
        <v>2</v>
      </c>
      <c r="C1419" s="6" t="inlineStr">
        <is>
          <t>Tuhaf davaları anlat</t>
        </is>
      </c>
      <c r="D1419" s="5" t="inlineStr">
        <is>
          <t>Çene</t>
        </is>
      </c>
      <c r="E1419" s="5" t="inlineStr">
        <is>
          <t>Orta</t>
        </is>
      </c>
      <c r="F1419" s="5" t="inlineStr"/>
      <c r="G1419" s="6" t="inlineStr"/>
      <c r="H1419" s="6" t="inlineStr">
        <is>
          <t>Horoz, aidat, kedi... Kurul güldü, sonra düşündü: hukuk en küçük davada da hukuktu. Üye seçildin.</t>
        </is>
      </c>
      <c r="I1419" s="6" t="inlineStr">
        <is>
          <t>Kurul o kadar etkilendi ki seni oy birliğiyle seçti. Başkan açılış konuşmasında kedi davandan söz etti; adını yanlış söyledi ama.</t>
        </is>
      </c>
      <c r="J1419" s="6" t="inlineStr">
        <is>
          <t>Kurul güldü, güldü, sonra bir sonraki adaya geçti. Hikâyelerin koridora yayıldı; koltuk yayılmadı.</t>
        </is>
      </c>
      <c r="K1419" s="6" t="inlineStr">
        <is>
          <t>Kedi davasını anlatırken Pamuk ile Paşa'yı karıştırdın. Kurul başkanı Paşacıymış. Seçilemedin.</t>
        </is>
      </c>
      <c r="L1419" s="6" t="inlineStr"/>
      <c r="M1419" s="5" t="inlineStr"/>
      <c r="N1419" s="5" t="inlineStr"/>
      <c r="O1419" s="6" t="inlineStr"/>
      <c r="P1419" s="6" t="inlineStr"/>
      <c r="Q1419" s="5" t="inlineStr"/>
      <c r="R1419" s="5" t="inlineStr"/>
      <c r="S1419" s="5" t="inlineStr"/>
      <c r="T1419" s="5" t="inlineStr"/>
      <c r="U1419" s="5" t="inlineStr"/>
      <c r="V1419" s="5" t="inlineStr">
        <is>
          <t>yargi-yuksek</t>
        </is>
      </c>
      <c r="W1419" s="5" t="inlineStr"/>
      <c r="X1419" s="5" t="inlineStr"/>
      <c r="Y1419" s="5" t="inlineStr"/>
      <c r="Z1419" s="6" t="inlineStr"/>
      <c r="AA1419" s="5" t="inlineStr"/>
      <c r="AB1419" s="5" t="inlineStr"/>
      <c r="AC1419" s="5" t="inlineStr"/>
      <c r="AD1419" s="5" t="inlineStr"/>
      <c r="AE1419" s="5" t="inlineStr"/>
      <c r="AF1419" s="5" t="inlineStr"/>
      <c r="AG1419" s="5" t="inlineStr"/>
      <c r="AH1419" s="5" t="inlineStr"/>
    </row>
    <row r="1420">
      <c r="A1420" s="5" t="inlineStr">
        <is>
          <t>b8-yargi-yuksek</t>
        </is>
      </c>
      <c r="B1420" s="5" t="n">
        <v>3</v>
      </c>
      <c r="C1420" s="6" t="inlineStr">
        <is>
          <t>Bozulan kararlarını da anlat</t>
        </is>
      </c>
      <c r="D1420" s="5" t="inlineStr">
        <is>
          <t>İtibar</t>
        </is>
      </c>
      <c r="E1420" s="5" t="inlineStr">
        <is>
          <t>Zor</t>
        </is>
      </c>
      <c r="F1420" s="5" t="inlineStr"/>
      <c r="G1420" s="6" t="inlineStr"/>
      <c r="H1420" s="6" t="inlineStr">
        <is>
          <t>Bozulan kararlarını ve neden bozulduklarını anlattın. Kurul bunu hiçbir adaydan duymamıştı. Üye seçildin; ilk dosyan başkasının hatası.</t>
        </is>
      </c>
      <c r="I1420" s="6" t="inlineStr">
        <is>
          <t>Kurul dürüstlüğünü öyle sevdi ki seni seçti ve konuşmanı yeni hâkimlere okuttu. Artık bütün adaylar hatalarını anlatıyor; senin kadar iyi değil.</t>
        </is>
      </c>
      <c r="J1420" s="6" t="inlineStr">
        <is>
          <t>Hatalarını anlattın; kurul dinledi ve hatasız görünen bir adayı seçti. Sen yerinde kaldın, vicdanın hafifledi.</t>
        </is>
      </c>
      <c r="K1420" s="6" t="inlineStr">
        <is>
          <t>Hatalarını anlatmaya başladın, liste uzadı, zaman bitti. Kurul iyi kararlarına hiç gelemedi.</t>
        </is>
      </c>
      <c r="L1420" s="6" t="inlineStr"/>
      <c r="M1420" s="5" t="inlineStr"/>
      <c r="N1420" s="5" t="inlineStr"/>
      <c r="O1420" s="6" t="inlineStr"/>
      <c r="P1420" s="6" t="inlineStr"/>
      <c r="Q1420" s="5" t="inlineStr"/>
      <c r="R1420" s="5" t="inlineStr"/>
      <c r="S1420" s="5" t="inlineStr"/>
      <c r="T1420" s="5" t="inlineStr">
        <is>
          <t>Kendine Gülebilir</t>
        </is>
      </c>
      <c r="U1420" s="5" t="inlineStr"/>
      <c r="V1420" s="5" t="inlineStr">
        <is>
          <t>yargi-yuksek</t>
        </is>
      </c>
      <c r="W1420" s="5" t="inlineStr"/>
      <c r="X1420" s="5" t="inlineStr"/>
      <c r="Y1420" s="5" t="inlineStr"/>
      <c r="Z1420" s="6" t="inlineStr"/>
      <c r="AA1420" s="5" t="inlineStr"/>
      <c r="AB1420" s="5" t="inlineStr"/>
      <c r="AC1420" s="5" t="inlineStr"/>
      <c r="AD1420" s="5" t="inlineStr"/>
      <c r="AE1420" s="5" t="inlineStr"/>
      <c r="AF1420" s="5" t="inlineStr"/>
      <c r="AG1420" s="5" t="inlineStr"/>
      <c r="AH1420" s="5" t="inlineStr"/>
    </row>
    <row r="1421">
      <c r="A1421" s="5" t="inlineStr">
        <is>
          <t>b8-yargi-yuksek</t>
        </is>
      </c>
      <c r="B1421" s="5" t="n">
        <v>4</v>
      </c>
      <c r="C1421" s="6" t="inlineStr">
        <is>
          <t>Horoz Kararı'nı öne çıkar</t>
        </is>
      </c>
      <c r="D1421" s="5" t="inlineStr">
        <is>
          <t>Akıl</t>
        </is>
      </c>
      <c r="E1421" s="5" t="inlineStr">
        <is>
          <t>Kolay</t>
        </is>
      </c>
      <c r="F1421" s="5" t="inlineStr"/>
      <c r="G1421" s="6" t="inlineStr"/>
      <c r="H1421" s="6" t="inlineStr">
        <is>
          <t>Kurulun yarısı Horoz Kararı'nı fakültede okumuş. Biri “Horozcu hâkim bu mu?” diye fısıldadı. Üye seçildin; ilk günün sabah dörtte başladı.</t>
        </is>
      </c>
      <c r="I1421" s="6" t="inlineStr">
        <is>
          <t>Kurul başkanı Horoz Kararı'nın çerçeveli bir kopyasını getirmişti; imzalamanı istedi. Oy birliğiyle üye seçildin.</t>
        </is>
      </c>
      <c r="J1421" s="6" t="inlineStr">
        <is>
          <t>Horoz Kararı'nı herkes biliyordu ama kurul “Başka ne yaptınız?” diye sordu. Cevabın horozdan kısa sürdü.</t>
        </is>
      </c>
      <c r="K1421" s="6" t="inlineStr">
        <is>
          <t>Kararı anlatırken horoz taklidi yaptın. Salon güldü, kurul gülmedi. Dosyan sıranın sonuna gitti.</t>
        </is>
      </c>
      <c r="L1421" s="6" t="inlineStr"/>
      <c r="M1421" s="5" t="inlineStr"/>
      <c r="N1421" s="5" t="inlineStr"/>
      <c r="O1421" s="6" t="inlineStr"/>
      <c r="P1421" s="6" t="inlineStr"/>
      <c r="Q1421" s="5" t="inlineStr"/>
      <c r="R1421" s="5" t="inlineStr">
        <is>
          <t>yargi-horoz-karari</t>
        </is>
      </c>
      <c r="S1421" s="5" t="inlineStr"/>
      <c r="T1421" s="5" t="inlineStr"/>
      <c r="U1421" s="5" t="inlineStr"/>
      <c r="V1421" s="5" t="inlineStr">
        <is>
          <t>yargi-yuksek</t>
        </is>
      </c>
      <c r="W1421" s="5" t="inlineStr"/>
      <c r="X1421" s="5" t="inlineStr"/>
      <c r="Y1421" s="5" t="inlineStr"/>
      <c r="Z1421" s="6" t="inlineStr"/>
      <c r="AA1421" s="5" t="inlineStr"/>
      <c r="AB1421" s="5" t="inlineStr"/>
      <c r="AC1421" s="5" t="inlineStr"/>
      <c r="AD1421" s="5" t="inlineStr"/>
      <c r="AE1421" s="5" t="inlineStr"/>
      <c r="AF1421" s="5" t="inlineStr"/>
      <c r="AG1421" s="5" t="inlineStr"/>
      <c r="AH1421" s="5" t="inlineStr"/>
    </row>
    <row r="1422">
      <c r="A1422" s="5" t="inlineStr">
        <is>
          <t>b8-yargi-denetim</t>
        </is>
      </c>
      <c r="B1422" s="5" t="n">
        <v>1</v>
      </c>
      <c r="C1422" s="6" t="inlineStr">
        <is>
          <t>Her soruya dosyayla cevap ver</t>
        </is>
      </c>
      <c r="D1422" s="5" t="inlineStr"/>
      <c r="E1422" s="5" t="inlineStr"/>
      <c r="F1422" s="5" t="inlineStr">
        <is>
          <t>Akıl +1, Dayanıklılık +1</t>
        </is>
      </c>
      <c r="G1422" s="6" t="inlineStr">
        <is>
          <t>Her soruya dosyadan bir sayfa gösterdin. İnceleme üç hafta sürdü. Raporda tek eleştiri: “Gerekçeler gereğinden uzun.”</t>
        </is>
      </c>
      <c r="H1422" s="6" t="inlineStr"/>
      <c r="I1422" s="6" t="inlineStr"/>
      <c r="J1422" s="6" t="inlineStr"/>
      <c r="K1422" s="6" t="inlineStr"/>
      <c r="L1422" s="6" t="inlineStr"/>
      <c r="M1422" s="5" t="inlineStr"/>
      <c r="N1422" s="5" t="inlineStr"/>
      <c r="O1422" s="6" t="inlineStr"/>
      <c r="P1422" s="6" t="inlineStr"/>
      <c r="Q1422" s="5" t="inlineStr"/>
      <c r="R1422" s="5" t="inlineStr"/>
      <c r="S1422" s="5" t="inlineStr"/>
      <c r="T1422" s="5" t="inlineStr"/>
      <c r="U1422" s="5" t="inlineStr"/>
      <c r="V1422" s="5" t="inlineStr"/>
      <c r="W1422" s="5" t="inlineStr"/>
      <c r="X1422" s="5" t="inlineStr"/>
      <c r="Y1422" s="5" t="inlineStr"/>
      <c r="Z1422" s="6" t="inlineStr"/>
      <c r="AA1422" s="5" t="inlineStr"/>
      <c r="AB1422" s="5" t="inlineStr"/>
      <c r="AC1422" s="5" t="inlineStr"/>
      <c r="AD1422" s="5" t="inlineStr"/>
      <c r="AE1422" s="5" t="inlineStr"/>
      <c r="AF1422" s="5" t="inlineStr"/>
      <c r="AG1422" s="5" t="inlineStr"/>
      <c r="AH1422" s="5" t="inlineStr"/>
    </row>
    <row r="1423">
      <c r="A1423" s="5" t="inlineStr">
        <is>
          <t>b8-yargi-denetim</t>
        </is>
      </c>
      <c r="B1423" s="5" t="n">
        <v>2</v>
      </c>
      <c r="C1423" s="6" t="inlineStr">
        <is>
          <t>Kalın dosyayı birlikte oku</t>
        </is>
      </c>
      <c r="D1423" s="5" t="inlineStr">
        <is>
          <t>Akıl</t>
        </is>
      </c>
      <c r="E1423" s="5" t="inlineStr">
        <is>
          <t>Orta</t>
        </is>
      </c>
      <c r="F1423" s="5" t="inlineStr"/>
      <c r="G1423" s="6" t="inlineStr"/>
      <c r="H1423" s="6" t="inlineStr">
        <is>
          <t>Kalın dosyayı müfettişle sayfa sayfa okudun; her kararın bir gerekçesi vardı. Müfettiş dosyayı kapattı: “Temiz.”</t>
        </is>
      </c>
      <c r="I1423" s="6" t="inlineStr">
        <is>
          <t>Dosyayı öyle anlattın ki müfettiş kendi notlarını sildi, senin gerekçeni rapora aldı. Kurul raporu seni örnek gösterdi.</t>
        </is>
      </c>
      <c r="J1423" s="6" t="inlineStr">
        <is>
          <t>Okudunuz ama müfettiş üçüncü sayfada takıldı, bir daha çıkamadı. İnceleme bir ay uzadı.</t>
        </is>
      </c>
      <c r="K1423" s="6" t="inlineStr">
        <is>
          <t>Kalın dosyayı okurken kendi el yazını çözemedin. Müfettiş de çözemedi. Raporda “okunaksız gerekçe” notu var.</t>
        </is>
      </c>
      <c r="L1423" s="6" t="inlineStr"/>
      <c r="M1423" s="5" t="inlineStr"/>
      <c r="N1423" s="5" t="inlineStr"/>
      <c r="O1423" s="6" t="inlineStr"/>
      <c r="P1423" s="6" t="inlineStr"/>
      <c r="Q1423" s="5" t="inlineStr"/>
      <c r="R1423" s="5" t="inlineStr"/>
      <c r="S1423" s="5" t="inlineStr"/>
      <c r="T1423" s="5" t="inlineStr"/>
      <c r="U1423" s="5" t="inlineStr"/>
      <c r="V1423" s="5" t="inlineStr"/>
      <c r="W1423" s="5" t="inlineStr"/>
      <c r="X1423" s="5" t="inlineStr"/>
      <c r="Y1423" s="5" t="inlineStr"/>
      <c r="Z1423" s="6" t="inlineStr"/>
      <c r="AA1423" s="5" t="inlineStr"/>
      <c r="AB1423" s="5" t="inlineStr"/>
      <c r="AC1423" s="5" t="inlineStr"/>
      <c r="AD1423" s="5" t="inlineStr"/>
      <c r="AE1423" s="5" t="inlineStr"/>
      <c r="AF1423" s="5" t="inlineStr"/>
      <c r="AG1423" s="5" t="inlineStr"/>
      <c r="AH1423" s="5" t="inlineStr"/>
    </row>
    <row r="1424">
      <c r="A1424" s="5" t="inlineStr">
        <is>
          <t>b8-yargi-denetim</t>
        </is>
      </c>
      <c r="B1424" s="5" t="n">
        <v>3</v>
      </c>
      <c r="C1424" s="6" t="inlineStr">
        <is>
          <t>Müfettişin endişesini sez</t>
        </is>
      </c>
      <c r="D1424" s="5" t="inlineStr">
        <is>
          <t>İtibar</t>
        </is>
      </c>
      <c r="E1424" s="5" t="inlineStr">
        <is>
          <t>Orta</t>
        </is>
      </c>
      <c r="F1424" s="5" t="inlineStr"/>
      <c r="G1424" s="6" t="inlineStr"/>
      <c r="H1424" s="6" t="inlineStr">
        <is>
          <t>Müfettişin aslında bir kararından değil, tüm adliyenin yükünden endişeli olduğunu anladın. Birlikte bir iş yükü raporu yazdınız.</t>
        </is>
      </c>
      <c r="I1424" s="6" t="inlineStr">
        <is>
          <t>Müfettişle yazdığınız rapor adliyeye üç yeni hâkim kazandırdı. Müfettiş gidereken sana bir ceviz torbası bıraktı; nereden bildi, bilinmez.</t>
        </is>
      </c>
      <c r="J1424" s="6" t="inlineStr">
        <is>
          <t>Sezdin ama müfettiş kişisel bir şey konuşmaya hiç niyetli değildi. İnceleme kitabına göre sürdü.</t>
        </is>
      </c>
      <c r="K1424" s="6" t="inlineStr">
        <is>
          <t>Müfettişe hâlini hatırını sordun; müfettiş bunu baskı saydı ve tutanağa yazdı. Hatır sormak da dosyaya girdi.</t>
        </is>
      </c>
      <c r="L1424" s="6" t="inlineStr"/>
      <c r="M1424" s="5" t="inlineStr"/>
      <c r="N1424" s="5" t="inlineStr"/>
      <c r="O1424" s="6" t="inlineStr"/>
      <c r="P1424" s="6" t="inlineStr"/>
      <c r="Q1424" s="5" t="inlineStr"/>
      <c r="R1424" s="5" t="inlineStr"/>
      <c r="S1424" s="5" t="inlineStr"/>
      <c r="T1424" s="5" t="inlineStr"/>
      <c r="U1424" s="5" t="inlineStr"/>
      <c r="V1424" s="5" t="inlineStr"/>
      <c r="W1424" s="5" t="inlineStr"/>
      <c r="X1424" s="5" t="inlineStr"/>
      <c r="Y1424" s="5" t="inlineStr"/>
      <c r="Z1424" s="6" t="inlineStr"/>
      <c r="AA1424" s="5" t="inlineStr"/>
      <c r="AB1424" s="5" t="inlineStr"/>
      <c r="AC1424" s="5" t="inlineStr"/>
      <c r="AD1424" s="5" t="inlineStr"/>
      <c r="AE1424" s="5" t="inlineStr"/>
      <c r="AF1424" s="5" t="inlineStr"/>
      <c r="AG1424" s="5" t="inlineStr"/>
      <c r="AH1424" s="5" t="inlineStr"/>
    </row>
    <row r="1425">
      <c r="A1425" s="5" t="inlineStr">
        <is>
          <t>b8-yargi-denetim</t>
        </is>
      </c>
      <c r="B1425" s="5" t="n">
        <v>4</v>
      </c>
      <c r="C1425" s="6" t="inlineStr">
        <is>
          <t>Kalın dosyayı sessizce geri çek</t>
        </is>
      </c>
      <c r="D1425" s="5" t="inlineStr">
        <is>
          <t>Kurnazlık</t>
        </is>
      </c>
      <c r="E1425" s="5" t="inlineStr">
        <is>
          <t>Zor</t>
        </is>
      </c>
      <c r="F1425" s="5" t="inlineStr"/>
      <c r="G1425" s="6" t="inlineStr"/>
      <c r="H1425" s="6" t="inlineStr">
        <is>
          <t>Dosyayı “eksik evrak” diye kaleme geri gönderdin. Kalem dosyayı başka bir rafa koydu; o raf, adliyenin unuttuğu raf.</t>
        </is>
      </c>
      <c r="I1425" s="6" t="inlineStr">
        <is>
          <t>Dosya geri çekildi, sonra adliye taşındı, sonra dosya yeni binaya hiç gelmedi. Yıllardır ilk kez rahat nefes aldın.</t>
        </is>
      </c>
      <c r="J1425" s="6" t="inlineStr">
        <is>
          <t>Dosyayı geri çekmeye çalıştın; kalem müdürü “Müfettiş istedi, veremem” dedi. Dosya masada kaldı, sen de terle.</t>
        </is>
      </c>
      <c r="K1425" s="6" t="inlineStr">
        <is>
          <t>Dosyayı akşam çantana koydun; çıkışta güvenlik kontrolü yeni başlamıştı. Soruşturma o gece açıldı.</t>
        </is>
      </c>
      <c r="L1425" s="6" t="inlineStr"/>
      <c r="M1425" s="5" t="inlineStr"/>
      <c r="N1425" s="5" t="inlineStr"/>
      <c r="O1425" s="6" t="inlineStr"/>
      <c r="P1425" s="6" t="inlineStr"/>
      <c r="Q1425" s="5" t="inlineStr"/>
      <c r="R1425" s="5" t="inlineStr">
        <is>
          <t>yargi-leke</t>
        </is>
      </c>
      <c r="S1425" s="5" t="inlineStr"/>
      <c r="T1425" s="5" t="inlineStr"/>
      <c r="U1425" s="5" t="inlineStr"/>
      <c r="V1425" s="5" t="inlineStr"/>
      <c r="W1425" s="5" t="inlineStr">
        <is>
          <t>hapis</t>
        </is>
      </c>
      <c r="X1425" s="5" t="inlineStr"/>
      <c r="Y1425" s="5" t="inlineStr"/>
      <c r="Z1425" s="6" t="inlineStr"/>
      <c r="AA1425" s="5" t="inlineStr"/>
      <c r="AB1425" s="5" t="inlineStr"/>
      <c r="AC1425" s="5" t="inlineStr"/>
      <c r="AD1425" s="5" t="inlineStr"/>
      <c r="AE1425" s="5" t="inlineStr"/>
      <c r="AF1425" s="5" t="inlineStr"/>
      <c r="AG1425" s="5" t="inlineStr"/>
      <c r="AH1425" s="5" t="inlineStr"/>
    </row>
    <row r="1426">
      <c r="A1426" s="5" t="inlineStr">
        <is>
          <t>b9-yargi-ceviz</t>
        </is>
      </c>
      <c r="B1426" s="5" t="n">
        <v>1</v>
      </c>
      <c r="C1426" s="6" t="inlineStr">
        <is>
          <t>Kararı yaz, cübbeyi as</t>
        </is>
      </c>
      <c r="D1426" s="5" t="inlineStr"/>
      <c r="E1426" s="5" t="inlineStr"/>
      <c r="F1426" s="5" t="inlineStr">
        <is>
          <t>Akıl +1, İtibar +1</t>
        </is>
      </c>
      <c r="G1426" s="6" t="inlineStr">
        <is>
          <t>Kırk yıllık davaya iki sayfalık bir karar yazdın, cübbeni astın. Çıkarken kapında bir torba ceviz vardı; kimden, yazmıyor.</t>
        </is>
      </c>
      <c r="H1426" s="6" t="inlineStr"/>
      <c r="I1426" s="6" t="inlineStr"/>
      <c r="J1426" s="6" t="inlineStr"/>
      <c r="K1426" s="6" t="inlineStr"/>
      <c r="L1426" s="6" t="inlineStr"/>
      <c r="M1426" s="5" t="inlineStr"/>
      <c r="N1426" s="5" t="inlineStr"/>
      <c r="O1426" s="6" t="inlineStr"/>
      <c r="P1426" s="6" t="inlineStr"/>
      <c r="Q1426" s="5" t="inlineStr"/>
      <c r="R1426" s="5" t="inlineStr"/>
      <c r="S1426" s="5" t="inlineStr"/>
      <c r="T1426" s="5" t="inlineStr"/>
      <c r="U1426" s="5" t="inlineStr"/>
      <c r="V1426" s="5" t="inlineStr"/>
      <c r="W1426" s="5" t="inlineStr"/>
      <c r="X1426" s="5" t="inlineStr"/>
      <c r="Y1426" s="5" t="inlineStr"/>
      <c r="Z1426" s="6" t="inlineStr"/>
      <c r="AA1426" s="5" t="inlineStr"/>
      <c r="AB1426" s="5" t="inlineStr"/>
      <c r="AC1426" s="5" t="inlineStr"/>
      <c r="AD1426" s="5" t="inlineStr"/>
      <c r="AE1426" s="5" t="inlineStr"/>
      <c r="AF1426" s="5" t="inlineStr"/>
      <c r="AG1426" s="5" t="inlineStr"/>
      <c r="AH1426" s="5" t="inlineStr"/>
    </row>
    <row r="1427">
      <c r="A1427" s="5" t="inlineStr">
        <is>
          <t>b9-yargi-ceviz</t>
        </is>
      </c>
      <c r="B1427" s="5" t="n">
        <v>2</v>
      </c>
      <c r="C1427" s="6" t="inlineStr">
        <is>
          <t>Torunları ağacın altında buluştur</t>
        </is>
      </c>
      <c r="D1427" s="5" t="inlineStr">
        <is>
          <t>İtibar</t>
        </is>
      </c>
      <c r="E1427" s="5" t="inlineStr">
        <is>
          <t>Orta</t>
        </is>
      </c>
      <c r="F1427" s="5" t="inlineStr"/>
      <c r="G1427" s="6" t="inlineStr"/>
      <c r="H1427" s="6" t="inlineStr">
        <is>
          <t>İki torunu ağacın altında buluşturdun. Dedelerinin aynı ağaçtan düştüğünü öğrendiler; ikisinin de. Dava geri çekildi, ağacın altına bank kondu.</t>
        </is>
      </c>
      <c r="I1427" s="6" t="inlineStr">
        <is>
          <t>Torunlar ağacın altında tanıştı, sonra bir daha tanıştı, sonra nişanlandı. Düğüne seni de çağırdılar; ceviz dağıtıldı.</t>
        </is>
      </c>
      <c r="J1427" s="6" t="inlineStr">
        <is>
          <t>Torunlar ağacın altında dedeleri gibi kavga etti. Kin de ağaç gibi köklüymüş. Kararı sen verdin, mecburen.</t>
        </is>
      </c>
      <c r="K1427" s="6" t="inlineStr">
        <is>
          <t>Keşifte ceviz başına düştü. Kırk yıl önceki tutanak da aynı cümleyle bitiyordu; kâtip ikisini yan yana dosyaladı.</t>
        </is>
      </c>
      <c r="L1427" s="6" t="inlineStr"/>
      <c r="M1427" s="5" t="inlineStr"/>
      <c r="N1427" s="5" t="inlineStr"/>
      <c r="O1427" s="6" t="inlineStr"/>
      <c r="P1427" s="6" t="inlineStr"/>
      <c r="Q1427" s="5" t="inlineStr"/>
      <c r="R1427" s="5" t="inlineStr"/>
      <c r="S1427" s="5" t="inlineStr"/>
      <c r="T1427" s="5" t="inlineStr"/>
      <c r="U1427" s="5" t="inlineStr"/>
      <c r="V1427" s="5" t="inlineStr"/>
      <c r="W1427" s="5" t="inlineStr"/>
      <c r="X1427" s="5" t="inlineStr"/>
      <c r="Y1427" s="5" t="inlineStr"/>
      <c r="Z1427" s="6" t="inlineStr"/>
      <c r="AA1427" s="5" t="inlineStr"/>
      <c r="AB1427" s="5" t="inlineStr"/>
      <c r="AC1427" s="5" t="inlineStr"/>
      <c r="AD1427" s="5" t="inlineStr"/>
      <c r="AE1427" s="5" t="inlineStr"/>
      <c r="AF1427" s="5" t="inlineStr"/>
      <c r="AG1427" s="5" t="inlineStr"/>
      <c r="AH1427" s="5" t="inlineStr"/>
    </row>
    <row r="1428">
      <c r="A1428" s="5" t="inlineStr">
        <is>
          <t>b9-yargi-ceviz</t>
        </is>
      </c>
      <c r="B1428" s="5" t="n">
        <v>3</v>
      </c>
      <c r="C1428" s="6" t="inlineStr">
        <is>
          <t>Son kararına bir paragraf ekle</t>
        </is>
      </c>
      <c r="D1428" s="5" t="inlineStr">
        <is>
          <t>Akıl</t>
        </is>
      </c>
      <c r="E1428" s="5" t="inlineStr">
        <is>
          <t>Zor</t>
        </is>
      </c>
      <c r="F1428" s="5" t="inlineStr"/>
      <c r="G1428" s="6" t="inlineStr"/>
      <c r="H1428" s="6" t="inlineStr">
        <is>
          <t>Kararın sonuna bir paragraf ekledin: ağaç yüz yıl yaşar, kin bir ömür; hangisini miras bırakacağınıza siz karar verin. Paragraf fakülte kitabına girdi.</t>
        </is>
      </c>
      <c r="I1428" s="6" t="inlineStr">
        <is>
          <t>Paragraf öyle sevildi ki kasabada ağacın altına taşa kazındı. Taraflar her okuyuşta biraz utanıyor, biraz ceviz topluyor.</t>
        </is>
      </c>
      <c r="J1428" s="6" t="inlineStr">
        <is>
          <t>Paragrafı yazdın, sildin, yeniden yazdın. Karar çıktı; paragraf çekmecende kaldı.</t>
        </is>
      </c>
      <c r="K1428" s="6" t="inlineStr">
        <is>
          <t>Paragraf öyle uzadı ki karar iki cilt oldu. Taraflar okumaktan bıkıp uzlaştı; ama yanlış sebepten.</t>
        </is>
      </c>
      <c r="L1428" s="6" t="inlineStr"/>
      <c r="M1428" s="5" t="inlineStr"/>
      <c r="N1428" s="5" t="inlineStr"/>
      <c r="O1428" s="6" t="inlineStr"/>
      <c r="P1428" s="6" t="inlineStr"/>
      <c r="Q1428" s="5" t="inlineStr"/>
      <c r="R1428" s="5" t="inlineStr"/>
      <c r="S1428" s="5" t="inlineStr"/>
      <c r="T1428" s="5" t="inlineStr">
        <is>
          <t>Bahçe Filozofu</t>
        </is>
      </c>
      <c r="U1428" s="5" t="inlineStr"/>
      <c r="V1428" s="5" t="inlineStr"/>
      <c r="W1428" s="5" t="inlineStr"/>
      <c r="X1428" s="5" t="inlineStr"/>
      <c r="Y1428" s="5" t="inlineStr"/>
      <c r="Z1428" s="6" t="inlineStr"/>
      <c r="AA1428" s="5" t="inlineStr"/>
      <c r="AB1428" s="5" t="inlineStr"/>
      <c r="AC1428" s="5" t="inlineStr"/>
      <c r="AD1428" s="5" t="inlineStr"/>
      <c r="AE1428" s="5" t="inlineStr"/>
      <c r="AF1428" s="5" t="inlineStr"/>
      <c r="AG1428" s="5" t="inlineStr"/>
      <c r="AH1428" s="5" t="inlineStr"/>
    </row>
    <row r="1429">
      <c r="A1429" s="5" t="inlineStr">
        <is>
          <t>b7-hekim-ilce</t>
        </is>
      </c>
      <c r="B1429" s="5" t="n">
        <v>1</v>
      </c>
      <c r="C1429" s="6" t="inlineStr">
        <is>
          <t>Kapıya mesai saatini as</t>
        </is>
      </c>
      <c r="D1429" s="5" t="inlineStr"/>
      <c r="E1429" s="5" t="inlineStr"/>
      <c r="F1429" s="5" t="inlineStr">
        <is>
          <t>Dayanıklılık +1, Akıl +1</t>
        </is>
      </c>
      <c r="G1429" s="6" t="inlineStr">
        <is>
          <t>Kapıya mesai saatlerini yazan bir tabela astın. Ertesi gün tabelanın altına biri ekleme yapmış: “Acilse evine gidin.” Adresin de yazılı.</t>
        </is>
      </c>
      <c r="H1429" s="6" t="inlineStr"/>
      <c r="I1429" s="6" t="inlineStr"/>
      <c r="J1429" s="6" t="inlineStr"/>
      <c r="K1429" s="6" t="inlineStr"/>
      <c r="L1429" s="6" t="inlineStr"/>
      <c r="M1429" s="5" t="inlineStr"/>
      <c r="N1429" s="5" t="inlineStr"/>
      <c r="O1429" s="6" t="inlineStr"/>
      <c r="P1429" s="6" t="inlineStr"/>
      <c r="Q1429" s="5" t="inlineStr"/>
      <c r="R1429" s="5" t="inlineStr"/>
      <c r="S1429" s="5" t="inlineStr"/>
      <c r="T1429" s="5" t="inlineStr"/>
      <c r="U1429" s="5" t="inlineStr"/>
      <c r="V1429" s="5" t="inlineStr"/>
      <c r="W1429" s="5" t="inlineStr"/>
      <c r="X1429" s="5" t="inlineStr"/>
      <c r="Y1429" s="5" t="inlineStr"/>
      <c r="Z1429" s="6" t="inlineStr"/>
      <c r="AA1429" s="5" t="inlineStr"/>
      <c r="AB1429" s="5" t="inlineStr"/>
      <c r="AC1429" s="5" t="inlineStr"/>
      <c r="AD1429" s="5" t="inlineStr"/>
      <c r="AE1429" s="5" t="inlineStr"/>
      <c r="AF1429" s="5" t="inlineStr"/>
      <c r="AG1429" s="5" t="inlineStr"/>
      <c r="AH1429" s="5" t="inlineStr"/>
    </row>
    <row r="1430">
      <c r="A1430" s="5" t="inlineStr">
        <is>
          <t>b7-hekim-ilce</t>
        </is>
      </c>
      <c r="B1430" s="5" t="n">
        <v>2</v>
      </c>
      <c r="C1430" s="6" t="inlineStr">
        <is>
          <t>Pazar yerine sağlık masası kur</t>
        </is>
      </c>
      <c r="D1430" s="5" t="inlineStr">
        <is>
          <t>Dayanıklılık</t>
        </is>
      </c>
      <c r="E1430" s="5" t="inlineStr">
        <is>
          <t>Orta</t>
        </is>
      </c>
      <c r="F1430" s="5" t="inlineStr"/>
      <c r="G1430" s="6" t="inlineStr"/>
      <c r="H1430" s="6" t="inlineStr">
        <is>
          <t>Pazarın ortasına masa kurdun, akşama kadar tansiyon ölçtün. Karşılığında domates, peynir, bir kavanoz reçel. İlçe seni evlat bildi.</t>
        </is>
      </c>
      <c r="I1430" s="6" t="inlineStr">
        <is>
          <t>Pazar masası öyle tuttu ki ilçe dergisi kapak yaptı: “Bizim Doktor.” Başhekim kıskandı; başhekim sensin.</t>
        </is>
      </c>
      <c r="J1430" s="6" t="inlineStr">
        <is>
          <t>Masa kurdun; herkes kendi tansiyonunu değil, bir akrabasının tahlilini getirdi. Akşama kadar başkalarının kâğıdını okudun.</t>
        </is>
      </c>
      <c r="K1430" s="6" t="inlineStr">
        <is>
          <t>Pazarcılar masanı tezgâh sandı; sana domates fiyatı soruldu. Farkında olmadan bir kilo sattın.</t>
        </is>
      </c>
      <c r="L1430" s="6" t="inlineStr"/>
      <c r="M1430" s="5" t="inlineStr"/>
      <c r="N1430" s="5" t="inlineStr"/>
      <c r="O1430" s="6" t="inlineStr"/>
      <c r="P1430" s="6" t="inlineStr"/>
      <c r="Q1430" s="5" t="inlineStr"/>
      <c r="R1430" s="5" t="inlineStr"/>
      <c r="S1430" s="5" t="inlineStr"/>
      <c r="T1430" s="5" t="inlineStr"/>
      <c r="U1430" s="5" t="inlineStr"/>
      <c r="V1430" s="5" t="inlineStr">
        <is>
          <t>hekim-ilce-sevgisi</t>
        </is>
      </c>
      <c r="W1430" s="5" t="inlineStr"/>
      <c r="X1430" s="5" t="inlineStr"/>
      <c r="Y1430" s="5" t="inlineStr"/>
      <c r="Z1430" s="6" t="inlineStr"/>
      <c r="AA1430" s="5" t="inlineStr"/>
      <c r="AB1430" s="5" t="inlineStr"/>
      <c r="AC1430" s="5" t="inlineStr"/>
      <c r="AD1430" s="5" t="inlineStr"/>
      <c r="AE1430" s="5" t="inlineStr"/>
      <c r="AF1430" s="5" t="inlineStr"/>
      <c r="AG1430" s="5" t="inlineStr"/>
      <c r="AH1430" s="5" t="inlineStr"/>
    </row>
    <row r="1431">
      <c r="A1431" s="5" t="inlineStr">
        <is>
          <t>b7-hekim-ilce</t>
        </is>
      </c>
      <c r="B1431" s="5" t="n">
        <v>3</v>
      </c>
      <c r="C1431" s="6" t="inlineStr">
        <is>
          <t>Aile grubuna kural koy</t>
        </is>
      </c>
      <c r="D1431" s="5" t="inlineStr">
        <is>
          <t>Pişkinlik</t>
        </is>
      </c>
      <c r="E1431" s="5" t="inlineStr">
        <is>
          <t>Zor</t>
        </is>
      </c>
      <c r="F1431" s="5" t="inlineStr"/>
      <c r="G1431" s="6" t="inlineStr"/>
      <c r="H1431" s="6" t="inlineStr">
        <is>
          <t>Gruba yazdın: “Fotoğraf değil, randevu.” Grup iki gün sustu. Üçüncü gün teyzen randevu aldı; dizinin fotoğrafını da getirdi, kâğıda basılı.</t>
        </is>
      </c>
      <c r="I1431" s="6" t="inlineStr">
        <is>
          <t>Kuralın tuttu; grup artık yalnızca bayram mesajı atıyor. Bir amcan telefonuna seni “Grubun Şerifi” diye kaydetmiş.</t>
        </is>
      </c>
      <c r="J1431" s="6" t="inlineStr">
        <is>
          <t>Kuralı yazdın. Bir dakika sonra bir kuzen sordu: “Bu kural dizler için de geçerli mi?”</t>
        </is>
      </c>
      <c r="K1431" s="6" t="inlineStr">
        <is>
          <t>Kuralı yanlışlıkla ilçe muhtarlar grubuna attın. Muhtarlar artık randevuyla konuşuyor; seninle bile.</t>
        </is>
      </c>
      <c r="L1431" s="6" t="inlineStr"/>
      <c r="M1431" s="5" t="inlineStr"/>
      <c r="N1431" s="5" t="inlineStr"/>
      <c r="O1431" s="6" t="inlineStr"/>
      <c r="P1431" s="6" t="inlineStr"/>
      <c r="Q1431" s="5" t="inlineStr"/>
      <c r="R1431" s="5" t="inlineStr"/>
      <c r="S1431" s="5" t="inlineStr"/>
      <c r="T1431" s="5" t="inlineStr">
        <is>
          <t>Son Sözü Söyler</t>
        </is>
      </c>
      <c r="U1431" s="5" t="inlineStr"/>
      <c r="V1431" s="5" t="inlineStr"/>
      <c r="W1431" s="5" t="inlineStr"/>
      <c r="X1431" s="5" t="inlineStr"/>
      <c r="Y1431" s="5" t="inlineStr"/>
      <c r="Z1431" s="6" t="inlineStr"/>
      <c r="AA1431" s="5" t="inlineStr"/>
      <c r="AB1431" s="5" t="inlineStr"/>
      <c r="AC1431" s="5" t="inlineStr"/>
      <c r="AD1431" s="5" t="inlineStr"/>
      <c r="AE1431" s="5" t="inlineStr"/>
      <c r="AF1431" s="5" t="inlineStr"/>
      <c r="AG1431" s="5" t="inlineStr"/>
      <c r="AH1431" s="5" t="inlineStr"/>
    </row>
    <row r="1432">
      <c r="A1432" s="5" t="inlineStr">
        <is>
          <t>b7-hekim-uzmanlik</t>
        </is>
      </c>
      <c r="B1432" s="5" t="n">
        <v>1</v>
      </c>
      <c r="C1432" s="6" t="inlineStr">
        <is>
          <t>“Bakıp söyleyeceğim” de</t>
        </is>
      </c>
      <c r="D1432" s="5" t="inlineStr"/>
      <c r="E1432" s="5" t="inlineStr"/>
      <c r="F1432" s="5" t="inlineStr">
        <is>
          <t>İtibar +1, Akıl +1</t>
        </is>
      </c>
      <c r="G1432" s="6" t="inlineStr">
        <is>
          <t>“Emin değilim hocam, bakıp söyleyeceğim” dedin. Hoca bir an sustu: “Bunu diyen üçüncü asistansın. Öbür ikisi profesör oldu.”</t>
        </is>
      </c>
      <c r="H1432" s="6" t="inlineStr"/>
      <c r="I1432" s="6" t="inlineStr"/>
      <c r="J1432" s="6" t="inlineStr"/>
      <c r="K1432" s="6" t="inlineStr"/>
      <c r="L1432" s="6" t="inlineStr"/>
      <c r="M1432" s="5" t="inlineStr"/>
      <c r="N1432" s="5" t="inlineStr"/>
      <c r="O1432" s="6" t="inlineStr"/>
      <c r="P1432" s="6" t="inlineStr"/>
      <c r="Q1432" s="5" t="inlineStr"/>
      <c r="R1432" s="5" t="inlineStr"/>
      <c r="S1432" s="5" t="inlineStr"/>
      <c r="T1432" s="5" t="inlineStr"/>
      <c r="U1432" s="5" t="inlineStr"/>
      <c r="V1432" s="5" t="inlineStr"/>
      <c r="W1432" s="5" t="inlineStr"/>
      <c r="X1432" s="5" t="inlineStr"/>
      <c r="Y1432" s="5" t="inlineStr"/>
      <c r="Z1432" s="6" t="inlineStr"/>
      <c r="AA1432" s="5" t="inlineStr"/>
      <c r="AB1432" s="5" t="inlineStr"/>
      <c r="AC1432" s="5" t="inlineStr"/>
      <c r="AD1432" s="5" t="inlineStr"/>
      <c r="AE1432" s="5" t="inlineStr"/>
      <c r="AF1432" s="5" t="inlineStr"/>
      <c r="AG1432" s="5" t="inlineStr"/>
      <c r="AH1432" s="5" t="inlineStr"/>
    </row>
    <row r="1433">
      <c r="A1433" s="5" t="inlineStr">
        <is>
          <t>b7-hekim-uzmanlik</t>
        </is>
      </c>
      <c r="B1433" s="5" t="n">
        <v>2</v>
      </c>
      <c r="C1433" s="6" t="inlineStr">
        <is>
          <t>Ayırıcı tanıları sırala</t>
        </is>
      </c>
      <c r="D1433" s="5" t="inlineStr">
        <is>
          <t>Akıl</t>
        </is>
      </c>
      <c r="E1433" s="5" t="inlineStr">
        <is>
          <t>Orta</t>
        </is>
      </c>
      <c r="F1433" s="5" t="inlineStr"/>
      <c r="G1433" s="6" t="inlineStr"/>
      <c r="H1433" s="6" t="inlineStr">
        <is>
          <t>Dokuz ihtimal saydın, sekizini tek tek eledin. Hoca başını salladı. Hasta da salladı; o da ikna olmuş.</t>
        </is>
      </c>
      <c r="I1433" s="6" t="inlineStr">
        <is>
          <t>Sıralaman öyle temizdi ki hoca vizitten sonra seni makale ekibine aldı. Makale senin uykusuzluğun hakkında değil, neyse ki.</t>
        </is>
      </c>
      <c r="J1433" s="6" t="inlineStr">
        <is>
          <t>Sekiz ihtimal saydın, dokuzuncuyu unuttun. Hoca dokuzuncuyu söyledi. Doğrusu oymuş.</t>
        </is>
      </c>
      <c r="K1433" s="6" t="inlineStr">
        <is>
          <t>Ayırıcı tanıları eksiksiz saydın, ama yan yataktaki hastanın. Hasta nazikçe düzeltti: “Doktor bey, o yandaki.”</t>
        </is>
      </c>
      <c r="L1433" s="6" t="inlineStr"/>
      <c r="M1433" s="5" t="inlineStr"/>
      <c r="N1433" s="5" t="inlineStr"/>
      <c r="O1433" s="6" t="inlineStr"/>
      <c r="P1433" s="6" t="inlineStr"/>
      <c r="Q1433" s="5" t="inlineStr"/>
      <c r="R1433" s="5" t="inlineStr"/>
      <c r="S1433" s="5" t="inlineStr"/>
      <c r="T1433" s="5" t="inlineStr"/>
      <c r="U1433" s="5" t="inlineStr"/>
      <c r="V1433" s="5" t="inlineStr"/>
      <c r="W1433" s="5" t="inlineStr"/>
      <c r="X1433" s="5" t="inlineStr"/>
      <c r="Y1433" s="5" t="inlineStr"/>
      <c r="Z1433" s="6" t="inlineStr"/>
      <c r="AA1433" s="5" t="inlineStr"/>
      <c r="AB1433" s="5" t="inlineStr"/>
      <c r="AC1433" s="5" t="inlineStr"/>
      <c r="AD1433" s="5" t="inlineStr"/>
      <c r="AE1433" s="5" t="inlineStr"/>
      <c r="AF1433" s="5" t="inlineStr"/>
      <c r="AG1433" s="5" t="inlineStr"/>
      <c r="AH1433" s="5" t="inlineStr"/>
    </row>
    <row r="1434">
      <c r="A1434" s="5" t="inlineStr">
        <is>
          <t>b7-hekim-uzmanlik</t>
        </is>
      </c>
      <c r="B1434" s="5" t="n">
        <v>3</v>
      </c>
      <c r="C1434" s="6" t="inlineStr">
        <is>
          <t>Uykusuz ama dimdik cevap ver</t>
        </is>
      </c>
      <c r="D1434" s="5" t="inlineStr">
        <is>
          <t>Dayanıklılık</t>
        </is>
      </c>
      <c r="E1434" s="5" t="inlineStr">
        <is>
          <t>Zor</t>
        </is>
      </c>
      <c r="F1434" s="5" t="inlineStr"/>
      <c r="G1434" s="6" t="inlineStr"/>
      <c r="H1434" s="6" t="inlineStr">
        <is>
          <t>Otuz altı saatlik uykusuzlukla cümleleri sendelemeden dizdin. Vizit bitince koridorda ayakta uyudun; kimse fark etmedi.</t>
        </is>
      </c>
      <c r="I1434" s="6" t="inlineStr">
        <is>
          <t>Cevabın kusursuzdu; hoca “Bu çocuk hiç uyumuyor mu?” diye sordu, övgü olarak. Ertesi ay baş asistan oldun; daha da az uyuyacaksın.</t>
        </is>
      </c>
      <c r="J1434" s="6" t="inlineStr">
        <is>
          <t>Cevabın ortasında bir kelime aradın, bulamadın. Hoca kelimeyi söyledi; sen de ekledin: “Aynen.”</t>
        </is>
      </c>
      <c r="K1434" s="6" t="inlineStr">
        <is>
          <t>Cevap verirken gözlerin kapandı. Uyandığında vizit iki oda ilerdeydi; hasta üstüne battaniye örtmüştü.</t>
        </is>
      </c>
      <c r="L1434" s="6" t="inlineStr"/>
      <c r="M1434" s="5" t="inlineStr"/>
      <c r="N1434" s="5" t="inlineStr"/>
      <c r="O1434" s="6" t="inlineStr"/>
      <c r="P1434" s="6" t="inlineStr"/>
      <c r="Q1434" s="5" t="inlineStr"/>
      <c r="R1434" s="5" t="inlineStr"/>
      <c r="S1434" s="5" t="inlineStr"/>
      <c r="T1434" s="5" t="inlineStr">
        <is>
          <t>Nöbet Disiplini</t>
        </is>
      </c>
      <c r="U1434" s="5" t="inlineStr"/>
      <c r="V1434" s="5" t="inlineStr"/>
      <c r="W1434" s="5" t="inlineStr"/>
      <c r="X1434" s="5" t="inlineStr"/>
      <c r="Y1434" s="5" t="inlineStr"/>
      <c r="Z1434" s="6" t="inlineStr"/>
      <c r="AA1434" s="5" t="inlineStr"/>
      <c r="AB1434" s="5" t="inlineStr"/>
      <c r="AC1434" s="5" t="inlineStr"/>
      <c r="AD1434" s="5" t="inlineStr"/>
      <c r="AE1434" s="5" t="inlineStr"/>
      <c r="AF1434" s="5" t="inlineStr"/>
      <c r="AG1434" s="5" t="inlineStr"/>
      <c r="AH1434" s="5" t="inlineStr"/>
    </row>
    <row r="1435">
      <c r="A1435" s="5" t="inlineStr">
        <is>
          <t>b7-hekim-hasta-yakini</t>
        </is>
      </c>
      <c r="B1435" s="5" t="n">
        <v>1</v>
      </c>
      <c r="C1435" s="6" t="inlineStr">
        <is>
          <t>Saat beşte tek bilgilendirme yap</t>
        </is>
      </c>
      <c r="D1435" s="5" t="inlineStr"/>
      <c r="E1435" s="5" t="inlineStr"/>
      <c r="F1435" s="5" t="inlineStr">
        <is>
          <t>Dayanıklılık +1, Sosyal Radar +1</t>
        </is>
      </c>
      <c r="G1435" s="6" t="inlineStr">
        <is>
          <t>Saat beşte koridorda tek bir bilgilendirme yaptın. On bir kişi dinledi, on ikincisi hoparlörden. Sonra hepsi tek tek gelip aynı soruyu sordu.</t>
        </is>
      </c>
      <c r="H1435" s="6" t="inlineStr"/>
      <c r="I1435" s="6" t="inlineStr"/>
      <c r="J1435" s="6" t="inlineStr"/>
      <c r="K1435" s="6" t="inlineStr"/>
      <c r="L1435" s="6" t="inlineStr"/>
      <c r="M1435" s="5" t="inlineStr"/>
      <c r="N1435" s="5" t="inlineStr"/>
      <c r="O1435" s="6" t="inlineStr"/>
      <c r="P1435" s="6" t="inlineStr"/>
      <c r="Q1435" s="5" t="inlineStr"/>
      <c r="R1435" s="5" t="inlineStr"/>
      <c r="S1435" s="5" t="inlineStr"/>
      <c r="T1435" s="5" t="inlineStr"/>
      <c r="U1435" s="5" t="inlineStr"/>
      <c r="V1435" s="5" t="inlineStr"/>
      <c r="W1435" s="5" t="inlineStr"/>
      <c r="X1435" s="5" t="inlineStr"/>
      <c r="Y1435" s="5" t="inlineStr"/>
      <c r="Z1435" s="6" t="inlineStr"/>
      <c r="AA1435" s="5" t="inlineStr"/>
      <c r="AB1435" s="5" t="inlineStr"/>
      <c r="AC1435" s="5" t="inlineStr"/>
      <c r="AD1435" s="5" t="inlineStr"/>
      <c r="AE1435" s="5" t="inlineStr"/>
      <c r="AF1435" s="5" t="inlineStr"/>
      <c r="AG1435" s="5" t="inlineStr"/>
      <c r="AH1435" s="5" t="inlineStr"/>
    </row>
    <row r="1436">
      <c r="A1436" s="5" t="inlineStr">
        <is>
          <t>b7-hekim-hasta-yakini</t>
        </is>
      </c>
      <c r="B1436" s="5" t="n">
        <v>2</v>
      </c>
      <c r="C1436" s="6" t="inlineStr">
        <is>
          <t>Aileden bir sözcü seç</t>
        </is>
      </c>
      <c r="D1436" s="5" t="inlineStr">
        <is>
          <t>Akıl</t>
        </is>
      </c>
      <c r="E1436" s="5" t="inlineStr">
        <is>
          <t>Orta</t>
        </is>
      </c>
      <c r="F1436" s="5" t="inlineStr"/>
      <c r="G1436" s="6" t="inlineStr"/>
      <c r="H1436" s="6" t="inlineStr">
        <is>
          <t>Aileden en sakin olanı sözcü yaptın. Bilgi ondan ötekilere aktı, koridor boşaldı. Sözcü de artık ailenin küçük doktoru.</t>
        </is>
      </c>
      <c r="I1436" s="6" t="inlineStr">
        <is>
          <t>Sözcü öyle iyi çıktı ki servis bu usulü bütün hasta aileleri için kural yaptı. Amca taburcu olurken sana değil sözcüye teşekkür etti.</t>
        </is>
      </c>
      <c r="J1436" s="6" t="inlineStr">
        <is>
          <t>Sözcüyü seçtin; öbür on kişi sözcüye güvenmedi. Artık on bir kişi artı bir sözcü var.</t>
        </is>
      </c>
      <c r="K1436" s="6" t="inlineStr">
        <is>
          <t>Sözcü seçtiğin kişi aileden değilmiş, yan odanın yakınıymış. İki aile birbirinin haberini aldı; yanlış haberleri.</t>
        </is>
      </c>
      <c r="L1436" s="6" t="inlineStr"/>
      <c r="M1436" s="5" t="inlineStr"/>
      <c r="N1436" s="5" t="inlineStr"/>
      <c r="O1436" s="6" t="inlineStr"/>
      <c r="P1436" s="6" t="inlineStr"/>
      <c r="Q1436" s="5" t="inlineStr"/>
      <c r="R1436" s="5" t="inlineStr"/>
      <c r="S1436" s="5" t="inlineStr"/>
      <c r="T1436" s="5" t="inlineStr"/>
      <c r="U1436" s="5" t="inlineStr"/>
      <c r="V1436" s="5" t="inlineStr">
        <is>
          <t>hekim-sozcu-usulu</t>
        </is>
      </c>
      <c r="W1436" s="5" t="inlineStr"/>
      <c r="X1436" s="5" t="inlineStr"/>
      <c r="Y1436" s="5" t="inlineStr"/>
      <c r="Z1436" s="6" t="inlineStr"/>
      <c r="AA1436" s="5" t="inlineStr"/>
      <c r="AB1436" s="5" t="inlineStr"/>
      <c r="AC1436" s="5" t="inlineStr"/>
      <c r="AD1436" s="5" t="inlineStr"/>
      <c r="AE1436" s="5" t="inlineStr"/>
      <c r="AF1436" s="5" t="inlineStr"/>
      <c r="AG1436" s="5" t="inlineStr"/>
      <c r="AH1436" s="5" t="inlineStr"/>
    </row>
    <row r="1437">
      <c r="A1437" s="5" t="inlineStr">
        <is>
          <t>b7-hekim-hasta-yakini</t>
        </is>
      </c>
      <c r="B1437" s="5" t="n">
        <v>3</v>
      </c>
      <c r="C1437" s="6" t="inlineStr">
        <is>
          <t>Nöbet sonrası herkese tek tek dön</t>
        </is>
      </c>
      <c r="D1437" s="5" t="inlineStr">
        <is>
          <t>Dayanıklılık</t>
        </is>
      </c>
      <c r="E1437" s="5" t="inlineStr">
        <is>
          <t>Zor</t>
        </is>
      </c>
      <c r="F1437" s="5" t="inlineStr"/>
      <c r="G1437" s="6" t="inlineStr"/>
      <c r="H1437" s="6" t="inlineStr">
        <is>
          <t>Nöbetten çıkıp on iki kişiyi tek tek aradın. Sabaha karşı sonuncusu teşekkür etti. Uyumadın ama koridor sana bir hafta tatlı getirdi.</t>
        </is>
      </c>
      <c r="I1437" s="6" t="inlineStr">
        <is>
          <t>On iki telefonun hepsi teşekkürle bitti. Aile hastaneye bir yazı gönderdi; başhekim yazıyı panoya astı, altına senin adın.</t>
        </is>
      </c>
      <c r="J1437" s="6" t="inlineStr">
        <is>
          <t>Aramaya başladın; dördüncüde uyuyakaldın. Kalan sekiz kişi sabah hep birlikte geldi.</t>
        </is>
      </c>
      <c r="K1437" s="6" t="inlineStr">
        <is>
          <t>Aramaları yaptın ama yanlış listeden; başka bir hastanın yakınlarını bilgilendirdin. Onlar da çok memnun kaldı, ne yazık ki.</t>
        </is>
      </c>
      <c r="L1437" s="6" t="inlineStr"/>
      <c r="M1437" s="5" t="inlineStr"/>
      <c r="N1437" s="5" t="inlineStr"/>
      <c r="O1437" s="6" t="inlineStr"/>
      <c r="P1437" s="6" t="inlineStr"/>
      <c r="Q1437" s="5" t="inlineStr"/>
      <c r="R1437" s="5" t="inlineStr"/>
      <c r="S1437" s="5" t="inlineStr"/>
      <c r="T1437" s="5" t="inlineStr">
        <is>
          <t>Uykusuz Operasyon</t>
        </is>
      </c>
      <c r="U1437" s="5" t="inlineStr"/>
      <c r="V1437" s="5" t="inlineStr"/>
      <c r="W1437" s="5" t="inlineStr"/>
      <c r="X1437" s="5" t="inlineStr"/>
      <c r="Y1437" s="5" t="inlineStr"/>
      <c r="Z1437" s="6" t="inlineStr"/>
      <c r="AA1437" s="5" t="inlineStr"/>
      <c r="AB1437" s="5" t="inlineStr"/>
      <c r="AC1437" s="5" t="inlineStr"/>
      <c r="AD1437" s="5" t="inlineStr"/>
      <c r="AE1437" s="5" t="inlineStr"/>
      <c r="AF1437" s="5" t="inlineStr"/>
      <c r="AG1437" s="5" t="inlineStr"/>
      <c r="AH1437" s="5" t="inlineStr"/>
    </row>
    <row r="1438">
      <c r="A1438" s="5" t="inlineStr">
        <is>
          <t>b8-hekim-profesorluk</t>
        </is>
      </c>
      <c r="B1438" s="5" t="n">
        <v>1</v>
      </c>
      <c r="C1438" s="6" t="inlineStr">
        <is>
          <t>Makaleyi hafta sonları yaz</t>
        </is>
      </c>
      <c r="D1438" s="5" t="inlineStr"/>
      <c r="E1438" s="5" t="inlineStr"/>
      <c r="F1438" s="5" t="inlineStr">
        <is>
          <t>Akıl +1, Dayanıklılık +1</t>
        </is>
      </c>
      <c r="G1438" s="6" t="inlineStr">
        <is>
          <t>Üç ay hafta sonu yazdın. Makale bitti; jüri bir sonraki döneme kaldı. Aile grubuna “Değişen bir şey yok” yazdın; doğruydu.</t>
        </is>
      </c>
      <c r="H1438" s="6" t="inlineStr"/>
      <c r="I1438" s="6" t="inlineStr"/>
      <c r="J1438" s="6" t="inlineStr"/>
      <c r="K1438" s="6" t="inlineStr"/>
      <c r="L1438" s="6" t="inlineStr"/>
      <c r="M1438" s="5" t="inlineStr"/>
      <c r="N1438" s="5" t="inlineStr"/>
      <c r="O1438" s="6" t="inlineStr"/>
      <c r="P1438" s="6" t="inlineStr"/>
      <c r="Q1438" s="5" t="inlineStr"/>
      <c r="R1438" s="5" t="inlineStr"/>
      <c r="S1438" s="5" t="inlineStr"/>
      <c r="T1438" s="5" t="inlineStr"/>
      <c r="U1438" s="5" t="inlineStr"/>
      <c r="V1438" s="5" t="inlineStr"/>
      <c r="W1438" s="5" t="inlineStr"/>
      <c r="X1438" s="5" t="inlineStr"/>
      <c r="Y1438" s="5" t="inlineStr"/>
      <c r="Z1438" s="6" t="inlineStr"/>
      <c r="AA1438" s="5" t="inlineStr"/>
      <c r="AB1438" s="5" t="inlineStr"/>
      <c r="AC1438" s="5" t="inlineStr"/>
      <c r="AD1438" s="5" t="inlineStr"/>
      <c r="AE1438" s="5" t="inlineStr"/>
      <c r="AF1438" s="5" t="inlineStr"/>
      <c r="AG1438" s="5" t="inlineStr"/>
      <c r="AH1438" s="5" t="inlineStr"/>
    </row>
    <row r="1439">
      <c r="A1439" s="5" t="inlineStr">
        <is>
          <t>b8-hekim-profesorluk</t>
        </is>
      </c>
      <c r="B1439" s="5" t="n">
        <v>2</v>
      </c>
      <c r="C1439" s="6" t="inlineStr">
        <is>
          <t>Asistanlarla ortak çalış</t>
        </is>
      </c>
      <c r="D1439" s="5" t="inlineStr">
        <is>
          <t>Sosyal Radar</t>
        </is>
      </c>
      <c r="E1439" s="5" t="inlineStr">
        <is>
          <t>Orta</t>
        </is>
      </c>
      <c r="F1439" s="5" t="inlineStr"/>
      <c r="G1439" s="6" t="inlineStr"/>
      <c r="H1439" s="6" t="inlineStr">
        <is>
          <t>Dört asistana birer bölüm verdin, akşamları birleştirdiniz. Makale zamanında çıktı; profesör oldun. Asistanlar da ilk makalelerini kazandı.</t>
        </is>
      </c>
      <c r="I1439" s="6" t="inlineStr">
        <is>
          <t>Ekip öyle uyumlu çalıştı ki bir makale yerine iki çıktı. Jüri seni oy birliğiyle profesör yaptı; asistanlar pasta aldı, üstünde senin adın yanlış.</t>
        </is>
      </c>
      <c r="J1439" s="6" t="inlineStr">
        <is>
          <t>Asistanlar bölümleri yazdı ama her biri ayrı bir dille. Birleştirmek üç ay daha sürdü; jüri bekleyemedi.</t>
        </is>
      </c>
      <c r="K1439" s="6" t="inlineStr">
        <is>
          <t>Asistanlardan biri makaleyi kendi adıyla bir dergiye yollamış. Dergi kabul etti. Tebrik ettin, dişlerini sıkarak.</t>
        </is>
      </c>
      <c r="L1439" s="6" t="inlineStr"/>
      <c r="M1439" s="5" t="inlineStr"/>
      <c r="N1439" s="5" t="inlineStr"/>
      <c r="O1439" s="6" t="inlineStr"/>
      <c r="P1439" s="6" t="inlineStr"/>
      <c r="Q1439" s="5" t="inlineStr"/>
      <c r="R1439" s="5" t="inlineStr"/>
      <c r="S1439" s="5" t="inlineStr"/>
      <c r="T1439" s="5" t="inlineStr"/>
      <c r="U1439" s="5" t="inlineStr"/>
      <c r="V1439" s="5" t="inlineStr"/>
      <c r="W1439" s="5" t="inlineStr"/>
      <c r="X1439" s="5" t="inlineStr"/>
      <c r="Y1439" s="5" t="inlineStr"/>
      <c r="Z1439" s="6" t="inlineStr"/>
      <c r="AA1439" s="5" t="inlineStr"/>
      <c r="AB1439" s="5" t="inlineStr"/>
      <c r="AC1439" s="5" t="inlineStr"/>
      <c r="AD1439" s="5" t="inlineStr"/>
      <c r="AE1439" s="5" t="inlineStr"/>
      <c r="AF1439" s="5" t="inlineStr"/>
      <c r="AG1439" s="5" t="inlineStr"/>
      <c r="AH1439" s="5" t="inlineStr"/>
    </row>
    <row r="1440">
      <c r="A1440" s="5" t="inlineStr">
        <is>
          <t>b8-hekim-profesorluk</t>
        </is>
      </c>
      <c r="B1440" s="5" t="n">
        <v>3</v>
      </c>
      <c r="C1440" s="6" t="inlineStr">
        <is>
          <t>Tek başına büyük çalışmayı bitir</t>
        </is>
      </c>
      <c r="D1440" s="5" t="inlineStr">
        <is>
          <t>Akıl</t>
        </is>
      </c>
      <c r="E1440" s="5" t="inlineStr">
        <is>
          <t>Zor</t>
        </is>
      </c>
      <c r="F1440" s="5" t="inlineStr"/>
      <c r="G1440" s="6" t="inlineStr"/>
      <c r="H1440" s="6" t="inlineStr">
        <is>
          <t>Üç ay gece gündüz çalıştın, büyük çalışmayı tek başına bitirdin. Jüri sorularını beş dakikada bitirdi; profesör oldun.</t>
        </is>
      </c>
      <c r="I1440" s="6" t="inlineStr">
        <is>
          <t>Çalışma yurt dışı bir dergide çıktı, Öte Diyar'dan bir hoca bile tebrik yazdı. Profesör oldun; aile grubu da “Artık bedava muayene mi?” diye sordu.</t>
        </is>
      </c>
      <c r="J1440" s="6" t="inlineStr">
        <is>
          <t>Çalışma bitti ama bir istatistik hatası çıktı. Düzeltmek bir dönem sürdü; jüri seni bir sonraki takvime yazdı.</t>
        </is>
      </c>
      <c r="K1440" s="6" t="inlineStr">
        <is>
          <t>Bütün verileri tek bir bilgisayarda tuttun; bilgisayar su içti. Çalışmaya sıfırdan başladın, çayla birlikte.</t>
        </is>
      </c>
      <c r="L1440" s="6" t="inlineStr"/>
      <c r="M1440" s="5" t="inlineStr"/>
      <c r="N1440" s="5" t="inlineStr"/>
      <c r="O1440" s="6" t="inlineStr"/>
      <c r="P1440" s="6" t="inlineStr"/>
      <c r="Q1440" s="5" t="inlineStr"/>
      <c r="R1440" s="5" t="inlineStr"/>
      <c r="S1440" s="5" t="inlineStr"/>
      <c r="T1440" s="5" t="inlineStr">
        <is>
          <t>Analitik Zihin</t>
        </is>
      </c>
      <c r="U1440" s="5" t="inlineStr"/>
      <c r="V1440" s="5" t="inlineStr">
        <is>
          <t>hekim-profesor</t>
        </is>
      </c>
      <c r="W1440" s="5" t="inlineStr"/>
      <c r="X1440" s="5" t="inlineStr"/>
      <c r="Y1440" s="5" t="inlineStr"/>
      <c r="Z1440" s="6" t="inlineStr"/>
      <c r="AA1440" s="5" t="inlineStr"/>
      <c r="AB1440" s="5" t="inlineStr"/>
      <c r="AC1440" s="5" t="inlineStr"/>
      <c r="AD1440" s="5" t="inlineStr"/>
      <c r="AE1440" s="5" t="inlineStr"/>
      <c r="AF1440" s="5" t="inlineStr"/>
      <c r="AG1440" s="5" t="inlineStr"/>
      <c r="AH1440" s="5" t="inlineStr"/>
    </row>
    <row r="1441">
      <c r="A1441" s="5" t="inlineStr">
        <is>
          <t>b8-hekim-profesorluk</t>
        </is>
      </c>
      <c r="B1441" s="5" t="n">
        <v>4</v>
      </c>
      <c r="C1441" s="6" t="inlineStr">
        <is>
          <t>Kliniğin yıllık verisini topla</t>
        </is>
      </c>
      <c r="D1441" s="5" t="inlineStr">
        <is>
          <t>Dayanıklılık</t>
        </is>
      </c>
      <c r="E1441" s="5" t="inlineStr">
        <is>
          <t>Kolay</t>
        </is>
      </c>
      <c r="F1441" s="5" t="inlineStr"/>
      <c r="G1441" s="6" t="inlineStr"/>
      <c r="H1441" s="6" t="inlineStr">
        <is>
          <t>Klinik şefi olarak on yıllık veriye zaten sahiptin. Bir ayda topladın, iki ayda yazdın. Jüri toplanmadan profesör oldun.</t>
        </is>
      </c>
      <c r="I1441" s="6" t="inlineStr">
        <is>
          <t>Verin öyle zengin çıktı ki üç makale birden yazdın. Jüri “Bu kadarı fazla” dedi, yine de profesör yaptı.</t>
        </is>
      </c>
      <c r="J1441" s="6" t="inlineStr">
        <is>
          <t>Verileri topladın ama arşivin yarısı eski kâğıt dosyalardaymış. Jüri tarihine yetişemedin.</t>
        </is>
      </c>
      <c r="K1441" s="6" t="inlineStr">
        <is>
          <t>Veri toplarken arşivde bir raf üstüne devrildi. Makale yerine arşiv düzenleme raporu yazdın.</t>
        </is>
      </c>
      <c r="L1441" s="6" t="inlineStr"/>
      <c r="M1441" s="5" t="inlineStr"/>
      <c r="N1441" s="5" t="inlineStr"/>
      <c r="O1441" s="6" t="inlineStr"/>
      <c r="P1441" s="6" t="inlineStr"/>
      <c r="Q1441" s="5" t="inlineStr"/>
      <c r="R1441" s="5" t="inlineStr">
        <is>
          <t>klinik-sefi</t>
        </is>
      </c>
      <c r="S1441" s="5" t="inlineStr"/>
      <c r="T1441" s="5" t="inlineStr"/>
      <c r="U1441" s="5" t="inlineStr"/>
      <c r="V1441" s="5" t="inlineStr">
        <is>
          <t>hekim-profesor</t>
        </is>
      </c>
      <c r="W1441" s="5" t="inlineStr"/>
      <c r="X1441" s="5" t="inlineStr"/>
      <c r="Y1441" s="5" t="inlineStr"/>
      <c r="Z1441" s="6" t="inlineStr"/>
      <c r="AA1441" s="5" t="inlineStr"/>
      <c r="AB1441" s="5" t="inlineStr"/>
      <c r="AC1441" s="5" t="inlineStr"/>
      <c r="AD1441" s="5" t="inlineStr"/>
      <c r="AE1441" s="5" t="inlineStr"/>
      <c r="AF1441" s="5" t="inlineStr"/>
      <c r="AG1441" s="5" t="inlineStr"/>
      <c r="AH1441" s="5" t="inlineStr"/>
    </row>
    <row r="1442">
      <c r="A1442" s="5" t="inlineStr">
        <is>
          <t>b8-hekim-aile-grubu</t>
        </is>
      </c>
      <c r="B1442" s="5" t="n">
        <v>1</v>
      </c>
      <c r="C1442" s="6" t="inlineStr">
        <is>
          <t>Hepsine “Hastaneye gel” yaz</t>
        </is>
      </c>
      <c r="D1442" s="5" t="inlineStr"/>
      <c r="E1442" s="5" t="inlineStr"/>
      <c r="F1442" s="5" t="inlineStr">
        <is>
          <t>İtibar +1, Dayanıklılık +1</t>
        </is>
      </c>
      <c r="G1442" s="6" t="inlineStr">
        <is>
          <t>Hepsine aynı cevabı yazdın: “Hastaneye gel.” Ertesi gün poliklinik kapında sekiz akraba; biri kek getirmiş, kimse randevu almamış.</t>
        </is>
      </c>
      <c r="H1442" s="6" t="inlineStr"/>
      <c r="I1442" s="6" t="inlineStr"/>
      <c r="J1442" s="6" t="inlineStr"/>
      <c r="K1442" s="6" t="inlineStr"/>
      <c r="L1442" s="6" t="inlineStr"/>
      <c r="M1442" s="5" t="inlineStr"/>
      <c r="N1442" s="5" t="inlineStr"/>
      <c r="O1442" s="6" t="inlineStr"/>
      <c r="P1442" s="6" t="inlineStr"/>
      <c r="Q1442" s="5" t="inlineStr"/>
      <c r="R1442" s="5" t="inlineStr"/>
      <c r="S1442" s="5" t="inlineStr"/>
      <c r="T1442" s="5" t="inlineStr"/>
      <c r="U1442" s="5" t="inlineStr"/>
      <c r="V1442" s="5" t="inlineStr"/>
      <c r="W1442" s="5" t="inlineStr"/>
      <c r="X1442" s="5" t="inlineStr"/>
      <c r="Y1442" s="5" t="inlineStr"/>
      <c r="Z1442" s="6" t="inlineStr"/>
      <c r="AA1442" s="5" t="inlineStr"/>
      <c r="AB1442" s="5" t="inlineStr"/>
      <c r="AC1442" s="5" t="inlineStr"/>
      <c r="AD1442" s="5" t="inlineStr"/>
      <c r="AE1442" s="5" t="inlineStr"/>
      <c r="AF1442" s="5" t="inlineStr"/>
      <c r="AG1442" s="5" t="inlineStr"/>
      <c r="AH1442" s="5" t="inlineStr"/>
    </row>
    <row r="1443">
      <c r="A1443" s="5" t="inlineStr">
        <is>
          <t>b8-hekim-aile-grubu</t>
        </is>
      </c>
      <c r="B1443" s="5" t="n">
        <v>2</v>
      </c>
      <c r="C1443" s="6" t="inlineStr">
        <is>
          <t>Haftalık soru-cevap saati aç</t>
        </is>
      </c>
      <c r="D1443" s="5" t="inlineStr">
        <is>
          <t>Çene</t>
        </is>
      </c>
      <c r="E1443" s="5" t="inlineStr">
        <is>
          <t>Orta</t>
        </is>
      </c>
      <c r="F1443" s="5" t="inlineStr"/>
      <c r="G1443" s="6" t="inlineStr"/>
      <c r="H1443" s="6" t="inlineStr">
        <is>
          <t>Her pazar akşamı bir saat soru-cevap açtın; gerisi yasak. Grup kurala uydu. Pazar akşamları aile artık seni dinlemek için toplanıyor.</t>
        </is>
      </c>
      <c r="I1443" s="6" t="inlineStr">
        <is>
          <t>Pazar saati öyle sevildi ki öbür aileler de katılmak istedi. Teyzenin komşuları seni pazar sunucusu sanıyor.</t>
        </is>
      </c>
      <c r="J1443" s="6" t="inlineStr">
        <is>
          <t>Soru-cevap saati açtın; sorular saat dışında da geldi, bu sefer “Saatin dışında ama...” diye başlayarak.</t>
        </is>
      </c>
      <c r="K1443" s="6" t="inlineStr">
        <is>
          <t>İlk soru-cevap saatinde kırk kişi aynı anda yazdı. Telefonun ısındı, kapandı. Grup bunu “Doktor sustu” diye yorumladı.</t>
        </is>
      </c>
      <c r="L1443" s="6" t="inlineStr"/>
      <c r="M1443" s="5" t="inlineStr"/>
      <c r="N1443" s="5" t="inlineStr"/>
      <c r="O1443" s="6" t="inlineStr"/>
      <c r="P1443" s="6" t="inlineStr"/>
      <c r="Q1443" s="5" t="inlineStr"/>
      <c r="R1443" s="5" t="inlineStr"/>
      <c r="S1443" s="5" t="inlineStr"/>
      <c r="T1443" s="5" t="inlineStr"/>
      <c r="U1443" s="5" t="inlineStr"/>
      <c r="V1443" s="5" t="inlineStr"/>
      <c r="W1443" s="5" t="inlineStr"/>
      <c r="X1443" s="5" t="inlineStr"/>
      <c r="Y1443" s="5" t="inlineStr"/>
      <c r="Z1443" s="6" t="inlineStr"/>
      <c r="AA1443" s="5" t="inlineStr"/>
      <c r="AB1443" s="5" t="inlineStr"/>
      <c r="AC1443" s="5" t="inlineStr"/>
      <c r="AD1443" s="5" t="inlineStr"/>
      <c r="AE1443" s="5" t="inlineStr"/>
      <c r="AF1443" s="5" t="inlineStr"/>
      <c r="AG1443" s="5" t="inlineStr"/>
      <c r="AH1443" s="5" t="inlineStr"/>
    </row>
    <row r="1444">
      <c r="A1444" s="5" t="inlineStr">
        <is>
          <t>b8-hekim-aile-grubu</t>
        </is>
      </c>
      <c r="B1444" s="5" t="n">
        <v>3</v>
      </c>
      <c r="C1444" s="6" t="inlineStr">
        <is>
          <t>Aile grubuna da sözcü seç</t>
        </is>
      </c>
      <c r="D1444" s="5" t="inlineStr">
        <is>
          <t>Sosyal Radar</t>
        </is>
      </c>
      <c r="E1444" s="5" t="inlineStr">
        <is>
          <t>Kolay</t>
        </is>
      </c>
      <c r="F1444" s="5" t="inlineStr"/>
      <c r="G1444" s="6" t="inlineStr"/>
      <c r="H1444" s="6" t="inlineStr">
        <is>
          <t>Hastanedeki sözcü usulünü aileye uyguladın: sorular önce kuzenine gidiyor, o süzüp sana getiriyor. Günde yüz mesaj, üçe indi.</t>
        </is>
      </c>
      <c r="I1444" s="6" t="inlineStr">
        <is>
          <t>Kuzenin sözcülükte öyle ustalaştı ki artık yarı doktor gibi konuşuyor. Aile ona soruyor, o sana; sen de sonunda uyuyorsun.</t>
        </is>
      </c>
      <c r="J1444" s="6" t="inlineStr">
        <is>
          <t>Sözcüyü seçtin; aile sözcünün de bir akraba olduğunu hatırlayıp ona da güvenmedi.</t>
        </is>
      </c>
      <c r="K1444" s="6" t="inlineStr">
        <is>
          <t>Sözcü seçtiğin kuzen ilk gün kendi teşhisini koymaya başladı. Şimdi iki doktorlu bir grubunuz var; biri değil.</t>
        </is>
      </c>
      <c r="L1444" s="6" t="inlineStr"/>
      <c r="M1444" s="5" t="inlineStr"/>
      <c r="N1444" s="5" t="inlineStr"/>
      <c r="O1444" s="6" t="inlineStr"/>
      <c r="P1444" s="6" t="inlineStr"/>
      <c r="Q1444" s="5" t="inlineStr"/>
      <c r="R1444" s="5" t="inlineStr">
        <is>
          <t>hekim-sozcu-usulu</t>
        </is>
      </c>
      <c r="S1444" s="5" t="inlineStr"/>
      <c r="T1444" s="5" t="inlineStr"/>
      <c r="U1444" s="5" t="inlineStr"/>
      <c r="V1444" s="5" t="inlineStr"/>
      <c r="W1444" s="5" t="inlineStr"/>
      <c r="X1444" s="5" t="inlineStr"/>
      <c r="Y1444" s="5" t="inlineStr"/>
      <c r="Z1444" s="6" t="inlineStr"/>
      <c r="AA1444" s="5" t="inlineStr"/>
      <c r="AB1444" s="5" t="inlineStr"/>
      <c r="AC1444" s="5" t="inlineStr"/>
      <c r="AD1444" s="5" t="inlineStr"/>
      <c r="AE1444" s="5" t="inlineStr"/>
      <c r="AF1444" s="5" t="inlineStr"/>
      <c r="AG1444" s="5" t="inlineStr"/>
      <c r="AH1444" s="5" t="inlineStr"/>
    </row>
    <row r="1445">
      <c r="A1445" s="5" t="inlineStr">
        <is>
          <t>b8-hekim-aile-grubu</t>
        </is>
      </c>
      <c r="B1445" s="5" t="n">
        <v>4</v>
      </c>
      <c r="C1445" s="6" t="inlineStr">
        <is>
          <t>Grubu sessize al</t>
        </is>
      </c>
      <c r="D1445" s="5" t="inlineStr">
        <is>
          <t>Pişkinlik</t>
        </is>
      </c>
      <c r="E1445" s="5" t="inlineStr">
        <is>
          <t>Zor</t>
        </is>
      </c>
      <c r="F1445" s="5" t="inlineStr"/>
      <c r="G1445" s="6" t="inlineStr"/>
      <c r="H1445" s="6" t="inlineStr">
        <is>
          <t>Grubu sessize aldın. Üç gün kimse fark etmedi; dördüncü gün teyzen hastaneye gelip seni buldu: “Görmüyor musun?” Görmüyordun, rahattın.</t>
        </is>
      </c>
      <c r="I1445" s="6" t="inlineStr">
        <is>
          <t>Sessize aldın ve kimse fark etmedi. Grup kendi kendine bir ay yaşadı; sen sadece bayramda bir mesaj attın, tüm aile duygulandı.</t>
        </is>
      </c>
      <c r="J1445" s="6" t="inlineStr">
        <is>
          <t>Sessize aldın ama bir saat sonra dayanamayıp açtın. Kırk yeni mesaj, biri dizin fotoğrafı.</t>
        </is>
      </c>
      <c r="K1445" s="6" t="inlineStr">
        <is>
          <t>Sessize alırken yanlışlıkla gruptan çıktın. Aile bunu bir açıklama bekleyen olay olarak değerlendirdi; hâlâ bekliyorlar.</t>
        </is>
      </c>
      <c r="L1445" s="6" t="inlineStr"/>
      <c r="M1445" s="5" t="inlineStr"/>
      <c r="N1445" s="5" t="inlineStr"/>
      <c r="O1445" s="6" t="inlineStr"/>
      <c r="P1445" s="6" t="inlineStr"/>
      <c r="Q1445" s="5" t="inlineStr"/>
      <c r="R1445" s="5" t="inlineStr"/>
      <c r="S1445" s="5" t="inlineStr"/>
      <c r="T1445" s="5" t="inlineStr">
        <is>
          <t>Sessize Alma Ustası</t>
        </is>
      </c>
      <c r="U1445" s="5" t="inlineStr"/>
      <c r="V1445" s="5" t="inlineStr"/>
      <c r="W1445" s="5" t="inlineStr"/>
      <c r="X1445" s="5" t="inlineStr"/>
      <c r="Y1445" s="5" t="inlineStr"/>
      <c r="Z1445" s="6" t="inlineStr"/>
      <c r="AA1445" s="5" t="inlineStr"/>
      <c r="AB1445" s="5" t="inlineStr"/>
      <c r="AC1445" s="5" t="inlineStr"/>
      <c r="AD1445" s="5" t="inlineStr"/>
      <c r="AE1445" s="5" t="inlineStr"/>
      <c r="AF1445" s="5" t="inlineStr"/>
      <c r="AG1445" s="5" t="inlineStr"/>
      <c r="AH1445" s="5" t="inlineStr"/>
    </row>
    <row r="1446">
      <c r="A1446" s="5" t="inlineStr">
        <is>
          <t>b9-hekim-son-vizit</t>
        </is>
      </c>
      <c r="B1446" s="5" t="n">
        <v>1</v>
      </c>
      <c r="C1446" s="6" t="inlineStr">
        <is>
          <t>Bir asistana fikrini sor</t>
        </is>
      </c>
      <c r="D1446" s="5" t="inlineStr"/>
      <c r="E1446" s="5" t="inlineStr"/>
      <c r="F1446" s="5" t="inlineStr">
        <is>
          <t>Akıl +1, İtibar +1</t>
        </is>
      </c>
      <c r="G1446" s="6" t="inlineStr">
        <is>
          <t>Bir asistana döndün: “Bu hastada ne düşünüyorsun?” “Emin değilim hocam, bakıp söyleyeceğim” dedi. Gülümsedin; bu da profesör olur.</t>
        </is>
      </c>
      <c r="H1446" s="6" t="inlineStr"/>
      <c r="I1446" s="6" t="inlineStr"/>
      <c r="J1446" s="6" t="inlineStr"/>
      <c r="K1446" s="6" t="inlineStr"/>
      <c r="L1446" s="6" t="inlineStr"/>
      <c r="M1446" s="5" t="inlineStr"/>
      <c r="N1446" s="5" t="inlineStr"/>
      <c r="O1446" s="6" t="inlineStr"/>
      <c r="P1446" s="6" t="inlineStr"/>
      <c r="Q1446" s="5" t="inlineStr"/>
      <c r="R1446" s="5" t="inlineStr"/>
      <c r="S1446" s="5" t="inlineStr"/>
      <c r="T1446" s="5" t="inlineStr"/>
      <c r="U1446" s="5" t="inlineStr"/>
      <c r="V1446" s="5" t="inlineStr"/>
      <c r="W1446" s="5" t="inlineStr"/>
      <c r="X1446" s="5" t="inlineStr"/>
      <c r="Y1446" s="5" t="inlineStr"/>
      <c r="Z1446" s="6" t="inlineStr"/>
      <c r="AA1446" s="5" t="inlineStr"/>
      <c r="AB1446" s="5" t="inlineStr"/>
      <c r="AC1446" s="5" t="inlineStr"/>
      <c r="AD1446" s="5" t="inlineStr"/>
      <c r="AE1446" s="5" t="inlineStr"/>
      <c r="AF1446" s="5" t="inlineStr"/>
      <c r="AG1446" s="5" t="inlineStr"/>
      <c r="AH1446" s="5" t="inlineStr"/>
    </row>
    <row r="1447">
      <c r="A1447" s="5" t="inlineStr">
        <is>
          <t>b9-hekim-son-vizit</t>
        </is>
      </c>
      <c r="B1447" s="5" t="n">
        <v>2</v>
      </c>
      <c r="C1447" s="6" t="inlineStr">
        <is>
          <t>Hastayla uzun uzun sohbet et</t>
        </is>
      </c>
      <c r="D1447" s="5" t="inlineStr">
        <is>
          <t>İtibar</t>
        </is>
      </c>
      <c r="E1447" s="5" t="inlineStr">
        <is>
          <t>Orta</t>
        </is>
      </c>
      <c r="F1447" s="5" t="inlineStr"/>
      <c r="G1447" s="6" t="inlineStr"/>
      <c r="H1447" s="6" t="inlineStr">
        <is>
          <t>Vizit durdu; hastayla torunlarından, bahçesinden konuştun. Asistanlar not aldı; sonra neden not aldıklarını anladılar.</t>
        </is>
      </c>
      <c r="I1447" s="6" t="inlineStr">
        <is>
          <t>Hastayla sohbet öyle güzel geçti ki hasta seni bahçesine davet etti, asistanlar da kendilerini. Vizit bir piknikle sona erdi, taburcu olunca.</t>
        </is>
      </c>
      <c r="J1447" s="6" t="inlineStr">
        <is>
          <t>Sohbete başladın; hasta uykuya daldı. Asistanlar sessizce bekledi. Son vizit en sessiz vizitin oldu.</t>
        </is>
      </c>
      <c r="K1447" s="6" t="inlineStr">
        <is>
          <t>Hastaya hayatını anlattın, sonra kendi hayatını. Hasta sonunda sana “Siz iyi misiniz hocam?” diye sordu.</t>
        </is>
      </c>
      <c r="L1447" s="6" t="inlineStr"/>
      <c r="M1447" s="5" t="inlineStr"/>
      <c r="N1447" s="5" t="inlineStr"/>
      <c r="O1447" s="6" t="inlineStr"/>
      <c r="P1447" s="6" t="inlineStr"/>
      <c r="Q1447" s="5" t="inlineStr"/>
      <c r="R1447" s="5" t="inlineStr"/>
      <c r="S1447" s="5" t="inlineStr"/>
      <c r="T1447" s="5" t="inlineStr"/>
      <c r="U1447" s="5" t="inlineStr"/>
      <c r="V1447" s="5" t="inlineStr"/>
      <c r="W1447" s="5" t="inlineStr"/>
      <c r="X1447" s="5" t="inlineStr"/>
      <c r="Y1447" s="5" t="inlineStr"/>
      <c r="Z1447" s="6" t="inlineStr"/>
      <c r="AA1447" s="5" t="inlineStr"/>
      <c r="AB1447" s="5" t="inlineStr"/>
      <c r="AC1447" s="5" t="inlineStr"/>
      <c r="AD1447" s="5" t="inlineStr"/>
      <c r="AE1447" s="5" t="inlineStr"/>
      <c r="AF1447" s="5" t="inlineStr"/>
      <c r="AG1447" s="5" t="inlineStr"/>
      <c r="AH1447" s="5" t="inlineStr"/>
    </row>
    <row r="1448">
      <c r="A1448" s="5" t="inlineStr">
        <is>
          <t>b9-hekim-son-vizit</t>
        </is>
      </c>
      <c r="B1448" s="5" t="n">
        <v>3</v>
      </c>
      <c r="C1448" s="6" t="inlineStr">
        <is>
          <t>Son bir zor vakayı çöz</t>
        </is>
      </c>
      <c r="D1448" s="5" t="inlineStr">
        <is>
          <t>Akıl</t>
        </is>
      </c>
      <c r="E1448" s="5" t="inlineStr">
        <is>
          <t>Zor</t>
        </is>
      </c>
      <c r="F1448" s="5" t="inlineStr"/>
      <c r="G1448" s="6" t="inlineStr"/>
      <c r="H1448" s="6" t="inlineStr">
        <is>
          <t>Kimsenin çözemediği bir vakayı yatak başında on dakikada bağladın. Asistanlar alkışlamak istedi; hastanede alkış olmaz, yerlerinde kıpırdandılar.</t>
        </is>
      </c>
      <c r="I1448" s="6" t="inlineStr">
        <is>
          <t>Vakayı çözdün, hasta ertesi hafta taburcu oldu. Olgu sunumu asistanların ilk makalesi oldu; teşekkür kısmı bir sayfa.</t>
        </is>
      </c>
      <c r="J1448" s="6" t="inlineStr">
        <is>
          <t>Vakayı çözemedin; bir asistan çözdü. Onu tebrik ettin. İçinden de biraz kendini.</t>
        </is>
      </c>
      <c r="K1448" s="6" t="inlineStr">
        <is>
          <t>Vakayı çözerken eski bir bilgiyi yeni sandın. En genç asistan nazikçe düzeltti. Emekliliğin tam vaktinde geldi.</t>
        </is>
      </c>
      <c r="L1448" s="6" t="inlineStr"/>
      <c r="M1448" s="5" t="inlineStr"/>
      <c r="N1448" s="5" t="inlineStr"/>
      <c r="O1448" s="6" t="inlineStr"/>
      <c r="P1448" s="6" t="inlineStr"/>
      <c r="Q1448" s="5" t="inlineStr"/>
      <c r="R1448" s="5" t="inlineStr"/>
      <c r="S1448" s="5" t="inlineStr"/>
      <c r="T1448" s="5" t="inlineStr">
        <is>
          <t>Odayı Okur</t>
        </is>
      </c>
      <c r="U1448" s="5" t="inlineStr"/>
      <c r="V1448" s="5" t="inlineStr"/>
      <c r="W1448" s="5" t="inlineStr"/>
      <c r="X1448" s="5" t="inlineStr"/>
      <c r="Y1448" s="5" t="inlineStr"/>
      <c r="Z1448" s="6" t="inlineStr"/>
      <c r="AA1448" s="5" t="inlineStr"/>
      <c r="AB1448" s="5" t="inlineStr"/>
      <c r="AC1448" s="5" t="inlineStr"/>
      <c r="AD1448" s="5" t="inlineStr"/>
      <c r="AE1448" s="5" t="inlineStr"/>
      <c r="AF1448" s="5" t="inlineStr"/>
      <c r="AG1448" s="5" t="inlineStr"/>
      <c r="AH1448" s="5" t="inlineStr"/>
    </row>
    <row r="1449">
      <c r="A1449" s="5" t="inlineStr">
        <is>
          <t>k10-polis</t>
        </is>
      </c>
      <c r="B1449" s="5" t="n">
        <v>1</v>
      </c>
      <c r="C1449" s="6" t="inlineStr">
        <is>
          <t>Zarfı reddet</t>
        </is>
      </c>
      <c r="D1449" s="5" t="inlineStr"/>
      <c r="E1449" s="5" t="inlineStr"/>
      <c r="F1449" s="5" t="inlineStr">
        <is>
          <t>İtibar +1, Cesaret +1</t>
        </is>
      </c>
      <c r="G1449" s="6" t="inlineStr">
        <is>
          <t>Zarfı fincanla birlikte adama geri gönderdin, üstüne tutanak ekledin. Müteahhit dosyayı başka karakola taşıyamadı; dosya sende, sen yerinde.</t>
        </is>
      </c>
      <c r="H1449" s="6" t="inlineStr"/>
      <c r="I1449" s="6" t="inlineStr"/>
      <c r="J1449" s="6" t="inlineStr"/>
      <c r="K1449" s="6" t="inlineStr"/>
      <c r="L1449" s="6" t="inlineStr"/>
      <c r="M1449" s="5" t="inlineStr"/>
      <c r="N1449" s="5" t="inlineStr"/>
      <c r="O1449" s="6" t="inlineStr"/>
      <c r="P1449" s="6" t="inlineStr"/>
      <c r="Q1449" s="5" t="inlineStr"/>
      <c r="R1449" s="5" t="inlineStr"/>
      <c r="S1449" s="5" t="inlineStr"/>
      <c r="T1449" s="5" t="inlineStr"/>
      <c r="U1449" s="5" t="inlineStr"/>
      <c r="V1449" s="5" t="inlineStr"/>
      <c r="W1449" s="5" t="inlineStr"/>
      <c r="X1449" s="5" t="inlineStr"/>
      <c r="Y1449" s="5" t="inlineStr"/>
      <c r="Z1449" s="6" t="inlineStr"/>
      <c r="AA1449" s="5" t="inlineStr"/>
      <c r="AB1449" s="5" t="inlineStr"/>
      <c r="AC1449" s="5" t="inlineStr"/>
      <c r="AD1449" s="5" t="inlineStr"/>
      <c r="AE1449" s="5" t="inlineStr"/>
      <c r="AF1449" s="5" t="inlineStr"/>
      <c r="AG1449" s="5" t="inlineStr"/>
      <c r="AH1449" s="5" t="inlineStr"/>
    </row>
    <row r="1450">
      <c r="A1450" s="5" t="inlineStr">
        <is>
          <t>k10-polis</t>
        </is>
      </c>
      <c r="B1450" s="5" t="n">
        <v>2</v>
      </c>
      <c r="C1450" s="6" t="inlineStr">
        <is>
          <t>Zarfı al</t>
        </is>
      </c>
      <c r="D1450" s="5" t="inlineStr">
        <is>
          <t>Kurnazlık</t>
        </is>
      </c>
      <c r="E1450" s="5" t="inlineStr">
        <is>
          <t>Zor</t>
        </is>
      </c>
      <c r="F1450" s="5" t="inlineStr"/>
      <c r="G1450" s="6" t="inlineStr"/>
      <c r="H1450" s="6" t="inlineStr">
        <is>
          <t>Zarfı çekmeceye koydun, dosya yavaşladı, kimse bir şey sormadı. Evde yeni bir koltuk var; oturunca biraz batıyor.</t>
        </is>
      </c>
      <c r="I1450" s="6" t="inlineStr">
        <is>
          <t>Zarf sessizce geldi, sessizce eridi; müteahhit bile unuttu. Hayatın rahat. Vicdanın ara sıra kapıyı çalıyor, açmıyorsun.</t>
        </is>
      </c>
      <c r="J1450" s="6" t="inlineStr">
        <is>
          <t>Zarfı koyduğun çekmece, iç denetimin o hafta açtığı ilk çekmeceymiş. Nezarethaneyi bu sefer içeriden gördün.</t>
        </is>
      </c>
      <c r="K1450" s="6" t="inlineStr">
        <is>
          <t>Zarfı sayarken kamera açıktı; kamerayı sen taktırmıştın, geçen yıl. Dava kısa sürdü, ceza uzun.</t>
        </is>
      </c>
      <c r="L1450" s="6" t="inlineStr"/>
      <c r="M1450" s="5" t="inlineStr"/>
      <c r="N1450" s="5" t="inlineStr"/>
      <c r="O1450" s="6" t="inlineStr"/>
      <c r="P1450" s="6" t="inlineStr"/>
      <c r="Q1450" s="5" t="inlineStr"/>
      <c r="R1450" s="5" t="inlineStr"/>
      <c r="S1450" s="5" t="inlineStr"/>
      <c r="T1450" s="5" t="inlineStr"/>
      <c r="U1450" s="5" t="inlineStr"/>
      <c r="V1450" s="5" t="inlineStr">
        <is>
          <t>zarf-aldi</t>
        </is>
      </c>
      <c r="W1450" s="5" t="inlineStr"/>
      <c r="X1450" s="5" t="inlineStr"/>
      <c r="Y1450" s="5" t="inlineStr"/>
      <c r="Z1450" s="6" t="inlineStr"/>
      <c r="AA1450" s="5" t="inlineStr"/>
      <c r="AB1450" s="5" t="inlineStr">
        <is>
          <t>hapis</t>
        </is>
      </c>
      <c r="AC1450" s="5" t="inlineStr"/>
      <c r="AD1450" s="5" t="inlineStr">
        <is>
          <t>Rahat</t>
        </is>
      </c>
      <c r="AE1450" s="5" t="inlineStr"/>
      <c r="AF1450" s="5" t="inlineStr"/>
      <c r="AG1450" s="5" t="inlineStr"/>
      <c r="AH1450" s="5" t="inlineStr"/>
    </row>
    <row r="1451">
      <c r="A1451" s="5" t="inlineStr">
        <is>
          <t>k10-polis</t>
        </is>
      </c>
      <c r="B1451" s="5" t="n">
        <v>3</v>
      </c>
      <c r="C1451" s="6" t="inlineStr">
        <is>
          <t>Karşı tarafa geç</t>
        </is>
      </c>
      <c r="D1451" s="5" t="inlineStr">
        <is>
          <t>Kurnazlık</t>
        </is>
      </c>
      <c r="E1451" s="5" t="inlineStr">
        <is>
          <t>Zor</t>
        </is>
      </c>
      <c r="F1451" s="5" t="inlineStr"/>
      <c r="G1451" s="6" t="inlineStr"/>
      <c r="H1451" s="6" t="inlineStr">
        <is>
          <t>Zarfı değil, teklifin tamamını aldın: rozeti bırakıp müteahhidin “güvenlik danışmanı” oldun. Maaş üç katı; eski ekibin selamı kesti.</t>
        </is>
      </c>
      <c r="I1451" s="6" t="inlineStr">
        <is>
          <t>Rozeti bıraktın, müteahhidin sağ kolu oldun. Arabalar, ofis, adını fısıldayan adamlar. Annen telefonu açmıyor.</t>
        </is>
      </c>
      <c r="J1451" s="6" t="inlineStr">
        <is>
          <t>İstifa dilekçeni yazdın ama müteahhidin adamı ortadan kayboldu. Rozet hâlâ sende; artık her adımını bir üst makam izliyor.</t>
        </is>
      </c>
      <c r="K1451" s="6" t="inlineStr">
        <is>
          <t>Teklifi konuştuğun kafede yan masada iç denetimci oturuyormuş. İstifan kabul edilmedi; rozetin sende, gözler üstünde.</t>
        </is>
      </c>
      <c r="L1451" s="6" t="inlineStr"/>
      <c r="M1451" s="5" t="inlineStr"/>
      <c r="N1451" s="5" t="inlineStr"/>
      <c r="O1451" s="6" t="inlineStr"/>
      <c r="P1451" s="6" t="inlineStr"/>
      <c r="Q1451" s="5" t="inlineStr"/>
      <c r="R1451" s="5" t="inlineStr"/>
      <c r="S1451" s="5" t="inlineStr"/>
      <c r="T1451" s="5" t="inlineStr"/>
      <c r="U1451" s="5" t="inlineStr"/>
      <c r="V1451" s="5" t="inlineStr">
        <is>
          <t>-hat-dolandirici, -hat-girisimci, -hat-goc, -hat-hekim, -hat-koy, -hat-polis, -hat-politika, -hat-sohret, -hat-usta, -hat-yargi, -meslek-beyazyaka, -meslek-memur, -meslek-serbest, hat-cete, meslek-esnaf</t>
        </is>
      </c>
      <c r="W1451" s="5" t="inlineStr"/>
      <c r="X1451" s="5" t="inlineStr"/>
      <c r="Y1451" s="5" t="inlineStr"/>
      <c r="Z1451" s="6" t="inlineStr"/>
      <c r="AA1451" s="5" t="inlineStr">
        <is>
          <t>hepsi -1</t>
        </is>
      </c>
      <c r="AB1451" s="5" t="inlineStr">
        <is>
          <t>polis-gozetim</t>
        </is>
      </c>
      <c r="AC1451" s="5" t="inlineStr"/>
      <c r="AD1451" s="5" t="inlineStr">
        <is>
          <t>Rahat</t>
        </is>
      </c>
      <c r="AE1451" s="5" t="inlineStr"/>
      <c r="AF1451" s="5" t="inlineStr"/>
      <c r="AG1451" s="5" t="inlineStr"/>
      <c r="AH1451" s="5" t="inlineStr"/>
    </row>
    <row r="1452">
      <c r="A1452" s="5" t="inlineStr">
        <is>
          <t>k10-polis</t>
        </is>
      </c>
      <c r="B1452" s="5" t="n">
        <v>4</v>
      </c>
      <c r="C1452" s="6" t="inlineStr">
        <is>
          <t>İhbar et</t>
        </is>
      </c>
      <c r="D1452" s="5" t="inlineStr">
        <is>
          <t>Cesaret</t>
        </is>
      </c>
      <c r="E1452" s="5" t="inlineStr">
        <is>
          <t>Çok Zor</t>
        </is>
      </c>
      <c r="F1452" s="5" t="inlineStr"/>
      <c r="G1452" s="6" t="inlineStr"/>
      <c r="H1452" s="6" t="inlineStr">
        <is>
          <t>Zarfı delil torbasına koyup başsavcılığa götürdün. Müteahhit, üç memur ve bir fincan gözaltında. Haberlerde adın geçti; ertesi gün bir parti kapını çaldı: “Aday olur musun?”</t>
        </is>
      </c>
      <c r="I1452" s="6" t="inlineStr">
        <is>
          <t>Kahraman ilan edildin; bir parti seni listenin başına yazdı. Rozetini çerçeveletip Makarya Meclisi yolunu tuttun.</t>
        </is>
      </c>
      <c r="J1452" s="6" t="inlineStr">
        <is>
          <t>İhbar ettin; dosya bir masadan öbürüne, sonra hiçbir masaya gitti. Bir ay sonra tayinin çıktı: haritada ilk kez gördüğün bir ilçe. Rozet hâlâ sende.</t>
        </is>
      </c>
      <c r="K1452" s="6" t="inlineStr">
        <is>
          <t>İhbarın ertesi günü müteahhidin kuzeni amirin oldu. Tayinin uzak bir dağ ilçesine; karakolun tek aracı bir traktör.</t>
        </is>
      </c>
      <c r="L1452" s="6" t="inlineStr"/>
      <c r="M1452" s="5" t="inlineStr"/>
      <c r="N1452" s="5" t="inlineStr"/>
      <c r="O1452" s="6" t="inlineStr"/>
      <c r="P1452" s="6" t="inlineStr"/>
      <c r="Q1452" s="5" t="inlineStr"/>
      <c r="R1452" s="5" t="inlineStr"/>
      <c r="S1452" s="5" t="inlineStr"/>
      <c r="T1452" s="5" t="inlineStr"/>
      <c r="U1452" s="5" t="inlineStr"/>
      <c r="V1452" s="5" t="inlineStr">
        <is>
          <t>-hat-cete, -hat-dolandirici, -hat-girisimci, -hat-goc, -hat-hekim, -hat-koy, -hat-polis, -hat-sohret, -hat-usta, -hat-yargi, -meslek-beyazyaka, -meslek-esnaf, -meslek-memur, -meslek-serbest, hat-politika</t>
        </is>
      </c>
      <c r="W1452" s="5" t="inlineStr"/>
      <c r="X1452" s="5" t="inlineStr"/>
      <c r="Y1452" s="5" t="inlineStr"/>
      <c r="Z1452" s="6" t="inlineStr"/>
      <c r="AA1452" s="5" t="inlineStr"/>
      <c r="AB1452" s="5" t="inlineStr">
        <is>
          <t>polis-surgun</t>
        </is>
      </c>
      <c r="AC1452" s="5" t="inlineStr"/>
      <c r="AD1452" s="5" t="inlineStr"/>
      <c r="AE1452" s="5" t="inlineStr"/>
      <c r="AF1452" s="5" t="inlineStr"/>
      <c r="AG1452" s="5" t="inlineStr"/>
      <c r="AH1452" s="5" t="inlineStr"/>
    </row>
    <row r="1453">
      <c r="A1453" s="5" t="inlineStr">
        <is>
          <t>k10-yargi</t>
        </is>
      </c>
      <c r="B1453" s="5" t="n">
        <v>1</v>
      </c>
      <c r="C1453" s="6" t="inlineStr">
        <is>
          <t>Dosyaya göre karar ver</t>
        </is>
      </c>
      <c r="D1453" s="5" t="inlineStr"/>
      <c r="E1453" s="5" t="inlineStr"/>
      <c r="F1453" s="5" t="inlineStr">
        <is>
          <t>Akıl +1, İtibar +1</t>
        </is>
      </c>
      <c r="G1453" s="6" t="inlineStr">
        <is>
          <t>Dosyayı okudun, bilirkişiyi dinledin, kararı verdin: çınar da park da kalıyor. Telefonun bir hafta çaldı, sonra sustu.</t>
        </is>
      </c>
      <c r="H1453" s="6" t="inlineStr"/>
      <c r="I1453" s="6" t="inlineStr"/>
      <c r="J1453" s="6" t="inlineStr"/>
      <c r="K1453" s="6" t="inlineStr"/>
      <c r="L1453" s="6" t="inlineStr"/>
      <c r="M1453" s="5" t="inlineStr"/>
      <c r="N1453" s="5" t="inlineStr"/>
      <c r="O1453" s="6" t="inlineStr"/>
      <c r="P1453" s="6" t="inlineStr"/>
      <c r="Q1453" s="5" t="inlineStr"/>
      <c r="R1453" s="5" t="inlineStr"/>
      <c r="S1453" s="5" t="inlineStr"/>
      <c r="T1453" s="5" t="inlineStr"/>
      <c r="U1453" s="5" t="inlineStr"/>
      <c r="V1453" s="5" t="inlineStr"/>
      <c r="W1453" s="5" t="inlineStr"/>
      <c r="X1453" s="5" t="inlineStr"/>
      <c r="Y1453" s="5" t="inlineStr"/>
      <c r="Z1453" s="6" t="inlineStr"/>
      <c r="AA1453" s="5" t="inlineStr"/>
      <c r="AB1453" s="5" t="inlineStr"/>
      <c r="AC1453" s="5" t="inlineStr"/>
      <c r="AD1453" s="5" t="inlineStr"/>
      <c r="AE1453" s="5" t="inlineStr"/>
      <c r="AF1453" s="5" t="inlineStr"/>
      <c r="AG1453" s="5" t="inlineStr"/>
      <c r="AH1453" s="5" t="inlineStr"/>
    </row>
    <row r="1454">
      <c r="A1454" s="5" t="inlineStr">
        <is>
          <t>k10-yargi</t>
        </is>
      </c>
      <c r="B1454" s="5" t="n">
        <v>2</v>
      </c>
      <c r="C1454" s="6" t="inlineStr">
        <is>
          <t>Baskıya boyun eğ</t>
        </is>
      </c>
      <c r="D1454" s="5" t="inlineStr">
        <is>
          <t>Kurnazlık</t>
        </is>
      </c>
      <c r="E1454" s="5" t="inlineStr">
        <is>
          <t>Zor</t>
        </is>
      </c>
      <c r="F1454" s="5" t="inlineStr"/>
      <c r="G1454" s="6" t="inlineStr"/>
      <c r="H1454" s="6" t="inlineStr">
        <is>
          <t>Kararı istedikleri gibi yazdın, gerekçeyi kimsenin okumayacağı kadar uzattın. Çınar gitti; sana şehir dışında bir yazlık kaldı, kimin adına olduğu belirsiz.</t>
        </is>
      </c>
      <c r="I1454" s="6" t="inlineStr">
        <is>
          <t>Karar sessizce kesinleşti, kimse itiraz etmedi. Yazlığın denize bakıyor. Çınarın yerinde bir otopark; oraya hiç park etmiyorsun.</t>
        </is>
      </c>
      <c r="J1454" s="6" t="inlineStr">
        <is>
          <t>Kararı yazdın; ertesi gün mesajların bir gazetede çıktı. Önce kurul dinledi, sonra savcılık. Cübbe askıda, sen içeride.</t>
        </is>
      </c>
      <c r="K1454" s="6" t="inlineStr">
        <is>
          <t>Mesajları sileyim derken adliyenin ortak grubuna ilettin. Soruşturma bir öğleden sonrada bitti.</t>
        </is>
      </c>
      <c r="L1454" s="6" t="inlineStr"/>
      <c r="M1454" s="5" t="inlineStr"/>
      <c r="N1454" s="5" t="inlineStr"/>
      <c r="O1454" s="6" t="inlineStr"/>
      <c r="P1454" s="6" t="inlineStr"/>
      <c r="Q1454" s="5" t="inlineStr"/>
      <c r="R1454" s="5" t="inlineStr"/>
      <c r="S1454" s="5" t="inlineStr"/>
      <c r="T1454" s="5" t="inlineStr"/>
      <c r="U1454" s="5" t="inlineStr"/>
      <c r="V1454" s="5" t="inlineStr">
        <is>
          <t>yargi-leke</t>
        </is>
      </c>
      <c r="W1454" s="5" t="inlineStr"/>
      <c r="X1454" s="5" t="inlineStr"/>
      <c r="Y1454" s="5" t="inlineStr"/>
      <c r="Z1454" s="6" t="inlineStr"/>
      <c r="AA1454" s="5" t="inlineStr"/>
      <c r="AB1454" s="5" t="inlineStr">
        <is>
          <t>hapis</t>
        </is>
      </c>
      <c r="AC1454" s="5" t="inlineStr"/>
      <c r="AD1454" s="5" t="inlineStr">
        <is>
          <t>Rahat</t>
        </is>
      </c>
      <c r="AE1454" s="5" t="inlineStr"/>
      <c r="AF1454" s="5" t="inlineStr"/>
      <c r="AG1454" s="5" t="inlineStr"/>
      <c r="AH1454" s="5" t="inlineStr"/>
    </row>
    <row r="1455">
      <c r="A1455" s="5" t="inlineStr">
        <is>
          <t>k10-yargi</t>
        </is>
      </c>
      <c r="B1455" s="5" t="n">
        <v>3</v>
      </c>
      <c r="C1455" s="6" t="inlineStr">
        <is>
          <t>Cübbeyi bırak, avukat ol</t>
        </is>
      </c>
      <c r="D1455" s="5" t="inlineStr">
        <is>
          <t>Çene</t>
        </is>
      </c>
      <c r="E1455" s="5" t="inlineStr">
        <is>
          <t>Orta</t>
        </is>
      </c>
      <c r="F1455" s="5" t="inlineStr"/>
      <c r="G1455" s="6" t="inlineStr"/>
      <c r="H1455" s="6" t="inlineStr">
        <is>
          <t>Dosyadan çekilip istifanı verdin, bir hukuk bürosu açtın. İlk müvekkilin çınarı savunan mahalle derneği; ücret bir kasa ceviz. Sonrakiler nakit ödüyor.</t>
        </is>
      </c>
      <c r="I1455" s="6" t="inlineStr">
        <is>
          <t>Büronun kapısında sıra var; hâkimken tanıdığın herkes davasını sana getiriyor. Tabelada “Eski Hâkim” yazıyor; müşteri ona geliyor.</t>
        </is>
      </c>
      <c r="J1455" s="6" t="inlineStr">
        <is>
          <t>İstifa dilekçeni yazdın ama baro kaydın aylarca sürecekti. Dilekçeyi çekmeceye koydun; cübbe hâlâ üstünde.</t>
        </is>
      </c>
      <c r="K1455" s="6" t="inlineStr">
        <is>
          <t>Büro kiraladın, tabela astırdın, istifa dilekçesini vermeyi unuttun. Hâkimken avukat tabelası asmanın bir disiplin cezası varmış. Tabela indi, sen kaldın.</t>
        </is>
      </c>
      <c r="L1455" s="6" t="inlineStr"/>
      <c r="M1455" s="5" t="inlineStr"/>
      <c r="N1455" s="5" t="inlineStr"/>
      <c r="O1455" s="6" t="inlineStr"/>
      <c r="P1455" s="6" t="inlineStr"/>
      <c r="Q1455" s="5" t="inlineStr"/>
      <c r="R1455" s="5" t="inlineStr"/>
      <c r="S1455" s="5" t="inlineStr"/>
      <c r="T1455" s="5" t="inlineStr"/>
      <c r="U1455" s="5" t="inlineStr"/>
      <c r="V1455" s="5" t="inlineStr">
        <is>
          <t>-hat-cete, -hat-dolandirici, -hat-girisimci, -hat-goc, -hat-hekim, -hat-koy, -hat-polis, -hat-politika, -hat-sohret, -hat-usta, -hat-yargi, -meslek-esnaf, -meslek-memur, -meslek-serbest, meslek-beyazyaka</t>
        </is>
      </c>
      <c r="W1455" s="5" t="inlineStr"/>
      <c r="X1455" s="5" t="inlineStr"/>
      <c r="Y1455" s="5" t="inlineStr"/>
      <c r="Z1455" s="6" t="inlineStr"/>
      <c r="AA1455" s="5" t="inlineStr"/>
      <c r="AB1455" s="5" t="inlineStr"/>
      <c r="AC1455" s="5" t="inlineStr"/>
      <c r="AD1455" s="5" t="inlineStr">
        <is>
          <t>Rahat</t>
        </is>
      </c>
      <c r="AE1455" s="5" t="inlineStr"/>
      <c r="AF1455" s="5" t="inlineStr"/>
      <c r="AG1455" s="5" t="inlineStr"/>
      <c r="AH1455" s="5" t="inlineStr"/>
    </row>
    <row r="1456">
      <c r="A1456" s="5" t="inlineStr">
        <is>
          <t>k10-yargi</t>
        </is>
      </c>
      <c r="B1456" s="5" t="n">
        <v>4</v>
      </c>
      <c r="C1456" s="6" t="inlineStr">
        <is>
          <t>Siyasete atıl</t>
        </is>
      </c>
      <c r="D1456" s="5" t="inlineStr">
        <is>
          <t>Çene</t>
        </is>
      </c>
      <c r="E1456" s="5" t="inlineStr">
        <is>
          <t>Çok Zor</t>
        </is>
      </c>
      <c r="F1456" s="5" t="inlineStr"/>
      <c r="G1456" s="6" t="inlineStr"/>
      <c r="H1456" s="6" t="inlineStr">
        <is>
          <t>Çınar kararını verdin, ertesi gün cübbeni astın. Mahalle seni omuzlarda taşıdı, bir parti de listesinin başına. Makarya Meclisi'nin kapısı aralandı.</t>
        </is>
      </c>
      <c r="I1456" s="6" t="inlineStr">
        <is>
          <t>“Çınarı Kurtaran Hâkim” diye afişlere çıktın. Parti seni aday yaptı, anketler seni ilk sıraya yazdı. Cübbe dolapta, naftalinle.</t>
        </is>
      </c>
      <c r="J1456" s="6" t="inlineStr">
        <is>
          <t>Parti seni aday yapmayı düşündü, bir anket yaptı, düşünmekten vazgeçti. Cübbe hâlâ üstünde, çınar hâlâ yerinde.</t>
        </is>
      </c>
      <c r="K1456" s="6" t="inlineStr">
        <is>
          <t>Adaylık konuşmanı adliye merdivenlerinde yaptın; kurul da dinledi. Aday olamadın; iki ay maaş kesintisiyle cübbeye döndün.</t>
        </is>
      </c>
      <c r="L1456" s="6" t="inlineStr"/>
      <c r="M1456" s="5" t="inlineStr"/>
      <c r="N1456" s="5" t="inlineStr"/>
      <c r="O1456" s="6" t="inlineStr"/>
      <c r="P1456" s="6" t="inlineStr"/>
      <c r="Q1456" s="5" t="inlineStr"/>
      <c r="R1456" s="5" t="inlineStr"/>
      <c r="S1456" s="5" t="inlineStr"/>
      <c r="T1456" s="5" t="inlineStr"/>
      <c r="U1456" s="5" t="inlineStr"/>
      <c r="V1456" s="5" t="inlineStr">
        <is>
          <t>-hat-cete, -hat-dolandirici, -hat-girisimci, -hat-goc, -hat-hekim, -hat-koy, -hat-polis, -hat-sohret, -hat-usta, -hat-yargi, -meslek-beyazyaka, -meslek-esnaf, -meslek-memur, -meslek-serbest, hat-politika</t>
        </is>
      </c>
      <c r="W1456" s="5" t="inlineStr"/>
      <c r="X1456" s="5" t="inlineStr"/>
      <c r="Y1456" s="5" t="inlineStr"/>
      <c r="Z1456" s="6" t="inlineStr"/>
      <c r="AA1456" s="5" t="inlineStr"/>
      <c r="AB1456" s="5" t="inlineStr"/>
      <c r="AC1456" s="5" t="inlineStr"/>
      <c r="AD1456" s="5" t="inlineStr"/>
      <c r="AE1456" s="5" t="inlineStr"/>
      <c r="AF1456" s="5" t="inlineStr"/>
      <c r="AG1456" s="5" t="inlineStr"/>
      <c r="AH1456" s="5" t="inlineStr"/>
    </row>
    <row r="1457">
      <c r="A1457" s="5" t="inlineStr">
        <is>
          <t>k10-hekim</t>
        </is>
      </c>
      <c r="B1457" s="5" t="n">
        <v>1</v>
      </c>
      <c r="C1457" s="6" t="inlineStr">
        <is>
          <t>Klinik şefliğine oyna</t>
        </is>
      </c>
      <c r="D1457" s="5" t="inlineStr">
        <is>
          <t>Akıl</t>
        </is>
      </c>
      <c r="E1457" s="5" t="inlineStr">
        <is>
          <t>Zor</t>
        </is>
      </c>
      <c r="F1457" s="5" t="inlineStr"/>
      <c r="G1457" s="6" t="inlineStr"/>
      <c r="H1457" s="6" t="inlineStr">
        <is>
          <t>Sınava üç ay çalıştın: nöbetten sonra, nöbetten önce. Şef oldun; odan pencereli, telefonun susmuyor.</t>
        </is>
      </c>
      <c r="I1457" s="6" t="inlineStr">
        <is>
          <t>Sınavda en yüksek puan senin. İlk gün servis seni alkışla karşıladı; ikinci gün aynı servis sana yirmi dilekçe verdi.</t>
        </is>
      </c>
      <c r="J1457" s="6" t="inlineStr">
        <is>
          <t>Sınavdan iki puanla kaldın. Şef başka biri oldu, senin eski asistanın. Sana çay getirdi, saygıyla.</t>
        </is>
      </c>
      <c r="K1457" s="6" t="inlineStr">
        <is>
          <t>Sınava nöbetten çıkıp girdin; salona uyuyarak girip uyuyarak çıktın. Kâğıdında adın ve bir hasta notu var.</t>
        </is>
      </c>
      <c r="L1457" s="6" t="inlineStr"/>
      <c r="M1457" s="5" t="inlineStr"/>
      <c r="N1457" s="5" t="inlineStr"/>
      <c r="O1457" s="6" t="inlineStr"/>
      <c r="P1457" s="6" t="inlineStr"/>
      <c r="Q1457" s="5" t="inlineStr"/>
      <c r="R1457" s="5" t="inlineStr"/>
      <c r="S1457" s="5" t="inlineStr"/>
      <c r="T1457" s="5" t="inlineStr"/>
      <c r="U1457" s="5" t="inlineStr"/>
      <c r="V1457" s="5" t="inlineStr">
        <is>
          <t>klinik-sefi</t>
        </is>
      </c>
      <c r="W1457" s="5" t="inlineStr"/>
      <c r="X1457" s="5" t="inlineStr"/>
      <c r="Y1457" s="5" t="inlineStr"/>
      <c r="Z1457" s="6" t="inlineStr"/>
      <c r="AA1457" s="5" t="inlineStr"/>
      <c r="AB1457" s="5" t="inlineStr"/>
      <c r="AC1457" s="5" t="inlineStr"/>
      <c r="AD1457" s="5" t="inlineStr">
        <is>
          <t>Rahat</t>
        </is>
      </c>
      <c r="AE1457" s="5" t="inlineStr"/>
      <c r="AF1457" s="5" t="inlineStr"/>
      <c r="AG1457" s="5" t="inlineStr"/>
      <c r="AH1457" s="5" t="inlineStr"/>
    </row>
    <row r="1458">
      <c r="A1458" s="5" t="inlineStr">
        <is>
          <t>k10-hekim</t>
        </is>
      </c>
      <c r="B1458" s="5" t="n">
        <v>2</v>
      </c>
      <c r="C1458" s="6" t="inlineStr">
        <is>
          <t>Kendi kliniğini aç</t>
        </is>
      </c>
      <c r="D1458" s="5" t="inlineStr">
        <is>
          <t>Kurnazlık</t>
        </is>
      </c>
      <c r="E1458" s="5" t="inlineStr">
        <is>
          <t>Zor</t>
        </is>
      </c>
      <c r="F1458" s="5" t="inlineStr"/>
      <c r="G1458" s="6" t="inlineStr"/>
      <c r="H1458" s="6" t="inlineStr">
        <is>
          <t>Yatırımcıyla anlaştın, sözleşmeyi satır satır okudun, tabelayı sen seçtin. Klinik açıldı; bekleme salonunda yedi akraba, hepsi indirim bekliyor.</t>
        </is>
      </c>
      <c r="I1458" s="6" t="inlineStr">
        <is>
          <t>Klinik ilk yılında şube açtı. Hastanedeki eski hocan randevu almak için seni aradı; sekreterin onu bekletti.</t>
        </is>
      </c>
      <c r="J1458" s="6" t="inlineStr">
        <is>
          <t>Yatırımcı sözleşmenin son sayfasında kliniğe kendi köpeğinin adını vermiş. Masadan kalktın; hastanedeki kadron hâlâ senin.</t>
        </is>
      </c>
      <c r="K1458" s="6" t="inlineStr">
        <is>
          <t>Bir imza kalmışken yatırımcı ortadan kayboldu, kiraladığın yer düğün salonu oldu. Hastaneye döndün; nöbet listesi seni bekliyordu.</t>
        </is>
      </c>
      <c r="L1458" s="6" t="inlineStr"/>
      <c r="M1458" s="5" t="inlineStr"/>
      <c r="N1458" s="5" t="inlineStr"/>
      <c r="O1458" s="6" t="inlineStr"/>
      <c r="P1458" s="6" t="inlineStr"/>
      <c r="Q1458" s="5" t="inlineStr"/>
      <c r="R1458" s="5" t="inlineStr"/>
      <c r="S1458" s="5" t="inlineStr"/>
      <c r="T1458" s="5" t="inlineStr"/>
      <c r="U1458" s="5" t="inlineStr"/>
      <c r="V1458" s="5" t="inlineStr">
        <is>
          <t>-hat-cete, -hat-dolandirici, -hat-goc, -hat-hekim, -hat-koy, -hat-polis, -hat-politika, -hat-sohret, -hat-usta, -hat-yargi, -meslek-beyazyaka, -meslek-esnaf, -meslek-memur, hat-girisimci, meslek-serbest</t>
        </is>
      </c>
      <c r="W1458" s="5" t="inlineStr"/>
      <c r="X1458" s="5" t="inlineStr"/>
      <c r="Y1458" s="5" t="inlineStr"/>
      <c r="Z1458" s="6" t="inlineStr"/>
      <c r="AA1458" s="5" t="inlineStr"/>
      <c r="AB1458" s="5" t="inlineStr"/>
      <c r="AC1458" s="5" t="inlineStr"/>
      <c r="AD1458" s="5" t="inlineStr">
        <is>
          <t>Rahat</t>
        </is>
      </c>
      <c r="AE1458" s="5" t="inlineStr"/>
      <c r="AF1458" s="5" t="inlineStr"/>
      <c r="AG1458" s="5" t="inlineStr"/>
      <c r="AH1458" s="5" t="inlineStr"/>
    </row>
    <row r="1459">
      <c r="A1459" s="5" t="inlineStr">
        <is>
          <t>k10-hekim</t>
        </is>
      </c>
      <c r="B1459" s="5" t="n">
        <v>3</v>
      </c>
      <c r="C1459" s="6" t="inlineStr">
        <is>
          <t>Televizyon doktoru ol</t>
        </is>
      </c>
      <c r="D1459" s="5" t="inlineStr">
        <is>
          <t>Pişkinlik</t>
        </is>
      </c>
      <c r="E1459" s="5" t="inlineStr">
        <is>
          <t>Zor</t>
        </is>
      </c>
      <c r="F1459" s="5" t="inlineStr"/>
      <c r="G1459" s="6" t="inlineStr"/>
      <c r="H1459" s="6" t="inlineStr">
        <is>
          <t>İlk konukluğunda kameraya baktın, tansiyonu üç cümlede anlattın. Program seni haftada bir değil, her gün istedi. Önlük artık stüdyo askısında.</t>
        </is>
      </c>
      <c r="I1459" s="6" t="inlineStr">
        <is>
          <t>Bir ay sonra kendi programın başladı. Pazarda teyzeler seni ekrandaki gibi selamlıyor, sen de ekrandaki gibi gülümsüyorsun.</t>
        </is>
      </c>
      <c r="J1459" s="6" t="inlineStr">
        <is>
          <t>Canlı yayında sunucu “Doktor bey, biz de öleceğiz mi?” diye sordu; dondun. Bir daha çağırmadılar; nöbetine döndün.</t>
        </is>
      </c>
      <c r="K1459" s="6" t="inlineStr">
        <is>
          <t>Işıklar altında terledin, pudraladılar, daha çok terledin. Yayın “Terleyen Doktor” diye dolaştı; hastanede hastalar seni oradan tanıyor.</t>
        </is>
      </c>
      <c r="L1459" s="6" t="inlineStr"/>
      <c r="M1459" s="5" t="inlineStr"/>
      <c r="N1459" s="5" t="inlineStr"/>
      <c r="O1459" s="6" t="inlineStr"/>
      <c r="P1459" s="6" t="inlineStr"/>
      <c r="Q1459" s="5" t="inlineStr"/>
      <c r="R1459" s="5" t="inlineStr"/>
      <c r="S1459" s="5" t="inlineStr"/>
      <c r="T1459" s="5" t="inlineStr"/>
      <c r="U1459" s="5" t="inlineStr"/>
      <c r="V1459" s="5" t="inlineStr">
        <is>
          <t>-hat-cete, -hat-dolandirici, -hat-girisimci, -hat-goc, -hat-hekim, -hat-koy, -hat-polis, -hat-politika, -hat-usta, -hat-yargi, -meslek-beyazyaka, -meslek-esnaf, -meslek-memur, hat-sohret, meslek-serbest</t>
        </is>
      </c>
      <c r="W1459" s="5" t="inlineStr"/>
      <c r="X1459" s="5" t="inlineStr"/>
      <c r="Y1459" s="5" t="inlineStr"/>
      <c r="Z1459" s="6" t="inlineStr"/>
      <c r="AA1459" s="5" t="inlineStr"/>
      <c r="AB1459" s="5" t="inlineStr"/>
      <c r="AC1459" s="5" t="inlineStr"/>
      <c r="AD1459" s="5" t="inlineStr"/>
      <c r="AE1459" s="5" t="inlineStr"/>
      <c r="AF1459" s="5" t="inlineStr"/>
      <c r="AG1459" s="5" t="inlineStr"/>
      <c r="AH1459" s="5" t="inlineStr"/>
    </row>
    <row r="1460">
      <c r="A1460" s="5" t="inlineStr">
        <is>
          <t>k10-hekim</t>
        </is>
      </c>
      <c r="B1460" s="5" t="n">
        <v>4</v>
      </c>
      <c r="C1460" s="6" t="inlineStr">
        <is>
          <t>Öte Diyar'da hekimlik</t>
        </is>
      </c>
      <c r="D1460" s="5" t="inlineStr">
        <is>
          <t>Akıl</t>
        </is>
      </c>
      <c r="E1460" s="5" t="inlineStr">
        <is>
          <t>Çok Zor</t>
        </is>
      </c>
      <c r="F1460" s="5" t="inlineStr"/>
      <c r="G1460" s="6" t="inlineStr"/>
      <c r="H1460" s="6" t="inlineStr">
        <is>
          <t>Dil, denklik, mülakat: üç kapıyı da geçtin. Öte Diyar'da bir hastanede kimse adını doğru okuyamıyor; maaş bordron ise gayet okunaklı.</t>
        </is>
      </c>
      <c r="I1460" s="6" t="inlineStr">
        <is>
          <t>Öte Diyar'daki hastane seni iki yılda bölüm sorumlusu yaptı. Aile grubu hâlâ dizin fotoğrafı yolluyor; saat farkıyla.</t>
        </is>
      </c>
      <c r="J1460" s="6" t="inlineStr">
        <is>
          <t>Denklik sınavından tek soruyla kaldın. İlan seneye yeniden çıkacak; sen o arada yine burada nöbet tutuyorsun.</t>
        </is>
      </c>
      <c r="K1460" s="6" t="inlineStr">
        <is>
          <t>Sınavda “nöbet” kelimesinin karşılığını aradın; oralarda öyle bir kelime yokmuş. Kâğıt boş kaldı, sen burada kaldın.</t>
        </is>
      </c>
      <c r="L1460" s="6" t="inlineStr"/>
      <c r="M1460" s="5" t="inlineStr"/>
      <c r="N1460" s="5" t="inlineStr"/>
      <c r="O1460" s="6" t="inlineStr"/>
      <c r="P1460" s="6" t="inlineStr"/>
      <c r="Q1460" s="5" t="inlineStr"/>
      <c r="R1460" s="5" t="inlineStr"/>
      <c r="S1460" s="5" t="inlineStr"/>
      <c r="T1460" s="5" t="inlineStr"/>
      <c r="U1460" s="5" t="inlineStr"/>
      <c r="V1460" s="5" t="inlineStr">
        <is>
          <t>-hat-cete, -hat-dolandirici, -hat-girisimci, -hat-hekim, -hat-koy, -hat-polis, -hat-politika, -hat-sohret, -hat-usta, -hat-yargi, -meslek-esnaf, -meslek-memur, -meslek-serbest, hat-goc, meslek-beyazyaka</t>
        </is>
      </c>
      <c r="W1460" s="5" t="inlineStr"/>
      <c r="X1460" s="5" t="inlineStr"/>
      <c r="Y1460" s="5" t="inlineStr"/>
      <c r="Z1460" s="6" t="inlineStr"/>
      <c r="AA1460" s="5" t="inlineStr"/>
      <c r="AB1460" s="5" t="inlineStr"/>
      <c r="AC1460" s="5" t="inlineStr"/>
      <c r="AD1460" s="5" t="inlineStr"/>
      <c r="AE1460" s="5" t="inlineStr"/>
      <c r="AF1460" s="5" t="inlineStr"/>
      <c r="AG1460" s="5" t="inlineStr"/>
      <c r="AH1460" s="5" t="inlineStr"/>
    </row>
    <row r="1461">
      <c r="A1461" s="5" t="inlineStr">
        <is>
          <t>k10-memur</t>
        </is>
      </c>
      <c r="B1461" s="5" t="n">
        <v>1</v>
      </c>
      <c r="C1461" s="6" t="inlineStr">
        <is>
          <t>Memlekete tayin</t>
        </is>
      </c>
      <c r="D1461" s="5" t="inlineStr"/>
      <c r="E1461" s="5" t="inlineStr"/>
      <c r="F1461" s="5" t="inlineStr">
        <is>
          <t>İtibar +1, Sosyal Radar +1</t>
        </is>
      </c>
      <c r="G1461" s="6" t="inlineStr">
        <is>
          <t>Memleketine döndün. Daire aynı, çay ocağı aynı, müdür ilkokul arkadaşın. İlk gün “Hoş geldin” dedi, ikinci gün çay borcunu hatırlattı.</t>
        </is>
      </c>
      <c r="H1461" s="6" t="inlineStr"/>
      <c r="I1461" s="6" t="inlineStr"/>
      <c r="J1461" s="6" t="inlineStr"/>
      <c r="K1461" s="6" t="inlineStr"/>
      <c r="L1461" s="6" t="inlineStr"/>
      <c r="M1461" s="5" t="inlineStr"/>
      <c r="N1461" s="5" t="inlineStr"/>
      <c r="O1461" s="6" t="inlineStr"/>
      <c r="P1461" s="6" t="inlineStr"/>
      <c r="Q1461" s="5" t="inlineStr"/>
      <c r="R1461" s="5" t="inlineStr"/>
      <c r="S1461" s="5" t="inlineStr"/>
      <c r="T1461" s="5" t="inlineStr"/>
      <c r="U1461" s="5" t="inlineStr"/>
      <c r="V1461" s="5" t="inlineStr"/>
      <c r="W1461" s="5" t="inlineStr"/>
      <c r="X1461" s="5" t="inlineStr"/>
      <c r="Y1461" s="5" t="inlineStr"/>
      <c r="Z1461" s="6" t="inlineStr"/>
      <c r="AA1461" s="5" t="inlineStr"/>
      <c r="AB1461" s="5" t="inlineStr"/>
      <c r="AC1461" s="5" t="inlineStr"/>
      <c r="AD1461" s="5" t="inlineStr"/>
      <c r="AE1461" s="5" t="inlineStr"/>
      <c r="AF1461" s="5" t="inlineStr"/>
      <c r="AG1461" s="5" t="inlineStr"/>
      <c r="AH1461" s="5" t="inlineStr"/>
    </row>
    <row r="1462">
      <c r="A1462" s="5" t="inlineStr">
        <is>
          <t>k10-memur</t>
        </is>
      </c>
      <c r="B1462" s="5" t="n">
        <v>2</v>
      </c>
      <c r="C1462" s="6" t="inlineStr">
        <is>
          <t>Terfiyi seç</t>
        </is>
      </c>
      <c r="D1462" s="5" t="inlineStr">
        <is>
          <t>Akıl</t>
        </is>
      </c>
      <c r="E1462" s="5" t="inlineStr">
        <is>
          <t>Orta</t>
        </is>
      </c>
      <c r="F1462" s="5" t="inlineStr"/>
      <c r="G1462" s="6" t="inlineStr"/>
      <c r="H1462" s="6" t="inlineStr">
        <is>
          <t>Sınavı geçip şube müdürü oldun. Artık bir masan değil bir odan var; odada bir masa, masada başkalarının sana getirdiği kâğıtlar.</t>
        </is>
      </c>
      <c r="I1462" s="6" t="inlineStr">
        <is>
          <t>Sınavı birincilikle geçtin, genel müdürlük seni gözüne kestirdi. Kapında isim tabelası var; harfleri de doğru.</t>
        </is>
      </c>
      <c r="J1462" s="6" t="inlineStr">
        <is>
          <t>Sınavdan iki puanla kaldın. Kâğıt geri döndü, sen yerinde kaldın; köy şubesi de biraz daha yaşadı.</t>
        </is>
      </c>
      <c r="K1462" s="6" t="inlineStr">
        <is>
          <t>Sınav salonunu yanlış binada aradın; genel müdürlüğün iki binası varmış. Doğrusunu bulduğunda kapı kapanmıştı.</t>
        </is>
      </c>
      <c r="L1462" s="6" t="inlineStr"/>
      <c r="M1462" s="5" t="inlineStr"/>
      <c r="N1462" s="5" t="inlineStr"/>
      <c r="O1462" s="6" t="inlineStr"/>
      <c r="P1462" s="6" t="inlineStr"/>
      <c r="Q1462" s="5" t="inlineStr"/>
      <c r="R1462" s="5" t="inlineStr"/>
      <c r="S1462" s="5" t="inlineStr"/>
      <c r="T1462" s="5" t="inlineStr"/>
      <c r="U1462" s="5" t="inlineStr"/>
      <c r="V1462" s="5" t="inlineStr">
        <is>
          <t>memur-terfi</t>
        </is>
      </c>
      <c r="W1462" s="5" t="inlineStr"/>
      <c r="X1462" s="5" t="inlineStr"/>
      <c r="Y1462" s="5" t="inlineStr"/>
      <c r="Z1462" s="6" t="inlineStr"/>
      <c r="AA1462" s="5" t="inlineStr"/>
      <c r="AB1462" s="5" t="inlineStr"/>
      <c r="AC1462" s="5" t="inlineStr"/>
      <c r="AD1462" s="5" t="inlineStr">
        <is>
          <t>Rahat</t>
        </is>
      </c>
      <c r="AE1462" s="5" t="inlineStr"/>
      <c r="AF1462" s="5" t="inlineStr"/>
      <c r="AG1462" s="5" t="inlineStr"/>
      <c r="AH1462" s="5" t="inlineStr"/>
    </row>
    <row r="1463">
      <c r="A1463" s="5" t="inlineStr">
        <is>
          <t>k10-memur</t>
        </is>
      </c>
      <c r="B1463" s="5" t="n">
        <v>3</v>
      </c>
      <c r="C1463" s="6" t="inlineStr">
        <is>
          <t>Köy şubesinde kal</t>
        </is>
      </c>
      <c r="D1463" s="5" t="inlineStr">
        <is>
          <t>İtibar</t>
        </is>
      </c>
      <c r="E1463" s="5" t="inlineStr">
        <is>
          <t>Zor</t>
        </is>
      </c>
      <c r="F1463" s="5" t="inlineStr"/>
      <c r="G1463" s="6" t="inlineStr"/>
      <c r="H1463" s="6" t="inlineStr">
        <is>
          <t>Şube yine de kapandı; sen kapanmadın. Kadroyu bırakıp köyde kaldın. Muhtar sana bir tarla gösterdi: “Memurluk bitti, toprak başladı.”</t>
        </is>
      </c>
      <c r="I1463" s="6" t="inlineStr">
        <is>
          <t>Kadroyu bıraktın, köy seni bağrına bastı. Eski şube binası şimdi kooperatif; müdürü sensin, maaşın domates.</t>
        </is>
      </c>
      <c r="J1463" s="6" t="inlineStr">
        <is>
          <t>Kalmak istedin ama dilekçen üç masada bekledi. Sonunda seni merkeze çektiler. Köyün mektubunu masa camının altına koydun.</t>
        </is>
      </c>
      <c r="K1463" s="6" t="inlineStr">
        <is>
          <t>Kalmak için dilekçe yazdın; dilekçe kayboldu, sen merkeze atandın. Köy şubesinin anahtarı hâlâ cebinde.</t>
        </is>
      </c>
      <c r="L1463" s="6" t="inlineStr"/>
      <c r="M1463" s="5" t="inlineStr"/>
      <c r="N1463" s="5" t="inlineStr"/>
      <c r="O1463" s="6" t="inlineStr"/>
      <c r="P1463" s="6" t="inlineStr"/>
      <c r="Q1463" s="5" t="inlineStr"/>
      <c r="R1463" s="5" t="inlineStr"/>
      <c r="S1463" s="5" t="inlineStr"/>
      <c r="T1463" s="5" t="inlineStr"/>
      <c r="U1463" s="5" t="inlineStr"/>
      <c r="V1463" s="5" t="inlineStr">
        <is>
          <t>-hat-cete, -hat-dolandirici, -hat-girisimci, -hat-goc, -hat-hekim, -hat-polis, -hat-politika, -hat-sohret, -hat-usta, -hat-yargi, -meslek-beyazyaka, -meslek-memur, -meslek-serbest, hat-koy, meslek-esnaf</t>
        </is>
      </c>
      <c r="W1463" s="5" t="inlineStr"/>
      <c r="X1463" s="5" t="inlineStr"/>
      <c r="Y1463" s="5" t="inlineStr"/>
      <c r="Z1463" s="6" t="inlineStr"/>
      <c r="AA1463" s="5" t="inlineStr"/>
      <c r="AB1463" s="5" t="inlineStr"/>
      <c r="AC1463" s="5" t="inlineStr"/>
      <c r="AD1463" s="5" t="inlineStr"/>
      <c r="AE1463" s="5" t="inlineStr"/>
      <c r="AF1463" s="5" t="inlineStr"/>
      <c r="AG1463" s="5" t="inlineStr"/>
      <c r="AH1463" s="5" t="inlineStr"/>
    </row>
    <row r="1464">
      <c r="A1464" s="5" t="inlineStr">
        <is>
          <t>k10-beyazyaka</t>
        </is>
      </c>
      <c r="B1464" s="5" t="n">
        <v>1</v>
      </c>
      <c r="C1464" s="6" t="inlineStr">
        <is>
          <t>Maaş kesintisini kabul et</t>
        </is>
      </c>
      <c r="D1464" s="5" t="inlineStr"/>
      <c r="E1464" s="5" t="inlineStr"/>
      <c r="F1464" s="5" t="inlineStr">
        <is>
          <t>Dayanıklılık +1, Sosyal Radar +1</t>
        </is>
      </c>
      <c r="G1464" s="6" t="inlineStr">
        <is>
          <t>Kalanlara teklif edilen maaş kesintisini imzaladın. Masan duruyor, kupan duruyor; maaş bordrosu biraz eridi.</t>
        </is>
      </c>
      <c r="H1464" s="6" t="inlineStr"/>
      <c r="I1464" s="6" t="inlineStr"/>
      <c r="J1464" s="6" t="inlineStr"/>
      <c r="K1464" s="6" t="inlineStr"/>
      <c r="L1464" s="6" t="inlineStr"/>
      <c r="M1464" s="5" t="inlineStr"/>
      <c r="N1464" s="5" t="inlineStr"/>
      <c r="O1464" s="6" t="inlineStr"/>
      <c r="P1464" s="6" t="inlineStr"/>
      <c r="Q1464" s="5" t="inlineStr"/>
      <c r="R1464" s="5" t="inlineStr"/>
      <c r="S1464" s="5" t="inlineStr"/>
      <c r="T1464" s="5" t="inlineStr"/>
      <c r="U1464" s="5" t="inlineStr"/>
      <c r="V1464" s="5" t="inlineStr"/>
      <c r="W1464" s="5" t="inlineStr"/>
      <c r="X1464" s="5" t="inlineStr"/>
      <c r="Y1464" s="5" t="inlineStr"/>
      <c r="Z1464" s="6" t="inlineStr"/>
      <c r="AA1464" s="5" t="inlineStr"/>
      <c r="AB1464" s="5" t="inlineStr"/>
      <c r="AC1464" s="5" t="inlineStr"/>
      <c r="AD1464" s="5" t="inlineStr"/>
      <c r="AE1464" s="5" t="inlineStr"/>
      <c r="AF1464" s="5" t="n">
        <v>1</v>
      </c>
      <c r="AG1464" s="5" t="inlineStr"/>
      <c r="AH1464" s="5" t="inlineStr"/>
    </row>
    <row r="1465">
      <c r="A1465" s="5" t="inlineStr">
        <is>
          <t>k10-beyazyaka</t>
        </is>
      </c>
      <c r="B1465" s="5" t="n">
        <v>2</v>
      </c>
      <c r="C1465" s="6" t="inlineStr">
        <is>
          <t>Küçülmeden sağ çık</t>
        </is>
      </c>
      <c r="D1465" s="5" t="inlineStr">
        <is>
          <t>Sosyal Radar</t>
        </is>
      </c>
      <c r="E1465" s="5" t="inlineStr">
        <is>
          <t>Orta</t>
        </is>
      </c>
      <c r="F1465" s="5" t="inlineStr"/>
      <c r="G1465" s="6" t="inlineStr"/>
      <c r="H1465" s="6" t="inlineStr">
        <is>
          <t>Hangi toplantıya girmeyeceğini, hangi sunumda görüneceğini bildin. Kat yarıya indi; sen hâlâ oradasın, üstelik pencere kenarında.</t>
        </is>
      </c>
      <c r="I1465" s="6" t="inlineStr">
        <is>
          <t>Dalgadan hem sağ çıktın hem terfi aldın; boşalan iki masanın işi sana verildi. Maaş bir buçuk, iş üç.</t>
        </is>
      </c>
      <c r="J1465" s="6" t="inlineStr">
        <is>
          <t>Doğru toplantılara girdin ama liste başka bir kattan hazırlanmış. Kutuna saksını, kupanı ve on yılını koydun.</t>
        </is>
      </c>
      <c r="K1465" s="6" t="inlineStr">
        <is>
          <t>Yeniden yapılanma sunumunu sen hazırladın; son slaytta kendi adın vardı. Fark etmeden sundun.</t>
        </is>
      </c>
      <c r="L1465" s="6" t="inlineStr"/>
      <c r="M1465" s="5" t="inlineStr"/>
      <c r="N1465" s="5" t="inlineStr"/>
      <c r="O1465" s="6" t="inlineStr"/>
      <c r="P1465" s="6" t="inlineStr"/>
      <c r="Q1465" s="5" t="inlineStr"/>
      <c r="R1465" s="5" t="inlineStr"/>
      <c r="S1465" s="5" t="inlineStr"/>
      <c r="T1465" s="5" t="inlineStr"/>
      <c r="U1465" s="5" t="inlineStr"/>
      <c r="V1465" s="5" t="inlineStr">
        <is>
          <t>beyazyaka-sag-kaldi</t>
        </is>
      </c>
      <c r="W1465" s="5" t="inlineStr"/>
      <c r="X1465" s="5" t="inlineStr"/>
      <c r="Y1465" s="5" t="inlineStr"/>
      <c r="Z1465" s="6" t="inlineStr"/>
      <c r="AA1465" s="5" t="inlineStr"/>
      <c r="AB1465" s="5" t="inlineStr">
        <is>
          <t>kriz-isten-cikti</t>
        </is>
      </c>
      <c r="AC1465" s="5" t="inlineStr"/>
      <c r="AD1465" s="5" t="inlineStr">
        <is>
          <t>Rahat</t>
        </is>
      </c>
      <c r="AE1465" s="5" t="inlineStr"/>
      <c r="AF1465" s="5" t="inlineStr"/>
      <c r="AG1465" s="5" t="inlineStr"/>
      <c r="AH1465" s="5" t="inlineStr"/>
    </row>
    <row r="1466">
      <c r="A1466" s="5" t="inlineStr">
        <is>
          <t>k10-beyazyaka</t>
        </is>
      </c>
      <c r="B1466" s="5" t="n">
        <v>3</v>
      </c>
      <c r="C1466" s="6" t="inlineStr">
        <is>
          <t>Tazminatla şirket kur</t>
        </is>
      </c>
      <c r="D1466" s="5" t="inlineStr">
        <is>
          <t>Cesaret</t>
        </is>
      </c>
      <c r="E1466" s="5" t="inlineStr">
        <is>
          <t>Zor</t>
        </is>
      </c>
      <c r="F1466" s="5" t="inlineStr"/>
      <c r="G1466" s="6" t="inlineStr"/>
      <c r="H1466" s="6" t="inlineStr">
        <is>
          <t>Tazminatı alıp kapıdan çıktın, ertesi gün şirketini kurdun. Ofisin bir kafenin köşe masası; patron sensin, stajyer de.</t>
        </is>
      </c>
      <c r="I1466" s="6" t="inlineStr">
        <is>
          <t>Şirketin ilk yılında eski işyerin senden hizmet aldı. Faturayı eski müdürüne sen kestin; iki kez okudun.</t>
        </is>
      </c>
      <c r="J1466" s="6" t="inlineStr">
        <is>
          <t>Tazminat hesabını bir daha yaptın; cesaretin hesaba sığmadı. İstifa taslağı taslaklarda kaldı, sen masanda.</t>
        </is>
      </c>
      <c r="K1466" s="6" t="inlineStr">
        <is>
          <t>Tazminat için İK'ya gittin; tazminatın yalnızca listedekilere verildiğini öğrendin. Masana döndün; utancın da seninle.</t>
        </is>
      </c>
      <c r="L1466" s="6" t="inlineStr"/>
      <c r="M1466" s="5" t="inlineStr"/>
      <c r="N1466" s="5" t="inlineStr"/>
      <c r="O1466" s="6" t="inlineStr"/>
      <c r="P1466" s="6" t="inlineStr"/>
      <c r="Q1466" s="5" t="inlineStr"/>
      <c r="R1466" s="5" t="inlineStr"/>
      <c r="S1466" s="5" t="inlineStr"/>
      <c r="T1466" s="5" t="inlineStr"/>
      <c r="U1466" s="5" t="inlineStr"/>
      <c r="V1466" s="5" t="inlineStr">
        <is>
          <t>-hat-cete, -hat-dolandirici, -hat-goc, -hat-hekim, -hat-koy, -hat-polis, -hat-politika, -hat-sohret, -hat-usta, -hat-yargi, -meslek-beyazyaka, -meslek-esnaf, -meslek-memur, hat-girisimci, meslek-serbest</t>
        </is>
      </c>
      <c r="W1466" s="5" t="inlineStr"/>
      <c r="X1466" s="5" t="inlineStr"/>
      <c r="Y1466" s="5" t="inlineStr"/>
      <c r="Z1466" s="6" t="inlineStr"/>
      <c r="AA1466" s="5" t="inlineStr"/>
      <c r="AB1466" s="5" t="inlineStr"/>
      <c r="AC1466" s="5" t="inlineStr"/>
      <c r="AD1466" s="5" t="inlineStr"/>
      <c r="AE1466" s="5" t="inlineStr"/>
      <c r="AF1466" s="5" t="inlineStr"/>
      <c r="AG1466" s="5" t="inlineStr"/>
      <c r="AH1466" s="5" t="inlineStr"/>
    </row>
    <row r="1467">
      <c r="A1467" s="5" t="inlineStr">
        <is>
          <t>k10-beyazyaka</t>
        </is>
      </c>
      <c r="B1467" s="5" t="n">
        <v>4</v>
      </c>
      <c r="C1467" s="6" t="inlineStr">
        <is>
          <t>Öte Diyar ofisine transfer</t>
        </is>
      </c>
      <c r="D1467" s="5" t="inlineStr">
        <is>
          <t>Akıl</t>
        </is>
      </c>
      <c r="E1467" s="5" t="inlineStr">
        <is>
          <t>Zor</t>
        </is>
      </c>
      <c r="F1467" s="5" t="inlineStr"/>
      <c r="G1467" s="6" t="inlineStr"/>
      <c r="H1467" s="6" t="inlineStr">
        <is>
          <t>İç ilana başvurdun, üç tur mülakatı geçtin. Dalga kıyıya vururken sen havalimanındaydın. Öte Diyar ofisinde kahve makinesi bile başka dil konuşuyor.</t>
        </is>
      </c>
      <c r="I1467" s="6" t="inlineStr">
        <is>
          <t>Transferle birlikte bir kademe terfi geldi. Öte Diyar'daki ilk sunumunda kimse slaytlarını anlamadı; herkes alkışladı.</t>
        </is>
      </c>
      <c r="J1467" s="6" t="inlineStr">
        <is>
          <t>Son turda oranın müdürü “Burada kış altı ay” dedi, sen irkildin, o da gördü. Transfer olmadı; sen buradasın, dalga da.</t>
        </is>
      </c>
      <c r="K1467" s="6" t="inlineStr">
        <is>
          <t>Mülakata yanlış saat diliminde bağlandın; karşında boş bir toplantı odası. Transfer yok, bir de “ilgisiz aday” notu var.</t>
        </is>
      </c>
      <c r="L1467" s="6" t="inlineStr"/>
      <c r="M1467" s="5" t="inlineStr"/>
      <c r="N1467" s="5" t="inlineStr"/>
      <c r="O1467" s="6" t="inlineStr"/>
      <c r="P1467" s="6" t="inlineStr"/>
      <c r="Q1467" s="5" t="inlineStr"/>
      <c r="R1467" s="5" t="inlineStr"/>
      <c r="S1467" s="5" t="inlineStr"/>
      <c r="T1467" s="5" t="inlineStr"/>
      <c r="U1467" s="5" t="inlineStr"/>
      <c r="V1467" s="5" t="inlineStr">
        <is>
          <t>-hat-cete, -hat-dolandirici, -hat-girisimci, -hat-hekim, -hat-koy, -hat-polis, -hat-politika, -hat-sohret, -hat-usta, -hat-yargi, -meslek-esnaf, -meslek-memur, -meslek-serbest, hat-goc, meslek-beyazyaka</t>
        </is>
      </c>
      <c r="W1467" s="5" t="inlineStr"/>
      <c r="X1467" s="5" t="inlineStr"/>
      <c r="Y1467" s="5" t="inlineStr"/>
      <c r="Z1467" s="6" t="inlineStr"/>
      <c r="AA1467" s="5" t="inlineStr"/>
      <c r="AB1467" s="5" t="inlineStr"/>
      <c r="AC1467" s="5" t="inlineStr"/>
      <c r="AD1467" s="5" t="inlineStr">
        <is>
          <t>Rahat</t>
        </is>
      </c>
      <c r="AE1467" s="5" t="inlineStr"/>
      <c r="AF1467" s="5" t="inlineStr"/>
      <c r="AG1467" s="5" t="inlineStr"/>
      <c r="AH1467" s="5" t="inlineStr"/>
    </row>
    <row r="1468">
      <c r="A1468" s="5" t="inlineStr">
        <is>
          <t>b7-cete-tahsilat</t>
        </is>
      </c>
      <c r="B1468" s="5" t="n">
        <v>1</v>
      </c>
      <c r="C1468" s="6" t="inlineStr">
        <is>
          <t>Borcu lahmacunla tahsil et</t>
        </is>
      </c>
      <c r="D1468" s="5" t="inlineStr"/>
      <c r="E1468" s="5" t="inlineStr"/>
      <c r="F1468" s="5" t="inlineStr">
        <is>
          <t>Pişkinlik +1, Dayanıklılık +1</t>
        </is>
      </c>
      <c r="G1468" s="6" t="inlineStr">
        <is>
          <t>Üç ayın karşılığı kırk iki lahmacun. Abiye götürdün; abi tek tek saydı, birini yedi, “Eksik” dedi.</t>
        </is>
      </c>
      <c r="H1468" s="6" t="inlineStr"/>
      <c r="I1468" s="6" t="inlineStr"/>
      <c r="J1468" s="6" t="inlineStr"/>
      <c r="K1468" s="6" t="inlineStr"/>
      <c r="L1468" s="6" t="inlineStr"/>
      <c r="M1468" s="5" t="inlineStr"/>
      <c r="N1468" s="5" t="inlineStr"/>
      <c r="O1468" s="6" t="inlineStr"/>
      <c r="P1468" s="6" t="inlineStr"/>
      <c r="Q1468" s="5" t="inlineStr"/>
      <c r="R1468" s="5" t="inlineStr"/>
      <c r="S1468" s="5" t="inlineStr"/>
      <c r="T1468" s="5" t="inlineStr"/>
      <c r="U1468" s="5" t="inlineStr"/>
      <c r="V1468" s="5" t="inlineStr"/>
      <c r="W1468" s="5" t="inlineStr"/>
      <c r="X1468" s="5" t="inlineStr"/>
      <c r="Y1468" s="5" t="inlineStr"/>
      <c r="Z1468" s="6" t="inlineStr"/>
      <c r="AA1468" s="5" t="inlineStr"/>
      <c r="AB1468" s="5" t="inlineStr"/>
      <c r="AC1468" s="5" t="inlineStr"/>
      <c r="AD1468" s="5" t="inlineStr"/>
      <c r="AE1468" s="5" t="inlineStr"/>
      <c r="AF1468" s="5" t="inlineStr"/>
      <c r="AG1468" s="5" t="inlineStr"/>
      <c r="AH1468" s="5" t="inlineStr"/>
    </row>
    <row r="1469">
      <c r="A1469" s="5" t="inlineStr">
        <is>
          <t>b7-cete-tahsilat</t>
        </is>
      </c>
      <c r="B1469" s="5" t="n">
        <v>2</v>
      </c>
      <c r="C1469" s="6" t="inlineStr">
        <is>
          <t>Nurettin'le ödeme planı yap</t>
        </is>
      </c>
      <c r="D1469" s="5" t="inlineStr">
        <is>
          <t>Çene</t>
        </is>
      </c>
      <c r="E1469" s="5" t="inlineStr">
        <is>
          <t>Orta</t>
        </is>
      </c>
      <c r="F1469" s="5" t="inlineStr"/>
      <c r="G1469" s="6" t="inlineStr"/>
      <c r="H1469" s="6" t="inlineStr">
        <is>
          <t>Nurettin her cuma bir miktar bırakacak. Abi planı beğendi; sen de ilk kez bir işi konuşarak bitirdin.</t>
        </is>
      </c>
      <c r="I1469" s="6" t="inlineStr">
        <is>
          <t>Nurettin borcunu kapattı, üstüne tabelasına senin adını yazdırdı: “Tahsilat ortağımız.” Abi tabelayı sökmedi.</t>
        </is>
      </c>
      <c r="J1469" s="6" t="inlineStr">
        <is>
          <t>Nurettin planı dinledi, başını salladı, sana bir ayran ikram etti. Ayranı içtin; plan tezgâhta kaldı.</t>
        </is>
      </c>
      <c r="K1469" s="6" t="inlineStr">
        <is>
          <t>Konuşurken Nurettin'in borcu bir şekilde senin borcuna dönüştü. Nasıl olduğunu ikiniz de anlamadınız; abi anladı.</t>
        </is>
      </c>
      <c r="L1469" s="6" t="inlineStr"/>
      <c r="M1469" s="5" t="inlineStr"/>
      <c r="N1469" s="5" t="inlineStr"/>
      <c r="O1469" s="6" t="inlineStr"/>
      <c r="P1469" s="6" t="inlineStr"/>
      <c r="Q1469" s="5" t="inlineStr"/>
      <c r="R1469" s="5" t="inlineStr"/>
      <c r="S1469" s="5" t="inlineStr"/>
      <c r="T1469" s="5" t="inlineStr"/>
      <c r="U1469" s="5" t="inlineStr"/>
      <c r="V1469" s="5" t="inlineStr"/>
      <c r="W1469" s="5" t="inlineStr">
        <is>
          <t>abiye-borclu</t>
        </is>
      </c>
      <c r="X1469" s="5" t="inlineStr"/>
      <c r="Y1469" s="5" t="inlineStr"/>
      <c r="Z1469" s="6" t="inlineStr"/>
      <c r="AA1469" s="5" t="inlineStr"/>
      <c r="AB1469" s="5" t="inlineStr"/>
      <c r="AC1469" s="5" t="inlineStr"/>
      <c r="AD1469" s="5" t="inlineStr"/>
      <c r="AE1469" s="5" t="inlineStr"/>
      <c r="AF1469" s="5" t="inlineStr"/>
      <c r="AG1469" s="5" t="inlineStr"/>
      <c r="AH1469" s="5" t="inlineStr"/>
    </row>
    <row r="1470">
      <c r="A1470" s="5" t="inlineStr">
        <is>
          <t>b7-cete-tahsilat</t>
        </is>
      </c>
      <c r="B1470" s="5" t="n">
        <v>3</v>
      </c>
      <c r="C1470" s="6" t="inlineStr">
        <is>
          <t>Abiye “Bu adam zaten batık” de</t>
        </is>
      </c>
      <c r="D1470" s="5" t="inlineStr">
        <is>
          <t>Cesaret</t>
        </is>
      </c>
      <c r="E1470" s="5" t="inlineStr">
        <is>
          <t>Zor</t>
        </is>
      </c>
      <c r="F1470" s="5" t="inlineStr"/>
      <c r="G1470" s="6" t="inlineStr"/>
      <c r="H1470" s="6" t="inlineStr">
        <is>
          <t>Abi uzun uzun baktı, sonra Nurettin'in kâğıdını çöpe attı. “Senin gözün var” dedi. Yeni görevin: kimin batık olduğunu önceden söylemek.</t>
        </is>
      </c>
      <c r="I1470" s="6" t="inlineStr">
        <is>
          <t>Tahsilat listesini artık sen hazırlıyorsun. Nurettin her hafta sana bedava ayran gönderiyor; sebebini kimse bilmiyor.</t>
        </is>
      </c>
      <c r="J1470" s="6" t="inlineStr">
        <is>
          <t>Abi “Batık olan da borcunu öder” dedi. Seni kebapçıya geri yolladı; bu sefer iki selamla.</t>
        </is>
      </c>
      <c r="K1470" s="6" t="inlineStr">
        <is>
          <t>Abi Nurettin'in borcunu sana devretti. Artık ayda bir kendi kapına tahsilata geliyorsun.</t>
        </is>
      </c>
      <c r="L1470" s="6" t="inlineStr"/>
      <c r="M1470" s="5" t="inlineStr"/>
      <c r="N1470" s="5" t="inlineStr"/>
      <c r="O1470" s="6" t="inlineStr"/>
      <c r="P1470" s="6" t="inlineStr"/>
      <c r="Q1470" s="5" t="inlineStr"/>
      <c r="R1470" s="5" t="inlineStr"/>
      <c r="S1470" s="5" t="inlineStr"/>
      <c r="T1470" s="5" t="inlineStr">
        <is>
          <t>Odayı Okur</t>
        </is>
      </c>
      <c r="U1470" s="5" t="inlineStr"/>
      <c r="V1470" s="5" t="inlineStr"/>
      <c r="W1470" s="5" t="inlineStr"/>
      <c r="X1470" s="5" t="inlineStr"/>
      <c r="Y1470" s="5" t="inlineStr"/>
      <c r="Z1470" s="6" t="inlineStr"/>
      <c r="AA1470" s="5" t="inlineStr"/>
      <c r="AB1470" s="5" t="inlineStr"/>
      <c r="AC1470" s="5" t="inlineStr"/>
      <c r="AD1470" s="5" t="inlineStr"/>
      <c r="AE1470" s="5" t="inlineStr"/>
      <c r="AF1470" s="5" t="inlineStr"/>
      <c r="AG1470" s="5" t="inlineStr"/>
      <c r="AH1470" s="5" t="inlineStr"/>
    </row>
    <row r="1471">
      <c r="A1471" s="5" t="inlineStr">
        <is>
          <t>b7-cete-tahsilat</t>
        </is>
      </c>
      <c r="B1471" s="5" t="n">
        <v>4</v>
      </c>
      <c r="C1471" s="6" t="inlineStr">
        <is>
          <t>Kasadaki fotokopiyi ima et</t>
        </is>
      </c>
      <c r="D1471" s="5" t="inlineStr"/>
      <c r="E1471" s="5" t="inlineStr"/>
      <c r="F1471" s="5" t="inlineStr">
        <is>
          <t>Kurnazlık +2</t>
        </is>
      </c>
      <c r="G1471" s="6" t="inlineStr">
        <is>
          <t>Kasadan hiç bahsetmedin; yalnızca anahtarlığını çevirdin. Ertesi gün tahsilata başkası gitti, sana yıkamanın kasası kaldı.</t>
        </is>
      </c>
      <c r="H1471" s="6" t="inlineStr"/>
      <c r="I1471" s="6" t="inlineStr"/>
      <c r="J1471" s="6" t="inlineStr"/>
      <c r="K1471" s="6" t="inlineStr"/>
      <c r="L1471" s="6" t="inlineStr"/>
      <c r="M1471" s="5" t="inlineStr"/>
      <c r="N1471" s="5" t="inlineStr"/>
      <c r="O1471" s="6" t="inlineStr"/>
      <c r="P1471" s="6" t="inlineStr"/>
      <c r="Q1471" s="5" t="inlineStr"/>
      <c r="R1471" s="5" t="inlineStr">
        <is>
          <t>abiye-karsi-sigorta</t>
        </is>
      </c>
      <c r="S1471" s="5" t="inlineStr"/>
      <c r="T1471" s="5" t="inlineStr"/>
      <c r="U1471" s="5" t="inlineStr"/>
      <c r="V1471" s="5" t="inlineStr"/>
      <c r="W1471" s="5" t="inlineStr"/>
      <c r="X1471" s="5" t="inlineStr"/>
      <c r="Y1471" s="5" t="inlineStr"/>
      <c r="Z1471" s="6" t="inlineStr"/>
      <c r="AA1471" s="5" t="inlineStr"/>
      <c r="AB1471" s="5" t="inlineStr"/>
      <c r="AC1471" s="5" t="inlineStr"/>
      <c r="AD1471" s="5" t="inlineStr"/>
      <c r="AE1471" s="5" t="inlineStr"/>
      <c r="AF1471" s="5" t="inlineStr"/>
      <c r="AG1471" s="5" t="inlineStr"/>
      <c r="AH1471" s="5" t="inlineStr"/>
    </row>
    <row r="1472">
      <c r="A1472" s="5" t="inlineStr">
        <is>
          <t>b7-cete-tefeci</t>
        </is>
      </c>
      <c r="B1472" s="5" t="n">
        <v>1</v>
      </c>
      <c r="C1472" s="6" t="inlineStr">
        <is>
          <t>Hatır için ver, deftere isim yaz</t>
        </is>
      </c>
      <c r="D1472" s="5" t="inlineStr"/>
      <c r="E1472" s="5" t="inlineStr"/>
      <c r="F1472" s="5" t="inlineStr">
        <is>
          <t>İtibar +1, Sosyal Radar +1</t>
        </is>
      </c>
      <c r="G1472" s="6" t="inlineStr">
        <is>
          <t>Deftere rakam yerine isim yazdın. Paranın yarısı geri geldi, gerisi bayramlarda baklava olarak. Mahalle seni seviyor; kasa sevmiyor.</t>
        </is>
      </c>
      <c r="H1472" s="6" t="inlineStr"/>
      <c r="I1472" s="6" t="inlineStr"/>
      <c r="J1472" s="6" t="inlineStr"/>
      <c r="K1472" s="6" t="inlineStr"/>
      <c r="L1472" s="6" t="inlineStr"/>
      <c r="M1472" s="5" t="inlineStr"/>
      <c r="N1472" s="5" t="inlineStr"/>
      <c r="O1472" s="6" t="inlineStr"/>
      <c r="P1472" s="6" t="inlineStr"/>
      <c r="Q1472" s="5" t="inlineStr"/>
      <c r="R1472" s="5" t="inlineStr"/>
      <c r="S1472" s="5" t="inlineStr"/>
      <c r="T1472" s="5" t="inlineStr"/>
      <c r="U1472" s="5" t="inlineStr"/>
      <c r="V1472" s="5" t="inlineStr"/>
      <c r="W1472" s="5" t="inlineStr"/>
      <c r="X1472" s="5" t="inlineStr"/>
      <c r="Y1472" s="5" t="inlineStr"/>
      <c r="Z1472" s="6" t="inlineStr"/>
      <c r="AA1472" s="5" t="inlineStr"/>
      <c r="AB1472" s="5" t="inlineStr"/>
      <c r="AC1472" s="5" t="inlineStr"/>
      <c r="AD1472" s="5" t="inlineStr"/>
      <c r="AE1472" s="5" t="inlineStr"/>
      <c r="AF1472" s="5" t="inlineStr"/>
      <c r="AG1472" s="5" t="inlineStr"/>
      <c r="AH1472" s="5" t="inlineStr"/>
    </row>
    <row r="1473">
      <c r="A1473" s="5" t="inlineStr">
        <is>
          <t>b7-cete-tefeci</t>
        </is>
      </c>
      <c r="B1473" s="5" t="n">
        <v>2</v>
      </c>
      <c r="C1473" s="6" t="inlineStr">
        <is>
          <t>Mahallenin yarısını deftere yaz</t>
        </is>
      </c>
      <c r="D1473" s="5" t="inlineStr">
        <is>
          <t>Kurnazlık</t>
        </is>
      </c>
      <c r="E1473" s="5" t="inlineStr">
        <is>
          <t>Orta</t>
        </is>
      </c>
      <c r="F1473" s="5" t="inlineStr"/>
      <c r="G1473" s="6" t="inlineStr"/>
      <c r="H1473" s="6" t="inlineStr">
        <is>
          <t>İki yılda mahallenin yarısı deftere girdi. Sokakta herkes selam veriyor; bazıları karşı kaldırıma geçerek.</t>
        </is>
      </c>
      <c r="I1473" s="6" t="inlineStr">
        <is>
          <t>Defter öyle kalınlaştı ki abi bile göz attı: “Bunu ben de yapamazdım.” Kendi adını da gördü, sesini çıkarmadı.</t>
        </is>
      </c>
      <c r="J1473" s="6" t="inlineStr">
        <is>
          <t>Borç verdiğin herkes aynı hafta araba yıkatmayı bıraktı. Kasa boş, köpük makinesi boş, defter dolu.</t>
        </is>
      </c>
      <c r="K1473" s="6" t="inlineStr">
        <is>
          <t>Hesap makinesinin basmayan tuşlarından biri sıfırmış. Deftere kimse inanmıyor; sen de artık emin değilsin.</t>
        </is>
      </c>
      <c r="L1473" s="6" t="inlineStr"/>
      <c r="M1473" s="5" t="inlineStr"/>
      <c r="N1473" s="5" t="inlineStr"/>
      <c r="O1473" s="6" t="inlineStr"/>
      <c r="P1473" s="6" t="inlineStr"/>
      <c r="Q1473" s="5" t="inlineStr"/>
      <c r="R1473" s="5" t="inlineStr"/>
      <c r="S1473" s="5" t="inlineStr"/>
      <c r="T1473" s="5" t="inlineStr"/>
      <c r="U1473" s="5" t="inlineStr"/>
      <c r="V1473" s="5" t="inlineStr">
        <is>
          <t>tefeci-defteri</t>
        </is>
      </c>
      <c r="W1473" s="5" t="inlineStr"/>
      <c r="X1473" s="5" t="inlineStr"/>
      <c r="Y1473" s="5" t="inlineStr"/>
      <c r="Z1473" s="6" t="inlineStr"/>
      <c r="AA1473" s="5" t="inlineStr"/>
      <c r="AB1473" s="5" t="inlineStr"/>
      <c r="AC1473" s="5" t="inlineStr"/>
      <c r="AD1473" s="5" t="inlineStr">
        <is>
          <t>Rahat</t>
        </is>
      </c>
      <c r="AE1473" s="5" t="inlineStr"/>
      <c r="AF1473" s="5" t="inlineStr"/>
      <c r="AG1473" s="5" t="inlineStr"/>
      <c r="AH1473" s="5" t="inlineStr"/>
    </row>
    <row r="1474">
      <c r="A1474" s="5" t="inlineStr">
        <is>
          <t>b7-cete-tefeci</t>
        </is>
      </c>
      <c r="B1474" s="5" t="n">
        <v>3</v>
      </c>
      <c r="C1474" s="6" t="inlineStr">
        <is>
          <t>Abinin müşterilerini kendi defterine geçir</t>
        </is>
      </c>
      <c r="D1474" s="5" t="inlineStr">
        <is>
          <t>Cesaret</t>
        </is>
      </c>
      <c r="E1474" s="5" t="inlineStr">
        <is>
          <t>Zor</t>
        </is>
      </c>
      <c r="F1474" s="5" t="inlineStr"/>
      <c r="G1474" s="6" t="inlineStr"/>
      <c r="H1474" s="6" t="inlineStr">
        <is>
          <t>Abinin üç müşterisi artık sana geliyor. Abi fark etti, bir şey demedi; sana yeni bir hesap makinesi gönderdi. Bütün tuşları basıyor.</t>
        </is>
      </c>
      <c r="I1474" s="6" t="inlineStr">
        <is>
          <t>Abinin müşterilerinin yarısı sana geçti. Abi seni yemeğe çağırdı, hesabı sana bıraktı; bu bir terfi sayılır.</t>
        </is>
      </c>
      <c r="J1474" s="6" t="inlineStr">
        <is>
          <t>Müşteriler iki defter arasında kaldı; ikisine de ödemediler. Abi sana bir hafta selam vermedi.</t>
        </is>
      </c>
      <c r="K1474" s="6" t="inlineStr">
        <is>
          <t>Eski müşterilerden biri defterini karakola götürdü; üstünde senin el yazın var. Hâkim yazının güzel olduğunu söyledi, sonra kararı okudu.</t>
        </is>
      </c>
      <c r="L1474" s="6" t="inlineStr"/>
      <c r="M1474" s="5" t="inlineStr"/>
      <c r="N1474" s="5" t="inlineStr"/>
      <c r="O1474" s="6" t="inlineStr"/>
      <c r="P1474" s="6" t="inlineStr"/>
      <c r="Q1474" s="5" t="inlineStr"/>
      <c r="R1474" s="5" t="inlineStr"/>
      <c r="S1474" s="5" t="inlineStr"/>
      <c r="T1474" s="5" t="inlineStr">
        <is>
          <t>Pazarlık Duayeni</t>
        </is>
      </c>
      <c r="U1474" s="5" t="inlineStr"/>
      <c r="V1474" s="5" t="inlineStr">
        <is>
          <t>tefeci-defteri</t>
        </is>
      </c>
      <c r="W1474" s="5" t="inlineStr">
        <is>
          <t>hapis</t>
        </is>
      </c>
      <c r="X1474" s="5" t="inlineStr"/>
      <c r="Y1474" s="5" t="inlineStr"/>
      <c r="Z1474" s="6" t="inlineStr"/>
      <c r="AA1474" s="5" t="inlineStr"/>
      <c r="AB1474" s="5" t="inlineStr"/>
      <c r="AC1474" s="5" t="inlineStr"/>
      <c r="AD1474" s="5" t="inlineStr"/>
      <c r="AE1474" s="5" t="inlineStr"/>
      <c r="AF1474" s="5" t="inlineStr"/>
      <c r="AG1474" s="5" t="inlineStr"/>
      <c r="AH1474" s="5" t="inlineStr"/>
    </row>
    <row r="1475">
      <c r="A1475" s="5" t="inlineStr">
        <is>
          <t>b7-cete-rakip</t>
        </is>
      </c>
      <c r="B1475" s="5" t="n">
        <v>1</v>
      </c>
      <c r="C1475" s="6" t="inlineStr">
        <is>
          <t>Çay gönder, masaya çağır</t>
        </is>
      </c>
      <c r="D1475" s="5" t="inlineStr"/>
      <c r="E1475" s="5" t="inlineStr"/>
      <c r="F1475" s="5" t="inlineStr">
        <is>
          <t>Sosyal Radar +1, Çene +1</t>
        </is>
      </c>
      <c r="G1475" s="6" t="inlineStr">
        <is>
          <t>Yeğen çayı içti, masaya oturdu, bir saat dinledi. Ertesi gün tabelasındaki fazla harfi söktü. Arada bir sana müşteri gönderiyor.</t>
        </is>
      </c>
      <c r="H1475" s="6" t="inlineStr"/>
      <c r="I1475" s="6" t="inlineStr"/>
      <c r="J1475" s="6" t="inlineStr"/>
      <c r="K1475" s="6" t="inlineStr"/>
      <c r="L1475" s="6" t="inlineStr"/>
      <c r="M1475" s="5" t="inlineStr"/>
      <c r="N1475" s="5" t="inlineStr"/>
      <c r="O1475" s="6" t="inlineStr"/>
      <c r="P1475" s="6" t="inlineStr"/>
      <c r="Q1475" s="5" t="inlineStr"/>
      <c r="R1475" s="5" t="inlineStr"/>
      <c r="S1475" s="5" t="inlineStr"/>
      <c r="T1475" s="5" t="inlineStr"/>
      <c r="U1475" s="5" t="inlineStr"/>
      <c r="V1475" s="5" t="inlineStr"/>
      <c r="W1475" s="5" t="inlineStr"/>
      <c r="X1475" s="5" t="inlineStr"/>
      <c r="Y1475" s="5" t="inlineStr"/>
      <c r="Z1475" s="6" t="inlineStr"/>
      <c r="AA1475" s="5" t="inlineStr"/>
      <c r="AB1475" s="5" t="inlineStr"/>
      <c r="AC1475" s="5" t="inlineStr"/>
      <c r="AD1475" s="5" t="inlineStr"/>
      <c r="AE1475" s="5" t="inlineStr"/>
      <c r="AF1475" s="5" t="inlineStr"/>
      <c r="AG1475" s="5" t="inlineStr"/>
      <c r="AH1475" s="5" t="inlineStr"/>
    </row>
    <row r="1476">
      <c r="A1476" s="5" t="inlineStr">
        <is>
          <t>b7-cete-rakip</t>
        </is>
      </c>
      <c r="B1476" s="5" t="n">
        <v>2</v>
      </c>
      <c r="C1476" s="6" t="inlineStr">
        <is>
          <t>Fiyat savaşına gir</t>
        </is>
      </c>
      <c r="D1476" s="5" t="inlineStr">
        <is>
          <t>Kurnazlık</t>
        </is>
      </c>
      <c r="E1476" s="5" t="inlineStr">
        <is>
          <t>Orta</t>
        </is>
      </c>
      <c r="F1476" s="5" t="inlineStr"/>
      <c r="G1476" s="6" t="inlineStr"/>
      <c r="H1476" s="6" t="inlineStr">
        <is>
          <t>Yıkamayı ucuzlattın, cilayı bedava yaptın. Üç ayda karşı kaldırım kepenk indirdi; sen de bedava cilayı bir türlü kaldıramadın.</t>
        </is>
      </c>
      <c r="I1476" s="6" t="inlineStr">
        <is>
          <t>Yeğen dükkânını kapatıp sana eleman olarak geldi. Çayları o dağıtıyor, seni “Abi” diye çağırıyor.</t>
        </is>
      </c>
      <c r="J1476" s="6" t="inlineStr">
        <is>
          <t>İkiniz de fiyat indirdiniz. Mahallenin arabaları hiç bu kadar temiz, siz hiç bu kadar yorgun olmamıştınız.</t>
        </is>
      </c>
      <c r="K1476" s="6" t="inlineStr">
        <is>
          <t>Savaş öyle kızıştı ki bir gün müşteriye para ödeyerek araba yıkadın. Müşteri ertesi gün yine geldi.</t>
        </is>
      </c>
      <c r="L1476" s="6" t="inlineStr"/>
      <c r="M1476" s="5" t="inlineStr"/>
      <c r="N1476" s="5" t="inlineStr"/>
      <c r="O1476" s="6" t="inlineStr"/>
      <c r="P1476" s="6" t="inlineStr"/>
      <c r="Q1476" s="5" t="inlineStr"/>
      <c r="R1476" s="5" t="inlineStr"/>
      <c r="S1476" s="5" t="inlineStr"/>
      <c r="T1476" s="5" t="inlineStr"/>
      <c r="U1476" s="5" t="inlineStr"/>
      <c r="V1476" s="5" t="inlineStr"/>
      <c r="W1476" s="5" t="inlineStr"/>
      <c r="X1476" s="5" t="inlineStr"/>
      <c r="Y1476" s="5" t="inlineStr"/>
      <c r="Z1476" s="6" t="inlineStr"/>
      <c r="AA1476" s="5" t="inlineStr"/>
      <c r="AB1476" s="5" t="inlineStr"/>
      <c r="AC1476" s="5" t="inlineStr"/>
      <c r="AD1476" s="5" t="inlineStr"/>
      <c r="AE1476" s="5" t="inlineStr"/>
      <c r="AF1476" s="5" t="inlineStr"/>
      <c r="AG1476" s="5" t="inlineStr"/>
      <c r="AH1476" s="5" t="inlineStr"/>
    </row>
    <row r="1477">
      <c r="A1477" s="5" t="inlineStr">
        <is>
          <t>b7-cete-rakip</t>
        </is>
      </c>
      <c r="B1477" s="5" t="n">
        <v>3</v>
      </c>
      <c r="C1477" s="6" t="inlineStr">
        <is>
          <t>Karşıya git, dükkânında yüzleş</t>
        </is>
      </c>
      <c r="D1477" s="5" t="inlineStr">
        <is>
          <t>Cesaret</t>
        </is>
      </c>
      <c r="E1477" s="5" t="inlineStr">
        <is>
          <t>Zor</t>
        </is>
      </c>
      <c r="F1477" s="5" t="inlineStr"/>
      <c r="G1477" s="6" t="inlineStr"/>
      <c r="H1477" s="6" t="inlineStr">
        <is>
          <t>Yeğenin dükkânında bir araba yıkattın, yüksek bahşiş bırakıp çıktın. Mesaj alındı; ertesi hafta tabelasını değiştirdi.</t>
        </is>
      </c>
      <c r="I1477" s="6" t="inlineStr">
        <is>
          <t>Yüzleşme o kadar sakin geçti ki yeğen kira sözleşmesini sana devretti. Artık iki kaldırımda da köpük senin.</t>
        </is>
      </c>
      <c r="J1477" s="6" t="inlineStr">
        <is>
          <t>Yeğen seni tanımadı, sıraya aldı. Kırk dakika bekledin; araban hiç bu kadar parlamamıştı.</t>
        </is>
      </c>
      <c r="K1477" s="6" t="inlineStr">
        <is>
          <t>Yeğen seni tanıdı ve seninle fotoğraf çektirdi: “Rakibimle.” Fotoğraf şimdi onun tabelasında asılı.</t>
        </is>
      </c>
      <c r="L1477" s="6" t="inlineStr"/>
      <c r="M1477" s="5" t="inlineStr"/>
      <c r="N1477" s="5" t="inlineStr"/>
      <c r="O1477" s="6" t="inlineStr"/>
      <c r="P1477" s="6" t="inlineStr"/>
      <c r="Q1477" s="5" t="inlineStr"/>
      <c r="R1477" s="5" t="inlineStr"/>
      <c r="S1477" s="5" t="inlineStr"/>
      <c r="T1477" s="5" t="inlineStr">
        <is>
          <t>Son Sözü Söyler</t>
        </is>
      </c>
      <c r="U1477" s="5" t="inlineStr"/>
      <c r="V1477" s="5" t="inlineStr"/>
      <c r="W1477" s="5" t="inlineStr"/>
      <c r="X1477" s="5" t="inlineStr"/>
      <c r="Y1477" s="5" t="inlineStr"/>
      <c r="Z1477" s="6" t="inlineStr"/>
      <c r="AA1477" s="5" t="inlineStr"/>
      <c r="AB1477" s="5" t="inlineStr"/>
      <c r="AC1477" s="5" t="inlineStr"/>
      <c r="AD1477" s="5" t="inlineStr"/>
      <c r="AE1477" s="5" t="inlineStr"/>
      <c r="AF1477" s="5" t="inlineStr"/>
      <c r="AG1477" s="5" t="inlineStr"/>
      <c r="AH1477" s="5" t="inlineStr"/>
    </row>
    <row r="1478">
      <c r="A1478" s="5" t="inlineStr">
        <is>
          <t>b7-cete-rakip</t>
        </is>
      </c>
      <c r="B1478" s="5" t="n">
        <v>4</v>
      </c>
      <c r="C1478" s="6" t="inlineStr">
        <is>
          <t>Kışla arkadaşlarını çağır</t>
        </is>
      </c>
      <c r="D1478" s="5" t="inlineStr">
        <is>
          <t>Cesaret</t>
        </is>
      </c>
      <c r="E1478" s="5" t="inlineStr">
        <is>
          <t>Orta</t>
        </is>
      </c>
      <c r="F1478" s="5" t="inlineStr"/>
      <c r="G1478" s="6" t="inlineStr"/>
      <c r="H1478" s="6" t="inlineStr">
        <is>
          <t>Üç kışla arkadaşın karşı kaldırıma sandalye çekip bütün gün yalnızca çay içti. Yeğen üçüncü gün pes etti.</t>
        </is>
      </c>
      <c r="I1478" s="6" t="inlineStr">
        <is>
          <t>Arkadaşların yeğeni kışla hikâyeleriyle ikna etti. Karşı dükkân artık senin şuben.</t>
        </is>
      </c>
      <c r="J1478" s="6" t="inlineStr">
        <is>
          <t>Arkadaşların geldi, karşı dükkânda araba yıkatıp gittiler. İndirimliymiş.</t>
        </is>
      </c>
      <c r="K1478" s="6" t="inlineStr">
        <is>
          <t>Arkadaşlarından biri yeğenin dayısı çıktı. İki dükkânın arasında şimdi bir de aile meselesi var.</t>
        </is>
      </c>
      <c r="L1478" s="6" t="inlineStr"/>
      <c r="M1478" s="5" t="inlineStr"/>
      <c r="N1478" s="5" t="inlineStr"/>
      <c r="O1478" s="6" t="inlineStr"/>
      <c r="P1478" s="6" t="inlineStr"/>
      <c r="Q1478" s="5" t="inlineStr"/>
      <c r="R1478" s="5" t="inlineStr">
        <is>
          <t>kisla-kankasi</t>
        </is>
      </c>
      <c r="S1478" s="5" t="inlineStr"/>
      <c r="T1478" s="5" t="inlineStr"/>
      <c r="U1478" s="5" t="inlineStr"/>
      <c r="V1478" s="5" t="inlineStr"/>
      <c r="W1478" s="5" t="inlineStr"/>
      <c r="X1478" s="5" t="inlineStr"/>
      <c r="Y1478" s="5" t="inlineStr"/>
      <c r="Z1478" s="6" t="inlineStr"/>
      <c r="AA1478" s="5" t="inlineStr"/>
      <c r="AB1478" s="5" t="inlineStr"/>
      <c r="AC1478" s="5" t="inlineStr"/>
      <c r="AD1478" s="5" t="inlineStr"/>
      <c r="AE1478" s="5" t="inlineStr"/>
      <c r="AF1478" s="5" t="inlineStr"/>
      <c r="AG1478" s="5" t="inlineStr"/>
      <c r="AH1478" s="5" t="inlineStr"/>
    </row>
    <row r="1479">
      <c r="A1479" s="5" t="inlineStr">
        <is>
          <t>b8-cete-hatir-masasi</t>
        </is>
      </c>
      <c r="B1479" s="5" t="n">
        <v>1</v>
      </c>
      <c r="C1479" s="6" t="inlineStr">
        <is>
          <t>Yazı tura at</t>
        </is>
      </c>
      <c r="D1479" s="5" t="inlineStr"/>
      <c r="E1479" s="5" t="inlineStr"/>
      <c r="F1479" s="5" t="inlineStr">
        <is>
          <t>Pişkinlik +1, Cesaret +1</t>
        </is>
      </c>
      <c r="G1479" s="6" t="inlineStr">
        <is>
          <t>Parayı attın, masanın altına kaçtı. İki aile beraber eğildi, beraber kalktı; düğünü ortak yapmaya karar verdiler. Halay iki saat sürdü.</t>
        </is>
      </c>
      <c r="H1479" s="6" t="inlineStr"/>
      <c r="I1479" s="6" t="inlineStr"/>
      <c r="J1479" s="6" t="inlineStr"/>
      <c r="K1479" s="6" t="inlineStr"/>
      <c r="L1479" s="6" t="inlineStr"/>
      <c r="M1479" s="5" t="inlineStr"/>
      <c r="N1479" s="5" t="inlineStr"/>
      <c r="O1479" s="6" t="inlineStr"/>
      <c r="P1479" s="6" t="inlineStr"/>
      <c r="Q1479" s="5" t="inlineStr"/>
      <c r="R1479" s="5" t="inlineStr"/>
      <c r="S1479" s="5" t="inlineStr"/>
      <c r="T1479" s="5" t="inlineStr"/>
      <c r="U1479" s="5" t="inlineStr"/>
      <c r="V1479" s="5" t="inlineStr"/>
      <c r="W1479" s="5" t="inlineStr"/>
      <c r="X1479" s="5" t="inlineStr"/>
      <c r="Y1479" s="5" t="inlineStr"/>
      <c r="Z1479" s="6" t="inlineStr"/>
      <c r="AA1479" s="5" t="inlineStr"/>
      <c r="AB1479" s="5" t="inlineStr"/>
      <c r="AC1479" s="5" t="inlineStr"/>
      <c r="AD1479" s="5" t="inlineStr"/>
      <c r="AE1479" s="5" t="inlineStr"/>
      <c r="AF1479" s="5" t="inlineStr"/>
      <c r="AG1479" s="5" t="inlineStr"/>
      <c r="AH1479" s="5" t="inlineStr"/>
    </row>
    <row r="1480">
      <c r="A1480" s="5" t="inlineStr">
        <is>
          <t>b8-cete-hatir-masasi</t>
        </is>
      </c>
      <c r="B1480" s="5" t="n">
        <v>2</v>
      </c>
      <c r="C1480" s="6" t="inlineStr">
        <is>
          <t>İki damadı da dinle</t>
        </is>
      </c>
      <c r="D1480" s="5" t="inlineStr">
        <is>
          <t>Sosyal Radar</t>
        </is>
      </c>
      <c r="E1480" s="5" t="inlineStr">
        <is>
          <t>Orta</t>
        </is>
      </c>
      <c r="F1480" s="5" t="inlineStr"/>
      <c r="G1480" s="6" t="inlineStr"/>
      <c r="H1480" s="6" t="inlineStr">
        <is>
          <t>Damatlardan biri aslında perşembeyi istiyormuş, söylemeye çekiniyormuş. Mesele çay bitmeden çözüldü.</t>
        </is>
      </c>
      <c r="I1480" s="6" t="inlineStr">
        <is>
          <t>Dinledikçe iki ailenin akraba olduğu ortaya çıktı. Düğün birleşti, seni nikâh şahidi yaptılar; iki kez imza attın.</t>
        </is>
      </c>
      <c r="J1480" s="6" t="inlineStr">
        <is>
          <t>Dinledin, dinledin; damatlar birbirini ikna etti, seni değil. Masadan sensiz kalktılar.</t>
        </is>
      </c>
      <c r="K1480" s="6" t="inlineStr">
        <is>
          <t>Bir tarafa hafifçe başını salladın. Öbür aile bunu gördü; düğünlerinde adın anılmadı, pastadan da pay yok.</t>
        </is>
      </c>
      <c r="L1480" s="6" t="inlineStr"/>
      <c r="M1480" s="5" t="inlineStr"/>
      <c r="N1480" s="5" t="inlineStr"/>
      <c r="O1480" s="6" t="inlineStr"/>
      <c r="P1480" s="6" t="inlineStr"/>
      <c r="Q1480" s="5" t="inlineStr"/>
      <c r="R1480" s="5" t="inlineStr"/>
      <c r="S1480" s="5" t="inlineStr"/>
      <c r="T1480" s="5" t="inlineStr"/>
      <c r="U1480" s="5" t="inlineStr"/>
      <c r="V1480" s="5" t="inlineStr"/>
      <c r="W1480" s="5" t="inlineStr"/>
      <c r="X1480" s="5" t="inlineStr"/>
      <c r="Y1480" s="5" t="inlineStr"/>
      <c r="Z1480" s="6" t="inlineStr"/>
      <c r="AA1480" s="5" t="inlineStr"/>
      <c r="AB1480" s="5" t="inlineStr"/>
      <c r="AC1480" s="5" t="inlineStr"/>
      <c r="AD1480" s="5" t="inlineStr"/>
      <c r="AE1480" s="5" t="inlineStr"/>
      <c r="AF1480" s="5" t="inlineStr"/>
      <c r="AG1480" s="5" t="inlineStr"/>
      <c r="AH1480" s="5" t="inlineStr"/>
    </row>
    <row r="1481">
      <c r="A1481" s="5" t="inlineStr">
        <is>
          <t>b8-cete-hatir-masasi</t>
        </is>
      </c>
      <c r="B1481" s="5" t="n">
        <v>3</v>
      </c>
      <c r="C1481" s="6" t="inlineStr">
        <is>
          <t>Salon sahibini depodan çıkar</t>
        </is>
      </c>
      <c r="D1481" s="5" t="inlineStr">
        <is>
          <t>Kurnazlık</t>
        </is>
      </c>
      <c r="E1481" s="5" t="inlineStr">
        <is>
          <t>Orta</t>
        </is>
      </c>
      <c r="F1481" s="5" t="inlineStr"/>
      <c r="G1481" s="6" t="inlineStr"/>
      <c r="H1481" s="6" t="inlineStr">
        <is>
          <t>Salon sahibi depodan çıktı, ikinci bir salonu olduğunu itiraf etti. Mesele bitti; adam sana bir düğün borçlu.</t>
        </is>
      </c>
      <c r="I1481" s="6" t="inlineStr">
        <is>
          <t>Salon sahibi iki aileye indirim yaptı, sana da salonda ömürlük bir masa ayırdı. Masanın üstünde adın yazıyor.</t>
        </is>
      </c>
      <c r="J1481" s="6" t="inlineStr">
        <is>
          <t>Depoya seslendin; cevap gelmedi. Depodan yalnızca bir telefon zil sesi geliyordu.</t>
        </is>
      </c>
      <c r="K1481" s="6" t="inlineStr">
        <is>
          <t>Salon sahibi çıktı ve aynı cumartesiye üçüncü bir aileyi de yazdığını söyledi. Masan kalabalıklaştı.</t>
        </is>
      </c>
      <c r="L1481" s="6" t="inlineStr"/>
      <c r="M1481" s="5" t="inlineStr"/>
      <c r="N1481" s="5" t="inlineStr"/>
      <c r="O1481" s="6" t="inlineStr"/>
      <c r="P1481" s="6" t="inlineStr"/>
      <c r="Q1481" s="5" t="inlineStr"/>
      <c r="R1481" s="5" t="inlineStr"/>
      <c r="S1481" s="5" t="inlineStr"/>
      <c r="T1481" s="5" t="inlineStr"/>
      <c r="U1481" s="5" t="inlineStr"/>
      <c r="V1481" s="5" t="inlineStr"/>
      <c r="W1481" s="5" t="inlineStr"/>
      <c r="X1481" s="5" t="inlineStr"/>
      <c r="Y1481" s="5" t="inlineStr"/>
      <c r="Z1481" s="6" t="inlineStr"/>
      <c r="AA1481" s="5" t="inlineStr"/>
      <c r="AB1481" s="5" t="inlineStr"/>
      <c r="AC1481" s="5" t="inlineStr"/>
      <c r="AD1481" s="5" t="inlineStr"/>
      <c r="AE1481" s="5" t="inlineStr"/>
      <c r="AF1481" s="5" t="inlineStr"/>
      <c r="AG1481" s="5" t="inlineStr"/>
      <c r="AH1481" s="5" t="inlineStr"/>
    </row>
    <row r="1482">
      <c r="A1482" s="5" t="inlineStr">
        <is>
          <t>b8-cete-hatir-masasi</t>
        </is>
      </c>
      <c r="B1482" s="5" t="n">
        <v>4</v>
      </c>
      <c r="C1482" s="6" t="inlineStr">
        <is>
          <t>Komiser dostunu iki düğüne de davet ettir</t>
        </is>
      </c>
      <c r="D1482" s="5" t="inlineStr"/>
      <c r="E1482" s="5" t="inlineStr"/>
      <c r="F1482" s="5" t="inlineStr">
        <is>
          <t>Sosyal Radar +2</t>
        </is>
      </c>
      <c r="G1482" s="6" t="inlineStr">
        <is>
          <t>Komiser iki düğüne de davetli çıktı; hangisine gideceğini sana sordu. İkisine git dedin. Mesele komiserin ayakkabılarında çözüldü.</t>
        </is>
      </c>
      <c r="H1482" s="6" t="inlineStr"/>
      <c r="I1482" s="6" t="inlineStr"/>
      <c r="J1482" s="6" t="inlineStr"/>
      <c r="K1482" s="6" t="inlineStr"/>
      <c r="L1482" s="6" t="inlineStr"/>
      <c r="M1482" s="5" t="inlineStr"/>
      <c r="N1482" s="5" t="inlineStr"/>
      <c r="O1482" s="6" t="inlineStr"/>
      <c r="P1482" s="6" t="inlineStr"/>
      <c r="Q1482" s="5" t="inlineStr"/>
      <c r="R1482" s="5" t="inlineStr">
        <is>
          <t>komiser-tanidik</t>
        </is>
      </c>
      <c r="S1482" s="5" t="inlineStr"/>
      <c r="T1482" s="5" t="inlineStr"/>
      <c r="U1482" s="5" t="inlineStr"/>
      <c r="V1482" s="5" t="inlineStr"/>
      <c r="W1482" s="5" t="inlineStr"/>
      <c r="X1482" s="5" t="inlineStr"/>
      <c r="Y1482" s="5" t="inlineStr"/>
      <c r="Z1482" s="6" t="inlineStr"/>
      <c r="AA1482" s="5" t="inlineStr"/>
      <c r="AB1482" s="5" t="inlineStr"/>
      <c r="AC1482" s="5" t="inlineStr"/>
      <c r="AD1482" s="5" t="inlineStr"/>
      <c r="AE1482" s="5" t="inlineStr"/>
      <c r="AF1482" s="5" t="inlineStr"/>
      <c r="AG1482" s="5" t="inlineStr"/>
      <c r="AH1482" s="5" t="inlineStr"/>
    </row>
    <row r="1483">
      <c r="A1483" s="5" t="inlineStr">
        <is>
          <t>b8-cete-abinin-emekliligi</t>
        </is>
      </c>
      <c r="B1483" s="5" t="n">
        <v>1</v>
      </c>
      <c r="C1483" s="6" t="inlineStr">
        <is>
          <t>Payını al, işleri yeğene bırak</t>
        </is>
      </c>
      <c r="D1483" s="5" t="inlineStr"/>
      <c r="E1483" s="5" t="inlineStr"/>
      <c r="F1483" s="5" t="inlineStr">
        <is>
          <t>İtibar +1, Dayanıklılık +1</t>
        </is>
      </c>
      <c r="G1483" s="6" t="inlineStr">
        <is>
          <t>Abiye bir tespih, yeğene anahtarları verdin; sen oto yıkamada kaldın. Akşamları kahvede oturuyorsun, işler sana sorulmadan dönüyor.</t>
        </is>
      </c>
      <c r="H1483" s="6" t="inlineStr"/>
      <c r="I1483" s="6" t="inlineStr"/>
      <c r="J1483" s="6" t="inlineStr"/>
      <c r="K1483" s="6" t="inlineStr"/>
      <c r="L1483" s="6" t="inlineStr"/>
      <c r="M1483" s="5" t="inlineStr"/>
      <c r="N1483" s="5" t="inlineStr"/>
      <c r="O1483" s="6" t="inlineStr"/>
      <c r="P1483" s="6" t="inlineStr"/>
      <c r="Q1483" s="5" t="inlineStr"/>
      <c r="R1483" s="5" t="inlineStr"/>
      <c r="S1483" s="5" t="inlineStr"/>
      <c r="T1483" s="5" t="inlineStr"/>
      <c r="U1483" s="5" t="inlineStr"/>
      <c r="V1483" s="5" t="inlineStr"/>
      <c r="W1483" s="5" t="inlineStr"/>
      <c r="X1483" s="5" t="inlineStr"/>
      <c r="Y1483" s="5" t="inlineStr"/>
      <c r="Z1483" s="6" t="inlineStr"/>
      <c r="AA1483" s="5" t="inlineStr"/>
      <c r="AB1483" s="5" t="inlineStr"/>
      <c r="AC1483" s="5" t="inlineStr"/>
      <c r="AD1483" s="5" t="inlineStr"/>
      <c r="AE1483" s="5" t="inlineStr"/>
      <c r="AF1483" s="5" t="inlineStr"/>
      <c r="AG1483" s="5" t="inlineStr"/>
      <c r="AH1483" s="5" t="inlineStr"/>
    </row>
    <row r="1484">
      <c r="A1484" s="5" t="inlineStr">
        <is>
          <t>b8-cete-abinin-emekliligi</t>
        </is>
      </c>
      <c r="B1484" s="5" t="n">
        <v>2</v>
      </c>
      <c r="C1484" s="6" t="inlineStr">
        <is>
          <t>Yeğenle ortak ol</t>
        </is>
      </c>
      <c r="D1484" s="5" t="inlineStr">
        <is>
          <t>Çene</t>
        </is>
      </c>
      <c r="E1484" s="5" t="inlineStr">
        <is>
          <t>Orta</t>
        </is>
      </c>
      <c r="F1484" s="5" t="inlineStr"/>
      <c r="G1484" s="6" t="inlineStr"/>
      <c r="H1484" s="6" t="inlineStr">
        <is>
          <t>Yeğen rakamları, sen insanları yönetiyorsun. İlk toplantıda anlaştınız; ikincide telefonunu cebine koydu.</t>
        </is>
      </c>
      <c r="I1484" s="6" t="inlineStr">
        <is>
          <t>Yeğen seni öyle sevdi ki kartvizitine “Öğrencisi” yazdırdı. Abi bunu görünce yıllardır ilk kez güldü.</t>
        </is>
      </c>
      <c r="J1484" s="6" t="inlineStr">
        <is>
          <t>Ortaklık sözleşmesini yeğen hazırladı. Üç sayfa; senin adın yalnızca imza yerinde.</t>
        </is>
      </c>
      <c r="K1484" s="6" t="inlineStr">
        <is>
          <t>Ortaklığın ilk ayında yeğen masaları değiştirdi. Kahvedeki yerin artık kapının yanı; cereyan var.</t>
        </is>
      </c>
      <c r="L1484" s="6" t="inlineStr"/>
      <c r="M1484" s="5" t="inlineStr"/>
      <c r="N1484" s="5" t="inlineStr"/>
      <c r="O1484" s="6" t="inlineStr"/>
      <c r="P1484" s="6" t="inlineStr"/>
      <c r="Q1484" s="5" t="inlineStr"/>
      <c r="R1484" s="5" t="inlineStr"/>
      <c r="S1484" s="5" t="inlineStr"/>
      <c r="T1484" s="5" t="inlineStr"/>
      <c r="U1484" s="5" t="inlineStr"/>
      <c r="V1484" s="5" t="inlineStr"/>
      <c r="W1484" s="5" t="inlineStr"/>
      <c r="X1484" s="5" t="inlineStr"/>
      <c r="Y1484" s="5" t="inlineStr"/>
      <c r="Z1484" s="6" t="inlineStr"/>
      <c r="AA1484" s="5" t="inlineStr"/>
      <c r="AB1484" s="5" t="inlineStr"/>
      <c r="AC1484" s="5" t="inlineStr"/>
      <c r="AD1484" s="5" t="inlineStr"/>
      <c r="AE1484" s="5" t="inlineStr"/>
      <c r="AF1484" s="5" t="inlineStr"/>
      <c r="AG1484" s="5" t="inlineStr"/>
      <c r="AH1484" s="5" t="inlineStr"/>
    </row>
    <row r="1485">
      <c r="A1485" s="5" t="inlineStr">
        <is>
          <t>b8-cete-abinin-emekliligi</t>
        </is>
      </c>
      <c r="B1485" s="5" t="n">
        <v>3</v>
      </c>
      <c r="C1485" s="6" t="inlineStr">
        <is>
          <t>Bütün işi tek başına devral</t>
        </is>
      </c>
      <c r="D1485" s="5" t="inlineStr">
        <is>
          <t>Cesaret</t>
        </is>
      </c>
      <c r="E1485" s="5" t="inlineStr">
        <is>
          <t>Zor</t>
        </is>
      </c>
      <c r="F1485" s="5" t="inlineStr"/>
      <c r="G1485" s="6" t="inlineStr"/>
      <c r="H1485" s="6" t="inlineStr">
        <is>
          <t>Abinin defterleri, masaları, kahvedeki pencere kenarı artık senin. Yeğen sana ilk kez “Abi” dedi; sesi titrek.</t>
        </is>
      </c>
      <c r="I1485" s="6" t="inlineStr">
        <is>
          <t>Devir öyle pürüzsüz oldu ki abi bile sana danışmaya başladı. Bayramda elini öpmeye gelenlerin sırası kapıdan taşıyor.</t>
        </is>
      </c>
      <c r="J1485" s="6" t="inlineStr">
        <is>
          <t>Yeğen ayak diredi, abi araya girdi. İşler ikiye bölündü; masanın yarısı senin, çayın tamamı ortak.</t>
        </is>
      </c>
      <c r="K1485" s="6" t="inlineStr">
        <is>
          <t>Devraldığın defterlerde abinin otuz yıllık hesapları da vardı. Savcılık onları senden önce okudu; şimdi hepsinin sahibi sensin.</t>
        </is>
      </c>
      <c r="L1485" s="6" t="inlineStr"/>
      <c r="M1485" s="5" t="inlineStr"/>
      <c r="N1485" s="5" t="inlineStr"/>
      <c r="O1485" s="6" t="inlineStr"/>
      <c r="P1485" s="6" t="inlineStr"/>
      <c r="Q1485" s="5" t="inlineStr"/>
      <c r="R1485" s="5" t="inlineStr"/>
      <c r="S1485" s="5" t="inlineStr"/>
      <c r="T1485" s="5" t="inlineStr">
        <is>
          <t>Mevzuat Kalkanı</t>
        </is>
      </c>
      <c r="U1485" s="5" t="inlineStr"/>
      <c r="V1485" s="5" t="inlineStr">
        <is>
          <t>mahalle-babasi</t>
        </is>
      </c>
      <c r="W1485" s="5" t="inlineStr">
        <is>
          <t>hapis</t>
        </is>
      </c>
      <c r="X1485" s="5" t="inlineStr"/>
      <c r="Y1485" s="5" t="inlineStr"/>
      <c r="Z1485" s="6" t="inlineStr"/>
      <c r="AA1485" s="5" t="inlineStr"/>
      <c r="AB1485" s="5" t="inlineStr"/>
      <c r="AC1485" s="5" t="inlineStr"/>
      <c r="AD1485" s="5" t="inlineStr">
        <is>
          <t>Varlıklı</t>
        </is>
      </c>
      <c r="AE1485" s="5" t="inlineStr"/>
      <c r="AF1485" s="5" t="inlineStr"/>
      <c r="AG1485" s="5" t="inlineStr"/>
      <c r="AH1485" s="5" t="inlineStr"/>
    </row>
    <row r="1486">
      <c r="A1486" s="5" t="inlineStr">
        <is>
          <t>b8-cete-abinin-emekliligi</t>
        </is>
      </c>
      <c r="B1486" s="5" t="n">
        <v>4</v>
      </c>
      <c r="C1486" s="6" t="inlineStr">
        <is>
          <t>Fotokopiyi abiye hediye et</t>
        </is>
      </c>
      <c r="D1486" s="5" t="inlineStr"/>
      <c r="E1486" s="5" t="inlineStr"/>
      <c r="F1486" s="5" t="inlineStr">
        <is>
          <t>Kurnazlık +1, İtibar +1</t>
        </is>
      </c>
      <c r="G1486" s="6" t="inlineStr">
        <is>
          <t>Fotokopiyi kurdeleyle paketledin. Abi gözlüğünü takıp bir sayfa okudu, güldü: “Bende aslı bile yok artık.” İkiniz de rahatladınız.</t>
        </is>
      </c>
      <c r="H1486" s="6" t="inlineStr"/>
      <c r="I1486" s="6" t="inlineStr"/>
      <c r="J1486" s="6" t="inlineStr"/>
      <c r="K1486" s="6" t="inlineStr"/>
      <c r="L1486" s="6" t="inlineStr"/>
      <c r="M1486" s="5" t="inlineStr"/>
      <c r="N1486" s="5" t="inlineStr"/>
      <c r="O1486" s="6" t="inlineStr"/>
      <c r="P1486" s="6" t="inlineStr"/>
      <c r="Q1486" s="5" t="inlineStr"/>
      <c r="R1486" s="5" t="inlineStr">
        <is>
          <t>abiye-karsi-sigorta</t>
        </is>
      </c>
      <c r="S1486" s="5" t="inlineStr"/>
      <c r="T1486" s="5" t="inlineStr"/>
      <c r="U1486" s="5" t="inlineStr">
        <is>
          <t>-abiye-karsi-sigorta</t>
        </is>
      </c>
      <c r="V1486" s="5" t="inlineStr"/>
      <c r="W1486" s="5" t="inlineStr"/>
      <c r="X1486" s="5" t="inlineStr"/>
      <c r="Y1486" s="5" t="inlineStr"/>
      <c r="Z1486" s="6" t="inlineStr"/>
      <c r="AA1486" s="5" t="inlineStr"/>
      <c r="AB1486" s="5" t="inlineStr"/>
      <c r="AC1486" s="5" t="inlineStr"/>
      <c r="AD1486" s="5" t="inlineStr"/>
      <c r="AE1486" s="5" t="inlineStr"/>
      <c r="AF1486" s="5" t="inlineStr"/>
      <c r="AG1486" s="5" t="inlineStr"/>
      <c r="AH1486" s="5" t="inlineStr"/>
    </row>
    <row r="1487">
      <c r="A1487" s="5" t="inlineStr">
        <is>
          <t>b9-cete-kahvehane</t>
        </is>
      </c>
      <c r="B1487" s="5" t="n">
        <v>1</v>
      </c>
      <c r="C1487" s="6" t="inlineStr">
        <is>
          <t>Hikâyeyi olduğu gibi anlat</t>
        </is>
      </c>
      <c r="D1487" s="5" t="inlineStr"/>
      <c r="E1487" s="5" t="inlineStr"/>
      <c r="F1487" s="5" t="inlineStr">
        <is>
          <t>İtibar +1, Çene +1</t>
        </is>
      </c>
      <c r="G1487" s="6" t="inlineStr">
        <is>
          <t>Gerçeği anlattın: az para, çok çay, bol köpük. Gençler hayal kırıklığıyla dağıldı; biri kaldı, oto yıkamaya çırak oldu.</t>
        </is>
      </c>
      <c r="H1487" s="6" t="inlineStr"/>
      <c r="I1487" s="6" t="inlineStr"/>
      <c r="J1487" s="6" t="inlineStr"/>
      <c r="K1487" s="6" t="inlineStr"/>
      <c r="L1487" s="6" t="inlineStr"/>
      <c r="M1487" s="5" t="inlineStr"/>
      <c r="N1487" s="5" t="inlineStr"/>
      <c r="O1487" s="6" t="inlineStr"/>
      <c r="P1487" s="6" t="inlineStr"/>
      <c r="Q1487" s="5" t="inlineStr"/>
      <c r="R1487" s="5" t="inlineStr"/>
      <c r="S1487" s="5" t="inlineStr"/>
      <c r="T1487" s="5" t="inlineStr"/>
      <c r="U1487" s="5" t="inlineStr"/>
      <c r="V1487" s="5" t="inlineStr"/>
      <c r="W1487" s="5" t="inlineStr"/>
      <c r="X1487" s="5" t="inlineStr"/>
      <c r="Y1487" s="5" t="inlineStr"/>
      <c r="Z1487" s="6" t="inlineStr"/>
      <c r="AA1487" s="5" t="inlineStr"/>
      <c r="AB1487" s="5" t="inlineStr"/>
      <c r="AC1487" s="5" t="inlineStr"/>
      <c r="AD1487" s="5" t="inlineStr"/>
      <c r="AE1487" s="5" t="inlineStr"/>
      <c r="AF1487" s="5" t="inlineStr"/>
      <c r="AG1487" s="5" t="inlineStr"/>
      <c r="AH1487" s="5" t="inlineStr"/>
    </row>
    <row r="1488">
      <c r="A1488" s="5" t="inlineStr">
        <is>
          <t>b9-cete-kahvehane</t>
        </is>
      </c>
      <c r="B1488" s="5" t="n">
        <v>2</v>
      </c>
      <c r="C1488" s="6" t="inlineStr">
        <is>
          <t>Tavlada meydan oku</t>
        </is>
      </c>
      <c r="D1488" s="5" t="inlineStr">
        <is>
          <t>Kurnazlık</t>
        </is>
      </c>
      <c r="E1488" s="5" t="inlineStr">
        <is>
          <t>Orta</t>
        </is>
      </c>
      <c r="F1488" s="5" t="inlineStr"/>
      <c r="G1488" s="6" t="inlineStr"/>
      <c r="H1488" s="6" t="inlineStr">
        <is>
          <t>Mahallenin en iddialı gencini üç el üst üste yendin. Pulları toplarken “Bu işin yarısı zar, yarısı sabır” dedin; hangi iş, soran olmadı.</t>
        </is>
      </c>
      <c r="I1488" s="6" t="inlineStr">
        <is>
          <t>Mars ettin; genç kalkıp elini öptü. Kahvedeki tavlanın kapağına adın yazıldı; tükenmez kalemle.</t>
        </is>
      </c>
      <c r="J1488" s="6" t="inlineStr">
        <is>
          <t>Genç seni yendi. Mahallede ilk kez biri sana “Amca” dedi; mağlubiyetten ağır geldi.</t>
        </is>
      </c>
      <c r="K1488" s="6" t="inlineStr">
        <is>
          <t>Zarı öyle hızlı attın ki pencereden çıktı. Oyunu zar bulunana kadar erteledin; zar hâlâ bulunmadı.</t>
        </is>
      </c>
      <c r="L1488" s="6" t="inlineStr"/>
      <c r="M1488" s="5" t="inlineStr"/>
      <c r="N1488" s="5" t="inlineStr"/>
      <c r="O1488" s="6" t="inlineStr"/>
      <c r="P1488" s="6" t="inlineStr"/>
      <c r="Q1488" s="5" t="inlineStr"/>
      <c r="R1488" s="5" t="inlineStr"/>
      <c r="S1488" s="5" t="inlineStr"/>
      <c r="T1488" s="5" t="inlineStr"/>
      <c r="U1488" s="5" t="inlineStr"/>
      <c r="V1488" s="5" t="inlineStr"/>
      <c r="W1488" s="5" t="inlineStr"/>
      <c r="X1488" s="5" t="inlineStr"/>
      <c r="Y1488" s="5" t="inlineStr"/>
      <c r="Z1488" s="6" t="inlineStr"/>
      <c r="AA1488" s="5" t="inlineStr"/>
      <c r="AB1488" s="5" t="inlineStr"/>
      <c r="AC1488" s="5" t="inlineStr"/>
      <c r="AD1488" s="5" t="inlineStr"/>
      <c r="AE1488" s="5" t="inlineStr"/>
      <c r="AF1488" s="5" t="inlineStr"/>
      <c r="AG1488" s="5" t="inlineStr"/>
      <c r="AH1488" s="5" t="inlineStr"/>
    </row>
    <row r="1489">
      <c r="A1489" s="5" t="inlineStr">
        <is>
          <t>b9-cete-kahvehane</t>
        </is>
      </c>
      <c r="B1489" s="5" t="n">
        <v>3</v>
      </c>
      <c r="C1489" s="6" t="inlineStr">
        <is>
          <t>Son bir hatır masası kur</t>
        </is>
      </c>
      <c r="D1489" s="5" t="inlineStr">
        <is>
          <t>Cesaret</t>
        </is>
      </c>
      <c r="E1489" s="5" t="inlineStr">
        <is>
          <t>Zor</t>
        </is>
      </c>
      <c r="F1489" s="5" t="inlineStr"/>
      <c r="G1489" s="6" t="inlineStr"/>
      <c r="H1489" s="6" t="inlineStr">
        <is>
          <t>İki gencin otopark kavgasını çayın ilk yudumunda bitirdin. Birinin arabasını yıkattın, ötekine park ettirdin; mantığını soran olmadı.</t>
        </is>
      </c>
      <c r="I1489" s="6" t="inlineStr">
        <is>
          <t>Kavga bitti, gençler ortak oldu; açtıkları dükkânın adı senin adın. Tabelada bir harf ters; bilerek.</t>
        </is>
      </c>
      <c r="J1489" s="6" t="inlineStr">
        <is>
          <t>Gençler seni dinledi, sonra telefondan bir video açıp kendi aralarında çözdüler. Artık danışman değil, izleyicisin.</t>
        </is>
      </c>
      <c r="K1489" s="6" t="inlineStr">
        <is>
          <t>Araya girerken ikisinin de babasının sana borçlu olduğunu hatırlattın. Kavga bitti; iki aile seni bayram listesinden sildi.</t>
        </is>
      </c>
      <c r="L1489" s="6" t="inlineStr"/>
      <c r="M1489" s="5" t="inlineStr"/>
      <c r="N1489" s="5" t="inlineStr"/>
      <c r="O1489" s="6" t="inlineStr"/>
      <c r="P1489" s="6" t="inlineStr"/>
      <c r="Q1489" s="5" t="inlineStr"/>
      <c r="R1489" s="5" t="inlineStr"/>
      <c r="S1489" s="5" t="inlineStr"/>
      <c r="T1489" s="5" t="inlineStr">
        <is>
          <t>Bahçe Filozofu</t>
        </is>
      </c>
      <c r="U1489" s="5" t="inlineStr"/>
      <c r="V1489" s="5" t="inlineStr"/>
      <c r="W1489" s="5" t="inlineStr"/>
      <c r="X1489" s="5" t="inlineStr"/>
      <c r="Y1489" s="5" t="inlineStr"/>
      <c r="Z1489" s="6" t="inlineStr"/>
      <c r="AA1489" s="5" t="inlineStr"/>
      <c r="AB1489" s="5" t="inlineStr"/>
      <c r="AC1489" s="5" t="inlineStr"/>
      <c r="AD1489" s="5" t="inlineStr"/>
      <c r="AE1489" s="5" t="inlineStr"/>
      <c r="AF1489" s="5" t="inlineStr"/>
      <c r="AG1489" s="5" t="inlineStr"/>
      <c r="AH1489" s="5" t="inlineStr"/>
    </row>
    <row r="1490">
      <c r="A1490" s="5" t="inlineStr">
        <is>
          <t>b7-dolandirici-ilan</t>
        </is>
      </c>
      <c r="B1490" s="5" t="n">
        <v>1</v>
      </c>
      <c r="C1490" s="6" t="inlineStr">
        <is>
          <t>İlanı kaldır, eski buzdolabını sat</t>
        </is>
      </c>
      <c r="D1490" s="5" t="inlineStr"/>
      <c r="E1490" s="5" t="inlineStr"/>
      <c r="F1490" s="5" t="inlineStr">
        <is>
          <t>İtibar +1, Akıl +1</t>
        </is>
      </c>
      <c r="G1490" s="6" t="inlineStr">
        <is>
          <t>Manzarayı kaldırıp gerçek buzdolabını koydun. Alıcı kamyonla geldi, buzdolabını aldı, manzaraya da bir kez baktı; bedavaya.</t>
        </is>
      </c>
      <c r="H1490" s="6" t="inlineStr"/>
      <c r="I1490" s="6" t="inlineStr"/>
      <c r="J1490" s="6" t="inlineStr"/>
      <c r="K1490" s="6" t="inlineStr"/>
      <c r="L1490" s="6" t="inlineStr"/>
      <c r="M1490" s="5" t="inlineStr"/>
      <c r="N1490" s="5" t="inlineStr"/>
      <c r="O1490" s="6" t="inlineStr"/>
      <c r="P1490" s="6" t="inlineStr"/>
      <c r="Q1490" s="5" t="inlineStr"/>
      <c r="R1490" s="5" t="inlineStr"/>
      <c r="S1490" s="5" t="inlineStr"/>
      <c r="T1490" s="5" t="inlineStr"/>
      <c r="U1490" s="5" t="inlineStr"/>
      <c r="V1490" s="5" t="inlineStr"/>
      <c r="W1490" s="5" t="inlineStr"/>
      <c r="X1490" s="5" t="inlineStr"/>
      <c r="Y1490" s="5" t="inlineStr"/>
      <c r="Z1490" s="6" t="inlineStr"/>
      <c r="AA1490" s="5" t="inlineStr"/>
      <c r="AB1490" s="5" t="inlineStr"/>
      <c r="AC1490" s="5" t="inlineStr"/>
      <c r="AD1490" s="5" t="inlineStr"/>
      <c r="AE1490" s="5" t="inlineStr"/>
      <c r="AF1490" s="5" t="inlineStr"/>
      <c r="AG1490" s="5" t="inlineStr"/>
      <c r="AH1490" s="5" t="inlineStr"/>
    </row>
    <row r="1491">
      <c r="A1491" s="5" t="inlineStr">
        <is>
          <t>b7-dolandirici-ilan</t>
        </is>
      </c>
      <c r="B1491" s="5" t="n">
        <v>2</v>
      </c>
      <c r="C1491" s="6" t="inlineStr">
        <is>
          <t>Manzarayı “pazar günleri kiralık” yap</t>
        </is>
      </c>
      <c r="D1491" s="5" t="inlineStr">
        <is>
          <t>Pişkinlik</t>
        </is>
      </c>
      <c r="E1491" s="5" t="inlineStr">
        <is>
          <t>Orta</t>
        </is>
      </c>
      <c r="F1491" s="5" t="inlineStr"/>
      <c r="G1491" s="6" t="inlineStr"/>
      <c r="H1491" s="6" t="inlineStr">
        <is>
          <t>Alıcı her pazar balkonuna gelip bir saat denize bakıyor; parasını peşin ödedi. Çekirdek kabukları senin.</t>
        </is>
      </c>
      <c r="I1491" s="6" t="inlineStr">
        <is>
          <t>Alıcı arkadaşlarına da önerdi; pazar günleri balkonda sıra var. Komşu da kendi balkonunda “benzer manzara” açtı.</t>
        </is>
      </c>
      <c r="J1491" s="6" t="inlineStr">
        <is>
          <t>Alıcı balkona çıktı, denize baktı, sana baktı: “Deniz nerede?” Gösterdin; parmak kadar. Gitti.</t>
        </is>
      </c>
      <c r="K1491" s="6" t="inlineStr">
        <is>
          <t>Alıcı ilanı apartman grubuna attı. Artık sana “Manzaracı” diyorlar; yönetici aidata manzara farkı ekledi.</t>
        </is>
      </c>
      <c r="L1491" s="6" t="inlineStr"/>
      <c r="M1491" s="5" t="inlineStr"/>
      <c r="N1491" s="5" t="inlineStr"/>
      <c r="O1491" s="6" t="inlineStr"/>
      <c r="P1491" s="6" t="inlineStr"/>
      <c r="Q1491" s="5" t="inlineStr"/>
      <c r="R1491" s="5" t="inlineStr"/>
      <c r="S1491" s="5" t="inlineStr"/>
      <c r="T1491" s="5" t="inlineStr"/>
      <c r="U1491" s="5" t="inlineStr"/>
      <c r="V1491" s="5" t="inlineStr"/>
      <c r="W1491" s="5" t="inlineStr">
        <is>
          <t>yalanci</t>
        </is>
      </c>
      <c r="X1491" s="5" t="inlineStr"/>
      <c r="Y1491" s="5" t="inlineStr"/>
      <c r="Z1491" s="6" t="inlineStr"/>
      <c r="AA1491" s="5" t="inlineStr"/>
      <c r="AB1491" s="5" t="inlineStr"/>
      <c r="AC1491" s="5" t="inlineStr"/>
      <c r="AD1491" s="5" t="inlineStr"/>
      <c r="AE1491" s="5" t="inlineStr"/>
      <c r="AF1491" s="5" t="inlineStr"/>
      <c r="AG1491" s="5" t="inlineStr"/>
      <c r="AH1491" s="5" t="inlineStr"/>
    </row>
    <row r="1492">
      <c r="A1492" s="5" t="inlineStr">
        <is>
          <t>b7-dolandirici-ilan</t>
        </is>
      </c>
      <c r="B1492" s="5" t="n">
        <v>3</v>
      </c>
      <c r="C1492" s="6" t="inlineStr">
        <is>
          <t>Kamyoncuyu başka işe yönlendir</t>
        </is>
      </c>
      <c r="D1492" s="5" t="inlineStr">
        <is>
          <t>Kurnazlık</t>
        </is>
      </c>
      <c r="E1492" s="5" t="inlineStr">
        <is>
          <t>Orta</t>
        </is>
      </c>
      <c r="F1492" s="5" t="inlineStr"/>
      <c r="G1492" s="6" t="inlineStr"/>
      <c r="H1492" s="6" t="inlineStr">
        <is>
          <t>Kamyoncuyu komşunun taşınmasına yönlendirdin. Komşu memnun, kamyoncu memnun; sen aracılık ücretini aldın. İlk dürüst paran.</t>
        </is>
      </c>
      <c r="I1492" s="6" t="inlineStr">
        <is>
          <t>Kamyoncuyla ortak nakliye ilanı açtınız. İş gerçek, kamyon gerçek; bir tek ilandaki adın uydurma.</t>
        </is>
      </c>
      <c r="J1492" s="6" t="inlineStr">
        <is>
          <t>Kamyoncu seni dinlemedi, balkon korkuluğunu ölçmeye başladı. Şerit metreyle peşinden koştun.</t>
        </is>
      </c>
      <c r="K1492" s="6" t="inlineStr">
        <is>
          <t>Kamyoncu manzarayı sökemeyince balkondaki saksıları yükledi. Nakliye ücretini de sen ödedin.</t>
        </is>
      </c>
      <c r="L1492" s="6" t="inlineStr"/>
      <c r="M1492" s="5" t="inlineStr"/>
      <c r="N1492" s="5" t="inlineStr"/>
      <c r="O1492" s="6" t="inlineStr"/>
      <c r="P1492" s="6" t="inlineStr"/>
      <c r="Q1492" s="5" t="inlineStr"/>
      <c r="R1492" s="5" t="inlineStr"/>
      <c r="S1492" s="5" t="inlineStr"/>
      <c r="T1492" s="5" t="inlineStr"/>
      <c r="U1492" s="5" t="inlineStr"/>
      <c r="V1492" s="5" t="inlineStr"/>
      <c r="W1492" s="5" t="inlineStr"/>
      <c r="X1492" s="5" t="inlineStr"/>
      <c r="Y1492" s="5" t="inlineStr"/>
      <c r="Z1492" s="6" t="inlineStr"/>
      <c r="AA1492" s="5" t="inlineStr"/>
      <c r="AB1492" s="5" t="inlineStr"/>
      <c r="AC1492" s="5" t="inlineStr"/>
      <c r="AD1492" s="5" t="inlineStr"/>
      <c r="AE1492" s="5" t="inlineStr"/>
      <c r="AF1492" s="5" t="inlineStr"/>
      <c r="AG1492" s="5" t="inlineStr"/>
      <c r="AH1492" s="5" t="inlineStr"/>
    </row>
    <row r="1493">
      <c r="A1493" s="5" t="inlineStr">
        <is>
          <t>b7-dolandirici-kurs</t>
        </is>
      </c>
      <c r="B1493" s="5" t="n">
        <v>1</v>
      </c>
      <c r="C1493" s="6" t="inlineStr">
        <is>
          <t>Kürsüye çık: “Kolay para yok”</t>
        </is>
      </c>
      <c r="D1493" s="5" t="inlineStr"/>
      <c r="E1493" s="5" t="inlineStr"/>
      <c r="F1493" s="5" t="inlineStr">
        <is>
          <t>İtibar +1, Cesaret +1</t>
        </is>
      </c>
      <c r="G1493" s="6" t="inlineStr">
        <is>
          <t>“Kolay para yok” dedin, indin. Salon üç saniye sustu, sonra alkışladı; ders buymuş sandılar. Biletleri iade ettin; teyze defterine yalnızca bunu yazdı.</t>
        </is>
      </c>
      <c r="H1493" s="6" t="inlineStr"/>
      <c r="I1493" s="6" t="inlineStr"/>
      <c r="J1493" s="6" t="inlineStr"/>
      <c r="K1493" s="6" t="inlineStr"/>
      <c r="L1493" s="6" t="inlineStr"/>
      <c r="M1493" s="5" t="inlineStr"/>
      <c r="N1493" s="5" t="inlineStr"/>
      <c r="O1493" s="6" t="inlineStr"/>
      <c r="P1493" s="6" t="inlineStr"/>
      <c r="Q1493" s="5" t="inlineStr"/>
      <c r="R1493" s="5" t="inlineStr"/>
      <c r="S1493" s="5" t="inlineStr"/>
      <c r="T1493" s="5" t="inlineStr"/>
      <c r="U1493" s="5" t="inlineStr">
        <is>
          <t>vicdan-sesi</t>
        </is>
      </c>
      <c r="V1493" s="5" t="inlineStr"/>
      <c r="W1493" s="5" t="inlineStr"/>
      <c r="X1493" s="5" t="inlineStr"/>
      <c r="Y1493" s="5" t="inlineStr"/>
      <c r="Z1493" s="6" t="inlineStr"/>
      <c r="AA1493" s="5" t="inlineStr"/>
      <c r="AB1493" s="5" t="inlineStr"/>
      <c r="AC1493" s="5" t="inlineStr"/>
      <c r="AD1493" s="5" t="inlineStr"/>
      <c r="AE1493" s="5" t="inlineStr"/>
      <c r="AF1493" s="5" t="inlineStr"/>
      <c r="AG1493" s="5" t="inlineStr"/>
      <c r="AH1493" s="5" t="inlineStr"/>
    </row>
    <row r="1494">
      <c r="A1494" s="5" t="inlineStr">
        <is>
          <t>b7-dolandirici-kurs</t>
        </is>
      </c>
      <c r="B1494" s="5" t="n">
        <v>2</v>
      </c>
      <c r="C1494" s="6" t="inlineStr">
        <is>
          <t>Sahnede motivasyon yağdır</t>
        </is>
      </c>
      <c r="D1494" s="5" t="inlineStr">
        <is>
          <t>Pişkinlik</t>
        </is>
      </c>
      <c r="E1494" s="5" t="inlineStr">
        <is>
          <t>Zor</t>
        </is>
      </c>
      <c r="F1494" s="5" t="inlineStr"/>
      <c r="G1494" s="6" t="inlineStr"/>
      <c r="H1494" s="6" t="inlineStr">
        <is>
          <t>Üç saat konuştun, hiçbir şey söylemedin, herkes not aldı. Çıkışta imza kuyruğu oluştu; imzaladığın şey kendi fotoğrafın.</t>
        </is>
      </c>
      <c r="I1494" s="6" t="inlineStr">
        <is>
          <t>Salon ayağa kalktı, biri “Hocam!” diye bağırdı. Ertesi hafta iki salon kiraladın; ikincisinde sen yoksun, fotoğrafın var.</t>
        </is>
      </c>
      <c r="J1494" s="6" t="inlineStr">
        <is>
          <t>Motivasyon cümleleri bitti, süre bitmedi. Son saati “Soru var mı?” diyerek geçirdin; soru yoktu.</t>
        </is>
      </c>
      <c r="K1494" s="6" t="inlineStr">
        <is>
          <t>Teyze kursu telefonundan canlı yayınladı. Ertesi gün bir haber sitesinde: “Akademinin içi boş çıktı.” Sesin yine tanıdık.</t>
        </is>
      </c>
      <c r="L1494" s="6" t="inlineStr"/>
      <c r="M1494" s="5" t="inlineStr"/>
      <c r="N1494" s="5" t="inlineStr"/>
      <c r="O1494" s="6" t="inlineStr"/>
      <c r="P1494" s="6" t="inlineStr"/>
      <c r="Q1494" s="5" t="inlineStr"/>
      <c r="R1494" s="5" t="inlineStr"/>
      <c r="S1494" s="5" t="inlineStr"/>
      <c r="T1494" s="5" t="inlineStr">
        <is>
          <t>Sahne Sever</t>
        </is>
      </c>
      <c r="U1494" s="5" t="inlineStr"/>
      <c r="V1494" s="5" t="inlineStr">
        <is>
          <t>kolay-para-gurusu</t>
        </is>
      </c>
      <c r="W1494" s="5" t="inlineStr">
        <is>
          <t>ifsa-oldu</t>
        </is>
      </c>
      <c r="X1494" s="5" t="inlineStr"/>
      <c r="Y1494" s="5" t="inlineStr"/>
      <c r="Z1494" s="6" t="inlineStr"/>
      <c r="AA1494" s="5" t="inlineStr"/>
      <c r="AB1494" s="5" t="inlineStr"/>
      <c r="AC1494" s="5" t="inlineStr"/>
      <c r="AD1494" s="5" t="inlineStr">
        <is>
          <t>Rahat</t>
        </is>
      </c>
      <c r="AE1494" s="5" t="inlineStr"/>
      <c r="AF1494" s="5" t="inlineStr"/>
      <c r="AG1494" s="5" t="inlineStr"/>
      <c r="AH1494" s="5" t="inlineStr"/>
    </row>
    <row r="1495">
      <c r="A1495" s="5" t="inlineStr">
        <is>
          <t>b7-dolandirici-kurs</t>
        </is>
      </c>
      <c r="B1495" s="5" t="n">
        <v>3</v>
      </c>
      <c r="C1495" s="6" t="inlineStr">
        <is>
          <t>Kursu kameraya çekip sat</t>
        </is>
      </c>
      <c r="D1495" s="5" t="inlineStr">
        <is>
          <t>Kurnazlık</t>
        </is>
      </c>
      <c r="E1495" s="5" t="inlineStr">
        <is>
          <t>Orta</t>
        </is>
      </c>
      <c r="F1495" s="5" t="inlineStr"/>
      <c r="G1495" s="6" t="inlineStr"/>
      <c r="H1495" s="6" t="inlineStr">
        <is>
          <t>Kursu kameraya çektin, internetten sattın. Salon kirası yok, teyze yok, soru yok; yorumların hepsi dört yıldız.</t>
        </is>
      </c>
      <c r="I1495" s="6" t="inlineStr">
        <is>
          <t>Video öyle yayıldı ki biri senin kursunu kopyalayıp satmaya başladı. Kolay parayı senden kolayca aldı.</t>
        </is>
      </c>
      <c r="J1495" s="6" t="inlineStr">
        <is>
          <t>Çekim sırasında pankartın yarısı düştü; geriye “Para Akademisi” kaldı. Fazla ciddi durdu, satmadı.</t>
        </is>
      </c>
      <c r="K1495" s="6" t="inlineStr">
        <is>
          <t>Kamerayı ters tuttun. Üç saatlik kursun tamamı tavan. Yorumlar tavanı beğendi.</t>
        </is>
      </c>
      <c r="L1495" s="6" t="inlineStr"/>
      <c r="M1495" s="5" t="inlineStr"/>
      <c r="N1495" s="5" t="inlineStr"/>
      <c r="O1495" s="6" t="inlineStr"/>
      <c r="P1495" s="6" t="inlineStr"/>
      <c r="Q1495" s="5" t="inlineStr"/>
      <c r="R1495" s="5" t="inlineStr"/>
      <c r="S1495" s="5" t="inlineStr"/>
      <c r="T1495" s="5" t="inlineStr"/>
      <c r="U1495" s="5" t="inlineStr"/>
      <c r="V1495" s="5" t="inlineStr">
        <is>
          <t>kolay-para-gurusu</t>
        </is>
      </c>
      <c r="W1495" s="5" t="inlineStr"/>
      <c r="X1495" s="5" t="inlineStr"/>
      <c r="Y1495" s="5" t="inlineStr"/>
      <c r="Z1495" s="6" t="inlineStr"/>
      <c r="AA1495" s="5" t="inlineStr"/>
      <c r="AB1495" s="5" t="inlineStr"/>
      <c r="AC1495" s="5" t="inlineStr"/>
      <c r="AD1495" s="5" t="inlineStr"/>
      <c r="AE1495" s="5" t="inlineStr"/>
      <c r="AF1495" s="5" t="inlineStr"/>
      <c r="AG1495" s="5" t="inlineStr"/>
      <c r="AH1495" s="5" t="inlineStr"/>
    </row>
    <row r="1496">
      <c r="A1496" s="5" t="inlineStr">
        <is>
          <t>b7-dolandirici-kurs</t>
        </is>
      </c>
      <c r="B1496" s="5" t="n">
        <v>4</v>
      </c>
      <c r="C1496" s="6" t="inlineStr">
        <is>
          <t>Ara verip teyzeyle konuş</t>
        </is>
      </c>
      <c r="D1496" s="5" t="inlineStr">
        <is>
          <t>Sosyal Radar</t>
        </is>
      </c>
      <c r="E1496" s="5" t="inlineStr">
        <is>
          <t>Orta</t>
        </is>
      </c>
      <c r="F1496" s="5" t="inlineStr"/>
      <c r="G1496" s="6" t="inlineStr"/>
      <c r="H1496" s="6" t="inlineStr">
        <is>
          <t>Teyze, telefonu kapattığın emekli öğretmenin arkadaşıymış: “O seni anlatmıştı.” Kursu yarıda kesip teyzeye çay ısmarladın.</t>
        </is>
      </c>
      <c r="I1496" s="6" t="inlineStr">
        <is>
          <t>Teyze kürsüye çıkıp salona gerçek bir birikim dersi verdi. Sen arka sırada not aldın; ilk kez.</t>
        </is>
      </c>
      <c r="J1496" s="6" t="inlineStr">
        <is>
          <t>Teyzeyle konuştun ama salon bekliyordu. Kürsüye döndüğünde ne diyeceğini unutmuştun; kimse fark etmedi.</t>
        </is>
      </c>
      <c r="K1496" s="6" t="inlineStr">
        <is>
          <t>Teyze seni tanıdı: “Sen o telefondaki çocuksun!” Salonun yarısı ona döndü, yarısı sana. Kalan yarım saat karışık geçti.</t>
        </is>
      </c>
      <c r="L1496" s="6" t="inlineStr"/>
      <c r="M1496" s="5" t="inlineStr"/>
      <c r="N1496" s="5" t="inlineStr"/>
      <c r="O1496" s="6" t="inlineStr"/>
      <c r="P1496" s="6" t="inlineStr"/>
      <c r="Q1496" s="5" t="inlineStr"/>
      <c r="R1496" s="5" t="inlineStr">
        <is>
          <t>vicdan-sesi</t>
        </is>
      </c>
      <c r="S1496" s="5" t="inlineStr"/>
      <c r="T1496" s="5" t="inlineStr"/>
      <c r="U1496" s="5" t="inlineStr"/>
      <c r="V1496" s="5" t="inlineStr"/>
      <c r="W1496" s="5" t="inlineStr"/>
      <c r="X1496" s="5" t="inlineStr"/>
      <c r="Y1496" s="5" t="inlineStr"/>
      <c r="Z1496" s="6" t="inlineStr"/>
      <c r="AA1496" s="5" t="inlineStr"/>
      <c r="AB1496" s="5" t="inlineStr"/>
      <c r="AC1496" s="5" t="inlineStr"/>
      <c r="AD1496" s="5" t="inlineStr"/>
      <c r="AE1496" s="5" t="inlineStr"/>
      <c r="AF1496" s="5" t="inlineStr"/>
      <c r="AG1496" s="5" t="inlineStr"/>
      <c r="AH1496" s="5" t="inlineStr"/>
    </row>
    <row r="1497">
      <c r="A1497" s="5" t="inlineStr">
        <is>
          <t>b7-dolandirici-kulup</t>
        </is>
      </c>
      <c r="B1497" s="5" t="n">
        <v>1</v>
      </c>
      <c r="C1497" s="6" t="inlineStr">
        <is>
          <t>Kulübü dağıt, kasayı paylaştır</t>
        </is>
      </c>
      <c r="D1497" s="5" t="inlineStr"/>
      <c r="E1497" s="5" t="inlineStr"/>
      <c r="F1497" s="5" t="inlineStr">
        <is>
          <t>İtibar +1, Akıl +1</t>
        </is>
      </c>
      <c r="G1497" s="6" t="inlineStr">
        <is>
          <t>Kasadakini üyelere paylaştırdın; herkese biraz eksik düştü. Kulüp dağıldı, mesaj grubu dağılmadı. Her sabah biri “Günaydın” yazıyor.</t>
        </is>
      </c>
      <c r="H1497" s="6" t="inlineStr"/>
      <c r="I1497" s="6" t="inlineStr"/>
      <c r="J1497" s="6" t="inlineStr"/>
      <c r="K1497" s="6" t="inlineStr"/>
      <c r="L1497" s="6" t="inlineStr"/>
      <c r="M1497" s="5" t="inlineStr"/>
      <c r="N1497" s="5" t="inlineStr"/>
      <c r="O1497" s="6" t="inlineStr"/>
      <c r="P1497" s="6" t="inlineStr"/>
      <c r="Q1497" s="5" t="inlineStr"/>
      <c r="R1497" s="5" t="inlineStr"/>
      <c r="S1497" s="5" t="inlineStr"/>
      <c r="T1497" s="5" t="inlineStr"/>
      <c r="U1497" s="5" t="inlineStr">
        <is>
          <t>paralari-iade</t>
        </is>
      </c>
      <c r="V1497" s="5" t="inlineStr"/>
      <c r="W1497" s="5" t="inlineStr"/>
      <c r="X1497" s="5" t="inlineStr"/>
      <c r="Y1497" s="5" t="inlineStr"/>
      <c r="Z1497" s="6" t="inlineStr"/>
      <c r="AA1497" s="5" t="inlineStr"/>
      <c r="AB1497" s="5" t="inlineStr"/>
      <c r="AC1497" s="5" t="inlineStr"/>
      <c r="AD1497" s="5" t="inlineStr"/>
      <c r="AE1497" s="5" t="inlineStr"/>
      <c r="AF1497" s="5" t="n">
        <v>1</v>
      </c>
      <c r="AG1497" s="5" t="inlineStr"/>
      <c r="AH1497" s="5" t="inlineStr"/>
    </row>
    <row r="1498">
      <c r="A1498" s="5" t="inlineStr">
        <is>
          <t>b7-dolandirici-kulup</t>
        </is>
      </c>
      <c r="B1498" s="5" t="n">
        <v>2</v>
      </c>
      <c r="C1498" s="6" t="inlineStr">
        <is>
          <t>Peçeteyi büyük ekrana yansıt</t>
        </is>
      </c>
      <c r="D1498" s="5" t="inlineStr">
        <is>
          <t>Pişkinlik</t>
        </is>
      </c>
      <c r="E1498" s="5" t="inlineStr">
        <is>
          <t>Orta</t>
        </is>
      </c>
      <c r="F1498" s="5" t="inlineStr"/>
      <c r="G1498" s="6" t="inlineStr"/>
      <c r="H1498" s="6" t="inlineStr">
        <is>
          <t>Peçete dev ekranda bir yatırım tablosuna benzedi. Üyeler güneşe bakıp ikna oldu; toplantı alkışla bitti.</t>
        </is>
      </c>
      <c r="I1498" s="6" t="inlineStr">
        <is>
          <t>Üyelerden biri peçeteyi çerçevelemek için satın aldı. Kulübün bu ayki tek kârı buydu ve fena değildi.</t>
        </is>
      </c>
      <c r="J1498" s="6" t="inlineStr">
        <is>
          <t>Ekran peçetenin arkasını gösterdi: kafenin adı ve bir telefon numarası. Numarayı birkaç kişi kaydetti.</t>
        </is>
      </c>
      <c r="K1498" s="6" t="inlineStr">
        <is>
          <t>Peçetenin köşesinde alışveriş listen vardı. En alttaki satır: “Bavul.” Altı çizili.</t>
        </is>
      </c>
      <c r="L1498" s="6" t="inlineStr"/>
      <c r="M1498" s="5" t="inlineStr"/>
      <c r="N1498" s="5" t="inlineStr"/>
      <c r="O1498" s="6" t="inlineStr"/>
      <c r="P1498" s="6" t="inlineStr"/>
      <c r="Q1498" s="5" t="inlineStr"/>
      <c r="R1498" s="5" t="inlineStr"/>
      <c r="S1498" s="5" t="inlineStr"/>
      <c r="T1498" s="5" t="inlineStr"/>
      <c r="U1498" s="5" t="inlineStr"/>
      <c r="V1498" s="5" t="inlineStr"/>
      <c r="W1498" s="5" t="inlineStr"/>
      <c r="X1498" s="5" t="inlineStr"/>
      <c r="Y1498" s="5" t="inlineStr"/>
      <c r="Z1498" s="6" t="inlineStr"/>
      <c r="AA1498" s="5" t="inlineStr"/>
      <c r="AB1498" s="5" t="inlineStr"/>
      <c r="AC1498" s="5" t="inlineStr"/>
      <c r="AD1498" s="5" t="inlineStr"/>
      <c r="AE1498" s="5" t="inlineStr"/>
      <c r="AF1498" s="5" t="inlineStr"/>
      <c r="AG1498" s="5" t="inlineStr"/>
      <c r="AH1498" s="5" t="inlineStr"/>
    </row>
    <row r="1499">
      <c r="A1499" s="5" t="inlineStr">
        <is>
          <t>b7-dolandirici-kulup</t>
        </is>
      </c>
      <c r="B1499" s="5" t="n">
        <v>3</v>
      </c>
      <c r="C1499" s="6" t="inlineStr">
        <is>
          <t>Büyük bir “yeni fırsat” duyur</t>
        </is>
      </c>
      <c r="D1499" s="5" t="inlineStr">
        <is>
          <t>Kurnazlık</t>
        </is>
      </c>
      <c r="E1499" s="5" t="inlineStr">
        <is>
          <t>Zor</t>
        </is>
      </c>
      <c r="F1499" s="5" t="inlineStr"/>
      <c r="G1499" s="6" t="inlineStr"/>
      <c r="H1499" s="6" t="inlineStr">
        <is>
          <t>Yeni fırsatın adını söyledin; ne olduğunu kimse sormadı, herkes katıldı. Toplantı bitmeden kulübün adı “Altın Dal” oldu.</t>
        </is>
      </c>
      <c r="I1499" s="6" t="inlineStr">
        <is>
          <t>Kafenin sahibi de üye oldu; toplantıların çayı artık bedava. Kulüp büyüdü; neden büyüdüğünü kimse sormuyor.</t>
        </is>
      </c>
      <c r="J1499" s="6" t="inlineStr">
        <is>
          <t>“Yeni fırsat” dediğin anda garson “Bu ay üçüncü” dedi. Üyeler dağıldı; hesap sana kaldı.</t>
        </is>
      </c>
      <c r="K1499" s="6" t="inlineStr">
        <is>
          <t>Yan masada sivil bir memur çay içiyormuş; notunu senden hızlı aldı. Kulübün bir sonraki toplantısı adliye koridorunda.</t>
        </is>
      </c>
      <c r="L1499" s="6" t="inlineStr"/>
      <c r="M1499" s="5" t="inlineStr"/>
      <c r="N1499" s="5" t="inlineStr"/>
      <c r="O1499" s="6" t="inlineStr"/>
      <c r="P1499" s="6" t="inlineStr"/>
      <c r="Q1499" s="5" t="inlineStr"/>
      <c r="R1499" s="5" t="inlineStr"/>
      <c r="S1499" s="5" t="inlineStr"/>
      <c r="T1499" s="5" t="inlineStr">
        <is>
          <t>Tablo Ustası</t>
        </is>
      </c>
      <c r="U1499" s="5" t="inlineStr"/>
      <c r="V1499" s="5" t="inlineStr"/>
      <c r="W1499" s="5" t="inlineStr">
        <is>
          <t>hapis</t>
        </is>
      </c>
      <c r="X1499" s="5" t="inlineStr"/>
      <c r="Y1499" s="5" t="inlineStr"/>
      <c r="Z1499" s="6" t="inlineStr"/>
      <c r="AA1499" s="5" t="inlineStr"/>
      <c r="AB1499" s="5" t="inlineStr"/>
      <c r="AC1499" s="5" t="inlineStr"/>
      <c r="AD1499" s="5" t="inlineStr">
        <is>
          <t>Rahat</t>
        </is>
      </c>
      <c r="AE1499" s="5" t="inlineStr"/>
      <c r="AF1499" s="5" t="inlineStr"/>
      <c r="AG1499" s="5" t="inlineStr"/>
      <c r="AH1499" s="5" t="inlineStr"/>
    </row>
    <row r="1500">
      <c r="A1500" s="5" t="inlineStr">
        <is>
          <t>b8-dolandirici-kitap</t>
        </is>
      </c>
      <c r="B1500" s="5" t="n">
        <v>1</v>
      </c>
      <c r="C1500" s="6" t="inlineStr">
        <is>
          <t>Boş sayfaları “düşünme alanı” diye anlat</t>
        </is>
      </c>
      <c r="D1500" s="5" t="inlineStr"/>
      <c r="E1500" s="5" t="inlineStr"/>
      <c r="F1500" s="5" t="inlineStr">
        <is>
          <t>Pişkinlik +1, Çene +1</t>
        </is>
      </c>
      <c r="G1500" s="6" t="inlineStr">
        <is>
          <t>“O sayfalar okurun kendi yolu” dedin. Sunucu etkilendi, kitap ikinci baskıya girdi. İkinci baskıda boş sayfa sayısı arttı.</t>
        </is>
      </c>
      <c r="H1500" s="6" t="inlineStr"/>
      <c r="I1500" s="6" t="inlineStr"/>
      <c r="J1500" s="6" t="inlineStr"/>
      <c r="K1500" s="6" t="inlineStr"/>
      <c r="L1500" s="6" t="inlineStr"/>
      <c r="M1500" s="5" t="inlineStr"/>
      <c r="N1500" s="5" t="inlineStr"/>
      <c r="O1500" s="6" t="inlineStr"/>
      <c r="P1500" s="6" t="inlineStr"/>
      <c r="Q1500" s="5" t="inlineStr"/>
      <c r="R1500" s="5" t="inlineStr"/>
      <c r="S1500" s="5" t="inlineStr"/>
      <c r="T1500" s="5" t="inlineStr"/>
      <c r="U1500" s="5" t="inlineStr"/>
      <c r="V1500" s="5" t="inlineStr"/>
      <c r="W1500" s="5" t="inlineStr"/>
      <c r="X1500" s="5" t="inlineStr"/>
      <c r="Y1500" s="5" t="inlineStr"/>
      <c r="Z1500" s="6" t="inlineStr"/>
      <c r="AA1500" s="5" t="inlineStr"/>
      <c r="AB1500" s="5" t="inlineStr"/>
      <c r="AC1500" s="5" t="inlineStr"/>
      <c r="AD1500" s="5" t="inlineStr"/>
      <c r="AE1500" s="5" t="inlineStr"/>
      <c r="AF1500" s="5" t="inlineStr"/>
      <c r="AG1500" s="5" t="inlineStr"/>
      <c r="AH1500" s="5" t="inlineStr"/>
    </row>
    <row r="1501">
      <c r="A1501" s="5" t="inlineStr">
        <is>
          <t>b8-dolandirici-kitap</t>
        </is>
      </c>
      <c r="B1501" s="5" t="n">
        <v>2</v>
      </c>
      <c r="C1501" s="6" t="inlineStr">
        <is>
          <t>Yedi yolu canlı yayında uydur</t>
        </is>
      </c>
      <c r="D1501" s="5" t="inlineStr">
        <is>
          <t>Çene</t>
        </is>
      </c>
      <c r="E1501" s="5" t="inlineStr">
        <is>
          <t>Orta</t>
        </is>
      </c>
      <c r="F1501" s="5" t="inlineStr"/>
      <c r="G1501" s="6" t="inlineStr"/>
      <c r="H1501" s="6" t="inlineStr">
        <is>
          <t>Yedi yolu tek tek uydurdun; beşincide sunucu not almaya başladı. Yeni baskıda o yollar var, senin bile hatırlamadığın.</t>
        </is>
      </c>
      <c r="I1501" s="6" t="inlineStr">
        <is>
          <t>Uydurduğun yedinci yol “Erken kalk” oldu. İzleyiciler sabah beşte uyanmaya başladı; kitap tükendi.</t>
        </is>
      </c>
      <c r="J1501" s="6" t="inlineStr">
        <is>
          <t>Üçüncü yolda takıldın, dördüncüyü birincinin tekrarı yaptın. Sunucu “Yedi değil, üç” diye özetledi.</t>
        </is>
      </c>
      <c r="K1501" s="6" t="inlineStr">
        <is>
          <t>Yollardan biri “Borç al, sonra düşün” oldu. Yayından sonra bankalar kitabı tavsiye etti; okurlar etmedi.</t>
        </is>
      </c>
      <c r="L1501" s="6" t="inlineStr"/>
      <c r="M1501" s="5" t="inlineStr"/>
      <c r="N1501" s="5" t="inlineStr"/>
      <c r="O1501" s="6" t="inlineStr"/>
      <c r="P1501" s="6" t="inlineStr"/>
      <c r="Q1501" s="5" t="inlineStr"/>
      <c r="R1501" s="5" t="inlineStr"/>
      <c r="S1501" s="5" t="inlineStr"/>
      <c r="T1501" s="5" t="inlineStr"/>
      <c r="U1501" s="5" t="inlineStr"/>
      <c r="V1501" s="5" t="inlineStr"/>
      <c r="W1501" s="5" t="inlineStr"/>
      <c r="X1501" s="5" t="inlineStr"/>
      <c r="Y1501" s="5" t="inlineStr"/>
      <c r="Z1501" s="6" t="inlineStr"/>
      <c r="AA1501" s="5" t="inlineStr"/>
      <c r="AB1501" s="5" t="inlineStr"/>
      <c r="AC1501" s="5" t="inlineStr"/>
      <c r="AD1501" s="5" t="inlineStr"/>
      <c r="AE1501" s="5" t="inlineStr"/>
      <c r="AF1501" s="5" t="inlineStr"/>
      <c r="AG1501" s="5" t="inlineStr"/>
      <c r="AH1501" s="5" t="inlineStr"/>
    </row>
    <row r="1502">
      <c r="A1502" s="5" t="inlineStr">
        <is>
          <t>b8-dolandirici-kitap</t>
        </is>
      </c>
      <c r="B1502" s="5" t="n">
        <v>3</v>
      </c>
      <c r="C1502" s="6" t="inlineStr">
        <is>
          <t>Reklam arasında sunucuya kurs sat</t>
        </is>
      </c>
      <c r="D1502" s="5" t="inlineStr">
        <is>
          <t>Kurnazlık</t>
        </is>
      </c>
      <c r="E1502" s="5" t="inlineStr">
        <is>
          <t>Orta</t>
        </is>
      </c>
      <c r="F1502" s="5" t="inlineStr"/>
      <c r="G1502" s="6" t="inlineStr"/>
      <c r="H1502" s="6" t="inlineStr">
        <is>
          <t>Reklam arasında sunucuya kursu anlattın; ertesi gün kayıt oldu. Programın bütün ekibi artık öğrencin, kameraman hariç.</t>
        </is>
      </c>
      <c r="I1502" s="6" t="inlineStr">
        <is>
          <t>Sunucu kursu kendi programında övdü. Kameraman da kaydoldu; artık kimse çekmiyor.</t>
        </is>
      </c>
      <c r="J1502" s="6" t="inlineStr">
        <is>
          <t>Sunucu dinledi, “Bizim kanalın da böyle bir kursu var” dedi. Onunki daha pahalıymış.</t>
        </is>
      </c>
      <c r="K1502" s="6" t="inlineStr">
        <is>
          <t>Reklam arası sandığın an canlı yayındaymış. Kursun fiyatını bütün ülke duydu; kayıt olan tek kişi annen.</t>
        </is>
      </c>
      <c r="L1502" s="6" t="inlineStr"/>
      <c r="M1502" s="5" t="inlineStr"/>
      <c r="N1502" s="5" t="inlineStr"/>
      <c r="O1502" s="6" t="inlineStr"/>
      <c r="P1502" s="6" t="inlineStr"/>
      <c r="Q1502" s="5" t="inlineStr"/>
      <c r="R1502" s="5" t="inlineStr"/>
      <c r="S1502" s="5" t="inlineStr"/>
      <c r="T1502" s="5" t="inlineStr"/>
      <c r="U1502" s="5" t="inlineStr"/>
      <c r="V1502" s="5" t="inlineStr"/>
      <c r="W1502" s="5" t="inlineStr"/>
      <c r="X1502" s="5" t="inlineStr"/>
      <c r="Y1502" s="5" t="inlineStr"/>
      <c r="Z1502" s="6" t="inlineStr"/>
      <c r="AA1502" s="5" t="inlineStr"/>
      <c r="AB1502" s="5" t="inlineStr"/>
      <c r="AC1502" s="5" t="inlineStr"/>
      <c r="AD1502" s="5" t="inlineStr"/>
      <c r="AE1502" s="5" t="inlineStr"/>
      <c r="AF1502" s="5" t="inlineStr"/>
      <c r="AG1502" s="5" t="inlineStr"/>
      <c r="AH1502" s="5" t="inlineStr"/>
    </row>
    <row r="1503">
      <c r="A1503" s="5" t="inlineStr">
        <is>
          <t>b8-dolandirici-kitap</t>
        </is>
      </c>
      <c r="B1503" s="5" t="n">
        <v>4</v>
      </c>
      <c r="C1503" s="6" t="inlineStr">
        <is>
          <t>Canlı yayında itiraf et</t>
        </is>
      </c>
      <c r="D1503" s="5" t="inlineStr">
        <is>
          <t>Cesaret</t>
        </is>
      </c>
      <c r="E1503" s="5" t="inlineStr">
        <is>
          <t>Zor</t>
        </is>
      </c>
      <c r="F1503" s="5" t="inlineStr"/>
      <c r="G1503" s="6" t="inlineStr"/>
      <c r="H1503" s="6" t="inlineStr">
        <is>
          <t>“Kolay para yok, kitap da boş” dedin. Stüdyo sustu, telefonlar kilitlendi. Ertesi hafta satışları iade ettin; kitap koleksiyon parçası oldu.</t>
        </is>
      </c>
      <c r="I1503" s="6" t="inlineStr">
        <is>
          <t>İtirafın günün en çok izlenen anı oldu. Sunucu seni her hafta “dürüstlük köşesi”ne çağırıyor; ilk kez gerçek bir işin var.</t>
        </is>
      </c>
      <c r="J1503" s="6" t="inlineStr">
        <is>
          <t>İtirafa başladın, reklam girdi. Dönüşte sunucu konuyu hava durumuna bağladı.</t>
        </is>
      </c>
      <c r="K1503" s="6" t="inlineStr">
        <is>
          <t>Sunucu itirafını da bir satış tekniği sandı. Üçüncü baskıya “İtiraf Bölümü” eklendi; o da boş.</t>
        </is>
      </c>
      <c r="L1503" s="6" t="inlineStr"/>
      <c r="M1503" s="5" t="inlineStr"/>
      <c r="N1503" s="5" t="inlineStr"/>
      <c r="O1503" s="6" t="inlineStr"/>
      <c r="P1503" s="6" t="inlineStr"/>
      <c r="Q1503" s="5" t="inlineStr"/>
      <c r="R1503" s="5" t="inlineStr">
        <is>
          <t>vicdan-sesi</t>
        </is>
      </c>
      <c r="S1503" s="5" t="inlineStr"/>
      <c r="T1503" s="5" t="inlineStr">
        <is>
          <t>Kendine Gülebilir</t>
        </is>
      </c>
      <c r="U1503" s="5" t="inlineStr"/>
      <c r="V1503" s="5" t="inlineStr">
        <is>
          <t>paralari-iade</t>
        </is>
      </c>
      <c r="W1503" s="5" t="inlineStr"/>
      <c r="X1503" s="5" t="inlineStr"/>
      <c r="Y1503" s="5" t="inlineStr"/>
      <c r="Z1503" s="6" t="inlineStr"/>
      <c r="AA1503" s="5" t="inlineStr"/>
      <c r="AB1503" s="5" t="inlineStr"/>
      <c r="AC1503" s="5" t="inlineStr"/>
      <c r="AD1503" s="5" t="inlineStr"/>
      <c r="AE1503" s="5" t="inlineStr"/>
      <c r="AF1503" s="5" t="inlineStr"/>
      <c r="AG1503" s="5" t="inlineStr"/>
      <c r="AH1503" s="5" t="inlineStr"/>
    </row>
    <row r="1504">
      <c r="A1504" s="5" t="inlineStr">
        <is>
          <t>b8-dolandirici-mektup</t>
        </is>
      </c>
      <c r="B1504" s="5" t="n">
        <v>1</v>
      </c>
      <c r="C1504" s="6" t="inlineStr">
        <is>
          <t>Dürüst bir cevap yaz</t>
        </is>
      </c>
      <c r="D1504" s="5" t="inlineStr"/>
      <c r="E1504" s="5" t="inlineStr"/>
      <c r="F1504" s="5" t="inlineStr">
        <is>
          <t>İtibar +2</t>
        </is>
      </c>
      <c r="G1504" s="6" t="inlineStr">
        <is>
          <t>İki sayfa yazdın, üç kez yırttın, dördüncüyü gönderdin. Cevap bir hafta sonra geldi: “Hiç geç değil.” Altında bir reçel tarifi.</t>
        </is>
      </c>
      <c r="H1504" s="6" t="inlineStr"/>
      <c r="I1504" s="6" t="inlineStr"/>
      <c r="J1504" s="6" t="inlineStr"/>
      <c r="K1504" s="6" t="inlineStr"/>
      <c r="L1504" s="6" t="inlineStr"/>
      <c r="M1504" s="5" t="inlineStr"/>
      <c r="N1504" s="5" t="inlineStr"/>
      <c r="O1504" s="6" t="inlineStr"/>
      <c r="P1504" s="6" t="inlineStr"/>
      <c r="Q1504" s="5" t="inlineStr"/>
      <c r="R1504" s="5" t="inlineStr"/>
      <c r="S1504" s="5" t="inlineStr"/>
      <c r="T1504" s="5" t="inlineStr"/>
      <c r="U1504" s="5" t="inlineStr"/>
      <c r="V1504" s="5" t="inlineStr"/>
      <c r="W1504" s="5" t="inlineStr"/>
      <c r="X1504" s="5" t="inlineStr"/>
      <c r="Y1504" s="5" t="inlineStr"/>
      <c r="Z1504" s="6" t="inlineStr"/>
      <c r="AA1504" s="5" t="inlineStr"/>
      <c r="AB1504" s="5" t="inlineStr"/>
      <c r="AC1504" s="5" t="inlineStr"/>
      <c r="AD1504" s="5" t="inlineStr"/>
      <c r="AE1504" s="5" t="inlineStr"/>
      <c r="AF1504" s="5" t="inlineStr"/>
      <c r="AG1504" s="5" t="inlineStr"/>
      <c r="AH1504" s="5" t="inlineStr"/>
    </row>
    <row r="1505">
      <c r="A1505" s="5" t="inlineStr">
        <is>
          <t>b8-dolandirici-mektup</t>
        </is>
      </c>
      <c r="B1505" s="5" t="n">
        <v>2</v>
      </c>
      <c r="C1505" s="6" t="inlineStr">
        <is>
          <t>Herkese parasını geri öde</t>
        </is>
      </c>
      <c r="D1505" s="5" t="inlineStr">
        <is>
          <t>İtibar</t>
        </is>
      </c>
      <c r="E1505" s="5" t="inlineStr">
        <is>
          <t>Orta</t>
        </is>
      </c>
      <c r="F1505" s="5" t="inlineStr"/>
      <c r="G1505" s="6" t="inlineStr"/>
      <c r="H1505" s="6" t="inlineStr">
        <is>
          <t>Eski defterlerden isimleri tek tek buldun, parayı tek tek gönderdin. Hesabın boşaldı; telefonun ilk kez sevinçle çalıyor.</t>
        </is>
      </c>
      <c r="I1505" s="6" t="inlineStr">
        <is>
          <t>Parasını geri alanlardan biri seni işe çağırdı: gerçek bir danışmanlık bürosu. Maaş az ama kimse seni haber sitesinde aramıyor.</t>
        </is>
      </c>
      <c r="J1505" s="6" t="inlineStr">
        <is>
          <t>İsimlerin yarısını buldun, yarısı taşınmıştı. Yarım vicdan da vicdandır; ama tam uyku getirmiyor.</t>
        </is>
      </c>
      <c r="K1505" s="6" t="inlineStr">
        <is>
          <t>İade için açtığın hesabı biri sahte sanıp ihbar etti. Hayatının ilk dürüst işini anlatmak için karakolda üç saat oturdun.</t>
        </is>
      </c>
      <c r="L1505" s="6" t="inlineStr"/>
      <c r="M1505" s="5" t="inlineStr"/>
      <c r="N1505" s="5" t="inlineStr"/>
      <c r="O1505" s="6" t="inlineStr"/>
      <c r="P1505" s="6" t="inlineStr"/>
      <c r="Q1505" s="5" t="inlineStr"/>
      <c r="R1505" s="5" t="inlineStr"/>
      <c r="S1505" s="5" t="inlineStr"/>
      <c r="T1505" s="5" t="inlineStr"/>
      <c r="U1505" s="5" t="inlineStr"/>
      <c r="V1505" s="5" t="inlineStr">
        <is>
          <t>paralari-iade</t>
        </is>
      </c>
      <c r="W1505" s="5" t="inlineStr"/>
      <c r="X1505" s="5" t="inlineStr"/>
      <c r="Y1505" s="5" t="inlineStr"/>
      <c r="Z1505" s="6" t="inlineStr"/>
      <c r="AA1505" s="5" t="inlineStr"/>
      <c r="AB1505" s="5" t="inlineStr"/>
      <c r="AC1505" s="5" t="inlineStr"/>
      <c r="AD1505" s="5" t="inlineStr"/>
      <c r="AE1505" s="5" t="inlineStr"/>
      <c r="AF1505" s="5" t="n">
        <v>1</v>
      </c>
      <c r="AG1505" s="5" t="inlineStr"/>
      <c r="AH1505" s="5" t="inlineStr"/>
    </row>
    <row r="1506">
      <c r="A1506" s="5" t="inlineStr">
        <is>
          <t>b8-dolandirici-mektup</t>
        </is>
      </c>
      <c r="B1506" s="5" t="n">
        <v>3</v>
      </c>
      <c r="C1506" s="6" t="inlineStr">
        <is>
          <t>Öğretmene yeni bir “fırsat” gönder</t>
        </is>
      </c>
      <c r="D1506" s="5" t="inlineStr">
        <is>
          <t>Pişkinlik</t>
        </is>
      </c>
      <c r="E1506" s="5" t="inlineStr">
        <is>
          <t>Zor</t>
        </is>
      </c>
      <c r="F1506" s="5" t="inlineStr"/>
      <c r="G1506" s="6" t="inlineStr"/>
      <c r="H1506" s="6" t="inlineStr">
        <is>
          <t>Cevabına bir broşür ekledin. Öğretmen yazmadı ama komşusu yazdı, broşürü de dağıttı. Bu ay rekor; içinde bir taş.</t>
        </is>
      </c>
      <c r="I1506" s="6" t="inlineStr">
        <is>
          <t>Broşür emekliler derneğine kadar ulaştı. Ayın rekoru kırıldı; mektubu çekmeceye kilitledin, açmıyorsun.</t>
        </is>
      </c>
      <c r="J1506" s="6" t="inlineStr">
        <is>
          <t>Öğretmen broşürü geri gönderdi; kırmızı kalemle düzeltilmiş. Üç yazım hatası ve bir “Yazıklar olsun.”</t>
        </is>
      </c>
      <c r="K1506" s="6" t="inlineStr">
        <is>
          <t>Öğretmen broşürü doğrudan savcılığa göndermiş, kırmızı kalemle düzelterek. Dosyada imla hataların da var.</t>
        </is>
      </c>
      <c r="L1506" s="6" t="inlineStr"/>
      <c r="M1506" s="5" t="inlineStr"/>
      <c r="N1506" s="5" t="inlineStr"/>
      <c r="O1506" s="6" t="inlineStr"/>
      <c r="P1506" s="6" t="inlineStr"/>
      <c r="Q1506" s="5" t="inlineStr"/>
      <c r="R1506" s="5" t="inlineStr"/>
      <c r="S1506" s="5" t="inlineStr"/>
      <c r="T1506" s="5" t="inlineStr"/>
      <c r="U1506" s="5" t="inlineStr"/>
      <c r="V1506" s="5" t="inlineStr"/>
      <c r="W1506" s="5" t="inlineStr">
        <is>
          <t>hapis</t>
        </is>
      </c>
      <c r="X1506" s="5" t="inlineStr"/>
      <c r="Y1506" s="5" t="inlineStr"/>
      <c r="Z1506" s="6" t="inlineStr"/>
      <c r="AA1506" s="5" t="inlineStr"/>
      <c r="AB1506" s="5" t="inlineStr"/>
      <c r="AC1506" s="5" t="inlineStr"/>
      <c r="AD1506" s="5" t="inlineStr">
        <is>
          <t>Rahat</t>
        </is>
      </c>
      <c r="AE1506" s="5" t="inlineStr"/>
      <c r="AF1506" s="5" t="inlineStr"/>
      <c r="AG1506" s="5" t="inlineStr"/>
      <c r="AH1506" s="5" t="inlineStr"/>
    </row>
    <row r="1507">
      <c r="A1507" s="5" t="inlineStr">
        <is>
          <t>b9-dolandirici-son-numara</t>
        </is>
      </c>
      <c r="B1507" s="5" t="n">
        <v>1</v>
      </c>
      <c r="C1507" s="6" t="inlineStr">
        <is>
          <t>Kremin satıcısını kenara çekip uyar</t>
        </is>
      </c>
      <c r="D1507" s="5" t="inlineStr"/>
      <c r="E1507" s="5" t="inlineStr"/>
      <c r="F1507" s="5" t="inlineStr">
        <is>
          <t>İtibar +1, Sosyal Radar +1</t>
        </is>
      </c>
      <c r="G1507" s="6" t="inlineStr">
        <is>
          <t>Satıcıya “Bu işin sonu bir banktır ama bu bank değil” dedin. Anlamadı ama korktu; kavanozlarını toplayıp gitti.</t>
        </is>
      </c>
      <c r="H1507" s="6" t="inlineStr"/>
      <c r="I1507" s="6" t="inlineStr"/>
      <c r="J1507" s="6" t="inlineStr"/>
      <c r="K1507" s="6" t="inlineStr"/>
      <c r="L1507" s="6" t="inlineStr"/>
      <c r="M1507" s="5" t="inlineStr"/>
      <c r="N1507" s="5" t="inlineStr"/>
      <c r="O1507" s="6" t="inlineStr"/>
      <c r="P1507" s="6" t="inlineStr"/>
      <c r="Q1507" s="5" t="inlineStr"/>
      <c r="R1507" s="5" t="inlineStr"/>
      <c r="S1507" s="5" t="inlineStr"/>
      <c r="T1507" s="5" t="inlineStr"/>
      <c r="U1507" s="5" t="inlineStr"/>
      <c r="V1507" s="5" t="inlineStr"/>
      <c r="W1507" s="5" t="inlineStr"/>
      <c r="X1507" s="5" t="inlineStr"/>
      <c r="Y1507" s="5" t="inlineStr"/>
      <c r="Z1507" s="6" t="inlineStr"/>
      <c r="AA1507" s="5" t="inlineStr"/>
      <c r="AB1507" s="5" t="inlineStr"/>
      <c r="AC1507" s="5" t="inlineStr"/>
      <c r="AD1507" s="5" t="inlineStr"/>
      <c r="AE1507" s="5" t="inlineStr"/>
      <c r="AF1507" s="5" t="inlineStr"/>
      <c r="AG1507" s="5" t="inlineStr"/>
      <c r="AH1507" s="5" t="inlineStr"/>
    </row>
    <row r="1508">
      <c r="A1508" s="5" t="inlineStr">
        <is>
          <t>b9-dolandirici-son-numara</t>
        </is>
      </c>
      <c r="B1508" s="5" t="n">
        <v>2</v>
      </c>
      <c r="C1508" s="6" t="inlineStr">
        <is>
          <t>Emeklilere bu işlerin sonunu anlat</t>
        </is>
      </c>
      <c r="D1508" s="5" t="inlineStr">
        <is>
          <t>Çene</t>
        </is>
      </c>
      <c r="E1508" s="5" t="inlineStr">
        <is>
          <t>Orta</t>
        </is>
      </c>
      <c r="F1508" s="5" t="inlineStr"/>
      <c r="G1508" s="6" t="inlineStr"/>
      <c r="H1508" s="6" t="inlineStr">
        <is>
          <t>Hiçbir numaranın nasıl yapıldığını değil, nasıl bittiğini anlattın. Emekliler krem yerine simit aldı.</t>
        </is>
      </c>
      <c r="I1508" s="6" t="inlineStr">
        <is>
          <t>Her salı parkta “Dikkat Et” sohbeti yapıyorsun. Hayatının ilk seminerinde bilet yok, dinleyici çok.</t>
        </is>
      </c>
      <c r="J1508" s="6" t="inlineStr">
        <is>
          <t>Anlatırken araya kendi başarılarını da kattın. Emekliler kremi aldı; senin tavsiyenle sandılar.</t>
        </is>
      </c>
      <c r="K1508" s="6" t="inlineStr">
        <is>
          <t>Öyle parladın ki biri sana para uzattı: “Hocam, bizi de bir kulübe yaz.” Kulüp yok; bekleyen var.</t>
        </is>
      </c>
      <c r="L1508" s="6" t="inlineStr"/>
      <c r="M1508" s="5" t="inlineStr"/>
      <c r="N1508" s="5" t="inlineStr"/>
      <c r="O1508" s="6" t="inlineStr"/>
      <c r="P1508" s="6" t="inlineStr"/>
      <c r="Q1508" s="5" t="inlineStr"/>
      <c r="R1508" s="5" t="inlineStr"/>
      <c r="S1508" s="5" t="inlineStr"/>
      <c r="T1508" s="5" t="inlineStr"/>
      <c r="U1508" s="5" t="inlineStr"/>
      <c r="V1508" s="5" t="inlineStr"/>
      <c r="W1508" s="5" t="inlineStr"/>
      <c r="X1508" s="5" t="inlineStr"/>
      <c r="Y1508" s="5" t="inlineStr"/>
      <c r="Z1508" s="6" t="inlineStr"/>
      <c r="AA1508" s="5" t="inlineStr"/>
      <c r="AB1508" s="5" t="inlineStr"/>
      <c r="AC1508" s="5" t="inlineStr"/>
      <c r="AD1508" s="5" t="inlineStr"/>
      <c r="AE1508" s="5" t="inlineStr"/>
      <c r="AF1508" s="5" t="inlineStr"/>
      <c r="AG1508" s="5" t="inlineStr"/>
      <c r="AH1508" s="5" t="inlineStr"/>
    </row>
    <row r="1509">
      <c r="A1509" s="5" t="inlineStr">
        <is>
          <t>b9-dolandirici-son-numara</t>
        </is>
      </c>
      <c r="B1509" s="5" t="n">
        <v>3</v>
      </c>
      <c r="C1509" s="6" t="inlineStr">
        <is>
          <t>Kremi satıcıya geri sat</t>
        </is>
      </c>
      <c r="D1509" s="5" t="inlineStr">
        <is>
          <t>Kurnazlık</t>
        </is>
      </c>
      <c r="E1509" s="5" t="inlineStr">
        <is>
          <t>Zor</t>
        </is>
      </c>
      <c r="F1509" s="5" t="inlineStr"/>
      <c r="G1509" s="6" t="inlineStr"/>
      <c r="H1509" s="6" t="inlineStr">
        <is>
          <t>Satıcının kavanozlarını ucuza alıp ona pahalıya geri sattın. Emekliler alkışladı; kavanozlar hiç açılmadı.</t>
        </is>
      </c>
      <c r="I1509" s="6" t="inlineStr">
        <is>
          <t>Satıcı kavanozları geri alırken senden kurs istedi. Kabul etmedin; kariyerindeki ilk ret.</t>
        </is>
      </c>
      <c r="J1509" s="6" t="inlineStr">
        <is>
          <t>Satıcı pazarlığı anladı, kavanozları sana bıraktı. Balkonunda kırk kavanoz krem var.</t>
        </is>
      </c>
      <c r="K1509" s="6" t="inlineStr">
        <is>
          <t>Pazarlıkta bir kavanozu denedin. Yüzün yeşerdi; emekliler bunu gençlik belirtisi sanıp sıraya girdi.</t>
        </is>
      </c>
      <c r="L1509" s="6" t="inlineStr"/>
      <c r="M1509" s="5" t="inlineStr"/>
      <c r="N1509" s="5" t="inlineStr"/>
      <c r="O1509" s="6" t="inlineStr"/>
      <c r="P1509" s="6" t="inlineStr"/>
      <c r="Q1509" s="5" t="inlineStr"/>
      <c r="R1509" s="5" t="inlineStr"/>
      <c r="S1509" s="5" t="inlineStr"/>
      <c r="T1509" s="5" t="inlineStr">
        <is>
          <t>Pazarlık Duayeni</t>
        </is>
      </c>
      <c r="U1509" s="5" t="inlineStr"/>
      <c r="V1509" s="5" t="inlineStr"/>
      <c r="W1509" s="5" t="inlineStr"/>
      <c r="X1509" s="5" t="inlineStr"/>
      <c r="Y1509" s="5" t="inlineStr"/>
      <c r="Z1509" s="6" t="inlineStr"/>
      <c r="AA1509" s="5" t="inlineStr"/>
      <c r="AB1509" s="5" t="inlineStr"/>
      <c r="AC1509" s="5" t="inlineStr"/>
      <c r="AD1509" s="5" t="inlineStr"/>
      <c r="AE1509" s="5" t="inlineStr"/>
      <c r="AF1509" s="5" t="inlineStr"/>
      <c r="AG1509" s="5" t="inlineStr"/>
      <c r="AH1509" s="5" t="inlineStr"/>
    </row>
    <row r="1510">
      <c r="A1510" s="5" t="inlineStr">
        <is>
          <t>k10-cete</t>
        </is>
      </c>
      <c r="B1510" s="5" t="n">
        <v>1</v>
      </c>
      <c r="C1510" s="6" t="inlineStr">
        <is>
          <t>Büyük işi yap</t>
        </is>
      </c>
      <c r="D1510" s="5" t="inlineStr">
        <is>
          <t>Cesaret</t>
        </is>
      </c>
      <c r="E1510" s="5" t="inlineStr">
        <is>
          <t>Zor</t>
        </is>
      </c>
      <c r="F1510" s="5" t="inlineStr"/>
      <c r="G1510" s="6" t="inlineStr"/>
      <c r="H1510" s="6" t="inlineStr">
        <is>
          <t>İş bitti; nasıl bittiğini kimse anlatmıyor, sen de. Ertesi sabah kahvede senin çayın herkesinkinden önce geldi. Mahalle artık senin.</t>
        </is>
      </c>
      <c r="I1510" s="6" t="inlineStr">
        <is>
          <t>İş öyle temiz bitti ki abi bile nasıl olduğunu sordu. Söylemedin. Mahallenin anahtarı sende; abinin yedeği de.</t>
        </is>
      </c>
      <c r="J1510" s="6" t="inlineStr">
        <is>
          <t>Kapıda bir ekip bekliyordu; haritayı ters tuttuğunu görünce güldüler. Gülüşleri de tutanağa girdi.</t>
        </is>
      </c>
      <c r="K1510" s="6" t="inlineStr">
        <is>
          <t>Baskın sabah altıda geldi. Kapıyı elinde köpük hortumuyla açtın. Tutanakta: “Direnme yok, köpük var.”</t>
        </is>
      </c>
      <c r="L1510" s="6" t="inlineStr"/>
      <c r="M1510" s="5" t="inlineStr"/>
      <c r="N1510" s="5" t="inlineStr"/>
      <c r="O1510" s="6" t="inlineStr"/>
      <c r="P1510" s="6" t="inlineStr"/>
      <c r="Q1510" s="5" t="inlineStr"/>
      <c r="R1510" s="5" t="inlineStr"/>
      <c r="S1510" s="5" t="inlineStr"/>
      <c r="T1510" s="5" t="inlineStr"/>
      <c r="U1510" s="5" t="inlineStr"/>
      <c r="V1510" s="5" t="inlineStr">
        <is>
          <t>mahalle-babasi</t>
        </is>
      </c>
      <c r="W1510" s="5" t="inlineStr">
        <is>
          <t>hapis</t>
        </is>
      </c>
      <c r="X1510" s="5" t="inlineStr"/>
      <c r="Y1510" s="5" t="inlineStr"/>
      <c r="Z1510" s="6" t="inlineStr"/>
      <c r="AA1510" s="5" t="inlineStr"/>
      <c r="AB1510" s="5" t="inlineStr">
        <is>
          <t>hapis</t>
        </is>
      </c>
      <c r="AC1510" s="5" t="inlineStr"/>
      <c r="AD1510" s="5" t="inlineStr">
        <is>
          <t>Varlıklı</t>
        </is>
      </c>
      <c r="AE1510" s="5" t="inlineStr"/>
      <c r="AF1510" s="5" t="inlineStr"/>
      <c r="AG1510" s="5" t="inlineStr"/>
      <c r="AH1510" s="5" t="inlineStr"/>
    </row>
    <row r="1511">
      <c r="A1511" s="5" t="inlineStr">
        <is>
          <t>k10-cete</t>
        </is>
      </c>
      <c r="B1511" s="5" t="n">
        <v>2</v>
      </c>
      <c r="C1511" s="6" t="inlineStr">
        <is>
          <t>Sessizce çekil, dükkânı gerçekten işlet</t>
        </is>
      </c>
      <c r="D1511" s="5" t="inlineStr"/>
      <c r="E1511" s="5" t="inlineStr"/>
      <c r="F1511" s="5" t="inlineStr">
        <is>
          <t>İtibar +1, Dayanıklılık +1</t>
        </is>
      </c>
      <c r="G1511" s="6" t="inlineStr">
        <is>
          <t>Anahtarı masaya bıraktın, tespihi aldın. Ertesi gün yıkamaya gerçek fiyat listesi astın. Abi bir hafta küstü, sonra arabasını yıkatmaya geldi; parasını ödedi.</t>
        </is>
      </c>
      <c r="H1511" s="6" t="inlineStr"/>
      <c r="I1511" s="6" t="inlineStr"/>
      <c r="J1511" s="6" t="inlineStr"/>
      <c r="K1511" s="6" t="inlineStr"/>
      <c r="L1511" s="6" t="inlineStr"/>
      <c r="M1511" s="5" t="inlineStr"/>
      <c r="N1511" s="5" t="inlineStr"/>
      <c r="O1511" s="6" t="inlineStr"/>
      <c r="P1511" s="6" t="inlineStr"/>
      <c r="Q1511" s="5" t="inlineStr"/>
      <c r="R1511" s="5" t="inlineStr"/>
      <c r="S1511" s="5" t="inlineStr"/>
      <c r="T1511" s="5" t="inlineStr"/>
      <c r="U1511" s="5" t="inlineStr">
        <is>
          <t>-hat-cete, -hat-dolandirici, -hat-girisimci, -hat-goc, -hat-hekim, -hat-koy, -hat-polis, -hat-politika, -hat-sohret, -hat-usta, -hat-yargi, -meslek-beyazyaka, -meslek-memur, -meslek-serbest, meslek-esnaf</t>
        </is>
      </c>
      <c r="V1511" s="5" t="inlineStr"/>
      <c r="W1511" s="5" t="inlineStr"/>
      <c r="X1511" s="5" t="inlineStr"/>
      <c r="Y1511" s="5" t="inlineStr"/>
      <c r="Z1511" s="6" t="inlineStr"/>
      <c r="AA1511" s="5" t="inlineStr">
        <is>
          <t>hepsi +1</t>
        </is>
      </c>
      <c r="AB1511" s="5" t="inlineStr"/>
      <c r="AC1511" s="5" t="inlineStr"/>
      <c r="AD1511" s="5" t="inlineStr"/>
      <c r="AE1511" s="5" t="inlineStr"/>
      <c r="AF1511" s="5" t="inlineStr"/>
      <c r="AG1511" s="5" t="inlineStr"/>
      <c r="AH1511" s="5" t="inlineStr"/>
    </row>
    <row r="1512">
      <c r="A1512" s="5" t="inlineStr">
        <is>
          <t>k10-cete</t>
        </is>
      </c>
      <c r="B1512" s="5" t="n">
        <v>3</v>
      </c>
      <c r="C1512" s="6" t="inlineStr">
        <is>
          <t>Muhbir ol</t>
        </is>
      </c>
      <c r="D1512" s="5" t="inlineStr">
        <is>
          <t>Sosyal Radar</t>
        </is>
      </c>
      <c r="E1512" s="5" t="inlineStr">
        <is>
          <t>Çok Zor</t>
        </is>
      </c>
      <c r="F1512" s="5" t="inlineStr"/>
      <c r="G1512" s="6" t="inlineStr"/>
      <c r="H1512" s="6" t="inlineStr">
        <is>
          <t>Komisere her şeyi anlattın. İki ay sonra Öte Diyar'da, yeni bir adla, bir oto yıkamada çalışıyorsun. Köpük aynı köpük.</t>
        </is>
      </c>
      <c r="I1512" s="6" t="inlineStr">
        <is>
          <t>Yeni adın, yeni pasaportun, Öte Diyar'da bir dairen var. Komşular sana “Sessiz Bey” diyor; hiç bu kadar isabetli bir lakabın olmamıştı.</t>
        </is>
      </c>
      <c r="J1512" s="6" t="inlineStr">
        <is>
          <t>Komisere anlattın ama anlattıklarında en çok senin adın geçiyordu. Anlaşma olmadı; dosya oldu.</t>
        </is>
      </c>
      <c r="K1512" s="6" t="inlineStr">
        <is>
          <t>Görüşmeyi kahvenin arka odasından telefonla yaptın; abi yan masadaydı. Önce abi küstü, sonra devlet seni misafir etti.</t>
        </is>
      </c>
      <c r="L1512" s="6" t="inlineStr"/>
      <c r="M1512" s="5" t="inlineStr"/>
      <c r="N1512" s="5" t="inlineStr"/>
      <c r="O1512" s="6" t="inlineStr"/>
      <c r="P1512" s="6" t="inlineStr"/>
      <c r="Q1512" s="5" t="inlineStr"/>
      <c r="R1512" s="5" t="inlineStr"/>
      <c r="S1512" s="5" t="inlineStr"/>
      <c r="T1512" s="5" t="inlineStr"/>
      <c r="U1512" s="5" t="inlineStr"/>
      <c r="V1512" s="5" t="inlineStr">
        <is>
          <t>-hat-cete, -hat-dolandirici, -hat-girisimci, -hat-hekim, -hat-koy, -hat-polis, -hat-politika, -hat-sohret, -hat-usta, -hat-yargi, -meslek-esnaf, -meslek-memur, -meslek-serbest, hat-goc, meslek-beyazyaka</t>
        </is>
      </c>
      <c r="W1512" s="5" t="inlineStr">
        <is>
          <t>hapis</t>
        </is>
      </c>
      <c r="X1512" s="5" t="inlineStr"/>
      <c r="Y1512" s="5" t="inlineStr"/>
      <c r="Z1512" s="6" t="inlineStr"/>
      <c r="AA1512" s="5" t="inlineStr"/>
      <c r="AB1512" s="5" t="inlineStr">
        <is>
          <t>hapis</t>
        </is>
      </c>
      <c r="AC1512" s="5" t="inlineStr"/>
      <c r="AD1512" s="5" t="inlineStr"/>
      <c r="AE1512" s="5" t="inlineStr"/>
      <c r="AF1512" s="5" t="inlineStr"/>
      <c r="AG1512" s="5" t="inlineStr"/>
      <c r="AH1512" s="5" t="inlineStr"/>
    </row>
    <row r="1513">
      <c r="A1513" s="5" t="inlineStr">
        <is>
          <t>k10-dolandirici</t>
        </is>
      </c>
      <c r="B1513" s="5" t="n">
        <v>1</v>
      </c>
      <c r="C1513" s="6" t="inlineStr">
        <is>
          <t>Vurgunu yap, Öte Diyar'a kaç</t>
        </is>
      </c>
      <c r="D1513" s="5" t="inlineStr">
        <is>
          <t>Kurnazlık</t>
        </is>
      </c>
      <c r="E1513" s="5" t="inlineStr">
        <is>
          <t>Zor</t>
        </is>
      </c>
      <c r="F1513" s="5" t="inlineStr"/>
      <c r="G1513" s="6" t="inlineStr"/>
      <c r="H1513" s="6" t="inlineStr">
        <is>
          <t>Havalimanında kimse bir şey sormadı. Öte Diyar'da denize bakan küçük bir dairen var. Deniz bu sefer gerçekten deniz.</t>
        </is>
      </c>
      <c r="I1513" s="6" t="inlineStr">
        <is>
          <t>Öte Diyar'da yeni bir isim, yeni bir dil. Komşular seni emekli bir öğretmen sanıyor; düzeltmiyorsun.</t>
        </is>
      </c>
      <c r="J1513" s="6" t="inlineStr">
        <is>
          <t>Bavulun tartıya sığmadı. Fazla bagaj ücretini kulübün kartıyla ödemeye kalkınca kasadan açıklama istediler.</t>
        </is>
      </c>
      <c r="K1513" s="6" t="inlineStr">
        <is>
          <t>Uçağa bindin, kemerini taktın; uçak kalkmadı. Kapıda iki memur bekliyordu; biri kulübün üyesiymiş.</t>
        </is>
      </c>
      <c r="L1513" s="6" t="inlineStr"/>
      <c r="M1513" s="5" t="inlineStr"/>
      <c r="N1513" s="5" t="inlineStr"/>
      <c r="O1513" s="6" t="inlineStr"/>
      <c r="P1513" s="6" t="inlineStr"/>
      <c r="Q1513" s="5" t="inlineStr"/>
      <c r="R1513" s="5" t="inlineStr"/>
      <c r="S1513" s="5" t="inlineStr"/>
      <c r="T1513" s="5" t="inlineStr"/>
      <c r="U1513" s="5" t="inlineStr"/>
      <c r="V1513" s="5" t="inlineStr">
        <is>
          <t>-hat-cete, -hat-dolandirici, -hat-girisimci, -hat-hekim, -hat-koy, -hat-polis, -hat-politika, -hat-sohret, -hat-usta, -hat-yargi, -meslek-esnaf, -meslek-memur, -meslek-serbest, hat-goc, meslek-beyazyaka</t>
        </is>
      </c>
      <c r="W1513" s="5" t="inlineStr">
        <is>
          <t>hapis</t>
        </is>
      </c>
      <c r="X1513" s="5" t="inlineStr"/>
      <c r="Y1513" s="5" t="inlineStr"/>
      <c r="Z1513" s="6" t="inlineStr"/>
      <c r="AA1513" s="5" t="inlineStr"/>
      <c r="AB1513" s="5" t="inlineStr">
        <is>
          <t>hapis</t>
        </is>
      </c>
      <c r="AC1513" s="5" t="inlineStr"/>
      <c r="AD1513" s="5" t="inlineStr">
        <is>
          <t>Rahat</t>
        </is>
      </c>
      <c r="AE1513" s="5" t="inlineStr"/>
      <c r="AF1513" s="5" t="inlineStr"/>
      <c r="AG1513" s="5" t="inlineStr"/>
      <c r="AH1513" s="5" t="inlineStr"/>
    </row>
    <row r="1514">
      <c r="A1514" s="5" t="inlineStr">
        <is>
          <t>k10-dolandirici</t>
        </is>
      </c>
      <c r="B1514" s="5" t="n">
        <v>2</v>
      </c>
      <c r="C1514" s="6" t="inlineStr">
        <is>
          <t>Siyasete sız</t>
        </is>
      </c>
      <c r="D1514" s="5" t="inlineStr">
        <is>
          <t>Pişkinlik</t>
        </is>
      </c>
      <c r="E1514" s="5" t="inlineStr">
        <is>
          <t>Çok Zor</t>
        </is>
      </c>
      <c r="F1514" s="5" t="inlineStr"/>
      <c r="G1514" s="6" t="inlineStr"/>
      <c r="H1514" s="6" t="inlineStr">
        <is>
          <t>Açılış yemeğinde öyle bir konuşma yaptın ki sabah seni ilçe başkan yardımcısı yaptılar. Kulüp üyeleri artık seçmenin.</t>
        </is>
      </c>
      <c r="I1514" s="6" t="inlineStr">
        <is>
          <t>Parti seni aday listesine, üst sıralara yazdı. Afişte gülüyorsun; kulüp üyeleri önünden geçerken durup düşünüyor.</t>
        </is>
      </c>
      <c r="J1514" s="6" t="inlineStr">
        <is>
          <t>Yemekte konuştun ama tatlı servisi başlamıştı; kimse dinlemedi. Kulübe döndün; kasa orada, üyeler de.</t>
        </is>
      </c>
      <c r="K1514" s="6" t="inlineStr">
        <is>
          <t>Konuşmanın ortasında bir kulüp üyesi kalkıp kâr payını sordu. Salon alkışladı, sen masana döndün. Siyaset olmadı, soru kaldı.</t>
        </is>
      </c>
      <c r="L1514" s="6" t="inlineStr"/>
      <c r="M1514" s="5" t="inlineStr"/>
      <c r="N1514" s="5" t="inlineStr"/>
      <c r="O1514" s="6" t="inlineStr"/>
      <c r="P1514" s="6" t="inlineStr"/>
      <c r="Q1514" s="5" t="inlineStr"/>
      <c r="R1514" s="5" t="inlineStr"/>
      <c r="S1514" s="5" t="inlineStr"/>
      <c r="T1514" s="5" t="inlineStr">
        <is>
          <t>Plaza Diplomatı</t>
        </is>
      </c>
      <c r="U1514" s="5" t="inlineStr"/>
      <c r="V1514" s="5" t="inlineStr">
        <is>
          <t>-hat-cete, -hat-dolandirici, -hat-girisimci, -hat-goc, -hat-hekim, -hat-koy, -hat-polis, -hat-sohret, -hat-usta, -hat-yargi, -meslek-beyazyaka, -meslek-esnaf, -meslek-memur, -meslek-serbest, hat-politika</t>
        </is>
      </c>
      <c r="W1514" s="5" t="inlineStr"/>
      <c r="X1514" s="5" t="inlineStr"/>
      <c r="Y1514" s="5" t="inlineStr"/>
      <c r="Z1514" s="6" t="inlineStr"/>
      <c r="AA1514" s="5" t="inlineStr"/>
      <c r="AB1514" s="5" t="inlineStr"/>
      <c r="AC1514" s="5" t="inlineStr"/>
      <c r="AD1514" s="5" t="inlineStr"/>
      <c r="AE1514" s="5" t="inlineStr"/>
      <c r="AF1514" s="5" t="inlineStr"/>
      <c r="AG1514" s="5" t="inlineStr"/>
      <c r="AH1514" s="5" t="inlineStr"/>
    </row>
    <row r="1515">
      <c r="A1515" s="5" t="inlineStr">
        <is>
          <t>k10-dolandirici</t>
        </is>
      </c>
      <c r="B1515" s="5" t="n">
        <v>3</v>
      </c>
      <c r="C1515" s="6" t="inlineStr">
        <is>
          <t>Bırak, dürüst iş bul</t>
        </is>
      </c>
      <c r="D1515" s="5" t="inlineStr"/>
      <c r="E1515" s="5" t="inlineStr"/>
      <c r="F1515" s="5" t="inlineStr">
        <is>
          <t>İtibar +2</t>
        </is>
      </c>
      <c r="G1515" s="6" t="inlineStr">
        <is>
          <t>Kasayı üyelere paylaştırıp telefonu açtın. Annen “Sesin iyi geliyor” dedi. Ertesi hafta bir kargo deposunda sabah vardiyasına başladın; paketlerin hepsi gerçek.</t>
        </is>
      </c>
      <c r="H1515" s="6" t="inlineStr"/>
      <c r="I1515" s="6" t="inlineStr"/>
      <c r="J1515" s="6" t="inlineStr"/>
      <c r="K1515" s="6" t="inlineStr"/>
      <c r="L1515" s="6" t="inlineStr"/>
      <c r="M1515" s="5" t="inlineStr"/>
      <c r="N1515" s="5" t="inlineStr"/>
      <c r="O1515" s="6" t="inlineStr"/>
      <c r="P1515" s="6" t="inlineStr"/>
      <c r="Q1515" s="5" t="inlineStr"/>
      <c r="R1515" s="5" t="inlineStr"/>
      <c r="S1515" s="5" t="inlineStr"/>
      <c r="T1515" s="5" t="inlineStr"/>
      <c r="U1515" s="5" t="inlineStr">
        <is>
          <t>-hat-cete, -hat-dolandirici, -hat-girisimci, -hat-goc, -hat-hekim, -hat-koy, -hat-polis, -hat-politika, -hat-sohret, -hat-usta, -hat-yargi, -meslek-beyazyaka, -meslek-esnaf, -meslek-memur, meslek-serbest</t>
        </is>
      </c>
      <c r="V1515" s="5" t="inlineStr"/>
      <c r="W1515" s="5" t="inlineStr"/>
      <c r="X1515" s="5" t="inlineStr"/>
      <c r="Y1515" s="5" t="inlineStr"/>
      <c r="Z1515" s="6" t="inlineStr"/>
      <c r="AA1515" s="5" t="inlineStr">
        <is>
          <t>hepsi +1</t>
        </is>
      </c>
      <c r="AB1515" s="5" t="inlineStr"/>
      <c r="AC1515" s="5" t="inlineStr"/>
      <c r="AD1515" s="5" t="inlineStr"/>
      <c r="AE1515" s="5" t="inlineStr"/>
      <c r="AF1515" s="5" t="inlineStr"/>
      <c r="AG1515" s="5" t="inlineStr"/>
      <c r="AH1515" s="5" t="inlineStr"/>
    </row>
    <row r="1516">
      <c r="A1516" s="5" t="inlineStr">
        <is>
          <t>k10-esnaf</t>
        </is>
      </c>
      <c r="B1516" s="5" t="n">
        <v>1</v>
      </c>
      <c r="C1516" s="6" t="inlineStr">
        <is>
          <t>Markete diren</t>
        </is>
      </c>
      <c r="D1516" s="5" t="inlineStr">
        <is>
          <t>Çene</t>
        </is>
      </c>
      <c r="E1516" s="5" t="inlineStr">
        <is>
          <t>Orta</t>
        </is>
      </c>
      <c r="F1516" s="5" t="inlineStr"/>
      <c r="G1516" s="6" t="inlineStr"/>
      <c r="H1516" s="6" t="inlineStr">
        <is>
          <t>Veresiye defterini açtın, müşterilerin adlarını tek tek andın. Mahalle geri döndü; markette ekmek var, sende hatır.</t>
        </is>
      </c>
      <c r="I1516" s="6" t="inlineStr">
        <is>
          <t>Mahalleli senin için bir “Esnafa Sahip Çık” günü düzenledi. Kuyruk marketin kapısına dayandı; müdür de sıraya girdi.</t>
        </is>
      </c>
      <c r="J1516" s="6" t="inlineStr">
        <is>
          <t>Dükkân açık ama müşteri yarıya indi. Akşamları karşının ışıklarına bakıyorsun; seninki daha sıcak.</t>
        </is>
      </c>
      <c r="K1516" s="6" t="inlineStr">
        <is>
          <t>Fiyat indirdin, market de indirdi; seninki onlarınkinden sonra geldi. Müşteri ilk indirimi hatırlıyor.</t>
        </is>
      </c>
      <c r="L1516" s="6" t="inlineStr"/>
      <c r="M1516" s="5" t="inlineStr"/>
      <c r="N1516" s="5" t="inlineStr"/>
      <c r="O1516" s="6" t="inlineStr"/>
      <c r="P1516" s="6" t="inlineStr"/>
      <c r="Q1516" s="5" t="inlineStr"/>
      <c r="R1516" s="5" t="inlineStr"/>
      <c r="S1516" s="5" t="inlineStr"/>
      <c r="T1516" s="5" t="inlineStr"/>
      <c r="U1516" s="5" t="inlineStr"/>
      <c r="V1516" s="5" t="inlineStr">
        <is>
          <t>esnaf-direndi</t>
        </is>
      </c>
      <c r="W1516" s="5" t="inlineStr"/>
      <c r="X1516" s="5" t="inlineStr"/>
      <c r="Y1516" s="5" t="inlineStr"/>
      <c r="Z1516" s="6" t="inlineStr"/>
      <c r="AA1516" s="5" t="inlineStr"/>
      <c r="AB1516" s="5" t="inlineStr"/>
      <c r="AC1516" s="5" t="inlineStr"/>
      <c r="AD1516" s="5" t="inlineStr"/>
      <c r="AE1516" s="5" t="inlineStr"/>
      <c r="AF1516" s="5" t="inlineStr"/>
      <c r="AG1516" s="5" t="inlineStr"/>
      <c r="AH1516" s="5" t="inlineStr"/>
    </row>
    <row r="1517">
      <c r="A1517" s="5" t="inlineStr">
        <is>
          <t>k10-esnaf</t>
        </is>
      </c>
      <c r="B1517" s="5" t="n">
        <v>2</v>
      </c>
      <c r="C1517" s="6" t="inlineStr">
        <is>
          <t>Dükkânı sat, markette reyon şefi ol</t>
        </is>
      </c>
      <c r="D1517" s="5" t="inlineStr">
        <is>
          <t>Çene</t>
        </is>
      </c>
      <c r="E1517" s="5" t="inlineStr">
        <is>
          <t>Orta</t>
        </is>
      </c>
      <c r="F1517" s="5" t="inlineStr"/>
      <c r="G1517" s="6" t="inlineStr"/>
      <c r="H1517" s="6" t="inlineStr">
        <is>
          <t>Kepengi son kez indirip karşıya geçtin. Reyon şefi yeleğin yeşil; eski müşterilerin sana hâlâ “Usta” diyor, müdür bundan hoşlanmıyor.</t>
        </is>
      </c>
      <c r="I1517" s="6" t="inlineStr">
        <is>
          <t>Market seni reyon şefi olarak aldı ve eski müşterilerin seni takip etti. Artık zincirin en çok satan reyonu senin; veresiye hariç.</t>
        </is>
      </c>
      <c r="J1517" s="6" t="inlineStr">
        <is>
          <t>Dükkânı satmak istedin; alıcılar karşıdaki markete bakıp fiyat kırdı. Satmadın, dükkânında kaldın. Kepenk yerinde; sen de.</t>
        </is>
      </c>
      <c r="K1517" s="6" t="inlineStr">
        <is>
          <t>Market mülakatında eski müşterilerine veresiye verdiğini anlattın. Müdür bunu bir risk olarak not etti. Dükkânına döndün; defter seni bekliyordu.</t>
        </is>
      </c>
      <c r="L1517" s="6" t="inlineStr"/>
      <c r="M1517" s="5" t="inlineStr"/>
      <c r="N1517" s="5" t="inlineStr"/>
      <c r="O1517" s="6" t="inlineStr"/>
      <c r="P1517" s="6" t="inlineStr"/>
      <c r="Q1517" s="5" t="inlineStr"/>
      <c r="R1517" s="5" t="inlineStr"/>
      <c r="S1517" s="5" t="inlineStr"/>
      <c r="T1517" s="5" t="inlineStr"/>
      <c r="U1517" s="5" t="inlineStr"/>
      <c r="V1517" s="5" t="inlineStr">
        <is>
          <t>-hat-cete, -hat-dolandirici, -hat-girisimci, -hat-goc, -hat-hekim, -hat-koy, -hat-polis, -hat-politika, -hat-sohret, -hat-usta, -hat-yargi, -meslek-esnaf, -meslek-memur, -meslek-serbest, meslek-beyazyaka</t>
        </is>
      </c>
      <c r="W1517" s="5" t="inlineStr"/>
      <c r="X1517" s="5" t="inlineStr"/>
      <c r="Y1517" s="5" t="inlineStr"/>
      <c r="Z1517" s="6" t="inlineStr"/>
      <c r="AA1517" s="5" t="inlineStr"/>
      <c r="AB1517" s="5" t="inlineStr"/>
      <c r="AC1517" s="5" t="inlineStr"/>
      <c r="AD1517" s="5" t="inlineStr"/>
      <c r="AE1517" s="5" t="inlineStr"/>
      <c r="AF1517" s="5" t="inlineStr"/>
      <c r="AG1517" s="5" t="inlineStr"/>
      <c r="AH1517" s="5" t="inlineStr"/>
    </row>
    <row r="1518">
      <c r="A1518" s="5" t="inlineStr">
        <is>
          <t>k10-esnaf</t>
        </is>
      </c>
      <c r="B1518" s="5" t="n">
        <v>3</v>
      </c>
      <c r="C1518" s="6" t="inlineStr">
        <is>
          <t>Markete “koruma” ortaklığı sat</t>
        </is>
      </c>
      <c r="D1518" s="5" t="inlineStr">
        <is>
          <t>Kurnazlık</t>
        </is>
      </c>
      <c r="E1518" s="5" t="inlineStr">
        <is>
          <t>Zor</t>
        </is>
      </c>
      <c r="F1518" s="5" t="inlineStr"/>
      <c r="G1518" s="6" t="inlineStr"/>
      <c r="H1518" s="6" t="inlineStr">
        <is>
          <t>Müdüre “Bu mahallenin dengeleri var” dedin; dengeleri kimse görmedi ama müdür ikna oldu. Her ay bir zarf; ailen bundan hoşlanmadı.</t>
        </is>
      </c>
      <c r="I1518" s="6" t="inlineStr">
        <is>
          <t>Müdür öyle ciddiye aldı ki öbür şubeler de aradı. Artık bir dükkânın değil, bir “danışmanlık” masan var; ailen sofraya çağırmıyor.</t>
        </is>
      </c>
      <c r="J1518" s="6" t="inlineStr">
        <is>
          <t>Müdür seni dinledi, sonra güvenliğe “Beyefendiye kapıyı gösterin” dedi. Dükkânına döndün; tezgâh hâlâ senin.</t>
        </is>
      </c>
      <c r="K1518" s="6" t="inlineStr">
        <is>
          <t>Konuşmanı mağazanın kamerası sesiyle kaydetti. Görüntü mahalle grubunda; dükkânına müşteri değil, meraklı geliyor.</t>
        </is>
      </c>
      <c r="L1518" s="6" t="inlineStr"/>
      <c r="M1518" s="5" t="inlineStr"/>
      <c r="N1518" s="5" t="inlineStr"/>
      <c r="O1518" s="6" t="inlineStr"/>
      <c r="P1518" s="6" t="inlineStr"/>
      <c r="Q1518" s="5" t="inlineStr"/>
      <c r="R1518" s="5" t="inlineStr"/>
      <c r="S1518" s="5" t="inlineStr"/>
      <c r="T1518" s="5" t="inlineStr"/>
      <c r="U1518" s="5" t="inlineStr"/>
      <c r="V1518" s="5" t="inlineStr">
        <is>
          <t>-hat-dolandirici, -hat-girisimci, -hat-goc, -hat-hekim, -hat-koy, -hat-polis, -hat-politika, -hat-sohret, -hat-usta, -hat-yargi, -meslek-beyazyaka, -meslek-memur, -meslek-serbest, hat-cete, meslek-esnaf</t>
        </is>
      </c>
      <c r="W1518" s="5" t="inlineStr"/>
      <c r="X1518" s="5" t="inlineStr"/>
      <c r="Y1518" s="5" t="inlineStr"/>
      <c r="Z1518" s="6" t="inlineStr"/>
      <c r="AA1518" s="5" t="inlineStr">
        <is>
          <t>hepsi -1</t>
        </is>
      </c>
      <c r="AB1518" s="5" t="inlineStr"/>
      <c r="AC1518" s="5" t="inlineStr"/>
      <c r="AD1518" s="5" t="inlineStr">
        <is>
          <t>Rahat</t>
        </is>
      </c>
      <c r="AE1518" s="5" t="inlineStr"/>
      <c r="AF1518" s="5" t="inlineStr"/>
      <c r="AG1518" s="5" t="inlineStr"/>
      <c r="AH1518" s="5" t="inlineStr"/>
    </row>
    <row r="1519">
      <c r="A1519" s="5" t="inlineStr">
        <is>
          <t>k10-serbest</t>
        </is>
      </c>
      <c r="B1519" s="5" t="n">
        <v>1</v>
      </c>
      <c r="C1519" s="6" t="inlineStr">
        <is>
          <t>Kameraya geç</t>
        </is>
      </c>
      <c r="D1519" s="5" t="inlineStr">
        <is>
          <t>Pişkinlik</t>
        </is>
      </c>
      <c r="E1519" s="5" t="inlineStr">
        <is>
          <t>Zor</t>
        </is>
      </c>
      <c r="F1519" s="5" t="inlineStr"/>
      <c r="G1519" s="6" t="inlineStr"/>
      <c r="H1519" s="6" t="inlineStr">
        <is>
          <t>Cümleyi her gün başka bir tonla söyledin. Bir ay sonra bir televizyon programı aradı; artık bir “yüz”sün.</t>
        </is>
      </c>
      <c r="I1519" s="6" t="inlineStr">
        <is>
          <t>Cümle bir reklam şarkısı oldu, sen de reklamın yüzü. Sokakta çocuklar cümleyi bağırıyor; sen her seferinde tamamlıyorsun.</t>
        </is>
      </c>
      <c r="J1519" s="6" t="inlineStr">
        <is>
          <t>İkinci video tutmadı, üçüncüsünü kimse izlemedi. İşine döndün; komşunun oğlu artık başkasını çekiyor.</t>
        </is>
      </c>
      <c r="K1519" s="6" t="inlineStr">
        <is>
          <t>Videoda cümleyi yanlış söyledin. Yanlışı viral oldu; doğrusunu artık kimse hatırlamıyor, sen de. İşine döndün.</t>
        </is>
      </c>
      <c r="L1519" s="6" t="inlineStr"/>
      <c r="M1519" s="5" t="inlineStr"/>
      <c r="N1519" s="5" t="inlineStr"/>
      <c r="O1519" s="6" t="inlineStr"/>
      <c r="P1519" s="6" t="inlineStr"/>
      <c r="Q1519" s="5" t="inlineStr"/>
      <c r="R1519" s="5" t="inlineStr"/>
      <c r="S1519" s="5" t="inlineStr"/>
      <c r="T1519" s="5" t="inlineStr"/>
      <c r="U1519" s="5" t="inlineStr"/>
      <c r="V1519" s="5" t="inlineStr">
        <is>
          <t>-hat-cete, -hat-dolandirici, -hat-girisimci, -hat-goc, -hat-hekim, -hat-koy, -hat-polis, -hat-politika, -hat-usta, -hat-yargi, -meslek-beyazyaka, -meslek-esnaf, -meslek-memur, hat-sohret, meslek-serbest</t>
        </is>
      </c>
      <c r="W1519" s="5" t="inlineStr"/>
      <c r="X1519" s="5" t="inlineStr"/>
      <c r="Y1519" s="5" t="inlineStr"/>
      <c r="Z1519" s="6" t="inlineStr"/>
      <c r="AA1519" s="5" t="inlineStr"/>
      <c r="AB1519" s="5" t="inlineStr"/>
      <c r="AC1519" s="5" t="inlineStr"/>
      <c r="AD1519" s="5" t="inlineStr"/>
      <c r="AE1519" s="5" t="inlineStr"/>
      <c r="AF1519" s="5" t="inlineStr"/>
      <c r="AG1519" s="5" t="inlineStr"/>
      <c r="AH1519" s="5" t="inlineStr"/>
    </row>
    <row r="1520">
      <c r="A1520" s="5" t="inlineStr">
        <is>
          <t>k10-serbest</t>
        </is>
      </c>
      <c r="B1520" s="5" t="n">
        <v>2</v>
      </c>
      <c r="C1520" s="6" t="inlineStr">
        <is>
          <t>Viral işinden ajans kur</t>
        </is>
      </c>
      <c r="D1520" s="5" t="inlineStr">
        <is>
          <t>Akıl</t>
        </is>
      </c>
      <c r="E1520" s="5" t="inlineStr">
        <is>
          <t>Orta</t>
        </is>
      </c>
      <c r="F1520" s="5" t="inlineStr"/>
      <c r="G1520" s="6" t="inlineStr"/>
      <c r="H1520" s="6" t="inlineStr">
        <is>
          <t>Viral olmayı bilmiyordun ama bilmeyenlere anlatmayı bildin. Ajansının ilk üç müşterisi var; biri komşunun oğlu.</t>
        </is>
      </c>
      <c r="I1520" s="6" t="inlineStr">
        <is>
          <t>İlk yılda on iki kişiyi viral yaptın. Kendi cümlen hâlâ en büyüğü; ofisin duvarına yazdırdın.</t>
        </is>
      </c>
      <c r="J1520" s="6" t="inlineStr">
        <is>
          <t>Logoyu tasarlarken dalga geçti. Logo güzel oldu, müşteri yok. Eski işine döndün.</t>
        </is>
      </c>
      <c r="K1520" s="6" t="inlineStr">
        <is>
          <t>İlk müşterin ödemeden kayboldu. Viral olan cümlen “Ben kimseye güvenmem” olsaydı keşke. Eski işine döndün.</t>
        </is>
      </c>
      <c r="L1520" s="6" t="inlineStr"/>
      <c r="M1520" s="5" t="inlineStr"/>
      <c r="N1520" s="5" t="inlineStr"/>
      <c r="O1520" s="6" t="inlineStr"/>
      <c r="P1520" s="6" t="inlineStr"/>
      <c r="Q1520" s="5" t="inlineStr"/>
      <c r="R1520" s="5" t="inlineStr"/>
      <c r="S1520" s="5" t="inlineStr"/>
      <c r="T1520" s="5" t="inlineStr"/>
      <c r="U1520" s="5" t="inlineStr"/>
      <c r="V1520" s="5" t="inlineStr">
        <is>
          <t>-hat-cete, -hat-dolandirici, -hat-goc, -hat-hekim, -hat-koy, -hat-polis, -hat-politika, -hat-sohret, -hat-usta, -hat-yargi, -meslek-beyazyaka, -meslek-esnaf, -meslek-memur, hat-girisimci, meslek-serbest</t>
        </is>
      </c>
      <c r="W1520" s="5" t="inlineStr"/>
      <c r="X1520" s="5" t="inlineStr"/>
      <c r="Y1520" s="5" t="inlineStr"/>
      <c r="Z1520" s="6" t="inlineStr"/>
      <c r="AA1520" s="5" t="inlineStr"/>
      <c r="AB1520" s="5" t="inlineStr"/>
      <c r="AC1520" s="5" t="inlineStr"/>
      <c r="AD1520" s="5" t="inlineStr"/>
      <c r="AE1520" s="5" t="inlineStr"/>
      <c r="AF1520" s="5" t="inlineStr"/>
      <c r="AG1520" s="5" t="inlineStr"/>
      <c r="AH1520" s="5" t="inlineStr"/>
    </row>
    <row r="1521">
      <c r="A1521" s="5" t="inlineStr">
        <is>
          <t>k10-serbest</t>
        </is>
      </c>
      <c r="B1521" s="5" t="n">
        <v>3</v>
      </c>
      <c r="C1521" s="6" t="inlineStr">
        <is>
          <t>Viral geçsin, işine dön</t>
        </is>
      </c>
      <c r="D1521" s="5" t="inlineStr"/>
      <c r="E1521" s="5" t="inlineStr"/>
      <c r="F1521" s="5" t="inlineStr">
        <is>
          <t>Dayanıklılık +1, İtibar +1</t>
        </is>
      </c>
      <c r="G1521" s="6" t="inlineStr">
        <is>
          <t>Telefonu sessize alıp işine döndün. İki hafta sonra kimse cümleyi hatırlamıyordu; bir tek annen, her telefonda onu söylüyor.</t>
        </is>
      </c>
      <c r="H1521" s="6" t="inlineStr"/>
      <c r="I1521" s="6" t="inlineStr"/>
      <c r="J1521" s="6" t="inlineStr"/>
      <c r="K1521" s="6" t="inlineStr"/>
      <c r="L1521" s="6" t="inlineStr"/>
      <c r="M1521" s="5" t="inlineStr"/>
      <c r="N1521" s="5" t="inlineStr"/>
      <c r="O1521" s="6" t="inlineStr"/>
      <c r="P1521" s="6" t="inlineStr"/>
      <c r="Q1521" s="5" t="inlineStr"/>
      <c r="R1521" s="5" t="inlineStr"/>
      <c r="S1521" s="5" t="inlineStr"/>
      <c r="T1521" s="5" t="inlineStr"/>
      <c r="U1521" s="5" t="inlineStr"/>
      <c r="V1521" s="5" t="inlineStr"/>
      <c r="W1521" s="5" t="inlineStr"/>
      <c r="X1521" s="5" t="inlineStr"/>
      <c r="Y1521" s="5" t="inlineStr"/>
      <c r="Z1521" s="6" t="inlineStr"/>
      <c r="AA1521" s="5" t="inlineStr"/>
      <c r="AB1521" s="5" t="inlineStr"/>
      <c r="AC1521" s="5" t="inlineStr"/>
      <c r="AD1521" s="5" t="inlineStr"/>
      <c r="AE1521" s="5" t="inlineStr"/>
      <c r="AF1521" s="5" t="inlineStr"/>
      <c r="AG1521" s="5" t="inlineStr"/>
      <c r="AH1521" s="5" t="inlineStr"/>
    </row>
    <row r="1522">
      <c r="A1522" s="5" t="inlineStr">
        <is>
          <t>b7-hapis-kogus-ilk-gun</t>
        </is>
      </c>
      <c r="B1522" s="5" t="n">
        <v>1</v>
      </c>
      <c r="C1522" s="6" t="inlineStr">
        <is>
          <t>“Nasıl gelirse” de</t>
        </is>
      </c>
      <c r="D1522" s="5" t="inlineStr"/>
      <c r="E1522" s="5" t="inlineStr"/>
      <c r="F1522" s="5" t="inlineStr">
        <is>
          <t>Dayanıklılık +1, Sosyal Radar +1</t>
        </is>
      </c>
      <c r="G1522" s="6" t="inlineStr">
        <is>
          <t>Çaycı uzun uzun baktı, bardağını yarım şekerli doldurdu. Koğuşta adın “Nasıl Gelirse” oldu; en az tartışılan isim.</t>
        </is>
      </c>
      <c r="H1522" s="6" t="inlineStr"/>
      <c r="I1522" s="6" t="inlineStr"/>
      <c r="J1522" s="6" t="inlineStr"/>
      <c r="K1522" s="6" t="inlineStr"/>
      <c r="L1522" s="6" t="inlineStr"/>
      <c r="M1522" s="5" t="inlineStr"/>
      <c r="N1522" s="5" t="inlineStr"/>
      <c r="O1522" s="6" t="inlineStr"/>
      <c r="P1522" s="6" t="inlineStr"/>
      <c r="Q1522" s="5" t="inlineStr"/>
      <c r="R1522" s="5" t="inlineStr"/>
      <c r="S1522" s="5" t="inlineStr"/>
      <c r="T1522" s="5" t="inlineStr"/>
      <c r="U1522" s="5" t="inlineStr"/>
      <c r="V1522" s="5" t="inlineStr"/>
      <c r="W1522" s="5" t="inlineStr"/>
      <c r="X1522" s="5" t="inlineStr"/>
      <c r="Y1522" s="5" t="inlineStr"/>
      <c r="Z1522" s="6" t="inlineStr"/>
      <c r="AA1522" s="5" t="inlineStr"/>
      <c r="AB1522" s="5" t="inlineStr"/>
      <c r="AC1522" s="5" t="inlineStr"/>
      <c r="AD1522" s="5" t="inlineStr"/>
      <c r="AE1522" s="5" t="inlineStr"/>
      <c r="AF1522" s="5" t="inlineStr"/>
      <c r="AG1522" s="5" t="inlineStr"/>
      <c r="AH1522" s="5" t="inlineStr"/>
    </row>
    <row r="1523">
      <c r="A1523" s="5" t="inlineStr">
        <is>
          <t>b7-hapis-kogus-ilk-gun</t>
        </is>
      </c>
      <c r="B1523" s="5" t="n">
        <v>2</v>
      </c>
      <c r="C1523" s="6" t="inlineStr">
        <is>
          <t>Tavla hiyerarşisine meydan oku</t>
        </is>
      </c>
      <c r="D1523" s="5" t="inlineStr">
        <is>
          <t>Kurnazlık</t>
        </is>
      </c>
      <c r="E1523" s="5" t="inlineStr">
        <is>
          <t>Orta</t>
        </is>
      </c>
      <c r="F1523" s="5" t="inlineStr"/>
      <c r="G1523" s="6" t="inlineStr"/>
      <c r="H1523" s="6" t="inlineStr">
        <is>
          <t>Koğuşun tavla şampiyonunu ilk gece yendin. Ertesi sabah yatağın pencere kenarına taşındı; güneş de sana geçti.</t>
        </is>
      </c>
      <c r="I1523" s="6" t="inlineStr">
        <is>
          <t>Şampiyonu mars ettin; şampiyon kendi zarlarını sana hediye etti. Koğuşta sana artık kimse “yeni” demiyor.</t>
        </is>
      </c>
      <c r="J1523" s="6" t="inlineStr">
        <is>
          <t>Şampiyon seni üç elde yendi, sonra pulları nasıl dizeceğini anlattı. Ücretsiz ders; bedeli bulaşık.</t>
        </is>
      </c>
      <c r="K1523" s="6" t="inlineStr">
        <is>
          <t>Zarı yatağın altına düşürdün. Aramaya eğildiğinde yatağını başkası almıştı.</t>
        </is>
      </c>
      <c r="L1523" s="6" t="inlineStr"/>
      <c r="M1523" s="5" t="inlineStr"/>
      <c r="N1523" s="5" t="inlineStr"/>
      <c r="O1523" s="6" t="inlineStr"/>
      <c r="P1523" s="6" t="inlineStr"/>
      <c r="Q1523" s="5" t="inlineStr"/>
      <c r="R1523" s="5" t="inlineStr"/>
      <c r="S1523" s="5" t="inlineStr"/>
      <c r="T1523" s="5" t="inlineStr"/>
      <c r="U1523" s="5" t="inlineStr"/>
      <c r="V1523" s="5" t="inlineStr">
        <is>
          <t>kogus-dostu</t>
        </is>
      </c>
      <c r="W1523" s="5" t="inlineStr"/>
      <c r="X1523" s="5" t="inlineStr"/>
      <c r="Y1523" s="5" t="inlineStr"/>
      <c r="Z1523" s="6" t="inlineStr"/>
      <c r="AA1523" s="5" t="inlineStr"/>
      <c r="AB1523" s="5" t="inlineStr"/>
      <c r="AC1523" s="5" t="inlineStr"/>
      <c r="AD1523" s="5" t="inlineStr"/>
      <c r="AE1523" s="5" t="inlineStr"/>
      <c r="AF1523" s="5" t="inlineStr"/>
      <c r="AG1523" s="5" t="inlineStr"/>
      <c r="AH1523" s="5" t="inlineStr"/>
    </row>
    <row r="1524">
      <c r="A1524" s="5" t="inlineStr">
        <is>
          <t>b7-hapis-kogus-ilk-gun</t>
        </is>
      </c>
      <c r="B1524" s="5" t="n">
        <v>3</v>
      </c>
      <c r="C1524" s="6" t="inlineStr">
        <is>
          <t>Çay ocağına gönüllü ol</t>
        </is>
      </c>
      <c r="D1524" s="5" t="inlineStr">
        <is>
          <t>Çene</t>
        </is>
      </c>
      <c r="E1524" s="5" t="inlineStr">
        <is>
          <t>Orta</t>
        </is>
      </c>
      <c r="F1524" s="5" t="inlineStr"/>
      <c r="G1524" s="6" t="inlineStr"/>
      <c r="H1524" s="6" t="inlineStr">
        <is>
          <t>Ocağa girdin; artık herkesin şeker sayısını ve derdini biliyorsun. Koğuşta çay kimdeyse söz de onda.</t>
        </is>
      </c>
      <c r="I1524" s="6" t="inlineStr">
        <is>
          <t>Çayın o kadar iyi ki gardiyanlar da mola saatinde uğruyor. Ocak artık senin; kapının yanında bir de taburen var.</t>
        </is>
      </c>
      <c r="J1524" s="6" t="inlineStr">
        <is>
          <t>Sabırsızlanıp çayı erken koydun. Koğuş sana bir hafta “Açık Çay” dedi.</t>
        </is>
      </c>
      <c r="K1524" s="6" t="inlineStr">
        <is>
          <t>Demliği devirdin, şeker listesi ıslandı. Kimin kaç şeker içtiği artık bilinmiyor; koğuş bir hafta küs.</t>
        </is>
      </c>
      <c r="L1524" s="6" t="inlineStr"/>
      <c r="M1524" s="5" t="inlineStr"/>
      <c r="N1524" s="5" t="inlineStr"/>
      <c r="O1524" s="6" t="inlineStr"/>
      <c r="P1524" s="6" t="inlineStr"/>
      <c r="Q1524" s="5" t="inlineStr"/>
      <c r="R1524" s="5" t="inlineStr"/>
      <c r="S1524" s="5" t="inlineStr"/>
      <c r="T1524" s="5" t="inlineStr"/>
      <c r="U1524" s="5" t="inlineStr"/>
      <c r="V1524" s="5" t="inlineStr"/>
      <c r="W1524" s="5" t="inlineStr"/>
      <c r="X1524" s="5" t="inlineStr"/>
      <c r="Y1524" s="5" t="inlineStr"/>
      <c r="Z1524" s="6" t="inlineStr"/>
      <c r="AA1524" s="5" t="inlineStr"/>
      <c r="AB1524" s="5" t="inlineStr"/>
      <c r="AC1524" s="5" t="inlineStr"/>
      <c r="AD1524" s="5" t="inlineStr"/>
      <c r="AE1524" s="5" t="inlineStr"/>
      <c r="AF1524" s="5" t="inlineStr"/>
      <c r="AG1524" s="5" t="inlineStr"/>
      <c r="AH1524" s="5" t="inlineStr"/>
    </row>
    <row r="1525">
      <c r="A1525" s="5" t="inlineStr">
        <is>
          <t>b7-hapis-gorus-gunu</t>
        </is>
      </c>
      <c r="B1525" s="5" t="n">
        <v>1</v>
      </c>
      <c r="C1525" s="6" t="inlineStr">
        <is>
          <t>Yirmi dakikayı dinleyerek geçir</t>
        </is>
      </c>
      <c r="D1525" s="5" t="inlineStr"/>
      <c r="E1525" s="5" t="inlineStr"/>
      <c r="F1525" s="5" t="inlineStr">
        <is>
          <t>İtibar +1, Sosyal Radar +1</t>
        </is>
      </c>
      <c r="G1525" s="6" t="inlineStr">
        <is>
          <t>Hiç konuşmadın; annen mahallenin bütün haberlerini anlattı. Sonunda “Sen de bir şey söyle” dedi. “Yemekler güzel” dedin; ağladı.</t>
        </is>
      </c>
      <c r="H1525" s="6" t="inlineStr"/>
      <c r="I1525" s="6" t="inlineStr"/>
      <c r="J1525" s="6" t="inlineStr"/>
      <c r="K1525" s="6" t="inlineStr"/>
      <c r="L1525" s="6" t="inlineStr"/>
      <c r="M1525" s="5" t="inlineStr"/>
      <c r="N1525" s="5" t="inlineStr"/>
      <c r="O1525" s="6" t="inlineStr"/>
      <c r="P1525" s="6" t="inlineStr"/>
      <c r="Q1525" s="5" t="inlineStr"/>
      <c r="R1525" s="5" t="inlineStr"/>
      <c r="S1525" s="5" t="inlineStr"/>
      <c r="T1525" s="5" t="inlineStr"/>
      <c r="U1525" s="5" t="inlineStr"/>
      <c r="V1525" s="5" t="inlineStr"/>
      <c r="W1525" s="5" t="inlineStr"/>
      <c r="X1525" s="5" t="inlineStr"/>
      <c r="Y1525" s="5" t="inlineStr"/>
      <c r="Z1525" s="6" t="inlineStr"/>
      <c r="AA1525" s="5" t="inlineStr"/>
      <c r="AB1525" s="5" t="inlineStr"/>
      <c r="AC1525" s="5" t="inlineStr"/>
      <c r="AD1525" s="5" t="inlineStr"/>
      <c r="AE1525" s="5" t="inlineStr"/>
      <c r="AF1525" s="5" t="inlineStr"/>
      <c r="AG1525" s="5" t="inlineStr"/>
      <c r="AH1525" s="5" t="inlineStr"/>
    </row>
    <row r="1526">
      <c r="A1526" s="5" t="inlineStr">
        <is>
          <t>b7-hapis-gorus-gunu</t>
        </is>
      </c>
      <c r="B1526" s="5" t="n">
        <v>2</v>
      </c>
      <c r="C1526" s="6" t="inlineStr">
        <is>
          <t>Her şey yolunda gibi göster</t>
        </is>
      </c>
      <c r="D1526" s="5" t="inlineStr">
        <is>
          <t>Pişkinlik</t>
        </is>
      </c>
      <c r="E1526" s="5" t="inlineStr">
        <is>
          <t>Orta</t>
        </is>
      </c>
      <c r="F1526" s="5" t="inlineStr"/>
      <c r="G1526" s="6" t="inlineStr"/>
      <c r="H1526" s="6" t="inlineStr">
        <is>
          <t>Koğuşu bir yurt gibi anlattın: tavla, çay, sohbet. Annen rahatladı: “Bari arkadaş edinmişsin.”</t>
        </is>
      </c>
      <c r="I1526" s="6" t="inlineStr">
        <is>
          <t>Öyle anlattın ki annen bir sonraki görüşe arkadaşların için de börek getirdi. Koğuşta itibarın iki tepsi arttı.</t>
        </is>
      </c>
      <c r="J1526" s="6" t="inlineStr">
        <is>
          <t>“Her şey yolunda” derken arkandan “Süre bitti” sesi geldi. Cümlen yarım kaldı; annen yarısına inandı.</t>
        </is>
      </c>
      <c r="K1526" s="6" t="inlineStr">
        <is>
          <t>Ahize elinden kaydı; kalan on dakikayı işaretle anlaştınız. Annen “Çorap” anladı; gelecek ay otuz çift çorap geldi.</t>
        </is>
      </c>
      <c r="L1526" s="6" t="inlineStr"/>
      <c r="M1526" s="5" t="inlineStr"/>
      <c r="N1526" s="5" t="inlineStr"/>
      <c r="O1526" s="6" t="inlineStr"/>
      <c r="P1526" s="6" t="inlineStr"/>
      <c r="Q1526" s="5" t="inlineStr"/>
      <c r="R1526" s="5" t="inlineStr"/>
      <c r="S1526" s="5" t="inlineStr"/>
      <c r="T1526" s="5" t="inlineStr"/>
      <c r="U1526" s="5" t="inlineStr"/>
      <c r="V1526" s="5" t="inlineStr"/>
      <c r="W1526" s="5" t="inlineStr"/>
      <c r="X1526" s="5" t="inlineStr"/>
      <c r="Y1526" s="5" t="inlineStr"/>
      <c r="Z1526" s="6" t="inlineStr"/>
      <c r="AA1526" s="5" t="inlineStr"/>
      <c r="AB1526" s="5" t="inlineStr"/>
      <c r="AC1526" s="5" t="inlineStr"/>
      <c r="AD1526" s="5" t="inlineStr"/>
      <c r="AE1526" s="5" t="inlineStr"/>
      <c r="AF1526" s="5" t="inlineStr"/>
      <c r="AG1526" s="5" t="inlineStr"/>
      <c r="AH1526" s="5" t="inlineStr"/>
    </row>
    <row r="1527">
      <c r="A1527" s="5" t="inlineStr">
        <is>
          <t>b7-hapis-gorus-gunu</t>
        </is>
      </c>
      <c r="B1527" s="5" t="n">
        <v>3</v>
      </c>
      <c r="C1527" s="6" t="inlineStr">
        <is>
          <t>Dışarıdaki işleri ahizeden yönet</t>
        </is>
      </c>
      <c r="D1527" s="5" t="inlineStr">
        <is>
          <t>Kurnazlık</t>
        </is>
      </c>
      <c r="E1527" s="5" t="inlineStr">
        <is>
          <t>Orta</t>
        </is>
      </c>
      <c r="F1527" s="5" t="inlineStr"/>
      <c r="G1527" s="6" t="inlineStr"/>
      <c r="H1527" s="6" t="inlineStr">
        <is>
          <t>Annene üç talimat verdin: kira, sigorta, bir de dükkânın kepengi. Annen hepsini bir kâğıda yazıp buzdolabına astı.</t>
        </is>
      </c>
      <c r="I1527" s="6" t="inlineStr">
        <is>
          <t>Annen talimatları öyle iyi uyguladı ki dışarıda işler senin zamanından düzgün dönüyor. Çıkınca yerin olacak mı, emin değilsin.</t>
        </is>
      </c>
      <c r="J1527" s="6" t="inlineStr">
        <is>
          <t>Talimatları verdin; hat cızırdıyordu. Annen tek cümle duydu: “Sen üşüme yeter.”</t>
        </is>
      </c>
      <c r="K1527" s="6" t="inlineStr">
        <is>
          <t>Talimatların arasında bir kasa şifresi söyledin; yanlışını. Annen bir ay kasayla uğraştı; çilingir de artık seni tanıyor.</t>
        </is>
      </c>
      <c r="L1527" s="6" t="inlineStr"/>
      <c r="M1527" s="5" t="inlineStr"/>
      <c r="N1527" s="5" t="inlineStr"/>
      <c r="O1527" s="6" t="inlineStr"/>
      <c r="P1527" s="6" t="inlineStr"/>
      <c r="Q1527" s="5" t="inlineStr"/>
      <c r="R1527" s="5" t="inlineStr"/>
      <c r="S1527" s="5" t="inlineStr"/>
      <c r="T1527" s="5" t="inlineStr"/>
      <c r="U1527" s="5" t="inlineStr"/>
      <c r="V1527" s="5" t="inlineStr"/>
      <c r="W1527" s="5" t="inlineStr"/>
      <c r="X1527" s="5" t="inlineStr"/>
      <c r="Y1527" s="5" t="inlineStr"/>
      <c r="Z1527" s="6" t="inlineStr"/>
      <c r="AA1527" s="5" t="inlineStr"/>
      <c r="AB1527" s="5" t="inlineStr"/>
      <c r="AC1527" s="5" t="inlineStr"/>
      <c r="AD1527" s="5" t="inlineStr"/>
      <c r="AE1527" s="5" t="inlineStr"/>
      <c r="AF1527" s="5" t="inlineStr"/>
      <c r="AG1527" s="5" t="inlineStr"/>
      <c r="AH1527" s="5" t="inlineStr"/>
    </row>
    <row r="1528">
      <c r="A1528" s="5" t="inlineStr">
        <is>
          <t>b7-hapis-gorus-gunu</t>
        </is>
      </c>
      <c r="B1528" s="5" t="n">
        <v>4</v>
      </c>
      <c r="C1528" s="6" t="inlineStr">
        <is>
          <t>Çocuğa bir masal anlat</t>
        </is>
      </c>
      <c r="D1528" s="5" t="inlineStr"/>
      <c r="E1528" s="5" t="inlineStr"/>
      <c r="F1528" s="5" t="inlineStr">
        <is>
          <t>İtibar +2</t>
        </is>
      </c>
      <c r="G1528" s="6" t="inlineStr">
        <is>
          <t>Yirmi dakikanın on beşini bir masala verdin: bir kral bir süre sarayda tatil yapıyormuş. Çocuk sonunu sordu. “Bir sonraki görüşte” dedin; söz verdin.</t>
        </is>
      </c>
      <c r="H1528" s="6" t="inlineStr"/>
      <c r="I1528" s="6" t="inlineStr"/>
      <c r="J1528" s="6" t="inlineStr"/>
      <c r="K1528" s="6" t="inlineStr"/>
      <c r="L1528" s="6" t="inlineStr"/>
      <c r="M1528" s="5" t="inlineStr"/>
      <c r="N1528" s="5" t="inlineStr"/>
      <c r="O1528" s="6" t="inlineStr"/>
      <c r="P1528" s="6" t="inlineStr"/>
      <c r="Q1528" s="5" t="inlineStr"/>
      <c r="R1528" s="5" t="inlineStr">
        <is>
          <t>cocuklu</t>
        </is>
      </c>
      <c r="S1528" s="5" t="inlineStr"/>
      <c r="T1528" s="5" t="inlineStr"/>
      <c r="U1528" s="5" t="inlineStr"/>
      <c r="V1528" s="5" t="inlineStr"/>
      <c r="W1528" s="5" t="inlineStr"/>
      <c r="X1528" s="5" t="inlineStr"/>
      <c r="Y1528" s="5" t="inlineStr"/>
      <c r="Z1528" s="6" t="inlineStr"/>
      <c r="AA1528" s="5" t="inlineStr"/>
      <c r="AB1528" s="5" t="inlineStr"/>
      <c r="AC1528" s="5" t="inlineStr"/>
      <c r="AD1528" s="5" t="inlineStr"/>
      <c r="AE1528" s="5" t="inlineStr"/>
      <c r="AF1528" s="5" t="inlineStr"/>
      <c r="AG1528" s="5" t="inlineStr"/>
      <c r="AH1528" s="5" t="inlineStr"/>
    </row>
    <row r="1529">
      <c r="A1529" s="5" t="inlineStr">
        <is>
          <t>b7-hapis-islah-kursu</t>
        </is>
      </c>
      <c r="B1529" s="5" t="n">
        <v>1</v>
      </c>
      <c r="C1529" s="6" t="inlineStr">
        <is>
          <t>Sabun yapımına yazıl</t>
        </is>
      </c>
      <c r="D1529" s="5" t="inlineStr"/>
      <c r="E1529" s="5" t="inlineStr"/>
      <c r="F1529" s="5" t="inlineStr">
        <is>
          <t>Dayanıklılık +1, Akıl +1</t>
        </is>
      </c>
      <c r="G1529" s="6" t="inlineStr">
        <is>
          <t>Üç ayda lavanta kokulu kırk sabun yaptın. Sertifikan var; koğuş da artık lavanta kokuyor. Kokuya en çok gardiyan alıştı.</t>
        </is>
      </c>
      <c r="H1529" s="6" t="inlineStr"/>
      <c r="I1529" s="6" t="inlineStr"/>
      <c r="J1529" s="6" t="inlineStr"/>
      <c r="K1529" s="6" t="inlineStr"/>
      <c r="L1529" s="6" t="inlineStr"/>
      <c r="M1529" s="5" t="inlineStr"/>
      <c r="N1529" s="5" t="inlineStr"/>
      <c r="O1529" s="6" t="inlineStr"/>
      <c r="P1529" s="6" t="inlineStr"/>
      <c r="Q1529" s="5" t="inlineStr"/>
      <c r="R1529" s="5" t="inlineStr"/>
      <c r="S1529" s="5" t="inlineStr"/>
      <c r="T1529" s="5" t="inlineStr"/>
      <c r="U1529" s="5" t="inlineStr">
        <is>
          <t>islah-sertifikasi</t>
        </is>
      </c>
      <c r="V1529" s="5" t="inlineStr"/>
      <c r="W1529" s="5" t="inlineStr"/>
      <c r="X1529" s="5" t="inlineStr"/>
      <c r="Y1529" s="5" t="inlineStr"/>
      <c r="Z1529" s="6" t="inlineStr"/>
      <c r="AA1529" s="5" t="inlineStr"/>
      <c r="AB1529" s="5" t="inlineStr"/>
      <c r="AC1529" s="5" t="inlineStr"/>
      <c r="AD1529" s="5" t="inlineStr"/>
      <c r="AE1529" s="5" t="inlineStr"/>
      <c r="AF1529" s="5" t="inlineStr"/>
      <c r="AG1529" s="5" t="inlineStr"/>
      <c r="AH1529" s="5" t="inlineStr"/>
    </row>
    <row r="1530">
      <c r="A1530" s="5" t="inlineStr">
        <is>
          <t>b7-hapis-islah-kursu</t>
        </is>
      </c>
      <c r="B1530" s="5" t="n">
        <v>2</v>
      </c>
      <c r="C1530" s="6" t="inlineStr">
        <is>
          <t>Ahşap oymacılığında ustalaş</t>
        </is>
      </c>
      <c r="D1530" s="5" t="inlineStr">
        <is>
          <t>Dayanıklılık</t>
        </is>
      </c>
      <c r="E1530" s="5" t="inlineStr">
        <is>
          <t>Orta</t>
        </is>
      </c>
      <c r="F1530" s="5" t="inlineStr"/>
      <c r="G1530" s="6" t="inlineStr"/>
      <c r="H1530" s="6" t="inlineStr">
        <is>
          <t>İlk kaşık yamuk, ikincisi tahta, üçüncüsü kaşık. Sertifika töreninde müdür kaşığını evine götürdü.</t>
        </is>
      </c>
      <c r="I1530" s="6" t="inlineStr">
        <is>
          <t>Oyduğun tavla takımı cezaevi sergisinde birinci oldu. Koğuşun turnuvası artık senin tahtanda oynanıyor.</t>
        </is>
      </c>
      <c r="J1530" s="6" t="inlineStr">
        <is>
          <t>Kaşık olacaktı, kürdan oldu. Kürdanları koğuşa dağıttın; herkes seni sevdi ama sertifika yok.</t>
        </is>
      </c>
      <c r="K1530" s="6" t="inlineStr">
        <is>
          <t>Tahtayı yanlış yerinden oydun; elinde bir “eser” kaldı. Hoca adını “Soyut Dönem” koydu; koğuşta öyle çağrılıyorsun.</t>
        </is>
      </c>
      <c r="L1530" s="6" t="inlineStr"/>
      <c r="M1530" s="5" t="inlineStr"/>
      <c r="N1530" s="5" t="inlineStr"/>
      <c r="O1530" s="6" t="inlineStr"/>
      <c r="P1530" s="6" t="inlineStr"/>
      <c r="Q1530" s="5" t="inlineStr"/>
      <c r="R1530" s="5" t="inlineStr"/>
      <c r="S1530" s="5" t="inlineStr"/>
      <c r="T1530" s="5" t="inlineStr"/>
      <c r="U1530" s="5" t="inlineStr"/>
      <c r="V1530" s="5" t="inlineStr">
        <is>
          <t>islah-sertifikasi</t>
        </is>
      </c>
      <c r="W1530" s="5" t="inlineStr"/>
      <c r="X1530" s="5" t="inlineStr"/>
      <c r="Y1530" s="5" t="inlineStr"/>
      <c r="Z1530" s="6" t="inlineStr"/>
      <c r="AA1530" s="5" t="inlineStr"/>
      <c r="AB1530" s="5" t="inlineStr"/>
      <c r="AC1530" s="5" t="inlineStr"/>
      <c r="AD1530" s="5" t="inlineStr"/>
      <c r="AE1530" s="5" t="inlineStr"/>
      <c r="AF1530" s="5" t="inlineStr"/>
      <c r="AG1530" s="5" t="inlineStr"/>
      <c r="AH1530" s="5" t="inlineStr"/>
    </row>
    <row r="1531">
      <c r="A1531" s="5" t="inlineStr">
        <is>
          <t>b7-hapis-islah-kursu</t>
        </is>
      </c>
      <c r="B1531" s="5" t="n">
        <v>3</v>
      </c>
      <c r="C1531" s="6" t="inlineStr">
        <is>
          <t>Kişisel gelişim kursunu devral</t>
        </is>
      </c>
      <c r="D1531" s="5" t="inlineStr">
        <is>
          <t>Pişkinlik</t>
        </is>
      </c>
      <c r="E1531" s="5" t="inlineStr">
        <is>
          <t>Zor</t>
        </is>
      </c>
      <c r="F1531" s="5" t="inlineStr"/>
      <c r="G1531" s="6" t="inlineStr"/>
      <c r="H1531" s="6" t="inlineStr">
        <is>
          <t>Hocayı bir haftada koltuğundan ettin; derse artık sen giriyorsun. Konu: “Koğuşta Verimlilik.” Katılım zorunlu değil ama başka program yok.</t>
        </is>
      </c>
      <c r="I1531" s="6" t="inlineStr">
        <is>
          <t>Derslerin öyle tuttu ki öbür koğuşlar da istedi. Müdür dosyana “örnek kursiyer” yazdı; af söylentilerinde adın geçiyor.</t>
        </is>
      </c>
      <c r="J1531" s="6" t="inlineStr">
        <is>
          <t>Hoca seni ön sıraya oturtup bütün dönem yalnızca sana soru sordu. Kişisel gelişimin boyun tutulması oldu.</t>
        </is>
      </c>
      <c r="K1531" s="6" t="inlineStr">
        <is>
          <t>Derste eski hocayı taklit ettin, o da seni. Koğuş ikinizi karıştırıyor; mektupların ona gidiyor.</t>
        </is>
      </c>
      <c r="L1531" s="6" t="inlineStr"/>
      <c r="M1531" s="5" t="inlineStr"/>
      <c r="N1531" s="5" t="inlineStr"/>
      <c r="O1531" s="6" t="inlineStr"/>
      <c r="P1531" s="6" t="inlineStr"/>
      <c r="Q1531" s="5" t="inlineStr"/>
      <c r="R1531" s="5" t="inlineStr"/>
      <c r="S1531" s="5" t="inlineStr"/>
      <c r="T1531" s="5" t="inlineStr">
        <is>
          <t>Tezgâh Ağzı</t>
        </is>
      </c>
      <c r="U1531" s="5" t="inlineStr"/>
      <c r="V1531" s="5" t="inlineStr">
        <is>
          <t>islah-sertifikasi</t>
        </is>
      </c>
      <c r="W1531" s="5" t="inlineStr"/>
      <c r="X1531" s="5" t="inlineStr"/>
      <c r="Y1531" s="5" t="inlineStr"/>
      <c r="Z1531" s="6" t="inlineStr"/>
      <c r="AA1531" s="5" t="inlineStr"/>
      <c r="AB1531" s="5" t="inlineStr"/>
      <c r="AC1531" s="5" t="inlineStr"/>
      <c r="AD1531" s="5" t="inlineStr"/>
      <c r="AE1531" s="5" t="inlineStr"/>
      <c r="AF1531" s="5" t="inlineStr"/>
      <c r="AG1531" s="5" t="inlineStr"/>
      <c r="AH1531" s="5" t="inlineStr"/>
    </row>
    <row r="1532">
      <c r="A1532" s="5" t="inlineStr">
        <is>
          <t>b7-hapis-af-soylentisi</t>
        </is>
      </c>
      <c r="B1532" s="5" t="n">
        <v>1</v>
      </c>
      <c r="C1532" s="6" t="inlineStr">
        <is>
          <t>Söylentiye inanma, günleri say</t>
        </is>
      </c>
      <c r="D1532" s="5" t="inlineStr"/>
      <c r="E1532" s="5" t="inlineStr"/>
      <c r="F1532" s="5" t="inlineStr">
        <is>
          <t>Dayanıklılık +2</t>
        </is>
      </c>
      <c r="G1532" s="6" t="inlineStr">
        <is>
          <t>Duvara çizgiler çektin; söylentiye değil çizgilere güvendin. Af çıkmadı; çizgilerin doğru çıktı.</t>
        </is>
      </c>
      <c r="H1532" s="6" t="inlineStr"/>
      <c r="I1532" s="6" t="inlineStr"/>
      <c r="J1532" s="6" t="inlineStr"/>
      <c r="K1532" s="6" t="inlineStr"/>
      <c r="L1532" s="6" t="inlineStr"/>
      <c r="M1532" s="5" t="inlineStr"/>
      <c r="N1532" s="5" t="inlineStr"/>
      <c r="O1532" s="6" t="inlineStr"/>
      <c r="P1532" s="6" t="inlineStr"/>
      <c r="Q1532" s="5" t="inlineStr"/>
      <c r="R1532" s="5" t="inlineStr"/>
      <c r="S1532" s="5" t="inlineStr"/>
      <c r="T1532" s="5" t="inlineStr"/>
      <c r="U1532" s="5" t="inlineStr"/>
      <c r="V1532" s="5" t="inlineStr"/>
      <c r="W1532" s="5" t="inlineStr"/>
      <c r="X1532" s="5" t="inlineStr"/>
      <c r="Y1532" s="5" t="inlineStr"/>
      <c r="Z1532" s="6" t="inlineStr"/>
      <c r="AA1532" s="5" t="inlineStr"/>
      <c r="AB1532" s="5" t="inlineStr"/>
      <c r="AC1532" s="5" t="inlineStr"/>
      <c r="AD1532" s="5" t="inlineStr"/>
      <c r="AE1532" s="5" t="inlineStr"/>
      <c r="AF1532" s="5" t="inlineStr"/>
      <c r="AG1532" s="5" t="inlineStr"/>
      <c r="AH1532" s="5" t="inlineStr"/>
    </row>
    <row r="1533">
      <c r="A1533" s="5" t="inlineStr">
        <is>
          <t>b7-hapis-af-soylentisi</t>
        </is>
      </c>
      <c r="B1533" s="5" t="n">
        <v>2</v>
      </c>
      <c r="C1533" s="6" t="inlineStr">
        <is>
          <t>Söylentiyi büyüt</t>
        </is>
      </c>
      <c r="D1533" s="5" t="inlineStr">
        <is>
          <t>Çene</t>
        </is>
      </c>
      <c r="E1533" s="5" t="inlineStr">
        <is>
          <t>Orta</t>
        </is>
      </c>
      <c r="F1533" s="5" t="inlineStr"/>
      <c r="G1533" s="6" t="inlineStr"/>
      <c r="H1533" s="6" t="inlineStr">
        <is>
          <t>Söylentiye bir tarih, bir madde numarası ve bir “kaynak” ekledin. Koğuş iki hafta mutlu yaşadı; iki hafta az değil.</t>
        </is>
      </c>
      <c r="I1533" s="6" t="inlineStr">
        <is>
          <t>Söylentin öyle sağlam oldu ki öbür koğuşlar tarihi senden teyit ediyor. Af çıkmadı ama kaynak olarak ünlüsün.</t>
        </is>
      </c>
      <c r="J1533" s="6" t="inlineStr">
        <is>
          <t>Söylentiyi büyütmek istedin; çaycı düzeltti: “O madde geçen yıl konuşuldu.” Kaynaklık çaycıda kaldı.</t>
        </is>
      </c>
      <c r="K1533" s="6" t="inlineStr">
        <is>
          <t>Söylentin gardiyanlara kadar ulaştı; onlar da inanıp izin planı yaptı. Af çıkmayınca kimse sana çay vermedi.</t>
        </is>
      </c>
      <c r="L1533" s="6" t="inlineStr"/>
      <c r="M1533" s="5" t="inlineStr"/>
      <c r="N1533" s="5" t="inlineStr"/>
      <c r="O1533" s="6" t="inlineStr"/>
      <c r="P1533" s="6" t="inlineStr"/>
      <c r="Q1533" s="5" t="inlineStr"/>
      <c r="R1533" s="5" t="inlineStr"/>
      <c r="S1533" s="5" t="inlineStr"/>
      <c r="T1533" s="5" t="inlineStr"/>
      <c r="U1533" s="5" t="inlineStr"/>
      <c r="V1533" s="5" t="inlineStr"/>
      <c r="W1533" s="5" t="inlineStr"/>
      <c r="X1533" s="5" t="inlineStr"/>
      <c r="Y1533" s="5" t="inlineStr"/>
      <c r="Z1533" s="6" t="inlineStr"/>
      <c r="AA1533" s="5" t="inlineStr"/>
      <c r="AB1533" s="5" t="inlineStr"/>
      <c r="AC1533" s="5" t="inlineStr"/>
      <c r="AD1533" s="5" t="inlineStr"/>
      <c r="AE1533" s="5" t="inlineStr"/>
      <c r="AF1533" s="5" t="inlineStr"/>
      <c r="AG1533" s="5" t="inlineStr"/>
      <c r="AH1533" s="5" t="inlineStr"/>
    </row>
    <row r="1534">
      <c r="A1534" s="5" t="inlineStr">
        <is>
          <t>b7-hapis-af-soylentisi</t>
        </is>
      </c>
      <c r="B1534" s="5" t="n">
        <v>3</v>
      </c>
      <c r="C1534" s="6" t="inlineStr">
        <is>
          <t>Avukata mektup yaz</t>
        </is>
      </c>
      <c r="D1534" s="5" t="inlineStr">
        <is>
          <t>Akıl</t>
        </is>
      </c>
      <c r="E1534" s="5" t="inlineStr">
        <is>
          <t>Orta</t>
        </is>
      </c>
      <c r="F1534" s="5" t="inlineStr"/>
      <c r="G1534" s="6" t="inlineStr"/>
      <c r="H1534" s="6" t="inlineStr">
        <is>
          <t>Mektubu madde numaralarıyla üç kez yazdın. Avukat cevap verdi: “Dosyanda iyi hâl indirimi var.” Çıkış tarihini takvime işledin.</t>
        </is>
      </c>
      <c r="I1534" s="6" t="inlineStr">
        <is>
          <t>Avukat mektubunu öbür müvekkillerine örnek gösteriyor. İyi hâl dosyan kalınlaştı; kapı görünür oldu.</t>
        </is>
      </c>
      <c r="J1534" s="6" t="inlineStr">
        <is>
          <t>Avukat cevap vermedi; mektubu yanlış adrese göndermişsin. Başka bir avukat okudu, kartvizit yolladı.</t>
        </is>
      </c>
      <c r="K1534" s="6" t="inlineStr">
        <is>
          <t>Avukatın adını yanlış yazdın. Cevap geldi: “Ben o değilim ama geçmiş olsun.” Bir de fatura.</t>
        </is>
      </c>
      <c r="L1534" s="6" t="inlineStr"/>
      <c r="M1534" s="5" t="inlineStr"/>
      <c r="N1534" s="5" t="inlineStr"/>
      <c r="O1534" s="6" t="inlineStr"/>
      <c r="P1534" s="6" t="inlineStr"/>
      <c r="Q1534" s="5" t="inlineStr"/>
      <c r="R1534" s="5" t="inlineStr"/>
      <c r="S1534" s="5" t="inlineStr"/>
      <c r="T1534" s="5" t="inlineStr"/>
      <c r="U1534" s="5" t="inlineStr"/>
      <c r="V1534" s="5" t="inlineStr"/>
      <c r="W1534" s="5" t="inlineStr"/>
      <c r="X1534" s="5" t="inlineStr"/>
      <c r="Y1534" s="5" t="inlineStr"/>
      <c r="Z1534" s="6" t="inlineStr"/>
      <c r="AA1534" s="5" t="inlineStr"/>
      <c r="AB1534" s="5" t="inlineStr"/>
      <c r="AC1534" s="5" t="inlineStr"/>
      <c r="AD1534" s="5" t="inlineStr"/>
      <c r="AE1534" s="5" t="inlineStr"/>
      <c r="AF1534" s="5" t="inlineStr"/>
      <c r="AG1534" s="5" t="inlineStr"/>
      <c r="AH1534" s="5" t="inlineStr"/>
    </row>
    <row r="1535">
      <c r="A1535" s="5" t="inlineStr">
        <is>
          <t>b7-cezaevi-kapisi</t>
        </is>
      </c>
      <c r="B1535" s="5" t="n">
        <v>1</v>
      </c>
      <c r="C1535" s="6" t="inlineStr">
        <is>
          <t>Islah kursundan esnaflığa geç</t>
        </is>
      </c>
      <c r="D1535" s="5" t="inlineStr"/>
      <c r="E1535" s="5" t="inlineStr"/>
      <c r="F1535" s="5" t="inlineStr">
        <is>
          <t>Dayanıklılık +1, İtibar +1</t>
        </is>
      </c>
      <c r="G1535" s="6" t="inlineStr">
        <is>
          <t>Mahallede küçük bir dükkân kiraladın; tabelaya “Kursta öğrendim” yazdırdın. İlk müşterin koğuşun çaycısıydı; senden önce çıkmış.</t>
        </is>
      </c>
      <c r="H1535" s="6" t="inlineStr"/>
      <c r="I1535" s="6" t="inlineStr"/>
      <c r="J1535" s="6" t="inlineStr"/>
      <c r="K1535" s="6" t="inlineStr"/>
      <c r="L1535" s="6" t="inlineStr"/>
      <c r="M1535" s="5" t="inlineStr"/>
      <c r="N1535" s="5" t="inlineStr"/>
      <c r="O1535" s="6" t="inlineStr"/>
      <c r="P1535" s="6" t="inlineStr"/>
      <c r="Q1535" s="5" t="inlineStr"/>
      <c r="R1535" s="5" t="inlineStr"/>
      <c r="S1535" s="5" t="inlineStr"/>
      <c r="T1535" s="5" t="inlineStr"/>
      <c r="U1535" s="5" t="inlineStr">
        <is>
          <t>-hat-cete, -hat-dolandirici, -hat-girisimci, -hat-goc, -hat-hekim, -hat-koy, -hat-polis, -hat-politika, -hat-sohret, -hat-usta, -hat-yargi, -meslek-beyazyaka, -meslek-memur, -meslek-serbest, meslek-esnaf, -hapis, eski-hukumlu</t>
        </is>
      </c>
      <c r="V1535" s="5" t="inlineStr"/>
      <c r="W1535" s="5" t="inlineStr"/>
      <c r="X1535" s="5" t="inlineStr"/>
      <c r="Y1535" s="5" t="inlineStr"/>
      <c r="Z1535" s="6" t="inlineStr"/>
      <c r="AA1535" s="5" t="inlineStr"/>
      <c r="AB1535" s="5" t="inlineStr"/>
      <c r="AC1535" s="5" t="inlineStr"/>
      <c r="AD1535" s="5" t="inlineStr">
        <is>
          <t>Kıt</t>
        </is>
      </c>
      <c r="AE1535" s="5" t="inlineStr"/>
      <c r="AF1535" s="5" t="inlineStr"/>
      <c r="AG1535" s="5" t="inlineStr"/>
      <c r="AH1535" s="5" t="inlineStr"/>
    </row>
    <row r="1536">
      <c r="A1536" s="5" t="inlineStr">
        <is>
          <t>b7-cezaevi-kapisi</t>
        </is>
      </c>
      <c r="B1536" s="5" t="n">
        <v>2</v>
      </c>
      <c r="C1536" s="6" t="inlineStr">
        <is>
          <t>Eski işine dön</t>
        </is>
      </c>
      <c r="D1536" s="5" t="inlineStr"/>
      <c r="E1536" s="5" t="inlineStr"/>
      <c r="F1536" s="5" t="inlineStr">
        <is>
          <t>Pişkinlik +1, Cesaret +1</t>
        </is>
      </c>
      <c r="G1536" s="6" t="inlineStr">
        <is>
          <t>Eski telefonunu açtın: kırk iki cevapsız arama. Hiçbiri seni özlememiş, hepsi işi soruyor. Kaldığın yerden devam; biraz daha dikkatli.</t>
        </is>
      </c>
      <c r="H1536" s="6" t="inlineStr"/>
      <c r="I1536" s="6" t="inlineStr"/>
      <c r="J1536" s="6" t="inlineStr"/>
      <c r="K1536" s="6" t="inlineStr"/>
      <c r="L1536" s="6" t="inlineStr"/>
      <c r="M1536" s="5" t="inlineStr"/>
      <c r="N1536" s="5" t="inlineStr"/>
      <c r="O1536" s="6" t="inlineStr"/>
      <c r="P1536" s="6" t="inlineStr"/>
      <c r="Q1536" s="5" t="inlineStr"/>
      <c r="R1536" s="5" t="inlineStr"/>
      <c r="S1536" s="5" t="inlineStr"/>
      <c r="T1536" s="5" t="inlineStr"/>
      <c r="U1536" s="5" t="inlineStr">
        <is>
          <t>-hapis, eski-hukumlu</t>
        </is>
      </c>
      <c r="V1536" s="5" t="inlineStr"/>
      <c r="W1536" s="5" t="inlineStr"/>
      <c r="X1536" s="5" t="inlineStr"/>
      <c r="Y1536" s="5" t="inlineStr"/>
      <c r="Z1536" s="6" t="inlineStr"/>
      <c r="AA1536" s="5" t="inlineStr"/>
      <c r="AB1536" s="5" t="inlineStr"/>
      <c r="AC1536" s="5" t="inlineStr"/>
      <c r="AD1536" s="5" t="inlineStr"/>
      <c r="AE1536" s="5" t="inlineStr"/>
      <c r="AF1536" s="5" t="inlineStr"/>
      <c r="AG1536" s="5" t="inlineStr"/>
      <c r="AH1536" s="5" t="inlineStr"/>
    </row>
    <row r="1537">
      <c r="A1537" s="5" t="inlineStr">
        <is>
          <t>b7-cezaevi-kapisi</t>
        </is>
      </c>
      <c r="B1537" s="5" t="n">
        <v>3</v>
      </c>
      <c r="C1537" s="6" t="inlineStr">
        <is>
          <t>Koğuş anılarını kitap yap</t>
        </is>
      </c>
      <c r="D1537" s="5" t="inlineStr">
        <is>
          <t>Çene</t>
        </is>
      </c>
      <c r="E1537" s="5" t="inlineStr">
        <is>
          <t>Zor</t>
        </is>
      </c>
      <c r="F1537" s="5" t="inlineStr"/>
      <c r="G1537" s="6" t="inlineStr"/>
      <c r="H1537" s="6" t="inlineStr">
        <is>
          <t>“Koğuşta Çay Nasıl Demlenir” çıktı. İlk imza gününe çaycı da geldi; kitaba bakmadan “Şekeri az yazmışsın” dedi.</t>
        </is>
      </c>
      <c r="I1537" s="6" t="inlineStr">
        <is>
          <t>Kitap çok satanlar rafında. Bir yapımcı dizisini çekmek istiyor; sen kendi rolünü oynamak istedin, kabul etti.</t>
        </is>
      </c>
      <c r="J1537" s="6" t="inlineStr">
        <is>
          <t>Kitabı yazdın, yayınevi “Bu fazla gerçekçi” dedi. Taslak çekmecede; sen eski hayatına dönüyorsun.</t>
        </is>
      </c>
      <c r="K1537" s="6" t="inlineStr">
        <is>
          <t>Kitaba bütün koğuşun lakaplarını yazdın. Basılmadı ama koğuşta okundu; kırk mektup geldi, hepsi düzeltme istiyor.</t>
        </is>
      </c>
      <c r="L1537" s="6" t="inlineStr"/>
      <c r="M1537" s="5" t="inlineStr"/>
      <c r="N1537" s="5" t="inlineStr"/>
      <c r="O1537" s="6" t="inlineStr"/>
      <c r="P1537" s="6" t="inlineStr"/>
      <c r="Q1537" s="5" t="inlineStr"/>
      <c r="R1537" s="5" t="inlineStr"/>
      <c r="S1537" s="5" t="inlineStr"/>
      <c r="T1537" s="5" t="inlineStr"/>
      <c r="U1537" s="5" t="inlineStr"/>
      <c r="V1537" s="5" t="inlineStr">
        <is>
          <t>-hat-cete, -hat-dolandirici, -hat-girisimci, -hat-goc, -hat-hekim, -hat-koy, -hat-polis, -hat-politika, -hat-usta, -hat-yargi, -meslek-beyazyaka, -meslek-esnaf, -meslek-memur, hat-sohret, meslek-serbest, -hapis, eski-hukumlu</t>
        </is>
      </c>
      <c r="W1537" s="5" t="inlineStr">
        <is>
          <t>-hapis, eski-hukumlu</t>
        </is>
      </c>
      <c r="X1537" s="5" t="inlineStr"/>
      <c r="Y1537" s="5" t="inlineStr"/>
      <c r="Z1537" s="6" t="inlineStr"/>
      <c r="AA1537" s="5" t="inlineStr"/>
      <c r="AB1537" s="5" t="inlineStr">
        <is>
          <t>-hapis, eski-hukumlu</t>
        </is>
      </c>
      <c r="AC1537" s="5" t="inlineStr"/>
      <c r="AD1537" s="5" t="inlineStr"/>
      <c r="AE1537" s="5" t="inlineStr"/>
      <c r="AF1537" s="5" t="inlineStr"/>
      <c r="AG1537" s="5" t="inlineStr"/>
      <c r="AH1537" s="5" t="inlineStr"/>
    </row>
    <row r="1538">
      <c r="A1538" s="5" t="inlineStr">
        <is>
          <t>b7-cezaevi-kapisi</t>
        </is>
      </c>
      <c r="B1538" s="5" t="n">
        <v>4</v>
      </c>
      <c r="C1538" s="6" t="inlineStr">
        <is>
          <t>“Sistemi içeriden tanıyorum” diye siyasete gir</t>
        </is>
      </c>
      <c r="D1538" s="5" t="inlineStr">
        <is>
          <t>Pişkinlik</t>
        </is>
      </c>
      <c r="E1538" s="5" t="inlineStr">
        <is>
          <t>Çok Zor</t>
        </is>
      </c>
      <c r="F1538" s="5" t="inlineStr"/>
      <c r="G1538" s="6" t="inlineStr"/>
      <c r="H1538" s="6" t="inlineStr">
        <is>
          <t>Slogan tuttu. Bir partinin ilçe teşkilatı seni kapıda karşıladı; ilk mitingde en önde koğuştan çıkmış arkadaşların alkışlıyordu.</t>
        </is>
      </c>
      <c r="I1538" s="6" t="inlineStr">
        <is>
          <t>Sloganın afişlere basıldı. Rakiplerinin geçmişi sorulunca “Benimki belli” diyorsun; salon ayağa kalkıyor.</t>
        </is>
      </c>
      <c r="J1538" s="6" t="inlineStr">
        <is>
          <t>Parti binasında sloganını söyledin. Kapıdaki görevli “İçeriyi bilmeyen yok zaten” dedi. Eski hayatına döndün.</t>
        </is>
      </c>
      <c r="K1538" s="6" t="inlineStr">
        <is>
          <t>Parti binasına girerken alışkanlıkla ellerini kaldırdın. Görevli uzun uzun baktı; sen de eski hayatına döndün.</t>
        </is>
      </c>
      <c r="L1538" s="6" t="inlineStr"/>
      <c r="M1538" s="5" t="inlineStr"/>
      <c r="N1538" s="5" t="inlineStr"/>
      <c r="O1538" s="6" t="inlineStr"/>
      <c r="P1538" s="6" t="inlineStr"/>
      <c r="Q1538" s="5" t="inlineStr"/>
      <c r="R1538" s="5" t="inlineStr"/>
      <c r="S1538" s="5" t="inlineStr"/>
      <c r="T1538" s="5" t="inlineStr"/>
      <c r="U1538" s="5" t="inlineStr"/>
      <c r="V1538" s="5" t="inlineStr">
        <is>
          <t>-hat-cete, -hat-dolandirici, -hat-girisimci, -hat-goc, -hat-hekim, -hat-koy, -hat-polis, -hat-sohret, -hat-usta, -hat-yargi, -meslek-beyazyaka, -meslek-esnaf, -meslek-memur, -meslek-serbest, hat-politika, -hapis, eski-hukumlu</t>
        </is>
      </c>
      <c r="W1538" s="5" t="inlineStr">
        <is>
          <t>-hapis, eski-hukumlu</t>
        </is>
      </c>
      <c r="X1538" s="5" t="inlineStr"/>
      <c r="Y1538" s="5" t="inlineStr"/>
      <c r="Z1538" s="6" t="inlineStr"/>
      <c r="AA1538" s="5" t="inlineStr"/>
      <c r="AB1538" s="5" t="inlineStr">
        <is>
          <t>-hapis, eski-hukumlu</t>
        </is>
      </c>
      <c r="AC1538" s="5" t="inlineStr"/>
      <c r="AD1538" s="5" t="inlineStr"/>
      <c r="AE1538" s="5" t="inlineStr"/>
      <c r="AF1538" s="5" t="inlineStr"/>
      <c r="AG1538" s="5" t="inlineStr"/>
      <c r="AH1538" s="5" t="inlineStr"/>
    </row>
    <row r="1539">
      <c r="A1539" s="5" t="inlineStr">
        <is>
          <t>b7-cezaevi-kapisi</t>
        </is>
      </c>
      <c r="B1539" s="5" t="n">
        <v>5</v>
      </c>
      <c r="C1539" s="6" t="inlineStr">
        <is>
          <t>Mahallenin kefaletiyle iş bul</t>
        </is>
      </c>
      <c r="D1539" s="5" t="inlineStr"/>
      <c r="E1539" s="5" t="inlineStr"/>
      <c r="F1539" s="5" t="inlineStr">
        <is>
          <t>İtibar +1, Dayanıklılık +1</t>
        </is>
      </c>
      <c r="G1539" s="6" t="inlineStr">
        <is>
          <t>Kapıda seni çarşının en eski esnafı bekliyordu: “Senin için söz verdim, dükkânın arka tarafı senin.” Mahallede kimse geçmişini sormadı; sordurmadılar.</t>
        </is>
      </c>
      <c r="H1539" s="6" t="inlineStr"/>
      <c r="I1539" s="6" t="inlineStr"/>
      <c r="J1539" s="6" t="inlineStr"/>
      <c r="K1539" s="6" t="inlineStr"/>
      <c r="L1539" s="6" t="inlineStr"/>
      <c r="M1539" s="5" t="inlineStr"/>
      <c r="N1539" s="5" t="inlineStr"/>
      <c r="O1539" s="6" t="inlineStr"/>
      <c r="P1539" s="6" t="inlineStr"/>
      <c r="Q1539" s="5" t="inlineStr"/>
      <c r="R1539" s="5" t="inlineStr"/>
      <c r="S1539" s="5" t="inlineStr"/>
      <c r="T1539" s="5" t="inlineStr"/>
      <c r="U1539" s="5" t="inlineStr">
        <is>
          <t>-hat-cete, -hat-dolandirici, -hat-girisimci, -hat-goc, -hat-hekim, -hat-koy, -hat-polis, -hat-politika, -hat-sohret, -hat-usta, -hat-yargi, -meslek-beyazyaka, -meslek-memur, -meslek-serbest, meslek-esnaf, -hapis, eski-hukumlu, -ceza-indirimi</t>
        </is>
      </c>
      <c r="V1539" s="5" t="inlineStr"/>
      <c r="W1539" s="5" t="inlineStr"/>
      <c r="X1539" s="5" t="inlineStr"/>
      <c r="Y1539" s="5" t="inlineStr"/>
      <c r="Z1539" s="6" t="inlineStr"/>
      <c r="AA1539" s="5" t="inlineStr"/>
      <c r="AB1539" s="5" t="inlineStr"/>
      <c r="AC1539" s="5" t="inlineStr"/>
      <c r="AD1539" s="5" t="inlineStr">
        <is>
          <t>Kıt</t>
        </is>
      </c>
      <c r="AE1539" s="5" t="inlineStr"/>
      <c r="AF1539" s="5" t="inlineStr"/>
      <c r="AG1539" s="5" t="inlineStr"/>
      <c r="AH1539" s="5" t="inlineStr">
        <is>
          <t>İtibar 46</t>
        </is>
      </c>
    </row>
    <row r="1540">
      <c r="A1540" s="5" t="inlineStr">
        <is>
          <t>b8-hapis-tavla-turnuvasi</t>
        </is>
      </c>
      <c r="B1540" s="5" t="n">
        <v>1</v>
      </c>
      <c r="C1540" s="6" t="inlineStr">
        <is>
          <t>Hikmet Amca'ya kazandır</t>
        </is>
      </c>
      <c r="D1540" s="5" t="inlineStr"/>
      <c r="E1540" s="5" t="inlineStr"/>
      <c r="F1540" s="5" t="inlineStr">
        <is>
          <t>İtibar +1, Sosyal Radar +1</t>
        </is>
      </c>
      <c r="G1540" s="6" t="inlineStr">
        <is>
          <t>Son elde bir pulu bile bile açık bıraktın. Hikmet Amca kazandı, Zübeyde'yi öptü. Akşam koğuşuna bir tepsi lokma geldi; notta tek kelime: “Gördüm.”</t>
        </is>
      </c>
      <c r="H1540" s="6" t="inlineStr"/>
      <c r="I1540" s="6" t="inlineStr"/>
      <c r="J1540" s="6" t="inlineStr"/>
      <c r="K1540" s="6" t="inlineStr"/>
      <c r="L1540" s="6" t="inlineStr"/>
      <c r="M1540" s="5" t="inlineStr"/>
      <c r="N1540" s="5" t="inlineStr"/>
      <c r="O1540" s="6" t="inlineStr"/>
      <c r="P1540" s="6" t="inlineStr"/>
      <c r="Q1540" s="5" t="inlineStr"/>
      <c r="R1540" s="5" t="inlineStr"/>
      <c r="S1540" s="5" t="inlineStr"/>
      <c r="T1540" s="5" t="inlineStr"/>
      <c r="U1540" s="5" t="inlineStr"/>
      <c r="V1540" s="5" t="inlineStr"/>
      <c r="W1540" s="5" t="inlineStr"/>
      <c r="X1540" s="5" t="inlineStr"/>
      <c r="Y1540" s="5" t="inlineStr"/>
      <c r="Z1540" s="6" t="inlineStr"/>
      <c r="AA1540" s="5" t="inlineStr"/>
      <c r="AB1540" s="5" t="inlineStr"/>
      <c r="AC1540" s="5" t="inlineStr"/>
      <c r="AD1540" s="5" t="inlineStr"/>
      <c r="AE1540" s="5" t="inlineStr"/>
      <c r="AF1540" s="5" t="inlineStr"/>
      <c r="AG1540" s="5" t="inlineStr"/>
      <c r="AH1540" s="5" t="inlineStr"/>
    </row>
    <row r="1541">
      <c r="A1541" s="5" t="inlineStr">
        <is>
          <t>b8-hapis-tavla-turnuvasi</t>
        </is>
      </c>
      <c r="B1541" s="5" t="n">
        <v>2</v>
      </c>
      <c r="C1541" s="6" t="inlineStr">
        <is>
          <t>Kazanmak için oyna</t>
        </is>
      </c>
      <c r="D1541" s="5" t="inlineStr">
        <is>
          <t>Kurnazlık</t>
        </is>
      </c>
      <c r="E1541" s="5" t="inlineStr">
        <is>
          <t>Zor</t>
        </is>
      </c>
      <c r="F1541" s="5" t="inlineStr"/>
      <c r="G1541" s="6" t="inlineStr"/>
      <c r="H1541" s="6" t="inlineStr">
        <is>
          <t>Üç elin ikisini aldın. Hikmet Amca elini sıktı: “Nuriye bugün küstü.” Kupa, boş bir reçel kavanozu, artık pencerende.</t>
        </is>
      </c>
      <c r="I1541" s="6" t="inlineStr">
        <is>
          <t>Mars! Hikmet Amca zarlarından birini sana verdi: “Nuriye artık senin.” Koğuşta sana kimse yenilgi hatırlatamaz.</t>
        </is>
      </c>
      <c r="J1541" s="6" t="inlineStr">
        <is>
          <t>Hikmet Amca seni sakin sakin yendi. Kupayı aldı, sonra sana verdi: “Bende otuz tane var.”</t>
        </is>
      </c>
      <c r="K1541" s="6" t="inlineStr">
        <is>
          <t>Zar Hikmet Amca'nın çay bardağına düştü. Oyun iptal, çay ziyan; Hikmet Amca bir ay konuşmadı.</t>
        </is>
      </c>
      <c r="L1541" s="6" t="inlineStr"/>
      <c r="M1541" s="5" t="inlineStr"/>
      <c r="N1541" s="5" t="inlineStr"/>
      <c r="O1541" s="6" t="inlineStr"/>
      <c r="P1541" s="6" t="inlineStr"/>
      <c r="Q1541" s="5" t="inlineStr"/>
      <c r="R1541" s="5" t="inlineStr"/>
      <c r="S1541" s="5" t="inlineStr"/>
      <c r="T1541" s="5" t="inlineStr">
        <is>
          <t>Tavla Kurdu</t>
        </is>
      </c>
      <c r="U1541" s="5" t="inlineStr"/>
      <c r="V1541" s="5" t="inlineStr">
        <is>
          <t>kogus-dostu</t>
        </is>
      </c>
      <c r="W1541" s="5" t="inlineStr"/>
      <c r="X1541" s="5" t="inlineStr"/>
      <c r="Y1541" s="5" t="inlineStr"/>
      <c r="Z1541" s="6" t="inlineStr"/>
      <c r="AA1541" s="5" t="inlineStr"/>
      <c r="AB1541" s="5" t="inlineStr"/>
      <c r="AC1541" s="5" t="inlineStr"/>
      <c r="AD1541" s="5" t="inlineStr"/>
      <c r="AE1541" s="5" t="inlineStr"/>
      <c r="AF1541" s="5" t="inlineStr"/>
      <c r="AG1541" s="5" t="inlineStr"/>
      <c r="AH1541" s="5" t="inlineStr"/>
    </row>
    <row r="1542">
      <c r="A1542" s="5" t="inlineStr">
        <is>
          <t>b8-hapis-tavla-turnuvasi</t>
        </is>
      </c>
      <c r="B1542" s="5" t="n">
        <v>3</v>
      </c>
      <c r="C1542" s="6" t="inlineStr">
        <is>
          <t>Turnuvanın hakemi ol</t>
        </is>
      </c>
      <c r="D1542" s="5" t="inlineStr">
        <is>
          <t>Sosyal Radar</t>
        </is>
      </c>
      <c r="E1542" s="5" t="inlineStr">
        <is>
          <t>Orta</t>
        </is>
      </c>
      <c r="F1542" s="5" t="inlineStr"/>
      <c r="G1542" s="6" t="inlineStr"/>
      <c r="H1542" s="6" t="inlineStr">
        <is>
          <t>İki itiraz, bir zar kontrolü, sıfır kavga. Müdür raporuna turnuvanın bu yıl “sakin” geçtiğini yazdı.</t>
        </is>
      </c>
      <c r="I1542" s="6" t="inlineStr">
        <is>
          <t>Öyle tarafsızdın ki gardiyanlar da kendi turnuvalarına seni çağırdı. Koyduğun kurallar hâlâ geçerli.</t>
        </is>
      </c>
      <c r="J1542" s="6" t="inlineStr">
        <is>
          <t>Bir itirazda “Tekrar atın” dedin; iki taraf da kızdı. Kalan maçları çaycı yönetti.</t>
        </is>
      </c>
      <c r="K1542" s="6" t="inlineStr">
        <is>
          <t>Finalde düdüğü yanlış anda çaldın. Düdük yoktu, ıslık çaldın; ikisi de yanlış anladı.</t>
        </is>
      </c>
      <c r="L1542" s="6" t="inlineStr"/>
      <c r="M1542" s="5" t="inlineStr"/>
      <c r="N1542" s="5" t="inlineStr"/>
      <c r="O1542" s="6" t="inlineStr"/>
      <c r="P1542" s="6" t="inlineStr"/>
      <c r="Q1542" s="5" t="inlineStr"/>
      <c r="R1542" s="5" t="inlineStr"/>
      <c r="S1542" s="5" t="inlineStr"/>
      <c r="T1542" s="5" t="inlineStr"/>
      <c r="U1542" s="5" t="inlineStr"/>
      <c r="V1542" s="5" t="inlineStr"/>
      <c r="W1542" s="5" t="inlineStr"/>
      <c r="X1542" s="5" t="inlineStr"/>
      <c r="Y1542" s="5" t="inlineStr"/>
      <c r="Z1542" s="6" t="inlineStr"/>
      <c r="AA1542" s="5" t="inlineStr"/>
      <c r="AB1542" s="5" t="inlineStr"/>
      <c r="AC1542" s="5" t="inlineStr"/>
      <c r="AD1542" s="5" t="inlineStr"/>
      <c r="AE1542" s="5" t="inlineStr"/>
      <c r="AF1542" s="5" t="inlineStr"/>
      <c r="AG1542" s="5" t="inlineStr"/>
      <c r="AH1542" s="5" t="inlineStr"/>
    </row>
    <row r="1543">
      <c r="A1543" s="5" t="inlineStr">
        <is>
          <t>b8-hapis-mektup</t>
        </is>
      </c>
      <c r="B1543" s="5" t="n">
        <v>1</v>
      </c>
      <c r="C1543" s="6" t="inlineStr">
        <is>
          <t>Önce kendi ailene yaz</t>
        </is>
      </c>
      <c r="D1543" s="5" t="inlineStr"/>
      <c r="E1543" s="5" t="inlineStr"/>
      <c r="F1543" s="5" t="inlineStr">
        <is>
          <t>İtibar +1, Dayanıklılık +1</t>
        </is>
      </c>
      <c r="G1543" s="6" t="inlineStr">
        <is>
          <t>Üç sayfa yazdın; ikisi hava durumuydu. Cevap iki ay sonra geldi: “Hava burada da öyle.” Satır arasını anladın.</t>
        </is>
      </c>
      <c r="H1543" s="6" t="inlineStr"/>
      <c r="I1543" s="6" t="inlineStr"/>
      <c r="J1543" s="6" t="inlineStr"/>
      <c r="K1543" s="6" t="inlineStr"/>
      <c r="L1543" s="6" t="inlineStr"/>
      <c r="M1543" s="5" t="inlineStr"/>
      <c r="N1543" s="5" t="inlineStr"/>
      <c r="O1543" s="6" t="inlineStr"/>
      <c r="P1543" s="6" t="inlineStr"/>
      <c r="Q1543" s="5" t="inlineStr"/>
      <c r="R1543" s="5" t="inlineStr"/>
      <c r="S1543" s="5" t="inlineStr"/>
      <c r="T1543" s="5" t="inlineStr"/>
      <c r="U1543" s="5" t="inlineStr"/>
      <c r="V1543" s="5" t="inlineStr"/>
      <c r="W1543" s="5" t="inlineStr"/>
      <c r="X1543" s="5" t="inlineStr"/>
      <c r="Y1543" s="5" t="inlineStr"/>
      <c r="Z1543" s="6" t="inlineStr"/>
      <c r="AA1543" s="5" t="inlineStr"/>
      <c r="AB1543" s="5" t="inlineStr"/>
      <c r="AC1543" s="5" t="inlineStr"/>
      <c r="AD1543" s="5" t="inlineStr"/>
      <c r="AE1543" s="5" t="inlineStr"/>
      <c r="AF1543" s="5" t="inlineStr"/>
      <c r="AG1543" s="5" t="inlineStr"/>
      <c r="AH1543" s="5" t="inlineStr"/>
    </row>
    <row r="1544">
      <c r="A1544" s="5" t="inlineStr">
        <is>
          <t>b8-hapis-mektup</t>
        </is>
      </c>
      <c r="B1544" s="5" t="n">
        <v>2</v>
      </c>
      <c r="C1544" s="6" t="inlineStr">
        <is>
          <t>Koğuşun mektup kâtibi ol</t>
        </is>
      </c>
      <c r="D1544" s="5" t="inlineStr">
        <is>
          <t>Çene</t>
        </is>
      </c>
      <c r="E1544" s="5" t="inlineStr">
        <is>
          <t>Orta</t>
        </is>
      </c>
      <c r="F1544" s="5" t="inlineStr"/>
      <c r="G1544" s="6" t="inlineStr"/>
      <c r="H1544" s="6" t="inlineStr">
        <is>
          <t>Bir ayda kırk mektup yazdın. Genç çocuğun annesi cevap verdi, sana da selam yolladı. Koğuşta adın artık “Kâtip.”</t>
        </is>
      </c>
      <c r="I1544" s="6" t="inlineStr">
        <is>
          <t>Yaşlı adamın eski sevgilisi cevap yazdı; görüşe geliyor. Koğuş bir hafta boyunca adamın saçını taradı.</t>
        </is>
      </c>
      <c r="J1544" s="6" t="inlineStr">
        <is>
          <t>Zarfları karıştırdın; vergi dairesine yazılan anneye gitti. Anne vergiyi ödemiş; kimse bir şey anlamadı.</t>
        </is>
      </c>
      <c r="K1544" s="6" t="inlineStr">
        <is>
          <t>Genç çocuğun mektubunu fazla süsledin. Annesi “Bunu sen yazmamışsın” diye cevap verdi; çocuk bir hafta küs.</t>
        </is>
      </c>
      <c r="L1544" s="6" t="inlineStr"/>
      <c r="M1544" s="5" t="inlineStr"/>
      <c r="N1544" s="5" t="inlineStr"/>
      <c r="O1544" s="6" t="inlineStr"/>
      <c r="P1544" s="6" t="inlineStr"/>
      <c r="Q1544" s="5" t="inlineStr"/>
      <c r="R1544" s="5" t="inlineStr"/>
      <c r="S1544" s="5" t="inlineStr"/>
      <c r="T1544" s="5" t="inlineStr"/>
      <c r="U1544" s="5" t="inlineStr"/>
      <c r="V1544" s="5" t="inlineStr">
        <is>
          <t>kogus-dostu</t>
        </is>
      </c>
      <c r="W1544" s="5" t="inlineStr"/>
      <c r="X1544" s="5" t="inlineStr"/>
      <c r="Y1544" s="5" t="inlineStr"/>
      <c r="Z1544" s="6" t="inlineStr"/>
      <c r="AA1544" s="5" t="inlineStr"/>
      <c r="AB1544" s="5" t="inlineStr"/>
      <c r="AC1544" s="5" t="inlineStr"/>
      <c r="AD1544" s="5" t="inlineStr"/>
      <c r="AE1544" s="5" t="inlineStr"/>
      <c r="AF1544" s="5" t="inlineStr"/>
      <c r="AG1544" s="5" t="inlineStr"/>
      <c r="AH1544" s="5" t="inlineStr"/>
    </row>
    <row r="1545">
      <c r="A1545" s="5" t="inlineStr">
        <is>
          <t>b8-hapis-mektup</t>
        </is>
      </c>
      <c r="B1545" s="5" t="n">
        <v>3</v>
      </c>
      <c r="C1545" s="6" t="inlineStr">
        <is>
          <t>Vergi dairesinin mektubunu üstlen</t>
        </is>
      </c>
      <c r="D1545" s="5" t="inlineStr">
        <is>
          <t>Kurnazlık</t>
        </is>
      </c>
      <c r="E1545" s="5" t="inlineStr">
        <is>
          <t>Orta</t>
        </is>
      </c>
      <c r="F1545" s="5" t="inlineStr"/>
      <c r="G1545" s="6" t="inlineStr"/>
      <c r="H1545" s="6" t="inlineStr">
        <is>
          <t>Öyle kibar bir mektup yazdın ki cevap geldi: gecikme faizi silinmiş. Koğuşta artık danışman sayılıyorsun.</t>
        </is>
      </c>
      <c r="I1545" s="6" t="inlineStr">
        <is>
          <t>Mektup öyle resmî oldu ki daire aynı şablonu istedi. Artık dışarıya form yazıyorsun; ücretsiz ama itibarlı.</t>
        </is>
      </c>
      <c r="J1545" s="6" t="inlineStr">
        <is>
          <t>Daire “Dilekçenizi şahsen veriniz” diye cevap yazdı. Şahsen gitmek şu an biraz zor.</t>
        </is>
      </c>
      <c r="K1545" s="6" t="inlineStr">
        <is>
          <t>Dosya numarasını yanlış yazdın; başka birinin borcu da koğuş arkadaşına geldi. Adam iki kişinin borcunu ödüyor, seni affetmiyor.</t>
        </is>
      </c>
      <c r="L1545" s="6" t="inlineStr"/>
      <c r="M1545" s="5" t="inlineStr"/>
      <c r="N1545" s="5" t="inlineStr"/>
      <c r="O1545" s="6" t="inlineStr"/>
      <c r="P1545" s="6" t="inlineStr"/>
      <c r="Q1545" s="5" t="inlineStr"/>
      <c r="R1545" s="5" t="inlineStr"/>
      <c r="S1545" s="5" t="inlineStr"/>
      <c r="T1545" s="5" t="inlineStr"/>
      <c r="U1545" s="5" t="inlineStr"/>
      <c r="V1545" s="5" t="inlineStr"/>
      <c r="W1545" s="5" t="inlineStr"/>
      <c r="X1545" s="5" t="inlineStr"/>
      <c r="Y1545" s="5" t="inlineStr"/>
      <c r="Z1545" s="6" t="inlineStr"/>
      <c r="AA1545" s="5" t="inlineStr"/>
      <c r="AB1545" s="5" t="inlineStr"/>
      <c r="AC1545" s="5" t="inlineStr"/>
      <c r="AD1545" s="5" t="inlineStr"/>
      <c r="AE1545" s="5" t="inlineStr"/>
      <c r="AF1545" s="5" t="inlineStr"/>
      <c r="AG1545" s="5" t="inlineStr"/>
      <c r="AH1545" s="5" t="inlineStr"/>
    </row>
    <row r="1546">
      <c r="A1546" s="5" t="inlineStr">
        <is>
          <t>b8-hapis-cay-ocagi</t>
        </is>
      </c>
      <c r="B1546" s="5" t="n">
        <v>1</v>
      </c>
      <c r="C1546" s="6" t="inlineStr">
        <is>
          <t>Demliği Erol'a bırak</t>
        </is>
      </c>
      <c r="D1546" s="5" t="inlineStr"/>
      <c r="E1546" s="5" t="inlineStr"/>
      <c r="F1546" s="5" t="inlineStr">
        <is>
          <t>İtibar +1, Sosyal Radar +1</t>
        </is>
      </c>
      <c r="G1546" s="6" t="inlineStr">
        <is>
          <t>“Genç öğrensin” dedin. Erol ilk hafta çayı acı demledi, ikinci hafta öğrendi. Senin bardağın her sabah ilk dolan.</t>
        </is>
      </c>
      <c r="H1546" s="6" t="inlineStr"/>
      <c r="I1546" s="6" t="inlineStr"/>
      <c r="J1546" s="6" t="inlineStr"/>
      <c r="K1546" s="6" t="inlineStr"/>
      <c r="L1546" s="6" t="inlineStr"/>
      <c r="M1546" s="5" t="inlineStr"/>
      <c r="N1546" s="5" t="inlineStr"/>
      <c r="O1546" s="6" t="inlineStr"/>
      <c r="P1546" s="6" t="inlineStr"/>
      <c r="Q1546" s="5" t="inlineStr"/>
      <c r="R1546" s="5" t="inlineStr"/>
      <c r="S1546" s="5" t="inlineStr"/>
      <c r="T1546" s="5" t="inlineStr"/>
      <c r="U1546" s="5" t="inlineStr"/>
      <c r="V1546" s="5" t="inlineStr"/>
      <c r="W1546" s="5" t="inlineStr"/>
      <c r="X1546" s="5" t="inlineStr"/>
      <c r="Y1546" s="5" t="inlineStr"/>
      <c r="Z1546" s="6" t="inlineStr"/>
      <c r="AA1546" s="5" t="inlineStr"/>
      <c r="AB1546" s="5" t="inlineStr"/>
      <c r="AC1546" s="5" t="inlineStr"/>
      <c r="AD1546" s="5" t="inlineStr"/>
      <c r="AE1546" s="5" t="inlineStr"/>
      <c r="AF1546" s="5" t="inlineStr"/>
      <c r="AG1546" s="5" t="inlineStr"/>
      <c r="AH1546" s="5" t="inlineStr"/>
    </row>
    <row r="1547">
      <c r="A1547" s="5" t="inlineStr">
        <is>
          <t>b8-hapis-cay-ocagi</t>
        </is>
      </c>
      <c r="B1547" s="5" t="n">
        <v>2</v>
      </c>
      <c r="C1547" s="6" t="inlineStr">
        <is>
          <t>Erol'la demleme yarışına gir</t>
        </is>
      </c>
      <c r="D1547" s="5" t="inlineStr">
        <is>
          <t>Dayanıklılık</t>
        </is>
      </c>
      <c r="E1547" s="5" t="inlineStr">
        <is>
          <t>Orta</t>
        </is>
      </c>
      <c r="F1547" s="5" t="inlineStr"/>
      <c r="G1547" s="6" t="inlineStr"/>
      <c r="H1547" s="6" t="inlineStr">
        <is>
          <t>Üç demlik, üç tur, jüri bütün koğuş. Kazandın; senin demlik pencerenin güneşinde bekledi, Erol'unki gölgede.</t>
        </is>
      </c>
      <c r="I1547" s="6" t="inlineStr">
        <is>
          <t>Çayın öyle iyi oldu ki eski çaycı tahliyesini bir gün erteletmek istedi. Olmadı; gönlü sende kaldı, demlik de.</t>
        </is>
      </c>
      <c r="J1547" s="6" t="inlineStr">
        <is>
          <t>Erol kazandı. Çayı gerçekten iyiydi; sen de kabul ettin, bir bardak daha isteyerek.</t>
        </is>
      </c>
      <c r="K1547" s="6" t="inlineStr">
        <is>
          <t>Demliği ocakta unuttun, çay kömüre döndü. Koğuşa kırk dakika yanık kokusu hâkim oldu; sana yeni lakap: “Kömür.”</t>
        </is>
      </c>
      <c r="L1547" s="6" t="inlineStr"/>
      <c r="M1547" s="5" t="inlineStr"/>
      <c r="N1547" s="5" t="inlineStr"/>
      <c r="O1547" s="6" t="inlineStr"/>
      <c r="P1547" s="6" t="inlineStr"/>
      <c r="Q1547" s="5" t="inlineStr"/>
      <c r="R1547" s="5" t="inlineStr"/>
      <c r="S1547" s="5" t="inlineStr"/>
      <c r="T1547" s="5" t="inlineStr"/>
      <c r="U1547" s="5" t="inlineStr"/>
      <c r="V1547" s="5" t="inlineStr"/>
      <c r="W1547" s="5" t="inlineStr"/>
      <c r="X1547" s="5" t="inlineStr"/>
      <c r="Y1547" s="5" t="inlineStr"/>
      <c r="Z1547" s="6" t="inlineStr"/>
      <c r="AA1547" s="5" t="inlineStr"/>
      <c r="AB1547" s="5" t="inlineStr"/>
      <c r="AC1547" s="5" t="inlineStr"/>
      <c r="AD1547" s="5" t="inlineStr"/>
      <c r="AE1547" s="5" t="inlineStr"/>
      <c r="AF1547" s="5" t="inlineStr"/>
      <c r="AG1547" s="5" t="inlineStr"/>
      <c r="AH1547" s="5" t="inlineStr"/>
    </row>
    <row r="1548">
      <c r="A1548" s="5" t="inlineStr">
        <is>
          <t>b8-hapis-cay-ocagi</t>
        </is>
      </c>
      <c r="B1548" s="5" t="n">
        <v>3</v>
      </c>
      <c r="C1548" s="6" t="inlineStr">
        <is>
          <t>Ocağı bir düzene bağla</t>
        </is>
      </c>
      <c r="D1548" s="5" t="inlineStr">
        <is>
          <t>Akıl</t>
        </is>
      </c>
      <c r="E1548" s="5" t="inlineStr">
        <is>
          <t>Orta</t>
        </is>
      </c>
      <c r="F1548" s="5" t="inlineStr"/>
      <c r="G1548" s="6" t="inlineStr"/>
      <c r="H1548" s="6" t="inlineStr">
        <is>
          <t>Şeker listesini deftere geçirdin, sıra çizelgesi astın. İlk kez çay kavgası çıkmadı; herkes düzenden şikâyetçi ama sırasını bekliyor.</t>
        </is>
      </c>
      <c r="I1548" s="6" t="inlineStr">
        <is>
          <t>Düzenin öyle tuttu ki müdür bütün koğuşlara dağıttı. Çizelgenin altında adın yazıyor; yanlış yazılmış ama olsun.</t>
        </is>
      </c>
      <c r="J1548" s="6" t="inlineStr">
        <is>
          <t>Çizelgeyi astın; kimse okumadı. Çay yine en yüksek sesle isteyene gitti.</t>
        </is>
      </c>
      <c r="K1548" s="6" t="inlineStr">
        <is>
          <t>Çizelgede kendini ilk sıraya yazdın. Koğuş fark etti; bir hafta herkes senden önce içti, sana sıra hiç gelmedi.</t>
        </is>
      </c>
      <c r="L1548" s="6" t="inlineStr"/>
      <c r="M1548" s="5" t="inlineStr"/>
      <c r="N1548" s="5" t="inlineStr"/>
      <c r="O1548" s="6" t="inlineStr"/>
      <c r="P1548" s="6" t="inlineStr"/>
      <c r="Q1548" s="5" t="inlineStr"/>
      <c r="R1548" s="5" t="inlineStr"/>
      <c r="S1548" s="5" t="inlineStr"/>
      <c r="T1548" s="5" t="inlineStr"/>
      <c r="U1548" s="5" t="inlineStr"/>
      <c r="V1548" s="5" t="inlineStr"/>
      <c r="W1548" s="5" t="inlineStr"/>
      <c r="X1548" s="5" t="inlineStr"/>
      <c r="Y1548" s="5" t="inlineStr"/>
      <c r="Z1548" s="6" t="inlineStr"/>
      <c r="AA1548" s="5" t="inlineStr"/>
      <c r="AB1548" s="5" t="inlineStr"/>
      <c r="AC1548" s="5" t="inlineStr"/>
      <c r="AD1548" s="5" t="inlineStr"/>
      <c r="AE1548" s="5" t="inlineStr"/>
      <c r="AF1548" s="5" t="inlineStr"/>
      <c r="AG1548" s="5" t="inlineStr"/>
      <c r="AH1548" s="5" t="inlineStr"/>
    </row>
    <row r="1549">
      <c r="A1549" s="5" t="inlineStr">
        <is>
          <t>b8-hapis-gorus-gunu</t>
        </is>
      </c>
      <c r="B1549" s="5" t="n">
        <v>1</v>
      </c>
      <c r="C1549" s="6" t="inlineStr">
        <is>
          <t>Albümü sayfa sayfa gez</t>
        </is>
      </c>
      <c r="D1549" s="5" t="inlineStr"/>
      <c r="E1549" s="5" t="inlineStr"/>
      <c r="F1549" s="5" t="inlineStr">
        <is>
          <t>İtibar +1, Dayanıklılık +1</t>
        </is>
      </c>
      <c r="G1549" s="6" t="inlineStr">
        <is>
          <t>Yirmi dakikada iki düğün, bir mezuniyet, üç bayram gördün. Hepsinde kenarda boş bir sandalye vardı; senin için koymuşlar.</t>
        </is>
      </c>
      <c r="H1549" s="6" t="inlineStr"/>
      <c r="I1549" s="6" t="inlineStr"/>
      <c r="J1549" s="6" t="inlineStr"/>
      <c r="K1549" s="6" t="inlineStr"/>
      <c r="L1549" s="6" t="inlineStr"/>
      <c r="M1549" s="5" t="inlineStr"/>
      <c r="N1549" s="5" t="inlineStr"/>
      <c r="O1549" s="6" t="inlineStr"/>
      <c r="P1549" s="6" t="inlineStr"/>
      <c r="Q1549" s="5" t="inlineStr"/>
      <c r="R1549" s="5" t="inlineStr"/>
      <c r="S1549" s="5" t="inlineStr"/>
      <c r="T1549" s="5" t="inlineStr"/>
      <c r="U1549" s="5" t="inlineStr"/>
      <c r="V1549" s="5" t="inlineStr"/>
      <c r="W1549" s="5" t="inlineStr"/>
      <c r="X1549" s="5" t="inlineStr"/>
      <c r="Y1549" s="5" t="inlineStr"/>
      <c r="Z1549" s="6" t="inlineStr"/>
      <c r="AA1549" s="5" t="inlineStr"/>
      <c r="AB1549" s="5" t="inlineStr"/>
      <c r="AC1549" s="5" t="inlineStr"/>
      <c r="AD1549" s="5" t="inlineStr"/>
      <c r="AE1549" s="5" t="inlineStr"/>
      <c r="AF1549" s="5" t="inlineStr"/>
      <c r="AG1549" s="5" t="inlineStr"/>
      <c r="AH1549" s="5" t="inlineStr"/>
    </row>
    <row r="1550">
      <c r="A1550" s="5" t="inlineStr">
        <is>
          <t>b8-hapis-gorus-gunu</t>
        </is>
      </c>
      <c r="B1550" s="5" t="n">
        <v>2</v>
      </c>
      <c r="C1550" s="6" t="inlineStr">
        <is>
          <t>Çıkınca yapacaklarını anlat</t>
        </is>
      </c>
      <c r="D1550" s="5" t="inlineStr">
        <is>
          <t>Çene</t>
        </is>
      </c>
      <c r="E1550" s="5" t="inlineStr">
        <is>
          <t>Orta</t>
        </is>
      </c>
      <c r="F1550" s="5" t="inlineStr"/>
      <c r="G1550" s="6" t="inlineStr"/>
      <c r="H1550" s="6" t="inlineStr">
        <is>
          <t>Planlarını öyle anlattın ki ziyaretçin not aldı. Çıkınca tek tek kontrol edecekmiş; sevgiyle.</t>
        </is>
      </c>
      <c r="I1550" s="6" t="inlineStr">
        <is>
          <t>Anlattığın plan öyle iyiydi ki dışarıda hazırlık başladı. Çıktığında bir iş, bir oda ve demlenmiş bir çay bekliyor.</t>
        </is>
      </c>
      <c r="J1550" s="6" t="inlineStr">
        <is>
          <t>Planları anlatırken süre doldu. Son kelimen “Bir de…” oldu; ne olduğunu ikiniz de merak ediyorsunuz.</t>
        </is>
      </c>
      <c r="K1550" s="6" t="inlineStr">
        <is>
          <t>Planlarını anlattın; ziyaretçin hepsinin daha önce de söylendiğini yıl yıl hatırlattı. Liste uzundu, süre kısa.</t>
        </is>
      </c>
      <c r="L1550" s="6" t="inlineStr"/>
      <c r="M1550" s="5" t="inlineStr"/>
      <c r="N1550" s="5" t="inlineStr"/>
      <c r="O1550" s="6" t="inlineStr"/>
      <c r="P1550" s="6" t="inlineStr"/>
      <c r="Q1550" s="5" t="inlineStr"/>
      <c r="R1550" s="5" t="inlineStr"/>
      <c r="S1550" s="5" t="inlineStr"/>
      <c r="T1550" s="5" t="inlineStr"/>
      <c r="U1550" s="5" t="inlineStr"/>
      <c r="V1550" s="5" t="inlineStr"/>
      <c r="W1550" s="5" t="inlineStr"/>
      <c r="X1550" s="5" t="inlineStr"/>
      <c r="Y1550" s="5" t="inlineStr"/>
      <c r="Z1550" s="6" t="inlineStr"/>
      <c r="AA1550" s="5" t="inlineStr"/>
      <c r="AB1550" s="5" t="inlineStr"/>
      <c r="AC1550" s="5" t="inlineStr"/>
      <c r="AD1550" s="5" t="inlineStr"/>
      <c r="AE1550" s="5" t="inlineStr"/>
      <c r="AF1550" s="5" t="inlineStr"/>
      <c r="AG1550" s="5" t="inlineStr"/>
      <c r="AH1550" s="5" t="inlineStr"/>
    </row>
    <row r="1551">
      <c r="A1551" s="5" t="inlineStr">
        <is>
          <t>b8-hapis-gorus-gunu</t>
        </is>
      </c>
      <c r="B1551" s="5" t="n">
        <v>3</v>
      </c>
      <c r="C1551" s="6" t="inlineStr">
        <is>
          <t>Yan kabindeki teyzeye yardım et</t>
        </is>
      </c>
      <c r="D1551" s="5" t="inlineStr">
        <is>
          <t>Sosyal Radar</t>
        </is>
      </c>
      <c r="E1551" s="5" t="inlineStr">
        <is>
          <t>Orta</t>
        </is>
      </c>
      <c r="F1551" s="5" t="inlineStr"/>
      <c r="G1551" s="6" t="inlineStr"/>
      <c r="H1551" s="6" t="inlineStr">
        <is>
          <t>Yan kabindeki teyze ahizeyi ters tutuyordu. Düzelttin; oğluyla ilk kez net konuştu. Sana bir poşet kurabiye bıraktı.</t>
        </is>
      </c>
      <c r="I1551" s="6" t="inlineStr">
        <is>
          <t>Teyzenin oğlu koğuş arkadaşın çıktı. Artık iki ailen var; kurabiye de iki kat.</t>
        </is>
      </c>
      <c r="J1551" s="6" t="inlineStr">
        <is>
          <t>Yardım ederken kendi süren bitti. Teyze teşekkür etti; senin ziyaretçin camın ardından el salladı.</t>
        </is>
      </c>
      <c r="K1551" s="6" t="inlineStr">
        <is>
          <t>Ahizeleri karıştırdınız. Teyze senin ziyaretçinle, sen teyzenin oğluyla konuştun; ikisi de iyi insanlar çıktı.</t>
        </is>
      </c>
      <c r="L1551" s="6" t="inlineStr"/>
      <c r="M1551" s="5" t="inlineStr"/>
      <c r="N1551" s="5" t="inlineStr"/>
      <c r="O1551" s="6" t="inlineStr"/>
      <c r="P1551" s="6" t="inlineStr"/>
      <c r="Q1551" s="5" t="inlineStr"/>
      <c r="R1551" s="5" t="inlineStr"/>
      <c r="S1551" s="5" t="inlineStr"/>
      <c r="T1551" s="5" t="inlineStr"/>
      <c r="U1551" s="5" t="inlineStr"/>
      <c r="V1551" s="5" t="inlineStr"/>
      <c r="W1551" s="5" t="inlineStr"/>
      <c r="X1551" s="5" t="inlineStr"/>
      <c r="Y1551" s="5" t="inlineStr"/>
      <c r="Z1551" s="6" t="inlineStr"/>
      <c r="AA1551" s="5" t="inlineStr"/>
      <c r="AB1551" s="5" t="inlineStr"/>
      <c r="AC1551" s="5" t="inlineStr"/>
      <c r="AD1551" s="5" t="inlineStr"/>
      <c r="AE1551" s="5" t="inlineStr"/>
      <c r="AF1551" s="5" t="inlineStr"/>
      <c r="AG1551" s="5" t="inlineStr"/>
      <c r="AH1551" s="5" t="inlineStr"/>
    </row>
    <row r="1552">
      <c r="A1552" s="5" t="inlineStr">
        <is>
          <t>b8-cezaevi-kapisi</t>
        </is>
      </c>
      <c r="B1552" s="5" t="n">
        <v>1</v>
      </c>
      <c r="C1552" s="6" t="inlineStr">
        <is>
          <t>Kursta öğrendiğinle esnaf ol</t>
        </is>
      </c>
      <c r="D1552" s="5" t="inlineStr"/>
      <c r="E1552" s="5" t="inlineStr"/>
      <c r="F1552" s="5" t="inlineStr">
        <is>
          <t>Dayanıklılık +1, Akıl +1</t>
        </is>
      </c>
      <c r="G1552" s="6" t="inlineStr">
        <is>
          <t>Sanayinin ucunda küçük bir dükkân tuttun: sabun, kaşık, bir de tavla tamiri. Müşterilerin yarısı eski koğuş arkadaşların; hepsi pazarlık ediyor, hepsi kaybediyor.</t>
        </is>
      </c>
      <c r="H1552" s="6" t="inlineStr"/>
      <c r="I1552" s="6" t="inlineStr"/>
      <c r="J1552" s="6" t="inlineStr"/>
      <c r="K1552" s="6" t="inlineStr"/>
      <c r="L1552" s="6" t="inlineStr"/>
      <c r="M1552" s="5" t="inlineStr"/>
      <c r="N1552" s="5" t="inlineStr"/>
      <c r="O1552" s="6" t="inlineStr"/>
      <c r="P1552" s="6" t="inlineStr"/>
      <c r="Q1552" s="5" t="inlineStr"/>
      <c r="R1552" s="5" t="inlineStr"/>
      <c r="S1552" s="5" t="inlineStr"/>
      <c r="T1552" s="5" t="inlineStr"/>
      <c r="U1552" s="5" t="inlineStr">
        <is>
          <t>-hat-cete, -hat-dolandirici, -hat-girisimci, -hat-goc, -hat-hekim, -hat-koy, -hat-polis, -hat-politika, -hat-sohret, -hat-usta, -hat-yargi, -meslek-beyazyaka, -meslek-memur, -meslek-serbest, meslek-esnaf, -hapis, eski-hukumlu</t>
        </is>
      </c>
      <c r="V1552" s="5" t="inlineStr"/>
      <c r="W1552" s="5" t="inlineStr"/>
      <c r="X1552" s="5" t="inlineStr"/>
      <c r="Y1552" s="5" t="inlineStr"/>
      <c r="Z1552" s="6" t="inlineStr"/>
      <c r="AA1552" s="5" t="inlineStr"/>
      <c r="AB1552" s="5" t="inlineStr"/>
      <c r="AC1552" s="5" t="inlineStr"/>
      <c r="AD1552" s="5" t="inlineStr">
        <is>
          <t>Kıt</t>
        </is>
      </c>
      <c r="AE1552" s="5" t="inlineStr"/>
      <c r="AF1552" s="5" t="inlineStr"/>
      <c r="AG1552" s="5" t="inlineStr"/>
      <c r="AH1552" s="5" t="inlineStr"/>
    </row>
    <row r="1553">
      <c r="A1553" s="5" t="inlineStr">
        <is>
          <t>b8-cezaevi-kapisi</t>
        </is>
      </c>
      <c r="B1553" s="5" t="n">
        <v>2</v>
      </c>
      <c r="C1553" s="6" t="inlineStr">
        <is>
          <t>Eski işine dön</t>
        </is>
      </c>
      <c r="D1553" s="5" t="inlineStr"/>
      <c r="E1553" s="5" t="inlineStr"/>
      <c r="F1553" s="5" t="inlineStr">
        <is>
          <t>Pişkinlik +1, Kurnazlık +1</t>
        </is>
      </c>
      <c r="G1553" s="6" t="inlineStr">
        <is>
          <t>Eski defterini açtın; isimlerin yarısı emekli, yarısı taşınmış. Kalanlarla devam ediyorsun; masan eskisinden küçük, gözlüğün kalın.</t>
        </is>
      </c>
      <c r="H1553" s="6" t="inlineStr"/>
      <c r="I1553" s="6" t="inlineStr"/>
      <c r="J1553" s="6" t="inlineStr"/>
      <c r="K1553" s="6" t="inlineStr"/>
      <c r="L1553" s="6" t="inlineStr"/>
      <c r="M1553" s="5" t="inlineStr"/>
      <c r="N1553" s="5" t="inlineStr"/>
      <c r="O1553" s="6" t="inlineStr"/>
      <c r="P1553" s="6" t="inlineStr"/>
      <c r="Q1553" s="5" t="inlineStr"/>
      <c r="R1553" s="5" t="inlineStr"/>
      <c r="S1553" s="5" t="inlineStr"/>
      <c r="T1553" s="5" t="inlineStr"/>
      <c r="U1553" s="5" t="inlineStr">
        <is>
          <t>-hapis, eski-hukumlu</t>
        </is>
      </c>
      <c r="V1553" s="5" t="inlineStr"/>
      <c r="W1553" s="5" t="inlineStr"/>
      <c r="X1553" s="5" t="inlineStr"/>
      <c r="Y1553" s="5" t="inlineStr"/>
      <c r="Z1553" s="6" t="inlineStr"/>
      <c r="AA1553" s="5" t="inlineStr"/>
      <c r="AB1553" s="5" t="inlineStr"/>
      <c r="AC1553" s="5" t="inlineStr"/>
      <c r="AD1553" s="5" t="inlineStr"/>
      <c r="AE1553" s="5" t="inlineStr"/>
      <c r="AF1553" s="5" t="inlineStr"/>
      <c r="AG1553" s="5" t="inlineStr"/>
      <c r="AH1553" s="5" t="inlineStr"/>
    </row>
    <row r="1554">
      <c r="A1554" s="5" t="inlineStr">
        <is>
          <t>b8-cezaevi-kapisi</t>
        </is>
      </c>
      <c r="B1554" s="5" t="n">
        <v>3</v>
      </c>
      <c r="C1554" s="6" t="inlineStr">
        <is>
          <t>Uzun yılları kitap yap</t>
        </is>
      </c>
      <c r="D1554" s="5" t="inlineStr">
        <is>
          <t>Çene</t>
        </is>
      </c>
      <c r="E1554" s="5" t="inlineStr">
        <is>
          <t>Zor</t>
        </is>
      </c>
      <c r="F1554" s="5" t="inlineStr"/>
      <c r="G1554" s="6" t="inlineStr"/>
      <c r="H1554" s="6" t="inlineStr">
        <is>
          <t>“Uzun Koğuş” adlı kitabın çıktı. Bir haber programı seni “yaşayan tanık” diye çağırdı; canlı yayında koğuşa selam gönderdin.</t>
        </is>
      </c>
      <c r="I1554" s="6" t="inlineStr">
        <is>
          <t>Kitap her yerde konuşuluyor; söyleşilerin biletleri tükeniyor. Koğuşa imzalı bir kutu kitap yolladın; en çok çaycı okudu.</t>
        </is>
      </c>
      <c r="J1554" s="6" t="inlineStr">
        <is>
          <t>Yayınevi “Anılar çok uzun, okur kısa” dedi. Taslak dolapta; sen eski yoluna dönüyorsun.</t>
        </is>
      </c>
      <c r="K1554" s="6" t="inlineStr">
        <is>
          <t>İlk bölümü bir yarışmaya gönderdin; “kurgu” dalında mansiyon aldı. Gerçek olduğuna kimse inanmıyor; sen eski yoluna döndün.</t>
        </is>
      </c>
      <c r="L1554" s="6" t="inlineStr"/>
      <c r="M1554" s="5" t="inlineStr"/>
      <c r="N1554" s="5" t="inlineStr"/>
      <c r="O1554" s="6" t="inlineStr"/>
      <c r="P1554" s="6" t="inlineStr"/>
      <c r="Q1554" s="5" t="inlineStr"/>
      <c r="R1554" s="5" t="inlineStr"/>
      <c r="S1554" s="5" t="inlineStr"/>
      <c r="T1554" s="5" t="inlineStr"/>
      <c r="U1554" s="5" t="inlineStr"/>
      <c r="V1554" s="5" t="inlineStr">
        <is>
          <t>-hat-cete, -hat-dolandirici, -hat-girisimci, -hat-goc, -hat-hekim, -hat-koy, -hat-polis, -hat-politika, -hat-usta, -hat-yargi, -meslek-beyazyaka, -meslek-esnaf, -meslek-memur, hat-sohret, meslek-serbest, -hapis, eski-hukumlu</t>
        </is>
      </c>
      <c r="W1554" s="5" t="inlineStr">
        <is>
          <t>-hapis, eski-hukumlu</t>
        </is>
      </c>
      <c r="X1554" s="5" t="inlineStr"/>
      <c r="Y1554" s="5" t="inlineStr"/>
      <c r="Z1554" s="6" t="inlineStr"/>
      <c r="AA1554" s="5" t="inlineStr"/>
      <c r="AB1554" s="5" t="inlineStr">
        <is>
          <t>-hapis, eski-hukumlu</t>
        </is>
      </c>
      <c r="AC1554" s="5" t="inlineStr"/>
      <c r="AD1554" s="5" t="inlineStr"/>
      <c r="AE1554" s="5" t="inlineStr"/>
      <c r="AF1554" s="5" t="inlineStr"/>
      <c r="AG1554" s="5" t="inlineStr"/>
      <c r="AH1554" s="5" t="inlineStr"/>
    </row>
    <row r="1555">
      <c r="A1555" s="5" t="inlineStr">
        <is>
          <t>b8-cezaevi-kapisi</t>
        </is>
      </c>
      <c r="B1555" s="5" t="n">
        <v>4</v>
      </c>
      <c r="C1555" s="6" t="inlineStr">
        <is>
          <t>“İçeriyi ben gördüm” de, siyasete gir</t>
        </is>
      </c>
      <c r="D1555" s="5" t="inlineStr">
        <is>
          <t>Pişkinlik</t>
        </is>
      </c>
      <c r="E1555" s="5" t="inlineStr">
        <is>
          <t>Çok Zor</t>
        </is>
      </c>
      <c r="F1555" s="5" t="inlineStr"/>
      <c r="G1555" s="6" t="inlineStr"/>
      <c r="H1555" s="6" t="inlineStr">
        <is>
          <t>Afişindeki cümle kısaydı: “Ben içeriyi gördüm.” Mahalle seni meclis yolunda destekliyor; koğuş da, mektupla.</t>
        </is>
      </c>
      <c r="I1555" s="6" t="inlineStr">
        <is>
          <t>Parti seni cezaevleriyle ilgili bir komisyona önerdi. İlk toplantıda çay ocaklarının yerini değiştirdin; herkes daha rahat, kimse nedenini bilmiyor.</t>
        </is>
      </c>
      <c r="J1555" s="6" t="inlineStr">
        <is>
          <t>Başvuru formunda “Son on yılınızı anlatınız” diye bir kutu vardı. Kutu küçük kaldı; sen de eski yoluna döndün.</t>
        </is>
      </c>
      <c r="K1555" s="6" t="inlineStr">
        <is>
          <t>İlk konuşmanı koğuş diliyle yaptın. Salonda bir tek eski bir gardiyan anladı; o da alkışlamadı. Eski yoluna döndün.</t>
        </is>
      </c>
      <c r="L1555" s="6" t="inlineStr"/>
      <c r="M1555" s="5" t="inlineStr"/>
      <c r="N1555" s="5" t="inlineStr"/>
      <c r="O1555" s="6" t="inlineStr"/>
      <c r="P1555" s="6" t="inlineStr"/>
      <c r="Q1555" s="5" t="inlineStr"/>
      <c r="R1555" s="5" t="inlineStr"/>
      <c r="S1555" s="5" t="inlineStr"/>
      <c r="T1555" s="5" t="inlineStr"/>
      <c r="U1555" s="5" t="inlineStr"/>
      <c r="V1555" s="5" t="inlineStr">
        <is>
          <t>-hat-cete, -hat-dolandirici, -hat-girisimci, -hat-goc, -hat-hekim, -hat-koy, -hat-polis, -hat-sohret, -hat-usta, -hat-yargi, -meslek-beyazyaka, -meslek-esnaf, -meslek-memur, -meslek-serbest, hat-politika, -hapis, eski-hukumlu</t>
        </is>
      </c>
      <c r="W1555" s="5" t="inlineStr">
        <is>
          <t>-hapis, eski-hukumlu</t>
        </is>
      </c>
      <c r="X1555" s="5" t="inlineStr"/>
      <c r="Y1555" s="5" t="inlineStr"/>
      <c r="Z1555" s="6" t="inlineStr"/>
      <c r="AA1555" s="5" t="inlineStr"/>
      <c r="AB1555" s="5" t="inlineStr">
        <is>
          <t>-hapis, eski-hukumlu</t>
        </is>
      </c>
      <c r="AC1555" s="5" t="inlineStr"/>
      <c r="AD1555" s="5" t="inlineStr"/>
      <c r="AE1555" s="5" t="inlineStr"/>
      <c r="AF1555" s="5" t="inlineStr"/>
      <c r="AG1555" s="5" t="inlineStr"/>
      <c r="AH1555" s="5" t="inlineStr"/>
    </row>
    <row r="1556">
      <c r="A1556" s="5" t="inlineStr">
        <is>
          <t>b8-cezaevi-kapisi</t>
        </is>
      </c>
      <c r="B1556" s="5" t="n">
        <v>5</v>
      </c>
      <c r="C1556" s="6" t="inlineStr">
        <is>
          <t>Mahallenin kefaletiyle iş bul</t>
        </is>
      </c>
      <c r="D1556" s="5" t="inlineStr"/>
      <c r="E1556" s="5" t="inlineStr"/>
      <c r="F1556" s="5" t="inlineStr">
        <is>
          <t>İtibar +1, Dayanıklılık +1</t>
        </is>
      </c>
      <c r="G1556" s="6" t="inlineStr">
        <is>
          <t>Kapıda seni çarşının en eski esnafı bekliyordu: “Senin için söz verdim, dükkânın arka tarafı senin.” Mahallede kimse geçmişini sormadı; sordurmadılar.</t>
        </is>
      </c>
      <c r="H1556" s="6" t="inlineStr"/>
      <c r="I1556" s="6" t="inlineStr"/>
      <c r="J1556" s="6" t="inlineStr"/>
      <c r="K1556" s="6" t="inlineStr"/>
      <c r="L1556" s="6" t="inlineStr"/>
      <c r="M1556" s="5" t="inlineStr"/>
      <c r="N1556" s="5" t="inlineStr"/>
      <c r="O1556" s="6" t="inlineStr"/>
      <c r="P1556" s="6" t="inlineStr"/>
      <c r="Q1556" s="5" t="inlineStr"/>
      <c r="R1556" s="5" t="inlineStr"/>
      <c r="S1556" s="5" t="inlineStr"/>
      <c r="T1556" s="5" t="inlineStr"/>
      <c r="U1556" s="5" t="inlineStr">
        <is>
          <t>-hat-cete, -hat-dolandirici, -hat-girisimci, -hat-goc, -hat-hekim, -hat-koy, -hat-polis, -hat-politika, -hat-sohret, -hat-usta, -hat-yargi, -meslek-beyazyaka, -meslek-memur, -meslek-serbest, meslek-esnaf, -hapis, eski-hukumlu, -ceza-indirimi</t>
        </is>
      </c>
      <c r="V1556" s="5" t="inlineStr"/>
      <c r="W1556" s="5" t="inlineStr"/>
      <c r="X1556" s="5" t="inlineStr"/>
      <c r="Y1556" s="5" t="inlineStr"/>
      <c r="Z1556" s="6" t="inlineStr"/>
      <c r="AA1556" s="5" t="inlineStr"/>
      <c r="AB1556" s="5" t="inlineStr"/>
      <c r="AC1556" s="5" t="inlineStr"/>
      <c r="AD1556" s="5" t="inlineStr">
        <is>
          <t>Kıt</t>
        </is>
      </c>
      <c r="AE1556" s="5" t="inlineStr"/>
      <c r="AF1556" s="5" t="inlineStr"/>
      <c r="AG1556" s="5" t="inlineStr"/>
      <c r="AH1556" s="5" t="inlineStr">
        <is>
          <t>İtibar 48</t>
        </is>
      </c>
    </row>
    <row r="1557">
      <c r="A1557" s="5" t="inlineStr">
        <is>
          <t>b9-cezaevi-kapisi</t>
        </is>
      </c>
      <c r="B1557" s="5" t="n">
        <v>1</v>
      </c>
      <c r="C1557" s="6" t="inlineStr">
        <is>
          <t>Mahallede küçük bir tamirci aç</t>
        </is>
      </c>
      <c r="D1557" s="5" t="inlineStr"/>
      <c r="E1557" s="5" t="inlineStr"/>
      <c r="F1557" s="5" t="inlineStr">
        <is>
          <t>Dayanıklılık +1, Sosyal Radar +1</t>
        </is>
      </c>
      <c r="G1557" s="6" t="inlineStr">
        <is>
          <t>Saat, radyo, bir de gönül tamiri. Müşterilerin çoğu emekli; sohbet uzun, iş kısa. Kimse acele etmiyor, en çok da sen.</t>
        </is>
      </c>
      <c r="H1557" s="6" t="inlineStr"/>
      <c r="I1557" s="6" t="inlineStr"/>
      <c r="J1557" s="6" t="inlineStr"/>
      <c r="K1557" s="6" t="inlineStr"/>
      <c r="L1557" s="6" t="inlineStr"/>
      <c r="M1557" s="5" t="inlineStr"/>
      <c r="N1557" s="5" t="inlineStr"/>
      <c r="O1557" s="6" t="inlineStr"/>
      <c r="P1557" s="6" t="inlineStr"/>
      <c r="Q1557" s="5" t="inlineStr"/>
      <c r="R1557" s="5" t="inlineStr"/>
      <c r="S1557" s="5" t="inlineStr"/>
      <c r="T1557" s="5" t="inlineStr"/>
      <c r="U1557" s="5" t="inlineStr">
        <is>
          <t>-hat-cete, -hat-dolandirici, -hat-girisimci, -hat-goc, -hat-hekim, -hat-koy, -hat-polis, -hat-politika, -hat-sohret, -hat-usta, -hat-yargi, -meslek-beyazyaka, -meslek-memur, -meslek-serbest, meslek-esnaf, -hapis, eski-hukumlu</t>
        </is>
      </c>
      <c r="V1557" s="5" t="inlineStr"/>
      <c r="W1557" s="5" t="inlineStr"/>
      <c r="X1557" s="5" t="inlineStr"/>
      <c r="Y1557" s="5" t="inlineStr"/>
      <c r="Z1557" s="6" t="inlineStr"/>
      <c r="AA1557" s="5" t="inlineStr"/>
      <c r="AB1557" s="5" t="inlineStr"/>
      <c r="AC1557" s="5" t="inlineStr"/>
      <c r="AD1557" s="5" t="inlineStr">
        <is>
          <t>Kıt</t>
        </is>
      </c>
      <c r="AE1557" s="5" t="inlineStr"/>
      <c r="AF1557" s="5" t="inlineStr"/>
      <c r="AG1557" s="5" t="inlineStr"/>
      <c r="AH1557" s="5" t="inlineStr"/>
    </row>
    <row r="1558">
      <c r="A1558" s="5" t="inlineStr">
        <is>
          <t>b9-cezaevi-kapisi</t>
        </is>
      </c>
      <c r="B1558" s="5" t="n">
        <v>2</v>
      </c>
      <c r="C1558" s="6" t="inlineStr">
        <is>
          <t>Eski işine dön</t>
        </is>
      </c>
      <c r="D1558" s="5" t="inlineStr"/>
      <c r="E1558" s="5" t="inlineStr"/>
      <c r="F1558" s="5" t="inlineStr">
        <is>
          <t>Pişkinlik +1, Cesaret +1</t>
        </is>
      </c>
      <c r="G1558" s="6" t="inlineStr">
        <is>
          <t>Eski çevreni aradın; çoğu emekli olmuş, birkaçı torun bakıyor. İşi kaldığı yerden sürdürüyorsun; öğle uykusuna ara vererek.</t>
        </is>
      </c>
      <c r="H1558" s="6" t="inlineStr"/>
      <c r="I1558" s="6" t="inlineStr"/>
      <c r="J1558" s="6" t="inlineStr"/>
      <c r="K1558" s="6" t="inlineStr"/>
      <c r="L1558" s="6" t="inlineStr"/>
      <c r="M1558" s="5" t="inlineStr"/>
      <c r="N1558" s="5" t="inlineStr"/>
      <c r="O1558" s="6" t="inlineStr"/>
      <c r="P1558" s="6" t="inlineStr"/>
      <c r="Q1558" s="5" t="inlineStr"/>
      <c r="R1558" s="5" t="inlineStr"/>
      <c r="S1558" s="5" t="inlineStr"/>
      <c r="T1558" s="5" t="inlineStr"/>
      <c r="U1558" s="5" t="inlineStr">
        <is>
          <t>-hapis, eski-hukumlu</t>
        </is>
      </c>
      <c r="V1558" s="5" t="inlineStr"/>
      <c r="W1558" s="5" t="inlineStr"/>
      <c r="X1558" s="5" t="inlineStr"/>
      <c r="Y1558" s="5" t="inlineStr"/>
      <c r="Z1558" s="6" t="inlineStr"/>
      <c r="AA1558" s="5" t="inlineStr"/>
      <c r="AB1558" s="5" t="inlineStr"/>
      <c r="AC1558" s="5" t="inlineStr"/>
      <c r="AD1558" s="5" t="inlineStr"/>
      <c r="AE1558" s="5" t="inlineStr"/>
      <c r="AF1558" s="5" t="inlineStr"/>
      <c r="AG1558" s="5" t="inlineStr"/>
      <c r="AH1558" s="5" t="inlineStr"/>
    </row>
    <row r="1559">
      <c r="A1559" s="5" t="inlineStr">
        <is>
          <t>b9-cezaevi-kapisi</t>
        </is>
      </c>
      <c r="B1559" s="5" t="n">
        <v>3</v>
      </c>
      <c r="C1559" s="6" t="inlineStr">
        <is>
          <t>Koğuş yıllarını kitap yap</t>
        </is>
      </c>
      <c r="D1559" s="5" t="inlineStr">
        <is>
          <t>Çene</t>
        </is>
      </c>
      <c r="E1559" s="5" t="inlineStr">
        <is>
          <t>Zor</t>
        </is>
      </c>
      <c r="F1559" s="5" t="inlineStr"/>
      <c r="G1559" s="6" t="inlineStr"/>
      <c r="H1559" s="6" t="inlineStr">
        <is>
          <t>“Altmışa Doğru Koğuş” emekliler arasında elden ele dolaşıyor. Parkta imza günü yapıyorsun; kuyruk bankın öbür ucunda bitiyor.</t>
        </is>
      </c>
      <c r="I1559" s="6" t="inlineStr">
        <is>
          <t>Kitap bir tiyatro oyunu oldu. Galaya koğuştan çıkmış iki arkadaşın geldi; en çok onlar güldü, kendi repliklerine.</t>
        </is>
      </c>
      <c r="J1559" s="6" t="inlineStr">
        <is>
          <t>El yazını kimse okuyamadı. Torunlardan biri bilgisayara geçirecekti; henüz geçirmedi. Eski yoluna döndün.</t>
        </is>
      </c>
      <c r="K1559" s="6" t="inlineStr">
        <is>
          <t>Taslağı otobüste unuttun. Şoför okudu, beğendi, kendi adıyla yarışmaya gönderdi; ödül aldı. Sen eski yoluna döndün.</t>
        </is>
      </c>
      <c r="L1559" s="6" t="inlineStr"/>
      <c r="M1559" s="5" t="inlineStr"/>
      <c r="N1559" s="5" t="inlineStr"/>
      <c r="O1559" s="6" t="inlineStr"/>
      <c r="P1559" s="6" t="inlineStr"/>
      <c r="Q1559" s="5" t="inlineStr"/>
      <c r="R1559" s="5" t="inlineStr"/>
      <c r="S1559" s="5" t="inlineStr"/>
      <c r="T1559" s="5" t="inlineStr"/>
      <c r="U1559" s="5" t="inlineStr"/>
      <c r="V1559" s="5" t="inlineStr">
        <is>
          <t>-hat-cete, -hat-dolandirici, -hat-girisimci, -hat-goc, -hat-hekim, -hat-koy, -hat-polis, -hat-politika, -hat-usta, -hat-yargi, -meslek-beyazyaka, -meslek-esnaf, -meslek-memur, hat-sohret, meslek-serbest, -hapis, eski-hukumlu</t>
        </is>
      </c>
      <c r="W1559" s="5" t="inlineStr">
        <is>
          <t>-hapis, eski-hukumlu</t>
        </is>
      </c>
      <c r="X1559" s="5" t="inlineStr"/>
      <c r="Y1559" s="5" t="inlineStr"/>
      <c r="Z1559" s="6" t="inlineStr"/>
      <c r="AA1559" s="5" t="inlineStr"/>
      <c r="AB1559" s="5" t="inlineStr">
        <is>
          <t>-hapis, eski-hukumlu</t>
        </is>
      </c>
      <c r="AC1559" s="5" t="inlineStr"/>
      <c r="AD1559" s="5" t="inlineStr"/>
      <c r="AE1559" s="5" t="inlineStr"/>
      <c r="AF1559" s="5" t="inlineStr"/>
      <c r="AG1559" s="5" t="inlineStr"/>
      <c r="AH1559" s="5" t="inlineStr"/>
    </row>
    <row r="1560">
      <c r="A1560" s="5" t="inlineStr">
        <is>
          <t>b9-cezaevi-kapisi</t>
        </is>
      </c>
      <c r="B1560" s="5" t="n">
        <v>4</v>
      </c>
      <c r="C1560" s="6" t="inlineStr">
        <is>
          <t>“Geç kaldım ama gördüm” diye siyasete gir</t>
        </is>
      </c>
      <c r="D1560" s="5" t="inlineStr">
        <is>
          <t>Pişkinlik</t>
        </is>
      </c>
      <c r="E1560" s="5" t="inlineStr">
        <is>
          <t>Çok Zor</t>
        </is>
      </c>
      <c r="F1560" s="5" t="inlineStr"/>
      <c r="G1560" s="6" t="inlineStr"/>
      <c r="H1560" s="6" t="inlineStr">
        <is>
          <t>Sloganınla bir partinin emekliler kolunda göreve başladın. Toplantılar çay ocağı gibi: herkes konuşuyor, sen demliyorsun.</t>
        </is>
      </c>
      <c r="I1560" s="6" t="inlineStr">
        <is>
          <t>Mahalle seni muhtarlığa, parti de meclise aday gösterdi. Afişindeki fotoğraf cezaevi kapısında çekildi; bilerek.</t>
        </is>
      </c>
      <c r="J1560" s="6" t="inlineStr">
        <is>
          <t>Başvurun komisyonda kaldı. Komisyon toplanmadı; sen de beklemedin, eski yoluna döndün.</t>
        </is>
      </c>
      <c r="K1560" s="6" t="inlineStr">
        <is>
          <t>İlk konuşmanda mikrofonu tavla zarı gibi salladın. Salon güldü, seçim kurulu gülmedi. Eski yoluna döndün.</t>
        </is>
      </c>
      <c r="L1560" s="6" t="inlineStr"/>
      <c r="M1560" s="5" t="inlineStr"/>
      <c r="N1560" s="5" t="inlineStr"/>
      <c r="O1560" s="6" t="inlineStr"/>
      <c r="P1560" s="6" t="inlineStr"/>
      <c r="Q1560" s="5" t="inlineStr"/>
      <c r="R1560" s="5" t="inlineStr"/>
      <c r="S1560" s="5" t="inlineStr"/>
      <c r="T1560" s="5" t="inlineStr"/>
      <c r="U1560" s="5" t="inlineStr"/>
      <c r="V1560" s="5" t="inlineStr">
        <is>
          <t>-hat-cete, -hat-dolandirici, -hat-girisimci, -hat-goc, -hat-hekim, -hat-koy, -hat-polis, -hat-sohret, -hat-usta, -hat-yargi, -meslek-beyazyaka, -meslek-esnaf, -meslek-memur, -meslek-serbest, hat-politika, -hapis, eski-hukumlu</t>
        </is>
      </c>
      <c r="W1560" s="5" t="inlineStr">
        <is>
          <t>-hapis, eski-hukumlu</t>
        </is>
      </c>
      <c r="X1560" s="5" t="inlineStr"/>
      <c r="Y1560" s="5" t="inlineStr"/>
      <c r="Z1560" s="6" t="inlineStr"/>
      <c r="AA1560" s="5" t="inlineStr"/>
      <c r="AB1560" s="5" t="inlineStr">
        <is>
          <t>-hapis, eski-hukumlu</t>
        </is>
      </c>
      <c r="AC1560" s="5" t="inlineStr"/>
      <c r="AD1560" s="5" t="inlineStr"/>
      <c r="AE1560" s="5" t="inlineStr"/>
      <c r="AF1560" s="5" t="inlineStr"/>
      <c r="AG1560" s="5" t="inlineStr"/>
      <c r="AH1560" s="5" t="inlineStr"/>
    </row>
    <row r="1561">
      <c r="A1561" s="5" t="inlineStr">
        <is>
          <t>b9-cezaevi-kapisi</t>
        </is>
      </c>
      <c r="B1561" s="5" t="n">
        <v>5</v>
      </c>
      <c r="C1561" s="6" t="inlineStr">
        <is>
          <t>Mahallenin kefaletiyle iş bul</t>
        </is>
      </c>
      <c r="D1561" s="5" t="inlineStr"/>
      <c r="E1561" s="5" t="inlineStr"/>
      <c r="F1561" s="5" t="inlineStr">
        <is>
          <t>İtibar +1, Dayanıklılık +1</t>
        </is>
      </c>
      <c r="G1561" s="6" t="inlineStr">
        <is>
          <t>Kapıda seni çarşının en eski esnafı bekliyordu: “Senin için söz verdim, dükkânın arka tarafı senin.” Mahallede kimse geçmişini sormadı; sordurmadılar.</t>
        </is>
      </c>
      <c r="H1561" s="6" t="inlineStr"/>
      <c r="I1561" s="6" t="inlineStr"/>
      <c r="J1561" s="6" t="inlineStr"/>
      <c r="K1561" s="6" t="inlineStr"/>
      <c r="L1561" s="6" t="inlineStr"/>
      <c r="M1561" s="5" t="inlineStr"/>
      <c r="N1561" s="5" t="inlineStr"/>
      <c r="O1561" s="6" t="inlineStr"/>
      <c r="P1561" s="6" t="inlineStr"/>
      <c r="Q1561" s="5" t="inlineStr"/>
      <c r="R1561" s="5" t="inlineStr"/>
      <c r="S1561" s="5" t="inlineStr"/>
      <c r="T1561" s="5" t="inlineStr"/>
      <c r="U1561" s="5" t="inlineStr">
        <is>
          <t>-hat-cete, -hat-dolandirici, -hat-girisimci, -hat-goc, -hat-hekim, -hat-koy, -hat-polis, -hat-politika, -hat-sohret, -hat-usta, -hat-yargi, -meslek-beyazyaka, -meslek-memur, -meslek-serbest, meslek-esnaf, -hapis, eski-hukumlu, -ceza-indirimi</t>
        </is>
      </c>
      <c r="V1561" s="5" t="inlineStr"/>
      <c r="W1561" s="5" t="inlineStr"/>
      <c r="X1561" s="5" t="inlineStr"/>
      <c r="Y1561" s="5" t="inlineStr"/>
      <c r="Z1561" s="6" t="inlineStr"/>
      <c r="AA1561" s="5" t="inlineStr"/>
      <c r="AB1561" s="5" t="inlineStr"/>
      <c r="AC1561" s="5" t="inlineStr"/>
      <c r="AD1561" s="5" t="inlineStr">
        <is>
          <t>Kıt</t>
        </is>
      </c>
      <c r="AE1561" s="5" t="inlineStr"/>
      <c r="AF1561" s="5" t="inlineStr"/>
      <c r="AG1561" s="5" t="inlineStr"/>
      <c r="AH1561" s="5" t="inlineStr">
        <is>
          <t>İtibar 51</t>
        </is>
      </c>
    </row>
    <row r="1562">
      <c r="A1562" s="5" t="inlineStr">
        <is>
          <t>b7-sohret-secmeler</t>
        </is>
      </c>
      <c r="B1562" s="5" t="n">
        <v>1</v>
      </c>
      <c r="C1562" s="6" t="inlineStr">
        <is>
          <t>Metni yazıldığı gibi, kusursuz oku</t>
        </is>
      </c>
      <c r="D1562" s="5" t="inlineStr"/>
      <c r="E1562" s="5" t="inlineStr"/>
      <c r="F1562" s="5" t="inlineStr">
        <is>
          <t>Akıl +1, Dayanıklılık +1</t>
        </is>
      </c>
      <c r="G1562" s="6" t="inlineStr">
        <is>
          <t>Metni tek hata yapmadan okudun. Yapımcı “Teşekkürler” dedi. Rol, sandviç bitmeden okuyan birine gitti.</t>
        </is>
      </c>
      <c r="H1562" s="6" t="inlineStr"/>
      <c r="I1562" s="6" t="inlineStr"/>
      <c r="J1562" s="6" t="inlineStr"/>
      <c r="K1562" s="6" t="inlineStr"/>
      <c r="L1562" s="6" t="inlineStr"/>
      <c r="M1562" s="5" t="inlineStr"/>
      <c r="N1562" s="5" t="inlineStr"/>
      <c r="O1562" s="6" t="inlineStr"/>
      <c r="P1562" s="6" t="inlineStr"/>
      <c r="Q1562" s="5" t="inlineStr"/>
      <c r="R1562" s="5" t="inlineStr"/>
      <c r="S1562" s="5" t="inlineStr"/>
      <c r="T1562" s="5" t="inlineStr"/>
      <c r="U1562" s="5" t="inlineStr"/>
      <c r="V1562" s="5" t="inlineStr"/>
      <c r="W1562" s="5" t="inlineStr"/>
      <c r="X1562" s="5" t="inlineStr"/>
      <c r="Y1562" s="5" t="inlineStr"/>
      <c r="Z1562" s="6" t="inlineStr"/>
      <c r="AA1562" s="5" t="inlineStr"/>
      <c r="AB1562" s="5" t="inlineStr"/>
      <c r="AC1562" s="5" t="inlineStr"/>
      <c r="AD1562" s="5" t="inlineStr"/>
      <c r="AE1562" s="5" t="inlineStr"/>
      <c r="AF1562" s="5" t="inlineStr"/>
      <c r="AG1562" s="5" t="inlineStr"/>
      <c r="AH1562" s="5" t="inlineStr"/>
    </row>
    <row r="1563">
      <c r="A1563" s="5" t="inlineStr">
        <is>
          <t>b7-sohret-secmeler</t>
        </is>
      </c>
      <c r="B1563" s="5" t="n">
        <v>2</v>
      </c>
      <c r="C1563" s="6" t="inlineStr">
        <is>
          <t>Repliği bağırarak, gözyaşıyla oyna</t>
        </is>
      </c>
      <c r="D1563" s="5" t="inlineStr">
        <is>
          <t>Pişkinlik</t>
        </is>
      </c>
      <c r="E1563" s="5" t="inlineStr">
        <is>
          <t>Orta</t>
        </is>
      </c>
      <c r="F1563" s="5" t="inlineStr"/>
      <c r="G1563" s="6" t="inlineStr"/>
      <c r="H1563" s="6" t="inlineStr">
        <is>
          <t>Koridordaki kırk kişi sustu. Yapımcı sandviçi bıraktı: “Arsa meselesine inandım.” Dizide küçük kardeşsin; arsa yine ağabeyin.</t>
        </is>
      </c>
      <c r="I1563" s="6" t="inlineStr">
        <is>
          <t>Yapımcı ağladı, kameraman ağladı, sandviç ıslandı. Rol senin; senaristler arsayı sana vermek için yeni bölüm yazıyor.</t>
        </is>
      </c>
      <c r="J1563" s="6" t="inlineStr">
        <is>
          <t>Bağırdın ama gözyaşı gelmedi. Yapımcı “Kuru ağlama da bir tarz” dedi ve sıradakini çağırdı.</t>
        </is>
      </c>
      <c r="K1563" s="6" t="inlineStr">
        <is>
          <t>O kadar bağırdın ki güvenlik geldi. Binadan dışarı eşlik edildin; koridordaki kırk kişi seni alkışladı, sen gidince.</t>
        </is>
      </c>
      <c r="L1563" s="6" t="inlineStr"/>
      <c r="M1563" s="5" t="inlineStr"/>
      <c r="N1563" s="5" t="inlineStr"/>
      <c r="O1563" s="6" t="inlineStr"/>
      <c r="P1563" s="6" t="inlineStr"/>
      <c r="Q1563" s="5" t="inlineStr"/>
      <c r="R1563" s="5" t="inlineStr"/>
      <c r="S1563" s="5" t="inlineStr"/>
      <c r="T1563" s="5" t="inlineStr"/>
      <c r="U1563" s="5" t="inlineStr"/>
      <c r="V1563" s="5" t="inlineStr">
        <is>
          <t>sohret-dizi-rolu</t>
        </is>
      </c>
      <c r="W1563" s="5" t="inlineStr"/>
      <c r="X1563" s="5" t="inlineStr"/>
      <c r="Y1563" s="5" t="inlineStr"/>
      <c r="Z1563" s="6" t="inlineStr"/>
      <c r="AA1563" s="5" t="inlineStr"/>
      <c r="AB1563" s="5" t="inlineStr"/>
      <c r="AC1563" s="5" t="inlineStr"/>
      <c r="AD1563" s="5" t="inlineStr"/>
      <c r="AE1563" s="5" t="inlineStr"/>
      <c r="AF1563" s="5" t="inlineStr"/>
      <c r="AG1563" s="5" t="inlineStr"/>
      <c r="AH1563" s="5" t="inlineStr"/>
    </row>
    <row r="1564">
      <c r="A1564" s="5" t="inlineStr">
        <is>
          <t>b7-sohret-secmeler</t>
        </is>
      </c>
      <c r="B1564" s="5" t="n">
        <v>3</v>
      </c>
      <c r="C1564" s="6" t="inlineStr">
        <is>
          <t>Yapımcının sandviçine laf at, buzu kır</t>
        </is>
      </c>
      <c r="D1564" s="5" t="inlineStr">
        <is>
          <t>Sosyal Radar</t>
        </is>
      </c>
      <c r="E1564" s="5" t="inlineStr">
        <is>
          <t>Orta</t>
        </is>
      </c>
      <c r="F1564" s="5" t="inlineStr"/>
      <c r="G1564" s="6" t="inlineStr"/>
      <c r="H1564" s="6" t="inlineStr">
        <is>
          <t>“Kaşarlı mı?” dedin. Güldü. Kardeş rolü başkasına gitti ama sana kahveciyi verdi. Kahveci her bölümde var.</t>
        </is>
      </c>
      <c r="I1564" s="6" t="inlineStr">
        <is>
          <t>Sandviç muhabbeti uzadı; aynı fırından ekmek aldığınız çıktı. Kahveci rolü yeniden yazıldı, adı da seninki oldu.</t>
        </is>
      </c>
      <c r="J1564" s="6" t="inlineStr">
        <is>
          <t>Sandviçe laf attın; yapımcı diyette çıktı. Sandviç de sohbet de orada bitti.</t>
        </is>
      </c>
      <c r="K1564" s="6" t="inlineStr">
        <is>
          <t>Yapımcı sandviçi sana uzattı: “Madem merak ettin.” Repliği ağzın dolu okudun. Kayıt hâlâ dolaşıyor.</t>
        </is>
      </c>
      <c r="L1564" s="6" t="inlineStr"/>
      <c r="M1564" s="5" t="inlineStr"/>
      <c r="N1564" s="5" t="inlineStr"/>
      <c r="O1564" s="6" t="inlineStr"/>
      <c r="P1564" s="6" t="inlineStr"/>
      <c r="Q1564" s="5" t="inlineStr"/>
      <c r="R1564" s="5" t="inlineStr"/>
      <c r="S1564" s="5" t="inlineStr"/>
      <c r="T1564" s="5" t="inlineStr"/>
      <c r="U1564" s="5" t="inlineStr"/>
      <c r="V1564" s="5" t="inlineStr">
        <is>
          <t>sohret-dizi-rolu</t>
        </is>
      </c>
      <c r="W1564" s="5" t="inlineStr"/>
      <c r="X1564" s="5" t="inlineStr"/>
      <c r="Y1564" s="5" t="inlineStr"/>
      <c r="Z1564" s="6" t="inlineStr"/>
      <c r="AA1564" s="5" t="inlineStr"/>
      <c r="AB1564" s="5" t="inlineStr"/>
      <c r="AC1564" s="5" t="inlineStr"/>
      <c r="AD1564" s="5" t="inlineStr"/>
      <c r="AE1564" s="5" t="inlineStr"/>
      <c r="AF1564" s="5" t="inlineStr"/>
      <c r="AG1564" s="5" t="inlineStr"/>
      <c r="AH1564" s="5" t="inlineStr"/>
    </row>
    <row r="1565">
      <c r="A1565" s="5" t="inlineStr">
        <is>
          <t>b7-sohret-reklam</t>
        </is>
      </c>
      <c r="B1565" s="5" t="n">
        <v>1</v>
      </c>
      <c r="C1565" s="6" t="inlineStr">
        <is>
          <t>Sözleşmeyi imzala, lekesiz yaşa</t>
        </is>
      </c>
      <c r="D1565" s="5" t="inlineStr"/>
      <c r="E1565" s="5" t="inlineStr"/>
      <c r="F1565" s="5" t="inlineStr">
        <is>
          <t>Pişkinlik +1, Dayanıklılık +1</t>
        </is>
      </c>
      <c r="G1565" s="6" t="inlineStr">
        <is>
          <t>Otobüs duraklarında gülümseyen dev bir sen var. Bir gün pantolonuna çay döküldü; üç kişi fotoğrafını çekti.</t>
        </is>
      </c>
      <c r="H1565" s="6" t="inlineStr"/>
      <c r="I1565" s="6" t="inlineStr"/>
      <c r="J1565" s="6" t="inlineStr"/>
      <c r="K1565" s="6" t="inlineStr"/>
      <c r="L1565" s="6" t="inlineStr"/>
      <c r="M1565" s="5" t="inlineStr"/>
      <c r="N1565" s="5" t="inlineStr"/>
      <c r="O1565" s="6" t="inlineStr"/>
      <c r="P1565" s="6" t="inlineStr"/>
      <c r="Q1565" s="5" t="inlineStr"/>
      <c r="R1565" s="5" t="inlineStr"/>
      <c r="S1565" s="5" t="inlineStr"/>
      <c r="T1565" s="5" t="inlineStr"/>
      <c r="U1565" s="5" t="inlineStr">
        <is>
          <t>sohret-reklam-yuzu</t>
        </is>
      </c>
      <c r="V1565" s="5" t="inlineStr"/>
      <c r="W1565" s="5" t="inlineStr"/>
      <c r="X1565" s="5" t="inlineStr"/>
      <c r="Y1565" s="5" t="inlineStr"/>
      <c r="Z1565" s="6" t="inlineStr"/>
      <c r="AA1565" s="5" t="inlineStr"/>
      <c r="AB1565" s="5" t="inlineStr"/>
      <c r="AC1565" s="5" t="inlineStr"/>
      <c r="AD1565" s="5" t="inlineStr">
        <is>
          <t>Orta</t>
        </is>
      </c>
      <c r="AE1565" s="5" t="inlineStr"/>
      <c r="AF1565" s="5" t="inlineStr"/>
      <c r="AG1565" s="5" t="inlineStr"/>
      <c r="AH1565" s="5" t="inlineStr"/>
    </row>
    <row r="1566">
      <c r="A1566" s="5" t="inlineStr">
        <is>
          <t>b7-sohret-reklam</t>
        </is>
      </c>
      <c r="B1566" s="5" t="n">
        <v>2</v>
      </c>
      <c r="C1566" s="6" t="inlineStr">
        <is>
          <t>Cümleni tişörte, kupaya bas</t>
        </is>
      </c>
      <c r="D1566" s="5" t="inlineStr">
        <is>
          <t>Sosyal Radar</t>
        </is>
      </c>
      <c r="E1566" s="5" t="inlineStr">
        <is>
          <t>Orta</t>
        </is>
      </c>
      <c r="F1566" s="5" t="inlineStr"/>
      <c r="G1566" s="6" t="inlineStr"/>
      <c r="H1566" s="6" t="inlineStr">
        <is>
          <t>Cümleni tişörte, kupaya, anahtarlığa bastın. Mahallenin bakkalı bile satıyor; sana pay vermeden.</t>
        </is>
      </c>
      <c r="I1566" s="6" t="inlineStr">
        <is>
          <t>Cümlen okullarda söylenmeye başladı; öğretmenler yasakladı, tişörtler tükendi. Yasak en iyi reklamın oldu.</t>
        </is>
      </c>
      <c r="J1566" s="6" t="inlineStr">
        <is>
          <t>Kupalar geldi; cümlen yanlış basılmış. Kimse almadı. Evde çayı yanlış cümleden içiyorsun.</t>
        </is>
      </c>
      <c r="K1566" s="6" t="inlineStr">
        <is>
          <t>Cümlenin hakkını senden önce başkası almış. Kendi cümleni kullandığın için ondan ihtar yedin.</t>
        </is>
      </c>
      <c r="L1566" s="6" t="inlineStr"/>
      <c r="M1566" s="5" t="inlineStr"/>
      <c r="N1566" s="5" t="inlineStr"/>
      <c r="O1566" s="6" t="inlineStr"/>
      <c r="P1566" s="6" t="inlineStr"/>
      <c r="Q1566" s="5" t="inlineStr"/>
      <c r="R1566" s="5" t="inlineStr"/>
      <c r="S1566" s="5" t="inlineStr"/>
      <c r="T1566" s="5" t="inlineStr"/>
      <c r="U1566" s="5" t="inlineStr"/>
      <c r="V1566" s="5" t="inlineStr">
        <is>
          <t>fenomen</t>
        </is>
      </c>
      <c r="W1566" s="5" t="inlineStr"/>
      <c r="X1566" s="5" t="inlineStr"/>
      <c r="Y1566" s="5" t="inlineStr"/>
      <c r="Z1566" s="6" t="inlineStr"/>
      <c r="AA1566" s="5" t="inlineStr"/>
      <c r="AB1566" s="5" t="inlineStr"/>
      <c r="AC1566" s="5" t="inlineStr"/>
      <c r="AD1566" s="5" t="inlineStr"/>
      <c r="AE1566" s="5" t="inlineStr"/>
      <c r="AF1566" s="5" t="inlineStr"/>
      <c r="AG1566" s="5" t="inlineStr"/>
      <c r="AH1566" s="5" t="inlineStr"/>
    </row>
    <row r="1567">
      <c r="A1567" s="5" t="inlineStr">
        <is>
          <t>b7-sohret-reklam</t>
        </is>
      </c>
      <c r="B1567" s="5" t="n">
        <v>3</v>
      </c>
      <c r="C1567" s="6" t="inlineStr">
        <is>
          <t>Reklamda senaryoyu bırak, doğaçla</t>
        </is>
      </c>
      <c r="D1567" s="5" t="inlineStr">
        <is>
          <t>Pişkinlik</t>
        </is>
      </c>
      <c r="E1567" s="5" t="inlineStr">
        <is>
          <t>Zor</t>
        </is>
      </c>
      <c r="F1567" s="5" t="inlineStr"/>
      <c r="G1567" s="6" t="inlineStr"/>
      <c r="H1567" s="6" t="inlineStr">
        <is>
          <t>Senaryoda “Mis gibi” yazıyordu; sen “Annem bile şaşırdı” dedin. Reklam tuttu. Annen hâlâ neye şaşırdığını soruyor.</t>
        </is>
      </c>
      <c r="I1567" s="6" t="inlineStr">
        <is>
          <t>Doğaçlaman reklam ödülü aldı. Firma yeni reklamların senaryosunu sana soruyor; deterjanını hâlâ markette parayla alıyorsun.</t>
        </is>
      </c>
      <c r="J1567" s="6" t="inlineStr">
        <is>
          <t>Doğaçlama kurguda kesildi. Reklamda yalnızca çamaşır makinesini açan elin var. El olarak iyi para.</t>
        </is>
      </c>
      <c r="K1567" s="6" t="inlineStr">
        <is>
          <t>Doğaçlarken rakip firmanın adını andın. Reklam yayından kalktı; sen de sözleşmeden.</t>
        </is>
      </c>
      <c r="L1567" s="6" t="inlineStr"/>
      <c r="M1567" s="5" t="inlineStr"/>
      <c r="N1567" s="5" t="inlineStr"/>
      <c r="O1567" s="6" t="inlineStr"/>
      <c r="P1567" s="6" t="inlineStr"/>
      <c r="Q1567" s="5" t="inlineStr"/>
      <c r="R1567" s="5" t="inlineStr"/>
      <c r="S1567" s="5" t="inlineStr"/>
      <c r="T1567" s="5" t="inlineStr">
        <is>
          <t>Sahne Sever</t>
        </is>
      </c>
      <c r="U1567" s="5" t="inlineStr"/>
      <c r="V1567" s="5" t="inlineStr">
        <is>
          <t>sohret-reklam-yuzu</t>
        </is>
      </c>
      <c r="W1567" s="5" t="inlineStr"/>
      <c r="X1567" s="5" t="inlineStr"/>
      <c r="Y1567" s="5" t="inlineStr"/>
      <c r="Z1567" s="6" t="inlineStr"/>
      <c r="AA1567" s="5" t="inlineStr"/>
      <c r="AB1567" s="5" t="inlineStr"/>
      <c r="AC1567" s="5" t="inlineStr"/>
      <c r="AD1567" s="5" t="inlineStr"/>
      <c r="AE1567" s="5" t="inlineStr"/>
      <c r="AF1567" s="5" t="inlineStr"/>
      <c r="AG1567" s="5" t="inlineStr"/>
      <c r="AH1567" s="5" t="inlineStr"/>
    </row>
    <row r="1568">
      <c r="A1568" s="5" t="inlineStr">
        <is>
          <t>b7-sohret-taninma</t>
        </is>
      </c>
      <c r="B1568" s="5" t="n">
        <v>1</v>
      </c>
      <c r="C1568" s="6" t="inlineStr">
        <is>
          <t>“Bankadaki arkadaşıyım” de, geç</t>
        </is>
      </c>
      <c r="D1568" s="5" t="inlineStr"/>
      <c r="E1568" s="5" t="inlineStr"/>
      <c r="F1568" s="5" t="inlineStr">
        <is>
          <t>Kurnazlık +1, Dayanıklılık +1</t>
        </is>
      </c>
      <c r="G1568" s="6" t="inlineStr">
        <is>
          <t>Teyze memnun oldu, sıra ilerledi. Ertesi hafta damadı bankada seni sormuş. Artık bir bankada bir arkadaşın var.</t>
        </is>
      </c>
      <c r="H1568" s="6" t="inlineStr"/>
      <c r="I1568" s="6" t="inlineStr"/>
      <c r="J1568" s="6" t="inlineStr"/>
      <c r="K1568" s="6" t="inlineStr"/>
      <c r="L1568" s="6" t="inlineStr"/>
      <c r="M1568" s="5" t="inlineStr"/>
      <c r="N1568" s="5" t="inlineStr"/>
      <c r="O1568" s="6" t="inlineStr"/>
      <c r="P1568" s="6" t="inlineStr"/>
      <c r="Q1568" s="5" t="inlineStr"/>
      <c r="R1568" s="5" t="inlineStr"/>
      <c r="S1568" s="5" t="inlineStr"/>
      <c r="T1568" s="5" t="inlineStr"/>
      <c r="U1568" s="5" t="inlineStr"/>
      <c r="V1568" s="5" t="inlineStr"/>
      <c r="W1568" s="5" t="inlineStr"/>
      <c r="X1568" s="5" t="inlineStr"/>
      <c r="Y1568" s="5" t="inlineStr"/>
      <c r="Z1568" s="6" t="inlineStr"/>
      <c r="AA1568" s="5" t="inlineStr"/>
      <c r="AB1568" s="5" t="inlineStr"/>
      <c r="AC1568" s="5" t="inlineStr"/>
      <c r="AD1568" s="5" t="inlineStr"/>
      <c r="AE1568" s="5" t="inlineStr"/>
      <c r="AF1568" s="5" t="inlineStr"/>
      <c r="AG1568" s="5" t="inlineStr"/>
      <c r="AH1568" s="5" t="inlineStr"/>
    </row>
    <row r="1569">
      <c r="A1569" s="5" t="inlineStr">
        <is>
          <t>b7-sohret-taninma</t>
        </is>
      </c>
      <c r="B1569" s="5" t="n">
        <v>2</v>
      </c>
      <c r="C1569" s="6" t="inlineStr">
        <is>
          <t>Dizideki repliğini orada söyle</t>
        </is>
      </c>
      <c r="D1569" s="5" t="inlineStr">
        <is>
          <t>Pişkinlik</t>
        </is>
      </c>
      <c r="E1569" s="5" t="inlineStr">
        <is>
          <t>Orta</t>
        </is>
      </c>
      <c r="F1569" s="5" t="inlineStr"/>
      <c r="G1569" s="6" t="inlineStr"/>
      <c r="H1569" s="6" t="inlineStr">
        <is>
          <t>Repliği söyledin; kasiyer de tanıdı, sıra alkışladı. Teyze fotoğraf çekti, damadına gönderdi.</t>
        </is>
      </c>
      <c r="I1569" s="6" t="inlineStr">
        <is>
          <t>Market müdürü anonsla seni kasaya çağırdı, alışverişin hediye oldu. Karşılığında raflar arasında on fotoğraf verdin.</t>
        </is>
      </c>
      <c r="J1569" s="6" t="inlineStr">
        <is>
          <t>Repliği söyledin; teyze “Yok, o değil” dedi. Poşetlerini alıp yanlış anlaşılma olarak çıktın.</t>
        </is>
      </c>
      <c r="K1569" s="6" t="inlineStr">
        <is>
          <t>Teyze seni başka dizideki kötü adam sandı, onun yaptıkları için sana kızdı. Sırada kendini savundun, kaybettin.</t>
        </is>
      </c>
      <c r="L1569" s="6" t="inlineStr"/>
      <c r="M1569" s="5" t="inlineStr"/>
      <c r="N1569" s="5" t="inlineStr"/>
      <c r="O1569" s="6" t="inlineStr"/>
      <c r="P1569" s="6" t="inlineStr"/>
      <c r="Q1569" s="5" t="inlineStr"/>
      <c r="R1569" s="5" t="inlineStr"/>
      <c r="S1569" s="5" t="inlineStr"/>
      <c r="T1569" s="5" t="inlineStr"/>
      <c r="U1569" s="5" t="inlineStr"/>
      <c r="V1569" s="5" t="inlineStr"/>
      <c r="W1569" s="5" t="inlineStr"/>
      <c r="X1569" s="5" t="inlineStr"/>
      <c r="Y1569" s="5" t="inlineStr"/>
      <c r="Z1569" s="6" t="inlineStr"/>
      <c r="AA1569" s="5" t="inlineStr"/>
      <c r="AB1569" s="5" t="inlineStr"/>
      <c r="AC1569" s="5" t="inlineStr"/>
      <c r="AD1569" s="5" t="inlineStr"/>
      <c r="AE1569" s="5" t="inlineStr"/>
      <c r="AF1569" s="5" t="inlineStr"/>
      <c r="AG1569" s="5" t="inlineStr"/>
      <c r="AH1569" s="5" t="inlineStr"/>
    </row>
    <row r="1570">
      <c r="A1570" s="5" t="inlineStr">
        <is>
          <t>b7-sohret-taninma</t>
        </is>
      </c>
      <c r="B1570" s="5" t="n">
        <v>3</v>
      </c>
      <c r="C1570" s="6" t="inlineStr">
        <is>
          <t>Sırayı imza dağıtarak hızlandır</t>
        </is>
      </c>
      <c r="D1570" s="5" t="inlineStr">
        <is>
          <t>Sosyal Radar</t>
        </is>
      </c>
      <c r="E1570" s="5" t="inlineStr">
        <is>
          <t>Orta</t>
        </is>
      </c>
      <c r="F1570" s="5" t="inlineStr"/>
      <c r="G1570" s="6" t="inlineStr"/>
      <c r="H1570" s="6" t="inlineStr">
        <is>
          <t>Fişlerin arkasını imzaladın. Sıra hızlandı, herkes mutlu. Kasiyer imzalı fişi vitrine astı.</t>
        </is>
      </c>
      <c r="I1570" s="6" t="inlineStr">
        <is>
          <t>İmza dağıtırken kasiyerin de oyuncu olmak istediğini öğrendin, yapımcıya önerdin. Seçildi. Mahallenin ikinci ünlüsü senin keşfin.</t>
        </is>
      </c>
      <c r="J1570" s="6" t="inlineStr">
        <is>
          <t>Bir amca imzayı fişin önüne attırdı; fiş geçersiz oldu. İade kuyruğu senden sorumlu.</t>
        </is>
      </c>
      <c r="K1570" s="6" t="inlineStr">
        <is>
          <t>Kalemin mürekkebi patladı, teyzenin paltosu lekelendi. Deterjan reklamlarındaki gibi çıkmadı.</t>
        </is>
      </c>
      <c r="L1570" s="6" t="inlineStr"/>
      <c r="M1570" s="5" t="inlineStr"/>
      <c r="N1570" s="5" t="inlineStr"/>
      <c r="O1570" s="6" t="inlineStr"/>
      <c r="P1570" s="6" t="inlineStr"/>
      <c r="Q1570" s="5" t="inlineStr"/>
      <c r="R1570" s="5" t="inlineStr"/>
      <c r="S1570" s="5" t="inlineStr"/>
      <c r="T1570" s="5" t="inlineStr"/>
      <c r="U1570" s="5" t="inlineStr"/>
      <c r="V1570" s="5" t="inlineStr"/>
      <c r="W1570" s="5" t="inlineStr"/>
      <c r="X1570" s="5" t="inlineStr"/>
      <c r="Y1570" s="5" t="inlineStr"/>
      <c r="Z1570" s="6" t="inlineStr"/>
      <c r="AA1570" s="5" t="inlineStr"/>
      <c r="AB1570" s="5" t="inlineStr"/>
      <c r="AC1570" s="5" t="inlineStr"/>
      <c r="AD1570" s="5" t="inlineStr"/>
      <c r="AE1570" s="5" t="inlineStr"/>
      <c r="AF1570" s="5" t="inlineStr"/>
      <c r="AG1570" s="5" t="inlineStr"/>
      <c r="AH1570" s="5" t="inlineStr"/>
    </row>
    <row r="1571">
      <c r="A1571" s="5" t="inlineStr">
        <is>
          <t>b7-sohret-taninma</t>
        </is>
      </c>
      <c r="B1571" s="5" t="n">
        <v>4</v>
      </c>
      <c r="C1571" s="6" t="inlineStr">
        <is>
          <t>Canlı yayın aç, kasa sırasını yayına al</t>
        </is>
      </c>
      <c r="D1571" s="5" t="inlineStr">
        <is>
          <t>Pişkinlik</t>
        </is>
      </c>
      <c r="E1571" s="5" t="inlineStr">
        <is>
          <t>Zor</t>
        </is>
      </c>
      <c r="F1571" s="5" t="inlineStr"/>
      <c r="G1571" s="6" t="inlineStr"/>
      <c r="H1571" s="6" t="inlineStr">
        <is>
          <t>Kırk bin kişi kasa sırasını canlı izledi. Teyze yorumlarda tanındı; damadı da kendini gösterdi.</t>
        </is>
      </c>
      <c r="I1571" s="6" t="inlineStr">
        <is>
          <t>Yayın o kadar izlendi ki market zinciri seni “kasa sırası elçisi” yaptı. Sıra artık senin için bekliyor.</t>
        </is>
      </c>
      <c r="J1571" s="6" t="inlineStr">
        <is>
          <t>Yayını açtın; marketin interneti çekmedi. Sırada tek başına kameraya konuşan adam oldun.</t>
        </is>
      </c>
      <c r="K1571" s="6" t="inlineStr">
        <is>
          <t>Yayında teyze sana hayat dersi verdi; yorumlar onu tuttu. Teyzenin artık senden çok takipçisi var.</t>
        </is>
      </c>
      <c r="L1571" s="6" t="inlineStr"/>
      <c r="M1571" s="5" t="inlineStr"/>
      <c r="N1571" s="5" t="inlineStr"/>
      <c r="O1571" s="6" t="inlineStr"/>
      <c r="P1571" s="6" t="inlineStr"/>
      <c r="Q1571" s="5" t="inlineStr"/>
      <c r="R1571" s="5" t="inlineStr">
        <is>
          <t>fenomen</t>
        </is>
      </c>
      <c r="S1571" s="5" t="inlineStr"/>
      <c r="T1571" s="5" t="inlineStr">
        <is>
          <t>Odayı Okur</t>
        </is>
      </c>
      <c r="U1571" s="5" t="inlineStr"/>
      <c r="V1571" s="5" t="inlineStr"/>
      <c r="W1571" s="5" t="inlineStr"/>
      <c r="X1571" s="5" t="inlineStr"/>
      <c r="Y1571" s="5" t="inlineStr"/>
      <c r="Z1571" s="6" t="inlineStr"/>
      <c r="AA1571" s="5" t="inlineStr"/>
      <c r="AB1571" s="5" t="inlineStr"/>
      <c r="AC1571" s="5" t="inlineStr"/>
      <c r="AD1571" s="5" t="inlineStr"/>
      <c r="AE1571" s="5" t="inlineStr"/>
      <c r="AF1571" s="5" t="inlineStr"/>
      <c r="AG1571" s="5" t="inlineStr"/>
      <c r="AH1571" s="5" t="inlineStr"/>
    </row>
    <row r="1572">
      <c r="A1572" s="5" t="inlineStr">
        <is>
          <t>b8-sohret-kapak</t>
        </is>
      </c>
      <c r="B1572" s="5" t="n">
        <v>1</v>
      </c>
      <c r="C1572" s="6" t="inlineStr">
        <is>
          <t>Başlığı editöre bırak</t>
        </is>
      </c>
      <c r="D1572" s="5" t="inlineStr"/>
      <c r="E1572" s="5" t="inlineStr"/>
      <c r="F1572" s="5" t="inlineStr">
        <is>
          <t>Dayanıklılık +1, Sosyal Radar +1</t>
        </is>
      </c>
      <c r="G1572" s="6" t="inlineStr">
        <is>
          <t>Başlık çıktı: “Hiç bu kadar samimi olmamıştı.” Röportajda üç cümle kurdun; ikisi senin değil.</t>
        </is>
      </c>
      <c r="H1572" s="6" t="inlineStr"/>
      <c r="I1572" s="6" t="inlineStr"/>
      <c r="J1572" s="6" t="inlineStr"/>
      <c r="K1572" s="6" t="inlineStr"/>
      <c r="L1572" s="6" t="inlineStr"/>
      <c r="M1572" s="5" t="inlineStr"/>
      <c r="N1572" s="5" t="inlineStr"/>
      <c r="O1572" s="6" t="inlineStr"/>
      <c r="P1572" s="6" t="inlineStr"/>
      <c r="Q1572" s="5" t="inlineStr"/>
      <c r="R1572" s="5" t="inlineStr"/>
      <c r="S1572" s="5" t="inlineStr"/>
      <c r="T1572" s="5" t="inlineStr"/>
      <c r="U1572" s="5" t="inlineStr">
        <is>
          <t>sohret-kapak-oldu</t>
        </is>
      </c>
      <c r="V1572" s="5" t="inlineStr"/>
      <c r="W1572" s="5" t="inlineStr"/>
      <c r="X1572" s="5" t="inlineStr"/>
      <c r="Y1572" s="5" t="inlineStr"/>
      <c r="Z1572" s="6" t="inlineStr"/>
      <c r="AA1572" s="5" t="inlineStr"/>
      <c r="AB1572" s="5" t="inlineStr"/>
      <c r="AC1572" s="5" t="inlineStr"/>
      <c r="AD1572" s="5" t="inlineStr"/>
      <c r="AE1572" s="5" t="inlineStr"/>
      <c r="AF1572" s="5" t="inlineStr"/>
      <c r="AG1572" s="5" t="inlineStr"/>
      <c r="AH1572" s="5" t="inlineStr"/>
    </row>
    <row r="1573">
      <c r="A1573" s="5" t="inlineStr">
        <is>
          <t>b8-sohret-kapak</t>
        </is>
      </c>
      <c r="B1573" s="5" t="n">
        <v>2</v>
      </c>
      <c r="C1573" s="6" t="inlineStr">
        <is>
          <t>Röportajda itiraf gibi bir şey söyle</t>
        </is>
      </c>
      <c r="D1573" s="5" t="inlineStr">
        <is>
          <t>Pişkinlik</t>
        </is>
      </c>
      <c r="E1573" s="5" t="inlineStr">
        <is>
          <t>Orta</t>
        </is>
      </c>
      <c r="F1573" s="5" t="inlineStr"/>
      <c r="G1573" s="6" t="inlineStr"/>
      <c r="H1573" s="6" t="inlineStr">
        <is>
          <t>“Aslında çok utangacım” dedin. Başlık bu oldu. Dergi tükendi; utangaçlığın kırk bin nüsha sattı.</t>
        </is>
      </c>
      <c r="I1573" s="6" t="inlineStr">
        <is>
          <t>İtirafın o kadar konuşuldu ki bütün akşam programları seni istedi. Utangaçlık turuna çıktın, her kanalda.</t>
        </is>
      </c>
      <c r="J1573" s="6" t="inlineStr">
        <is>
          <t>İtiraf gibi bir şey söyledin ama editör anlamadı. Başlık: “Yeni projeler yolda.” Yolda olan yok.</t>
        </is>
      </c>
      <c r="K1573" s="6" t="inlineStr">
        <is>
          <t>İtiraf diye çocukken komşunun erik ağacına tırmandığını anlattın. Komşu dergiyi okudu, erik parasını istiyor.</t>
        </is>
      </c>
      <c r="L1573" s="6" t="inlineStr"/>
      <c r="M1573" s="5" t="inlineStr"/>
      <c r="N1573" s="5" t="inlineStr"/>
      <c r="O1573" s="6" t="inlineStr"/>
      <c r="P1573" s="6" t="inlineStr"/>
      <c r="Q1573" s="5" t="inlineStr"/>
      <c r="R1573" s="5" t="inlineStr"/>
      <c r="S1573" s="5" t="inlineStr"/>
      <c r="T1573" s="5" t="inlineStr"/>
      <c r="U1573" s="5" t="inlineStr"/>
      <c r="V1573" s="5" t="inlineStr">
        <is>
          <t>sohret-kapak-oldu</t>
        </is>
      </c>
      <c r="W1573" s="5" t="inlineStr"/>
      <c r="X1573" s="5" t="inlineStr"/>
      <c r="Y1573" s="5" t="inlineStr"/>
      <c r="Z1573" s="6" t="inlineStr"/>
      <c r="AA1573" s="5" t="inlineStr"/>
      <c r="AB1573" s="5" t="inlineStr"/>
      <c r="AC1573" s="5" t="inlineStr"/>
      <c r="AD1573" s="5" t="inlineStr"/>
      <c r="AE1573" s="5" t="inlineStr"/>
      <c r="AF1573" s="5" t="inlineStr"/>
      <c r="AG1573" s="5" t="inlineStr"/>
      <c r="AH1573" s="5" t="inlineStr"/>
    </row>
    <row r="1574">
      <c r="A1574" s="5" t="inlineStr">
        <is>
          <t>b8-sohret-kapak</t>
        </is>
      </c>
      <c r="B1574" s="5" t="n">
        <v>3</v>
      </c>
      <c r="C1574" s="6" t="inlineStr">
        <is>
          <t>Fotoğrafçıya doğal pozu sen göster</t>
        </is>
      </c>
      <c r="D1574" s="5" t="inlineStr">
        <is>
          <t>Sosyal Radar</t>
        </is>
      </c>
      <c r="E1574" s="5" t="inlineStr">
        <is>
          <t>Zor</t>
        </is>
      </c>
      <c r="F1574" s="5" t="inlineStr"/>
      <c r="G1574" s="6" t="inlineStr"/>
      <c r="H1574" s="6" t="inlineStr">
        <is>
          <t>Ceketlerin ikisini çıkardın, balkonda çay içerken çekildin. Kapak “yılın en doğal kapağı” seçildi; çay soğudu.</t>
        </is>
      </c>
      <c r="I1574" s="6" t="inlineStr">
        <is>
          <t>Balkon fotoğrafı öyle sevildi ki ceketin markası sana teşekkür yazdı; o ceketi giymemişken. Stilist küs.</t>
        </is>
      </c>
      <c r="J1574" s="6" t="inlineStr">
        <is>
          <t>Pozu gösterdin; fotoğrafçı “Bu doğal değil, yorgun” dedi. Üç ceketle çekildin; kapakta terlisin.</t>
        </is>
      </c>
      <c r="K1574" s="6" t="inlineStr">
        <is>
          <t>Doğal olmak için ceketleri çıkardın; kapağa atletle çıktın. Annen dergileri topluyor, komşular buluyor.</t>
        </is>
      </c>
      <c r="L1574" s="6" t="inlineStr"/>
      <c r="M1574" s="5" t="inlineStr"/>
      <c r="N1574" s="5" t="inlineStr"/>
      <c r="O1574" s="6" t="inlineStr"/>
      <c r="P1574" s="6" t="inlineStr"/>
      <c r="Q1574" s="5" t="inlineStr"/>
      <c r="R1574" s="5" t="inlineStr"/>
      <c r="S1574" s="5" t="inlineStr"/>
      <c r="T1574" s="5" t="inlineStr">
        <is>
          <t>Odayı Okur</t>
        </is>
      </c>
      <c r="U1574" s="5" t="inlineStr"/>
      <c r="V1574" s="5" t="inlineStr">
        <is>
          <t>sohret-kapak-oldu</t>
        </is>
      </c>
      <c r="W1574" s="5" t="inlineStr"/>
      <c r="X1574" s="5" t="inlineStr"/>
      <c r="Y1574" s="5" t="inlineStr"/>
      <c r="Z1574" s="6" t="inlineStr"/>
      <c r="AA1574" s="5" t="inlineStr"/>
      <c r="AB1574" s="5" t="inlineStr"/>
      <c r="AC1574" s="5" t="inlineStr"/>
      <c r="AD1574" s="5" t="inlineStr"/>
      <c r="AE1574" s="5" t="inlineStr"/>
      <c r="AF1574" s="5" t="inlineStr"/>
      <c r="AG1574" s="5" t="inlineStr"/>
      <c r="AH1574" s="5" t="inlineStr"/>
    </row>
    <row r="1575">
      <c r="A1575" s="5" t="inlineStr">
        <is>
          <t>b8-sohret-program</t>
        </is>
      </c>
      <c r="B1575" s="5" t="n">
        <v>1</v>
      </c>
      <c r="C1575" s="6" t="inlineStr">
        <is>
          <t>İlk konuk olarak anneni çağır</t>
        </is>
      </c>
      <c r="D1575" s="5" t="inlineStr"/>
      <c r="E1575" s="5" t="inlineStr"/>
      <c r="F1575" s="5" t="inlineStr">
        <is>
          <t>İtibar +1, Sosyal Radar +1</t>
        </is>
      </c>
      <c r="G1575" s="6" t="inlineStr">
        <is>
          <t>Annen stüdyoya börekle geldi, çocukluğunu anlattı. Reyting iyi; ikinci bölüme de o gelmek istiyor, börekle.</t>
        </is>
      </c>
      <c r="H1575" s="6" t="inlineStr"/>
      <c r="I1575" s="6" t="inlineStr"/>
      <c r="J1575" s="6" t="inlineStr"/>
      <c r="K1575" s="6" t="inlineStr"/>
      <c r="L1575" s="6" t="inlineStr"/>
      <c r="M1575" s="5" t="inlineStr"/>
      <c r="N1575" s="5" t="inlineStr"/>
      <c r="O1575" s="6" t="inlineStr"/>
      <c r="P1575" s="6" t="inlineStr"/>
      <c r="Q1575" s="5" t="inlineStr"/>
      <c r="R1575" s="5" t="inlineStr"/>
      <c r="S1575" s="5" t="inlineStr"/>
      <c r="T1575" s="5" t="inlineStr"/>
      <c r="U1575" s="5" t="inlineStr"/>
      <c r="V1575" s="5" t="inlineStr"/>
      <c r="W1575" s="5" t="inlineStr"/>
      <c r="X1575" s="5" t="inlineStr"/>
      <c r="Y1575" s="5" t="inlineStr"/>
      <c r="Z1575" s="6" t="inlineStr"/>
      <c r="AA1575" s="5" t="inlineStr"/>
      <c r="AB1575" s="5" t="inlineStr"/>
      <c r="AC1575" s="5" t="inlineStr"/>
      <c r="AD1575" s="5" t="inlineStr"/>
      <c r="AE1575" s="5" t="inlineStr"/>
      <c r="AF1575" s="5" t="inlineStr"/>
      <c r="AG1575" s="5" t="inlineStr"/>
      <c r="AH1575" s="5" t="inlineStr"/>
    </row>
    <row r="1576">
      <c r="A1576" s="5" t="inlineStr">
        <is>
          <t>b8-sohret-program</t>
        </is>
      </c>
      <c r="B1576" s="5" t="n">
        <v>2</v>
      </c>
      <c r="C1576" s="6" t="inlineStr">
        <is>
          <t>Konuğu sert sorularla sıkıştır</t>
        </is>
      </c>
      <c r="D1576" s="5" t="inlineStr">
        <is>
          <t>Çene</t>
        </is>
      </c>
      <c r="E1576" s="5" t="inlineStr">
        <is>
          <t>Orta</t>
        </is>
      </c>
      <c r="F1576" s="5" t="inlineStr"/>
      <c r="G1576" s="6" t="inlineStr"/>
      <c r="H1576" s="6" t="inlineStr">
        <is>
          <t>Konuğun ter döktü, reyting yükseldi. Programın adı “Sıcak Koltuk” oldu; koltuk gerçekten ısınıyor.</t>
        </is>
      </c>
      <c r="I1576" s="6" t="inlineStr">
        <is>
          <t>Sert sorun ertesi gün bütün sabah programlarında konuşuldu. Kanal seni hafta sonuna da istiyor; hafta sonun gidiyor.</t>
        </is>
      </c>
      <c r="J1576" s="6" t="inlineStr">
        <is>
          <t>Sert soruyu sordun; konuk güldü, cevap vermedi. Kalan kırk dakikayı sehpadaki suyla doldurdun.</t>
        </is>
      </c>
      <c r="K1576" s="6" t="inlineStr">
        <is>
          <t>Sert sorarken eski bir diziyi yerden yere vurdun; konuk o dizinin yönetmeni çıktı. Canlı yayında iki kez özür diledin.</t>
        </is>
      </c>
      <c r="L1576" s="6" t="inlineStr"/>
      <c r="M1576" s="5" t="inlineStr"/>
      <c r="N1576" s="5" t="inlineStr"/>
      <c r="O1576" s="6" t="inlineStr"/>
      <c r="P1576" s="6" t="inlineStr"/>
      <c r="Q1576" s="5" t="inlineStr"/>
      <c r="R1576" s="5" t="inlineStr"/>
      <c r="S1576" s="5" t="inlineStr"/>
      <c r="T1576" s="5" t="inlineStr"/>
      <c r="U1576" s="5" t="inlineStr"/>
      <c r="V1576" s="5" t="inlineStr"/>
      <c r="W1576" s="5" t="inlineStr"/>
      <c r="X1576" s="5" t="inlineStr"/>
      <c r="Y1576" s="5" t="inlineStr"/>
      <c r="Z1576" s="6" t="inlineStr"/>
      <c r="AA1576" s="5" t="inlineStr"/>
      <c r="AB1576" s="5" t="inlineStr"/>
      <c r="AC1576" s="5" t="inlineStr"/>
      <c r="AD1576" s="5" t="inlineStr"/>
      <c r="AE1576" s="5" t="inlineStr"/>
      <c r="AF1576" s="5" t="inlineStr"/>
      <c r="AG1576" s="5" t="inlineStr"/>
      <c r="AH1576" s="5" t="inlineStr"/>
    </row>
    <row r="1577">
      <c r="A1577" s="5" t="inlineStr">
        <is>
          <t>b8-sohret-program</t>
        </is>
      </c>
      <c r="B1577" s="5" t="n">
        <v>3</v>
      </c>
      <c r="C1577" s="6" t="inlineStr">
        <is>
          <t>Programı kendi hikâyenle aç</t>
        </is>
      </c>
      <c r="D1577" s="5" t="inlineStr">
        <is>
          <t>Pişkinlik</t>
        </is>
      </c>
      <c r="E1577" s="5" t="inlineStr">
        <is>
          <t>Zor</t>
        </is>
      </c>
      <c r="F1577" s="5" t="inlineStr"/>
      <c r="G1577" s="6" t="inlineStr"/>
      <c r="H1577" s="6" t="inlineStr">
        <is>
          <t>Hayatını on dakikada anlattın; stüdyo sustu, sonra alkışladı. Program tuttu. Sahte kütüphaneye gerçek kitaplar geldi.</t>
        </is>
      </c>
      <c r="I1577" s="6" t="inlineStr">
        <is>
          <t>İlk bölüm öyle izlendi ki sokakta insanlar sana dert anlatıyor. Programın bir çeşit mahalle muhtarlığına döndü.</t>
        </is>
      </c>
      <c r="J1577" s="6" t="inlineStr">
        <is>
          <t>Hikâyeni anlattın; reji tam o sırada reklama girdi. İzleyici sonunu bilmiyor, sen de artık hatırlamıyorsun.</t>
        </is>
      </c>
      <c r="K1577" s="6" t="inlineStr">
        <is>
          <t>Anlatırken sahte kütüphaneye yaslandın; kütüphane devrildi. Programın ilk anı o oldu, sonrakiler de.</t>
        </is>
      </c>
      <c r="L1577" s="6" t="inlineStr"/>
      <c r="M1577" s="5" t="inlineStr"/>
      <c r="N1577" s="5" t="inlineStr"/>
      <c r="O1577" s="6" t="inlineStr"/>
      <c r="P1577" s="6" t="inlineStr"/>
      <c r="Q1577" s="5" t="inlineStr"/>
      <c r="R1577" s="5" t="inlineStr"/>
      <c r="S1577" s="5" t="inlineStr"/>
      <c r="T1577" s="5" t="inlineStr">
        <is>
          <t>Son Sözü Söyler</t>
        </is>
      </c>
      <c r="U1577" s="5" t="inlineStr"/>
      <c r="V1577" s="5" t="inlineStr"/>
      <c r="W1577" s="5" t="inlineStr"/>
      <c r="X1577" s="5" t="inlineStr"/>
      <c r="Y1577" s="5" t="inlineStr"/>
      <c r="Z1577" s="6" t="inlineStr"/>
      <c r="AA1577" s="5" t="inlineStr"/>
      <c r="AB1577" s="5" t="inlineStr"/>
      <c r="AC1577" s="5" t="inlineStr"/>
      <c r="AD1577" s="5" t="inlineStr"/>
      <c r="AE1577" s="5" t="inlineStr"/>
      <c r="AF1577" s="5" t="inlineStr"/>
      <c r="AG1577" s="5" t="inlineStr"/>
      <c r="AH1577" s="5" t="inlineStr"/>
    </row>
    <row r="1578">
      <c r="A1578" s="5" t="inlineStr">
        <is>
          <t>b8-sohret-program</t>
        </is>
      </c>
      <c r="B1578" s="5" t="n">
        <v>4</v>
      </c>
      <c r="C1578" s="6" t="inlineStr">
        <is>
          <t>Seyirciyle şarkı söyleyerek aç</t>
        </is>
      </c>
      <c r="D1578" s="5" t="inlineStr">
        <is>
          <t>Sosyal Radar</t>
        </is>
      </c>
      <c r="E1578" s="5" t="inlineStr">
        <is>
          <t>Orta</t>
        </is>
      </c>
      <c r="F1578" s="5" t="inlineStr"/>
      <c r="G1578" s="6" t="inlineStr"/>
      <c r="H1578" s="6" t="inlineStr">
        <is>
          <t>Açılışta seyirciyle şarkı söyledin. Program müzikli sohbete döndü; konuklar gelmeden önce ses açıyor.</t>
        </is>
      </c>
      <c r="I1578" s="6" t="inlineStr">
        <is>
          <t>Açılış şarkın o kadar sevildi ki düğünlerde çalınıyor. Düğünlere davet ediliyorsun; gelinle damat seni tanımıyor.</t>
        </is>
      </c>
      <c r="J1578" s="6" t="inlineStr">
        <is>
          <t>Seyirci şarkıyı bilmiyordu; tek başına söyledin. Reji sesini kıstı, alkış da kısık geldi.</t>
        </is>
      </c>
      <c r="K1578" s="6" t="inlineStr">
        <is>
          <t>Şarkıya yanlış tondan girdin; orkestra seni takip etti. Program müziksiz devam etti, orkestra da.</t>
        </is>
      </c>
      <c r="L1578" s="6" t="inlineStr"/>
      <c r="M1578" s="5" t="inlineStr"/>
      <c r="N1578" s="5" t="inlineStr"/>
      <c r="O1578" s="6" t="inlineStr"/>
      <c r="P1578" s="6" t="inlineStr"/>
      <c r="Q1578" s="5" t="inlineStr">
        <is>
          <t>Sahne Sever</t>
        </is>
      </c>
      <c r="R1578" s="5" t="inlineStr"/>
      <c r="S1578" s="5" t="inlineStr"/>
      <c r="T1578" s="5" t="inlineStr"/>
      <c r="U1578" s="5" t="inlineStr"/>
      <c r="V1578" s="5" t="inlineStr"/>
      <c r="W1578" s="5" t="inlineStr"/>
      <c r="X1578" s="5" t="inlineStr"/>
      <c r="Y1578" s="5" t="inlineStr"/>
      <c r="Z1578" s="6" t="inlineStr"/>
      <c r="AA1578" s="5" t="inlineStr"/>
      <c r="AB1578" s="5" t="inlineStr"/>
      <c r="AC1578" s="5" t="inlineStr"/>
      <c r="AD1578" s="5" t="inlineStr"/>
      <c r="AE1578" s="5" t="inlineStr"/>
      <c r="AF1578" s="5" t="inlineStr"/>
      <c r="AG1578" s="5" t="inlineStr"/>
      <c r="AH1578" s="5" t="inlineStr"/>
    </row>
    <row r="1579">
      <c r="A1579" s="5" t="inlineStr">
        <is>
          <t>b9-sohret-juri</t>
        </is>
      </c>
      <c r="B1579" s="5" t="n">
        <v>1</v>
      </c>
      <c r="C1579" s="6" t="inlineStr">
        <is>
          <t>Nazikçe düzelt, puanını ver</t>
        </is>
      </c>
      <c r="D1579" s="5" t="inlineStr"/>
      <c r="E1579" s="5" t="inlineStr"/>
      <c r="F1579" s="5" t="inlineStr">
        <is>
          <t>İtibar +1, Akıl +1</t>
        </is>
      </c>
      <c r="G1579" s="6" t="inlineStr">
        <is>
          <t>Repliği düzelttin; yarışmacı teşekkür etti, yine yanlış okudu. Puanını verdin. Kırk yıl önce seni de kimse düzeltmemişti.</t>
        </is>
      </c>
      <c r="H1579" s="6" t="inlineStr"/>
      <c r="I1579" s="6" t="inlineStr"/>
      <c r="J1579" s="6" t="inlineStr"/>
      <c r="K1579" s="6" t="inlineStr"/>
      <c r="L1579" s="6" t="inlineStr"/>
      <c r="M1579" s="5" t="inlineStr"/>
      <c r="N1579" s="5" t="inlineStr"/>
      <c r="O1579" s="6" t="inlineStr"/>
      <c r="P1579" s="6" t="inlineStr"/>
      <c r="Q1579" s="5" t="inlineStr"/>
      <c r="R1579" s="5" t="inlineStr"/>
      <c r="S1579" s="5" t="inlineStr"/>
      <c r="T1579" s="5" t="inlineStr"/>
      <c r="U1579" s="5" t="inlineStr"/>
      <c r="V1579" s="5" t="inlineStr"/>
      <c r="W1579" s="5" t="inlineStr"/>
      <c r="X1579" s="5" t="inlineStr"/>
      <c r="Y1579" s="5" t="inlineStr"/>
      <c r="Z1579" s="6" t="inlineStr"/>
      <c r="AA1579" s="5" t="inlineStr"/>
      <c r="AB1579" s="5" t="inlineStr"/>
      <c r="AC1579" s="5" t="inlineStr"/>
      <c r="AD1579" s="5" t="inlineStr"/>
      <c r="AE1579" s="5" t="inlineStr"/>
      <c r="AF1579" s="5" t="inlineStr"/>
      <c r="AG1579" s="5" t="inlineStr"/>
      <c r="AH1579" s="5" t="inlineStr"/>
    </row>
    <row r="1580">
      <c r="A1580" s="5" t="inlineStr">
        <is>
          <t>b9-sohret-juri</t>
        </is>
      </c>
      <c r="B1580" s="5" t="n">
        <v>2</v>
      </c>
      <c r="C1580" s="6" t="inlineStr">
        <is>
          <t>Sert jüri ol, masaya damga vur</t>
        </is>
      </c>
      <c r="D1580" s="5" t="inlineStr">
        <is>
          <t>Pişkinlik</t>
        </is>
      </c>
      <c r="E1580" s="5" t="inlineStr">
        <is>
          <t>Orta</t>
        </is>
      </c>
      <c r="F1580" s="5" t="inlineStr"/>
      <c r="G1580" s="6" t="inlineStr"/>
      <c r="H1580" s="6" t="inlineStr">
        <is>
          <t>“Bu replik senin değil, benim” dedin. Salon alkışladı. Program sana “Demir Jüri” lakabını taktı; torunların bayıldı.</t>
        </is>
      </c>
      <c r="I1580" s="6" t="inlineStr">
        <is>
          <t>Sert yorumun kısa video uygulamasında milyonlarca izlendi. Gençler seni ilk kez tanıdı, eski dizini baştan izliyorlar.</t>
        </is>
      </c>
      <c r="J1580" s="6" t="inlineStr">
        <is>
          <t>Sert konuştun; yarışmacı ağladı, seyirci onu tuttu. Program seni “duygusuz jüri” diye tanıtmaya başladı.</t>
        </is>
      </c>
      <c r="K1580" s="6" t="inlineStr">
        <is>
          <t>Ayağa kalkarken mikrofon kablosuna takıldın, jüri masasını devirdin. Program o anı jeneriğe koydu.</t>
        </is>
      </c>
      <c r="L1580" s="6" t="inlineStr"/>
      <c r="M1580" s="5" t="inlineStr"/>
      <c r="N1580" s="5" t="inlineStr"/>
      <c r="O1580" s="6" t="inlineStr"/>
      <c r="P1580" s="6" t="inlineStr"/>
      <c r="Q1580" s="5" t="inlineStr"/>
      <c r="R1580" s="5" t="inlineStr"/>
      <c r="S1580" s="5" t="inlineStr"/>
      <c r="T1580" s="5" t="inlineStr"/>
      <c r="U1580" s="5" t="inlineStr"/>
      <c r="V1580" s="5" t="inlineStr"/>
      <c r="W1580" s="5" t="inlineStr"/>
      <c r="X1580" s="5" t="inlineStr"/>
      <c r="Y1580" s="5" t="inlineStr"/>
      <c r="Z1580" s="6" t="inlineStr"/>
      <c r="AA1580" s="5" t="inlineStr"/>
      <c r="AB1580" s="5" t="inlineStr"/>
      <c r="AC1580" s="5" t="inlineStr"/>
      <c r="AD1580" s="5" t="inlineStr"/>
      <c r="AE1580" s="5" t="inlineStr"/>
      <c r="AF1580" s="5" t="inlineStr"/>
      <c r="AG1580" s="5" t="inlineStr"/>
      <c r="AH1580" s="5" t="inlineStr"/>
    </row>
    <row r="1581">
      <c r="A1581" s="5" t="inlineStr">
        <is>
          <t>b9-sohret-juri</t>
        </is>
      </c>
      <c r="B1581" s="5" t="n">
        <v>3</v>
      </c>
      <c r="C1581" s="6" t="inlineStr">
        <is>
          <t>“Nerede O Eski Yıldızlar”da anılarını anlat</t>
        </is>
      </c>
      <c r="D1581" s="5" t="inlineStr">
        <is>
          <t>Sosyal Radar</t>
        </is>
      </c>
      <c r="E1581" s="5" t="inlineStr">
        <is>
          <t>Orta</t>
        </is>
      </c>
      <c r="F1581" s="5" t="inlineStr"/>
      <c r="G1581" s="6" t="inlineStr"/>
      <c r="H1581" s="6" t="inlineStr">
        <is>
          <t>Eski setleri anlattın; stüdyo kahkahaya boğuldu. Eski rol arkadaşların aradı, bir araya gelme planı yapılıyor.</t>
        </is>
      </c>
      <c r="I1581" s="6" t="inlineStr">
        <is>
          <t>Anıların öyle sevildi ki eski dizinin devamı çekilecek. Rolün aynı, sadece artık dede; yapımcı yine sandviç yiyor.</t>
        </is>
      </c>
      <c r="J1581" s="6" t="inlineStr">
        <is>
          <t>Anılarını anlattın; sunucu her cümlenin ortasında reklama girdi. Hiçbir anı bitmedi.</t>
        </is>
      </c>
      <c r="K1581" s="6" t="inlineStr">
        <is>
          <t>Anlattığın anı başka bir oyuncuya aitmiş; o da izliyormuş. Ertesi gün canlı bağlandı, düzeltti.</t>
        </is>
      </c>
      <c r="L1581" s="6" t="inlineStr"/>
      <c r="M1581" s="5" t="inlineStr"/>
      <c r="N1581" s="5" t="inlineStr"/>
      <c r="O1581" s="6" t="inlineStr"/>
      <c r="P1581" s="6" t="inlineStr"/>
      <c r="Q1581" s="5" t="inlineStr"/>
      <c r="R1581" s="5" t="inlineStr"/>
      <c r="S1581" s="5" t="inlineStr"/>
      <c r="T1581" s="5" t="inlineStr"/>
      <c r="U1581" s="5" t="inlineStr"/>
      <c r="V1581" s="5" t="inlineStr"/>
      <c r="W1581" s="5" t="inlineStr"/>
      <c r="X1581" s="5" t="inlineStr"/>
      <c r="Y1581" s="5" t="inlineStr"/>
      <c r="Z1581" s="6" t="inlineStr"/>
      <c r="AA1581" s="5" t="inlineStr"/>
      <c r="AB1581" s="5" t="inlineStr"/>
      <c r="AC1581" s="5" t="inlineStr"/>
      <c r="AD1581" s="5" t="inlineStr"/>
      <c r="AE1581" s="5" t="inlineStr"/>
      <c r="AF1581" s="5" t="inlineStr"/>
      <c r="AG1581" s="5" t="inlineStr"/>
      <c r="AH1581" s="5" t="inlineStr"/>
    </row>
    <row r="1582">
      <c r="A1582" s="5" t="inlineStr">
        <is>
          <t>b9-sohret-juri</t>
        </is>
      </c>
      <c r="B1582" s="5" t="n">
        <v>4</v>
      </c>
      <c r="C1582" s="6" t="inlineStr">
        <is>
          <t>Eski kapak fotoğrafını yeniden çektir</t>
        </is>
      </c>
      <c r="D1582" s="5" t="inlineStr">
        <is>
          <t>Pişkinlik</t>
        </is>
      </c>
      <c r="E1582" s="5" t="inlineStr">
        <is>
          <t>Zor</t>
        </is>
      </c>
      <c r="F1582" s="5" t="inlineStr"/>
      <c r="G1582" s="6" t="inlineStr"/>
      <c r="H1582" s="6" t="inlineStr">
        <is>
          <t>Yıllar önceki kapağının aynısını çektin. Dergi ikisini yan yana bastı; okurlar farkı değil, benzerliği konuştu.</t>
        </is>
      </c>
      <c r="I1582" s="6" t="inlineStr">
        <is>
          <t>Eski ve yeni kapak yan yana satışa çıktı; iki dergi birden tükendi. Editör üçüncüsü için tarih istiyor.</t>
        </is>
      </c>
      <c r="J1582" s="6" t="inlineStr">
        <is>
          <t>Aynı pozu verdin; fotoğrafçı “Tamam, şimdi rahat durun” dedi. Rahat durdun; o kare kullanıldı.</t>
        </is>
      </c>
      <c r="K1582" s="6" t="inlineStr">
        <is>
          <t>Aynı pozu verirken belin tuttu. Kapakta pozun yarısı çıktı; başlık: “Yepyeni bir duruş.”</t>
        </is>
      </c>
      <c r="L1582" s="6" t="inlineStr"/>
      <c r="M1582" s="5" t="inlineStr"/>
      <c r="N1582" s="5" t="inlineStr"/>
      <c r="O1582" s="6" t="inlineStr"/>
      <c r="P1582" s="6" t="inlineStr"/>
      <c r="Q1582" s="5" t="inlineStr"/>
      <c r="R1582" s="5" t="inlineStr">
        <is>
          <t>sohret-kapak-oldu</t>
        </is>
      </c>
      <c r="S1582" s="5" t="inlineStr"/>
      <c r="T1582" s="5" t="inlineStr">
        <is>
          <t>Kendine Gülebilir</t>
        </is>
      </c>
      <c r="U1582" s="5" t="inlineStr"/>
      <c r="V1582" s="5" t="inlineStr"/>
      <c r="W1582" s="5" t="inlineStr"/>
      <c r="X1582" s="5" t="inlineStr"/>
      <c r="Y1582" s="5" t="inlineStr"/>
      <c r="Z1582" s="6" t="inlineStr"/>
      <c r="AA1582" s="5" t="inlineStr"/>
      <c r="AB1582" s="5" t="inlineStr"/>
      <c r="AC1582" s="5" t="inlineStr"/>
      <c r="AD1582" s="5" t="inlineStr"/>
      <c r="AE1582" s="5" t="inlineStr"/>
      <c r="AF1582" s="5" t="inlineStr"/>
      <c r="AG1582" s="5" t="inlineStr"/>
      <c r="AH1582" s="5" t="inlineStr"/>
    </row>
    <row r="1583">
      <c r="A1583" s="5" t="inlineStr">
        <is>
          <t>b7-girisim-garaj</t>
        </is>
      </c>
      <c r="B1583" s="5" t="n">
        <v>1</v>
      </c>
      <c r="C1583" s="6" t="inlineStr">
        <is>
          <t>Kuzene hisse ver, arabayı unutsun</t>
        </is>
      </c>
      <c r="D1583" s="5" t="inlineStr"/>
      <c r="E1583" s="5" t="inlineStr"/>
      <c r="F1583" s="5" t="inlineStr">
        <is>
          <t>Kurnazlık +1, Sosyal Radar +1</t>
        </is>
      </c>
      <c r="G1583" s="6" t="inlineStr">
        <is>
          <t>Kuzen yüzde beşi aldı, arabayı unuttu. Artık her aile toplantısında seni “ortağım” diye tanıştırıyor.</t>
        </is>
      </c>
      <c r="H1583" s="6" t="inlineStr"/>
      <c r="I1583" s="6" t="inlineStr"/>
      <c r="J1583" s="6" t="inlineStr"/>
      <c r="K1583" s="6" t="inlineStr"/>
      <c r="L1583" s="6" t="inlineStr"/>
      <c r="M1583" s="5" t="inlineStr"/>
      <c r="N1583" s="5" t="inlineStr"/>
      <c r="O1583" s="6" t="inlineStr"/>
      <c r="P1583" s="6" t="inlineStr"/>
      <c r="Q1583" s="5" t="inlineStr"/>
      <c r="R1583" s="5" t="inlineStr"/>
      <c r="S1583" s="5" t="inlineStr"/>
      <c r="T1583" s="5" t="inlineStr"/>
      <c r="U1583" s="5" t="inlineStr"/>
      <c r="V1583" s="5" t="inlineStr"/>
      <c r="W1583" s="5" t="inlineStr"/>
      <c r="X1583" s="5" t="inlineStr"/>
      <c r="Y1583" s="5" t="inlineStr"/>
      <c r="Z1583" s="6" t="inlineStr"/>
      <c r="AA1583" s="5" t="inlineStr"/>
      <c r="AB1583" s="5" t="inlineStr"/>
      <c r="AC1583" s="5" t="inlineStr"/>
      <c r="AD1583" s="5" t="inlineStr"/>
      <c r="AE1583" s="5" t="inlineStr"/>
      <c r="AF1583" s="5" t="inlineStr"/>
      <c r="AG1583" s="5" t="inlineStr"/>
      <c r="AH1583" s="5" t="inlineStr"/>
    </row>
    <row r="1584">
      <c r="A1584" s="5" t="inlineStr">
        <is>
          <t>b7-girisim-garaj</t>
        </is>
      </c>
      <c r="B1584" s="5" t="n">
        <v>2</v>
      </c>
      <c r="C1584" s="6" t="inlineStr">
        <is>
          <t>İlk müşteriyi kapı kapı bul</t>
        </is>
      </c>
      <c r="D1584" s="5" t="inlineStr">
        <is>
          <t>Cesaret</t>
        </is>
      </c>
      <c r="E1584" s="5" t="inlineStr">
        <is>
          <t>Orta</t>
        </is>
      </c>
      <c r="F1584" s="5" t="inlineStr"/>
      <c r="G1584" s="6" t="inlineStr"/>
      <c r="H1584" s="6" t="inlineStr">
        <is>
          <t>On dokuzuncu kapıda bir kırtasiyeci “Deneyelim” dedi. İlk müşterin oldu. Ödemeyi kalemle yaptı; ama yaptı.</t>
        </is>
      </c>
      <c r="I1584" s="6" t="inlineStr">
        <is>
          <t>Kırtasiyeci ürünü bütün esnaf derneğine anlattı. Garajın önünde kuyruk var; baban arabayı çıkaramıyor.</t>
        </is>
      </c>
      <c r="J1584" s="6" t="inlineStr">
        <is>
          <t>Kırk kapı çaldın; otuz dokuzu “Biz kâğıtla idare ediyoruz” dedi, biri köpeğini gönderdi. Köpek sadece baktı.</t>
        </is>
      </c>
      <c r="K1584" s="6" t="inlineStr">
        <is>
          <t>Site yöneticisi seni seyyar satıcı sandı. Site grubunda fotoğrafın dolaşıyor: “Dikkat!”</t>
        </is>
      </c>
      <c r="L1584" s="6" t="inlineStr"/>
      <c r="M1584" s="5" t="inlineStr"/>
      <c r="N1584" s="5" t="inlineStr"/>
      <c r="O1584" s="6" t="inlineStr"/>
      <c r="P1584" s="6" t="inlineStr"/>
      <c r="Q1584" s="5" t="inlineStr"/>
      <c r="R1584" s="5" t="inlineStr"/>
      <c r="S1584" s="5" t="inlineStr"/>
      <c r="T1584" s="5" t="inlineStr"/>
      <c r="U1584" s="5" t="inlineStr"/>
      <c r="V1584" s="5" t="inlineStr">
        <is>
          <t>girisim-ilk-musteri</t>
        </is>
      </c>
      <c r="W1584" s="5" t="inlineStr"/>
      <c r="X1584" s="5" t="inlineStr"/>
      <c r="Y1584" s="5" t="inlineStr"/>
      <c r="Z1584" s="6" t="inlineStr"/>
      <c r="AA1584" s="5" t="inlineStr"/>
      <c r="AB1584" s="5" t="inlineStr"/>
      <c r="AC1584" s="5" t="inlineStr"/>
      <c r="AD1584" s="5" t="inlineStr"/>
      <c r="AE1584" s="5" t="inlineStr"/>
      <c r="AF1584" s="5" t="inlineStr"/>
      <c r="AG1584" s="5" t="inlineStr"/>
      <c r="AH1584" s="5" t="inlineStr"/>
    </row>
    <row r="1585">
      <c r="A1585" s="5" t="inlineStr">
        <is>
          <t>b7-girisim-garaj</t>
        </is>
      </c>
      <c r="B1585" s="5" t="n">
        <v>3</v>
      </c>
      <c r="C1585" s="6" t="inlineStr">
        <is>
          <t>Buzdolabındaki sunucuyu hızlandır</t>
        </is>
      </c>
      <c r="D1585" s="5" t="inlineStr">
        <is>
          <t>Akıl</t>
        </is>
      </c>
      <c r="E1585" s="5" t="inlineStr">
        <is>
          <t>Zor</t>
        </is>
      </c>
      <c r="F1585" s="5" t="inlineStr"/>
      <c r="G1585" s="6" t="inlineStr"/>
      <c r="H1585" s="6" t="inlineStr">
        <is>
          <t>Sunucuyu soğusun diye buzdolabının içine aldın. Hız iki katına çıktı. Annenin dolmaları artık bulutta.</t>
        </is>
      </c>
      <c r="I1585" s="6" t="inlineStr">
        <is>
          <t>Buzdolabı sunucunu bir teknoloji dergisi yazdı. Garaja ziyaretçi akıyor; şirketin ürünü yok ama turistik yeri var.</t>
        </is>
      </c>
      <c r="J1585" s="6" t="inlineStr">
        <is>
          <t>Hızlandırırken buzdolabı buz çözme moduna girdi. Veriler kurtuldu, dondurmalar kurtulmadı.</t>
        </is>
      </c>
      <c r="K1585" s="6" t="inlineStr">
        <is>
          <t>Kabloları ters bağladın; sokağın elektriği gitti. Bütün mahalle kapı önünde garaja bakıyor.</t>
        </is>
      </c>
      <c r="L1585" s="6" t="inlineStr"/>
      <c r="M1585" s="5" t="inlineStr"/>
      <c r="N1585" s="5" t="inlineStr"/>
      <c r="O1585" s="6" t="inlineStr"/>
      <c r="P1585" s="6" t="inlineStr"/>
      <c r="Q1585" s="5" t="inlineStr"/>
      <c r="R1585" s="5" t="inlineStr"/>
      <c r="S1585" s="5" t="inlineStr"/>
      <c r="T1585" s="5" t="inlineStr">
        <is>
          <t>Analitik Zihin</t>
        </is>
      </c>
      <c r="U1585" s="5" t="inlineStr"/>
      <c r="V1585" s="5" t="inlineStr"/>
      <c r="W1585" s="5" t="inlineStr"/>
      <c r="X1585" s="5" t="inlineStr"/>
      <c r="Y1585" s="5" t="inlineStr"/>
      <c r="Z1585" s="6" t="inlineStr"/>
      <c r="AA1585" s="5" t="inlineStr"/>
      <c r="AB1585" s="5" t="inlineStr"/>
      <c r="AC1585" s="5" t="inlineStr"/>
      <c r="AD1585" s="5" t="inlineStr"/>
      <c r="AE1585" s="5" t="inlineStr"/>
      <c r="AF1585" s="5" t="inlineStr"/>
      <c r="AG1585" s="5" t="inlineStr"/>
      <c r="AH1585" s="5" t="inlineStr"/>
    </row>
    <row r="1586">
      <c r="A1586" s="5" t="inlineStr">
        <is>
          <t>b7-girisim-pivot</t>
        </is>
      </c>
      <c r="B1586" s="5" t="n">
        <v>1</v>
      </c>
      <c r="C1586" s="6" t="inlineStr">
        <is>
          <t>Dönme; ürünü daha iyi yap</t>
        </is>
      </c>
      <c r="D1586" s="5" t="inlineStr"/>
      <c r="E1586" s="5" t="inlineStr"/>
      <c r="F1586" s="5" t="inlineStr">
        <is>
          <t>İtibar +1, Dayanıklılık +1</t>
        </is>
      </c>
      <c r="G1586" s="6" t="inlineStr">
        <is>
          <t>Pivot yapmadın, ürünü düzelttin. Yatırımcı seni “inatçı” diye anlatıyor, müşteriler “düzgün” diye. İkisi de doğru.</t>
        </is>
      </c>
      <c r="H1586" s="6" t="inlineStr"/>
      <c r="I1586" s="6" t="inlineStr"/>
      <c r="J1586" s="6" t="inlineStr"/>
      <c r="K1586" s="6" t="inlineStr"/>
      <c r="L1586" s="6" t="inlineStr"/>
      <c r="M1586" s="5" t="inlineStr"/>
      <c r="N1586" s="5" t="inlineStr"/>
      <c r="O1586" s="6" t="inlineStr"/>
      <c r="P1586" s="6" t="inlineStr"/>
      <c r="Q1586" s="5" t="inlineStr"/>
      <c r="R1586" s="5" t="inlineStr"/>
      <c r="S1586" s="5" t="inlineStr"/>
      <c r="T1586" s="5" t="inlineStr"/>
      <c r="U1586" s="5" t="inlineStr"/>
      <c r="V1586" s="5" t="inlineStr"/>
      <c r="W1586" s="5" t="inlineStr"/>
      <c r="X1586" s="5" t="inlineStr"/>
      <c r="Y1586" s="5" t="inlineStr"/>
      <c r="Z1586" s="6" t="inlineStr"/>
      <c r="AA1586" s="5" t="inlineStr"/>
      <c r="AB1586" s="5" t="inlineStr"/>
      <c r="AC1586" s="5" t="inlineStr"/>
      <c r="AD1586" s="5" t="inlineStr"/>
      <c r="AE1586" s="5" t="inlineStr"/>
      <c r="AF1586" s="5" t="inlineStr"/>
      <c r="AG1586" s="5" t="inlineStr"/>
      <c r="AH1586" s="5" t="inlineStr"/>
    </row>
    <row r="1587">
      <c r="A1587" s="5" t="inlineStr">
        <is>
          <t>b7-girisim-pivot</t>
        </is>
      </c>
      <c r="B1587" s="5" t="n">
        <v>2</v>
      </c>
      <c r="C1587" s="6" t="inlineStr">
        <is>
          <t>Şirketi bir gecede yapay zekâ şirketi yap</t>
        </is>
      </c>
      <c r="D1587" s="5" t="inlineStr">
        <is>
          <t>Pişkinlik</t>
        </is>
      </c>
      <c r="E1587" s="5" t="inlineStr">
        <is>
          <t>Orta</t>
        </is>
      </c>
      <c r="F1587" s="5" t="inlineStr"/>
      <c r="G1587" s="6" t="inlineStr"/>
      <c r="H1587" s="6" t="inlineStr">
        <is>
          <t>Logoya bir yıldız, adına “Zekâ” ekledin. Ürün aynı, şirketin değeri üç katı. Kimse içini açıp bakmadı.</t>
        </is>
      </c>
      <c r="I1587" s="6" t="inlineStr">
        <is>
          <t>Ekosistem etkinliklerinde ana konuşmacı oldun. Yapay zekân hakkında konuşuyorsun; ürünü hâlâ kuzen elle çalıştırıyor.</t>
        </is>
      </c>
      <c r="J1587" s="6" t="inlineStr">
        <is>
          <t>Logoyu değiştirdin; yatırımcı ürünün aynı olduğunu fark etti. Yıldız logodan silindi, yatırımcı toplantıdan.</t>
        </is>
      </c>
      <c r="K1587" s="6" t="inlineStr">
        <is>
          <t>Sunumda “yapay zekâmız” dediğin anda ekranda kuzenin elle cevap yazdığı görüntü açıldı. Canlı.</t>
        </is>
      </c>
      <c r="L1587" s="6" t="inlineStr"/>
      <c r="M1587" s="5" t="inlineStr"/>
      <c r="N1587" s="5" t="inlineStr"/>
      <c r="O1587" s="6" t="inlineStr"/>
      <c r="P1587" s="6" t="inlineStr"/>
      <c r="Q1587" s="5" t="inlineStr"/>
      <c r="R1587" s="5" t="inlineStr"/>
      <c r="S1587" s="5" t="inlineStr"/>
      <c r="T1587" s="5" t="inlineStr"/>
      <c r="U1587" s="5" t="inlineStr"/>
      <c r="V1587" s="5" t="inlineStr">
        <is>
          <t>girisim-pivotcu</t>
        </is>
      </c>
      <c r="W1587" s="5" t="inlineStr"/>
      <c r="X1587" s="5" t="inlineStr"/>
      <c r="Y1587" s="5" t="inlineStr"/>
      <c r="Z1587" s="6" t="inlineStr"/>
      <c r="AA1587" s="5" t="inlineStr"/>
      <c r="AB1587" s="5" t="inlineStr"/>
      <c r="AC1587" s="5" t="inlineStr"/>
      <c r="AD1587" s="5" t="inlineStr"/>
      <c r="AE1587" s="5" t="inlineStr"/>
      <c r="AF1587" s="5" t="inlineStr"/>
      <c r="AG1587" s="5" t="inlineStr"/>
      <c r="AH1587" s="5" t="inlineStr"/>
    </row>
    <row r="1588">
      <c r="A1588" s="5" t="inlineStr">
        <is>
          <t>b7-girisim-pivot</t>
        </is>
      </c>
      <c r="B1588" s="5" t="n">
        <v>3</v>
      </c>
      <c r="C1588" s="6" t="inlineStr">
        <is>
          <t>Rakibin mühendislerini kendi tarafına çek</t>
        </is>
      </c>
      <c r="D1588" s="5" t="inlineStr">
        <is>
          <t>Cesaret</t>
        </is>
      </c>
      <c r="E1588" s="5" t="inlineStr">
        <is>
          <t>Orta</t>
        </is>
      </c>
      <c r="F1588" s="5" t="inlineStr"/>
      <c r="G1588" s="6" t="inlineStr"/>
      <c r="H1588" s="6" t="inlineStr">
        <is>
          <t>İki mühendisi kahveye çağırdın, üçüncü kahvede ikna ettin. Rakip bir hafta ürününü güncelleyemedi.</t>
        </is>
      </c>
      <c r="I1588" s="6" t="inlineStr">
        <is>
          <t>Rakibin bütün ekibi sana geçti; bir hafta sonra kurucusu da. Şimdi ürün müdürün; her toplantıda yapay zekâdan bahsediyor.</t>
        </is>
      </c>
      <c r="J1588" s="6" t="inlineStr">
        <is>
          <t>Mühendisler kahveyi içti, gelmedi. Hesabı sen ödedin: üç kahve, iki poğaça.</t>
        </is>
      </c>
      <c r="K1588" s="6" t="inlineStr">
        <is>
          <t>Teklif ederken rakibin kurucusu da masaya oturdu; aynı kafeye geliyormuş. Hepiniz sessizce kahve içtiniz.</t>
        </is>
      </c>
      <c r="L1588" s="6" t="inlineStr"/>
      <c r="M1588" s="5" t="inlineStr"/>
      <c r="N1588" s="5" t="inlineStr"/>
      <c r="O1588" s="6" t="inlineStr"/>
      <c r="P1588" s="6" t="inlineStr"/>
      <c r="Q1588" s="5" t="inlineStr"/>
      <c r="R1588" s="5" t="inlineStr"/>
      <c r="S1588" s="5" t="inlineStr"/>
      <c r="T1588" s="5" t="inlineStr"/>
      <c r="U1588" s="5" t="inlineStr"/>
      <c r="V1588" s="5" t="inlineStr"/>
      <c r="W1588" s="5" t="inlineStr"/>
      <c r="X1588" s="5" t="inlineStr"/>
      <c r="Y1588" s="5" t="inlineStr"/>
      <c r="Z1588" s="6" t="inlineStr"/>
      <c r="AA1588" s="5" t="inlineStr"/>
      <c r="AB1588" s="5" t="inlineStr"/>
      <c r="AC1588" s="5" t="inlineStr"/>
      <c r="AD1588" s="5" t="inlineStr"/>
      <c r="AE1588" s="5" t="inlineStr"/>
      <c r="AF1588" s="5" t="inlineStr"/>
      <c r="AG1588" s="5" t="inlineStr"/>
      <c r="AH1588" s="5" t="inlineStr"/>
    </row>
    <row r="1589">
      <c r="A1589" s="5" t="inlineStr">
        <is>
          <t>b7-girisim-ekosistem</t>
        </is>
      </c>
      <c r="B1589" s="5" t="n">
        <v>1</v>
      </c>
      <c r="C1589" s="6" t="inlineStr">
        <is>
          <t>Dürüstçe “Şans” de</t>
        </is>
      </c>
      <c r="D1589" s="5" t="inlineStr"/>
      <c r="E1589" s="5" t="inlineStr"/>
      <c r="F1589" s="5" t="inlineStr">
        <is>
          <t>İtibar +1, Sosyal Radar +1</t>
        </is>
      </c>
      <c r="G1589" s="6" t="inlineStr">
        <is>
          <t>“Şans” dedin. Salon güldü, sonra not aldı. Ertesi hafta biri “şans odaklı büyüme” eğitimi satmaya başladı.</t>
        </is>
      </c>
      <c r="H1589" s="6" t="inlineStr"/>
      <c r="I1589" s="6" t="inlineStr"/>
      <c r="J1589" s="6" t="inlineStr"/>
      <c r="K1589" s="6" t="inlineStr"/>
      <c r="L1589" s="6" t="inlineStr"/>
      <c r="M1589" s="5" t="inlineStr"/>
      <c r="N1589" s="5" t="inlineStr"/>
      <c r="O1589" s="6" t="inlineStr"/>
      <c r="P1589" s="6" t="inlineStr"/>
      <c r="Q1589" s="5" t="inlineStr"/>
      <c r="R1589" s="5" t="inlineStr"/>
      <c r="S1589" s="5" t="inlineStr"/>
      <c r="T1589" s="5" t="inlineStr"/>
      <c r="U1589" s="5" t="inlineStr"/>
      <c r="V1589" s="5" t="inlineStr"/>
      <c r="W1589" s="5" t="inlineStr"/>
      <c r="X1589" s="5" t="inlineStr"/>
      <c r="Y1589" s="5" t="inlineStr"/>
      <c r="Z1589" s="6" t="inlineStr"/>
      <c r="AA1589" s="5" t="inlineStr"/>
      <c r="AB1589" s="5" t="inlineStr"/>
      <c r="AC1589" s="5" t="inlineStr"/>
      <c r="AD1589" s="5" t="inlineStr"/>
      <c r="AE1589" s="5" t="inlineStr"/>
      <c r="AF1589" s="5" t="inlineStr"/>
      <c r="AG1589" s="5" t="inlineStr"/>
      <c r="AH1589" s="5" t="inlineStr"/>
    </row>
    <row r="1590">
      <c r="A1590" s="5" t="inlineStr">
        <is>
          <t>b7-girisim-ekosistem</t>
        </is>
      </c>
      <c r="B1590" s="5" t="n">
        <v>2</v>
      </c>
      <c r="C1590" s="6" t="inlineStr">
        <is>
          <t>Yöntemine bir ad koy, kitap sözü ver</t>
        </is>
      </c>
      <c r="D1590" s="5" t="inlineStr">
        <is>
          <t>Çene</t>
        </is>
      </c>
      <c r="E1590" s="5" t="inlineStr">
        <is>
          <t>Orta</t>
        </is>
      </c>
      <c r="F1590" s="5" t="inlineStr"/>
      <c r="G1590" s="6" t="inlineStr"/>
      <c r="H1590" s="6" t="inlineStr">
        <is>
          <t>“Garaj Metodu” dedin. Salon alkışladı, üç yayınevi aradı. Metodun içini henüz doldurmadın.</t>
        </is>
      </c>
      <c r="I1590" s="6" t="inlineStr">
        <is>
          <t>Garaj Metodu daha yazılmadan ön siparişte en çok satanlara girdi. Şimdi kitabı yazman lazım.</t>
        </is>
      </c>
      <c r="J1590" s="6" t="inlineStr">
        <is>
          <t>Yöntemine ad koydun; salondan biri aynı adla kurs verdiğini söyledi. Kartvizitini değil, kurs broşürünü dağıttı.</t>
        </is>
      </c>
      <c r="K1590" s="6" t="inlineStr">
        <is>
          <t>Anlatırken slaytlar karıştı; ekrana tatil fotoğrafların geldi. Yöntemin “Tatil Metodu” diye anıldı.</t>
        </is>
      </c>
      <c r="L1590" s="6" t="inlineStr"/>
      <c r="M1590" s="5" t="inlineStr"/>
      <c r="N1590" s="5" t="inlineStr"/>
      <c r="O1590" s="6" t="inlineStr"/>
      <c r="P1590" s="6" t="inlineStr"/>
      <c r="Q1590" s="5" t="inlineStr"/>
      <c r="R1590" s="5" t="inlineStr"/>
      <c r="S1590" s="5" t="inlineStr"/>
      <c r="T1590" s="5" t="inlineStr"/>
      <c r="U1590" s="5" t="inlineStr"/>
      <c r="V1590" s="5" t="inlineStr"/>
      <c r="W1590" s="5" t="inlineStr"/>
      <c r="X1590" s="5" t="inlineStr"/>
      <c r="Y1590" s="5" t="inlineStr"/>
      <c r="Z1590" s="6" t="inlineStr"/>
      <c r="AA1590" s="5" t="inlineStr"/>
      <c r="AB1590" s="5" t="inlineStr"/>
      <c r="AC1590" s="5" t="inlineStr"/>
      <c r="AD1590" s="5" t="inlineStr"/>
      <c r="AE1590" s="5" t="inlineStr"/>
      <c r="AF1590" s="5" t="inlineStr"/>
      <c r="AG1590" s="5" t="inlineStr"/>
      <c r="AH1590" s="5" t="inlineStr"/>
    </row>
    <row r="1591">
      <c r="A1591" s="5" t="inlineStr">
        <is>
          <t>b7-girisim-ekosistem</t>
        </is>
      </c>
      <c r="B1591" s="5" t="n">
        <v>3</v>
      </c>
      <c r="C1591" s="6" t="inlineStr">
        <is>
          <t>Mikrofonu bırakma, yeni fikrini sat</t>
        </is>
      </c>
      <c r="D1591" s="5" t="inlineStr">
        <is>
          <t>Cesaret</t>
        </is>
      </c>
      <c r="E1591" s="5" t="inlineStr">
        <is>
          <t>Zor</t>
        </is>
      </c>
      <c r="F1591" s="5" t="inlineStr"/>
      <c r="G1591" s="6" t="inlineStr"/>
      <c r="H1591" s="6" t="inlineStr">
        <is>
          <t>Mikrofonu bırakmadan yeni fikrini anlattın. Buluşma bitmeden iki yatırımcı seni kahveye çağırdı; hesabı onlar ödedi.</t>
        </is>
      </c>
      <c r="I1591" s="6" t="inlineStr">
        <is>
          <t>Bir yatırımcı ayağa kalkıp “Varım” dedi, diğerleri kaçırmamak için peşinden. Fikrin henüz bir cümle; değeri bir apartman.</t>
        </is>
      </c>
      <c r="J1591" s="6" t="inlineStr">
        <is>
          <t>Moderatör süre dolduğunu söyleyip mikrofonu aldı. Fikrin koridorda devam etti; koridor boştu.</t>
        </is>
      </c>
      <c r="K1591" s="6" t="inlineStr">
        <is>
          <t>Anlattığın fikir, ön sıradaki gencin geçen ay kurduğu şirketin ta kendisiymiş. Genç el kaldırıp teşekkür etti.</t>
        </is>
      </c>
      <c r="L1591" s="6" t="inlineStr"/>
      <c r="M1591" s="5" t="inlineStr"/>
      <c r="N1591" s="5" t="inlineStr"/>
      <c r="O1591" s="6" t="inlineStr"/>
      <c r="P1591" s="6" t="inlineStr"/>
      <c r="Q1591" s="5" t="inlineStr"/>
      <c r="R1591" s="5" t="inlineStr"/>
      <c r="S1591" s="5" t="inlineStr"/>
      <c r="T1591" s="5" t="inlineStr">
        <is>
          <t>Kendi Patronu</t>
        </is>
      </c>
      <c r="U1591" s="5" t="inlineStr"/>
      <c r="V1591" s="5" t="inlineStr"/>
      <c r="W1591" s="5" t="inlineStr"/>
      <c r="X1591" s="5" t="inlineStr"/>
      <c r="Y1591" s="5" t="inlineStr"/>
      <c r="Z1591" s="6" t="inlineStr"/>
      <c r="AA1591" s="5" t="inlineStr"/>
      <c r="AB1591" s="5" t="inlineStr"/>
      <c r="AC1591" s="5" t="inlineStr"/>
      <c r="AD1591" s="5" t="inlineStr"/>
      <c r="AE1591" s="5" t="inlineStr"/>
      <c r="AF1591" s="5" t="inlineStr"/>
      <c r="AG1591" s="5" t="inlineStr"/>
      <c r="AH1591" s="5" t="inlineStr"/>
    </row>
    <row r="1592">
      <c r="A1592" s="5" t="inlineStr">
        <is>
          <t>b8-girisim-kurul</t>
        </is>
      </c>
      <c r="B1592" s="5" t="n">
        <v>1</v>
      </c>
      <c r="C1592" s="6" t="inlineStr">
        <is>
          <t>Masa tenisinde çalışanlarla tanış</t>
        </is>
      </c>
      <c r="D1592" s="5" t="inlineStr"/>
      <c r="E1592" s="5" t="inlineStr"/>
      <c r="F1592" s="5" t="inlineStr">
        <is>
          <t>Sosyal Radar +1, Dayanıklılık +1</t>
        </is>
      </c>
      <c r="G1592" s="6" t="inlineStr">
        <is>
          <t>On ikisini yendin, yirmisine yenildin. Artık adlarını biliyorsun; onlar da senin servisini.</t>
        </is>
      </c>
      <c r="H1592" s="6" t="inlineStr"/>
      <c r="I1592" s="6" t="inlineStr"/>
      <c r="J1592" s="6" t="inlineStr"/>
      <c r="K1592" s="6" t="inlineStr"/>
      <c r="L1592" s="6" t="inlineStr"/>
      <c r="M1592" s="5" t="inlineStr"/>
      <c r="N1592" s="5" t="inlineStr"/>
      <c r="O1592" s="6" t="inlineStr"/>
      <c r="P1592" s="6" t="inlineStr"/>
      <c r="Q1592" s="5" t="inlineStr"/>
      <c r="R1592" s="5" t="inlineStr"/>
      <c r="S1592" s="5" t="inlineStr"/>
      <c r="T1592" s="5" t="inlineStr"/>
      <c r="U1592" s="5" t="inlineStr"/>
      <c r="V1592" s="5" t="inlineStr"/>
      <c r="W1592" s="5" t="inlineStr"/>
      <c r="X1592" s="5" t="inlineStr"/>
      <c r="Y1592" s="5" t="inlineStr"/>
      <c r="Z1592" s="6" t="inlineStr"/>
      <c r="AA1592" s="5" t="inlineStr"/>
      <c r="AB1592" s="5" t="inlineStr"/>
      <c r="AC1592" s="5" t="inlineStr"/>
      <c r="AD1592" s="5" t="inlineStr"/>
      <c r="AE1592" s="5" t="inlineStr"/>
      <c r="AF1592" s="5" t="inlineStr"/>
      <c r="AG1592" s="5" t="inlineStr"/>
      <c r="AH1592" s="5" t="inlineStr"/>
    </row>
    <row r="1593">
      <c r="A1593" s="5" t="inlineStr">
        <is>
          <t>b8-girisim-kurul</t>
        </is>
      </c>
      <c r="B1593" s="5" t="n">
        <v>2</v>
      </c>
      <c r="C1593" s="6" t="inlineStr">
        <is>
          <t>Kurulda “tarihî” olmadığını kanıtla</t>
        </is>
      </c>
      <c r="D1593" s="5" t="inlineStr">
        <is>
          <t>Akıl</t>
        </is>
      </c>
      <c r="E1593" s="5" t="inlineStr">
        <is>
          <t>Orta</t>
        </is>
      </c>
      <c r="F1593" s="5" t="inlineStr"/>
      <c r="G1593" s="6" t="inlineStr"/>
      <c r="H1593" s="6" t="inlineStr">
        <is>
          <t>Rakamları ezberden okudun, kurul şaşırdı. Fotoğrafının altındaki yazı “Kurucu (hâlâ)” oldu.</t>
        </is>
      </c>
      <c r="I1593" s="6" t="inlineStr">
        <is>
          <t>Sunumu devraldın, kırk dakika konuştun, strateji değişti. Kültür sunumunu yapan kişi artık asistanın; çok kültürlü.</t>
        </is>
      </c>
      <c r="J1593" s="6" t="inlineStr">
        <is>
          <t>Rakamlarla konuştun; kurul yeni finans müdürünün rakamlarına daha çok güvendi. Seninkiler de doğruydu, sadece eskiydi.</t>
        </is>
      </c>
      <c r="K1593" s="6" t="inlineStr">
        <is>
          <t>Rakamları okurken geçen yılın dosyasını açtın. Kurul, şirketin geçen yıl daha iyi olduğunu senden öğrendi.</t>
        </is>
      </c>
      <c r="L1593" s="6" t="inlineStr"/>
      <c r="M1593" s="5" t="inlineStr"/>
      <c r="N1593" s="5" t="inlineStr"/>
      <c r="O1593" s="6" t="inlineStr"/>
      <c r="P1593" s="6" t="inlineStr"/>
      <c r="Q1593" s="5" t="inlineStr"/>
      <c r="R1593" s="5" t="inlineStr"/>
      <c r="S1593" s="5" t="inlineStr"/>
      <c r="T1593" s="5" t="inlineStr"/>
      <c r="U1593" s="5" t="inlineStr"/>
      <c r="V1593" s="5" t="inlineStr"/>
      <c r="W1593" s="5" t="inlineStr"/>
      <c r="X1593" s="5" t="inlineStr"/>
      <c r="Y1593" s="5" t="inlineStr"/>
      <c r="Z1593" s="6" t="inlineStr"/>
      <c r="AA1593" s="5" t="inlineStr"/>
      <c r="AB1593" s="5" t="inlineStr"/>
      <c r="AC1593" s="5" t="inlineStr"/>
      <c r="AD1593" s="5" t="inlineStr"/>
      <c r="AE1593" s="5" t="inlineStr"/>
      <c r="AF1593" s="5" t="inlineStr"/>
      <c r="AG1593" s="5" t="inlineStr"/>
      <c r="AH1593" s="5" t="inlineStr"/>
    </row>
    <row r="1594">
      <c r="A1594" s="5" t="inlineStr">
        <is>
          <t>b8-girisim-kurul</t>
        </is>
      </c>
      <c r="B1594" s="5" t="n">
        <v>3</v>
      </c>
      <c r="C1594" s="6" t="inlineStr">
        <is>
          <t>Kurulu dağıt, herkesi garaja götür</t>
        </is>
      </c>
      <c r="D1594" s="5" t="inlineStr">
        <is>
          <t>Cesaret</t>
        </is>
      </c>
      <c r="E1594" s="5" t="inlineStr">
        <is>
          <t>Zor</t>
        </is>
      </c>
      <c r="F1594" s="5" t="inlineStr"/>
      <c r="G1594" s="6" t="inlineStr"/>
      <c r="H1594" s="6" t="inlineStr">
        <is>
          <t>Bir haftalığına herkesi garaja taşıdın. Ürün iki haftada yenilendi; masa tenisi ofiste yalnız kaldı.</t>
        </is>
      </c>
      <c r="I1594" s="6" t="inlineStr">
        <is>
          <t>Garaj haftası efsane oldu; rakipler taklit etti, garaj kiraları arttı. Babanın garajı artık bir ekosistem.</t>
        </is>
      </c>
      <c r="J1594" s="6" t="inlineStr">
        <is>
          <t>Kırk kişi garaja sığmadı. Toplantı kaldırımda yapıldı, zabıta gelince bitti.</t>
        </is>
      </c>
      <c r="K1594" s="6" t="inlineStr">
        <is>
          <t>Kurul garaj fikrine karşı oy verdi; lehte tek oy seninki. Çıkarken kapı kartın çalışmadı.</t>
        </is>
      </c>
      <c r="L1594" s="6" t="inlineStr"/>
      <c r="M1594" s="5" t="inlineStr"/>
      <c r="N1594" s="5" t="inlineStr"/>
      <c r="O1594" s="6" t="inlineStr"/>
      <c r="P1594" s="6" t="inlineStr"/>
      <c r="Q1594" s="5" t="inlineStr"/>
      <c r="R1594" s="5" t="inlineStr"/>
      <c r="S1594" s="5" t="inlineStr"/>
      <c r="T1594" s="5" t="inlineStr">
        <is>
          <t>Geri Adım Atmaz</t>
        </is>
      </c>
      <c r="U1594" s="5" t="inlineStr"/>
      <c r="V1594" s="5" t="inlineStr"/>
      <c r="W1594" s="5" t="inlineStr"/>
      <c r="X1594" s="5" t="inlineStr"/>
      <c r="Y1594" s="5" t="inlineStr"/>
      <c r="Z1594" s="6" t="inlineStr"/>
      <c r="AA1594" s="5" t="inlineStr"/>
      <c r="AB1594" s="5" t="inlineStr"/>
      <c r="AC1594" s="5" t="inlineStr"/>
      <c r="AD1594" s="5" t="inlineStr"/>
      <c r="AE1594" s="5" t="inlineStr"/>
      <c r="AF1594" s="5" t="inlineStr"/>
      <c r="AG1594" s="5" t="inlineStr"/>
      <c r="AH1594" s="5" t="inlineStr"/>
    </row>
    <row r="1595">
      <c r="A1595" s="5" t="inlineStr">
        <is>
          <t>b8-girisim-kader</t>
        </is>
      </c>
      <c r="B1595" s="5" t="n">
        <v>1</v>
      </c>
      <c r="C1595" s="6" t="inlineStr">
        <is>
          <t>Küçül ama kimseyi kovma</t>
        </is>
      </c>
      <c r="D1595" s="5" t="inlineStr"/>
      <c r="E1595" s="5" t="inlineStr"/>
      <c r="F1595" s="5" t="inlineStr">
        <is>
          <t>İtibar +2</t>
        </is>
      </c>
      <c r="G1595" s="6" t="inlineStr">
        <is>
          <t>Şirket yarıya indi, kimse kovulmadı. Bayramda kırk çalışandan mesaj geldi; kırkına da cevap yazdın, tek tek.</t>
        </is>
      </c>
      <c r="H1595" s="6" t="inlineStr"/>
      <c r="I1595" s="6" t="inlineStr"/>
      <c r="J1595" s="6" t="inlineStr"/>
      <c r="K1595" s="6" t="inlineStr"/>
      <c r="L1595" s="6" t="inlineStr"/>
      <c r="M1595" s="5" t="inlineStr"/>
      <c r="N1595" s="5" t="inlineStr"/>
      <c r="O1595" s="6" t="inlineStr"/>
      <c r="P1595" s="6" t="inlineStr"/>
      <c r="Q1595" s="5" t="inlineStr"/>
      <c r="R1595" s="5" t="inlineStr"/>
      <c r="S1595" s="5" t="inlineStr"/>
      <c r="T1595" s="5" t="inlineStr"/>
      <c r="U1595" s="5" t="inlineStr"/>
      <c r="V1595" s="5" t="inlineStr"/>
      <c r="W1595" s="5" t="inlineStr"/>
      <c r="X1595" s="5" t="inlineStr"/>
      <c r="Y1595" s="5" t="inlineStr"/>
      <c r="Z1595" s="6" t="inlineStr"/>
      <c r="AA1595" s="5" t="inlineStr"/>
      <c r="AB1595" s="5" t="inlineStr"/>
      <c r="AC1595" s="5" t="inlineStr"/>
      <c r="AD1595" s="5" t="inlineStr"/>
      <c r="AE1595" s="5" t="inlineStr"/>
      <c r="AF1595" s="5" t="n">
        <v>1</v>
      </c>
      <c r="AG1595" s="5" t="inlineStr"/>
      <c r="AH1595" s="5" t="inlineStr"/>
    </row>
    <row r="1596">
      <c r="A1596" s="5" t="inlineStr">
        <is>
          <t>b8-girisim-kader</t>
        </is>
      </c>
      <c r="B1596" s="5" t="n">
        <v>2</v>
      </c>
      <c r="C1596" s="6" t="inlineStr">
        <is>
          <t>Holdingi kur, bir de otel al</t>
        </is>
      </c>
      <c r="D1596" s="5" t="inlineStr">
        <is>
          <t>Cesaret</t>
        </is>
      </c>
      <c r="E1596" s="5" t="inlineStr">
        <is>
          <t>Zor</t>
        </is>
      </c>
      <c r="F1596" s="5" t="inlineStr"/>
      <c r="G1596" s="6" t="inlineStr"/>
      <c r="H1596" s="6" t="inlineStr">
        <is>
          <t>Grup şirketleri dosyası kazandı. Holdingin var: bir yazılım şirketi, bir kafe zinciri ve nedenini bilmediğin bir otel.</t>
        </is>
      </c>
      <c r="I1596" s="6" t="inlineStr">
        <is>
          <t>Holdingin logosu bir gökdelende yanıyor. Otelin en üst katı senin; kuzen hâlâ şirket arabası istiyor, artık filo var.</t>
        </is>
      </c>
      <c r="J1596" s="6" t="inlineStr">
        <is>
          <t>Otel teklifi reddedildi, kredi de. Karton bardakta çay içmeye devam; borç bardaktan taştı.</t>
        </is>
      </c>
      <c r="K1596" s="6" t="inlineStr">
        <is>
          <t>Oteli aldın; iki ay sonra temeli bataklık çıktı. Holding bir hafta sürdü, borç kaldı.</t>
        </is>
      </c>
      <c r="L1596" s="6" t="inlineStr"/>
      <c r="M1596" s="5" t="inlineStr"/>
      <c r="N1596" s="5" t="inlineStr"/>
      <c r="O1596" s="6" t="inlineStr"/>
      <c r="P1596" s="6" t="inlineStr"/>
      <c r="Q1596" s="5" t="inlineStr"/>
      <c r="R1596" s="5" t="inlineStr"/>
      <c r="S1596" s="5" t="inlineStr"/>
      <c r="T1596" s="5" t="inlineStr"/>
      <c r="U1596" s="5" t="inlineStr"/>
      <c r="V1596" s="5" t="inlineStr">
        <is>
          <t>holding</t>
        </is>
      </c>
      <c r="W1596" s="5" t="inlineStr"/>
      <c r="X1596" s="5" t="inlineStr"/>
      <c r="Y1596" s="5" t="inlineStr"/>
      <c r="Z1596" s="6" t="inlineStr"/>
      <c r="AA1596" s="5" t="inlineStr"/>
      <c r="AB1596" s="5" t="inlineStr">
        <is>
          <t>borclu</t>
        </is>
      </c>
      <c r="AC1596" s="5" t="inlineStr"/>
      <c r="AD1596" s="5" t="inlineStr">
        <is>
          <t>Varlıklı</t>
        </is>
      </c>
      <c r="AE1596" s="5" t="inlineStr"/>
      <c r="AF1596" s="5" t="inlineStr"/>
      <c r="AG1596" s="5" t="inlineStr"/>
      <c r="AH1596" s="5" t="inlineStr"/>
    </row>
    <row r="1597">
      <c r="A1597" s="5" t="inlineStr">
        <is>
          <t>b8-girisim-kader</t>
        </is>
      </c>
      <c r="B1597" s="5" t="n">
        <v>3</v>
      </c>
      <c r="C1597" s="6" t="inlineStr">
        <is>
          <t>Müdürü ikna et, vade uzasın</t>
        </is>
      </c>
      <c r="D1597" s="5" t="inlineStr">
        <is>
          <t>Çene</t>
        </is>
      </c>
      <c r="E1597" s="5" t="inlineStr">
        <is>
          <t>Orta</t>
        </is>
      </c>
      <c r="F1597" s="5" t="inlineStr"/>
      <c r="G1597" s="6" t="inlineStr"/>
      <c r="H1597" s="6" t="inlineStr">
        <is>
          <t>Müdürle kırk dakika konuştun; vade bir yıl uzadı. Çıkarken bardağın da cam oldu.</t>
        </is>
      </c>
      <c r="I1597" s="6" t="inlineStr">
        <is>
          <t>Müdür o kadar ikna oldu ki kendi birikimini şirketine yatırdı. Artık her toplantıya o da geliyor, kendi çayıyla.</t>
        </is>
      </c>
      <c r="J1597" s="6" t="inlineStr">
        <is>
          <t>Müdür dinledi, sonra “Genel müdürlüğe soralım” dedi. Genel müdürlük hâlâ düşünüyor.</t>
        </is>
      </c>
      <c r="K1597" s="6" t="inlineStr">
        <is>
          <t>İkna ederken bankanın eski logosunu övdün; yenisini müdür seçmiş. Vade kısaldı, borç büyüdü.</t>
        </is>
      </c>
      <c r="L1597" s="6" t="inlineStr"/>
      <c r="M1597" s="5" t="inlineStr"/>
      <c r="N1597" s="5" t="inlineStr"/>
      <c r="O1597" s="6" t="inlineStr"/>
      <c r="P1597" s="6" t="inlineStr"/>
      <c r="Q1597" s="5" t="inlineStr"/>
      <c r="R1597" s="5" t="inlineStr"/>
      <c r="S1597" s="5" t="inlineStr"/>
      <c r="T1597" s="5" t="inlineStr"/>
      <c r="U1597" s="5" t="inlineStr"/>
      <c r="V1597" s="5" t="inlineStr"/>
      <c r="W1597" s="5" t="inlineStr">
        <is>
          <t>borclu</t>
        </is>
      </c>
      <c r="X1597" s="5" t="inlineStr"/>
      <c r="Y1597" s="5" t="inlineStr"/>
      <c r="Z1597" s="6" t="inlineStr"/>
      <c r="AA1597" s="5" t="inlineStr"/>
      <c r="AB1597" s="5" t="inlineStr"/>
      <c r="AC1597" s="5" t="inlineStr"/>
      <c r="AD1597" s="5" t="inlineStr"/>
      <c r="AE1597" s="5" t="inlineStr"/>
      <c r="AF1597" s="5" t="inlineStr"/>
      <c r="AG1597" s="5" t="inlineStr"/>
      <c r="AH1597" s="5" t="inlineStr"/>
    </row>
    <row r="1598">
      <c r="A1598" s="5" t="inlineStr">
        <is>
          <t>b9-girisim-nasihat</t>
        </is>
      </c>
      <c r="B1598" s="5" t="n">
        <v>1</v>
      </c>
      <c r="C1598" s="6" t="inlineStr">
        <is>
          <t>Garaj hikâyeni olduğu gibi anlat</t>
        </is>
      </c>
      <c r="D1598" s="5" t="inlineStr"/>
      <c r="E1598" s="5" t="inlineStr"/>
      <c r="F1598" s="5" t="inlineStr">
        <is>
          <t>İtibar +1, Çene +1</t>
        </is>
      </c>
      <c r="G1598" s="6" t="inlineStr">
        <is>
          <t>Buzdolabını, kuzeni, kırtasiyeciyi anlattın. Gençler not almadı, güldü. Çıkışta biri garajının adresini verdi: “Bakar mısınız?”</t>
        </is>
      </c>
      <c r="H1598" s="6" t="inlineStr"/>
      <c r="I1598" s="6" t="inlineStr"/>
      <c r="J1598" s="6" t="inlineStr"/>
      <c r="K1598" s="6" t="inlineStr"/>
      <c r="L1598" s="6" t="inlineStr"/>
      <c r="M1598" s="5" t="inlineStr"/>
      <c r="N1598" s="5" t="inlineStr"/>
      <c r="O1598" s="6" t="inlineStr"/>
      <c r="P1598" s="6" t="inlineStr"/>
      <c r="Q1598" s="5" t="inlineStr"/>
      <c r="R1598" s="5" t="inlineStr"/>
      <c r="S1598" s="5" t="inlineStr"/>
      <c r="T1598" s="5" t="inlineStr"/>
      <c r="U1598" s="5" t="inlineStr"/>
      <c r="V1598" s="5" t="inlineStr"/>
      <c r="W1598" s="5" t="inlineStr"/>
      <c r="X1598" s="5" t="inlineStr"/>
      <c r="Y1598" s="5" t="inlineStr"/>
      <c r="Z1598" s="6" t="inlineStr"/>
      <c r="AA1598" s="5" t="inlineStr"/>
      <c r="AB1598" s="5" t="inlineStr"/>
      <c r="AC1598" s="5" t="inlineStr"/>
      <c r="AD1598" s="5" t="inlineStr"/>
      <c r="AE1598" s="5" t="inlineStr"/>
      <c r="AF1598" s="5" t="inlineStr"/>
      <c r="AG1598" s="5" t="inlineStr"/>
      <c r="AH1598" s="5" t="inlineStr"/>
    </row>
    <row r="1599">
      <c r="A1599" s="5" t="inlineStr">
        <is>
          <t>b9-girisim-nasihat</t>
        </is>
      </c>
      <c r="B1599" s="5" t="n">
        <v>2</v>
      </c>
      <c r="C1599" s="6" t="inlineStr">
        <is>
          <t>Soran gencin uygulamasına yatırım yap</t>
        </is>
      </c>
      <c r="D1599" s="5" t="inlineStr">
        <is>
          <t>Akıl</t>
        </is>
      </c>
      <c r="E1599" s="5" t="inlineStr">
        <is>
          <t>Orta</t>
        </is>
      </c>
      <c r="F1599" s="5" t="inlineStr"/>
      <c r="G1599" s="6" t="inlineStr"/>
      <c r="H1599" s="6" t="inlineStr">
        <is>
          <t>Emeklilik uygulamasına küçük bir yatırım yaptın. İlk kullanıcısı da sen oldun; seni “çok aktif” buldu.</t>
        </is>
      </c>
      <c r="I1599" s="6" t="inlineStr">
        <is>
          <t>Genç iki yılda şirketini büyüttü, sana yönetim kurulunda yer açtı. Emekliliğin yine toplantıyla geçiyor.</t>
        </is>
      </c>
      <c r="J1599" s="6" t="inlineStr">
        <is>
          <t>Bir ay sonra genç pivot yaptı; uygulama köpek gezdirme işine döndü. Senin köpeğin yok.</t>
        </is>
      </c>
      <c r="K1599" s="6" t="inlineStr">
        <is>
          <t>Genç parayla ofise masa tenisi aldı. Ürün yok, masa tenisi var. Bu sahneyi bir yerden hatırlıyorsun.</t>
        </is>
      </c>
      <c r="L1599" s="6" t="inlineStr"/>
      <c r="M1599" s="5" t="inlineStr"/>
      <c r="N1599" s="5" t="inlineStr"/>
      <c r="O1599" s="6" t="inlineStr"/>
      <c r="P1599" s="6" t="inlineStr"/>
      <c r="Q1599" s="5" t="inlineStr"/>
      <c r="R1599" s="5" t="inlineStr"/>
      <c r="S1599" s="5" t="inlineStr"/>
      <c r="T1599" s="5" t="inlineStr"/>
      <c r="U1599" s="5" t="inlineStr"/>
      <c r="V1599" s="5" t="inlineStr"/>
      <c r="W1599" s="5" t="inlineStr"/>
      <c r="X1599" s="5" t="inlineStr"/>
      <c r="Y1599" s="5" t="inlineStr"/>
      <c r="Z1599" s="6" t="inlineStr"/>
      <c r="AA1599" s="5" t="inlineStr"/>
      <c r="AB1599" s="5" t="inlineStr"/>
      <c r="AC1599" s="5" t="inlineStr"/>
      <c r="AD1599" s="5" t="inlineStr"/>
      <c r="AE1599" s="5" t="inlineStr"/>
      <c r="AF1599" s="5" t="inlineStr"/>
      <c r="AG1599" s="5" t="inlineStr"/>
      <c r="AH1599" s="5" t="inlineStr"/>
    </row>
    <row r="1600">
      <c r="A1600" s="5" t="inlineStr">
        <is>
          <t>b9-girisim-nasihat</t>
        </is>
      </c>
      <c r="B1600" s="5" t="n">
        <v>3</v>
      </c>
      <c r="C1600" s="6" t="inlineStr">
        <is>
          <t>“Asla pes etmeyin” deme, gerçeği söyle</t>
        </is>
      </c>
      <c r="D1600" s="5" t="inlineStr">
        <is>
          <t>Cesaret</t>
        </is>
      </c>
      <c r="E1600" s="5" t="inlineStr">
        <is>
          <t>Orta</t>
        </is>
      </c>
      <c r="F1600" s="5" t="inlineStr"/>
      <c r="G1600" s="6" t="inlineStr"/>
      <c r="H1600" s="6" t="inlineStr">
        <is>
          <t>“Çoğunuz batacak, bu normal” dedin. Salon sustu, sonra ayağa kalktı. Alkış bu kez gerçekti.</t>
        </is>
      </c>
      <c r="I1600" s="6" t="inlineStr">
        <is>
          <t>Konuşman üniversitenin ders programına girdi: “Batmanın Temelleri.” Dersi sen veriyorsun; kontenjan doldu.</t>
        </is>
      </c>
      <c r="J1600" s="6" t="inlineStr">
        <is>
          <t>Gerçeği söyledin; moderatör araya girip “Ama umut da önemli” dedi. Salon moderatörü alkışladı.</t>
        </is>
      </c>
      <c r="K1600" s="6" t="inlineStr">
        <is>
          <t>Ön sıradaki genç ağladı. Onun şirketini, senin yatırımcı olduğun bir fon alıp kapatmış; ikiniz de şimdi öğrendiniz.</t>
        </is>
      </c>
      <c r="L1600" s="6" t="inlineStr"/>
      <c r="M1600" s="5" t="inlineStr"/>
      <c r="N1600" s="5" t="inlineStr"/>
      <c r="O1600" s="6" t="inlineStr"/>
      <c r="P1600" s="6" t="inlineStr"/>
      <c r="Q1600" s="5" t="inlineStr"/>
      <c r="R1600" s="5" t="inlineStr"/>
      <c r="S1600" s="5" t="inlineStr"/>
      <c r="T1600" s="5" t="inlineStr"/>
      <c r="U1600" s="5" t="inlineStr"/>
      <c r="V1600" s="5" t="inlineStr"/>
      <c r="W1600" s="5" t="inlineStr"/>
      <c r="X1600" s="5" t="inlineStr"/>
      <c r="Y1600" s="5" t="inlineStr"/>
      <c r="Z1600" s="6" t="inlineStr"/>
      <c r="AA1600" s="5" t="inlineStr"/>
      <c r="AB1600" s="5" t="inlineStr"/>
      <c r="AC1600" s="5" t="inlineStr"/>
      <c r="AD1600" s="5" t="inlineStr"/>
      <c r="AE1600" s="5" t="inlineStr"/>
      <c r="AF1600" s="5" t="inlineStr"/>
      <c r="AG1600" s="5" t="inlineStr"/>
      <c r="AH1600" s="5" t="inlineStr"/>
    </row>
    <row r="1601">
      <c r="A1601" s="5" t="inlineStr">
        <is>
          <t>b9-girisim-nasihat</t>
        </is>
      </c>
      <c r="B1601" s="5" t="n">
        <v>4</v>
      </c>
      <c r="C1601" s="6" t="inlineStr">
        <is>
          <t>Holdingde staj programı aç</t>
        </is>
      </c>
      <c r="D1601" s="5" t="inlineStr">
        <is>
          <t>Sosyal Radar</t>
        </is>
      </c>
      <c r="E1601" s="5" t="inlineStr">
        <is>
          <t>Zor</t>
        </is>
      </c>
      <c r="F1601" s="5" t="inlineStr"/>
      <c r="G1601" s="6" t="inlineStr"/>
      <c r="H1601" s="6" t="inlineStr">
        <is>
          <t>Staj programını anlattın; salondaki yüz gencin doksanı başvurdu. Başvuruları bir yapay zekâ ayıklıyor.</t>
        </is>
      </c>
      <c r="I1601" s="6" t="inlineStr">
        <is>
          <t>Stajyerlerden biri holdingin en kârlı birimini kurdu. Sana “Kurucu (tarihî)” diyor; bu sefer saygıyla.</t>
        </is>
      </c>
      <c r="J1601" s="6" t="inlineStr">
        <is>
          <t>Gençler yazılım yerine holdingin kafe zincirinde staj yapmayı seçti. Kafeler doldu, yazılım boş.</t>
        </is>
      </c>
      <c r="K1601" s="6" t="inlineStr">
        <is>
          <t>Anlatırken insan kaynakları aradı: program bütçeden çıkarılmış. Salonda yüz genç, sende bir özür.</t>
        </is>
      </c>
      <c r="L1601" s="6" t="inlineStr"/>
      <c r="M1601" s="5" t="inlineStr"/>
      <c r="N1601" s="5" t="inlineStr"/>
      <c r="O1601" s="6" t="inlineStr"/>
      <c r="P1601" s="6" t="inlineStr"/>
      <c r="Q1601" s="5" t="inlineStr"/>
      <c r="R1601" s="5" t="inlineStr">
        <is>
          <t>holding</t>
        </is>
      </c>
      <c r="S1601" s="5" t="inlineStr"/>
      <c r="T1601" s="5" t="inlineStr">
        <is>
          <t>Plaza Diplomatı</t>
        </is>
      </c>
      <c r="U1601" s="5" t="inlineStr"/>
      <c r="V1601" s="5" t="inlineStr"/>
      <c r="W1601" s="5" t="inlineStr"/>
      <c r="X1601" s="5" t="inlineStr"/>
      <c r="Y1601" s="5" t="inlineStr"/>
      <c r="Z1601" s="6" t="inlineStr"/>
      <c r="AA1601" s="5" t="inlineStr"/>
      <c r="AB1601" s="5" t="inlineStr"/>
      <c r="AC1601" s="5" t="inlineStr"/>
      <c r="AD1601" s="5" t="inlineStr"/>
      <c r="AE1601" s="5" t="inlineStr"/>
      <c r="AF1601" s="5" t="inlineStr"/>
      <c r="AG1601" s="5" t="inlineStr"/>
      <c r="AH1601" s="5" t="inlineStr"/>
    </row>
    <row r="1602">
      <c r="A1602" s="5" t="inlineStr">
        <is>
          <t>b7-politika-cay</t>
        </is>
      </c>
      <c r="B1602" s="5" t="n">
        <v>1</v>
      </c>
      <c r="C1602" s="6" t="inlineStr">
        <is>
          <t>Çayı mahalledeki kahveden ısmarla</t>
        </is>
      </c>
      <c r="D1602" s="5" t="inlineStr"/>
      <c r="E1602" s="5" t="inlineStr"/>
      <c r="F1602" s="5" t="inlineStr">
        <is>
          <t>Kurnazlık +1, Sosyal Radar +1</t>
        </is>
      </c>
      <c r="G1602" s="6" t="inlineStr">
        <is>
          <t>Kahveci iki yüz çayı getirdi, faturayı partiye kesti. Mitinge en çok kahvedekiler geldi; çay bitince gittiler.</t>
        </is>
      </c>
      <c r="H1602" s="6" t="inlineStr"/>
      <c r="I1602" s="6" t="inlineStr"/>
      <c r="J1602" s="6" t="inlineStr"/>
      <c r="K1602" s="6" t="inlineStr"/>
      <c r="L1602" s="6" t="inlineStr"/>
      <c r="M1602" s="5" t="inlineStr"/>
      <c r="N1602" s="5" t="inlineStr"/>
      <c r="O1602" s="6" t="inlineStr"/>
      <c r="P1602" s="6" t="inlineStr"/>
      <c r="Q1602" s="5" t="inlineStr"/>
      <c r="R1602" s="5" t="inlineStr"/>
      <c r="S1602" s="5" t="inlineStr"/>
      <c r="T1602" s="5" t="inlineStr"/>
      <c r="U1602" s="5" t="inlineStr"/>
      <c r="V1602" s="5" t="inlineStr"/>
      <c r="W1602" s="5" t="inlineStr"/>
      <c r="X1602" s="5" t="inlineStr"/>
      <c r="Y1602" s="5" t="inlineStr"/>
      <c r="Z1602" s="6" t="inlineStr"/>
      <c r="AA1602" s="5" t="inlineStr"/>
      <c r="AB1602" s="5" t="inlineStr"/>
      <c r="AC1602" s="5" t="inlineStr"/>
      <c r="AD1602" s="5" t="inlineStr"/>
      <c r="AE1602" s="5" t="inlineStr"/>
      <c r="AF1602" s="5" t="inlineStr"/>
      <c r="AG1602" s="5" t="inlineStr"/>
      <c r="AH1602" s="5" t="inlineStr"/>
    </row>
    <row r="1603">
      <c r="A1603" s="5" t="inlineStr">
        <is>
          <t>b7-politika-cay</t>
        </is>
      </c>
      <c r="B1603" s="5" t="n">
        <v>2</v>
      </c>
      <c r="C1603" s="6" t="inlineStr">
        <is>
          <t>İki yüz çayı semaverle sen yetiştir</t>
        </is>
      </c>
      <c r="D1603" s="5" t="inlineStr">
        <is>
          <t>Dayanıklılık</t>
        </is>
      </c>
      <c r="E1603" s="5" t="inlineStr">
        <is>
          <t>Orta</t>
        </is>
      </c>
      <c r="F1603" s="5" t="inlineStr"/>
      <c r="G1603" s="6" t="inlineStr"/>
      <c r="H1603" s="6" t="inlineStr">
        <is>
          <t>Dört saat semaver başında durdun; iki yüz çay, sıfır şikâyet. İl başkanı adını sordu. Bir dahakine yine soracak.</t>
        </is>
      </c>
      <c r="I1603" s="6" t="inlineStr">
        <is>
          <t>Çayın o kadar övüldü ki seni il yöneticisi yaptılar. Görev tanımında hâlâ “çay” yazıyor; ama büyük harfle.</t>
        </is>
      </c>
      <c r="J1603" s="6" t="inlineStr">
        <is>
          <t>Semaver yetişmedi; son elli kişi çayı soğuk içti. Miting de biraz soğudu.</t>
        </is>
      </c>
      <c r="K1603" s="6" t="inlineStr">
        <is>
          <t>Semaver taştı, pankart ıslandı. “Yeşil Balkon” yazısı “Yeş Bal” oldu; fotoğraflar çoktan çekilmişti.</t>
        </is>
      </c>
      <c r="L1603" s="6" t="inlineStr"/>
      <c r="M1603" s="5" t="inlineStr"/>
      <c r="N1603" s="5" t="inlineStr"/>
      <c r="O1603" s="6" t="inlineStr"/>
      <c r="P1603" s="6" t="inlineStr"/>
      <c r="Q1603" s="5" t="inlineStr"/>
      <c r="R1603" s="5" t="inlineStr"/>
      <c r="S1603" s="5" t="inlineStr"/>
      <c r="T1603" s="5" t="inlineStr"/>
      <c r="U1603" s="5" t="inlineStr"/>
      <c r="V1603" s="5" t="inlineStr">
        <is>
          <t>parti-il-yoneticisi</t>
        </is>
      </c>
      <c r="W1603" s="5" t="inlineStr"/>
      <c r="X1603" s="5" t="inlineStr"/>
      <c r="Y1603" s="5" t="inlineStr"/>
      <c r="Z1603" s="6" t="inlineStr"/>
      <c r="AA1603" s="5" t="inlineStr"/>
      <c r="AB1603" s="5" t="inlineStr"/>
      <c r="AC1603" s="5" t="inlineStr"/>
      <c r="AD1603" s="5" t="inlineStr"/>
      <c r="AE1603" s="5" t="inlineStr"/>
      <c r="AF1603" s="5" t="inlineStr"/>
      <c r="AG1603" s="5" t="inlineStr"/>
      <c r="AH1603" s="5" t="inlineStr"/>
    </row>
    <row r="1604">
      <c r="A1604" s="5" t="inlineStr">
        <is>
          <t>b7-politika-cay</t>
        </is>
      </c>
      <c r="B1604" s="5" t="n">
        <v>3</v>
      </c>
      <c r="C1604" s="6" t="inlineStr">
        <is>
          <t>Çayı bırak, il başkanı gelmeden kürsüye çık</t>
        </is>
      </c>
      <c r="D1604" s="5" t="inlineStr">
        <is>
          <t>Çene</t>
        </is>
      </c>
      <c r="E1604" s="5" t="inlineStr">
        <is>
          <t>Zor</t>
        </is>
      </c>
      <c r="F1604" s="5" t="inlineStr"/>
      <c r="G1604" s="6" t="inlineStr"/>
      <c r="H1604" s="6" t="inlineStr">
        <is>
          <t>Başkan gecikince mikrofonu aldın, kalabalığı ısıttın. O geldiğinde miting bitmişti; seni il yöneticisi yaptı, mecburen.</t>
        </is>
      </c>
      <c r="I1604" s="6" t="inlineStr">
        <is>
          <t>Kalabalık il başkanını değil seni istedi. Başkan seni yanına aldı, kulağına tek kelime söyledi: “Yavaş.”</t>
        </is>
      </c>
      <c r="J1604" s="6" t="inlineStr">
        <is>
          <t>Mikrofon açılmadı. On dakika kalabalığa dudak okuttun. Sonra çay dağıttın; ondan kaçış yok.</t>
        </is>
      </c>
      <c r="K1604" s="6" t="inlineStr">
        <is>
          <t>Kürsüde il başkanının adını üç kez yanlış söyledin. Başkan geldiğinde kalabalık onu o adla karşıladı.</t>
        </is>
      </c>
      <c r="L1604" s="6" t="inlineStr"/>
      <c r="M1604" s="5" t="inlineStr"/>
      <c r="N1604" s="5" t="inlineStr"/>
      <c r="O1604" s="6" t="inlineStr"/>
      <c r="P1604" s="6" t="inlineStr"/>
      <c r="Q1604" s="5" t="inlineStr"/>
      <c r="R1604" s="5" t="inlineStr"/>
      <c r="S1604" s="5" t="inlineStr"/>
      <c r="T1604" s="5" t="inlineStr">
        <is>
          <t>Seçim Makinesi</t>
        </is>
      </c>
      <c r="U1604" s="5" t="inlineStr"/>
      <c r="V1604" s="5" t="inlineStr">
        <is>
          <t>parti-il-yoneticisi</t>
        </is>
      </c>
      <c r="W1604" s="5" t="inlineStr"/>
      <c r="X1604" s="5" t="inlineStr"/>
      <c r="Y1604" s="5" t="inlineStr"/>
      <c r="Z1604" s="6" t="inlineStr"/>
      <c r="AA1604" s="5" t="inlineStr"/>
      <c r="AB1604" s="5" t="inlineStr"/>
      <c r="AC1604" s="5" t="inlineStr"/>
      <c r="AD1604" s="5" t="inlineStr"/>
      <c r="AE1604" s="5" t="inlineStr"/>
      <c r="AF1604" s="5" t="inlineStr"/>
      <c r="AG1604" s="5" t="inlineStr"/>
      <c r="AH1604" s="5" t="inlineStr"/>
    </row>
    <row r="1605">
      <c r="A1605" s="5" t="inlineStr">
        <is>
          <t>b7-politika-kaldirim</t>
        </is>
      </c>
      <c r="B1605" s="5" t="n">
        <v>1</v>
      </c>
      <c r="C1605" s="6" t="inlineStr">
        <is>
          <t>Kaldırımın taşını kendin döşe</t>
        </is>
      </c>
      <c r="D1605" s="5" t="inlineStr"/>
      <c r="E1605" s="5" t="inlineStr"/>
      <c r="F1605" s="5" t="inlineStr">
        <is>
          <t>Dayanıklılık +1, İtibar +1</t>
        </is>
      </c>
      <c r="G1605" s="6" t="inlineStr">
        <is>
          <t>Bir hafta sonu tek başına on metre kaldırım döşedin. Seçimi o on metre kazandırmadı ama mahalle oradan yürüyor, adını anarak.</t>
        </is>
      </c>
      <c r="H1605" s="6" t="inlineStr"/>
      <c r="I1605" s="6" t="inlineStr"/>
      <c r="J1605" s="6" t="inlineStr"/>
      <c r="K1605" s="6" t="inlineStr"/>
      <c r="L1605" s="6" t="inlineStr"/>
      <c r="M1605" s="5" t="inlineStr"/>
      <c r="N1605" s="5" t="inlineStr"/>
      <c r="O1605" s="6" t="inlineStr"/>
      <c r="P1605" s="6" t="inlineStr"/>
      <c r="Q1605" s="5" t="inlineStr"/>
      <c r="R1605" s="5" t="inlineStr"/>
      <c r="S1605" s="5" t="inlineStr"/>
      <c r="T1605" s="5" t="inlineStr"/>
      <c r="U1605" s="5" t="inlineStr"/>
      <c r="V1605" s="5" t="inlineStr"/>
      <c r="W1605" s="5" t="inlineStr"/>
      <c r="X1605" s="5" t="inlineStr"/>
      <c r="Y1605" s="5" t="inlineStr"/>
      <c r="Z1605" s="6" t="inlineStr"/>
      <c r="AA1605" s="5" t="inlineStr"/>
      <c r="AB1605" s="5" t="inlineStr"/>
      <c r="AC1605" s="5" t="inlineStr"/>
      <c r="AD1605" s="5" t="inlineStr"/>
      <c r="AE1605" s="5" t="inlineStr"/>
      <c r="AF1605" s="5" t="inlineStr"/>
      <c r="AG1605" s="5" t="inlineStr"/>
      <c r="AH1605" s="5" t="inlineStr"/>
    </row>
    <row r="1606">
      <c r="A1606" s="5" t="inlineStr">
        <is>
          <t>b7-politika-kaldirim</t>
        </is>
      </c>
      <c r="B1606" s="5" t="n">
        <v>2</v>
      </c>
      <c r="C1606" s="6" t="inlineStr">
        <is>
          <t>Rakibi aş: kaldırıma bank ve ağaç da koy</t>
        </is>
      </c>
      <c r="D1606" s="5" t="inlineStr">
        <is>
          <t>Çene</t>
        </is>
      </c>
      <c r="E1606" s="5" t="inlineStr">
        <is>
          <t>Orta</t>
        </is>
      </c>
      <c r="F1606" s="5" t="inlineStr"/>
      <c r="G1606" s="6" t="inlineStr"/>
      <c r="H1606" s="6" t="inlineStr">
        <is>
          <t>“Kaldırım, bank ve ağaç” dedin. Mahalle ağaca ikna oldu. Meclis üyesi seçildin; fidan yolda.</t>
        </is>
      </c>
      <c r="I1606" s="6" t="inlineStr">
        <is>
          <t>Vaadin o kadar sevildi ki rakip aday bile sana oy verdiğini söyledi. Seçildin; kaldırıma şimdiden adın konmak isteniyor.</t>
        </is>
      </c>
      <c r="J1606" s="6" t="inlineStr">
        <is>
          <t>Sen bank dedin, rakip “Bank ve çardak” dedi. Seçim açık artırmaya döndü; çardak kazandı.</t>
        </is>
      </c>
      <c r="K1606" s="6" t="inlineStr">
        <is>
          <t>Vaatler öyle uzadı ki biri haritada kaldırıma yer kalmadığını gösterdi. Afişlerin kaldırımın üstünde; yürünmüyor.</t>
        </is>
      </c>
      <c r="L1606" s="6" t="inlineStr"/>
      <c r="M1606" s="5" t="inlineStr"/>
      <c r="N1606" s="5" t="inlineStr"/>
      <c r="O1606" s="6" t="inlineStr"/>
      <c r="P1606" s="6" t="inlineStr"/>
      <c r="Q1606" s="5" t="inlineStr"/>
      <c r="R1606" s="5" t="inlineStr"/>
      <c r="S1606" s="5" t="inlineStr"/>
      <c r="T1606" s="5" t="inlineStr"/>
      <c r="U1606" s="5" t="inlineStr"/>
      <c r="V1606" s="5" t="inlineStr">
        <is>
          <t>meclis-uyesi</t>
        </is>
      </c>
      <c r="W1606" s="5" t="inlineStr"/>
      <c r="X1606" s="5" t="inlineStr"/>
      <c r="Y1606" s="5" t="inlineStr"/>
      <c r="Z1606" s="6" t="inlineStr"/>
      <c r="AA1606" s="5" t="inlineStr"/>
      <c r="AB1606" s="5" t="inlineStr"/>
      <c r="AC1606" s="5" t="inlineStr"/>
      <c r="AD1606" s="5" t="inlineStr"/>
      <c r="AE1606" s="5" t="inlineStr"/>
      <c r="AF1606" s="5" t="inlineStr"/>
      <c r="AG1606" s="5" t="inlineStr"/>
      <c r="AH1606" s="5" t="inlineStr"/>
    </row>
    <row r="1607">
      <c r="A1607" s="5" t="inlineStr">
        <is>
          <t>b7-politika-kaldirim</t>
        </is>
      </c>
      <c r="B1607" s="5" t="n">
        <v>3</v>
      </c>
      <c r="C1607" s="6" t="inlineStr">
        <is>
          <t>Rakiple yerel kanalda kaldırım tartış</t>
        </is>
      </c>
      <c r="D1607" s="5" t="inlineStr">
        <is>
          <t>Pişkinlik</t>
        </is>
      </c>
      <c r="E1607" s="5" t="inlineStr">
        <is>
          <t>Zor</t>
        </is>
      </c>
      <c r="F1607" s="5" t="inlineStr"/>
      <c r="G1607" s="6" t="inlineStr"/>
      <c r="H1607" s="6" t="inlineStr">
        <is>
          <t>Kırk dakika kaldırım konuştunuz. Sen “Yürüdüm, biliyorum” dedin; rakip yürümemişti. Meclis üyesi seçildin.</t>
        </is>
      </c>
      <c r="I1607" s="6" t="inlineStr">
        <is>
          <t>Rakibin ayakkabı tabanlarının hiç aşınmadığını kameraya gösterdin. Oyların üçte ikisi seninki.</t>
        </is>
      </c>
      <c r="J1607" s="6" t="inlineStr">
        <is>
          <t>Rakip kaldırımın metrekare fiyatını ezbere bildi, sen bilmedin. Seçimi o kazandı; kaldırım hâlâ yok.</t>
        </is>
      </c>
      <c r="K1607" s="6" t="inlineStr">
        <is>
          <t>Yayında kaldırıma “yaya yolu”, sonra “şu taşlı yer” dedin. Yerel kanal seni hâlâ “Şu Taşlı Yer” diye anıyor.</t>
        </is>
      </c>
      <c r="L1607" s="6" t="inlineStr"/>
      <c r="M1607" s="5" t="inlineStr"/>
      <c r="N1607" s="5" t="inlineStr"/>
      <c r="O1607" s="6" t="inlineStr"/>
      <c r="P1607" s="6" t="inlineStr"/>
      <c r="Q1607" s="5" t="inlineStr"/>
      <c r="R1607" s="5" t="inlineStr"/>
      <c r="S1607" s="5" t="inlineStr"/>
      <c r="T1607" s="5" t="inlineStr">
        <is>
          <t>Son Sözü Söyler</t>
        </is>
      </c>
      <c r="U1607" s="5" t="inlineStr"/>
      <c r="V1607" s="5" t="inlineStr">
        <is>
          <t>meclis-uyesi</t>
        </is>
      </c>
      <c r="W1607" s="5" t="inlineStr"/>
      <c r="X1607" s="5" t="inlineStr"/>
      <c r="Y1607" s="5" t="inlineStr"/>
      <c r="Z1607" s="6" t="inlineStr"/>
      <c r="AA1607" s="5" t="inlineStr"/>
      <c r="AB1607" s="5" t="inlineStr"/>
      <c r="AC1607" s="5" t="inlineStr"/>
      <c r="AD1607" s="5" t="inlineStr"/>
      <c r="AE1607" s="5" t="inlineStr"/>
      <c r="AF1607" s="5" t="inlineStr"/>
      <c r="AG1607" s="5" t="inlineStr"/>
      <c r="AH1607" s="5" t="inlineStr"/>
    </row>
    <row r="1608">
      <c r="A1608" s="5" t="inlineStr">
        <is>
          <t>b8-politika-otobus</t>
        </is>
      </c>
      <c r="B1608" s="5" t="n">
        <v>1</v>
      </c>
      <c r="C1608" s="6" t="inlineStr">
        <is>
          <t>Otobüsten in, yürüyerek gez</t>
        </is>
      </c>
      <c r="D1608" s="5" t="inlineStr"/>
      <c r="E1608" s="5" t="inlineStr"/>
      <c r="F1608" s="5" t="inlineStr">
        <is>
          <t>Dayanıklılık +1, Sosyal Radar +1</t>
        </is>
      </c>
      <c r="G1608" s="6" t="inlineStr">
        <is>
          <t>Otobüs arkandan boş geldi, hoparlör sana şarkı söyledi. Günde üç mahalle gezdin ama her kapıda çay içtin. Her çay yarım oy.</t>
        </is>
      </c>
      <c r="H1608" s="6" t="inlineStr"/>
      <c r="I1608" s="6" t="inlineStr"/>
      <c r="J1608" s="6" t="inlineStr"/>
      <c r="K1608" s="6" t="inlineStr"/>
      <c r="L1608" s="6" t="inlineStr"/>
      <c r="M1608" s="5" t="inlineStr"/>
      <c r="N1608" s="5" t="inlineStr"/>
      <c r="O1608" s="6" t="inlineStr"/>
      <c r="P1608" s="6" t="inlineStr"/>
      <c r="Q1608" s="5" t="inlineStr"/>
      <c r="R1608" s="5" t="inlineStr"/>
      <c r="S1608" s="5" t="inlineStr"/>
      <c r="T1608" s="5" t="inlineStr"/>
      <c r="U1608" s="5" t="inlineStr"/>
      <c r="V1608" s="5" t="inlineStr"/>
      <c r="W1608" s="5" t="inlineStr"/>
      <c r="X1608" s="5" t="inlineStr"/>
      <c r="Y1608" s="5" t="inlineStr"/>
      <c r="Z1608" s="6" t="inlineStr"/>
      <c r="AA1608" s="5" t="inlineStr"/>
      <c r="AB1608" s="5" t="inlineStr"/>
      <c r="AC1608" s="5" t="inlineStr"/>
      <c r="AD1608" s="5" t="inlineStr"/>
      <c r="AE1608" s="5" t="inlineStr"/>
      <c r="AF1608" s="5" t="inlineStr"/>
      <c r="AG1608" s="5" t="inlineStr"/>
      <c r="AH1608" s="5" t="inlineStr"/>
    </row>
    <row r="1609">
      <c r="A1609" s="5" t="inlineStr">
        <is>
          <t>b8-politika-otobus</t>
        </is>
      </c>
      <c r="B1609" s="5" t="n">
        <v>2</v>
      </c>
      <c r="C1609" s="6" t="inlineStr">
        <is>
          <t>Hoparlörden kendin konuş</t>
        </is>
      </c>
      <c r="D1609" s="5" t="inlineStr">
        <is>
          <t>Çene</t>
        </is>
      </c>
      <c r="E1609" s="5" t="inlineStr">
        <is>
          <t>Orta</t>
        </is>
      </c>
      <c r="F1609" s="5" t="inlineStr"/>
      <c r="G1609" s="6" t="inlineStr"/>
      <c r="H1609" s="6" t="inlineStr">
        <is>
          <t>Mahalle mahalle isim sayarak konuştun. Herkes adını duydu; seçimi kazandın. Şarkıyı kimse özlemedi.</t>
        </is>
      </c>
      <c r="I1609" s="6" t="inlineStr">
        <is>
          <t>Anonsların öyle sevildi ki seçimden sonra da çalınmasını istediler. Belediye başkanısın; sesin hâlâ sokakta.</t>
        </is>
      </c>
      <c r="J1609" s="6" t="inlineStr">
        <is>
          <t>Otobüs alt geçide girince sesin yankılandı, kimse anlamadı. Seçimi çok az farkla kaybettin.</t>
        </is>
      </c>
      <c r="K1609" s="6" t="inlineStr">
        <is>
          <t>Hoparlörü kapatmayı unuttun; şoförle klima kavgan bütün mahalleye yayınlandı. Klima oy kaybettirdi.</t>
        </is>
      </c>
      <c r="L1609" s="6" t="inlineStr"/>
      <c r="M1609" s="5" t="inlineStr"/>
      <c r="N1609" s="5" t="inlineStr"/>
      <c r="O1609" s="6" t="inlineStr"/>
      <c r="P1609" s="6" t="inlineStr"/>
      <c r="Q1609" s="5" t="inlineStr"/>
      <c r="R1609" s="5" t="inlineStr"/>
      <c r="S1609" s="5" t="inlineStr"/>
      <c r="T1609" s="5" t="inlineStr"/>
      <c r="U1609" s="5" t="inlineStr"/>
      <c r="V1609" s="5" t="inlineStr">
        <is>
          <t>belediye-baskani</t>
        </is>
      </c>
      <c r="W1609" s="5" t="inlineStr"/>
      <c r="X1609" s="5" t="inlineStr"/>
      <c r="Y1609" s="5" t="inlineStr"/>
      <c r="Z1609" s="6" t="inlineStr"/>
      <c r="AA1609" s="5" t="inlineStr"/>
      <c r="AB1609" s="5" t="inlineStr"/>
      <c r="AC1609" s="5" t="inlineStr"/>
      <c r="AD1609" s="5" t="inlineStr"/>
      <c r="AE1609" s="5" t="inlineStr"/>
      <c r="AF1609" s="5" t="inlineStr"/>
      <c r="AG1609" s="5" t="inlineStr"/>
      <c r="AH1609" s="5" t="inlineStr"/>
    </row>
    <row r="1610">
      <c r="A1610" s="5" t="inlineStr">
        <is>
          <t>b8-politika-otobus</t>
        </is>
      </c>
      <c r="B1610" s="5" t="n">
        <v>3</v>
      </c>
      <c r="C1610" s="6" t="inlineStr">
        <is>
          <t>Rakibin otobüsüyle aynı caddede yarış</t>
        </is>
      </c>
      <c r="D1610" s="5" t="inlineStr">
        <is>
          <t>Cesaret</t>
        </is>
      </c>
      <c r="E1610" s="5" t="inlineStr">
        <is>
          <t>Zor</t>
        </is>
      </c>
      <c r="F1610" s="5" t="inlineStr"/>
      <c r="G1610" s="6" t="inlineStr"/>
      <c r="H1610" s="6" t="inlineStr">
        <is>
          <t>İki otobüs yan yana durdu; senin şoförün önce korna çaldı. Mahalle kornayı sevdi, seni seçti.</t>
        </is>
      </c>
      <c r="I1610" s="6" t="inlineStr">
        <is>
          <t>Rakibin otobüsü bozuldu; durup onu da kendi otobüsüne aldın. Fotoğraf her yerde. Başkansın; rakip yardımcın.</t>
        </is>
      </c>
      <c r="J1610" s="6" t="inlineStr">
        <is>
          <t>İki otobüs dar sokağa sıkıştı. Seçmen iki adayı da yaya gördü, kararsız kaldı. Kararsızlık kazandı.</t>
        </is>
      </c>
      <c r="K1610" s="6" t="inlineStr">
        <is>
          <t>Rakibi geçerken hoparlörün yanlışlıkla onun şarkısını çaldı. Mahallenin kafası karıştı, oyunu ona verdi.</t>
        </is>
      </c>
      <c r="L1610" s="6" t="inlineStr"/>
      <c r="M1610" s="5" t="inlineStr"/>
      <c r="N1610" s="5" t="inlineStr"/>
      <c r="O1610" s="6" t="inlineStr"/>
      <c r="P1610" s="6" t="inlineStr"/>
      <c r="Q1610" s="5" t="inlineStr"/>
      <c r="R1610" s="5" t="inlineStr"/>
      <c r="S1610" s="5" t="inlineStr"/>
      <c r="T1610" s="5" t="inlineStr"/>
      <c r="U1610" s="5" t="inlineStr"/>
      <c r="V1610" s="5" t="inlineStr">
        <is>
          <t>belediye-baskani</t>
        </is>
      </c>
      <c r="W1610" s="5" t="inlineStr"/>
      <c r="X1610" s="5" t="inlineStr"/>
      <c r="Y1610" s="5" t="inlineStr"/>
      <c r="Z1610" s="6" t="inlineStr"/>
      <c r="AA1610" s="5" t="inlineStr"/>
      <c r="AB1610" s="5" t="inlineStr"/>
      <c r="AC1610" s="5" t="inlineStr"/>
      <c r="AD1610" s="5" t="inlineStr"/>
      <c r="AE1610" s="5" t="inlineStr"/>
      <c r="AF1610" s="5" t="inlineStr"/>
      <c r="AG1610" s="5" t="inlineStr"/>
      <c r="AH1610" s="5" t="inlineStr"/>
    </row>
    <row r="1611">
      <c r="A1611" s="5" t="inlineStr">
        <is>
          <t>b8-politika-tartisma</t>
        </is>
      </c>
      <c r="B1611" s="5" t="n">
        <v>1</v>
      </c>
      <c r="C1611" s="6" t="inlineStr">
        <is>
          <t>İki tarafı da haklı bul</t>
        </is>
      </c>
      <c r="D1611" s="5" t="inlineStr"/>
      <c r="E1611" s="5" t="inlineStr"/>
      <c r="F1611" s="5" t="inlineStr">
        <is>
          <t>Sosyal Radar +1, İtibar +1</t>
        </is>
      </c>
      <c r="G1611" s="6" t="inlineStr">
        <is>
          <t>“Göbek de güzel, ışık da” dedin. Program seni “uzlaşmacı” diye tanıttı; bir daha çağırmadı.</t>
        </is>
      </c>
      <c r="H1611" s="6" t="inlineStr"/>
      <c r="I1611" s="6" t="inlineStr"/>
      <c r="J1611" s="6" t="inlineStr"/>
      <c r="K1611" s="6" t="inlineStr"/>
      <c r="L1611" s="6" t="inlineStr"/>
      <c r="M1611" s="5" t="inlineStr"/>
      <c r="N1611" s="5" t="inlineStr"/>
      <c r="O1611" s="6" t="inlineStr"/>
      <c r="P1611" s="6" t="inlineStr"/>
      <c r="Q1611" s="5" t="inlineStr"/>
      <c r="R1611" s="5" t="inlineStr"/>
      <c r="S1611" s="5" t="inlineStr"/>
      <c r="T1611" s="5" t="inlineStr"/>
      <c r="U1611" s="5" t="inlineStr"/>
      <c r="V1611" s="5" t="inlineStr"/>
      <c r="W1611" s="5" t="inlineStr"/>
      <c r="X1611" s="5" t="inlineStr"/>
      <c r="Y1611" s="5" t="inlineStr"/>
      <c r="Z1611" s="6" t="inlineStr"/>
      <c r="AA1611" s="5" t="inlineStr"/>
      <c r="AB1611" s="5" t="inlineStr"/>
      <c r="AC1611" s="5" t="inlineStr"/>
      <c r="AD1611" s="5" t="inlineStr"/>
      <c r="AE1611" s="5" t="inlineStr"/>
      <c r="AF1611" s="5" t="inlineStr"/>
      <c r="AG1611" s="5" t="inlineStr"/>
      <c r="AH1611" s="5" t="inlineStr"/>
    </row>
    <row r="1612">
      <c r="A1612" s="5" t="inlineStr">
        <is>
          <t>b8-politika-tartisma</t>
        </is>
      </c>
      <c r="B1612" s="5" t="n">
        <v>2</v>
      </c>
      <c r="C1612" s="6" t="inlineStr">
        <is>
          <t>Göbeği ondan yüksek sesle savun</t>
        </is>
      </c>
      <c r="D1612" s="5" t="inlineStr">
        <is>
          <t>Çene</t>
        </is>
      </c>
      <c r="E1612" s="5" t="inlineStr">
        <is>
          <t>Orta</t>
        </is>
      </c>
      <c r="F1612" s="5" t="inlineStr"/>
      <c r="G1612" s="6" t="inlineStr"/>
      <c r="H1612" s="6" t="inlineStr">
        <is>
          <t>Göbeği öyle savundun ki karşındaki konuk ışığa geçti. Sunucu zili çaldı; alkış bitmedi.</t>
        </is>
      </c>
      <c r="I1612" s="6" t="inlineStr">
        <is>
          <t>Gecenin en çok izlenen yayını oldu. Kanal seni her salı istiyor; göbek konusu tükendi, sırada rampalar var.</t>
        </is>
      </c>
      <c r="J1612" s="6" t="inlineStr">
        <is>
          <t>Karşındaki de göbeği savunuyormuş, anlaşılmamış. Tartışma değil mutabakat oldu; zil çalmadı.</t>
        </is>
      </c>
      <c r="K1612" s="6" t="inlineStr">
        <is>
          <t>Heyecanla masaya vurdun; tek bardak su sunucunun kucağına döküldü. Zil bu kez senin için çaldı; reklama girildi.</t>
        </is>
      </c>
      <c r="L1612" s="6" t="inlineStr"/>
      <c r="M1612" s="5" t="inlineStr"/>
      <c r="N1612" s="5" t="inlineStr"/>
      <c r="O1612" s="6" t="inlineStr"/>
      <c r="P1612" s="6" t="inlineStr"/>
      <c r="Q1612" s="5" t="inlineStr"/>
      <c r="R1612" s="5" t="inlineStr"/>
      <c r="S1612" s="5" t="inlineStr"/>
      <c r="T1612" s="5" t="inlineStr"/>
      <c r="U1612" s="5" t="inlineStr"/>
      <c r="V1612" s="5" t="inlineStr">
        <is>
          <t>tv-tartismaci</t>
        </is>
      </c>
      <c r="W1612" s="5" t="inlineStr"/>
      <c r="X1612" s="5" t="inlineStr"/>
      <c r="Y1612" s="5" t="inlineStr"/>
      <c r="Z1612" s="6" t="inlineStr"/>
      <c r="AA1612" s="5" t="inlineStr"/>
      <c r="AB1612" s="5" t="inlineStr"/>
      <c r="AC1612" s="5" t="inlineStr"/>
      <c r="AD1612" s="5" t="inlineStr"/>
      <c r="AE1612" s="5" t="inlineStr"/>
      <c r="AF1612" s="5" t="inlineStr"/>
      <c r="AG1612" s="5" t="inlineStr"/>
      <c r="AH1612" s="5" t="inlineStr"/>
    </row>
    <row r="1613">
      <c r="A1613" s="5" t="inlineStr">
        <is>
          <t>b8-politika-tartisma</t>
        </is>
      </c>
      <c r="B1613" s="5" t="n">
        <v>3</v>
      </c>
      <c r="C1613" s="6" t="inlineStr">
        <is>
          <t>Sunucunun zilini ele geçir</t>
        </is>
      </c>
      <c r="D1613" s="5" t="inlineStr">
        <is>
          <t>Pişkinlik</t>
        </is>
      </c>
      <c r="E1613" s="5" t="inlineStr">
        <is>
          <t>Zor</t>
        </is>
      </c>
      <c r="F1613" s="5" t="inlineStr"/>
      <c r="G1613" s="6" t="inlineStr"/>
      <c r="H1613" s="6" t="inlineStr">
        <is>
          <t>Zili aldın, sözün her kesildiğinde çaldın. Salon güldü, konuklar sustu. Son sözü sen söyledin; zille.</t>
        </is>
      </c>
      <c r="I1613" s="6" t="inlineStr">
        <is>
          <t>Zil sahnesi kısa video uygulamasında milyonlarca izlendi. Parti seçim şarkısına zil sesi ekledi.</t>
        </is>
      </c>
      <c r="J1613" s="6" t="inlineStr">
        <is>
          <t>Zile uzandın; sunucu elini çekmedi. Canlı yayında iki yetişkin bir zili paylaştı; kimse kazanmadı.</t>
        </is>
      </c>
      <c r="K1613" s="6" t="inlineStr">
        <is>
          <t>Zil elinden kaydı, masanın altına yuvarlandı. Programın kalanını masanın altından konuştun.</t>
        </is>
      </c>
      <c r="L1613" s="6" t="inlineStr"/>
      <c r="M1613" s="5" t="inlineStr"/>
      <c r="N1613" s="5" t="inlineStr"/>
      <c r="O1613" s="6" t="inlineStr"/>
      <c r="P1613" s="6" t="inlineStr"/>
      <c r="Q1613" s="5" t="inlineStr"/>
      <c r="R1613" s="5" t="inlineStr"/>
      <c r="S1613" s="5" t="inlineStr"/>
      <c r="T1613" s="5" t="inlineStr">
        <is>
          <t>Yüzü Kızarmaz</t>
        </is>
      </c>
      <c r="U1613" s="5" t="inlineStr"/>
      <c r="V1613" s="5" t="inlineStr">
        <is>
          <t>tv-tartismaci</t>
        </is>
      </c>
      <c r="W1613" s="5" t="inlineStr"/>
      <c r="X1613" s="5" t="inlineStr"/>
      <c r="Y1613" s="5" t="inlineStr"/>
      <c r="Z1613" s="6" t="inlineStr"/>
      <c r="AA1613" s="5" t="inlineStr"/>
      <c r="AB1613" s="5" t="inlineStr"/>
      <c r="AC1613" s="5" t="inlineStr"/>
      <c r="AD1613" s="5" t="inlineStr"/>
      <c r="AE1613" s="5" t="inlineStr"/>
      <c r="AF1613" s="5" t="inlineStr"/>
      <c r="AG1613" s="5" t="inlineStr"/>
      <c r="AH1613" s="5" t="inlineStr"/>
    </row>
    <row r="1614">
      <c r="A1614" s="5" t="inlineStr">
        <is>
          <t>b8-politika-kurdele</t>
        </is>
      </c>
      <c r="B1614" s="5" t="n">
        <v>1</v>
      </c>
      <c r="C1614" s="6" t="inlineStr">
        <is>
          <t>Makası bırak, kurdeleyi düğümünden çöz</t>
        </is>
      </c>
      <c r="D1614" s="5" t="inlineStr"/>
      <c r="E1614" s="5" t="inlineStr"/>
      <c r="F1614" s="5" t="inlineStr">
        <is>
          <t>Kurnazlık +1, Dayanıklılık +1</t>
        </is>
      </c>
      <c r="G1614" s="6" t="inlineStr">
        <is>
          <t>Kurdeleyi düğümünden çözdün. Kimse kesilmediğini fark etmedi; fotoğrafta bir makas var, yeter.</t>
        </is>
      </c>
      <c r="H1614" s="6" t="inlineStr"/>
      <c r="I1614" s="6" t="inlineStr"/>
      <c r="J1614" s="6" t="inlineStr"/>
      <c r="K1614" s="6" t="inlineStr"/>
      <c r="L1614" s="6" t="inlineStr"/>
      <c r="M1614" s="5" t="inlineStr"/>
      <c r="N1614" s="5" t="inlineStr"/>
      <c r="O1614" s="6" t="inlineStr"/>
      <c r="P1614" s="6" t="inlineStr"/>
      <c r="Q1614" s="5" t="inlineStr"/>
      <c r="R1614" s="5" t="inlineStr"/>
      <c r="S1614" s="5" t="inlineStr"/>
      <c r="T1614" s="5" t="inlineStr"/>
      <c r="U1614" s="5" t="inlineStr"/>
      <c r="V1614" s="5" t="inlineStr"/>
      <c r="W1614" s="5" t="inlineStr"/>
      <c r="X1614" s="5" t="inlineStr"/>
      <c r="Y1614" s="5" t="inlineStr"/>
      <c r="Z1614" s="6" t="inlineStr"/>
      <c r="AA1614" s="5" t="inlineStr"/>
      <c r="AB1614" s="5" t="inlineStr"/>
      <c r="AC1614" s="5" t="inlineStr"/>
      <c r="AD1614" s="5" t="inlineStr"/>
      <c r="AE1614" s="5" t="inlineStr"/>
      <c r="AF1614" s="5" t="inlineStr"/>
      <c r="AG1614" s="5" t="inlineStr"/>
      <c r="AH1614" s="5" t="inlineStr"/>
    </row>
    <row r="1615">
      <c r="A1615" s="5" t="inlineStr">
        <is>
          <t>b8-politika-kurdele</t>
        </is>
      </c>
      <c r="B1615" s="5" t="n">
        <v>2</v>
      </c>
      <c r="C1615" s="6" t="inlineStr">
        <is>
          <t>Kesmeden önce uzun bir konuşma yap</t>
        </is>
      </c>
      <c r="D1615" s="5" t="inlineStr">
        <is>
          <t>Çene</t>
        </is>
      </c>
      <c r="E1615" s="5" t="inlineStr">
        <is>
          <t>Orta</t>
        </is>
      </c>
      <c r="F1615" s="5" t="inlineStr"/>
      <c r="G1615" s="6" t="inlineStr"/>
      <c r="H1615" s="6" t="inlineStr">
        <is>
          <t>Çeşmenin tarihini anlattın; çeşme dün yapılmıştı. Yine de alkış aldın, kurdele de kesildi.</t>
        </is>
      </c>
      <c r="I1615" s="6" t="inlineStr">
        <is>
          <t>Konuşman biterken çeşmeden su aktı; zamanlama kusursuzdu. Kalabalık bunu senin başarın saydı. Sen de.</t>
        </is>
      </c>
      <c r="J1615" s="6" t="inlineStr">
        <is>
          <t>Konuşma uzadı, kalabalık dağıldı, kurdeleyi bir çocuk kopardı. Fotoğrafta çocuk var.</t>
        </is>
      </c>
      <c r="K1615" s="6" t="inlineStr">
        <is>
          <t>Tam doruk noktasında çeşme çalıştı; basınç fazlaydı. Ön sıra, sen ve kurdele ıslandınız. Açılışa “sağanak” dendi.</t>
        </is>
      </c>
      <c r="L1615" s="6" t="inlineStr"/>
      <c r="M1615" s="5" t="inlineStr"/>
      <c r="N1615" s="5" t="inlineStr"/>
      <c r="O1615" s="6" t="inlineStr"/>
      <c r="P1615" s="6" t="inlineStr"/>
      <c r="Q1615" s="5" t="inlineStr"/>
      <c r="R1615" s="5" t="inlineStr"/>
      <c r="S1615" s="5" t="inlineStr"/>
      <c r="T1615" s="5" t="inlineStr"/>
      <c r="U1615" s="5" t="inlineStr"/>
      <c r="V1615" s="5" t="inlineStr"/>
      <c r="W1615" s="5" t="inlineStr"/>
      <c r="X1615" s="5" t="inlineStr"/>
      <c r="Y1615" s="5" t="inlineStr"/>
      <c r="Z1615" s="6" t="inlineStr"/>
      <c r="AA1615" s="5" t="inlineStr"/>
      <c r="AB1615" s="5" t="inlineStr"/>
      <c r="AC1615" s="5" t="inlineStr"/>
      <c r="AD1615" s="5" t="inlineStr"/>
      <c r="AE1615" s="5" t="inlineStr"/>
      <c r="AF1615" s="5" t="inlineStr"/>
      <c r="AG1615" s="5" t="inlineStr"/>
      <c r="AH1615" s="5" t="inlineStr"/>
    </row>
    <row r="1616">
      <c r="A1616" s="5" t="inlineStr">
        <is>
          <t>b8-politika-kurdele</t>
        </is>
      </c>
      <c r="B1616" s="5" t="n">
        <v>3</v>
      </c>
      <c r="C1616" s="6" t="inlineStr">
        <is>
          <t>Kör makası kameraya göster, şakaya vur</t>
        </is>
      </c>
      <c r="D1616" s="5" t="inlineStr">
        <is>
          <t>Pişkinlik</t>
        </is>
      </c>
      <c r="E1616" s="5" t="inlineStr">
        <is>
          <t>Orta</t>
        </is>
      </c>
      <c r="F1616" s="5" t="inlineStr"/>
      <c r="G1616" s="6" t="inlineStr"/>
      <c r="H1616" s="6" t="inlineStr">
        <is>
          <t>“Bu makas da seçim vaadi gibi, kesiyormuş gibi yapıyor” dedin. Herkes güldü; espri kurdeleden uzun yaşadı.</t>
        </is>
      </c>
      <c r="I1616" s="6" t="inlineStr">
        <is>
          <t>Esprin haberlere çıktı; bir makas firması sana yeni makas yolladı. Açılış davetlerin ikiye katlandı.</t>
        </is>
      </c>
      <c r="J1616" s="6" t="inlineStr">
        <is>
          <t>Makası getiren görevli alındı. Kurdeleyi o kesti, sert.</t>
        </is>
      </c>
      <c r="K1616" s="6" t="inlineStr">
        <is>
          <t>Makası sallarken kurdeleyi değil mikrofon kablosunu kestin. Açılışın sesi orada bitti.</t>
        </is>
      </c>
      <c r="L1616" s="6" t="inlineStr"/>
      <c r="M1616" s="5" t="inlineStr"/>
      <c r="N1616" s="5" t="inlineStr"/>
      <c r="O1616" s="6" t="inlineStr"/>
      <c r="P1616" s="6" t="inlineStr"/>
      <c r="Q1616" s="5" t="inlineStr"/>
      <c r="R1616" s="5" t="inlineStr"/>
      <c r="S1616" s="5" t="inlineStr"/>
      <c r="T1616" s="5" t="inlineStr"/>
      <c r="U1616" s="5" t="inlineStr"/>
      <c r="V1616" s="5" t="inlineStr"/>
      <c r="W1616" s="5" t="inlineStr"/>
      <c r="X1616" s="5" t="inlineStr"/>
      <c r="Y1616" s="5" t="inlineStr"/>
      <c r="Z1616" s="6" t="inlineStr"/>
      <c r="AA1616" s="5" t="inlineStr"/>
      <c r="AB1616" s="5" t="inlineStr"/>
      <c r="AC1616" s="5" t="inlineStr"/>
      <c r="AD1616" s="5" t="inlineStr"/>
      <c r="AE1616" s="5" t="inlineStr"/>
      <c r="AF1616" s="5" t="inlineStr"/>
      <c r="AG1616" s="5" t="inlineStr"/>
      <c r="AH1616" s="5" t="inlineStr"/>
    </row>
    <row r="1617">
      <c r="A1617" s="5" t="inlineStr">
        <is>
          <t>b8-politika-kurdele</t>
        </is>
      </c>
      <c r="B1617" s="5" t="n">
        <v>4</v>
      </c>
      <c r="C1617" s="6" t="inlineStr">
        <is>
          <t>Açılışı bırak, Meclis'e yetiş, kürsüye çık</t>
        </is>
      </c>
      <c r="D1617" s="5" t="inlineStr">
        <is>
          <t>Çene</t>
        </is>
      </c>
      <c r="E1617" s="5" t="inlineStr">
        <is>
          <t>Zor</t>
        </is>
      </c>
      <c r="F1617" s="5" t="inlineStr"/>
      <c r="G1617" s="6" t="inlineStr"/>
      <c r="H1617" s="6" t="inlineStr">
        <is>
          <t>Kürsüdeki ilk konuşmanda çeşmeyi anlattın. Meclis güldü, sonra alkışladı. Tutanakta iki kez “(Alkışlar)” yazıyor.</t>
        </is>
      </c>
      <c r="I1617" s="6" t="inlineStr">
        <is>
          <t>İlk konuşmanı her sıradan vekil ayakta alkışladı. Kantinde tost sana ikram edildi; ayran da.</t>
        </is>
      </c>
      <c r="J1617" s="6" t="inlineStr">
        <is>
          <t>Süren yirmi saniyeydi, ilk cümlen otuz. Tutanakta yalnızca “Sayın Başkan” yazıyor.</t>
        </is>
      </c>
      <c r="K1617" s="6" t="inlineStr">
        <is>
          <t>Kurdele ceketine takılı kalmış. Konuşman unutuldu; kurdeleli fotoğrafın kaldı.</t>
        </is>
      </c>
      <c r="L1617" s="6" t="inlineStr"/>
      <c r="M1617" s="5" t="inlineStr"/>
      <c r="N1617" s="5" t="inlineStr"/>
      <c r="O1617" s="6" t="inlineStr"/>
      <c r="P1617" s="6" t="inlineStr"/>
      <c r="Q1617" s="5" t="inlineStr"/>
      <c r="R1617" s="5" t="inlineStr">
        <is>
          <t>secim-kazandi</t>
        </is>
      </c>
      <c r="S1617" s="5" t="inlineStr"/>
      <c r="T1617" s="5" t="inlineStr">
        <is>
          <t>Sözünü Geçirir</t>
        </is>
      </c>
      <c r="U1617" s="5" t="inlineStr"/>
      <c r="V1617" s="5" t="inlineStr"/>
      <c r="W1617" s="5" t="inlineStr"/>
      <c r="X1617" s="5" t="inlineStr"/>
      <c r="Y1617" s="5" t="inlineStr"/>
      <c r="Z1617" s="6" t="inlineStr"/>
      <c r="AA1617" s="5" t="inlineStr"/>
      <c r="AB1617" s="5" t="inlineStr"/>
      <c r="AC1617" s="5" t="inlineStr"/>
      <c r="AD1617" s="5" t="inlineStr"/>
      <c r="AE1617" s="5" t="inlineStr"/>
      <c r="AF1617" s="5" t="inlineStr"/>
      <c r="AG1617" s="5" t="inlineStr"/>
      <c r="AH1617" s="5" t="inlineStr"/>
    </row>
    <row r="1618">
      <c r="A1618" s="5" t="inlineStr">
        <is>
          <t>b9-politika-ani</t>
        </is>
      </c>
      <c r="B1618" s="5" t="n">
        <v>1</v>
      </c>
      <c r="C1618" s="6" t="inlineStr">
        <is>
          <t>Her şeyi olduğu gibi yaz</t>
        </is>
      </c>
      <c r="D1618" s="5" t="inlineStr"/>
      <c r="E1618" s="5" t="inlineStr"/>
      <c r="F1618" s="5" t="inlineStr">
        <is>
          <t>İtibar +1, Akıl +1</t>
        </is>
      </c>
      <c r="G1618" s="6" t="inlineStr">
        <is>
          <t>Kitap dürüst oldu; kırk iki tane sattı. Otuzunu akrabalar aldı. Birini eski rakibin aldı, altını çize çize okuyor.</t>
        </is>
      </c>
      <c r="H1618" s="6" t="inlineStr"/>
      <c r="I1618" s="6" t="inlineStr"/>
      <c r="J1618" s="6" t="inlineStr"/>
      <c r="K1618" s="6" t="inlineStr"/>
      <c r="L1618" s="6" t="inlineStr"/>
      <c r="M1618" s="5" t="inlineStr"/>
      <c r="N1618" s="5" t="inlineStr"/>
      <c r="O1618" s="6" t="inlineStr"/>
      <c r="P1618" s="6" t="inlineStr"/>
      <c r="Q1618" s="5" t="inlineStr"/>
      <c r="R1618" s="5" t="inlineStr"/>
      <c r="S1618" s="5" t="inlineStr"/>
      <c r="T1618" s="5" t="inlineStr"/>
      <c r="U1618" s="5" t="inlineStr"/>
      <c r="V1618" s="5" t="inlineStr"/>
      <c r="W1618" s="5" t="inlineStr"/>
      <c r="X1618" s="5" t="inlineStr"/>
      <c r="Y1618" s="5" t="inlineStr"/>
      <c r="Z1618" s="6" t="inlineStr"/>
      <c r="AA1618" s="5" t="inlineStr"/>
      <c r="AB1618" s="5" t="inlineStr"/>
      <c r="AC1618" s="5" t="inlineStr"/>
      <c r="AD1618" s="5" t="inlineStr"/>
      <c r="AE1618" s="5" t="inlineStr"/>
      <c r="AF1618" s="5" t="inlineStr"/>
      <c r="AG1618" s="5" t="inlineStr"/>
      <c r="AH1618" s="5" t="inlineStr"/>
    </row>
    <row r="1619">
      <c r="A1619" s="5" t="inlineStr">
        <is>
          <t>b9-politika-ani</t>
        </is>
      </c>
      <c r="B1619" s="5" t="n">
        <v>2</v>
      </c>
      <c r="C1619" s="6" t="inlineStr">
        <is>
          <t>Küçük bir sır uydur</t>
        </is>
      </c>
      <c r="D1619" s="5" t="inlineStr">
        <is>
          <t>Pişkinlik</t>
        </is>
      </c>
      <c r="E1619" s="5" t="inlineStr">
        <is>
          <t>Orta</t>
        </is>
      </c>
      <c r="F1619" s="5" t="inlineStr"/>
      <c r="G1619" s="6" t="inlineStr"/>
      <c r="H1619" s="6" t="inlineStr">
        <is>
          <t>“Semaverin gizli tarifi” diye bir bölüm ekledin. Kitap okundu; tarif denendi, tutmadı. Kimse şikâyet etmedi.</t>
        </is>
      </c>
      <c r="I1619" s="6" t="inlineStr">
        <is>
          <t>Uydurduğun sır bir televizyon programına konu oldu. Doğrulaman için çağrıldın; doğruladın.</t>
        </is>
      </c>
      <c r="J1619" s="6" t="inlineStr">
        <is>
          <t>Editör “Bu sırrı biri daha önce yazmış” dedi. Yazan, eski il başkanın.</t>
        </is>
      </c>
      <c r="K1619" s="6" t="inlineStr">
        <is>
          <t>Sırrın kahramanı eski bir parti arkadaşın; kitabı okumuş. Fuarda imza masana geldi, kitabı imzalattı, sonra konuştu.</t>
        </is>
      </c>
      <c r="L1619" s="6" t="inlineStr"/>
      <c r="M1619" s="5" t="inlineStr"/>
      <c r="N1619" s="5" t="inlineStr"/>
      <c r="O1619" s="6" t="inlineStr"/>
      <c r="P1619" s="6" t="inlineStr"/>
      <c r="Q1619" s="5" t="inlineStr"/>
      <c r="R1619" s="5" t="inlineStr"/>
      <c r="S1619" s="5" t="inlineStr"/>
      <c r="T1619" s="5" t="inlineStr"/>
      <c r="U1619" s="5" t="inlineStr"/>
      <c r="V1619" s="5" t="inlineStr"/>
      <c r="W1619" s="5" t="inlineStr"/>
      <c r="X1619" s="5" t="inlineStr"/>
      <c r="Y1619" s="5" t="inlineStr"/>
      <c r="Z1619" s="6" t="inlineStr"/>
      <c r="AA1619" s="5" t="inlineStr"/>
      <c r="AB1619" s="5" t="inlineStr"/>
      <c r="AC1619" s="5" t="inlineStr"/>
      <c r="AD1619" s="5" t="inlineStr"/>
      <c r="AE1619" s="5" t="inlineStr"/>
      <c r="AF1619" s="5" t="inlineStr"/>
      <c r="AG1619" s="5" t="inlineStr"/>
      <c r="AH1619" s="5" t="inlineStr"/>
    </row>
    <row r="1620">
      <c r="A1620" s="5" t="inlineStr">
        <is>
          <t>b9-politika-ani</t>
        </is>
      </c>
      <c r="B1620" s="5" t="n">
        <v>3</v>
      </c>
      <c r="C1620" s="6" t="inlineStr">
        <is>
          <t>Eski rakibinle ortak kitap yaz</t>
        </is>
      </c>
      <c r="D1620" s="5" t="inlineStr">
        <is>
          <t>Sosyal Radar</t>
        </is>
      </c>
      <c r="E1620" s="5" t="inlineStr">
        <is>
          <t>Zor</t>
        </is>
      </c>
      <c r="F1620" s="5" t="inlineStr"/>
      <c r="G1620" s="6" t="inlineStr"/>
      <c r="H1620" s="6" t="inlineStr">
        <is>
          <t>Her bölümü ikişer kez yazdınız, bir kez kavga ettiniz. Kitap “uzlaşmanın anıları” diye satıldı.</t>
        </is>
      </c>
      <c r="I1620" s="6" t="inlineStr">
        <is>
          <t>İmza gününde ikiniz aynı kalemi kullandınız. Fotoğraf ders kitaplarına girdi, “Nezaket” başlığının altına.</t>
        </is>
      </c>
      <c r="J1620" s="6" t="inlineStr">
        <is>
          <t>Anlaşamadınız; aynı kapakla iki ayrı kitap çıktı. Kitapçılar yan yana dizdi.</t>
        </is>
      </c>
      <c r="K1620" s="6" t="inlineStr">
        <is>
          <t>Önsözde anlaşamadınız; önsöz iki yüz sayfa oldu. Kitap önsözden ibaret.</t>
        </is>
      </c>
      <c r="L1620" s="6" t="inlineStr"/>
      <c r="M1620" s="5" t="inlineStr"/>
      <c r="N1620" s="5" t="inlineStr"/>
      <c r="O1620" s="6" t="inlineStr"/>
      <c r="P1620" s="6" t="inlineStr"/>
      <c r="Q1620" s="5" t="inlineStr"/>
      <c r="R1620" s="5" t="inlineStr"/>
      <c r="S1620" s="5" t="inlineStr"/>
      <c r="T1620" s="5" t="inlineStr">
        <is>
          <t>Odayı Okur</t>
        </is>
      </c>
      <c r="U1620" s="5" t="inlineStr"/>
      <c r="V1620" s="5" t="inlineStr"/>
      <c r="W1620" s="5" t="inlineStr"/>
      <c r="X1620" s="5" t="inlineStr"/>
      <c r="Y1620" s="5" t="inlineStr"/>
      <c r="Z1620" s="6" t="inlineStr"/>
      <c r="AA1620" s="5" t="inlineStr"/>
      <c r="AB1620" s="5" t="inlineStr"/>
      <c r="AC1620" s="5" t="inlineStr"/>
      <c r="AD1620" s="5" t="inlineStr"/>
      <c r="AE1620" s="5" t="inlineStr"/>
      <c r="AF1620" s="5" t="inlineStr"/>
      <c r="AG1620" s="5" t="inlineStr"/>
      <c r="AH1620" s="5" t="inlineStr"/>
    </row>
    <row r="1621">
      <c r="A1621" s="5" t="inlineStr">
        <is>
          <t>b9-politika-kahve</t>
        </is>
      </c>
      <c r="B1621" s="5" t="n">
        <v>1</v>
      </c>
      <c r="C1621" s="6" t="inlineStr">
        <is>
          <t>Hepsini dinle, önce kediyle ilgilen</t>
        </is>
      </c>
      <c r="D1621" s="5" t="inlineStr"/>
      <c r="E1621" s="5" t="inlineStr"/>
      <c r="F1621" s="5" t="inlineStr">
        <is>
          <t>İtibar +1, Sosyal Radar +1</t>
        </is>
      </c>
      <c r="G1621" s="6" t="inlineStr">
        <is>
          <t>Kediyi belediyeye götürdün; ceza çöp kutusunu devirmekten. Cezayı ödedin. Kedi artık kahvede, senin masanda uyuyor.</t>
        </is>
      </c>
      <c r="H1621" s="6" t="inlineStr"/>
      <c r="I1621" s="6" t="inlineStr"/>
      <c r="J1621" s="6" t="inlineStr"/>
      <c r="K1621" s="6" t="inlineStr"/>
      <c r="L1621" s="6" t="inlineStr"/>
      <c r="M1621" s="5" t="inlineStr"/>
      <c r="N1621" s="5" t="inlineStr"/>
      <c r="O1621" s="6" t="inlineStr"/>
      <c r="P1621" s="6" t="inlineStr"/>
      <c r="Q1621" s="5" t="inlineStr"/>
      <c r="R1621" s="5" t="inlineStr"/>
      <c r="S1621" s="5" t="inlineStr"/>
      <c r="T1621" s="5" t="inlineStr"/>
      <c r="U1621" s="5" t="inlineStr"/>
      <c r="V1621" s="5" t="inlineStr"/>
      <c r="W1621" s="5" t="inlineStr"/>
      <c r="X1621" s="5" t="inlineStr"/>
      <c r="Y1621" s="5" t="inlineStr"/>
      <c r="Z1621" s="6" t="inlineStr"/>
      <c r="AA1621" s="5" t="inlineStr"/>
      <c r="AB1621" s="5" t="inlineStr"/>
      <c r="AC1621" s="5" t="inlineStr"/>
      <c r="AD1621" s="5" t="inlineStr"/>
      <c r="AE1621" s="5" t="inlineStr"/>
      <c r="AF1621" s="5" t="inlineStr"/>
      <c r="AG1621" s="5" t="inlineStr"/>
      <c r="AH1621" s="5" t="inlineStr"/>
    </row>
    <row r="1622">
      <c r="A1622" s="5" t="inlineStr">
        <is>
          <t>b9-politika-kahve</t>
        </is>
      </c>
      <c r="B1622" s="5" t="n">
        <v>2</v>
      </c>
      <c r="C1622" s="6" t="inlineStr">
        <is>
          <t>Eski telefon defterini aç, birkaç yeri ara</t>
        </is>
      </c>
      <c r="D1622" s="5" t="inlineStr">
        <is>
          <t>Çene</t>
        </is>
      </c>
      <c r="E1622" s="5" t="inlineStr">
        <is>
          <t>Orta</t>
        </is>
      </c>
      <c r="F1622" s="5" t="inlineStr"/>
      <c r="G1622" s="6" t="inlineStr"/>
      <c r="H1622" s="6" t="inlineStr">
        <is>
          <t>Üç yeri aradın, ikisi açtı, biri seni hatırladı. Kaldırım programa alındı; beş yıl sonrasına ama alındı.</t>
        </is>
      </c>
      <c r="I1622" s="6" t="inlineStr">
        <is>
          <t>Aradığın herkes hatırladı: torun işe girdi, kaldırım döküldü, kedinin cezası silindi. Bütün gün çayın ısmarlandı.</t>
        </is>
      </c>
      <c r="J1622" s="6" t="inlineStr">
        <is>
          <t>Numaraların yarısı başkasına geçmiş. Biri pizzacı çıktı; mecburen bir şey sipariş ettin.</t>
        </is>
      </c>
      <c r="K1622" s="6" t="inlineStr">
        <is>
          <t>Yanlış numarayı aradın; eski rakibin açtı. Ricayı dinledi, kaldırımı kendisi yaptırdı. Kahve artık onu seviyor.</t>
        </is>
      </c>
      <c r="L1622" s="6" t="inlineStr"/>
      <c r="M1622" s="5" t="inlineStr"/>
      <c r="N1622" s="5" t="inlineStr"/>
      <c r="O1622" s="6" t="inlineStr"/>
      <c r="P1622" s="6" t="inlineStr"/>
      <c r="Q1622" s="5" t="inlineStr"/>
      <c r="R1622" s="5" t="inlineStr"/>
      <c r="S1622" s="5" t="inlineStr"/>
      <c r="T1622" s="5" t="inlineStr"/>
      <c r="U1622" s="5" t="inlineStr"/>
      <c r="V1622" s="5" t="inlineStr"/>
      <c r="W1622" s="5" t="inlineStr"/>
      <c r="X1622" s="5" t="inlineStr"/>
      <c r="Y1622" s="5" t="inlineStr"/>
      <c r="Z1622" s="6" t="inlineStr"/>
      <c r="AA1622" s="5" t="inlineStr"/>
      <c r="AB1622" s="5" t="inlineStr"/>
      <c r="AC1622" s="5" t="inlineStr"/>
      <c r="AD1622" s="5" t="inlineStr"/>
      <c r="AE1622" s="5" t="inlineStr"/>
      <c r="AF1622" s="5" t="inlineStr"/>
      <c r="AG1622" s="5" t="inlineStr"/>
      <c r="AH1622" s="5" t="inlineStr"/>
    </row>
    <row r="1623">
      <c r="A1623" s="5" t="inlineStr">
        <is>
          <t>b9-politika-kahve</t>
        </is>
      </c>
      <c r="B1623" s="5" t="n">
        <v>3</v>
      </c>
      <c r="C1623" s="6" t="inlineStr">
        <is>
          <t>Ricaları bir mahalle toplantısına çevir</t>
        </is>
      </c>
      <c r="D1623" s="5" t="inlineStr">
        <is>
          <t>Pişkinlik</t>
        </is>
      </c>
      <c r="E1623" s="5" t="inlineStr">
        <is>
          <t>Orta</t>
        </is>
      </c>
      <c r="F1623" s="5" t="inlineStr"/>
      <c r="G1623" s="6" t="inlineStr"/>
      <c r="H1623" s="6" t="inlineStr">
        <is>
          <t>Masaları birleştirdin, kahveyi mahalle meclisine çevirdin. Kaldırım için imza toplandı; kedi de patisini bastı.</t>
        </is>
      </c>
      <c r="I1623" s="6" t="inlineStr">
        <is>
          <t>Toplantılar öyle sevildi ki belediye her ay birini gönderiyor. Yine “Başkanım”sın; bu sefer bir sebebi var.</t>
        </is>
      </c>
      <c r="J1623" s="6" t="inlineStr">
        <is>
          <t>Toplantıya kimse gelmedi; tavla turnuvası vardı. Sen de oynadın, kaybettin.</t>
        </is>
      </c>
      <c r="K1623" s="6" t="inlineStr">
        <is>
          <t>Kaldırımcıyla kedi sahibi kavgaya tutuştu; kedi çöp kutusunu yine devirdi. Ceza bu kez senin adına kesildi.</t>
        </is>
      </c>
      <c r="L1623" s="6" t="inlineStr"/>
      <c r="M1623" s="5" t="inlineStr"/>
      <c r="N1623" s="5" t="inlineStr"/>
      <c r="O1623" s="6" t="inlineStr"/>
      <c r="P1623" s="6" t="inlineStr"/>
      <c r="Q1623" s="5" t="inlineStr"/>
      <c r="R1623" s="5" t="inlineStr"/>
      <c r="S1623" s="5" t="inlineStr"/>
      <c r="T1623" s="5" t="inlineStr"/>
      <c r="U1623" s="5" t="inlineStr"/>
      <c r="V1623" s="5" t="inlineStr"/>
      <c r="W1623" s="5" t="inlineStr"/>
      <c r="X1623" s="5" t="inlineStr"/>
      <c r="Y1623" s="5" t="inlineStr"/>
      <c r="Z1623" s="6" t="inlineStr"/>
      <c r="AA1623" s="5" t="inlineStr"/>
      <c r="AB1623" s="5" t="inlineStr"/>
      <c r="AC1623" s="5" t="inlineStr"/>
      <c r="AD1623" s="5" t="inlineStr"/>
      <c r="AE1623" s="5" t="inlineStr"/>
      <c r="AF1623" s="5" t="inlineStr"/>
      <c r="AG1623" s="5" t="inlineStr"/>
      <c r="AH1623" s="5" t="inlineStr"/>
    </row>
    <row r="1624">
      <c r="A1624" s="5" t="inlineStr">
        <is>
          <t>b9-politika-kahve</t>
        </is>
      </c>
      <c r="B1624" s="5" t="n">
        <v>4</v>
      </c>
      <c r="C1624" s="6" t="inlineStr">
        <is>
          <t>“Eski Meclis üyesi” kartını çıkar</t>
        </is>
      </c>
      <c r="D1624" s="5" t="inlineStr">
        <is>
          <t>Pişkinlik</t>
        </is>
      </c>
      <c r="E1624" s="5" t="inlineStr">
        <is>
          <t>Zor</t>
        </is>
      </c>
      <c r="F1624" s="5" t="inlineStr"/>
      <c r="G1624" s="6" t="inlineStr"/>
      <c r="H1624" s="6" t="inlineStr">
        <is>
          <t>Kartı gösterdin; belediyede kapılar açıldı. Kedinin cezası “sehven” diye silindi. Kedi de sehven sevindi.</t>
        </is>
      </c>
      <c r="I1624" s="6" t="inlineStr">
        <is>
          <t>Başkan yardımcısı eski stajyerin çıktı. Kaldırım bir haftada döküldü; adı “Vekil Yolu” oldu.</t>
        </is>
      </c>
      <c r="J1624" s="6" t="inlineStr">
        <is>
          <t>Güvenlikteki genç kartının süresinin çoktan dolduğunu söyledi. Ziyaretçi kartıyla girdin.</t>
        </is>
      </c>
      <c r="K1624" s="6" t="inlineStr">
        <is>
          <t>Kartı çıkarırken cüzdandan eski miting fotoğrafların döküldü; bekleme salonu tek tek inceledi. Cezayı ödeyip çıktın.</t>
        </is>
      </c>
      <c r="L1624" s="6" t="inlineStr"/>
      <c r="M1624" s="5" t="inlineStr"/>
      <c r="N1624" s="5" t="inlineStr"/>
      <c r="O1624" s="6" t="inlineStr"/>
      <c r="P1624" s="6" t="inlineStr"/>
      <c r="Q1624" s="5" t="inlineStr"/>
      <c r="R1624" s="5" t="inlineStr">
        <is>
          <t>secim-kazandi</t>
        </is>
      </c>
      <c r="S1624" s="5" t="inlineStr"/>
      <c r="T1624" s="5" t="inlineStr">
        <is>
          <t>Kendine Gülebilir</t>
        </is>
      </c>
      <c r="U1624" s="5" t="inlineStr"/>
      <c r="V1624" s="5" t="inlineStr"/>
      <c r="W1624" s="5" t="inlineStr"/>
      <c r="X1624" s="5" t="inlineStr"/>
      <c r="Y1624" s="5" t="inlineStr"/>
      <c r="Z1624" s="6" t="inlineStr"/>
      <c r="AA1624" s="5" t="inlineStr"/>
      <c r="AB1624" s="5" t="inlineStr"/>
      <c r="AC1624" s="5" t="inlineStr"/>
      <c r="AD1624" s="5" t="inlineStr"/>
      <c r="AE1624" s="5" t="inlineStr"/>
      <c r="AF1624" s="5" t="inlineStr"/>
      <c r="AG1624" s="5" t="inlineStr"/>
      <c r="AH1624" s="5" t="inlineStr"/>
    </row>
    <row r="1625">
      <c r="A1625" s="5" t="inlineStr">
        <is>
          <t>k10-sohret</t>
        </is>
      </c>
      <c r="B1625" s="5" t="n">
        <v>1</v>
      </c>
      <c r="C1625" s="6" t="inlineStr">
        <is>
          <t>Özür videosu çek</t>
        </is>
      </c>
      <c r="D1625" s="5" t="inlineStr">
        <is>
          <t>Çene</t>
        </is>
      </c>
      <c r="E1625" s="5" t="inlineStr">
        <is>
          <t>Orta</t>
        </is>
      </c>
      <c r="F1625" s="5" t="inlineStr"/>
      <c r="G1625" s="6" t="inlineStr"/>
      <c r="H1625" s="6" t="inlineStr">
        <is>
          <t>Beyaz tişört, sade duvar, titrek ses. Özrün kabul edildi; garson bile yorum yazdı: “Tamam abi.” Sponsorlar döndü.</t>
        </is>
      </c>
      <c r="I1625" s="6" t="inlineStr">
        <is>
          <t>Özür videon, olay videosundan çok izlendi. Garsonla birlikte reklam çektiniz. Artık garsonu da herkes tanıyor.</t>
        </is>
      </c>
      <c r="J1625" s="6" t="inlineStr">
        <is>
          <t>Işık kötüydü, sesin fazla prova edilmişti. Yorumlar “Oyunculuk bu mu?” diyor. Kimse affetmedi; bekliyorlar.</t>
        </is>
      </c>
      <c r="K1625" s="6" t="inlineStr">
        <is>
          <t>Videonun sonunda “Beni tanıyanlar bilir” dedin. Aynı cümle. İkinci video da her yerde.</t>
        </is>
      </c>
      <c r="L1625" s="6" t="inlineStr"/>
      <c r="M1625" s="5" t="inlineStr"/>
      <c r="N1625" s="5" t="inlineStr"/>
      <c r="O1625" s="6" t="inlineStr"/>
      <c r="P1625" s="6" t="inlineStr"/>
      <c r="Q1625" s="5" t="inlineStr"/>
      <c r="R1625" s="5" t="inlineStr"/>
      <c r="S1625" s="5" t="inlineStr"/>
      <c r="T1625" s="5" t="inlineStr"/>
      <c r="U1625" s="5" t="inlineStr"/>
      <c r="V1625" s="5" t="inlineStr"/>
      <c r="W1625" s="5" t="inlineStr"/>
      <c r="X1625" s="5" t="inlineStr"/>
      <c r="Y1625" s="5" t="inlineStr"/>
      <c r="Z1625" s="6" t="inlineStr"/>
      <c r="AA1625" s="5" t="inlineStr"/>
      <c r="AB1625" s="5" t="inlineStr"/>
      <c r="AC1625" s="5" t="inlineStr"/>
      <c r="AD1625" s="5" t="inlineStr">
        <is>
          <t>Rahat</t>
        </is>
      </c>
      <c r="AE1625" s="5" t="inlineStr"/>
      <c r="AF1625" s="5" t="inlineStr"/>
      <c r="AG1625" s="5" t="inlineStr"/>
      <c r="AH1625" s="5" t="inlineStr"/>
    </row>
    <row r="1626">
      <c r="A1626" s="5" t="inlineStr">
        <is>
          <t>k10-sohret</t>
        </is>
      </c>
      <c r="B1626" s="5" t="n">
        <v>2</v>
      </c>
      <c r="C1626" s="6" t="inlineStr">
        <is>
          <t>Sessiz kal, geri dönüşü bekle</t>
        </is>
      </c>
      <c r="D1626" s="5" t="inlineStr">
        <is>
          <t>Dayanıklılık</t>
        </is>
      </c>
      <c r="E1626" s="5" t="inlineStr">
        <is>
          <t>Zor</t>
        </is>
      </c>
      <c r="F1626" s="5" t="inlineStr"/>
      <c r="G1626" s="6" t="inlineStr"/>
      <c r="H1626" s="6" t="inlineStr">
        <is>
          <t>Altı ay tek kelime etmedin. Sonra bir yarışma programında bir kez gülümsedin. Herkes affetti; neyi affettiğini kimse hatırlamıyor.</t>
        </is>
      </c>
      <c r="I1626" s="6" t="inlineStr">
        <is>
          <t>Sessizliğin öyle uzun sürdü ki gizemli bir figüre dönüştün. Dönüş röportajın için üç kanal yarıştı.</t>
        </is>
      </c>
      <c r="J1626" s="6" t="inlineStr">
        <is>
          <t>Sessiz kaldın; seni herkes unuttu, skandal da dahil. Geri dönmek için önce hatırlanman lazım.</t>
        </is>
      </c>
      <c r="K1626" s="6" t="inlineStr">
        <is>
          <t>Sessizlik orucunda yanlışlıkla canlı yayın açtın; kırk dakika buzdolabına baktın. Bu da yeni skandal sayıldı.</t>
        </is>
      </c>
      <c r="L1626" s="6" t="inlineStr"/>
      <c r="M1626" s="5" t="inlineStr"/>
      <c r="N1626" s="5" t="inlineStr"/>
      <c r="O1626" s="6" t="inlineStr"/>
      <c r="P1626" s="6" t="inlineStr"/>
      <c r="Q1626" s="5" t="inlineStr"/>
      <c r="R1626" s="5" t="inlineStr"/>
      <c r="S1626" s="5" t="inlineStr"/>
      <c r="T1626" s="5" t="inlineStr"/>
      <c r="U1626" s="5" t="inlineStr"/>
      <c r="V1626" s="5" t="inlineStr">
        <is>
          <t>sohret-donus</t>
        </is>
      </c>
      <c r="W1626" s="5" t="inlineStr"/>
      <c r="X1626" s="5" t="inlineStr"/>
      <c r="Y1626" s="5" t="inlineStr"/>
      <c r="Z1626" s="6" t="inlineStr"/>
      <c r="AA1626" s="5" t="inlineStr"/>
      <c r="AB1626" s="5" t="inlineStr"/>
      <c r="AC1626" s="5" t="inlineStr"/>
      <c r="AD1626" s="5" t="inlineStr">
        <is>
          <t>Rahat</t>
        </is>
      </c>
      <c r="AE1626" s="5" t="inlineStr"/>
      <c r="AF1626" s="5" t="inlineStr"/>
      <c r="AG1626" s="5" t="inlineStr"/>
      <c r="AH1626" s="5" t="inlineStr"/>
    </row>
    <row r="1627">
      <c r="A1627" s="5" t="inlineStr">
        <is>
          <t>k10-sohret</t>
        </is>
      </c>
      <c r="B1627" s="5" t="n">
        <v>3</v>
      </c>
      <c r="C1627" s="6" t="inlineStr">
        <is>
          <t>Her şeyi bırak, köye çekil</t>
        </is>
      </c>
      <c r="D1627" s="5" t="inlineStr"/>
      <c r="E1627" s="5" t="inlineStr"/>
      <c r="F1627" s="5" t="inlineStr">
        <is>
          <t>İtibar +1, Dayanıklılık +1</t>
        </is>
      </c>
      <c r="G1627" s="6" t="inlineStr">
        <is>
          <t>Telefonu kapattın, köye yerleştin. Köyde seni kimse tanımıyor; bir teyze hariç. O da garsonun annesi.</t>
        </is>
      </c>
      <c r="H1627" s="6" t="inlineStr"/>
      <c r="I1627" s="6" t="inlineStr"/>
      <c r="J1627" s="6" t="inlineStr"/>
      <c r="K1627" s="6" t="inlineStr"/>
      <c r="L1627" s="6" t="inlineStr"/>
      <c r="M1627" s="5" t="inlineStr"/>
      <c r="N1627" s="5" t="inlineStr"/>
      <c r="O1627" s="6" t="inlineStr"/>
      <c r="P1627" s="6" t="inlineStr"/>
      <c r="Q1627" s="5" t="inlineStr"/>
      <c r="R1627" s="5" t="inlineStr"/>
      <c r="S1627" s="5" t="inlineStr"/>
      <c r="T1627" s="5" t="inlineStr"/>
      <c r="U1627" s="5" t="inlineStr">
        <is>
          <t>-hat-cete, -hat-dolandirici, -hat-girisimci, -hat-goc, -hat-hekim, -hat-polis, -hat-politika, -hat-sohret, -hat-usta, -hat-yargi, -meslek-beyazyaka, -meslek-memur, -meslek-serbest, hat-koy, meslek-esnaf</t>
        </is>
      </c>
      <c r="V1627" s="5" t="inlineStr"/>
      <c r="W1627" s="5" t="inlineStr"/>
      <c r="X1627" s="5" t="inlineStr"/>
      <c r="Y1627" s="5" t="inlineStr"/>
      <c r="Z1627" s="6" t="inlineStr"/>
      <c r="AA1627" s="5" t="inlineStr"/>
      <c r="AB1627" s="5" t="inlineStr"/>
      <c r="AC1627" s="5" t="inlineStr"/>
      <c r="AD1627" s="5" t="inlineStr"/>
      <c r="AE1627" s="5" t="inlineStr"/>
      <c r="AF1627" s="5" t="inlineStr"/>
      <c r="AG1627" s="5" t="inlineStr"/>
      <c r="AH1627" s="5" t="inlineStr"/>
    </row>
    <row r="1628">
      <c r="A1628" s="5" t="inlineStr">
        <is>
          <t>k10-girisimci</t>
        </is>
      </c>
      <c r="B1628" s="5" t="n">
        <v>1</v>
      </c>
      <c r="C1628" s="6" t="inlineStr">
        <is>
          <t>Büyü: parayı al, üç şehre birden açıl</t>
        </is>
      </c>
      <c r="D1628" s="5" t="inlineStr">
        <is>
          <t>Akıl</t>
        </is>
      </c>
      <c r="E1628" s="5" t="inlineStr">
        <is>
          <t>Zor</t>
        </is>
      </c>
      <c r="F1628" s="5" t="inlineStr"/>
      <c r="G1628" s="6" t="inlineStr"/>
      <c r="H1628" s="6" t="inlineStr">
        <is>
          <t>Üç şehre açıldın, üçünde de tuttu. Şirketin adı artık sonuna “Grup” alıyor. Kuzen arabasını aldı.</t>
        </is>
      </c>
      <c r="I1628" s="6" t="inlineStr">
        <is>
          <t>Fon ikinci turu sen istemeden verdi. Yeni binanın tabelası iki kat; adın en üstte.</t>
        </is>
      </c>
      <c r="J1628" s="6" t="inlineStr">
        <is>
          <t>Üç şehrin birinde tuttu, ikisinde battı. Fon parayı istemiyor ama banka istiyor. Borç senin adına.</t>
        </is>
      </c>
      <c r="K1628" s="6" t="inlineStr">
        <is>
          <t>Açıldığın şehirlerden birinde şirketin adı yerel bir küfre denk geldi. Şube kapandı; borç açık kaldı.</t>
        </is>
      </c>
      <c r="L1628" s="6" t="inlineStr"/>
      <c r="M1628" s="5" t="inlineStr"/>
      <c r="N1628" s="5" t="inlineStr"/>
      <c r="O1628" s="6" t="inlineStr"/>
      <c r="P1628" s="6" t="inlineStr"/>
      <c r="Q1628" s="5" t="inlineStr"/>
      <c r="R1628" s="5" t="inlineStr"/>
      <c r="S1628" s="5" t="inlineStr"/>
      <c r="T1628" s="5" t="inlineStr"/>
      <c r="U1628" s="5" t="inlineStr"/>
      <c r="V1628" s="5" t="inlineStr">
        <is>
          <t>holding</t>
        </is>
      </c>
      <c r="W1628" s="5" t="inlineStr"/>
      <c r="X1628" s="5" t="inlineStr"/>
      <c r="Y1628" s="5" t="inlineStr"/>
      <c r="Z1628" s="6" t="inlineStr"/>
      <c r="AA1628" s="5" t="inlineStr"/>
      <c r="AB1628" s="5" t="inlineStr">
        <is>
          <t>borclu</t>
        </is>
      </c>
      <c r="AC1628" s="5" t="inlineStr"/>
      <c r="AD1628" s="5" t="inlineStr">
        <is>
          <t>Varlıklı</t>
        </is>
      </c>
      <c r="AE1628" s="5" t="inlineStr"/>
      <c r="AF1628" s="5" t="inlineStr"/>
      <c r="AG1628" s="5" t="inlineStr"/>
      <c r="AH1628" s="5" t="inlineStr"/>
    </row>
    <row r="1629">
      <c r="A1629" s="5" t="inlineStr">
        <is>
          <t>k10-girisimci</t>
        </is>
      </c>
      <c r="B1629" s="5" t="n">
        <v>2</v>
      </c>
      <c r="C1629" s="6" t="inlineStr">
        <is>
          <t>Şirketi holdinge sat</t>
        </is>
      </c>
      <c r="D1629" s="5" t="inlineStr"/>
      <c r="E1629" s="5" t="inlineStr"/>
      <c r="F1629" s="5" t="inlineStr">
        <is>
          <t>Akıl +1, Kurnazlık +1</t>
        </is>
      </c>
      <c r="G1629" s="6" t="inlineStr">
        <is>
          <t>Holding şirketi aldı, adını kapıdan söktü. Hesabında hiç görmediğin bir rakam var. Kuzen de payını aldı; artık iki araba istiyor.</t>
        </is>
      </c>
      <c r="H1629" s="6" t="inlineStr"/>
      <c r="I1629" s="6" t="inlineStr"/>
      <c r="J1629" s="6" t="inlineStr"/>
      <c r="K1629" s="6" t="inlineStr"/>
      <c r="L1629" s="6" t="inlineStr"/>
      <c r="M1629" s="5" t="inlineStr"/>
      <c r="N1629" s="5" t="inlineStr"/>
      <c r="O1629" s="6" t="inlineStr"/>
      <c r="P1629" s="6" t="inlineStr"/>
      <c r="Q1629" s="5" t="inlineStr"/>
      <c r="R1629" s="5" t="inlineStr"/>
      <c r="S1629" s="5" t="inlineStr"/>
      <c r="T1629" s="5" t="inlineStr"/>
      <c r="U1629" s="5" t="inlineStr">
        <is>
          <t>sirketi-satti</t>
        </is>
      </c>
      <c r="V1629" s="5" t="inlineStr"/>
      <c r="W1629" s="5" t="inlineStr"/>
      <c r="X1629" s="5" t="inlineStr"/>
      <c r="Y1629" s="5" t="inlineStr"/>
      <c r="Z1629" s="6" t="inlineStr"/>
      <c r="AA1629" s="5" t="inlineStr"/>
      <c r="AB1629" s="5" t="inlineStr"/>
      <c r="AC1629" s="5" t="inlineStr"/>
      <c r="AD1629" s="5" t="inlineStr">
        <is>
          <t>Rahat</t>
        </is>
      </c>
      <c r="AE1629" s="5" t="inlineStr"/>
      <c r="AF1629" s="5" t="inlineStr"/>
      <c r="AG1629" s="5" t="inlineStr"/>
      <c r="AH1629" s="5" t="inlineStr"/>
    </row>
    <row r="1630">
      <c r="A1630" s="5" t="inlineStr">
        <is>
          <t>k10-girisimci</t>
        </is>
      </c>
      <c r="B1630" s="5" t="n">
        <v>3</v>
      </c>
      <c r="C1630" s="6" t="inlineStr">
        <is>
          <t>Batmadan kapat, köye dön</t>
        </is>
      </c>
      <c r="D1630" s="5" t="inlineStr"/>
      <c r="E1630" s="5" t="inlineStr"/>
      <c r="F1630" s="5" t="inlineStr">
        <is>
          <t>İtibar +1, Dayanıklılık +1</t>
        </is>
      </c>
      <c r="G1630" s="6" t="inlineStr">
        <is>
          <t>Şirketi kapattın, borçları ödedin, kalanla köye döndün. Garajdaki buzdolabı yeniden dolma saklıyor.</t>
        </is>
      </c>
      <c r="H1630" s="6" t="inlineStr"/>
      <c r="I1630" s="6" t="inlineStr"/>
      <c r="J1630" s="6" t="inlineStr"/>
      <c r="K1630" s="6" t="inlineStr"/>
      <c r="L1630" s="6" t="inlineStr"/>
      <c r="M1630" s="5" t="inlineStr"/>
      <c r="N1630" s="5" t="inlineStr"/>
      <c r="O1630" s="6" t="inlineStr"/>
      <c r="P1630" s="6" t="inlineStr"/>
      <c r="Q1630" s="5" t="inlineStr"/>
      <c r="R1630" s="5" t="inlineStr"/>
      <c r="S1630" s="5" t="inlineStr"/>
      <c r="T1630" s="5" t="inlineStr"/>
      <c r="U1630" s="5" t="inlineStr">
        <is>
          <t>-hat-cete, -hat-dolandirici, -hat-girisimci, -hat-goc, -hat-hekim, -hat-polis, -hat-politika, -hat-sohret, -hat-usta, -hat-yargi, -meslek-beyazyaka, -meslek-memur, -meslek-serbest, hat-koy, meslek-esnaf</t>
        </is>
      </c>
      <c r="V1630" s="5" t="inlineStr"/>
      <c r="W1630" s="5" t="inlineStr"/>
      <c r="X1630" s="5" t="inlineStr"/>
      <c r="Y1630" s="5" t="inlineStr"/>
      <c r="Z1630" s="6" t="inlineStr"/>
      <c r="AA1630" s="5" t="inlineStr"/>
      <c r="AB1630" s="5" t="inlineStr"/>
      <c r="AC1630" s="5" t="inlineStr"/>
      <c r="AD1630" s="5" t="inlineStr"/>
      <c r="AE1630" s="5" t="inlineStr"/>
      <c r="AF1630" s="5" t="n">
        <v>1</v>
      </c>
      <c r="AG1630" s="5" t="inlineStr"/>
      <c r="AH1630" s="5" t="inlineStr"/>
    </row>
    <row r="1631">
      <c r="A1631" s="5" t="inlineStr">
        <is>
          <t>k10-politika</t>
        </is>
      </c>
      <c r="B1631" s="5" t="n">
        <v>1</v>
      </c>
      <c r="C1631" s="6" t="inlineStr">
        <is>
          <t>Kazanmak için son mitingi yap</t>
        </is>
      </c>
      <c r="D1631" s="5" t="inlineStr">
        <is>
          <t>Çene</t>
        </is>
      </c>
      <c r="E1631" s="5" t="inlineStr">
        <is>
          <t>Zor</t>
        </is>
      </c>
      <c r="F1631" s="5" t="inlineStr"/>
      <c r="G1631" s="6" t="inlineStr"/>
      <c r="H1631" s="6" t="inlineStr">
        <is>
          <t>Son miting meydanı doldurdu; çay yetmedi, oylar yetti. Seçim gecesi sonuç geldi: Makarya Meclisi'ndesin.</t>
        </is>
      </c>
      <c r="I1631" s="6" t="inlineStr">
        <is>
          <t>Öyle konuştun ki rakip bile videonu paylaştı. Rekor oyla seçildin; seçim otobüsü müzeye kaldırıldı.</t>
        </is>
      </c>
      <c r="J1631" s="6" t="inlineStr">
        <is>
          <t>Miting güzeldi, sonuç değil. Kaybettin. Ertesi gün bir kanal aradı: “Seçim yorumcusu olur musunuz?” Artık ekranda kaynak kişisin.</t>
        </is>
      </c>
      <c r="K1631" s="6" t="inlineStr">
        <is>
          <t>Mikrofon karşı mitingin hoparlörüne bağlanmış. Kaybettin; o video yüzünden kanallar seni her akşam yorumcu olarak çağırıyor.</t>
        </is>
      </c>
      <c r="L1631" s="6" t="inlineStr"/>
      <c r="M1631" s="5" t="inlineStr"/>
      <c r="N1631" s="5" t="inlineStr"/>
      <c r="O1631" s="6" t="inlineStr"/>
      <c r="P1631" s="6" t="inlineStr"/>
      <c r="Q1631" s="5" t="inlineStr"/>
      <c r="R1631" s="5" t="inlineStr"/>
      <c r="S1631" s="5" t="inlineStr"/>
      <c r="T1631" s="5" t="inlineStr"/>
      <c r="U1631" s="5" t="inlineStr"/>
      <c r="V1631" s="5" t="inlineStr">
        <is>
          <t>secim-kazandi</t>
        </is>
      </c>
      <c r="W1631" s="5" t="inlineStr"/>
      <c r="X1631" s="5" t="inlineStr"/>
      <c r="Y1631" s="5" t="inlineStr"/>
      <c r="Z1631" s="6" t="inlineStr"/>
      <c r="AA1631" s="5" t="inlineStr"/>
      <c r="AB1631" s="5" t="inlineStr">
        <is>
          <t>-hat-cete, -hat-dolandirici, -hat-girisimci, -hat-goc, -hat-hekim, -hat-koy, -hat-polis, -hat-politika, -hat-usta, -hat-yargi, -meslek-beyazyaka, -meslek-esnaf, -meslek-memur, hat-sohret, meslek-serbest</t>
        </is>
      </c>
      <c r="AC1631" s="5" t="inlineStr"/>
      <c r="AD1631" s="5" t="inlineStr">
        <is>
          <t>Rahat</t>
        </is>
      </c>
      <c r="AE1631" s="5" t="inlineStr"/>
      <c r="AF1631" s="5" t="inlineStr"/>
      <c r="AG1631" s="5" t="inlineStr"/>
      <c r="AH1631" s="5" t="inlineStr"/>
    </row>
    <row r="1632">
      <c r="A1632" s="5" t="inlineStr">
        <is>
          <t>k10-politika</t>
        </is>
      </c>
      <c r="B1632" s="5" t="n">
        <v>2</v>
      </c>
      <c r="C1632" s="6" t="inlineStr">
        <is>
          <t>İhale teklifini kabul et</t>
        </is>
      </c>
      <c r="D1632" s="5" t="inlineStr">
        <is>
          <t>Kurnazlık</t>
        </is>
      </c>
      <c r="E1632" s="5" t="inlineStr">
        <is>
          <t>Zor</t>
        </is>
      </c>
      <c r="F1632" s="5" t="inlineStr"/>
      <c r="G1632" s="6" t="inlineStr"/>
      <c r="H1632" s="6" t="inlineStr">
        <is>
          <t>Müteahhitle bir çay içtin; kâğıtlar tertemiz göründü. Seçim sonucu önemini yitirdi, hesabın kazandı. Ailen bayramda aramadı.</t>
        </is>
      </c>
      <c r="I1632" s="6" t="inlineStr">
        <is>
          <t>İhale öyle sessiz kapandı ki kimse bir şey sormadı. Müteahhit teşekkür için bir köprü açtı, kurdelesini sen kestin. Ailen izlemedi.</t>
        </is>
      </c>
      <c r="J1632" s="6" t="inlineStr">
        <is>
          <t>Çay içtiğiniz masanın altında bir mikrofon varmış; kaşık sesleri bile kayıtta. Seçim gecesini karakolda, sonrasını içeride geçirdin.</t>
        </is>
      </c>
      <c r="K1632" s="6" t="inlineStr">
        <is>
          <t>İhale dosyasını yanlışlıkla parti grubuna gönderdin. Sonuçlardan önce savcılık geldi; seçim gecesini içeride izledin.</t>
        </is>
      </c>
      <c r="L1632" s="6" t="inlineStr"/>
      <c r="M1632" s="5" t="inlineStr"/>
      <c r="N1632" s="5" t="inlineStr"/>
      <c r="O1632" s="6" t="inlineStr"/>
      <c r="P1632" s="6" t="inlineStr"/>
      <c r="Q1632" s="5" t="inlineStr"/>
      <c r="R1632" s="5" t="inlineStr"/>
      <c r="S1632" s="5" t="inlineStr"/>
      <c r="T1632" s="5" t="inlineStr"/>
      <c r="U1632" s="5" t="inlineStr"/>
      <c r="V1632" s="5" t="inlineStr">
        <is>
          <t>ihaleci</t>
        </is>
      </c>
      <c r="W1632" s="5" t="inlineStr"/>
      <c r="X1632" s="5" t="inlineStr"/>
      <c r="Y1632" s="5" t="inlineStr"/>
      <c r="Z1632" s="6" t="inlineStr"/>
      <c r="AA1632" s="5" t="inlineStr">
        <is>
          <t>hepsi -1</t>
        </is>
      </c>
      <c r="AB1632" s="5" t="inlineStr">
        <is>
          <t>hapis</t>
        </is>
      </c>
      <c r="AC1632" s="5" t="inlineStr"/>
      <c r="AD1632" s="5" t="inlineStr">
        <is>
          <t>Varlıklı</t>
        </is>
      </c>
      <c r="AE1632" s="5" t="inlineStr"/>
      <c r="AF1632" s="5" t="inlineStr"/>
      <c r="AG1632" s="5" t="inlineStr"/>
      <c r="AH1632" s="5" t="inlineStr"/>
    </row>
    <row r="1633">
      <c r="A1633" s="5" t="inlineStr">
        <is>
          <t>k10-politika</t>
        </is>
      </c>
      <c r="B1633" s="5" t="n">
        <v>3</v>
      </c>
      <c r="C1633" s="6" t="inlineStr">
        <is>
          <t>Adaylıktan çekil, danışman ol</t>
        </is>
      </c>
      <c r="D1633" s="5" t="inlineStr"/>
      <c r="E1633" s="5" t="inlineStr"/>
      <c r="F1633" s="5" t="inlineStr">
        <is>
          <t>Akıl +1, Sosyal Radar +1</t>
        </is>
      </c>
      <c r="G1633" s="6" t="inlineStr">
        <is>
          <t>Adaylıktan çekildin, kazanan adayın danışmanı oldun. Meclis'e her gün giriyorsun; oy vermiyorsun, tost yiyorsun.</t>
        </is>
      </c>
      <c r="H1633" s="6" t="inlineStr"/>
      <c r="I1633" s="6" t="inlineStr"/>
      <c r="J1633" s="6" t="inlineStr"/>
      <c r="K1633" s="6" t="inlineStr"/>
      <c r="L1633" s="6" t="inlineStr"/>
      <c r="M1633" s="5" t="inlineStr"/>
      <c r="N1633" s="5" t="inlineStr"/>
      <c r="O1633" s="6" t="inlineStr"/>
      <c r="P1633" s="6" t="inlineStr"/>
      <c r="Q1633" s="5" t="inlineStr"/>
      <c r="R1633" s="5" t="inlineStr"/>
      <c r="S1633" s="5" t="inlineStr"/>
      <c r="T1633" s="5" t="inlineStr"/>
      <c r="U1633" s="5" t="inlineStr"/>
      <c r="V1633" s="5" t="inlineStr"/>
      <c r="W1633" s="5" t="inlineStr"/>
      <c r="X1633" s="5" t="inlineStr"/>
      <c r="Y1633" s="5" t="inlineStr"/>
      <c r="Z1633" s="6" t="inlineStr"/>
      <c r="AA1633" s="5" t="inlineStr"/>
      <c r="AB1633" s="5" t="inlineStr"/>
      <c r="AC1633" s="5" t="inlineStr"/>
      <c r="AD1633" s="5" t="inlineStr"/>
      <c r="AE1633" s="5" t="inlineStr"/>
      <c r="AF1633" s="5" t="inlineStr"/>
      <c r="AG1633" s="5" t="inlineStr"/>
      <c r="AH1633" s="5" t="inlineStr"/>
    </row>
    <row r="1634">
      <c r="A1634" s="5" t="inlineStr">
        <is>
          <t>k10-politika</t>
        </is>
      </c>
      <c r="B1634" s="5" t="n">
        <v>4</v>
      </c>
      <c r="C1634" s="6" t="inlineStr">
        <is>
          <t>Mahallenin adayı ol</t>
        </is>
      </c>
      <c r="D1634" s="5" t="inlineStr">
        <is>
          <t>İtibar</t>
        </is>
      </c>
      <c r="E1634" s="5" t="inlineStr">
        <is>
          <t>Orta</t>
        </is>
      </c>
      <c r="F1634" s="5" t="inlineStr"/>
      <c r="G1634" s="6" t="inlineStr"/>
      <c r="H1634" s="6" t="inlineStr">
        <is>
          <t>Afişe gerek kalmadı; mahalle seni zaten tanıyordu. Seçim gecesi kahvede sayım yapıldı, sonuç sokakta kutlandı.</t>
        </is>
      </c>
      <c r="I1634" s="6" t="inlineStr">
        <is>
          <t>Rakip parti bile seni tebrik etti; “Sizin mahallede bizim adayımız da size oy verdi” dediler.</t>
        </is>
      </c>
      <c r="J1634" s="6" t="inlineStr">
        <is>
          <t>Mahalle sana oy verdi, ilçe vermedi. Kaybettin ama ertesi sabah kapına üç tencere yemek geldi.</t>
        </is>
      </c>
      <c r="K1634" s="6" t="inlineStr">
        <is>
          <t>Seçim gecesi mahalle sana o kadar güvendi ki kimse sandığa gitmedi: “Nasılsa kazanır.” Kaybettin.</t>
        </is>
      </c>
      <c r="L1634" s="6" t="inlineStr"/>
      <c r="M1634" s="5" t="inlineStr"/>
      <c r="N1634" s="5" t="inlineStr"/>
      <c r="O1634" s="6" t="inlineStr"/>
      <c r="P1634" s="6" t="inlineStr"/>
      <c r="Q1634" s="5" t="inlineStr"/>
      <c r="R1634" s="5" t="inlineStr"/>
      <c r="S1634" s="5" t="inlineStr"/>
      <c r="T1634" s="5" t="inlineStr"/>
      <c r="U1634" s="5" t="inlineStr"/>
      <c r="V1634" s="5" t="inlineStr">
        <is>
          <t>secim-kazandi</t>
        </is>
      </c>
      <c r="W1634" s="5" t="inlineStr"/>
      <c r="X1634" s="5" t="inlineStr"/>
      <c r="Y1634" s="5" t="inlineStr"/>
      <c r="Z1634" s="6" t="inlineStr"/>
      <c r="AA1634" s="5" t="inlineStr"/>
      <c r="AB1634" s="5" t="inlineStr"/>
      <c r="AC1634" s="5" t="inlineStr"/>
      <c r="AD1634" s="5" t="inlineStr">
        <is>
          <t>Rahat</t>
        </is>
      </c>
      <c r="AE1634" s="5" t="inlineStr"/>
      <c r="AF1634" s="5" t="inlineStr"/>
      <c r="AG1634" s="5" t="inlineStr"/>
      <c r="AH1634" s="5" t="inlineStr">
        <is>
          <t>İtibar 48</t>
        </is>
      </c>
    </row>
    <row r="1635">
      <c r="A1635" s="5" t="inlineStr">
        <is>
          <t>b7-goc-oturma-izni</t>
        </is>
      </c>
      <c r="B1635" s="5" t="n">
        <v>1</v>
      </c>
      <c r="C1635" s="6" t="inlineStr">
        <is>
          <t>Sabah beşte kapıda sıraya gir</t>
        </is>
      </c>
      <c r="D1635" s="5" t="inlineStr"/>
      <c r="E1635" s="5" t="inlineStr"/>
      <c r="F1635" s="5" t="inlineStr">
        <is>
          <t>Dayanıklılık +2</t>
        </is>
      </c>
      <c r="G1635" s="6" t="inlineStr">
        <is>
          <t>Sabah beşte kapıdaydın; önünde on bir kişi vardı, üçü Makaryalı. Sırada termos çay döndü. Randevusuz içeri girdin; çay sayesinde değil ama çay da iyiydi.</t>
        </is>
      </c>
      <c r="H1635" s="6" t="inlineStr"/>
      <c r="I1635" s="6" t="inlineStr"/>
      <c r="J1635" s="6" t="inlineStr"/>
      <c r="K1635" s="6" t="inlineStr"/>
      <c r="L1635" s="6" t="inlineStr"/>
      <c r="M1635" s="5" t="inlineStr"/>
      <c r="N1635" s="5" t="inlineStr"/>
      <c r="O1635" s="6" t="inlineStr"/>
      <c r="P1635" s="6" t="inlineStr"/>
      <c r="Q1635" s="5" t="inlineStr"/>
      <c r="R1635" s="5" t="inlineStr"/>
      <c r="S1635" s="5" t="inlineStr"/>
      <c r="T1635" s="5" t="inlineStr"/>
      <c r="U1635" s="5" t="inlineStr"/>
      <c r="V1635" s="5" t="inlineStr"/>
      <c r="W1635" s="5" t="inlineStr"/>
      <c r="X1635" s="5" t="inlineStr"/>
      <c r="Y1635" s="5" t="inlineStr"/>
      <c r="Z1635" s="6" t="inlineStr"/>
      <c r="AA1635" s="5" t="inlineStr"/>
      <c r="AB1635" s="5" t="inlineStr"/>
      <c r="AC1635" s="5" t="inlineStr"/>
      <c r="AD1635" s="5" t="inlineStr"/>
      <c r="AE1635" s="5" t="inlineStr"/>
      <c r="AF1635" s="5" t="inlineStr"/>
      <c r="AG1635" s="5" t="inlineStr"/>
      <c r="AH1635" s="5" t="inlineStr"/>
    </row>
    <row r="1636">
      <c r="A1636" s="5" t="inlineStr">
        <is>
          <t>b7-goc-oturma-izni</t>
        </is>
      </c>
      <c r="B1636" s="5" t="n">
        <v>2</v>
      </c>
      <c r="C1636" s="6" t="inlineStr">
        <is>
          <t>Babana ikinci bir ad bul, formu eksiksiz doldur</t>
        </is>
      </c>
      <c r="D1636" s="5" t="inlineStr">
        <is>
          <t>Akıl</t>
        </is>
      </c>
      <c r="E1636" s="5" t="inlineStr">
        <is>
          <t>Orta</t>
        </is>
      </c>
      <c r="F1636" s="5" t="inlineStr"/>
      <c r="G1636" s="6" t="inlineStr"/>
      <c r="H1636" s="6" t="inlineStr">
        <is>
          <t>Dedesinin adını yazdın, nüfus belgesiyle destekledin. İzin iki yıl uzadı. Baban telefonda yeni adını sordu; beğendi.</t>
        </is>
      </c>
      <c r="I1636" s="6" t="inlineStr">
        <is>
          <t>Formu öyle düzgün doldurdun ki memur onu “örnek dosya” diye panoya astı. İzin beş yıl uzadı; senin dosyan artık duvarda.</t>
        </is>
      </c>
      <c r="J1636" s="6" t="inlineStr">
        <is>
          <t>Babanın ikinci adını yazdın ama nüfus kaydında yok. Dosya “eksik” damgası yedi; damga iki dilliydi.</t>
        </is>
      </c>
      <c r="K1636" s="6" t="inlineStr">
        <is>
          <t>Kutuya babanın mahalledeki lakabını yazdın. Dosyan “Babanızın adı: Kasap” diye işlendi. Düzeltme randevusu dört ay sonra.</t>
        </is>
      </c>
      <c r="L1636" s="6" t="inlineStr"/>
      <c r="M1636" s="5" t="inlineStr"/>
      <c r="N1636" s="5" t="inlineStr"/>
      <c r="O1636" s="6" t="inlineStr"/>
      <c r="P1636" s="6" t="inlineStr"/>
      <c r="Q1636" s="5" t="inlineStr"/>
      <c r="R1636" s="5" t="inlineStr"/>
      <c r="S1636" s="5" t="inlineStr"/>
      <c r="T1636" s="5" t="inlineStr"/>
      <c r="U1636" s="5" t="inlineStr"/>
      <c r="V1636" s="5" t="inlineStr"/>
      <c r="W1636" s="5" t="inlineStr"/>
      <c r="X1636" s="5" t="inlineStr"/>
      <c r="Y1636" s="5" t="inlineStr"/>
      <c r="Z1636" s="6" t="inlineStr"/>
      <c r="AA1636" s="5" t="inlineStr"/>
      <c r="AB1636" s="5" t="inlineStr"/>
      <c r="AC1636" s="5" t="inlineStr"/>
      <c r="AD1636" s="5" t="inlineStr"/>
      <c r="AE1636" s="5" t="inlineStr"/>
      <c r="AF1636" s="5" t="inlineStr"/>
      <c r="AG1636" s="5" t="inlineStr"/>
      <c r="AH1636" s="5" t="inlineStr"/>
    </row>
    <row r="1637">
      <c r="A1637" s="5" t="inlineStr">
        <is>
          <t>b7-goc-oturma-izni</t>
        </is>
      </c>
      <c r="B1637" s="5" t="n">
        <v>3</v>
      </c>
      <c r="C1637" s="6" t="inlineStr">
        <is>
          <t>Memura kutunun gereksiz olduğunu anlat</t>
        </is>
      </c>
      <c r="D1637" s="5" t="inlineStr">
        <is>
          <t>Çene</t>
        </is>
      </c>
      <c r="E1637" s="5" t="inlineStr">
        <is>
          <t>Zor</t>
        </is>
      </c>
      <c r="F1637" s="5" t="inlineStr"/>
      <c r="G1637" s="6" t="inlineStr"/>
      <c r="H1637" s="6" t="inlineStr">
        <is>
          <t>Yönetmeliğin kendi dipnotunu gösterdin: kutu isteğe bağlıymış. Memur dipnotu okudu, iç çekti, damgayı bastı.</t>
        </is>
      </c>
      <c r="I1637" s="6" t="inlineStr">
        <is>
          <t>Memur seni amirine götürdü, amir not aldı. Yedinci kutu gelecek yıl formdan kalkıyor; kimse senin sayende olduğunu bilmeyecek.</t>
        </is>
      </c>
      <c r="J1637" s="6" t="inlineStr">
        <is>
          <t>Anlattın; memur dinledi ve “Kutu kutudur” dedi. Bu cümle iki dilde de aynı çalışıyor.</t>
        </is>
      </c>
      <c r="K1637" s="6" t="inlineStr">
        <is>
          <t>Tartışma uzadı, sıran geçti. Arkandaki Makaryalı amca sana memleket dilinde laf söyledi; memur da anladı.</t>
        </is>
      </c>
      <c r="L1637" s="6" t="inlineStr"/>
      <c r="M1637" s="5" t="inlineStr"/>
      <c r="N1637" s="5" t="inlineStr"/>
      <c r="O1637" s="6" t="inlineStr"/>
      <c r="P1637" s="6" t="inlineStr"/>
      <c r="Q1637" s="5" t="inlineStr"/>
      <c r="R1637" s="5" t="inlineStr"/>
      <c r="S1637" s="5" t="inlineStr"/>
      <c r="T1637" s="5" t="inlineStr">
        <is>
          <t>Mevzuat Kalkanı</t>
        </is>
      </c>
      <c r="U1637" s="5" t="inlineStr"/>
      <c r="V1637" s="5" t="inlineStr"/>
      <c r="W1637" s="5" t="inlineStr"/>
      <c r="X1637" s="5" t="inlineStr"/>
      <c r="Y1637" s="5" t="inlineStr"/>
      <c r="Z1637" s="6" t="inlineStr"/>
      <c r="AA1637" s="5" t="inlineStr"/>
      <c r="AB1637" s="5" t="inlineStr"/>
      <c r="AC1637" s="5" t="inlineStr"/>
      <c r="AD1637" s="5" t="inlineStr"/>
      <c r="AE1637" s="5" t="inlineStr"/>
      <c r="AF1637" s="5" t="inlineStr"/>
      <c r="AG1637" s="5" t="inlineStr"/>
      <c r="AH1637" s="5" t="inlineStr"/>
    </row>
    <row r="1638">
      <c r="A1638" s="5" t="inlineStr">
        <is>
          <t>b7-goc-akrabalar</t>
        </is>
      </c>
      <c r="B1638" s="5" t="n">
        <v>1</v>
      </c>
      <c r="C1638" s="6" t="inlineStr">
        <is>
          <t>Valizdeki çikolataları eşit dağıt</t>
        </is>
      </c>
      <c r="D1638" s="5" t="inlineStr"/>
      <c r="E1638" s="5" t="inlineStr"/>
      <c r="F1638" s="5" t="inlineStr">
        <is>
          <t>İtibar +1, Sosyal Radar +1</t>
        </is>
      </c>
      <c r="G1638" s="6" t="inlineStr">
        <is>
          <t>Her akrabaya bir kutu çikolata verdin. Sayılar tuttu, kutular tutmadı: teyzeninki büyüktü. Bayrama kadar bu konuşulacak.</t>
        </is>
      </c>
      <c r="H1638" s="6" t="inlineStr"/>
      <c r="I1638" s="6" t="inlineStr"/>
      <c r="J1638" s="6" t="inlineStr"/>
      <c r="K1638" s="6" t="inlineStr"/>
      <c r="L1638" s="6" t="inlineStr"/>
      <c r="M1638" s="5" t="inlineStr"/>
      <c r="N1638" s="5" t="inlineStr"/>
      <c r="O1638" s="6" t="inlineStr"/>
      <c r="P1638" s="6" t="inlineStr"/>
      <c r="Q1638" s="5" t="inlineStr"/>
      <c r="R1638" s="5" t="inlineStr"/>
      <c r="S1638" s="5" t="inlineStr"/>
      <c r="T1638" s="5" t="inlineStr"/>
      <c r="U1638" s="5" t="inlineStr"/>
      <c r="V1638" s="5" t="inlineStr"/>
      <c r="W1638" s="5" t="inlineStr"/>
      <c r="X1638" s="5" t="inlineStr"/>
      <c r="Y1638" s="5" t="inlineStr"/>
      <c r="Z1638" s="6" t="inlineStr"/>
      <c r="AA1638" s="5" t="inlineStr"/>
      <c r="AB1638" s="5" t="inlineStr"/>
      <c r="AC1638" s="5" t="inlineStr"/>
      <c r="AD1638" s="5" t="inlineStr"/>
      <c r="AE1638" s="5" t="inlineStr"/>
      <c r="AF1638" s="5" t="inlineStr"/>
      <c r="AG1638" s="5" t="inlineStr"/>
      <c r="AH1638" s="5" t="inlineStr"/>
    </row>
    <row r="1639">
      <c r="A1639" s="5" t="inlineStr">
        <is>
          <t>b7-goc-akrabalar</t>
        </is>
      </c>
      <c r="B1639" s="5" t="n">
        <v>2</v>
      </c>
      <c r="C1639" s="6" t="inlineStr">
        <is>
          <t>Maaşını kira ve faturalarla birlikte anlat</t>
        </is>
      </c>
      <c r="D1639" s="5" t="inlineStr">
        <is>
          <t>Akıl</t>
        </is>
      </c>
      <c r="E1639" s="5" t="inlineStr">
        <is>
          <t>Orta</t>
        </is>
      </c>
      <c r="F1639" s="5" t="inlineStr"/>
      <c r="G1639" s="6" t="inlineStr"/>
      <c r="H1639" s="6" t="inlineStr">
        <is>
          <t>Kirayı, vergiyi, kışın ısınma faturasını hesapladın. Sofra sustu. Amcan “Burada kalsaydın ya” dedi; ilk kez merak ederek.</t>
        </is>
      </c>
      <c r="I1639" s="6" t="inlineStr">
        <is>
          <t>Öyle iyi anlattın ki kuzen iş fikrinden vazgeçti, teyzen sana harçlık uzattı. Almadın; cebine kendisi koydu.</t>
        </is>
      </c>
      <c r="J1639" s="6" t="inlineStr">
        <is>
          <t>Hesapları anlattın, kimse inanmadı. “Alçakgönüllülük yapıyor” dendi. Üstüne bir de takdir aldın.</t>
        </is>
      </c>
      <c r="K1639" s="6" t="inlineStr">
        <is>
          <t>Rakamları memleket parasına çevirirken bir sıfır fazla koydun. Akraba grubunda artık “milyoner kuzen” diye geçiyorsun.</t>
        </is>
      </c>
      <c r="L1639" s="6" t="inlineStr"/>
      <c r="M1639" s="5" t="inlineStr"/>
      <c r="N1639" s="5" t="inlineStr"/>
      <c r="O1639" s="6" t="inlineStr"/>
      <c r="P1639" s="6" t="inlineStr"/>
      <c r="Q1639" s="5" t="inlineStr"/>
      <c r="R1639" s="5" t="inlineStr"/>
      <c r="S1639" s="5" t="inlineStr"/>
      <c r="T1639" s="5" t="inlineStr"/>
      <c r="U1639" s="5" t="inlineStr"/>
      <c r="V1639" s="5" t="inlineStr"/>
      <c r="W1639" s="5" t="inlineStr"/>
      <c r="X1639" s="5" t="inlineStr"/>
      <c r="Y1639" s="5" t="inlineStr"/>
      <c r="Z1639" s="6" t="inlineStr"/>
      <c r="AA1639" s="5" t="inlineStr"/>
      <c r="AB1639" s="5" t="inlineStr"/>
      <c r="AC1639" s="5" t="inlineStr"/>
      <c r="AD1639" s="5" t="inlineStr"/>
      <c r="AE1639" s="5" t="inlineStr"/>
      <c r="AF1639" s="5" t="inlineStr"/>
      <c r="AG1639" s="5" t="inlineStr"/>
      <c r="AH1639" s="5" t="inlineStr"/>
    </row>
    <row r="1640">
      <c r="A1640" s="5" t="inlineStr">
        <is>
          <t>b7-goc-akrabalar</t>
        </is>
      </c>
      <c r="B1640" s="5" t="n">
        <v>3</v>
      </c>
      <c r="C1640" s="6" t="inlineStr">
        <is>
          <t>Memlekette küçük bir ev al</t>
        </is>
      </c>
      <c r="D1640" s="5" t="inlineStr">
        <is>
          <t>Kurnazlık</t>
        </is>
      </c>
      <c r="E1640" s="5" t="inlineStr">
        <is>
          <t>Zor</t>
        </is>
      </c>
      <c r="F1640" s="5" t="inlineStr"/>
      <c r="G1640" s="6" t="inlineStr"/>
      <c r="H1640" s="6" t="inlineStr">
        <is>
          <t>Deniz görmeyen ama dağ gören bir ev buldun, pazarlıkla aldın. Anahtar annende; her hafta perdeleri açıp kapatıyor.</t>
        </is>
      </c>
      <c r="I1640" s="6" t="inlineStr">
        <is>
          <t>Ev sahibi eski sınıf arkadaşının babası çıktı; fiyat düştü, bahçedeki erik ağacı da senin oldu. Eriğin henüz haberi yok.</t>
        </is>
      </c>
      <c r="J1640" s="6" t="inlineStr">
        <is>
          <t>Evi gezdin, fiyat her gezişte arttı. Emlakçı “gurbetçi fiyatı” demedi; gözleri dedi.</t>
        </is>
      </c>
      <c r="K1640" s="6" t="inlineStr">
        <is>
          <t>Kaparoyu verdin, ev sahibi vazgeçti. Kaparo geri döndü, eksik döndü. Kalanı “masraf” diye anlatıldı.</t>
        </is>
      </c>
      <c r="L1640" s="6" t="inlineStr"/>
      <c r="M1640" s="5" t="inlineStr"/>
      <c r="N1640" s="5" t="inlineStr"/>
      <c r="O1640" s="6" t="inlineStr"/>
      <c r="P1640" s="6" t="inlineStr"/>
      <c r="Q1640" s="5" t="inlineStr"/>
      <c r="R1640" s="5" t="inlineStr"/>
      <c r="S1640" s="5" t="inlineStr"/>
      <c r="T1640" s="5" t="inlineStr">
        <is>
          <t>Pazarlık Duayeni</t>
        </is>
      </c>
      <c r="U1640" s="5" t="inlineStr"/>
      <c r="V1640" s="5" t="inlineStr">
        <is>
          <t>memlekette-ev</t>
        </is>
      </c>
      <c r="W1640" s="5" t="inlineStr"/>
      <c r="X1640" s="5" t="inlineStr"/>
      <c r="Y1640" s="5" t="inlineStr"/>
      <c r="Z1640" s="6" t="inlineStr"/>
      <c r="AA1640" s="5" t="inlineStr"/>
      <c r="AB1640" s="5" t="inlineStr"/>
      <c r="AC1640" s="5" t="inlineStr"/>
      <c r="AD1640" s="5" t="inlineStr"/>
      <c r="AE1640" s="5" t="inlineStr"/>
      <c r="AF1640" s="5" t="n">
        <v>1</v>
      </c>
      <c r="AG1640" s="5" t="inlineStr"/>
      <c r="AH1640" s="5" t="inlineStr"/>
    </row>
    <row r="1641">
      <c r="A1641" s="5" t="inlineStr">
        <is>
          <t>b7-goc-bayram-sofrasi</t>
        </is>
      </c>
      <c r="B1641" s="5" t="n">
        <v>1</v>
      </c>
      <c r="C1641" s="6" t="inlineStr">
        <is>
          <t>Telefonu sofranın başına koy</t>
        </is>
      </c>
      <c r="D1641" s="5" t="inlineStr"/>
      <c r="E1641" s="5" t="inlineStr"/>
      <c r="F1641" s="5" t="inlineStr">
        <is>
          <t>İtibar +1, Dayanıklılık +1</t>
        </is>
      </c>
      <c r="G1641" s="6" t="inlineStr">
        <is>
          <t>Telefonu şekerliğe yasladın. Annen bütün sofrayı yönetti: kim ne yiyecek, komşu neden az yiyor. Komşu ikinci tabağı annenden çekindiği için aldı.</t>
        </is>
      </c>
      <c r="H1641" s="6" t="inlineStr"/>
      <c r="I1641" s="6" t="inlineStr"/>
      <c r="J1641" s="6" t="inlineStr"/>
      <c r="K1641" s="6" t="inlineStr"/>
      <c r="L1641" s="6" t="inlineStr"/>
      <c r="M1641" s="5" t="inlineStr"/>
      <c r="N1641" s="5" t="inlineStr"/>
      <c r="O1641" s="6" t="inlineStr"/>
      <c r="P1641" s="6" t="inlineStr"/>
      <c r="Q1641" s="5" t="inlineStr"/>
      <c r="R1641" s="5" t="inlineStr"/>
      <c r="S1641" s="5" t="inlineStr"/>
      <c r="T1641" s="5" t="inlineStr"/>
      <c r="U1641" s="5" t="inlineStr"/>
      <c r="V1641" s="5" t="inlineStr"/>
      <c r="W1641" s="5" t="inlineStr"/>
      <c r="X1641" s="5" t="inlineStr"/>
      <c r="Y1641" s="5" t="inlineStr"/>
      <c r="Z1641" s="6" t="inlineStr"/>
      <c r="AA1641" s="5" t="inlineStr"/>
      <c r="AB1641" s="5" t="inlineStr"/>
      <c r="AC1641" s="5" t="inlineStr"/>
      <c r="AD1641" s="5" t="inlineStr"/>
      <c r="AE1641" s="5" t="inlineStr"/>
      <c r="AF1641" s="5" t="inlineStr"/>
      <c r="AG1641" s="5" t="inlineStr"/>
      <c r="AH1641" s="5" t="inlineStr"/>
    </row>
    <row r="1642">
      <c r="A1642" s="5" t="inlineStr">
        <is>
          <t>b7-goc-bayram-sofrasi</t>
        </is>
      </c>
      <c r="B1642" s="5" t="n">
        <v>2</v>
      </c>
      <c r="C1642" s="6" t="inlineStr">
        <is>
          <t>Komşulara bayramı iki dilde anlat</t>
        </is>
      </c>
      <c r="D1642" s="5" t="inlineStr">
        <is>
          <t>Akıl</t>
        </is>
      </c>
      <c r="E1642" s="5" t="inlineStr">
        <is>
          <t>Orta</t>
        </is>
      </c>
      <c r="F1642" s="5" t="inlineStr"/>
      <c r="G1642" s="6" t="inlineStr"/>
      <c r="H1642" s="6" t="inlineStr">
        <is>
          <t>El öpmeyi, harçlığı, kolonyayı anlattın. Komşunun çocuğu hemen elini öpmek istedi; harçlık kısmını daha iyi anlamıştı.</t>
        </is>
      </c>
      <c r="I1642" s="6" t="inlineStr">
        <is>
          <t>Öyle sevildi ki apartman gelecek bayramı ortak kutlamaya karar verdi. Yönetim bütçeye bir kalem ekledi: kolonya.</t>
        </is>
      </c>
      <c r="J1642" s="6" t="inlineStr">
        <is>
          <t>“Bayram” kelimesinin karşılığı yok. Üç kelime denedin; komşular sonunda bunu bir çeşit doğum günü sandı.</t>
        </is>
      </c>
      <c r="K1642" s="6" t="inlineStr">
        <is>
          <t>Kolonyayı gösterirken şişe elinden kaydı, komşunun halısına döküldü. Halı üç gün bayram koktu; komşu şikâyet formu doldurdu.</t>
        </is>
      </c>
      <c r="L1642" s="6" t="inlineStr"/>
      <c r="M1642" s="5" t="inlineStr"/>
      <c r="N1642" s="5" t="inlineStr"/>
      <c r="O1642" s="6" t="inlineStr"/>
      <c r="P1642" s="6" t="inlineStr"/>
      <c r="Q1642" s="5" t="inlineStr"/>
      <c r="R1642" s="5" t="inlineStr"/>
      <c r="S1642" s="5" t="inlineStr"/>
      <c r="T1642" s="5" t="inlineStr"/>
      <c r="U1642" s="5" t="inlineStr"/>
      <c r="V1642" s="5" t="inlineStr"/>
      <c r="W1642" s="5" t="inlineStr"/>
      <c r="X1642" s="5" t="inlineStr"/>
      <c r="Y1642" s="5" t="inlineStr"/>
      <c r="Z1642" s="6" t="inlineStr"/>
      <c r="AA1642" s="5" t="inlineStr"/>
      <c r="AB1642" s="5" t="inlineStr"/>
      <c r="AC1642" s="5" t="inlineStr"/>
      <c r="AD1642" s="5" t="inlineStr"/>
      <c r="AE1642" s="5" t="inlineStr"/>
      <c r="AF1642" s="5" t="inlineStr"/>
      <c r="AG1642" s="5" t="inlineStr"/>
      <c r="AH1642" s="5" t="inlineStr"/>
    </row>
    <row r="1643">
      <c r="A1643" s="5" t="inlineStr">
        <is>
          <t>b7-goc-bayram-sofrasi</t>
        </is>
      </c>
      <c r="B1643" s="5" t="n">
        <v>3</v>
      </c>
      <c r="C1643" s="6" t="inlineStr">
        <is>
          <t>Dükkânda gurbetçilere bayram tatlısı sat</t>
        </is>
      </c>
      <c r="D1643" s="5" t="inlineStr">
        <is>
          <t>Kurnazlık</t>
        </is>
      </c>
      <c r="E1643" s="5" t="inlineStr">
        <is>
          <t>Orta</t>
        </is>
      </c>
      <c r="F1643" s="5" t="inlineStr"/>
      <c r="G1643" s="6" t="inlineStr"/>
      <c r="H1643" s="6" t="inlineStr">
        <is>
          <t>Dükkânın önünde kuyruk oluştu. Baklavayı tanesiyle sattın; Makaryalılar pahalı buldu, yine de ikişer kutu aldı.</t>
        </is>
      </c>
      <c r="I1643" s="6" t="inlineStr">
        <is>
          <t>Öte Diyarlılar da kuyruğa girdi. Yerel gazete seni “bayram tatlıcısı” diye yazdı; fotoğrafta baklavaya ters bakıyorsun.</t>
        </is>
      </c>
      <c r="J1643" s="6" t="inlineStr">
        <is>
          <t>Tatlıları hazırladın ama bayram bu yıl hafta içine denk geldi. Herkes işteydi; baklavaları sen yedin.</t>
        </is>
      </c>
      <c r="K1643" s="6" t="inlineStr">
        <is>
          <t>Şerbet ayarını tutturamadın; baklavalar kutuda yüzdü. Müşteriler kaşıkla yiyip yorum yazdı: “Çorba güzeldi.”</t>
        </is>
      </c>
      <c r="L1643" s="6" t="inlineStr"/>
      <c r="M1643" s="5" t="inlineStr"/>
      <c r="N1643" s="5" t="inlineStr"/>
      <c r="O1643" s="6" t="inlineStr"/>
      <c r="P1643" s="6" t="inlineStr"/>
      <c r="Q1643" s="5" t="inlineStr"/>
      <c r="R1643" s="5" t="inlineStr">
        <is>
          <t>ote-diyar-dukkani</t>
        </is>
      </c>
      <c r="S1643" s="5" t="inlineStr"/>
      <c r="T1643" s="5" t="inlineStr"/>
      <c r="U1643" s="5" t="inlineStr"/>
      <c r="V1643" s="5" t="inlineStr"/>
      <c r="W1643" s="5" t="inlineStr"/>
      <c r="X1643" s="5" t="inlineStr"/>
      <c r="Y1643" s="5" t="inlineStr"/>
      <c r="Z1643" s="6" t="inlineStr"/>
      <c r="AA1643" s="5" t="inlineStr"/>
      <c r="AB1643" s="5" t="inlineStr"/>
      <c r="AC1643" s="5" t="inlineStr"/>
      <c r="AD1643" s="5" t="inlineStr">
        <is>
          <t>Rahat</t>
        </is>
      </c>
      <c r="AE1643" s="5" t="inlineStr"/>
      <c r="AF1643" s="5" t="inlineStr"/>
      <c r="AG1643" s="5" t="inlineStr"/>
      <c r="AH1643" s="5" t="inlineStr"/>
    </row>
    <row r="1644">
      <c r="A1644" s="5" t="inlineStr">
        <is>
          <t>b7-goc-bayram-sofrasi</t>
        </is>
      </c>
      <c r="B1644" s="5" t="n">
        <v>4</v>
      </c>
      <c r="C1644" s="6" t="inlineStr">
        <is>
          <t>Gece uçağıyla memlekete uç, sürpriz yap</t>
        </is>
      </c>
      <c r="D1644" s="5" t="inlineStr">
        <is>
          <t>Dayanıklılık</t>
        </is>
      </c>
      <c r="E1644" s="5" t="inlineStr">
        <is>
          <t>Orta</t>
        </is>
      </c>
      <c r="F1644" s="5" t="inlineStr"/>
      <c r="G1644" s="6" t="inlineStr"/>
      <c r="H1644" s="6" t="inlineStr">
        <is>
          <t>Aktarmalı on sekiz saat. Kapıyı çaldığında annen önce ekrana baktı, sonra kapıya. İkisinde de sen vardın; ekranı kapattı.</t>
        </is>
      </c>
      <c r="I1644" s="6" t="inlineStr">
        <is>
          <t>Uçakta yanındaki amca aynı mahalleden çıktı, seni kapına kadar bıraktı. Sonra kendi kapısını unuttu; bayramı sizde geçirdi.</t>
        </is>
      </c>
      <c r="J1644" s="6" t="inlineStr">
        <is>
          <t>Uçuş ertelendi. Bayramı havalimanında başka bir ülkenin gurbetçileriyle kutladın. Onların da baklavası vardı.</t>
        </is>
      </c>
      <c r="K1644" s="6" t="inlineStr">
        <is>
          <t>Aktarmada uyuyakaldın. Uyandığında uçak da bayram da gitmişti; geriye annenin sesli mesajı kaldı: dokuz dakika.</t>
        </is>
      </c>
      <c r="L1644" s="6" t="inlineStr"/>
      <c r="M1644" s="5" t="inlineStr"/>
      <c r="N1644" s="5" t="inlineStr"/>
      <c r="O1644" s="6" t="inlineStr"/>
      <c r="P1644" s="6" t="inlineStr"/>
      <c r="Q1644" s="5" t="inlineStr"/>
      <c r="R1644" s="5" t="inlineStr"/>
      <c r="S1644" s="5" t="inlineStr"/>
      <c r="T1644" s="5" t="inlineStr"/>
      <c r="U1644" s="5" t="inlineStr"/>
      <c r="V1644" s="5" t="inlineStr"/>
      <c r="W1644" s="5" t="inlineStr"/>
      <c r="X1644" s="5" t="inlineStr"/>
      <c r="Y1644" s="5" t="inlineStr"/>
      <c r="Z1644" s="6" t="inlineStr"/>
      <c r="AA1644" s="5" t="inlineStr"/>
      <c r="AB1644" s="5" t="inlineStr"/>
      <c r="AC1644" s="5" t="inlineStr"/>
      <c r="AD1644" s="5" t="inlineStr"/>
      <c r="AE1644" s="5" t="inlineStr"/>
      <c r="AF1644" s="5" t="inlineStr"/>
      <c r="AG1644" s="5" t="inlineStr"/>
      <c r="AH1644" s="5" t="inlineStr"/>
    </row>
    <row r="1645">
      <c r="A1645" s="5" t="inlineStr">
        <is>
          <t>k10-goc</t>
        </is>
      </c>
      <c r="B1645" s="5" t="n">
        <v>1</v>
      </c>
      <c r="C1645" s="6" t="inlineStr">
        <is>
          <t>Vatandaşlığa başvur, kal</t>
        </is>
      </c>
      <c r="D1645" s="5" t="inlineStr">
        <is>
          <t>Akıl</t>
        </is>
      </c>
      <c r="E1645" s="5" t="inlineStr">
        <is>
          <t>Zor</t>
        </is>
      </c>
      <c r="F1645" s="5" t="inlineStr"/>
      <c r="G1645" s="6" t="inlineStr"/>
      <c r="H1645" s="6" t="inlineStr">
        <is>
          <t>Kırk iki sayfa, bir dil sınavı, Öte Diyar tarihinden otuz soru. Hepsini geçtin. Törende sana bir fidan verdiler; balkonda, mangalın yasak olduğu yerde büyüyor.</t>
        </is>
      </c>
      <c r="I1645" s="6" t="inlineStr">
        <is>
          <t>Tarih sorularını yerlilerden iyi yaptın; memur sonucu iki kez kontrol etti. Pasaportun geldi; fotoğrafta gülüyorsun, kurallara aykırıymış.</t>
        </is>
      </c>
      <c r="J1645" s="6" t="inlineStr">
        <is>
          <t>Başvuru “eksik belge” diye döndü; eksik belge, bir önceki eksik belgenin tercümesiydi. İznin uzadı; kalıyorsun ama misafir olarak.</t>
        </is>
      </c>
      <c r="K1645" s="6" t="inlineStr">
        <is>
          <t>Sınava yanlış günde gittin; o gün ehliyet sınavı vardı. Ehliyet sınavını geçtin. Vatandaşlık başvurun bir yıl ertelendi.</t>
        </is>
      </c>
      <c r="L1645" s="6" t="inlineStr"/>
      <c r="M1645" s="5" t="inlineStr"/>
      <c r="N1645" s="5" t="inlineStr"/>
      <c r="O1645" s="6" t="inlineStr"/>
      <c r="P1645" s="6" t="inlineStr"/>
      <c r="Q1645" s="5" t="inlineStr"/>
      <c r="R1645" s="5" t="inlineStr"/>
      <c r="S1645" s="5" t="inlineStr"/>
      <c r="T1645" s="5" t="inlineStr"/>
      <c r="U1645" s="5" t="inlineStr"/>
      <c r="V1645" s="5" t="inlineStr">
        <is>
          <t>ote-diyar-vatandasi</t>
        </is>
      </c>
      <c r="W1645" s="5" t="inlineStr"/>
      <c r="X1645" s="5" t="inlineStr"/>
      <c r="Y1645" s="5" t="inlineStr"/>
      <c r="Z1645" s="6" t="inlineStr"/>
      <c r="AA1645" s="5" t="inlineStr"/>
      <c r="AB1645" s="5" t="inlineStr"/>
      <c r="AC1645" s="5" t="inlineStr"/>
      <c r="AD1645" s="5" t="inlineStr">
        <is>
          <t>Rahat</t>
        </is>
      </c>
      <c r="AE1645" s="5" t="inlineStr"/>
      <c r="AF1645" s="5" t="inlineStr"/>
      <c r="AG1645" s="5" t="inlineStr"/>
      <c r="AH1645" s="5" t="inlineStr"/>
    </row>
    <row r="1646">
      <c r="A1646" s="5" t="inlineStr">
        <is>
          <t>k10-goc</t>
        </is>
      </c>
      <c r="B1646" s="5" t="n">
        <v>2</v>
      </c>
      <c r="C1646" s="6" t="inlineStr">
        <is>
          <t>Dön, memlekette plazaya gir</t>
        </is>
      </c>
      <c r="D1646" s="5" t="inlineStr">
        <is>
          <t>Çene</t>
        </is>
      </c>
      <c r="E1646" s="5" t="inlineStr">
        <is>
          <t>Orta</t>
        </is>
      </c>
      <c r="F1646" s="5" t="inlineStr"/>
      <c r="G1646" s="6" t="inlineStr"/>
      <c r="H1646" s="6" t="inlineStr">
        <is>
          <t>Tek yön bilet aldın. Havalimanında annen pankart tutuyordu; adını Öte Diyar harfleriyle, doğru yazmış. İki hafta sonra bir plazada “yurt dışı tecrübeli” oldun.</t>
        </is>
      </c>
      <c r="I1646" s="6" t="inlineStr">
        <is>
          <t>Havalimanına senin için bir karşılama komitesi geldi; plazadaki ilk gününde de. Yurt dışı tecrüben toplantılarda en çok alıntılanan cümle oldu.</t>
        </is>
      </c>
      <c r="J1646" s="6" t="inlineStr">
        <is>
          <t>Bilet aldın, valizi hazırladın; memlekette seni bekleyen iş son anda başkasına verildi. Öte Diyar'da kaldın; bilet çerçevede.</t>
        </is>
      </c>
      <c r="K1646" s="6" t="inlineStr">
        <is>
          <t>Döndün ve iki hafta işsiz kaldın; sonra geri uçtun. Annen seni iki kez uğurladı, bir kez karşıladı, sayıyı tutuyor.</t>
        </is>
      </c>
      <c r="L1646" s="6" t="inlineStr"/>
      <c r="M1646" s="5" t="inlineStr"/>
      <c r="N1646" s="5" t="inlineStr"/>
      <c r="O1646" s="6" t="inlineStr"/>
      <c r="P1646" s="6" t="inlineStr"/>
      <c r="Q1646" s="5" t="inlineStr"/>
      <c r="R1646" s="5" t="inlineStr"/>
      <c r="S1646" s="5" t="inlineStr"/>
      <c r="T1646" s="5" t="inlineStr"/>
      <c r="U1646" s="5" t="inlineStr"/>
      <c r="V1646" s="5" t="inlineStr">
        <is>
          <t>-hat-cete, -hat-dolandirici, -hat-girisimci, -hat-goc, -hat-hekim, -hat-koy, -hat-polis, -hat-politika, -hat-sohret, -hat-usta, -hat-yargi, -meslek-esnaf, -meslek-memur, -meslek-serbest, meslek-beyazyaka, yurtdan-dondu</t>
        </is>
      </c>
      <c r="W1646" s="5" t="inlineStr"/>
      <c r="X1646" s="5" t="inlineStr"/>
      <c r="Y1646" s="5" t="inlineStr"/>
      <c r="Z1646" s="6" t="inlineStr"/>
      <c r="AA1646" s="5" t="inlineStr">
        <is>
          <t>hepsi +1</t>
        </is>
      </c>
      <c r="AB1646" s="5" t="inlineStr"/>
      <c r="AC1646" s="5" t="inlineStr"/>
      <c r="AD1646" s="5" t="inlineStr"/>
      <c r="AE1646" s="5" t="inlineStr"/>
      <c r="AF1646" s="5" t="inlineStr"/>
      <c r="AG1646" s="5" t="inlineStr"/>
      <c r="AH1646" s="5" t="inlineStr"/>
    </row>
    <row r="1647">
      <c r="A1647" s="5" t="inlineStr">
        <is>
          <t>k10-goc</t>
        </is>
      </c>
      <c r="B1647" s="5" t="n">
        <v>3</v>
      </c>
      <c r="C1647" s="6" t="inlineStr">
        <is>
          <t>Öte Diyar'da kendi dükkânını aç</t>
        </is>
      </c>
      <c r="D1647" s="5" t="inlineStr">
        <is>
          <t>Kurnazlık</t>
        </is>
      </c>
      <c r="E1647" s="5" t="inlineStr">
        <is>
          <t>Zor</t>
        </is>
      </c>
      <c r="F1647" s="5" t="inlineStr"/>
      <c r="G1647" s="6" t="inlineStr"/>
      <c r="H1647" s="6" t="inlineStr">
        <is>
          <t>Arkadaşının dükkânını devraldın, tabelaya iki dilde ad yazdın. Yerliler çay için, Makaryalılar sohbet için geliyor. Kasa ikisinden de doluyor.</t>
        </is>
      </c>
      <c r="I1647" s="6" t="inlineStr">
        <is>
          <t>Dükkân açıldığı ay mahallenin “en iyi yeni işletmesi” seçildi. Belediye plaket yolladı; adın yanlış yazılmış, yine de çerçeveledin.</t>
        </is>
      </c>
      <c r="J1647" s="6" t="inlineStr">
        <is>
          <t>İzin başvurusu yaptın; izin dairesi seni başka bir izin dairesine yolladı. Plazadaki masana döndün; dükkân fikri çekmecede.</t>
        </is>
      </c>
      <c r="K1647" s="6" t="inlineStr">
        <is>
          <t>Kapora verdin, dükkân sahibi fikrini değiştirdi. Kapora iki dilli bir sözleşmenin arasında kayboldu; hangi dilde aranacağı belli değil.</t>
        </is>
      </c>
      <c r="L1647" s="6" t="inlineStr"/>
      <c r="M1647" s="5" t="inlineStr"/>
      <c r="N1647" s="5" t="inlineStr"/>
      <c r="O1647" s="6" t="inlineStr"/>
      <c r="P1647" s="6" t="inlineStr"/>
      <c r="Q1647" s="5" t="inlineStr"/>
      <c r="R1647" s="5" t="inlineStr"/>
      <c r="S1647" s="5" t="inlineStr"/>
      <c r="T1647" s="5" t="inlineStr"/>
      <c r="U1647" s="5" t="inlineStr"/>
      <c r="V1647" s="5" t="inlineStr">
        <is>
          <t>ote-diyar-dukkani</t>
        </is>
      </c>
      <c r="W1647" s="5" t="inlineStr"/>
      <c r="X1647" s="5" t="inlineStr"/>
      <c r="Y1647" s="5" t="inlineStr"/>
      <c r="Z1647" s="6" t="inlineStr"/>
      <c r="AA1647" s="5" t="inlineStr"/>
      <c r="AB1647" s="5" t="inlineStr"/>
      <c r="AC1647" s="5" t="inlineStr"/>
      <c r="AD1647" s="5" t="inlineStr">
        <is>
          <t>Rahat</t>
        </is>
      </c>
      <c r="AE1647" s="5" t="inlineStr"/>
      <c r="AF1647" s="5" t="inlineStr"/>
      <c r="AG1647" s="5" t="inlineStr"/>
      <c r="AH1647" s="5" t="inlineStr"/>
    </row>
    <row r="1648">
      <c r="A1648" s="5" t="inlineStr">
        <is>
          <t>b8-goc-dil-okulu</t>
        </is>
      </c>
      <c r="B1648" s="5" t="n">
        <v>1</v>
      </c>
      <c r="C1648" s="6" t="inlineStr">
        <is>
          <t>Tahtaya memleketten fotoğraflar as</t>
        </is>
      </c>
      <c r="D1648" s="5" t="inlineStr"/>
      <c r="E1648" s="5" t="inlineStr"/>
      <c r="F1648" s="5" t="inlineStr">
        <is>
          <t>İtibar +1, Sosyal Radar +1</t>
        </is>
      </c>
      <c r="G1648" s="6" t="inlineStr">
        <is>
          <t>Dedenin kahvesini, mahalle fırınını, bir de dolmuşu astın. Çocuklar en çok dolmuşu sordu: “Neden herkes parayı öne uzatıyor?”</t>
        </is>
      </c>
      <c r="H1648" s="6" t="inlineStr"/>
      <c r="I1648" s="6" t="inlineStr"/>
      <c r="J1648" s="6" t="inlineStr"/>
      <c r="K1648" s="6" t="inlineStr"/>
      <c r="L1648" s="6" t="inlineStr"/>
      <c r="M1648" s="5" t="inlineStr"/>
      <c r="N1648" s="5" t="inlineStr"/>
      <c r="O1648" s="6" t="inlineStr"/>
      <c r="P1648" s="6" t="inlineStr"/>
      <c r="Q1648" s="5" t="inlineStr"/>
      <c r="R1648" s="5" t="inlineStr"/>
      <c r="S1648" s="5" t="inlineStr"/>
      <c r="T1648" s="5" t="inlineStr"/>
      <c r="U1648" s="5" t="inlineStr"/>
      <c r="V1648" s="5" t="inlineStr"/>
      <c r="W1648" s="5" t="inlineStr"/>
      <c r="X1648" s="5" t="inlineStr"/>
      <c r="Y1648" s="5" t="inlineStr"/>
      <c r="Z1648" s="6" t="inlineStr"/>
      <c r="AA1648" s="5" t="inlineStr"/>
      <c r="AB1648" s="5" t="inlineStr"/>
      <c r="AC1648" s="5" t="inlineStr"/>
      <c r="AD1648" s="5" t="inlineStr"/>
      <c r="AE1648" s="5" t="inlineStr"/>
      <c r="AF1648" s="5" t="inlineStr"/>
      <c r="AG1648" s="5" t="inlineStr"/>
      <c r="AH1648" s="5" t="inlineStr"/>
    </row>
    <row r="1649">
      <c r="A1649" s="5" t="inlineStr">
        <is>
          <t>b8-goc-dil-okulu</t>
        </is>
      </c>
      <c r="B1649" s="5" t="n">
        <v>2</v>
      </c>
      <c r="C1649" s="6" t="inlineStr">
        <is>
          <t>Dersi dilbilgisiyle, sırayla anlat</t>
        </is>
      </c>
      <c r="D1649" s="5" t="inlineStr">
        <is>
          <t>Akıl</t>
        </is>
      </c>
      <c r="E1649" s="5" t="inlineStr">
        <is>
          <t>Orta</t>
        </is>
      </c>
      <c r="F1649" s="5" t="inlineStr"/>
      <c r="G1649" s="6" t="inlineStr"/>
      <c r="H1649" s="6" t="inlineStr">
        <is>
          <t>Üç ayda çocuklar ekleri öğrendi. Biri annesine “Geliyorumdumuş” diye mesaj attı; yanlış ama çok Makaryalı.</t>
        </is>
      </c>
      <c r="I1649" s="6" t="inlineStr">
        <is>
          <t>Dönem sonunda çocuklar memleketteki büyükannelerine mektup yazdı. Büyükanneler teşekkür için derneğe üç kilo pestil yolladı.</t>
        </is>
      </c>
      <c r="J1649" s="6" t="inlineStr">
        <is>
          <t>Ekleri anlattın, çocuklar ekleri saydı: kırk yedi. Biri ağladı, biri de okuldan istifa etti.</t>
        </is>
      </c>
      <c r="K1649" s="6" t="inlineStr">
        <is>
          <t>Dersin ortasında bir kelimeyi hatırlayamadın ve Öte Diyar dilinde söyledin. Sınıf bunu fark etti; sana ilk kez güldüler.</t>
        </is>
      </c>
      <c r="L1649" s="6" t="inlineStr"/>
      <c r="M1649" s="5" t="inlineStr"/>
      <c r="N1649" s="5" t="inlineStr"/>
      <c r="O1649" s="6" t="inlineStr"/>
      <c r="P1649" s="6" t="inlineStr"/>
      <c r="Q1649" s="5" t="inlineStr"/>
      <c r="R1649" s="5" t="inlineStr"/>
      <c r="S1649" s="5" t="inlineStr"/>
      <c r="T1649" s="5" t="inlineStr"/>
      <c r="U1649" s="5" t="inlineStr"/>
      <c r="V1649" s="5" t="inlineStr">
        <is>
          <t>gurbet-ogretmeni</t>
        </is>
      </c>
      <c r="W1649" s="5" t="inlineStr"/>
      <c r="X1649" s="5" t="inlineStr"/>
      <c r="Y1649" s="5" t="inlineStr"/>
      <c r="Z1649" s="6" t="inlineStr"/>
      <c r="AA1649" s="5" t="inlineStr"/>
      <c r="AB1649" s="5" t="inlineStr"/>
      <c r="AC1649" s="5" t="inlineStr"/>
      <c r="AD1649" s="5" t="inlineStr"/>
      <c r="AE1649" s="5" t="inlineStr"/>
      <c r="AF1649" s="5" t="inlineStr"/>
      <c r="AG1649" s="5" t="inlineStr"/>
      <c r="AH1649" s="5" t="inlineStr"/>
    </row>
    <row r="1650">
      <c r="A1650" s="5" t="inlineStr">
        <is>
          <t>b8-goc-dil-okulu</t>
        </is>
      </c>
      <c r="B1650" s="5" t="n">
        <v>3</v>
      </c>
      <c r="C1650" s="6" t="inlineStr">
        <is>
          <t>Her ders sonunda çocuklarla memleket yemeği yap</t>
        </is>
      </c>
      <c r="D1650" s="5" t="inlineStr">
        <is>
          <t>Dayanıklılık</t>
        </is>
      </c>
      <c r="E1650" s="5" t="inlineStr">
        <is>
          <t>Zor</t>
        </is>
      </c>
      <c r="F1650" s="5" t="inlineStr"/>
      <c r="G1650" s="6" t="inlineStr"/>
      <c r="H1650" s="6" t="inlineStr">
        <is>
          <t>Mantı günü: dokuz çocuk, dokuz yüz mantı. Un bodrumdan merdivene taştı. Çocuklar “hamur” kelimesini hiç unutmayacak.</t>
        </is>
      </c>
      <c r="I1650" s="6" t="inlineStr">
        <is>
          <t>Bütün aileler geldi, bodrum bayram yerine döndü. Dernek okulun adını değiştirdi: “Mantı Okulu.” İtiraz eden olmadı.</t>
        </is>
      </c>
      <c r="J1650" s="6" t="inlineStr">
        <is>
          <t>Yemek güzeldi ama derse vakit kalmadı. Çocuklar dört ayda tek kelime öğrendi: “Doydum.”</t>
        </is>
      </c>
      <c r="K1650" s="6" t="inlineStr">
        <is>
          <t>Börek fırında yandı, bodrumun yangın alarmı çaldı. Dokuz çocuk ve itfaiye ilk tatbikatlarını memleket dilinde yaptı.</t>
        </is>
      </c>
      <c r="L1650" s="6" t="inlineStr"/>
      <c r="M1650" s="5" t="inlineStr"/>
      <c r="N1650" s="5" t="inlineStr"/>
      <c r="O1650" s="6" t="inlineStr"/>
      <c r="P1650" s="6" t="inlineStr"/>
      <c r="Q1650" s="5" t="inlineStr"/>
      <c r="R1650" s="5" t="inlineStr"/>
      <c r="S1650" s="5" t="inlineStr"/>
      <c r="T1650" s="5" t="inlineStr">
        <is>
          <t>İki Dilli Rüya</t>
        </is>
      </c>
      <c r="U1650" s="5" t="inlineStr"/>
      <c r="V1650" s="5" t="inlineStr">
        <is>
          <t>gurbet-ogretmeni</t>
        </is>
      </c>
      <c r="W1650" s="5" t="inlineStr"/>
      <c r="X1650" s="5" t="inlineStr"/>
      <c r="Y1650" s="5" t="inlineStr"/>
      <c r="Z1650" s="6" t="inlineStr"/>
      <c r="AA1650" s="5" t="inlineStr"/>
      <c r="AB1650" s="5" t="inlineStr"/>
      <c r="AC1650" s="5" t="inlineStr"/>
      <c r="AD1650" s="5" t="inlineStr"/>
      <c r="AE1650" s="5" t="inlineStr"/>
      <c r="AF1650" s="5" t="inlineStr"/>
      <c r="AG1650" s="5" t="inlineStr"/>
      <c r="AH1650" s="5" t="inlineStr"/>
    </row>
    <row r="1651">
      <c r="A1651" s="5" t="inlineStr">
        <is>
          <t>b8-goc-donsem-mi</t>
        </is>
      </c>
      <c r="B1651" s="5" t="n">
        <v>1</v>
      </c>
      <c r="C1651" s="6" t="inlineStr">
        <is>
          <t>Her yaz bir ay git, soruyu ertele</t>
        </is>
      </c>
      <c r="D1651" s="5" t="inlineStr"/>
      <c r="E1651" s="5" t="inlineStr"/>
      <c r="F1651" s="5" t="inlineStr">
        <is>
          <t>Dayanıklılık +1, İtibar +1</t>
        </is>
      </c>
      <c r="G1651" s="6" t="inlineStr">
        <is>
          <t>Bu yıl da bir ay gittin, döndün. Havalimanında dönüşte ağladın, gidişte de. Hangi tarafın gurbet olduğu artık mevsime bağlı.</t>
        </is>
      </c>
      <c r="H1651" s="6" t="inlineStr"/>
      <c r="I1651" s="6" t="inlineStr"/>
      <c r="J1651" s="6" t="inlineStr"/>
      <c r="K1651" s="6" t="inlineStr"/>
      <c r="L1651" s="6" t="inlineStr"/>
      <c r="M1651" s="5" t="inlineStr"/>
      <c r="N1651" s="5" t="inlineStr"/>
      <c r="O1651" s="6" t="inlineStr"/>
      <c r="P1651" s="6" t="inlineStr"/>
      <c r="Q1651" s="5" t="inlineStr"/>
      <c r="R1651" s="5" t="inlineStr"/>
      <c r="S1651" s="5" t="inlineStr"/>
      <c r="T1651" s="5" t="inlineStr"/>
      <c r="U1651" s="5" t="inlineStr"/>
      <c r="V1651" s="5" t="inlineStr"/>
      <c r="W1651" s="5" t="inlineStr"/>
      <c r="X1651" s="5" t="inlineStr"/>
      <c r="Y1651" s="5" t="inlineStr"/>
      <c r="Z1651" s="6" t="inlineStr"/>
      <c r="AA1651" s="5" t="inlineStr"/>
      <c r="AB1651" s="5" t="inlineStr"/>
      <c r="AC1651" s="5" t="inlineStr"/>
      <c r="AD1651" s="5" t="inlineStr"/>
      <c r="AE1651" s="5" t="inlineStr"/>
      <c r="AF1651" s="5" t="inlineStr"/>
      <c r="AG1651" s="5" t="inlineStr"/>
      <c r="AH1651" s="5" t="inlineStr"/>
    </row>
    <row r="1652">
      <c r="A1652" s="5" t="inlineStr">
        <is>
          <t>b8-goc-donsem-mi</t>
        </is>
      </c>
      <c r="B1652" s="5" t="n">
        <v>2</v>
      </c>
      <c r="C1652" s="6" t="inlineStr">
        <is>
          <t>Artıları ve eksileri iki dilde tabloya dök</t>
        </is>
      </c>
      <c r="D1652" s="5" t="inlineStr">
        <is>
          <t>Akıl</t>
        </is>
      </c>
      <c r="E1652" s="5" t="inlineStr">
        <is>
          <t>Orta</t>
        </is>
      </c>
      <c r="F1652" s="5" t="inlineStr"/>
      <c r="G1652" s="6" t="inlineStr"/>
      <c r="H1652" s="6" t="inlineStr">
        <is>
          <t>Tablo bitti: iki sütun, eşit uzunlukta. Bir satır ekledin: “Fırın kokusu.” Tablo tek satırla memleketten yana döndü.</t>
        </is>
      </c>
      <c r="I1652" s="6" t="inlineStr">
        <is>
          <t>Tabloyu gören herkes kendi tablosunu istedi. Dernekte “Dönsem mi?” danışmanlığı yapıyorsun; ücretsiz, çay onlardan.</t>
        </is>
      </c>
      <c r="J1652" s="6" t="inlineStr">
        <is>
          <t>Tablo o kadar uzadı ki yazıcının kâğıdı bitti. Karar yine kışa kaldı.</t>
        </is>
      </c>
      <c r="K1652" s="6" t="inlineStr">
        <is>
          <t>Tabloyu yanlışlıkla aile grubuna attın. Annen “Eksiler” sütununu okudu; iki gündür telefonu açmıyor.</t>
        </is>
      </c>
      <c r="L1652" s="6" t="inlineStr"/>
      <c r="M1652" s="5" t="inlineStr"/>
      <c r="N1652" s="5" t="inlineStr"/>
      <c r="O1652" s="6" t="inlineStr"/>
      <c r="P1652" s="6" t="inlineStr"/>
      <c r="Q1652" s="5" t="inlineStr"/>
      <c r="R1652" s="5" t="inlineStr"/>
      <c r="S1652" s="5" t="inlineStr"/>
      <c r="T1652" s="5" t="inlineStr"/>
      <c r="U1652" s="5" t="inlineStr"/>
      <c r="V1652" s="5" t="inlineStr"/>
      <c r="W1652" s="5" t="inlineStr"/>
      <c r="X1652" s="5" t="inlineStr"/>
      <c r="Y1652" s="5" t="inlineStr"/>
      <c r="Z1652" s="6" t="inlineStr"/>
      <c r="AA1652" s="5" t="inlineStr"/>
      <c r="AB1652" s="5" t="inlineStr"/>
      <c r="AC1652" s="5" t="inlineStr"/>
      <c r="AD1652" s="5" t="inlineStr"/>
      <c r="AE1652" s="5" t="inlineStr"/>
      <c r="AF1652" s="5" t="inlineStr"/>
      <c r="AG1652" s="5" t="inlineStr"/>
      <c r="AH1652" s="5" t="inlineStr"/>
    </row>
    <row r="1653">
      <c r="A1653" s="5" t="inlineStr">
        <is>
          <t>b8-goc-donsem-mi</t>
        </is>
      </c>
      <c r="B1653" s="5" t="n">
        <v>3</v>
      </c>
      <c r="C1653" s="6" t="inlineStr">
        <is>
          <t>Memleketteki evi onart, dönüşe hazırla</t>
        </is>
      </c>
      <c r="D1653" s="5" t="inlineStr">
        <is>
          <t>Dayanıklılık</t>
        </is>
      </c>
      <c r="E1653" s="5" t="inlineStr">
        <is>
          <t>Zor</t>
        </is>
      </c>
      <c r="F1653" s="5" t="inlineStr"/>
      <c r="G1653" s="6" t="inlineStr"/>
      <c r="H1653" s="6" t="inlineStr">
        <is>
          <t>Uzaktan usta tuttun, görüntülü aramayla boyattın. Duvarlar senin seçtiğin renk, fayanslar ustanın. Ev hazır; sen yarı hazırsın.</t>
        </is>
      </c>
      <c r="I1653" s="6" t="inlineStr">
        <is>
          <t>Usta öyle iyi çalıştı ki komşular da onu istedi. Ev yenilendi; erik ağacı budandı ve ilk kez meyve verdi.</t>
        </is>
      </c>
      <c r="J1653" s="6" t="inlineStr">
        <is>
          <t>Tamir başladı, sonra usta kayboldu. Duvarların yarısı boyalı; annen “Bu da moda” diyor.</t>
        </is>
      </c>
      <c r="K1653" s="6" t="inlineStr">
        <is>
          <t>Görüntülü aramada yanlış duvarı gösterdin; usta komşunun bahçe duvarını yıktı. Komşu hâlâ selam veriyor ama iki dilde değil.</t>
        </is>
      </c>
      <c r="L1653" s="6" t="inlineStr"/>
      <c r="M1653" s="5" t="inlineStr"/>
      <c r="N1653" s="5" t="inlineStr"/>
      <c r="O1653" s="6" t="inlineStr"/>
      <c r="P1653" s="6" t="inlineStr"/>
      <c r="Q1653" s="5" t="inlineStr"/>
      <c r="R1653" s="5" t="inlineStr">
        <is>
          <t>memlekette-ev</t>
        </is>
      </c>
      <c r="S1653" s="5" t="inlineStr"/>
      <c r="T1653" s="5" t="inlineStr"/>
      <c r="U1653" s="5" t="inlineStr"/>
      <c r="V1653" s="5" t="inlineStr">
        <is>
          <t>donuse-hazir</t>
        </is>
      </c>
      <c r="W1653" s="5" t="inlineStr"/>
      <c r="X1653" s="5" t="inlineStr"/>
      <c r="Y1653" s="5" t="inlineStr"/>
      <c r="Z1653" s="6" t="inlineStr"/>
      <c r="AA1653" s="5" t="inlineStr"/>
      <c r="AB1653" s="5" t="inlineStr"/>
      <c r="AC1653" s="5" t="inlineStr"/>
      <c r="AD1653" s="5" t="inlineStr"/>
      <c r="AE1653" s="5" t="inlineStr"/>
      <c r="AF1653" s="5" t="inlineStr"/>
      <c r="AG1653" s="5" t="inlineStr"/>
      <c r="AH1653" s="5" t="inlineStr"/>
    </row>
    <row r="1654">
      <c r="A1654" s="5" t="inlineStr">
        <is>
          <t>b8-goc-donsem-mi</t>
        </is>
      </c>
      <c r="B1654" s="5" t="n">
        <v>4</v>
      </c>
      <c r="C1654" s="6" t="inlineStr">
        <is>
          <t>Memlekettekileri arayıp nabız yokla</t>
        </is>
      </c>
      <c r="D1654" s="5" t="inlineStr">
        <is>
          <t>Sosyal Radar</t>
        </is>
      </c>
      <c r="E1654" s="5" t="inlineStr">
        <is>
          <t>Orta</t>
        </is>
      </c>
      <c r="F1654" s="5" t="inlineStr"/>
      <c r="G1654" s="6" t="inlineStr"/>
      <c r="H1654" s="6" t="inlineStr">
        <is>
          <t>Beş arkadaşını aradın. Üçü “Gel” dedi, ikisi “Sakın gelme”, biri de iş istedi. Nabız normal, düzensiz.</t>
        </is>
      </c>
      <c r="I1654" s="6" t="inlineStr">
        <is>
          <t>Arkadaşların karşılama komitesi bile kurdu. Dönmesen de gelecek yıl havalimanına gelecekler; tatbikat için.</t>
        </is>
      </c>
      <c r="J1654" s="6" t="inlineStr">
        <is>
          <t>Aradığın herkes Öte Diyar'a gelmek istediğini söyledi. Nabız ters yöne attı.</t>
        </is>
      </c>
      <c r="K1654" s="6" t="inlineStr">
        <is>
          <t>Yanlışlıkla eski patronunu aradın. İş teklif etti; maaş, buradaki kiranın yarısı. Soruyu erteledin, bu sefer iyi ki.</t>
        </is>
      </c>
      <c r="L1654" s="6" t="inlineStr"/>
      <c r="M1654" s="5" t="inlineStr"/>
      <c r="N1654" s="5" t="inlineStr"/>
      <c r="O1654" s="6" t="inlineStr"/>
      <c r="P1654" s="6" t="inlineStr"/>
      <c r="Q1654" s="5" t="inlineStr"/>
      <c r="R1654" s="5" t="inlineStr"/>
      <c r="S1654" s="5" t="inlineStr"/>
      <c r="T1654" s="5" t="inlineStr"/>
      <c r="U1654" s="5" t="inlineStr"/>
      <c r="V1654" s="5" t="inlineStr"/>
      <c r="W1654" s="5" t="inlineStr"/>
      <c r="X1654" s="5" t="inlineStr"/>
      <c r="Y1654" s="5" t="inlineStr"/>
      <c r="Z1654" s="6" t="inlineStr"/>
      <c r="AA1654" s="5" t="inlineStr"/>
      <c r="AB1654" s="5" t="inlineStr"/>
      <c r="AC1654" s="5" t="inlineStr"/>
      <c r="AD1654" s="5" t="inlineStr"/>
      <c r="AE1654" s="5" t="inlineStr"/>
      <c r="AF1654" s="5" t="inlineStr"/>
      <c r="AG1654" s="5" t="inlineStr"/>
      <c r="AH1654" s="5" t="inlineStr"/>
    </row>
    <row r="1655">
      <c r="A1655" s="5" t="inlineStr">
        <is>
          <t>b9-goc-iki-dilde-emeklilik</t>
        </is>
      </c>
      <c r="B1655" s="5" t="n">
        <v>1</v>
      </c>
      <c r="C1655" s="6" t="inlineStr">
        <is>
          <t>İki kurumu aynı anda ara, iki hatta bekle</t>
        </is>
      </c>
      <c r="D1655" s="5" t="inlineStr"/>
      <c r="E1655" s="5" t="inlineStr"/>
      <c r="F1655" s="5" t="inlineStr">
        <is>
          <t>Dayanıklılık +2</t>
        </is>
      </c>
      <c r="G1655" s="6" t="inlineStr">
        <is>
          <t>Bir kulakta Öte Diyar'ın bekleme müziği, öbüründe Makarya'nınki. Dört saat sonra iki müzik aynı notaya geldi. Dosya yürümedi ama sen bir şarkı besteledin.</t>
        </is>
      </c>
      <c r="H1655" s="6" t="inlineStr"/>
      <c r="I1655" s="6" t="inlineStr"/>
      <c r="J1655" s="6" t="inlineStr"/>
      <c r="K1655" s="6" t="inlineStr"/>
      <c r="L1655" s="6" t="inlineStr"/>
      <c r="M1655" s="5" t="inlineStr"/>
      <c r="N1655" s="5" t="inlineStr"/>
      <c r="O1655" s="6" t="inlineStr"/>
      <c r="P1655" s="6" t="inlineStr"/>
      <c r="Q1655" s="5" t="inlineStr"/>
      <c r="R1655" s="5" t="inlineStr"/>
      <c r="S1655" s="5" t="inlineStr"/>
      <c r="T1655" s="5" t="inlineStr"/>
      <c r="U1655" s="5" t="inlineStr"/>
      <c r="V1655" s="5" t="inlineStr"/>
      <c r="W1655" s="5" t="inlineStr"/>
      <c r="X1655" s="5" t="inlineStr"/>
      <c r="Y1655" s="5" t="inlineStr"/>
      <c r="Z1655" s="6" t="inlineStr"/>
      <c r="AA1655" s="5" t="inlineStr"/>
      <c r="AB1655" s="5" t="inlineStr"/>
      <c r="AC1655" s="5" t="inlineStr"/>
      <c r="AD1655" s="5" t="inlineStr"/>
      <c r="AE1655" s="5" t="inlineStr"/>
      <c r="AF1655" s="5" t="inlineStr"/>
      <c r="AG1655" s="5" t="inlineStr"/>
      <c r="AH1655" s="5" t="inlineStr"/>
    </row>
    <row r="1656">
      <c r="A1656" s="5" t="inlineStr">
        <is>
          <t>b9-goc-iki-dilde-emeklilik</t>
        </is>
      </c>
      <c r="B1656" s="5" t="n">
        <v>2</v>
      </c>
      <c r="C1656" s="6" t="inlineStr">
        <is>
          <t>Yazıları iki dilde kendin hazırla</t>
        </is>
      </c>
      <c r="D1656" s="5" t="inlineStr">
        <is>
          <t>Akıl</t>
        </is>
      </c>
      <c r="E1656" s="5" t="inlineStr">
        <is>
          <t>Orta</t>
        </is>
      </c>
      <c r="F1656" s="5" t="inlineStr"/>
      <c r="G1656" s="6" t="inlineStr"/>
      <c r="H1656" s="6" t="inlineStr">
        <is>
          <t>Dosyayı iki dilde, iki nüsha, iki mühürle götürdün. Emekli maaşın iki ayrı günde, iki ayrı kurla yatıyor. Hangisi fazla, hesaplamayı bıraktın.</t>
        </is>
      </c>
      <c r="I1656" s="6" t="inlineStr">
        <is>
          <t>Dosyan öyle düzgündü ki iki kurum da onu şablon yaptı. Senden sonra emekli olan gurbetçiler senin adını anıyor.</t>
        </is>
      </c>
      <c r="J1656" s="6" t="inlineStr">
        <is>
          <t>Yazıları götürdün; birinde gün ile ay yer değiştirmiş. Emekliliğin kâğıt üzerinde bir ay ileri gitti.</t>
        </is>
      </c>
      <c r="K1656" s="6" t="inlineStr">
        <is>
          <t>Kopyaları karıştırdın. Makarya'daki kurum seni Öte Diyarlı sanıyor, Öte Diyar'daki Makaryalı. İkisi de haklı.</t>
        </is>
      </c>
      <c r="L1656" s="6" t="inlineStr"/>
      <c r="M1656" s="5" t="inlineStr"/>
      <c r="N1656" s="5" t="inlineStr"/>
      <c r="O1656" s="6" t="inlineStr"/>
      <c r="P1656" s="6" t="inlineStr"/>
      <c r="Q1656" s="5" t="inlineStr"/>
      <c r="R1656" s="5" t="inlineStr"/>
      <c r="S1656" s="5" t="inlineStr"/>
      <c r="T1656" s="5" t="inlineStr"/>
      <c r="U1656" s="5" t="inlineStr"/>
      <c r="V1656" s="5" t="inlineStr"/>
      <c r="W1656" s="5" t="inlineStr"/>
      <c r="X1656" s="5" t="inlineStr"/>
      <c r="Y1656" s="5" t="inlineStr"/>
      <c r="Z1656" s="6" t="inlineStr"/>
      <c r="AA1656" s="5" t="inlineStr"/>
      <c r="AB1656" s="5" t="inlineStr"/>
      <c r="AC1656" s="5" t="inlineStr"/>
      <c r="AD1656" s="5" t="inlineStr"/>
      <c r="AE1656" s="5" t="inlineStr"/>
      <c r="AF1656" s="5" t="inlineStr"/>
      <c r="AG1656" s="5" t="inlineStr"/>
      <c r="AH1656" s="5" t="inlineStr"/>
    </row>
    <row r="1657">
      <c r="A1657" s="5" t="inlineStr">
        <is>
          <t>b9-goc-iki-dilde-emeklilik</t>
        </is>
      </c>
      <c r="B1657" s="5" t="n">
        <v>3</v>
      </c>
      <c r="C1657" s="6" t="inlineStr">
        <is>
          <t>Memleketteki eve yerleş, emekliliği oradan kovala</t>
        </is>
      </c>
      <c r="D1657" s="5" t="inlineStr">
        <is>
          <t>Cesaret</t>
        </is>
      </c>
      <c r="E1657" s="5" t="inlineStr">
        <is>
          <t>Orta</t>
        </is>
      </c>
      <c r="F1657" s="5" t="inlineStr"/>
      <c r="G1657" s="6" t="inlineStr"/>
      <c r="H1657" s="6" t="inlineStr">
        <is>
          <t>Yaz başında memleketteki eve yerleştin. Sabahları fırına gidiyorsun; kokusu hatırladığın gibi. Fırıncı değişmiş, seni o hatırlıyor.</t>
        </is>
      </c>
      <c r="I1657" s="6" t="inlineStr">
        <is>
          <t>Mahallede adın “Öte Diyarlı amca”. Bahçede erik, balkonda mangal; burada yasak değil. Otuz yıldır ilk kez yakıyorsun.</t>
        </is>
      </c>
      <c r="J1657" s="6" t="inlineStr">
        <is>
          <t>Eşyaları topladın, kargo kırk koli istedi. Yarısı geldi; hangi yarının gerekli olduğu tartışmalı.</t>
        </is>
      </c>
      <c r="K1657" s="6" t="inlineStr">
        <is>
          <t>Eve vardığında içeride yeğenin oturuyordu, nişanlısıyla. Sana misafir odasını verdiler; kendi evinde.</t>
        </is>
      </c>
      <c r="L1657" s="6" t="inlineStr"/>
      <c r="M1657" s="5" t="inlineStr"/>
      <c r="N1657" s="5" t="inlineStr"/>
      <c r="O1657" s="6" t="inlineStr"/>
      <c r="P1657" s="6" t="inlineStr"/>
      <c r="Q1657" s="5" t="inlineStr"/>
      <c r="R1657" s="5" t="inlineStr">
        <is>
          <t>memlekette-ev</t>
        </is>
      </c>
      <c r="S1657" s="5" t="inlineStr"/>
      <c r="T1657" s="5" t="inlineStr"/>
      <c r="U1657" s="5" t="inlineStr"/>
      <c r="V1657" s="5" t="inlineStr">
        <is>
          <t>yazliga-dondu</t>
        </is>
      </c>
      <c r="W1657" s="5" t="inlineStr"/>
      <c r="X1657" s="5" t="inlineStr"/>
      <c r="Y1657" s="5" t="inlineStr"/>
      <c r="Z1657" s="6" t="inlineStr"/>
      <c r="AA1657" s="5" t="inlineStr"/>
      <c r="AB1657" s="5" t="inlineStr"/>
      <c r="AC1657" s="5" t="inlineStr"/>
      <c r="AD1657" s="5" t="inlineStr"/>
      <c r="AE1657" s="5" t="inlineStr"/>
      <c r="AF1657" s="5" t="inlineStr"/>
      <c r="AG1657" s="5" t="inlineStr"/>
      <c r="AH1657" s="5" t="inlineStr"/>
    </row>
    <row r="1658">
      <c r="A1658" s="5" t="inlineStr">
        <is>
          <t>b9-goc-iki-dilde-emeklilik</t>
        </is>
      </c>
      <c r="B1658" s="5" t="n">
        <v>4</v>
      </c>
      <c r="C1658" s="6" t="inlineStr">
        <is>
          <t>Kışı orada, yazı burada geçir</t>
        </is>
      </c>
      <c r="D1658" s="5" t="inlineStr">
        <is>
          <t>Sosyal Radar</t>
        </is>
      </c>
      <c r="E1658" s="5" t="inlineStr">
        <is>
          <t>Zor</t>
        </is>
      </c>
      <c r="F1658" s="5" t="inlineStr"/>
      <c r="G1658" s="6" t="inlineStr"/>
      <c r="H1658" s="6" t="inlineStr">
        <is>
          <t>Kasımda Öte Diyar'a, mayısta memlekete. İki yerde de “Yine mi geldin?” diyorlar; ikisinde de sevinerek.</t>
        </is>
      </c>
      <c r="I1658" s="6" t="inlineStr">
        <is>
          <t>İki mahallede de çayı ısmarlanan adamsın. Öte Diyar'daki komşular dönüşünü takvime işaretliyor, bahçesini sana emanet ediyor.</t>
        </is>
      </c>
      <c r="J1658" s="6" t="inlineStr">
        <is>
          <t>İki memleket arasında gidip gelirken iki tarafın faturası birikiyor. Posta kutuların iki ülkede birden dolu.</t>
        </is>
      </c>
      <c r="K1658" s="6" t="inlineStr">
        <is>
          <t>Biletleri karıştırdın; kışı memlekette, yazı Öte Diyar'da geçirdin. İki yerde de üşüdün.</t>
        </is>
      </c>
      <c r="L1658" s="6" t="inlineStr"/>
      <c r="M1658" s="5" t="inlineStr"/>
      <c r="N1658" s="5" t="inlineStr"/>
      <c r="O1658" s="6" t="inlineStr"/>
      <c r="P1658" s="6" t="inlineStr"/>
      <c r="Q1658" s="5" t="inlineStr"/>
      <c r="R1658" s="5" t="inlineStr"/>
      <c r="S1658" s="5" t="inlineStr"/>
      <c r="T1658" s="5" t="inlineStr">
        <is>
          <t>Odayı Okur</t>
        </is>
      </c>
      <c r="U1658" s="5" t="inlineStr"/>
      <c r="V1658" s="5" t="inlineStr">
        <is>
          <t>iki-memleketli</t>
        </is>
      </c>
      <c r="W1658" s="5" t="inlineStr"/>
      <c r="X1658" s="5" t="inlineStr"/>
      <c r="Y1658" s="5" t="inlineStr"/>
      <c r="Z1658" s="6" t="inlineStr"/>
      <c r="AA1658" s="5" t="inlineStr"/>
      <c r="AB1658" s="5" t="inlineStr"/>
      <c r="AC1658" s="5" t="inlineStr"/>
      <c r="AD1658" s="5" t="inlineStr"/>
      <c r="AE1658" s="5" t="inlineStr"/>
      <c r="AF1658" s="5" t="inlineStr"/>
      <c r="AG1658" s="5" t="inlineStr"/>
      <c r="AH1658" s="5" t="inlineStr"/>
    </row>
    <row r="1659">
      <c r="A1659" s="5" t="inlineStr">
        <is>
          <t>b7-koy-keciler</t>
        </is>
      </c>
      <c r="B1659" s="5" t="n">
        <v>1</v>
      </c>
      <c r="C1659" s="6" t="inlineStr">
        <is>
          <t>Komşuya lahananın parasını öde</t>
        </is>
      </c>
      <c r="D1659" s="5" t="inlineStr"/>
      <c r="E1659" s="5" t="inlineStr"/>
      <c r="F1659" s="5" t="inlineStr">
        <is>
          <t>İtibar +2</t>
        </is>
      </c>
      <c r="G1659" s="6" t="inlineStr">
        <is>
          <t>Lahananın parasını uzattın, bir de özür. Komşu parayı almadı, özrü aldı. Akşam kapına bir tabak dolma bıraktı; lahanasız.</t>
        </is>
      </c>
      <c r="H1659" s="6" t="inlineStr"/>
      <c r="I1659" s="6" t="inlineStr"/>
      <c r="J1659" s="6" t="inlineStr"/>
      <c r="K1659" s="6" t="inlineStr"/>
      <c r="L1659" s="6" t="inlineStr"/>
      <c r="M1659" s="5" t="inlineStr"/>
      <c r="N1659" s="5" t="inlineStr"/>
      <c r="O1659" s="6" t="inlineStr"/>
      <c r="P1659" s="6" t="inlineStr"/>
      <c r="Q1659" s="5" t="inlineStr"/>
      <c r="R1659" s="5" t="inlineStr"/>
      <c r="S1659" s="5" t="inlineStr"/>
      <c r="T1659" s="5" t="inlineStr"/>
      <c r="U1659" s="5" t="inlineStr"/>
      <c r="V1659" s="5" t="inlineStr"/>
      <c r="W1659" s="5" t="inlineStr"/>
      <c r="X1659" s="5" t="inlineStr"/>
      <c r="Y1659" s="5" t="inlineStr"/>
      <c r="Z1659" s="6" t="inlineStr"/>
      <c r="AA1659" s="5" t="inlineStr"/>
      <c r="AB1659" s="5" t="inlineStr"/>
      <c r="AC1659" s="5" t="inlineStr"/>
      <c r="AD1659" s="5" t="inlineStr"/>
      <c r="AE1659" s="5" t="inlineStr"/>
      <c r="AF1659" s="5" t="inlineStr"/>
      <c r="AG1659" s="5" t="inlineStr"/>
      <c r="AH1659" s="5" t="inlineStr"/>
    </row>
    <row r="1660">
      <c r="A1660" s="5" t="inlineStr">
        <is>
          <t>b7-koy-keciler</t>
        </is>
      </c>
      <c r="B1660" s="5" t="n">
        <v>2</v>
      </c>
      <c r="C1660" s="6" t="inlineStr">
        <is>
          <t>Sürünün liderini bul, onu ikna et</t>
        </is>
      </c>
      <c r="D1660" s="5" t="inlineStr">
        <is>
          <t>Sosyal Radar</t>
        </is>
      </c>
      <c r="E1660" s="5" t="inlineStr">
        <is>
          <t>Orta</t>
        </is>
      </c>
      <c r="F1660" s="5" t="inlineStr"/>
      <c r="G1660" s="6" t="inlineStr"/>
      <c r="H1660" s="6" t="inlineStr">
        <is>
          <t>Lider, sakallı yaşlı bir dişiymiş. Ona bir avuç arpa verdin; sürü eve döndü. Artık seni o yönetiyor, sen de itiraz etmiyorsun.</t>
        </is>
      </c>
      <c r="I1660" s="6" t="inlineStr">
        <is>
          <t>Lider keçiyle anlaştınız; sürüyü sabah kendisi çıkarıp akşam kendisi getiriyor. Köyde sana “keçi fısıldayan” diyorlar.</t>
        </is>
      </c>
      <c r="J1660" s="6" t="inlineStr">
        <is>
          <t>Lider sandığın keçi sürünün en çekingeniymiş. Sen onu ikna ettin; o da kimseyi.</t>
        </is>
      </c>
      <c r="K1660" s="6" t="inlineStr">
        <is>
          <t>Lider keçi göz temasını meydan okuma saydı ve seni tosladı. Komşu lahanasını unuttu; hâlâ gülüyor.</t>
        </is>
      </c>
      <c r="L1660" s="6" t="inlineStr"/>
      <c r="M1660" s="5" t="inlineStr"/>
      <c r="N1660" s="5" t="inlineStr"/>
      <c r="O1660" s="6" t="inlineStr"/>
      <c r="P1660" s="6" t="inlineStr"/>
      <c r="Q1660" s="5" t="inlineStr"/>
      <c r="R1660" s="5" t="inlineStr"/>
      <c r="S1660" s="5" t="inlineStr"/>
      <c r="T1660" s="5" t="inlineStr"/>
      <c r="U1660" s="5" t="inlineStr"/>
      <c r="V1660" s="5" t="inlineStr">
        <is>
          <t>keci-dostu</t>
        </is>
      </c>
      <c r="W1660" s="5" t="inlineStr"/>
      <c r="X1660" s="5" t="inlineStr"/>
      <c r="Y1660" s="5" t="inlineStr"/>
      <c r="Z1660" s="6" t="inlineStr"/>
      <c r="AA1660" s="5" t="inlineStr"/>
      <c r="AB1660" s="5" t="inlineStr"/>
      <c r="AC1660" s="5" t="inlineStr"/>
      <c r="AD1660" s="5" t="inlineStr"/>
      <c r="AE1660" s="5" t="inlineStr"/>
      <c r="AF1660" s="5" t="inlineStr"/>
      <c r="AG1660" s="5" t="inlineStr"/>
      <c r="AH1660" s="5" t="inlineStr"/>
    </row>
    <row r="1661">
      <c r="A1661" s="5" t="inlineStr">
        <is>
          <t>b7-koy-keciler</t>
        </is>
      </c>
      <c r="B1661" s="5" t="n">
        <v>3</v>
      </c>
      <c r="C1661" s="6" t="inlineStr">
        <is>
          <t>Bahçeye keçi geçirmez çit kur</t>
        </is>
      </c>
      <c r="D1661" s="5" t="inlineStr">
        <is>
          <t>Dayanıklılık</t>
        </is>
      </c>
      <c r="E1661" s="5" t="inlineStr">
        <is>
          <t>Zor</t>
        </is>
      </c>
      <c r="F1661" s="5" t="inlineStr"/>
      <c r="G1661" s="6" t="inlineStr"/>
      <c r="H1661" s="6" t="inlineStr">
        <is>
          <t>Üç gün, iki rulo tel, bir sürü kazık. Çit bitti. Keçiler bir gün çiti inceledi, sonra yan bahçeden vazgeçti; şimdilik.</t>
        </is>
      </c>
      <c r="I1661" s="6" t="inlineStr">
        <is>
          <t>Çitin öyle sağlam çıktı ki köyde herkes seni kendi bahçesi için çağırdı. Keçiler de gelip izledi; not alıyor gibiydiler.</t>
        </is>
      </c>
      <c r="J1661" s="6" t="inlineStr">
        <is>
          <t>Çiti kurdun; keçiler üstünden atlamadı, kapısını açtı. Mandalı sen takmıştın.</t>
        </is>
      </c>
      <c r="K1661" s="6" t="inlineStr">
        <is>
          <t>Çiti yanlış tarafa kurdun; keçiler bahçede, sen dışarıdasın. Komşu lahanaları çitin içinden sana uzatıyor.</t>
        </is>
      </c>
      <c r="L1661" s="6" t="inlineStr"/>
      <c r="M1661" s="5" t="inlineStr"/>
      <c r="N1661" s="5" t="inlineStr"/>
      <c r="O1661" s="6" t="inlineStr"/>
      <c r="P1661" s="6" t="inlineStr"/>
      <c r="Q1661" s="5" t="inlineStr"/>
      <c r="R1661" s="5" t="inlineStr"/>
      <c r="S1661" s="5" t="inlineStr"/>
      <c r="T1661" s="5" t="inlineStr">
        <is>
          <t>Bahçe Filozofu</t>
        </is>
      </c>
      <c r="U1661" s="5" t="inlineStr"/>
      <c r="V1661" s="5" t="inlineStr"/>
      <c r="W1661" s="5" t="inlineStr"/>
      <c r="X1661" s="5" t="inlineStr"/>
      <c r="Y1661" s="5" t="inlineStr"/>
      <c r="Z1661" s="6" t="inlineStr"/>
      <c r="AA1661" s="5" t="inlineStr"/>
      <c r="AB1661" s="5" t="inlineStr"/>
      <c r="AC1661" s="5" t="inlineStr"/>
      <c r="AD1661" s="5" t="inlineStr"/>
      <c r="AE1661" s="5" t="inlineStr"/>
      <c r="AF1661" s="5" t="inlineStr"/>
      <c r="AG1661" s="5" t="inlineStr"/>
      <c r="AH1661" s="5" t="inlineStr"/>
    </row>
    <row r="1662">
      <c r="A1662" s="5" t="inlineStr">
        <is>
          <t>b7-koy-kooperatif</t>
        </is>
      </c>
      <c r="B1662" s="5" t="n">
        <v>1</v>
      </c>
      <c r="C1662" s="6" t="inlineStr">
        <is>
          <t>Söz alma, çayını iç, dinle</t>
        </is>
      </c>
      <c r="D1662" s="5" t="inlineStr"/>
      <c r="E1662" s="5" t="inlineStr"/>
      <c r="F1662" s="5" t="inlineStr">
        <is>
          <t>Sosyal Radar +1, Dayanıklılık +1</t>
        </is>
      </c>
      <c r="G1662" s="6" t="inlineStr">
        <is>
          <t>Üç saat dinledin. Tank hakkında bir şey öğrenmedin; kimin kime küs olduğunu, kimin kızının nereye gelin gittiğini öğrendin. Asıl gündem buydu.</t>
        </is>
      </c>
      <c r="H1662" s="6" t="inlineStr"/>
      <c r="I1662" s="6" t="inlineStr"/>
      <c r="J1662" s="6" t="inlineStr"/>
      <c r="K1662" s="6" t="inlineStr"/>
      <c r="L1662" s="6" t="inlineStr"/>
      <c r="M1662" s="5" t="inlineStr"/>
      <c r="N1662" s="5" t="inlineStr"/>
      <c r="O1662" s="6" t="inlineStr"/>
      <c r="P1662" s="6" t="inlineStr"/>
      <c r="Q1662" s="5" t="inlineStr"/>
      <c r="R1662" s="5" t="inlineStr"/>
      <c r="S1662" s="5" t="inlineStr"/>
      <c r="T1662" s="5" t="inlineStr"/>
      <c r="U1662" s="5" t="inlineStr"/>
      <c r="V1662" s="5" t="inlineStr"/>
      <c r="W1662" s="5" t="inlineStr"/>
      <c r="X1662" s="5" t="inlineStr"/>
      <c r="Y1662" s="5" t="inlineStr"/>
      <c r="Z1662" s="6" t="inlineStr"/>
      <c r="AA1662" s="5" t="inlineStr"/>
      <c r="AB1662" s="5" t="inlineStr"/>
      <c r="AC1662" s="5" t="inlineStr"/>
      <c r="AD1662" s="5" t="inlineStr"/>
      <c r="AE1662" s="5" t="inlineStr"/>
      <c r="AF1662" s="5" t="inlineStr"/>
      <c r="AG1662" s="5" t="inlineStr"/>
      <c r="AH1662" s="5" t="inlineStr"/>
    </row>
    <row r="1663">
      <c r="A1663" s="5" t="inlineStr">
        <is>
          <t>b7-koy-kooperatif</t>
        </is>
      </c>
      <c r="B1663" s="5" t="n">
        <v>2</v>
      </c>
      <c r="C1663" s="6" t="inlineStr">
        <is>
          <t>Tankın hesabını çıkar, masaya koy</t>
        </is>
      </c>
      <c r="D1663" s="5" t="inlineStr">
        <is>
          <t>Akıl</t>
        </is>
      </c>
      <c r="E1663" s="5" t="inlineStr">
        <is>
          <t>Orta</t>
        </is>
      </c>
      <c r="F1663" s="5" t="inlineStr"/>
      <c r="G1663" s="6" t="inlineStr"/>
      <c r="H1663" s="6" t="inlineStr">
        <is>
          <t>Tankın kendini kaç yılda ödeyeceğini kâğıda döktün. Kâğıt elden ele dolaştı, Hüsnü Emmi'de kaldı. Tank onaylandı; kâğıt hâlâ Hüsnü Emmi'de.</t>
        </is>
      </c>
      <c r="I1663" s="6" t="inlineStr">
        <is>
          <t>Hesabın öyle netti ki kooperatif defteri sana verdi. Her ayın ilk pazartesi hesap sende; çay da.</t>
        </is>
      </c>
      <c r="J1663" s="6" t="inlineStr">
        <is>
          <t>Hesabı anlattın, biri “Okumuş çocuk” dedi. Kimse karşı çıkmadı, kimse el kaldırmadı. Karar bir sonraki toplantıya kaldı.</t>
        </is>
      </c>
      <c r="K1663" s="6" t="inlineStr">
        <is>
          <t>Hesapta bir sıfır kaçırdın. Kâğıda göre tank kendini üç yüz yılda ödüyor. Hüsnü Emmi kâğıdı çerçeveletti.</t>
        </is>
      </c>
      <c r="L1663" s="6" t="inlineStr"/>
      <c r="M1663" s="5" t="inlineStr"/>
      <c r="N1663" s="5" t="inlineStr"/>
      <c r="O1663" s="6" t="inlineStr"/>
      <c r="P1663" s="6" t="inlineStr"/>
      <c r="Q1663" s="5" t="inlineStr"/>
      <c r="R1663" s="5" t="inlineStr"/>
      <c r="S1663" s="5" t="inlineStr"/>
      <c r="T1663" s="5" t="inlineStr"/>
      <c r="U1663" s="5" t="inlineStr"/>
      <c r="V1663" s="5" t="inlineStr">
        <is>
          <t>kooperatif-defteri</t>
        </is>
      </c>
      <c r="W1663" s="5" t="inlineStr"/>
      <c r="X1663" s="5" t="inlineStr"/>
      <c r="Y1663" s="5" t="inlineStr"/>
      <c r="Z1663" s="6" t="inlineStr"/>
      <c r="AA1663" s="5" t="inlineStr"/>
      <c r="AB1663" s="5" t="inlineStr"/>
      <c r="AC1663" s="5" t="inlineStr"/>
      <c r="AD1663" s="5" t="inlineStr"/>
      <c r="AE1663" s="5" t="inlineStr"/>
      <c r="AF1663" s="5" t="inlineStr"/>
      <c r="AG1663" s="5" t="inlineStr"/>
      <c r="AH1663" s="5" t="inlineStr"/>
    </row>
    <row r="1664">
      <c r="A1664" s="5" t="inlineStr">
        <is>
          <t>b7-koy-kooperatif</t>
        </is>
      </c>
      <c r="B1664" s="5" t="n">
        <v>3</v>
      </c>
      <c r="C1664" s="6" t="inlineStr">
        <is>
          <t>Küs iki üyeyi aynı masada barıştır</t>
        </is>
      </c>
      <c r="D1664" s="5" t="inlineStr">
        <is>
          <t>İtibar</t>
        </is>
      </c>
      <c r="E1664" s="5" t="inlineStr">
        <is>
          <t>Zor</t>
        </is>
      </c>
      <c r="F1664" s="5" t="inlineStr"/>
      <c r="G1664" s="6" t="inlineStr"/>
      <c r="H1664" s="6" t="inlineStr">
        <is>
          <t>Otuz yıllık bir tarla sınırı kavgasıydı. İki çay koydun, iki şeker; onlar da iki kelime etti. Tank oylamasında aynı eli kaldırdılar.</t>
        </is>
      </c>
      <c r="I1664" s="6" t="inlineStr">
        <is>
          <t>Barıştılar, üstüne çocuklarını evlendirmeye karar verdiler. Toplantı nişan hazırlığına döndü; tank da onaylandı.</t>
        </is>
      </c>
      <c r="J1664" s="6" t="inlineStr">
        <is>
          <t>İkisini aynı masaya oturttun; ikisi de sana küstü. Köyde artık üç kişilik bir küslük var.</t>
        </is>
      </c>
      <c r="K1664" s="6" t="inlineStr">
        <is>
          <t>Sınırı çözmek için tarlaya gittiniz; tapuyu okurken ikisi birden senin tarlanın sınırını tartışmaya başladı.</t>
        </is>
      </c>
      <c r="L1664" s="6" t="inlineStr"/>
      <c r="M1664" s="5" t="inlineStr"/>
      <c r="N1664" s="5" t="inlineStr"/>
      <c r="O1664" s="6" t="inlineStr"/>
      <c r="P1664" s="6" t="inlineStr"/>
      <c r="Q1664" s="5" t="inlineStr"/>
      <c r="R1664" s="5" t="inlineStr"/>
      <c r="S1664" s="5" t="inlineStr"/>
      <c r="T1664" s="5" t="inlineStr">
        <is>
          <t>Odayı Okur</t>
        </is>
      </c>
      <c r="U1664" s="5" t="inlineStr"/>
      <c r="V1664" s="5" t="inlineStr">
        <is>
          <t>kahvede-sozu-var</t>
        </is>
      </c>
      <c r="W1664" s="5" t="inlineStr"/>
      <c r="X1664" s="5" t="inlineStr"/>
      <c r="Y1664" s="5" t="inlineStr"/>
      <c r="Z1664" s="6" t="inlineStr"/>
      <c r="AA1664" s="5" t="inlineStr"/>
      <c r="AB1664" s="5" t="inlineStr"/>
      <c r="AC1664" s="5" t="inlineStr"/>
      <c r="AD1664" s="5" t="inlineStr"/>
      <c r="AE1664" s="5" t="inlineStr"/>
      <c r="AF1664" s="5" t="inlineStr"/>
      <c r="AG1664" s="5" t="inlineStr"/>
      <c r="AH1664" s="5" t="inlineStr"/>
    </row>
    <row r="1665">
      <c r="A1665" s="5" t="inlineStr">
        <is>
          <t>b7-koy-sehirliler</t>
        </is>
      </c>
      <c r="B1665" s="5" t="n">
        <v>1</v>
      </c>
      <c r="C1665" s="6" t="inlineStr">
        <is>
          <t>Çifte bir koli yumurta götür, tanış</t>
        </is>
      </c>
      <c r="D1665" s="5" t="inlineStr"/>
      <c r="E1665" s="5" t="inlineStr"/>
      <c r="F1665" s="5" t="inlineStr">
        <is>
          <t>İtibar +1, Sosyal Radar +1</t>
        </is>
      </c>
      <c r="G1665" s="6" t="inlineStr">
        <is>
          <t>Yumurtaları götürdün, çay içtiniz. Horozun neden saat beşte öttüğünü sordular. “Beş olduğu için” dedin. İkna oldular; kulak tıkacı da aldılar.</t>
        </is>
      </c>
      <c r="H1665" s="6" t="inlineStr"/>
      <c r="I1665" s="6" t="inlineStr"/>
      <c r="J1665" s="6" t="inlineStr"/>
      <c r="K1665" s="6" t="inlineStr"/>
      <c r="L1665" s="6" t="inlineStr"/>
      <c r="M1665" s="5" t="inlineStr"/>
      <c r="N1665" s="5" t="inlineStr"/>
      <c r="O1665" s="6" t="inlineStr"/>
      <c r="P1665" s="6" t="inlineStr"/>
      <c r="Q1665" s="5" t="inlineStr"/>
      <c r="R1665" s="5" t="inlineStr"/>
      <c r="S1665" s="5" t="inlineStr"/>
      <c r="T1665" s="5" t="inlineStr"/>
      <c r="U1665" s="5" t="inlineStr"/>
      <c r="V1665" s="5" t="inlineStr"/>
      <c r="W1665" s="5" t="inlineStr"/>
      <c r="X1665" s="5" t="inlineStr"/>
      <c r="Y1665" s="5" t="inlineStr"/>
      <c r="Z1665" s="6" t="inlineStr"/>
      <c r="AA1665" s="5" t="inlineStr"/>
      <c r="AB1665" s="5" t="inlineStr"/>
      <c r="AC1665" s="5" t="inlineStr"/>
      <c r="AD1665" s="5" t="inlineStr"/>
      <c r="AE1665" s="5" t="inlineStr"/>
      <c r="AF1665" s="5" t="inlineStr"/>
      <c r="AG1665" s="5" t="inlineStr"/>
      <c r="AH1665" s="5" t="inlineStr"/>
    </row>
    <row r="1666">
      <c r="A1666" s="5" t="inlineStr">
        <is>
          <t>b7-koy-sehirliler</t>
        </is>
      </c>
      <c r="B1666" s="5" t="n">
        <v>2</v>
      </c>
      <c r="C1666" s="6" t="inlineStr">
        <is>
          <t>Horozla şehirlileri uzlaştır</t>
        </is>
      </c>
      <c r="D1666" s="5" t="inlineStr">
        <is>
          <t>Sosyal Radar</t>
        </is>
      </c>
      <c r="E1666" s="5" t="inlineStr">
        <is>
          <t>Orta</t>
        </is>
      </c>
      <c r="F1666" s="5" t="inlineStr"/>
      <c r="G1666" s="6" t="inlineStr"/>
      <c r="H1666" s="6" t="inlineStr">
        <is>
          <t>Kümesi köyün öbür ucuna taşıdın. Şehirliler teşekkür etti; öbür uçtaki Nazmi Dayı etmedi.</t>
        </is>
      </c>
      <c r="I1666" s="6" t="inlineStr">
        <is>
          <t>Şehirliler horozu o kadar sevdi ki ona ad koyup fotoğrafını çerçevelediler. Horoz artık saat altıda ötüyor; saygıdan.</t>
        </is>
      </c>
      <c r="J1666" s="6" t="inlineStr">
        <is>
          <t>Uzlaşma toplantısı yaptın; horoz katılmadı. Şikâyet sürüyor.</t>
        </is>
      </c>
      <c r="K1666" s="6" t="inlineStr">
        <is>
          <t>Toplantının ortasında horoz öttü, çiftin köpeği masaya fırladı. Toplantı bir çay bardağı eksik dağıldı.</t>
        </is>
      </c>
      <c r="L1666" s="6" t="inlineStr"/>
      <c r="M1666" s="5" t="inlineStr"/>
      <c r="N1666" s="5" t="inlineStr"/>
      <c r="O1666" s="6" t="inlineStr"/>
      <c r="P1666" s="6" t="inlineStr"/>
      <c r="Q1666" s="5" t="inlineStr"/>
      <c r="R1666" s="5" t="inlineStr"/>
      <c r="S1666" s="5" t="inlineStr"/>
      <c r="T1666" s="5" t="inlineStr"/>
      <c r="U1666" s="5" t="inlineStr"/>
      <c r="V1666" s="5" t="inlineStr"/>
      <c r="W1666" s="5" t="inlineStr"/>
      <c r="X1666" s="5" t="inlineStr"/>
      <c r="Y1666" s="5" t="inlineStr"/>
      <c r="Z1666" s="6" t="inlineStr"/>
      <c r="AA1666" s="5" t="inlineStr"/>
      <c r="AB1666" s="5" t="inlineStr"/>
      <c r="AC1666" s="5" t="inlineStr"/>
      <c r="AD1666" s="5" t="inlineStr"/>
      <c r="AE1666" s="5" t="inlineStr"/>
      <c r="AF1666" s="5" t="inlineStr"/>
      <c r="AG1666" s="5" t="inlineStr"/>
      <c r="AH1666" s="5" t="inlineStr"/>
    </row>
    <row r="1667">
      <c r="A1667" s="5" t="inlineStr">
        <is>
          <t>b7-koy-sehirliler</t>
        </is>
      </c>
      <c r="B1667" s="5" t="n">
        <v>3</v>
      </c>
      <c r="C1667" s="6" t="inlineStr">
        <is>
          <t>Onlara köy hayatını ücretli tanıt</t>
        </is>
      </c>
      <c r="D1667" s="5" t="inlineStr">
        <is>
          <t>Kurnazlık</t>
        </is>
      </c>
      <c r="E1667" s="5" t="inlineStr">
        <is>
          <t>Orta</t>
        </is>
      </c>
      <c r="F1667" s="5" t="inlineStr"/>
      <c r="G1667" s="6" t="inlineStr"/>
      <c r="H1667" s="6" t="inlineStr">
        <is>
          <t>“Köyde Bir Gün” paketi hazırladın: keçi sağma, tandır ekmeği, horozla tanışma. Şehirliler arkadaşlarını getirdi; pakete kahvaltı eklendi.</t>
        </is>
      </c>
      <c r="I1667" s="6" t="inlineStr">
        <is>
          <t>Paket şehirde duyuldu, hafta sonları köyün girişinde otopark sıkıntısı var. Köy ilk kez bir sorundan memnun.</t>
        </is>
      </c>
      <c r="J1667" s="6" t="inlineStr">
        <is>
          <t>Paketi anlattın; şehirliler “Biz bunu zaten yaşıyoruz” dedi. Haklılar, horoz ücretsiz.</t>
        </is>
      </c>
      <c r="K1667" s="6" t="inlineStr">
        <is>
          <t>Sağma etkinliğinde keçi kova yerine şehirlinin ayakkabısını seçti. Paketin puanı iki yıldız; biri keçiye verilmiş.</t>
        </is>
      </c>
      <c r="L1667" s="6" t="inlineStr"/>
      <c r="M1667" s="5" t="inlineStr"/>
      <c r="N1667" s="5" t="inlineStr"/>
      <c r="O1667" s="6" t="inlineStr"/>
      <c r="P1667" s="6" t="inlineStr"/>
      <c r="Q1667" s="5" t="inlineStr"/>
      <c r="R1667" s="5" t="inlineStr"/>
      <c r="S1667" s="5" t="inlineStr"/>
      <c r="T1667" s="5" t="inlineStr"/>
      <c r="U1667" s="5" t="inlineStr"/>
      <c r="V1667" s="5" t="inlineStr"/>
      <c r="W1667" s="5" t="inlineStr"/>
      <c r="X1667" s="5" t="inlineStr"/>
      <c r="Y1667" s="5" t="inlineStr"/>
      <c r="Z1667" s="6" t="inlineStr"/>
      <c r="AA1667" s="5" t="inlineStr"/>
      <c r="AB1667" s="5" t="inlineStr"/>
      <c r="AC1667" s="5" t="inlineStr"/>
      <c r="AD1667" s="5" t="inlineStr">
        <is>
          <t>Orta</t>
        </is>
      </c>
      <c r="AE1667" s="5" t="inlineStr"/>
      <c r="AF1667" s="5" t="inlineStr"/>
      <c r="AG1667" s="5" t="inlineStr"/>
      <c r="AH1667" s="5" t="inlineStr"/>
    </row>
    <row r="1668">
      <c r="A1668" s="5" t="inlineStr">
        <is>
          <t>b7-koy-sehirliler</t>
        </is>
      </c>
      <c r="B1668" s="5" t="n">
        <v>4</v>
      </c>
      <c r="C1668" s="6" t="inlineStr">
        <is>
          <t>Muhtar olarak ortak bir köy kuralı yaz</t>
        </is>
      </c>
      <c r="D1668" s="5" t="inlineStr">
        <is>
          <t>İtibar</t>
        </is>
      </c>
      <c r="E1668" s="5" t="inlineStr">
        <is>
          <t>Orta</t>
        </is>
      </c>
      <c r="F1668" s="5" t="inlineStr"/>
      <c r="G1668" s="6" t="inlineStr"/>
      <c r="H1668" s="6" t="inlineStr">
        <is>
          <t>Kuralı yazdın: “Horoz beşten önce ötmez, şehirli beşten önce şikâyet etmez.” İki taraf imzaladı; horoz adına sen.</t>
        </is>
      </c>
      <c r="I1668" s="6" t="inlineStr">
        <is>
          <t>Kural öyle tuttu ki komşu köyler de istedi. Bölgede adı artık “Muhtar Usulü.”</t>
        </is>
      </c>
      <c r="J1668" s="6" t="inlineStr">
        <is>
          <t>Kuralı astın; ertesi gün şehirliler bir ek madde yazdı, köylüler bir tane daha. Kural şimdi üç sayfa.</t>
        </is>
      </c>
      <c r="K1668" s="6" t="inlineStr">
        <is>
          <t>Mühürlü kuralı yanlış kapıya astın: kümesinkine. Horoz artık resmen muhtarlık binası.</t>
        </is>
      </c>
      <c r="L1668" s="6" t="inlineStr"/>
      <c r="M1668" s="5" t="inlineStr"/>
      <c r="N1668" s="5" t="inlineStr"/>
      <c r="O1668" s="6" t="inlineStr"/>
      <c r="P1668" s="6" t="inlineStr"/>
      <c r="Q1668" s="5" t="inlineStr"/>
      <c r="R1668" s="5" t="inlineStr">
        <is>
          <t>muhtar</t>
        </is>
      </c>
      <c r="S1668" s="5" t="inlineStr"/>
      <c r="T1668" s="5" t="inlineStr"/>
      <c r="U1668" s="5" t="inlineStr"/>
      <c r="V1668" s="5" t="inlineStr"/>
      <c r="W1668" s="5" t="inlineStr"/>
      <c r="X1668" s="5" t="inlineStr"/>
      <c r="Y1668" s="5" t="inlineStr"/>
      <c r="Z1668" s="6" t="inlineStr"/>
      <c r="AA1668" s="5" t="inlineStr"/>
      <c r="AB1668" s="5" t="inlineStr"/>
      <c r="AC1668" s="5" t="inlineStr"/>
      <c r="AD1668" s="5" t="inlineStr"/>
      <c r="AE1668" s="5" t="inlineStr"/>
      <c r="AF1668" s="5" t="inlineStr"/>
      <c r="AG1668" s="5" t="inlineStr"/>
      <c r="AH1668" s="5" t="inlineStr"/>
    </row>
    <row r="1669">
      <c r="A1669" s="5" t="inlineStr">
        <is>
          <t>k10-koy</t>
        </is>
      </c>
      <c r="B1669" s="5" t="n">
        <v>1</v>
      </c>
      <c r="C1669" s="6" t="inlineStr">
        <is>
          <t>Muhtarlığa aday ol</t>
        </is>
      </c>
      <c r="D1669" s="5" t="inlineStr">
        <is>
          <t>Çene</t>
        </is>
      </c>
      <c r="E1669" s="5" t="inlineStr">
        <is>
          <t>Zor</t>
        </is>
      </c>
      <c r="F1669" s="5" t="inlineStr"/>
      <c r="G1669" s="6" t="inlineStr"/>
      <c r="H1669" s="6" t="inlineStr">
        <is>
          <t>Tek vaadin vardı: “Kahveye ikinci soba.” Dört oyla kazandın. Mühür eline geçince ilk işin kahveyi ısıtmak oldu.</t>
        </is>
      </c>
      <c r="I1669" s="6" t="inlineStr">
        <is>
          <t>Rakibin sana oy verdiğini itiraf etti; kendine vermemiş. Mühür eski muhtardan sana bir poşet cevizle devredildi.</t>
        </is>
      </c>
      <c r="J1669" s="6" t="inlineStr">
        <is>
          <t>Yedi oyla kaybettin. Yeni muhtar ilk iş seni azaya aldı: “Senin çenen lazım.”</t>
        </is>
      </c>
      <c r="K1669" s="6" t="inlineStr">
        <is>
          <t>Seçim konuşmasında köyün adını iki kez yanlış söyledin. Aldığın oy, ailenin oy sayısından azdı. Araştırılıyor.</t>
        </is>
      </c>
      <c r="L1669" s="6" t="inlineStr"/>
      <c r="M1669" s="5" t="inlineStr"/>
      <c r="N1669" s="5" t="inlineStr"/>
      <c r="O1669" s="6" t="inlineStr"/>
      <c r="P1669" s="6" t="inlineStr"/>
      <c r="Q1669" s="5" t="inlineStr"/>
      <c r="R1669" s="5" t="inlineStr"/>
      <c r="S1669" s="5" t="inlineStr"/>
      <c r="T1669" s="5" t="inlineStr"/>
      <c r="U1669" s="5" t="inlineStr"/>
      <c r="V1669" s="5" t="inlineStr">
        <is>
          <t>muhtar</t>
        </is>
      </c>
      <c r="W1669" s="5" t="inlineStr"/>
      <c r="X1669" s="5" t="inlineStr"/>
      <c r="Y1669" s="5" t="inlineStr"/>
      <c r="Z1669" s="6" t="inlineStr"/>
      <c r="AA1669" s="5" t="inlineStr"/>
      <c r="AB1669" s="5" t="inlineStr"/>
      <c r="AC1669" s="5" t="inlineStr"/>
      <c r="AD1669" s="5" t="inlineStr"/>
      <c r="AE1669" s="5" t="inlineStr"/>
      <c r="AF1669" s="5" t="inlineStr"/>
      <c r="AG1669" s="5" t="inlineStr"/>
      <c r="AH1669" s="5" t="inlineStr"/>
    </row>
    <row r="1670">
      <c r="A1670" s="5" t="inlineStr">
        <is>
          <t>k10-koy</t>
        </is>
      </c>
      <c r="B1670" s="5" t="n">
        <v>2</v>
      </c>
      <c r="C1670" s="6" t="inlineStr">
        <is>
          <t>Kooperatif kur</t>
        </is>
      </c>
      <c r="D1670" s="5" t="inlineStr">
        <is>
          <t>Sosyal Radar</t>
        </is>
      </c>
      <c r="E1670" s="5" t="inlineStr">
        <is>
          <t>Orta</t>
        </is>
      </c>
      <c r="F1670" s="5" t="inlineStr"/>
      <c r="G1670" s="6" t="inlineStr"/>
      <c r="H1670" s="6" t="inlineStr">
        <is>
          <t>Yirmi üç üye, bir süt tankı, bir peynir kazanı. İlk teneke peynir şehre gitti, karşılığı geri döndü. Toplantılar hâlâ uzun ama artık kâr payı da var.</t>
        </is>
      </c>
      <c r="I1670" s="6" t="inlineStr">
        <is>
          <t>Peynirin şehirde ödül aldı. Köyün gençlerinden ikisi şehirden geri döndü; peynir için.</t>
        </is>
      </c>
      <c r="J1670" s="6" t="inlineStr">
        <is>
          <t>Kuruluş toplantısı üç ay sürdü, dilekçe hâlâ imza bekliyor. Kooperatifi bir bahara bıraktın.</t>
        </is>
      </c>
      <c r="K1670" s="6" t="inlineStr">
        <is>
          <t>Kuruluş toplantısı iki köyün sınır tartışmasına döndü. Kooperatif kurulmadı; arada yeni bir tabela var: “Burası bizim.”</t>
        </is>
      </c>
      <c r="L1670" s="6" t="inlineStr"/>
      <c r="M1670" s="5" t="inlineStr"/>
      <c r="N1670" s="5" t="inlineStr"/>
      <c r="O1670" s="6" t="inlineStr"/>
      <c r="P1670" s="6" t="inlineStr"/>
      <c r="Q1670" s="5" t="inlineStr"/>
      <c r="R1670" s="5" t="inlineStr"/>
      <c r="S1670" s="5" t="inlineStr"/>
      <c r="T1670" s="5" t="inlineStr"/>
      <c r="U1670" s="5" t="inlineStr"/>
      <c r="V1670" s="5" t="inlineStr">
        <is>
          <t>kooperatif</t>
        </is>
      </c>
      <c r="W1670" s="5" t="inlineStr"/>
      <c r="X1670" s="5" t="inlineStr"/>
      <c r="Y1670" s="5" t="inlineStr"/>
      <c r="Z1670" s="6" t="inlineStr"/>
      <c r="AA1670" s="5" t="inlineStr"/>
      <c r="AB1670" s="5" t="inlineStr"/>
      <c r="AC1670" s="5" t="inlineStr"/>
      <c r="AD1670" s="5" t="inlineStr">
        <is>
          <t>Orta</t>
        </is>
      </c>
      <c r="AE1670" s="5" t="inlineStr"/>
      <c r="AF1670" s="5" t="inlineStr"/>
      <c r="AG1670" s="5" t="inlineStr"/>
      <c r="AH1670" s="5" t="inlineStr"/>
    </row>
    <row r="1671">
      <c r="A1671" s="5" t="inlineStr">
        <is>
          <t>k10-koy</t>
        </is>
      </c>
      <c r="B1671" s="5" t="n">
        <v>3</v>
      </c>
      <c r="C1671" s="6" t="inlineStr">
        <is>
          <t>Köy fenomeni ol</t>
        </is>
      </c>
      <c r="D1671" s="5" t="inlineStr">
        <is>
          <t>Pişkinlik</t>
        </is>
      </c>
      <c r="E1671" s="5" t="inlineStr">
        <is>
          <t>Zor</t>
        </is>
      </c>
      <c r="F1671" s="5" t="inlineStr"/>
      <c r="G1671" s="6" t="inlineStr"/>
      <c r="H1671" s="6" t="inlineStr">
        <is>
          <t>Keçilerle sabah videoları çektin. Keçilerin takipçisi on binleri geçti; birine reklam teklifi geldi. Pazarlığı sen yapıyorsun.</t>
        </is>
      </c>
      <c r="I1671" s="6" t="inlineStr">
        <is>
          <t>Bir videon ülke çapında yayıldı: keçi, sen ve bir traktör. Şehirden turist geliyor; kahve fiyat listesi bastırdı.</t>
        </is>
      </c>
      <c r="J1671" s="6" t="inlineStr">
        <is>
          <t>Videolar çektin, izleyenler köydekilerdi. Kahvede birbirlerine gösteriyorlar; beğeni yerine el sallıyorlar.</t>
        </is>
      </c>
      <c r="K1671" s="6" t="inlineStr">
        <is>
          <t>Canlı yayında keçi telefonu yedi. Yayın dört dakika keçinin içinden sürdü. En çok izlenen videon bu; telefonun yok.</t>
        </is>
      </c>
      <c r="L1671" s="6" t="inlineStr"/>
      <c r="M1671" s="5" t="inlineStr"/>
      <c r="N1671" s="5" t="inlineStr"/>
      <c r="O1671" s="6" t="inlineStr"/>
      <c r="P1671" s="6" t="inlineStr"/>
      <c r="Q1671" s="5" t="inlineStr"/>
      <c r="R1671" s="5" t="inlineStr"/>
      <c r="S1671" s="5" t="inlineStr"/>
      <c r="T1671" s="5" t="inlineStr"/>
      <c r="U1671" s="5" t="inlineStr"/>
      <c r="V1671" s="5" t="inlineStr">
        <is>
          <t>koy-fenomeni</t>
        </is>
      </c>
      <c r="W1671" s="5" t="inlineStr"/>
      <c r="X1671" s="5" t="inlineStr"/>
      <c r="Y1671" s="5" t="inlineStr"/>
      <c r="Z1671" s="6" t="inlineStr"/>
      <c r="AA1671" s="5" t="inlineStr"/>
      <c r="AB1671" s="5" t="inlineStr"/>
      <c r="AC1671" s="5" t="inlineStr"/>
      <c r="AD1671" s="5" t="inlineStr">
        <is>
          <t>Orta</t>
        </is>
      </c>
      <c r="AE1671" s="5" t="inlineStr"/>
      <c r="AF1671" s="5" t="inlineStr"/>
      <c r="AG1671" s="5" t="inlineStr"/>
      <c r="AH1671" s="5" t="inlineStr"/>
    </row>
    <row r="1672">
      <c r="A1672" s="5" t="inlineStr">
        <is>
          <t>k10-koy</t>
        </is>
      </c>
      <c r="B1672" s="5" t="n">
        <v>4</v>
      </c>
      <c r="C1672" s="6" t="inlineStr">
        <is>
          <t>Şehre geri dön</t>
        </is>
      </c>
      <c r="D1672" s="5" t="inlineStr">
        <is>
          <t>Kurnazlık</t>
        </is>
      </c>
      <c r="E1672" s="5" t="inlineStr">
        <is>
          <t>Orta</t>
        </is>
      </c>
      <c r="F1672" s="5" t="inlineStr"/>
      <c r="G1672" s="6" t="inlineStr"/>
      <c r="H1672" s="6" t="inlineStr">
        <is>
          <t>Traktörü komşuya, keçileri akrabaya bıraktın. Şehirde bir dükkân kiraladın; tezgâhta köyden gelen peynir satıyorsun. Köyde adın hâlâ “döndü, gidecek.”</t>
        </is>
      </c>
      <c r="I1672" s="6" t="inlineStr">
        <is>
          <t>Şehirdeki dükkânın ilk haftasında kuyruk oldu; köyün peyniri şehirde “yöresel” diye iki kat fiyatla satılıyor.</t>
        </is>
      </c>
      <c r="J1672" s="6" t="inlineStr">
        <is>
          <t>Şehirde dükkân baktın; kiralar köydeki tarlanın yıllık gelirinden fazlaydı. Köye döndün; keçiler seni hiç özlememiş gibi yaptı.</t>
        </is>
      </c>
      <c r="K1672" s="6" t="inlineStr">
        <is>
          <t>Dükkânı tuttun, açılış günü köyden gelen peynir yolda ekşidi. Kepengi kapattın, köye döndün; kahvede kimse bir şey sormadı, herkes biliyordu.</t>
        </is>
      </c>
      <c r="L1672" s="6" t="inlineStr"/>
      <c r="M1672" s="5" t="inlineStr"/>
      <c r="N1672" s="5" t="inlineStr"/>
      <c r="O1672" s="6" t="inlineStr"/>
      <c r="P1672" s="6" t="inlineStr"/>
      <c r="Q1672" s="5" t="inlineStr"/>
      <c r="R1672" s="5" t="inlineStr"/>
      <c r="S1672" s="5" t="inlineStr"/>
      <c r="T1672" s="5" t="inlineStr"/>
      <c r="U1672" s="5" t="inlineStr"/>
      <c r="V1672" s="5" t="inlineStr">
        <is>
          <t>-hat-cete, -hat-dolandirici, -hat-girisimci, -hat-goc, -hat-hekim, -hat-koy, -hat-polis, -hat-politika, -hat-sohret, -hat-usta, -hat-yargi, -meslek-beyazyaka, -meslek-memur, -meslek-serbest, meslek-esnaf</t>
        </is>
      </c>
      <c r="W1672" s="5" t="inlineStr"/>
      <c r="X1672" s="5" t="inlineStr"/>
      <c r="Y1672" s="5" t="inlineStr"/>
      <c r="Z1672" s="6" t="inlineStr"/>
      <c r="AA1672" s="5" t="inlineStr"/>
      <c r="AB1672" s="5" t="inlineStr"/>
      <c r="AC1672" s="5" t="inlineStr"/>
      <c r="AD1672" s="5" t="inlineStr"/>
      <c r="AE1672" s="5" t="inlineStr"/>
      <c r="AF1672" s="5" t="inlineStr"/>
      <c r="AG1672" s="5" t="inlineStr"/>
      <c r="AH1672" s="5" t="inlineStr"/>
    </row>
    <row r="1673">
      <c r="A1673" s="5" t="inlineStr">
        <is>
          <t>b8-koy-muhtarlik-secimi</t>
        </is>
      </c>
      <c r="B1673" s="5" t="n">
        <v>1</v>
      </c>
      <c r="C1673" s="6" t="inlineStr">
        <is>
          <t>Adaylıktan çekil, kuzenini destekle</t>
        </is>
      </c>
      <c r="D1673" s="5" t="inlineStr"/>
      <c r="E1673" s="5" t="inlineStr"/>
      <c r="F1673" s="5" t="inlineStr">
        <is>
          <t>İtibar +1, Sosyal Radar +1</t>
        </is>
      </c>
      <c r="G1673" s="6" t="inlineStr">
        <is>
          <t>Çekildin; kuzen kazandı, ilk icraatı hoparlörden sana teşekkür oldu. Köyde herkes muhtarın sen olduğunu sanıyor; mühür sadece onda.</t>
        </is>
      </c>
      <c r="H1673" s="6" t="inlineStr"/>
      <c r="I1673" s="6" t="inlineStr"/>
      <c r="J1673" s="6" t="inlineStr"/>
      <c r="K1673" s="6" t="inlineStr"/>
      <c r="L1673" s="6" t="inlineStr"/>
      <c r="M1673" s="5" t="inlineStr"/>
      <c r="N1673" s="5" t="inlineStr"/>
      <c r="O1673" s="6" t="inlineStr"/>
      <c r="P1673" s="6" t="inlineStr"/>
      <c r="Q1673" s="5" t="inlineStr"/>
      <c r="R1673" s="5" t="inlineStr"/>
      <c r="S1673" s="5" t="inlineStr"/>
      <c r="T1673" s="5" t="inlineStr"/>
      <c r="U1673" s="5" t="inlineStr"/>
      <c r="V1673" s="5" t="inlineStr"/>
      <c r="W1673" s="5" t="inlineStr"/>
      <c r="X1673" s="5" t="inlineStr"/>
      <c r="Y1673" s="5" t="inlineStr"/>
      <c r="Z1673" s="6" t="inlineStr"/>
      <c r="AA1673" s="5" t="inlineStr"/>
      <c r="AB1673" s="5" t="inlineStr"/>
      <c r="AC1673" s="5" t="inlineStr"/>
      <c r="AD1673" s="5" t="inlineStr"/>
      <c r="AE1673" s="5" t="inlineStr"/>
      <c r="AF1673" s="5" t="inlineStr"/>
      <c r="AG1673" s="5" t="inlineStr"/>
      <c r="AH1673" s="5" t="inlineStr"/>
    </row>
    <row r="1674">
      <c r="A1674" s="5" t="inlineStr">
        <is>
          <t>b8-koy-muhtarlik-secimi</t>
        </is>
      </c>
      <c r="B1674" s="5" t="n">
        <v>2</v>
      </c>
      <c r="C1674" s="6" t="inlineStr">
        <is>
          <t>Kapı kapı dolaş, her evde çay iç</t>
        </is>
      </c>
      <c r="D1674" s="5" t="inlineStr">
        <is>
          <t>Sosyal Radar</t>
        </is>
      </c>
      <c r="E1674" s="5" t="inlineStr">
        <is>
          <t>Zor</t>
        </is>
      </c>
      <c r="F1674" s="5" t="inlineStr"/>
      <c r="G1674" s="6" t="inlineStr"/>
      <c r="H1674" s="6" t="inlineStr">
        <is>
          <t>Kırk iki ev, kırk iki çay, dokuz oy farkı. Mühür geldi; o gece uyuyamadın, çaydan.</t>
        </is>
      </c>
      <c r="I1674" s="6" t="inlineStr">
        <is>
          <t>Rakibin evine de gittin; sana çay ikram etti, sonra da oyunu. Sonuçlar okununca kahvedeki iki masa birleşti.</t>
        </is>
      </c>
      <c r="J1674" s="6" t="inlineStr">
        <is>
          <t>Her evde çay içtin, her evde söz aldın. Sandıktaki sözler çaylardan azdı. Kuzen kazandı; sana sandalye ayırdı.</t>
        </is>
      </c>
      <c r="K1674" s="6" t="inlineStr">
        <is>
          <t>Kuzeninin evine yanlışlıkla iki kez gittin. İkincisinde teyzen seni kapıda karşıladı. Oy vermedi; çay da vermedi.</t>
        </is>
      </c>
      <c r="L1674" s="6" t="inlineStr"/>
      <c r="M1674" s="5" t="inlineStr"/>
      <c r="N1674" s="5" t="inlineStr"/>
      <c r="O1674" s="6" t="inlineStr"/>
      <c r="P1674" s="6" t="inlineStr"/>
      <c r="Q1674" s="5" t="inlineStr"/>
      <c r="R1674" s="5" t="inlineStr"/>
      <c r="S1674" s="5" t="inlineStr"/>
      <c r="T1674" s="5" t="inlineStr">
        <is>
          <t>Odayı Okur</t>
        </is>
      </c>
      <c r="U1674" s="5" t="inlineStr"/>
      <c r="V1674" s="5" t="inlineStr">
        <is>
          <t>muhtar</t>
        </is>
      </c>
      <c r="W1674" s="5" t="inlineStr"/>
      <c r="X1674" s="5" t="inlineStr"/>
      <c r="Y1674" s="5" t="inlineStr"/>
      <c r="Z1674" s="6" t="inlineStr"/>
      <c r="AA1674" s="5" t="inlineStr"/>
      <c r="AB1674" s="5" t="inlineStr"/>
      <c r="AC1674" s="5" t="inlineStr"/>
      <c r="AD1674" s="5" t="inlineStr"/>
      <c r="AE1674" s="5" t="inlineStr"/>
      <c r="AF1674" s="5" t="inlineStr"/>
      <c r="AG1674" s="5" t="inlineStr"/>
      <c r="AH1674" s="5" t="inlineStr"/>
    </row>
    <row r="1675">
      <c r="A1675" s="5" t="inlineStr">
        <is>
          <t>b8-koy-muhtarlik-secimi</t>
        </is>
      </c>
      <c r="B1675" s="5" t="n">
        <v>3</v>
      </c>
      <c r="C1675" s="6" t="inlineStr">
        <is>
          <t>Kahvede herkesin önünde vaatlerini anlat</t>
        </is>
      </c>
      <c r="D1675" s="5" t="inlineStr">
        <is>
          <t>Çene</t>
        </is>
      </c>
      <c r="E1675" s="5" t="inlineStr">
        <is>
          <t>Orta</t>
        </is>
      </c>
      <c r="F1675" s="5" t="inlineStr"/>
      <c r="G1675" s="6" t="inlineStr"/>
      <c r="H1675" s="6" t="inlineStr">
        <is>
          <t>Yol, su, ikinci soba. Alkışı en çok soba aldı. Sandık açıldı, üç oyla kazandın; mühür sende, soba hâlâ sırada.</t>
        </is>
      </c>
      <c r="I1675" s="6" t="inlineStr">
        <is>
          <t>Konuşmanın sonunda rakibin kalktı: “Ben de ona veriyorum.” Sayım bir saatte bitti; kalan vakit çaya gitti.</t>
        </is>
      </c>
      <c r="J1675" s="6" t="inlineStr">
        <is>
          <t>Konuşurken elektrik kesildi. İkinci yarıyı karanlıkta anlattın; oylar da karanlıkta kaldı. Kuzen kazandı.</t>
        </is>
      </c>
      <c r="K1675" s="6" t="inlineStr">
        <is>
          <t>Vaatlerini okurken kâğıdı çevirdin; arkasında kuzeninin vaatleri yazılıymış. Kahve güldü. Sandık da.</t>
        </is>
      </c>
      <c r="L1675" s="6" t="inlineStr"/>
      <c r="M1675" s="5" t="inlineStr"/>
      <c r="N1675" s="5" t="inlineStr"/>
      <c r="O1675" s="6" t="inlineStr"/>
      <c r="P1675" s="6" t="inlineStr"/>
      <c r="Q1675" s="5" t="inlineStr"/>
      <c r="R1675" s="5" t="inlineStr"/>
      <c r="S1675" s="5" t="inlineStr"/>
      <c r="T1675" s="5" t="inlineStr"/>
      <c r="U1675" s="5" t="inlineStr"/>
      <c r="V1675" s="5" t="inlineStr">
        <is>
          <t>muhtar</t>
        </is>
      </c>
      <c r="W1675" s="5" t="inlineStr"/>
      <c r="X1675" s="5" t="inlineStr"/>
      <c r="Y1675" s="5" t="inlineStr"/>
      <c r="Z1675" s="6" t="inlineStr"/>
      <c r="AA1675" s="5" t="inlineStr"/>
      <c r="AB1675" s="5" t="inlineStr"/>
      <c r="AC1675" s="5" t="inlineStr"/>
      <c r="AD1675" s="5" t="inlineStr"/>
      <c r="AE1675" s="5" t="inlineStr"/>
      <c r="AF1675" s="5" t="inlineStr"/>
      <c r="AG1675" s="5" t="inlineStr"/>
      <c r="AH1675" s="5" t="inlineStr"/>
    </row>
    <row r="1676">
      <c r="A1676" s="5" t="inlineStr">
        <is>
          <t>b8-koy-unlu-koylu</t>
        </is>
      </c>
      <c r="B1676" s="5" t="n">
        <v>1</v>
      </c>
      <c r="C1676" s="6" t="inlineStr">
        <is>
          <t>Köylüleri öne çıkar, kendin arkada dur</t>
        </is>
      </c>
      <c r="D1676" s="5" t="inlineStr"/>
      <c r="E1676" s="5" t="inlineStr"/>
      <c r="F1676" s="5" t="inlineStr">
        <is>
          <t>İtibar +1, Sosyal Radar +1</t>
        </is>
      </c>
      <c r="G1676" s="6" t="inlineStr">
        <is>
          <t>Kamerayı Fatma Nine'nin tandırına çevirdin. Belgesel yayınlanınca köy nineyi izledi; nine de kendini, ekmek pişirirken yorum yaparak.</t>
        </is>
      </c>
      <c r="H1676" s="6" t="inlineStr"/>
      <c r="I1676" s="6" t="inlineStr"/>
      <c r="J1676" s="6" t="inlineStr"/>
      <c r="K1676" s="6" t="inlineStr"/>
      <c r="L1676" s="6" t="inlineStr"/>
      <c r="M1676" s="5" t="inlineStr"/>
      <c r="N1676" s="5" t="inlineStr"/>
      <c r="O1676" s="6" t="inlineStr"/>
      <c r="P1676" s="6" t="inlineStr"/>
      <c r="Q1676" s="5" t="inlineStr"/>
      <c r="R1676" s="5" t="inlineStr"/>
      <c r="S1676" s="5" t="inlineStr"/>
      <c r="T1676" s="5" t="inlineStr"/>
      <c r="U1676" s="5" t="inlineStr"/>
      <c r="V1676" s="5" t="inlineStr"/>
      <c r="W1676" s="5" t="inlineStr"/>
      <c r="X1676" s="5" t="inlineStr"/>
      <c r="Y1676" s="5" t="inlineStr"/>
      <c r="Z1676" s="6" t="inlineStr"/>
      <c r="AA1676" s="5" t="inlineStr"/>
      <c r="AB1676" s="5" t="inlineStr"/>
      <c r="AC1676" s="5" t="inlineStr"/>
      <c r="AD1676" s="5" t="inlineStr"/>
      <c r="AE1676" s="5" t="inlineStr"/>
      <c r="AF1676" s="5" t="inlineStr"/>
      <c r="AG1676" s="5" t="inlineStr"/>
      <c r="AH1676" s="5" t="inlineStr"/>
    </row>
    <row r="1677">
      <c r="A1677" s="5" t="inlineStr">
        <is>
          <t>b8-koy-unlu-koylu</t>
        </is>
      </c>
      <c r="B1677" s="5" t="n">
        <v>2</v>
      </c>
      <c r="C1677" s="6" t="inlineStr">
        <is>
          <t>Kameraya köyü sen anlat</t>
        </is>
      </c>
      <c r="D1677" s="5" t="inlineStr">
        <is>
          <t>Pişkinlik</t>
        </is>
      </c>
      <c r="E1677" s="5" t="inlineStr">
        <is>
          <t>Orta</t>
        </is>
      </c>
      <c r="F1677" s="5" t="inlineStr"/>
      <c r="G1677" s="6" t="inlineStr"/>
      <c r="H1677" s="6" t="inlineStr">
        <is>
          <t>Kuyuyu, çınarı, kahvedeki iki masayı anlattın. Belgesel yayınlandı; pazarda “Belgeseldeki adam” diye soruyorlar, domatesi de.</t>
        </is>
      </c>
      <c r="I1677" s="6" t="inlineStr">
        <is>
          <t>Yönetmen seni sunucu yaptı. Belgesel ikinci sezon aldı: “Kaybolan Tatlar: Köy Kahvesi.” Kahveci ücret istiyor.</t>
        </is>
      </c>
      <c r="J1677" s="6" t="inlineStr">
        <is>
          <t>Anlattın ama kurguda sadece keçiler kaldı. Afişte sen yoksun, lider keçi var.</t>
        </is>
      </c>
      <c r="K1677" s="6" t="inlineStr">
        <is>
          <t>“Burada yağmur yağmaz” derken sağanak başladı. Belgeselin fragmanı o an.</t>
        </is>
      </c>
      <c r="L1677" s="6" t="inlineStr"/>
      <c r="M1677" s="5" t="inlineStr"/>
      <c r="N1677" s="5" t="inlineStr"/>
      <c r="O1677" s="6" t="inlineStr"/>
      <c r="P1677" s="6" t="inlineStr"/>
      <c r="Q1677" s="5" t="inlineStr"/>
      <c r="R1677" s="5" t="inlineStr"/>
      <c r="S1677" s="5" t="inlineStr"/>
      <c r="T1677" s="5" t="inlineStr"/>
      <c r="U1677" s="5" t="inlineStr"/>
      <c r="V1677" s="5" t="inlineStr">
        <is>
          <t>unlu-koylu</t>
        </is>
      </c>
      <c r="W1677" s="5" t="inlineStr"/>
      <c r="X1677" s="5" t="inlineStr"/>
      <c r="Y1677" s="5" t="inlineStr"/>
      <c r="Z1677" s="6" t="inlineStr"/>
      <c r="AA1677" s="5" t="inlineStr"/>
      <c r="AB1677" s="5" t="inlineStr"/>
      <c r="AC1677" s="5" t="inlineStr"/>
      <c r="AD1677" s="5" t="inlineStr"/>
      <c r="AE1677" s="5" t="inlineStr"/>
      <c r="AF1677" s="5" t="inlineStr"/>
      <c r="AG1677" s="5" t="inlineStr"/>
      <c r="AH1677" s="5" t="inlineStr"/>
    </row>
    <row r="1678">
      <c r="A1678" s="5" t="inlineStr">
        <is>
          <t>b8-koy-unlu-koylu</t>
        </is>
      </c>
      <c r="B1678" s="5" t="n">
        <v>3</v>
      </c>
      <c r="C1678" s="6" t="inlineStr">
        <is>
          <t>Kooperatifin peynirini kadraja sok</t>
        </is>
      </c>
      <c r="D1678" s="5" t="inlineStr">
        <is>
          <t>Kurnazlık</t>
        </is>
      </c>
      <c r="E1678" s="5" t="inlineStr">
        <is>
          <t>Orta</t>
        </is>
      </c>
      <c r="F1678" s="5" t="inlineStr"/>
      <c r="G1678" s="6" t="inlineStr"/>
      <c r="H1678" s="6" t="inlineStr">
        <is>
          <t>Peynir her sahnede bir köşede durdu. Belgeselden sonra siparişler yağdı; tank yetmedi, ikincisi alındı.</t>
        </is>
      </c>
      <c r="I1678" s="6" t="inlineStr">
        <is>
          <t>Peynir belgeselin gizli yıldızı oldu. Şehirde bir lokanta menüsüne köyün adını yazdı; ilk kez doğru yazılmış.</t>
        </is>
      </c>
      <c r="J1678" s="6" t="inlineStr">
        <is>
          <t>Kurgucu peyniri çıkardı: “Reklam olmaz.” Peynir belgeselde yok, ekibin sofrasında var.</t>
        </is>
      </c>
      <c r="K1678" s="6" t="inlineStr">
        <is>
          <t>Peynir sıcakta eridi, masadan akıp kameranın ayağına ulaştı. Belgeselin adı değişti: “Kaybolan Peynir.”</t>
        </is>
      </c>
      <c r="L1678" s="6" t="inlineStr"/>
      <c r="M1678" s="5" t="inlineStr"/>
      <c r="N1678" s="5" t="inlineStr"/>
      <c r="O1678" s="6" t="inlineStr"/>
      <c r="P1678" s="6" t="inlineStr"/>
      <c r="Q1678" s="5" t="inlineStr"/>
      <c r="R1678" s="5" t="inlineStr">
        <is>
          <t>kooperatif</t>
        </is>
      </c>
      <c r="S1678" s="5" t="inlineStr"/>
      <c r="T1678" s="5" t="inlineStr"/>
      <c r="U1678" s="5" t="inlineStr"/>
      <c r="V1678" s="5" t="inlineStr"/>
      <c r="W1678" s="5" t="inlineStr"/>
      <c r="X1678" s="5" t="inlineStr"/>
      <c r="Y1678" s="5" t="inlineStr"/>
      <c r="Z1678" s="6" t="inlineStr"/>
      <c r="AA1678" s="5" t="inlineStr"/>
      <c r="AB1678" s="5" t="inlineStr"/>
      <c r="AC1678" s="5" t="inlineStr"/>
      <c r="AD1678" s="5" t="inlineStr">
        <is>
          <t>Rahat</t>
        </is>
      </c>
      <c r="AE1678" s="5" t="inlineStr"/>
      <c r="AF1678" s="5" t="inlineStr"/>
      <c r="AG1678" s="5" t="inlineStr"/>
      <c r="AH1678" s="5" t="inlineStr"/>
    </row>
    <row r="1679">
      <c r="A1679" s="5" t="inlineStr">
        <is>
          <t>b8-koy-unlu-koylu</t>
        </is>
      </c>
      <c r="B1679" s="5" t="n">
        <v>4</v>
      </c>
      <c r="C1679" s="6" t="inlineStr">
        <is>
          <t>Yönetmeni kahveye götür, tavla oynat</t>
        </is>
      </c>
      <c r="D1679" s="5" t="inlineStr">
        <is>
          <t>Sosyal Radar</t>
        </is>
      </c>
      <c r="E1679" s="5" t="inlineStr">
        <is>
          <t>Zor</t>
        </is>
      </c>
      <c r="F1679" s="5" t="inlineStr"/>
      <c r="G1679" s="6" t="inlineStr"/>
      <c r="H1679" s="6" t="inlineStr">
        <is>
          <t>Yönetmen üç el kaybetti, dördüncüde senaryoyu değiştirdi: belgesel artık kahvede geçiyor. Her karede zar atan sensin.</t>
        </is>
      </c>
      <c r="I1679" s="6" t="inlineStr">
        <is>
          <t>Yönetmen köye vuruldu, yazlık için arsa sordu. Çekimler bir yıl sürdü; bir bölümün anlatıcısı sensin.</t>
        </is>
      </c>
      <c r="J1679" s="6" t="inlineStr">
        <is>
          <t>Yönetmen tavlayı bilmiyordu; iki saat kuralları anlattın. Işık kaçtı, çekim ertelendi.</t>
        </is>
      </c>
      <c r="K1679" s="6" t="inlineStr">
        <is>
          <t>Yönetmen tavlada seni kahvenin önünde yendi. Belgeselin açılış sahnesi bu.</t>
        </is>
      </c>
      <c r="L1679" s="6" t="inlineStr"/>
      <c r="M1679" s="5" t="inlineStr"/>
      <c r="N1679" s="5" t="inlineStr"/>
      <c r="O1679" s="6" t="inlineStr"/>
      <c r="P1679" s="6" t="inlineStr"/>
      <c r="Q1679" s="5" t="inlineStr"/>
      <c r="R1679" s="5" t="inlineStr"/>
      <c r="S1679" s="5" t="inlineStr"/>
      <c r="T1679" s="5" t="inlineStr">
        <is>
          <t>Tavla Kurdu</t>
        </is>
      </c>
      <c r="U1679" s="5" t="inlineStr"/>
      <c r="V1679" s="5" t="inlineStr">
        <is>
          <t>unlu-koylu</t>
        </is>
      </c>
      <c r="W1679" s="5" t="inlineStr"/>
      <c r="X1679" s="5" t="inlineStr"/>
      <c r="Y1679" s="5" t="inlineStr"/>
      <c r="Z1679" s="6" t="inlineStr"/>
      <c r="AA1679" s="5" t="inlineStr"/>
      <c r="AB1679" s="5" t="inlineStr"/>
      <c r="AC1679" s="5" t="inlineStr"/>
      <c r="AD1679" s="5" t="inlineStr"/>
      <c r="AE1679" s="5" t="inlineStr"/>
      <c r="AF1679" s="5" t="inlineStr"/>
      <c r="AG1679" s="5" t="inlineStr"/>
      <c r="AH1679" s="5" t="inlineStr"/>
    </row>
    <row r="1680">
      <c r="A1680" s="5" t="inlineStr">
        <is>
          <t>b9-koy-cinarin-alti</t>
        </is>
      </c>
      <c r="B1680" s="5" t="n">
        <v>1</v>
      </c>
      <c r="C1680" s="6" t="inlineStr">
        <is>
          <t>Genci dinle, kararı ona bırak</t>
        </is>
      </c>
      <c r="D1680" s="5" t="inlineStr"/>
      <c r="E1680" s="5" t="inlineStr"/>
      <c r="F1680" s="5" t="inlineStr">
        <is>
          <t>İtibar +1, Sosyal Radar +1</t>
        </is>
      </c>
      <c r="G1680" s="6" t="inlineStr">
        <is>
          <t>Bir saat dinledin, bir cümle söyledin: “Sen bilirsin.” Genç şehre gitti, beş yıl sonra döndü; ilk iş senin sandalyenin yanına bir sandalye daha koydu.</t>
        </is>
      </c>
      <c r="H1680" s="6" t="inlineStr"/>
      <c r="I1680" s="6" t="inlineStr"/>
      <c r="J1680" s="6" t="inlineStr"/>
      <c r="K1680" s="6" t="inlineStr"/>
      <c r="L1680" s="6" t="inlineStr"/>
      <c r="M1680" s="5" t="inlineStr"/>
      <c r="N1680" s="5" t="inlineStr"/>
      <c r="O1680" s="6" t="inlineStr"/>
      <c r="P1680" s="6" t="inlineStr"/>
      <c r="Q1680" s="5" t="inlineStr"/>
      <c r="R1680" s="5" t="inlineStr"/>
      <c r="S1680" s="5" t="inlineStr"/>
      <c r="T1680" s="5" t="inlineStr"/>
      <c r="U1680" s="5" t="inlineStr"/>
      <c r="V1680" s="5" t="inlineStr"/>
      <c r="W1680" s="5" t="inlineStr"/>
      <c r="X1680" s="5" t="inlineStr"/>
      <c r="Y1680" s="5" t="inlineStr"/>
      <c r="Z1680" s="6" t="inlineStr"/>
      <c r="AA1680" s="5" t="inlineStr"/>
      <c r="AB1680" s="5" t="inlineStr"/>
      <c r="AC1680" s="5" t="inlineStr"/>
      <c r="AD1680" s="5" t="inlineStr"/>
      <c r="AE1680" s="5" t="inlineStr"/>
      <c r="AF1680" s="5" t="inlineStr"/>
      <c r="AG1680" s="5" t="inlineStr"/>
      <c r="AH1680" s="5" t="inlineStr"/>
    </row>
    <row r="1681">
      <c r="A1681" s="5" t="inlineStr">
        <is>
          <t>b9-koy-cinarin-alti</t>
        </is>
      </c>
      <c r="B1681" s="5" t="n">
        <v>2</v>
      </c>
      <c r="C1681" s="6" t="inlineStr">
        <is>
          <t>Köyün hikâyesini yaz, gençlere bırak</t>
        </is>
      </c>
      <c r="D1681" s="5" t="inlineStr">
        <is>
          <t>Akıl</t>
        </is>
      </c>
      <c r="E1681" s="5" t="inlineStr">
        <is>
          <t>Orta</t>
        </is>
      </c>
      <c r="F1681" s="5" t="inlineStr"/>
      <c r="G1681" s="6" t="inlineStr"/>
      <c r="H1681" s="6" t="inlineStr">
        <is>
          <t>Kış boyu yazdın: kuyu, kooperatif, keçilerin bütün adları. Defter köy okulunun rafına kondu; en çok keçi kısmı okunuyor.</t>
        </is>
      </c>
      <c r="I1681" s="6" t="inlineStr">
        <is>
          <t>Defterin kitap oldu. İl kütüphanesinde bir rafın var; yanında dedenin traktörünün fotoğrafı.</t>
        </is>
      </c>
      <c r="J1681" s="6" t="inlineStr">
        <is>
          <t>Yazdın, ama her hikâyenin sonundan başka bir hikâye çıktı. Defter bitmedi, kış bitti.</t>
        </is>
      </c>
      <c r="K1681" s="6" t="inlineStr">
        <is>
          <t>Defteri çınarın altında unuttun, keçiler buldu. Köyün tarihi şimdi keçilerin içinde; yine de köyde.</t>
        </is>
      </c>
      <c r="L1681" s="6" t="inlineStr"/>
      <c r="M1681" s="5" t="inlineStr"/>
      <c r="N1681" s="5" t="inlineStr"/>
      <c r="O1681" s="6" t="inlineStr"/>
      <c r="P1681" s="6" t="inlineStr"/>
      <c r="Q1681" s="5" t="inlineStr"/>
      <c r="R1681" s="5" t="inlineStr"/>
      <c r="S1681" s="5" t="inlineStr"/>
      <c r="T1681" s="5" t="inlineStr"/>
      <c r="U1681" s="5" t="inlineStr"/>
      <c r="V1681" s="5" t="inlineStr">
        <is>
          <t>koy-hafizasi</t>
        </is>
      </c>
      <c r="W1681" s="5" t="inlineStr"/>
      <c r="X1681" s="5" t="inlineStr"/>
      <c r="Y1681" s="5" t="inlineStr"/>
      <c r="Z1681" s="6" t="inlineStr"/>
      <c r="AA1681" s="5" t="inlineStr"/>
      <c r="AB1681" s="5" t="inlineStr"/>
      <c r="AC1681" s="5" t="inlineStr"/>
      <c r="AD1681" s="5" t="inlineStr"/>
      <c r="AE1681" s="5" t="inlineStr"/>
      <c r="AF1681" s="5" t="inlineStr"/>
      <c r="AG1681" s="5" t="inlineStr"/>
      <c r="AH1681" s="5" t="inlineStr"/>
    </row>
    <row r="1682">
      <c r="A1682" s="5" t="inlineStr">
        <is>
          <t>b9-koy-cinarin-alti</t>
        </is>
      </c>
      <c r="B1682" s="5" t="n">
        <v>3</v>
      </c>
      <c r="C1682" s="6" t="inlineStr">
        <is>
          <t>Kahvede gençlere tavla turnuvası düzenle</t>
        </is>
      </c>
      <c r="D1682" s="5" t="inlineStr">
        <is>
          <t>Sosyal Radar</t>
        </is>
      </c>
      <c r="E1682" s="5" t="inlineStr">
        <is>
          <t>Orta</t>
        </is>
      </c>
      <c r="F1682" s="5" t="inlineStr"/>
      <c r="G1682" s="6" t="inlineStr"/>
      <c r="H1682" s="6" t="inlineStr">
        <is>
          <t>Turnuvaya on bir genç geldi, ikisi şehirden. Final gece yarısı bitti. Kazanan köyde kalmaya karar verdi; kaybeden de, rövanş için.</t>
        </is>
      </c>
      <c r="I1682" s="6" t="inlineStr">
        <is>
          <t>Turnuva her yaz yapılıyor; şehirdeki köylüler iznini turnuvaya göre alıyor. Kahvenin önü bayram yeri.</t>
        </is>
      </c>
      <c r="J1682" s="6" t="inlineStr">
        <is>
          <t>Gençler gelmedi, emekliler geldi. Final seninle Nazmi Dayı arasındaydı; kaybettin.</t>
        </is>
      </c>
      <c r="K1682" s="6" t="inlineStr">
        <is>
          <t>Turnuvanın ortasında zarlar kayboldu. Keçiler yine. Final yazı turayla bitti.</t>
        </is>
      </c>
      <c r="L1682" s="6" t="inlineStr"/>
      <c r="M1682" s="5" t="inlineStr"/>
      <c r="N1682" s="5" t="inlineStr"/>
      <c r="O1682" s="6" t="inlineStr"/>
      <c r="P1682" s="6" t="inlineStr"/>
      <c r="Q1682" s="5" t="inlineStr"/>
      <c r="R1682" s="5" t="inlineStr"/>
      <c r="S1682" s="5" t="inlineStr"/>
      <c r="T1682" s="5" t="inlineStr"/>
      <c r="U1682" s="5" t="inlineStr"/>
      <c r="V1682" s="5" t="inlineStr"/>
      <c r="W1682" s="5" t="inlineStr"/>
      <c r="X1682" s="5" t="inlineStr"/>
      <c r="Y1682" s="5" t="inlineStr"/>
      <c r="Z1682" s="6" t="inlineStr"/>
      <c r="AA1682" s="5" t="inlineStr"/>
      <c r="AB1682" s="5" t="inlineStr"/>
      <c r="AC1682" s="5" t="inlineStr"/>
      <c r="AD1682" s="5" t="inlineStr"/>
      <c r="AE1682" s="5" t="inlineStr"/>
      <c r="AF1682" s="5" t="inlineStr"/>
      <c r="AG1682" s="5" t="inlineStr"/>
      <c r="AH1682" s="5" t="inlineStr"/>
    </row>
    <row r="1683">
      <c r="A1683" s="5" t="inlineStr">
        <is>
          <t>b7-usta-ilk-cirak</t>
        </is>
      </c>
      <c r="B1683" s="5" t="n">
        <v>1</v>
      </c>
      <c r="C1683" s="6" t="inlineStr">
        <is>
          <t>İlk hafta sadece süpürt, çay demlet</t>
        </is>
      </c>
      <c r="D1683" s="5" t="inlineStr"/>
      <c r="E1683" s="5" t="inlineStr"/>
      <c r="F1683" s="5" t="inlineStr">
        <is>
          <t>Dayanıklılık +1, İtibar +1</t>
        </is>
      </c>
      <c r="G1683" s="6" t="inlineStr">
        <is>
          <t>Bir hafta süpürdü, çay demledi. Çayı berbattı ama süpürmesi iyiydi. Ustalığın yarısı yere bakmaktır; çırak şimdilik yere bakıyor, telefona da.</t>
        </is>
      </c>
      <c r="H1683" s="6" t="inlineStr"/>
      <c r="I1683" s="6" t="inlineStr"/>
      <c r="J1683" s="6" t="inlineStr"/>
      <c r="K1683" s="6" t="inlineStr"/>
      <c r="L1683" s="6" t="inlineStr"/>
      <c r="M1683" s="5" t="inlineStr"/>
      <c r="N1683" s="5" t="inlineStr"/>
      <c r="O1683" s="6" t="inlineStr"/>
      <c r="P1683" s="6" t="inlineStr"/>
      <c r="Q1683" s="5" t="inlineStr"/>
      <c r="R1683" s="5" t="inlineStr"/>
      <c r="S1683" s="5" t="inlineStr"/>
      <c r="T1683" s="5" t="inlineStr"/>
      <c r="U1683" s="5" t="inlineStr"/>
      <c r="V1683" s="5" t="inlineStr"/>
      <c r="W1683" s="5" t="inlineStr"/>
      <c r="X1683" s="5" t="inlineStr"/>
      <c r="Y1683" s="5" t="inlineStr"/>
      <c r="Z1683" s="6" t="inlineStr"/>
      <c r="AA1683" s="5" t="inlineStr"/>
      <c r="AB1683" s="5" t="inlineStr"/>
      <c r="AC1683" s="5" t="inlineStr"/>
      <c r="AD1683" s="5" t="inlineStr"/>
      <c r="AE1683" s="5" t="inlineStr"/>
      <c r="AF1683" s="5" t="inlineStr"/>
      <c r="AG1683" s="5" t="inlineStr"/>
      <c r="AH1683" s="5" t="inlineStr"/>
    </row>
    <row r="1684">
      <c r="A1684" s="5" t="inlineStr">
        <is>
          <t>b7-usta-ilk-cirak</t>
        </is>
      </c>
      <c r="B1684" s="5" t="n">
        <v>2</v>
      </c>
      <c r="C1684" s="6" t="inlineStr">
        <is>
          <t>Ona sesle arıza bulmayı öğret</t>
        </is>
      </c>
      <c r="D1684" s="5" t="inlineStr">
        <is>
          <t>Akıl</t>
        </is>
      </c>
      <c r="E1684" s="5" t="inlineStr">
        <is>
          <t>Orta</t>
        </is>
      </c>
      <c r="F1684" s="5" t="inlineStr"/>
      <c r="G1684" s="6" t="inlineStr"/>
      <c r="H1684" s="6" t="inlineStr">
        <is>
          <t>Kaputu açtın, dinledin, “Duydun mu?” dedin. Üçüncü gün duydu. Artık telefonuyla değil, kulağıyla geliyor.</t>
        </is>
      </c>
      <c r="I1684" s="6" t="inlineStr">
        <is>
          <t>Bir hafta sonra sen yokken bir arızayı sesinden buldu. Müşteri aradı: “Çırağın usta olmuş.” Biraz kıskandın.</t>
        </is>
      </c>
      <c r="J1684" s="6" t="inlineStr">
        <is>
          <t>Sesi dinledi, “Bu bir şarkıya benziyor” dedi. Arızayı bulamadı ama şarkıyı buldu.</t>
        </is>
      </c>
      <c r="K1684" s="6" t="inlineStr">
        <is>
          <t>Motoru dinlemek için eğildi, kulaklığını fana kaptırdı. Arıza bulunmadı, kulaklık da.</t>
        </is>
      </c>
      <c r="L1684" s="6" t="inlineStr"/>
      <c r="M1684" s="5" t="inlineStr"/>
      <c r="N1684" s="5" t="inlineStr"/>
      <c r="O1684" s="6" t="inlineStr"/>
      <c r="P1684" s="6" t="inlineStr"/>
      <c r="Q1684" s="5" t="inlineStr"/>
      <c r="R1684" s="5" t="inlineStr"/>
      <c r="S1684" s="5" t="inlineStr"/>
      <c r="T1684" s="5" t="inlineStr"/>
      <c r="U1684" s="5" t="inlineStr"/>
      <c r="V1684" s="5" t="inlineStr">
        <is>
          <t>usta-ciragi-var</t>
        </is>
      </c>
      <c r="W1684" s="5" t="inlineStr"/>
      <c r="X1684" s="5" t="inlineStr"/>
      <c r="Y1684" s="5" t="inlineStr"/>
      <c r="Z1684" s="6" t="inlineStr"/>
      <c r="AA1684" s="5" t="inlineStr"/>
      <c r="AB1684" s="5" t="inlineStr"/>
      <c r="AC1684" s="5" t="inlineStr"/>
      <c r="AD1684" s="5" t="inlineStr"/>
      <c r="AE1684" s="5" t="inlineStr"/>
      <c r="AF1684" s="5" t="inlineStr"/>
      <c r="AG1684" s="5" t="inlineStr"/>
      <c r="AH1684" s="5" t="inlineStr"/>
    </row>
    <row r="1685">
      <c r="A1685" s="5" t="inlineStr">
        <is>
          <t>b7-usta-ilk-cirak</t>
        </is>
      </c>
      <c r="B1685" s="5" t="n">
        <v>3</v>
      </c>
      <c r="C1685" s="6" t="inlineStr">
        <is>
          <t>Videolarını dükkânın reklamına çevir</t>
        </is>
      </c>
      <c r="D1685" s="5" t="inlineStr">
        <is>
          <t>Kurnazlık</t>
        </is>
      </c>
      <c r="E1685" s="5" t="inlineStr">
        <is>
          <t>Zor</t>
        </is>
      </c>
      <c r="F1685" s="5" t="inlineStr"/>
      <c r="G1685" s="6" t="inlineStr"/>
      <c r="H1685" s="6" t="inlineStr">
        <is>
          <t>Çırak tamir videoları çekti, sen anlattın. Sanayiye gençler gelmeye başladı; kimi arabasıyla, kimi sadece izlemeye.</t>
        </is>
      </c>
      <c r="I1685" s="6" t="inlineStr">
        <is>
          <t>Videon yayıldı: “Sesinden arıza bulan usta.” Kapında arabasız bir kuyruk var; sesleri telefonla getiriyorlar.</t>
        </is>
      </c>
      <c r="J1685" s="6" t="inlineStr">
        <is>
          <t>Video çektiniz; izleyenler arızayı değil, arkadaki takvimi sordu. Takvim dört yıl eski.</t>
        </is>
      </c>
      <c r="K1685" s="6" t="inlineStr">
        <is>
          <t>Videoda yanlış parçayı yanlış yere taktın; yorum yazanlar senden iyi tamirciydi. Çırak videoyu silmedi, arşivledi.</t>
        </is>
      </c>
      <c r="L1685" s="6" t="inlineStr"/>
      <c r="M1685" s="5" t="inlineStr"/>
      <c r="N1685" s="5" t="inlineStr"/>
      <c r="O1685" s="6" t="inlineStr"/>
      <c r="P1685" s="6" t="inlineStr"/>
      <c r="Q1685" s="5" t="inlineStr"/>
      <c r="R1685" s="5" t="inlineStr"/>
      <c r="S1685" s="5" t="inlineStr"/>
      <c r="T1685" s="5" t="inlineStr">
        <is>
          <t>Kendine Gülebilir</t>
        </is>
      </c>
      <c r="U1685" s="5" t="inlineStr"/>
      <c r="V1685" s="5" t="inlineStr">
        <is>
          <t>usta-ciragi-var</t>
        </is>
      </c>
      <c r="W1685" s="5" t="inlineStr"/>
      <c r="X1685" s="5" t="inlineStr"/>
      <c r="Y1685" s="5" t="inlineStr"/>
      <c r="Z1685" s="6" t="inlineStr"/>
      <c r="AA1685" s="5" t="inlineStr"/>
      <c r="AB1685" s="5" t="inlineStr"/>
      <c r="AC1685" s="5" t="inlineStr"/>
      <c r="AD1685" s="5" t="inlineStr"/>
      <c r="AE1685" s="5" t="inlineStr"/>
      <c r="AF1685" s="5" t="inlineStr"/>
      <c r="AG1685" s="5" t="inlineStr"/>
      <c r="AH1685" s="5" t="inlineStr"/>
    </row>
    <row r="1686">
      <c r="A1686" s="5" t="inlineStr">
        <is>
          <t>b7-usta-karsi-dukkan</t>
        </is>
      </c>
      <c r="B1686" s="5" t="n">
        <v>1</v>
      </c>
      <c r="C1686" s="6" t="inlineStr">
        <is>
          <t>Ortak çalışın: cihaz ondan, el senden</t>
        </is>
      </c>
      <c r="D1686" s="5" t="inlineStr"/>
      <c r="E1686" s="5" t="inlineStr"/>
      <c r="F1686" s="5" t="inlineStr">
        <is>
          <t>Sosyal Radar +1, Akıl +1</t>
        </is>
      </c>
      <c r="G1686" s="6" t="inlineStr">
        <is>
          <t>Anlaştınız: arızayı cihaz söylüyor, sen düzeltiyorsun. Cihaz yanıldığında da sen söylüyorsun. Cihaz sık yanılıyor; ortaklık uzun sürecek.</t>
        </is>
      </c>
      <c r="H1686" s="6" t="inlineStr"/>
      <c r="I1686" s="6" t="inlineStr"/>
      <c r="J1686" s="6" t="inlineStr"/>
      <c r="K1686" s="6" t="inlineStr"/>
      <c r="L1686" s="6" t="inlineStr"/>
      <c r="M1686" s="5" t="inlineStr"/>
      <c r="N1686" s="5" t="inlineStr"/>
      <c r="O1686" s="6" t="inlineStr"/>
      <c r="P1686" s="6" t="inlineStr"/>
      <c r="Q1686" s="5" t="inlineStr"/>
      <c r="R1686" s="5" t="inlineStr"/>
      <c r="S1686" s="5" t="inlineStr"/>
      <c r="T1686" s="5" t="inlineStr"/>
      <c r="U1686" s="5" t="inlineStr"/>
      <c r="V1686" s="5" t="inlineStr"/>
      <c r="W1686" s="5" t="inlineStr"/>
      <c r="X1686" s="5" t="inlineStr"/>
      <c r="Y1686" s="5" t="inlineStr"/>
      <c r="Z1686" s="6" t="inlineStr"/>
      <c r="AA1686" s="5" t="inlineStr"/>
      <c r="AB1686" s="5" t="inlineStr"/>
      <c r="AC1686" s="5" t="inlineStr"/>
      <c r="AD1686" s="5" t="inlineStr"/>
      <c r="AE1686" s="5" t="inlineStr"/>
      <c r="AF1686" s="5" t="inlineStr"/>
      <c r="AG1686" s="5" t="inlineStr"/>
      <c r="AH1686" s="5" t="inlineStr"/>
    </row>
    <row r="1687">
      <c r="A1687" s="5" t="inlineStr">
        <is>
          <t>b7-usta-karsi-dukkan</t>
        </is>
      </c>
      <c r="B1687" s="5" t="n">
        <v>2</v>
      </c>
      <c r="C1687" s="6" t="inlineStr">
        <is>
          <t>Cihazla yarış: sesle daha hızlı bul</t>
        </is>
      </c>
      <c r="D1687" s="5" t="inlineStr">
        <is>
          <t>Akıl</t>
        </is>
      </c>
      <c r="E1687" s="5" t="inlineStr">
        <is>
          <t>Zor</t>
        </is>
      </c>
      <c r="F1687" s="5" t="inlineStr"/>
      <c r="G1687" s="6" t="inlineStr"/>
      <c r="H1687" s="6" t="inlineStr">
        <is>
          <t>Müşterinin önünde yarıştınız. Cihaz açılırken sen arızayı söyledin. Cihaz yüklendiğinde aynı şeyi söyledi; geç.</t>
        </is>
      </c>
      <c r="I1687" s="6" t="inlineStr">
        <is>
          <t>Üç araba, üç arıza, üç galibiyet. Karşının ustası cihazı sana sattı; artık cihaz da senin, kulak da.</t>
        </is>
      </c>
      <c r="J1687" s="6" t="inlineStr">
        <is>
          <t>Cihaz bir arıza buldu, sen başka bir arıza. İkisi de doğruymuş. Müşteri ikisini de ödemek istemedi.</t>
        </is>
      </c>
      <c r="K1687" s="6" t="inlineStr">
        <is>
          <t>Sesle teşhis koydun, cihaz başka dedi. Cihaz haklıydı. Sanayide bu yarış hâlâ anlatılıyor; adın geçmiyor ama herkes biliyor.</t>
        </is>
      </c>
      <c r="L1687" s="6" t="inlineStr"/>
      <c r="M1687" s="5" t="inlineStr"/>
      <c r="N1687" s="5" t="inlineStr"/>
      <c r="O1687" s="6" t="inlineStr"/>
      <c r="P1687" s="6" t="inlineStr"/>
      <c r="Q1687" s="5" t="inlineStr"/>
      <c r="R1687" s="5" t="inlineStr"/>
      <c r="S1687" s="5" t="inlineStr"/>
      <c r="T1687" s="5" t="inlineStr">
        <is>
          <t>Analitik Zihin</t>
        </is>
      </c>
      <c r="U1687" s="5" t="inlineStr"/>
      <c r="V1687" s="5" t="inlineStr"/>
      <c r="W1687" s="5" t="inlineStr"/>
      <c r="X1687" s="5" t="inlineStr"/>
      <c r="Y1687" s="5" t="inlineStr"/>
      <c r="Z1687" s="6" t="inlineStr"/>
      <c r="AA1687" s="5" t="inlineStr"/>
      <c r="AB1687" s="5" t="inlineStr"/>
      <c r="AC1687" s="5" t="inlineStr"/>
      <c r="AD1687" s="5" t="inlineStr"/>
      <c r="AE1687" s="5" t="inlineStr"/>
      <c r="AF1687" s="5" t="inlineStr"/>
      <c r="AG1687" s="5" t="inlineStr"/>
      <c r="AH1687" s="5" t="inlineStr"/>
    </row>
    <row r="1688">
      <c r="A1688" s="5" t="inlineStr">
        <is>
          <t>b7-usta-karsi-dukkan</t>
        </is>
      </c>
      <c r="B1688" s="5" t="n">
        <v>3</v>
      </c>
      <c r="C1688" s="6" t="inlineStr">
        <is>
          <t>Kışla arkadaşlarının taksilerini sana yönlendir</t>
        </is>
      </c>
      <c r="D1688" s="5" t="inlineStr">
        <is>
          <t>Çene</t>
        </is>
      </c>
      <c r="E1688" s="5" t="inlineStr">
        <is>
          <t>Orta</t>
        </is>
      </c>
      <c r="F1688" s="5" t="inlineStr"/>
      <c r="G1688" s="6" t="inlineStr"/>
      <c r="H1688" s="6" t="inlineStr">
        <is>
          <t>Üç kışla arkadaşın taksici olmuş; bütün durağı sana getirdiler. Karşıdaki cihaz boşta dönüyor.</t>
        </is>
      </c>
      <c r="I1688" s="6" t="inlineStr">
        <is>
          <t>Taksiciler dükkânını durağa çevirdi; çay senden, sohbet onlardan. Karşının ustası da çaya geliyor.</t>
        </is>
      </c>
      <c r="J1688" s="6" t="inlineStr">
        <is>
          <t>Arkadaşların geldi ama arabaları yeni; arıza yok. Üç gün üst üste çay içip gittiler.</t>
        </is>
      </c>
      <c r="K1688" s="6" t="inlineStr">
        <is>
          <t>Taksileri getirdiler, sen yanlış taksiye yanlış parça taktın. Kışla anısı ilk kez bir faturaya dönüştü.</t>
        </is>
      </c>
      <c r="L1688" s="6" t="inlineStr"/>
      <c r="M1688" s="5" t="inlineStr"/>
      <c r="N1688" s="5" t="inlineStr"/>
      <c r="O1688" s="6" t="inlineStr"/>
      <c r="P1688" s="6" t="inlineStr"/>
      <c r="Q1688" s="5" t="inlineStr"/>
      <c r="R1688" s="5" t="inlineStr">
        <is>
          <t>kisla-kankasi</t>
        </is>
      </c>
      <c r="S1688" s="5" t="inlineStr"/>
      <c r="T1688" s="5" t="inlineStr"/>
      <c r="U1688" s="5" t="inlineStr"/>
      <c r="V1688" s="5" t="inlineStr"/>
      <c r="W1688" s="5" t="inlineStr"/>
      <c r="X1688" s="5" t="inlineStr"/>
      <c r="Y1688" s="5" t="inlineStr"/>
      <c r="Z1688" s="6" t="inlineStr"/>
      <c r="AA1688" s="5" t="inlineStr"/>
      <c r="AB1688" s="5" t="inlineStr"/>
      <c r="AC1688" s="5" t="inlineStr"/>
      <c r="AD1688" s="5" t="inlineStr"/>
      <c r="AE1688" s="5" t="inlineStr"/>
      <c r="AF1688" s="5" t="inlineStr"/>
      <c r="AG1688" s="5" t="inlineStr"/>
      <c r="AH1688" s="5" t="inlineStr"/>
    </row>
    <row r="1689">
      <c r="A1689" s="5" t="inlineStr">
        <is>
          <t>b7-usta-karsi-dukkan</t>
        </is>
      </c>
      <c r="B1689" s="5" t="n">
        <v>4</v>
      </c>
      <c r="C1689" s="6" t="inlineStr">
        <is>
          <t>İşçiliği indir, müşteriyi geri çek</t>
        </is>
      </c>
      <c r="D1689" s="5" t="inlineStr">
        <is>
          <t>Kurnazlık</t>
        </is>
      </c>
      <c r="E1689" s="5" t="inlineStr">
        <is>
          <t>Orta</t>
        </is>
      </c>
      <c r="F1689" s="5" t="inlineStr"/>
      <c r="G1689" s="6" t="inlineStr"/>
      <c r="H1689" s="6" t="inlineStr">
        <is>
          <t>İşçiliği biraz indirdin, çayı ücretsiz yaptın. Müşteriler döndü; çayı sevdiler, işçilik zaten iyiydi.</t>
        </is>
      </c>
      <c r="I1689" s="6" t="inlineStr">
        <is>
          <t>İndirim pankartın sanayide moda oldu. Karşı dükkân da astı; seninkinden kopyalamış, yazım hatasıyla.</t>
        </is>
      </c>
      <c r="J1689" s="6" t="inlineStr">
        <is>
          <t>Fiyatları kırdın, karşı da kırdı. Ay sonunda iki dükkân da kalabalıktı; ikisi de zarardaydı.</t>
        </is>
      </c>
      <c r="K1689" s="6" t="inlineStr">
        <is>
          <t>Fiyatı öyle kırdın ki karşının ustası da arabasını sana getirdi. Tamir ettin, zarar ettin, teşekkür aldın.</t>
        </is>
      </c>
      <c r="L1689" s="6" t="inlineStr"/>
      <c r="M1689" s="5" t="inlineStr"/>
      <c r="N1689" s="5" t="inlineStr"/>
      <c r="O1689" s="6" t="inlineStr"/>
      <c r="P1689" s="6" t="inlineStr"/>
      <c r="Q1689" s="5" t="inlineStr"/>
      <c r="R1689" s="5" t="inlineStr"/>
      <c r="S1689" s="5" t="inlineStr"/>
      <c r="T1689" s="5" t="inlineStr"/>
      <c r="U1689" s="5" t="inlineStr"/>
      <c r="V1689" s="5" t="inlineStr"/>
      <c r="W1689" s="5" t="inlineStr"/>
      <c r="X1689" s="5" t="inlineStr"/>
      <c r="Y1689" s="5" t="inlineStr"/>
      <c r="Z1689" s="6" t="inlineStr"/>
      <c r="AA1689" s="5" t="inlineStr"/>
      <c r="AB1689" s="5" t="inlineStr"/>
      <c r="AC1689" s="5" t="inlineStr"/>
      <c r="AD1689" s="5" t="inlineStr"/>
      <c r="AE1689" s="5" t="inlineStr"/>
      <c r="AF1689" s="5" t="inlineStr"/>
      <c r="AG1689" s="5" t="inlineStr"/>
      <c r="AH1689" s="5" t="inlineStr"/>
    </row>
    <row r="1690">
      <c r="A1690" s="5" t="inlineStr">
        <is>
          <t>b7-usta-sanayi-hakemi</t>
        </is>
      </c>
      <c r="B1690" s="5" t="n">
        <v>1</v>
      </c>
      <c r="C1690" s="6" t="inlineStr">
        <is>
          <t>Park yerini sırayla kullanmalarını söyle</t>
        </is>
      </c>
      <c r="D1690" s="5" t="inlineStr"/>
      <c r="E1690" s="5" t="inlineStr"/>
      <c r="F1690" s="5" t="inlineStr">
        <is>
          <t>İtibar +1, Akıl +1</t>
        </is>
      </c>
      <c r="G1690" s="6" t="inlineStr">
        <is>
          <t>Tek günler kaportacı, çift günler boyacı. İkisi de kabul etti. Ayın otuz birinde yeniden küstüler.</t>
        </is>
      </c>
      <c r="H1690" s="6" t="inlineStr"/>
      <c r="I1690" s="6" t="inlineStr"/>
      <c r="J1690" s="6" t="inlineStr"/>
      <c r="K1690" s="6" t="inlineStr"/>
      <c r="L1690" s="6" t="inlineStr"/>
      <c r="M1690" s="5" t="inlineStr"/>
      <c r="N1690" s="5" t="inlineStr"/>
      <c r="O1690" s="6" t="inlineStr"/>
      <c r="P1690" s="6" t="inlineStr"/>
      <c r="Q1690" s="5" t="inlineStr"/>
      <c r="R1690" s="5" t="inlineStr"/>
      <c r="S1690" s="5" t="inlineStr"/>
      <c r="T1690" s="5" t="inlineStr"/>
      <c r="U1690" s="5" t="inlineStr"/>
      <c r="V1690" s="5" t="inlineStr"/>
      <c r="W1690" s="5" t="inlineStr"/>
      <c r="X1690" s="5" t="inlineStr"/>
      <c r="Y1690" s="5" t="inlineStr"/>
      <c r="Z1690" s="6" t="inlineStr"/>
      <c r="AA1690" s="5" t="inlineStr"/>
      <c r="AB1690" s="5" t="inlineStr"/>
      <c r="AC1690" s="5" t="inlineStr"/>
      <c r="AD1690" s="5" t="inlineStr"/>
      <c r="AE1690" s="5" t="inlineStr"/>
      <c r="AF1690" s="5" t="inlineStr"/>
      <c r="AG1690" s="5" t="inlineStr"/>
      <c r="AH1690" s="5" t="inlineStr"/>
    </row>
    <row r="1691">
      <c r="A1691" s="5" t="inlineStr">
        <is>
          <t>b7-usta-sanayi-hakemi</t>
        </is>
      </c>
      <c r="B1691" s="5" t="n">
        <v>2</v>
      </c>
      <c r="C1691" s="6" t="inlineStr">
        <is>
          <t>İkisini çay ocağında konuştur</t>
        </is>
      </c>
      <c r="D1691" s="5" t="inlineStr">
        <is>
          <t>Sosyal Radar</t>
        </is>
      </c>
      <c r="E1691" s="5" t="inlineStr">
        <is>
          <t>Orta</t>
        </is>
      </c>
      <c r="F1691" s="5" t="inlineStr"/>
      <c r="G1691" s="6" t="inlineStr"/>
      <c r="H1691" s="6" t="inlineStr">
        <is>
          <t>Üç çay, iki şeker, bir sessizlik. Sonra biri öbürünün boyasını övdü. Park kavgası “kim daha iyi boyar” kavgasına döndü; o daha keyifli.</t>
        </is>
      </c>
      <c r="I1691" s="6" t="inlineStr">
        <is>
          <t>Barıştılar, ortak dükkân açtılar: “Kaporta ve Boya.” Park yeri de artık tek.</t>
        </is>
      </c>
      <c r="J1691" s="6" t="inlineStr">
        <is>
          <t>Çay ocağında konuştular; sesleri ocaktan taştı, bütün sanayi dinledi. Sorun çözülmedi, yayıldı.</t>
        </is>
      </c>
      <c r="K1691" s="6" t="inlineStr">
        <is>
          <t>Çay döküldü, ikisi de sana küstü. Park yeri meselesi artık seni de kapsıyor.</t>
        </is>
      </c>
      <c r="L1691" s="6" t="inlineStr"/>
      <c r="M1691" s="5" t="inlineStr"/>
      <c r="N1691" s="5" t="inlineStr"/>
      <c r="O1691" s="6" t="inlineStr"/>
      <c r="P1691" s="6" t="inlineStr"/>
      <c r="Q1691" s="5" t="inlineStr"/>
      <c r="R1691" s="5" t="inlineStr"/>
      <c r="S1691" s="5" t="inlineStr"/>
      <c r="T1691" s="5" t="inlineStr"/>
      <c r="U1691" s="5" t="inlineStr"/>
      <c r="V1691" s="5" t="inlineStr">
        <is>
          <t>sanayi-hakemi</t>
        </is>
      </c>
      <c r="W1691" s="5" t="inlineStr"/>
      <c r="X1691" s="5" t="inlineStr"/>
      <c r="Y1691" s="5" t="inlineStr"/>
      <c r="Z1691" s="6" t="inlineStr"/>
      <c r="AA1691" s="5" t="inlineStr"/>
      <c r="AB1691" s="5" t="inlineStr"/>
      <c r="AC1691" s="5" t="inlineStr"/>
      <c r="AD1691" s="5" t="inlineStr"/>
      <c r="AE1691" s="5" t="inlineStr"/>
      <c r="AF1691" s="5" t="inlineStr"/>
      <c r="AG1691" s="5" t="inlineStr"/>
      <c r="AH1691" s="5" t="inlineStr"/>
    </row>
    <row r="1692">
      <c r="A1692" s="5" t="inlineStr">
        <is>
          <t>b7-usta-sanayi-hakemi</t>
        </is>
      </c>
      <c r="B1692" s="5" t="n">
        <v>3</v>
      </c>
      <c r="C1692" s="6" t="inlineStr">
        <is>
          <t>Park yerine ikinci kat yap, kendi elinle</t>
        </is>
      </c>
      <c r="D1692" s="5" t="inlineStr">
        <is>
          <t>Dayanıklılık</t>
        </is>
      </c>
      <c r="E1692" s="5" t="inlineStr">
        <is>
          <t>Zor</t>
        </is>
      </c>
      <c r="F1692" s="5" t="inlineStr"/>
      <c r="G1692" s="6" t="inlineStr"/>
      <c r="H1692" s="6" t="inlineStr">
        <is>
          <t>Hafta sonu demir kaynak, pazartesi sabahı iki katlı park yeri. Site yönetimi ne diyeceğini bilemedi; o yüzden onayladı.</t>
        </is>
      </c>
      <c r="I1692" s="6" t="inlineStr">
        <is>
          <t>Rampa öyle iyi çıktı ki bütün sanayi ikinci kat istedi. Toplantılarda adın “mühendis” diye geçiyor; diploma soran yok.</t>
        </is>
      </c>
      <c r="J1692" s="6" t="inlineStr">
        <is>
          <t>İskeleti kurdun ama rampa yetmedi. Park yerinin üstünde şimdi bir çardak var; iki usta orada çay içiyor.</t>
        </is>
      </c>
      <c r="K1692" s="6" t="inlineStr">
        <is>
          <t>Rampa ilk arabada biraz eğildi, sonra durdu. Araba havada kaldı, neyse ki boştu. Sanayide yeni bir anıt var.</t>
        </is>
      </c>
      <c r="L1692" s="6" t="inlineStr"/>
      <c r="M1692" s="5" t="inlineStr"/>
      <c r="N1692" s="5" t="inlineStr"/>
      <c r="O1692" s="6" t="inlineStr"/>
      <c r="P1692" s="6" t="inlineStr"/>
      <c r="Q1692" s="5" t="inlineStr"/>
      <c r="R1692" s="5" t="inlineStr"/>
      <c r="S1692" s="5" t="inlineStr"/>
      <c r="T1692" s="5" t="inlineStr">
        <is>
          <t>Uykusuz Operasyon</t>
        </is>
      </c>
      <c r="U1692" s="5" t="inlineStr"/>
      <c r="V1692" s="5" t="inlineStr">
        <is>
          <t>sanayi-hakemi</t>
        </is>
      </c>
      <c r="W1692" s="5" t="inlineStr"/>
      <c r="X1692" s="5" t="inlineStr"/>
      <c r="Y1692" s="5" t="inlineStr"/>
      <c r="Z1692" s="6" t="inlineStr"/>
      <c r="AA1692" s="5" t="inlineStr"/>
      <c r="AB1692" s="5" t="inlineStr"/>
      <c r="AC1692" s="5" t="inlineStr"/>
      <c r="AD1692" s="5" t="inlineStr"/>
      <c r="AE1692" s="5" t="inlineStr"/>
      <c r="AF1692" s="5" t="inlineStr"/>
      <c r="AG1692" s="5" t="inlineStr"/>
      <c r="AH1692" s="5" t="inlineStr"/>
    </row>
    <row r="1693">
      <c r="A1693" s="5" t="inlineStr">
        <is>
          <t>k10-usta</t>
        </is>
      </c>
      <c r="B1693" s="5" t="n">
        <v>1</v>
      </c>
      <c r="C1693" s="6" t="inlineStr">
        <is>
          <t>Yeni siteye taşın, büyü</t>
        </is>
      </c>
      <c r="D1693" s="5" t="inlineStr">
        <is>
          <t>Dayanıklılık</t>
        </is>
      </c>
      <c r="E1693" s="5" t="inlineStr">
        <is>
          <t>Orta</t>
        </is>
      </c>
      <c r="F1693" s="5" t="inlineStr"/>
      <c r="G1693" s="6" t="inlineStr"/>
      <c r="H1693" s="6" t="inlineStr">
        <is>
          <t>İki katlı dükkân, üç lift, iki kalfa. Eski müşterilerin gerçekten geldi; adresi sorarak.</t>
        </is>
      </c>
      <c r="I1693" s="6" t="inlineStr">
        <is>
          <t>İlk ay sitenin en kalabalık dükkânı oldun. Yönetim girişe tabela astı: “Sesinden bulan usta burada.”</t>
        </is>
      </c>
      <c r="J1693" s="6" t="inlineStr">
        <is>
          <t>Taşındın ama müşteriler eski sanayiye gitmeye devam etti; orası artık otopark. Sitenin en küçük dükkânını aldın; yine senin.</t>
        </is>
      </c>
      <c r="K1693" s="6" t="inlineStr">
        <is>
          <t>Taşınırken takımların yarısı başka bir dükkâna gitti. O dükkânın ustası senin takımlarla çalışıyor; iyi de çalışıyor.</t>
        </is>
      </c>
      <c r="L1693" s="6" t="inlineStr"/>
      <c r="M1693" s="5" t="inlineStr"/>
      <c r="N1693" s="5" t="inlineStr"/>
      <c r="O1693" s="6" t="inlineStr"/>
      <c r="P1693" s="6" t="inlineStr"/>
      <c r="Q1693" s="5" t="inlineStr"/>
      <c r="R1693" s="5" t="inlineStr"/>
      <c r="S1693" s="5" t="inlineStr"/>
      <c r="T1693" s="5" t="inlineStr"/>
      <c r="U1693" s="5" t="inlineStr"/>
      <c r="V1693" s="5" t="inlineStr">
        <is>
          <t>usta-buyudu</t>
        </is>
      </c>
      <c r="W1693" s="5" t="inlineStr"/>
      <c r="X1693" s="5" t="inlineStr"/>
      <c r="Y1693" s="5" t="inlineStr"/>
      <c r="Z1693" s="6" t="inlineStr"/>
      <c r="AA1693" s="5" t="inlineStr"/>
      <c r="AB1693" s="5" t="inlineStr"/>
      <c r="AC1693" s="5" t="inlineStr"/>
      <c r="AD1693" s="5" t="inlineStr">
        <is>
          <t>Rahat</t>
        </is>
      </c>
      <c r="AE1693" s="5" t="inlineStr"/>
      <c r="AF1693" s="5" t="inlineStr"/>
      <c r="AG1693" s="5" t="inlineStr"/>
      <c r="AH1693" s="5" t="inlineStr"/>
    </row>
    <row r="1694">
      <c r="A1694" s="5" t="inlineStr">
        <is>
          <t>k10-usta</t>
        </is>
      </c>
      <c r="B1694" s="5" t="n">
        <v>2</v>
      </c>
      <c r="C1694" s="6" t="inlineStr">
        <is>
          <t>Fabrikada usta başı ol</t>
        </is>
      </c>
      <c r="D1694" s="5" t="inlineStr">
        <is>
          <t>Akıl</t>
        </is>
      </c>
      <c r="E1694" s="5" t="inlineStr">
        <is>
          <t>Orta</t>
        </is>
      </c>
      <c r="F1694" s="5" t="inlineStr"/>
      <c r="G1694" s="6" t="inlineStr"/>
      <c r="H1694" s="6" t="inlineStr">
        <is>
          <t>Kepengi son kez indirdin. Fabrikada beyaz önlük, kartlı giriş, öğlen tabldot. Sesle arıza bulunca mühendisler not alıyor; maaş her ayın on beşinde.</t>
        </is>
      </c>
      <c r="I1694" s="6" t="inlineStr">
        <is>
          <t>Fabrikada ilk hafta üç arızayı sesinden buldun. Genel müdür seni üretim toplantısına çağırdı; toplantı da gürültülüydü.</t>
        </is>
      </c>
      <c r="J1694" s="6" t="inlineStr">
        <is>
          <t>Fabrikanın mülakatında makine yerine kâğıt sınav verdiler; motorun sesini kâğıda yazamadın. Yeni siteye taşındın, kendi tezgâhına.</t>
        </is>
      </c>
      <c r="K1694" s="6" t="inlineStr">
        <is>
          <t>İlk gün kartlı girişte kartını ters okuttun, turnike seni içeri almadı. Üç gün böyle geçti; dördüncü gün yeni sanayi sitesinde kendi kepengini açıyordun.</t>
        </is>
      </c>
      <c r="L1694" s="6" t="inlineStr"/>
      <c r="M1694" s="5" t="inlineStr"/>
      <c r="N1694" s="5" t="inlineStr"/>
      <c r="O1694" s="6" t="inlineStr"/>
      <c r="P1694" s="6" t="inlineStr"/>
      <c r="Q1694" s="5" t="inlineStr"/>
      <c r="R1694" s="5" t="inlineStr"/>
      <c r="S1694" s="5" t="inlineStr"/>
      <c r="T1694" s="5" t="inlineStr"/>
      <c r="U1694" s="5" t="inlineStr"/>
      <c r="V1694" s="5" t="inlineStr">
        <is>
          <t>-hat-cete, -hat-dolandirici, -hat-girisimci, -hat-goc, -hat-hekim, -hat-koy, -hat-polis, -hat-politika, -hat-sohret, -hat-usta, -hat-yargi, -meslek-esnaf, -meslek-memur, -meslek-serbest, meslek-beyazyaka</t>
        </is>
      </c>
      <c r="W1694" s="5" t="inlineStr"/>
      <c r="X1694" s="5" t="inlineStr"/>
      <c r="Y1694" s="5" t="inlineStr"/>
      <c r="Z1694" s="6" t="inlineStr"/>
      <c r="AA1694" s="5" t="inlineStr"/>
      <c r="AB1694" s="5" t="inlineStr"/>
      <c r="AC1694" s="5" t="inlineStr"/>
      <c r="AD1694" s="5" t="inlineStr"/>
      <c r="AE1694" s="5" t="inlineStr"/>
      <c r="AF1694" s="5" t="inlineStr"/>
      <c r="AG1694" s="5" t="inlineStr"/>
      <c r="AH1694" s="5" t="inlineStr"/>
    </row>
    <row r="1695">
      <c r="A1695" s="5" t="inlineStr">
        <is>
          <t>k10-usta</t>
        </is>
      </c>
      <c r="B1695" s="5" t="n">
        <v>3</v>
      </c>
      <c r="C1695" s="6" t="inlineStr">
        <is>
          <t>Kendi atölye markanı kur</t>
        </is>
      </c>
      <c r="D1695" s="5" t="inlineStr">
        <is>
          <t>Cesaret</t>
        </is>
      </c>
      <c r="E1695" s="5" t="inlineStr">
        <is>
          <t>Zor</t>
        </is>
      </c>
      <c r="F1695" s="5" t="inlineStr"/>
      <c r="G1695" s="6" t="inlineStr"/>
      <c r="H1695" s="6" t="inlineStr">
        <is>
          <t>Atölyene bir ad, bir logo, tulumlara işleme. Şehirde üç şubelik bir plan yaptın; ilk şube açıldı, planın ikinci sayfası bankada.</t>
        </is>
      </c>
      <c r="I1695" s="6" t="inlineStr">
        <is>
          <t>Markan tuttu: kendi filtren, kendi takım çantan, kendi tulumun. Sanayide artık seninle değil, markanla pazarlık ediyorlar.</t>
        </is>
      </c>
      <c r="J1695" s="6" t="inlineStr">
        <is>
          <t>Tabelayı yaptırdın, sonra hesabı yaptın. Tabelayı yeni sitedeki dükkânına astın; marka orada, sen yine tezgâhın başında.</t>
        </is>
      </c>
      <c r="K1695" s="6" t="inlineStr">
        <is>
          <t>Adı tescile götürdün; biri bir hafta önce almış. Tabela depoda, sen yine tezgâhtasın; kira da iki katı.</t>
        </is>
      </c>
      <c r="L1695" s="6" t="inlineStr"/>
      <c r="M1695" s="5" t="inlineStr"/>
      <c r="N1695" s="5" t="inlineStr"/>
      <c r="O1695" s="6" t="inlineStr"/>
      <c r="P1695" s="6" t="inlineStr"/>
      <c r="Q1695" s="5" t="inlineStr"/>
      <c r="R1695" s="5" t="inlineStr"/>
      <c r="S1695" s="5" t="inlineStr"/>
      <c r="T1695" s="5" t="inlineStr"/>
      <c r="U1695" s="5" t="inlineStr"/>
      <c r="V1695" s="5" t="inlineStr">
        <is>
          <t>-hat-cete, -hat-dolandirici, -hat-goc, -hat-hekim, -hat-koy, -hat-polis, -hat-politika, -hat-sohret, -hat-usta, -hat-yargi, -meslek-beyazyaka, -meslek-esnaf, -meslek-memur, hat-girisimci, meslek-serbest</t>
        </is>
      </c>
      <c r="W1695" s="5" t="inlineStr"/>
      <c r="X1695" s="5" t="inlineStr"/>
      <c r="Y1695" s="5" t="inlineStr"/>
      <c r="Z1695" s="6" t="inlineStr"/>
      <c r="AA1695" s="5" t="inlineStr"/>
      <c r="AB1695" s="5" t="inlineStr"/>
      <c r="AC1695" s="5" t="inlineStr"/>
      <c r="AD1695" s="5" t="inlineStr"/>
      <c r="AE1695" s="5" t="inlineStr"/>
      <c r="AF1695" s="5" t="inlineStr"/>
      <c r="AG1695" s="5" t="inlineStr"/>
      <c r="AH1695" s="5" t="inlineStr"/>
    </row>
    <row r="1696">
      <c r="A1696" s="5" t="inlineStr">
        <is>
          <t>b8-usta-sessiz-motor</t>
        </is>
      </c>
      <c r="B1696" s="5" t="n">
        <v>1</v>
      </c>
      <c r="C1696" s="6" t="inlineStr">
        <is>
          <t>Kalfaya bırak, kenardan izle</t>
        </is>
      </c>
      <c r="D1696" s="5" t="inlineStr"/>
      <c r="E1696" s="5" t="inlineStr"/>
      <c r="F1696" s="5" t="inlineStr">
        <is>
          <t>İtibar +1, Akıl +1</t>
        </is>
      </c>
      <c r="G1696" s="6" t="inlineStr">
        <is>
          <t>Kalfa tabletle arızayı buldu. Sen kenardan “Vidayı sağa çevir” dedin; doğruydu. Kalfa bunu kimseye söylemedi, sana da.</t>
        </is>
      </c>
      <c r="H1696" s="6" t="inlineStr"/>
      <c r="I1696" s="6" t="inlineStr"/>
      <c r="J1696" s="6" t="inlineStr"/>
      <c r="K1696" s="6" t="inlineStr"/>
      <c r="L1696" s="6" t="inlineStr"/>
      <c r="M1696" s="5" t="inlineStr"/>
      <c r="N1696" s="5" t="inlineStr"/>
      <c r="O1696" s="6" t="inlineStr"/>
      <c r="P1696" s="6" t="inlineStr"/>
      <c r="Q1696" s="5" t="inlineStr"/>
      <c r="R1696" s="5" t="inlineStr"/>
      <c r="S1696" s="5" t="inlineStr"/>
      <c r="T1696" s="5" t="inlineStr"/>
      <c r="U1696" s="5" t="inlineStr"/>
      <c r="V1696" s="5" t="inlineStr"/>
      <c r="W1696" s="5" t="inlineStr"/>
      <c r="X1696" s="5" t="inlineStr"/>
      <c r="Y1696" s="5" t="inlineStr"/>
      <c r="Z1696" s="6" t="inlineStr"/>
      <c r="AA1696" s="5" t="inlineStr"/>
      <c r="AB1696" s="5" t="inlineStr"/>
      <c r="AC1696" s="5" t="inlineStr"/>
      <c r="AD1696" s="5" t="inlineStr"/>
      <c r="AE1696" s="5" t="inlineStr"/>
      <c r="AF1696" s="5" t="inlineStr"/>
      <c r="AG1696" s="5" t="inlineStr"/>
      <c r="AH1696" s="5" t="inlineStr"/>
    </row>
    <row r="1697">
      <c r="A1697" s="5" t="inlineStr">
        <is>
          <t>b8-usta-sessiz-motor</t>
        </is>
      </c>
      <c r="B1697" s="5" t="n">
        <v>2</v>
      </c>
      <c r="C1697" s="6" t="inlineStr">
        <is>
          <t>Kursa yazıl, akşamları öğren</t>
        </is>
      </c>
      <c r="D1697" s="5" t="inlineStr">
        <is>
          <t>Akıl</t>
        </is>
      </c>
      <c r="E1697" s="5" t="inlineStr">
        <is>
          <t>Zor</t>
        </is>
      </c>
      <c r="F1697" s="5" t="inlineStr"/>
      <c r="G1697" s="6" t="inlineStr"/>
      <c r="H1697" s="6" t="inlineStr">
        <is>
          <t>Altı ay boyunca akşamları gençlerle aynı sırada oturdun. Sertifikayı dükkâna astın, gözlüğünle. Sessiz arabalar da artık seninle konuşuyor.</t>
        </is>
      </c>
      <c r="I1697" s="6" t="inlineStr">
        <is>
          <t>Hocanın cevaplayamadığı soruyu sen cevapladın: “Sessiz de olsa titrer.” Kurs seni eğitmen yaptı.</t>
        </is>
      </c>
      <c r="J1697" s="6" t="inlineStr">
        <is>
          <t>Derslerin yarısı bilgisayardaydı; şifreni unuttun. Kalan yarısını dinledin. Sertifika seneye.</t>
        </is>
      </c>
      <c r="K1697" s="6" t="inlineStr">
        <is>
          <t>Sınavda motoru dinlemek için kulağını dayadın. Gözetmen bunu kopya sandı. Yeniden kayıt: bir dönem sonra.</t>
        </is>
      </c>
      <c r="L1697" s="6" t="inlineStr"/>
      <c r="M1697" s="5" t="inlineStr"/>
      <c r="N1697" s="5" t="inlineStr"/>
      <c r="O1697" s="6" t="inlineStr"/>
      <c r="P1697" s="6" t="inlineStr"/>
      <c r="Q1697" s="5" t="inlineStr"/>
      <c r="R1697" s="5" t="inlineStr"/>
      <c r="S1697" s="5" t="inlineStr"/>
      <c r="T1697" s="5" t="inlineStr">
        <is>
          <t>Nöbet Disiplini</t>
        </is>
      </c>
      <c r="U1697" s="5" t="inlineStr"/>
      <c r="V1697" s="5" t="inlineStr">
        <is>
          <t>yeni-motor-ustasi</t>
        </is>
      </c>
      <c r="W1697" s="5" t="inlineStr"/>
      <c r="X1697" s="5" t="inlineStr"/>
      <c r="Y1697" s="5" t="inlineStr"/>
      <c r="Z1697" s="6" t="inlineStr"/>
      <c r="AA1697" s="5" t="inlineStr"/>
      <c r="AB1697" s="5" t="inlineStr"/>
      <c r="AC1697" s="5" t="inlineStr"/>
      <c r="AD1697" s="5" t="inlineStr"/>
      <c r="AE1697" s="5" t="inlineStr"/>
      <c r="AF1697" s="5" t="inlineStr"/>
      <c r="AG1697" s="5" t="inlineStr"/>
      <c r="AH1697" s="5" t="inlineStr"/>
    </row>
    <row r="1698">
      <c r="A1698" s="5" t="inlineStr">
        <is>
          <t>b8-usta-sessiz-motor</t>
        </is>
      </c>
      <c r="B1698" s="5" t="n">
        <v>3</v>
      </c>
      <c r="C1698" s="6" t="inlineStr">
        <is>
          <t>Tık sesini kendin bul</t>
        </is>
      </c>
      <c r="D1698" s="5" t="inlineStr">
        <is>
          <t>Dayanıklılık</t>
        </is>
      </c>
      <c r="E1698" s="5" t="inlineStr">
        <is>
          <t>Orta</t>
        </is>
      </c>
      <c r="F1698" s="5" t="inlineStr"/>
      <c r="G1698" s="6" t="inlineStr"/>
      <c r="H1698" s="6" t="inlineStr">
        <is>
          <t>Arabanın altında iki saat yattın. Tıkı buldun: torpidoda bir anahtarlık. Sahibi utandı, sen işçiliği yazdın.</t>
        </is>
      </c>
      <c r="I1698" s="6" t="inlineStr">
        <is>
          <t>Tıkı buldun, bir de gerçek arızayı: fren hortumu. Sahibi seni bütün elektrikli araç grubuna önerdi. Sessiz arabalar sessizce sırada.</t>
        </is>
      </c>
      <c r="J1698" s="6" t="inlineStr">
        <is>
          <t>Üç saat aradın, tık gelmedi. Sahibi arabayı aldı; kapıdan çıkarken tık etti.</t>
        </is>
      </c>
      <c r="K1698" s="6" t="inlineStr">
        <is>
          <t>Arabanın altındayken sırtın tutuldu. Arabayı sahibi, seni kalfa çıkardı. Kalfa bunu hâlâ anlatıyor.</t>
        </is>
      </c>
      <c r="L1698" s="6" t="inlineStr"/>
      <c r="M1698" s="5" t="inlineStr"/>
      <c r="N1698" s="5" t="inlineStr"/>
      <c r="O1698" s="6" t="inlineStr"/>
      <c r="P1698" s="6" t="inlineStr"/>
      <c r="Q1698" s="5" t="inlineStr"/>
      <c r="R1698" s="5" t="inlineStr"/>
      <c r="S1698" s="5" t="inlineStr"/>
      <c r="T1698" s="5" t="inlineStr"/>
      <c r="U1698" s="5" t="inlineStr"/>
      <c r="V1698" s="5" t="inlineStr"/>
      <c r="W1698" s="5" t="inlineStr"/>
      <c r="X1698" s="5" t="inlineStr"/>
      <c r="Y1698" s="5" t="inlineStr"/>
      <c r="Z1698" s="6" t="inlineStr"/>
      <c r="AA1698" s="5" t="inlineStr"/>
      <c r="AB1698" s="5" t="inlineStr"/>
      <c r="AC1698" s="5" t="inlineStr"/>
      <c r="AD1698" s="5" t="inlineStr"/>
      <c r="AE1698" s="5" t="inlineStr"/>
      <c r="AF1698" s="5" t="inlineStr"/>
      <c r="AG1698" s="5" t="inlineStr"/>
      <c r="AH1698" s="5" t="inlineStr"/>
    </row>
    <row r="1699">
      <c r="A1699" s="5" t="inlineStr">
        <is>
          <t>b8-usta-ustalarin-ustasi</t>
        </is>
      </c>
      <c r="B1699" s="5" t="n">
        <v>1</v>
      </c>
      <c r="C1699" s="6" t="inlineStr">
        <is>
          <t>Kurdeleyi kes, kısa konuş</t>
        </is>
      </c>
      <c r="D1699" s="5" t="inlineStr"/>
      <c r="E1699" s="5" t="inlineStr"/>
      <c r="F1699" s="5" t="inlineStr">
        <is>
          <t>İtibar +1, Sosyal Radar +1</t>
        </is>
      </c>
      <c r="G1699" s="6" t="inlineStr">
        <is>
          <t>Kurdeleyi kestin, “Hayırlı olsun, önce süpür” dedin. Alkış aldın. Ertesi sabah dükkânını süpürürken fotoğrafını yolladı.</t>
        </is>
      </c>
      <c r="H1699" s="6" t="inlineStr"/>
      <c r="I1699" s="6" t="inlineStr"/>
      <c r="J1699" s="6" t="inlineStr"/>
      <c r="K1699" s="6" t="inlineStr"/>
      <c r="L1699" s="6" t="inlineStr"/>
      <c r="M1699" s="5" t="inlineStr"/>
      <c r="N1699" s="5" t="inlineStr"/>
      <c r="O1699" s="6" t="inlineStr"/>
      <c r="P1699" s="6" t="inlineStr"/>
      <c r="Q1699" s="5" t="inlineStr"/>
      <c r="R1699" s="5" t="inlineStr"/>
      <c r="S1699" s="5" t="inlineStr"/>
      <c r="T1699" s="5" t="inlineStr"/>
      <c r="U1699" s="5" t="inlineStr"/>
      <c r="V1699" s="5" t="inlineStr"/>
      <c r="W1699" s="5" t="inlineStr"/>
      <c r="X1699" s="5" t="inlineStr"/>
      <c r="Y1699" s="5" t="inlineStr"/>
      <c r="Z1699" s="6" t="inlineStr"/>
      <c r="AA1699" s="5" t="inlineStr"/>
      <c r="AB1699" s="5" t="inlineStr"/>
      <c r="AC1699" s="5" t="inlineStr"/>
      <c r="AD1699" s="5" t="inlineStr"/>
      <c r="AE1699" s="5" t="inlineStr"/>
      <c r="AF1699" s="5" t="inlineStr"/>
      <c r="AG1699" s="5" t="inlineStr"/>
      <c r="AH1699" s="5" t="inlineStr"/>
    </row>
    <row r="1700">
      <c r="A1700" s="5" t="inlineStr">
        <is>
          <t>b8-usta-ustalarin-ustasi</t>
        </is>
      </c>
      <c r="B1700" s="5" t="n">
        <v>2</v>
      </c>
      <c r="C1700" s="6" t="inlineStr">
        <is>
          <t>İlk müşterinin arabasını birlikte tamir edin</t>
        </is>
      </c>
      <c r="D1700" s="5" t="inlineStr">
        <is>
          <t>Akıl</t>
        </is>
      </c>
      <c r="E1700" s="5" t="inlineStr">
        <is>
          <t>Orta</t>
        </is>
      </c>
      <c r="F1700" s="5" t="inlineStr"/>
      <c r="G1700" s="6" t="inlineStr"/>
      <c r="H1700" s="6" t="inlineStr">
        <is>
          <t>Kaputu birlikte açtınız, aynı anda “Triger” dediniz. Müşteri ikinizi de ödedi; yarısını size, yarısını kurdeleye.</t>
        </is>
      </c>
      <c r="I1700" s="6" t="inlineStr">
        <is>
          <t>Tamiri birlikte yaptınız, sanayi toplanıp izledi. Akşama bir genç geldi: “Ustanın ustası sen misin?” Çırak olmak istiyor.</t>
        </is>
      </c>
      <c r="J1700" s="6" t="inlineStr">
        <is>
          <t>Kaputu birlikte açtınız, farklı şeyler dediniz. İkiniz de haklıydınız; müşteri ikinize de kızdı.</t>
        </is>
      </c>
      <c r="K1700" s="6" t="inlineStr">
        <is>
          <t>Tamir sırasında tezgâhta kendi makasını gördün, geri istedin. Açılış bir makas pazarlığına döndü.</t>
        </is>
      </c>
      <c r="L1700" s="6" t="inlineStr"/>
      <c r="M1700" s="5" t="inlineStr"/>
      <c r="N1700" s="5" t="inlineStr"/>
      <c r="O1700" s="6" t="inlineStr"/>
      <c r="P1700" s="6" t="inlineStr"/>
      <c r="Q1700" s="5" t="inlineStr"/>
      <c r="R1700" s="5" t="inlineStr"/>
      <c r="S1700" s="5" t="inlineStr"/>
      <c r="T1700" s="5" t="inlineStr"/>
      <c r="U1700" s="5" t="inlineStr"/>
      <c r="V1700" s="5" t="inlineStr">
        <is>
          <t>ustalarin-ustasi</t>
        </is>
      </c>
      <c r="W1700" s="5" t="inlineStr"/>
      <c r="X1700" s="5" t="inlineStr"/>
      <c r="Y1700" s="5" t="inlineStr"/>
      <c r="Z1700" s="6" t="inlineStr"/>
      <c r="AA1700" s="5" t="inlineStr"/>
      <c r="AB1700" s="5" t="inlineStr"/>
      <c r="AC1700" s="5" t="inlineStr"/>
      <c r="AD1700" s="5" t="inlineStr"/>
      <c r="AE1700" s="5" t="inlineStr"/>
      <c r="AF1700" s="5" t="inlineStr"/>
      <c r="AG1700" s="5" t="inlineStr"/>
      <c r="AH1700" s="5" t="inlineStr"/>
    </row>
    <row r="1701">
      <c r="A1701" s="5" t="inlineStr">
        <is>
          <t>b8-usta-ustalarin-ustasi</t>
        </is>
      </c>
      <c r="B1701" s="5" t="n">
        <v>3</v>
      </c>
      <c r="C1701" s="6" t="inlineStr">
        <is>
          <t>Sanayide çıraklar için okul kur</t>
        </is>
      </c>
      <c r="D1701" s="5" t="inlineStr">
        <is>
          <t>Dayanıklılık</t>
        </is>
      </c>
      <c r="E1701" s="5" t="inlineStr">
        <is>
          <t>Zor</t>
        </is>
      </c>
      <c r="F1701" s="5" t="inlineStr"/>
      <c r="G1701" s="6" t="inlineStr"/>
      <c r="H1701" s="6" t="inlineStr">
        <is>
          <t>Boş bir dükkânı sınıfa çevirdin. Her cumartesi on iki çırak, bir motor, bir çaydanlık. Gençler ilk kez telefonlarını kapıda bırakıyor.</t>
        </is>
      </c>
      <c r="I1701" s="6" t="inlineStr">
        <is>
          <t>Belediye okulu tanıdı, kapıya tabela astı: “Usta Okulu.” Mezuniyette herkese anahtar takımı verdin; herkes sırasını biliyordu.</t>
        </is>
      </c>
      <c r="J1701" s="6" t="inlineStr">
        <is>
          <t>Okulu açtın, çıraklar geldi, ustalar gelmedi. Bütün dersleri sen verdin; cumartesi akşamı sesin kısıldı.</t>
        </is>
      </c>
      <c r="K1701" s="6" t="inlineStr">
        <is>
          <t>İlk derste motoru çalıştırdın; motor kendi dersini dumanla verdi. Sınıf boşaltıldı, çıraklar alkışladı.</t>
        </is>
      </c>
      <c r="L1701" s="6" t="inlineStr"/>
      <c r="M1701" s="5" t="inlineStr"/>
      <c r="N1701" s="5" t="inlineStr"/>
      <c r="O1701" s="6" t="inlineStr"/>
      <c r="P1701" s="6" t="inlineStr"/>
      <c r="Q1701" s="5" t="inlineStr"/>
      <c r="R1701" s="5" t="inlineStr"/>
      <c r="S1701" s="5" t="inlineStr"/>
      <c r="T1701" s="5" t="inlineStr">
        <is>
          <t>Referans Mektubu</t>
        </is>
      </c>
      <c r="U1701" s="5" t="inlineStr"/>
      <c r="V1701" s="5" t="inlineStr">
        <is>
          <t>ustalarin-ustasi</t>
        </is>
      </c>
      <c r="W1701" s="5" t="inlineStr"/>
      <c r="X1701" s="5" t="inlineStr"/>
      <c r="Y1701" s="5" t="inlineStr"/>
      <c r="Z1701" s="6" t="inlineStr"/>
      <c r="AA1701" s="5" t="inlineStr"/>
      <c r="AB1701" s="5" t="inlineStr"/>
      <c r="AC1701" s="5" t="inlineStr"/>
      <c r="AD1701" s="5" t="inlineStr"/>
      <c r="AE1701" s="5" t="inlineStr"/>
      <c r="AF1701" s="5" t="inlineStr"/>
      <c r="AG1701" s="5" t="inlineStr"/>
      <c r="AH1701" s="5" t="inlineStr"/>
    </row>
    <row r="1702">
      <c r="A1702" s="5" t="inlineStr">
        <is>
          <t>b9-usta-son-kepenk</t>
        </is>
      </c>
      <c r="B1702" s="5" t="n">
        <v>1</v>
      </c>
      <c r="C1702" s="6" t="inlineStr">
        <is>
          <t>Dükkânı kalfana devret, anahtarı ver</t>
        </is>
      </c>
      <c r="D1702" s="5" t="inlineStr"/>
      <c r="E1702" s="5" t="inlineStr"/>
      <c r="F1702" s="5" t="inlineStr">
        <is>
          <t>İtibar +2</t>
        </is>
      </c>
      <c r="G1702" s="6" t="inlineStr">
        <is>
          <t>Anahtarı verdin, tabelayı bıraktın. Kalfa altına küçük bir satır ekledi: “Kurucusu her salı gelir.” Her salı gidiyorsun; perşembeleri de.</t>
        </is>
      </c>
      <c r="H1702" s="6" t="inlineStr"/>
      <c r="I1702" s="6" t="inlineStr"/>
      <c r="J1702" s="6" t="inlineStr"/>
      <c r="K1702" s="6" t="inlineStr"/>
      <c r="L1702" s="6" t="inlineStr"/>
      <c r="M1702" s="5" t="inlineStr"/>
      <c r="N1702" s="5" t="inlineStr"/>
      <c r="O1702" s="6" t="inlineStr"/>
      <c r="P1702" s="6" t="inlineStr"/>
      <c r="Q1702" s="5" t="inlineStr"/>
      <c r="R1702" s="5" t="inlineStr"/>
      <c r="S1702" s="5" t="inlineStr"/>
      <c r="T1702" s="5" t="inlineStr"/>
      <c r="U1702" s="5" t="inlineStr"/>
      <c r="V1702" s="5" t="inlineStr"/>
      <c r="W1702" s="5" t="inlineStr"/>
      <c r="X1702" s="5" t="inlineStr"/>
      <c r="Y1702" s="5" t="inlineStr"/>
      <c r="Z1702" s="6" t="inlineStr"/>
      <c r="AA1702" s="5" t="inlineStr"/>
      <c r="AB1702" s="5" t="inlineStr"/>
      <c r="AC1702" s="5" t="inlineStr"/>
      <c r="AD1702" s="5" t="inlineStr"/>
      <c r="AE1702" s="5" t="inlineStr"/>
      <c r="AF1702" s="5" t="inlineStr"/>
      <c r="AG1702" s="5" t="inlineStr"/>
      <c r="AH1702" s="5" t="inlineStr"/>
    </row>
    <row r="1703">
      <c r="A1703" s="5" t="inlineStr">
        <is>
          <t>b9-usta-son-kepenk</t>
        </is>
      </c>
      <c r="B1703" s="5" t="n">
        <v>2</v>
      </c>
      <c r="C1703" s="6" t="inlineStr">
        <is>
          <t>Telefonda teşhise devam et, ücretini iste</t>
        </is>
      </c>
      <c r="D1703" s="5" t="inlineStr">
        <is>
          <t>Kurnazlık</t>
        </is>
      </c>
      <c r="E1703" s="5" t="inlineStr">
        <is>
          <t>Orta</t>
        </is>
      </c>
      <c r="F1703" s="5" t="inlineStr"/>
      <c r="G1703" s="6" t="inlineStr"/>
      <c r="H1703" s="6" t="inlineStr">
        <is>
          <t>Arama başına küçük bir ücret koydun. Arayanlar azalmadı; havale açıklamasına sesi yazıyorlar: “Tık tık vıyyy.”</t>
        </is>
      </c>
      <c r="I1703" s="6" t="inlineStr">
        <is>
          <t>Telefon hattın sanayide bir kurum oldu. Genç ustalar zor vakaları sana bağlıyor; emekli maaşından fazla kazanıyorsun, oturarak.</t>
        </is>
      </c>
      <c r="J1703" s="6" t="inlineStr">
        <is>
          <t>Ücret koydun; arayanlar kalfayı aramaya başladı. Kalfa da seni arıyor; ücretsiz.</t>
        </is>
      </c>
      <c r="K1703" s="6" t="inlineStr">
        <is>
          <t>Telefonda sesi yanlış teşhis ettin; o ses motor değil, müşterinin kendi taklidiymiş. Olay sanayide bir yıl konuşuldu.</t>
        </is>
      </c>
      <c r="L1703" s="6" t="inlineStr"/>
      <c r="M1703" s="5" t="inlineStr"/>
      <c r="N1703" s="5" t="inlineStr"/>
      <c r="O1703" s="6" t="inlineStr"/>
      <c r="P1703" s="6" t="inlineStr"/>
      <c r="Q1703" s="5" t="inlineStr"/>
      <c r="R1703" s="5" t="inlineStr"/>
      <c r="S1703" s="5" t="inlineStr"/>
      <c r="T1703" s="5" t="inlineStr"/>
      <c r="U1703" s="5" t="inlineStr"/>
      <c r="V1703" s="5" t="inlineStr"/>
      <c r="W1703" s="5" t="inlineStr"/>
      <c r="X1703" s="5" t="inlineStr"/>
      <c r="Y1703" s="5" t="inlineStr"/>
      <c r="Z1703" s="6" t="inlineStr"/>
      <c r="AA1703" s="5" t="inlineStr"/>
      <c r="AB1703" s="5" t="inlineStr"/>
      <c r="AC1703" s="5" t="inlineStr"/>
      <c r="AD1703" s="5" t="inlineStr"/>
      <c r="AE1703" s="5" t="inlineStr"/>
      <c r="AF1703" s="5" t="inlineStr"/>
      <c r="AG1703" s="5" t="inlineStr"/>
      <c r="AH1703" s="5" t="inlineStr"/>
    </row>
    <row r="1704">
      <c r="A1704" s="5" t="inlineStr">
        <is>
          <t>b9-usta-son-kepenk</t>
        </is>
      </c>
      <c r="B1704" s="5" t="n">
        <v>3</v>
      </c>
      <c r="C1704" s="6" t="inlineStr">
        <is>
          <t>Son bir motoru baştan sona kendin topla</t>
        </is>
      </c>
      <c r="D1704" s="5" t="inlineStr">
        <is>
          <t>Dayanıklılık</t>
        </is>
      </c>
      <c r="E1704" s="5" t="inlineStr">
        <is>
          <t>Zor</t>
        </is>
      </c>
      <c r="F1704" s="5" t="inlineStr"/>
      <c r="G1704" s="6" t="inlineStr"/>
      <c r="H1704" s="6" t="inlineStr">
        <is>
          <t>Otuz yıllık bir motoru kış boyu parça parça topladın. İlk marşta çalıştı. Sanayi kepenklerini açıp dinledi; kimse konuşmadı.</t>
        </is>
      </c>
      <c r="I1704" s="6" t="inlineStr">
        <is>
          <t>Motor çalıştığında eski çırakların hepsi oradaydı. Motoru sitenin girişine koydular, altına adını yazdılar; yanlışsız.</t>
        </is>
      </c>
      <c r="J1704" s="6" t="inlineStr">
        <is>
          <t>Motoru topladın, bir vida arttı. Motor çalışıyor ama vida seni rahatsız ediyor. Vidayı cebinde taşıyorsun.</t>
        </is>
      </c>
      <c r="K1704" s="6" t="inlineStr">
        <is>
          <t>Motor ilk marşta çalıştı, ikincide dükkânın sigortasını attırdı, üçüncüde bütün sitenin. Sanayi seni emekliliğe karanlıkta uğurladı.</t>
        </is>
      </c>
      <c r="L1704" s="6" t="inlineStr"/>
      <c r="M1704" s="5" t="inlineStr"/>
      <c r="N1704" s="5" t="inlineStr"/>
      <c r="O1704" s="6" t="inlineStr"/>
      <c r="P1704" s="6" t="inlineStr"/>
      <c r="Q1704" s="5" t="inlineStr"/>
      <c r="R1704" s="5" t="inlineStr"/>
      <c r="S1704" s="5" t="inlineStr"/>
      <c r="T1704" s="5" t="inlineStr"/>
      <c r="U1704" s="5" t="inlineStr"/>
      <c r="V1704" s="5" t="inlineStr">
        <is>
          <t>son-motor</t>
        </is>
      </c>
      <c r="W1704" s="5" t="inlineStr"/>
      <c r="X1704" s="5" t="inlineStr"/>
      <c r="Y1704" s="5" t="inlineStr"/>
      <c r="Z1704" s="6" t="inlineStr"/>
      <c r="AA1704" s="5" t="inlineStr"/>
      <c r="AB1704" s="5" t="inlineStr"/>
      <c r="AC1704" s="5" t="inlineStr"/>
      <c r="AD1704" s="5" t="inlineStr"/>
      <c r="AE1704" s="5" t="inlineStr"/>
      <c r="AF1704" s="5" t="inlineStr"/>
      <c r="AG1704" s="5" t="inlineStr"/>
      <c r="AH1704" s="5" t="inlineStr"/>
    </row>
    <row r="1705">
      <c r="A1705" s="5" t="inlineStr">
        <is>
          <t>b7-kiz-isteme</t>
        </is>
      </c>
      <c r="B1705" s="5" t="n">
        <v>1</v>
      </c>
      <c r="C1705" s="6" t="inlineStr">
        <is>
          <t>Tuzlu kahveyi iç, gülümse</t>
        </is>
      </c>
      <c r="D1705" s="5" t="inlineStr"/>
      <c r="E1705" s="5" t="inlineStr"/>
      <c r="F1705" s="5" t="inlineStr">
        <is>
          <t>Dayanıklılık +1, İtibar +1</t>
        </is>
      </c>
      <c r="G1705" s="6" t="inlineStr">
        <is>
          <t>Kahveyi son yudumuna kadar içtin ve gülümsedin. Kayınpederin “Bu çocuk dayanır” dedi. Dilin iki gün tuz tattı.</t>
        </is>
      </c>
      <c r="H1705" s="6" t="inlineStr"/>
      <c r="I1705" s="6" t="inlineStr"/>
      <c r="J1705" s="6" t="inlineStr"/>
      <c r="K1705" s="6" t="inlineStr"/>
      <c r="L1705" s="6" t="inlineStr"/>
      <c r="M1705" s="5" t="inlineStr"/>
      <c r="N1705" s="5" t="inlineStr"/>
      <c r="O1705" s="6" t="inlineStr"/>
      <c r="P1705" s="6" t="inlineStr"/>
      <c r="Q1705" s="5" t="inlineStr"/>
      <c r="R1705" s="5" t="inlineStr"/>
      <c r="S1705" s="5" t="inlineStr"/>
      <c r="T1705" s="5" t="inlineStr"/>
      <c r="U1705" s="5" t="inlineStr"/>
      <c r="V1705" s="5" t="inlineStr"/>
      <c r="W1705" s="5" t="inlineStr"/>
      <c r="X1705" s="5" t="inlineStr"/>
      <c r="Y1705" s="5" t="inlineStr"/>
      <c r="Z1705" s="6" t="inlineStr"/>
      <c r="AA1705" s="5" t="inlineStr"/>
      <c r="AB1705" s="5" t="inlineStr"/>
      <c r="AC1705" s="5" t="inlineStr"/>
      <c r="AD1705" s="5" t="inlineStr"/>
      <c r="AE1705" s="5" t="inlineStr"/>
      <c r="AF1705" s="5" t="inlineStr"/>
      <c r="AG1705" s="5" t="inlineStr"/>
      <c r="AH1705" s="5" t="inlineStr"/>
    </row>
    <row r="1706">
      <c r="A1706" s="5" t="inlineStr">
        <is>
          <t>b7-kiz-isteme</t>
        </is>
      </c>
      <c r="B1706" s="5" t="n">
        <v>2</v>
      </c>
      <c r="C1706" s="6" t="inlineStr">
        <is>
          <t>Kahveyi “Tam kıvamında” diye öv</t>
        </is>
      </c>
      <c r="D1706" s="5" t="inlineStr">
        <is>
          <t>Pişkinlik</t>
        </is>
      </c>
      <c r="E1706" s="5" t="inlineStr">
        <is>
          <t>Orta</t>
        </is>
      </c>
      <c r="F1706" s="5" t="inlineStr"/>
      <c r="G1706" s="6" t="inlineStr"/>
      <c r="H1706" s="6" t="inlineStr">
        <is>
          <t>“Tam kıvamında” dedin ve bir yudum daha aldın. Salon güldü, müstakbel eşin utandı, kayınvalide not aldı: “Yalan söylerken gözünü kırpmıyor.”</t>
        </is>
      </c>
      <c r="I1706" s="6" t="inlineStr">
        <is>
          <t>Kahveyi öyle övdün ki kayınvalide tarifini istedi. Tarif tek kelimeydi: tuz. İki aile ilk kez aynı anda güldü.</t>
        </is>
      </c>
      <c r="J1706" s="6" t="inlineStr">
        <is>
          <t>“Tam kıvamında” derken yüzün başka bir şey söyledi. Herkes yüzüne inandı.</t>
        </is>
      </c>
      <c r="K1706" s="6" t="inlineStr">
        <is>
          <t>Övgü sırasında kahveyi öksürerek halıya püskürttün. Halı çeyizdi.</t>
        </is>
      </c>
      <c r="L1706" s="6" t="inlineStr"/>
      <c r="M1706" s="5" t="inlineStr"/>
      <c r="N1706" s="5" t="inlineStr"/>
      <c r="O1706" s="6" t="inlineStr"/>
      <c r="P1706" s="6" t="inlineStr"/>
      <c r="Q1706" s="5" t="inlineStr"/>
      <c r="R1706" s="5" t="inlineStr"/>
      <c r="S1706" s="5" t="inlineStr"/>
      <c r="T1706" s="5" t="inlineStr"/>
      <c r="U1706" s="5" t="inlineStr"/>
      <c r="V1706" s="5" t="inlineStr"/>
      <c r="W1706" s="5" t="inlineStr"/>
      <c r="X1706" s="5" t="inlineStr"/>
      <c r="Y1706" s="5" t="inlineStr"/>
      <c r="Z1706" s="6" t="inlineStr"/>
      <c r="AA1706" s="5" t="inlineStr"/>
      <c r="AB1706" s="5" t="inlineStr"/>
      <c r="AC1706" s="5" t="inlineStr"/>
      <c r="AD1706" s="5" t="inlineStr"/>
      <c r="AE1706" s="5" t="inlineStr"/>
      <c r="AF1706" s="5" t="inlineStr"/>
      <c r="AG1706" s="5" t="inlineStr"/>
      <c r="AH1706" s="5" t="inlineStr"/>
    </row>
    <row r="1707">
      <c r="A1707" s="5" t="inlineStr">
        <is>
          <t>b7-kiz-isteme</t>
        </is>
      </c>
      <c r="B1707" s="5" t="n">
        <v>3</v>
      </c>
      <c r="C1707" s="6" t="inlineStr">
        <is>
          <t>Konuşmayı sen yap, babanı kurtar</t>
        </is>
      </c>
      <c r="D1707" s="5" t="inlineStr">
        <is>
          <t>Çene</t>
        </is>
      </c>
      <c r="E1707" s="5" t="inlineStr">
        <is>
          <t>Orta</t>
        </is>
      </c>
      <c r="F1707" s="5" t="inlineStr"/>
      <c r="G1707" s="6" t="inlineStr"/>
      <c r="H1707" s="6" t="inlineStr">
        <is>
          <t>Baban cümleye başlarken tıkandı; sen tamamladın. Geleneksel kısmı ona bıraktın, gerisini sen söyledin. “Verdik” dediler; baban “Ben de onu diyecektim” dedi.</t>
        </is>
      </c>
      <c r="I1707" s="6" t="inlineStr">
        <is>
          <t>Konuşman o kadar iyiydi ki kayınpeder söz kesmeyi hemen oracıkta yapmak istedi. Yüzükler cebindeydi; annen her ihtimale karşı getirmiş.</t>
        </is>
      </c>
      <c r="J1707" s="6" t="inlineStr">
        <is>
          <t>Konuşmaya başladın, baban da başladı; ikiniz aynı anda sustunuz. Kayınpeder “Siz bir karar verin, sonra gelin” dedi.</t>
        </is>
      </c>
      <c r="K1707" s="6" t="inlineStr">
        <is>
          <t>Heyecandan konuşmayı kendi kız isteme hikâyenmiş gibi değil, bir iş görüşmesiymiş gibi yaptın. “Beş yıl sonra kendimi…” diye başladın.</t>
        </is>
      </c>
      <c r="L1707" s="6" t="inlineStr"/>
      <c r="M1707" s="5" t="inlineStr"/>
      <c r="N1707" s="5" t="inlineStr"/>
      <c r="O1707" s="6" t="inlineStr"/>
      <c r="P1707" s="6" t="inlineStr"/>
      <c r="Q1707" s="5" t="inlineStr"/>
      <c r="R1707" s="5" t="inlineStr"/>
      <c r="S1707" s="5" t="inlineStr"/>
      <c r="T1707" s="5" t="inlineStr"/>
      <c r="U1707" s="5" t="inlineStr"/>
      <c r="V1707" s="5" t="inlineStr"/>
      <c r="W1707" s="5" t="inlineStr"/>
      <c r="X1707" s="5" t="inlineStr"/>
      <c r="Y1707" s="5" t="inlineStr"/>
      <c r="Z1707" s="6" t="inlineStr"/>
      <c r="AA1707" s="5" t="inlineStr"/>
      <c r="AB1707" s="5" t="inlineStr"/>
      <c r="AC1707" s="5" t="inlineStr"/>
      <c r="AD1707" s="5" t="inlineStr"/>
      <c r="AE1707" s="5" t="inlineStr"/>
      <c r="AF1707" s="5" t="inlineStr"/>
      <c r="AG1707" s="5" t="inlineStr"/>
      <c r="AH1707" s="5" t="inlineStr"/>
    </row>
    <row r="1708">
      <c r="A1708" s="5" t="inlineStr">
        <is>
          <t>b7-gorucu-kahve</t>
        </is>
      </c>
      <c r="B1708" s="5" t="n">
        <v>1</v>
      </c>
      <c r="C1708" s="6" t="inlineStr">
        <is>
          <t>Havadan sudan konuş</t>
        </is>
      </c>
      <c r="D1708" s="5" t="inlineStr"/>
      <c r="E1708" s="5" t="inlineStr"/>
      <c r="F1708" s="5" t="inlineStr">
        <is>
          <t>Sosyal Radar +1, İtibar +1</t>
        </is>
      </c>
      <c r="G1708" s="6" t="inlineStr">
        <is>
          <t>Hava durumundan başladınız, kira fiyatlarına geçtiniz, ikinizin de annesine güldünüz. Kahve soğudu; muhabbet soğumadı.</t>
        </is>
      </c>
      <c r="H1708" s="6" t="inlineStr"/>
      <c r="I1708" s="6" t="inlineStr"/>
      <c r="J1708" s="6" t="inlineStr"/>
      <c r="K1708" s="6" t="inlineStr"/>
      <c r="L1708" s="6" t="inlineStr"/>
      <c r="M1708" s="5" t="inlineStr"/>
      <c r="N1708" s="5" t="inlineStr"/>
      <c r="O1708" s="6" t="inlineStr"/>
      <c r="P1708" s="6" t="inlineStr"/>
      <c r="Q1708" s="5" t="inlineStr"/>
      <c r="R1708" s="5" t="inlineStr"/>
      <c r="S1708" s="5" t="inlineStr"/>
      <c r="T1708" s="5" t="inlineStr"/>
      <c r="U1708" s="5" t="inlineStr"/>
      <c r="V1708" s="5" t="inlineStr"/>
      <c r="W1708" s="5" t="inlineStr"/>
      <c r="X1708" s="5" t="inlineStr"/>
      <c r="Y1708" s="5" t="inlineStr"/>
      <c r="Z1708" s="6" t="inlineStr"/>
      <c r="AA1708" s="5" t="inlineStr"/>
      <c r="AB1708" s="5" t="inlineStr"/>
      <c r="AC1708" s="5" t="inlineStr"/>
      <c r="AD1708" s="5" t="inlineStr"/>
      <c r="AE1708" s="5" t="inlineStr"/>
      <c r="AF1708" s="5" t="inlineStr"/>
      <c r="AG1708" s="5" t="inlineStr"/>
      <c r="AH1708" s="5" t="inlineStr"/>
    </row>
    <row r="1709">
      <c r="A1709" s="5" t="inlineStr">
        <is>
          <t>b7-gorucu-kahve</t>
        </is>
      </c>
      <c r="B1709" s="5" t="n">
        <v>2</v>
      </c>
      <c r="C1709" s="6" t="inlineStr">
        <is>
          <t>Annelere el salla</t>
        </is>
      </c>
      <c r="D1709" s="5" t="inlineStr">
        <is>
          <t>Pişkinlik</t>
        </is>
      </c>
      <c r="E1709" s="5" t="inlineStr">
        <is>
          <t>Kolay</t>
        </is>
      </c>
      <c r="F1709" s="5" t="inlineStr"/>
      <c r="G1709" s="6" t="inlineStr"/>
      <c r="H1709" s="6" t="inlineStr">
        <is>
          <t>Döndün, iki anneye el salladın. Gazeteler indi, anneler kıkırdadı, karşındaki kişi ilk kez gerçekten güldü. Buz kırıldı; gazete de.</t>
        </is>
      </c>
      <c r="I1709" s="6" t="inlineStr">
        <is>
          <t>Anneleri masanıza davet ettin. Dört kişilik bir kahve oldu; ikinci buluşmayı anneler ayarladı, üçüncüyü siz.</t>
        </is>
      </c>
      <c r="J1709" s="6" t="inlineStr">
        <is>
          <t>El salladın; anneler görmezden geldi. Gazetenin arkasından “Otur yerine” fısıltısı duyuldu.</t>
        </is>
      </c>
      <c r="K1709" s="6" t="inlineStr">
        <is>
          <t>El sallarken çay bardağını devirdin; çay karşındakinin kucağına gitti. Anneler gazeteyi bıraktı, peçete getirdi, ikinci buluşmayı iptal etti.</t>
        </is>
      </c>
      <c r="L1709" s="6" t="inlineStr"/>
      <c r="M1709" s="5" t="inlineStr"/>
      <c r="N1709" s="5" t="inlineStr"/>
      <c r="O1709" s="6" t="inlineStr"/>
      <c r="P1709" s="6" t="inlineStr"/>
      <c r="Q1709" s="5" t="inlineStr"/>
      <c r="R1709" s="5" t="inlineStr"/>
      <c r="S1709" s="5" t="inlineStr"/>
      <c r="T1709" s="5" t="inlineStr"/>
      <c r="U1709" s="5" t="inlineStr"/>
      <c r="V1709" s="5" t="inlineStr"/>
      <c r="W1709" s="5" t="inlineStr"/>
      <c r="X1709" s="5" t="inlineStr"/>
      <c r="Y1709" s="5" t="inlineStr"/>
      <c r="Z1709" s="6" t="inlineStr"/>
      <c r="AA1709" s="5" t="inlineStr"/>
      <c r="AB1709" s="5" t="inlineStr"/>
      <c r="AC1709" s="5" t="inlineStr"/>
      <c r="AD1709" s="5" t="inlineStr"/>
      <c r="AE1709" s="5" t="inlineStr"/>
      <c r="AF1709" s="5" t="inlineStr"/>
      <c r="AG1709" s="5" t="inlineStr"/>
      <c r="AH1709" s="5" t="inlineStr"/>
    </row>
    <row r="1710">
      <c r="A1710" s="5" t="inlineStr">
        <is>
          <t>b7-gorucu-kahve</t>
        </is>
      </c>
      <c r="B1710" s="5" t="n">
        <v>3</v>
      </c>
      <c r="C1710" s="6" t="inlineStr">
        <is>
          <t>Dürüstçe “Ben de istemeden geldim” de</t>
        </is>
      </c>
      <c r="D1710" s="5" t="inlineStr">
        <is>
          <t>Cesaret</t>
        </is>
      </c>
      <c r="E1710" s="5" t="inlineStr">
        <is>
          <t>Orta</t>
        </is>
      </c>
      <c r="F1710" s="5" t="inlineStr"/>
      <c r="G1710" s="6" t="inlineStr"/>
      <c r="H1710" s="6" t="inlineStr">
        <is>
          <t>“Ben de” dedi. İkiniz de istemeden gelmişsiniz; ikiniz de şimdi istemeden kalmak istiyorsunuz.</t>
        </is>
      </c>
      <c r="I1710" s="6" t="inlineStr">
        <is>
          <t>Dürüstlüğün öyle iyi geldi ki sohbet üç saat sürdü. Anneler sıkılıp eve gitti; siz fark etmediniz.</t>
        </is>
      </c>
      <c r="J1710" s="6" t="inlineStr">
        <is>
          <t>“Ben istemeden gelmedim” dedi. Kahvenin geri kalanı çok uzun sürdü.</t>
        </is>
      </c>
      <c r="K1710" s="6" t="inlineStr">
        <is>
          <t>Cümleyi söylediğin an iki anne aynı anda arkanda belirdi. Gazete ellerindeydi; düz tutuyorlardı.</t>
        </is>
      </c>
      <c r="L1710" s="6" t="inlineStr"/>
      <c r="M1710" s="5" t="inlineStr"/>
      <c r="N1710" s="5" t="inlineStr"/>
      <c r="O1710" s="6" t="inlineStr"/>
      <c r="P1710" s="6" t="inlineStr"/>
      <c r="Q1710" s="5" t="inlineStr"/>
      <c r="R1710" s="5" t="inlineStr"/>
      <c r="S1710" s="5" t="inlineStr"/>
      <c r="T1710" s="5" t="inlineStr"/>
      <c r="U1710" s="5" t="inlineStr"/>
      <c r="V1710" s="5" t="inlineStr"/>
      <c r="W1710" s="5" t="inlineStr"/>
      <c r="X1710" s="5" t="inlineStr"/>
      <c r="Y1710" s="5" t="inlineStr"/>
      <c r="Z1710" s="6" t="inlineStr"/>
      <c r="AA1710" s="5" t="inlineStr"/>
      <c r="AB1710" s="5" t="inlineStr"/>
      <c r="AC1710" s="5" t="inlineStr"/>
      <c r="AD1710" s="5" t="inlineStr"/>
      <c r="AE1710" s="5" t="inlineStr"/>
      <c r="AF1710" s="5" t="inlineStr"/>
      <c r="AG1710" s="5" t="inlineStr"/>
      <c r="AH1710" s="5" t="inlineStr"/>
    </row>
    <row r="1711">
      <c r="A1711" s="5" t="inlineStr">
        <is>
          <t>b7-capkin-rezervasyon</t>
        </is>
      </c>
      <c r="B1711" s="5" t="n">
        <v>1</v>
      </c>
      <c r="C1711" s="6" t="inlineStr">
        <is>
          <t>Hepsine dürüst ol, tek tek bitir</t>
        </is>
      </c>
      <c r="D1711" s="5" t="inlineStr"/>
      <c r="E1711" s="5" t="inlineStr"/>
      <c r="F1711" s="5" t="inlineStr">
        <is>
          <t>İtibar +2</t>
        </is>
      </c>
      <c r="G1711" s="6" t="inlineStr">
        <is>
          <t>Üç ayrı kahve, üç ayrı veda. İkisi rahatladı, biri tebrik etti. Garson sana ücretsiz tatlı getirdi: “Bu kahramanlık.”</t>
        </is>
      </c>
      <c r="H1711" s="6" t="inlineStr"/>
      <c r="I1711" s="6" t="inlineStr"/>
      <c r="J1711" s="6" t="inlineStr"/>
      <c r="K1711" s="6" t="inlineStr"/>
      <c r="L1711" s="6" t="inlineStr"/>
      <c r="M1711" s="5" t="inlineStr"/>
      <c r="N1711" s="5" t="inlineStr"/>
      <c r="O1711" s="6" t="inlineStr"/>
      <c r="P1711" s="6" t="inlineStr"/>
      <c r="Q1711" s="5" t="inlineStr"/>
      <c r="R1711" s="5" t="inlineStr"/>
      <c r="S1711" s="5" t="inlineStr"/>
      <c r="T1711" s="5" t="inlineStr"/>
      <c r="U1711" s="5" t="inlineStr">
        <is>
          <t>-capkin, bekar</t>
        </is>
      </c>
      <c r="V1711" s="5" t="inlineStr"/>
      <c r="W1711" s="5" t="inlineStr"/>
      <c r="X1711" s="5" t="inlineStr"/>
      <c r="Y1711" s="5" t="inlineStr"/>
      <c r="Z1711" s="6" t="inlineStr"/>
      <c r="AA1711" s="5" t="inlineStr"/>
      <c r="AB1711" s="5" t="inlineStr"/>
      <c r="AC1711" s="5" t="inlineStr"/>
      <c r="AD1711" s="5" t="inlineStr"/>
      <c r="AE1711" s="5" t="inlineStr"/>
      <c r="AF1711" s="5" t="inlineStr"/>
      <c r="AG1711" s="5" t="inlineStr"/>
      <c r="AH1711" s="5" t="inlineStr"/>
    </row>
    <row r="1712">
      <c r="A1712" s="5" t="inlineStr">
        <is>
          <t>b7-capkin-rezervasyon</t>
        </is>
      </c>
      <c r="B1712" s="5" t="n">
        <v>2</v>
      </c>
      <c r="C1712" s="6" t="inlineStr">
        <is>
          <t>Masayı çabucak değiştir</t>
        </is>
      </c>
      <c r="D1712" s="5" t="inlineStr">
        <is>
          <t>Kurnazlık</t>
        </is>
      </c>
      <c r="E1712" s="5" t="inlineStr">
        <is>
          <t>Zor</t>
        </is>
      </c>
      <c r="F1712" s="5" t="inlineStr"/>
      <c r="G1712" s="6" t="inlineStr"/>
      <c r="H1712" s="6" t="inlineStr">
        <is>
          <t>Garsonla göz göze geldiniz; masa iki saniyede değişti, mum yeniden yandı, menü yeniden geldi. Kimse bir şey anlamadı; garson bahşişi anladı.</t>
        </is>
      </c>
      <c r="I1712" s="6" t="inlineStr">
        <is>
          <t>Öyle ustaca geçtin ki ikinci akşamın kişisi de aynı restorana başkasıyla gelmişti; iki masa arasında iki saat idare ettin.</t>
        </is>
      </c>
      <c r="J1712" s="6" t="inlineStr">
        <is>
          <t>Masa değişti ama ceket eski masada kaldı. Ceketin cebinde bir fatura var; faturada iki tatlı yazıyor.</t>
        </is>
      </c>
      <c r="K1712" s="6" t="inlineStr">
        <is>
          <t>Masayı değiştirirken iki masadaki kişiler tanıştı. Şimdi arkadaşlar; tek ortak konuları sen.</t>
        </is>
      </c>
      <c r="L1712" s="6" t="inlineStr"/>
      <c r="M1712" s="5" t="inlineStr"/>
      <c r="N1712" s="5" t="inlineStr"/>
      <c r="O1712" s="6" t="inlineStr"/>
      <c r="P1712" s="6" t="inlineStr"/>
      <c r="Q1712" s="5" t="inlineStr"/>
      <c r="R1712" s="5" t="inlineStr"/>
      <c r="S1712" s="5" t="inlineStr"/>
      <c r="T1712" s="5" t="inlineStr"/>
      <c r="U1712" s="5" t="inlineStr"/>
      <c r="V1712" s="5" t="inlineStr"/>
      <c r="W1712" s="5" t="inlineStr">
        <is>
          <t>capkin-ifsa</t>
        </is>
      </c>
      <c r="X1712" s="5" t="inlineStr"/>
      <c r="Y1712" s="5" t="inlineStr"/>
      <c r="Z1712" s="6" t="inlineStr"/>
      <c r="AA1712" s="5" t="inlineStr"/>
      <c r="AB1712" s="5" t="inlineStr"/>
      <c r="AC1712" s="5" t="inlineStr"/>
      <c r="AD1712" s="5" t="inlineStr"/>
      <c r="AE1712" s="5" t="inlineStr"/>
      <c r="AF1712" s="5" t="inlineStr"/>
      <c r="AG1712" s="5" t="inlineStr"/>
      <c r="AH1712" s="5" t="inlineStr"/>
    </row>
    <row r="1713">
      <c r="A1713" s="5" t="inlineStr">
        <is>
          <t>b7-capkin-rezervasyon</t>
        </is>
      </c>
      <c r="B1713" s="5" t="n">
        <v>3</v>
      </c>
      <c r="C1713" s="6" t="inlineStr">
        <is>
          <t>Erken geleni bara al, oyala</t>
        </is>
      </c>
      <c r="D1713" s="5" t="inlineStr">
        <is>
          <t>Çene</t>
        </is>
      </c>
      <c r="E1713" s="5" t="inlineStr">
        <is>
          <t>Orta</t>
        </is>
      </c>
      <c r="F1713" s="5" t="inlineStr"/>
      <c r="G1713" s="6" t="inlineStr"/>
      <c r="H1713" s="6" t="inlineStr">
        <is>
          <t>Barda on dakika hava durumundan konuştun, sonra diğer masayı nazikçe bitirdin. Akşam tek kişilik devam etti; hesabı ikiye böldünüz.</t>
        </is>
      </c>
      <c r="I1713" s="6" t="inlineStr">
        <is>
          <t>Sohbet öyle iyi gitti ki diğer masaya gitmeyi unuttun. Belki de aradığın buymuş.</t>
        </is>
      </c>
      <c r="J1713" s="6" t="inlineStr">
        <is>
          <t>Barda konuşurken diğer masadaki kişi seni gördü ve sana el salladı. Sen de salladın; alışkanlık.</t>
        </is>
      </c>
      <c r="K1713" s="6" t="inlineStr">
        <is>
          <t>Bardaki kişi, diğer masadakinin kuzeni çıktı. Aile grubunda bir fotoğraf dolaşıyor; iyi çıkmışsın.</t>
        </is>
      </c>
      <c r="L1713" s="6" t="inlineStr"/>
      <c r="M1713" s="5" t="inlineStr"/>
      <c r="N1713" s="5" t="inlineStr"/>
      <c r="O1713" s="6" t="inlineStr"/>
      <c r="P1713" s="6" t="inlineStr"/>
      <c r="Q1713" s="5" t="inlineStr"/>
      <c r="R1713" s="5" t="inlineStr"/>
      <c r="S1713" s="5" t="inlineStr"/>
      <c r="T1713" s="5" t="inlineStr"/>
      <c r="U1713" s="5" t="inlineStr"/>
      <c r="V1713" s="5" t="inlineStr"/>
      <c r="W1713" s="5" t="inlineStr">
        <is>
          <t>capkin-ifsa</t>
        </is>
      </c>
      <c r="X1713" s="5" t="inlineStr"/>
      <c r="Y1713" s="5" t="inlineStr"/>
      <c r="Z1713" s="6" t="inlineStr"/>
      <c r="AA1713" s="5" t="inlineStr"/>
      <c r="AB1713" s="5" t="inlineStr"/>
      <c r="AC1713" s="5" t="inlineStr"/>
      <c r="AD1713" s="5" t="inlineStr"/>
      <c r="AE1713" s="5" t="inlineStr"/>
      <c r="AF1713" s="5" t="inlineStr"/>
      <c r="AG1713" s="5" t="inlineStr"/>
      <c r="AH1713" s="5" t="inlineStr"/>
    </row>
    <row r="1714">
      <c r="A1714" s="5" t="inlineStr">
        <is>
          <t>b8-capkin-orta-yas</t>
        </is>
      </c>
      <c r="B1714" s="5" t="n">
        <v>1</v>
      </c>
      <c r="C1714" s="6" t="inlineStr">
        <is>
          <t>Hesabı öde, kalk, eve git</t>
        </is>
      </c>
      <c r="D1714" s="5" t="inlineStr"/>
      <c r="E1714" s="5" t="inlineStr"/>
      <c r="F1714" s="5" t="inlineStr">
        <is>
          <t>İtibar +1, Dayanıklılık +1</t>
        </is>
      </c>
      <c r="G1714" s="6" t="inlineStr">
        <is>
          <t>Kalktın, hesabı ödedin, eve yürüdün. Yolda ilk kez bir restoranın önünden içeri bakmadan geçtin.</t>
        </is>
      </c>
      <c r="H1714" s="6" t="inlineStr"/>
      <c r="I1714" s="6" t="inlineStr"/>
      <c r="J1714" s="6" t="inlineStr"/>
      <c r="K1714" s="6" t="inlineStr"/>
      <c r="L1714" s="6" t="inlineStr"/>
      <c r="M1714" s="5" t="inlineStr"/>
      <c r="N1714" s="5" t="inlineStr"/>
      <c r="O1714" s="6" t="inlineStr"/>
      <c r="P1714" s="6" t="inlineStr"/>
      <c r="Q1714" s="5" t="inlineStr"/>
      <c r="R1714" s="5" t="inlineStr"/>
      <c r="S1714" s="5" t="inlineStr"/>
      <c r="T1714" s="5" t="inlineStr"/>
      <c r="U1714" s="5" t="inlineStr"/>
      <c r="V1714" s="5" t="inlineStr"/>
      <c r="W1714" s="5" t="inlineStr"/>
      <c r="X1714" s="5" t="inlineStr"/>
      <c r="Y1714" s="5" t="inlineStr"/>
      <c r="Z1714" s="6" t="inlineStr"/>
      <c r="AA1714" s="5" t="inlineStr"/>
      <c r="AB1714" s="5" t="inlineStr"/>
      <c r="AC1714" s="5" t="inlineStr"/>
      <c r="AD1714" s="5" t="inlineStr"/>
      <c r="AE1714" s="5" t="inlineStr"/>
      <c r="AF1714" s="5" t="inlineStr"/>
      <c r="AG1714" s="5" t="inlineStr"/>
      <c r="AH1714" s="5" t="inlineStr"/>
    </row>
    <row r="1715">
      <c r="A1715" s="5" t="inlineStr">
        <is>
          <t>b8-capkin-orta-yas</t>
        </is>
      </c>
      <c r="B1715" s="5" t="n">
        <v>2</v>
      </c>
      <c r="C1715" s="6" t="inlineStr">
        <is>
          <t>Durulmayı dene: tek birine teklif et</t>
        </is>
      </c>
      <c r="D1715" s="5" t="inlineStr">
        <is>
          <t>Cesaret</t>
        </is>
      </c>
      <c r="E1715" s="5" t="inlineStr">
        <is>
          <t>Zor</t>
        </is>
      </c>
      <c r="F1715" s="5" t="inlineStr"/>
      <c r="G1715" s="6" t="inlineStr"/>
      <c r="H1715" s="6" t="inlineStr">
        <is>
          <t>Kırk dört yaşında ilk kez tek birine “Gel, bir ömür deneyelim” dedin. “Nihayet” dedi; bekliyormuş.</t>
        </is>
      </c>
      <c r="I1715" s="6" t="inlineStr">
        <is>
          <t>Teklifin öyle samimiydi ki düğüne eski buluşmalarının yarısı geldi. Takı sırasında kimse kimseye bakamadı; herkes güldü.</t>
        </is>
      </c>
      <c r="J1715" s="6" t="inlineStr">
        <is>
          <t>Teklif ettin; “Seni tanıyorum” dedi. Bu cümle hem bir cevap hem bir özetti.</t>
        </is>
      </c>
      <c r="K1715" s="6" t="inlineStr">
        <is>
          <t>Teklif ettiğin kişi, masanın yanından geçen eski bir buluşmanın ta kendisiydi; bir başkasına teklif ettiğini duydu.</t>
        </is>
      </c>
      <c r="L1715" s="6" t="inlineStr"/>
      <c r="M1715" s="5" t="inlineStr"/>
      <c r="N1715" s="5" t="inlineStr"/>
      <c r="O1715" s="6" t="inlineStr"/>
      <c r="P1715" s="6" t="inlineStr"/>
      <c r="Q1715" s="5" t="inlineStr"/>
      <c r="R1715" s="5" t="inlineStr"/>
      <c r="S1715" s="5" t="inlineStr"/>
      <c r="T1715" s="5" t="inlineStr"/>
      <c r="U1715" s="5" t="inlineStr"/>
      <c r="V1715" s="5" t="inlineStr">
        <is>
          <t>evli, -capkin</t>
        </is>
      </c>
      <c r="W1715" s="5" t="inlineStr"/>
      <c r="X1715" s="5" t="inlineStr"/>
      <c r="Y1715" s="5" t="inlineStr"/>
      <c r="Z1715" s="6" t="inlineStr"/>
      <c r="AA1715" s="5" t="inlineStr"/>
      <c r="AB1715" s="5" t="inlineStr"/>
      <c r="AC1715" s="5" t="inlineStr"/>
      <c r="AD1715" s="5" t="inlineStr"/>
      <c r="AE1715" s="5" t="inlineStr"/>
      <c r="AF1715" s="5" t="inlineStr"/>
      <c r="AG1715" s="5" t="inlineStr"/>
      <c r="AH1715" s="5" t="inlineStr"/>
    </row>
    <row r="1716">
      <c r="A1716" s="5" t="inlineStr">
        <is>
          <t>b8-capkin-orta-yas</t>
        </is>
      </c>
      <c r="B1716" s="5" t="n">
        <v>3</v>
      </c>
      <c r="C1716" s="6" t="inlineStr">
        <is>
          <t>Genç garsona usta dersi ver</t>
        </is>
      </c>
      <c r="D1716" s="5" t="inlineStr">
        <is>
          <t>Pişkinlik</t>
        </is>
      </c>
      <c r="E1716" s="5" t="inlineStr">
        <is>
          <t>Orta</t>
        </is>
      </c>
      <c r="F1716" s="5" t="inlineStr"/>
      <c r="G1716" s="6" t="inlineStr"/>
      <c r="H1716" s="6" t="inlineStr">
        <is>
          <t>Garsona masa değiştirmenin inceliklerini anlattın. Not aldı. Bir efsane böyle devrediliyor.</t>
        </is>
      </c>
      <c r="I1716" s="6" t="inlineStr">
        <is>
          <t>Garson o kadar etkilendi ki restoran masanın üstüne küçük bir plaket astı. Adın yok; tarih var.</t>
        </is>
      </c>
      <c r="J1716" s="6" t="inlineStr">
        <is>
          <t>Garson seni dinledi, sonra “Abi, sizin zamanınızda kolaymış” dedi. Kırk dört yaşın o cümlede.</t>
        </is>
      </c>
      <c r="K1716" s="6" t="inlineStr">
        <is>
          <t>Ders verirken arkadan eski bir buluşman selam verdi. Garson dersin uygulamasını canlı izledi.</t>
        </is>
      </c>
      <c r="L1716" s="6" t="inlineStr"/>
      <c r="M1716" s="5" t="inlineStr"/>
      <c r="N1716" s="5" t="inlineStr"/>
      <c r="O1716" s="6" t="inlineStr"/>
      <c r="P1716" s="6" t="inlineStr"/>
      <c r="Q1716" s="5" t="inlineStr"/>
      <c r="R1716" s="5" t="inlineStr"/>
      <c r="S1716" s="5" t="inlineStr"/>
      <c r="T1716" s="5" t="inlineStr"/>
      <c r="U1716" s="5" t="inlineStr"/>
      <c r="V1716" s="5" t="inlineStr"/>
      <c r="W1716" s="5" t="inlineStr"/>
      <c r="X1716" s="5" t="inlineStr"/>
      <c r="Y1716" s="5" t="inlineStr"/>
      <c r="Z1716" s="6" t="inlineStr"/>
      <c r="AA1716" s="5" t="inlineStr"/>
      <c r="AB1716" s="5" t="inlineStr"/>
      <c r="AC1716" s="5" t="inlineStr"/>
      <c r="AD1716" s="5" t="inlineStr"/>
      <c r="AE1716" s="5" t="inlineStr"/>
      <c r="AF1716" s="5" t="inlineStr"/>
      <c r="AG1716" s="5" t="inlineStr"/>
      <c r="AH1716" s="5" t="inlineStr"/>
    </row>
    <row r="1717">
      <c r="A1717" s="5" t="inlineStr">
        <is>
          <t>b7-evin-oglu</t>
        </is>
      </c>
      <c r="B1717" s="5" t="n">
        <v>1</v>
      </c>
      <c r="C1717" s="6" t="inlineStr">
        <is>
          <t>Durumu kabullen, annenin sofrasına otur</t>
        </is>
      </c>
      <c r="D1717" s="5" t="inlineStr"/>
      <c r="E1717" s="5" t="inlineStr"/>
      <c r="F1717" s="5" t="inlineStr">
        <is>
          <t>İtibar +1, Dayanıklılık +1</t>
        </is>
      </c>
      <c r="G1717" s="6" t="inlineStr">
        <is>
          <t>Sofraya oturdun. Annen sana hâlâ “Üşüme” diyor; kırk derecede. Ev sıcak, yemek sıcak, soru yok. Soru sadece bayramlarda.</t>
        </is>
      </c>
      <c r="H1717" s="6" t="inlineStr"/>
      <c r="I1717" s="6" t="inlineStr"/>
      <c r="J1717" s="6" t="inlineStr"/>
      <c r="K1717" s="6" t="inlineStr"/>
      <c r="L1717" s="6" t="inlineStr"/>
      <c r="M1717" s="5" t="inlineStr"/>
      <c r="N1717" s="5" t="inlineStr"/>
      <c r="O1717" s="6" t="inlineStr"/>
      <c r="P1717" s="6" t="inlineStr"/>
      <c r="Q1717" s="5" t="inlineStr"/>
      <c r="R1717" s="5" t="inlineStr"/>
      <c r="S1717" s="5" t="inlineStr"/>
      <c r="T1717" s="5" t="inlineStr"/>
      <c r="U1717" s="5" t="inlineStr">
        <is>
          <t>evin-oglu</t>
        </is>
      </c>
      <c r="V1717" s="5" t="inlineStr"/>
      <c r="W1717" s="5" t="inlineStr"/>
      <c r="X1717" s="5" t="inlineStr"/>
      <c r="Y1717" s="5" t="inlineStr"/>
      <c r="Z1717" s="6" t="inlineStr"/>
      <c r="AA1717" s="5" t="inlineStr"/>
      <c r="AB1717" s="5" t="inlineStr"/>
      <c r="AC1717" s="5" t="inlineStr"/>
      <c r="AD1717" s="5" t="inlineStr"/>
      <c r="AE1717" s="5" t="inlineStr"/>
      <c r="AF1717" s="5" t="inlineStr"/>
      <c r="AG1717" s="5" t="inlineStr"/>
      <c r="AH1717" s="5" t="inlineStr"/>
    </row>
    <row r="1718">
      <c r="A1718" s="5" t="inlineStr">
        <is>
          <t>b7-evin-oglu</t>
        </is>
      </c>
      <c r="B1718" s="5" t="n">
        <v>2</v>
      </c>
      <c r="C1718" s="6" t="inlineStr">
        <is>
          <t>Annenle yetişkin sözleşmesi yap</t>
        </is>
      </c>
      <c r="D1718" s="5" t="inlineStr">
        <is>
          <t>Çene</t>
        </is>
      </c>
      <c r="E1718" s="5" t="inlineStr">
        <is>
          <t>Orta</t>
        </is>
      </c>
      <c r="F1718" s="5" t="inlineStr"/>
      <c r="G1718" s="6" t="inlineStr"/>
      <c r="H1718" s="6" t="inlineStr">
        <is>
          <t>Mutfak masasında bir sözleşme imzaladınız: çamaşır senin, yemek onun, soru saat dokuzdan sonra yok. Annen sözleşmeyi buzdolabına astı.</t>
        </is>
      </c>
      <c r="I1718" s="6" t="inlineStr">
        <is>
          <t>Sözleşme öyle adil oldu ki baban da imzalamak istedi. Evde ilk kez kimse kimseye “Nereye?” demiyor.</t>
        </is>
      </c>
      <c r="J1718" s="6" t="inlineStr">
        <is>
          <t>Sözleşmeyi okudu, “Güzel yazmışsın” dedi ve çekmeceye koydu. Çekmecede senin ilkokul karnen de var.</t>
        </is>
      </c>
      <c r="K1718" s="6" t="inlineStr">
        <is>
          <t>Sözleşmenin ilk maddesini okurken annen ağlamaya başladı. Sözleşme yırtıldı, sen de odana gittin.</t>
        </is>
      </c>
      <c r="L1718" s="6" t="inlineStr"/>
      <c r="M1718" s="5" t="inlineStr"/>
      <c r="N1718" s="5" t="inlineStr"/>
      <c r="O1718" s="6" t="inlineStr"/>
      <c r="P1718" s="6" t="inlineStr"/>
      <c r="Q1718" s="5" t="inlineStr"/>
      <c r="R1718" s="5" t="inlineStr"/>
      <c r="S1718" s="5" t="inlineStr"/>
      <c r="T1718" s="5" t="inlineStr"/>
      <c r="U1718" s="5" t="inlineStr">
        <is>
          <t>evin-oglu</t>
        </is>
      </c>
      <c r="V1718" s="5" t="inlineStr"/>
      <c r="W1718" s="5" t="inlineStr"/>
      <c r="X1718" s="5" t="inlineStr"/>
      <c r="Y1718" s="5" t="inlineStr"/>
      <c r="Z1718" s="6" t="inlineStr"/>
      <c r="AA1718" s="5" t="inlineStr"/>
      <c r="AB1718" s="5" t="inlineStr"/>
      <c r="AC1718" s="5" t="inlineStr"/>
      <c r="AD1718" s="5" t="inlineStr"/>
      <c r="AE1718" s="5" t="inlineStr"/>
      <c r="AF1718" s="5" t="inlineStr"/>
      <c r="AG1718" s="5" t="inlineStr"/>
      <c r="AH1718" s="5" t="inlineStr"/>
    </row>
    <row r="1719">
      <c r="A1719" s="5" t="inlineStr">
        <is>
          <t>b7-evin-oglu</t>
        </is>
      </c>
      <c r="B1719" s="5" t="n">
        <v>3</v>
      </c>
      <c r="C1719" s="6" t="inlineStr">
        <is>
          <t>Sonunda kendi evine taşın</t>
        </is>
      </c>
      <c r="D1719" s="5" t="inlineStr">
        <is>
          <t>Cesaret</t>
        </is>
      </c>
      <c r="E1719" s="5" t="inlineStr">
        <is>
          <t>Zor</t>
        </is>
      </c>
      <c r="F1719" s="5" t="inlineStr"/>
      <c r="G1719" s="6" t="inlineStr"/>
      <c r="H1719" s="6" t="inlineStr">
        <is>
          <t>Otuz beşinde kendi anahtarın var. Annen ilk hafta her gün yemek getirdi, ikinci hafta gün aşırı. Üçüncü hafta kendi yemeğini yaptın; yandı ama senindi.</t>
        </is>
      </c>
      <c r="I1719" s="6" t="inlineStr">
        <is>
          <t>Taşındığın ev annenin evine tam iki sokak uzak. Uzaklık tam kıvamında: yemek sıcak gelir, soru soğuk.</t>
        </is>
      </c>
      <c r="J1719" s="6" t="inlineStr">
        <is>
          <t>Ev baktın, kira baktın, annene baktın. Annen “Neyin eksik?” dedi. Cevap veremedin; kaldın.</t>
        </is>
      </c>
      <c r="K1719" s="6" t="inlineStr">
        <is>
          <t>Taşındın, ilk gece su borusu patladı. Annenin evine döndün; odan hâlâ hazırdı, sanki biliyormuş.</t>
        </is>
      </c>
      <c r="L1719" s="6" t="inlineStr"/>
      <c r="M1719" s="5" t="inlineStr"/>
      <c r="N1719" s="5" t="inlineStr"/>
      <c r="O1719" s="6" t="inlineStr"/>
      <c r="P1719" s="6" t="inlineStr"/>
      <c r="Q1719" s="5" t="inlineStr"/>
      <c r="R1719" s="5" t="inlineStr"/>
      <c r="S1719" s="5" t="inlineStr"/>
      <c r="T1719" s="5" t="inlineStr"/>
      <c r="U1719" s="5" t="inlineStr"/>
      <c r="V1719" s="5" t="inlineStr">
        <is>
          <t>kiraci, -evde-kaldi</t>
        </is>
      </c>
      <c r="W1719" s="5" t="inlineStr"/>
      <c r="X1719" s="5" t="inlineStr"/>
      <c r="Y1719" s="5" t="inlineStr"/>
      <c r="Z1719" s="6" t="inlineStr"/>
      <c r="AA1719" s="5" t="inlineStr"/>
      <c r="AB1719" s="5" t="inlineStr">
        <is>
          <t>evin-oglu</t>
        </is>
      </c>
      <c r="AC1719" s="5" t="inlineStr"/>
      <c r="AD1719" s="5" t="inlineStr"/>
      <c r="AE1719" s="5" t="inlineStr"/>
      <c r="AF1719" s="5" t="inlineStr"/>
      <c r="AG1719" s="5" t="inlineStr"/>
      <c r="AH1719" s="5" t="inlineStr"/>
    </row>
    <row r="1720">
      <c r="A1720" s="5" t="inlineStr">
        <is>
          <t>b8-evin-oglu-orta</t>
        </is>
      </c>
      <c r="B1720" s="5" t="n">
        <v>1</v>
      </c>
      <c r="C1720" s="6" t="inlineStr">
        <is>
          <t>Takvime uy</t>
        </is>
      </c>
      <c r="D1720" s="5" t="inlineStr"/>
      <c r="E1720" s="5" t="inlineStr"/>
      <c r="F1720" s="5" t="inlineStr">
        <is>
          <t>İtibar +2</t>
        </is>
      </c>
      <c r="G1720" s="6" t="inlineStr">
        <is>
          <t>Pazartesi mercimek, salı fasulye. Hayatının en düzenli yılları annenin tencere takviminde geçiyor. Kimse itiraz edemiyor; tencereye itiraz edilmez.</t>
        </is>
      </c>
      <c r="H1720" s="6" t="inlineStr"/>
      <c r="I1720" s="6" t="inlineStr"/>
      <c r="J1720" s="6" t="inlineStr"/>
      <c r="K1720" s="6" t="inlineStr"/>
      <c r="L1720" s="6" t="inlineStr"/>
      <c r="M1720" s="5" t="inlineStr"/>
      <c r="N1720" s="5" t="inlineStr"/>
      <c r="O1720" s="6" t="inlineStr"/>
      <c r="P1720" s="6" t="inlineStr"/>
      <c r="Q1720" s="5" t="inlineStr"/>
      <c r="R1720" s="5" t="inlineStr"/>
      <c r="S1720" s="5" t="inlineStr"/>
      <c r="T1720" s="5" t="inlineStr"/>
      <c r="U1720" s="5" t="inlineStr"/>
      <c r="V1720" s="5" t="inlineStr"/>
      <c r="W1720" s="5" t="inlineStr"/>
      <c r="X1720" s="5" t="inlineStr"/>
      <c r="Y1720" s="5" t="inlineStr"/>
      <c r="Z1720" s="6" t="inlineStr"/>
      <c r="AA1720" s="5" t="inlineStr"/>
      <c r="AB1720" s="5" t="inlineStr"/>
      <c r="AC1720" s="5" t="inlineStr"/>
      <c r="AD1720" s="5" t="inlineStr"/>
      <c r="AE1720" s="5" t="inlineStr"/>
      <c r="AF1720" s="5" t="inlineStr"/>
      <c r="AG1720" s="5" t="inlineStr"/>
      <c r="AH1720" s="5" t="inlineStr"/>
    </row>
    <row r="1721">
      <c r="A1721" s="5" t="inlineStr">
        <is>
          <t>b8-evin-oglu-orta</t>
        </is>
      </c>
      <c r="B1721" s="5" t="n">
        <v>2</v>
      </c>
      <c r="C1721" s="6" t="inlineStr">
        <is>
          <t>Bu sefer yemeği sen yap</t>
        </is>
      </c>
      <c r="D1721" s="5" t="inlineStr">
        <is>
          <t>Akıl</t>
        </is>
      </c>
      <c r="E1721" s="5" t="inlineStr">
        <is>
          <t>Orta</t>
        </is>
      </c>
      <c r="F1721" s="5" t="inlineStr"/>
      <c r="G1721" s="6" t="inlineStr"/>
      <c r="H1721" s="6" t="inlineStr">
        <is>
          <t>Salı günü fasulyeyi sen yaptın. Annen bir kaşık aldı, bir süre sustu, sonra tarifini değiştirdi. Evde bir devrim oldu.</t>
        </is>
      </c>
      <c r="I1721" s="6" t="inlineStr">
        <is>
          <t>Yemeğin öyle güzel oldu ki annen komşulara “Oğlum yaptı” diye tabak dağıttı. Apartmanda artık iki aşçı var.</t>
        </is>
      </c>
      <c r="J1721" s="6" t="inlineStr">
        <is>
          <t>Fasulyeyi yaptın; annen tadına baktı, üstüne biraz tuz, biraz salça, biraz daha ekledi. Sonunda kendi fasulyesi oldu.</t>
        </is>
      </c>
      <c r="K1721" s="6" t="inlineStr">
        <is>
          <t>Fasulyeyi yakarken annenin en eski tenceresini de yaktın. Tencere annenin çeyiziydi; sen de artık çeyiz meselesisin.</t>
        </is>
      </c>
      <c r="L1721" s="6" t="inlineStr"/>
      <c r="M1721" s="5" t="inlineStr"/>
      <c r="N1721" s="5" t="inlineStr"/>
      <c r="O1721" s="6" t="inlineStr"/>
      <c r="P1721" s="6" t="inlineStr"/>
      <c r="Q1721" s="5" t="inlineStr"/>
      <c r="R1721" s="5" t="inlineStr"/>
      <c r="S1721" s="5" t="inlineStr"/>
      <c r="T1721" s="5" t="inlineStr"/>
      <c r="U1721" s="5" t="inlineStr"/>
      <c r="V1721" s="5" t="inlineStr"/>
      <c r="W1721" s="5" t="inlineStr"/>
      <c r="X1721" s="5" t="inlineStr"/>
      <c r="Y1721" s="5" t="inlineStr"/>
      <c r="Z1721" s="6" t="inlineStr"/>
      <c r="AA1721" s="5" t="inlineStr"/>
      <c r="AB1721" s="5" t="inlineStr"/>
      <c r="AC1721" s="5" t="inlineStr"/>
      <c r="AD1721" s="5" t="inlineStr"/>
      <c r="AE1721" s="5" t="inlineStr"/>
      <c r="AF1721" s="5" t="inlineStr"/>
      <c r="AG1721" s="5" t="inlineStr"/>
      <c r="AH1721" s="5" t="inlineStr"/>
    </row>
    <row r="1722">
      <c r="A1722" s="5" t="inlineStr">
        <is>
          <t>b8-evin-oglu-orta</t>
        </is>
      </c>
      <c r="B1722" s="5" t="n">
        <v>3</v>
      </c>
      <c r="C1722" s="6" t="inlineStr">
        <is>
          <t>Annene de bir hayat öner: kurs, gezi, arkadaş</t>
        </is>
      </c>
      <c r="D1722" s="5" t="inlineStr">
        <is>
          <t>Sosyal Radar</t>
        </is>
      </c>
      <c r="E1722" s="5" t="inlineStr">
        <is>
          <t>Zor</t>
        </is>
      </c>
      <c r="F1722" s="5" t="inlineStr"/>
      <c r="G1722" s="6" t="inlineStr"/>
      <c r="H1722" s="6" t="inlineStr">
        <is>
          <t>Annene bir resim kursu buldun. Artık salı akşamları fasulye yok; resim var. İkiniz de yeni bir şey öğreniyorsunuz: yalnız kalmayı.</t>
        </is>
      </c>
      <c r="I1722" s="6" t="inlineStr">
        <is>
          <t>Annen kurstan bir arkadaş grubu edindi. Artık senden izin istemeden geziye gidiyor; sen de ilk kez evde tek başına yemek yiyorsun.</t>
        </is>
      </c>
      <c r="J1722" s="6" t="inlineStr">
        <is>
          <t>Annen kursa bir kez gitti, döndü: “Orada kimse tencere konuşmuyor.”</t>
        </is>
      </c>
      <c r="K1722" s="6" t="inlineStr">
        <is>
          <t>Önerini duyunca annen seni evlendirmeye karar verdi. Kursun yerini görücü kahveleri aldı.</t>
        </is>
      </c>
      <c r="L1722" s="6" t="inlineStr"/>
      <c r="M1722" s="5" t="inlineStr"/>
      <c r="N1722" s="5" t="inlineStr"/>
      <c r="O1722" s="6" t="inlineStr"/>
      <c r="P1722" s="6" t="inlineStr"/>
      <c r="Q1722" s="5" t="inlineStr"/>
      <c r="R1722" s="5" t="inlineStr"/>
      <c r="S1722" s="5" t="inlineStr"/>
      <c r="T1722" s="5" t="inlineStr"/>
      <c r="U1722" s="5" t="inlineStr"/>
      <c r="V1722" s="5" t="inlineStr"/>
      <c r="W1722" s="5" t="inlineStr"/>
      <c r="X1722" s="5" t="inlineStr"/>
      <c r="Y1722" s="5" t="inlineStr"/>
      <c r="Z1722" s="6" t="inlineStr"/>
      <c r="AA1722" s="5" t="inlineStr"/>
      <c r="AB1722" s="5" t="inlineStr"/>
      <c r="AC1722" s="5" t="inlineStr"/>
      <c r="AD1722" s="5" t="inlineStr"/>
      <c r="AE1722" s="5" t="inlineStr"/>
      <c r="AF1722" s="5" t="inlineStr"/>
      <c r="AG1722" s="5" t="inlineStr"/>
      <c r="AH1722" s="5" t="inlineStr"/>
    </row>
    <row r="1723">
      <c r="A1723" s="5" t="inlineStr">
        <is>
          <t>kriz-7</t>
        </is>
      </c>
      <c r="B1723" s="5" t="n">
        <v>1</v>
      </c>
      <c r="C1723" s="6" t="inlineStr">
        <is>
          <t>Dişini sık, dayan</t>
        </is>
      </c>
      <c r="D1723" s="5" t="inlineStr"/>
      <c r="E1723" s="5" t="inlineStr"/>
      <c r="F1723" s="5" t="inlineStr">
        <is>
          <t>Dayanıklılık +2</t>
        </is>
      </c>
      <c r="G1723" s="6" t="inlineStr">
        <is>
          <t>Dişini sıktın. Birikim eridi, ama yerinde durdun. Yerinde durmak da bir yön; sadece haritada görünmüyor.</t>
        </is>
      </c>
      <c r="H1723" s="6" t="inlineStr"/>
      <c r="I1723" s="6" t="inlineStr"/>
      <c r="J1723" s="6" t="inlineStr"/>
      <c r="K1723" s="6" t="inlineStr"/>
      <c r="L1723" s="6" t="inlineStr"/>
      <c r="M1723" s="5" t="inlineStr"/>
      <c r="N1723" s="5" t="inlineStr"/>
      <c r="O1723" s="6" t="inlineStr"/>
      <c r="P1723" s="6" t="inlineStr"/>
      <c r="Q1723" s="5" t="inlineStr"/>
      <c r="R1723" s="5" t="inlineStr"/>
      <c r="S1723" s="5" t="inlineStr"/>
      <c r="T1723" s="5" t="inlineStr"/>
      <c r="U1723" s="5" t="inlineStr"/>
      <c r="V1723" s="5" t="inlineStr"/>
      <c r="W1723" s="5" t="inlineStr"/>
      <c r="X1723" s="5" t="inlineStr"/>
      <c r="Y1723" s="5" t="inlineStr"/>
      <c r="Z1723" s="6" t="inlineStr"/>
      <c r="AA1723" s="5" t="inlineStr"/>
      <c r="AB1723" s="5" t="inlineStr"/>
      <c r="AC1723" s="5" t="inlineStr"/>
      <c r="AD1723" s="5" t="inlineStr"/>
      <c r="AE1723" s="5" t="inlineStr"/>
      <c r="AF1723" s="5" t="n">
        <v>1</v>
      </c>
      <c r="AG1723" s="5" t="inlineStr"/>
      <c r="AH1723" s="5" t="inlineStr"/>
    </row>
    <row r="1724">
      <c r="A1724" s="5" t="inlineStr">
        <is>
          <t>kriz-7</t>
        </is>
      </c>
      <c r="B1724" s="5" t="n">
        <v>2</v>
      </c>
      <c r="C1724" s="6" t="inlineStr">
        <is>
          <t>Mahalleden borç iste</t>
        </is>
      </c>
      <c r="D1724" s="5" t="inlineStr"/>
      <c r="E1724" s="5" t="inlineStr"/>
      <c r="F1724" s="5" t="inlineStr">
        <is>
          <t>İtibar +1, Dayanıklılık +1</t>
        </is>
      </c>
      <c r="G1724" s="6" t="inlineStr">
        <is>
          <t>Kahvede bir cümle kurdun, akşama kadar üç zarf geldi; hiçbirinde senet yok. Birikimin yerinde kaldı; borcun mahalleye. Ödeyeceğin gün herkes ayrı ayrı “Ne gerek vardı” diyecek.</t>
        </is>
      </c>
      <c r="H1724" s="6" t="inlineStr"/>
      <c r="I1724" s="6" t="inlineStr"/>
      <c r="J1724" s="6" t="inlineStr"/>
      <c r="K1724" s="6" t="inlineStr"/>
      <c r="L1724" s="6" t="inlineStr"/>
      <c r="M1724" s="5" t="inlineStr"/>
      <c r="N1724" s="5" t="inlineStr"/>
      <c r="O1724" s="6" t="inlineStr"/>
      <c r="P1724" s="6" t="inlineStr"/>
      <c r="Q1724" s="5" t="inlineStr"/>
      <c r="R1724" s="5" t="inlineStr"/>
      <c r="S1724" s="5" t="inlineStr"/>
      <c r="T1724" s="5" t="inlineStr"/>
      <c r="U1724" s="5" t="inlineStr"/>
      <c r="V1724" s="5" t="inlineStr"/>
      <c r="W1724" s="5" t="inlineStr"/>
      <c r="X1724" s="5" t="inlineStr"/>
      <c r="Y1724" s="5" t="inlineStr"/>
      <c r="Z1724" s="6" t="inlineStr"/>
      <c r="AA1724" s="5" t="inlineStr"/>
      <c r="AB1724" s="5" t="inlineStr"/>
      <c r="AC1724" s="5" t="inlineStr"/>
      <c r="AD1724" s="5" t="inlineStr"/>
      <c r="AE1724" s="5" t="inlineStr"/>
      <c r="AF1724" s="5" t="inlineStr"/>
      <c r="AG1724" s="5" t="inlineStr"/>
      <c r="AH1724" s="5" t="inlineStr">
        <is>
          <t>İtibar 46</t>
        </is>
      </c>
    </row>
    <row r="1725">
      <c r="A1725" s="5" t="inlineStr">
        <is>
          <t>kriz-7</t>
        </is>
      </c>
      <c r="B1725" s="5" t="n">
        <v>3</v>
      </c>
      <c r="C1725" s="6" t="inlineStr">
        <is>
          <t>Tezgâh aç, esnaflığa geç</t>
        </is>
      </c>
      <c r="D1725" s="5" t="inlineStr">
        <is>
          <t>Kurnazlık</t>
        </is>
      </c>
      <c r="E1725" s="5" t="inlineStr">
        <is>
          <t>Zor</t>
        </is>
      </c>
      <c r="F1725" s="5" t="inlineStr"/>
      <c r="G1725" s="6" t="inlineStr"/>
      <c r="H1725" s="6" t="inlineStr">
        <is>
          <t>Elindeki son birikimle küçük bir dükkân tuttun. Tabela senin, kira senin, veresiye defteri de senin. Hayat yeniden bir ritim buldu.</t>
        </is>
      </c>
      <c r="I1725" s="6" t="inlineStr">
        <is>
          <t>Dükkân ilk ayında kira çıkardı, ikinci ayında seni. Mahallede artık “Yeni esnaf” diye biliniyorsun; yeni ama ağzı laf yapan.</t>
        </is>
      </c>
      <c r="J1725" s="6" t="inlineStr">
        <is>
          <t>Dükkân tutmaya gittin; kira cebindekinin iki katıydı. Eski işine, eski yorgunluğuna döndün.</t>
        </is>
      </c>
      <c r="K1725" s="6" t="inlineStr">
        <is>
          <t>Dükkânı açtın, açılış günü sokak kazıldı. Üç ay kimse kapına ulaşamadı; sen de kapattın, eski işine döndün.</t>
        </is>
      </c>
      <c r="L1725" s="6" t="inlineStr"/>
      <c r="M1725" s="5" t="inlineStr"/>
      <c r="N1725" s="5" t="inlineStr"/>
      <c r="O1725" s="6" t="inlineStr"/>
      <c r="P1725" s="6" t="inlineStr"/>
      <c r="Q1725" s="5" t="inlineStr"/>
      <c r="R1725" s="5" t="inlineStr"/>
      <c r="S1725" s="5" t="inlineStr"/>
      <c r="T1725" s="5" t="inlineStr"/>
      <c r="U1725" s="5" t="inlineStr"/>
      <c r="V1725" s="5" t="inlineStr">
        <is>
          <t>-hat-cete, -hat-dolandirici, -hat-girisimci, -hat-goc, -hat-hekim, -hat-koy, -hat-polis, -hat-politika, -hat-sohret, -hat-usta, -hat-yargi, -meslek-beyazyaka, -meslek-memur, -meslek-serbest, meslek-esnaf</t>
        </is>
      </c>
      <c r="W1725" s="5" t="inlineStr"/>
      <c r="X1725" s="5" t="inlineStr"/>
      <c r="Y1725" s="5" t="inlineStr"/>
      <c r="Z1725" s="6" t="inlineStr"/>
      <c r="AA1725" s="5" t="inlineStr"/>
      <c r="AB1725" s="5" t="inlineStr"/>
      <c r="AC1725" s="5" t="inlineStr"/>
      <c r="AD1725" s="5" t="inlineStr"/>
      <c r="AE1725" s="5" t="inlineStr"/>
      <c r="AF1725" s="5" t="inlineStr"/>
      <c r="AG1725" s="5" t="inlineStr">
        <is>
          <t>meslek-esnaf</t>
        </is>
      </c>
      <c r="AH1725" s="5" t="inlineStr"/>
    </row>
    <row r="1726">
      <c r="A1726" s="5" t="inlineStr">
        <is>
          <t>kriz-7</t>
        </is>
      </c>
      <c r="B1726" s="5" t="n">
        <v>4</v>
      </c>
      <c r="C1726" s="6" t="inlineStr">
        <is>
          <t>Kendi girişimini kur</t>
        </is>
      </c>
      <c r="D1726" s="5" t="inlineStr">
        <is>
          <t>Cesaret</t>
        </is>
      </c>
      <c r="E1726" s="5" t="inlineStr">
        <is>
          <t>Zor</t>
        </is>
      </c>
      <c r="F1726" s="5" t="inlineStr"/>
      <c r="G1726" s="6" t="inlineStr"/>
      <c r="H1726" s="6" t="inlineStr">
        <is>
          <t>Bir fikir, bir sunum, bir kafe masası. Şirketin kuruldu. Yaşın kimseyi ilgilendirmedi; tecrüben herkesi ilgilendirdi.</t>
        </is>
      </c>
      <c r="I1726" s="6" t="inlineStr">
        <is>
          <t>İlk sunumda bir yatırımcı “Sizin gibi tecrübeli birini arıyorduk” dedi. Kriz, özgeçmişinin en iyi satırı oldu.</t>
        </is>
      </c>
      <c r="J1726" s="6" t="inlineStr">
        <is>
          <t>Fikrin güzeldi, zamanlaman değil. Eski işine döndün; fikir çekmecede bekliyor.</t>
        </is>
      </c>
      <c r="K1726" s="6" t="inlineStr">
        <is>
          <t>Şirketi kurdun, ilk hafta ortağın fikrinle birlikte ortadan kayboldu. Eski işine döndün; bir de avukatın var artık.</t>
        </is>
      </c>
      <c r="L1726" s="6" t="inlineStr"/>
      <c r="M1726" s="5" t="inlineStr"/>
      <c r="N1726" s="5" t="inlineStr"/>
      <c r="O1726" s="6" t="inlineStr"/>
      <c r="P1726" s="6" t="inlineStr"/>
      <c r="Q1726" s="5" t="inlineStr"/>
      <c r="R1726" s="5" t="inlineStr"/>
      <c r="S1726" s="5" t="inlineStr"/>
      <c r="T1726" s="5" t="inlineStr"/>
      <c r="U1726" s="5" t="inlineStr"/>
      <c r="V1726" s="5" t="inlineStr">
        <is>
          <t>-hat-cete, -hat-dolandirici, -hat-goc, -hat-hekim, -hat-koy, -hat-polis, -hat-politika, -hat-sohret, -hat-usta, -hat-yargi, -meslek-beyazyaka, -meslek-esnaf, -meslek-memur, hat-girisimci, meslek-serbest</t>
        </is>
      </c>
      <c r="W1726" s="5" t="inlineStr"/>
      <c r="X1726" s="5" t="inlineStr"/>
      <c r="Y1726" s="5" t="inlineStr"/>
      <c r="Z1726" s="6" t="inlineStr"/>
      <c r="AA1726" s="5" t="inlineStr"/>
      <c r="AB1726" s="5" t="inlineStr"/>
      <c r="AC1726" s="5" t="inlineStr"/>
      <c r="AD1726" s="5" t="inlineStr"/>
      <c r="AE1726" s="5" t="inlineStr"/>
      <c r="AF1726" s="5" t="inlineStr"/>
      <c r="AG1726" s="5" t="inlineStr">
        <is>
          <t>hat-girisimci</t>
        </is>
      </c>
      <c r="AH1726" s="5" t="inlineStr"/>
    </row>
    <row r="1727">
      <c r="A1727" s="5" t="inlineStr">
        <is>
          <t>kriz-7</t>
        </is>
      </c>
      <c r="B1727" s="5" t="n">
        <v>5</v>
      </c>
      <c r="C1727" s="6" t="inlineStr">
        <is>
          <t>Abinin eski adamlarını ara</t>
        </is>
      </c>
      <c r="D1727" s="5" t="inlineStr">
        <is>
          <t>Cesaret</t>
        </is>
      </c>
      <c r="E1727" s="5" t="inlineStr">
        <is>
          <t>Zor</t>
        </is>
      </c>
      <c r="F1727" s="5" t="inlineStr"/>
      <c r="G1727" s="6" t="inlineStr"/>
      <c r="H1727" s="6" t="inlineStr">
        <is>
          <t>Bir telefon açtın, ertesi gün bir dükkânın başındaydın. Kasa hep dolu; nereden dolduğunu sormamak da işin parçası.</t>
        </is>
      </c>
      <c r="I1727" s="6" t="inlineStr">
        <is>
          <t>Yeni işinde hızla yükseldin; herkes sana “abi” demeye başladı. Bu kelimenin ağırlığını ilk kez omzunda hissettin.</t>
        </is>
      </c>
      <c r="J1727" s="6" t="inlineStr">
        <is>
          <t>Telefonu açtılar ama “Sen bu işlerin adamı değilsin” dediler. Belki de haklıydılar; eski işine döndün.</t>
        </is>
      </c>
      <c r="K1727" s="6" t="inlineStr">
        <is>
          <t>Telefonu yanlış kişiye açtın; komiser çıktı. Bir sohbet oldu, bir tutanak oldu. Eski işine döndün; bir dosyan var artık.</t>
        </is>
      </c>
      <c r="L1727" s="6" t="inlineStr"/>
      <c r="M1727" s="5" t="inlineStr"/>
      <c r="N1727" s="5" t="inlineStr"/>
      <c r="O1727" s="6" t="inlineStr"/>
      <c r="P1727" s="6" t="inlineStr"/>
      <c r="Q1727" s="5" t="inlineStr"/>
      <c r="R1727" s="5" t="inlineStr"/>
      <c r="S1727" s="5" t="inlineStr"/>
      <c r="T1727" s="5" t="inlineStr"/>
      <c r="U1727" s="5" t="inlineStr"/>
      <c r="V1727" s="5" t="inlineStr">
        <is>
          <t>-hat-dolandirici, -hat-girisimci, -hat-goc, -hat-hekim, -hat-koy, -hat-polis, -hat-politika, -hat-sohret, -hat-usta, -hat-yargi, -meslek-beyazyaka, -meslek-memur, -meslek-serbest, hat-cete, meslek-esnaf</t>
        </is>
      </c>
      <c r="W1727" s="5" t="inlineStr"/>
      <c r="X1727" s="5" t="inlineStr"/>
      <c r="Y1727" s="5" t="inlineStr"/>
      <c r="Z1727" s="6" t="inlineStr"/>
      <c r="AA1727" s="5" t="inlineStr">
        <is>
          <t>hepsi -1</t>
        </is>
      </c>
      <c r="AB1727" s="5" t="inlineStr"/>
      <c r="AC1727" s="5" t="inlineStr"/>
      <c r="AD1727" s="5" t="inlineStr"/>
      <c r="AE1727" s="5" t="inlineStr"/>
      <c r="AF1727" s="5" t="inlineStr"/>
      <c r="AG1727" s="5" t="inlineStr">
        <is>
          <t>hat-cete</t>
        </is>
      </c>
      <c r="AH1727" s="5" t="inlineStr"/>
    </row>
    <row r="1728">
      <c r="A1728" s="5" t="inlineStr">
        <is>
          <t>kriz-7</t>
        </is>
      </c>
      <c r="B1728" s="5" t="n">
        <v>6</v>
      </c>
      <c r="C1728" s="6" t="inlineStr">
        <is>
          <t>Kolay para ilanına cevap ver</t>
        </is>
      </c>
      <c r="D1728" s="5" t="inlineStr">
        <is>
          <t>Kurnazlık</t>
        </is>
      </c>
      <c r="E1728" s="5" t="inlineStr">
        <is>
          <t>Zor</t>
        </is>
      </c>
      <c r="F1728" s="5" t="inlineStr"/>
      <c r="G1728" s="6" t="inlineStr"/>
      <c r="H1728" s="6" t="inlineStr">
        <is>
          <t>Bir ilan, üç telefon, bir sunum. Para geldi; nereden geldiğini sormamaya karar verdin. Vicdanın da sormadı; şimdilik.</t>
        </is>
      </c>
      <c r="I1728" s="6" t="inlineStr">
        <is>
          <t>Öyle hızlı büyüdün ki bir ay içinde kendi seminerini veriyordun. Salon doluydu; arka sırada vicdanın oturuyordu.</t>
        </is>
      </c>
      <c r="J1728" s="6" t="inlineStr">
        <is>
          <t>İlanın ilk cevabını veren kişi bir dolandırıcıydı. Seni dolandırmaya çalıştı; ikiniz de vazgeçtiniz.</t>
        </is>
      </c>
      <c r="K1728" s="6" t="inlineStr">
        <is>
          <t>İlk “fırsatı” yakından inceleyince kendini bir tüketici programında buldun. Adın yok, sesin var.</t>
        </is>
      </c>
      <c r="L1728" s="6" t="inlineStr"/>
      <c r="M1728" s="5" t="inlineStr"/>
      <c r="N1728" s="5" t="inlineStr"/>
      <c r="O1728" s="6" t="inlineStr"/>
      <c r="P1728" s="6" t="inlineStr"/>
      <c r="Q1728" s="5" t="inlineStr"/>
      <c r="R1728" s="5" t="inlineStr"/>
      <c r="S1728" s="5" t="inlineStr"/>
      <c r="T1728" s="5" t="inlineStr"/>
      <c r="U1728" s="5" t="inlineStr"/>
      <c r="V1728" s="5" t="inlineStr">
        <is>
          <t>-hat-cete, -hat-girisimci, -hat-goc, -hat-hekim, -hat-koy, -hat-polis, -hat-politika, -hat-sohret, -hat-usta, -hat-yargi, -meslek-beyazyaka, -meslek-esnaf, -meslek-memur, hat-dolandirici, meslek-serbest</t>
        </is>
      </c>
      <c r="W1728" s="5" t="inlineStr"/>
      <c r="X1728" s="5" t="inlineStr"/>
      <c r="Y1728" s="5" t="inlineStr"/>
      <c r="Z1728" s="6" t="inlineStr"/>
      <c r="AA1728" s="5" t="inlineStr">
        <is>
          <t>hepsi -1</t>
        </is>
      </c>
      <c r="AB1728" s="5" t="inlineStr"/>
      <c r="AC1728" s="5" t="inlineStr"/>
      <c r="AD1728" s="5" t="inlineStr"/>
      <c r="AE1728" s="5" t="inlineStr"/>
      <c r="AF1728" s="5" t="inlineStr"/>
      <c r="AG1728" s="5" t="inlineStr">
        <is>
          <t>hat-dolandirici</t>
        </is>
      </c>
      <c r="AH1728" s="5" t="inlineStr"/>
    </row>
    <row r="1729">
      <c r="A1729" s="5" t="inlineStr">
        <is>
          <t>kriz-8</t>
        </is>
      </c>
      <c r="B1729" s="5" t="n">
        <v>1</v>
      </c>
      <c r="C1729" s="6" t="inlineStr">
        <is>
          <t>Dişini sık, dayan</t>
        </is>
      </c>
      <c r="D1729" s="5" t="inlineStr"/>
      <c r="E1729" s="5" t="inlineStr"/>
      <c r="F1729" s="5" t="inlineStr">
        <is>
          <t>Dayanıklılık +2</t>
        </is>
      </c>
      <c r="G1729" s="6" t="inlineStr">
        <is>
          <t>Dişini sıktın. Birikim eridi, ama yerinde durdun. Yerinde durmak da bir yön; sadece haritada görünmüyor.</t>
        </is>
      </c>
      <c r="H1729" s="6" t="inlineStr"/>
      <c r="I1729" s="6" t="inlineStr"/>
      <c r="J1729" s="6" t="inlineStr"/>
      <c r="K1729" s="6" t="inlineStr"/>
      <c r="L1729" s="6" t="inlineStr"/>
      <c r="M1729" s="5" t="inlineStr"/>
      <c r="N1729" s="5" t="inlineStr"/>
      <c r="O1729" s="6" t="inlineStr"/>
      <c r="P1729" s="6" t="inlineStr"/>
      <c r="Q1729" s="5" t="inlineStr"/>
      <c r="R1729" s="5" t="inlineStr"/>
      <c r="S1729" s="5" t="inlineStr"/>
      <c r="T1729" s="5" t="inlineStr"/>
      <c r="U1729" s="5" t="inlineStr"/>
      <c r="V1729" s="5" t="inlineStr"/>
      <c r="W1729" s="5" t="inlineStr"/>
      <c r="X1729" s="5" t="inlineStr"/>
      <c r="Y1729" s="5" t="inlineStr"/>
      <c r="Z1729" s="6" t="inlineStr"/>
      <c r="AA1729" s="5" t="inlineStr"/>
      <c r="AB1729" s="5" t="inlineStr"/>
      <c r="AC1729" s="5" t="inlineStr"/>
      <c r="AD1729" s="5" t="inlineStr"/>
      <c r="AE1729" s="5" t="inlineStr"/>
      <c r="AF1729" s="5" t="n">
        <v>1</v>
      </c>
      <c r="AG1729" s="5" t="inlineStr"/>
      <c r="AH1729" s="5" t="inlineStr"/>
    </row>
    <row r="1730">
      <c r="A1730" s="5" t="inlineStr">
        <is>
          <t>kriz-8</t>
        </is>
      </c>
      <c r="B1730" s="5" t="n">
        <v>2</v>
      </c>
      <c r="C1730" s="6" t="inlineStr">
        <is>
          <t>Mahalleden borç iste</t>
        </is>
      </c>
      <c r="D1730" s="5" t="inlineStr"/>
      <c r="E1730" s="5" t="inlineStr"/>
      <c r="F1730" s="5" t="inlineStr">
        <is>
          <t>İtibar +1, Dayanıklılık +1</t>
        </is>
      </c>
      <c r="G1730" s="6" t="inlineStr">
        <is>
          <t>Kahvede bir cümle kurdun, akşama kadar üç zarf geldi; hiçbirinde senet yok. Birikimin yerinde kaldı; borcun mahalleye. Ödeyeceğin gün herkes ayrı ayrı “Ne gerek vardı” diyecek.</t>
        </is>
      </c>
      <c r="H1730" s="6" t="inlineStr"/>
      <c r="I1730" s="6" t="inlineStr"/>
      <c r="J1730" s="6" t="inlineStr"/>
      <c r="K1730" s="6" t="inlineStr"/>
      <c r="L1730" s="6" t="inlineStr"/>
      <c r="M1730" s="5" t="inlineStr"/>
      <c r="N1730" s="5" t="inlineStr"/>
      <c r="O1730" s="6" t="inlineStr"/>
      <c r="P1730" s="6" t="inlineStr"/>
      <c r="Q1730" s="5" t="inlineStr"/>
      <c r="R1730" s="5" t="inlineStr"/>
      <c r="S1730" s="5" t="inlineStr"/>
      <c r="T1730" s="5" t="inlineStr"/>
      <c r="U1730" s="5" t="inlineStr"/>
      <c r="V1730" s="5" t="inlineStr"/>
      <c r="W1730" s="5" t="inlineStr"/>
      <c r="X1730" s="5" t="inlineStr"/>
      <c r="Y1730" s="5" t="inlineStr"/>
      <c r="Z1730" s="6" t="inlineStr"/>
      <c r="AA1730" s="5" t="inlineStr"/>
      <c r="AB1730" s="5" t="inlineStr"/>
      <c r="AC1730" s="5" t="inlineStr"/>
      <c r="AD1730" s="5" t="inlineStr"/>
      <c r="AE1730" s="5" t="inlineStr"/>
      <c r="AF1730" s="5" t="inlineStr"/>
      <c r="AG1730" s="5" t="inlineStr"/>
      <c r="AH1730" s="5" t="inlineStr">
        <is>
          <t>İtibar 48</t>
        </is>
      </c>
    </row>
    <row r="1731">
      <c r="A1731" s="5" t="inlineStr">
        <is>
          <t>kriz-8</t>
        </is>
      </c>
      <c r="B1731" s="5" t="n">
        <v>3</v>
      </c>
      <c r="C1731" s="6" t="inlineStr">
        <is>
          <t>Tezgâh aç, esnaflığa geç</t>
        </is>
      </c>
      <c r="D1731" s="5" t="inlineStr">
        <is>
          <t>Kurnazlık</t>
        </is>
      </c>
      <c r="E1731" s="5" t="inlineStr">
        <is>
          <t>Zor</t>
        </is>
      </c>
      <c r="F1731" s="5" t="inlineStr"/>
      <c r="G1731" s="6" t="inlineStr"/>
      <c r="H1731" s="6" t="inlineStr">
        <is>
          <t>Elindeki son birikimle küçük bir dükkân tuttun. Tabela senin, kira senin, veresiye defteri de senin. Hayat yeniden bir ritim buldu.</t>
        </is>
      </c>
      <c r="I1731" s="6" t="inlineStr">
        <is>
          <t>Dükkân ilk ayında kira çıkardı, ikinci ayında seni. Mahallede artık “Yeni esnaf” diye biliniyorsun; yeni ama ağzı laf yapan.</t>
        </is>
      </c>
      <c r="J1731" s="6" t="inlineStr">
        <is>
          <t>Dükkân tutmaya gittin; kira cebindekinin iki katıydı. Eski işine, eski yorgunluğuna döndün.</t>
        </is>
      </c>
      <c r="K1731" s="6" t="inlineStr">
        <is>
          <t>Dükkânı açtın, açılış günü sokak kazıldı. Üç ay kimse kapına ulaşamadı; sen de kapattın, eski işine döndün.</t>
        </is>
      </c>
      <c r="L1731" s="6" t="inlineStr"/>
      <c r="M1731" s="5" t="inlineStr"/>
      <c r="N1731" s="5" t="inlineStr"/>
      <c r="O1731" s="6" t="inlineStr"/>
      <c r="P1731" s="6" t="inlineStr"/>
      <c r="Q1731" s="5" t="inlineStr"/>
      <c r="R1731" s="5" t="inlineStr"/>
      <c r="S1731" s="5" t="inlineStr"/>
      <c r="T1731" s="5" t="inlineStr"/>
      <c r="U1731" s="5" t="inlineStr"/>
      <c r="V1731" s="5" t="inlineStr">
        <is>
          <t>-hat-cete, -hat-dolandirici, -hat-girisimci, -hat-goc, -hat-hekim, -hat-koy, -hat-polis, -hat-politika, -hat-sohret, -hat-usta, -hat-yargi, -meslek-beyazyaka, -meslek-memur, -meslek-serbest, meslek-esnaf</t>
        </is>
      </c>
      <c r="W1731" s="5" t="inlineStr"/>
      <c r="X1731" s="5" t="inlineStr"/>
      <c r="Y1731" s="5" t="inlineStr"/>
      <c r="Z1731" s="6" t="inlineStr"/>
      <c r="AA1731" s="5" t="inlineStr"/>
      <c r="AB1731" s="5" t="inlineStr"/>
      <c r="AC1731" s="5" t="inlineStr"/>
      <c r="AD1731" s="5" t="inlineStr"/>
      <c r="AE1731" s="5" t="inlineStr"/>
      <c r="AF1731" s="5" t="inlineStr"/>
      <c r="AG1731" s="5" t="inlineStr">
        <is>
          <t>meslek-esnaf</t>
        </is>
      </c>
      <c r="AH1731" s="5" t="inlineStr"/>
    </row>
    <row r="1732">
      <c r="A1732" s="5" t="inlineStr">
        <is>
          <t>kriz-8</t>
        </is>
      </c>
      <c r="B1732" s="5" t="n">
        <v>4</v>
      </c>
      <c r="C1732" s="6" t="inlineStr">
        <is>
          <t>Kendi girişimini kur</t>
        </is>
      </c>
      <c r="D1732" s="5" t="inlineStr">
        <is>
          <t>Cesaret</t>
        </is>
      </c>
      <c r="E1732" s="5" t="inlineStr">
        <is>
          <t>Zor</t>
        </is>
      </c>
      <c r="F1732" s="5" t="inlineStr"/>
      <c r="G1732" s="6" t="inlineStr"/>
      <c r="H1732" s="6" t="inlineStr">
        <is>
          <t>Bir fikir, bir sunum, bir kafe masası. Şirketin kuruldu. Yaşın kimseyi ilgilendirmedi; tecrüben herkesi ilgilendirdi.</t>
        </is>
      </c>
      <c r="I1732" s="6" t="inlineStr">
        <is>
          <t>İlk sunumda bir yatırımcı “Sizin gibi tecrübeli birini arıyorduk” dedi. Kriz, özgeçmişinin en iyi satırı oldu.</t>
        </is>
      </c>
      <c r="J1732" s="6" t="inlineStr">
        <is>
          <t>Fikrin güzeldi, zamanlaman değil. Eski işine döndün; fikir çekmecede bekliyor.</t>
        </is>
      </c>
      <c r="K1732" s="6" t="inlineStr">
        <is>
          <t>Şirketi kurdun, ilk hafta ortağın fikrinle birlikte ortadan kayboldu. Eski işine döndün; bir de avukatın var artık.</t>
        </is>
      </c>
      <c r="L1732" s="6" t="inlineStr"/>
      <c r="M1732" s="5" t="inlineStr"/>
      <c r="N1732" s="5" t="inlineStr"/>
      <c r="O1732" s="6" t="inlineStr"/>
      <c r="P1732" s="6" t="inlineStr"/>
      <c r="Q1732" s="5" t="inlineStr"/>
      <c r="R1732" s="5" t="inlineStr"/>
      <c r="S1732" s="5" t="inlineStr"/>
      <c r="T1732" s="5" t="inlineStr"/>
      <c r="U1732" s="5" t="inlineStr"/>
      <c r="V1732" s="5" t="inlineStr">
        <is>
          <t>-hat-cete, -hat-dolandirici, -hat-goc, -hat-hekim, -hat-koy, -hat-polis, -hat-politika, -hat-sohret, -hat-usta, -hat-yargi, -meslek-beyazyaka, -meslek-esnaf, -meslek-memur, hat-girisimci, meslek-serbest</t>
        </is>
      </c>
      <c r="W1732" s="5" t="inlineStr"/>
      <c r="X1732" s="5" t="inlineStr"/>
      <c r="Y1732" s="5" t="inlineStr"/>
      <c r="Z1732" s="6" t="inlineStr"/>
      <c r="AA1732" s="5" t="inlineStr"/>
      <c r="AB1732" s="5" t="inlineStr"/>
      <c r="AC1732" s="5" t="inlineStr"/>
      <c r="AD1732" s="5" t="inlineStr"/>
      <c r="AE1732" s="5" t="inlineStr"/>
      <c r="AF1732" s="5" t="inlineStr"/>
      <c r="AG1732" s="5" t="inlineStr">
        <is>
          <t>hat-girisimci</t>
        </is>
      </c>
      <c r="AH1732" s="5" t="inlineStr"/>
    </row>
    <row r="1733">
      <c r="A1733" s="5" t="inlineStr">
        <is>
          <t>kriz-8</t>
        </is>
      </c>
      <c r="B1733" s="5" t="n">
        <v>5</v>
      </c>
      <c r="C1733" s="6" t="inlineStr">
        <is>
          <t>Mahallenin eski abisine uğra</t>
        </is>
      </c>
      <c r="D1733" s="5" t="inlineStr">
        <is>
          <t>Cesaret</t>
        </is>
      </c>
      <c r="E1733" s="5" t="inlineStr">
        <is>
          <t>Zor</t>
        </is>
      </c>
      <c r="F1733" s="5" t="inlineStr"/>
      <c r="G1733" s="6" t="inlineStr"/>
      <c r="H1733" s="6" t="inlineStr">
        <is>
          <t>Bir telefon açtın, ertesi gün bir dükkânın başındaydın. Kasa hep dolu; nereden dolduğunu sormamak da işin parçası.</t>
        </is>
      </c>
      <c r="I1733" s="6" t="inlineStr">
        <is>
          <t>Yeni işinde hızla yükseldin; herkes sana “abi” demeye başladı. Bu kelimenin ağırlığını ilk kez omzunda hissettin.</t>
        </is>
      </c>
      <c r="J1733" s="6" t="inlineStr">
        <is>
          <t>Telefonu açtılar ama “Sen bu işlerin adamı değilsin” dediler. Belki de haklıydılar; eski işine döndün.</t>
        </is>
      </c>
      <c r="K1733" s="6" t="inlineStr">
        <is>
          <t>Telefonu yanlış kişiye açtın; komiser çıktı. Bir sohbet oldu, bir tutanak oldu. Eski işine döndün; bir dosyan var artık.</t>
        </is>
      </c>
      <c r="L1733" s="6" t="inlineStr"/>
      <c r="M1733" s="5" t="inlineStr"/>
      <c r="N1733" s="5" t="inlineStr"/>
      <c r="O1733" s="6" t="inlineStr"/>
      <c r="P1733" s="6" t="inlineStr"/>
      <c r="Q1733" s="5" t="inlineStr"/>
      <c r="R1733" s="5" t="inlineStr"/>
      <c r="S1733" s="5" t="inlineStr"/>
      <c r="T1733" s="5" t="inlineStr"/>
      <c r="U1733" s="5" t="inlineStr"/>
      <c r="V1733" s="5" t="inlineStr">
        <is>
          <t>-hat-dolandirici, -hat-girisimci, -hat-goc, -hat-hekim, -hat-koy, -hat-polis, -hat-politika, -hat-sohret, -hat-usta, -hat-yargi, -meslek-beyazyaka, -meslek-memur, -meslek-serbest, hat-cete, meslek-esnaf</t>
        </is>
      </c>
      <c r="W1733" s="5" t="inlineStr"/>
      <c r="X1733" s="5" t="inlineStr"/>
      <c r="Y1733" s="5" t="inlineStr"/>
      <c r="Z1733" s="6" t="inlineStr"/>
      <c r="AA1733" s="5" t="inlineStr">
        <is>
          <t>hepsi -1</t>
        </is>
      </c>
      <c r="AB1733" s="5" t="inlineStr"/>
      <c r="AC1733" s="5" t="inlineStr"/>
      <c r="AD1733" s="5" t="inlineStr"/>
      <c r="AE1733" s="5" t="inlineStr"/>
      <c r="AF1733" s="5" t="inlineStr"/>
      <c r="AG1733" s="5" t="inlineStr">
        <is>
          <t>hat-cete</t>
        </is>
      </c>
      <c r="AH1733" s="5" t="inlineStr"/>
    </row>
    <row r="1734">
      <c r="A1734" s="5" t="inlineStr">
        <is>
          <t>kriz-8</t>
        </is>
      </c>
      <c r="B1734" s="5" t="n">
        <v>6</v>
      </c>
      <c r="C1734" s="6" t="inlineStr">
        <is>
          <t>Emeklilik birikimini “fırsata” yatır</t>
        </is>
      </c>
      <c r="D1734" s="5" t="inlineStr">
        <is>
          <t>Kurnazlık</t>
        </is>
      </c>
      <c r="E1734" s="5" t="inlineStr">
        <is>
          <t>Zor</t>
        </is>
      </c>
      <c r="F1734" s="5" t="inlineStr"/>
      <c r="G1734" s="6" t="inlineStr"/>
      <c r="H1734" s="6" t="inlineStr">
        <is>
          <t>Bir ilan, üç telefon, bir sunum. Para geldi; nereden geldiğini sormamaya karar verdin. Vicdanın da sormadı; şimdilik.</t>
        </is>
      </c>
      <c r="I1734" s="6" t="inlineStr">
        <is>
          <t>Öyle hızlı büyüdün ki bir ay içinde kendi seminerini veriyordun. Salon doluydu; arka sırada vicdanın oturuyordu.</t>
        </is>
      </c>
      <c r="J1734" s="6" t="inlineStr">
        <is>
          <t>İlanın ilk cevabını veren kişi bir dolandırıcıydı. Seni dolandırmaya çalıştı; ikiniz de vazgeçtiniz.</t>
        </is>
      </c>
      <c r="K1734" s="6" t="inlineStr">
        <is>
          <t>İlk “fırsatı” yakından inceleyince kendini bir tüketici programında buldun. Adın yok, sesin var.</t>
        </is>
      </c>
      <c r="L1734" s="6" t="inlineStr"/>
      <c r="M1734" s="5" t="inlineStr"/>
      <c r="N1734" s="5" t="inlineStr"/>
      <c r="O1734" s="6" t="inlineStr"/>
      <c r="P1734" s="6" t="inlineStr"/>
      <c r="Q1734" s="5" t="inlineStr"/>
      <c r="R1734" s="5" t="inlineStr"/>
      <c r="S1734" s="5" t="inlineStr"/>
      <c r="T1734" s="5" t="inlineStr"/>
      <c r="U1734" s="5" t="inlineStr"/>
      <c r="V1734" s="5" t="inlineStr">
        <is>
          <t>-hat-cete, -hat-girisimci, -hat-goc, -hat-hekim, -hat-koy, -hat-polis, -hat-politika, -hat-sohret, -hat-usta, -hat-yargi, -meslek-beyazyaka, -meslek-esnaf, -meslek-memur, hat-dolandirici, meslek-serbest</t>
        </is>
      </c>
      <c r="W1734" s="5" t="inlineStr"/>
      <c r="X1734" s="5" t="inlineStr"/>
      <c r="Y1734" s="5" t="inlineStr"/>
      <c r="Z1734" s="6" t="inlineStr"/>
      <c r="AA1734" s="5" t="inlineStr">
        <is>
          <t>hepsi -1</t>
        </is>
      </c>
      <c r="AB1734" s="5" t="inlineStr"/>
      <c r="AC1734" s="5" t="inlineStr"/>
      <c r="AD1734" s="5" t="inlineStr"/>
      <c r="AE1734" s="5" t="inlineStr"/>
      <c r="AF1734" s="5" t="inlineStr"/>
      <c r="AG1734" s="5" t="inlineStr">
        <is>
          <t>hat-dolandirici</t>
        </is>
      </c>
      <c r="AH1734" s="5" t="inlineStr"/>
    </row>
    <row r="1735">
      <c r="A1735" s="5" t="inlineStr">
        <is>
          <t>kriz-9</t>
        </is>
      </c>
      <c r="B1735" s="5" t="n">
        <v>1</v>
      </c>
      <c r="C1735" s="6" t="inlineStr">
        <is>
          <t>Dişini sık, dayan</t>
        </is>
      </c>
      <c r="D1735" s="5" t="inlineStr"/>
      <c r="E1735" s="5" t="inlineStr"/>
      <c r="F1735" s="5" t="inlineStr">
        <is>
          <t>Dayanıklılık +2</t>
        </is>
      </c>
      <c r="G1735" s="6" t="inlineStr">
        <is>
          <t>Dişini sıktın. Birikim eridi, ama yerinde durdun. Yerinde durmak da bir yön; sadece haritada görünmüyor.</t>
        </is>
      </c>
      <c r="H1735" s="6" t="inlineStr"/>
      <c r="I1735" s="6" t="inlineStr"/>
      <c r="J1735" s="6" t="inlineStr"/>
      <c r="K1735" s="6" t="inlineStr"/>
      <c r="L1735" s="6" t="inlineStr"/>
      <c r="M1735" s="5" t="inlineStr"/>
      <c r="N1735" s="5" t="inlineStr"/>
      <c r="O1735" s="6" t="inlineStr"/>
      <c r="P1735" s="6" t="inlineStr"/>
      <c r="Q1735" s="5" t="inlineStr"/>
      <c r="R1735" s="5" t="inlineStr"/>
      <c r="S1735" s="5" t="inlineStr"/>
      <c r="T1735" s="5" t="inlineStr"/>
      <c r="U1735" s="5" t="inlineStr"/>
      <c r="V1735" s="5" t="inlineStr"/>
      <c r="W1735" s="5" t="inlineStr"/>
      <c r="X1735" s="5" t="inlineStr"/>
      <c r="Y1735" s="5" t="inlineStr"/>
      <c r="Z1735" s="6" t="inlineStr"/>
      <c r="AA1735" s="5" t="inlineStr"/>
      <c r="AB1735" s="5" t="inlineStr"/>
      <c r="AC1735" s="5" t="inlineStr"/>
      <c r="AD1735" s="5" t="inlineStr"/>
      <c r="AE1735" s="5" t="inlineStr"/>
      <c r="AF1735" s="5" t="n">
        <v>1</v>
      </c>
      <c r="AG1735" s="5" t="inlineStr"/>
      <c r="AH1735" s="5" t="inlineStr"/>
    </row>
    <row r="1736">
      <c r="A1736" s="5" t="inlineStr">
        <is>
          <t>kriz-9</t>
        </is>
      </c>
      <c r="B1736" s="5" t="n">
        <v>2</v>
      </c>
      <c r="C1736" s="6" t="inlineStr">
        <is>
          <t>Mahalleden borç iste</t>
        </is>
      </c>
      <c r="D1736" s="5" t="inlineStr"/>
      <c r="E1736" s="5" t="inlineStr"/>
      <c r="F1736" s="5" t="inlineStr">
        <is>
          <t>İtibar +1, Dayanıklılık +1</t>
        </is>
      </c>
      <c r="G1736" s="6" t="inlineStr">
        <is>
          <t>Kahvede bir cümle kurdun, akşama kadar üç zarf geldi; hiçbirinde senet yok. Birikimin yerinde kaldı; borcun mahalleye. Ödeyeceğin gün herkes ayrı ayrı “Ne gerek vardı” diyecek.</t>
        </is>
      </c>
      <c r="H1736" s="6" t="inlineStr"/>
      <c r="I1736" s="6" t="inlineStr"/>
      <c r="J1736" s="6" t="inlineStr"/>
      <c r="K1736" s="6" t="inlineStr"/>
      <c r="L1736" s="6" t="inlineStr"/>
      <c r="M1736" s="5" t="inlineStr"/>
      <c r="N1736" s="5" t="inlineStr"/>
      <c r="O1736" s="6" t="inlineStr"/>
      <c r="P1736" s="6" t="inlineStr"/>
      <c r="Q1736" s="5" t="inlineStr"/>
      <c r="R1736" s="5" t="inlineStr"/>
      <c r="S1736" s="5" t="inlineStr"/>
      <c r="T1736" s="5" t="inlineStr"/>
      <c r="U1736" s="5" t="inlineStr"/>
      <c r="V1736" s="5" t="inlineStr"/>
      <c r="W1736" s="5" t="inlineStr"/>
      <c r="X1736" s="5" t="inlineStr"/>
      <c r="Y1736" s="5" t="inlineStr"/>
      <c r="Z1736" s="6" t="inlineStr"/>
      <c r="AA1736" s="5" t="inlineStr"/>
      <c r="AB1736" s="5" t="inlineStr"/>
      <c r="AC1736" s="5" t="inlineStr"/>
      <c r="AD1736" s="5" t="inlineStr"/>
      <c r="AE1736" s="5" t="inlineStr"/>
      <c r="AF1736" s="5" t="inlineStr"/>
      <c r="AG1736" s="5" t="inlineStr"/>
      <c r="AH1736" s="5" t="inlineStr">
        <is>
          <t>İtibar 51</t>
        </is>
      </c>
    </row>
    <row r="1737">
      <c r="A1737" s="5" t="inlineStr">
        <is>
          <t>kriz-9</t>
        </is>
      </c>
      <c r="B1737" s="5" t="n">
        <v>3</v>
      </c>
      <c r="C1737" s="6" t="inlineStr">
        <is>
          <t>Tezgâh aç, esnaflığa geç</t>
        </is>
      </c>
      <c r="D1737" s="5" t="inlineStr">
        <is>
          <t>Kurnazlık</t>
        </is>
      </c>
      <c r="E1737" s="5" t="inlineStr">
        <is>
          <t>Zor</t>
        </is>
      </c>
      <c r="F1737" s="5" t="inlineStr"/>
      <c r="G1737" s="6" t="inlineStr"/>
      <c r="H1737" s="6" t="inlineStr">
        <is>
          <t>Elindeki son birikimle küçük bir dükkân tuttun. Tabela senin, kira senin, veresiye defteri de senin. Hayat yeniden bir ritim buldu.</t>
        </is>
      </c>
      <c r="I1737" s="6" t="inlineStr">
        <is>
          <t>Dükkân ilk ayında kira çıkardı, ikinci ayında seni. Mahallede artık “Yeni esnaf” diye biliniyorsun; yeni ama ağzı laf yapan.</t>
        </is>
      </c>
      <c r="J1737" s="6" t="inlineStr">
        <is>
          <t>Dükkân tutmaya gittin; kira cebindekinin iki katıydı. Eski işine, eski yorgunluğuna döndün.</t>
        </is>
      </c>
      <c r="K1737" s="6" t="inlineStr">
        <is>
          <t>Dükkânı açtın, açılış günü sokak kazıldı. Üç ay kimse kapına ulaşamadı; sen de kapattın, eski işine döndün.</t>
        </is>
      </c>
      <c r="L1737" s="6" t="inlineStr"/>
      <c r="M1737" s="5" t="inlineStr"/>
      <c r="N1737" s="5" t="inlineStr"/>
      <c r="O1737" s="6" t="inlineStr"/>
      <c r="P1737" s="6" t="inlineStr"/>
      <c r="Q1737" s="5" t="inlineStr"/>
      <c r="R1737" s="5" t="inlineStr"/>
      <c r="S1737" s="5" t="inlineStr"/>
      <c r="T1737" s="5" t="inlineStr"/>
      <c r="U1737" s="5" t="inlineStr"/>
      <c r="V1737" s="5" t="inlineStr">
        <is>
          <t>-hat-cete, -hat-dolandirici, -hat-girisimci, -hat-goc, -hat-hekim, -hat-koy, -hat-polis, -hat-politika, -hat-sohret, -hat-usta, -hat-yargi, -meslek-beyazyaka, -meslek-memur, -meslek-serbest, meslek-esnaf</t>
        </is>
      </c>
      <c r="W1737" s="5" t="inlineStr"/>
      <c r="X1737" s="5" t="inlineStr"/>
      <c r="Y1737" s="5" t="inlineStr"/>
      <c r="Z1737" s="6" t="inlineStr"/>
      <c r="AA1737" s="5" t="inlineStr"/>
      <c r="AB1737" s="5" t="inlineStr"/>
      <c r="AC1737" s="5" t="inlineStr"/>
      <c r="AD1737" s="5" t="inlineStr"/>
      <c r="AE1737" s="5" t="inlineStr"/>
      <c r="AF1737" s="5" t="inlineStr"/>
      <c r="AG1737" s="5" t="inlineStr">
        <is>
          <t>meslek-esnaf</t>
        </is>
      </c>
      <c r="AH1737" s="5" t="inlineStr"/>
    </row>
    <row r="1738">
      <c r="A1738" s="5" t="inlineStr">
        <is>
          <t>kriz-9</t>
        </is>
      </c>
      <c r="B1738" s="5" t="n">
        <v>4</v>
      </c>
      <c r="C1738" s="6" t="inlineStr">
        <is>
          <t>Kendi girişimini kur</t>
        </is>
      </c>
      <c r="D1738" s="5" t="inlineStr">
        <is>
          <t>Cesaret</t>
        </is>
      </c>
      <c r="E1738" s="5" t="inlineStr">
        <is>
          <t>Zor</t>
        </is>
      </c>
      <c r="F1738" s="5" t="inlineStr"/>
      <c r="G1738" s="6" t="inlineStr"/>
      <c r="H1738" s="6" t="inlineStr">
        <is>
          <t>Bir fikir, bir sunum, bir kafe masası. Şirketin kuruldu. Yaşın kimseyi ilgilendirmedi; tecrüben herkesi ilgilendirdi.</t>
        </is>
      </c>
      <c r="I1738" s="6" t="inlineStr">
        <is>
          <t>İlk sunumda bir yatırımcı “Sizin gibi tecrübeli birini arıyorduk” dedi. Kriz, özgeçmişinin en iyi satırı oldu.</t>
        </is>
      </c>
      <c r="J1738" s="6" t="inlineStr">
        <is>
          <t>Fikrin güzeldi, zamanlaman değil. Eski işine döndün; fikir çekmecede bekliyor.</t>
        </is>
      </c>
      <c r="K1738" s="6" t="inlineStr">
        <is>
          <t>Şirketi kurdun, ilk hafta ortağın fikrinle birlikte ortadan kayboldu. Eski işine döndün; bir de avukatın var artık.</t>
        </is>
      </c>
      <c r="L1738" s="6" t="inlineStr"/>
      <c r="M1738" s="5" t="inlineStr"/>
      <c r="N1738" s="5" t="inlineStr"/>
      <c r="O1738" s="6" t="inlineStr"/>
      <c r="P1738" s="6" t="inlineStr"/>
      <c r="Q1738" s="5" t="inlineStr"/>
      <c r="R1738" s="5" t="inlineStr"/>
      <c r="S1738" s="5" t="inlineStr"/>
      <c r="T1738" s="5" t="inlineStr"/>
      <c r="U1738" s="5" t="inlineStr"/>
      <c r="V1738" s="5" t="inlineStr">
        <is>
          <t>-hat-cete, -hat-dolandirici, -hat-goc, -hat-hekim, -hat-koy, -hat-polis, -hat-politika, -hat-sohret, -hat-usta, -hat-yargi, -meslek-beyazyaka, -meslek-esnaf, -meslek-memur, hat-girisimci, meslek-serbest</t>
        </is>
      </c>
      <c r="W1738" s="5" t="inlineStr"/>
      <c r="X1738" s="5" t="inlineStr"/>
      <c r="Y1738" s="5" t="inlineStr"/>
      <c r="Z1738" s="6" t="inlineStr"/>
      <c r="AA1738" s="5" t="inlineStr"/>
      <c r="AB1738" s="5" t="inlineStr"/>
      <c r="AC1738" s="5" t="inlineStr"/>
      <c r="AD1738" s="5" t="inlineStr"/>
      <c r="AE1738" s="5" t="inlineStr"/>
      <c r="AF1738" s="5" t="inlineStr"/>
      <c r="AG1738" s="5" t="inlineStr">
        <is>
          <t>hat-girisimci</t>
        </is>
      </c>
      <c r="AH1738" s="5" t="inlineStr"/>
    </row>
    <row r="1739">
      <c r="A1739" s="5" t="inlineStr">
        <is>
          <t>kriz-9</t>
        </is>
      </c>
      <c r="B1739" s="5" t="n">
        <v>5</v>
      </c>
      <c r="C1739" s="6" t="inlineStr">
        <is>
          <t>Eski bir tanıdığın “ufak işine” gir</t>
        </is>
      </c>
      <c r="D1739" s="5" t="inlineStr">
        <is>
          <t>Cesaret</t>
        </is>
      </c>
      <c r="E1739" s="5" t="inlineStr">
        <is>
          <t>Zor</t>
        </is>
      </c>
      <c r="F1739" s="5" t="inlineStr"/>
      <c r="G1739" s="6" t="inlineStr"/>
      <c r="H1739" s="6" t="inlineStr">
        <is>
          <t>Bir telefon açtın, ertesi gün bir dükkânın başındaydın. Kasa hep dolu; nereden dolduğunu sormamak da işin parçası.</t>
        </is>
      </c>
      <c r="I1739" s="6" t="inlineStr">
        <is>
          <t>Yeni işinde hızla yükseldin; herkes sana “abi” demeye başladı. Bu kelimenin ağırlığını ilk kez omzunda hissettin.</t>
        </is>
      </c>
      <c r="J1739" s="6" t="inlineStr">
        <is>
          <t>Telefonu açtılar ama “Sen bu işlerin adamı değilsin” dediler. Belki de haklıydılar; eski işine döndün.</t>
        </is>
      </c>
      <c r="K1739" s="6" t="inlineStr">
        <is>
          <t>Telefonu yanlış kişiye açtın; komiser çıktı. Bir sohbet oldu, bir tutanak oldu. Eski işine döndün; bir dosyan var artık.</t>
        </is>
      </c>
      <c r="L1739" s="6" t="inlineStr"/>
      <c r="M1739" s="5" t="inlineStr"/>
      <c r="N1739" s="5" t="inlineStr"/>
      <c r="O1739" s="6" t="inlineStr"/>
      <c r="P1739" s="6" t="inlineStr"/>
      <c r="Q1739" s="5" t="inlineStr"/>
      <c r="R1739" s="5" t="inlineStr"/>
      <c r="S1739" s="5" t="inlineStr"/>
      <c r="T1739" s="5" t="inlineStr"/>
      <c r="U1739" s="5" t="inlineStr"/>
      <c r="V1739" s="5" t="inlineStr">
        <is>
          <t>-hat-dolandirici, -hat-girisimci, -hat-goc, -hat-hekim, -hat-koy, -hat-polis, -hat-politika, -hat-sohret, -hat-usta, -hat-yargi, -meslek-beyazyaka, -meslek-memur, -meslek-serbest, hat-cete, meslek-esnaf</t>
        </is>
      </c>
      <c r="W1739" s="5" t="inlineStr"/>
      <c r="X1739" s="5" t="inlineStr"/>
      <c r="Y1739" s="5" t="inlineStr"/>
      <c r="Z1739" s="6" t="inlineStr"/>
      <c r="AA1739" s="5" t="inlineStr">
        <is>
          <t>hepsi -1</t>
        </is>
      </c>
      <c r="AB1739" s="5" t="inlineStr"/>
      <c r="AC1739" s="5" t="inlineStr"/>
      <c r="AD1739" s="5" t="inlineStr"/>
      <c r="AE1739" s="5" t="inlineStr"/>
      <c r="AF1739" s="5" t="inlineStr"/>
      <c r="AG1739" s="5" t="inlineStr">
        <is>
          <t>hat-cete</t>
        </is>
      </c>
      <c r="AH1739" s="5" t="inlineStr"/>
    </row>
    <row r="1740">
      <c r="A1740" s="5" t="inlineStr">
        <is>
          <t>kriz-9</t>
        </is>
      </c>
      <c r="B1740" s="5" t="n">
        <v>6</v>
      </c>
      <c r="C1740" s="6" t="inlineStr">
        <is>
          <t>Emekli yatırım kulübüne üye topla</t>
        </is>
      </c>
      <c r="D1740" s="5" t="inlineStr">
        <is>
          <t>Kurnazlık</t>
        </is>
      </c>
      <c r="E1740" s="5" t="inlineStr">
        <is>
          <t>Zor</t>
        </is>
      </c>
      <c r="F1740" s="5" t="inlineStr"/>
      <c r="G1740" s="6" t="inlineStr"/>
      <c r="H1740" s="6" t="inlineStr">
        <is>
          <t>Bir ilan, üç telefon, bir sunum. Para geldi; nereden geldiğini sormamaya karar verdin. Vicdanın da sormadı; şimdilik.</t>
        </is>
      </c>
      <c r="I1740" s="6" t="inlineStr">
        <is>
          <t>Öyle hızlı büyüdün ki bir ay içinde kendi seminerini veriyordun. Salon doluydu; arka sırada vicdanın oturuyordu.</t>
        </is>
      </c>
      <c r="J1740" s="6" t="inlineStr">
        <is>
          <t>İlanın ilk cevabını veren kişi bir dolandırıcıydı. Seni dolandırmaya çalıştı; ikiniz de vazgeçtiniz.</t>
        </is>
      </c>
      <c r="K1740" s="6" t="inlineStr">
        <is>
          <t>İlk “fırsatı” yakından inceleyince kendini bir tüketici programında buldun. Adın yok, sesin var.</t>
        </is>
      </c>
      <c r="L1740" s="6" t="inlineStr"/>
      <c r="M1740" s="5" t="inlineStr"/>
      <c r="N1740" s="5" t="inlineStr"/>
      <c r="O1740" s="6" t="inlineStr"/>
      <c r="P1740" s="6" t="inlineStr"/>
      <c r="Q1740" s="5" t="inlineStr"/>
      <c r="R1740" s="5" t="inlineStr"/>
      <c r="S1740" s="5" t="inlineStr"/>
      <c r="T1740" s="5" t="inlineStr"/>
      <c r="U1740" s="5" t="inlineStr"/>
      <c r="V1740" s="5" t="inlineStr">
        <is>
          <t>-hat-cete, -hat-girisimci, -hat-goc, -hat-hekim, -hat-koy, -hat-polis, -hat-politika, -hat-sohret, -hat-usta, -hat-yargi, -meslek-beyazyaka, -meslek-esnaf, -meslek-memur, hat-dolandirici, meslek-serbest</t>
        </is>
      </c>
      <c r="W1740" s="5" t="inlineStr"/>
      <c r="X1740" s="5" t="inlineStr"/>
      <c r="Y1740" s="5" t="inlineStr"/>
      <c r="Z1740" s="6" t="inlineStr"/>
      <c r="AA1740" s="5" t="inlineStr">
        <is>
          <t>hepsi -1</t>
        </is>
      </c>
      <c r="AB1740" s="5" t="inlineStr"/>
      <c r="AC1740" s="5" t="inlineStr"/>
      <c r="AD1740" s="5" t="inlineStr"/>
      <c r="AE1740" s="5" t="inlineStr"/>
      <c r="AF1740" s="5" t="inlineStr"/>
      <c r="AG1740" s="5" t="inlineStr">
        <is>
          <t>hat-dolandirici</t>
        </is>
      </c>
      <c r="AH1740" s="5" t="inlineStr"/>
    </row>
    <row r="1741">
      <c r="A1741" s="5" t="inlineStr">
        <is>
          <t>b8-orta-yas</t>
        </is>
      </c>
      <c r="B1741" s="5" t="n">
        <v>1</v>
      </c>
      <c r="C1741" s="6" t="inlineStr">
        <is>
          <t>Hiçbir şey olmamış gibi devam et</t>
        </is>
      </c>
      <c r="D1741" s="5" t="inlineStr"/>
      <c r="E1741" s="5" t="inlineStr"/>
      <c r="F1741" s="5" t="inlineStr">
        <is>
          <t>Dayanıklılık +1, İtibar +1</t>
        </is>
      </c>
      <c r="G1741" s="6" t="inlineStr">
        <is>
          <t>Orta yaş krizini sessizce atlattın. Sadece bir kez, markette, indirimli portakalların önünde ağladın.</t>
        </is>
      </c>
      <c r="H1741" s="6" t="inlineStr"/>
      <c r="I1741" s="6" t="inlineStr"/>
      <c r="J1741" s="6" t="inlineStr"/>
      <c r="K1741" s="6" t="inlineStr"/>
      <c r="L1741" s="6" t="inlineStr"/>
      <c r="M1741" s="5" t="inlineStr"/>
      <c r="N1741" s="5" t="inlineStr"/>
      <c r="O1741" s="6" t="inlineStr"/>
      <c r="P1741" s="6" t="inlineStr"/>
      <c r="Q1741" s="5" t="inlineStr"/>
      <c r="R1741" s="5" t="inlineStr"/>
      <c r="S1741" s="5" t="inlineStr"/>
      <c r="T1741" s="5" t="inlineStr"/>
      <c r="U1741" s="5" t="inlineStr"/>
      <c r="V1741" s="5" t="inlineStr"/>
      <c r="W1741" s="5" t="inlineStr"/>
      <c r="X1741" s="5" t="inlineStr"/>
      <c r="Y1741" s="5" t="inlineStr"/>
      <c r="Z1741" s="6" t="inlineStr"/>
      <c r="AA1741" s="5" t="inlineStr"/>
      <c r="AB1741" s="5" t="inlineStr"/>
      <c r="AC1741" s="5" t="inlineStr"/>
      <c r="AD1741" s="5" t="inlineStr"/>
      <c r="AE1741" s="5" t="inlineStr"/>
      <c r="AF1741" s="5" t="inlineStr"/>
      <c r="AG1741" s="5" t="inlineStr"/>
      <c r="AH1741" s="5" t="inlineStr"/>
    </row>
    <row r="1742">
      <c r="A1742" s="5" t="inlineStr">
        <is>
          <t>b8-orta-yas</t>
        </is>
      </c>
      <c r="B1742" s="5" t="n">
        <v>2</v>
      </c>
      <c r="C1742" s="6" t="inlineStr">
        <is>
          <t>Her şeyi bırak, köye dön</t>
        </is>
      </c>
      <c r="D1742" s="5" t="inlineStr">
        <is>
          <t>Cesaret</t>
        </is>
      </c>
      <c r="E1742" s="5" t="inlineStr">
        <is>
          <t>Zor</t>
        </is>
      </c>
      <c r="F1742" s="5" t="inlineStr"/>
      <c r="G1742" s="6" t="inlineStr"/>
      <c r="H1742" s="6" t="inlineStr">
        <is>
          <t>Kırk dördünde köye taşındın. İlk hafta bir keçi seni kovaladı; köylülere göre bu bir kabul töreniydi.</t>
        </is>
      </c>
      <c r="I1742" s="6" t="inlineStr">
        <is>
          <t>Köye taşındığın hafta muhtar seni kahveye çağırdı, ikinci hafta kooperatife. Köy seni şehirden daha çabuk sevdi.</t>
        </is>
      </c>
      <c r="J1742" s="6" t="inlineStr">
        <is>
          <t>Valizleri topladın, otogara kadar gittin, bilet kuyruğunda bir saat bekledin. Sonra eve döndün; valizler hâlâ kapının önünde.</t>
        </is>
      </c>
      <c r="K1742" s="6" t="inlineStr">
        <is>
          <t>Köye gittin; dedenin evinin çatısı yoktu, tarlası da başkasınındı. Bir hafta sonra şehre, eski işine döndün; biraz güneşlenmiş olarak.</t>
        </is>
      </c>
      <c r="L1742" s="6" t="inlineStr"/>
      <c r="M1742" s="5" t="inlineStr"/>
      <c r="N1742" s="5" t="inlineStr"/>
      <c r="O1742" s="6" t="inlineStr"/>
      <c r="P1742" s="6" t="inlineStr"/>
      <c r="Q1742" s="5" t="inlineStr"/>
      <c r="R1742" s="5" t="inlineStr"/>
      <c r="S1742" s="5" t="inlineStr"/>
      <c r="T1742" s="5" t="inlineStr"/>
      <c r="U1742" s="5" t="inlineStr"/>
      <c r="V1742" s="5" t="inlineStr">
        <is>
          <t>-hat-cete, -hat-dolandirici, -hat-girisimci, -hat-goc, -hat-hekim, -hat-polis, -hat-politika, -hat-sohret, -hat-usta, -hat-yargi, -meslek-beyazyaka, -meslek-memur, -meslek-serbest, hat-koy, meslek-esnaf</t>
        </is>
      </c>
      <c r="W1742" s="5" t="inlineStr"/>
      <c r="X1742" s="5" t="inlineStr"/>
      <c r="Y1742" s="5" t="inlineStr"/>
      <c r="Z1742" s="6" t="inlineStr"/>
      <c r="AA1742" s="5" t="inlineStr">
        <is>
          <t>Yalçın +1, Şen +1, Tan -1, Varlı -1</t>
        </is>
      </c>
      <c r="AB1742" s="5" t="inlineStr"/>
      <c r="AC1742" s="5" t="inlineStr"/>
      <c r="AD1742" s="5" t="inlineStr"/>
      <c r="AE1742" s="5" t="inlineStr"/>
      <c r="AF1742" s="5" t="inlineStr"/>
      <c r="AG1742" s="5" t="inlineStr">
        <is>
          <t>hat-koy</t>
        </is>
      </c>
      <c r="AH1742" s="5" t="inlineStr"/>
    </row>
    <row r="1743">
      <c r="A1743" s="5" t="inlineStr">
        <is>
          <t>b8-orta-yas</t>
        </is>
      </c>
      <c r="B1743" s="5" t="n">
        <v>3</v>
      </c>
      <c r="C1743" s="6" t="inlineStr">
        <is>
          <t>Motosiklet al, saçını uzat</t>
        </is>
      </c>
      <c r="D1743" s="5" t="inlineStr"/>
      <c r="E1743" s="5" t="inlineStr"/>
      <c r="F1743" s="5" t="inlineStr">
        <is>
          <t>Cesaret +1, Pişkinlik +1</t>
        </is>
      </c>
      <c r="G1743" s="6" t="inlineStr">
        <is>
          <t>Motosikleti aldın, saçını uzatmaya karar verdin. Saç kararını geri çevirdi; motosiklet çevirmedi.</t>
        </is>
      </c>
      <c r="H1743" s="6" t="inlineStr"/>
      <c r="I1743" s="6" t="inlineStr"/>
      <c r="J1743" s="6" t="inlineStr"/>
      <c r="K1743" s="6" t="inlineStr"/>
      <c r="L1743" s="6" t="inlineStr"/>
      <c r="M1743" s="5" t="inlineStr"/>
      <c r="N1743" s="5" t="inlineStr"/>
      <c r="O1743" s="6" t="inlineStr"/>
      <c r="P1743" s="6" t="inlineStr"/>
      <c r="Q1743" s="5" t="inlineStr"/>
      <c r="R1743" s="5" t="inlineStr"/>
      <c r="S1743" s="5" t="inlineStr"/>
      <c r="T1743" s="5" t="inlineStr"/>
      <c r="U1743" s="5" t="inlineStr">
        <is>
          <t>motosikletli</t>
        </is>
      </c>
      <c r="V1743" s="5" t="inlineStr"/>
      <c r="W1743" s="5" t="inlineStr"/>
      <c r="X1743" s="5" t="inlineStr"/>
      <c r="Y1743" s="5" t="inlineStr"/>
      <c r="Z1743" s="6" t="inlineStr"/>
      <c r="AA1743" s="5" t="inlineStr"/>
      <c r="AB1743" s="5" t="inlineStr"/>
      <c r="AC1743" s="5" t="inlineStr"/>
      <c r="AD1743" s="5" t="inlineStr"/>
      <c r="AE1743" s="5" t="inlineStr"/>
      <c r="AF1743" s="5" t="inlineStr"/>
      <c r="AG1743" s="5" t="inlineStr">
        <is>
          <t>evli</t>
        </is>
      </c>
      <c r="AH1743" s="5" t="inlineStr"/>
    </row>
    <row r="1744">
      <c r="A1744" s="5" t="inlineStr">
        <is>
          <t>b8-orta-yas</t>
        </is>
      </c>
      <c r="B1744" s="5" t="n">
        <v>4</v>
      </c>
      <c r="C1744" s="6" t="inlineStr">
        <is>
          <t>Motosiklet al, eşine sonra söyle</t>
        </is>
      </c>
      <c r="D1744" s="5" t="inlineStr">
        <is>
          <t>Pişkinlik</t>
        </is>
      </c>
      <c r="E1744" s="5" t="inlineStr">
        <is>
          <t>Zor</t>
        </is>
      </c>
      <c r="F1744" s="5" t="inlineStr"/>
      <c r="G1744" s="6" t="inlineStr"/>
      <c r="H1744" s="6" t="inlineStr">
        <is>
          <t>Motosikleti eve getirdin. Eşin önce güldü, sonra kaskı aldı, sonra arkana bindi. Pazar sabahları artık sahil yolundasınız.</t>
        </is>
      </c>
      <c r="I1744" s="6" t="inlineStr">
        <is>
          <t>Eşin motosikleti öyle sevdi ki ehliyet kursuna yazıldı. Şimdi iki motosikletiniz var; biri onun, daha büyüğü.</t>
        </is>
      </c>
      <c r="J1744" s="6" t="inlineStr">
        <is>
          <t>Eşin motosikleti gördü ve hiçbir şey demedi. İki hafta boyunca hiçbir şey demedi. Motosikleti sattın.</t>
        </is>
      </c>
      <c r="K1744" s="6" t="inlineStr">
        <is>
          <t>Eşin motosikleti gördü, sonra seni, sonra bir avukatı aradı. Motosiklet sende kaldı; ev onda.</t>
        </is>
      </c>
      <c r="L1744" s="6" t="inlineStr"/>
      <c r="M1744" s="5" t="inlineStr"/>
      <c r="N1744" s="5" t="inlineStr"/>
      <c r="O1744" s="6" t="inlineStr"/>
      <c r="P1744" s="6" t="inlineStr"/>
      <c r="Q1744" s="5" t="inlineStr"/>
      <c r="R1744" s="5" t="inlineStr">
        <is>
          <t>evli</t>
        </is>
      </c>
      <c r="S1744" s="5" t="inlineStr"/>
      <c r="T1744" s="5" t="inlineStr"/>
      <c r="U1744" s="5" t="inlineStr"/>
      <c r="V1744" s="5" t="inlineStr">
        <is>
          <t>motosikletli</t>
        </is>
      </c>
      <c r="W1744" s="5" t="inlineStr">
        <is>
          <t>-evli, bosandi</t>
        </is>
      </c>
      <c r="X1744" s="5" t="inlineStr"/>
      <c r="Y1744" s="5" t="inlineStr"/>
      <c r="Z1744" s="6" t="inlineStr"/>
      <c r="AA1744" s="5" t="inlineStr"/>
      <c r="AB1744" s="5" t="inlineStr"/>
      <c r="AC1744" s="5" t="inlineStr"/>
      <c r="AD1744" s="5" t="inlineStr"/>
      <c r="AE1744" s="5" t="inlineStr"/>
      <c r="AF1744" s="5" t="inlineStr"/>
      <c r="AG1744" s="5" t="inlineStr"/>
      <c r="AH1744" s="5" t="inlineStr"/>
    </row>
    <row r="1745">
      <c r="A1745" s="5" t="inlineStr">
        <is>
          <t>b8-orta-yas</t>
        </is>
      </c>
      <c r="B1745" s="5" t="n">
        <v>5</v>
      </c>
      <c r="C1745" s="6" t="inlineStr">
        <is>
          <t>Zirveye oyna</t>
        </is>
      </c>
      <c r="D1745" s="5" t="inlineStr">
        <is>
          <t>Dayanıklılık</t>
        </is>
      </c>
      <c r="E1745" s="5" t="inlineStr">
        <is>
          <t>Çok Zor</t>
        </is>
      </c>
      <c r="F1745" s="5" t="inlineStr"/>
      <c r="G1745" s="6" t="inlineStr"/>
      <c r="H1745" s="6" t="inlineStr">
        <is>
          <t>Müdür oldun. Kapına “Lütfen kapıyı çalınız” yazısı asıldı; ilk çalan, eski müdürün.</t>
        </is>
      </c>
      <c r="I1745" s="6" t="inlineStr">
        <is>
          <t>Genel müdürlüğe çağrıldın. Yeni masanda üç telefon var; biri hiç çalmıyor, sadece duruyor.</t>
        </is>
      </c>
      <c r="J1745" s="6" t="inlineStr">
        <is>
          <t>Müdürlük sınavında yirmi yıllık tecrüben bir çoktan seçmeli soruya sığmadı. Şef olarak kaldın.</t>
        </is>
      </c>
      <c r="K1745" s="6" t="inlineStr">
        <is>
          <t>Terfi dilekçeni yanlış birime verdin. Dilekçe hâlâ dolaşıyor; sen de şefsin.</t>
        </is>
      </c>
      <c r="L1745" s="6" t="inlineStr"/>
      <c r="M1745" s="5" t="inlineStr"/>
      <c r="N1745" s="5" t="inlineStr"/>
      <c r="O1745" s="6" t="inlineStr"/>
      <c r="P1745" s="6" t="inlineStr"/>
      <c r="Q1745" s="5" t="inlineStr"/>
      <c r="R1745" s="5" t="inlineStr">
        <is>
          <t>meslek-memur</t>
        </is>
      </c>
      <c r="S1745" s="5" t="inlineStr"/>
      <c r="T1745" s="5" t="inlineStr"/>
      <c r="U1745" s="5" t="inlineStr"/>
      <c r="V1745" s="5" t="inlineStr">
        <is>
          <t>zirve</t>
        </is>
      </c>
      <c r="W1745" s="5" t="inlineStr"/>
      <c r="X1745" s="5" t="inlineStr"/>
      <c r="Y1745" s="5" t="inlineStr"/>
      <c r="Z1745" s="6" t="inlineStr"/>
      <c r="AA1745" s="5" t="inlineStr"/>
      <c r="AB1745" s="5" t="inlineStr"/>
      <c r="AC1745" s="5" t="inlineStr"/>
      <c r="AD1745" s="5" t="inlineStr">
        <is>
          <t>Rahat</t>
        </is>
      </c>
      <c r="AE1745" s="5" t="inlineStr"/>
      <c r="AF1745" s="5" t="inlineStr"/>
      <c r="AG1745" s="5" t="inlineStr">
        <is>
          <t>hat-polis, hat-yargi, hat-hekim</t>
        </is>
      </c>
      <c r="AH1745" s="5" t="inlineStr"/>
    </row>
    <row r="1746">
      <c r="A1746" s="5" t="inlineStr">
        <is>
          <t>b8-orta-yas</t>
        </is>
      </c>
      <c r="B1746" s="5" t="n">
        <v>6</v>
      </c>
      <c r="C1746" s="6" t="inlineStr">
        <is>
          <t>Zirveye oyna</t>
        </is>
      </c>
      <c r="D1746" s="5" t="inlineStr">
        <is>
          <t>Akıl</t>
        </is>
      </c>
      <c r="E1746" s="5" t="inlineStr">
        <is>
          <t>Çok Zor</t>
        </is>
      </c>
      <c r="F1746" s="5" t="inlineStr"/>
      <c r="G1746" s="6" t="inlineStr"/>
      <c r="H1746" s="6" t="inlineStr">
        <is>
          <t>Direktör oldun. Takviminde tek boş saat kendi doğum günün; o da “belki” olarak işaretli.</t>
        </is>
      </c>
      <c r="I1746" s="6" t="inlineStr">
        <is>
          <t>Yönetim kuruluna girdin. Artık toplantıların toplantısını yapıyorsun; gündem maddesi: toplantılar.</t>
        </is>
      </c>
      <c r="J1746" s="6" t="inlineStr">
        <is>
          <t>Direktörlük otuz yaşındaki bir “yetenek”e gitti. Sen ona sunum yapmayı öğretiyorsun.</t>
        </is>
      </c>
      <c r="K1746" s="6" t="inlineStr">
        <is>
          <t>Terfi sunumunda ekranın açık kaldı; alışveriş sepetin bütün yönetimin gözü önündeydi.</t>
        </is>
      </c>
      <c r="L1746" s="6" t="inlineStr"/>
      <c r="M1746" s="5" t="inlineStr"/>
      <c r="N1746" s="5" t="inlineStr"/>
      <c r="O1746" s="6" t="inlineStr"/>
      <c r="P1746" s="6" t="inlineStr"/>
      <c r="Q1746" s="5" t="inlineStr"/>
      <c r="R1746" s="5" t="inlineStr">
        <is>
          <t>meslek-beyazyaka</t>
        </is>
      </c>
      <c r="S1746" s="5" t="inlineStr"/>
      <c r="T1746" s="5" t="inlineStr"/>
      <c r="U1746" s="5" t="inlineStr"/>
      <c r="V1746" s="5" t="inlineStr">
        <is>
          <t>zirve</t>
        </is>
      </c>
      <c r="W1746" s="5" t="inlineStr"/>
      <c r="X1746" s="5" t="inlineStr"/>
      <c r="Y1746" s="5" t="inlineStr"/>
      <c r="Z1746" s="6" t="inlineStr"/>
      <c r="AA1746" s="5" t="inlineStr"/>
      <c r="AB1746" s="5" t="inlineStr"/>
      <c r="AC1746" s="5" t="inlineStr"/>
      <c r="AD1746" s="5" t="inlineStr">
        <is>
          <t>Rahat</t>
        </is>
      </c>
      <c r="AE1746" s="5" t="inlineStr"/>
      <c r="AF1746" s="5" t="inlineStr"/>
      <c r="AG1746" s="5" t="inlineStr">
        <is>
          <t>hat-goc</t>
        </is>
      </c>
      <c r="AH1746" s="5" t="inlineStr"/>
    </row>
    <row r="1747">
      <c r="A1747" s="5" t="inlineStr">
        <is>
          <t>b8-orta-yas</t>
        </is>
      </c>
      <c r="B1747" s="5" t="n">
        <v>7</v>
      </c>
      <c r="C1747" s="6" t="inlineStr">
        <is>
          <t>Zirveye oyna</t>
        </is>
      </c>
      <c r="D1747" s="5" t="inlineStr">
        <is>
          <t>Çene</t>
        </is>
      </c>
      <c r="E1747" s="5" t="inlineStr">
        <is>
          <t>Çok Zor</t>
        </is>
      </c>
      <c r="F1747" s="5" t="inlineStr"/>
      <c r="G1747" s="6" t="inlineStr"/>
      <c r="H1747" s="6" t="inlineStr">
        <is>
          <t>Çarşı derneği başkanı oldun. Senin onayın olmadan kimse tabela asamıyor.</t>
        </is>
      </c>
      <c r="I1747" s="6" t="inlineStr">
        <is>
          <t>Çarşı gayriresmî olarak senin adınla anılıyor. Belediye tabelayı değiştirmeyi ciddi ciddi düşünüyor.</t>
        </is>
      </c>
      <c r="J1747" s="6" t="inlineStr">
        <is>
          <t>Dernek seçimini karşı dükkân bir oy farkla kazandı. O oy, senin çırağınındı.</t>
        </is>
      </c>
      <c r="K1747" s="6" t="inlineStr">
        <is>
          <t>Seçim günü kepenk kapandı, içeride kaldın, oy kullanamadın. Fark bir oydu.</t>
        </is>
      </c>
      <c r="L1747" s="6" t="inlineStr"/>
      <c r="M1747" s="5" t="inlineStr"/>
      <c r="N1747" s="5" t="inlineStr"/>
      <c r="O1747" s="6" t="inlineStr"/>
      <c r="P1747" s="6" t="inlineStr"/>
      <c r="Q1747" s="5" t="inlineStr"/>
      <c r="R1747" s="5" t="inlineStr">
        <is>
          <t>meslek-esnaf</t>
        </is>
      </c>
      <c r="S1747" s="5" t="inlineStr"/>
      <c r="T1747" s="5" t="inlineStr"/>
      <c r="U1747" s="5" t="inlineStr"/>
      <c r="V1747" s="5" t="inlineStr">
        <is>
          <t>zirve</t>
        </is>
      </c>
      <c r="W1747" s="5" t="inlineStr"/>
      <c r="X1747" s="5" t="inlineStr"/>
      <c r="Y1747" s="5" t="inlineStr"/>
      <c r="Z1747" s="6" t="inlineStr"/>
      <c r="AA1747" s="5" t="inlineStr"/>
      <c r="AB1747" s="5" t="inlineStr"/>
      <c r="AC1747" s="5" t="inlineStr"/>
      <c r="AD1747" s="5" t="inlineStr">
        <is>
          <t>Rahat</t>
        </is>
      </c>
      <c r="AE1747" s="5" t="inlineStr"/>
      <c r="AF1747" s="5" t="inlineStr"/>
      <c r="AG1747" s="5" t="inlineStr">
        <is>
          <t>hat-cete, hat-koy, hat-usta</t>
        </is>
      </c>
      <c r="AH1747" s="5" t="inlineStr"/>
    </row>
    <row r="1748">
      <c r="A1748" s="5" t="inlineStr">
        <is>
          <t>b8-orta-yas</t>
        </is>
      </c>
      <c r="B1748" s="5" t="n">
        <v>8</v>
      </c>
      <c r="C1748" s="6" t="inlineStr">
        <is>
          <t>Zirveye oyna</t>
        </is>
      </c>
      <c r="D1748" s="5" t="inlineStr">
        <is>
          <t>Pişkinlik</t>
        </is>
      </c>
      <c r="E1748" s="5" t="inlineStr">
        <is>
          <t>Çok Zor</t>
        </is>
      </c>
      <c r="F1748" s="5" t="inlineStr"/>
      <c r="G1748" s="6" t="inlineStr"/>
      <c r="H1748" s="6" t="inlineStr">
        <is>
          <t>Kendi ajansını kurdun. Artık gece yarısı “Küçük bir revizyon” mesajını sen atıyorsun.</t>
        </is>
      </c>
      <c r="I1748" s="6" t="inlineStr">
        <is>
          <t>Ajansın büyüdü; eski müşterilerin artık seni kovalıyor, fatura için değil, randevu için.</t>
        </is>
      </c>
      <c r="J1748" s="6" t="inlineStr">
        <is>
          <t>Ajans planın bir sunumda kaldı. Sunum güzeldi; faturası hâlâ ödenmedi.</t>
        </is>
      </c>
      <c r="K1748" s="6" t="inlineStr">
        <is>
          <t>Ortağın müşterileri alıp gitti. Sana ajansın logosu kaldı; o da senin tasarımındı.</t>
        </is>
      </c>
      <c r="L1748" s="6" t="inlineStr"/>
      <c r="M1748" s="5" t="inlineStr"/>
      <c r="N1748" s="5" t="inlineStr"/>
      <c r="O1748" s="6" t="inlineStr"/>
      <c r="P1748" s="6" t="inlineStr"/>
      <c r="Q1748" s="5" t="inlineStr"/>
      <c r="R1748" s="5" t="inlineStr">
        <is>
          <t>meslek-serbest</t>
        </is>
      </c>
      <c r="S1748" s="5" t="inlineStr"/>
      <c r="T1748" s="5" t="inlineStr"/>
      <c r="U1748" s="5" t="inlineStr"/>
      <c r="V1748" s="5" t="inlineStr">
        <is>
          <t>zirve</t>
        </is>
      </c>
      <c r="W1748" s="5" t="inlineStr"/>
      <c r="X1748" s="5" t="inlineStr"/>
      <c r="Y1748" s="5" t="inlineStr"/>
      <c r="Z1748" s="6" t="inlineStr"/>
      <c r="AA1748" s="5" t="inlineStr"/>
      <c r="AB1748" s="5" t="inlineStr"/>
      <c r="AC1748" s="5" t="inlineStr"/>
      <c r="AD1748" s="5" t="inlineStr">
        <is>
          <t>Rahat</t>
        </is>
      </c>
      <c r="AE1748" s="5" t="inlineStr"/>
      <c r="AF1748" s="5" t="inlineStr"/>
      <c r="AG1748" s="5" t="inlineStr">
        <is>
          <t>hat-sohret, hat-dolandirici, hat-girisimci</t>
        </is>
      </c>
      <c r="AH1748" s="5" t="inlineStr"/>
    </row>
    <row r="1749">
      <c r="A1749" s="5" t="inlineStr">
        <is>
          <t>b8-orta-yas</t>
        </is>
      </c>
      <c r="B1749" s="5" t="n">
        <v>9</v>
      </c>
      <c r="C1749" s="6" t="inlineStr">
        <is>
          <t>Zirveye oyna</t>
        </is>
      </c>
      <c r="D1749" s="5" t="inlineStr">
        <is>
          <t>Cesaret</t>
        </is>
      </c>
      <c r="E1749" s="5" t="inlineStr">
        <is>
          <t>Çok Zor</t>
        </is>
      </c>
      <c r="F1749" s="5" t="inlineStr"/>
      <c r="G1749" s="6" t="inlineStr"/>
      <c r="H1749" s="6" t="inlineStr">
        <is>
          <t>Emniyet müdürü oldun. Eski devriye arkadaşların hâlâ “Yavaş koş” diye takılıyor.</t>
        </is>
      </c>
      <c r="I1749" s="6" t="inlineStr">
        <is>
          <t>İlk gününde yirmi yıllık bir dosyayı kapattın: karakolun kayıp çaydanlığı. Bulundu; müdürün odasındaydı.</t>
        </is>
      </c>
      <c r="J1749" s="6" t="inlineStr">
        <is>
          <t>Müdürlük başka birine gitti. Masanda kalan tek terfi, yeni bir mühür.</t>
        </is>
      </c>
      <c r="K1749" s="6" t="inlineStr">
        <is>
          <t>Tören provasında selamı ters verdin; video herkese ulaştı. Terfi başka bahara.</t>
        </is>
      </c>
      <c r="L1749" s="6" t="inlineStr"/>
      <c r="M1749" s="5" t="inlineStr"/>
      <c r="N1749" s="5" t="inlineStr"/>
      <c r="O1749" s="6" t="inlineStr"/>
      <c r="P1749" s="6" t="inlineStr"/>
      <c r="Q1749" s="5" t="inlineStr"/>
      <c r="R1749" s="5" t="inlineStr">
        <is>
          <t>hat-polis</t>
        </is>
      </c>
      <c r="S1749" s="5" t="inlineStr"/>
      <c r="T1749" s="5" t="inlineStr"/>
      <c r="U1749" s="5" t="inlineStr"/>
      <c r="V1749" s="5" t="inlineStr">
        <is>
          <t>zirve</t>
        </is>
      </c>
      <c r="W1749" s="5" t="inlineStr"/>
      <c r="X1749" s="5" t="inlineStr"/>
      <c r="Y1749" s="5" t="inlineStr"/>
      <c r="Z1749" s="6" t="inlineStr"/>
      <c r="AA1749" s="5" t="inlineStr"/>
      <c r="AB1749" s="5" t="inlineStr"/>
      <c r="AC1749" s="5" t="inlineStr"/>
      <c r="AD1749" s="5" t="inlineStr">
        <is>
          <t>Rahat</t>
        </is>
      </c>
      <c r="AE1749" s="5" t="inlineStr"/>
      <c r="AF1749" s="5" t="inlineStr"/>
      <c r="AG1749" s="5" t="inlineStr"/>
      <c r="AH1749" s="5" t="inlineStr"/>
    </row>
    <row r="1750">
      <c r="A1750" s="5" t="inlineStr">
        <is>
          <t>b8-orta-yas</t>
        </is>
      </c>
      <c r="B1750" s="5" t="n">
        <v>10</v>
      </c>
      <c r="C1750" s="6" t="inlineStr">
        <is>
          <t>Zirveye oyna</t>
        </is>
      </c>
      <c r="D1750" s="5" t="inlineStr">
        <is>
          <t>Akıl</t>
        </is>
      </c>
      <c r="E1750" s="5" t="inlineStr">
        <is>
          <t>Çok Zor</t>
        </is>
      </c>
      <c r="F1750" s="5" t="inlineStr"/>
      <c r="G1750" s="6" t="inlineStr"/>
      <c r="H1750" s="6" t="inlineStr">
        <is>
          <t>Yüksek mahkemeye seçildin. Cübben artık tam oturuyor; terzi haklıymış.</t>
        </is>
      </c>
      <c r="I1750" s="6" t="inlineStr">
        <is>
          <t>Yazdığın bir karar ders kitaplarına girdi. Öğrenciler senin cümlelerinle sınava giriyor; seni hâlâ tanımıyorlar.</t>
        </is>
      </c>
      <c r="J1750" s="6" t="inlineStr">
        <is>
          <t>Listede adın vardı, sonra yoktu. Kimse nedenini açıklamadı; gerekçeli karar da gelmedi.</t>
        </is>
      </c>
      <c r="K1750" s="6" t="inlineStr">
        <is>
          <t>Mülakatta farkında olmadan kendi eski kararını eleştirdin. Kurul çok güldü; seçmedi.</t>
        </is>
      </c>
      <c r="L1750" s="6" t="inlineStr"/>
      <c r="M1750" s="5" t="inlineStr"/>
      <c r="N1750" s="5" t="inlineStr"/>
      <c r="O1750" s="6" t="inlineStr"/>
      <c r="P1750" s="6" t="inlineStr"/>
      <c r="Q1750" s="5" t="inlineStr"/>
      <c r="R1750" s="5" t="inlineStr">
        <is>
          <t>hat-yargi</t>
        </is>
      </c>
      <c r="S1750" s="5" t="inlineStr"/>
      <c r="T1750" s="5" t="inlineStr"/>
      <c r="U1750" s="5" t="inlineStr"/>
      <c r="V1750" s="5" t="inlineStr">
        <is>
          <t>zirve</t>
        </is>
      </c>
      <c r="W1750" s="5" t="inlineStr"/>
      <c r="X1750" s="5" t="inlineStr"/>
      <c r="Y1750" s="5" t="inlineStr"/>
      <c r="Z1750" s="6" t="inlineStr"/>
      <c r="AA1750" s="5" t="inlineStr"/>
      <c r="AB1750" s="5" t="inlineStr"/>
      <c r="AC1750" s="5" t="inlineStr"/>
      <c r="AD1750" s="5" t="inlineStr">
        <is>
          <t>Rahat</t>
        </is>
      </c>
      <c r="AE1750" s="5" t="inlineStr"/>
      <c r="AF1750" s="5" t="inlineStr"/>
      <c r="AG1750" s="5" t="inlineStr"/>
      <c r="AH1750" s="5" t="inlineStr"/>
    </row>
    <row r="1751">
      <c r="A1751" s="5" t="inlineStr">
        <is>
          <t>b8-orta-yas</t>
        </is>
      </c>
      <c r="B1751" s="5" t="n">
        <v>11</v>
      </c>
      <c r="C1751" s="6" t="inlineStr">
        <is>
          <t>Zirveye oyna</t>
        </is>
      </c>
      <c r="D1751" s="5" t="inlineStr">
        <is>
          <t>Akıl</t>
        </is>
      </c>
      <c r="E1751" s="5" t="inlineStr">
        <is>
          <t>Çok Zor</t>
        </is>
      </c>
      <c r="F1751" s="5" t="inlineStr"/>
      <c r="G1751" s="6" t="inlineStr"/>
      <c r="H1751" s="6" t="inlineStr">
        <is>
          <t>Profesör oldun. Aile grubundaki teyzen artık seni “Hocam” diye etiketliyor; semptomlarla birlikte.</t>
        </is>
      </c>
      <c r="I1751" s="6" t="inlineStr">
        <is>
          <t>Adını taşıyan bir ameliyat tekniği var. Kimse doğru telaffuz edemiyor; herkes uyguluyor.</t>
        </is>
      </c>
      <c r="J1751" s="6" t="inlineStr">
        <is>
          <t>Profesörlük jürisi dosyanı bir yıl erteledi. Sen de bir yıl daha nöbet tuttun.</t>
        </is>
      </c>
      <c r="K1751" s="6" t="inlineStr">
        <is>
          <t>Jüri sunumunda slaytların yerine tatil fotoğrafların açıldı. Jüri denizi beğendi, dosyayı beğenmedi.</t>
        </is>
      </c>
      <c r="L1751" s="6" t="inlineStr"/>
      <c r="M1751" s="5" t="inlineStr"/>
      <c r="N1751" s="5" t="inlineStr"/>
      <c r="O1751" s="6" t="inlineStr"/>
      <c r="P1751" s="6" t="inlineStr"/>
      <c r="Q1751" s="5" t="inlineStr"/>
      <c r="R1751" s="5" t="inlineStr">
        <is>
          <t>hat-hekim</t>
        </is>
      </c>
      <c r="S1751" s="5" t="inlineStr"/>
      <c r="T1751" s="5" t="inlineStr"/>
      <c r="U1751" s="5" t="inlineStr"/>
      <c r="V1751" s="5" t="inlineStr">
        <is>
          <t>zirve</t>
        </is>
      </c>
      <c r="W1751" s="5" t="inlineStr"/>
      <c r="X1751" s="5" t="inlineStr"/>
      <c r="Y1751" s="5" t="inlineStr"/>
      <c r="Z1751" s="6" t="inlineStr"/>
      <c r="AA1751" s="5" t="inlineStr"/>
      <c r="AB1751" s="5" t="inlineStr"/>
      <c r="AC1751" s="5" t="inlineStr"/>
      <c r="AD1751" s="5" t="inlineStr">
        <is>
          <t>Rahat</t>
        </is>
      </c>
      <c r="AE1751" s="5" t="inlineStr"/>
      <c r="AF1751" s="5" t="inlineStr"/>
      <c r="AG1751" s="5" t="inlineStr"/>
      <c r="AH1751" s="5" t="inlineStr"/>
    </row>
    <row r="1752">
      <c r="A1752" s="5" t="inlineStr">
        <is>
          <t>b8-orta-yas</t>
        </is>
      </c>
      <c r="B1752" s="5" t="n">
        <v>12</v>
      </c>
      <c r="C1752" s="6" t="inlineStr">
        <is>
          <t>Zirveye oyna</t>
        </is>
      </c>
      <c r="D1752" s="5" t="inlineStr">
        <is>
          <t>Çene</t>
        </is>
      </c>
      <c r="E1752" s="5" t="inlineStr">
        <is>
          <t>Çok Zor</t>
        </is>
      </c>
      <c r="F1752" s="5" t="inlineStr"/>
      <c r="G1752" s="6" t="inlineStr"/>
      <c r="H1752" s="6" t="inlineStr">
        <is>
          <t>Makarya Meclisi'ne girdin. İlk konuşmanda mikrofon kapalıydı; yine de alkış aldın.</t>
        </is>
      </c>
      <c r="I1752" s="6" t="inlineStr">
        <is>
          <t>İlk konuşman öyle yankı yaptı ki iki parti seni transfer etmek istedi. Birinin adını hâlâ bilmiyorsun.</t>
        </is>
      </c>
      <c r="J1752" s="6" t="inlineStr">
        <is>
          <t>Listede bir sıra aşağıdaydın. Bir oy fark etti; o oy senin de değildi, sandığa geç kaldın.</t>
        </is>
      </c>
      <c r="K1752" s="6" t="inlineStr">
        <is>
          <t>Mitingde rakibin sloganını söyledin. Kalabalık coştu; rakibin kazandı.</t>
        </is>
      </c>
      <c r="L1752" s="6" t="inlineStr"/>
      <c r="M1752" s="5" t="inlineStr"/>
      <c r="N1752" s="5" t="inlineStr"/>
      <c r="O1752" s="6" t="inlineStr"/>
      <c r="P1752" s="6" t="inlineStr"/>
      <c r="Q1752" s="5" t="inlineStr"/>
      <c r="R1752" s="5" t="inlineStr">
        <is>
          <t>hat-politika</t>
        </is>
      </c>
      <c r="S1752" s="5" t="inlineStr"/>
      <c r="T1752" s="5" t="inlineStr"/>
      <c r="U1752" s="5" t="inlineStr"/>
      <c r="V1752" s="5" t="inlineStr">
        <is>
          <t>zirve</t>
        </is>
      </c>
      <c r="W1752" s="5" t="inlineStr"/>
      <c r="X1752" s="5" t="inlineStr"/>
      <c r="Y1752" s="5" t="inlineStr"/>
      <c r="Z1752" s="6" t="inlineStr"/>
      <c r="AA1752" s="5" t="inlineStr"/>
      <c r="AB1752" s="5" t="inlineStr"/>
      <c r="AC1752" s="5" t="inlineStr"/>
      <c r="AD1752" s="5" t="inlineStr">
        <is>
          <t>Rahat</t>
        </is>
      </c>
      <c r="AE1752" s="5" t="inlineStr"/>
      <c r="AF1752" s="5" t="inlineStr"/>
      <c r="AG1752" s="5" t="inlineStr"/>
      <c r="AH1752" s="5" t="inlineStr"/>
    </row>
    <row r="1753">
      <c r="A1753" s="5" t="inlineStr">
        <is>
          <t>b8-orta-yas</t>
        </is>
      </c>
      <c r="B1753" s="5" t="n">
        <v>13</v>
      </c>
      <c r="C1753" s="6" t="inlineStr">
        <is>
          <t>Zirveye oyna</t>
        </is>
      </c>
      <c r="D1753" s="5" t="inlineStr">
        <is>
          <t>Cesaret</t>
        </is>
      </c>
      <c r="E1753" s="5" t="inlineStr">
        <is>
          <t>Çok Zor</t>
        </is>
      </c>
      <c r="F1753" s="5" t="inlineStr"/>
      <c r="G1753" s="6" t="inlineStr"/>
      <c r="H1753" s="6" t="inlineStr">
        <is>
          <t>Mahalle babası oldun. Düğünlerde takı sırası artık senden başlıyor.</t>
        </is>
      </c>
      <c r="I1753" s="6" t="inlineStr">
        <is>
          <t>Üç mahalle sana bağlandı. Belediye bile bir çukuru kapatmadan önce kahveye uğruyor.</t>
        </is>
      </c>
      <c r="J1753" s="6" t="inlineStr">
        <is>
          <t>Mahalle babalığı yaşlı bir abiye kaldı. Sen yine yardımcısın; çayı sen koyuyorsun.</t>
        </is>
      </c>
      <c r="K1753" s="6" t="inlineStr">
        <is>
          <t>Toplantıda yanlış masaya oturdun: rakip abinin masasına. Üç ay kimse selamını almadı.</t>
        </is>
      </c>
      <c r="L1753" s="6" t="inlineStr"/>
      <c r="M1753" s="5" t="inlineStr"/>
      <c r="N1753" s="5" t="inlineStr"/>
      <c r="O1753" s="6" t="inlineStr"/>
      <c r="P1753" s="6" t="inlineStr"/>
      <c r="Q1753" s="5" t="inlineStr"/>
      <c r="R1753" s="5" t="inlineStr">
        <is>
          <t>hat-cete</t>
        </is>
      </c>
      <c r="S1753" s="5" t="inlineStr"/>
      <c r="T1753" s="5" t="inlineStr"/>
      <c r="U1753" s="5" t="inlineStr"/>
      <c r="V1753" s="5" t="inlineStr">
        <is>
          <t>zirve</t>
        </is>
      </c>
      <c r="W1753" s="5" t="inlineStr">
        <is>
          <t>hapis</t>
        </is>
      </c>
      <c r="X1753" s="5" t="inlineStr"/>
      <c r="Y1753" s="5" t="inlineStr"/>
      <c r="Z1753" s="6" t="inlineStr"/>
      <c r="AA1753" s="5" t="inlineStr"/>
      <c r="AB1753" s="5" t="inlineStr"/>
      <c r="AC1753" s="5" t="inlineStr"/>
      <c r="AD1753" s="5" t="inlineStr">
        <is>
          <t>Varlıklı</t>
        </is>
      </c>
      <c r="AE1753" s="5" t="inlineStr"/>
      <c r="AF1753" s="5" t="inlineStr"/>
      <c r="AG1753" s="5" t="inlineStr"/>
      <c r="AH1753" s="5" t="inlineStr"/>
    </row>
    <row r="1754">
      <c r="A1754" s="5" t="inlineStr">
        <is>
          <t>b8-orta-yas</t>
        </is>
      </c>
      <c r="B1754" s="5" t="n">
        <v>14</v>
      </c>
      <c r="C1754" s="6" t="inlineStr">
        <is>
          <t>Zirveye oyna</t>
        </is>
      </c>
      <c r="D1754" s="5" t="inlineStr">
        <is>
          <t>Kurnazlık</t>
        </is>
      </c>
      <c r="E1754" s="5" t="inlineStr">
        <is>
          <t>Çok Zor</t>
        </is>
      </c>
      <c r="F1754" s="5" t="inlineStr"/>
      <c r="G1754" s="6" t="inlineStr"/>
      <c r="H1754" s="6" t="inlineStr">
        <is>
          <t>Yatırım kulübünün üye sayısı on bini geçti. Hiçbiri ne sattığını bilmiyor; sen de.</t>
        </is>
      </c>
      <c r="I1754" s="6" t="inlineStr">
        <is>
          <t>Seminerlerin artık stadyumda. Kapıda satılan kitabının adı “Kolay Para Yoktur.” En çok satan kitap.</t>
        </is>
      </c>
      <c r="J1754" s="6" t="inlineStr">
        <is>
          <t>Büyük seminer için tuttuğun salon boş kaldı. Katılan tek kişi iade istedi; hayatında ilk kez iade ettin.</t>
        </is>
      </c>
      <c r="K1754" s="6" t="inlineStr">
        <is>
          <t>Ön sırada oturan izleyici bir müfettişti. Sunumun ilk slaytında sohbet, ikincisinde tutanak başladı.</t>
        </is>
      </c>
      <c r="L1754" s="6" t="inlineStr"/>
      <c r="M1754" s="5" t="inlineStr"/>
      <c r="N1754" s="5" t="inlineStr"/>
      <c r="O1754" s="6" t="inlineStr"/>
      <c r="P1754" s="6" t="inlineStr"/>
      <c r="Q1754" s="5" t="inlineStr"/>
      <c r="R1754" s="5" t="inlineStr">
        <is>
          <t>hat-dolandirici</t>
        </is>
      </c>
      <c r="S1754" s="5" t="inlineStr"/>
      <c r="T1754" s="5" t="inlineStr"/>
      <c r="U1754" s="5" t="inlineStr"/>
      <c r="V1754" s="5" t="inlineStr">
        <is>
          <t>zirve</t>
        </is>
      </c>
      <c r="W1754" s="5" t="inlineStr">
        <is>
          <t>hapis</t>
        </is>
      </c>
      <c r="X1754" s="5" t="inlineStr"/>
      <c r="Y1754" s="5" t="inlineStr"/>
      <c r="Z1754" s="6" t="inlineStr"/>
      <c r="AA1754" s="5" t="inlineStr"/>
      <c r="AB1754" s="5" t="inlineStr"/>
      <c r="AC1754" s="5" t="inlineStr"/>
      <c r="AD1754" s="5" t="inlineStr">
        <is>
          <t>Varlıklı</t>
        </is>
      </c>
      <c r="AE1754" s="5" t="inlineStr"/>
      <c r="AF1754" s="5" t="inlineStr"/>
      <c r="AG1754" s="5" t="inlineStr"/>
      <c r="AH1754" s="5" t="inlineStr"/>
    </row>
    <row r="1755">
      <c r="A1755" s="5" t="inlineStr">
        <is>
          <t>b8-orta-yas</t>
        </is>
      </c>
      <c r="B1755" s="5" t="n">
        <v>15</v>
      </c>
      <c r="C1755" s="6" t="inlineStr">
        <is>
          <t>Zirveye oyna</t>
        </is>
      </c>
      <c r="D1755" s="5" t="inlineStr">
        <is>
          <t>Pişkinlik</t>
        </is>
      </c>
      <c r="E1755" s="5" t="inlineStr">
        <is>
          <t>Çok Zor</t>
        </is>
      </c>
      <c r="F1755" s="5" t="inlineStr"/>
      <c r="G1755" s="6" t="inlineStr"/>
      <c r="H1755" s="6" t="inlineStr">
        <is>
          <t>Yılın yüzü seçildin. Teşekkür listen annenden başlayıp kuaförünle bitti.</t>
        </is>
      </c>
      <c r="I1755" s="6" t="inlineStr">
        <is>
          <t>Bir balmumu heykelin yapıldı. Heykel senden genç duruyor; biraz kıskanıyorsun.</t>
        </is>
      </c>
      <c r="J1755" s="6" t="inlineStr">
        <is>
          <t>Ödül rakibine gitti. Sen alkışlarken kamera sana döndü; alkışın biraz kısa kaldı.</t>
        </is>
      </c>
      <c r="K1755" s="6" t="inlineStr">
        <is>
          <t>Ödül töreninde eski menajerine teşekkür ettin, yanlışlıkla. Menajer ertesi gün aradı; barıştınız, işin yok.</t>
        </is>
      </c>
      <c r="L1755" s="6" t="inlineStr"/>
      <c r="M1755" s="5" t="inlineStr"/>
      <c r="N1755" s="5" t="inlineStr"/>
      <c r="O1755" s="6" t="inlineStr"/>
      <c r="P1755" s="6" t="inlineStr"/>
      <c r="Q1755" s="5" t="inlineStr"/>
      <c r="R1755" s="5" t="inlineStr">
        <is>
          <t>hat-sohret</t>
        </is>
      </c>
      <c r="S1755" s="5" t="inlineStr"/>
      <c r="T1755" s="5" t="inlineStr"/>
      <c r="U1755" s="5" t="inlineStr"/>
      <c r="V1755" s="5" t="inlineStr">
        <is>
          <t>zirve</t>
        </is>
      </c>
      <c r="W1755" s="5" t="inlineStr"/>
      <c r="X1755" s="5" t="inlineStr"/>
      <c r="Y1755" s="5" t="inlineStr"/>
      <c r="Z1755" s="6" t="inlineStr"/>
      <c r="AA1755" s="5" t="inlineStr"/>
      <c r="AB1755" s="5" t="inlineStr"/>
      <c r="AC1755" s="5" t="inlineStr"/>
      <c r="AD1755" s="5" t="inlineStr">
        <is>
          <t>Varlıklı</t>
        </is>
      </c>
      <c r="AE1755" s="5" t="inlineStr"/>
      <c r="AF1755" s="5" t="inlineStr"/>
      <c r="AG1755" s="5" t="inlineStr"/>
      <c r="AH1755" s="5" t="inlineStr"/>
    </row>
    <row r="1756">
      <c r="A1756" s="5" t="inlineStr">
        <is>
          <t>b8-orta-yas</t>
        </is>
      </c>
      <c r="B1756" s="5" t="n">
        <v>16</v>
      </c>
      <c r="C1756" s="6" t="inlineStr">
        <is>
          <t>Zirveye oyna</t>
        </is>
      </c>
      <c r="D1756" s="5" t="inlineStr">
        <is>
          <t>Akıl</t>
        </is>
      </c>
      <c r="E1756" s="5" t="inlineStr">
        <is>
          <t>Çok Zor</t>
        </is>
      </c>
      <c r="F1756" s="5" t="inlineStr"/>
      <c r="G1756" s="6" t="inlineStr"/>
      <c r="H1756" s="6" t="inlineStr">
        <is>
          <t>Holding oldun. Logoyu değiştirmek için üç ay toplantı yaptınız.</t>
        </is>
      </c>
      <c r="I1756" s="6" t="inlineStr">
        <is>
          <t>Şirketin halka açıldı. Annen hisse aldı; her sabah fiyatı sana soruyor.</t>
        </is>
      </c>
      <c r="J1756" s="6" t="inlineStr">
        <is>
          <t>Büyüme turu kapanmadı. Şirketin küçük ve kârlı kaldı; bu cümleyi yatırımcılara hâlâ anlatamıyorsun.</t>
        </is>
      </c>
      <c r="K1756" s="6" t="inlineStr">
        <is>
          <t>Büyük anlaşmanın imza gününde kalemi unuttun. Karşı taraf “Bu bir işaret” dedi ve kalktı.</t>
        </is>
      </c>
      <c r="L1756" s="6" t="inlineStr"/>
      <c r="M1756" s="5" t="inlineStr"/>
      <c r="N1756" s="5" t="inlineStr"/>
      <c r="O1756" s="6" t="inlineStr"/>
      <c r="P1756" s="6" t="inlineStr"/>
      <c r="Q1756" s="5" t="inlineStr"/>
      <c r="R1756" s="5" t="inlineStr">
        <is>
          <t>hat-girisimci</t>
        </is>
      </c>
      <c r="S1756" s="5" t="inlineStr"/>
      <c r="T1756" s="5" t="inlineStr"/>
      <c r="U1756" s="5" t="inlineStr"/>
      <c r="V1756" s="5" t="inlineStr">
        <is>
          <t>zirve</t>
        </is>
      </c>
      <c r="W1756" s="5" t="inlineStr"/>
      <c r="X1756" s="5" t="inlineStr"/>
      <c r="Y1756" s="5" t="inlineStr"/>
      <c r="Z1756" s="6" t="inlineStr"/>
      <c r="AA1756" s="5" t="inlineStr"/>
      <c r="AB1756" s="5" t="inlineStr"/>
      <c r="AC1756" s="5" t="inlineStr"/>
      <c r="AD1756" s="5" t="inlineStr">
        <is>
          <t>Varlıklı</t>
        </is>
      </c>
      <c r="AE1756" s="5" t="inlineStr"/>
      <c r="AF1756" s="5" t="inlineStr"/>
      <c r="AG1756" s="5" t="inlineStr"/>
      <c r="AH1756" s="5" t="inlineStr"/>
    </row>
    <row r="1757">
      <c r="A1757" s="5" t="inlineStr">
        <is>
          <t>b8-orta-yas</t>
        </is>
      </c>
      <c r="B1757" s="5" t="n">
        <v>17</v>
      </c>
      <c r="C1757" s="6" t="inlineStr">
        <is>
          <t>Zirveye oyna</t>
        </is>
      </c>
      <c r="D1757" s="5" t="inlineStr">
        <is>
          <t>Dayanıklılık</t>
        </is>
      </c>
      <c r="E1757" s="5" t="inlineStr">
        <is>
          <t>Çok Zor</t>
        </is>
      </c>
      <c r="F1757" s="5" t="inlineStr"/>
      <c r="G1757" s="6" t="inlineStr"/>
      <c r="H1757" s="6" t="inlineStr">
        <is>
          <t>Öte Diyar'da kendi dükkânını açtın; tabelada adın ilk kez doğru yazılmış.</t>
        </is>
      </c>
      <c r="I1757" s="6" t="inlineStr">
        <is>
          <t>Öte Diyar'ın bir gazetesi seni “yılın göçmeni” seçti. Memlekette haberin başlığını “Bizim çocuk” diye çevirdiler.</t>
        </is>
      </c>
      <c r="J1757" s="6" t="inlineStr">
        <is>
          <t>Dükkân başvurusunun bir sayfası iki dilde de eksik çıktı. Plazada devam ediyorsun.</t>
        </is>
      </c>
      <c r="K1757" s="6" t="inlineStr">
        <is>
          <t>Açılış günü yanlış izin belgesiyle kapıyı açtın. Kapıyı belediye kapattı; sen de seyrettin.</t>
        </is>
      </c>
      <c r="L1757" s="6" t="inlineStr"/>
      <c r="M1757" s="5" t="inlineStr"/>
      <c r="N1757" s="5" t="inlineStr"/>
      <c r="O1757" s="6" t="inlineStr"/>
      <c r="P1757" s="6" t="inlineStr"/>
      <c r="Q1757" s="5" t="inlineStr"/>
      <c r="R1757" s="5" t="inlineStr">
        <is>
          <t>hat-goc</t>
        </is>
      </c>
      <c r="S1757" s="5" t="inlineStr"/>
      <c r="T1757" s="5" t="inlineStr"/>
      <c r="U1757" s="5" t="inlineStr"/>
      <c r="V1757" s="5" t="inlineStr">
        <is>
          <t>zirve</t>
        </is>
      </c>
      <c r="W1757" s="5" t="inlineStr"/>
      <c r="X1757" s="5" t="inlineStr"/>
      <c r="Y1757" s="5" t="inlineStr"/>
      <c r="Z1757" s="6" t="inlineStr"/>
      <c r="AA1757" s="5" t="inlineStr"/>
      <c r="AB1757" s="5" t="inlineStr"/>
      <c r="AC1757" s="5" t="inlineStr"/>
      <c r="AD1757" s="5" t="inlineStr">
        <is>
          <t>Rahat</t>
        </is>
      </c>
      <c r="AE1757" s="5" t="inlineStr"/>
      <c r="AF1757" s="5" t="inlineStr"/>
      <c r="AG1757" s="5" t="inlineStr"/>
      <c r="AH1757" s="5" t="inlineStr"/>
    </row>
    <row r="1758">
      <c r="A1758" s="5" t="inlineStr">
        <is>
          <t>b8-orta-yas</t>
        </is>
      </c>
      <c r="B1758" s="5" t="n">
        <v>18</v>
      </c>
      <c r="C1758" s="6" t="inlineStr">
        <is>
          <t>Zirveye oyna</t>
        </is>
      </c>
      <c r="D1758" s="5" t="inlineStr">
        <is>
          <t>Sosyal Radar</t>
        </is>
      </c>
      <c r="E1758" s="5" t="inlineStr">
        <is>
          <t>Çok Zor</t>
        </is>
      </c>
      <c r="F1758" s="5" t="inlineStr"/>
      <c r="G1758" s="6" t="inlineStr"/>
      <c r="H1758" s="6" t="inlineStr">
        <is>
          <t>Köyün muhtarı seçildin. İlk icraatın keçiler için hız sınırı.</t>
        </is>
      </c>
      <c r="I1758" s="6" t="inlineStr">
        <is>
          <t>Köyün ünlü oldu; şehirden tur otobüsleri geliyor. Keçilerle fotoğraf ücretli.</t>
        </is>
      </c>
      <c r="J1758" s="6" t="inlineStr">
        <is>
          <t>Muhtarlık seçimini yirmi yıllık muhtara kaybettin. Seni kahvede yardımcısı ilan etti; maaşsız.</t>
        </is>
      </c>
      <c r="K1758" s="6" t="inlineStr">
        <is>
          <t>Seçim günü keçiler sandığı devirdi. Oylar yeniden sayıldı; keçiler karşı tarafı destekliyormuş.</t>
        </is>
      </c>
      <c r="L1758" s="6" t="inlineStr"/>
      <c r="M1758" s="5" t="inlineStr"/>
      <c r="N1758" s="5" t="inlineStr"/>
      <c r="O1758" s="6" t="inlineStr"/>
      <c r="P1758" s="6" t="inlineStr"/>
      <c r="Q1758" s="5" t="inlineStr"/>
      <c r="R1758" s="5" t="inlineStr">
        <is>
          <t>hat-koy</t>
        </is>
      </c>
      <c r="S1758" s="5" t="inlineStr"/>
      <c r="T1758" s="5" t="inlineStr"/>
      <c r="U1758" s="5" t="inlineStr"/>
      <c r="V1758" s="5" t="inlineStr">
        <is>
          <t>zirve</t>
        </is>
      </c>
      <c r="W1758" s="5" t="inlineStr"/>
      <c r="X1758" s="5" t="inlineStr"/>
      <c r="Y1758" s="5" t="inlineStr"/>
      <c r="Z1758" s="6" t="inlineStr"/>
      <c r="AA1758" s="5" t="inlineStr"/>
      <c r="AB1758" s="5" t="inlineStr"/>
      <c r="AC1758" s="5" t="inlineStr"/>
      <c r="AD1758" s="5" t="inlineStr">
        <is>
          <t>Orta</t>
        </is>
      </c>
      <c r="AE1758" s="5" t="inlineStr"/>
      <c r="AF1758" s="5" t="inlineStr"/>
      <c r="AG1758" s="5" t="inlineStr"/>
      <c r="AH1758" s="5" t="inlineStr"/>
    </row>
    <row r="1759">
      <c r="A1759" s="5" t="inlineStr">
        <is>
          <t>b8-orta-yas</t>
        </is>
      </c>
      <c r="B1759" s="5" t="n">
        <v>19</v>
      </c>
      <c r="C1759" s="6" t="inlineStr">
        <is>
          <t>Zirveye oyna</t>
        </is>
      </c>
      <c r="D1759" s="5" t="inlineStr">
        <is>
          <t>Akıl</t>
        </is>
      </c>
      <c r="E1759" s="5" t="inlineStr">
        <is>
          <t>Çok Zor</t>
        </is>
      </c>
      <c r="F1759" s="5" t="inlineStr"/>
      <c r="G1759" s="6" t="inlineStr"/>
      <c r="H1759" s="6" t="inlineStr">
        <is>
          <t>Sanayinin “ustaların ustası” oldun. Çözülemeyen arıza sana gelir; ya çözülür ya efsane olur.</t>
        </is>
      </c>
      <c r="I1759" s="6" t="inlineStr">
        <is>
          <t>Yetiştirdiğin çıraklar üç sanayide dükkân açtı. Hepsinin duvarında senin fotoğrafın var; biraz gençken çekilmiş.</t>
        </is>
      </c>
      <c r="J1759" s="6" t="inlineStr">
        <is>
          <t>Sanayi ustaları çözülemeyen bir arızayı sana getirdi; çözemedin. Genç bir çırak çözdü: seninki.</t>
        </is>
      </c>
      <c r="K1759" s="6" t="inlineStr">
        <is>
          <t>Ustalık gösterisinde motoru ters taktın. Motor çalıştı; ters yöne.</t>
        </is>
      </c>
      <c r="L1759" s="6" t="inlineStr"/>
      <c r="M1759" s="5" t="inlineStr"/>
      <c r="N1759" s="5" t="inlineStr"/>
      <c r="O1759" s="6" t="inlineStr"/>
      <c r="P1759" s="6" t="inlineStr"/>
      <c r="Q1759" s="5" t="inlineStr"/>
      <c r="R1759" s="5" t="inlineStr">
        <is>
          <t>hat-usta</t>
        </is>
      </c>
      <c r="S1759" s="5" t="inlineStr"/>
      <c r="T1759" s="5" t="inlineStr"/>
      <c r="U1759" s="5" t="inlineStr"/>
      <c r="V1759" s="5" t="inlineStr">
        <is>
          <t>zirve</t>
        </is>
      </c>
      <c r="W1759" s="5" t="inlineStr"/>
      <c r="X1759" s="5" t="inlineStr"/>
      <c r="Y1759" s="5" t="inlineStr"/>
      <c r="Z1759" s="6" t="inlineStr"/>
      <c r="AA1759" s="5" t="inlineStr"/>
      <c r="AB1759" s="5" t="inlineStr"/>
      <c r="AC1759" s="5" t="inlineStr"/>
      <c r="AD1759" s="5" t="inlineStr">
        <is>
          <t>Rahat</t>
        </is>
      </c>
      <c r="AE1759" s="5" t="inlineStr"/>
      <c r="AF1759" s="5" t="inlineStr"/>
      <c r="AG1759" s="5" t="inlineStr"/>
      <c r="AH1759" s="5" t="inlineStr"/>
    </row>
    <row r="1760">
      <c r="A1760" s="5" t="inlineStr">
        <is>
          <t>b8-buyuk-firsat</t>
        </is>
      </c>
      <c r="B1760" s="5" t="n">
        <v>1</v>
      </c>
      <c r="C1760" s="6" t="inlineStr">
        <is>
          <t>Üçünü de kibarca geri çevir</t>
        </is>
      </c>
      <c r="D1760" s="5" t="inlineStr"/>
      <c r="E1760" s="5" t="inlineStr"/>
      <c r="F1760" s="5" t="inlineStr">
        <is>
          <t>İtibar +1, Dayanıklılık +1</t>
        </is>
      </c>
      <c r="G1760" s="6" t="inlineStr">
        <is>
          <t>Üç telefonu da kibarca kapattın. Doğum günü pastanın üstündeki mum “50” yazıyordu; üflediğinde bir dilek tuttun, söylemedin.</t>
        </is>
      </c>
      <c r="H1760" s="6" t="inlineStr"/>
      <c r="I1760" s="6" t="inlineStr"/>
      <c r="J1760" s="6" t="inlineStr"/>
      <c r="K1760" s="6" t="inlineStr"/>
      <c r="L1760" s="6" t="inlineStr"/>
      <c r="M1760" s="5" t="inlineStr"/>
      <c r="N1760" s="5" t="inlineStr"/>
      <c r="O1760" s="6" t="inlineStr"/>
      <c r="P1760" s="6" t="inlineStr"/>
      <c r="Q1760" s="5" t="inlineStr"/>
      <c r="R1760" s="5" t="inlineStr"/>
      <c r="S1760" s="5" t="inlineStr"/>
      <c r="T1760" s="5" t="inlineStr"/>
      <c r="U1760" s="5" t="inlineStr"/>
      <c r="V1760" s="5" t="inlineStr"/>
      <c r="W1760" s="5" t="inlineStr"/>
      <c r="X1760" s="5" t="inlineStr"/>
      <c r="Y1760" s="5" t="inlineStr"/>
      <c r="Z1760" s="6" t="inlineStr"/>
      <c r="AA1760" s="5" t="inlineStr"/>
      <c r="AB1760" s="5" t="inlineStr"/>
      <c r="AC1760" s="5" t="inlineStr"/>
      <c r="AD1760" s="5" t="inlineStr"/>
      <c r="AE1760" s="5" t="inlineStr"/>
      <c r="AF1760" s="5" t="inlineStr"/>
      <c r="AG1760" s="5" t="inlineStr"/>
      <c r="AH1760" s="5" t="inlineStr"/>
    </row>
    <row r="1761">
      <c r="A1761" s="5" t="inlineStr">
        <is>
          <t>b8-buyuk-firsat</t>
        </is>
      </c>
      <c r="B1761" s="5" t="n">
        <v>2</v>
      </c>
      <c r="C1761" s="6" t="inlineStr">
        <is>
          <t>Adaylık teklifini kabul et</t>
        </is>
      </c>
      <c r="D1761" s="5" t="inlineStr">
        <is>
          <t>Çene</t>
        </is>
      </c>
      <c r="E1761" s="5" t="inlineStr">
        <is>
          <t>Çok Zor</t>
        </is>
      </c>
      <c r="F1761" s="5" t="inlineStr"/>
      <c r="G1761" s="6" t="inlineStr"/>
      <c r="H1761" s="6" t="inlineStr">
        <is>
          <t>İl başkanı seni listenin üst sırasına koydu. Afişin ertesi hafta basıldı; fotoğrafın yirmi yıl önceden, sloganın dünden.</t>
        </is>
      </c>
      <c r="I1761" s="6" t="inlineStr">
        <is>
          <t>Adaylığın açıklandığı gün mahallede kendiliğinden bir miting oldu. Kürsü bir çay ocağıydı, kalabalık gerçekti.</t>
        </is>
      </c>
      <c r="J1761" s="6" t="inlineStr">
        <is>
          <t>İl başkanı seni dinledi, sonra listeyi dinledi. Liste senden kalabalıktı; adın yedek sıraya yazıldı.</t>
        </is>
      </c>
      <c r="K1761" s="6" t="inlineStr">
        <is>
          <t>Tanışma toplantısında partinin adını yanlış söyledin; rakip partininkini. İl başkanı telefonu kapattı.</t>
        </is>
      </c>
      <c r="L1761" s="6" t="inlineStr"/>
      <c r="M1761" s="5" t="inlineStr"/>
      <c r="N1761" s="5" t="inlineStr"/>
      <c r="O1761" s="6" t="inlineStr"/>
      <c r="P1761" s="6" t="inlineStr"/>
      <c r="Q1761" s="5" t="inlineStr"/>
      <c r="R1761" s="5" t="inlineStr"/>
      <c r="S1761" s="5" t="inlineStr"/>
      <c r="T1761" s="5" t="inlineStr"/>
      <c r="U1761" s="5" t="inlineStr"/>
      <c r="V1761" s="5" t="inlineStr">
        <is>
          <t>-hat-cete, -hat-dolandirici, -hat-girisimci, -hat-goc, -hat-hekim, -hat-koy, -hat-polis, -hat-sohret, -hat-usta, -hat-yargi, -meslek-beyazyaka, -meslek-esnaf, -meslek-memur, -meslek-serbest, hat-politika</t>
        </is>
      </c>
      <c r="W1761" s="5" t="inlineStr"/>
      <c r="X1761" s="5" t="inlineStr"/>
      <c r="Y1761" s="5" t="inlineStr"/>
      <c r="Z1761" s="6" t="inlineStr"/>
      <c r="AA1761" s="5" t="inlineStr"/>
      <c r="AB1761" s="5" t="inlineStr"/>
      <c r="AC1761" s="5" t="inlineStr"/>
      <c r="AD1761" s="5" t="inlineStr"/>
      <c r="AE1761" s="5" t="inlineStr"/>
      <c r="AF1761" s="5" t="inlineStr"/>
      <c r="AG1761" s="5" t="inlineStr">
        <is>
          <t>hat-politika</t>
        </is>
      </c>
      <c r="AH1761" s="5" t="inlineStr"/>
    </row>
    <row r="1762">
      <c r="A1762" s="5" t="inlineStr">
        <is>
          <t>b8-buyuk-firsat</t>
        </is>
      </c>
      <c r="B1762" s="5" t="n">
        <v>3</v>
      </c>
      <c r="C1762" s="6" t="inlineStr">
        <is>
          <t>Öte Diyar'daki teklife evet de</t>
        </is>
      </c>
      <c r="D1762" s="5" t="inlineStr">
        <is>
          <t>Akıl</t>
        </is>
      </c>
      <c r="E1762" s="5" t="inlineStr">
        <is>
          <t>Çok Zor</t>
        </is>
      </c>
      <c r="F1762" s="5" t="inlineStr"/>
      <c r="G1762" s="6" t="inlineStr"/>
      <c r="H1762" s="6" t="inlineStr">
        <is>
          <t>Ellinde valiz topladın. Öte Diyar'da ilk sabah kahveni tek başına içtin; pahalıydı, ama manzara da öyle.</t>
        </is>
      </c>
      <c r="I1762" s="6" t="inlineStr">
        <is>
          <t>Şirket seni bir bölüm müdürü olarak aldı; memlekette herkes seni zengin sanıyor. Yarı haklılar.</t>
        </is>
      </c>
      <c r="J1762" s="6" t="inlineStr">
        <is>
          <t>Mülakatın dil bölümünde takıldın. Şirket “Bir sonraki sefere” dedi; sonraki sefer yaşına bağlı.</t>
        </is>
      </c>
      <c r="K1762" s="6" t="inlineStr">
        <is>
          <t>Vize görüşmesinde memuru tanıdık sandın ve sarıldın. Tanıdık değildi.</t>
        </is>
      </c>
      <c r="L1762" s="6" t="inlineStr"/>
      <c r="M1762" s="5" t="inlineStr"/>
      <c r="N1762" s="5" t="inlineStr"/>
      <c r="O1762" s="6" t="inlineStr"/>
      <c r="P1762" s="6" t="inlineStr"/>
      <c r="Q1762" s="5" t="inlineStr"/>
      <c r="R1762" s="5" t="inlineStr"/>
      <c r="S1762" s="5" t="inlineStr"/>
      <c r="T1762" s="5" t="inlineStr"/>
      <c r="U1762" s="5" t="inlineStr"/>
      <c r="V1762" s="5" t="inlineStr">
        <is>
          <t>-hat-cete, -hat-dolandirici, -hat-girisimci, -hat-hekim, -hat-koy, -hat-polis, -hat-politika, -hat-sohret, -hat-usta, -hat-yargi, -meslek-esnaf, -meslek-memur, -meslek-serbest, hat-goc, meslek-beyazyaka</t>
        </is>
      </c>
      <c r="W1762" s="5" t="inlineStr"/>
      <c r="X1762" s="5" t="inlineStr"/>
      <c r="Y1762" s="5" t="inlineStr"/>
      <c r="Z1762" s="6" t="inlineStr"/>
      <c r="AA1762" s="5" t="inlineStr"/>
      <c r="AB1762" s="5" t="inlineStr"/>
      <c r="AC1762" s="5" t="inlineStr"/>
      <c r="AD1762" s="5" t="inlineStr">
        <is>
          <t>Rahat</t>
        </is>
      </c>
      <c r="AE1762" s="5" t="inlineStr"/>
      <c r="AF1762" s="5" t="inlineStr"/>
      <c r="AG1762" s="5" t="inlineStr">
        <is>
          <t>hat-goc</t>
        </is>
      </c>
      <c r="AH1762" s="5" t="inlineStr"/>
    </row>
    <row r="1763">
      <c r="A1763" s="5" t="inlineStr">
        <is>
          <t>b8-buyuk-firsat</t>
        </is>
      </c>
      <c r="B1763" s="5" t="n">
        <v>4</v>
      </c>
      <c r="C1763" s="6" t="inlineStr">
        <is>
          <t>Yarışma programına katıl</t>
        </is>
      </c>
      <c r="D1763" s="5" t="inlineStr">
        <is>
          <t>Pişkinlik</t>
        </is>
      </c>
      <c r="E1763" s="5" t="inlineStr">
        <is>
          <t>Çok Zor</t>
        </is>
      </c>
      <c r="F1763" s="5" t="inlineStr"/>
      <c r="G1763" s="6" t="inlineStr"/>
      <c r="H1763" s="6" t="inlineStr">
        <is>
          <t>Programda son üçe kaldın; ülke seni sevdi. Ertesi hafta bir dizide “bilge komşu” rolün var.</t>
        </is>
      </c>
      <c r="I1763" s="6" t="inlineStr">
        <is>
          <t>Programı kazandın. Ödül ikinci planda kaldı; asıl ödül, pazarda seninle fotoğraf çekmek isteyen teyzeler.</t>
        </is>
      </c>
      <c r="J1763" s="6" t="inlineStr">
        <is>
          <t>İlk turda elendin. Ama elendiğin bölüm çok izlendi; eleniş videon hâlâ dolaşıyor.</t>
        </is>
      </c>
      <c r="K1763" s="6" t="inlineStr">
        <is>
          <t>Canlı yayında soruya cevap verirken ekrana eski bir fotoğrafın geldi. Program seni “komik an” olarak hatırlıyor.</t>
        </is>
      </c>
      <c r="L1763" s="6" t="inlineStr"/>
      <c r="M1763" s="5" t="inlineStr"/>
      <c r="N1763" s="5" t="inlineStr"/>
      <c r="O1763" s="6" t="inlineStr"/>
      <c r="P1763" s="6" t="inlineStr"/>
      <c r="Q1763" s="5" t="inlineStr"/>
      <c r="R1763" s="5" t="inlineStr"/>
      <c r="S1763" s="5" t="inlineStr"/>
      <c r="T1763" s="5" t="inlineStr"/>
      <c r="U1763" s="5" t="inlineStr"/>
      <c r="V1763" s="5" t="inlineStr">
        <is>
          <t>-hat-cete, -hat-dolandirici, -hat-girisimci, -hat-goc, -hat-hekim, -hat-koy, -hat-polis, -hat-politika, -hat-usta, -hat-yargi, -meslek-beyazyaka, -meslek-esnaf, -meslek-memur, hat-sohret, meslek-serbest</t>
        </is>
      </c>
      <c r="W1763" s="5" t="inlineStr"/>
      <c r="X1763" s="5" t="inlineStr"/>
      <c r="Y1763" s="5" t="inlineStr"/>
      <c r="Z1763" s="6" t="inlineStr"/>
      <c r="AA1763" s="5" t="inlineStr"/>
      <c r="AB1763" s="5" t="inlineStr"/>
      <c r="AC1763" s="5" t="inlineStr"/>
      <c r="AD1763" s="5" t="inlineStr"/>
      <c r="AE1763" s="5" t="inlineStr"/>
      <c r="AF1763" s="5" t="inlineStr"/>
      <c r="AG1763" s="5" t="inlineStr">
        <is>
          <t>hat-sohret</t>
        </is>
      </c>
      <c r="AH1763" s="5" t="inlineStr"/>
    </row>
    <row r="1764">
      <c r="A1764" s="5" t="inlineStr">
        <is>
          <t>b8-buyuk-firsat</t>
        </is>
      </c>
      <c r="B1764" s="5" t="n">
        <v>5</v>
      </c>
      <c r="C1764" s="6" t="inlineStr">
        <is>
          <t>Mahallenin önerisiyle aday ol</t>
        </is>
      </c>
      <c r="D1764" s="5" t="inlineStr">
        <is>
          <t>İtibar</t>
        </is>
      </c>
      <c r="E1764" s="5" t="inlineStr">
        <is>
          <t>Zor</t>
        </is>
      </c>
      <c r="F1764" s="5" t="inlineStr"/>
      <c r="G1764" s="6" t="inlineStr"/>
      <c r="H1764" s="6" t="inlineStr">
        <is>
          <t>Telefon açan il başkanı değil, mahallenin kendisiydi: kahveciler, esnaf, öğretmenler. Adaylığın bir dilekçeyle başladı, iki yüz imzayla.</t>
        </is>
      </c>
      <c r="I1764" s="6" t="inlineStr">
        <is>
          <t>İmza listesi o kadar uzundu ki partiye teslim etmek için iki dosya gerekti. Liste başı oldun.</t>
        </is>
      </c>
      <c r="J1764" s="6" t="inlineStr">
        <is>
          <t>Dilekçe partinin il binasına ulaştı ve bir çekmeceye girdi. Çekmece hâlâ kapalı.</t>
        </is>
      </c>
      <c r="K1764" s="6" t="inlineStr">
        <is>
          <t>İmza listesinde mahallenin kedisinin adı da vardı. Parti bunu ciddiyetsizlik saydı; kedi sana küstü.</t>
        </is>
      </c>
      <c r="L1764" s="6" t="inlineStr"/>
      <c r="M1764" s="5" t="inlineStr"/>
      <c r="N1764" s="5" t="inlineStr"/>
      <c r="O1764" s="6" t="inlineStr"/>
      <c r="P1764" s="6" t="inlineStr"/>
      <c r="Q1764" s="5" t="inlineStr"/>
      <c r="R1764" s="5" t="inlineStr"/>
      <c r="S1764" s="5" t="inlineStr"/>
      <c r="T1764" s="5" t="inlineStr"/>
      <c r="U1764" s="5" t="inlineStr"/>
      <c r="V1764" s="5" t="inlineStr">
        <is>
          <t>-hat-cete, -hat-dolandirici, -hat-girisimci, -hat-goc, -hat-hekim, -hat-koy, -hat-polis, -hat-sohret, -hat-usta, -hat-yargi, -meslek-beyazyaka, -meslek-esnaf, -meslek-memur, -meslek-serbest, hat-politika</t>
        </is>
      </c>
      <c r="W1764" s="5" t="inlineStr"/>
      <c r="X1764" s="5" t="inlineStr"/>
      <c r="Y1764" s="5" t="inlineStr"/>
      <c r="Z1764" s="6" t="inlineStr"/>
      <c r="AA1764" s="5" t="inlineStr"/>
      <c r="AB1764" s="5" t="inlineStr"/>
      <c r="AC1764" s="5" t="inlineStr"/>
      <c r="AD1764" s="5" t="inlineStr"/>
      <c r="AE1764" s="5" t="inlineStr"/>
      <c r="AF1764" s="5" t="inlineStr"/>
      <c r="AG1764" s="5" t="inlineStr">
        <is>
          <t>hat-politika</t>
        </is>
      </c>
      <c r="AH1764" s="5" t="inlineStr">
        <is>
          <t>İtibar 48</t>
        </is>
      </c>
    </row>
    <row r="1765">
      <c r="A1765" s="5" t="inlineStr">
        <is>
          <t>b7-erken-tahliye</t>
        </is>
      </c>
      <c r="B1765" s="5" t="n">
        <v>1</v>
      </c>
      <c r="C1765" s="6" t="inlineStr">
        <is>
          <t>Islah kursundan esnaflığa geç</t>
        </is>
      </c>
      <c r="D1765" s="5" t="inlineStr"/>
      <c r="E1765" s="5" t="inlineStr"/>
      <c r="F1765" s="5" t="inlineStr">
        <is>
          <t>Dayanıklılık +1, İtibar +1</t>
        </is>
      </c>
      <c r="G1765" s="6" t="inlineStr">
        <is>
          <t>Mahallede küçük bir dükkân kiraladın; tabelaya “Kursta öğrendim” yazdırdın. İlk müşterin koğuşun çaycısıydı; senden önce çıkmış.</t>
        </is>
      </c>
      <c r="H1765" s="6" t="inlineStr"/>
      <c r="I1765" s="6" t="inlineStr"/>
      <c r="J1765" s="6" t="inlineStr"/>
      <c r="K1765" s="6" t="inlineStr"/>
      <c r="L1765" s="6" t="inlineStr"/>
      <c r="M1765" s="5" t="inlineStr"/>
      <c r="N1765" s="5" t="inlineStr"/>
      <c r="O1765" s="6" t="inlineStr"/>
      <c r="P1765" s="6" t="inlineStr"/>
      <c r="Q1765" s="5" t="inlineStr"/>
      <c r="R1765" s="5" t="inlineStr"/>
      <c r="S1765" s="5" t="inlineStr"/>
      <c r="T1765" s="5" t="inlineStr"/>
      <c r="U1765" s="5" t="inlineStr">
        <is>
          <t>-hat-cete, -hat-dolandirici, -hat-girisimci, -hat-goc, -hat-hekim, -hat-koy, -hat-polis, -hat-politika, -hat-sohret, -hat-usta, -hat-yargi, -meslek-beyazyaka, -meslek-memur, -meslek-serbest, meslek-esnaf, -hapis, eski-hukumlu, -ceza-indirimi</t>
        </is>
      </c>
      <c r="V1765" s="5" t="inlineStr"/>
      <c r="W1765" s="5" t="inlineStr"/>
      <c r="X1765" s="5" t="inlineStr"/>
      <c r="Y1765" s="5" t="inlineStr"/>
      <c r="Z1765" s="6" t="inlineStr"/>
      <c r="AA1765" s="5" t="inlineStr"/>
      <c r="AB1765" s="5" t="inlineStr"/>
      <c r="AC1765" s="5" t="inlineStr"/>
      <c r="AD1765" s="5" t="inlineStr">
        <is>
          <t>Kıt</t>
        </is>
      </c>
      <c r="AE1765" s="5" t="inlineStr"/>
      <c r="AF1765" s="5" t="inlineStr"/>
      <c r="AG1765" s="5" t="inlineStr"/>
      <c r="AH1765" s="5" t="inlineStr"/>
    </row>
    <row r="1766">
      <c r="A1766" s="5" t="inlineStr">
        <is>
          <t>b7-erken-tahliye</t>
        </is>
      </c>
      <c r="B1766" s="5" t="n">
        <v>2</v>
      </c>
      <c r="C1766" s="6" t="inlineStr">
        <is>
          <t>Eski işine dön</t>
        </is>
      </c>
      <c r="D1766" s="5" t="inlineStr"/>
      <c r="E1766" s="5" t="inlineStr"/>
      <c r="F1766" s="5" t="inlineStr">
        <is>
          <t>Pişkinlik +1, Cesaret +1</t>
        </is>
      </c>
      <c r="G1766" s="6" t="inlineStr">
        <is>
          <t>Eski telefonunu açtın: kırk iki cevapsız arama. Hiçbiri seni özlememiş, hepsi işi soruyor. Kaldığın yerden devam; biraz daha dikkatli.</t>
        </is>
      </c>
      <c r="H1766" s="6" t="inlineStr"/>
      <c r="I1766" s="6" t="inlineStr"/>
      <c r="J1766" s="6" t="inlineStr"/>
      <c r="K1766" s="6" t="inlineStr"/>
      <c r="L1766" s="6" t="inlineStr"/>
      <c r="M1766" s="5" t="inlineStr"/>
      <c r="N1766" s="5" t="inlineStr"/>
      <c r="O1766" s="6" t="inlineStr"/>
      <c r="P1766" s="6" t="inlineStr"/>
      <c r="Q1766" s="5" t="inlineStr"/>
      <c r="R1766" s="5" t="inlineStr"/>
      <c r="S1766" s="5" t="inlineStr"/>
      <c r="T1766" s="5" t="inlineStr"/>
      <c r="U1766" s="5" t="inlineStr">
        <is>
          <t>-hapis, eski-hukumlu, -ceza-indirimi</t>
        </is>
      </c>
      <c r="V1766" s="5" t="inlineStr"/>
      <c r="W1766" s="5" t="inlineStr"/>
      <c r="X1766" s="5" t="inlineStr"/>
      <c r="Y1766" s="5" t="inlineStr"/>
      <c r="Z1766" s="6" t="inlineStr"/>
      <c r="AA1766" s="5" t="inlineStr"/>
      <c r="AB1766" s="5" t="inlineStr"/>
      <c r="AC1766" s="5" t="inlineStr"/>
      <c r="AD1766" s="5" t="inlineStr"/>
      <c r="AE1766" s="5" t="inlineStr"/>
      <c r="AF1766" s="5" t="inlineStr"/>
      <c r="AG1766" s="5" t="inlineStr"/>
      <c r="AH1766" s="5" t="inlineStr"/>
    </row>
    <row r="1767">
      <c r="A1767" s="5" t="inlineStr">
        <is>
          <t>b7-erken-tahliye</t>
        </is>
      </c>
      <c r="B1767" s="5" t="n">
        <v>3</v>
      </c>
      <c r="C1767" s="6" t="inlineStr">
        <is>
          <t>Koğuş anılarını kitap yap</t>
        </is>
      </c>
      <c r="D1767" s="5" t="inlineStr">
        <is>
          <t>Çene</t>
        </is>
      </c>
      <c r="E1767" s="5" t="inlineStr">
        <is>
          <t>Zor</t>
        </is>
      </c>
      <c r="F1767" s="5" t="inlineStr"/>
      <c r="G1767" s="6" t="inlineStr"/>
      <c r="H1767" s="6" t="inlineStr">
        <is>
          <t>“Koğuşta Çay Nasıl Demlenir” çıktı. İlk imza gününe çaycı da geldi; kitaba bakmadan “Şekeri az yazmışsın” dedi.</t>
        </is>
      </c>
      <c r="I1767" s="6" t="inlineStr">
        <is>
          <t>Kitap çok satanlar rafında. Bir yapımcı dizisini çekmek istiyor; sen kendi rolünü oynamak istedin, kabul etti.</t>
        </is>
      </c>
      <c r="J1767" s="6" t="inlineStr">
        <is>
          <t>Kitabı yazdın, yayınevi “Bu fazla gerçekçi” dedi. Taslak çekmecede; sen eski hayatına dönüyorsun.</t>
        </is>
      </c>
      <c r="K1767" s="6" t="inlineStr">
        <is>
          <t>Kitaba bütün koğuşun lakaplarını yazdın. Basılmadı ama koğuşta okundu; kırk mektup geldi, hepsi düzeltme istiyor.</t>
        </is>
      </c>
      <c r="L1767" s="6" t="inlineStr"/>
      <c r="M1767" s="5" t="inlineStr"/>
      <c r="N1767" s="5" t="inlineStr"/>
      <c r="O1767" s="6" t="inlineStr"/>
      <c r="P1767" s="6" t="inlineStr"/>
      <c r="Q1767" s="5" t="inlineStr"/>
      <c r="R1767" s="5" t="inlineStr"/>
      <c r="S1767" s="5" t="inlineStr"/>
      <c r="T1767" s="5" t="inlineStr"/>
      <c r="U1767" s="5" t="inlineStr"/>
      <c r="V1767" s="5" t="inlineStr">
        <is>
          <t>-hat-cete, -hat-dolandirici, -hat-girisimci, -hat-goc, -hat-hekim, -hat-koy, -hat-polis, -hat-politika, -hat-usta, -hat-yargi, -meslek-beyazyaka, -meslek-esnaf, -meslek-memur, hat-sohret, meslek-serbest, -hapis, eski-hukumlu, -ceza-indirimi</t>
        </is>
      </c>
      <c r="W1767" s="5" t="inlineStr">
        <is>
          <t>-hapis, eski-hukumlu, -ceza-indirimi</t>
        </is>
      </c>
      <c r="X1767" s="5" t="inlineStr"/>
      <c r="Y1767" s="5" t="inlineStr"/>
      <c r="Z1767" s="6" t="inlineStr"/>
      <c r="AA1767" s="5" t="inlineStr"/>
      <c r="AB1767" s="5" t="inlineStr">
        <is>
          <t>-hapis, eski-hukumlu, -ceza-indirimi</t>
        </is>
      </c>
      <c r="AC1767" s="5" t="inlineStr"/>
      <c r="AD1767" s="5" t="inlineStr"/>
      <c r="AE1767" s="5" t="inlineStr"/>
      <c r="AF1767" s="5" t="inlineStr"/>
      <c r="AG1767" s="5" t="inlineStr"/>
      <c r="AH1767" s="5" t="inlineStr"/>
    </row>
    <row r="1768">
      <c r="A1768" s="5" t="inlineStr">
        <is>
          <t>b7-erken-tahliye</t>
        </is>
      </c>
      <c r="B1768" s="5" t="n">
        <v>4</v>
      </c>
      <c r="C1768" s="6" t="inlineStr">
        <is>
          <t>“Sistemi içeriden tanıyorum” diye siyasete gir</t>
        </is>
      </c>
      <c r="D1768" s="5" t="inlineStr">
        <is>
          <t>Pişkinlik</t>
        </is>
      </c>
      <c r="E1768" s="5" t="inlineStr">
        <is>
          <t>Çok Zor</t>
        </is>
      </c>
      <c r="F1768" s="5" t="inlineStr"/>
      <c r="G1768" s="6" t="inlineStr"/>
      <c r="H1768" s="6" t="inlineStr">
        <is>
          <t>Slogan tuttu. Bir partinin ilçe teşkilatı seni kapıda karşıladı; ilk mitingde en önde koğuştan çıkmış arkadaşların alkışlıyordu.</t>
        </is>
      </c>
      <c r="I1768" s="6" t="inlineStr">
        <is>
          <t>Sloganın afişlere basıldı. Rakiplerinin geçmişi sorulunca “Benimki belli” diyorsun; salon ayağa kalkıyor.</t>
        </is>
      </c>
      <c r="J1768" s="6" t="inlineStr">
        <is>
          <t>Parti binasında sloganını söyledin. Kapıdaki görevli “İçeriyi bilmeyen yok zaten” dedi. Eski hayatına döndün.</t>
        </is>
      </c>
      <c r="K1768" s="6" t="inlineStr">
        <is>
          <t>Parti binasına girerken alışkanlıkla ellerini kaldırdın. Görevli uzun uzun baktı; sen de eski hayatına döndün.</t>
        </is>
      </c>
      <c r="L1768" s="6" t="inlineStr"/>
      <c r="M1768" s="5" t="inlineStr"/>
      <c r="N1768" s="5" t="inlineStr"/>
      <c r="O1768" s="6" t="inlineStr"/>
      <c r="P1768" s="6" t="inlineStr"/>
      <c r="Q1768" s="5" t="inlineStr"/>
      <c r="R1768" s="5" t="inlineStr"/>
      <c r="S1768" s="5" t="inlineStr"/>
      <c r="T1768" s="5" t="inlineStr"/>
      <c r="U1768" s="5" t="inlineStr"/>
      <c r="V1768" s="5" t="inlineStr">
        <is>
          <t>-hat-cete, -hat-dolandirici, -hat-girisimci, -hat-goc, -hat-hekim, -hat-koy, -hat-polis, -hat-sohret, -hat-usta, -hat-yargi, -meslek-beyazyaka, -meslek-esnaf, -meslek-memur, -meslek-serbest, hat-politika, -hapis, eski-hukumlu, -ceza-indirimi</t>
        </is>
      </c>
      <c r="W1768" s="5" t="inlineStr">
        <is>
          <t>-hapis, eski-hukumlu, -ceza-indirimi</t>
        </is>
      </c>
      <c r="X1768" s="5" t="inlineStr"/>
      <c r="Y1768" s="5" t="inlineStr"/>
      <c r="Z1768" s="6" t="inlineStr"/>
      <c r="AA1768" s="5" t="inlineStr"/>
      <c r="AB1768" s="5" t="inlineStr">
        <is>
          <t>-hapis, eski-hukumlu, -ceza-indirimi</t>
        </is>
      </c>
      <c r="AC1768" s="5" t="inlineStr"/>
      <c r="AD1768" s="5" t="inlineStr"/>
      <c r="AE1768" s="5" t="inlineStr"/>
      <c r="AF1768" s="5" t="inlineStr"/>
      <c r="AG1768" s="5" t="inlineStr"/>
      <c r="AH1768" s="5" t="inlineStr"/>
    </row>
    <row r="1769">
      <c r="A1769" s="5" t="inlineStr">
        <is>
          <t>b7-erken-tahliye</t>
        </is>
      </c>
      <c r="B1769" s="5" t="n">
        <v>5</v>
      </c>
      <c r="C1769" s="6" t="inlineStr">
        <is>
          <t>Mahallenin kefaletiyle iş bul</t>
        </is>
      </c>
      <c r="D1769" s="5" t="inlineStr"/>
      <c r="E1769" s="5" t="inlineStr"/>
      <c r="F1769" s="5" t="inlineStr">
        <is>
          <t>İtibar +1, Dayanıklılık +1</t>
        </is>
      </c>
      <c r="G1769" s="6" t="inlineStr">
        <is>
          <t>Kapıda seni çarşının en eski esnafı bekliyordu: “Senin için söz verdim, dükkânın arka tarafı senin.” Mahallede kimse geçmişini sormadı; sordurmadılar.</t>
        </is>
      </c>
      <c r="H1769" s="6" t="inlineStr"/>
      <c r="I1769" s="6" t="inlineStr"/>
      <c r="J1769" s="6" t="inlineStr"/>
      <c r="K1769" s="6" t="inlineStr"/>
      <c r="L1769" s="6" t="inlineStr"/>
      <c r="M1769" s="5" t="inlineStr"/>
      <c r="N1769" s="5" t="inlineStr"/>
      <c r="O1769" s="6" t="inlineStr"/>
      <c r="P1769" s="6" t="inlineStr"/>
      <c r="Q1769" s="5" t="inlineStr"/>
      <c r="R1769" s="5" t="inlineStr"/>
      <c r="S1769" s="5" t="inlineStr"/>
      <c r="T1769" s="5" t="inlineStr"/>
      <c r="U1769" s="5" t="inlineStr">
        <is>
          <t>-hat-cete, -hat-dolandirici, -hat-girisimci, -hat-goc, -hat-hekim, -hat-koy, -hat-polis, -hat-politika, -hat-sohret, -hat-usta, -hat-yargi, -meslek-beyazyaka, -meslek-memur, -meslek-serbest, meslek-esnaf, -hapis, eski-hukumlu, -ceza-indirimi</t>
        </is>
      </c>
      <c r="V1769" s="5" t="inlineStr"/>
      <c r="W1769" s="5" t="inlineStr"/>
      <c r="X1769" s="5" t="inlineStr"/>
      <c r="Y1769" s="5" t="inlineStr"/>
      <c r="Z1769" s="6" t="inlineStr"/>
      <c r="AA1769" s="5" t="inlineStr"/>
      <c r="AB1769" s="5" t="inlineStr"/>
      <c r="AC1769" s="5" t="inlineStr"/>
      <c r="AD1769" s="5" t="inlineStr">
        <is>
          <t>Kıt</t>
        </is>
      </c>
      <c r="AE1769" s="5" t="inlineStr"/>
      <c r="AF1769" s="5" t="inlineStr"/>
      <c r="AG1769" s="5" t="inlineStr"/>
      <c r="AH1769" s="5" t="inlineStr">
        <is>
          <t>İtibar 46</t>
        </is>
      </c>
    </row>
    <row r="1770">
      <c r="A1770" s="5" t="inlineStr">
        <is>
          <t>b8-erken-tahliye</t>
        </is>
      </c>
      <c r="B1770" s="5" t="n">
        <v>1</v>
      </c>
      <c r="C1770" s="6" t="inlineStr">
        <is>
          <t>Kursta öğrendiğinle esnaf ol</t>
        </is>
      </c>
      <c r="D1770" s="5" t="inlineStr"/>
      <c r="E1770" s="5" t="inlineStr"/>
      <c r="F1770" s="5" t="inlineStr">
        <is>
          <t>Dayanıklılık +1, Akıl +1</t>
        </is>
      </c>
      <c r="G1770" s="6" t="inlineStr">
        <is>
          <t>Sanayinin ucunda küçük bir dükkân tuttun: sabun, kaşık, bir de tavla tamiri. Müşterilerin yarısı eski koğuş arkadaşların; hepsi pazarlık ediyor, hepsi kaybediyor.</t>
        </is>
      </c>
      <c r="H1770" s="6" t="inlineStr"/>
      <c r="I1770" s="6" t="inlineStr"/>
      <c r="J1770" s="6" t="inlineStr"/>
      <c r="K1770" s="6" t="inlineStr"/>
      <c r="L1770" s="6" t="inlineStr"/>
      <c r="M1770" s="5" t="inlineStr"/>
      <c r="N1770" s="5" t="inlineStr"/>
      <c r="O1770" s="6" t="inlineStr"/>
      <c r="P1770" s="6" t="inlineStr"/>
      <c r="Q1770" s="5" t="inlineStr"/>
      <c r="R1770" s="5" t="inlineStr"/>
      <c r="S1770" s="5" t="inlineStr"/>
      <c r="T1770" s="5" t="inlineStr"/>
      <c r="U1770" s="5" t="inlineStr">
        <is>
          <t>-hat-cete, -hat-dolandirici, -hat-girisimci, -hat-goc, -hat-hekim, -hat-koy, -hat-polis, -hat-politika, -hat-sohret, -hat-usta, -hat-yargi, -meslek-beyazyaka, -meslek-memur, -meslek-serbest, meslek-esnaf, -hapis, eski-hukumlu, -ceza-indirimi</t>
        </is>
      </c>
      <c r="V1770" s="5" t="inlineStr"/>
      <c r="W1770" s="5" t="inlineStr"/>
      <c r="X1770" s="5" t="inlineStr"/>
      <c r="Y1770" s="5" t="inlineStr"/>
      <c r="Z1770" s="6" t="inlineStr"/>
      <c r="AA1770" s="5" t="inlineStr"/>
      <c r="AB1770" s="5" t="inlineStr"/>
      <c r="AC1770" s="5" t="inlineStr"/>
      <c r="AD1770" s="5" t="inlineStr">
        <is>
          <t>Kıt</t>
        </is>
      </c>
      <c r="AE1770" s="5" t="inlineStr"/>
      <c r="AF1770" s="5" t="inlineStr"/>
      <c r="AG1770" s="5" t="inlineStr"/>
      <c r="AH1770" s="5" t="inlineStr"/>
    </row>
    <row r="1771">
      <c r="A1771" s="5" t="inlineStr">
        <is>
          <t>b8-erken-tahliye</t>
        </is>
      </c>
      <c r="B1771" s="5" t="n">
        <v>2</v>
      </c>
      <c r="C1771" s="6" t="inlineStr">
        <is>
          <t>Eski işine dön</t>
        </is>
      </c>
      <c r="D1771" s="5" t="inlineStr"/>
      <c r="E1771" s="5" t="inlineStr"/>
      <c r="F1771" s="5" t="inlineStr">
        <is>
          <t>Pişkinlik +1, Kurnazlık +1</t>
        </is>
      </c>
      <c r="G1771" s="6" t="inlineStr">
        <is>
          <t>Eski defterini açtın; isimlerin yarısı emekli, yarısı taşınmış. Kalanlarla devam ediyorsun; masan eskisinden küçük, gözlüğün kalın.</t>
        </is>
      </c>
      <c r="H1771" s="6" t="inlineStr"/>
      <c r="I1771" s="6" t="inlineStr"/>
      <c r="J1771" s="6" t="inlineStr"/>
      <c r="K1771" s="6" t="inlineStr"/>
      <c r="L1771" s="6" t="inlineStr"/>
      <c r="M1771" s="5" t="inlineStr"/>
      <c r="N1771" s="5" t="inlineStr"/>
      <c r="O1771" s="6" t="inlineStr"/>
      <c r="P1771" s="6" t="inlineStr"/>
      <c r="Q1771" s="5" t="inlineStr"/>
      <c r="R1771" s="5" t="inlineStr"/>
      <c r="S1771" s="5" t="inlineStr"/>
      <c r="T1771" s="5" t="inlineStr"/>
      <c r="U1771" s="5" t="inlineStr">
        <is>
          <t>-hapis, eski-hukumlu, -ceza-indirimi</t>
        </is>
      </c>
      <c r="V1771" s="5" t="inlineStr"/>
      <c r="W1771" s="5" t="inlineStr"/>
      <c r="X1771" s="5" t="inlineStr"/>
      <c r="Y1771" s="5" t="inlineStr"/>
      <c r="Z1771" s="6" t="inlineStr"/>
      <c r="AA1771" s="5" t="inlineStr"/>
      <c r="AB1771" s="5" t="inlineStr"/>
      <c r="AC1771" s="5" t="inlineStr"/>
      <c r="AD1771" s="5" t="inlineStr"/>
      <c r="AE1771" s="5" t="inlineStr"/>
      <c r="AF1771" s="5" t="inlineStr"/>
      <c r="AG1771" s="5" t="inlineStr"/>
      <c r="AH1771" s="5" t="inlineStr"/>
    </row>
    <row r="1772">
      <c r="A1772" s="5" t="inlineStr">
        <is>
          <t>b8-erken-tahliye</t>
        </is>
      </c>
      <c r="B1772" s="5" t="n">
        <v>3</v>
      </c>
      <c r="C1772" s="6" t="inlineStr">
        <is>
          <t>Uzun yılları kitap yap</t>
        </is>
      </c>
      <c r="D1772" s="5" t="inlineStr">
        <is>
          <t>Çene</t>
        </is>
      </c>
      <c r="E1772" s="5" t="inlineStr">
        <is>
          <t>Zor</t>
        </is>
      </c>
      <c r="F1772" s="5" t="inlineStr"/>
      <c r="G1772" s="6" t="inlineStr"/>
      <c r="H1772" s="6" t="inlineStr">
        <is>
          <t>“Uzun Koğuş” adlı kitabın çıktı. Bir haber programı seni “yaşayan tanık” diye çağırdı; canlı yayında koğuşa selam gönderdin.</t>
        </is>
      </c>
      <c r="I1772" s="6" t="inlineStr">
        <is>
          <t>Kitap her yerde konuşuluyor; söyleşilerin biletleri tükeniyor. Koğuşa imzalı bir kutu kitap yolladın; en çok çaycı okudu.</t>
        </is>
      </c>
      <c r="J1772" s="6" t="inlineStr">
        <is>
          <t>Yayınevi “Anılar çok uzun, okur kısa” dedi. Taslak dolapta; sen eski yoluna dönüyorsun.</t>
        </is>
      </c>
      <c r="K1772" s="6" t="inlineStr">
        <is>
          <t>İlk bölümü bir yarışmaya gönderdin; “kurgu” dalında mansiyon aldı. Gerçek olduğuna kimse inanmıyor; sen eski yoluna döndün.</t>
        </is>
      </c>
      <c r="L1772" s="6" t="inlineStr"/>
      <c r="M1772" s="5" t="inlineStr"/>
      <c r="N1772" s="5" t="inlineStr"/>
      <c r="O1772" s="6" t="inlineStr"/>
      <c r="P1772" s="6" t="inlineStr"/>
      <c r="Q1772" s="5" t="inlineStr"/>
      <c r="R1772" s="5" t="inlineStr"/>
      <c r="S1772" s="5" t="inlineStr"/>
      <c r="T1772" s="5" t="inlineStr"/>
      <c r="U1772" s="5" t="inlineStr"/>
      <c r="V1772" s="5" t="inlineStr">
        <is>
          <t>-hat-cete, -hat-dolandirici, -hat-girisimci, -hat-goc, -hat-hekim, -hat-koy, -hat-polis, -hat-politika, -hat-usta, -hat-yargi, -meslek-beyazyaka, -meslek-esnaf, -meslek-memur, hat-sohret, meslek-serbest, -hapis, eski-hukumlu, -ceza-indirimi</t>
        </is>
      </c>
      <c r="W1772" s="5" t="inlineStr">
        <is>
          <t>-hapis, eski-hukumlu, -ceza-indirimi</t>
        </is>
      </c>
      <c r="X1772" s="5" t="inlineStr"/>
      <c r="Y1772" s="5" t="inlineStr"/>
      <c r="Z1772" s="6" t="inlineStr"/>
      <c r="AA1772" s="5" t="inlineStr"/>
      <c r="AB1772" s="5" t="inlineStr">
        <is>
          <t>-hapis, eski-hukumlu, -ceza-indirimi</t>
        </is>
      </c>
      <c r="AC1772" s="5" t="inlineStr"/>
      <c r="AD1772" s="5" t="inlineStr"/>
      <c r="AE1772" s="5" t="inlineStr"/>
      <c r="AF1772" s="5" t="inlineStr"/>
      <c r="AG1772" s="5" t="inlineStr"/>
      <c r="AH1772" s="5" t="inlineStr"/>
    </row>
    <row r="1773">
      <c r="A1773" s="5" t="inlineStr">
        <is>
          <t>b8-erken-tahliye</t>
        </is>
      </c>
      <c r="B1773" s="5" t="n">
        <v>4</v>
      </c>
      <c r="C1773" s="6" t="inlineStr">
        <is>
          <t>“İçeriyi ben gördüm” de, siyasete gir</t>
        </is>
      </c>
      <c r="D1773" s="5" t="inlineStr">
        <is>
          <t>Pişkinlik</t>
        </is>
      </c>
      <c r="E1773" s="5" t="inlineStr">
        <is>
          <t>Çok Zor</t>
        </is>
      </c>
      <c r="F1773" s="5" t="inlineStr"/>
      <c r="G1773" s="6" t="inlineStr"/>
      <c r="H1773" s="6" t="inlineStr">
        <is>
          <t>Afişindeki cümle kısaydı: “Ben içeriyi gördüm.” Mahalle seni meclis yolunda destekliyor; koğuş da, mektupla.</t>
        </is>
      </c>
      <c r="I1773" s="6" t="inlineStr">
        <is>
          <t>Parti seni cezaevleriyle ilgili bir komisyona önerdi. İlk toplantıda çay ocaklarının yerini değiştirdin; herkes daha rahat, kimse nedenini bilmiyor.</t>
        </is>
      </c>
      <c r="J1773" s="6" t="inlineStr">
        <is>
          <t>Başvuru formunda “Son on yılınızı anlatınız” diye bir kutu vardı. Kutu küçük kaldı; sen de eski yoluna döndün.</t>
        </is>
      </c>
      <c r="K1773" s="6" t="inlineStr">
        <is>
          <t>İlk konuşmanı koğuş diliyle yaptın. Salonda bir tek eski bir gardiyan anladı; o da alkışlamadı. Eski yoluna döndün.</t>
        </is>
      </c>
      <c r="L1773" s="6" t="inlineStr"/>
      <c r="M1773" s="5" t="inlineStr"/>
      <c r="N1773" s="5" t="inlineStr"/>
      <c r="O1773" s="6" t="inlineStr"/>
      <c r="P1773" s="6" t="inlineStr"/>
      <c r="Q1773" s="5" t="inlineStr"/>
      <c r="R1773" s="5" t="inlineStr"/>
      <c r="S1773" s="5" t="inlineStr"/>
      <c r="T1773" s="5" t="inlineStr"/>
      <c r="U1773" s="5" t="inlineStr"/>
      <c r="V1773" s="5" t="inlineStr">
        <is>
          <t>-hat-cete, -hat-dolandirici, -hat-girisimci, -hat-goc, -hat-hekim, -hat-koy, -hat-polis, -hat-sohret, -hat-usta, -hat-yargi, -meslek-beyazyaka, -meslek-esnaf, -meslek-memur, -meslek-serbest, hat-politika, -hapis, eski-hukumlu, -ceza-indirimi</t>
        </is>
      </c>
      <c r="W1773" s="5" t="inlineStr">
        <is>
          <t>-hapis, eski-hukumlu, -ceza-indirimi</t>
        </is>
      </c>
      <c r="X1773" s="5" t="inlineStr"/>
      <c r="Y1773" s="5" t="inlineStr"/>
      <c r="Z1773" s="6" t="inlineStr"/>
      <c r="AA1773" s="5" t="inlineStr"/>
      <c r="AB1773" s="5" t="inlineStr">
        <is>
          <t>-hapis, eski-hukumlu, -ceza-indirimi</t>
        </is>
      </c>
      <c r="AC1773" s="5" t="inlineStr"/>
      <c r="AD1773" s="5" t="inlineStr"/>
      <c r="AE1773" s="5" t="inlineStr"/>
      <c r="AF1773" s="5" t="inlineStr"/>
      <c r="AG1773" s="5" t="inlineStr"/>
      <c r="AH1773" s="5" t="inlineStr"/>
    </row>
    <row r="1774">
      <c r="A1774" s="5" t="inlineStr">
        <is>
          <t>b8-erken-tahliye</t>
        </is>
      </c>
      <c r="B1774" s="5" t="n">
        <v>5</v>
      </c>
      <c r="C1774" s="6" t="inlineStr">
        <is>
          <t>Mahallenin kefaletiyle iş bul</t>
        </is>
      </c>
      <c r="D1774" s="5" t="inlineStr"/>
      <c r="E1774" s="5" t="inlineStr"/>
      <c r="F1774" s="5" t="inlineStr">
        <is>
          <t>İtibar +1, Dayanıklılık +1</t>
        </is>
      </c>
      <c r="G1774" s="6" t="inlineStr">
        <is>
          <t>Kapıda seni çarşının en eski esnafı bekliyordu: “Senin için söz verdim, dükkânın arka tarafı senin.” Mahallede kimse geçmişini sormadı; sordurmadılar.</t>
        </is>
      </c>
      <c r="H1774" s="6" t="inlineStr"/>
      <c r="I1774" s="6" t="inlineStr"/>
      <c r="J1774" s="6" t="inlineStr"/>
      <c r="K1774" s="6" t="inlineStr"/>
      <c r="L1774" s="6" t="inlineStr"/>
      <c r="M1774" s="5" t="inlineStr"/>
      <c r="N1774" s="5" t="inlineStr"/>
      <c r="O1774" s="6" t="inlineStr"/>
      <c r="P1774" s="6" t="inlineStr"/>
      <c r="Q1774" s="5" t="inlineStr"/>
      <c r="R1774" s="5" t="inlineStr"/>
      <c r="S1774" s="5" t="inlineStr"/>
      <c r="T1774" s="5" t="inlineStr"/>
      <c r="U1774" s="5" t="inlineStr">
        <is>
          <t>-hat-cete, -hat-dolandirici, -hat-girisimci, -hat-goc, -hat-hekim, -hat-koy, -hat-polis, -hat-politika, -hat-sohret, -hat-usta, -hat-yargi, -meslek-beyazyaka, -meslek-memur, -meslek-serbest, meslek-esnaf, -hapis, eski-hukumlu, -ceza-indirimi</t>
        </is>
      </c>
      <c r="V1774" s="5" t="inlineStr"/>
      <c r="W1774" s="5" t="inlineStr"/>
      <c r="X1774" s="5" t="inlineStr"/>
      <c r="Y1774" s="5" t="inlineStr"/>
      <c r="Z1774" s="6" t="inlineStr"/>
      <c r="AA1774" s="5" t="inlineStr"/>
      <c r="AB1774" s="5" t="inlineStr"/>
      <c r="AC1774" s="5" t="inlineStr"/>
      <c r="AD1774" s="5" t="inlineStr">
        <is>
          <t>Kıt</t>
        </is>
      </c>
      <c r="AE1774" s="5" t="inlineStr"/>
      <c r="AF1774" s="5" t="inlineStr"/>
      <c r="AG1774" s="5" t="inlineStr"/>
      <c r="AH1774" s="5" t="inlineStr">
        <is>
          <t>İtibar 48</t>
        </is>
      </c>
    </row>
  </sheetData>
  <autoFilter ref="A1:AH1774"/>
  <dataValidations count="4">
    <dataValidation sqref="D2:D2173" showDropDown="0" showInputMessage="0" showErrorMessage="1" allowBlank="1" errorTitle="Geçersiz değer" error="Listeden bir değer seçin." type="list">
      <formula1>"Akıl,Çene,Kurnazlık,Cesaret,Pişkinlik,İtibar,Dayanıklılık,Sosyal Radar"</formula1>
    </dataValidation>
    <dataValidation sqref="E2:E2173" showDropDown="0" showInputMessage="0" showErrorMessage="1" allowBlank="1" errorTitle="Geçersiz değer" error="Listeden bir değer seçin." type="list">
      <formula1>"Çok Kolay,Kolay,Orta,Zor,Çok Zor"</formula1>
    </dataValidation>
    <dataValidation sqref="M2:M2173" showDropDown="0" showInputMessage="0" showErrorMessage="1" allowBlank="1" errorTitle="Geçersiz değer" error="Listeden bir değer seçin." type="list">
      <formula1>"timing,hold,collect,race,memory,cups,doors,rhythm,lanes,simon,poker,trace,bargain,swipe,breath,balance"</formula1>
    </dataValidation>
    <dataValidation sqref="S2:S2173" showDropDown="0" showInputMessage="0" showErrorMessage="1" allowBlank="1" errorTitle="Geçersiz değer" error="Listeden bir değer seçin." type="list">
      <formula1>"Akıl,Çene,Kurnazlık,Cesaret,Pişkinlik,İtibar,Dayanıklılık,Sosyal Radar"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3" customWidth="1" min="2" max="2"/>
    <col width="10" customWidth="1" min="3" max="3"/>
    <col width="70" customWidth="1" min="4" max="4"/>
    <col width="40" customWidth="1" min="5" max="5"/>
    <col width="9" customWidth="1" min="6" max="6"/>
  </cols>
  <sheetData>
    <row r="1" ht="32" customHeight="1">
      <c r="A1" s="4" t="inlineStr">
        <is>
          <t>Olay ID</t>
        </is>
      </c>
      <c r="B1" s="4" t="inlineStr">
        <is>
          <t>Stat</t>
        </is>
      </c>
      <c r="C1" s="4" t="inlineStr">
        <is>
          <t>Zorluk</t>
        </is>
      </c>
      <c r="D1" s="4" t="inlineStr">
        <is>
          <t>İç ses metni</t>
        </is>
      </c>
      <c r="E1" s="4" t="inlineStr">
        <is>
          <t>Başarısızlık metni</t>
        </is>
      </c>
      <c r="F1" s="4" t="inlineStr">
        <is>
          <t>Seçenek açar</t>
        </is>
      </c>
    </row>
    <row r="2">
      <c r="A2" s="5" t="inlineStr">
        <is>
          <t>dogum</t>
        </is>
      </c>
      <c r="B2" s="5" t="inlineStr">
        <is>
          <t>Sosyal Radar</t>
        </is>
      </c>
      <c r="C2" s="5" t="inlineStr">
        <is>
          <t>Kolay</t>
        </is>
      </c>
      <c r="D2" s="6" t="inlineStr">
        <is>
          <t>Odada altı kişi var. Beşi sana bakıyor. Altıncısı faturaya.</t>
        </is>
      </c>
      <c r="E2" s="6" t="inlineStr"/>
      <c r="F2" s="5" t="inlineStr"/>
    </row>
    <row r="3">
      <c r="A3" s="5" t="inlineStr">
        <is>
          <t>dogum</t>
        </is>
      </c>
      <c r="B3" s="5" t="inlineStr">
        <is>
          <t>Pişkinlik</t>
        </is>
      </c>
      <c r="C3" s="5" t="inlineStr">
        <is>
          <t>Orta</t>
        </is>
      </c>
      <c r="D3" s="6" t="inlineStr">
        <is>
          <t>Sahne senin. Işıklar hazır. Ağlamak, açılış için yeterince güçlü bir performans.</t>
        </is>
      </c>
      <c r="E3" s="6" t="inlineStr"/>
      <c r="F3" s="5" t="inlineStr"/>
    </row>
    <row r="4">
      <c r="A4" s="5" t="inlineStr">
        <is>
          <t>yasak-nesne</t>
        </is>
      </c>
      <c r="B4" s="5" t="inlineStr">
        <is>
          <t>Kurnazlık</t>
        </is>
      </c>
      <c r="C4" s="5" t="inlineStr">
        <is>
          <t>Kolay</t>
        </is>
      </c>
      <c r="D4" s="6" t="inlineStr">
        <is>
          <t>Parlak şeyler pahalıdır. Pahalı şeyler yüksekte durur. Bu masada bir planlama hatası var.</t>
        </is>
      </c>
      <c r="E4" s="6" t="inlineStr"/>
      <c r="F4" s="5" t="inlineStr"/>
    </row>
    <row r="5">
      <c r="A5" s="5" t="inlineStr">
        <is>
          <t>yasak-nesne</t>
        </is>
      </c>
      <c r="B5" s="5" t="inlineStr">
        <is>
          <t>İtibar</t>
        </is>
      </c>
      <c r="C5" s="5" t="inlineStr">
        <is>
          <t>Orta</t>
        </is>
      </c>
      <c r="D5" s="6" t="inlineStr">
        <is>
          <t>Bu nesneye dokunursan birileri üzülecek. Muhtemelen sen, biraz sonra.</t>
        </is>
      </c>
      <c r="E5" s="6" t="inlineStr"/>
      <c r="F5" s="5" t="inlineStr"/>
    </row>
    <row r="6">
      <c r="A6" s="5" t="inlineStr">
        <is>
          <t>vazo-kirildi</t>
        </is>
      </c>
      <c r="B6" s="5" t="inlineStr">
        <is>
          <t>Sosyal Radar</t>
        </is>
      </c>
      <c r="C6" s="5" t="inlineStr">
        <is>
          <t>Orta</t>
        </is>
      </c>
      <c r="D6" s="6" t="inlineStr">
        <is>
          <t>Kedi seni izlemiyor. Annenin ayak seslerini izliyor. Dört saniyen var.</t>
        </is>
      </c>
      <c r="E6" s="6" t="inlineStr"/>
      <c r="F6" s="5" t="inlineStr">
        <is>
          <t>E</t>
        </is>
      </c>
    </row>
    <row r="7">
      <c r="A7" s="5" t="inlineStr">
        <is>
          <t>vazo-kirildi</t>
        </is>
      </c>
      <c r="B7" s="5" t="inlineStr">
        <is>
          <t>Pişkinlik</t>
        </is>
      </c>
      <c r="C7" s="5" t="inlineStr">
        <is>
          <t>Zor</t>
        </is>
      </c>
      <c r="D7" s="6" t="inlineStr">
        <is>
          <t>Kedinin avukatı yok. Sadece söylüyorum.</t>
        </is>
      </c>
      <c r="E7" s="6" t="inlineStr"/>
      <c r="F7" s="5" t="inlineStr"/>
    </row>
    <row r="8">
      <c r="A8" s="5" t="inlineStr">
        <is>
          <t>vazo-kirildi</t>
        </is>
      </c>
      <c r="B8" s="5" t="inlineStr">
        <is>
          <t>İtibar</t>
        </is>
      </c>
      <c r="C8" s="5" t="inlineStr">
        <is>
          <t>Kolay</t>
        </is>
      </c>
      <c r="D8" s="6" t="inlineStr">
        <is>
          <t>Bu vazo babaanneden kalmaydı. Babaanne hâlâ hayatta. Bu durumu daha da kötüleştiriyor.</t>
        </is>
      </c>
      <c r="E8" s="6" t="inlineStr">
        <is>
          <t>…İtibarın bu sırada başka bir şeyle meşguldü.</t>
        </is>
      </c>
      <c r="F8" s="5" t="inlineStr"/>
    </row>
    <row r="9">
      <c r="A9" s="5" t="inlineStr">
        <is>
          <t>ilk-harclik</t>
        </is>
      </c>
      <c r="B9" s="5" t="inlineStr">
        <is>
          <t>Kurnazlık</t>
        </is>
      </c>
      <c r="C9" s="5" t="inlineStr">
        <is>
          <t>Orta</t>
        </is>
      </c>
      <c r="D9" s="6" t="inlineStr">
        <is>
          <t>Bu bozuk paralar tek başına bir şey değil. Biriktirirsen de bir şey değil. Ama biriktirirsen.</t>
        </is>
      </c>
      <c r="E9" s="6" t="inlineStr"/>
      <c r="F9" s="5" t="inlineStr"/>
    </row>
    <row r="10">
      <c r="A10" s="5" t="inlineStr">
        <is>
          <t>ilk-harclik</t>
        </is>
      </c>
      <c r="B10" s="5" t="inlineStr">
        <is>
          <t>Çene</t>
        </is>
      </c>
      <c r="C10" s="5" t="inlineStr">
        <is>
          <t>Kolay</t>
        </is>
      </c>
      <c r="D10" s="6" t="inlineStr">
        <is>
          <t>Karşıdaki çocuğun elinde kraker var. Kraker de bir para birimidir.</t>
        </is>
      </c>
      <c r="E10" s="6" t="inlineStr"/>
      <c r="F10" s="5" t="inlineStr"/>
    </row>
    <row r="11">
      <c r="A11" s="5" t="inlineStr">
        <is>
          <t>kim-yapti</t>
        </is>
      </c>
      <c r="B11" s="5" t="inlineStr">
        <is>
          <t>İtibar</t>
        </is>
      </c>
      <c r="C11" s="5" t="inlineStr">
        <is>
          <t>Kolay</t>
        </is>
      </c>
      <c r="D11" s="6" t="inlineStr">
        <is>
          <t>Doğruyu söylersen bugün kötü geçer. Yalan söylersen bu gece kötü geçer.</t>
        </is>
      </c>
      <c r="E11" s="6" t="inlineStr"/>
      <c r="F11" s="5" t="inlineStr"/>
    </row>
    <row r="12">
      <c r="A12" s="5" t="inlineStr">
        <is>
          <t>kim-yapti</t>
        </is>
      </c>
      <c r="B12" s="5" t="inlineStr">
        <is>
          <t>Akıl</t>
        </is>
      </c>
      <c r="C12" s="5" t="inlineStr">
        <is>
          <t>Orta</t>
        </is>
      </c>
      <c r="D12" s="6" t="inlineStr">
        <is>
          <t>Baban kalemin kapağını tutuyor. Kalemin kendisi senin cebinde. Bu bir soruşturma değil, bir sadakat testi.</t>
        </is>
      </c>
      <c r="E12" s="6" t="inlineStr"/>
      <c r="F12" s="5" t="inlineStr">
        <is>
          <t>E</t>
        </is>
      </c>
    </row>
    <row r="13">
      <c r="A13" s="5" t="inlineStr">
        <is>
          <t>ilk-gercek-yalan</t>
        </is>
      </c>
      <c r="B13" s="5" t="inlineStr">
        <is>
          <t>Pişkinlik</t>
        </is>
      </c>
      <c r="C13" s="5" t="inlineStr">
        <is>
          <t>Orta</t>
        </is>
      </c>
      <c r="D13" s="6" t="inlineStr">
        <is>
          <t>Göz teması kur. Gözünü kırpma. Kırpma dedik.</t>
        </is>
      </c>
      <c r="E13" s="6" t="inlineStr"/>
      <c r="F13" s="5" t="inlineStr"/>
    </row>
    <row r="14">
      <c r="A14" s="5" t="inlineStr">
        <is>
          <t>ilk-gercek-yalan</t>
        </is>
      </c>
      <c r="B14" s="5" t="inlineStr">
        <is>
          <t>İtibar</t>
        </is>
      </c>
      <c r="C14" s="5" t="inlineStr">
        <is>
          <t>Kolay</t>
        </is>
      </c>
      <c r="D14" s="6" t="inlineStr">
        <is>
          <t>Bu yetişkin sana güveniyor. Bu, işi hem kolaylaştırıyor hem zorlaştırıyor.</t>
        </is>
      </c>
      <c r="E14" s="6" t="inlineStr"/>
      <c r="F14" s="5" t="inlineStr"/>
    </row>
    <row r="15">
      <c r="A15" s="5" t="inlineStr">
        <is>
          <t>mahalle-bakkali</t>
        </is>
      </c>
      <c r="B15" s="5" t="inlineStr">
        <is>
          <t>Sosyal Radar</t>
        </is>
      </c>
      <c r="C15" s="5" t="inlineStr">
        <is>
          <t>Orta</t>
        </is>
      </c>
      <c r="D15" s="6" t="inlineStr">
        <is>
          <t>Bakkal mahalledeki herkesin borcunu ezbere biliyor. Seninkini de. Henüz yok ama biliyor.</t>
        </is>
      </c>
      <c r="E15" s="6" t="inlineStr"/>
      <c r="F15" s="5" t="inlineStr"/>
    </row>
    <row r="16">
      <c r="A16" s="5" t="inlineStr">
        <is>
          <t>mahalle-bakkali</t>
        </is>
      </c>
      <c r="B16" s="5" t="inlineStr">
        <is>
          <t>Kurnazlık</t>
        </is>
      </c>
      <c r="C16" s="5" t="inlineStr">
        <is>
          <t>Zor</t>
        </is>
      </c>
      <c r="D16" s="6" t="inlineStr">
        <is>
          <t>Terazinin kefesinin altında bir sakız yapışık. Yıllardır orada. Terazi yıllardır bir sakız ağırlığında yanılıyor.</t>
        </is>
      </c>
      <c r="E16" s="6" t="inlineStr"/>
      <c r="F16" s="5" t="inlineStr"/>
    </row>
    <row r="17">
      <c r="A17" s="5" t="inlineStr">
        <is>
          <t>sana-guluyorlar</t>
        </is>
      </c>
      <c r="B17" s="5" t="inlineStr">
        <is>
          <t>Dayanıklılık</t>
        </is>
      </c>
      <c r="C17" s="5" t="inlineStr">
        <is>
          <t>Kolay</t>
        </is>
      </c>
      <c r="D17" s="6" t="inlineStr">
        <is>
          <t>Bu an geçecek. Otuz yıl sonra bir düğünde biri hatırlatacak. O an da geçecek.</t>
        </is>
      </c>
      <c r="E17" s="6" t="inlineStr"/>
      <c r="F17" s="5" t="inlineStr"/>
    </row>
    <row r="18">
      <c r="A18" s="5" t="inlineStr">
        <is>
          <t>sana-guluyorlar</t>
        </is>
      </c>
      <c r="B18" s="5" t="inlineStr">
        <is>
          <t>Cesaret</t>
        </is>
      </c>
      <c r="C18" s="5" t="inlineStr">
        <is>
          <t>Orta</t>
        </is>
      </c>
      <c r="D18" s="6" t="inlineStr">
        <is>
          <t>Gülen üç kişi. İkisi neye güldüğünü bilmiyor. Üçüncüsü de emin değil.</t>
        </is>
      </c>
      <c r="E18" s="6" t="inlineStr"/>
      <c r="F18" s="5" t="inlineStr"/>
    </row>
    <row r="19">
      <c r="A19" s="5" t="inlineStr">
        <is>
          <t>aileler-kiyasliyor</t>
        </is>
      </c>
      <c r="B19" s="5" t="inlineStr">
        <is>
          <t>Sosyal Radar</t>
        </is>
      </c>
      <c r="C19" s="5" t="inlineStr">
        <is>
          <t>Orta</t>
        </is>
      </c>
      <c r="D19" s="6" t="inlineStr">
        <is>
          <t>Karşıdaki annenin gülümsemesi 'Bizimki de okuyor' diyor. Gözleri 'Ama sizinki kadar değil' diyor.</t>
        </is>
      </c>
      <c r="E19" s="6" t="inlineStr"/>
      <c r="F19" s="5" t="inlineStr"/>
    </row>
    <row r="20">
      <c r="A20" s="5" t="inlineStr">
        <is>
          <t>tepsiyle-kayak</t>
        </is>
      </c>
      <c r="B20" s="5" t="inlineStr">
        <is>
          <t>Akıl</t>
        </is>
      </c>
      <c r="C20" s="5" t="inlineStr">
        <is>
          <t>Orta</t>
        </is>
      </c>
      <c r="D20" s="6" t="inlineStr">
        <is>
          <t>Yokuşun sonunda bir çöp konteyneri var. Tepsinin freni yok. Bu iki bilgiyi aynı cümlede düşün.</t>
        </is>
      </c>
      <c r="E20" s="6" t="inlineStr"/>
      <c r="F20" s="5" t="inlineStr"/>
    </row>
    <row r="21">
      <c r="A21" s="5" t="inlineStr">
        <is>
          <t>tepsiyle-kayak</t>
        </is>
      </c>
      <c r="B21" s="5" t="inlineStr">
        <is>
          <t>Cesaret</t>
        </is>
      </c>
      <c r="C21" s="5" t="inlineStr">
        <is>
          <t>Kolay</t>
        </is>
      </c>
      <c r="D21" s="6" t="inlineStr">
        <is>
          <t>Hayatta bazı yokuşlar bir kez kaydırılır. Genelde son kez değil. Genelde.</t>
        </is>
      </c>
      <c r="E21" s="6" t="inlineStr"/>
      <c r="F21" s="5" t="inlineStr"/>
    </row>
    <row r="22">
      <c r="A22" s="5" t="inlineStr">
        <is>
          <t>ilkokul-kapisi</t>
        </is>
      </c>
      <c r="B22" s="5" t="inlineStr">
        <is>
          <t>Cesaret</t>
        </is>
      </c>
      <c r="C22" s="5" t="inlineStr">
        <is>
          <t>Kolay</t>
        </is>
      </c>
      <c r="D22" s="6" t="inlineStr">
        <is>
          <t>Bina büyük ama kapı normal boyutta. Başlangıç için yeterli.</t>
        </is>
      </c>
      <c r="E22" s="6" t="inlineStr"/>
      <c r="F22" s="5" t="inlineStr"/>
    </row>
    <row r="23">
      <c r="A23" s="5" t="inlineStr">
        <is>
          <t>ilkokul-kapisi</t>
        </is>
      </c>
      <c r="B23" s="5" t="inlineStr">
        <is>
          <t>Akıl</t>
        </is>
      </c>
      <c r="C23" s="5" t="inlineStr">
        <is>
          <t>Orta</t>
        </is>
      </c>
      <c r="D23" s="6" t="inlineStr">
        <is>
          <t>Koridorda on iki kapı var. Resimli olanlar küçük sınıflar. Sen artık küçük sınıfsın. Bunu kabullen.</t>
        </is>
      </c>
      <c r="E23" s="6" t="inlineStr"/>
      <c r="F23" s="5" t="inlineStr"/>
    </row>
    <row r="24">
      <c r="A24" s="5" t="inlineStr">
        <is>
          <t>sinif-baskani</t>
        </is>
      </c>
      <c r="B24" s="5" t="inlineStr">
        <is>
          <t>Çene</t>
        </is>
      </c>
      <c r="C24" s="5" t="inlineStr">
        <is>
          <t>Orta</t>
        </is>
      </c>
      <c r="D24" s="6" t="inlineStr">
        <is>
          <t>Vaat ne kadar büyükse oy o kadar çok. Uygulama kısmı seçimden sonraki bir sorun.</t>
        </is>
      </c>
      <c r="E24" s="6" t="inlineStr"/>
      <c r="F24" s="5" t="inlineStr"/>
    </row>
    <row r="25">
      <c r="A25" s="5" t="inlineStr">
        <is>
          <t>sinif-baskani</t>
        </is>
      </c>
      <c r="B25" s="5" t="inlineStr">
        <is>
          <t>İtibar</t>
        </is>
      </c>
      <c r="C25" s="5" t="inlineStr">
        <is>
          <t>Orta</t>
        </is>
      </c>
      <c r="D25" s="6" t="inlineStr">
        <is>
          <t>Akvaryum vaat eden aday, balıklara kimin bakacağını söylemedi. Seçim kampanyalarına hoş geldin.</t>
        </is>
      </c>
      <c r="E25" s="6" t="inlineStr"/>
      <c r="F25" s="5" t="inlineStr"/>
    </row>
    <row r="26">
      <c r="A26" s="5" t="inlineStr">
        <is>
          <t>balkondaki-ucurtma</t>
        </is>
      </c>
      <c r="B26" s="5" t="inlineStr">
        <is>
          <t>Cesaret</t>
        </is>
      </c>
      <c r="C26" s="5" t="inlineStr">
        <is>
          <t>Kolay</t>
        </is>
      </c>
      <c r="D26" s="6" t="inlineStr">
        <is>
          <t>İki kat. Aslında bir buçuk. Bir de korkuluk var. Korkuluklar bunun için yapılmış olabilir mi? Hayır.</t>
        </is>
      </c>
      <c r="E26" s="6" t="inlineStr"/>
      <c r="F26" s="5" t="inlineStr"/>
    </row>
    <row r="27">
      <c r="A27" s="5" t="inlineStr">
        <is>
          <t>balkondaki-ucurtma</t>
        </is>
      </c>
      <c r="B27" s="5" t="inlineStr">
        <is>
          <t>İtibar</t>
        </is>
      </c>
      <c r="C27" s="5" t="inlineStr">
        <is>
          <t>Orta</t>
        </is>
      </c>
      <c r="D27" s="6" t="inlineStr">
        <is>
          <t>Bu uçurtmayı sana dedenin aldığını hatırlıyor musun? Dede de seni hatırlıyor. Canlı olarak.</t>
        </is>
      </c>
      <c r="E27" s="6" t="inlineStr">
        <is>
          <t>…İtibarın sesini rüzgâra kaptırdı.</t>
        </is>
      </c>
      <c r="F27" s="5" t="inlineStr"/>
    </row>
    <row r="28">
      <c r="A28" s="5" t="inlineStr">
        <is>
          <t>veli-toplantisi</t>
        </is>
      </c>
      <c r="B28" s="5" t="inlineStr">
        <is>
          <t>Sosyal Radar</t>
        </is>
      </c>
      <c r="C28" s="5" t="inlineStr">
        <is>
          <t>Zor</t>
        </is>
      </c>
      <c r="D28" s="6" t="inlineStr">
        <is>
          <t>Öğretmenin elindeki dosya kalın. İnce dosyalar iyi haberdir. Kalın dosyalar tarihtir.</t>
        </is>
      </c>
      <c r="E28" s="6" t="inlineStr"/>
      <c r="F28" s="5" t="inlineStr"/>
    </row>
    <row r="29">
      <c r="A29" s="5" t="inlineStr">
        <is>
          <t>veli-toplantisi</t>
        </is>
      </c>
      <c r="B29" s="5" t="inlineStr">
        <is>
          <t>Dayanıklılık</t>
        </is>
      </c>
      <c r="C29" s="5" t="inlineStr">
        <is>
          <t>Kolay</t>
        </is>
      </c>
      <c r="D29" s="6" t="inlineStr">
        <is>
          <t>Kapının bu tarafında olmak, ömrünün en uzun yirmi dakikası olacak. Şimdilik.</t>
        </is>
      </c>
      <c r="E29" s="6" t="inlineStr"/>
      <c r="F29" s="5" t="inlineStr"/>
    </row>
    <row r="30">
      <c r="A30" s="5" t="inlineStr">
        <is>
          <t>karne-gunu</t>
        </is>
      </c>
      <c r="B30" s="5" t="inlineStr">
        <is>
          <t>Dayanıklılık</t>
        </is>
      </c>
      <c r="C30" s="5" t="inlineStr">
        <is>
          <t>Orta</t>
        </is>
      </c>
      <c r="D30" s="6" t="inlineStr">
        <is>
          <t>Eve 800 metre var. Her adım bir savunma cümlesi. Yeterince yürüdün, yeterince yazdın.</t>
        </is>
      </c>
      <c r="E30" s="6" t="inlineStr"/>
      <c r="F30" s="5" t="inlineStr"/>
    </row>
    <row r="31">
      <c r="A31" s="5" t="inlineStr">
        <is>
          <t>karne-gunu</t>
        </is>
      </c>
      <c r="B31" s="5" t="inlineStr">
        <is>
          <t>Akıl</t>
        </is>
      </c>
      <c r="C31" s="5" t="inlineStr">
        <is>
          <t>Kolay</t>
        </is>
      </c>
      <c r="D31" s="6" t="inlineStr">
        <is>
          <t>Karnedeki notlar değişmeyecek. Değişecek tek şey, onları nasıl sunduğun. Bu da bir tür matematik.</t>
        </is>
      </c>
      <c r="E31" s="6" t="inlineStr"/>
      <c r="F31" s="5" t="inlineStr"/>
    </row>
    <row r="32">
      <c r="A32" s="5" t="inlineStr">
        <is>
          <t>b4-ilk-telefon</t>
        </is>
      </c>
      <c r="B32" s="5" t="inlineStr">
        <is>
          <t>Kurnazlık</t>
        </is>
      </c>
      <c r="C32" s="5" t="inlineStr">
        <is>
          <t>Orta</t>
        </is>
      </c>
      <c r="D32" s="6" t="inlineStr">
        <is>
          <t>Denetim şifresi babanın doğum yılı. Bütün şifreler gibi.</t>
        </is>
      </c>
      <c r="E32" s="6" t="inlineStr"/>
      <c r="F32" s="5" t="inlineStr">
        <is>
          <t>E</t>
        </is>
      </c>
    </row>
    <row r="33">
      <c r="A33" s="5" t="inlineStr">
        <is>
          <t>b4-ilk-telefon</t>
        </is>
      </c>
      <c r="B33" s="5" t="inlineStr">
        <is>
          <t>İtibar</t>
        </is>
      </c>
      <c r="C33" s="5" t="inlineStr">
        <is>
          <t>Kolay</t>
        </is>
      </c>
      <c r="D33" s="6" t="inlineStr">
        <is>
          <t>Bu telefonun faturası annenin adına. Her bildirim bir gün onun ekranına da düşecek.</t>
        </is>
      </c>
      <c r="E33" s="6" t="inlineStr"/>
      <c r="F33" s="5" t="inlineStr"/>
    </row>
    <row r="34">
      <c r="A34" s="5" t="inlineStr">
        <is>
          <t>b4-aile-grubu</t>
        </is>
      </c>
      <c r="B34" s="5" t="inlineStr">
        <is>
          <t>Sosyal Radar</t>
        </is>
      </c>
      <c r="C34" s="5" t="inlineStr">
        <is>
          <t>Orta</t>
        </is>
      </c>
      <c r="D34" s="6" t="inlineStr">
        <is>
          <t>Halanın 'Herkes görüyor ama kimse yazmıyor' mesajı sana. Henüz bilmiyorsun.</t>
        </is>
      </c>
      <c r="E34" s="6" t="inlineStr"/>
      <c r="F34" s="5" t="inlineStr"/>
    </row>
    <row r="35">
      <c r="A35" s="5" t="inlineStr">
        <is>
          <t>b4-aile-grubu</t>
        </is>
      </c>
      <c r="B35" s="5" t="inlineStr">
        <is>
          <t>Pişkinlik</t>
        </is>
      </c>
      <c r="C35" s="5" t="inlineStr">
        <is>
          <t>Zor</t>
        </is>
      </c>
      <c r="D35" s="6" t="inlineStr">
        <is>
          <t>Bu grup bir sahne. Seyirci yaşlı ama sadık.</t>
        </is>
      </c>
      <c r="E35" s="6" t="inlineStr"/>
      <c r="F35" s="5" t="inlineStr"/>
    </row>
    <row r="36">
      <c r="A36" s="5" t="inlineStr">
        <is>
          <t>b4-oyun-faturasi</t>
        </is>
      </c>
      <c r="B36" s="5" t="inlineStr">
        <is>
          <t>Akıl</t>
        </is>
      </c>
      <c r="C36" s="5" t="inlineStr">
        <is>
          <t>Orta</t>
        </is>
      </c>
      <c r="D36" s="6" t="inlineStr">
        <is>
          <t>Bir elmas paketi, bir haftalık market alışverişi. Oyun bunu söylemiyor. Ekstre söyleyecek.</t>
        </is>
      </c>
      <c r="E36" s="6" t="inlineStr"/>
      <c r="F36" s="5" t="inlineStr"/>
    </row>
    <row r="37">
      <c r="A37" s="5" t="inlineStr">
        <is>
          <t>b4-oyun-faturasi</t>
        </is>
      </c>
      <c r="B37" s="5" t="inlineStr">
        <is>
          <t>Kurnazlık</t>
        </is>
      </c>
      <c r="C37" s="5" t="inlineStr">
        <is>
          <t>Zor</t>
        </is>
      </c>
      <c r="D37" s="6" t="inlineStr">
        <is>
          <t>Ödeme, annenin parmak iziyle onaylanıyor. Annen şu an kanepede, akşam dizisinin karşısında uyukluyor.</t>
        </is>
      </c>
      <c r="E37" s="6" t="inlineStr"/>
      <c r="F37" s="5" t="inlineStr">
        <is>
          <t>E</t>
        </is>
      </c>
    </row>
    <row r="38">
      <c r="A38" s="5" t="inlineStr">
        <is>
          <t>b4-flut</t>
        </is>
      </c>
      <c r="B38" s="5" t="inlineStr">
        <is>
          <t>İtibar</t>
        </is>
      </c>
      <c r="C38" s="5" t="inlineStr">
        <is>
          <t>Kolay</t>
        </is>
      </c>
      <c r="D38" s="6" t="inlineStr">
        <is>
          <t>Flüt, bir ailenin sabrını ölçmek için icat edildi. Bu, bilimsel değil ama doğru.</t>
        </is>
      </c>
      <c r="E38" s="6" t="inlineStr"/>
      <c r="F38" s="5" t="inlineStr"/>
    </row>
    <row r="39">
      <c r="A39" s="5" t="inlineStr">
        <is>
          <t>b4-sinif-grubu</t>
        </is>
      </c>
      <c r="B39" s="5" t="inlineStr">
        <is>
          <t>Sosyal Radar</t>
        </is>
      </c>
      <c r="C39" s="5" t="inlineStr">
        <is>
          <t>Orta</t>
        </is>
      </c>
      <c r="D39" s="6" t="inlineStr">
        <is>
          <t>Grupta öğretmenin kızı da var. Kimse bunu hatırlamıyor.</t>
        </is>
      </c>
      <c r="E39" s="6" t="inlineStr"/>
      <c r="F39" s="5" t="inlineStr">
        <is>
          <t>E</t>
        </is>
      </c>
    </row>
    <row r="40">
      <c r="A40" s="5" t="inlineStr">
        <is>
          <t>b4-sinif-grubu</t>
        </is>
      </c>
      <c r="B40" s="5" t="inlineStr">
        <is>
          <t>İtibar</t>
        </is>
      </c>
      <c r="C40" s="5" t="inlineStr">
        <is>
          <t>Kolay</t>
        </is>
      </c>
      <c r="D40" s="6" t="inlineStr">
        <is>
          <t>Yazdığın her şey birinin ekran görüntüsü klasörüne gidecek. Oradan hiçbir şey çıkmaz.</t>
        </is>
      </c>
      <c r="E40" s="6" t="inlineStr"/>
      <c r="F40" s="5" t="inlineStr"/>
    </row>
    <row r="41">
      <c r="A41" s="5" t="inlineStr">
        <is>
          <t>b4-kisa-video</t>
        </is>
      </c>
      <c r="B41" s="5" t="inlineStr">
        <is>
          <t>Pişkinlik</t>
        </is>
      </c>
      <c r="C41" s="5" t="inlineStr">
        <is>
          <t>Orta</t>
        </is>
      </c>
      <c r="D41" s="6" t="inlineStr">
        <is>
          <t>Kamera açılınca utanç kapanır. Bu bir teknik özellik.</t>
        </is>
      </c>
      <c r="E41" s="6" t="inlineStr"/>
      <c r="F41" s="5" t="inlineStr"/>
    </row>
    <row r="42">
      <c r="A42" s="5" t="inlineStr">
        <is>
          <t>b4-kisa-video</t>
        </is>
      </c>
      <c r="B42" s="5" t="inlineStr">
        <is>
          <t>Dayanıklılık</t>
        </is>
      </c>
      <c r="C42" s="5" t="inlineStr">
        <is>
          <t>Kolay</t>
        </is>
      </c>
      <c r="D42" s="6" t="inlineStr">
        <is>
          <t>Aynı dansı kırk kez çekeceksin. Otuz dokuzu yalnızca senin telefonunda kalacak.</t>
        </is>
      </c>
      <c r="E42" s="6" t="inlineStr"/>
      <c r="F42" s="5" t="inlineStr"/>
    </row>
    <row r="43">
      <c r="A43" s="5" t="inlineStr">
        <is>
          <t>b4-kuzen-kiyaslama</t>
        </is>
      </c>
      <c r="B43" s="5" t="inlineStr">
        <is>
          <t>İtibar</t>
        </is>
      </c>
      <c r="C43" s="5" t="inlineStr">
        <is>
          <t>Orta</t>
        </is>
      </c>
      <c r="D43" s="6" t="inlineStr">
        <is>
          <t>Kuzenin de mutlu görünmüyor. Onun annesi de onu bir başkasıyla kıyaslıyor. Zincir uzun.</t>
        </is>
      </c>
      <c r="E43" s="6" t="inlineStr"/>
      <c r="F43" s="5" t="inlineStr"/>
    </row>
    <row r="44">
      <c r="A44" s="5" t="inlineStr">
        <is>
          <t>b4-kuzen-kiyaslama</t>
        </is>
      </c>
      <c r="B44" s="5" t="inlineStr">
        <is>
          <t>Çene</t>
        </is>
      </c>
      <c r="C44" s="5" t="inlineStr">
        <is>
          <t>Kolay</t>
        </is>
      </c>
      <c r="D44" s="6" t="inlineStr">
        <is>
          <t>Her kıyaslamanın bir karşı argümanı vardır. Kuzenin henüz yapmadığı tek şeyi bul.</t>
        </is>
      </c>
      <c r="E44" s="6" t="inlineStr"/>
      <c r="F44" s="5" t="inlineStr"/>
    </row>
    <row r="45">
      <c r="A45" s="5" t="inlineStr">
        <is>
          <t>b4-ekran-suresi</t>
        </is>
      </c>
      <c r="B45" s="5" t="inlineStr">
        <is>
          <t>Kurnazlık</t>
        </is>
      </c>
      <c r="C45" s="5" t="inlineStr">
        <is>
          <t>Orta</t>
        </is>
      </c>
      <c r="D45" s="6" t="inlineStr">
        <is>
          <t>Babanın telefonunda da boş bir hesap makinesi var. İki suçlu, bir suçludan daha az suçludur.</t>
        </is>
      </c>
      <c r="E45" s="6" t="inlineStr"/>
      <c r="F45" s="5" t="inlineStr">
        <is>
          <t>E</t>
        </is>
      </c>
    </row>
    <row r="46">
      <c r="A46" s="5" t="inlineStr">
        <is>
          <t>b4-ekran-suresi</t>
        </is>
      </c>
      <c r="B46" s="5" t="inlineStr">
        <is>
          <t>Çene</t>
        </is>
      </c>
      <c r="C46" s="5" t="inlineStr">
        <is>
          <t>Kolay</t>
        </is>
      </c>
      <c r="D46" s="6" t="inlineStr">
        <is>
          <t>Rakam konuşmaz. Rakamı yorumlayan konuşur. Sen yorumla.</t>
        </is>
      </c>
      <c r="E46" s="6" t="inlineStr"/>
      <c r="F46" s="5" t="inlineStr"/>
    </row>
    <row r="47">
      <c r="A47" s="5" t="inlineStr">
        <is>
          <t>b4-mahalle-haraccilari</t>
        </is>
      </c>
      <c r="B47" s="5" t="inlineStr">
        <is>
          <t>Kurnazlık</t>
        </is>
      </c>
      <c r="C47" s="5" t="inlineStr">
        <is>
          <t>Kolay</t>
        </is>
      </c>
      <c r="D47" s="6" t="inlineStr">
        <is>
          <t>Bakkalın kamerası var. Çalışıp çalışmadığını kimse bilmiyor. Onlar da bilmiyor.</t>
        </is>
      </c>
      <c r="E47" s="6" t="inlineStr"/>
      <c r="F47" s="5" t="inlineStr"/>
    </row>
    <row r="48">
      <c r="A48" s="5" t="inlineStr">
        <is>
          <t>b4-mahalle-haraccilari</t>
        </is>
      </c>
      <c r="B48" s="5" t="inlineStr">
        <is>
          <t>Sosyal Radar</t>
        </is>
      </c>
      <c r="C48" s="5" t="inlineStr">
        <is>
          <t>Zor</t>
        </is>
      </c>
      <c r="D48" s="6" t="inlineStr">
        <is>
          <t>Ortadaki, bakkalın yeğeni. Bakkal da annenin eski sınıf arkadaşı.</t>
        </is>
      </c>
      <c r="E48" s="6" t="inlineStr"/>
      <c r="F48" s="5" t="inlineStr">
        <is>
          <t>E</t>
        </is>
      </c>
    </row>
    <row r="49">
      <c r="A49" s="5" t="inlineStr">
        <is>
          <t>b4-sivilce</t>
        </is>
      </c>
      <c r="B49" s="5" t="inlineStr">
        <is>
          <t>Pişkinlik</t>
        </is>
      </c>
      <c r="C49" s="5" t="inlineStr">
        <is>
          <t>Orta</t>
        </is>
      </c>
      <c r="D49" s="6" t="inlineStr">
        <is>
          <t>O bir sivilce değil, bir karakter unsuru.</t>
        </is>
      </c>
      <c r="E49" s="6" t="inlineStr"/>
      <c r="F49" s="5" t="inlineStr"/>
    </row>
    <row r="50">
      <c r="A50" s="5" t="inlineStr">
        <is>
          <t>b4-sivilce</t>
        </is>
      </c>
      <c r="B50" s="5" t="inlineStr">
        <is>
          <t>Akıl</t>
        </is>
      </c>
      <c r="C50" s="5" t="inlineStr">
        <is>
          <t>Kolay</t>
        </is>
      </c>
      <c r="D50" s="6" t="inlineStr">
        <is>
          <t>Sıkarsan iki katı olur. Bu bir fizik kuralı değil ama öyle işler.</t>
        </is>
      </c>
      <c r="E50" s="6" t="inlineStr"/>
      <c r="F50" s="5" t="inlineStr"/>
    </row>
    <row r="51">
      <c r="A51" s="5" t="inlineStr">
        <is>
          <t>b4-ses-catlamasi</t>
        </is>
      </c>
      <c r="B51" s="5" t="inlineStr">
        <is>
          <t>Dayanıklılık</t>
        </is>
      </c>
      <c r="C51" s="5" t="inlineStr">
        <is>
          <t>Orta</t>
        </is>
      </c>
      <c r="D51" s="6" t="inlineStr">
        <is>
          <t>Ses tellerin şu an bir şantiye. Baret tak, devam et.</t>
        </is>
      </c>
      <c r="E51" s="6" t="inlineStr"/>
      <c r="F51" s="5" t="inlineStr"/>
    </row>
    <row r="52">
      <c r="A52" s="5" t="inlineStr">
        <is>
          <t>b4-ses-catlamasi</t>
        </is>
      </c>
      <c r="B52" s="5" t="inlineStr">
        <is>
          <t>Cesaret</t>
        </is>
      </c>
      <c r="C52" s="5" t="inlineStr">
        <is>
          <t>Kolay</t>
        </is>
      </c>
      <c r="D52" s="6" t="inlineStr">
        <is>
          <t>Herkes bu yoldan geçti. Öğretmen de. Onun sesi de böyle çatladı. Sadece çok eskiden.</t>
        </is>
      </c>
      <c r="E52" s="6" t="inlineStr"/>
      <c r="F52" s="5" t="inlineStr"/>
    </row>
    <row r="53">
      <c r="A53" s="5" t="inlineStr">
        <is>
          <t>b4-ogretmenler-gunu</t>
        </is>
      </c>
      <c r="B53" s="5" t="inlineStr">
        <is>
          <t>Sosyal Radar</t>
        </is>
      </c>
      <c r="C53" s="5" t="inlineStr">
        <is>
          <t>Orta</t>
        </is>
      </c>
      <c r="D53" s="6" t="inlineStr">
        <is>
          <t>Veli grubundaki tartışma hediyeyle ilgili değil. İki anne geçen yılki doğum günü partisinden beri küs.</t>
        </is>
      </c>
      <c r="E53" s="6" t="inlineStr"/>
      <c r="F53" s="5" t="inlineStr"/>
    </row>
    <row r="54">
      <c r="A54" s="5" t="inlineStr">
        <is>
          <t>b4-ogretmenler-gunu</t>
        </is>
      </c>
      <c r="B54" s="5" t="inlineStr">
        <is>
          <t>İtibar</t>
        </is>
      </c>
      <c r="C54" s="5" t="inlineStr">
        <is>
          <t>Kolay</t>
        </is>
      </c>
      <c r="D54" s="6" t="inlineStr">
        <is>
          <t>Öğretmenin evinde yirmi yıldır biriken kupalar var. Bir el yazısı, bir kupadan ağırdır.</t>
        </is>
      </c>
      <c r="E54" s="6" t="inlineStr"/>
      <c r="F54" s="5" t="inlineStr"/>
    </row>
    <row r="55">
      <c r="A55" s="5" t="inlineStr">
        <is>
          <t>b4-ilk-hoslanti</t>
        </is>
      </c>
      <c r="B55" s="5" t="inlineStr">
        <is>
          <t>Sosyal Radar</t>
        </is>
      </c>
      <c r="C55" s="5" t="inlineStr">
        <is>
          <t>Zor</t>
        </is>
      </c>
      <c r="D55" s="6" t="inlineStr">
        <is>
          <t>Hikâyeni beğendi ama iki saniye sonra. Demek ki iki saniye düşündü.</t>
        </is>
      </c>
      <c r="E55" s="6" t="inlineStr"/>
      <c r="F55" s="5" t="inlineStr">
        <is>
          <t>E</t>
        </is>
      </c>
    </row>
    <row r="56">
      <c r="A56" s="5" t="inlineStr">
        <is>
          <t>b4-ilk-hoslanti</t>
        </is>
      </c>
      <c r="B56" s="5" t="inlineStr">
        <is>
          <t>İtibar</t>
        </is>
      </c>
      <c r="C56" s="5" t="inlineStr">
        <is>
          <t>Kolay</t>
        </is>
      </c>
      <c r="D56" s="6" t="inlineStr">
        <is>
          <t>En yakın arkadaşın da ondan hoşlanıyor. Sadece söylüyorum.</t>
        </is>
      </c>
      <c r="E56" s="6" t="inlineStr"/>
      <c r="F56" s="5" t="inlineStr"/>
    </row>
    <row r="57">
      <c r="A57" s="5" t="inlineStr">
        <is>
          <t>b4-grup-odevi</t>
        </is>
      </c>
      <c r="B57" s="5" t="inlineStr">
        <is>
          <t>Sosyal Radar</t>
        </is>
      </c>
      <c r="C57" s="5" t="inlineStr">
        <is>
          <t>Zor</t>
        </is>
      </c>
      <c r="D57" s="6" t="inlineStr">
        <is>
          <t>Grubun en sessizi aslında hepsini yapmak istiyor. Ona fırsat ver.</t>
        </is>
      </c>
      <c r="E57" s="6" t="inlineStr"/>
      <c r="F57" s="5" t="inlineStr">
        <is>
          <t>E</t>
        </is>
      </c>
    </row>
    <row r="58">
      <c r="A58" s="5" t="inlineStr">
        <is>
          <t>b4-grup-odevi</t>
        </is>
      </c>
      <c r="B58" s="5" t="inlineStr">
        <is>
          <t>Kurnazlık</t>
        </is>
      </c>
      <c r="C58" s="5" t="inlineStr">
        <is>
          <t>Orta</t>
        </is>
      </c>
      <c r="D58" s="6" t="inlineStr">
        <is>
          <t>İlk mesajı atan, işi alır. Bekle.</t>
        </is>
      </c>
      <c r="E58" s="6" t="inlineStr"/>
      <c r="F58" s="5" t="inlineStr"/>
    </row>
    <row r="59">
      <c r="A59" s="5" t="inlineStr">
        <is>
          <t>b4-okul-gezisi</t>
        </is>
      </c>
      <c r="B59" s="5" t="inlineStr">
        <is>
          <t>Kurnazlık</t>
        </is>
      </c>
      <c r="C59" s="5" t="inlineStr">
        <is>
          <t>Orta</t>
        </is>
      </c>
      <c r="D59" s="6" t="inlineStr">
        <is>
          <t>Arka koltuk bir statü sembolü. Ön koltuk bir mide önlemi. İkisini de seçemezsin.</t>
        </is>
      </c>
      <c r="E59" s="6" t="inlineStr"/>
      <c r="F59" s="5" t="inlineStr"/>
    </row>
    <row r="60">
      <c r="A60" s="5" t="inlineStr">
        <is>
          <t>b4-okul-gezisi</t>
        </is>
      </c>
      <c r="B60" s="5" t="inlineStr">
        <is>
          <t>Sosyal Radar</t>
        </is>
      </c>
      <c r="C60" s="5" t="inlineStr">
        <is>
          <t>Kolay</t>
        </is>
      </c>
      <c r="D60" s="6" t="inlineStr">
        <is>
          <t>Kiminle oturduğun, pazartesi kiminle konuşacağını belirler.</t>
        </is>
      </c>
      <c r="E60" s="6" t="inlineStr"/>
      <c r="F60" s="5" t="inlineStr"/>
    </row>
    <row r="61">
      <c r="A61" s="5" t="inlineStr">
        <is>
          <t>b4-ayna</t>
        </is>
      </c>
      <c r="B61" s="5" t="inlineStr">
        <is>
          <t>Pişkinlik</t>
        </is>
      </c>
      <c r="C61" s="5" t="inlineStr">
        <is>
          <t>Kolay</t>
        </is>
      </c>
      <c r="D61" s="6" t="inlineStr">
        <is>
          <t>Bu saç ya çok iyi ya çok kötü. Arası yok. Bugün öğreneceğiz.</t>
        </is>
      </c>
      <c r="E61" s="6" t="inlineStr"/>
      <c r="F61" s="5" t="inlineStr"/>
    </row>
    <row r="62">
      <c r="A62" s="5" t="inlineStr">
        <is>
          <t>b4-bilim-fuari</t>
        </is>
      </c>
      <c r="B62" s="5" t="inlineStr">
        <is>
          <t>Akıl</t>
        </is>
      </c>
      <c r="C62" s="5" t="inlineStr">
        <is>
          <t>Orta</t>
        </is>
      </c>
      <c r="D62" s="6" t="inlineStr">
        <is>
          <t>Jürideki fizik öğretmeni yanardağlardan bıkmış. Soru soran bir çocuk arıyor.</t>
        </is>
      </c>
      <c r="E62" s="6" t="inlineStr"/>
      <c r="F62" s="5" t="inlineStr">
        <is>
          <t>E</t>
        </is>
      </c>
    </row>
    <row r="63">
      <c r="A63" s="5" t="inlineStr">
        <is>
          <t>b4-bilim-fuari</t>
        </is>
      </c>
      <c r="B63" s="5" t="inlineStr">
        <is>
          <t>İtibar</t>
        </is>
      </c>
      <c r="C63" s="5" t="inlineStr">
        <is>
          <t>Kolay</t>
        </is>
      </c>
      <c r="D63" s="6" t="inlineStr">
        <is>
          <t>Projeyi annen yaptı, sen yapıştırdın. Bu da bir katkı. Dar anlamda.</t>
        </is>
      </c>
      <c r="E63" s="6" t="inlineStr"/>
      <c r="F63" s="5" t="inlineStr"/>
    </row>
    <row r="64">
      <c r="A64" s="5" t="inlineStr">
        <is>
          <t>b4-kotu-not</t>
        </is>
      </c>
      <c r="B64" s="5" t="inlineStr">
        <is>
          <t>Pişkinlik</t>
        </is>
      </c>
      <c r="C64" s="5" t="inlineStr">
        <is>
          <t>Orta</t>
        </is>
      </c>
      <c r="D64" s="6" t="inlineStr">
        <is>
          <t>Yüz ifadesi bir kapıdır. Kilitle.</t>
        </is>
      </c>
      <c r="E64" s="6" t="inlineStr"/>
      <c r="F64" s="5" t="inlineStr"/>
    </row>
    <row r="65">
      <c r="A65" s="5" t="inlineStr">
        <is>
          <t>b4-kotu-not</t>
        </is>
      </c>
      <c r="B65" s="5" t="inlineStr">
        <is>
          <t>İtibar</t>
        </is>
      </c>
      <c r="C65" s="5" t="inlineStr">
        <is>
          <t>Kolay</t>
        </is>
      </c>
      <c r="D65" s="6" t="inlineStr">
        <is>
          <t>Kâğıt çantada bekledikçe ağırlaşır. Bu bir fizik kuralı. Babaanne fiziği.</t>
        </is>
      </c>
      <c r="E65" s="6" t="inlineStr"/>
      <c r="F65" s="5" t="inlineStr"/>
    </row>
    <row r="66">
      <c r="A66" s="5" t="inlineStr">
        <is>
          <t>b4-kedinin-hesabi</t>
        </is>
      </c>
      <c r="B66" s="5" t="inlineStr">
        <is>
          <t>Sosyal Radar</t>
        </is>
      </c>
      <c r="C66" s="5" t="inlineStr">
        <is>
          <t>Orta</t>
        </is>
      </c>
      <c r="D66" s="6" t="inlineStr">
        <is>
          <t>İnsanlar kediyi değil, kedinin sana bakışını seviyor. O bakışta bir yargı var.</t>
        </is>
      </c>
      <c r="E66" s="6" t="inlineStr"/>
      <c r="F66" s="5" t="inlineStr"/>
    </row>
    <row r="67">
      <c r="A67" s="5" t="inlineStr">
        <is>
          <t>b4-dershane</t>
        </is>
      </c>
      <c r="B67" s="5" t="inlineStr">
        <is>
          <t>Dayanıklılık</t>
        </is>
      </c>
      <c r="C67" s="5" t="inlineStr">
        <is>
          <t>Orta</t>
        </is>
      </c>
      <c r="D67" s="6" t="inlineStr">
        <is>
          <t>Hafta içi okul, hafta sonu dershane. Pazartesiyle pazar arasındaki fark resmen kaldırıldı.</t>
        </is>
      </c>
      <c r="E67" s="6" t="inlineStr"/>
      <c r="F67" s="5" t="inlineStr"/>
    </row>
    <row r="68">
      <c r="A68" s="5" t="inlineStr">
        <is>
          <t>b4-dershane</t>
        </is>
      </c>
      <c r="B68" s="5" t="inlineStr">
        <is>
          <t>Kurnazlık</t>
        </is>
      </c>
      <c r="C68" s="5" t="inlineStr">
        <is>
          <t>Zor</t>
        </is>
      </c>
      <c r="D68" s="6" t="inlineStr">
        <is>
          <t>Deneme dersi ücretsiz. Yeterince pazarlık edersen deneme dersi beş hafta sürer.</t>
        </is>
      </c>
      <c r="E68" s="6" t="inlineStr"/>
      <c r="F68" s="5" t="inlineStr"/>
    </row>
    <row r="69">
      <c r="A69" s="5" t="inlineStr">
        <is>
          <t>b4-yanlis-grup</t>
        </is>
      </c>
      <c r="B69" s="5" t="inlineStr">
        <is>
          <t>Kurnazlık</t>
        </is>
      </c>
      <c r="C69" s="5" t="inlineStr">
        <is>
          <t>Orta</t>
        </is>
      </c>
      <c r="D69" s="6" t="inlineStr">
        <is>
          <t>Annen sebze doğruyor. Telefonu tezgâhta, ekranı ters. Yedi dakikan var.</t>
        </is>
      </c>
      <c r="E69" s="6" t="inlineStr"/>
      <c r="F69" s="5" t="inlineStr">
        <is>
          <t>E</t>
        </is>
      </c>
    </row>
    <row r="70">
      <c r="A70" s="5" t="inlineStr">
        <is>
          <t>b4-yanlis-grup</t>
        </is>
      </c>
      <c r="B70" s="5" t="inlineStr">
        <is>
          <t>Pişkinlik</t>
        </is>
      </c>
      <c r="C70" s="5" t="inlineStr">
        <is>
          <t>Kolay</t>
        </is>
      </c>
      <c r="D70" s="6" t="inlineStr">
        <is>
          <t>Bu bir hata değil, bir geri bildirim.</t>
        </is>
      </c>
      <c r="E70" s="6" t="inlineStr"/>
      <c r="F70" s="5" t="inlineStr"/>
    </row>
    <row r="71">
      <c r="A71" s="5" t="inlineStr">
        <is>
          <t>b4-apartman-toplantisi</t>
        </is>
      </c>
      <c r="B71" s="5" t="inlineStr">
        <is>
          <t>Sosyal Radar</t>
        </is>
      </c>
      <c r="C71" s="5" t="inlineStr">
        <is>
          <t>Orta</t>
        </is>
      </c>
      <c r="D71" s="6" t="inlineStr">
        <is>
          <t>Üçüncü kattaki teyze de artışa karşı. Söylemeye cesareti yok. Ona ses ol.</t>
        </is>
      </c>
      <c r="E71" s="6" t="inlineStr"/>
      <c r="F71" s="5" t="inlineStr">
        <is>
          <t>E</t>
        </is>
      </c>
    </row>
    <row r="72">
      <c r="A72" s="5" t="inlineStr">
        <is>
          <t>b4-apartman-toplantisi</t>
        </is>
      </c>
      <c r="B72" s="5" t="inlineStr">
        <is>
          <t>Akıl</t>
        </is>
      </c>
      <c r="C72" s="5" t="inlineStr">
        <is>
          <t>Zor</t>
        </is>
      </c>
      <c r="D72" s="6" t="inlineStr">
        <is>
          <t>Yönetici tutanağı toplantı başlamadan yazmış. Toplantı bir formalite.</t>
        </is>
      </c>
      <c r="E72" s="6" t="inlineStr"/>
      <c r="F72" s="5" t="inlineStr"/>
    </row>
    <row r="73">
      <c r="A73" s="5" t="inlineStr">
        <is>
          <t>b4-yz-odev</t>
        </is>
      </c>
      <c r="B73" s="5" t="inlineStr">
        <is>
          <t>Akıl</t>
        </is>
      </c>
      <c r="C73" s="5" t="inlineStr">
        <is>
          <t>Orta</t>
        </is>
      </c>
      <c r="D73" s="6" t="inlineStr">
        <is>
          <t>Öğretmen metinlerde 'ayrıca' kelimesini sayıyor. Yapay zekâ 'ayrıca'ya bayılır.</t>
        </is>
      </c>
      <c r="E73" s="6" t="inlineStr"/>
      <c r="F73" s="5" t="inlineStr">
        <is>
          <t>E</t>
        </is>
      </c>
    </row>
    <row r="74">
      <c r="A74" s="5" t="inlineStr">
        <is>
          <t>b4-yz-odev</t>
        </is>
      </c>
      <c r="B74" s="5" t="inlineStr">
        <is>
          <t>İtibar</t>
        </is>
      </c>
      <c r="C74" s="5" t="inlineStr">
        <is>
          <t>Kolay</t>
        </is>
      </c>
      <c r="D74" s="6" t="inlineStr">
        <is>
          <t>Tatilini makineye anlatacak kadar hatırlıyorsan kendin de yazabilirsin. Babaanne böyle derdi. Diyor.</t>
        </is>
      </c>
      <c r="E74" s="6" t="inlineStr"/>
      <c r="F74" s="5" t="inlineStr"/>
    </row>
    <row r="75">
      <c r="A75" s="5" t="inlineStr">
        <is>
          <t>b4-kisisel-oda</t>
        </is>
      </c>
      <c r="B75" s="5" t="inlineStr">
        <is>
          <t>Çene</t>
        </is>
      </c>
      <c r="C75" s="5" t="inlineStr">
        <is>
          <t>Orta</t>
        </is>
      </c>
      <c r="D75" s="6" t="inlineStr">
        <is>
          <t>Koşu bandı iki yıldır askılık. Bunu delil olarak sun.</t>
        </is>
      </c>
      <c r="E75" s="6" t="inlineStr"/>
      <c r="F75" s="5" t="inlineStr">
        <is>
          <t>E</t>
        </is>
      </c>
    </row>
    <row r="76">
      <c r="A76" s="5" t="inlineStr">
        <is>
          <t>b4-kisisel-oda</t>
        </is>
      </c>
      <c r="B76" s="5" t="inlineStr">
        <is>
          <t>Cesaret</t>
        </is>
      </c>
      <c r="C76" s="5" t="inlineStr">
        <is>
          <t>Kolay</t>
        </is>
      </c>
      <c r="D76" s="6" t="inlineStr">
        <is>
          <t>Oda savaşları ailenin en uzun savaşlarıdır. İlk hamle önemli.</t>
        </is>
      </c>
      <c r="E76" s="6" t="inlineStr"/>
      <c r="F76" s="5" t="inlineStr"/>
    </row>
    <row r="77">
      <c r="A77" s="5" t="inlineStr">
        <is>
          <t>b4-fenomen-denemesi</t>
        </is>
      </c>
      <c r="B77" s="5" t="inlineStr">
        <is>
          <t>Pişkinlik</t>
        </is>
      </c>
      <c r="C77" s="5" t="inlineStr">
        <is>
          <t>Orta</t>
        </is>
      </c>
      <c r="D77" s="6" t="inlineStr">
        <is>
          <t>Kamera canlıyken insanlar daha çok affeder. Canlı yayın, affın hızlandırılmış hâlidir.</t>
        </is>
      </c>
      <c r="E77" s="6" t="inlineStr"/>
      <c r="F77" s="5" t="inlineStr">
        <is>
          <t>E</t>
        </is>
      </c>
    </row>
    <row r="78">
      <c r="A78" s="5" t="inlineStr">
        <is>
          <t>b4-fenomen-denemesi</t>
        </is>
      </c>
      <c r="B78" s="5" t="inlineStr">
        <is>
          <t>Akıl</t>
        </is>
      </c>
      <c r="C78" s="5" t="inlineStr">
        <is>
          <t>Kolay</t>
        </is>
      </c>
      <c r="D78" s="6" t="inlineStr">
        <is>
          <t>Takipçi sayısıyla harçlık arasında şu an hiçbir ilişki yok. Şu an.</t>
        </is>
      </c>
      <c r="E78" s="6" t="inlineStr"/>
      <c r="F78" s="5" t="inlineStr"/>
    </row>
    <row r="79">
      <c r="A79" s="5" t="inlineStr">
        <is>
          <t>b4-haracci-rovans</t>
        </is>
      </c>
      <c r="B79" s="5" t="inlineStr">
        <is>
          <t>Cesaret</t>
        </is>
      </c>
      <c r="C79" s="5" t="inlineStr">
        <is>
          <t>Orta</t>
        </is>
      </c>
      <c r="D79" s="6" t="inlineStr">
        <is>
          <t>Artık onlarla neredeyse aynı boydasın. Ayakkabı tabanını da say.</t>
        </is>
      </c>
      <c r="E79" s="6" t="inlineStr"/>
      <c r="F79" s="5" t="inlineStr">
        <is>
          <t>E</t>
        </is>
      </c>
    </row>
    <row r="80">
      <c r="A80" s="5" t="inlineStr">
        <is>
          <t>b4-haracci-rovans</t>
        </is>
      </c>
      <c r="B80" s="5" t="inlineStr">
        <is>
          <t>Kurnazlık</t>
        </is>
      </c>
      <c r="C80" s="5" t="inlineStr">
        <is>
          <t>Kolay</t>
        </is>
      </c>
      <c r="D80" s="6" t="inlineStr">
        <is>
          <t>Ellerinde top var. Top, eli meşgul eder.</t>
        </is>
      </c>
      <c r="E80" s="6" t="inlineStr"/>
      <c r="F80" s="5" t="inlineStr"/>
    </row>
    <row r="81">
      <c r="A81" s="5" t="inlineStr">
        <is>
          <t>b4-kantin-ekonomisi</t>
        </is>
      </c>
      <c r="B81" s="5" t="inlineStr">
        <is>
          <t>Kurnazlık</t>
        </is>
      </c>
      <c r="C81" s="5" t="inlineStr">
        <is>
          <t>Orta</t>
        </is>
      </c>
      <c r="D81" s="6" t="inlineStr">
        <is>
          <t>Kuyruğun önündekinden al, arkadakine sat. Buna aracılık denir. Büyüyünce de denecek.</t>
        </is>
      </c>
      <c r="E81" s="6" t="inlineStr"/>
      <c r="F81" s="5" t="inlineStr"/>
    </row>
    <row r="82">
      <c r="A82" s="5" t="inlineStr">
        <is>
          <t>b4-kantin-ekonomisi</t>
        </is>
      </c>
      <c r="B82" s="5" t="inlineStr">
        <is>
          <t>Çene</t>
        </is>
      </c>
      <c r="C82" s="5" t="inlineStr">
        <is>
          <t>Kolay</t>
        </is>
      </c>
      <c r="D82" s="6" t="inlineStr">
        <is>
          <t>Kantinci sabah erken gelir, akşam geç çıkar. İnsan gibi selam veren tek müşteriyi unutmaz.</t>
        </is>
      </c>
      <c r="E82" s="6" t="inlineStr"/>
      <c r="F82" s="5" t="inlineStr"/>
    </row>
    <row r="83">
      <c r="A83" s="5" t="inlineStr">
        <is>
          <t>b4-bayram-yatirim</t>
        </is>
      </c>
      <c r="B83" s="5" t="inlineStr">
        <is>
          <t>Akıl</t>
        </is>
      </c>
      <c r="C83" s="5" t="inlineStr">
        <is>
          <t>Orta</t>
        </is>
      </c>
      <c r="D83" s="6" t="inlineStr">
        <is>
          <t>Kumbara yüzde sıfır getiri. Enflasyon yüzde bilmemkaç. Matematik ağlıyor.</t>
        </is>
      </c>
      <c r="E83" s="6" t="inlineStr"/>
      <c r="F83" s="5" t="inlineStr"/>
    </row>
    <row r="84">
      <c r="A84" s="5" t="inlineStr">
        <is>
          <t>b4-bayram-yatirim</t>
        </is>
      </c>
      <c r="B84" s="5" t="inlineStr">
        <is>
          <t>Kurnazlık</t>
        </is>
      </c>
      <c r="C84" s="5" t="inlineStr">
        <is>
          <t>Zor</t>
        </is>
      </c>
      <c r="D84" s="6" t="inlineStr">
        <is>
          <t>Arkadaşının abisi 'Kesin kazanç' dedi. 'Kesin' kelimesi, piyasada bir alarm sesidir.</t>
        </is>
      </c>
      <c r="E84" s="6" t="inlineStr"/>
      <c r="F84" s="5" t="inlineStr"/>
    </row>
    <row r="85">
      <c r="A85" s="5" t="inlineStr">
        <is>
          <t>b4-ilk-bulusma</t>
        </is>
      </c>
      <c r="B85" s="5" t="inlineStr">
        <is>
          <t>Cesaret</t>
        </is>
      </c>
      <c r="C85" s="5" t="inlineStr">
        <is>
          <t>Orta</t>
        </is>
      </c>
      <c r="D85" s="6" t="inlineStr">
        <is>
          <t>Dondurma soğuk, eller terli. Kimse kusursuz değil. Git.</t>
        </is>
      </c>
      <c r="E85" s="6" t="inlineStr"/>
      <c r="F85" s="5" t="inlineStr"/>
    </row>
    <row r="86">
      <c r="A86" s="5" t="inlineStr">
        <is>
          <t>b4-ilk-bulusma</t>
        </is>
      </c>
      <c r="B86" s="5" t="inlineStr">
        <is>
          <t>Sosyal Radar</t>
        </is>
      </c>
      <c r="C86" s="5" t="inlineStr">
        <is>
          <t>Kolay</t>
        </is>
      </c>
      <c r="D86" s="6" t="inlineStr">
        <is>
          <t>Yanında arkadaş götürürsen o ikisi anlaşır. Tarih bu örneklerle dolu.</t>
        </is>
      </c>
      <c r="E86" s="6" t="inlineStr"/>
      <c r="F86" s="5" t="inlineStr"/>
    </row>
    <row r="87">
      <c r="A87" s="5" t="inlineStr">
        <is>
          <t>b4-spor-secmeleri</t>
        </is>
      </c>
      <c r="B87" s="5" t="inlineStr">
        <is>
          <t>Dayanıklılık</t>
        </is>
      </c>
      <c r="C87" s="5" t="inlineStr">
        <is>
          <t>Orta</t>
        </is>
      </c>
      <c r="D87" s="6" t="inlineStr">
        <is>
          <t>Isınma üç tur. Sen iki buçuk tura hazırsın. Yarım turu inançla koşacaksın.</t>
        </is>
      </c>
      <c r="E87" s="6" t="inlineStr"/>
      <c r="F87" s="5" t="inlineStr"/>
    </row>
    <row r="88">
      <c r="A88" s="5" t="inlineStr">
        <is>
          <t>b4-spor-secmeleri</t>
        </is>
      </c>
      <c r="B88" s="5" t="inlineStr">
        <is>
          <t>Cesaret</t>
        </is>
      </c>
      <c r="C88" s="5" t="inlineStr">
        <is>
          <t>Kolay</t>
        </is>
      </c>
      <c r="D88" s="6" t="inlineStr">
        <is>
          <t>Yeğen de insan. Topu da senin kadar görüyor. Belki daha az.</t>
        </is>
      </c>
      <c r="E88" s="6" t="inlineStr"/>
      <c r="F88" s="5" t="inlineStr"/>
    </row>
    <row r="89">
      <c r="A89" s="5" t="inlineStr">
        <is>
          <t>b4-eski-telefon</t>
        </is>
      </c>
      <c r="B89" s="5" t="inlineStr">
        <is>
          <t>Kurnazlık</t>
        </is>
      </c>
      <c r="C89" s="5" t="inlineStr">
        <is>
          <t>Orta</t>
        </is>
      </c>
      <c r="D89" s="6" t="inlineStr">
        <is>
          <t>'Son fiyat' diyen, fiyatı zaten biliyordur. Bekle.</t>
        </is>
      </c>
      <c r="E89" s="6" t="inlineStr"/>
      <c r="F89" s="5" t="inlineStr"/>
    </row>
    <row r="90">
      <c r="A90" s="5" t="inlineStr">
        <is>
          <t>b4-yaz-tatili</t>
        </is>
      </c>
      <c r="B90" s="5" t="inlineStr">
        <is>
          <t>Dayanıklılık</t>
        </is>
      </c>
      <c r="C90" s="5" t="inlineStr">
        <is>
          <t>Orta</t>
        </is>
      </c>
      <c r="D90" s="6" t="inlineStr">
        <is>
          <t>Tek ayak üstünde bir mesaj, iki mesaj... Denge çalışması, sosyal medya bahanesiyle.</t>
        </is>
      </c>
      <c r="E90" s="6" t="inlineStr"/>
      <c r="F90" s="5" t="inlineStr"/>
    </row>
    <row r="91">
      <c r="A91" s="5" t="inlineStr">
        <is>
          <t>b4-yaz-tatili</t>
        </is>
      </c>
      <c r="B91" s="5" t="inlineStr">
        <is>
          <t>Sosyal Radar</t>
        </is>
      </c>
      <c r="C91" s="5" t="inlineStr">
        <is>
          <t>Zor</t>
        </is>
      </c>
      <c r="D91" s="6" t="inlineStr">
        <is>
          <t>Yan yazlıktaki çocuklar da balkonda tek ayak üstünde. Göz göze geldiniz.</t>
        </is>
      </c>
      <c r="E91" s="6" t="inlineStr"/>
      <c r="F91" s="5" t="inlineStr">
        <is>
          <t>E</t>
        </is>
      </c>
    </row>
    <row r="92">
      <c r="A92" s="5" t="inlineStr">
        <is>
          <t>b4-dershane-denemesi</t>
        </is>
      </c>
      <c r="B92" s="5" t="inlineStr">
        <is>
          <t>Sosyal Radar</t>
        </is>
      </c>
      <c r="C92" s="5" t="inlineStr">
        <is>
          <t>Orta</t>
        </is>
      </c>
      <c r="D92" s="6" t="inlineStr">
        <is>
          <t>Listenin üst sırasındakiler de mutlu değil. Onların ailesi bir üst sırayı istiyor.</t>
        </is>
      </c>
      <c r="E92" s="6" t="inlineStr"/>
      <c r="F92" s="5" t="inlineStr"/>
    </row>
    <row r="93">
      <c r="A93" s="5" t="inlineStr">
        <is>
          <t>b4-lise-sinavi</t>
        </is>
      </c>
      <c r="B93" s="5" t="inlineStr">
        <is>
          <t>Akıl</t>
        </is>
      </c>
      <c r="C93" s="5" t="inlineStr">
        <is>
          <t>Orta</t>
        </is>
      </c>
      <c r="D93" s="6" t="inlineStr">
        <is>
          <t>Sorular zor değil. Kitapçık kalın. Bunlar farklı şeyler.</t>
        </is>
      </c>
      <c r="E93" s="6" t="inlineStr"/>
      <c r="F93" s="5" t="inlineStr"/>
    </row>
    <row r="94">
      <c r="A94" s="5" t="inlineStr">
        <is>
          <t>b4-lise-sinavi</t>
        </is>
      </c>
      <c r="B94" s="5" t="inlineStr">
        <is>
          <t>Dayanıklılık</t>
        </is>
      </c>
      <c r="C94" s="5" t="inlineStr">
        <is>
          <t>Kolay</t>
        </is>
      </c>
      <c r="D94" s="6" t="inlineStr">
        <is>
          <t>Üç saat. Maraton değil. Ama maratondan sonra eve yürümek gibi.</t>
        </is>
      </c>
      <c r="E94" s="6" t="inlineStr"/>
      <c r="F94" s="5" t="inlineStr"/>
    </row>
    <row r="95">
      <c r="A95" s="5" t="inlineStr">
        <is>
          <t>b5-lise-ilk-gun</t>
        </is>
      </c>
      <c r="B95" s="5" t="inlineStr">
        <is>
          <t>Sosyal Radar</t>
        </is>
      </c>
      <c r="C95" s="5" t="inlineStr">
        <is>
          <t>Orta</t>
        </is>
      </c>
      <c r="D95" s="6" t="inlineStr">
        <is>
          <t>İlk hafta oturduğun masa, dört yıl boyunca kim olduğunu belirler. Masa seçimi bir kariyer kararıdır.</t>
        </is>
      </c>
      <c r="E95" s="6" t="inlineStr"/>
      <c r="F95" s="5" t="inlineStr">
        <is>
          <t>E</t>
        </is>
      </c>
    </row>
    <row r="96">
      <c r="A96" s="5" t="inlineStr">
        <is>
          <t>b5-lise-ilk-gun</t>
        </is>
      </c>
      <c r="B96" s="5" t="inlineStr">
        <is>
          <t>Akıl</t>
        </is>
      </c>
      <c r="C96" s="5" t="inlineStr">
        <is>
          <t>Kolay</t>
        </is>
      </c>
      <c r="D96" s="6" t="inlineStr">
        <is>
          <t>Bu binada seni kimse tanımıyor. Bu hem bir tehdit hem de tertemiz bir sicil.</t>
        </is>
      </c>
      <c r="E96" s="6" t="inlineStr"/>
      <c r="F96" s="5" t="inlineStr"/>
    </row>
    <row r="97">
      <c r="A97" s="5" t="inlineStr">
        <is>
          <t>b5-sac-devrimi</t>
        </is>
      </c>
      <c r="B97" s="5" t="inlineStr">
        <is>
          <t>Pişkinlik</t>
        </is>
      </c>
      <c r="C97" s="5" t="inlineStr">
        <is>
          <t>Orta</t>
        </is>
      </c>
      <c r="D97" s="6" t="inlineStr">
        <is>
          <t>Yeni saç, yeni kişilik. Kimse eskisini hatırlamayacak. Okul fotoğrafları hariç.</t>
        </is>
      </c>
      <c r="E97" s="6" t="inlineStr"/>
      <c r="F97" s="5" t="inlineStr"/>
    </row>
    <row r="98">
      <c r="A98" s="5" t="inlineStr">
        <is>
          <t>b5-sac-devrimi</t>
        </is>
      </c>
      <c r="B98" s="5" t="inlineStr">
        <is>
          <t>İtibar</t>
        </is>
      </c>
      <c r="C98" s="5" t="inlineStr">
        <is>
          <t>Kolay</t>
        </is>
      </c>
      <c r="D98" s="6" t="inlineStr">
        <is>
          <t>Annen bu saçı görünce bir şey demeyecek. Bu çok daha kötü.</t>
        </is>
      </c>
      <c r="E98" s="6" t="inlineStr"/>
      <c r="F98" s="5" t="inlineStr"/>
    </row>
    <row r="99">
      <c r="A99" s="5" t="inlineStr">
        <is>
          <t>b5-kulup-secimi</t>
        </is>
      </c>
      <c r="B99" s="5" t="inlineStr">
        <is>
          <t>Kurnazlık</t>
        </is>
      </c>
      <c r="C99" s="5" t="inlineStr">
        <is>
          <t>Orta</t>
        </is>
      </c>
      <c r="D99" s="6" t="inlineStr">
        <is>
          <t>Satranç kulübü haftada bir toplanıyor ve kimse yoklama almıyor. Bu bir kulüp değil, bir boşluk.</t>
        </is>
      </c>
      <c r="E99" s="6" t="inlineStr"/>
      <c r="F99" s="5" t="inlineStr"/>
    </row>
    <row r="100">
      <c r="A100" s="5" t="inlineStr">
        <is>
          <t>b5-kulup-secimi</t>
        </is>
      </c>
      <c r="B100" s="5" t="inlineStr">
        <is>
          <t>Sosyal Radar</t>
        </is>
      </c>
      <c r="C100" s="5" t="inlineStr">
        <is>
          <t>Zor</t>
        </is>
      </c>
      <c r="D100" s="6" t="inlineStr">
        <is>
          <t>Münazaraya sınıfın en iddialıları gidiyor. Tartışmak için resmî izin belgesi.</t>
        </is>
      </c>
      <c r="E100" s="6" t="inlineStr"/>
      <c r="F100" s="5" t="inlineStr"/>
    </row>
    <row r="101">
      <c r="A101" s="5" t="inlineStr">
        <is>
          <t>b5-dershane-kaydi</t>
        </is>
      </c>
      <c r="B101" s="5" t="inlineStr">
        <is>
          <t>Kurnazlık</t>
        </is>
      </c>
      <c r="C101" s="5" t="inlineStr">
        <is>
          <t>Kolay</t>
        </is>
      </c>
      <c r="D101" s="6" t="inlineStr">
        <is>
          <t>'Erken kayıt indirimi' ile 'son kontenjan' aynı broşürde yazıyor. İkisinden biri doğru değil.</t>
        </is>
      </c>
      <c r="E101" s="6" t="inlineStr"/>
      <c r="F101" s="5" t="inlineStr"/>
    </row>
    <row r="102">
      <c r="A102" s="5" t="inlineStr">
        <is>
          <t>b5-dershane-kaydi</t>
        </is>
      </c>
      <c r="B102" s="5" t="inlineStr">
        <is>
          <t>İtibar</t>
        </is>
      </c>
      <c r="C102" s="5" t="inlineStr">
        <is>
          <t>Orta</t>
        </is>
      </c>
      <c r="D102" s="6" t="inlineStr">
        <is>
          <t>Bu kayıt ücreti, babanın arabayı bir yıl daha değiştirmeme kararının ta kendisi.</t>
        </is>
      </c>
      <c r="E102" s="6" t="inlineStr"/>
      <c r="F102" s="5" t="inlineStr"/>
    </row>
    <row r="103">
      <c r="A103" s="5" t="inlineStr">
        <is>
          <t>b5-sigara-teklifi</t>
        </is>
      </c>
      <c r="B103" s="5" t="inlineStr">
        <is>
          <t>Sosyal Radar</t>
        </is>
      </c>
      <c r="C103" s="5" t="inlineStr">
        <is>
          <t>Kolay</t>
        </is>
      </c>
      <c r="D103" s="6" t="inlineStr">
        <is>
          <t>Kimse gerçekten keyif almıyor. Hepsi sadece burada durmak için burada duruyor.</t>
        </is>
      </c>
      <c r="E103" s="6" t="inlineStr"/>
      <c r="F103" s="5" t="inlineStr">
        <is>
          <t>E</t>
        </is>
      </c>
    </row>
    <row r="104">
      <c r="A104" s="5" t="inlineStr">
        <is>
          <t>b5-sigara-teklifi</t>
        </is>
      </c>
      <c r="B104" s="5" t="inlineStr">
        <is>
          <t>Dayanıklılık</t>
        </is>
      </c>
      <c r="C104" s="5" t="inlineStr">
        <is>
          <t>Orta</t>
        </is>
      </c>
      <c r="D104" s="6" t="inlineStr">
        <is>
          <t>Bu duvarın dibindekilerin hiçbiri merdiven çıkarken konuşamıyor. Not al.</t>
        </is>
      </c>
      <c r="E104" s="6" t="inlineStr"/>
      <c r="F104" s="5" t="inlineStr"/>
    </row>
    <row r="105">
      <c r="A105" s="5" t="inlineStr">
        <is>
          <t>b5-mesaj-grubu</t>
        </is>
      </c>
      <c r="B105" s="5" t="inlineStr">
        <is>
          <t>Sosyal Radar</t>
        </is>
      </c>
      <c r="C105" s="5" t="inlineStr">
        <is>
          <t>Orta</t>
        </is>
      </c>
      <c r="D105" s="6" t="inlineStr">
        <is>
          <t>Asıl grubun da bir asıl grubu var. Piramidin tepesinde üç kişi ve bir kedi fotoğrafı duruyor.</t>
        </is>
      </c>
      <c r="E105" s="6" t="inlineStr"/>
      <c r="F105" s="5" t="inlineStr"/>
    </row>
    <row r="106">
      <c r="A106" s="5" t="inlineStr">
        <is>
          <t>b5-mesaj-grubu</t>
        </is>
      </c>
      <c r="B106" s="5" t="inlineStr">
        <is>
          <t>Pişkinlik</t>
        </is>
      </c>
      <c r="C106" s="5" t="inlineStr">
        <is>
          <t>Zor</t>
        </is>
      </c>
      <c r="D106" s="6" t="inlineStr">
        <is>
          <t>Davet beklemek amatörlüktür. Kapıyı çal, gir, çay iste.</t>
        </is>
      </c>
      <c r="E106" s="6" t="inlineStr"/>
      <c r="F106" s="5" t="inlineStr">
        <is>
          <t>E</t>
        </is>
      </c>
    </row>
    <row r="107">
      <c r="A107" s="5" t="inlineStr">
        <is>
          <t>b5-kantin-vergisi</t>
        </is>
      </c>
      <c r="B107" s="5" t="inlineStr">
        <is>
          <t>Kurnazlık</t>
        </is>
      </c>
      <c r="C107" s="5" t="inlineStr">
        <is>
          <t>Orta</t>
        </is>
      </c>
      <c r="D107" s="6" t="inlineStr">
        <is>
          <t>Bunlar mahallenin eski haraççılarının küçük kardeşleri. Sektör aile şirketi.</t>
        </is>
      </c>
      <c r="E107" s="6" t="inlineStr"/>
      <c r="F107" s="5" t="inlineStr"/>
    </row>
    <row r="108">
      <c r="A108" s="5" t="inlineStr">
        <is>
          <t>b5-kantin-vergisi</t>
        </is>
      </c>
      <c r="B108" s="5" t="inlineStr">
        <is>
          <t>Cesaret</t>
        </is>
      </c>
      <c r="C108" s="5" t="inlineStr">
        <is>
          <t>Zor</t>
        </is>
      </c>
      <c r="D108" s="6" t="inlineStr">
        <is>
          <t>Karşında üç kişi var. Üçü de akşam yemeğine kadar evde olmak zorunda.</t>
        </is>
      </c>
      <c r="E108" s="6" t="inlineStr"/>
      <c r="F108" s="5" t="inlineStr"/>
    </row>
    <row r="109">
      <c r="A109" s="5" t="inlineStr">
        <is>
          <t>b5-ilk-sevgili</t>
        </is>
      </c>
      <c r="B109" s="5" t="inlineStr">
        <is>
          <t>Cesaret</t>
        </is>
      </c>
      <c r="C109" s="5" t="inlineStr">
        <is>
          <t>Orta</t>
        </is>
      </c>
      <c r="D109" s="6" t="inlineStr">
        <is>
          <t>Bir karış, bir asker için hiçbir şeydir. Uzan, elini tut.</t>
        </is>
      </c>
      <c r="E109" s="6" t="inlineStr"/>
      <c r="F109" s="5" t="inlineStr"/>
    </row>
    <row r="110">
      <c r="A110" s="5" t="inlineStr">
        <is>
          <t>b5-ilk-sevgili</t>
        </is>
      </c>
      <c r="B110" s="5" t="inlineStr">
        <is>
          <t>Sosyal Radar</t>
        </is>
      </c>
      <c r="C110" s="5" t="inlineStr">
        <is>
          <t>Zor</t>
        </is>
      </c>
      <c r="D110" s="6" t="inlineStr">
        <is>
          <t>Karşındaki telefonunu üç kez kontrol etti. O da heyecanlı. Ya da annesi arıyor.</t>
        </is>
      </c>
      <c r="E110" s="6" t="inlineStr"/>
      <c r="F110" s="5" t="inlineStr">
        <is>
          <t>E</t>
        </is>
      </c>
    </row>
    <row r="111">
      <c r="A111" s="5" t="inlineStr">
        <is>
          <t>b5-veli-bilgilendirme</t>
        </is>
      </c>
      <c r="B111" s="5" t="inlineStr">
        <is>
          <t>Kurnazlık</t>
        </is>
      </c>
      <c r="C111" s="5" t="inlineStr">
        <is>
          <t>Zor</t>
        </is>
      </c>
      <c r="D111" s="6" t="inlineStr">
        <is>
          <t>Bildirimlerin gideceği numara bir forma yazılıyordu. O form hâlâ senin çantanda.</t>
        </is>
      </c>
      <c r="E111" s="6" t="inlineStr"/>
      <c r="F111" s="5" t="inlineStr">
        <is>
          <t>E</t>
        </is>
      </c>
    </row>
    <row r="112">
      <c r="A112" s="5" t="inlineStr">
        <is>
          <t>b5-veli-bilgilendirme</t>
        </is>
      </c>
      <c r="B112" s="5" t="inlineStr">
        <is>
          <t>Akıl</t>
        </is>
      </c>
      <c r="C112" s="5" t="inlineStr">
        <is>
          <t>Kolay</t>
        </is>
      </c>
      <c r="D112" s="6" t="inlineStr">
        <is>
          <t>Düşük not kötüdür. Ailenin bunu senden önce öğrenmesi daha kötüdür.</t>
        </is>
      </c>
      <c r="E112" s="6" t="inlineStr"/>
      <c r="F112" s="5" t="inlineStr"/>
    </row>
    <row r="113">
      <c r="A113" s="5" t="inlineStr">
        <is>
          <t>b5-okul-temsilcisi</t>
        </is>
      </c>
      <c r="B113" s="5" t="inlineStr">
        <is>
          <t>Çene</t>
        </is>
      </c>
      <c r="C113" s="5" t="inlineStr">
        <is>
          <t>Orta</t>
        </is>
      </c>
      <c r="D113" s="6" t="inlineStr">
        <is>
          <t>Bu vaatleri kimse yerine getiremez. Tam da bu yüzden inandırıcılar.</t>
        </is>
      </c>
      <c r="E113" s="6" t="inlineStr"/>
      <c r="F113" s="5" t="inlineStr"/>
    </row>
    <row r="114">
      <c r="A114" s="5" t="inlineStr">
        <is>
          <t>b5-okul-temsilcisi</t>
        </is>
      </c>
      <c r="B114" s="5" t="inlineStr">
        <is>
          <t>İtibar</t>
        </is>
      </c>
      <c r="C114" s="5" t="inlineStr">
        <is>
          <t>Kolay</t>
        </is>
      </c>
      <c r="D114" s="6" t="inlineStr">
        <is>
          <t>İkinci tost makinesi, bu binada herkesin üzerinde uzlaştığı tek konu.</t>
        </is>
      </c>
      <c r="E114" s="6" t="inlineStr"/>
      <c r="F114" s="5" t="inlineStr"/>
    </row>
    <row r="115">
      <c r="A115" s="5" t="inlineStr">
        <is>
          <t>b5-yapay-zeka-odev</t>
        </is>
      </c>
      <c r="B115" s="5" t="inlineStr">
        <is>
          <t>Akıl</t>
        </is>
      </c>
      <c r="C115" s="5" t="inlineStr">
        <is>
          <t>Orta</t>
        </is>
      </c>
      <c r="D115" s="6" t="inlineStr">
        <is>
          <t>Öğretmen de aynı asistanı kullanıyor. Kendi cümlelerini tanıyacaktır.</t>
        </is>
      </c>
      <c r="E115" s="6" t="inlineStr"/>
      <c r="F115" s="5" t="inlineStr"/>
    </row>
    <row r="116">
      <c r="A116" s="5" t="inlineStr">
        <is>
          <t>b5-yapay-zeka-odev</t>
        </is>
      </c>
      <c r="B116" s="5" t="inlineStr">
        <is>
          <t>İtibar</t>
        </is>
      </c>
      <c r="C116" s="5" t="inlineStr">
        <is>
          <t>Kolay</t>
        </is>
      </c>
      <c r="D116" s="6" t="inlineStr">
        <is>
          <t>Babaannen bu ödevi mum ışığında, el yazısıyla yapardı. Hiçbir işe yaramazdı ama yapardı.</t>
        </is>
      </c>
      <c r="E116" s="6" t="inlineStr"/>
      <c r="F116" s="5" t="inlineStr"/>
    </row>
    <row r="117">
      <c r="A117" s="5" t="inlineStr">
        <is>
          <t>b5-akraba-sorgusu</t>
        </is>
      </c>
      <c r="B117" s="5" t="inlineStr">
        <is>
          <t>Sosyal Radar</t>
        </is>
      </c>
      <c r="C117" s="5" t="inlineStr">
        <is>
          <t>Kolay</t>
        </is>
      </c>
      <c r="D117" s="6" t="inlineStr">
        <is>
          <t>Teyzenin kızı tıp kazandı. Bu sorunun cevabı bu salonda çoktan yazılmış.</t>
        </is>
      </c>
      <c r="E117" s="6" t="inlineStr"/>
      <c r="F117" s="5" t="inlineStr"/>
    </row>
    <row r="118">
      <c r="A118" s="5" t="inlineStr">
        <is>
          <t>b5-akraba-sorgusu</t>
        </is>
      </c>
      <c r="B118" s="5" t="inlineStr">
        <is>
          <t>Çene</t>
        </is>
      </c>
      <c r="C118" s="5" t="inlineStr">
        <is>
          <t>Orta</t>
        </is>
      </c>
      <c r="D118" s="6" t="inlineStr">
        <is>
          <t>Cevap verme, soruyu geri at. On bir kişi yarım saat kendi arasında tartışır.</t>
        </is>
      </c>
      <c r="E118" s="6" t="inlineStr"/>
      <c r="F118" s="5" t="inlineStr">
        <is>
          <t>E</t>
        </is>
      </c>
    </row>
    <row r="119">
      <c r="A119" s="5" t="inlineStr">
        <is>
          <t>b5-okul-gezisi</t>
        </is>
      </c>
      <c r="B119" s="5" t="inlineStr">
        <is>
          <t>Sosyal Radar</t>
        </is>
      </c>
      <c r="C119" s="5" t="inlineStr">
        <is>
          <t>Orta</t>
        </is>
      </c>
      <c r="D119" s="6" t="inlineStr">
        <is>
          <t>Arkadakiler müziği açacak, öndekiler öğretmeni idare edecek. Ortadakiler midelerini idare edecek.</t>
        </is>
      </c>
      <c r="E119" s="6" t="inlineStr"/>
      <c r="F119" s="5" t="inlineStr"/>
    </row>
    <row r="120">
      <c r="A120" s="5" t="inlineStr">
        <is>
          <t>b5-okul-gezisi</t>
        </is>
      </c>
      <c r="B120" s="5" t="inlineStr">
        <is>
          <t>Dayanıklılık</t>
        </is>
      </c>
      <c r="C120" s="5" t="inlineStr">
        <is>
          <t>Kolay</t>
        </is>
      </c>
      <c r="D120" s="6" t="inlineStr">
        <is>
          <t>Yol dört saat. Mola bir tane. Su içme.</t>
        </is>
      </c>
      <c r="E120" s="6" t="inlineStr"/>
      <c r="F120" s="5" t="inlineStr"/>
    </row>
    <row r="121">
      <c r="A121" s="5" t="inlineStr">
        <is>
          <t>b5-fenomen-video</t>
        </is>
      </c>
      <c r="B121" s="5" t="inlineStr">
        <is>
          <t>Pişkinlik</t>
        </is>
      </c>
      <c r="C121" s="5" t="inlineStr">
        <is>
          <t>Orta</t>
        </is>
      </c>
      <c r="D121" s="6" t="inlineStr">
        <is>
          <t>İnternetin hafızası bir akvaryum balığınınki kadar. İkinci videoyu hemen çek.</t>
        </is>
      </c>
      <c r="E121" s="6" t="inlineStr"/>
      <c r="F121" s="5" t="inlineStr"/>
    </row>
    <row r="122">
      <c r="A122" s="5" t="inlineStr">
        <is>
          <t>b5-fenomen-video</t>
        </is>
      </c>
      <c r="B122" s="5" t="inlineStr">
        <is>
          <t>İtibar</t>
        </is>
      </c>
      <c r="C122" s="5" t="inlineStr">
        <is>
          <t>Zor</t>
        </is>
      </c>
      <c r="D122" s="6" t="inlineStr">
        <is>
          <t>Videonun arka planında annen görünüyor. Bornozla.</t>
        </is>
      </c>
      <c r="E122" s="6" t="inlineStr"/>
      <c r="F122" s="5" t="inlineStr"/>
    </row>
    <row r="123">
      <c r="A123" s="5" t="inlineStr">
        <is>
          <t>b5-yaz-isi-garson</t>
        </is>
      </c>
      <c r="B123" s="5" t="inlineStr">
        <is>
          <t>Dayanıklılık</t>
        </is>
      </c>
      <c r="C123" s="5" t="inlineStr">
        <is>
          <t>Orta</t>
        </is>
      </c>
      <c r="D123" s="6" t="inlineStr">
        <is>
          <t>Tepsi koldan değil, dizden taşınır. Dizlerini kır, bileğini gevşet.</t>
        </is>
      </c>
      <c r="E123" s="6" t="inlineStr"/>
      <c r="F123" s="5" t="inlineStr"/>
    </row>
    <row r="124">
      <c r="A124" s="5" t="inlineStr">
        <is>
          <t>b5-yaz-isi-garson</t>
        </is>
      </c>
      <c r="B124" s="5" t="inlineStr">
        <is>
          <t>Kurnazlık</t>
        </is>
      </c>
      <c r="C124" s="5" t="inlineStr">
        <is>
          <t>Kolay</t>
        </is>
      </c>
      <c r="D124" s="6" t="inlineStr">
        <is>
          <t>Bahşiş, çayı getirene değil, müşterinin adını hatırlayana gider.</t>
        </is>
      </c>
      <c r="E124" s="6" t="inlineStr"/>
      <c r="F124" s="5" t="inlineStr"/>
    </row>
    <row r="125">
      <c r="A125" s="5" t="inlineStr">
        <is>
          <t>b5-ilk-maas</t>
        </is>
      </c>
      <c r="B125" s="5" t="inlineStr">
        <is>
          <t>İtibar</t>
        </is>
      </c>
      <c r="C125" s="5" t="inlineStr">
        <is>
          <t>Orta</t>
        </is>
      </c>
      <c r="D125" s="6" t="inlineStr">
        <is>
          <t>Annene bir hediye al. Beğenmeyecek ama saklayacak.</t>
        </is>
      </c>
      <c r="E125" s="6" t="inlineStr"/>
      <c r="F125" s="5" t="inlineStr"/>
    </row>
    <row r="126">
      <c r="A126" s="5" t="inlineStr">
        <is>
          <t>b5-ilk-maas</t>
        </is>
      </c>
      <c r="B126" s="5" t="inlineStr">
        <is>
          <t>Kurnazlık</t>
        </is>
      </c>
      <c r="C126" s="5" t="inlineStr">
        <is>
          <t>Zor</t>
        </is>
      </c>
      <c r="D126" s="6" t="inlineStr">
        <is>
          <t>Enflasyon bu zarfı her gün biraz daha inceltiyor. Beklemek de bir harcama türüdür.</t>
        </is>
      </c>
      <c r="E126" s="6" t="inlineStr"/>
      <c r="F126" s="5" t="inlineStr">
        <is>
          <t>E</t>
        </is>
      </c>
    </row>
    <row r="127">
      <c r="A127" s="5" t="inlineStr">
        <is>
          <t>b5-ayrilik</t>
        </is>
      </c>
      <c r="B127" s="5" t="inlineStr">
        <is>
          <t>Sosyal Radar</t>
        </is>
      </c>
      <c r="C127" s="5" t="inlineStr">
        <is>
          <t>Kolay</t>
        </is>
      </c>
      <c r="D127" s="6" t="inlineStr">
        <is>
          <t>İki haftadır mesajların sonundaki gülen yüzler azalıyordu. Veri yalan söylemez.</t>
        </is>
      </c>
      <c r="E127" s="6" t="inlineStr"/>
      <c r="F127" s="5" t="inlineStr"/>
    </row>
    <row r="128">
      <c r="A128" s="5" t="inlineStr">
        <is>
          <t>b5-ayrilik</t>
        </is>
      </c>
      <c r="B128" s="5" t="inlineStr">
        <is>
          <t>Dayanıklılık</t>
        </is>
      </c>
      <c r="C128" s="5" t="inlineStr">
        <is>
          <t>Orta</t>
        </is>
      </c>
      <c r="D128" s="6" t="inlineStr">
        <is>
          <t>İlk ayrılık, bir maratonun ilk kilometresidir. Canın yanar ama daha çok yol var.</t>
        </is>
      </c>
      <c r="E128" s="6" t="inlineStr"/>
      <c r="F128" s="5" t="inlineStr"/>
    </row>
    <row r="129">
      <c r="A129" s="5" t="inlineStr">
        <is>
          <t>b5-beden-dersi</t>
        </is>
      </c>
      <c r="B129" s="5" t="inlineStr">
        <is>
          <t>Dayanıklılık</t>
        </is>
      </c>
      <c r="C129" s="5" t="inlineStr">
        <is>
          <t>Orta</t>
        </is>
      </c>
      <c r="D129" s="6" t="inlineStr">
        <is>
          <t>Top sana geldiğinde düşünme. Düşünenlerin hepsi topu yüzüyle karşıladı.</t>
        </is>
      </c>
      <c r="E129" s="6" t="inlineStr"/>
      <c r="F129" s="5" t="inlineStr"/>
    </row>
    <row r="130">
      <c r="A130" s="5" t="inlineStr">
        <is>
          <t>b5-beden-dersi</t>
        </is>
      </c>
      <c r="B130" s="5" t="inlineStr">
        <is>
          <t>Kurnazlık</t>
        </is>
      </c>
      <c r="C130" s="5" t="inlineStr">
        <is>
          <t>Kolay</t>
        </is>
      </c>
      <c r="D130" s="6" t="inlineStr">
        <is>
          <t>Raporu olanlar kenarda oturup puan tutuyor. Sahadaki en iyi pozisyon, saha dışı.</t>
        </is>
      </c>
      <c r="E130" s="6" t="inlineStr"/>
      <c r="F130" s="5" t="inlineStr"/>
    </row>
    <row r="131">
      <c r="A131" s="5" t="inlineStr">
        <is>
          <t>b5-kafede-ders</t>
        </is>
      </c>
      <c r="B131" s="5" t="inlineStr">
        <is>
          <t>Akıl</t>
        </is>
      </c>
      <c r="C131" s="5" t="inlineStr">
        <is>
          <t>Orta</t>
        </is>
      </c>
      <c r="D131" s="6" t="inlineStr">
        <is>
          <t>Burada çalışılacak tek konu, garsonun sabrının sınırlarıdır.</t>
        </is>
      </c>
      <c r="E131" s="6" t="inlineStr"/>
      <c r="F131" s="5" t="inlineStr"/>
    </row>
    <row r="132">
      <c r="A132" s="5" t="inlineStr">
        <is>
          <t>b5-kafede-ders</t>
        </is>
      </c>
      <c r="B132" s="5" t="inlineStr">
        <is>
          <t>Sosyal Radar</t>
        </is>
      </c>
      <c r="C132" s="5" t="inlineStr">
        <is>
          <t>Kolay</t>
        </is>
      </c>
      <c r="D132" s="6" t="inlineStr">
        <is>
          <t>Garson üçüncü kez masaya baktı. Dördüncüde hesabı getirecek.</t>
        </is>
      </c>
      <c r="E132" s="6" t="inlineStr"/>
      <c r="F132" s="5" t="inlineStr"/>
    </row>
    <row r="133">
      <c r="A133" s="5" t="inlineStr">
        <is>
          <t>b5-deneme-sinavi</t>
        </is>
      </c>
      <c r="B133" s="5" t="inlineStr">
        <is>
          <t>Akıl</t>
        </is>
      </c>
      <c r="C133" s="5" t="inlineStr">
        <is>
          <t>Orta</t>
        </is>
      </c>
      <c r="D133" s="6" t="inlineStr">
        <is>
          <t>Önce bildiklerini çöz. Bilmediklerini sonra da bilmeyeceksin zaten.</t>
        </is>
      </c>
      <c r="E133" s="6" t="inlineStr"/>
      <c r="F133" s="5" t="inlineStr"/>
    </row>
    <row r="134">
      <c r="A134" s="5" t="inlineStr">
        <is>
          <t>b5-deneme-sinavi</t>
        </is>
      </c>
      <c r="B134" s="5" t="inlineStr">
        <is>
          <t>Dayanıklılık</t>
        </is>
      </c>
      <c r="C134" s="5" t="inlineStr">
        <is>
          <t>Kolay</t>
        </is>
      </c>
      <c r="D134" s="6" t="inlineStr">
        <is>
          <t>Nefesin hızlanırsa sorular da hızlanır. Onlara yetişemezsin.</t>
        </is>
      </c>
      <c r="E134" s="6" t="inlineStr"/>
      <c r="F134" s="5" t="inlineStr"/>
    </row>
    <row r="135">
      <c r="A135" s="5" t="inlineStr">
        <is>
          <t>b5-doktor-ol</t>
        </is>
      </c>
      <c r="B135" s="5" t="inlineStr">
        <is>
          <t>İtibar</t>
        </is>
      </c>
      <c r="C135" s="5" t="inlineStr">
        <is>
          <t>Orta</t>
        </is>
      </c>
      <c r="D135" s="6" t="inlineStr">
        <is>
          <t>Ailen yıllardır 'Bizim çocuk doktor' cümlesini kuracağı günü bekliyor. Cümle hazır; sen eksiksin.</t>
        </is>
      </c>
      <c r="E135" s="6" t="inlineStr"/>
      <c r="F135" s="5" t="inlineStr"/>
    </row>
    <row r="136">
      <c r="A136" s="5" t="inlineStr">
        <is>
          <t>b5-doktor-ol</t>
        </is>
      </c>
      <c r="B136" s="5" t="inlineStr">
        <is>
          <t>Çene</t>
        </is>
      </c>
      <c r="C136" s="5" t="inlineStr">
        <is>
          <t>Zor</t>
        </is>
      </c>
      <c r="D136" s="6" t="inlineStr">
        <is>
          <t>Babana doğrudan hayır deme. Masadaki herkes bir komisyon üyesi. Tek tek ikna et.</t>
        </is>
      </c>
      <c r="E136" s="6" t="inlineStr"/>
      <c r="F136" s="5" t="inlineStr">
        <is>
          <t>E</t>
        </is>
      </c>
    </row>
    <row r="137">
      <c r="A137" s="5" t="inlineStr">
        <is>
          <t>b5-yurt-disi</t>
        </is>
      </c>
      <c r="B137" s="5" t="inlineStr">
        <is>
          <t>Akıl</t>
        </is>
      </c>
      <c r="C137" s="5" t="inlineStr">
        <is>
          <t>Orta</t>
        </is>
      </c>
      <c r="D137" s="6" t="inlineStr">
        <is>
          <t>Başvuru için dil belgesi, bir niyet mektubu ve üç referans gerekiyor. Çimler ayrıca ücretli.</t>
        </is>
      </c>
      <c r="E137" s="6" t="inlineStr"/>
      <c r="F137" s="5" t="inlineStr"/>
    </row>
    <row r="138">
      <c r="A138" s="5" t="inlineStr">
        <is>
          <t>b5-yurt-disi</t>
        </is>
      </c>
      <c r="B138" s="5" t="inlineStr">
        <is>
          <t>Kurnazlık</t>
        </is>
      </c>
      <c r="C138" s="5" t="inlineStr">
        <is>
          <t>Zor</t>
        </is>
      </c>
      <c r="D138" s="6" t="inlineStr">
        <is>
          <t>Videoda gülen öğrencilerin hepsi mankenmiş. Çimler de sentetik.</t>
        </is>
      </c>
      <c r="E138" s="6" t="inlineStr"/>
      <c r="F138" s="5" t="inlineStr"/>
    </row>
    <row r="139">
      <c r="A139" s="5" t="inlineStr">
        <is>
          <t>b5-ilk-konser</t>
        </is>
      </c>
      <c r="B139" s="5" t="inlineStr">
        <is>
          <t>Dayanıklılık</t>
        </is>
      </c>
      <c r="C139" s="5" t="inlineStr">
        <is>
          <t>Orta</t>
        </is>
      </c>
      <c r="D139" s="6" t="inlineStr">
        <is>
          <t>Su almadın, tuvalete gitmedin, yerini koruyorsun. Bu bir konser değil, bir kuşatma.</t>
        </is>
      </c>
      <c r="E139" s="6" t="inlineStr"/>
      <c r="F139" s="5" t="inlineStr"/>
    </row>
    <row r="140">
      <c r="A140" s="5" t="inlineStr">
        <is>
          <t>b5-ilk-konser</t>
        </is>
      </c>
      <c r="B140" s="5" t="inlineStr">
        <is>
          <t>Sosyal Radar</t>
        </is>
      </c>
      <c r="C140" s="5" t="inlineStr">
        <is>
          <t>Kolay</t>
        </is>
      </c>
      <c r="D140" s="6" t="inlineStr">
        <is>
          <t>Etrafındaki herkes şarkıların tamamını biliyor. Sen iki nakarat biliyorsun. İkisini de yanlış.</t>
        </is>
      </c>
      <c r="E140" s="6" t="inlineStr"/>
      <c r="F140" s="5" t="inlineStr"/>
    </row>
    <row r="141">
      <c r="A141" s="5" t="inlineStr">
        <is>
          <t>b5-ev-partisi</t>
        </is>
      </c>
      <c r="B141" s="5" t="inlineStr">
        <is>
          <t>Sosyal Radar</t>
        </is>
      </c>
      <c r="C141" s="5" t="inlineStr">
        <is>
          <t>Orta</t>
        </is>
      </c>
      <c r="D141" s="6" t="inlineStr">
        <is>
          <t>Mutfaktaki şişeleri biri sayıyor. Pazartesi o sayı bir aileye ulaşacak.</t>
        </is>
      </c>
      <c r="E141" s="6" t="inlineStr"/>
      <c r="F141" s="5" t="inlineStr"/>
    </row>
    <row r="142">
      <c r="A142" s="5" t="inlineStr">
        <is>
          <t>b5-ev-partisi</t>
        </is>
      </c>
      <c r="B142" s="5" t="inlineStr">
        <is>
          <t>İtibar</t>
        </is>
      </c>
      <c r="C142" s="5" t="inlineStr">
        <is>
          <t>Kolay</t>
        </is>
      </c>
      <c r="D142" s="6" t="inlineStr">
        <is>
          <t>Komşular gürültü için ayrı bir mesaj grubu kurmuş. Onlar da organize.</t>
        </is>
      </c>
      <c r="E142" s="6" t="inlineStr"/>
      <c r="F142" s="5" t="inlineStr"/>
    </row>
    <row r="143">
      <c r="A143" s="5" t="inlineStr">
        <is>
          <t>b5-kurye-isi</t>
        </is>
      </c>
      <c r="B143" s="5" t="inlineStr">
        <is>
          <t>Kurnazlık</t>
        </is>
      </c>
      <c r="C143" s="5" t="inlineStr">
        <is>
          <t>Orta</t>
        </is>
      </c>
      <c r="D143" s="6" t="inlineStr">
        <is>
          <t>Otoparkın içinden geçersen üç dakika kazanırsın. Görevli kulübesinde uyuyor.</t>
        </is>
      </c>
      <c r="E143" s="6" t="inlineStr"/>
      <c r="F143" s="5" t="inlineStr"/>
    </row>
    <row r="144">
      <c r="A144" s="5" t="inlineStr">
        <is>
          <t>b5-kurye-isi</t>
        </is>
      </c>
      <c r="B144" s="5" t="inlineStr">
        <is>
          <t>Dayanıklılık</t>
        </is>
      </c>
      <c r="C144" s="5" t="inlineStr">
        <is>
          <t>Kolay</t>
        </is>
      </c>
      <c r="D144" s="6" t="inlineStr">
        <is>
          <t>Yokuşa girmeden vites düşür. Dizlerin sana ömür boyu teşekkür edecek.</t>
        </is>
      </c>
      <c r="E144" s="6" t="inlineStr"/>
      <c r="F144" s="5" t="inlineStr"/>
    </row>
    <row r="145">
      <c r="A145" s="5" t="inlineStr">
        <is>
          <t>b5-ozel-ders</t>
        </is>
      </c>
      <c r="B145" s="5" t="inlineStr">
        <is>
          <t>Akıl</t>
        </is>
      </c>
      <c r="C145" s="5" t="inlineStr">
        <is>
          <t>Kolay</t>
        </is>
      </c>
      <c r="D145" s="6" t="inlineStr">
        <is>
          <t>Ders başlamadan dakika maliyetini hesapladın. Öğretmene belki gerek yoktur.</t>
        </is>
      </c>
      <c r="E145" s="6" t="inlineStr"/>
      <c r="F145" s="5" t="inlineStr"/>
    </row>
    <row r="146">
      <c r="A146" s="5" t="inlineStr">
        <is>
          <t>b5-ozel-ders</t>
        </is>
      </c>
      <c r="B146" s="5" t="inlineStr">
        <is>
          <t>İtibar</t>
        </is>
      </c>
      <c r="C146" s="5" t="inlineStr">
        <is>
          <t>Orta</t>
        </is>
      </c>
      <c r="D146" s="6" t="inlineStr">
        <is>
          <t>Annen bu dersler için yeni kışlık montunu almadı. Bunu söylemedi. Eski mont söyledi.</t>
        </is>
      </c>
      <c r="E146" s="6" t="inlineStr"/>
      <c r="F146" s="5" t="inlineStr"/>
    </row>
    <row r="147">
      <c r="A147" s="5" t="inlineStr">
        <is>
          <t>b5-rehberlik</t>
        </is>
      </c>
      <c r="B147" s="5" t="inlineStr">
        <is>
          <t>Akıl</t>
        </is>
      </c>
      <c r="C147" s="5" t="inlineStr">
        <is>
          <t>Orta</t>
        </is>
      </c>
      <c r="D147" s="6" t="inlineStr">
        <is>
          <t>Test yetmiş soruydu. Otuzuncudan sonra hep 'C' işaretledin. Fener bekçiliği bir C mesleği.</t>
        </is>
      </c>
      <c r="E147" s="6" t="inlineStr"/>
      <c r="F147" s="5" t="inlineStr"/>
    </row>
    <row r="148">
      <c r="A148" s="5" t="inlineStr">
        <is>
          <t>b5-rehberlik</t>
        </is>
      </c>
      <c r="B148" s="5" t="inlineStr">
        <is>
          <t>Pişkinlik</t>
        </is>
      </c>
      <c r="C148" s="5" t="inlineStr">
        <is>
          <t>Kolay</t>
        </is>
      </c>
      <c r="D148" s="6" t="inlineStr">
        <is>
          <t>Sonucu kimseye söyleme. Ya da herkese söyle. Ortası yok.</t>
        </is>
      </c>
      <c r="E148" s="6" t="inlineStr"/>
      <c r="F148" s="5" t="inlineStr"/>
    </row>
    <row r="149">
      <c r="A149" s="5" t="inlineStr">
        <is>
          <t>b5-telefon-detoksu</t>
        </is>
      </c>
      <c r="B149" s="5" t="inlineStr">
        <is>
          <t>Kurnazlık</t>
        </is>
      </c>
      <c r="C149" s="5" t="inlineStr">
        <is>
          <t>Zor</t>
        </is>
      </c>
      <c r="D149" s="6" t="inlineStr">
        <is>
          <t>Emanet çekmecesinin anahtarı babanın anahtarlığında değil. Ekmek dolabında.</t>
        </is>
      </c>
      <c r="E149" s="6" t="inlineStr"/>
      <c r="F149" s="5" t="inlineStr">
        <is>
          <t>E</t>
        </is>
      </c>
    </row>
    <row r="150">
      <c r="A150" s="5" t="inlineStr">
        <is>
          <t>b5-telefon-detoksu</t>
        </is>
      </c>
      <c r="B150" s="5" t="inlineStr">
        <is>
          <t>Dayanıklılık</t>
        </is>
      </c>
      <c r="C150" s="5" t="inlineStr">
        <is>
          <t>Orta</t>
        </is>
      </c>
      <c r="D150" s="6" t="inlineStr">
        <is>
          <t>İlk üç gün cebini yoklayacaksın. Dördüncü gün kitap okuyacaksın. Beşinci gün kitaba bildirim gelmiyor diye şaşıracaksın.</t>
        </is>
      </c>
      <c r="E150" s="6" t="inlineStr"/>
      <c r="F150" s="5" t="inlineStr"/>
    </row>
    <row r="151">
      <c r="A151" s="5" t="inlineStr">
        <is>
          <t>b5-universite-sinavi</t>
        </is>
      </c>
      <c r="B151" s="5" t="inlineStr">
        <is>
          <t>Akıl</t>
        </is>
      </c>
      <c r="C151" s="5" t="inlineStr">
        <is>
          <t>Orta</t>
        </is>
      </c>
      <c r="D151" s="6" t="inlineStr">
        <is>
          <t>Kitapçıktaki ilk soru hep kolaydır. Moral bozulmasın diye. Hesap sonra sorulur.</t>
        </is>
      </c>
      <c r="E151" s="6" t="inlineStr"/>
      <c r="F151" s="5" t="inlineStr"/>
    </row>
    <row r="152">
      <c r="A152" s="5" t="inlineStr">
        <is>
          <t>b5-universite-sinavi</t>
        </is>
      </c>
      <c r="B152" s="5" t="inlineStr">
        <is>
          <t>Dayanıklılık</t>
        </is>
      </c>
      <c r="C152" s="5" t="inlineStr">
        <is>
          <t>Kolay</t>
        </is>
      </c>
      <c r="D152" s="6" t="inlineStr">
        <is>
          <t>Maratonun son kilometresi. Buraya kadar koştun. Şimdi yürü ama durma.</t>
        </is>
      </c>
      <c r="E152" s="6" t="inlineStr"/>
      <c r="F152" s="5" t="inlineStr"/>
    </row>
    <row r="153">
      <c r="A153" s="5" t="inlineStr">
        <is>
          <t>b5-mezuniyet-balosu</t>
        </is>
      </c>
      <c r="B153" s="5" t="inlineStr">
        <is>
          <t>Sosyal Radar</t>
        </is>
      </c>
      <c r="C153" s="5" t="inlineStr">
        <is>
          <t>Orta</t>
        </is>
      </c>
      <c r="D153" s="6" t="inlineStr">
        <is>
          <t>Pistin kenarındaki herkes birinin başlamasını bekliyor. Bu bir dans değil, bir sabır sınavı.</t>
        </is>
      </c>
      <c r="E153" s="6" t="inlineStr"/>
      <c r="F153" s="5" t="inlineStr"/>
    </row>
    <row r="154">
      <c r="A154" s="5" t="inlineStr">
        <is>
          <t>b5-mezuniyet-balosu</t>
        </is>
      </c>
      <c r="B154" s="5" t="inlineStr">
        <is>
          <t>Pişkinlik</t>
        </is>
      </c>
      <c r="C154" s="5" t="inlineStr">
        <is>
          <t>Zor</t>
        </is>
      </c>
      <c r="D154" s="6" t="inlineStr">
        <is>
          <t>Mikrofon masada sahipsiz duruyor. Dört yılın son sözünü kim söyleyecek?</t>
        </is>
      </c>
      <c r="E154" s="6" t="inlineStr"/>
      <c r="F154" s="5" t="inlineStr">
        <is>
          <t>E</t>
        </is>
      </c>
    </row>
    <row r="155">
      <c r="A155" s="5" t="inlineStr">
        <is>
          <t>b5-tercih-listesi</t>
        </is>
      </c>
      <c r="B155" s="5" t="inlineStr">
        <is>
          <t>Akıl</t>
        </is>
      </c>
      <c r="C155" s="5" t="inlineStr">
        <is>
          <t>Orta</t>
        </is>
      </c>
      <c r="D155" s="6" t="inlineStr">
        <is>
          <t>Puanın bazı kapıları açıyor, bazılarını kibarca kapatıyor. Liste gerçekçi olmalı.</t>
        </is>
      </c>
      <c r="E155" s="6" t="inlineStr"/>
      <c r="F155" s="5" t="inlineStr"/>
    </row>
    <row r="156">
      <c r="A156" s="5" t="inlineStr">
        <is>
          <t>b5-tercih-listesi</t>
        </is>
      </c>
      <c r="B156" s="5" t="inlineStr">
        <is>
          <t>İtibar</t>
        </is>
      </c>
      <c r="C156" s="5" t="inlineStr">
        <is>
          <t>Zor</t>
        </is>
      </c>
      <c r="D156" s="6" t="inlineStr">
        <is>
          <t>Babaannen 'Yakın olsun' diyor. Babaannenin tek kriteri bu. Ama çok güçlü bir kriter.</t>
        </is>
      </c>
      <c r="E156" s="6" t="inlineStr"/>
      <c r="F156" s="5" t="inlineStr"/>
    </row>
    <row r="157">
      <c r="A157" s="5" t="inlineStr">
        <is>
          <t>b5-mezuniyet</t>
        </is>
      </c>
      <c r="B157" s="5" t="inlineStr">
        <is>
          <t>İtibar</t>
        </is>
      </c>
      <c r="C157" s="5" t="inlineStr">
        <is>
          <t>Kolay</t>
        </is>
      </c>
      <c r="D157" s="6" t="inlineStr">
        <is>
          <t>Arka sırada bir öğretmen gözlerini siliyor. Sen onun adını hiç öğrenmedin. O seninkini biliyor.</t>
        </is>
      </c>
      <c r="E157" s="6" t="inlineStr"/>
      <c r="F157" s="5" t="inlineStr"/>
    </row>
    <row r="158">
      <c r="A158" s="5" t="inlineStr">
        <is>
          <t>b5-mezuniyet</t>
        </is>
      </c>
      <c r="B158" s="5" t="inlineStr">
        <is>
          <t>Sosyal Radar</t>
        </is>
      </c>
      <c r="C158" s="5" t="inlineStr">
        <is>
          <t>Orta</t>
        </is>
      </c>
      <c r="D158" s="6" t="inlineStr">
        <is>
          <t>Bugün herkes 'Görüşürüz' diyecek. Yarından itibaren istatistik devreye girecek.</t>
        </is>
      </c>
      <c r="E158" s="6" t="inlineStr"/>
      <c r="F158" s="5" t="inlineStr"/>
    </row>
    <row r="159">
      <c r="A159" s="5" t="inlineStr">
        <is>
          <t>b5-ehliyet-kursu</t>
        </is>
      </c>
      <c r="B159" s="5" t="inlineStr">
        <is>
          <t>Dayanıklılık</t>
        </is>
      </c>
      <c r="C159" s="5" t="inlineStr">
        <is>
          <t>Orta</t>
        </is>
      </c>
      <c r="D159" s="6" t="inlineStr">
        <is>
          <t>Aynayı ayarla, koltuğu ayarla, sonra yine aynayı. Sınav ayarlamada kazanılır.</t>
        </is>
      </c>
      <c r="E159" s="6" t="inlineStr"/>
      <c r="F159" s="5" t="inlineStr"/>
    </row>
    <row r="160">
      <c r="A160" s="5" t="inlineStr">
        <is>
          <t>b5-ehliyet-kursu</t>
        </is>
      </c>
      <c r="B160" s="5" t="inlineStr">
        <is>
          <t>Cesaret</t>
        </is>
      </c>
      <c r="C160" s="5" t="inlineStr">
        <is>
          <t>Kolay</t>
        </is>
      </c>
      <c r="D160" s="6" t="inlineStr">
        <is>
          <t>Yokuş sadece bir yokuş. Arkandaki kamyon sadece bir kamyon. Korkulacak bir şey yok. Pek yok.</t>
        </is>
      </c>
      <c r="E160" s="6" t="inlineStr"/>
      <c r="F160" s="5" t="inlineStr"/>
    </row>
    <row r="161">
      <c r="A161" s="5" t="inlineStr">
        <is>
          <t>b5-tek-basina-tatil</t>
        </is>
      </c>
      <c r="B161" s="5" t="inlineStr">
        <is>
          <t>Kurnazlık</t>
        </is>
      </c>
      <c r="C161" s="5" t="inlineStr">
        <is>
          <t>Orta</t>
        </is>
      </c>
      <c r="D161" s="6" t="inlineStr">
        <is>
          <t>Pansiyon sahibi 'deniz manzaralı' dedi. Manzara bir ayna aracılığıyla sağlanıyor.</t>
        </is>
      </c>
      <c r="E161" s="6" t="inlineStr"/>
      <c r="F161" s="5" t="inlineStr"/>
    </row>
    <row r="162">
      <c r="A162" s="5" t="inlineStr">
        <is>
          <t>b5-tek-basina-tatil</t>
        </is>
      </c>
      <c r="B162" s="5" t="inlineStr">
        <is>
          <t>Sosyal Radar</t>
        </is>
      </c>
      <c r="C162" s="5" t="inlineStr">
        <is>
          <t>Kolay</t>
        </is>
      </c>
      <c r="D162" s="6" t="inlineStr">
        <is>
          <t>Grupta biri bütçeyi tutacak, biri planı yapacak, biri hiçbir şeyi. Hiçbir şeyi yapan en çok eğlenecek.</t>
        </is>
      </c>
      <c r="E162" s="6" t="inlineStr"/>
      <c r="F162" s="5" t="inlineStr"/>
    </row>
    <row r="163">
      <c r="A163" s="5" t="inlineStr">
        <is>
          <t>b6-yurt-odasi</t>
        </is>
      </c>
      <c r="B163" s="5" t="inlineStr">
        <is>
          <t>Sosyal Radar</t>
        </is>
      </c>
      <c r="C163" s="5" t="inlineStr">
        <is>
          <t>Orta</t>
        </is>
      </c>
      <c r="D163" s="6" t="inlineStr">
        <is>
          <t>Üst ranzadaki üç gündür aynı tişörtle. Bu bir karakter değil, bir strateji.</t>
        </is>
      </c>
      <c r="E163" s="6" t="inlineStr"/>
      <c r="F163" s="5" t="inlineStr"/>
    </row>
    <row r="164">
      <c r="A164" s="5" t="inlineStr">
        <is>
          <t>b6-yurt-odasi</t>
        </is>
      </c>
      <c r="B164" s="5" t="inlineStr">
        <is>
          <t>Kurnazlık</t>
        </is>
      </c>
      <c r="C164" s="5" t="inlineStr">
        <is>
          <t>Kolay</t>
        </is>
      </c>
      <c r="D164" s="6" t="inlineStr">
        <is>
          <t>Prizin yanındaki yatak, bu odanın başkentidir.</t>
        </is>
      </c>
      <c r="E164" s="6" t="inlineStr"/>
      <c r="F164" s="5" t="inlineStr">
        <is>
          <t>E</t>
        </is>
      </c>
    </row>
    <row r="165">
      <c r="A165" s="5" t="inlineStr">
        <is>
          <t>b6-ilk-tam-zamanli-is</t>
        </is>
      </c>
      <c r="B165" s="5" t="inlineStr">
        <is>
          <t>Çene</t>
        </is>
      </c>
      <c r="C165" s="5" t="inlineStr">
        <is>
          <t>Orta</t>
        </is>
      </c>
      <c r="D165" s="6" t="inlineStr">
        <is>
          <t>Müşteri 'Şundan var mı?' diyor ve hiçbir şey göstermiyor. Satış burada başlar.</t>
        </is>
      </c>
      <c r="E165" s="6" t="inlineStr"/>
      <c r="F165" s="5" t="inlineStr"/>
    </row>
    <row r="166">
      <c r="A166" s="5" t="inlineStr">
        <is>
          <t>b6-ilk-tam-zamanli-is</t>
        </is>
      </c>
      <c r="B166" s="5" t="inlineStr">
        <is>
          <t>Dayanıklılık</t>
        </is>
      </c>
      <c r="C166" s="5" t="inlineStr">
        <is>
          <t>Kolay</t>
        </is>
      </c>
      <c r="D166" s="6" t="inlineStr">
        <is>
          <t>On iki saat ayakta. Bacakların itiraz edecek. Bordro da.</t>
        </is>
      </c>
      <c r="E166" s="6" t="inlineStr"/>
      <c r="F166" s="5" t="inlineStr"/>
    </row>
    <row r="167">
      <c r="A167" s="5" t="inlineStr">
        <is>
          <t>b6-ehliyet</t>
        </is>
      </c>
      <c r="B167" s="5" t="inlineStr">
        <is>
          <t>Cesaret</t>
        </is>
      </c>
      <c r="C167" s="5" t="inlineStr">
        <is>
          <t>Orta</t>
        </is>
      </c>
      <c r="D167" s="6" t="inlineStr">
        <is>
          <t>Evlat, yokuş seni korkutuyorsa sen de yokuşu korkut.</t>
        </is>
      </c>
      <c r="E167" s="6" t="inlineStr"/>
      <c r="F167" s="5" t="inlineStr"/>
    </row>
    <row r="168">
      <c r="A168" s="5" t="inlineStr">
        <is>
          <t>b6-ehliyet</t>
        </is>
      </c>
      <c r="B168" s="5" t="inlineStr">
        <is>
          <t>Akıl</t>
        </is>
      </c>
      <c r="C168" s="5" t="inlineStr">
        <is>
          <t>Kolay</t>
        </is>
      </c>
      <c r="D168" s="6" t="inlineStr">
        <is>
          <t>Debriyaj, gaz, el freni. Sıralama önemli. Duygular değil.</t>
        </is>
      </c>
      <c r="E168" s="6" t="inlineStr"/>
      <c r="F168" s="5" t="inlineStr"/>
    </row>
    <row r="169">
      <c r="A169" s="5" t="inlineStr">
        <is>
          <t>b6-ilk-maas</t>
        </is>
      </c>
      <c r="B169" s="5" t="inlineStr">
        <is>
          <t>Kurnazlık</t>
        </is>
      </c>
      <c r="C169" s="5" t="inlineStr">
        <is>
          <t>Kolay</t>
        </is>
      </c>
      <c r="D169" s="6" t="inlineStr">
        <is>
          <t>Üçte biri kiraya, üçte biri faturaya, üçte biri... Bir dakika. Üçte bir kalmadı.</t>
        </is>
      </c>
      <c r="E169" s="6" t="inlineStr"/>
      <c r="F169" s="5" t="inlineStr"/>
    </row>
    <row r="170">
      <c r="A170" s="5" t="inlineStr">
        <is>
          <t>b6-ilk-maas</t>
        </is>
      </c>
      <c r="B170" s="5" t="inlineStr">
        <is>
          <t>İtibar</t>
        </is>
      </c>
      <c r="C170" s="5" t="inlineStr">
        <is>
          <t>Orta</t>
        </is>
      </c>
      <c r="D170" s="6" t="inlineStr">
        <is>
          <t>Annene bir şey al. Küçük olsun. Önemli olan jest.</t>
        </is>
      </c>
      <c r="E170" s="6" t="inlineStr"/>
      <c r="F170" s="5" t="inlineStr"/>
    </row>
    <row r="171">
      <c r="A171" s="5" t="inlineStr">
        <is>
          <t>b6-usta-cirak</t>
        </is>
      </c>
      <c r="B171" s="5" t="inlineStr">
        <is>
          <t>Kurnazlık</t>
        </is>
      </c>
      <c r="C171" s="5" t="inlineStr">
        <is>
          <t>Orta</t>
        </is>
      </c>
      <c r="D171" s="6" t="inlineStr">
        <is>
          <t>Usta iki şeyi asla anlatmaz: kaça iş aldığını ve o özel vidayı nereye sakladığını.</t>
        </is>
      </c>
      <c r="E171" s="6" t="inlineStr"/>
      <c r="F171" s="5" t="inlineStr">
        <is>
          <t>E</t>
        </is>
      </c>
    </row>
    <row r="172">
      <c r="A172" s="5" t="inlineStr">
        <is>
          <t>b6-usta-cirak</t>
        </is>
      </c>
      <c r="B172" s="5" t="inlineStr">
        <is>
          <t>İtibar</t>
        </is>
      </c>
      <c r="C172" s="5" t="inlineStr">
        <is>
          <t>Kolay</t>
        </is>
      </c>
      <c r="D172" s="6" t="inlineStr">
        <is>
          <t>Usta sert ama doğru. Babaanne de böyleydi.</t>
        </is>
      </c>
      <c r="E172" s="6" t="inlineStr"/>
      <c r="F172" s="5" t="inlineStr"/>
    </row>
    <row r="173">
      <c r="A173" s="5" t="inlineStr">
        <is>
          <t>b6-final-haftasi</t>
        </is>
      </c>
      <c r="B173" s="5" t="inlineStr">
        <is>
          <t>Akıl</t>
        </is>
      </c>
      <c r="C173" s="5" t="inlineStr">
        <is>
          <t>Orta</t>
        </is>
      </c>
      <c r="D173" s="6" t="inlineStr">
        <is>
          <t>Bu hoca on yıldır aynı soruları soruyor. Geçen yılın kâğıtları bir yerlerde, bir fotokopicide.</t>
        </is>
      </c>
      <c r="E173" s="6" t="inlineStr"/>
      <c r="F173" s="5" t="inlineStr">
        <is>
          <t>E</t>
        </is>
      </c>
    </row>
    <row r="174">
      <c r="A174" s="5" t="inlineStr">
        <is>
          <t>b6-final-haftasi</t>
        </is>
      </c>
      <c r="B174" s="5" t="inlineStr">
        <is>
          <t>Dayanıklılık</t>
        </is>
      </c>
      <c r="C174" s="5" t="inlineStr">
        <is>
          <t>Kolay</t>
        </is>
      </c>
      <c r="D174" s="6" t="inlineStr">
        <is>
          <t>Üç gün uykusuzluk mümkün. Dördüncü gün dersin adını unutursun.</t>
        </is>
      </c>
      <c r="E174" s="6" t="inlineStr"/>
      <c r="F174" s="5" t="inlineStr"/>
    </row>
    <row r="175">
      <c r="A175" s="5" t="inlineStr">
        <is>
          <t>b6-kredi-karti</t>
        </is>
      </c>
      <c r="B175" s="5" t="inlineStr">
        <is>
          <t>Kurnazlık</t>
        </is>
      </c>
      <c r="C175" s="5" t="inlineStr">
        <is>
          <t>Orta</t>
        </is>
      </c>
      <c r="D175" s="6" t="inlineStr">
        <is>
          <t>Asgari ödeme bir tuzaktır. İçi sıcak ve rahat bir tuzak.</t>
        </is>
      </c>
      <c r="E175" s="6" t="inlineStr"/>
      <c r="F175" s="5" t="inlineStr"/>
    </row>
    <row r="176">
      <c r="A176" s="5" t="inlineStr">
        <is>
          <t>b6-kredi-karti</t>
        </is>
      </c>
      <c r="B176" s="5" t="inlineStr">
        <is>
          <t>Pişkinlik</t>
        </is>
      </c>
      <c r="C176" s="5" t="inlineStr">
        <is>
          <t>Kolay</t>
        </is>
      </c>
      <c r="D176" s="6" t="inlineStr">
        <is>
          <t>Limit dediğin bir öneridir. Önerileri dinlemek zorunda değilsin.</t>
        </is>
      </c>
      <c r="E176" s="6" t="inlineStr"/>
      <c r="F176" s="5" t="inlineStr"/>
    </row>
    <row r="177">
      <c r="A177" s="5" t="inlineStr">
        <is>
          <t>b6-ogrenci-kulubu</t>
        </is>
      </c>
      <c r="B177" s="5" t="inlineStr">
        <is>
          <t>Sosyal Radar</t>
        </is>
      </c>
      <c r="C177" s="5" t="inlineStr">
        <is>
          <t>Kolay</t>
        </is>
      </c>
      <c r="D177" s="6" t="inlineStr">
        <is>
          <t>Girişimcilik kulübünün yarısı özgeçmişine yazmak için orada. Diğer yarısı da.</t>
        </is>
      </c>
      <c r="E177" s="6" t="inlineStr"/>
      <c r="F177" s="5" t="inlineStr"/>
    </row>
    <row r="178">
      <c r="A178" s="5" t="inlineStr">
        <is>
          <t>b6-ogrenci-kulubu</t>
        </is>
      </c>
      <c r="B178" s="5" t="inlineStr">
        <is>
          <t>Pişkinlik</t>
        </is>
      </c>
      <c r="C178" s="5" t="inlineStr">
        <is>
          <t>Orta</t>
        </is>
      </c>
      <c r="D178" s="6" t="inlineStr">
        <is>
          <t>Üyelik özgeçmişte bir satırdır. Başkanlık iki satır.</t>
        </is>
      </c>
      <c r="E178" s="6" t="inlineStr"/>
      <c r="F178" s="5" t="inlineStr"/>
    </row>
    <row r="179">
      <c r="A179" s="5" t="inlineStr">
        <is>
          <t>b6-gece-motor</t>
        </is>
      </c>
      <c r="B179" s="5" t="inlineStr">
        <is>
          <t>Cesaret</t>
        </is>
      </c>
      <c r="C179" s="5" t="inlineStr">
        <is>
          <t>Zor</t>
        </is>
      </c>
      <c r="D179" s="6" t="inlineStr">
        <is>
          <t>Evlat, cesaret her şeyi yapmak değildir. Bazen kaskı takmaktır.</t>
        </is>
      </c>
      <c r="E179" s="6" t="inlineStr"/>
      <c r="F179" s="5" t="inlineStr"/>
    </row>
    <row r="180">
      <c r="A180" s="5" t="inlineStr">
        <is>
          <t>b6-gece-motor</t>
        </is>
      </c>
      <c r="B180" s="5" t="inlineStr">
        <is>
          <t>Dayanıklılık</t>
        </is>
      </c>
      <c r="C180" s="5" t="inlineStr">
        <is>
          <t>Orta</t>
        </is>
      </c>
      <c r="D180" s="6" t="inlineStr">
        <is>
          <t>Sabah işe gideceksin. Bu yarış, işe gitmeme ihtimali taşıyor.</t>
        </is>
      </c>
      <c r="E180" s="6" t="inlineStr"/>
      <c r="F180" s="5" t="inlineStr"/>
    </row>
    <row r="181">
      <c r="A181" s="5" t="inlineStr">
        <is>
          <t>b6-gece-vardiyasi</t>
        </is>
      </c>
      <c r="B181" s="5" t="inlineStr">
        <is>
          <t>Dayanıklılık</t>
        </is>
      </c>
      <c r="C181" s="5" t="inlineStr">
        <is>
          <t>Orta</t>
        </is>
      </c>
      <c r="D181" s="6" t="inlineStr">
        <is>
          <t>Saat dörtte bir duvar gelir. Duvarı geçersen altıda ikinci bir nefes var.</t>
        </is>
      </c>
      <c r="E181" s="6" t="inlineStr"/>
      <c r="F181" s="5" t="inlineStr">
        <is>
          <t>E</t>
        </is>
      </c>
    </row>
    <row r="182">
      <c r="A182" s="5" t="inlineStr">
        <is>
          <t>b6-gece-vardiyasi</t>
        </is>
      </c>
      <c r="B182" s="5" t="inlineStr">
        <is>
          <t>Sosyal Radar</t>
        </is>
      </c>
      <c r="C182" s="5" t="inlineStr">
        <is>
          <t>Kolay</t>
        </is>
      </c>
      <c r="D182" s="6" t="inlineStr">
        <is>
          <t>Her gece gelen o müşteri yine sakız alacak. Sakız değil aslında, sohbet.</t>
        </is>
      </c>
      <c r="E182" s="6" t="inlineStr"/>
      <c r="F182" s="5" t="inlineStr"/>
    </row>
    <row r="183">
      <c r="A183" s="5" t="inlineStr">
        <is>
          <t>b6-kiralik-ev</t>
        </is>
      </c>
      <c r="B183" s="5" t="inlineStr">
        <is>
          <t>Çene</t>
        </is>
      </c>
      <c r="C183" s="5" t="inlineStr">
        <is>
          <t>Orta</t>
        </is>
      </c>
      <c r="D183" s="6" t="inlineStr">
        <is>
          <t>'Bu fiyat son' diyor. Son fiyat, pazarlığın ilk cümlesidir.</t>
        </is>
      </c>
      <c r="E183" s="6" t="inlineStr"/>
      <c r="F183" s="5" t="inlineStr"/>
    </row>
    <row r="184">
      <c r="A184" s="5" t="inlineStr">
        <is>
          <t>b6-kiralik-ev</t>
        </is>
      </c>
      <c r="B184" s="5" t="inlineStr">
        <is>
          <t>Sosyal Radar</t>
        </is>
      </c>
      <c r="C184" s="5" t="inlineStr">
        <is>
          <t>Zor</t>
        </is>
      </c>
      <c r="D184" s="6" t="inlineStr">
        <is>
          <t>Zilin yanında hâlâ önceki kiracının adı yazılı. Bir yıl bile kalmamış. Neden?</t>
        </is>
      </c>
      <c r="E184" s="6" t="inlineStr"/>
      <c r="F184" s="5" t="inlineStr"/>
    </row>
    <row r="185">
      <c r="A185" s="5" t="inlineStr">
        <is>
          <t>b6-tasinma</t>
        </is>
      </c>
      <c r="B185" s="5" t="inlineStr">
        <is>
          <t>Dayanıklılık</t>
        </is>
      </c>
      <c r="C185" s="5" t="inlineStr">
        <is>
          <t>Orta</t>
        </is>
      </c>
      <c r="D185" s="6" t="inlineStr">
        <is>
          <t>Merdiven bir maratondur. Buzdolabıyla koşulan bir maraton.</t>
        </is>
      </c>
      <c r="E185" s="6" t="inlineStr"/>
      <c r="F185" s="5" t="inlineStr"/>
    </row>
    <row r="186">
      <c r="A186" s="5" t="inlineStr">
        <is>
          <t>b6-tasinma</t>
        </is>
      </c>
      <c r="B186" s="5" t="inlineStr">
        <is>
          <t>Akıl</t>
        </is>
      </c>
      <c r="C186" s="5" t="inlineStr">
        <is>
          <t>Kolay</t>
        </is>
      </c>
      <c r="D186" s="6" t="inlineStr">
        <is>
          <t>Kolilere etiket yaz. 'Mutfak' yazan kolide mutfak olsun. Geçen sefer çoraplar vardı.</t>
        </is>
      </c>
      <c r="E186" s="6" t="inlineStr"/>
      <c r="F186" s="5" t="inlineStr"/>
    </row>
    <row r="187">
      <c r="A187" s="5" t="inlineStr">
        <is>
          <t>b6-ev-arkadasi</t>
        </is>
      </c>
      <c r="B187" s="5" t="inlineStr">
        <is>
          <t>İtibar</t>
        </is>
      </c>
      <c r="C187" s="5" t="inlineStr">
        <is>
          <t>Orta</t>
        </is>
      </c>
      <c r="D187" s="6" t="inlineStr">
        <is>
          <t>Söylemezsen bulaşık da söylemez. Ama koku söyler.</t>
        </is>
      </c>
      <c r="E187" s="6" t="inlineStr"/>
      <c r="F187" s="5" t="inlineStr"/>
    </row>
    <row r="188">
      <c r="A188" s="5" t="inlineStr">
        <is>
          <t>b6-ev-arkadasi</t>
        </is>
      </c>
      <c r="B188" s="5" t="inlineStr">
        <is>
          <t>Sosyal Radar</t>
        </is>
      </c>
      <c r="C188" s="5" t="inlineStr">
        <is>
          <t>Kolay</t>
        </is>
      </c>
      <c r="D188" s="6" t="inlineStr">
        <is>
          <t>Ev arkadaşın bulaşığı yıkamıyor çünkü sen yıkıyorsun. Bu bir döngü.</t>
        </is>
      </c>
      <c r="E188" s="6" t="inlineStr"/>
      <c r="F188" s="5" t="inlineStr">
        <is>
          <t>E</t>
        </is>
      </c>
    </row>
    <row r="189">
      <c r="A189" s="5" t="inlineStr">
        <is>
          <t>b6-staj</t>
        </is>
      </c>
      <c r="B189" s="5" t="inlineStr">
        <is>
          <t>Sosyal Radar</t>
        </is>
      </c>
      <c r="C189" s="5" t="inlineStr">
        <is>
          <t>Orta</t>
        </is>
      </c>
      <c r="D189" s="6" t="inlineStr">
        <is>
          <t>Kahve makinesinin başındaki adam şirketin yarısını yönetiyor. Diğer yarısı onun ne diyeceğini bekliyor.</t>
        </is>
      </c>
      <c r="E189" s="6" t="inlineStr"/>
      <c r="F189" s="5" t="inlineStr">
        <is>
          <t>E</t>
        </is>
      </c>
    </row>
    <row r="190">
      <c r="A190" s="5" t="inlineStr">
        <is>
          <t>b6-staj</t>
        </is>
      </c>
      <c r="B190" s="5" t="inlineStr">
        <is>
          <t>İtibar</t>
        </is>
      </c>
      <c r="C190" s="5" t="inlineStr">
        <is>
          <t>Kolay</t>
        </is>
      </c>
      <c r="D190" s="6" t="inlineStr">
        <is>
          <t>Maaş yok ama yol parası var. Yol parası da yok. Ama tecrübe var.</t>
        </is>
      </c>
      <c r="E190" s="6" t="inlineStr"/>
      <c r="F190" s="5" t="inlineStr"/>
    </row>
    <row r="191">
      <c r="A191" s="5" t="inlineStr">
        <is>
          <t>b6-spor-salonu</t>
        </is>
      </c>
      <c r="B191" s="5" t="inlineStr">
        <is>
          <t>Dayanıklılık</t>
        </is>
      </c>
      <c r="C191" s="5" t="inlineStr">
        <is>
          <t>Kolay</t>
        </is>
      </c>
      <c r="D191" s="6" t="inlineStr">
        <is>
          <t>Başlamak zor değil. Üçüncü hafta zor. Ben kendimle üçüncü haftada tanıştım.</t>
        </is>
      </c>
      <c r="E191" s="6" t="inlineStr"/>
      <c r="F191" s="5" t="inlineStr"/>
    </row>
    <row r="192">
      <c r="A192" s="5" t="inlineStr">
        <is>
          <t>b6-spor-salonu</t>
        </is>
      </c>
      <c r="B192" s="5" t="inlineStr">
        <is>
          <t>Pişkinlik</t>
        </is>
      </c>
      <c r="C192" s="5" t="inlineStr">
        <is>
          <t>Orta</t>
        </is>
      </c>
      <c r="D192" s="6" t="inlineStr">
        <is>
          <t>Aynada fotoğraf çekmek de bir antrenmandır. Başparmak kası için.</t>
        </is>
      </c>
      <c r="E192" s="6" t="inlineStr"/>
      <c r="F192" s="5" t="inlineStr"/>
    </row>
    <row r="193">
      <c r="A193" s="5" t="inlineStr">
        <is>
          <t>b6-degisim-programi</t>
        </is>
      </c>
      <c r="B193" s="5" t="inlineStr">
        <is>
          <t>Cesaret</t>
        </is>
      </c>
      <c r="C193" s="5" t="inlineStr">
        <is>
          <t>Orta</t>
        </is>
      </c>
      <c r="D193" s="6" t="inlineStr">
        <is>
          <t>Evlat, dünya büyük, mahalle küçük. Bavulu hazırla.</t>
        </is>
      </c>
      <c r="E193" s="6" t="inlineStr"/>
      <c r="F193" s="5" t="inlineStr"/>
    </row>
    <row r="194">
      <c r="A194" s="5" t="inlineStr">
        <is>
          <t>b6-degisim-programi</t>
        </is>
      </c>
      <c r="B194" s="5" t="inlineStr">
        <is>
          <t>Kurnazlık</t>
        </is>
      </c>
      <c r="C194" s="5" t="inlineStr">
        <is>
          <t>Zor</t>
        </is>
      </c>
      <c r="D194" s="6" t="inlineStr">
        <is>
          <t>Burs yarım maaş, oradaki kira bir buçuk maaş. Aradaki fark: ev yemeği özlemi.</t>
        </is>
      </c>
      <c r="E194" s="6" t="inlineStr"/>
      <c r="F194" s="5" t="inlineStr"/>
    </row>
    <row r="195">
      <c r="A195" s="5" t="inlineStr">
        <is>
          <t>b6-askerlik</t>
        </is>
      </c>
      <c r="B195" s="5" t="inlineStr">
        <is>
          <t>İtibar</t>
        </is>
      </c>
      <c r="C195" s="5" t="inlineStr">
        <is>
          <t>Orta</t>
        </is>
      </c>
      <c r="D195" s="6" t="inlineStr">
        <is>
          <t>Mahallenin bütün abileri 'Askerlik adam eder' der. Hiçbiri nasıl ettiğini anlatmaz.</t>
        </is>
      </c>
      <c r="E195" s="6" t="inlineStr"/>
      <c r="F195" s="5" t="inlineStr"/>
    </row>
    <row r="196">
      <c r="A196" s="5" t="inlineStr">
        <is>
          <t>b6-askerlik</t>
        </is>
      </c>
      <c r="B196" s="5" t="inlineStr">
        <is>
          <t>Kurnazlık</t>
        </is>
      </c>
      <c r="C196" s="5" t="inlineStr">
        <is>
          <t>Zor</t>
        </is>
      </c>
      <c r="D196" s="6" t="inlineStr">
        <is>
          <t>Heyette en çok kim konuşursa o kışlaya gider. Az konuşan, çok topallar.</t>
        </is>
      </c>
      <c r="E196" s="6" t="inlineStr"/>
      <c r="F196" s="5" t="inlineStr"/>
    </row>
    <row r="197">
      <c r="A197" s="5" t="inlineStr">
        <is>
          <t>b6-okusaydin</t>
        </is>
      </c>
      <c r="B197" s="5" t="inlineStr">
        <is>
          <t>Sosyal Radar</t>
        </is>
      </c>
      <c r="C197" s="5" t="inlineStr">
        <is>
          <t>Orta</t>
        </is>
      </c>
      <c r="D197" s="6" t="inlineStr">
        <is>
          <t>Bunu en çok söyleyen teyzenin oğlu üç yıldır son sınıfta.</t>
        </is>
      </c>
      <c r="E197" s="6" t="inlineStr"/>
      <c r="F197" s="5" t="inlineStr">
        <is>
          <t>E</t>
        </is>
      </c>
    </row>
    <row r="198">
      <c r="A198" s="5" t="inlineStr">
        <is>
          <t>b6-okusaydin</t>
        </is>
      </c>
      <c r="B198" s="5" t="inlineStr">
        <is>
          <t>İtibar</t>
        </is>
      </c>
      <c r="C198" s="5" t="inlineStr">
        <is>
          <t>Kolay</t>
        </is>
      </c>
      <c r="D198" s="6" t="inlineStr">
        <is>
          <t>Seni sevdikleri için söylüyorlar. Sevgi bazen insanı yoruyor.</t>
        </is>
      </c>
      <c r="E198" s="6" t="inlineStr"/>
      <c r="F198" s="5" t="inlineStr"/>
    </row>
    <row r="199">
      <c r="A199" s="5" t="inlineStr">
        <is>
          <t>b6-mezuniyet</t>
        </is>
      </c>
      <c r="B199" s="5" t="inlineStr">
        <is>
          <t>Pişkinlik</t>
        </is>
      </c>
      <c r="C199" s="5" t="inlineStr">
        <is>
          <t>Kolay</t>
        </is>
      </c>
      <c r="D199" s="6" t="inlineStr">
        <is>
          <t>Herkes aynı fotoğrafı çekiyor. Farkı, kimin kepi geri bulduğu belirliyor.</t>
        </is>
      </c>
      <c r="E199" s="6" t="inlineStr"/>
      <c r="F199" s="5" t="inlineStr"/>
    </row>
    <row r="200">
      <c r="A200" s="5" t="inlineStr">
        <is>
          <t>b6-mezuniyet</t>
        </is>
      </c>
      <c r="B200" s="5" t="inlineStr">
        <is>
          <t>İtibar</t>
        </is>
      </c>
      <c r="C200" s="5" t="inlineStr">
        <is>
          <t>Orta</t>
        </is>
      </c>
      <c r="D200" s="6" t="inlineStr">
        <is>
          <t>Ailen ön sırada. Baban kamerayı ters tutuyor. Bu fotoğraf da bu aileye ait.</t>
        </is>
      </c>
      <c r="E200" s="6" t="inlineStr"/>
      <c r="F200" s="5" t="inlineStr"/>
    </row>
    <row r="201">
      <c r="A201" s="5" t="inlineStr">
        <is>
          <t>b6-meslek-secimi</t>
        </is>
      </c>
      <c r="B201" s="5" t="inlineStr">
        <is>
          <t>İtibar</t>
        </is>
      </c>
      <c r="C201" s="5" t="inlineStr">
        <is>
          <t>Orta</t>
        </is>
      </c>
      <c r="D201" s="6" t="inlineStr">
        <is>
          <t>Baban 'Devlet kapısı' diyor, annen 'Kendi işin' diyor. İkisi de aslında 'Yanımızda kal' diyor.</t>
        </is>
      </c>
      <c r="E201" s="6" t="inlineStr"/>
      <c r="F201" s="5" t="inlineStr"/>
    </row>
    <row r="202">
      <c r="A202" s="5" t="inlineStr">
        <is>
          <t>b6-meslek-secimi</t>
        </is>
      </c>
      <c r="B202" s="5" t="inlineStr">
        <is>
          <t>Akıl</t>
        </is>
      </c>
      <c r="C202" s="5" t="inlineStr">
        <is>
          <t>Zor</t>
        </is>
      </c>
      <c r="D202" s="6" t="inlineStr">
        <is>
          <t>'Garanti' kelimesi en çok garantisi olmayan yerlerde kullanılır.</t>
        </is>
      </c>
      <c r="E202" s="6" t="inlineStr"/>
      <c r="F202" s="5" t="inlineStr"/>
    </row>
    <row r="203">
      <c r="A203" s="5" t="inlineStr">
        <is>
          <t>b6-meslek-secimi</t>
        </is>
      </c>
      <c r="B203" s="5" t="inlineStr">
        <is>
          <t>Kurnazlık</t>
        </is>
      </c>
      <c r="C203" s="5" t="inlineStr">
        <is>
          <t>Kolay</t>
        </is>
      </c>
      <c r="D203" s="6" t="inlineStr">
        <is>
          <t>Hangi yolu seçersen seç, ilk yıl çayı sen koyacaksın.</t>
        </is>
      </c>
      <c r="E203" s="6" t="inlineStr"/>
      <c r="F203" s="5" t="inlineStr"/>
    </row>
    <row r="204">
      <c r="A204" s="5" t="inlineStr">
        <is>
          <t>b6-flort-uygulamasi</t>
        </is>
      </c>
      <c r="B204" s="5" t="inlineStr">
        <is>
          <t>Pişkinlik</t>
        </is>
      </c>
      <c r="C204" s="5" t="inlineStr">
        <is>
          <t>Orta</t>
        </is>
      </c>
      <c r="D204" s="6" t="inlineStr">
        <is>
          <t>Hakkında kısmına 'Seyahat, kahve, derin sohbetler' yaz. Herkes yazıyor. Kimse yapmıyor.</t>
        </is>
      </c>
      <c r="E204" s="6" t="inlineStr"/>
      <c r="F204" s="5" t="inlineStr"/>
    </row>
    <row r="205">
      <c r="A205" s="5" t="inlineStr">
        <is>
          <t>b6-flort-uygulamasi</t>
        </is>
      </c>
      <c r="B205" s="5" t="inlineStr">
        <is>
          <t>Sosyal Radar</t>
        </is>
      </c>
      <c r="C205" s="5" t="inlineStr">
        <is>
          <t>Kolay</t>
        </is>
      </c>
      <c r="D205" s="6" t="inlineStr">
        <is>
          <t>Eşleştiğin kişinin bütün fotoğrafları aynı açıdan. Bu bir işaret değil. Bu bir yöntem.</t>
        </is>
      </c>
      <c r="E205" s="6" t="inlineStr"/>
      <c r="F205" s="5" t="inlineStr"/>
    </row>
    <row r="206">
      <c r="A206" s="5" t="inlineStr">
        <is>
          <t>b6-kamp-atesi</t>
        </is>
      </c>
      <c r="B206" s="5" t="inlineStr">
        <is>
          <t>Akıl</t>
        </is>
      </c>
      <c r="C206" s="5" t="inlineStr">
        <is>
          <t>Orta</t>
        </is>
      </c>
      <c r="D206" s="6" t="inlineStr">
        <is>
          <t>Kuru ot, rüzgâr ve bir kutu çakmak gazı. Bu bir kimya dersi, ama hatalı yazılmış.</t>
        </is>
      </c>
      <c r="E206" s="6" t="inlineStr"/>
      <c r="F206" s="5" t="inlineStr"/>
    </row>
    <row r="207">
      <c r="A207" s="5" t="inlineStr">
        <is>
          <t>b6-kamp-atesi</t>
        </is>
      </c>
      <c r="B207" s="5" t="inlineStr">
        <is>
          <t>Cesaret</t>
        </is>
      </c>
      <c r="C207" s="5" t="inlineStr">
        <is>
          <t>Kolay</t>
        </is>
      </c>
      <c r="D207" s="6" t="inlineStr">
        <is>
          <t>Evlat, ateşin başında soğukkanlılık. Bir de kova su.</t>
        </is>
      </c>
      <c r="E207" s="6" t="inlineStr"/>
      <c r="F207" s="5" t="inlineStr"/>
    </row>
    <row r="208">
      <c r="A208" s="5" t="inlineStr">
        <is>
          <t>mb-ilk-gun-karti</t>
        </is>
      </c>
      <c r="B208" s="5" t="inlineStr">
        <is>
          <t>Kurnazlık</t>
        </is>
      </c>
      <c r="C208" s="5" t="inlineStr">
        <is>
          <t>Orta</t>
        </is>
      </c>
      <c r="D208" s="6" t="inlineStr">
        <is>
          <t>Arkadan gelen kurye her gün bu turnikeden geçiyor. Kartı yok. Özgüveni var.</t>
        </is>
      </c>
      <c r="E208" s="6" t="inlineStr"/>
      <c r="F208" s="5" t="inlineStr">
        <is>
          <t>E</t>
        </is>
      </c>
    </row>
    <row r="209">
      <c r="A209" s="5" t="inlineStr">
        <is>
          <t>mb-ilk-gun-karti</t>
        </is>
      </c>
      <c r="B209" s="5" t="inlineStr">
        <is>
          <t>Sosyal Radar</t>
        </is>
      </c>
      <c r="C209" s="5" t="inlineStr">
        <is>
          <t>Kolay</t>
        </is>
      </c>
      <c r="D209" s="6" t="inlineStr">
        <is>
          <t>Resepsiyondaki kişi herkese 'Hoş geldiniz' diyor. Sana dedi mi? Emin değilsin.</t>
        </is>
      </c>
      <c r="E209" s="6" t="inlineStr"/>
      <c r="F209" s="5" t="inlineStr"/>
    </row>
    <row r="210">
      <c r="A210" s="5" t="inlineStr">
        <is>
          <t>me-dukkan-acilisi</t>
        </is>
      </c>
      <c r="B210" s="5" t="inlineStr">
        <is>
          <t>Çene</t>
        </is>
      </c>
      <c r="C210" s="5" t="inlineStr">
        <is>
          <t>Orta</t>
        </is>
      </c>
      <c r="D210" s="6" t="inlineStr">
        <is>
          <t>Kapıya çık, seslen. Esnaflık yarı mal, yarı ses teli.</t>
        </is>
      </c>
      <c r="E210" s="6" t="inlineStr"/>
      <c r="F210" s="5" t="inlineStr"/>
    </row>
    <row r="211">
      <c r="A211" s="5" t="inlineStr">
        <is>
          <t>me-dukkan-acilisi</t>
        </is>
      </c>
      <c r="B211" s="5" t="inlineStr">
        <is>
          <t>Kurnazlık</t>
        </is>
      </c>
      <c r="C211" s="5" t="inlineStr">
        <is>
          <t>Zor</t>
        </is>
      </c>
      <c r="D211" s="6" t="inlineStr">
        <is>
          <t>Karşı kaldırımdaki esnaflar seni izliyor. Kaç ay dayanacağını aralarında tahmin ediyorlar.</t>
        </is>
      </c>
      <c r="E211" s="6" t="inlineStr"/>
      <c r="F211" s="5" t="inlineStr"/>
    </row>
    <row r="212">
      <c r="A212" s="5" t="inlineStr">
        <is>
          <t>mm-ilk-atama</t>
        </is>
      </c>
      <c r="B212" s="5" t="inlineStr">
        <is>
          <t>Dayanıklılık</t>
        </is>
      </c>
      <c r="C212" s="5" t="inlineStr">
        <is>
          <t>Kolay</t>
        </is>
      </c>
      <c r="D212" s="6" t="inlineStr">
        <is>
          <t>İki yıl mecburi hizmet. Maraton da böyle başlar; kimse ilk kilometreyi anlatmaz.</t>
        </is>
      </c>
      <c r="E212" s="6" t="inlineStr"/>
      <c r="F212" s="5" t="inlineStr"/>
    </row>
    <row r="213">
      <c r="A213" s="5" t="inlineStr">
        <is>
          <t>mm-ilk-atama</t>
        </is>
      </c>
      <c r="B213" s="5" t="inlineStr">
        <is>
          <t>Kurnazlık</t>
        </is>
      </c>
      <c r="C213" s="5" t="inlineStr">
        <is>
          <t>Orta</t>
        </is>
      </c>
      <c r="D213" s="6" t="inlineStr">
        <is>
          <t>Kasabada tek fırın, tek çay bahçesi, tek müdürlük var. Fırıncıyla dost olan müdürlükte rahat eder.</t>
        </is>
      </c>
      <c r="E213" s="6" t="inlineStr"/>
      <c r="F213" s="5" t="inlineStr">
        <is>
          <t>E</t>
        </is>
      </c>
    </row>
    <row r="214">
      <c r="A214" s="5" t="inlineStr">
        <is>
          <t>ms-ilk-musteri</t>
        </is>
      </c>
      <c r="B214" s="5" t="inlineStr">
        <is>
          <t>Kurnazlık</t>
        </is>
      </c>
      <c r="C214" s="5" t="inlineStr">
        <is>
          <t>Orta</t>
        </is>
      </c>
      <c r="D214" s="6" t="inlineStr">
        <is>
          <t>Müşterinin telefonunda başka bir serbest çalışanın teklifi açık. Rakamı görünüyor.</t>
        </is>
      </c>
      <c r="E214" s="6" t="inlineStr"/>
      <c r="F214" s="5" t="inlineStr">
        <is>
          <t>E</t>
        </is>
      </c>
    </row>
    <row r="215">
      <c r="A215" s="5" t="inlineStr">
        <is>
          <t>ms-ilk-musteri</t>
        </is>
      </c>
      <c r="B215" s="5" t="inlineStr">
        <is>
          <t>Çene</t>
        </is>
      </c>
      <c r="C215" s="5" t="inlineStr">
        <is>
          <t>Kolay</t>
        </is>
      </c>
      <c r="D215" s="6" t="inlineStr">
        <is>
          <t>İlk rakamı söyleyen kaybeder. Ya da kazanır. Pazarda ikisi de söylenir, domates yine satılır.</t>
        </is>
      </c>
      <c r="E215" s="6" t="inlineStr"/>
      <c r="F215" s="5" t="inlineStr"/>
    </row>
    <row r="216">
      <c r="A216" s="5" t="inlineStr">
        <is>
          <t>b6-is-gorusmesi</t>
        </is>
      </c>
      <c r="B216" s="5" t="inlineStr">
        <is>
          <t>Pişkinlik</t>
        </is>
      </c>
      <c r="C216" s="5" t="inlineStr">
        <is>
          <t>Kolay</t>
        </is>
      </c>
      <c r="D216" s="6" t="inlineStr">
        <is>
          <t>Zayıf yönünü soracaklar. 'Mükemmeliyetçiyim' deme. Herkes diyor. Sen de diyeceksin.</t>
        </is>
      </c>
      <c r="E216" s="6" t="inlineStr"/>
      <c r="F216" s="5" t="inlineStr"/>
    </row>
    <row r="217">
      <c r="A217" s="5" t="inlineStr">
        <is>
          <t>b6-is-gorusmesi</t>
        </is>
      </c>
      <c r="B217" s="5" t="inlineStr">
        <is>
          <t>Sosyal Radar</t>
        </is>
      </c>
      <c r="C217" s="5" t="inlineStr">
        <is>
          <t>Orta</t>
        </is>
      </c>
      <c r="D217" s="6" t="inlineStr">
        <is>
          <t>Ortadaki sadece not alıyor ama kararı o verecek. Onun kalemine bak.</t>
        </is>
      </c>
      <c r="E217" s="6" t="inlineStr"/>
      <c r="F217" s="5" t="inlineStr">
        <is>
          <t>E</t>
        </is>
      </c>
    </row>
    <row r="218">
      <c r="A218" s="5" t="inlineStr">
        <is>
          <t>b6-is-gorusmesi</t>
        </is>
      </c>
      <c r="B218" s="5" t="inlineStr">
        <is>
          <t>Akıl</t>
        </is>
      </c>
      <c r="C218" s="5" t="inlineStr">
        <is>
          <t>Zor</t>
        </is>
      </c>
      <c r="D218" s="6" t="inlineStr">
        <is>
          <t>Maaş rakamını ilk söyleyen kaybeder. Bu bir oyun teorisi. Bir de pazar geleneği.</t>
        </is>
      </c>
      <c r="E218" s="6" t="inlineStr"/>
      <c r="F218" s="5" t="inlineStr"/>
    </row>
    <row r="219">
      <c r="A219" s="5" t="inlineStr">
        <is>
          <t>mb-acik-ofis</t>
        </is>
      </c>
      <c r="B219" s="5" t="inlineStr">
        <is>
          <t>Sosyal Radar</t>
        </is>
      </c>
      <c r="C219" s="5" t="inlineStr">
        <is>
          <t>Orta</t>
        </is>
      </c>
      <c r="D219" s="6" t="inlineStr">
        <is>
          <t>Soldaki telefonda ayrılıyor. Sağdaki kredi hesaplıyor. Arkadaki seni dinliyor.</t>
        </is>
      </c>
      <c r="E219" s="6" t="inlineStr"/>
      <c r="F219" s="5" t="inlineStr"/>
    </row>
    <row r="220">
      <c r="A220" s="5" t="inlineStr">
        <is>
          <t>b6-dugun-yagmuru</t>
        </is>
      </c>
      <c r="B220" s="5" t="inlineStr">
        <is>
          <t>Sosyal Radar</t>
        </is>
      </c>
      <c r="C220" s="5" t="inlineStr">
        <is>
          <t>Orta</t>
        </is>
      </c>
      <c r="D220" s="6" t="inlineStr">
        <is>
          <t>Teyzeler seni biriyle tanıştırmak için komite kurdu. Gündemin ilk maddesi sensin.</t>
        </is>
      </c>
      <c r="E220" s="6" t="inlineStr"/>
      <c r="F220" s="5" t="inlineStr"/>
    </row>
    <row r="221">
      <c r="A221" s="5" t="inlineStr">
        <is>
          <t>b6-dugun-yagmuru</t>
        </is>
      </c>
      <c r="B221" s="5" t="inlineStr">
        <is>
          <t>Dayanıklılık</t>
        </is>
      </c>
      <c r="C221" s="5" t="inlineStr">
        <is>
          <t>Kolay</t>
        </is>
      </c>
      <c r="D221" s="6" t="inlineStr">
        <is>
          <t>Halay kırk dakika sürecek. Dizlerin yirmi dakikalık.</t>
        </is>
      </c>
      <c r="E221" s="6" t="inlineStr"/>
      <c r="F221" s="5" t="inlineStr"/>
    </row>
    <row r="222">
      <c r="A222" s="5" t="inlineStr">
        <is>
          <t>b6-dukkan-anahtari</t>
        </is>
      </c>
      <c r="B222" s="5" t="inlineStr">
        <is>
          <t>Cesaret</t>
        </is>
      </c>
      <c r="C222" s="5" t="inlineStr">
        <is>
          <t>Orta</t>
        </is>
      </c>
      <c r="D222" s="6" t="inlineStr">
        <is>
          <t>Bir hafta patron sensin. Patron gibi dur, çırak gibi çalış.</t>
        </is>
      </c>
      <c r="E222" s="6" t="inlineStr"/>
      <c r="F222" s="5" t="inlineStr"/>
    </row>
    <row r="223">
      <c r="A223" s="5" t="inlineStr">
        <is>
          <t>b6-dukkan-anahtari</t>
        </is>
      </c>
      <c r="B223" s="5" t="inlineStr">
        <is>
          <t>Kurnazlık</t>
        </is>
      </c>
      <c r="C223" s="5" t="inlineStr">
        <is>
          <t>Kolay</t>
        </is>
      </c>
      <c r="D223" s="6" t="inlineStr">
        <is>
          <t>Kasaya dokunma dedi. Fiyatlara dokunma demedi.</t>
        </is>
      </c>
      <c r="E223" s="6" t="inlineStr"/>
      <c r="F223" s="5" t="inlineStr"/>
    </row>
    <row r="224">
      <c r="A224" s="5" t="inlineStr">
        <is>
          <t>me-veresiye-defteri</t>
        </is>
      </c>
      <c r="B224" s="5" t="inlineStr">
        <is>
          <t>İtibar</t>
        </is>
      </c>
      <c r="C224" s="5" t="inlineStr">
        <is>
          <t>Kolay</t>
        </is>
      </c>
      <c r="D224" s="6" t="inlineStr">
        <is>
          <t>Bu ay çocuğunun servis parası da çıkmış. Yaz evladım, dünya yuvarlak.</t>
        </is>
      </c>
      <c r="E224" s="6" t="inlineStr"/>
      <c r="F224" s="5" t="inlineStr"/>
    </row>
    <row r="225">
      <c r="A225" s="5" t="inlineStr">
        <is>
          <t>me-veresiye-defteri</t>
        </is>
      </c>
      <c r="B225" s="5" t="inlineStr">
        <is>
          <t>Sosyal Radar</t>
        </is>
      </c>
      <c r="C225" s="5" t="inlineStr">
        <is>
          <t>Orta</t>
        </is>
      </c>
      <c r="D225" s="6" t="inlineStr">
        <is>
          <t>Geçen hafta köşedeki dükkânın defterine de yazdırmış. Mahallede üç defterde birden adı var.</t>
        </is>
      </c>
      <c r="E225" s="6" t="inlineStr"/>
      <c r="F225" s="5" t="inlineStr">
        <is>
          <t>E</t>
        </is>
      </c>
    </row>
    <row r="226">
      <c r="A226" s="5" t="inlineStr">
        <is>
          <t>mm-islak-imza</t>
        </is>
      </c>
      <c r="B226" s="5" t="inlineStr">
        <is>
          <t>Akıl</t>
        </is>
      </c>
      <c r="C226" s="5" t="inlineStr">
        <is>
          <t>Orta</t>
        </is>
      </c>
      <c r="D226" s="6" t="inlineStr">
        <is>
          <t>Kural basit: eksik fotokopi iade, eksik mühür iade, fazla samimiyet de iade.</t>
        </is>
      </c>
      <c r="E226" s="6" t="inlineStr"/>
      <c r="F226" s="5" t="inlineStr"/>
    </row>
    <row r="227">
      <c r="A227" s="5" t="inlineStr">
        <is>
          <t>mm-islak-imza</t>
        </is>
      </c>
      <c r="B227" s="5" t="inlineStr">
        <is>
          <t>İtibar</t>
        </is>
      </c>
      <c r="C227" s="5" t="inlineStr">
        <is>
          <t>Zor</t>
        </is>
      </c>
      <c r="D227" s="6" t="inlineStr">
        <is>
          <t>İade ettiğin her dilekçe, birinin yeniden izin alıp gelmesi demek.</t>
        </is>
      </c>
      <c r="E227" s="6" t="inlineStr"/>
      <c r="F227" s="5" t="inlineStr"/>
    </row>
    <row r="228">
      <c r="A228" s="5" t="inlineStr">
        <is>
          <t>ms-gorunurluk-teklifi</t>
        </is>
      </c>
      <c r="B228" s="5" t="inlineStr">
        <is>
          <t>Pişkinlik</t>
        </is>
      </c>
      <c r="C228" s="5" t="inlineStr">
        <is>
          <t>Kolay</t>
        </is>
      </c>
      <c r="D228" s="6" t="inlineStr">
        <is>
          <t>Görünürlükle kira ödenmiyor. Denendi. Ev sahibi kabul etmedi.</t>
        </is>
      </c>
      <c r="E228" s="6" t="inlineStr"/>
      <c r="F228" s="5" t="inlineStr"/>
    </row>
    <row r="229">
      <c r="A229" s="5" t="inlineStr">
        <is>
          <t>ms-gorunurluk-teklifi</t>
        </is>
      </c>
      <c r="B229" s="5" t="inlineStr">
        <is>
          <t>İtibar</t>
        </is>
      </c>
      <c r="C229" s="5" t="inlineStr">
        <is>
          <t>Orta</t>
        </is>
      </c>
      <c r="D229" s="6" t="inlineStr">
        <is>
          <t>Hayır demek de bir iş. O da ücretsiz.</t>
        </is>
      </c>
      <c r="E229" s="6" t="inlineStr"/>
      <c r="F229" s="5" t="inlineStr"/>
    </row>
    <row r="230">
      <c r="A230" s="5" t="inlineStr">
        <is>
          <t>b6-taki-butcesi</t>
        </is>
      </c>
      <c r="B230" s="5" t="inlineStr">
        <is>
          <t>Kurnazlık</t>
        </is>
      </c>
      <c r="C230" s="5" t="inlineStr">
        <is>
          <t>Orta</t>
        </is>
      </c>
      <c r="D230" s="6" t="inlineStr">
        <is>
          <t>Zarfın kalınlığı içindekiyle ilgili değildir. Kâğıtla ilgilidir.</t>
        </is>
      </c>
      <c r="E230" s="6" t="inlineStr"/>
      <c r="F230" s="5" t="inlineStr"/>
    </row>
    <row r="231">
      <c r="A231" s="5" t="inlineStr">
        <is>
          <t>b6-taki-butcesi</t>
        </is>
      </c>
      <c r="B231" s="5" t="inlineStr">
        <is>
          <t>İtibar</t>
        </is>
      </c>
      <c r="C231" s="5" t="inlineStr">
        <is>
          <t>Kolay</t>
        </is>
      </c>
      <c r="D231" s="6" t="inlineStr">
        <is>
          <t>Onlar senin düğününe geldiğinde ne takacak? Bu hesap uzun vadeli.</t>
        </is>
      </c>
      <c r="E231" s="6" t="inlineStr"/>
      <c r="F231" s="5" t="inlineStr"/>
    </row>
    <row r="232">
      <c r="A232" s="5" t="inlineStr">
        <is>
          <t>b6-ilk-araba</t>
        </is>
      </c>
      <c r="B232" s="5" t="inlineStr">
        <is>
          <t>Kurnazlık</t>
        </is>
      </c>
      <c r="C232" s="5" t="inlineStr">
        <is>
          <t>Orta</t>
        </is>
      </c>
      <c r="D232" s="6" t="inlineStr">
        <is>
          <t>'Hiç boya yok' yazan ilanda boya ölçülür. Her zaman.</t>
        </is>
      </c>
      <c r="E232" s="6" t="inlineStr"/>
      <c r="F232" s="5" t="inlineStr">
        <is>
          <t>E</t>
        </is>
      </c>
    </row>
    <row r="233">
      <c r="A233" s="5" t="inlineStr">
        <is>
          <t>b6-ilk-araba</t>
        </is>
      </c>
      <c r="B233" s="5" t="inlineStr">
        <is>
          <t>Cesaret</t>
        </is>
      </c>
      <c r="C233" s="5" t="inlineStr">
        <is>
          <t>Kolay</t>
        </is>
      </c>
      <c r="D233" s="6" t="inlineStr">
        <is>
          <t>Evlat, test sürüşünde yokuş seç. Arabanın karakteri yokuşta belli olur.</t>
        </is>
      </c>
      <c r="E233" s="6" t="inlineStr"/>
      <c r="F233" s="5" t="inlineStr"/>
    </row>
    <row r="234">
      <c r="A234" s="5" t="inlineStr">
        <is>
          <t>b6-uzaktan-calisma</t>
        </is>
      </c>
      <c r="B234" s="5" t="inlineStr">
        <is>
          <t>Pişkinlik</t>
        </is>
      </c>
      <c r="C234" s="5" t="inlineStr">
        <is>
          <t>Orta</t>
        </is>
      </c>
      <c r="D234" s="6" t="inlineStr">
        <is>
          <t>Kamera belden yukarısını görür. Belden aşağısı senin özel alanın.</t>
        </is>
      </c>
      <c r="E234" s="6" t="inlineStr"/>
      <c r="F234" s="5" t="inlineStr"/>
    </row>
    <row r="235">
      <c r="A235" s="5" t="inlineStr">
        <is>
          <t>b6-uzaktan-calisma</t>
        </is>
      </c>
      <c r="B235" s="5" t="inlineStr">
        <is>
          <t>Dayanıklılık</t>
        </is>
      </c>
      <c r="C235" s="5" t="inlineStr">
        <is>
          <t>Kolay</t>
        </is>
      </c>
      <c r="D235" s="6" t="inlineStr">
        <is>
          <t>Yataktan masaya dört adım. Yine de geç kalacaksın.</t>
        </is>
      </c>
      <c r="E235" s="6" t="inlineStr"/>
      <c r="F235" s="5" t="inlineStr"/>
    </row>
    <row r="236">
      <c r="A236" s="5" t="inlineStr">
        <is>
          <t>b6-uzaktan-calisma</t>
        </is>
      </c>
      <c r="B236" s="5" t="inlineStr">
        <is>
          <t>Sosyal Radar</t>
        </is>
      </c>
      <c r="C236" s="5" t="inlineStr">
        <is>
          <t>Zor</t>
        </is>
      </c>
      <c r="D236" s="6" t="inlineStr">
        <is>
          <t>Kamerasını kapatan herkes aynı dakikada 'bağlantı sorunu' yaşıyor. Tesadüf değil.</t>
        </is>
      </c>
      <c r="E236" s="6" t="inlineStr"/>
      <c r="F236" s="5" t="inlineStr"/>
    </row>
    <row r="237">
      <c r="A237" s="5" t="inlineStr">
        <is>
          <t>mb-kamera-kapali</t>
        </is>
      </c>
      <c r="B237" s="5" t="inlineStr">
        <is>
          <t>Pişkinlik</t>
        </is>
      </c>
      <c r="C237" s="5" t="inlineStr">
        <is>
          <t>Orta</t>
        </is>
      </c>
      <c r="D237" s="6" t="inlineStr">
        <is>
          <t>Bağlantı sorunu diye bir şey var. Kimse aksini kanıtlayamaz.</t>
        </is>
      </c>
      <c r="E237" s="6" t="inlineStr"/>
      <c r="F237" s="5" t="inlineStr">
        <is>
          <t>E</t>
        </is>
      </c>
    </row>
    <row r="238">
      <c r="A238" s="5" t="inlineStr">
        <is>
          <t>mb-kamera-kapali</t>
        </is>
      </c>
      <c r="B238" s="5" t="inlineStr">
        <is>
          <t>Dayanıklılık</t>
        </is>
      </c>
      <c r="C238" s="5" t="inlineStr">
        <is>
          <t>Kolay</t>
        </is>
      </c>
      <c r="D238" s="6" t="inlineStr">
        <is>
          <t>Toplantı ellinci dakikasında. Gündemi hatırlayan kimse kalmadı.</t>
        </is>
      </c>
      <c r="E238" s="6" t="inlineStr"/>
      <c r="F238" s="5" t="inlineStr"/>
    </row>
    <row r="239">
      <c r="A239" s="5" t="inlineStr">
        <is>
          <t>me-karsi-dukkan</t>
        </is>
      </c>
      <c r="B239" s="5" t="inlineStr">
        <is>
          <t>Cesaret</t>
        </is>
      </c>
      <c r="C239" s="5" t="inlineStr">
        <is>
          <t>Orta</t>
        </is>
      </c>
      <c r="D239" s="6" t="inlineStr">
        <is>
          <t>Karşı cepheye laf gönderilmez, fiyat gönderilir. Toptancıya git.</t>
        </is>
      </c>
      <c r="E239" s="6" t="inlineStr"/>
      <c r="F239" s="5" t="inlineStr"/>
    </row>
    <row r="240">
      <c r="A240" s="5" t="inlineStr">
        <is>
          <t>me-karsi-dukkan</t>
        </is>
      </c>
      <c r="B240" s="5" t="inlineStr">
        <is>
          <t>Kurnazlık</t>
        </is>
      </c>
      <c r="C240" s="5" t="inlineStr">
        <is>
          <t>Zor</t>
        </is>
      </c>
      <c r="D240" s="6" t="inlineStr">
        <is>
          <t>Balonlar kiralık, yarın sönecekler. Dükkânın kaç ay dayanacağı da benzer bir soru.</t>
        </is>
      </c>
      <c r="E240" s="6" t="inlineStr"/>
      <c r="F240" s="5" t="inlineStr"/>
    </row>
    <row r="241">
      <c r="A241" s="5" t="inlineStr">
        <is>
          <t>mm-saat-1658</t>
        </is>
      </c>
      <c r="B241" s="5" t="inlineStr">
        <is>
          <t>Sosyal Radar</t>
        </is>
      </c>
      <c r="C241" s="5" t="inlineStr">
        <is>
          <t>Orta</t>
        </is>
      </c>
      <c r="D241" s="6" t="inlineStr">
        <is>
          <t>'Bir imza sadece' cümlesi, istatistiklere göre ortalama yedi imza, iki fotokopi ve bir amir onayı demek.</t>
        </is>
      </c>
      <c r="E241" s="6" t="inlineStr"/>
      <c r="F241" s="5" t="inlineStr">
        <is>
          <t>E</t>
        </is>
      </c>
    </row>
    <row r="242">
      <c r="A242" s="5" t="inlineStr">
        <is>
          <t>mm-saat-1658</t>
        </is>
      </c>
      <c r="B242" s="5" t="inlineStr">
        <is>
          <t>İtibar</t>
        </is>
      </c>
      <c r="C242" s="5" t="inlineStr">
        <is>
          <t>Kolay</t>
        </is>
      </c>
      <c r="D242" s="6" t="inlineStr">
        <is>
          <t>Şehrin öbür ucundan iki otobüs değiştirerek gelmiş. Ayakkabılarına bak.</t>
        </is>
      </c>
      <c r="E242" s="6" t="inlineStr"/>
      <c r="F242" s="5" t="inlineStr"/>
    </row>
    <row r="243">
      <c r="A243" s="5" t="inlineStr">
        <is>
          <t>b6-ev-sahibi-kavgasi</t>
        </is>
      </c>
      <c r="B243" s="5" t="inlineStr">
        <is>
          <t>Sosyal Radar</t>
        </is>
      </c>
      <c r="C243" s="5" t="inlineStr">
        <is>
          <t>Orta</t>
        </is>
      </c>
      <c r="D243" s="6" t="inlineStr">
        <is>
          <t>'Yeğenim taşınacak' diyor. Geçen yıl da demişti. Yeğen hâlâ ortada yok.</t>
        </is>
      </c>
      <c r="E243" s="6" t="inlineStr"/>
      <c r="F243" s="5" t="inlineStr">
        <is>
          <t>E</t>
        </is>
      </c>
    </row>
    <row r="244">
      <c r="A244" s="5" t="inlineStr">
        <is>
          <t>b6-ev-sahibi-kavgasi</t>
        </is>
      </c>
      <c r="B244" s="5" t="inlineStr">
        <is>
          <t>İtibar</t>
        </is>
      </c>
      <c r="C244" s="5" t="inlineStr">
        <is>
          <t>Zor</t>
        </is>
      </c>
      <c r="D244" s="6" t="inlineStr">
        <is>
          <t>Ev sahibinin de bir hayatı var. Senin de bir kiran var.</t>
        </is>
      </c>
      <c r="E244" s="6" t="inlineStr"/>
      <c r="F244" s="5" t="inlineStr"/>
    </row>
    <row r="245">
      <c r="A245" s="5" t="inlineStr">
        <is>
          <t>b6-kargo-takibi</t>
        </is>
      </c>
      <c r="B245" s="5" t="inlineStr">
        <is>
          <t>Kurnazlık</t>
        </is>
      </c>
      <c r="C245" s="5" t="inlineStr">
        <is>
          <t>Orta</t>
        </is>
      </c>
      <c r="D245" s="6" t="inlineStr">
        <is>
          <t>Kurye bu sokağa hiç girmiyor. Paketler köşedeki büfeye bırakılıyor. Büfeci her şeyi bilir.</t>
        </is>
      </c>
      <c r="E245" s="6" t="inlineStr"/>
      <c r="F245" s="5" t="inlineStr">
        <is>
          <t>E</t>
        </is>
      </c>
    </row>
    <row r="246">
      <c r="A246" s="5" t="inlineStr">
        <is>
          <t>b6-kargo-takibi</t>
        </is>
      </c>
      <c r="B246" s="5" t="inlineStr">
        <is>
          <t>Dayanıklılık</t>
        </is>
      </c>
      <c r="C246" s="5" t="inlineStr">
        <is>
          <t>Kolay</t>
        </is>
      </c>
      <c r="D246" s="6" t="inlineStr">
        <is>
          <t>Müşteri hizmetleri seni bekletecek. Sen de onları. Bu bir sabır savaşı.</t>
        </is>
      </c>
      <c r="E246" s="6" t="inlineStr"/>
      <c r="F246" s="5" t="inlineStr"/>
    </row>
    <row r="247">
      <c r="A247" s="5" t="inlineStr">
        <is>
          <t>ms-pijama-ekonomisi</t>
        </is>
      </c>
      <c r="B247" s="5" t="inlineStr">
        <is>
          <t>Dayanıklılık</t>
        </is>
      </c>
      <c r="C247" s="5" t="inlineStr">
        <is>
          <t>Orta</t>
        </is>
      </c>
      <c r="D247" s="6" t="inlineStr">
        <is>
          <t>Pijamayla çalışmak özgürlük. Pijamayla yaşamak başka bir şey.</t>
        </is>
      </c>
      <c r="E247" s="6" t="inlineStr"/>
      <c r="F247" s="5" t="inlineStr"/>
    </row>
    <row r="248">
      <c r="A248" s="5" t="inlineStr">
        <is>
          <t>ms-pijama-ekonomisi</t>
        </is>
      </c>
      <c r="B248" s="5" t="inlineStr">
        <is>
          <t>Akıl</t>
        </is>
      </c>
      <c r="C248" s="5" t="inlineStr">
        <is>
          <t>Kolay</t>
        </is>
      </c>
      <c r="D248" s="6" t="inlineStr">
        <is>
          <t>Üç teslim, bir gün, tek beyin. Matematik sana karşı.</t>
        </is>
      </c>
      <c r="E248" s="6" t="inlineStr"/>
      <c r="F248" s="5" t="inlineStr"/>
    </row>
    <row r="249">
      <c r="A249" s="5" t="inlineStr">
        <is>
          <t>b6-ilk-vergi</t>
        </is>
      </c>
      <c r="B249" s="5" t="inlineStr">
        <is>
          <t>Akıl</t>
        </is>
      </c>
      <c r="C249" s="5" t="inlineStr">
        <is>
          <t>Zor</t>
        </is>
      </c>
      <c r="D249" s="6" t="inlineStr">
        <is>
          <t>Formda iki kutu var: 'Beyan' ve 'Beyan (Diğer)'. Aradaki fark kimsenin bilmediği bir sır.</t>
        </is>
      </c>
      <c r="E249" s="6" t="inlineStr"/>
      <c r="F249" s="5" t="inlineStr"/>
    </row>
    <row r="250">
      <c r="A250" s="5" t="inlineStr">
        <is>
          <t>b6-ilk-vergi</t>
        </is>
      </c>
      <c r="B250" s="5" t="inlineStr">
        <is>
          <t>İtibar</t>
        </is>
      </c>
      <c r="C250" s="5" t="inlineStr">
        <is>
          <t>Kolay</t>
        </is>
      </c>
      <c r="D250" s="6" t="inlineStr">
        <is>
          <t>Vergi vermek de bir tür yetişkinlik. Gecikme faiziyle.</t>
        </is>
      </c>
      <c r="E250" s="6" t="inlineStr"/>
      <c r="F250" s="5" t="inlineStr"/>
    </row>
    <row r="251">
      <c r="A251" s="5" t="inlineStr">
        <is>
          <t>b6-kombi</t>
        </is>
      </c>
      <c r="B251" s="5" t="inlineStr">
        <is>
          <t>Akıl</t>
        </is>
      </c>
      <c r="C251" s="5" t="inlineStr">
        <is>
          <t>Orta</t>
        </is>
      </c>
      <c r="D251" s="6" t="inlineStr">
        <is>
          <t>Videoyu çeken on yıllık tamirci. Sen dün vidanın hangi yöne döndüğünü karıştırdın.</t>
        </is>
      </c>
      <c r="E251" s="6" t="inlineStr"/>
      <c r="F251" s="5" t="inlineStr"/>
    </row>
    <row r="252">
      <c r="A252" s="5" t="inlineStr">
        <is>
          <t>b6-kombi</t>
        </is>
      </c>
      <c r="B252" s="5" t="inlineStr">
        <is>
          <t>Dayanıklılık</t>
        </is>
      </c>
      <c r="C252" s="5" t="inlineStr">
        <is>
          <t>Kolay</t>
        </is>
      </c>
      <c r="D252" s="6" t="inlineStr">
        <is>
          <t>Üç gün battaniye, çay, iki kat çorap. İnsanlık daha zorlarını atlattı.</t>
        </is>
      </c>
      <c r="E252" s="6" t="inlineStr"/>
      <c r="F252" s="5" t="inlineStr"/>
    </row>
    <row r="253">
      <c r="A253" s="5" t="inlineStr">
        <is>
          <t>b6-kombi</t>
        </is>
      </c>
      <c r="B253" s="5" t="inlineStr">
        <is>
          <t>Kurnazlık</t>
        </is>
      </c>
      <c r="C253" s="5" t="inlineStr">
        <is>
          <t>Zor</t>
        </is>
      </c>
      <c r="D253" s="6" t="inlineStr">
        <is>
          <t>Alt kattaki komşunun oğlu kombici. Geçen ay otoparkta yer kavgası ettiniz.</t>
        </is>
      </c>
      <c r="E253" s="6" t="inlineStr"/>
      <c r="F253" s="5" t="inlineStr">
        <is>
          <t>E</t>
        </is>
      </c>
    </row>
    <row r="254">
      <c r="A254" s="5" t="inlineStr">
        <is>
          <t>b7-kira-artisi</t>
        </is>
      </c>
      <c r="B254" s="5" t="inlineStr">
        <is>
          <t>Sosyal Radar</t>
        </is>
      </c>
      <c r="C254" s="5" t="inlineStr">
        <is>
          <t>Orta</t>
        </is>
      </c>
      <c r="D254" s="6" t="inlineStr">
        <is>
          <t>Ev sahibinin kızı yurt dışından dönüyor. Bu ev, onun ev.</t>
        </is>
      </c>
      <c r="E254" s="6" t="inlineStr"/>
      <c r="F254" s="5" t="inlineStr">
        <is>
          <t>E</t>
        </is>
      </c>
    </row>
    <row r="255">
      <c r="A255" s="5" t="inlineStr">
        <is>
          <t>b7-kira-artisi</t>
        </is>
      </c>
      <c r="B255" s="5" t="inlineStr">
        <is>
          <t>Kurnazlık</t>
        </is>
      </c>
      <c r="C255" s="5" t="inlineStr">
        <is>
          <t>Kolay</t>
        </is>
      </c>
      <c r="D255" s="6" t="inlineStr">
        <is>
          <t>Önce 'piyasa' kelimesini kullanan kaybeder. Bekle.</t>
        </is>
      </c>
      <c r="E255" s="6" t="inlineStr"/>
      <c r="F255" s="5" t="inlineStr"/>
    </row>
    <row r="256">
      <c r="A256" s="5" t="inlineStr">
        <is>
          <t>b7-eski-sinif-arkadasi</t>
        </is>
      </c>
      <c r="B256" s="5" t="inlineStr">
        <is>
          <t>Sosyal Radar</t>
        </is>
      </c>
      <c r="C256" s="5" t="inlineStr">
        <is>
          <t>Kolay</t>
        </is>
      </c>
      <c r="D256" s="6" t="inlineStr">
        <is>
          <t>Tebriklerin yarısı hiç konuşmadığı insanlardan. Diğer yarısı hiç sevmediklerinden.</t>
        </is>
      </c>
      <c r="E256" s="6" t="inlineStr"/>
      <c r="F256" s="5" t="inlineStr"/>
    </row>
    <row r="257">
      <c r="A257" s="5" t="inlineStr">
        <is>
          <t>b7-eski-sinif-arkadasi</t>
        </is>
      </c>
      <c r="B257" s="5" t="inlineStr">
        <is>
          <t>İtibar</t>
        </is>
      </c>
      <c r="C257" s="5" t="inlineStr">
        <is>
          <t>Orta</t>
        </is>
      </c>
      <c r="D257" s="6" t="inlineStr">
        <is>
          <t>Kıskançlık da bir tür ilgi, evladım. Ama ona yorum yazdırma.</t>
        </is>
      </c>
      <c r="E257" s="6" t="inlineStr"/>
      <c r="F257" s="5" t="inlineStr"/>
    </row>
    <row r="258">
      <c r="A258" s="5" t="inlineStr">
        <is>
          <t>mb-eposta-yagmuru</t>
        </is>
      </c>
      <c r="B258" s="5" t="inlineStr">
        <is>
          <t>Akıl</t>
        </is>
      </c>
      <c r="C258" s="5" t="inlineStr">
        <is>
          <t>Orta</t>
        </is>
      </c>
      <c r="D258" s="6" t="inlineStr">
        <is>
          <t>İstatistiksel olarak bunların yüzde doksanı sen yokken kendi kendine çözüldü.</t>
        </is>
      </c>
      <c r="E258" s="6" t="inlineStr"/>
      <c r="F258" s="5" t="inlineStr"/>
    </row>
    <row r="259">
      <c r="A259" s="5" t="inlineStr">
        <is>
          <t>mb-eposta-yagmuru</t>
        </is>
      </c>
      <c r="B259" s="5" t="inlineStr">
        <is>
          <t>Dayanıklılık</t>
        </is>
      </c>
      <c r="C259" s="5" t="inlineStr">
        <is>
          <t>Kolay</t>
        </is>
      </c>
      <c r="D259" s="6" t="inlineStr">
        <is>
          <t>Bin dört yüz. Maraton da kırk iki kilometre. Adım adım.</t>
        </is>
      </c>
      <c r="E259" s="6" t="inlineStr"/>
      <c r="F259" s="5" t="inlineStr"/>
    </row>
    <row r="260">
      <c r="A260" s="5" t="inlineStr">
        <is>
          <t>me-kira-artisi</t>
        </is>
      </c>
      <c r="B260" s="5" t="inlineStr">
        <is>
          <t>Sosyal Radar</t>
        </is>
      </c>
      <c r="C260" s="5" t="inlineStr">
        <is>
          <t>Orta</t>
        </is>
      </c>
      <c r="D260" s="6" t="inlineStr">
        <is>
          <t>Dükkân sahibinin yeğeni kafe açmak istiyor. Bu köşe, 'tam kafe köşesi'.</t>
        </is>
      </c>
      <c r="E260" s="6" t="inlineStr"/>
      <c r="F260" s="5" t="inlineStr">
        <is>
          <t>E</t>
        </is>
      </c>
    </row>
    <row r="261">
      <c r="A261" s="5" t="inlineStr">
        <is>
          <t>me-kira-artisi</t>
        </is>
      </c>
      <c r="B261" s="5" t="inlineStr">
        <is>
          <t>Dayanıklılık</t>
        </is>
      </c>
      <c r="C261" s="5" t="inlineStr">
        <is>
          <t>Kolay</t>
        </is>
      </c>
      <c r="D261" s="6" t="inlineStr">
        <is>
          <t>Taşınmak bir maraton, kalmak da. Ayakkabılarını bağla.</t>
        </is>
      </c>
      <c r="E261" s="6" t="inlineStr"/>
      <c r="F261" s="5" t="inlineStr"/>
    </row>
    <row r="262">
      <c r="A262" s="5" t="inlineStr">
        <is>
          <t>mm-yeni-mudur</t>
        </is>
      </c>
      <c r="B262" s="5" t="inlineStr">
        <is>
          <t>Sosyal Radar</t>
        </is>
      </c>
      <c r="C262" s="5" t="inlineStr">
        <is>
          <t>Kolay</t>
        </is>
      </c>
      <c r="D262" s="6" t="inlineStr">
        <is>
          <t>Yeni müdür herkese 'Eski müdür nasıl biriydi?' diye soruyor. Doğru cevap yok. Sadece kayda geçen cevap var.</t>
        </is>
      </c>
      <c r="E262" s="6" t="inlineStr"/>
      <c r="F262" s="5" t="inlineStr"/>
    </row>
    <row r="263">
      <c r="A263" s="5" t="inlineStr">
        <is>
          <t>mm-yeni-mudur</t>
        </is>
      </c>
      <c r="B263" s="5" t="inlineStr">
        <is>
          <t>Pişkinlik</t>
        </is>
      </c>
      <c r="C263" s="5" t="inlineStr">
        <is>
          <t>Zor</t>
        </is>
      </c>
      <c r="D263" s="6" t="inlineStr">
        <is>
          <t>Kahve makinesini eski yerine koy. Liderlik sinyali verirsin. Ya da tayin sinyali.</t>
        </is>
      </c>
      <c r="E263" s="6" t="inlineStr"/>
      <c r="F263" s="5" t="inlineStr"/>
    </row>
    <row r="264">
      <c r="A264" s="5" t="inlineStr">
        <is>
          <t>b7-trafik-cezasi</t>
        </is>
      </c>
      <c r="B264" s="5" t="inlineStr">
        <is>
          <t>Kurnazlık</t>
        </is>
      </c>
      <c r="C264" s="5" t="inlineStr">
        <is>
          <t>Orta</t>
        </is>
      </c>
      <c r="D264" s="6" t="inlineStr">
        <is>
          <t>O kavşaktaki ışık dört saniye sarı yanıyor. Mahalle bunu bilir, kamera bilmez.</t>
        </is>
      </c>
      <c r="E264" s="6" t="inlineStr"/>
      <c r="F264" s="5" t="inlineStr"/>
    </row>
    <row r="265">
      <c r="A265" s="5" t="inlineStr">
        <is>
          <t>ms-fatura-kovalamaca</t>
        </is>
      </c>
      <c r="B265" s="5" t="inlineStr">
        <is>
          <t>Çene</t>
        </is>
      </c>
      <c r="C265" s="5" t="inlineStr">
        <is>
          <t>Orta</t>
        </is>
      </c>
      <c r="D265" s="6" t="inlineStr">
        <is>
          <t>Muhasebeden sorumlu kişinin doğum günü yarın. Kutlama mesajı atan kişinin telefonu açılır.</t>
        </is>
      </c>
      <c r="E265" s="6" t="inlineStr"/>
      <c r="F265" s="5" t="inlineStr">
        <is>
          <t>E</t>
        </is>
      </c>
    </row>
    <row r="266">
      <c r="A266" s="5" t="inlineStr">
        <is>
          <t>ms-fatura-kovalamaca</t>
        </is>
      </c>
      <c r="B266" s="5" t="inlineStr">
        <is>
          <t>Dayanıklılık</t>
        </is>
      </c>
      <c r="C266" s="5" t="inlineStr">
        <is>
          <t>Kolay</t>
        </is>
      </c>
      <c r="D266" s="6" t="inlineStr">
        <is>
          <t>Altmış gün. Doksan gün. Maratonda da en zor kısım son kilometre değil, ortası.</t>
        </is>
      </c>
      <c r="E266" s="6" t="inlineStr"/>
      <c r="F266" s="5" t="inlineStr"/>
    </row>
    <row r="267">
      <c r="A267" s="5" t="inlineStr">
        <is>
          <t>b7-araba-alma</t>
        </is>
      </c>
      <c r="B267" s="5" t="inlineStr">
        <is>
          <t>Kurnazlık</t>
        </is>
      </c>
      <c r="C267" s="5" t="inlineStr">
        <is>
          <t>Orta</t>
        </is>
      </c>
      <c r="D267" s="6" t="inlineStr">
        <is>
          <t>'Garaj arabası' diyor. Garajı görmek iste. Garaj yoksa, araba da tam olarak yok.</t>
        </is>
      </c>
      <c r="E267" s="6" t="inlineStr"/>
      <c r="F267" s="5" t="inlineStr"/>
    </row>
    <row r="268">
      <c r="A268" s="5" t="inlineStr">
        <is>
          <t>b7-araba-alma</t>
        </is>
      </c>
      <c r="B268" s="5" t="inlineStr">
        <is>
          <t>Cesaret</t>
        </is>
      </c>
      <c r="C268" s="5" t="inlineStr">
        <is>
          <t>Kolay</t>
        </is>
      </c>
      <c r="D268" s="6" t="inlineStr">
        <is>
          <t>Aracın da insanın da ne olduğu yokuşta anlaşılır, evlat.</t>
        </is>
      </c>
      <c r="E268" s="6" t="inlineStr"/>
      <c r="F268" s="5" t="inlineStr"/>
    </row>
    <row r="269">
      <c r="A269" s="5" t="inlineStr">
        <is>
          <t>b7-ne-zaman-evleneceksin</t>
        </is>
      </c>
      <c r="B269" s="5" t="inlineStr">
        <is>
          <t>Sosyal Radar</t>
        </is>
      </c>
      <c r="C269" s="5" t="inlineStr">
        <is>
          <t>Kolay</t>
        </is>
      </c>
      <c r="D269" s="6" t="inlineStr">
        <is>
          <t>Altı teyze, iki amca, bir de fotoğrafçı. Fotoğrafçı da soracak, hissediyorum.</t>
        </is>
      </c>
      <c r="E269" s="6" t="inlineStr"/>
      <c r="F269" s="5" t="inlineStr"/>
    </row>
    <row r="270">
      <c r="A270" s="5" t="inlineStr">
        <is>
          <t>b7-ne-zaman-evleneceksin</t>
        </is>
      </c>
      <c r="B270" s="5" t="inlineStr">
        <is>
          <t>İtibar</t>
        </is>
      </c>
      <c r="C270" s="5" t="inlineStr">
        <is>
          <t>Orta</t>
        </is>
      </c>
      <c r="D270" s="6" t="inlineStr">
        <is>
          <t>Onlar da seni sevdiklerinden soruyor, evladım. Çok sevdiklerinden. Fazla sevdiklerinden.</t>
        </is>
      </c>
      <c r="E270" s="6" t="inlineStr"/>
      <c r="F270" s="5" t="inlineStr"/>
    </row>
    <row r="271">
      <c r="A271" s="5" t="inlineStr">
        <is>
          <t>b7-flort-uygulamasi</t>
        </is>
      </c>
      <c r="B271" s="5" t="inlineStr">
        <is>
          <t>Sosyal Radar</t>
        </is>
      </c>
      <c r="C271" s="5" t="inlineStr">
        <is>
          <t>Orta</t>
        </is>
      </c>
      <c r="D271" s="6" t="inlineStr">
        <is>
          <t>Üç profil aynı dağın tepesinde çekilmiş fotoğraf koymuş. O dağ çok kalabalık olmalı.</t>
        </is>
      </c>
      <c r="E271" s="6" t="inlineStr"/>
      <c r="F271" s="5" t="inlineStr"/>
    </row>
    <row r="272">
      <c r="A272" s="5" t="inlineStr">
        <is>
          <t>b7-flort-uygulamasi</t>
        </is>
      </c>
      <c r="B272" s="5" t="inlineStr">
        <is>
          <t>Dayanıklılık</t>
        </is>
      </c>
      <c r="C272" s="5" t="inlineStr">
        <is>
          <t>Kolay</t>
        </is>
      </c>
      <c r="D272" s="6" t="inlineStr">
        <is>
          <t>Bu bir maraton, sprint değil. Ama maratonun sonunda kimse bekliyor mu, bilmiyoruz.</t>
        </is>
      </c>
      <c r="E272" s="6" t="inlineStr"/>
      <c r="F272" s="5" t="inlineStr"/>
    </row>
    <row r="273">
      <c r="A273" s="5" t="inlineStr">
        <is>
          <t>b7-evlilik-karari</t>
        </is>
      </c>
      <c r="B273" s="5" t="inlineStr">
        <is>
          <t>Sosyal Radar</t>
        </is>
      </c>
      <c r="C273" s="5" t="inlineStr">
        <is>
          <t>Orta</t>
        </is>
      </c>
      <c r="D273" s="6" t="inlineStr">
        <is>
          <t>Teyzenin çantasında bir fotoğraf var. Fotoğraftaki kişi de muhtemelen şu an bir sofrada “Eee?” sorusunu dinliyor.</t>
        </is>
      </c>
      <c r="E273" s="6" t="inlineStr"/>
      <c r="F273" s="5" t="inlineStr"/>
    </row>
    <row r="274">
      <c r="A274" s="5" t="inlineStr">
        <is>
          <t>b7-evlilik-karari</t>
        </is>
      </c>
      <c r="B274" s="5" t="inlineStr">
        <is>
          <t>İtibar</t>
        </is>
      </c>
      <c r="C274" s="5" t="inlineStr">
        <is>
          <t>Kolay</t>
        </is>
      </c>
      <c r="D274" s="6" t="inlineStr">
        <is>
          <t>Soruyu soran teyze değil aslında. Soruyu soran sofradaki boş sandalye.</t>
        </is>
      </c>
      <c r="E274" s="6" t="inlineStr"/>
      <c r="F274" s="5" t="inlineStr"/>
    </row>
    <row r="275">
      <c r="A275" s="5" t="inlineStr">
        <is>
          <t>mb-performans-karti</t>
        </is>
      </c>
      <c r="B275" s="5" t="inlineStr">
        <is>
          <t>Sosyal Radar</t>
        </is>
      </c>
      <c r="C275" s="5" t="inlineStr">
        <is>
          <t>Orta</t>
        </is>
      </c>
      <c r="D275" s="6" t="inlineStr">
        <is>
          <t>Yöneticinin ekranında puanlar çoktan girilmiş. Bu görüşme bir onay ekranı.</t>
        </is>
      </c>
      <c r="E275" s="6" t="inlineStr"/>
      <c r="F275" s="5" t="inlineStr">
        <is>
          <t>E</t>
        </is>
      </c>
    </row>
    <row r="276">
      <c r="A276" s="5" t="inlineStr">
        <is>
          <t>mb-performans-karti</t>
        </is>
      </c>
      <c r="B276" s="5" t="inlineStr">
        <is>
          <t>Akıl</t>
        </is>
      </c>
      <c r="C276" s="5" t="inlineStr">
        <is>
          <t>Zor</t>
        </is>
      </c>
      <c r="D276" s="6" t="inlineStr">
        <is>
          <t>'Çeviklik' kelimesi bu belgede on dört kez geçiyor. Belge üç yıldır aynı.</t>
        </is>
      </c>
      <c r="E276" s="6" t="inlineStr"/>
      <c r="F276" s="5" t="inlineStr"/>
    </row>
    <row r="277">
      <c r="A277" s="5" t="inlineStr">
        <is>
          <t>me-zabita-denetimi</t>
        </is>
      </c>
      <c r="B277" s="5" t="inlineStr">
        <is>
          <t>Kurnazlık</t>
        </is>
      </c>
      <c r="C277" s="5" t="inlineStr">
        <is>
          <t>Orta</t>
        </is>
      </c>
      <c r="D277" s="6" t="inlineStr">
        <is>
          <t>Denetim sokağın başından başladı. Kasaları içeri almak için dört dükkânlık vaktin var.</t>
        </is>
      </c>
      <c r="E277" s="6" t="inlineStr"/>
      <c r="F277" s="5" t="inlineStr"/>
    </row>
    <row r="278">
      <c r="A278" s="5" t="inlineStr">
        <is>
          <t>me-zabita-denetimi</t>
        </is>
      </c>
      <c r="B278" s="5" t="inlineStr">
        <is>
          <t>İtibar</t>
        </is>
      </c>
      <c r="C278" s="5" t="inlineStr">
        <is>
          <t>Kolay</t>
        </is>
      </c>
      <c r="D278" s="6" t="inlineStr">
        <is>
          <t>Tabelan gerçekten yola taşıyor. Geçen hafta bir bisikletli sana selam verdi; kafasıyla.</t>
        </is>
      </c>
      <c r="E278" s="6" t="inlineStr"/>
      <c r="F278" s="5" t="inlineStr"/>
    </row>
    <row r="279">
      <c r="A279" s="5" t="inlineStr">
        <is>
          <t>b7-dugun-takilari</t>
        </is>
      </c>
      <c r="B279" s="5" t="inlineStr">
        <is>
          <t>Sosyal Radar</t>
        </is>
      </c>
      <c r="C279" s="5" t="inlineStr">
        <is>
          <t>Orta</t>
        </is>
      </c>
      <c r="D279" s="6" t="inlineStr">
        <is>
          <t>Üçüncü sıradaki teyze çeyrek yerine yarım getirmiş. Yarın herkes bunu konuşacak.</t>
        </is>
      </c>
      <c r="E279" s="6" t="inlineStr"/>
      <c r="F279" s="5" t="inlineStr"/>
    </row>
    <row r="280">
      <c r="A280" s="5" t="inlineStr">
        <is>
          <t>b7-dugun-takilari</t>
        </is>
      </c>
      <c r="B280" s="5" t="inlineStr">
        <is>
          <t>Kurnazlık</t>
        </is>
      </c>
      <c r="C280" s="5" t="inlineStr">
        <is>
          <t>Kolay</t>
        </is>
      </c>
      <c r="D280" s="6" t="inlineStr">
        <is>
          <t>Takıyı iğneyle değil, hızlı elle al. Bu merasimde yavaş olan kaybeder.</t>
        </is>
      </c>
      <c r="E280" s="6" t="inlineStr"/>
      <c r="F280" s="5" t="inlineStr"/>
    </row>
    <row r="281">
      <c r="A281" s="5" t="inlineStr">
        <is>
          <t>b7-balayi</t>
        </is>
      </c>
      <c r="B281" s="5" t="inlineStr">
        <is>
          <t>Pişkinlik</t>
        </is>
      </c>
      <c r="C281" s="5" t="inlineStr">
        <is>
          <t>Kolay</t>
        </is>
      </c>
      <c r="D281" s="6" t="inlineStr">
        <is>
          <t>Balayındasın! Herkese söyle. Resepsiyona söyle. Garsona söyle. Bedava tatlı söylenmeden gelmez.</t>
        </is>
      </c>
      <c r="E281" s="6" t="inlineStr"/>
      <c r="F281" s="5" t="inlineStr"/>
    </row>
    <row r="282">
      <c r="A282" s="5" t="inlineStr">
        <is>
          <t>b7-balayi</t>
        </is>
      </c>
      <c r="B282" s="5" t="inlineStr">
        <is>
          <t>Akıl</t>
        </is>
      </c>
      <c r="C282" s="5" t="inlineStr">
        <is>
          <t>Orta</t>
        </is>
      </c>
      <c r="D282" s="6" t="inlineStr">
        <is>
          <t>Her şey dahil ifadesinin kapsamı, içecek menüsünün küçük harflerinde tanımlanmıştır.</t>
        </is>
      </c>
      <c r="E282" s="6" t="inlineStr"/>
      <c r="F282" s="5" t="inlineStr"/>
    </row>
    <row r="283">
      <c r="A283" s="5" t="inlineStr">
        <is>
          <t>ms-acilis-gecesi</t>
        </is>
      </c>
      <c r="B283" s="5" t="inlineStr">
        <is>
          <t>Sosyal Radar</t>
        </is>
      </c>
      <c r="C283" s="5" t="inlineStr">
        <is>
          <t>Kolay</t>
        </is>
      </c>
      <c r="D283" s="6" t="inlineStr">
        <is>
          <t>Kurye paketi kime bırakacağını soruyor. Ona eser sat.</t>
        </is>
      </c>
      <c r="E283" s="6" t="inlineStr"/>
      <c r="F283" s="5" t="inlineStr"/>
    </row>
    <row r="284">
      <c r="A284" s="5" t="inlineStr">
        <is>
          <t>ms-acilis-gecesi</t>
        </is>
      </c>
      <c r="B284" s="5" t="inlineStr">
        <is>
          <t>Cesaret</t>
        </is>
      </c>
      <c r="C284" s="5" t="inlineStr">
        <is>
          <t>Orta</t>
        </is>
      </c>
      <c r="D284" s="6" t="inlineStr">
        <is>
          <t>Sahne boş değil. Üç kişi var. Birinin elinde kargo var ama olsun.</t>
        </is>
      </c>
      <c r="E284" s="6" t="inlineStr"/>
      <c r="F284" s="5" t="inlineStr"/>
    </row>
    <row r="285">
      <c r="A285" s="5" t="inlineStr">
        <is>
          <t>b7-bulasik-makinesi</t>
        </is>
      </c>
      <c r="B285" s="5" t="inlineStr">
        <is>
          <t>Akıl</t>
        </is>
      </c>
      <c r="C285" s="5" t="inlineStr">
        <is>
          <t>Orta</t>
        </is>
      </c>
      <c r="D285" s="6" t="inlineStr">
        <is>
          <t>Bu kavga bulaşıkla ilgili değil. Kontrol duygusuyla ilgili. Ama tencereyi yine de alta koyarız.</t>
        </is>
      </c>
      <c r="E285" s="6" t="inlineStr"/>
      <c r="F285" s="5" t="inlineStr">
        <is>
          <t>E</t>
        </is>
      </c>
    </row>
    <row r="286">
      <c r="A286" s="5" t="inlineStr">
        <is>
          <t>b7-bulasik-makinesi</t>
        </is>
      </c>
      <c r="B286" s="5" t="inlineStr">
        <is>
          <t>İtibar</t>
        </is>
      </c>
      <c r="C286" s="5" t="inlineStr">
        <is>
          <t>Kolay</t>
        </is>
      </c>
      <c r="D286" s="6" t="inlineStr">
        <is>
          <t>Kırk yıl birlikte yaşayanlara sor, evladım. Hepsi hâlâ bu konuda küs.</t>
        </is>
      </c>
      <c r="E286" s="6" t="inlineStr"/>
      <c r="F286" s="5" t="inlineStr"/>
    </row>
    <row r="287">
      <c r="A287" s="5" t="inlineStr">
        <is>
          <t>mm-sistem-coktu</t>
        </is>
      </c>
      <c r="B287" s="5" t="inlineStr">
        <is>
          <t>Akıl</t>
        </is>
      </c>
      <c r="C287" s="5" t="inlineStr">
        <is>
          <t>Orta</t>
        </is>
      </c>
      <c r="D287" s="6" t="inlineStr">
        <is>
          <t>Sistem çöktüğünde her şey kâğıda döner. Kâğıt çökmez. Sadece kaybolur.</t>
        </is>
      </c>
      <c r="E287" s="6" t="inlineStr"/>
      <c r="F287" s="5" t="inlineStr"/>
    </row>
    <row r="288">
      <c r="A288" s="5" t="inlineStr">
        <is>
          <t>b7-kayinvalide</t>
        </is>
      </c>
      <c r="B288" s="5" t="inlineStr">
        <is>
          <t>Sosyal Radar</t>
        </is>
      </c>
      <c r="C288" s="5" t="inlineStr">
        <is>
          <t>Orta</t>
        </is>
      </c>
      <c r="D288" s="6" t="inlineStr">
        <is>
          <t>Hmm tuzla ilgili değil. Menemeni kendi çocuğu değil, sen yaptın; mesele bu.</t>
        </is>
      </c>
      <c r="E288" s="6" t="inlineStr"/>
      <c r="F288" s="5" t="inlineStr">
        <is>
          <t>E</t>
        </is>
      </c>
    </row>
    <row r="289">
      <c r="A289" s="5" t="inlineStr">
        <is>
          <t>b7-kayinvalide</t>
        </is>
      </c>
      <c r="B289" s="5" t="inlineStr">
        <is>
          <t>Dayanıklılık</t>
        </is>
      </c>
      <c r="C289" s="5" t="inlineStr">
        <is>
          <t>Kolay</t>
        </is>
      </c>
      <c r="D289" s="6" t="inlineStr">
        <is>
          <t>Kahvaltı dört saat sürecek. Tempo koru, ikinci çayda çökme.</t>
        </is>
      </c>
      <c r="E289" s="6" t="inlineStr"/>
      <c r="F289" s="5" t="inlineStr"/>
    </row>
    <row r="290">
      <c r="A290" s="5" t="inlineStr">
        <is>
          <t>b7-akraba-tanisma</t>
        </is>
      </c>
      <c r="B290" s="5" t="inlineStr">
        <is>
          <t>Sosyal Radar</t>
        </is>
      </c>
      <c r="C290" s="5" t="inlineStr">
        <is>
          <t>Orta</t>
        </is>
      </c>
      <c r="D290" s="6" t="inlineStr">
        <is>
          <t>Karşındaki de bu masaya zorla getirilmiş. Sağ ayağı kapıya dönük.</t>
        </is>
      </c>
      <c r="E290" s="6" t="inlineStr"/>
      <c r="F290" s="5" t="inlineStr">
        <is>
          <t>E</t>
        </is>
      </c>
    </row>
    <row r="291">
      <c r="A291" s="5" t="inlineStr">
        <is>
          <t>b7-akraba-tanisma</t>
        </is>
      </c>
      <c r="B291" s="5" t="inlineStr">
        <is>
          <t>Pişkinlik</t>
        </is>
      </c>
      <c r="C291" s="5" t="inlineStr">
        <is>
          <t>Kolay</t>
        </is>
      </c>
      <c r="D291" s="6" t="inlineStr">
        <is>
          <t>Bir daha davet edilmemek de bir kazanımdır. Performansını buna göre ayarla.</t>
        </is>
      </c>
      <c r="E291" s="6" t="inlineStr"/>
      <c r="F291" s="5" t="inlineStr"/>
    </row>
    <row r="292">
      <c r="A292" s="5" t="inlineStr">
        <is>
          <t>b7-ortak-hesap</t>
        </is>
      </c>
      <c r="B292" s="5" t="inlineStr">
        <is>
          <t>Kurnazlık</t>
        </is>
      </c>
      <c r="C292" s="5" t="inlineStr">
        <is>
          <t>Orta</t>
        </is>
      </c>
      <c r="D292" s="6" t="inlineStr">
        <is>
          <t>Her ortak hesabın bir de 'ortak olmayan' kuzeni vardır, evlat.</t>
        </is>
      </c>
      <c r="E292" s="6" t="inlineStr"/>
      <c r="F292" s="5" t="inlineStr"/>
    </row>
    <row r="293">
      <c r="A293" s="5" t="inlineStr">
        <is>
          <t>b7-ortak-hesap</t>
        </is>
      </c>
      <c r="B293" s="5" t="inlineStr">
        <is>
          <t>Akıl</t>
        </is>
      </c>
      <c r="C293" s="5" t="inlineStr">
        <is>
          <t>Kolay</t>
        </is>
      </c>
      <c r="D293" s="6" t="inlineStr">
        <is>
          <t>İstatistiksel olarak evliliklerdeki kavgaların çoğu parayla başlar. Geri kalanı bulaşıkla.</t>
        </is>
      </c>
      <c r="E293" s="6" t="inlineStr"/>
      <c r="F293" s="5" t="inlineStr"/>
    </row>
    <row r="294">
      <c r="A294" s="5" t="inlineStr">
        <is>
          <t>b7-spor-salonu</t>
        </is>
      </c>
      <c r="B294" s="5" t="inlineStr">
        <is>
          <t>Dayanıklılık</t>
        </is>
      </c>
      <c r="C294" s="5" t="inlineStr">
        <is>
          <t>Orta</t>
        </is>
      </c>
      <c r="D294" s="6" t="inlineStr">
        <is>
          <t>Komşu olarak söylüyorum: yıllık üyeliği alan değil, şubatta giden kazanır.</t>
        </is>
      </c>
      <c r="E294" s="6" t="inlineStr"/>
      <c r="F294" s="5" t="inlineStr"/>
    </row>
    <row r="295">
      <c r="A295" s="5" t="inlineStr">
        <is>
          <t>b7-spor-salonu</t>
        </is>
      </c>
      <c r="B295" s="5" t="inlineStr">
        <is>
          <t>Akıl</t>
        </is>
      </c>
      <c r="C295" s="5" t="inlineStr">
        <is>
          <t>Kolay</t>
        </is>
      </c>
      <c r="D295" s="6" t="inlineStr">
        <is>
          <t>Salonların iş modeli gelmeyeceğine güvendikleri üyeler üzerine kuruludur. Kendini bu modele bağışla ya da bağışlama.</t>
        </is>
      </c>
      <c r="E295" s="6" t="inlineStr"/>
      <c r="F295" s="5" t="inlineStr"/>
    </row>
    <row r="296">
      <c r="A296" s="5" t="inlineStr">
        <is>
          <t>ms-viral</t>
        </is>
      </c>
      <c r="B296" s="5" t="inlineStr">
        <is>
          <t>Sosyal Radar</t>
        </is>
      </c>
      <c r="C296" s="5" t="inlineStr">
        <is>
          <t>Orta</t>
        </is>
      </c>
      <c r="D296" s="6" t="inlineStr">
        <is>
          <t>İlk yorumu yapanların yarısı kuzenin. Diğer yarısı kuzeninin ikinci hesabı.</t>
        </is>
      </c>
      <c r="E296" s="6" t="inlineStr"/>
      <c r="F296" s="5" t="inlineStr"/>
    </row>
    <row r="297">
      <c r="A297" s="5" t="inlineStr">
        <is>
          <t>ms-viral</t>
        </is>
      </c>
      <c r="B297" s="5" t="inlineStr">
        <is>
          <t>Pişkinlik</t>
        </is>
      </c>
      <c r="C297" s="5" t="inlineStr">
        <is>
          <t>Kolay</t>
        </is>
      </c>
      <c r="D297" s="6" t="inlineStr">
        <is>
          <t>İki milyon kişi seni izledi. İkisi para verir mi, bilinmez.</t>
        </is>
      </c>
      <c r="E297" s="6" t="inlineStr"/>
      <c r="F297" s="5" t="inlineStr"/>
    </row>
    <row r="298">
      <c r="A298" s="5" t="inlineStr">
        <is>
          <t>b7-cocuk-karari</t>
        </is>
      </c>
      <c r="B298" s="5" t="inlineStr">
        <is>
          <t>İtibar</t>
        </is>
      </c>
      <c r="C298" s="5" t="inlineStr">
        <is>
          <t>Orta</t>
        </is>
      </c>
      <c r="D298" s="6" t="inlineStr">
        <is>
          <t>Hiç kimse tam hazır olmaz, evladım. Ben dördünü de hazır olmadan büyüttüm.</t>
        </is>
      </c>
      <c r="E298" s="6" t="inlineStr"/>
      <c r="F298" s="5" t="inlineStr"/>
    </row>
    <row r="299">
      <c r="A299" s="5" t="inlineStr">
        <is>
          <t>b7-cocuk-karari</t>
        </is>
      </c>
      <c r="B299" s="5" t="inlineStr">
        <is>
          <t>Akıl</t>
        </is>
      </c>
      <c r="C299" s="5" t="inlineStr">
        <is>
          <t>Kolay</t>
        </is>
      </c>
      <c r="D299" s="6" t="inlineStr">
        <is>
          <t>Bez, mama, kreş, okul, üniversite. Bir de 'harçlık' diye adı konmamış bir kalem var.</t>
        </is>
      </c>
      <c r="E299" s="6" t="inlineStr"/>
      <c r="F299" s="5" t="inlineStr"/>
    </row>
    <row r="300">
      <c r="A300" s="5" t="inlineStr">
        <is>
          <t>me-kasa-ve-pos</t>
        </is>
      </c>
      <c r="B300" s="5" t="inlineStr">
        <is>
          <t>Akıl</t>
        </is>
      </c>
      <c r="C300" s="5" t="inlineStr">
        <is>
          <t>Zor</t>
        </is>
      </c>
      <c r="D300" s="6" t="inlineStr">
        <is>
          <t>Nakit kasaya gider, kart hesaba gider, bozukluk ise buzdolabının altına.</t>
        </is>
      </c>
      <c r="E300" s="6" t="inlineStr"/>
      <c r="F300" s="5" t="inlineStr"/>
    </row>
    <row r="301">
      <c r="A301" s="5" t="inlineStr">
        <is>
          <t>me-kasa-ve-pos</t>
        </is>
      </c>
      <c r="B301" s="5" t="inlineStr">
        <is>
          <t>Pişkinlik</t>
        </is>
      </c>
      <c r="C301" s="5" t="inlineStr">
        <is>
          <t>Orta</t>
        </is>
      </c>
      <c r="D301" s="6" t="inlineStr">
        <is>
          <t>Esnaf yerde para toplarken bile gülümser. Kameraya değil, müşteriye.</t>
        </is>
      </c>
      <c r="E301" s="6" t="inlineStr"/>
      <c r="F301" s="5" t="inlineStr"/>
    </row>
    <row r="302">
      <c r="A302" s="5" t="inlineStr">
        <is>
          <t>b7-tek-kisilik-tatil</t>
        </is>
      </c>
      <c r="B302" s="5" t="inlineStr">
        <is>
          <t>Cesaret</t>
        </is>
      </c>
      <c r="C302" s="5" t="inlineStr">
        <is>
          <t>Kolay</t>
        </is>
      </c>
      <c r="D302" s="6" t="inlineStr">
        <is>
          <t>Tek başına yola çıkan, kimseyi beklemek zorunda kalmaz, evlat.</t>
        </is>
      </c>
      <c r="E302" s="6" t="inlineStr"/>
      <c r="F302" s="5" t="inlineStr"/>
    </row>
    <row r="303">
      <c r="A303" s="5" t="inlineStr">
        <is>
          <t>b7-tek-kisilik-tatil</t>
        </is>
      </c>
      <c r="B303" s="5" t="inlineStr">
        <is>
          <t>Sosyal Radar</t>
        </is>
      </c>
      <c r="C303" s="5" t="inlineStr">
        <is>
          <t>Orta</t>
        </is>
      </c>
      <c r="D303" s="6" t="inlineStr">
        <is>
          <t>Arkadaki çift de az önce tartıştı. Kaç kişi olduğun onları senden daha çok düşündürüyor.</t>
        </is>
      </c>
      <c r="E303" s="6" t="inlineStr"/>
      <c r="F303" s="5" t="inlineStr"/>
    </row>
    <row r="304">
      <c r="A304" s="5" t="inlineStr">
        <is>
          <t>mb-terfi-yarisi</t>
        </is>
      </c>
      <c r="B304" s="5" t="inlineStr">
        <is>
          <t>Cesaret</t>
        </is>
      </c>
      <c r="C304" s="5" t="inlineStr">
        <is>
          <t>Orta</t>
        </is>
      </c>
      <c r="D304" s="6" t="inlineStr">
        <is>
          <t>Slaytlar hazır. Ellerin terliyorsa kumandayı sıkı tut.</t>
        </is>
      </c>
      <c r="E304" s="6" t="inlineStr"/>
      <c r="F304" s="5" t="inlineStr"/>
    </row>
    <row r="305">
      <c r="A305" s="5" t="inlineStr">
        <is>
          <t>mb-terfi-yarisi</t>
        </is>
      </c>
      <c r="B305" s="5" t="inlineStr">
        <is>
          <t>İtibar</t>
        </is>
      </c>
      <c r="C305" s="5" t="inlineStr">
        <is>
          <t>Kolay</t>
        </is>
      </c>
      <c r="D305" s="6" t="inlineStr">
        <is>
          <t>Rakibinin masasında iki çocuk fotoğrafı var. Seninkinde bir bitki. O da kurudu.</t>
        </is>
      </c>
      <c r="E305" s="6" t="inlineStr"/>
      <c r="F305" s="5" t="inlineStr"/>
    </row>
    <row r="306">
      <c r="A306" s="5" t="inlineStr">
        <is>
          <t>mm-lojman-kurasi</t>
        </is>
      </c>
      <c r="B306" s="5" t="inlineStr">
        <is>
          <t>Kurnazlık</t>
        </is>
      </c>
      <c r="C306" s="5" t="inlineStr">
        <is>
          <t>Orta</t>
        </is>
      </c>
      <c r="D306" s="6" t="inlineStr">
        <is>
          <t>Müdürün alt katı kaloriferli ama bedava değil. Bedeli sessizlik.</t>
        </is>
      </c>
      <c r="E306" s="6" t="inlineStr"/>
      <c r="F306" s="5" t="inlineStr"/>
    </row>
    <row r="307">
      <c r="A307" s="5" t="inlineStr">
        <is>
          <t>mm-lojman-kurasi</t>
        </is>
      </c>
      <c r="B307" s="5" t="inlineStr">
        <is>
          <t>Sosyal Radar</t>
        </is>
      </c>
      <c r="C307" s="5" t="inlineStr">
        <is>
          <t>Zor</t>
        </is>
      </c>
      <c r="D307" s="6" t="inlineStr">
        <is>
          <t>Kura torbası müdürün sekreterinde. Sekreterin kızı da lojman istiyor.</t>
        </is>
      </c>
      <c r="E307" s="6" t="inlineStr"/>
      <c r="F307" s="5" t="inlineStr"/>
    </row>
    <row r="308">
      <c r="A308" s="5" t="inlineStr">
        <is>
          <t>b7-bayram-rotasi</t>
        </is>
      </c>
      <c r="B308" s="5" t="inlineStr">
        <is>
          <t>Sosyal Radar</t>
        </is>
      </c>
      <c r="C308" s="5" t="inlineStr">
        <is>
          <t>Orta</t>
        </is>
      </c>
      <c r="D308" s="6" t="inlineStr">
        <is>
          <t>Geçen bayram eşinin ailesindeydiniz. Annen bunu 'şaka yollu' dört kez hatırlattı.</t>
        </is>
      </c>
      <c r="E308" s="6" t="inlineStr"/>
      <c r="F308" s="5" t="inlineStr"/>
    </row>
    <row r="309">
      <c r="A309" s="5" t="inlineStr">
        <is>
          <t>b7-bayram-rotasi</t>
        </is>
      </c>
      <c r="B309" s="5" t="inlineStr">
        <is>
          <t>Akıl</t>
        </is>
      </c>
      <c r="C309" s="5" t="inlineStr">
        <is>
          <t>Kolay</t>
        </is>
      </c>
      <c r="D309" s="6" t="inlineStr">
        <is>
          <t>Bu klasik bir sıfır toplamlı oyun. Kazanan tek taraf otoyol işletmesi.</t>
        </is>
      </c>
      <c r="E309" s="6" t="inlineStr"/>
      <c r="F309" s="5" t="inlineStr"/>
    </row>
    <row r="310">
      <c r="A310" s="5" t="inlineStr">
        <is>
          <t>b7-uykusuz-geceler</t>
        </is>
      </c>
      <c r="B310" s="5" t="inlineStr">
        <is>
          <t>Dayanıklılık</t>
        </is>
      </c>
      <c r="C310" s="5" t="inlineStr">
        <is>
          <t>Orta</t>
        </is>
      </c>
      <c r="D310" s="6" t="inlineStr">
        <is>
          <t>İlk üç ay en zoru. Sonra ikinci üç ay gelir. Sonra... koşmaya devam.</t>
        </is>
      </c>
      <c r="E310" s="6" t="inlineStr"/>
      <c r="F310" s="5" t="inlineStr"/>
    </row>
    <row r="311">
      <c r="A311" s="5" t="inlineStr">
        <is>
          <t>b7-uykusuz-geceler</t>
        </is>
      </c>
      <c r="B311" s="5" t="inlineStr">
        <is>
          <t>İtibar</t>
        </is>
      </c>
      <c r="C311" s="5" t="inlineStr">
        <is>
          <t>Kolay</t>
        </is>
      </c>
      <c r="D311" s="6" t="inlineStr">
        <is>
          <t>Seni de böyle uyuttular evladım. Bir teşekkür mesajı at. Sabah. Uyanınca.</t>
        </is>
      </c>
      <c r="E311" s="6" t="inlineStr"/>
      <c r="F311" s="5" t="inlineStr"/>
    </row>
    <row r="312">
      <c r="A312" s="5" t="inlineStr">
        <is>
          <t>b7-site-toplantisi</t>
        </is>
      </c>
      <c r="B312" s="5" t="inlineStr">
        <is>
          <t>Sosyal Radar</t>
        </is>
      </c>
      <c r="C312" s="5" t="inlineStr">
        <is>
          <t>Orta</t>
        </is>
      </c>
      <c r="D312" s="6" t="inlineStr">
        <is>
          <t>Yönetici ile 2 numara arasında eski bir otopark davası var. Bütün toplantı aslında o.</t>
        </is>
      </c>
      <c r="E312" s="6" t="inlineStr"/>
      <c r="F312" s="5" t="inlineStr"/>
    </row>
    <row r="313">
      <c r="A313" s="5" t="inlineStr">
        <is>
          <t>b7-site-toplantisi</t>
        </is>
      </c>
      <c r="B313" s="5" t="inlineStr">
        <is>
          <t>Dayanıklılık</t>
        </is>
      </c>
      <c r="C313" s="5" t="inlineStr">
        <is>
          <t>Kolay</t>
        </is>
      </c>
      <c r="D313" s="6" t="inlineStr">
        <is>
          <t>Su şişeni al. Bu toplantıların üçüncü saati, maratonun son kilometresidir.</t>
        </is>
      </c>
      <c r="E313" s="6" t="inlineStr"/>
      <c r="F313" s="5" t="inlineStr"/>
    </row>
    <row r="314">
      <c r="A314" s="5" t="inlineStr">
        <is>
          <t>ms-yapay-zeka-rakip</t>
        </is>
      </c>
      <c r="B314" s="5" t="inlineStr">
        <is>
          <t>Akıl</t>
        </is>
      </c>
      <c r="C314" s="5" t="inlineStr">
        <is>
          <t>Orta</t>
        </is>
      </c>
      <c r="D314" s="6" t="inlineStr">
        <is>
          <t>Yapay zekânın çizdiği logoda şirketin adı üç farklı biçimde yazılmış.</t>
        </is>
      </c>
      <c r="E314" s="6" t="inlineStr"/>
      <c r="F314" s="5" t="inlineStr">
        <is>
          <t>E</t>
        </is>
      </c>
    </row>
    <row r="315">
      <c r="A315" s="5" t="inlineStr">
        <is>
          <t>ms-yapay-zeka-rakip</t>
        </is>
      </c>
      <c r="B315" s="5" t="inlineStr">
        <is>
          <t>İtibar</t>
        </is>
      </c>
      <c r="C315" s="5" t="inlineStr">
        <is>
          <t>Kolay</t>
        </is>
      </c>
      <c r="D315" s="6" t="inlineStr">
        <is>
          <t>O el kimin eli, bilinmez. Ama senin elin beş parmaklı ve kira ödüyor.</t>
        </is>
      </c>
      <c r="E315" s="6" t="inlineStr"/>
      <c r="F315" s="5" t="inlineStr"/>
    </row>
    <row r="316">
      <c r="A316" s="5" t="inlineStr">
        <is>
          <t>b7-ilk-kelime</t>
        </is>
      </c>
      <c r="B316" s="5" t="inlineStr">
        <is>
          <t>Sosyal Radar</t>
        </is>
      </c>
      <c r="C316" s="5" t="inlineStr">
        <is>
          <t>Kolay</t>
        </is>
      </c>
      <c r="D316" s="6" t="inlineStr">
        <is>
          <t>Kayınvalide 'anneanne' demesini umuyor. Annen de. Bu bir finaldir.</t>
        </is>
      </c>
      <c r="E316" s="6" t="inlineStr"/>
      <c r="F316" s="5" t="inlineStr"/>
    </row>
    <row r="317">
      <c r="A317" s="5" t="inlineStr">
        <is>
          <t>b7-ilk-kelime</t>
        </is>
      </c>
      <c r="B317" s="5" t="inlineStr">
        <is>
          <t>Pişkinlik</t>
        </is>
      </c>
      <c r="C317" s="5" t="inlineStr">
        <is>
          <t>Orta</t>
        </is>
      </c>
      <c r="D317" s="6" t="inlineStr">
        <is>
          <t>Kameralar hazır. İlk kelime ne olursa olsun, sunum senin. Gülümse.</t>
        </is>
      </c>
      <c r="E317" s="6" t="inlineStr"/>
      <c r="F317" s="5" t="inlineStr"/>
    </row>
    <row r="318">
      <c r="A318" s="5" t="inlineStr">
        <is>
          <t>b7-cocuklu-dogum-gunu</t>
        </is>
      </c>
      <c r="B318" s="5" t="inlineStr">
        <is>
          <t>Sosyal Radar</t>
        </is>
      </c>
      <c r="C318" s="5" t="inlineStr">
        <is>
          <t>Orta</t>
        </is>
      </c>
      <c r="D318" s="6" t="inlineStr">
        <is>
          <t>Palyaço da bekâr. Göz göze geldiniz. Bir dayanışma hissettin.</t>
        </is>
      </c>
      <c r="E318" s="6" t="inlineStr"/>
      <c r="F318" s="5" t="inlineStr"/>
    </row>
    <row r="319">
      <c r="A319" s="5" t="inlineStr">
        <is>
          <t>b7-cocuklu-dogum-gunu</t>
        </is>
      </c>
      <c r="B319" s="5" t="inlineStr">
        <is>
          <t>İtibar</t>
        </is>
      </c>
      <c r="C319" s="5" t="inlineStr">
        <is>
          <t>Kolay</t>
        </is>
      </c>
      <c r="D319" s="6" t="inlineStr">
        <is>
          <t>Hediye paketini kendin sar, evladım. Hazır poşet belli oluyor.</t>
        </is>
      </c>
      <c r="E319" s="6" t="inlineStr"/>
      <c r="F319" s="5" t="inlineStr"/>
    </row>
    <row r="320">
      <c r="A320" s="5" t="inlineStr">
        <is>
          <t>b7-ev-esyasi</t>
        </is>
      </c>
      <c r="B320" s="5" t="inlineStr">
        <is>
          <t>Sosyal Radar</t>
        </is>
      </c>
      <c r="C320" s="5" t="inlineStr">
        <is>
          <t>Kolay</t>
        </is>
      </c>
      <c r="D320" s="6" t="inlineStr">
        <is>
          <t>Bu koltuk kavgası değil. Kimin evinin bu olduğu kavgası.</t>
        </is>
      </c>
      <c r="E320" s="6" t="inlineStr"/>
      <c r="F320" s="5" t="inlineStr"/>
    </row>
    <row r="321">
      <c r="A321" s="5" t="inlineStr">
        <is>
          <t>b7-ev-esyasi</t>
        </is>
      </c>
      <c r="B321" s="5" t="inlineStr">
        <is>
          <t>Akıl</t>
        </is>
      </c>
      <c r="C321" s="5" t="inlineStr">
        <is>
          <t>Orta</t>
        </is>
      </c>
      <c r="D321" s="6" t="inlineStr">
        <is>
          <t>Koltuk, bir evin en uzun süre değiştirilmeyen eşyasıdır. Bir evlilikten uzun sürdüğü de görülmüştür.</t>
        </is>
      </c>
      <c r="E321" s="6" t="inlineStr"/>
      <c r="F321" s="5" t="inlineStr"/>
    </row>
    <row r="322">
      <c r="A322" s="5" t="inlineStr">
        <is>
          <t>mb-yillik-izin</t>
        </is>
      </c>
      <c r="B322" s="5" t="inlineStr">
        <is>
          <t>Sosyal Radar</t>
        </is>
      </c>
      <c r="C322" s="5" t="inlineStr">
        <is>
          <t>Orta</t>
        </is>
      </c>
      <c r="D322" s="6" t="inlineStr">
        <is>
          <t>Yöneticinin kendi izni daha girilmemiş. Önce onun tarihini öğren.</t>
        </is>
      </c>
      <c r="E322" s="6" t="inlineStr"/>
      <c r="F322" s="5" t="inlineStr">
        <is>
          <t>E</t>
        </is>
      </c>
    </row>
    <row r="323">
      <c r="A323" s="5" t="inlineStr">
        <is>
          <t>me-cirak</t>
        </is>
      </c>
      <c r="B323" s="5" t="inlineStr">
        <is>
          <t>İtibar</t>
        </is>
      </c>
      <c r="C323" s="5" t="inlineStr">
        <is>
          <t>Kolay</t>
        </is>
      </c>
      <c r="D323" s="6" t="inlineStr">
        <is>
          <t>Sen de bir zamanlar birinin kapısında durdun. O kapı açılmasaydı bu tezgâh olmazdı.</t>
        </is>
      </c>
      <c r="E323" s="6" t="inlineStr"/>
      <c r="F323" s="5" t="inlineStr"/>
    </row>
    <row r="324">
      <c r="A324" s="5" t="inlineStr">
        <is>
          <t>me-cirak</t>
        </is>
      </c>
      <c r="B324" s="5" t="inlineStr">
        <is>
          <t>Sosyal Radar</t>
        </is>
      </c>
      <c r="C324" s="5" t="inlineStr">
        <is>
          <t>Zor</t>
        </is>
      </c>
      <c r="D324" s="6" t="inlineStr">
        <is>
          <t>Telefonu hep elinde ama girer girmez vitrindeki üç yanlış etiketi gördü.</t>
        </is>
      </c>
      <c r="E324" s="6" t="inlineStr"/>
      <c r="F324" s="5" t="inlineStr">
        <is>
          <t>E</t>
        </is>
      </c>
    </row>
    <row r="325">
      <c r="A325" s="5" t="inlineStr">
        <is>
          <t>b7-ev-kredisi</t>
        </is>
      </c>
      <c r="B325" s="5" t="inlineStr">
        <is>
          <t>Kurnazlık</t>
        </is>
      </c>
      <c r="C325" s="5" t="inlineStr">
        <is>
          <t>Orta</t>
        </is>
      </c>
      <c r="D325" s="6" t="inlineStr">
        <is>
          <t>Bu temsilcinin aylık hedefi var ve ayın 28'i. Sıkıştırırsan esner.</t>
        </is>
      </c>
      <c r="E325" s="6" t="inlineStr"/>
      <c r="F325" s="5" t="inlineStr">
        <is>
          <t>E</t>
        </is>
      </c>
    </row>
    <row r="326">
      <c r="A326" s="5" t="inlineStr">
        <is>
          <t>b7-ev-kredisi</t>
        </is>
      </c>
      <c r="B326" s="5" t="inlineStr">
        <is>
          <t>Akıl</t>
        </is>
      </c>
      <c r="C326" s="5" t="inlineStr">
        <is>
          <t>Kolay</t>
        </is>
      </c>
      <c r="D326" s="6" t="inlineStr">
        <is>
          <t>Yirmi yıl boyunca bu evin bir kısmı bankanın. Sen de o süre boyunca bir kısmı bankasın.</t>
        </is>
      </c>
      <c r="E326" s="6" t="inlineStr"/>
      <c r="F326" s="5" t="inlineStr"/>
    </row>
    <row r="327">
      <c r="A327" s="5" t="inlineStr">
        <is>
          <t>b7-kres-kaydi</t>
        </is>
      </c>
      <c r="B327" s="5" t="inlineStr">
        <is>
          <t>Sosyal Radar</t>
        </is>
      </c>
      <c r="C327" s="5" t="inlineStr">
        <is>
          <t>Orta</t>
        </is>
      </c>
      <c r="D327" s="6" t="inlineStr">
        <is>
          <t>Müdür her velinin ayakkabısına bakıyor. Bu kreş, sosyal ağ kurmak için bir yatırım.</t>
        </is>
      </c>
      <c r="E327" s="6" t="inlineStr"/>
      <c r="F327" s="5" t="inlineStr"/>
    </row>
    <row r="328">
      <c r="A328" s="5" t="inlineStr">
        <is>
          <t>b7-kres-kaydi</t>
        </is>
      </c>
      <c r="B328" s="5" t="inlineStr">
        <is>
          <t>İtibar</t>
        </is>
      </c>
      <c r="C328" s="5" t="inlineStr">
        <is>
          <t>Kolay</t>
        </is>
      </c>
      <c r="D328" s="6" t="inlineStr">
        <is>
          <t>İlk gün ağlayacak, evladım. Sen de ağlayacaksın. Kapıdan çıkınca ağla.</t>
        </is>
      </c>
      <c r="E328" s="6" t="inlineStr"/>
      <c r="F328" s="5" t="inlineStr"/>
    </row>
    <row r="329">
      <c r="A329" s="5" t="inlineStr">
        <is>
          <t>mm-kayip-dosya</t>
        </is>
      </c>
      <c r="B329" s="5" t="inlineStr">
        <is>
          <t>Akıl</t>
        </is>
      </c>
      <c r="C329" s="5" t="inlineStr">
        <is>
          <t>Zor</t>
        </is>
      </c>
      <c r="D329" s="6" t="inlineStr">
        <is>
          <t>Dosyalar kaybolmaz, yanlış yere gider. Yanlış yer genelde bir önceki yerdir.</t>
        </is>
      </c>
      <c r="E329" s="6" t="inlineStr"/>
      <c r="F329" s="5" t="inlineStr"/>
    </row>
    <row r="330">
      <c r="A330" s="5" t="inlineStr">
        <is>
          <t>mm-kayip-dosya</t>
        </is>
      </c>
      <c r="B330" s="5" t="inlineStr">
        <is>
          <t>İtibar</t>
        </is>
      </c>
      <c r="C330" s="5" t="inlineStr">
        <is>
          <t>Orta</t>
        </is>
      </c>
      <c r="D330" s="6" t="inlineStr">
        <is>
          <t>Dosyanın sahibi dört yıldır her salı aynı saatte gelip aynı sandalyeye oturuyor.</t>
        </is>
      </c>
      <c r="E330" s="6" t="inlineStr"/>
      <c r="F330" s="5" t="inlineStr">
        <is>
          <t>E</t>
        </is>
      </c>
    </row>
    <row r="331">
      <c r="A331" s="5" t="inlineStr">
        <is>
          <t>b7-saglik-kontrolu</t>
        </is>
      </c>
      <c r="B331" s="5" t="inlineStr">
        <is>
          <t>Dayanıklılık</t>
        </is>
      </c>
      <c r="C331" s="5" t="inlineStr">
        <is>
          <t>Orta</t>
        </is>
      </c>
      <c r="D331" s="6" t="inlineStr">
        <is>
          <t>Merdivenleri çıkarken nefes nefese kaldın. Doktor bunu tahlilden önce gördü.</t>
        </is>
      </c>
      <c r="E331" s="6" t="inlineStr"/>
      <c r="F331" s="5" t="inlineStr"/>
    </row>
    <row r="332">
      <c r="A332" s="5" t="inlineStr">
        <is>
          <t>b7-saglik-kontrolu</t>
        </is>
      </c>
      <c r="B332" s="5" t="inlineStr">
        <is>
          <t>İtibar</t>
        </is>
      </c>
      <c r="C332" s="5" t="inlineStr">
        <is>
          <t>Kolay</t>
        </is>
      </c>
      <c r="D332" s="6" t="inlineStr">
        <is>
          <t>Kendine iyi bak, evladım. Kimse senin yerine bakmayacak.</t>
        </is>
      </c>
      <c r="E332" s="6" t="inlineStr"/>
      <c r="F332" s="5" t="inlineStr"/>
    </row>
    <row r="333">
      <c r="A333" s="5" t="inlineStr">
        <is>
          <t>b7-bekar-evi</t>
        </is>
      </c>
      <c r="B333" s="5" t="inlineStr">
        <is>
          <t>Akıl</t>
        </is>
      </c>
      <c r="C333" s="5" t="inlineStr">
        <is>
          <t>Orta</t>
        </is>
      </c>
      <c r="D333" s="6" t="inlineStr">
        <is>
          <t>Bu ay yemek siparişine harcadığın para, bir mutfak robotunun fiyatını geçti. Robotu da sipariş edebilirsin.</t>
        </is>
      </c>
      <c r="E333" s="6" t="inlineStr"/>
      <c r="F333" s="5" t="inlineStr"/>
    </row>
    <row r="334">
      <c r="A334" s="5" t="inlineStr">
        <is>
          <t>b7-bekar-evi</t>
        </is>
      </c>
      <c r="B334" s="5" t="inlineStr">
        <is>
          <t>Dayanıklılık</t>
        </is>
      </c>
      <c r="C334" s="5" t="inlineStr">
        <is>
          <t>Kolay</t>
        </is>
      </c>
      <c r="D334" s="6" t="inlineStr">
        <is>
          <t>Bir yumurta bile bir öğündür, komşu. Yeter ki inanasın.</t>
        </is>
      </c>
      <c r="E334" s="6" t="inlineStr"/>
      <c r="F334" s="5" t="inlineStr"/>
    </row>
    <row r="335">
      <c r="A335" s="5" t="inlineStr">
        <is>
          <t>b7-hastane-gecesi</t>
        </is>
      </c>
      <c r="B335" s="5" t="inlineStr">
        <is>
          <t>İtibar</t>
        </is>
      </c>
      <c r="C335" s="5" t="inlineStr">
        <is>
          <t>Kolay</t>
        </is>
      </c>
      <c r="D335" s="6" t="inlineStr">
        <is>
          <t>Korkma, evladım. Çocuklar ateşlenir, iner. Ebeveyn ateşlenir, inmez.</t>
        </is>
      </c>
      <c r="E335" s="6" t="inlineStr"/>
      <c r="F335" s="5" t="inlineStr"/>
    </row>
    <row r="336">
      <c r="A336" s="5" t="inlineStr">
        <is>
          <t>b7-hastane-gecesi</t>
        </is>
      </c>
      <c r="B336" s="5" t="inlineStr">
        <is>
          <t>Dayanıklılık</t>
        </is>
      </c>
      <c r="C336" s="5" t="inlineStr">
        <is>
          <t>Orta</t>
        </is>
      </c>
      <c r="D336" s="6" t="inlineStr">
        <is>
          <t>Sabah toplantın var. Bu gece uyumamak bir tercih değil, bir kader.</t>
        </is>
      </c>
      <c r="E336" s="6" t="inlineStr"/>
      <c r="F336" s="5" t="inlineStr"/>
    </row>
    <row r="337">
      <c r="A337" s="5" t="inlineStr">
        <is>
          <t>ms-gercek-is</t>
        </is>
      </c>
      <c r="B337" s="5" t="inlineStr">
        <is>
          <t>Sosyal Radar</t>
        </is>
      </c>
      <c r="C337" s="5" t="inlineStr">
        <is>
          <t>Orta</t>
        </is>
      </c>
      <c r="D337" s="6" t="inlineStr">
        <is>
          <t>Masadaki kuzen de serbest çalışıyor ama herkese 'danışmanım' diyor.</t>
        </is>
      </c>
      <c r="E337" s="6" t="inlineStr"/>
      <c r="F337" s="5" t="inlineStr">
        <is>
          <t>E</t>
        </is>
      </c>
    </row>
    <row r="338">
      <c r="A338" s="5" t="inlineStr">
        <is>
          <t>ms-gercek-is</t>
        </is>
      </c>
      <c r="B338" s="5" t="inlineStr">
        <is>
          <t>Çene</t>
        </is>
      </c>
      <c r="C338" s="5" t="inlineStr">
        <is>
          <t>Kolay</t>
        </is>
      </c>
      <c r="D338" s="6" t="inlineStr">
        <is>
          <t>Teyzenin sorusu soru değil. Açılış konuşması.</t>
        </is>
      </c>
      <c r="E338" s="6" t="inlineStr"/>
      <c r="F338" s="5" t="inlineStr"/>
    </row>
    <row r="339">
      <c r="A339" s="5" t="inlineStr">
        <is>
          <t>b7-mutfak-tadilati</t>
        </is>
      </c>
      <c r="B339" s="5" t="inlineStr">
        <is>
          <t>Sosyal Radar</t>
        </is>
      </c>
      <c r="C339" s="5" t="inlineStr">
        <is>
          <t>Orta</t>
        </is>
      </c>
      <c r="D339" s="6" t="inlineStr">
        <is>
          <t>Usta bu tartışmayı yüz kez gördü. Çayını yavaş içmesinin sebebi bu.</t>
        </is>
      </c>
      <c r="E339" s="6" t="inlineStr"/>
      <c r="F339" s="5" t="inlineStr"/>
    </row>
    <row r="340">
      <c r="A340" s="5" t="inlineStr">
        <is>
          <t>b7-mutfak-tadilati</t>
        </is>
      </c>
      <c r="B340" s="5" t="inlineStr">
        <is>
          <t>İtibar</t>
        </is>
      </c>
      <c r="C340" s="5" t="inlineStr">
        <is>
          <t>Zor</t>
        </is>
      </c>
      <c r="D340" s="6" t="inlineStr">
        <is>
          <t>Dolap rengi yüzünden ayrılan çok çift gördüm, evladım. Asıl sebep hiçbir zaman dolap değildi.</t>
        </is>
      </c>
      <c r="E340" s="6" t="inlineStr"/>
      <c r="F340" s="5" t="inlineStr"/>
    </row>
    <row r="341">
      <c r="A341" s="5" t="inlineStr">
        <is>
          <t>b7-ebeveyn-grubu</t>
        </is>
      </c>
      <c r="B341" s="5" t="inlineStr">
        <is>
          <t>Sosyal Radar</t>
        </is>
      </c>
      <c r="C341" s="5" t="inlineStr">
        <is>
          <t>Kolay</t>
        </is>
      </c>
      <c r="D341" s="6" t="inlineStr">
        <is>
          <t>Grubun yöneticisi sabah altıda mesaj atan biri. Ona karşı gelme.</t>
        </is>
      </c>
      <c r="E341" s="6" t="inlineStr"/>
      <c r="F341" s="5" t="inlineStr"/>
    </row>
    <row r="342">
      <c r="A342" s="5" t="inlineStr">
        <is>
          <t>b7-ebeveyn-grubu</t>
        </is>
      </c>
      <c r="B342" s="5" t="inlineStr">
        <is>
          <t>Pişkinlik</t>
        </is>
      </c>
      <c r="C342" s="5" t="inlineStr">
        <is>
          <t>Orta</t>
        </is>
      </c>
      <c r="D342" s="6" t="inlineStr">
        <is>
          <t>Bir emoji bile atsan, varlık sinyali verirsin. Sinyal ver, sonra kaybol.</t>
        </is>
      </c>
      <c r="E342" s="6" t="inlineStr"/>
      <c r="F342" s="5" t="inlineStr"/>
    </row>
    <row r="343">
      <c r="A343" s="5" t="inlineStr">
        <is>
          <t>mb-takim-ruhu</t>
        </is>
      </c>
      <c r="B343" s="5" t="inlineStr">
        <is>
          <t>Dayanıklılık</t>
        </is>
      </c>
      <c r="C343" s="5" t="inlineStr">
        <is>
          <t>Kolay</t>
        </is>
      </c>
      <c r="D343" s="6" t="inlineStr">
        <is>
          <t>Halat çekme yok, değil mi? Var. Muhasebeyle karşı karşıyasınız.</t>
        </is>
      </c>
      <c r="E343" s="6" t="inlineStr"/>
      <c r="F343" s="5" t="inlineStr"/>
    </row>
    <row r="344">
      <c r="A344" s="5" t="inlineStr">
        <is>
          <t>mb-takim-ruhu</t>
        </is>
      </c>
      <c r="B344" s="5" t="inlineStr">
        <is>
          <t>Cesaret</t>
        </is>
      </c>
      <c r="C344" s="5" t="inlineStr">
        <is>
          <t>Orta</t>
        </is>
      </c>
      <c r="D344" s="6" t="inlineStr">
        <is>
          <t>Arkana düşeceksin, önündekiler seni tutacak. Önündekiler dün senin raporunu reddetti.</t>
        </is>
      </c>
      <c r="E344" s="6" t="inlineStr"/>
      <c r="F344" s="5" t="inlineStr"/>
    </row>
    <row r="345">
      <c r="A345" s="5" t="inlineStr">
        <is>
          <t>me-indirim-sezonu</t>
        </is>
      </c>
      <c r="B345" s="5" t="inlineStr">
        <is>
          <t>Çene</t>
        </is>
      </c>
      <c r="C345" s="5" t="inlineStr">
        <is>
          <t>Kolay</t>
        </is>
      </c>
      <c r="D345" s="6" t="inlineStr">
        <is>
          <t>İndirim bir sayı değil, bir hikâyedir. 'Size özel' demeyi unutma.</t>
        </is>
      </c>
      <c r="E345" s="6" t="inlineStr"/>
      <c r="F345" s="5" t="inlineStr"/>
    </row>
    <row r="346">
      <c r="A346" s="5" t="inlineStr">
        <is>
          <t>me-indirim-sezonu</t>
        </is>
      </c>
      <c r="B346" s="5" t="inlineStr">
        <is>
          <t>Dayanıklılık</t>
        </is>
      </c>
      <c r="C346" s="5" t="inlineStr">
        <is>
          <t>Orta</t>
        </is>
      </c>
      <c r="D346" s="6" t="inlineStr">
        <is>
          <t>Gün on dört saat, merdiven altı basamak. Önce ısın.</t>
        </is>
      </c>
      <c r="E346" s="6" t="inlineStr"/>
      <c r="F346" s="5" t="inlineStr"/>
    </row>
    <row r="347">
      <c r="A347" s="5" t="inlineStr">
        <is>
          <t>b7-borc-batagi</t>
        </is>
      </c>
      <c r="B347" s="5" t="inlineStr">
        <is>
          <t>Akıl</t>
        </is>
      </c>
      <c r="C347" s="5" t="inlineStr">
        <is>
          <t>Orta</t>
        </is>
      </c>
      <c r="D347" s="6" t="inlineStr">
        <is>
          <t>Asgari ödemenin matematiği: sonsuza kadar ödersin, borç sonsuza kadar kalır.</t>
        </is>
      </c>
      <c r="E347" s="6" t="inlineStr"/>
      <c r="F347" s="5" t="inlineStr"/>
    </row>
    <row r="348">
      <c r="A348" s="5" t="inlineStr">
        <is>
          <t>b7-borc-batagi</t>
        </is>
      </c>
      <c r="B348" s="5" t="inlineStr">
        <is>
          <t>Kurnazlık</t>
        </is>
      </c>
      <c r="C348" s="5" t="inlineStr">
        <is>
          <t>Kolay</t>
        </is>
      </c>
      <c r="D348" s="6" t="inlineStr">
        <is>
          <t>Kartla kartı ödemek bir sanat, evlat. Ama sanat da her zaman kazanmaz.</t>
        </is>
      </c>
      <c r="E348" s="6" t="inlineStr"/>
      <c r="F348" s="5" t="inlineStr"/>
    </row>
    <row r="349">
      <c r="A349" s="5" t="inlineStr">
        <is>
          <t>b7-dogum-gunu-partisi</t>
        </is>
      </c>
      <c r="B349" s="5" t="inlineStr">
        <is>
          <t>Sosyal Radar</t>
        </is>
      </c>
      <c r="C349" s="5" t="inlineStr">
        <is>
          <t>Orta</t>
        </is>
      </c>
      <c r="D349" s="6" t="inlineStr">
        <is>
          <t>Veli grubundaki en rekabetçi aile de davetli. Fotoğrafları her açıdan çekecek.</t>
        </is>
      </c>
      <c r="E349" s="6" t="inlineStr"/>
      <c r="F349" s="5" t="inlineStr"/>
    </row>
    <row r="350">
      <c r="A350" s="5" t="inlineStr">
        <is>
          <t>b7-dogum-gunu-partisi</t>
        </is>
      </c>
      <c r="B350" s="5" t="inlineStr">
        <is>
          <t>Pişkinlik</t>
        </is>
      </c>
      <c r="C350" s="5" t="inlineStr">
        <is>
          <t>Kolay</t>
        </is>
      </c>
      <c r="D350" s="6" t="inlineStr">
        <is>
          <t>Tema uzay ama sen kendini parti sunucusu say. Mikrofonu al.</t>
        </is>
      </c>
      <c r="E350" s="6" t="inlineStr"/>
      <c r="F350" s="5" t="inlineStr"/>
    </row>
    <row r="351">
      <c r="A351" s="5" t="inlineStr">
        <is>
          <t>mm-kurum-piknigi</t>
        </is>
      </c>
      <c r="B351" s="5" t="inlineStr">
        <is>
          <t>Cesaret</t>
        </is>
      </c>
      <c r="C351" s="5" t="inlineStr">
        <is>
          <t>Orta</t>
        </is>
      </c>
      <c r="D351" s="6" t="inlineStr">
        <is>
          <t>Ayaklarını çime göm. Rütbeyi değil, halatı tut.</t>
        </is>
      </c>
      <c r="E351" s="6" t="inlineStr"/>
      <c r="F351" s="5" t="inlineStr"/>
    </row>
    <row r="352">
      <c r="A352" s="5" t="inlineStr">
        <is>
          <t>mm-kurum-piknigi</t>
        </is>
      </c>
      <c r="B352" s="5" t="inlineStr">
        <is>
          <t>Sosyal Radar</t>
        </is>
      </c>
      <c r="C352" s="5" t="inlineStr">
        <is>
          <t>Kolay</t>
        </is>
      </c>
      <c r="D352" s="6" t="inlineStr">
        <is>
          <t>Mangaldaki şef köfteleri rütbe sırasıyla dağıtıyor. Sıra sende değil.</t>
        </is>
      </c>
      <c r="E352" s="6" t="inlineStr"/>
      <c r="F352" s="5" t="inlineStr"/>
    </row>
    <row r="353">
      <c r="A353" s="5" t="inlineStr">
        <is>
          <t>b7-yil-donumu</t>
        </is>
      </c>
      <c r="B353" s="5" t="inlineStr">
        <is>
          <t>İtibar</t>
        </is>
      </c>
      <c r="C353" s="5" t="inlineStr">
        <is>
          <t>Orta</t>
        </is>
      </c>
      <c r="D353" s="6" t="inlineStr">
        <is>
          <t>Unutmak normal, evladım. Hatırlamak bir tercih.</t>
        </is>
      </c>
      <c r="E353" s="6" t="inlineStr"/>
      <c r="F353" s="5" t="inlineStr"/>
    </row>
    <row r="354">
      <c r="A354" s="5" t="inlineStr">
        <is>
          <t>b7-yil-donumu</t>
        </is>
      </c>
      <c r="B354" s="5" t="inlineStr">
        <is>
          <t>Sosyal Radar</t>
        </is>
      </c>
      <c r="C354" s="5" t="inlineStr">
        <is>
          <t>Kolay</t>
        </is>
      </c>
      <c r="D354" s="6" t="inlineStr">
        <is>
          <t>Eşin bu tarihi senden önce biliyordu. Bekliyor. Ne kadar beklediğini göstermiyor.</t>
        </is>
      </c>
      <c r="E354" s="6" t="inlineStr"/>
      <c r="F354" s="5" t="inlineStr"/>
    </row>
    <row r="355">
      <c r="A355" s="5" t="inlineStr">
        <is>
          <t>b8-kirk-yas</t>
        </is>
      </c>
      <c r="B355" s="5" t="inlineStr">
        <is>
          <t>Dayanıklılık</t>
        </is>
      </c>
      <c r="C355" s="5" t="inlineStr">
        <is>
          <t>Orta</t>
        </is>
      </c>
      <c r="D355" s="6" t="inlineStr">
        <is>
          <t>Merdiven çıkarken ses çıkaran tek şey sen değilsin. Dizlerin de toplantıya katılıyor.</t>
        </is>
      </c>
      <c r="E355" s="6" t="inlineStr"/>
      <c r="F355" s="5" t="inlineStr"/>
    </row>
    <row r="356">
      <c r="A356" s="5" t="inlineStr">
        <is>
          <t>b8-kirk-yas</t>
        </is>
      </c>
      <c r="B356" s="5" t="inlineStr">
        <is>
          <t>Akıl</t>
        </is>
      </c>
      <c r="C356" s="5" t="inlineStr">
        <is>
          <t>Zor</t>
        </is>
      </c>
      <c r="D356" s="6" t="inlineStr">
        <is>
          <t>Hayatın ortası değil bu. İstatistiksel olarak ortası çoktan geçti. Neyse ki kimse hesaplamadı.</t>
        </is>
      </c>
      <c r="E356" s="6" t="inlineStr"/>
      <c r="F356" s="5" t="inlineStr">
        <is>
          <t>E</t>
        </is>
      </c>
    </row>
    <row r="357">
      <c r="A357" s="5" t="inlineStr">
        <is>
          <t>b8-motosiklet</t>
        </is>
      </c>
      <c r="B357" s="5" t="inlineStr">
        <is>
          <t>Cesaret</t>
        </is>
      </c>
      <c r="C357" s="5" t="inlineStr">
        <is>
          <t>Kolay</t>
        </is>
      </c>
      <c r="D357" s="6" t="inlineStr">
        <is>
          <t>İki teker, bir kask, sonsuz özgürlük. Bir de sonsuz sigorta primi.</t>
        </is>
      </c>
      <c r="E357" s="6" t="inlineStr"/>
      <c r="F357" s="5" t="inlineStr"/>
    </row>
    <row r="358">
      <c r="A358" s="5" t="inlineStr">
        <is>
          <t>b8-motosiklet</t>
        </is>
      </c>
      <c r="B358" s="5" t="inlineStr">
        <is>
          <t>İtibar</t>
        </is>
      </c>
      <c r="C358" s="5" t="inlineStr">
        <is>
          <t>Orta</t>
        </is>
      </c>
      <c r="D358" s="6" t="inlineStr">
        <is>
          <t>Evde biri bu haberi akşam yemeğinde, çorbanın ortasında öğrenecek. Onu da düşün.</t>
        </is>
      </c>
      <c r="E358" s="6" t="inlineStr"/>
      <c r="F358" s="5" t="inlineStr"/>
    </row>
    <row r="359">
      <c r="A359" s="5" t="inlineStr">
        <is>
          <t>b8-sac-meselesi</t>
        </is>
      </c>
      <c r="B359" s="5" t="inlineStr">
        <is>
          <t>Sosyal Radar</t>
        </is>
      </c>
      <c r="C359" s="5" t="inlineStr">
        <is>
          <t>Orta</t>
        </is>
      </c>
      <c r="D359" s="6" t="inlineStr">
        <is>
          <t>Berber üç kez 'Hiç önemli değil' dedi. Önemli olmasa bir kez derdi.</t>
        </is>
      </c>
      <c r="E359" s="6" t="inlineStr"/>
      <c r="F359" s="5" t="inlineStr"/>
    </row>
    <row r="360">
      <c r="A360" s="5" t="inlineStr">
        <is>
          <t>b8-sac-meselesi</t>
        </is>
      </c>
      <c r="B360" s="5" t="inlineStr">
        <is>
          <t>Pişkinlik</t>
        </is>
      </c>
      <c r="C360" s="5" t="inlineStr">
        <is>
          <t>Kolay</t>
        </is>
      </c>
      <c r="D360" s="6" t="inlineStr">
        <is>
          <t>Parlayan her şey kötü değildir. Kupa da parlar.</t>
        </is>
      </c>
      <c r="E360" s="6" t="inlineStr"/>
      <c r="F360" s="5" t="inlineStr"/>
    </row>
    <row r="361">
      <c r="A361" s="5" t="inlineStr">
        <is>
          <t>ms-sigortasiz-hayat</t>
        </is>
      </c>
      <c r="B361" s="5" t="inlineStr">
        <is>
          <t>Akıl</t>
        </is>
      </c>
      <c r="C361" s="5" t="inlineStr">
        <is>
          <t>Kolay</t>
        </is>
      </c>
      <c r="D361" s="6" t="inlineStr">
        <is>
          <t>Serbest çalışmanın matematiği: Hafta sonu yok, tatil yok, emeklilik de yok. Tutarlı.</t>
        </is>
      </c>
      <c r="E361" s="6" t="inlineStr"/>
      <c r="F361" s="5" t="inlineStr"/>
    </row>
    <row r="362">
      <c r="A362" s="5" t="inlineStr">
        <is>
          <t>ms-sigortasiz-hayat</t>
        </is>
      </c>
      <c r="B362" s="5" t="inlineStr">
        <is>
          <t>İtibar</t>
        </is>
      </c>
      <c r="C362" s="5" t="inlineStr">
        <is>
          <t>Orta</t>
        </is>
      </c>
      <c r="D362" s="6" t="inlineStr">
        <is>
          <t>Annen yıllardır 'Sigortan var mı?' diye soruyordu. Yok.</t>
        </is>
      </c>
      <c r="E362" s="6" t="inlineStr"/>
      <c r="F362" s="5" t="inlineStr"/>
    </row>
    <row r="363">
      <c r="A363" s="5" t="inlineStr">
        <is>
          <t>b8-ergen-telefon</t>
        </is>
      </c>
      <c r="B363" s="5" t="inlineStr">
        <is>
          <t>İtibar</t>
        </is>
      </c>
      <c r="C363" s="5" t="inlineStr">
        <is>
          <t>Orta</t>
        </is>
      </c>
      <c r="D363" s="6" t="inlineStr">
        <is>
          <t>Onun da bir iç dünyası var. Senin on dört yaşında olduğu gibi. Hatırla; ne kalabalıktı.</t>
        </is>
      </c>
      <c r="E363" s="6" t="inlineStr"/>
      <c r="F363" s="5" t="inlineStr">
        <is>
          <t>E</t>
        </is>
      </c>
    </row>
    <row r="364">
      <c r="A364" s="5" t="inlineStr">
        <is>
          <t>b8-ergen-telefon</t>
        </is>
      </c>
      <c r="B364" s="5" t="inlineStr">
        <is>
          <t>Kurnazlık</t>
        </is>
      </c>
      <c r="C364" s="5" t="inlineStr">
        <is>
          <t>Orta</t>
        </is>
      </c>
      <c r="D364" s="6" t="inlineStr">
        <is>
          <t>Şifre doğum tarihi değil. En sevdiği şarkıcının doğum tarihi.</t>
        </is>
      </c>
      <c r="E364" s="6" t="inlineStr"/>
      <c r="F364" s="5" t="inlineStr"/>
    </row>
    <row r="365">
      <c r="A365" s="5" t="inlineStr">
        <is>
          <t>b8-metabolizma</t>
        </is>
      </c>
      <c r="B365" s="5" t="inlineStr">
        <is>
          <t>Dayanıklılık</t>
        </is>
      </c>
      <c r="C365" s="5" t="inlineStr">
        <is>
          <t>Orta</t>
        </is>
      </c>
      <c r="D365" s="6" t="inlineStr">
        <is>
          <t>Yirmilerinde bir pizza bir gecede yanardı. Şimdi bir pizza, bir mevsim kalıyor.</t>
        </is>
      </c>
      <c r="E365" s="6" t="inlineStr"/>
      <c r="F365" s="5" t="inlineStr"/>
    </row>
    <row r="366">
      <c r="A366" s="5" t="inlineStr">
        <is>
          <t>b8-metabolizma</t>
        </is>
      </c>
      <c r="B366" s="5" t="inlineStr">
        <is>
          <t>Kurnazlık</t>
        </is>
      </c>
      <c r="C366" s="5" t="inlineStr">
        <is>
          <t>Kolay</t>
        </is>
      </c>
      <c r="D366" s="6" t="inlineStr">
        <is>
          <t>Tartıyı halının üstüne koy. Halı her şeyi yumuşatır.</t>
        </is>
      </c>
      <c r="E366" s="6" t="inlineStr"/>
      <c r="F366" s="5" t="inlineStr"/>
    </row>
    <row r="367">
      <c r="A367" s="5" t="inlineStr">
        <is>
          <t>mb-yapay-zeka</t>
        </is>
      </c>
      <c r="B367" s="5" t="inlineStr">
        <is>
          <t>Akıl</t>
        </is>
      </c>
      <c r="C367" s="5" t="inlineStr">
        <is>
          <t>Orta</t>
        </is>
      </c>
      <c r="D367" s="6" t="inlineStr">
        <is>
          <t>Aracın zayıf noktası: bağlam. Toplantılarda kimin kime kırgın olduğunu bilmiyor.</t>
        </is>
      </c>
      <c r="E367" s="6" t="inlineStr"/>
      <c r="F367" s="5" t="inlineStr">
        <is>
          <t>E</t>
        </is>
      </c>
    </row>
    <row r="368">
      <c r="A368" s="5" t="inlineStr">
        <is>
          <t>mb-yapay-zeka</t>
        </is>
      </c>
      <c r="B368" s="5" t="inlineStr">
        <is>
          <t>İtibar</t>
        </is>
      </c>
      <c r="C368" s="5" t="inlineStr">
        <is>
          <t>Kolay</t>
        </is>
      </c>
      <c r="D368" s="6" t="inlineStr">
        <is>
          <t>Aracı eğiteceksin, araç seni gereksiz kılacak. Babaannen buna 'besle kargayı' derdi.</t>
        </is>
      </c>
      <c r="E368" s="6" t="inlineStr"/>
      <c r="F368" s="5" t="inlineStr"/>
    </row>
    <row r="369">
      <c r="A369" s="5" t="inlineStr">
        <is>
          <t>me-haber-merkezi</t>
        </is>
      </c>
      <c r="B369" s="5" t="inlineStr">
        <is>
          <t>Sosyal Radar</t>
        </is>
      </c>
      <c r="C369" s="5" t="inlineStr">
        <is>
          <t>Kolay</t>
        </is>
      </c>
      <c r="D369" s="6" t="inlineStr">
        <is>
          <t>Apartman yöneticisi bu akşam aidat artışını duyuracak. Şu an bilen tek kişi sensin; bir de yöneticinin eşi.</t>
        </is>
      </c>
      <c r="E369" s="6" t="inlineStr"/>
      <c r="F369" s="5" t="inlineStr">
        <is>
          <t>E</t>
        </is>
      </c>
    </row>
    <row r="370">
      <c r="A370" s="5" t="inlineStr">
        <is>
          <t>me-haber-merkezi</t>
        </is>
      </c>
      <c r="B370" s="5" t="inlineStr">
        <is>
          <t>İtibar</t>
        </is>
      </c>
      <c r="C370" s="5" t="inlineStr">
        <is>
          <t>Orta</t>
        </is>
      </c>
      <c r="D370" s="6" t="inlineStr">
        <is>
          <t>Her duyduğun haber bir emanet. Emanetin de rafı yok.</t>
        </is>
      </c>
      <c r="E370" s="6" t="inlineStr"/>
      <c r="F370" s="5" t="inlineStr"/>
    </row>
    <row r="371">
      <c r="A371" s="5" t="inlineStr">
        <is>
          <t>mm-performans-formu</t>
        </is>
      </c>
      <c r="B371" s="5" t="inlineStr">
        <is>
          <t>Pişkinlik</t>
        </is>
      </c>
      <c r="C371" s="5" t="inlineStr">
        <is>
          <t>Orta</t>
        </is>
      </c>
      <c r="D371" s="6" t="inlineStr">
        <is>
          <t>Her maddeye 'mükemmel' yazma. Birine 'geliştirilebilir' yaz. İnandırıcılık.</t>
        </is>
      </c>
      <c r="E371" s="6" t="inlineStr"/>
      <c r="F371" s="5" t="inlineStr"/>
    </row>
    <row r="372">
      <c r="A372" s="5" t="inlineStr">
        <is>
          <t>mm-performans-formu</t>
        </is>
      </c>
      <c r="B372" s="5" t="inlineStr">
        <is>
          <t>Akıl</t>
        </is>
      </c>
      <c r="C372" s="5" t="inlineStr">
        <is>
          <t>Kolay</t>
        </is>
      </c>
      <c r="D372" s="6" t="inlineStr">
        <is>
          <t>Bu form bir ölçüm aracı değil, arşiv malzemesi. Kimse okumayacak ama herkes imzalayacak.</t>
        </is>
      </c>
      <c r="E372" s="6" t="inlineStr"/>
      <c r="F372" s="5" t="inlineStr"/>
    </row>
    <row r="373">
      <c r="A373" s="5" t="inlineStr">
        <is>
          <t>b8-gozluk</t>
        </is>
      </c>
      <c r="B373" s="5" t="inlineStr">
        <is>
          <t>Akıl</t>
        </is>
      </c>
      <c r="C373" s="5" t="inlineStr">
        <is>
          <t>Kolay</t>
        </is>
      </c>
      <c r="D373" s="6" t="inlineStr">
        <is>
          <t>Göz merceği esnekliğini kaybediyor. Sen de kaybediyorsun; o daha dürüst.</t>
        </is>
      </c>
      <c r="E373" s="6" t="inlineStr"/>
      <c r="F373" s="5" t="inlineStr"/>
    </row>
    <row r="374">
      <c r="A374" s="5" t="inlineStr">
        <is>
          <t>b8-gozluk</t>
        </is>
      </c>
      <c r="B374" s="5" t="inlineStr">
        <is>
          <t>Pişkinlik</t>
        </is>
      </c>
      <c r="C374" s="5" t="inlineStr">
        <is>
          <t>Orta</t>
        </is>
      </c>
      <c r="D374" s="6" t="inlineStr">
        <is>
          <t>Gözlüğü burnunun ucuna indirip üstünden bakmak, yaşlanmak değil; otorite kurmaktır.</t>
        </is>
      </c>
      <c r="E374" s="6" t="inlineStr"/>
      <c r="F374" s="5" t="inlineStr">
        <is>
          <t>E</t>
        </is>
      </c>
    </row>
    <row r="375">
      <c r="A375" s="5" t="inlineStr">
        <is>
          <t>b8-bayram-sofrasi</t>
        </is>
      </c>
      <c r="B375" s="5" t="inlineStr">
        <is>
          <t>Sosyal Radar</t>
        </is>
      </c>
      <c r="C375" s="5" t="inlineStr">
        <is>
          <t>Orta</t>
        </is>
      </c>
      <c r="D375" s="6" t="inlineStr">
        <is>
          <t>Halan üç yıldır bu anı bekliyor. Sofrayı o kurdu, oturma düzenini de.</t>
        </is>
      </c>
      <c r="E375" s="6" t="inlineStr"/>
      <c r="F375" s="5" t="inlineStr"/>
    </row>
    <row r="376">
      <c r="A376" s="5" t="inlineStr">
        <is>
          <t>b8-bayram-sofrasi</t>
        </is>
      </c>
      <c r="B376" s="5" t="inlineStr">
        <is>
          <t>Kurnazlık</t>
        </is>
      </c>
      <c r="C376" s="5" t="inlineStr">
        <is>
          <t>Zor</t>
        </is>
      </c>
      <c r="D376" s="6" t="inlineStr">
        <is>
          <t>Tarla dediği, yeni yolun geçeceği söylenen tarla. Söylenen.</t>
        </is>
      </c>
      <c r="E376" s="6" t="inlineStr"/>
      <c r="F376" s="5" t="inlineStr"/>
    </row>
    <row r="377">
      <c r="A377" s="5" t="inlineStr">
        <is>
          <t>b8-hastane-otoparki</t>
        </is>
      </c>
      <c r="B377" s="5" t="inlineStr">
        <is>
          <t>Kurnazlık</t>
        </is>
      </c>
      <c r="C377" s="5" t="inlineStr">
        <is>
          <t>Orta</t>
        </is>
      </c>
      <c r="D377" s="6" t="inlineStr">
        <is>
          <t>Başhekim bugün izinde. Bunu otopark görevlisinin rahat çay içişinden anlıyorsun.</t>
        </is>
      </c>
      <c r="E377" s="6" t="inlineStr"/>
      <c r="F377" s="5" t="inlineStr">
        <is>
          <t>E</t>
        </is>
      </c>
    </row>
    <row r="378">
      <c r="A378" s="5" t="inlineStr">
        <is>
          <t>b8-hastane-otoparki</t>
        </is>
      </c>
      <c r="B378" s="5" t="inlineStr">
        <is>
          <t>Dayanıklılık</t>
        </is>
      </c>
      <c r="C378" s="5" t="inlineStr">
        <is>
          <t>Kolay</t>
        </is>
      </c>
      <c r="D378" s="6" t="inlineStr">
        <is>
          <t>Otoparkta dört tur daha atarsan günlük adım hedefin tamamlanır.</t>
        </is>
      </c>
      <c r="E378" s="6" t="inlineStr"/>
      <c r="F378" s="5" t="inlineStr"/>
    </row>
    <row r="379">
      <c r="A379" s="5" t="inlineStr">
        <is>
          <t>b8-bekar-orta-yas</t>
        </is>
      </c>
      <c r="B379" s="5" t="inlineStr">
        <is>
          <t>Pişkinlik</t>
        </is>
      </c>
      <c r="C379" s="5" t="inlineStr">
        <is>
          <t>Orta</t>
        </is>
      </c>
      <c r="D379" s="6" t="inlineStr">
        <is>
          <t>Tek kişilik ev, tek kişilik koltuk, tek sahipli kumanda. Buna krallık denir.</t>
        </is>
      </c>
      <c r="E379" s="6" t="inlineStr"/>
      <c r="F379" s="5" t="inlineStr"/>
    </row>
    <row r="380">
      <c r="A380" s="5" t="inlineStr">
        <is>
          <t>b8-bekar-orta-yas</t>
        </is>
      </c>
      <c r="B380" s="5" t="inlineStr">
        <is>
          <t>İtibar</t>
        </is>
      </c>
      <c r="C380" s="5" t="inlineStr">
        <is>
          <t>Orta</t>
        </is>
      </c>
      <c r="D380" s="6" t="inlineStr">
        <is>
          <t>Yalnızlık ile bağımsızlık arasındaki fark pazar akşamı saat altıda anlaşılır.</t>
        </is>
      </c>
      <c r="E380" s="6" t="inlineStr"/>
      <c r="F380" s="5" t="inlineStr"/>
    </row>
    <row r="381">
      <c r="A381" s="5" t="inlineStr">
        <is>
          <t>ms-fon-basvurusu</t>
        </is>
      </c>
      <c r="B381" s="5" t="inlineStr">
        <is>
          <t>Kurnazlık</t>
        </is>
      </c>
      <c r="C381" s="5" t="inlineStr">
        <is>
          <t>Orta</t>
        </is>
      </c>
      <c r="D381" s="6" t="inlineStr">
        <is>
          <t>Geçen yıl fon alan projelerin hepsinin adında 'hafıza' geçiyor.</t>
        </is>
      </c>
      <c r="E381" s="6" t="inlineStr"/>
      <c r="F381" s="5" t="inlineStr">
        <is>
          <t>E</t>
        </is>
      </c>
    </row>
    <row r="382">
      <c r="A382" s="5" t="inlineStr">
        <is>
          <t>ms-fon-basvurusu</t>
        </is>
      </c>
      <c r="B382" s="5" t="inlineStr">
        <is>
          <t>Akıl</t>
        </is>
      </c>
      <c r="C382" s="5" t="inlineStr">
        <is>
          <t>Kolay</t>
        </is>
      </c>
      <c r="D382" s="6" t="inlineStr">
        <is>
          <t>Değerlendirme ölçütlerinin yarısı 'sürdürülebilirlik'. Kelimeyi en az on bir kez kullan.</t>
        </is>
      </c>
      <c r="E382" s="6" t="inlineStr"/>
      <c r="F382" s="5" t="inlineStr"/>
    </row>
    <row r="383">
      <c r="A383" s="5" t="inlineStr">
        <is>
          <t>b8-doktor-stres</t>
        </is>
      </c>
      <c r="B383" s="5" t="inlineStr">
        <is>
          <t>Akıl</t>
        </is>
      </c>
      <c r="C383" s="5" t="inlineStr">
        <is>
          <t>Orta</t>
        </is>
      </c>
      <c r="D383" s="6" t="inlineStr">
        <is>
          <t>Stres kaynakları listelendi: kira, iş, aile, bir de 'stres yapmayın' tavsiyesi.</t>
        </is>
      </c>
      <c r="E383" s="6" t="inlineStr"/>
      <c r="F383" s="5" t="inlineStr"/>
    </row>
    <row r="384">
      <c r="A384" s="5" t="inlineStr">
        <is>
          <t>b8-doktor-stres</t>
        </is>
      </c>
      <c r="B384" s="5" t="inlineStr">
        <is>
          <t>Dayanıklılık</t>
        </is>
      </c>
      <c r="C384" s="5" t="inlineStr">
        <is>
          <t>Orta</t>
        </is>
      </c>
      <c r="D384" s="6" t="inlineStr">
        <is>
          <t>Yürüyüş. Günde otuz dakika. Doktor da bunu diyecekti, ama kapıda sıra var.</t>
        </is>
      </c>
      <c r="E384" s="6" t="inlineStr"/>
      <c r="F384" s="5" t="inlineStr">
        <is>
          <t>E</t>
        </is>
      </c>
    </row>
    <row r="385">
      <c r="A385" s="5" t="inlineStr">
        <is>
          <t>b8-cocuk-sinav</t>
        </is>
      </c>
      <c r="B385" s="5" t="inlineStr">
        <is>
          <t>Sosyal Radar</t>
        </is>
      </c>
      <c r="C385" s="5" t="inlineStr">
        <is>
          <t>Orta</t>
        </is>
      </c>
      <c r="D385" s="6" t="inlineStr">
        <is>
          <t>Veli grubunda üç veli deneme sonucunu paylaştı. Hepsi yukarı yuvarlanmış.</t>
        </is>
      </c>
      <c r="E385" s="6" t="inlineStr"/>
      <c r="F385" s="5" t="inlineStr"/>
    </row>
    <row r="386">
      <c r="A386" s="5" t="inlineStr">
        <is>
          <t>b8-cocuk-sinav</t>
        </is>
      </c>
      <c r="B386" s="5" t="inlineStr">
        <is>
          <t>İtibar</t>
        </is>
      </c>
      <c r="C386" s="5" t="inlineStr">
        <is>
          <t>Orta</t>
        </is>
      </c>
      <c r="D386" s="6" t="inlineStr">
        <is>
          <t>Sınav bir kapı. Tek kapı değil. Bunu ona sen söylemezsen kimse söylemeyecek.</t>
        </is>
      </c>
      <c r="E386" s="6" t="inlineStr"/>
      <c r="F386" s="5" t="inlineStr">
        <is>
          <t>E</t>
        </is>
      </c>
    </row>
    <row r="387">
      <c r="A387" s="5" t="inlineStr">
        <is>
          <t>mb-kisa-gorusme</t>
        </is>
      </c>
      <c r="B387" s="5" t="inlineStr">
        <is>
          <t>Sosyal Radar</t>
        </is>
      </c>
      <c r="C387" s="5" t="inlineStr">
        <is>
          <t>Orta</t>
        </is>
      </c>
      <c r="D387" s="6" t="inlineStr">
        <is>
          <t>İnsan kaynaklarından gelen kişi mavi bir dosya tutuyor. Mavi dosyalar kalıyor diyorlar.</t>
        </is>
      </c>
      <c r="E387" s="6" t="inlineStr"/>
      <c r="F387" s="5" t="inlineStr"/>
    </row>
    <row r="388">
      <c r="A388" s="5" t="inlineStr">
        <is>
          <t>mb-kisa-gorusme</t>
        </is>
      </c>
      <c r="B388" s="5" t="inlineStr">
        <is>
          <t>Kurnazlık</t>
        </is>
      </c>
      <c r="C388" s="5" t="inlineStr">
        <is>
          <t>Zor</t>
        </is>
      </c>
      <c r="D388" s="6" t="inlineStr">
        <is>
          <t>Odada su şişesi var. Kötü haber verilecek odalara hep su konur.</t>
        </is>
      </c>
      <c r="E388" s="6" t="inlineStr"/>
      <c r="F388" s="5" t="inlineStr"/>
    </row>
    <row r="389">
      <c r="A389" s="5" t="inlineStr">
        <is>
          <t>me-internet-satis</t>
        </is>
      </c>
      <c r="B389" s="5" t="inlineStr">
        <is>
          <t>Akıl</t>
        </is>
      </c>
      <c r="C389" s="5" t="inlineStr">
        <is>
          <t>Orta</t>
        </is>
      </c>
      <c r="D389" s="6" t="inlineStr">
        <is>
          <t>İnternetten satış bir vitrin değil; bir depo, bir kargo ve bir yıldız sistemidir. Yıldızlar acımasızdır.</t>
        </is>
      </c>
      <c r="E389" s="6" t="inlineStr"/>
      <c r="F389" s="5" t="inlineStr"/>
    </row>
    <row r="390">
      <c r="A390" s="5" t="inlineStr">
        <is>
          <t>mm-terfi-sinavi</t>
        </is>
      </c>
      <c r="B390" s="5" t="inlineStr">
        <is>
          <t>Akıl</t>
        </is>
      </c>
      <c r="C390" s="5" t="inlineStr">
        <is>
          <t>Orta</t>
        </is>
      </c>
      <c r="D390" s="6" t="inlineStr">
        <is>
          <t>Sorular yıllardır aynı kitaptan çıkıyor. Son baskıda tek bir madde değişmiş. Sorular o maddeden gelir.</t>
        </is>
      </c>
      <c r="E390" s="6" t="inlineStr"/>
      <c r="F390" s="5" t="inlineStr">
        <is>
          <t>E</t>
        </is>
      </c>
    </row>
    <row r="391">
      <c r="A391" s="5" t="inlineStr">
        <is>
          <t>mm-terfi-sinavi</t>
        </is>
      </c>
      <c r="B391" s="5" t="inlineStr">
        <is>
          <t>Dayanıklılık</t>
        </is>
      </c>
      <c r="C391" s="5" t="inlineStr">
        <is>
          <t>Kolay</t>
        </is>
      </c>
      <c r="D391" s="6" t="inlineStr">
        <is>
          <t>Bu yaşta sınava çalışmak, dizlerle maraton koşmak gibi. Yine de koşulur.</t>
        </is>
      </c>
      <c r="E391" s="6" t="inlineStr"/>
      <c r="F391" s="5" t="inlineStr"/>
    </row>
    <row r="392">
      <c r="A392" s="5" t="inlineStr">
        <is>
          <t>b8-dijital-para</t>
        </is>
      </c>
      <c r="B392" s="5" t="inlineStr">
        <is>
          <t>Kurnazlık</t>
        </is>
      </c>
      <c r="C392" s="5" t="inlineStr">
        <is>
          <t>Orta</t>
        </is>
      </c>
      <c r="D392" s="6" t="inlineStr">
        <is>
          <t>'Hâlâ erken' diyen herkes aslında geç kalmıştır. Seni de yanına çağırıyor.</t>
        </is>
      </c>
      <c r="E392" s="6" t="inlineStr"/>
      <c r="F392" s="5" t="inlineStr"/>
    </row>
    <row r="393">
      <c r="A393" s="5" t="inlineStr">
        <is>
          <t>b8-dijital-para</t>
        </is>
      </c>
      <c r="B393" s="5" t="inlineStr">
        <is>
          <t>Akıl</t>
        </is>
      </c>
      <c r="C393" s="5" t="inlineStr">
        <is>
          <t>Zor</t>
        </is>
      </c>
      <c r="D393" s="6" t="inlineStr">
        <is>
          <t>Borçla alınan varlığın grafiği ne olursa olsun, borcun grafiği hep yukarı bakar.</t>
        </is>
      </c>
      <c r="E393" s="6" t="inlineStr"/>
      <c r="F393" s="5" t="inlineStr">
        <is>
          <t>E</t>
        </is>
      </c>
    </row>
    <row r="394">
      <c r="A394" s="5" t="inlineStr">
        <is>
          <t>b8-o-cumle</t>
        </is>
      </c>
      <c r="B394" s="5" t="inlineStr">
        <is>
          <t>İtibar</t>
        </is>
      </c>
      <c r="C394" s="5" t="inlineStr">
        <is>
          <t>Orta</t>
        </is>
      </c>
      <c r="D394" s="6" t="inlineStr">
        <is>
          <t>Kurma. Otuz yıl önce o cümleyi duyduğunda ne hissettiğini hatırla.</t>
        </is>
      </c>
      <c r="E394" s="6" t="inlineStr"/>
      <c r="F394" s="5" t="inlineStr"/>
    </row>
    <row r="395">
      <c r="A395" s="5" t="inlineStr">
        <is>
          <t>b8-o-cumle</t>
        </is>
      </c>
      <c r="B395" s="5" t="inlineStr">
        <is>
          <t>Pişkinlik</t>
        </is>
      </c>
      <c r="C395" s="5" t="inlineStr">
        <is>
          <t>Kolay</t>
        </is>
      </c>
      <c r="D395" s="6" t="inlineStr">
        <is>
          <t>Kur. Her kuşağın bir kez söyleme hakkı vardır. Bu senin hakkın.</t>
        </is>
      </c>
      <c r="E395" s="6" t="inlineStr"/>
      <c r="F395" s="5" t="inlineStr"/>
    </row>
    <row r="396">
      <c r="A396" s="5" t="inlineStr">
        <is>
          <t>b8-evli-rutin</t>
        </is>
      </c>
      <c r="B396" s="5" t="inlineStr">
        <is>
          <t>Sosyal Radar</t>
        </is>
      </c>
      <c r="C396" s="5" t="inlineStr">
        <is>
          <t>Kolay</t>
        </is>
      </c>
      <c r="D396" s="6" t="inlineStr">
        <is>
          <t>Yirmi yıllık evlilikte en romantik cümle: 'Senin için de koydum.'</t>
        </is>
      </c>
      <c r="E396" s="6" t="inlineStr"/>
      <c r="F396" s="5" t="inlineStr"/>
    </row>
    <row r="397">
      <c r="A397" s="5" t="inlineStr">
        <is>
          <t>b8-evli-rutin</t>
        </is>
      </c>
      <c r="B397" s="5" t="inlineStr">
        <is>
          <t>İtibar</t>
        </is>
      </c>
      <c r="C397" s="5" t="inlineStr">
        <is>
          <t>Orta</t>
        </is>
      </c>
      <c r="D397" s="6" t="inlineStr">
        <is>
          <t>En son ne zaman 'Nasılsın?' diye sordun? Cevabı dinlemek için?</t>
        </is>
      </c>
      <c r="E397" s="6" t="inlineStr"/>
      <c r="F397" s="5" t="inlineStr">
        <is>
          <t>E</t>
        </is>
      </c>
    </row>
    <row r="398">
      <c r="A398" s="5" t="inlineStr">
        <is>
          <t>b8-cocuk-odasi</t>
        </is>
      </c>
      <c r="B398" s="5" t="inlineStr">
        <is>
          <t>Sosyal Radar</t>
        </is>
      </c>
      <c r="C398" s="5" t="inlineStr">
        <is>
          <t>Kolay</t>
        </is>
      </c>
      <c r="D398" s="6" t="inlineStr">
        <is>
          <t>Kapıdaki 'Girmeyin' yazısı dekoratif değil. Ama sen de dekoratif değilsin.</t>
        </is>
      </c>
      <c r="E398" s="6" t="inlineStr"/>
      <c r="F398" s="5" t="inlineStr"/>
    </row>
    <row r="399">
      <c r="A399" s="5" t="inlineStr">
        <is>
          <t>b8-cocuk-odasi</t>
        </is>
      </c>
      <c r="B399" s="5" t="inlineStr">
        <is>
          <t>Dayanıklılık</t>
        </is>
      </c>
      <c r="C399" s="5" t="inlineStr">
        <is>
          <t>Orta</t>
        </is>
      </c>
      <c r="D399" s="6" t="inlineStr">
        <is>
          <t>Bu bir oda değil, kazı alanı. Katmanlar dönemleri gösteriyor.</t>
        </is>
      </c>
      <c r="E399" s="6" t="inlineStr"/>
      <c r="F399" s="5" t="inlineStr"/>
    </row>
    <row r="400">
      <c r="A400" s="5" t="inlineStr">
        <is>
          <t>ms-eski-musteri</t>
        </is>
      </c>
      <c r="B400" s="5" t="inlineStr">
        <is>
          <t>Kurnazlık</t>
        </is>
      </c>
      <c r="C400" s="5" t="inlineStr">
        <is>
          <t>Orta</t>
        </is>
      </c>
      <c r="D400" s="6" t="inlineStr">
        <is>
          <t>'Sizi özledik' cümlesi finans dilinde 'bütçemiz yok' demektir.</t>
        </is>
      </c>
      <c r="E400" s="6" t="inlineStr"/>
      <c r="F400" s="5" t="inlineStr"/>
    </row>
    <row r="401">
      <c r="A401" s="5" t="inlineStr">
        <is>
          <t>ms-eski-musteri</t>
        </is>
      </c>
      <c r="B401" s="5" t="inlineStr">
        <is>
          <t>Sosyal Radar</t>
        </is>
      </c>
      <c r="C401" s="5" t="inlineStr">
        <is>
          <t>Kolay</t>
        </is>
      </c>
      <c r="D401" s="6" t="inlineStr">
        <is>
          <t>Mesajı yazan kişi yeni. Eski muhasebeci çoktan ayrılmış. Borç ise kalmış.</t>
        </is>
      </c>
      <c r="E401" s="6" t="inlineStr"/>
      <c r="F401" s="5" t="inlineStr"/>
    </row>
    <row r="402">
      <c r="A402" s="5" t="inlineStr">
        <is>
          <t>b8-lise-bulusmasi</t>
        </is>
      </c>
      <c r="B402" s="5" t="inlineStr">
        <is>
          <t>Sosyal Radar</t>
        </is>
      </c>
      <c r="C402" s="5" t="inlineStr">
        <is>
          <t>Orta</t>
        </is>
      </c>
      <c r="D402" s="6" t="inlineStr">
        <is>
          <t>Salonda üç boşanma, iki yurt dışı, bir de hâlâ aynı sevgili var. Tahmin et hangisi hangisi.</t>
        </is>
      </c>
      <c r="E402" s="6" t="inlineStr"/>
      <c r="F402" s="5" t="inlineStr">
        <is>
          <t>E</t>
        </is>
      </c>
    </row>
    <row r="403">
      <c r="A403" s="5" t="inlineStr">
        <is>
          <t>b8-lise-bulusmasi</t>
        </is>
      </c>
      <c r="B403" s="5" t="inlineStr">
        <is>
          <t>Pişkinlik</t>
        </is>
      </c>
      <c r="C403" s="5" t="inlineStr">
        <is>
          <t>Kolay</t>
        </is>
      </c>
      <c r="D403" s="6" t="inlineStr">
        <is>
          <t>Unvanını söylerken sesini bir ton kalınlaştır. Kimse kontrol etmez.</t>
        </is>
      </c>
      <c r="E403" s="6" t="inlineStr"/>
      <c r="F403" s="5" t="inlineStr"/>
    </row>
    <row r="404">
      <c r="A404" s="5" t="inlineStr">
        <is>
          <t>b8-sahte-haber</t>
        </is>
      </c>
      <c r="B404" s="5" t="inlineStr">
        <is>
          <t>Sosyal Radar</t>
        </is>
      </c>
      <c r="C404" s="5" t="inlineStr">
        <is>
          <t>Orta</t>
        </is>
      </c>
      <c r="D404" s="6" t="inlineStr">
        <is>
          <t>Amca aslında haber değil, ilgi paylaşıyor. Son mesajına kimse cevap yazmamıştı.</t>
        </is>
      </c>
      <c r="E404" s="6" t="inlineStr"/>
      <c r="F404" s="5" t="inlineStr"/>
    </row>
    <row r="405">
      <c r="A405" s="5" t="inlineStr">
        <is>
          <t>b8-sahte-haber</t>
        </is>
      </c>
      <c r="B405" s="5" t="inlineStr">
        <is>
          <t>Akıl</t>
        </is>
      </c>
      <c r="C405" s="5" t="inlineStr">
        <is>
          <t>Kolay</t>
        </is>
      </c>
      <c r="D405" s="6" t="inlineStr">
        <is>
          <t>Kaynak: 'Bir tanıdığın tanıdığı mühendis.' Mühendisin uzmanlık alanı: tanıdık olmak.</t>
        </is>
      </c>
      <c r="E405" s="6" t="inlineStr"/>
      <c r="F405" s="5" t="inlineStr"/>
    </row>
    <row r="406">
      <c r="A406" s="5" t="inlineStr">
        <is>
          <t>mb-asansorde-genel-mudur</t>
        </is>
      </c>
      <c r="B406" s="5" t="inlineStr">
        <is>
          <t>Sosyal Radar</t>
        </is>
      </c>
      <c r="C406" s="5" t="inlineStr">
        <is>
          <t>Orta</t>
        </is>
      </c>
      <c r="D406" s="6" t="inlineStr">
        <is>
          <t>Genel müdürün çantasından bir balık yemi paketi görünüyor. Hafta sonları gölde.</t>
        </is>
      </c>
      <c r="E406" s="6" t="inlineStr"/>
      <c r="F406" s="5" t="inlineStr">
        <is>
          <t>E</t>
        </is>
      </c>
    </row>
    <row r="407">
      <c r="A407" s="5" t="inlineStr">
        <is>
          <t>mb-asansorde-genel-mudur</t>
        </is>
      </c>
      <c r="B407" s="5" t="inlineStr">
        <is>
          <t>Pişkinlik</t>
        </is>
      </c>
      <c r="C407" s="5" t="inlineStr">
        <is>
          <t>Kolay</t>
        </is>
      </c>
      <c r="D407" s="6" t="inlineStr">
        <is>
          <t>Kırk dakika. Bu, kariyerinin en uzun birebir görüşmesi.</t>
        </is>
      </c>
      <c r="E407" s="6" t="inlineStr"/>
      <c r="F407" s="5" t="inlineStr"/>
    </row>
    <row r="408">
      <c r="A408" s="5" t="inlineStr">
        <is>
          <t>mm-vatandasla-diyalog</t>
        </is>
      </c>
      <c r="B408" s="5" t="inlineStr">
        <is>
          <t>Sosyal Radar</t>
        </is>
      </c>
      <c r="C408" s="5" t="inlineStr">
        <is>
          <t>Orta</t>
        </is>
      </c>
      <c r="D408" s="6" t="inlineStr">
        <is>
          <t>Kendisi de emin değil. Telefonundan bir numara arıyor; açılmıyor.</t>
        </is>
      </c>
      <c r="E408" s="6" t="inlineStr"/>
      <c r="F408" s="5" t="inlineStr"/>
    </row>
    <row r="409">
      <c r="A409" s="5" t="inlineStr">
        <is>
          <t>mm-vatandasla-diyalog</t>
        </is>
      </c>
      <c r="B409" s="5" t="inlineStr">
        <is>
          <t>Pişkinlik</t>
        </is>
      </c>
      <c r="C409" s="5" t="inlineStr">
        <is>
          <t>Zor</t>
        </is>
      </c>
      <c r="D409" s="6" t="inlineStr">
        <is>
          <t>Cevabın hazır: 'Siz de benim kim olduğumu bilmiyorsunuz. Ben masayım.'</t>
        </is>
      </c>
      <c r="E409" s="6" t="inlineStr"/>
      <c r="F409" s="5" t="inlineStr">
        <is>
          <t>E</t>
        </is>
      </c>
    </row>
    <row r="410">
      <c r="A410" s="5" t="inlineStr">
        <is>
          <t>b8-yeni-hobi</t>
        </is>
      </c>
      <c r="B410" s="5" t="inlineStr">
        <is>
          <t>Akıl</t>
        </is>
      </c>
      <c r="C410" s="5" t="inlineStr">
        <is>
          <t>Orta</t>
        </is>
      </c>
      <c r="D410" s="6" t="inlineStr">
        <is>
          <t>Hobi, emeğin karşılığı alınmayan hâlidir. Ekipman yine de peşin ödenir.</t>
        </is>
      </c>
      <c r="E410" s="6" t="inlineStr"/>
      <c r="F410" s="5" t="inlineStr"/>
    </row>
    <row r="411">
      <c r="A411" s="5" t="inlineStr">
        <is>
          <t>b8-yeni-hobi</t>
        </is>
      </c>
      <c r="B411" s="5" t="inlineStr">
        <is>
          <t>Cesaret</t>
        </is>
      </c>
      <c r="C411" s="5" t="inlineStr">
        <is>
          <t>Kolay</t>
        </is>
      </c>
      <c r="D411" s="6" t="inlineStr">
        <is>
          <t>Paraşüt. Kararı gökyüzü versin.</t>
        </is>
      </c>
      <c r="E411" s="6" t="inlineStr"/>
      <c r="F411" s="5" t="inlineStr"/>
    </row>
    <row r="412">
      <c r="A412" s="5" t="inlineStr">
        <is>
          <t>b8-maraton</t>
        </is>
      </c>
      <c r="B412" s="5" t="inlineStr">
        <is>
          <t>Dayanıklılık</t>
        </is>
      </c>
      <c r="C412" s="5" t="inlineStr">
        <is>
          <t>Orta</t>
        </is>
      </c>
      <c r="D412" s="6" t="inlineStr">
        <is>
          <t>Otuz beşinci kilometrede bir duvara çarpacaksın. Duvar görünmez, ama çok sağlam.</t>
        </is>
      </c>
      <c r="E412" s="6" t="inlineStr"/>
      <c r="F412" s="5" t="inlineStr"/>
    </row>
    <row r="413">
      <c r="A413" s="5" t="inlineStr">
        <is>
          <t>b8-maraton</t>
        </is>
      </c>
      <c r="B413" s="5" t="inlineStr">
        <is>
          <t>Kurnazlık</t>
        </is>
      </c>
      <c r="C413" s="5" t="inlineStr">
        <is>
          <t>Kolay</t>
        </is>
      </c>
      <c r="D413" s="6" t="inlineStr">
        <is>
          <t>Son kilometrede sponsor standında bedava içecek var. Bedava olan her şeyin bir bedeli vardır; bu seferki zamanlama.</t>
        </is>
      </c>
      <c r="E413" s="6" t="inlineStr"/>
      <c r="F413" s="5" t="inlineStr"/>
    </row>
    <row r="414">
      <c r="A414" s="5" t="inlineStr">
        <is>
          <t>b8-yeniden-egitim</t>
        </is>
      </c>
      <c r="B414" s="5" t="inlineStr">
        <is>
          <t>Akıl</t>
        </is>
      </c>
      <c r="C414" s="5" t="inlineStr">
        <is>
          <t>Orta</t>
        </is>
      </c>
      <c r="D414" s="6" t="inlineStr">
        <is>
          <t>Bu yaşta öğrenmek daha yavaş değildir. Sadece daha çok itiraz edersin.</t>
        </is>
      </c>
      <c r="E414" s="6" t="inlineStr"/>
      <c r="F414" s="5" t="inlineStr"/>
    </row>
    <row r="415">
      <c r="A415" s="5" t="inlineStr">
        <is>
          <t>b8-yeniden-egitim</t>
        </is>
      </c>
      <c r="B415" s="5" t="inlineStr">
        <is>
          <t>Cesaret</t>
        </is>
      </c>
      <c r="C415" s="5" t="inlineStr">
        <is>
          <t>Zor</t>
        </is>
      </c>
      <c r="D415" s="6" t="inlineStr">
        <is>
          <t>Sınıftaki yirmi yaşındakiler sana 'hocam' diyecek. Hoca değilsin. Düzeltme; tadını çıkar.</t>
        </is>
      </c>
      <c r="E415" s="6" t="inlineStr"/>
      <c r="F415" s="5" t="inlineStr">
        <is>
          <t>E</t>
        </is>
      </c>
    </row>
    <row r="416">
      <c r="A416" s="5" t="inlineStr">
        <is>
          <t>b8-yazlik</t>
        </is>
      </c>
      <c r="B416" s="5" t="inlineStr">
        <is>
          <t>Kurnazlık</t>
        </is>
      </c>
      <c r="C416" s="5" t="inlineStr">
        <is>
          <t>Orta</t>
        </is>
      </c>
      <c r="D416" s="6" t="inlineStr">
        <is>
          <t>Emlakçı 'Bu fiyata bir daha bulamazsınız' dedi. Bulamayacaksın, çünkü kimse aramayacak.</t>
        </is>
      </c>
      <c r="E416" s="6" t="inlineStr"/>
      <c r="F416" s="5" t="inlineStr"/>
    </row>
    <row r="417">
      <c r="A417" s="5" t="inlineStr">
        <is>
          <t>b8-yazlik</t>
        </is>
      </c>
      <c r="B417" s="5" t="inlineStr">
        <is>
          <t>Akıl</t>
        </is>
      </c>
      <c r="C417" s="5" t="inlineStr">
        <is>
          <t>Kolay</t>
        </is>
      </c>
      <c r="D417" s="6" t="inlineStr">
        <is>
          <t>Yılda üç hafta kullanılacak bir ev için on iki ay aidat. Hesap kendini yapıyor.</t>
        </is>
      </c>
      <c r="E417" s="6" t="inlineStr"/>
      <c r="F417" s="5" t="inlineStr"/>
    </row>
    <row r="418">
      <c r="A418" s="5" t="inlineStr">
        <is>
          <t>b8-ilac-kutusu</t>
        </is>
      </c>
      <c r="B418" s="5" t="inlineStr">
        <is>
          <t>Akıl</t>
        </is>
      </c>
      <c r="C418" s="5" t="inlineStr">
        <is>
          <t>Orta</t>
        </is>
      </c>
      <c r="D418" s="6" t="inlineStr">
        <is>
          <t>Sabah, öğle, akşam. Aç, tok. Bir de 'Doktora sormadan bırakmayın.' Sistem bu üç kurala dayanır.</t>
        </is>
      </c>
      <c r="E418" s="6" t="inlineStr"/>
      <c r="F418" s="5" t="inlineStr"/>
    </row>
    <row r="419">
      <c r="A419" s="5" t="inlineStr">
        <is>
          <t>b8-ilac-kutusu</t>
        </is>
      </c>
      <c r="B419" s="5" t="inlineStr">
        <is>
          <t>İtibar</t>
        </is>
      </c>
      <c r="C419" s="5" t="inlineStr">
        <is>
          <t>Kolay</t>
        </is>
      </c>
      <c r="D419" s="6" t="inlineStr">
        <is>
          <t>Onlar da seni böyle beslemişti: saatinde, gözünü ayırmadan.</t>
        </is>
      </c>
      <c r="E419" s="6" t="inlineStr"/>
      <c r="F419" s="5" t="inlineStr"/>
    </row>
    <row r="420">
      <c r="A420" s="5" t="inlineStr">
        <is>
          <t>b8-site-yoneticisi</t>
        </is>
      </c>
      <c r="B420" s="5" t="inlineStr">
        <is>
          <t>Sosyal Radar</t>
        </is>
      </c>
      <c r="C420" s="5" t="inlineStr">
        <is>
          <t>Orta</t>
        </is>
      </c>
      <c r="D420" s="6" t="inlineStr">
        <is>
          <t>Üçüncü kattaki komşu yöneticilik için dosya hazırlamış ama aday olmuyor. Dosya çantasında.</t>
        </is>
      </c>
      <c r="E420" s="6" t="inlineStr"/>
      <c r="F420" s="5" t="inlineStr"/>
    </row>
    <row r="421">
      <c r="A421" s="5" t="inlineStr">
        <is>
          <t>b8-site-yoneticisi</t>
        </is>
      </c>
      <c r="B421" s="5" t="inlineStr">
        <is>
          <t>İtibar</t>
        </is>
      </c>
      <c r="C421" s="5" t="inlineStr">
        <is>
          <t>Kolay</t>
        </is>
      </c>
      <c r="D421" s="6" t="inlineStr">
        <is>
          <t>Birinin kedilere mama koyması gerekiyor. Birinin de bu toplantıyı bitirmesi.</t>
        </is>
      </c>
      <c r="E421" s="6" t="inlineStr"/>
      <c r="F421" s="5" t="inlineStr"/>
    </row>
    <row r="422">
      <c r="A422" s="5" t="inlineStr">
        <is>
          <t>mb-genc-yonetici</t>
        </is>
      </c>
      <c r="B422" s="5" t="inlineStr">
        <is>
          <t>Dayanıklılık</t>
        </is>
      </c>
      <c r="C422" s="5" t="inlineStr">
        <is>
          <t>Orta</t>
        </is>
      </c>
      <c r="D422" s="6" t="inlineStr">
        <is>
          <t>Bu şirketten dört yeniden yapılanma, üç logo ve iki bina geçti. Sen hâlâ buradasın.</t>
        </is>
      </c>
      <c r="E422" s="6" t="inlineStr"/>
      <c r="F422" s="5" t="inlineStr"/>
    </row>
    <row r="423">
      <c r="A423" s="5" t="inlineStr">
        <is>
          <t>ms-atolye-kirasi</t>
        </is>
      </c>
      <c r="B423" s="5" t="inlineStr">
        <is>
          <t>İtibar</t>
        </is>
      </c>
      <c r="C423" s="5" t="inlineStr">
        <is>
          <t>Orta</t>
        </is>
      </c>
      <c r="D423" s="6" t="inlineStr">
        <is>
          <t>Mahallenin ilk duvar resmi seninkiydi. Şimdi o duvarın önünde bir emlak ilanı duruyor.</t>
        </is>
      </c>
      <c r="E423" s="6" t="inlineStr"/>
      <c r="F423" s="5" t="inlineStr"/>
    </row>
    <row r="424">
      <c r="A424" s="5" t="inlineStr">
        <is>
          <t>ms-atolye-kirasi</t>
        </is>
      </c>
      <c r="B424" s="5" t="inlineStr">
        <is>
          <t>Kurnazlık</t>
        </is>
      </c>
      <c r="C424" s="5" t="inlineStr">
        <is>
          <t>Kolay</t>
        </is>
      </c>
      <c r="D424" s="6" t="inlineStr">
        <is>
          <t>Ev sahibi sanattan değil, kiradan anlıyor. Ama duvara kendi portresi asılsın ister.</t>
        </is>
      </c>
      <c r="E424" s="6" t="inlineStr"/>
      <c r="F424" s="5" t="inlineStr"/>
    </row>
    <row r="425">
      <c r="A425" s="5" t="inlineStr">
        <is>
          <t>b8-bakim-evraki</t>
        </is>
      </c>
      <c r="B425" s="5" t="inlineStr">
        <is>
          <t>Kurnazlık</t>
        </is>
      </c>
      <c r="C425" s="5" t="inlineStr">
        <is>
          <t>Orta</t>
        </is>
      </c>
      <c r="D425" s="6" t="inlineStr">
        <is>
          <t>Üç numaralı pencere eksik evrak diye geri gönderdiklerinin yarısını yediye yolluyor. Yedi numara boş.</t>
        </is>
      </c>
      <c r="E425" s="6" t="inlineStr"/>
      <c r="F425" s="5" t="inlineStr">
        <is>
          <t>E</t>
        </is>
      </c>
    </row>
    <row r="426">
      <c r="A426" s="5" t="inlineStr">
        <is>
          <t>b8-bakim-evraki</t>
        </is>
      </c>
      <c r="B426" s="5" t="inlineStr">
        <is>
          <t>Dayanıklılık</t>
        </is>
      </c>
      <c r="C426" s="5" t="inlineStr">
        <is>
          <t>Kolay</t>
        </is>
      </c>
      <c r="D426" s="6" t="inlineStr">
        <is>
          <t>Termosa çay koymuştun. İyi etmişsin.</t>
        </is>
      </c>
      <c r="E426" s="6" t="inlineStr"/>
      <c r="F426" s="5" t="inlineStr"/>
    </row>
    <row r="427">
      <c r="A427" s="5" t="inlineStr">
        <is>
          <t>b8-ikinci-bahar</t>
        </is>
      </c>
      <c r="B427" s="5" t="inlineStr">
        <is>
          <t>Cesaret</t>
        </is>
      </c>
      <c r="C427" s="5" t="inlineStr">
        <is>
          <t>Orta</t>
        </is>
      </c>
      <c r="D427" s="6" t="inlineStr">
        <is>
          <t>Bu kez kimseye bir şey kanıtlamak zorunda değilsin. Gel, kahveni iç.</t>
        </is>
      </c>
      <c r="E427" s="6" t="inlineStr"/>
      <c r="F427" s="5" t="inlineStr"/>
    </row>
    <row r="428">
      <c r="A428" s="5" t="inlineStr">
        <is>
          <t>b8-ikinci-bahar</t>
        </is>
      </c>
      <c r="B428" s="5" t="inlineStr">
        <is>
          <t>Sosyal Radar</t>
        </is>
      </c>
      <c r="C428" s="5" t="inlineStr">
        <is>
          <t>Zor</t>
        </is>
      </c>
      <c r="D428" s="6" t="inlineStr">
        <is>
          <t>Karşındaki de en az senin kadar gergin. Menüyü üç kez okudu ve yine de çay istedi.</t>
        </is>
      </c>
      <c r="E428" s="6" t="inlineStr"/>
      <c r="F428" s="5" t="inlineStr">
        <is>
          <t>E</t>
        </is>
      </c>
    </row>
    <row r="429">
      <c r="A429" s="5" t="inlineStr">
        <is>
          <t>me-dernek-secimi</t>
        </is>
      </c>
      <c r="B429" s="5" t="inlineStr">
        <is>
          <t>Çene</t>
        </is>
      </c>
      <c r="C429" s="5" t="inlineStr">
        <is>
          <t>Orta</t>
        </is>
      </c>
      <c r="D429" s="6" t="inlineStr">
        <is>
          <t>Çarşıda seçim çay ocağında kazanılır. Kaç bardak ısmarlarsan o kadar oy.</t>
        </is>
      </c>
      <c r="E429" s="6" t="inlineStr"/>
      <c r="F429" s="5" t="inlineStr"/>
    </row>
    <row r="430">
      <c r="A430" s="5" t="inlineStr">
        <is>
          <t>me-dernek-secimi</t>
        </is>
      </c>
      <c r="B430" s="5" t="inlineStr">
        <is>
          <t>Kurnazlık</t>
        </is>
      </c>
      <c r="C430" s="5" t="inlineStr">
        <is>
          <t>Zor</t>
        </is>
      </c>
      <c r="D430" s="6" t="inlineStr">
        <is>
          <t>Başkanın listesi uzun ama her ismin yanında bir kırgınlık var. Kırgınları topla.</t>
        </is>
      </c>
      <c r="E430" s="6" t="inlineStr"/>
      <c r="F430" s="5" t="inlineStr"/>
    </row>
    <row r="431">
      <c r="A431" s="5" t="inlineStr">
        <is>
          <t>mm-ikinci-is-hayali</t>
        </is>
      </c>
      <c r="B431" s="5" t="inlineStr">
        <is>
          <t>Kurnazlık</t>
        </is>
      </c>
      <c r="C431" s="5" t="inlineStr">
        <is>
          <t>Orta</t>
        </is>
      </c>
      <c r="D431" s="6" t="inlineStr">
        <is>
          <t>Kafe açan her memur ikinci ayında 'Keşke masamda kalsaydım' der. Kaynağım: kafe açan memurlar.</t>
        </is>
      </c>
      <c r="E431" s="6" t="inlineStr"/>
      <c r="F431" s="5" t="inlineStr"/>
    </row>
    <row r="432">
      <c r="A432" s="5" t="inlineStr">
        <is>
          <t>mm-ikinci-is-hayali</t>
        </is>
      </c>
      <c r="B432" s="5" t="inlineStr">
        <is>
          <t>İtibar</t>
        </is>
      </c>
      <c r="C432" s="5" t="inlineStr">
        <is>
          <t>Kolay</t>
        </is>
      </c>
      <c r="D432" s="6" t="inlineStr">
        <is>
          <t>Hayal kurmak bedava. Kafede çay bedava değil.</t>
        </is>
      </c>
      <c r="E432" s="6" t="inlineStr"/>
      <c r="F432" s="5" t="inlineStr"/>
    </row>
    <row r="433">
      <c r="A433" s="5" t="inlineStr">
        <is>
          <t>b8-cocuk-fenomen</t>
        </is>
      </c>
      <c r="B433" s="5" t="inlineStr">
        <is>
          <t>Pişkinlik</t>
        </is>
      </c>
      <c r="C433" s="5" t="inlineStr">
        <is>
          <t>Orta</t>
        </is>
      </c>
      <c r="D433" s="6" t="inlineStr">
        <is>
          <t>Milyon izlenme. Hayatında hiçbir işle milyon kişiye ulaşmadın. Şimdi ulaştın; yüzünle, ama olsun.</t>
        </is>
      </c>
      <c r="E433" s="6" t="inlineStr"/>
      <c r="F433" s="5" t="inlineStr"/>
    </row>
    <row r="434">
      <c r="A434" s="5" t="inlineStr">
        <is>
          <t>b8-cocuk-fenomen</t>
        </is>
      </c>
      <c r="B434" s="5" t="inlineStr">
        <is>
          <t>Sosyal Radar</t>
        </is>
      </c>
      <c r="C434" s="5" t="inlineStr">
        <is>
          <t>Kolay</t>
        </is>
      </c>
      <c r="D434" s="6" t="inlineStr">
        <is>
          <t>Yorumlar okunmaz. Ama biri 'Bu benim babama benziyor' yazmış. Hem hakaret hem iltifat.</t>
        </is>
      </c>
      <c r="E434" s="6" t="inlineStr"/>
      <c r="F434" s="5" t="inlineStr"/>
    </row>
    <row r="435">
      <c r="A435" s="5" t="inlineStr">
        <is>
          <t>b8-yapay-zeka-egitimi</t>
        </is>
      </c>
      <c r="B435" s="5" t="inlineStr">
        <is>
          <t>Pişkinlik</t>
        </is>
      </c>
      <c r="C435" s="5" t="inlineStr">
        <is>
          <t>Kolay</t>
        </is>
      </c>
      <c r="D435" s="6" t="inlineStr">
        <is>
          <t>Sen bu şirkette faksın ne olduğunu bilen son kişisin. Bu da bir tür uzmanlık.</t>
        </is>
      </c>
      <c r="E435" s="6" t="inlineStr"/>
      <c r="F435" s="5" t="inlineStr"/>
    </row>
    <row r="436">
      <c r="A436" s="5" t="inlineStr">
        <is>
          <t>b8-yapay-zeka-egitimi</t>
        </is>
      </c>
      <c r="B436" s="5" t="inlineStr">
        <is>
          <t>Akıl</t>
        </is>
      </c>
      <c r="C436" s="5" t="inlineStr">
        <is>
          <t>Orta</t>
        </is>
      </c>
      <c r="D436" s="6" t="inlineStr">
        <is>
          <t>Yapay zekâ bir asistan. Sen de yıllardır bir asistanın asistanıydın. Tanıdık bir ilişki.</t>
        </is>
      </c>
      <c r="E436" s="6" t="inlineStr"/>
      <c r="F436" s="5" t="inlineStr"/>
    </row>
    <row r="437">
      <c r="A437" s="5" t="inlineStr">
        <is>
          <t>b8-emeklilik-hesabi</t>
        </is>
      </c>
      <c r="B437" s="5" t="inlineStr">
        <is>
          <t>Akıl</t>
        </is>
      </c>
      <c r="C437" s="5" t="inlineStr">
        <is>
          <t>Zor</t>
        </is>
      </c>
      <c r="D437" s="6" t="inlineStr">
        <is>
          <t>Prim günü, yaş şartı, bir de her yıl değişen kural. Hesap, hareketli bir hedefe nişan alıyor.</t>
        </is>
      </c>
      <c r="E437" s="6" t="inlineStr"/>
      <c r="F437" s="5" t="inlineStr"/>
    </row>
    <row r="438">
      <c r="A438" s="5" t="inlineStr">
        <is>
          <t>b8-emeklilik-hesabi</t>
        </is>
      </c>
      <c r="B438" s="5" t="inlineStr">
        <is>
          <t>Kurnazlık</t>
        </is>
      </c>
      <c r="C438" s="5" t="inlineStr">
        <is>
          <t>Orta</t>
        </is>
      </c>
      <c r="D438" s="6" t="inlineStr">
        <is>
          <t>Eksik günleri borçlanarak satın alabilirsin. Zaman satın almak hiç bu kadar bürokratik olmamıştı.</t>
        </is>
      </c>
      <c r="E438" s="6" t="inlineStr"/>
      <c r="F438" s="5" t="inlineStr"/>
    </row>
    <row r="439">
      <c r="A439" s="5" t="inlineStr">
        <is>
          <t>b8-bos-yuva</t>
        </is>
      </c>
      <c r="B439" s="5" t="inlineStr">
        <is>
          <t>İtibar</t>
        </is>
      </c>
      <c r="C439" s="5" t="inlineStr">
        <is>
          <t>Orta</t>
        </is>
      </c>
      <c r="D439" s="6" t="inlineStr">
        <is>
          <t>Yıllarca 'Şu odayı topla' dedin. Toplandı. Şimdi ne diyeceksin?</t>
        </is>
      </c>
      <c r="E439" s="6" t="inlineStr"/>
      <c r="F439" s="5" t="inlineStr"/>
    </row>
    <row r="440">
      <c r="A440" s="5" t="inlineStr">
        <is>
          <t>b8-bos-yuva</t>
        </is>
      </c>
      <c r="B440" s="5" t="inlineStr">
        <is>
          <t>Pişkinlik</t>
        </is>
      </c>
      <c r="C440" s="5" t="inlineStr">
        <is>
          <t>Kolay</t>
        </is>
      </c>
      <c r="D440" s="6" t="inlineStr">
        <is>
          <t>Bu oda artık bir çalışma odası, bir spor odası ya da bir ütü odası olabilir. Kararı hızlı ver, çocuk dönmeden.</t>
        </is>
      </c>
      <c r="E440" s="6" t="inlineStr"/>
      <c r="F440" s="5" t="inlineStr"/>
    </row>
    <row r="441">
      <c r="A441" s="5" t="inlineStr">
        <is>
          <t>b8-son-taksit</t>
        </is>
      </c>
      <c r="B441" s="5" t="inlineStr">
        <is>
          <t>Kurnazlık</t>
        </is>
      </c>
      <c r="C441" s="5" t="inlineStr">
        <is>
          <t>Orta</t>
        </is>
      </c>
      <c r="D441" s="6" t="inlineStr">
        <is>
          <t>Bankanın tebrik mesajı ile kredi teklifi arasında kırk saniye var. Duygusal bir kırk saniye.</t>
        </is>
      </c>
      <c r="E441" s="6" t="inlineStr"/>
      <c r="F441" s="5" t="inlineStr"/>
    </row>
    <row r="442">
      <c r="A442" s="5" t="inlineStr">
        <is>
          <t>b8-son-taksit</t>
        </is>
      </c>
      <c r="B442" s="5" t="inlineStr">
        <is>
          <t>İtibar</t>
        </is>
      </c>
      <c r="C442" s="5" t="inlineStr">
        <is>
          <t>Kolay</t>
        </is>
      </c>
      <c r="D442" s="6" t="inlineStr">
        <is>
          <t>Evin artık tamamen senin. Duvardaki çatlak da. Onu kimse ödemedi.</t>
        </is>
      </c>
      <c r="E442" s="6" t="inlineStr"/>
      <c r="F442" s="5" t="inlineStr"/>
    </row>
    <row r="443">
      <c r="A443" s="5" t="inlineStr">
        <is>
          <t>b9-yazi-boyutu</t>
        </is>
      </c>
      <c r="B443" s="5" t="inlineStr">
        <is>
          <t>Akıl</t>
        </is>
      </c>
      <c r="C443" s="5" t="inlineStr">
        <is>
          <t>Kolay</t>
        </is>
      </c>
      <c r="D443" s="6" t="inlineStr">
        <is>
          <t>Ayarlar menüsünde 'Erişilebilirlik' diye bir bölüm var. Adı seni kırmasın; herkes orada.</t>
        </is>
      </c>
      <c r="E443" s="6" t="inlineStr"/>
      <c r="F443" s="5" t="inlineStr"/>
    </row>
    <row r="444">
      <c r="A444" s="5" t="inlineStr">
        <is>
          <t>b9-yazi-boyutu</t>
        </is>
      </c>
      <c r="B444" s="5" t="inlineStr">
        <is>
          <t>Pişkinlik</t>
        </is>
      </c>
      <c r="C444" s="5" t="inlineStr">
        <is>
          <t>Orta</t>
        </is>
      </c>
      <c r="D444" s="6" t="inlineStr">
        <is>
          <t>Telefonu uzaktan tutmak bir karizma biçimidir. Kimse gözünün bozulduğunu anlamaz. Herkes anlar.</t>
        </is>
      </c>
      <c r="E444" s="6" t="inlineStr"/>
      <c r="F444" s="5" t="inlineStr"/>
    </row>
    <row r="445">
      <c r="A445" s="5" t="inlineStr">
        <is>
          <t>b9-gunaydin-gorselleri</t>
        </is>
      </c>
      <c r="B445" s="5" t="inlineStr">
        <is>
          <t>Sosyal Radar</t>
        </is>
      </c>
      <c r="C445" s="5" t="inlineStr">
        <is>
          <t>Orta</t>
        </is>
      </c>
      <c r="D445" s="6" t="inlineStr">
        <is>
          <t>Gençler grubu sessize almış ama ayrı bir grupta senin görsellerini paylaşıp gülüyorlar. Sen onlar için bir içerik üreticisisin.</t>
        </is>
      </c>
      <c r="E445" s="6" t="inlineStr"/>
      <c r="F445" s="5" t="inlineStr">
        <is>
          <t>E</t>
        </is>
      </c>
    </row>
    <row r="446">
      <c r="A446" s="5" t="inlineStr">
        <is>
          <t>b9-gunaydin-gorselleri</t>
        </is>
      </c>
      <c r="B446" s="5" t="inlineStr">
        <is>
          <t>İtibar</t>
        </is>
      </c>
      <c r="C446" s="5" t="inlineStr">
        <is>
          <t>Kolay</t>
        </is>
      </c>
      <c r="D446" s="6" t="inlineStr">
        <is>
          <t>Bir gül görseli, 'hâlâ buradayım, siz de orada mısınız' demenin en kısa yolu.</t>
        </is>
      </c>
      <c r="E446" s="6" t="inlineStr"/>
      <c r="F446" s="5" t="inlineStr"/>
    </row>
    <row r="447">
      <c r="A447" s="5" t="inlineStr">
        <is>
          <t>b9-sabah-yuruyusu</t>
        </is>
      </c>
      <c r="B447" s="5" t="inlineStr">
        <is>
          <t>Dayanıklılık</t>
        </is>
      </c>
      <c r="C447" s="5" t="inlineStr">
        <is>
          <t>Orta</t>
        </is>
      </c>
      <c r="D447" s="6" t="inlineStr">
        <is>
          <t>Tempo dakikada yüz yirmi adım. Kollar doksan derece. Konuşmak serbest ama nefesini sen öde.</t>
        </is>
      </c>
      <c r="E447" s="6" t="inlineStr"/>
      <c r="F447" s="5" t="inlineStr"/>
    </row>
    <row r="448">
      <c r="A448" s="5" t="inlineStr">
        <is>
          <t>b9-sabah-yuruyusu</t>
        </is>
      </c>
      <c r="B448" s="5" t="inlineStr">
        <is>
          <t>Sosyal Radar</t>
        </is>
      </c>
      <c r="C448" s="5" t="inlineStr">
        <is>
          <t>Kolay</t>
        </is>
      </c>
      <c r="D448" s="6" t="inlineStr">
        <is>
          <t>Grup aslında yürümüyor. Grup, mahallenin haftalık bülteni yürüyerek hazırlanıyor.</t>
        </is>
      </c>
      <c r="E448" s="6" t="inlineStr"/>
      <c r="F448" s="5" t="inlineStr"/>
    </row>
    <row r="449">
      <c r="A449" s="5" t="inlineStr">
        <is>
          <t>mb-emeklilik-hesabi</t>
        </is>
      </c>
      <c r="B449" s="5" t="inlineStr">
        <is>
          <t>Akıl</t>
        </is>
      </c>
      <c r="C449" s="5" t="inlineStr">
        <is>
          <t>Orta</t>
        </is>
      </c>
      <c r="D449" s="6" t="inlineStr">
        <is>
          <t>Prim gün sayın doğru ama işe giriş tarihin bir yıl kaymış. Staj yılı yok.</t>
        </is>
      </c>
      <c r="E449" s="6" t="inlineStr"/>
      <c r="F449" s="5" t="inlineStr">
        <is>
          <t>E</t>
        </is>
      </c>
    </row>
    <row r="450">
      <c r="A450" s="5" t="inlineStr">
        <is>
          <t>mm-gun-sayaci</t>
        </is>
      </c>
      <c r="B450" s="5" t="inlineStr">
        <is>
          <t>Dayanıklılık</t>
        </is>
      </c>
      <c r="C450" s="5" t="inlineStr">
        <is>
          <t>Orta</t>
        </is>
      </c>
      <c r="D450" s="6" t="inlineStr">
        <is>
          <t>Maratonun son dört kilometresi. Burada hızlanan da kaybeder, yavaşlayan da.</t>
        </is>
      </c>
      <c r="E450" s="6" t="inlineStr"/>
      <c r="F450" s="5" t="inlineStr"/>
    </row>
    <row r="451">
      <c r="A451" s="5" t="inlineStr">
        <is>
          <t>mm-gun-sayaci</t>
        </is>
      </c>
      <c r="B451" s="5" t="inlineStr">
        <is>
          <t>Sosyal Radar</t>
        </is>
      </c>
      <c r="C451" s="5" t="inlineStr">
        <is>
          <t>Kolay</t>
        </is>
      </c>
      <c r="D451" s="6" t="inlineStr">
        <is>
          <t>Yan masa da sayaç tutuyor. Seninkinden üç yüz gün az. Her sabah seninkine bakıp gülümsüyor.</t>
        </is>
      </c>
      <c r="E451" s="6" t="inlineStr"/>
      <c r="F451" s="5" t="inlineStr">
        <is>
          <t>E</t>
        </is>
      </c>
    </row>
    <row r="452">
      <c r="A452" s="5" t="inlineStr">
        <is>
          <t>b9-doktor-randevusu</t>
        </is>
      </c>
      <c r="B452" s="5" t="inlineStr">
        <is>
          <t>Akıl</t>
        </is>
      </c>
      <c r="C452" s="5" t="inlineStr">
        <is>
          <t>Orta</t>
        </is>
      </c>
      <c r="D452" s="6" t="inlineStr">
        <is>
          <t>Birileri randevusunu iptal ediyor. İptaller genelde gece yarısından sonra düşüyor. Uyanık kalmak bir stratejidir.</t>
        </is>
      </c>
      <c r="E452" s="6" t="inlineStr"/>
      <c r="F452" s="5" t="inlineStr"/>
    </row>
    <row r="453">
      <c r="A453" s="5" t="inlineStr">
        <is>
          <t>b9-doktor-randevusu</t>
        </is>
      </c>
      <c r="B453" s="5" t="inlineStr">
        <is>
          <t>Dayanıklılık</t>
        </is>
      </c>
      <c r="C453" s="5" t="inlineStr">
        <is>
          <t>Kolay</t>
        </is>
      </c>
      <c r="D453" s="6" t="inlineStr">
        <is>
          <t>Sırada beklemek bir spor. Madalyası yok ama katılımcısı çok.</t>
        </is>
      </c>
      <c r="E453" s="6" t="inlineStr"/>
      <c r="F453" s="5" t="inlineStr"/>
    </row>
    <row r="454">
      <c r="A454" s="5" t="inlineStr">
        <is>
          <t>b9-ilk-torun</t>
        </is>
      </c>
      <c r="B454" s="5" t="inlineStr">
        <is>
          <t>İtibar</t>
        </is>
      </c>
      <c r="C454" s="5" t="inlineStr">
        <is>
          <t>Kolay</t>
        </is>
      </c>
      <c r="D454" s="6" t="inlineStr">
        <is>
          <t>Bu bebek senin çocuğunun çocuğu. Çocuğun seni hiç böyle bakarken görmedi. Belki şimdi anlar.</t>
        </is>
      </c>
      <c r="E454" s="6" t="inlineStr"/>
      <c r="F454" s="5" t="inlineStr"/>
    </row>
    <row r="455">
      <c r="A455" s="5" t="inlineStr">
        <is>
          <t>b9-ilk-torun</t>
        </is>
      </c>
      <c r="B455" s="5" t="inlineStr">
        <is>
          <t>Çene</t>
        </is>
      </c>
      <c r="C455" s="5" t="inlineStr">
        <is>
          <t>Orta</t>
        </is>
      </c>
      <c r="D455" s="6" t="inlineStr">
        <is>
          <t>İsim konusunda bir önerin var. Kimse sormadı. Sormayacaklar.</t>
        </is>
      </c>
      <c r="E455" s="6" t="inlineStr"/>
      <c r="F455" s="5" t="inlineStr"/>
    </row>
    <row r="456">
      <c r="A456" s="5" t="inlineStr">
        <is>
          <t>ms-emeklilik-yok</t>
        </is>
      </c>
      <c r="B456" s="5" t="inlineStr">
        <is>
          <t>Akıl</t>
        </is>
      </c>
      <c r="C456" s="5" t="inlineStr">
        <is>
          <t>Orta</t>
        </is>
      </c>
      <c r="D456" s="6" t="inlineStr">
        <is>
          <t>Yaşıtların 'emeklilik ikramiyesi' diyor. Senin sözlüğünde bu kelime yok.</t>
        </is>
      </c>
      <c r="E456" s="6" t="inlineStr"/>
      <c r="F456" s="5" t="inlineStr"/>
    </row>
    <row r="457">
      <c r="A457" s="5" t="inlineStr">
        <is>
          <t>ms-emeklilik-yok</t>
        </is>
      </c>
      <c r="B457" s="5" t="inlineStr">
        <is>
          <t>Dayanıklılık</t>
        </is>
      </c>
      <c r="C457" s="5" t="inlineStr">
        <is>
          <t>Kolay</t>
        </is>
      </c>
      <c r="D457" s="6" t="inlineStr">
        <is>
          <t>Maratonun bitiş çizgisi yok. Kimse söylemedi ama yok.</t>
        </is>
      </c>
      <c r="E457" s="6" t="inlineStr"/>
      <c r="F457" s="5" t="inlineStr"/>
    </row>
    <row r="458">
      <c r="A458" s="5" t="inlineStr">
        <is>
          <t>me-defterin-son-sayfasi</t>
        </is>
      </c>
      <c r="B458" s="5" t="inlineStr">
        <is>
          <t>İtibar</t>
        </is>
      </c>
      <c r="C458" s="5" t="inlineStr">
        <is>
          <t>Kolay</t>
        </is>
      </c>
      <c r="D458" s="6" t="inlineStr">
        <is>
          <t>Bu defterde paradan çok hayat yazılı. Sil ama unutma.</t>
        </is>
      </c>
      <c r="E458" s="6" t="inlineStr"/>
      <c r="F458" s="5" t="inlineStr"/>
    </row>
    <row r="459">
      <c r="A459" s="5" t="inlineStr">
        <is>
          <t>me-defterin-son-sayfasi</t>
        </is>
      </c>
      <c r="B459" s="5" t="inlineStr">
        <is>
          <t>Kurnazlık</t>
        </is>
      </c>
      <c r="C459" s="5" t="inlineStr">
        <is>
          <t>Orta</t>
        </is>
      </c>
      <c r="D459" s="6" t="inlineStr">
        <is>
          <t>Yedinci sayfadaki isim geçen hafta sıfır araba aldı. Park ettiği yer de senin dükkânın önü.</t>
        </is>
      </c>
      <c r="E459" s="6" t="inlineStr"/>
      <c r="F459" s="5" t="inlineStr">
        <is>
          <t>E</t>
        </is>
      </c>
    </row>
    <row r="460">
      <c r="A460" s="5" t="inlineStr">
        <is>
          <t>b9-genclere-tavsiye</t>
        </is>
      </c>
      <c r="B460" s="5" t="inlineStr">
        <is>
          <t>Çene</t>
        </is>
      </c>
      <c r="C460" s="5" t="inlineStr">
        <is>
          <t>Orta</t>
        </is>
      </c>
      <c r="D460" s="6" t="inlineStr">
        <is>
          <t>Tavsiye verme, soru sor. 'Sence ne yapmalısın?' Genç ne yapacağını söyler, sen de 'Aynen öyle' dersin.</t>
        </is>
      </c>
      <c r="E460" s="6" t="inlineStr"/>
      <c r="F460" s="5" t="inlineStr">
        <is>
          <t>E</t>
        </is>
      </c>
    </row>
    <row r="461">
      <c r="A461" s="5" t="inlineStr">
        <is>
          <t>b9-genclere-tavsiye</t>
        </is>
      </c>
      <c r="B461" s="5" t="inlineStr">
        <is>
          <t>Akıl</t>
        </is>
      </c>
      <c r="C461" s="5" t="inlineStr">
        <is>
          <t>Kolay</t>
        </is>
      </c>
      <c r="D461" s="6" t="inlineStr">
        <is>
          <t>Senin döneminde 'dijital' diye bir iş kolu yoktu. Onun döneminde 'emeklilik' diye bir kavram olmayabilir. Beraberesiniz.</t>
        </is>
      </c>
      <c r="E461" s="6" t="inlineStr"/>
      <c r="F461" s="5" t="inlineStr"/>
    </row>
    <row r="462">
      <c r="A462" s="5" t="inlineStr">
        <is>
          <t>b9-lise-bulusmasi</t>
        </is>
      </c>
      <c r="B462" s="5" t="inlineStr">
        <is>
          <t>Sosyal Radar</t>
        </is>
      </c>
      <c r="C462" s="5" t="inlineStr">
        <is>
          <t>Orta</t>
        </is>
      </c>
      <c r="D462" s="6" t="inlineStr">
        <is>
          <t>Sınıfın en popüler kişisi bu akşam kimseyle konuşmadı. En sessizi ise üç şirket kurmuş. Zaman adil değil ama yaratıcı.</t>
        </is>
      </c>
      <c r="E462" s="6" t="inlineStr"/>
      <c r="F462" s="5" t="inlineStr"/>
    </row>
    <row r="463">
      <c r="A463" s="5" t="inlineStr">
        <is>
          <t>b9-eski-ask</t>
        </is>
      </c>
      <c r="B463" s="5" t="inlineStr">
        <is>
          <t>İtibar</t>
        </is>
      </c>
      <c r="C463" s="5" t="inlineStr">
        <is>
          <t>Orta</t>
        </is>
      </c>
      <c r="D463" s="6" t="inlineStr">
        <is>
          <t>Kırk yıl önce bir mektubu yarıda bıraktın. Tamamlanmamış işler dosyası hâlâ açık.</t>
        </is>
      </c>
      <c r="E463" s="6" t="inlineStr"/>
      <c r="F463" s="5" t="inlineStr">
        <is>
          <t>E</t>
        </is>
      </c>
    </row>
    <row r="464">
      <c r="A464" s="5" t="inlineStr">
        <is>
          <t>b9-eski-ask</t>
        </is>
      </c>
      <c r="B464" s="5" t="inlineStr">
        <is>
          <t>Pişkinlik</t>
        </is>
      </c>
      <c r="C464" s="5" t="inlineStr">
        <is>
          <t>Kolay</t>
        </is>
      </c>
      <c r="D464" s="6" t="inlineStr">
        <is>
          <t>Saçlarına bak. O da sana bakıyor. İkinizin de saçı yok. Eşitlik sağlandı.</t>
        </is>
      </c>
      <c r="E464" s="6" t="inlineStr"/>
      <c r="F464" s="5" t="inlineStr"/>
    </row>
    <row r="465">
      <c r="A465" s="5" t="inlineStr">
        <is>
          <t>b9-balkon-tarimi</t>
        </is>
      </c>
      <c r="B465" s="5" t="inlineStr">
        <is>
          <t>Dayanıklılık</t>
        </is>
      </c>
      <c r="C465" s="5" t="inlineStr">
        <is>
          <t>Kolay</t>
        </is>
      </c>
      <c r="D465" s="6" t="inlineStr">
        <is>
          <t>Domates yirmi günde kızarır. Sen yirmi gün boyunca her sabah ona bakarsın. Kim kimi yetiştiriyor, belli değil.</t>
        </is>
      </c>
      <c r="E465" s="6" t="inlineStr"/>
      <c r="F465" s="5" t="inlineStr"/>
    </row>
    <row r="466">
      <c r="A466" s="5" t="inlineStr">
        <is>
          <t>b9-balkon-tarimi</t>
        </is>
      </c>
      <c r="B466" s="5" t="inlineStr">
        <is>
          <t>Kurnazlık</t>
        </is>
      </c>
      <c r="C466" s="5" t="inlineStr">
        <is>
          <t>Orta</t>
        </is>
      </c>
      <c r="D466" s="6" t="inlineStr">
        <is>
          <t>Alt kattakinin balkonu daha çok güneş alıyor. Saksılarla sınır ihlali yapılabilir.</t>
        </is>
      </c>
      <c r="E466" s="6" t="inlineStr"/>
      <c r="F466" s="5" t="inlineStr"/>
    </row>
    <row r="467">
      <c r="A467" s="5" t="inlineStr">
        <is>
          <t>mm-devir-teslim</t>
        </is>
      </c>
      <c r="B467" s="5" t="inlineStr">
        <is>
          <t>İtibar</t>
        </is>
      </c>
      <c r="C467" s="5" t="inlineStr">
        <is>
          <t>Orta</t>
        </is>
      </c>
      <c r="D467" s="6" t="inlineStr">
        <is>
          <t>Ona her şeyi öğret. Ama 'Yarın gelin' cümlesini sen öğretme; kendi bulsun.</t>
        </is>
      </c>
      <c r="E467" s="6" t="inlineStr"/>
      <c r="F467" s="5" t="inlineStr"/>
    </row>
    <row r="468">
      <c r="A468" s="5" t="inlineStr">
        <is>
          <t>mm-devir-teslim</t>
        </is>
      </c>
      <c r="B468" s="5" t="inlineStr">
        <is>
          <t>Kurnazlık</t>
        </is>
      </c>
      <c r="C468" s="5" t="inlineStr">
        <is>
          <t>Zor</t>
        </is>
      </c>
      <c r="D468" s="6" t="inlineStr">
        <is>
          <t>Hangi dolabın anahtarı nerede, onu yazma. Bilgi güçtür; emeklilikte bile.</t>
        </is>
      </c>
      <c r="E468" s="6" t="inlineStr"/>
      <c r="F468" s="5" t="inlineStr"/>
    </row>
    <row r="469">
      <c r="A469" s="5" t="inlineStr">
        <is>
          <t>b9-yapay-zeka-asistani</t>
        </is>
      </c>
      <c r="B469" s="5" t="inlineStr">
        <is>
          <t>Akıl</t>
        </is>
      </c>
      <c r="C469" s="5" t="inlineStr">
        <is>
          <t>Orta</t>
        </is>
      </c>
      <c r="D469" s="6" t="inlineStr">
        <is>
          <t>Yüksek ses anlamayı artırmaz. Bu kural insanlarda da geçerli, ama kimse denemekten vazgeçmiyor.</t>
        </is>
      </c>
      <c r="E469" s="6" t="inlineStr"/>
      <c r="F469" s="5" t="inlineStr"/>
    </row>
    <row r="470">
      <c r="A470" s="5" t="inlineStr">
        <is>
          <t>b9-yapay-zeka-asistani</t>
        </is>
      </c>
      <c r="B470" s="5" t="inlineStr">
        <is>
          <t>Çene</t>
        </is>
      </c>
      <c r="C470" s="5" t="inlineStr">
        <is>
          <t>Kolay</t>
        </is>
      </c>
      <c r="D470" s="6" t="inlineStr">
        <is>
          <t>Makine de olsa kibarlığa cevap verir. 'Rica etsem' diye başla.</t>
        </is>
      </c>
      <c r="E470" s="6" t="inlineStr"/>
      <c r="F470" s="5" t="inlineStr"/>
    </row>
    <row r="471">
      <c r="A471" s="5" t="inlineStr">
        <is>
          <t>b9-torun-nobeti</t>
        </is>
      </c>
      <c r="B471" s="5" t="inlineStr">
        <is>
          <t>Dayanıklılık</t>
        </is>
      </c>
      <c r="C471" s="5" t="inlineStr">
        <is>
          <t>Zor</t>
        </is>
      </c>
      <c r="D471" s="6" t="inlineStr">
        <is>
          <t>Kendi çocuğunu büyüttün. Ama o zamanlar otuz yaşındaydın ve dizlerin henüz fikir beyan etmiyordu.</t>
        </is>
      </c>
      <c r="E471" s="6" t="inlineStr"/>
      <c r="F471" s="5" t="inlineStr"/>
    </row>
    <row r="472">
      <c r="A472" s="5" t="inlineStr">
        <is>
          <t>b9-torun-nobeti</t>
        </is>
      </c>
      <c r="B472" s="5" t="inlineStr">
        <is>
          <t>Kurnazlık</t>
        </is>
      </c>
      <c r="C472" s="5" t="inlineStr">
        <is>
          <t>Orta</t>
        </is>
      </c>
      <c r="D472" s="6" t="inlineStr">
        <is>
          <t>Talimatlar yazılı. Yazılı olan her şeyin bir boşluğu vardır. 'Dondurma yok' demiyor, 'şeker yok' diyor.</t>
        </is>
      </c>
      <c r="E472" s="6" t="inlineStr"/>
      <c r="F472" s="5" t="inlineStr"/>
    </row>
    <row r="473">
      <c r="A473" s="5" t="inlineStr">
        <is>
          <t>mb-devir-teslim</t>
        </is>
      </c>
      <c r="B473" s="5" t="inlineStr">
        <is>
          <t>Kurnazlık</t>
        </is>
      </c>
      <c r="C473" s="5" t="inlineStr">
        <is>
          <t>Orta</t>
        </is>
      </c>
      <c r="D473" s="6" t="inlineStr">
        <is>
          <t>Arşiv şifresini bir tek sen biliyorsun. Bu bir güç. Kısa süreli bir güç.</t>
        </is>
      </c>
      <c r="E473" s="6" t="inlineStr"/>
      <c r="F473" s="5" t="inlineStr"/>
    </row>
    <row r="474">
      <c r="A474" s="5" t="inlineStr">
        <is>
          <t>mb-devir-teslim</t>
        </is>
      </c>
      <c r="B474" s="5" t="inlineStr">
        <is>
          <t>İtibar</t>
        </is>
      </c>
      <c r="C474" s="5" t="inlineStr">
        <is>
          <t>Kolay</t>
        </is>
      </c>
      <c r="D474" s="6" t="inlineStr">
        <is>
          <t>Yerine gelen çocuk ilk gün çok kibar. Senin ilk günün gibi. Kartı da çalışmıyor.</t>
        </is>
      </c>
      <c r="E474" s="6" t="inlineStr"/>
      <c r="F474" s="5" t="inlineStr"/>
    </row>
    <row r="475">
      <c r="A475" s="5" t="inlineStr">
        <is>
          <t>me-mudavim</t>
        </is>
      </c>
      <c r="B475" s="5" t="inlineStr">
        <is>
          <t>Sosyal Radar</t>
        </is>
      </c>
      <c r="C475" s="5" t="inlineStr">
        <is>
          <t>Orta</t>
        </is>
      </c>
      <c r="D475" s="6" t="inlineStr">
        <is>
          <t>Torununu okula bırakmaya başlamış. Yeni bir rutin doğuyor; sen de içindesin.</t>
        </is>
      </c>
      <c r="E475" s="6" t="inlineStr"/>
      <c r="F475" s="5" t="inlineStr"/>
    </row>
    <row r="476">
      <c r="A476" s="5" t="inlineStr">
        <is>
          <t>me-mudavim</t>
        </is>
      </c>
      <c r="B476" s="5" t="inlineStr">
        <is>
          <t>İtibar</t>
        </is>
      </c>
      <c r="C476" s="5" t="inlineStr">
        <is>
          <t>Kolay</t>
        </is>
      </c>
      <c r="D476" s="6" t="inlineStr">
        <is>
          <t>Onun ekmeğini her sabah ayırırdın. Bugün unuttun. Kimseye söyleme.</t>
        </is>
      </c>
      <c r="E476" s="6" t="inlineStr"/>
      <c r="F476" s="5" t="inlineStr"/>
    </row>
    <row r="477">
      <c r="A477" s="5" t="inlineStr">
        <is>
          <t>b9-kahvehane-tavla</t>
        </is>
      </c>
      <c r="B477" s="5" t="inlineStr">
        <is>
          <t>Kurnazlık</t>
        </is>
      </c>
      <c r="C477" s="5" t="inlineStr">
        <is>
          <t>Orta</t>
        </is>
      </c>
      <c r="D477" s="6" t="inlineStr">
        <is>
          <t>Masadaki en yaşlı oyuncu zarları hep aynı köşeye atıyor. Köşedeki kumaş biraz eğik. Dikkat.</t>
        </is>
      </c>
      <c r="E477" s="6" t="inlineStr"/>
      <c r="F477" s="5" t="inlineStr"/>
    </row>
    <row r="478">
      <c r="A478" s="5" t="inlineStr">
        <is>
          <t>b9-kahvehane-tavla</t>
        </is>
      </c>
      <c r="B478" s="5" t="inlineStr">
        <is>
          <t>Pişkinlik</t>
        </is>
      </c>
      <c r="C478" s="5" t="inlineStr">
        <is>
          <t>Kolay</t>
        </is>
      </c>
      <c r="D478" s="6" t="inlineStr">
        <is>
          <t>Tavlada kazanmak yetmez. Kazandıktan sonra ne söylediğin, bir sonraki maçı kazanır.</t>
        </is>
      </c>
      <c r="E478" s="6" t="inlineStr"/>
      <c r="F478" s="5" t="inlineStr"/>
    </row>
    <row r="479">
      <c r="A479" s="5" t="inlineStr">
        <is>
          <t>b9-emeklilik</t>
        </is>
      </c>
      <c r="B479" s="5" t="inlineStr">
        <is>
          <t>Sosyal Radar</t>
        </is>
      </c>
      <c r="C479" s="5" t="inlineStr">
        <is>
          <t>Orta</t>
        </is>
      </c>
      <c r="D479" s="6" t="inlineStr">
        <is>
          <t>Aile grubunda üç kişi aynı anda 'yazıyor…' Konu ikramiye. Kimse hayırlı olsun demedi; herkes bütçe sunuyor.</t>
        </is>
      </c>
      <c r="E479" s="6" t="inlineStr"/>
      <c r="F479" s="5" t="inlineStr">
        <is>
          <t>E</t>
        </is>
      </c>
    </row>
    <row r="480">
      <c r="A480" s="5" t="inlineStr">
        <is>
          <t>b9-emeklilik</t>
        </is>
      </c>
      <c r="B480" s="5" t="inlineStr">
        <is>
          <t>İtibar</t>
        </is>
      </c>
      <c r="C480" s="5" t="inlineStr">
        <is>
          <t>Kolay</t>
        </is>
      </c>
      <c r="D480" s="6" t="inlineStr">
        <is>
          <t>Otuz beş yıl her sabah aynı saatte kalktın. Yarın uyanacaksın ve kimse seni beklemeyecek. Bu bir ödül mü, bilinmiyor.</t>
        </is>
      </c>
      <c r="E480" s="6" t="inlineStr"/>
      <c r="F480" s="5" t="inlineStr"/>
    </row>
    <row r="481">
      <c r="A481" s="5" t="inlineStr">
        <is>
          <t>ms-retrospektif</t>
        </is>
      </c>
      <c r="B481" s="5" t="inlineStr">
        <is>
          <t>Cesaret</t>
        </is>
      </c>
      <c r="C481" s="5" t="inlineStr">
        <is>
          <t>Orta</t>
        </is>
      </c>
      <c r="D481" s="6" t="inlineStr">
        <is>
          <t>Merdiven sallanıyor. Sanat da hep biraz sallanır.</t>
        </is>
      </c>
      <c r="E481" s="6" t="inlineStr"/>
      <c r="F481" s="5" t="inlineStr"/>
    </row>
    <row r="482">
      <c r="A482" s="5" t="inlineStr">
        <is>
          <t>ms-retrospektif</t>
        </is>
      </c>
      <c r="B482" s="5" t="inlineStr">
        <is>
          <t>Sosyal Radar</t>
        </is>
      </c>
      <c r="C482" s="5" t="inlineStr">
        <is>
          <t>Kolay</t>
        </is>
      </c>
      <c r="D482" s="6" t="inlineStr">
        <is>
          <t>Açılışta bu kez üç kişi yok. Yüz kişi var. Kurye de burada, bilet almış.</t>
        </is>
      </c>
      <c r="E482" s="6" t="inlineStr"/>
      <c r="F482" s="5" t="inlineStr"/>
    </row>
    <row r="483">
      <c r="A483" s="5" t="inlineStr">
        <is>
          <t>b9-pazar-arabasi</t>
        </is>
      </c>
      <c r="B483" s="5" t="inlineStr">
        <is>
          <t>Çene</t>
        </is>
      </c>
      <c r="C483" s="5" t="inlineStr">
        <is>
          <t>Kolay</t>
        </is>
      </c>
      <c r="D483" s="6" t="inlineStr">
        <is>
          <t>Pazarcı 'Abla', 'Abi', 'Hocam' ve 'Patron' arasında seçim yapacak. Hangisini seçerse fiyat ona göre belirlenir.</t>
        </is>
      </c>
      <c r="E483" s="6" t="inlineStr"/>
      <c r="F483" s="5" t="inlineStr"/>
    </row>
    <row r="484">
      <c r="A484" s="5" t="inlineStr">
        <is>
          <t>b9-pazar-arabasi</t>
        </is>
      </c>
      <c r="B484" s="5" t="inlineStr">
        <is>
          <t>Kurnazlık</t>
        </is>
      </c>
      <c r="C484" s="5" t="inlineStr">
        <is>
          <t>Orta</t>
        </is>
      </c>
      <c r="D484" s="6" t="inlineStr">
        <is>
          <t>Kapanışa yarım saat var. Kapanıştaki pazarcı, sabahki pazarcının kardeşi değildir. Daha cömerttir.</t>
        </is>
      </c>
      <c r="E484" s="6" t="inlineStr"/>
      <c r="F484" s="5" t="inlineStr"/>
    </row>
    <row r="485">
      <c r="A485" s="5" t="inlineStr">
        <is>
          <t>b9-ikramiye</t>
        </is>
      </c>
      <c r="B485" s="5" t="inlineStr">
        <is>
          <t>Cesaret</t>
        </is>
      </c>
      <c r="C485" s="5" t="inlineStr">
        <is>
          <t>Orta</t>
        </is>
      </c>
      <c r="D485" s="6" t="inlineStr">
        <is>
          <t>Gençken bir motosiklet istemiştin. O zaman paran yoktu. Şimdi paran var. Dizlerin başka bir konu.</t>
        </is>
      </c>
      <c r="E485" s="6" t="inlineStr"/>
      <c r="F485" s="5" t="inlineStr"/>
    </row>
    <row r="486">
      <c r="A486" s="5" t="inlineStr">
        <is>
          <t>b9-ikramiye</t>
        </is>
      </c>
      <c r="B486" s="5" t="inlineStr">
        <is>
          <t>Akıl</t>
        </is>
      </c>
      <c r="C486" s="5" t="inlineStr">
        <is>
          <t>Zor</t>
        </is>
      </c>
      <c r="D486" s="6" t="inlineStr">
        <is>
          <t>Bu para bir kez gelir. Bir kez harcanır. Aradaki süreyi uzatmak senin elinde.</t>
        </is>
      </c>
      <c r="E486" s="6" t="inlineStr"/>
      <c r="F486" s="5" t="inlineStr"/>
    </row>
    <row r="487">
      <c r="A487" s="5" t="inlineStr">
        <is>
          <t>mm-son-is-gunu</t>
        </is>
      </c>
      <c r="B487" s="5" t="inlineStr">
        <is>
          <t>Çene</t>
        </is>
      </c>
      <c r="C487" s="5" t="inlineStr">
        <is>
          <t>Orta</t>
        </is>
      </c>
      <c r="D487" s="6" t="inlineStr">
        <is>
          <t>Kısa tut. Herkes kısa tutacağını söyler; kimse tutmaz. Sen tut.</t>
        </is>
      </c>
      <c r="E487" s="6" t="inlineStr"/>
      <c r="F487" s="5" t="inlineStr"/>
    </row>
    <row r="488">
      <c r="A488" s="5" t="inlineStr">
        <is>
          <t>mm-son-is-gunu</t>
        </is>
      </c>
      <c r="B488" s="5" t="inlineStr">
        <is>
          <t>İtibar</t>
        </is>
      </c>
      <c r="C488" s="5" t="inlineStr">
        <is>
          <t>Kolay</t>
        </is>
      </c>
      <c r="D488" s="6" t="inlineStr">
        <is>
          <t>İlk imzanı attığın kalem hâlâ çekmecende. Onu yanına al.</t>
        </is>
      </c>
      <c r="E488" s="6" t="inlineStr"/>
      <c r="F488" s="5" t="inlineStr"/>
    </row>
    <row r="489">
      <c r="A489" s="5" t="inlineStr">
        <is>
          <t>b9-es-7-24</t>
        </is>
      </c>
      <c r="B489" s="5" t="inlineStr">
        <is>
          <t>Sosyal Radar</t>
        </is>
      </c>
      <c r="C489" s="5" t="inlineStr">
        <is>
          <t>Orta</t>
        </is>
      </c>
      <c r="D489" s="6" t="inlineStr">
        <is>
          <t>Eşin sabah aynı soruyu üç kez sordu: 'Bugün ne yapıyorsun?' Anlamı: 'Bugün ne zaman dışarı çıkıyorsun?'</t>
        </is>
      </c>
      <c r="E489" s="6" t="inlineStr"/>
      <c r="F489" s="5" t="inlineStr">
        <is>
          <t>E</t>
        </is>
      </c>
    </row>
    <row r="490">
      <c r="A490" s="5" t="inlineStr">
        <is>
          <t>b9-es-7-24</t>
        </is>
      </c>
      <c r="B490" s="5" t="inlineStr">
        <is>
          <t>İtibar</t>
        </is>
      </c>
      <c r="C490" s="5" t="inlineStr">
        <is>
          <t>Kolay</t>
        </is>
      </c>
      <c r="D490" s="6" t="inlineStr">
        <is>
          <t>Otuz yıl boyunca 'Keşke daha çok vaktimiz olsa' dediniz. Vakit geldi. Yanında kumanda kavgası da geldi.</t>
        </is>
      </c>
      <c r="E490" s="6" t="inlineStr"/>
      <c r="F490" s="5" t="inlineStr"/>
    </row>
    <row r="491">
      <c r="A491" s="5" t="inlineStr">
        <is>
          <t>b9-yalniz-emeklilik</t>
        </is>
      </c>
      <c r="B491" s="5" t="inlineStr">
        <is>
          <t>Dayanıklılık</t>
        </is>
      </c>
      <c r="C491" s="5" t="inlineStr">
        <is>
          <t>Kolay</t>
        </is>
      </c>
      <c r="D491" s="6" t="inlineStr">
        <is>
          <t>Kimseye hesap vermiyorsun. Saat üçte öğle yemeği yiyebilirsin. Yiyeceksin de.</t>
        </is>
      </c>
      <c r="E491" s="6" t="inlineStr"/>
      <c r="F491" s="5" t="inlineStr"/>
    </row>
    <row r="492">
      <c r="A492" s="5" t="inlineStr">
        <is>
          <t>b9-yalniz-emeklilik</t>
        </is>
      </c>
      <c r="B492" s="5" t="inlineStr">
        <is>
          <t>Sosyal Radar</t>
        </is>
      </c>
      <c r="C492" s="5" t="inlineStr">
        <is>
          <t>Orta</t>
        </is>
      </c>
      <c r="D492" s="6" t="inlineStr">
        <is>
          <t>Karşı apartmandaki komşu da yalnız. O da seni pencereden görüyor. İkiniz de bunu bilmiyormuş gibi yapıyorsunuz.</t>
        </is>
      </c>
      <c r="E492" s="6" t="inlineStr"/>
      <c r="F492" s="5" t="inlineStr"/>
    </row>
    <row r="493">
      <c r="A493" s="5" t="inlineStr">
        <is>
          <t>mb-veda-plaketi</t>
        </is>
      </c>
      <c r="B493" s="5" t="inlineStr">
        <is>
          <t>İtibar</t>
        </is>
      </c>
      <c r="C493" s="5" t="inlineStr">
        <is>
          <t>Kolay</t>
        </is>
      </c>
      <c r="D493" s="6" t="inlineStr">
        <is>
          <t>Otuz yılı bir tahtaya sığdırdılar. Tahta, pastadan uzun yaşayacak.</t>
        </is>
      </c>
      <c r="E493" s="6" t="inlineStr"/>
      <c r="F493" s="5" t="inlineStr"/>
    </row>
    <row r="494">
      <c r="A494" s="5" t="inlineStr">
        <is>
          <t>me-dukkani-devret</t>
        </is>
      </c>
      <c r="B494" s="5" t="inlineStr">
        <is>
          <t>Kurnazlık</t>
        </is>
      </c>
      <c r="C494" s="5" t="inlineStr">
        <is>
          <t>Orta</t>
        </is>
      </c>
      <c r="D494" s="6" t="inlineStr">
        <is>
          <t>Hava parası ayrı, demirbaş ayrı, müşteri portföyü ayrı. Müdavimi de listeye yaz; o bir varlık.</t>
        </is>
      </c>
      <c r="E494" s="6" t="inlineStr"/>
      <c r="F494" s="5" t="inlineStr"/>
    </row>
    <row r="495">
      <c r="A495" s="5" t="inlineStr">
        <is>
          <t>me-dukkani-devret</t>
        </is>
      </c>
      <c r="B495" s="5" t="inlineStr">
        <is>
          <t>İtibar</t>
        </is>
      </c>
      <c r="C495" s="5" t="inlineStr">
        <is>
          <t>Zor</t>
        </is>
      </c>
      <c r="D495" s="6" t="inlineStr">
        <is>
          <t>Dükkânı satmıyorsun. Otuz yılı bir anahtar halkasına sığdırıyorsun.</t>
        </is>
      </c>
      <c r="E495" s="6" t="inlineStr"/>
      <c r="F495" s="5" t="inlineStr"/>
    </row>
    <row r="496">
      <c r="A496" s="5" t="inlineStr">
        <is>
          <t>b9-tavla-finali</t>
        </is>
      </c>
      <c r="B496" s="5" t="inlineStr">
        <is>
          <t>Cesaret</t>
        </is>
      </c>
      <c r="C496" s="5" t="inlineStr">
        <is>
          <t>Orta</t>
        </is>
      </c>
      <c r="D496" s="6" t="inlineStr">
        <is>
          <t>Kırk kişi sana bakıyor. Kırk kişi daha önce hiç bir şey için sana bakmadı. Keyfini çıkar.</t>
        </is>
      </c>
      <c r="E496" s="6" t="inlineStr"/>
      <c r="F496" s="5" t="inlineStr"/>
    </row>
    <row r="497">
      <c r="A497" s="5" t="inlineStr">
        <is>
          <t>b9-tavla-finali</t>
        </is>
      </c>
      <c r="B497" s="5" t="inlineStr">
        <is>
          <t>Kurnazlık</t>
        </is>
      </c>
      <c r="C497" s="5" t="inlineStr">
        <is>
          <t>Zor</t>
        </is>
      </c>
      <c r="D497" s="6" t="inlineStr">
        <is>
          <t>Rakibin zar atmadan önce iki kez burnunu kaşıyor. Üçüncü kaşıyışta kaybediyor.</t>
        </is>
      </c>
      <c r="E497" s="6" t="inlineStr"/>
      <c r="F497" s="5" t="inlineStr"/>
    </row>
    <row r="498">
      <c r="A498" s="5" t="inlineStr">
        <is>
          <t>b9-torunun-tableti</t>
        </is>
      </c>
      <c r="B498" s="5" t="inlineStr">
        <is>
          <t>Akıl</t>
        </is>
      </c>
      <c r="C498" s="5" t="inlineStr">
        <is>
          <t>Orta</t>
        </is>
      </c>
      <c r="D498" s="6" t="inlineStr">
        <is>
          <t>Kapat, aç. Dünyanın bütün teknik destek hattı bu iki kelimeden ibaret.</t>
        </is>
      </c>
      <c r="E498" s="6" t="inlineStr"/>
      <c r="F498" s="5" t="inlineStr"/>
    </row>
    <row r="499">
      <c r="A499" s="5" t="inlineStr">
        <is>
          <t>b9-torunun-tableti</t>
        </is>
      </c>
      <c r="B499" s="5" t="inlineStr">
        <is>
          <t>Pişkinlik</t>
        </is>
      </c>
      <c r="C499" s="5" t="inlineStr">
        <is>
          <t>Kolay</t>
        </is>
      </c>
      <c r="D499" s="6" t="inlineStr">
        <is>
          <t>Tabletin nasıl çalıştığını bilmediğini söyleme. Torun bunu zaten biliyor; sen de biliyormuş gibi yap.</t>
        </is>
      </c>
      <c r="E499" s="6" t="inlineStr"/>
      <c r="F499" s="5" t="inlineStr"/>
    </row>
    <row r="500">
      <c r="A500" s="5" t="inlineStr">
        <is>
          <t>mm-eski-daire</t>
        </is>
      </c>
      <c r="B500" s="5" t="inlineStr">
        <is>
          <t>Pişkinlik</t>
        </is>
      </c>
      <c r="C500" s="5" t="inlineStr">
        <is>
          <t>Orta</t>
        </is>
      </c>
      <c r="D500" s="6" t="inlineStr">
        <is>
          <t>Bu cümleyi otuz yıl sen kurdun. Şimdi faizini al: gülümse.</t>
        </is>
      </c>
      <c r="E500" s="6" t="inlineStr"/>
      <c r="F500" s="5" t="inlineStr"/>
    </row>
    <row r="501">
      <c r="A501" s="5" t="inlineStr">
        <is>
          <t>mm-eski-daire</t>
        </is>
      </c>
      <c r="B501" s="5" t="inlineStr">
        <is>
          <t>Sosyal Radar</t>
        </is>
      </c>
      <c r="C501" s="5" t="inlineStr">
        <is>
          <t>Kolay</t>
        </is>
      </c>
      <c r="D501" s="6" t="inlineStr">
        <is>
          <t>Genç memur senin devir tutanağındaki cümlelerle konuşuyor. Kırk iki sayfa okunmuş.</t>
        </is>
      </c>
      <c r="E501" s="6" t="inlineStr"/>
      <c r="F501" s="5" t="inlineStr"/>
    </row>
    <row r="502">
      <c r="A502" s="5" t="inlineStr">
        <is>
          <t>b9-yazlik-komsulari</t>
        </is>
      </c>
      <c r="B502" s="5" t="inlineStr">
        <is>
          <t>Sosyal Radar</t>
        </is>
      </c>
      <c r="C502" s="5" t="inlineStr">
        <is>
          <t>Orta</t>
        </is>
      </c>
      <c r="D502" s="6" t="inlineStr">
        <is>
          <t>Site yöneticisi aynı zamanda yan komşunun kayınbiraderi. Hortum meselesi aile meselesi.</t>
        </is>
      </c>
      <c r="E502" s="6" t="inlineStr"/>
      <c r="F502" s="5" t="inlineStr"/>
    </row>
    <row r="503">
      <c r="A503" s="5" t="inlineStr">
        <is>
          <t>b9-yazlik-komsulari</t>
        </is>
      </c>
      <c r="B503" s="5" t="inlineStr">
        <is>
          <t>Çene</t>
        </is>
      </c>
      <c r="C503" s="5" t="inlineStr">
        <is>
          <t>Kolay</t>
        </is>
      </c>
      <c r="D503" s="6" t="inlineStr">
        <is>
          <t>Yazlık tartışmaları kışın unutulur. Yazın her gün yeniden başlar. Mevsimlik bir çatışma bu.</t>
        </is>
      </c>
      <c r="E503" s="6" t="inlineStr"/>
      <c r="F503" s="5" t="inlineStr"/>
    </row>
    <row r="504">
      <c r="A504" s="5" t="inlineStr">
        <is>
          <t>b9-ikinci-kariyer</t>
        </is>
      </c>
      <c r="B504" s="5" t="inlineStr">
        <is>
          <t>Dayanıklılık</t>
        </is>
      </c>
      <c r="C504" s="5" t="inlineStr">
        <is>
          <t>Orta</t>
        </is>
      </c>
      <c r="D504" s="6" t="inlineStr">
        <is>
          <t>Emeklilik bir son değil, bir ara vermedir. Ara uzun sürmedi.</t>
        </is>
      </c>
      <c r="E504" s="6" t="inlineStr"/>
      <c r="F504" s="5" t="inlineStr"/>
    </row>
    <row r="505">
      <c r="A505" s="5" t="inlineStr">
        <is>
          <t>b9-ikinci-kariyer</t>
        </is>
      </c>
      <c r="B505" s="5" t="inlineStr">
        <is>
          <t>Kurnazlık</t>
        </is>
      </c>
      <c r="C505" s="5" t="inlineStr">
        <is>
          <t>Kolay</t>
        </is>
      </c>
      <c r="D505" s="6" t="inlineStr">
        <is>
          <t>Tanıdık sana 'danışman' diyor. Danışman ücretinden değil, tecrübenden bahsediyor. Farkı hesapla.</t>
        </is>
      </c>
      <c r="E505" s="6" t="inlineStr"/>
      <c r="F505" s="5" t="inlineStr"/>
    </row>
    <row r="506">
      <c r="A506" s="5" t="inlineStr">
        <is>
          <t>ms-son-perde</t>
        </is>
      </c>
      <c r="B506" s="5" t="inlineStr">
        <is>
          <t>Dayanıklılık</t>
        </is>
      </c>
      <c r="C506" s="5" t="inlineStr">
        <is>
          <t>Orta</t>
        </is>
      </c>
      <c r="D506" s="6" t="inlineStr">
        <is>
          <t>Kırk yıl ücret bekledin. Beş saniye de alkış bekleyebilirsin.</t>
        </is>
      </c>
      <c r="E506" s="6" t="inlineStr"/>
      <c r="F506" s="5" t="inlineStr"/>
    </row>
    <row r="507">
      <c r="A507" s="5" t="inlineStr">
        <is>
          <t>ms-son-perde</t>
        </is>
      </c>
      <c r="B507" s="5" t="inlineStr">
        <is>
          <t>Pişkinlik</t>
        </is>
      </c>
      <c r="C507" s="5" t="inlineStr">
        <is>
          <t>Kolay</t>
        </is>
      </c>
      <c r="D507" s="6" t="inlineStr">
        <is>
          <t>Ön sırada teyze var. Hâlâ 'gerçek iş' sorusunu soracak gibi bakıyor.</t>
        </is>
      </c>
      <c r="E507" s="6" t="inlineStr"/>
      <c r="F507" s="5" t="inlineStr"/>
    </row>
    <row r="508">
      <c r="A508" s="5" t="inlineStr">
        <is>
          <t>b9-noter-miras</t>
        </is>
      </c>
      <c r="B508" s="5" t="inlineStr">
        <is>
          <t>Kurnazlık</t>
        </is>
      </c>
      <c r="C508" s="5" t="inlineStr">
        <is>
          <t>Orta</t>
        </is>
      </c>
      <c r="D508" s="6" t="inlineStr">
        <is>
          <t>Bu belgeyi çocuklar görecek. Kim neyi aldığına bakacak; kimin neyi almadığına daha çok bakacak.</t>
        </is>
      </c>
      <c r="E508" s="6" t="inlineStr"/>
      <c r="F508" s="5" t="inlineStr">
        <is>
          <t>E</t>
        </is>
      </c>
    </row>
    <row r="509">
      <c r="A509" s="5" t="inlineStr">
        <is>
          <t>b9-noter-miras</t>
        </is>
      </c>
      <c r="B509" s="5" t="inlineStr">
        <is>
          <t>İtibar</t>
        </is>
      </c>
      <c r="C509" s="5" t="inlineStr">
        <is>
          <t>Kolay</t>
        </is>
      </c>
      <c r="D509" s="6" t="inlineStr">
        <is>
          <t>Miras bir teşekkür değil. Ama teşekkür yerine geçebilir.</t>
        </is>
      </c>
      <c r="E509" s="6" t="inlineStr"/>
      <c r="F509" s="5" t="inlineStr"/>
    </row>
    <row r="510">
      <c r="A510" s="5" t="inlineStr">
        <is>
          <t>b9-dev-kabak</t>
        </is>
      </c>
      <c r="B510" s="5" t="inlineStr">
        <is>
          <t>Dayanıklılık</t>
        </is>
      </c>
      <c r="C510" s="5" t="inlineStr">
        <is>
          <t>Orta</t>
        </is>
      </c>
      <c r="D510" s="6" t="inlineStr">
        <is>
          <t>Bu kabağı kaldırmak için iki kişi, bir el arabası ve bir fizyoterapist gerekli.</t>
        </is>
      </c>
      <c r="E510" s="6" t="inlineStr"/>
      <c r="F510" s="5" t="inlineStr"/>
    </row>
    <row r="511">
      <c r="A511" s="5" t="inlineStr">
        <is>
          <t>b9-dev-kabak</t>
        </is>
      </c>
      <c r="B511" s="5" t="inlineStr">
        <is>
          <t>Pişkinlik</t>
        </is>
      </c>
      <c r="C511" s="5" t="inlineStr">
        <is>
          <t>Kolay</t>
        </is>
      </c>
      <c r="D511" s="6" t="inlineStr">
        <is>
          <t>Bu kabak senin eserin. Yarışmada ilk olmalı. Sonra yemek yapılmalı. Sonra hikâyesi anlatılmalı.</t>
        </is>
      </c>
      <c r="E511" s="6" t="inlineStr"/>
      <c r="F511" s="5" t="inlineStr"/>
    </row>
    <row r="512">
      <c r="A512" s="5" t="inlineStr">
        <is>
          <t>me-son-kepenk</t>
        </is>
      </c>
      <c r="B512" s="5" t="inlineStr">
        <is>
          <t>Dayanıklılık</t>
        </is>
      </c>
      <c r="C512" s="5" t="inlineStr">
        <is>
          <t>Orta</t>
        </is>
      </c>
      <c r="D512" s="6" t="inlineStr">
        <is>
          <t>Kepenk ağır, sen artık hafif değilsin. Dizlerden kaldır, belden değil.</t>
        </is>
      </c>
      <c r="E512" s="6" t="inlineStr"/>
      <c r="F512" s="5" t="inlineStr"/>
    </row>
    <row r="513">
      <c r="A513" s="5" t="inlineStr">
        <is>
          <t>me-son-kepenk</t>
        </is>
      </c>
      <c r="B513" s="5" t="inlineStr">
        <is>
          <t>İtibar</t>
        </is>
      </c>
      <c r="C513" s="5" t="inlineStr">
        <is>
          <t>Kolay</t>
        </is>
      </c>
      <c r="D513" s="6" t="inlineStr">
        <is>
          <t>Teşekkür etmek istediğin çok kişi var. Önce kendinden başla.</t>
        </is>
      </c>
      <c r="E513" s="6" t="inlineStr"/>
      <c r="F513" s="5" t="inlineStr"/>
    </row>
    <row r="514">
      <c r="A514" s="5" t="inlineStr">
        <is>
          <t>b9-emekli-seyahati</t>
        </is>
      </c>
      <c r="B514" s="5" t="inlineStr">
        <is>
          <t>Sosyal Radar</t>
        </is>
      </c>
      <c r="C514" s="5" t="inlineStr">
        <is>
          <t>Orta</t>
        </is>
      </c>
      <c r="D514" s="6" t="inlineStr">
        <is>
          <t>Otobüsün ön sırası derneğin yönetim kurulu. Arka sıra muhalefet. Ortada tarafsız bölge; sen oradasın.</t>
        </is>
      </c>
      <c r="E514" s="6" t="inlineStr"/>
      <c r="F514" s="5" t="inlineStr"/>
    </row>
    <row r="515">
      <c r="A515" s="5" t="inlineStr">
        <is>
          <t>b9-emekli-seyahati</t>
        </is>
      </c>
      <c r="B515" s="5" t="inlineStr">
        <is>
          <t>Cesaret</t>
        </is>
      </c>
      <c r="C515" s="5" t="inlineStr">
        <is>
          <t>Kolay</t>
        </is>
      </c>
      <c r="D515" s="6" t="inlineStr">
        <is>
          <t>Sürpriz durak her zaman bir halı mağazasıdır. Bu bir tahmin değil, tecrübe.</t>
        </is>
      </c>
      <c r="E515" s="6" t="inlineStr"/>
      <c r="F515" s="5" t="inlineStr"/>
    </row>
    <row r="516">
      <c r="A516" s="5" t="inlineStr">
        <is>
          <t>b9-sifre-unuttum</t>
        </is>
      </c>
      <c r="B516" s="5" t="inlineStr">
        <is>
          <t>Akıl</t>
        </is>
      </c>
      <c r="C516" s="5" t="inlineStr">
        <is>
          <t>Orta</t>
        </is>
      </c>
      <c r="D516" s="6" t="inlineStr">
        <is>
          <t>Şifren büyük harf, küçük harf, rakam ve bir sembol içeriyordu. Sembolün ne olduğunu sadece sen biliyordun. Artık sen de bilmiyorsun.</t>
        </is>
      </c>
      <c r="E516" s="6" t="inlineStr"/>
      <c r="F516" s="5" t="inlineStr"/>
    </row>
    <row r="517">
      <c r="A517" s="5" t="inlineStr">
        <is>
          <t>b9-sifre-unuttum</t>
        </is>
      </c>
      <c r="B517" s="5" t="inlineStr">
        <is>
          <t>Dayanıklılık</t>
        </is>
      </c>
      <c r="C517" s="5" t="inlineStr">
        <is>
          <t>Kolay</t>
        </is>
      </c>
      <c r="D517" s="6" t="inlineStr">
        <is>
          <t>Banka şubesinde sıra numarası: 187. Ekranda: 42. Yanına bir çay al.</t>
        </is>
      </c>
      <c r="E517" s="6" t="inlineStr"/>
      <c r="F517" s="5" t="inlineStr"/>
    </row>
    <row r="518">
      <c r="A518" s="5" t="inlineStr">
        <is>
          <t>mb-son-kisa-gorusme</t>
        </is>
      </c>
      <c r="B518" s="5" t="inlineStr">
        <is>
          <t>Sosyal Radar</t>
        </is>
      </c>
      <c r="C518" s="5" t="inlineStr">
        <is>
          <t>Orta</t>
        </is>
      </c>
      <c r="D518" s="6" t="inlineStr">
        <is>
          <t>Arayan, senin işe aldığın stajyer. Artık genel müdür yardımcısı.</t>
        </is>
      </c>
      <c r="E518" s="6" t="inlineStr"/>
      <c r="F518" s="5" t="inlineStr"/>
    </row>
    <row r="519">
      <c r="A519" s="5" t="inlineStr">
        <is>
          <t>mb-son-kisa-gorusme</t>
        </is>
      </c>
      <c r="B519" s="5" t="inlineStr">
        <is>
          <t>Dayanıklılık</t>
        </is>
      </c>
      <c r="C519" s="5" t="inlineStr">
        <is>
          <t>Kolay</t>
        </is>
      </c>
      <c r="D519" s="6" t="inlineStr">
        <is>
          <t>Sabah yürüyüşü, öğle çayı, akşam dizisi. Bu takvim bozulmaya değer mi?</t>
        </is>
      </c>
      <c r="E519" s="6" t="inlineStr"/>
      <c r="F519" s="5" t="inlineStr"/>
    </row>
    <row r="520">
      <c r="A520" s="5" t="inlineStr">
        <is>
          <t>b9-site-toplantisi</t>
        </is>
      </c>
      <c r="B520" s="5" t="inlineStr">
        <is>
          <t>Sosyal Radar</t>
        </is>
      </c>
      <c r="C520" s="5" t="inlineStr">
        <is>
          <t>Orta</t>
        </is>
      </c>
      <c r="D520" s="6" t="inlineStr">
        <is>
          <t>Yönetici seçimi aslında bir seçim değil. Kim toplantıya ilk gelirse yönetici olur. Sen ilk geldin.</t>
        </is>
      </c>
      <c r="E520" s="6" t="inlineStr"/>
      <c r="F520" s="5" t="inlineStr"/>
    </row>
    <row r="521">
      <c r="A521" s="5" t="inlineStr">
        <is>
          <t>b9-site-toplantisi</t>
        </is>
      </c>
      <c r="B521" s="5" t="inlineStr">
        <is>
          <t>İtibar</t>
        </is>
      </c>
      <c r="C521" s="5" t="inlineStr">
        <is>
          <t>Kolay</t>
        </is>
      </c>
      <c r="D521" s="6" t="inlineStr">
        <is>
          <t>Asansör üç yıldır arızalı. Dördüncü kattaki komşu seksen yaşında. Bu konuda sessiz kalma.</t>
        </is>
      </c>
      <c r="E521" s="6" t="inlineStr"/>
      <c r="F521" s="5" t="inlineStr"/>
    </row>
    <row r="522">
      <c r="A522" s="5" t="inlineStr">
        <is>
          <t>b9-torunun-sorusu</t>
        </is>
      </c>
      <c r="B522" s="5" t="inlineStr">
        <is>
          <t>Akıl</t>
        </is>
      </c>
      <c r="C522" s="5" t="inlineStr">
        <is>
          <t>Kolay</t>
        </is>
      </c>
      <c r="D522" s="6" t="inlineStr">
        <is>
          <t>Vardı. Duvarda asılıydı. Kablolu. Açınca kimin aradığını bilmezdin. Bu bilgi torunu korkutabilir.</t>
        </is>
      </c>
      <c r="E522" s="6" t="inlineStr"/>
      <c r="F522" s="5" t="inlineStr"/>
    </row>
    <row r="523">
      <c r="A523" s="5" t="inlineStr">
        <is>
          <t>b9-torunun-sorusu</t>
        </is>
      </c>
      <c r="B523" s="5" t="inlineStr">
        <is>
          <t>Pişkinlik</t>
        </is>
      </c>
      <c r="C523" s="5" t="inlineStr">
        <is>
          <t>Orta</t>
        </is>
      </c>
      <c r="D523" s="6" t="inlineStr">
        <is>
          <t>Biraz abart. Kar yağarken okula yürüdüğünü söyle. Yokuş yukarı. İki yönde de.</t>
        </is>
      </c>
      <c r="E523" s="6" t="inlineStr"/>
      <c r="F523" s="5" t="inlineStr"/>
    </row>
    <row r="524">
      <c r="A524" s="5" t="inlineStr">
        <is>
          <t>ms-son-roportaj</t>
        </is>
      </c>
      <c r="B524" s="5" t="inlineStr">
        <is>
          <t>İtibar</t>
        </is>
      </c>
      <c r="C524" s="5" t="inlineStr">
        <is>
          <t>Kolay</t>
        </is>
      </c>
      <c r="D524" s="6" t="inlineStr">
        <is>
          <t>Öğrencinin gözlerinde yirmi iki yaşındaki sen varsın. Ona fatura kesmeyi öğret.</t>
        </is>
      </c>
      <c r="E524" s="6" t="inlineStr"/>
      <c r="F524" s="5" t="inlineStr"/>
    </row>
    <row r="525">
      <c r="A525" s="5" t="inlineStr">
        <is>
          <t>ms-son-roportaj</t>
        </is>
      </c>
      <c r="B525" s="5" t="inlineStr">
        <is>
          <t>Çene</t>
        </is>
      </c>
      <c r="C525" s="5" t="inlineStr">
        <is>
          <t>Orta</t>
        </is>
      </c>
      <c r="D525" s="6" t="inlineStr">
        <is>
          <t>Kırk yıl anlattın. Bu kez biri not alıyor.</t>
        </is>
      </c>
      <c r="E525" s="6" t="inlineStr"/>
      <c r="F525" s="5" t="inlineStr"/>
    </row>
    <row r="526">
      <c r="A526" s="5" t="inlineStr">
        <is>
          <t>b9-hayat-muhasebesi</t>
        </is>
      </c>
      <c r="B526" s="5" t="inlineStr">
        <is>
          <t>İtibar</t>
        </is>
      </c>
      <c r="C526" s="5" t="inlineStr">
        <is>
          <t>Orta</t>
        </is>
      </c>
      <c r="D526" s="6" t="inlineStr">
        <is>
          <t>Fotoğraflarda eksik yüzler var. Onları da gördün. Kimse sormadı, sen de söylemedin.</t>
        </is>
      </c>
      <c r="E526" s="6" t="inlineStr"/>
      <c r="F526" s="5" t="inlineStr"/>
    </row>
    <row r="527">
      <c r="A527" s="5" t="inlineStr">
        <is>
          <t>b9-hayat-muhasebesi</t>
        </is>
      </c>
      <c r="B527" s="5" t="inlineStr">
        <is>
          <t>Sosyal Radar</t>
        </is>
      </c>
      <c r="C527" s="5" t="inlineStr">
        <is>
          <t>Kolay</t>
        </is>
      </c>
      <c r="D527" s="6" t="inlineStr">
        <is>
          <t>Slayt gösterisinde en çok senin gençlik fotoğrafların alkış aldı. Yaşlanmak, geçmişe iltifat etmektir.</t>
        </is>
      </c>
      <c r="E527" s="6" t="inlineStr"/>
      <c r="F527" s="5" t="inlineStr"/>
    </row>
    <row r="528">
      <c r="A528" s="5" t="inlineStr">
        <is>
          <t>b10-noter-vasiyet</t>
        </is>
      </c>
      <c r="B528" s="5" t="inlineStr">
        <is>
          <t>Akıl</t>
        </is>
      </c>
      <c r="C528" s="5" t="inlineStr">
        <is>
          <t>Orta</t>
        </is>
      </c>
      <c r="D528" s="6" t="inlineStr">
        <is>
          <t>Her maddeyi ayrı yaz. Muğlak bırakılan her cümle, bir bayram sofrasında dava olur.</t>
        </is>
      </c>
      <c r="E528" s="6" t="inlineStr"/>
      <c r="F528" s="5" t="inlineStr"/>
    </row>
    <row r="529">
      <c r="A529" s="5" t="inlineStr">
        <is>
          <t>b10-noter-vasiyet</t>
        </is>
      </c>
      <c r="B529" s="5" t="inlineStr">
        <is>
          <t>İtibar</t>
        </is>
      </c>
      <c r="C529" s="5" t="inlineStr">
        <is>
          <t>Kolay</t>
        </is>
      </c>
      <c r="D529" s="6" t="inlineStr">
        <is>
          <t>Kimseyi unutma evladım. Unutulan hatırlar.</t>
        </is>
      </c>
      <c r="E529" s="6" t="inlineStr"/>
      <c r="F529" s="5" t="inlineStr"/>
    </row>
    <row r="530">
      <c r="A530" s="5" t="inlineStr">
        <is>
          <t>b10-miras-provasi</t>
        </is>
      </c>
      <c r="B530" s="5" t="inlineStr">
        <is>
          <t>Sosyal Radar</t>
        </is>
      </c>
      <c r="C530" s="5" t="inlineStr">
        <is>
          <t>Orta</t>
        </is>
      </c>
      <c r="D530" s="6" t="inlineStr">
        <is>
          <t>Soruyu soran değil, soruyu sordurtan önemli. Masanın sol ucuna bak.</t>
        </is>
      </c>
      <c r="E530" s="6" t="inlineStr"/>
      <c r="F530" s="5" t="inlineStr">
        <is>
          <t>E</t>
        </is>
      </c>
    </row>
    <row r="531">
      <c r="A531" s="5" t="inlineStr">
        <is>
          <t>b10-miras-provasi</t>
        </is>
      </c>
      <c r="B531" s="5" t="inlineStr">
        <is>
          <t>Cesaret</t>
        </is>
      </c>
      <c r="C531" s="5" t="inlineStr">
        <is>
          <t>Kolay</t>
        </is>
      </c>
      <c r="D531" s="6" t="inlineStr">
        <is>
          <t>Hâlâ buradayım. Dizlerin değil ama.</t>
        </is>
      </c>
      <c r="E531" s="6" t="inlineStr"/>
      <c r="F531" s="5" t="inlineStr"/>
    </row>
    <row r="532">
      <c r="A532" s="5" t="inlineStr">
        <is>
          <t>b10-teknoloji-kursu</t>
        </is>
      </c>
      <c r="B532" s="5" t="inlineStr">
        <is>
          <t>Akıl</t>
        </is>
      </c>
      <c r="C532" s="5" t="inlineStr">
        <is>
          <t>Kolay</t>
        </is>
      </c>
      <c r="D532" s="6" t="inlineStr">
        <is>
          <t>Bu cihaz senden sonra icat edildi. Bunu unutma, ama ona da hissettirme.</t>
        </is>
      </c>
      <c r="E532" s="6" t="inlineStr"/>
      <c r="F532" s="5" t="inlineStr"/>
    </row>
    <row r="533">
      <c r="A533" s="5" t="inlineStr">
        <is>
          <t>b10-teknoloji-kursu</t>
        </is>
      </c>
      <c r="B533" s="5" t="inlineStr">
        <is>
          <t>Dayanıklılık</t>
        </is>
      </c>
      <c r="C533" s="5" t="inlineStr">
        <is>
          <t>Orta</t>
        </is>
      </c>
      <c r="D533" s="6" t="inlineStr">
        <is>
          <t>Kurs üç ay. Ben de yıllardır koşuyorum. Kafamda.</t>
        </is>
      </c>
      <c r="E533" s="6" t="inlineStr"/>
      <c r="F533" s="5" t="inlineStr"/>
    </row>
    <row r="534">
      <c r="A534" s="5" t="inlineStr">
        <is>
          <t>b10-balkon-kulesi</t>
        </is>
      </c>
      <c r="B534" s="5" t="inlineStr">
        <is>
          <t>Sosyal Radar</t>
        </is>
      </c>
      <c r="C534" s="5" t="inlineStr">
        <is>
          <t>Kolay</t>
        </is>
      </c>
      <c r="D534" s="6" t="inlineStr">
        <is>
          <t>Üçüncü kattakiler iki gündür kargo almıyor. Bir şeyler dönüyor.</t>
        </is>
      </c>
      <c r="E534" s="6" t="inlineStr"/>
      <c r="F534" s="5" t="inlineStr"/>
    </row>
    <row r="535">
      <c r="A535" s="5" t="inlineStr">
        <is>
          <t>b10-balkon-kulesi</t>
        </is>
      </c>
      <c r="B535" s="5" t="inlineStr">
        <is>
          <t>Kurnazlık</t>
        </is>
      </c>
      <c r="C535" s="5" t="inlineStr">
        <is>
          <t>Orta</t>
        </is>
      </c>
      <c r="D535" s="6" t="inlineStr">
        <is>
          <t>Belediye aracı her salı aynı saatte geçiyor. Bu bilgi bir gün lazım olur.</t>
        </is>
      </c>
      <c r="E535" s="6" t="inlineStr"/>
      <c r="F535" s="5" t="inlineStr"/>
    </row>
    <row r="536">
      <c r="A536" s="5" t="inlineStr">
        <is>
          <t>b10-sinif-bulusmasi</t>
        </is>
      </c>
      <c r="B536" s="5" t="inlineStr">
        <is>
          <t>Sosyal Radar</t>
        </is>
      </c>
      <c r="C536" s="5" t="inlineStr">
        <is>
          <t>Orta</t>
        </is>
      </c>
      <c r="D536" s="6" t="inlineStr">
        <is>
          <t>Arka sıradaki, masa altından kopya veren oydu. Kimse unutmadı.</t>
        </is>
      </c>
      <c r="E536" s="6" t="inlineStr"/>
      <c r="F536" s="5" t="inlineStr"/>
    </row>
    <row r="537">
      <c r="A537" s="5" t="inlineStr">
        <is>
          <t>b10-sinif-bulusmasi</t>
        </is>
      </c>
      <c r="B537" s="5" t="inlineStr">
        <is>
          <t>İtibar</t>
        </is>
      </c>
      <c r="C537" s="5" t="inlineStr">
        <is>
          <t>Kolay</t>
        </is>
      </c>
      <c r="D537" s="6" t="inlineStr">
        <is>
          <t>Gelemeyenleri de say evladım. Yoklama eksik kalmasın.</t>
        </is>
      </c>
      <c r="E537" s="6" t="inlineStr"/>
      <c r="F537" s="5" t="inlineStr"/>
    </row>
    <row r="538">
      <c r="A538" s="5" t="inlineStr">
        <is>
          <t>b10-doktor-gomersiniz</t>
        </is>
      </c>
      <c r="B538" s="5" t="inlineStr">
        <is>
          <t>Dayanıklılık</t>
        </is>
      </c>
      <c r="C538" s="5" t="inlineStr">
        <is>
          <t>Kolay</t>
        </is>
      </c>
      <c r="D538" s="6" t="inlineStr">
        <is>
          <t>Hâlâ koşuyorum. Kafamda. Ama tempo iyi.</t>
        </is>
      </c>
      <c r="E538" s="6" t="inlineStr"/>
      <c r="F538" s="5" t="inlineStr">
        <is>
          <t>E</t>
        </is>
      </c>
    </row>
    <row r="539">
      <c r="A539" s="5" t="inlineStr">
        <is>
          <t>b10-doktor-gomersiniz</t>
        </is>
      </c>
      <c r="B539" s="5" t="inlineStr">
        <is>
          <t>Akıl</t>
        </is>
      </c>
      <c r="C539" s="5" t="inlineStr">
        <is>
          <t>Orta</t>
        </is>
      </c>
      <c r="D539" s="6" t="inlineStr">
        <is>
          <t>Doktor kırk yaşında. İstatistiksel olarak ciddi bir iddia.</t>
        </is>
      </c>
      <c r="E539" s="6" t="inlineStr"/>
      <c r="F539" s="5" t="inlineStr"/>
    </row>
    <row r="540">
      <c r="A540" s="5" t="inlineStr">
        <is>
          <t>b10-bayram-harcligi</t>
        </is>
      </c>
      <c r="B540" s="5" t="inlineStr">
        <is>
          <t>Kurnazlık</t>
        </is>
      </c>
      <c r="C540" s="5" t="inlineStr">
        <is>
          <t>Orta</t>
        </is>
      </c>
      <c r="D540" s="6" t="inlineStr">
        <is>
          <t>Sıradaki üçüncü çocuk ikinci kez geliyor. Montunu değiştirmiş.</t>
        </is>
      </c>
      <c r="E540" s="6" t="inlineStr"/>
      <c r="F540" s="5" t="inlineStr"/>
    </row>
    <row r="541">
      <c r="A541" s="5" t="inlineStr">
        <is>
          <t>b10-bayram-harcligi</t>
        </is>
      </c>
      <c r="B541" s="5" t="inlineStr">
        <is>
          <t>İtibar</t>
        </is>
      </c>
      <c r="C541" s="5" t="inlineStr">
        <is>
          <t>Kolay</t>
        </is>
      </c>
      <c r="D541" s="6" t="inlineStr">
        <is>
          <t>Sen de yıllarca bu sırada durdun. Unutma.</t>
        </is>
      </c>
      <c r="E541" s="6" t="inlineStr"/>
      <c r="F541" s="5" t="inlineStr"/>
    </row>
    <row r="542">
      <c r="A542" s="5" t="inlineStr">
        <is>
          <t>b10-dijital-miras</t>
        </is>
      </c>
      <c r="B542" s="5" t="inlineStr">
        <is>
          <t>Akıl</t>
        </is>
      </c>
      <c r="C542" s="5" t="inlineStr">
        <is>
          <t>Orta</t>
        </is>
      </c>
      <c r="D542" s="6" t="inlineStr">
        <is>
          <t>Şifreleri bir deftere yazıp defteri şifrele. Defterin şifresini de başka bir deftere yaz.</t>
        </is>
      </c>
      <c r="E542" s="6" t="inlineStr"/>
      <c r="F542" s="5" t="inlineStr">
        <is>
          <t>E</t>
        </is>
      </c>
    </row>
    <row r="543">
      <c r="A543" s="5" t="inlineStr">
        <is>
          <t>b10-dijital-miras</t>
        </is>
      </c>
      <c r="B543" s="5" t="inlineStr">
        <is>
          <t>Sosyal Radar</t>
        </is>
      </c>
      <c r="C543" s="5" t="inlineStr">
        <is>
          <t>Kolay</t>
        </is>
      </c>
      <c r="D543" s="6" t="inlineStr">
        <is>
          <t>Fotoğraf arşivinde on iki bin fotoğraf var. Dördünde gözlerin açık.</t>
        </is>
      </c>
      <c r="E543" s="6" t="inlineStr"/>
      <c r="F543" s="5" t="inlineStr"/>
    </row>
    <row r="544">
      <c r="A544" s="5" t="inlineStr">
        <is>
          <t>b10-mezar-parseli</t>
        </is>
      </c>
      <c r="B544" s="5" t="inlineStr">
        <is>
          <t>Kurnazlık</t>
        </is>
      </c>
      <c r="C544" s="5" t="inlineStr">
        <is>
          <t>Orta</t>
        </is>
      </c>
      <c r="D544" s="6" t="inlineStr">
        <is>
          <t>Manzaralı parselin fiyatı iki katı. Manzarayı kim görecek, onu sor.</t>
        </is>
      </c>
      <c r="E544" s="6" t="inlineStr"/>
      <c r="F544" s="5" t="inlineStr"/>
    </row>
    <row r="545">
      <c r="A545" s="5" t="inlineStr">
        <is>
          <t>b10-mezar-parseli</t>
        </is>
      </c>
      <c r="B545" s="5" t="inlineStr">
        <is>
          <t>Pişkinlik</t>
        </is>
      </c>
      <c r="C545" s="5" t="inlineStr">
        <is>
          <t>Kolay</t>
        </is>
      </c>
      <c r="D545" s="6" t="inlineStr">
        <is>
          <t>Bir parselin tanıtım broşürü var. Hayatının broşürü yoktu.</t>
        </is>
      </c>
      <c r="E545" s="6" t="inlineStr"/>
      <c r="F545" s="5" t="inlineStr"/>
    </row>
    <row r="546">
      <c r="A546" s="5" t="inlineStr">
        <is>
          <t>b10-danismanlik</t>
        </is>
      </c>
      <c r="B546" s="5" t="inlineStr">
        <is>
          <t>Kurnazlık</t>
        </is>
      </c>
      <c r="C546" s="5" t="inlineStr">
        <is>
          <t>Orta</t>
        </is>
      </c>
      <c r="D546" s="6" t="inlineStr">
        <is>
          <t>Bu bir danışmanlık teklifi. Ücretini sen belirle.</t>
        </is>
      </c>
      <c r="E546" s="6" t="inlineStr"/>
      <c r="F546" s="5" t="inlineStr"/>
    </row>
    <row r="547">
      <c r="A547" s="5" t="inlineStr">
        <is>
          <t>b10-danismanlik</t>
        </is>
      </c>
      <c r="B547" s="5" t="inlineStr">
        <is>
          <t>Akıl</t>
        </is>
      </c>
      <c r="C547" s="5" t="inlineStr">
        <is>
          <t>Kolay</t>
        </is>
      </c>
      <c r="D547" s="6" t="inlineStr">
        <is>
          <t>Dosya, üçüncü rafın arkasındaki kutuda. Etiketini sen yazmıştın.</t>
        </is>
      </c>
      <c r="E547" s="6" t="inlineStr"/>
      <c r="F547" s="5" t="inlineStr"/>
    </row>
    <row r="548">
      <c r="A548" s="5" t="inlineStr">
        <is>
          <t>b10-eski-dost-cenazesi</t>
        </is>
      </c>
      <c r="B548" s="5" t="inlineStr">
        <is>
          <t>Sosyal Radar</t>
        </is>
      </c>
      <c r="C548" s="5" t="inlineStr">
        <is>
          <t>Orta</t>
        </is>
      </c>
      <c r="D548" s="6" t="inlineStr">
        <is>
          <t>En uzun konuşan, en az ziyaret eden. Not et.</t>
        </is>
      </c>
      <c r="E548" s="6" t="inlineStr"/>
      <c r="F548" s="5" t="inlineStr">
        <is>
          <t>E</t>
        </is>
      </c>
    </row>
    <row r="549">
      <c r="A549" s="5" t="inlineStr">
        <is>
          <t>b10-eski-dost-cenazesi</t>
        </is>
      </c>
      <c r="B549" s="5" t="inlineStr">
        <is>
          <t>İtibar</t>
        </is>
      </c>
      <c r="C549" s="5" t="inlineStr">
        <is>
          <t>Kolay</t>
        </is>
      </c>
      <c r="D549" s="6" t="inlineStr">
        <is>
          <t>Kalem kâğıdı bir dakikalığına bırak. Sadece dur.</t>
        </is>
      </c>
      <c r="E549" s="6" t="inlineStr"/>
      <c r="F549" s="5" t="inlineStr"/>
    </row>
    <row r="550">
      <c r="A550" s="5" t="inlineStr">
        <is>
          <t>b10-ani-defteri</t>
        </is>
      </c>
      <c r="B550" s="5" t="inlineStr">
        <is>
          <t>İtibar</t>
        </is>
      </c>
      <c r="C550" s="5" t="inlineStr">
        <is>
          <t>Orta</t>
        </is>
      </c>
      <c r="D550" s="6" t="inlineStr">
        <is>
          <t>Doğruyu yaz. Ya da en azından, doğru hatırladığını.</t>
        </is>
      </c>
      <c r="E550" s="6" t="inlineStr"/>
      <c r="F550" s="5" t="inlineStr"/>
    </row>
    <row r="551">
      <c r="A551" s="5" t="inlineStr">
        <is>
          <t>b10-ani-defteri</t>
        </is>
      </c>
      <c r="B551" s="5" t="inlineStr">
        <is>
          <t>Pişkinlik</t>
        </is>
      </c>
      <c r="C551" s="5" t="inlineStr">
        <is>
          <t>Kolay</t>
        </is>
      </c>
      <c r="D551" s="6" t="inlineStr">
        <is>
          <t>Bu bir anı defteri değil, bir sezon finali. Cliffhanger koy.</t>
        </is>
      </c>
      <c r="E551" s="6" t="inlineStr"/>
      <c r="F551" s="5" t="inlineStr"/>
    </row>
    <row r="552">
      <c r="A552" s="5" t="inlineStr">
        <is>
          <t>b10-seksen-yas-partisi</t>
        </is>
      </c>
      <c r="B552" s="5" t="inlineStr">
        <is>
          <t>Dayanıklılık</t>
        </is>
      </c>
      <c r="C552" s="5" t="inlineStr">
        <is>
          <t>Orta</t>
        </is>
      </c>
      <c r="D552" s="6" t="inlineStr">
        <is>
          <t>Tek nefeste mümkün. Diyaframın hâlâ görev başında.</t>
        </is>
      </c>
      <c r="E552" s="6" t="inlineStr"/>
      <c r="F552" s="5" t="inlineStr"/>
    </row>
    <row r="553">
      <c r="A553" s="5" t="inlineStr">
        <is>
          <t>b10-seksen-yas-partisi</t>
        </is>
      </c>
      <c r="B553" s="5" t="inlineStr">
        <is>
          <t>Cesaret</t>
        </is>
      </c>
      <c r="C553" s="5" t="inlineStr">
        <is>
          <t>Kolay</t>
        </is>
      </c>
      <c r="D553" s="6" t="inlineStr">
        <is>
          <t>Mumlara korkmadan yaklaş. Ben hâlâ genç kalmayı seçtim. Akciğerlerin karar vermedi.</t>
        </is>
      </c>
      <c r="E553" s="6" t="inlineStr"/>
      <c r="F553" s="5" t="inlineStr"/>
    </row>
    <row r="554">
      <c r="A554" s="5" t="inlineStr">
        <is>
          <t>b10-huzurevi-turu</t>
        </is>
      </c>
      <c r="B554" s="5" t="inlineStr">
        <is>
          <t>Sosyal Radar</t>
        </is>
      </c>
      <c r="C554" s="5" t="inlineStr">
        <is>
          <t>Kolay</t>
        </is>
      </c>
      <c r="D554" s="6" t="inlineStr">
        <is>
          <t>Bahçedeki bankta oturan iki kişi seni daha kapıdan puanladı.</t>
        </is>
      </c>
      <c r="E554" s="6" t="inlineStr"/>
      <c r="F554" s="5" t="inlineStr"/>
    </row>
    <row r="555">
      <c r="A555" s="5" t="inlineStr">
        <is>
          <t>b10-huzurevi-turu</t>
        </is>
      </c>
      <c r="B555" s="5" t="inlineStr">
        <is>
          <t>Dayanıklılık</t>
        </is>
      </c>
      <c r="C555" s="5" t="inlineStr">
        <is>
          <t>Orta</t>
        </is>
      </c>
      <c r="D555" s="6" t="inlineStr">
        <is>
          <t>Burada sabah sekizde jimnastik var. Ben seninle gelmeyeceğim.</t>
        </is>
      </c>
      <c r="E555" s="6" t="inlineStr"/>
      <c r="F555" s="5" t="inlineStr"/>
    </row>
    <row r="556">
      <c r="A556" s="5" t="inlineStr">
        <is>
          <t>b10-torunun-dugunu</t>
        </is>
      </c>
      <c r="B556" s="5" t="inlineStr">
        <is>
          <t>Cesaret</t>
        </is>
      </c>
      <c r="C556" s="5" t="inlineStr">
        <is>
          <t>Orta</t>
        </is>
      </c>
      <c r="D556" s="6" t="inlineStr">
        <is>
          <t>Halaya ben girerim, dizler takip eder. Biraz geriden, ama eder.</t>
        </is>
      </c>
      <c r="E556" s="6" t="inlineStr"/>
      <c r="F556" s="5" t="inlineStr"/>
    </row>
    <row r="557">
      <c r="A557" s="5" t="inlineStr">
        <is>
          <t>b10-torunun-dugunu</t>
        </is>
      </c>
      <c r="B557" s="5" t="inlineStr">
        <is>
          <t>Sosyal Radar</t>
        </is>
      </c>
      <c r="C557" s="5" t="inlineStr">
        <is>
          <t>Kolay</t>
        </is>
      </c>
      <c r="D557" s="6" t="inlineStr">
        <is>
          <t>Karşı taraftan bir akraba seni üç kez süzdü. Seni tanıyor. Nereden?</t>
        </is>
      </c>
      <c r="E557" s="6" t="inlineStr"/>
      <c r="F557" s="5" t="inlineStr"/>
    </row>
    <row r="558">
      <c r="A558" s="5" t="inlineStr">
        <is>
          <t>b10-yapay-zeka-kitap</t>
        </is>
      </c>
      <c r="B558" s="5" t="inlineStr">
        <is>
          <t>İtibar</t>
        </is>
      </c>
      <c r="C558" s="5" t="inlineStr">
        <is>
          <t>Orta</t>
        </is>
      </c>
      <c r="D558" s="6" t="inlineStr">
        <is>
          <t>Makine her şeyi güzel anlatıyor. Güzel olmayanları da. Bu bir sorun.</t>
        </is>
      </c>
      <c r="E558" s="6" t="inlineStr"/>
      <c r="F558" s="5" t="inlineStr">
        <is>
          <t>E</t>
        </is>
      </c>
    </row>
    <row r="559">
      <c r="A559" s="5" t="inlineStr">
        <is>
          <t>b10-yapay-zeka-kitap</t>
        </is>
      </c>
      <c r="B559" s="5" t="inlineStr">
        <is>
          <t>Akıl</t>
        </is>
      </c>
      <c r="C559" s="5" t="inlineStr">
        <is>
          <t>Kolay</t>
        </is>
      </c>
      <c r="D559" s="6" t="inlineStr">
        <is>
          <t>Kitabın ilk bölümünün adı 'Bir Vazo, Bir Kedi, Bir Başlangıç.' Makine araştırmış.</t>
        </is>
      </c>
      <c r="E559" s="6" t="inlineStr"/>
      <c r="F559" s="5" t="inlineStr"/>
    </row>
    <row r="560">
      <c r="A560" s="5" t="inlineStr">
        <is>
          <t>b10-eski-ev</t>
        </is>
      </c>
      <c r="B560" s="5" t="inlineStr">
        <is>
          <t>Sosyal Radar</t>
        </is>
      </c>
      <c r="C560" s="5" t="inlineStr">
        <is>
          <t>Kolay</t>
        </is>
      </c>
      <c r="D560" s="6" t="inlineStr">
        <is>
          <t>Şu balkondaki kişi seni izliyor. Senin gibi bir balkoncu.</t>
        </is>
      </c>
      <c r="E560" s="6" t="inlineStr"/>
      <c r="F560" s="5" t="inlineStr"/>
    </row>
    <row r="561">
      <c r="A561" s="5" t="inlineStr">
        <is>
          <t>b10-eski-ev</t>
        </is>
      </c>
      <c r="B561" s="5" t="inlineStr">
        <is>
          <t>Cesaret</t>
        </is>
      </c>
      <c r="C561" s="5" t="inlineStr">
        <is>
          <t>Orta</t>
        </is>
      </c>
      <c r="D561" s="6" t="inlineStr">
        <is>
          <t>Kapıyı çal. En kötü ihtimalle birisi 'Kimi aradınız?' der.</t>
        </is>
      </c>
      <c r="E561" s="6" t="inlineStr"/>
      <c r="F561" s="5" t="inlineStr"/>
    </row>
    <row r="562">
      <c r="A562" s="5" t="inlineStr">
        <is>
          <t>b10-son-dans</t>
        </is>
      </c>
      <c r="B562" s="5" t="inlineStr">
        <is>
          <t>Cesaret</t>
        </is>
      </c>
      <c r="C562" s="5" t="inlineStr">
        <is>
          <t>Kolay</t>
        </is>
      </c>
      <c r="D562" s="6" t="inlineStr">
        <is>
          <t>Hâlâ buradayım. Dizlerin değil ama. Sen tut, ben yönlendiririm.</t>
        </is>
      </c>
      <c r="E562" s="6" t="inlineStr"/>
      <c r="F562" s="5" t="inlineStr"/>
    </row>
    <row r="563">
      <c r="A563" s="5" t="inlineStr">
        <is>
          <t>b10-son-dans</t>
        </is>
      </c>
      <c r="B563" s="5" t="inlineStr">
        <is>
          <t>İtibar</t>
        </is>
      </c>
      <c r="C563" s="5" t="inlineStr">
        <is>
          <t>Orta</t>
        </is>
      </c>
      <c r="D563" s="6" t="inlineStr">
        <is>
          <t>Bu dansı kimse görmeyecek. En güzel danslar da öyledir.</t>
        </is>
      </c>
      <c r="E563" s="6" t="inlineStr"/>
      <c r="F563" s="5" t="inlineStr"/>
    </row>
    <row r="564">
      <c r="A564" s="5" t="inlineStr">
        <is>
          <t>b10-yalniz-ozgur</t>
        </is>
      </c>
      <c r="B564" s="5" t="inlineStr">
        <is>
          <t>Pişkinlik</t>
        </is>
      </c>
      <c r="C564" s="5" t="inlineStr">
        <is>
          <t>Kolay</t>
        </is>
      </c>
      <c r="D564" s="6" t="inlineStr">
        <is>
          <t>Bu evin tek sunucusu sensin. Yayın akışı senin.</t>
        </is>
      </c>
      <c r="E564" s="6" t="inlineStr"/>
      <c r="F564" s="5" t="inlineStr"/>
    </row>
    <row r="565">
      <c r="A565" s="5" t="inlineStr">
        <is>
          <t>b10-yalniz-ozgur</t>
        </is>
      </c>
      <c r="B565" s="5" t="inlineStr">
        <is>
          <t>İtibar</t>
        </is>
      </c>
      <c r="C565" s="5" t="inlineStr">
        <is>
          <t>Orta</t>
        </is>
      </c>
      <c r="D565" s="6" t="inlineStr">
        <is>
          <t>Özgürlük güzel. Ama arada bir kişi aranabilir, evladım.</t>
        </is>
      </c>
      <c r="E565" s="6" t="inlineStr"/>
      <c r="F565" s="5" t="inlineStr"/>
    </row>
    <row r="566">
      <c r="A566" s="5" t="inlineStr">
        <is>
          <t>b10-komsu-kedisi</t>
        </is>
      </c>
      <c r="B566" s="5" t="inlineStr">
        <is>
          <t>İtibar</t>
        </is>
      </c>
      <c r="C566" s="5" t="inlineStr">
        <is>
          <t>Kolay</t>
        </is>
      </c>
      <c r="D566" s="6" t="inlineStr">
        <is>
          <t>Bu kediye bir borcun var gibi hissediyorsun. Belki de yetmiş yıllık.</t>
        </is>
      </c>
      <c r="E566" s="6" t="inlineStr"/>
      <c r="F566" s="5" t="inlineStr"/>
    </row>
    <row r="567">
      <c r="A567" s="5" t="inlineStr">
        <is>
          <t>b10-komsu-kedisi</t>
        </is>
      </c>
      <c r="B567" s="5" t="inlineStr">
        <is>
          <t>Kurnazlık</t>
        </is>
      </c>
      <c r="C567" s="5" t="inlineStr">
        <is>
          <t>Orta</t>
        </is>
      </c>
      <c r="D567" s="6" t="inlineStr">
        <is>
          <t>Kedi senin mamanı yiyor ama komşuda yaşıyor. Çifte vatandaşlık.</t>
        </is>
      </c>
      <c r="E567" s="6" t="inlineStr"/>
      <c r="F567" s="5" t="inlineStr"/>
    </row>
    <row r="568">
      <c r="A568" s="5" t="inlineStr">
        <is>
          <t>b10-sabah-yuruyusu</t>
        </is>
      </c>
      <c r="B568" s="5" t="inlineStr">
        <is>
          <t>Dayanıklılık</t>
        </is>
      </c>
      <c r="C568" s="5" t="inlineStr">
        <is>
          <t>Orta</t>
        </is>
      </c>
      <c r="D568" s="6" t="inlineStr">
        <is>
          <t>Maratoncu komşu burada. Ben hâlâ koşuyorum. Kafamda. Bacaklar bir tur geriden geliyor.</t>
        </is>
      </c>
      <c r="E568" s="6" t="inlineStr"/>
      <c r="F568" s="5" t="inlineStr"/>
    </row>
    <row r="569">
      <c r="A569" s="5" t="inlineStr">
        <is>
          <t>b10-sabah-yuruyusu</t>
        </is>
      </c>
      <c r="B569" s="5" t="inlineStr">
        <is>
          <t>Kurnazlık</t>
        </is>
      </c>
      <c r="C569" s="5" t="inlineStr">
        <is>
          <t>Kolay</t>
        </is>
      </c>
      <c r="D569" s="6" t="inlineStr">
        <is>
          <t>Önden giden kişi köşeyi hep kısa kesiyor. Sen de kes.</t>
        </is>
      </c>
      <c r="E569" s="6" t="inlineStr"/>
      <c r="F569" s="5" t="inlineStr"/>
    </row>
    <row r="570">
      <c r="A570" s="5" t="inlineStr">
        <is>
          <t>b10-son-taksit</t>
        </is>
      </c>
      <c r="B570" s="5" t="inlineStr">
        <is>
          <t>Kurnazlık</t>
        </is>
      </c>
      <c r="C570" s="5" t="inlineStr">
        <is>
          <t>Orta</t>
        </is>
      </c>
      <c r="D570" s="6" t="inlineStr">
        <is>
          <t>Banka sana yeni bir kredi teklif ediyor. Vadesi otuz yıl. İyimserler.</t>
        </is>
      </c>
      <c r="E570" s="6" t="inlineStr"/>
      <c r="F570" s="5" t="inlineStr"/>
    </row>
    <row r="571">
      <c r="A571" s="5" t="inlineStr">
        <is>
          <t>b10-son-taksit</t>
        </is>
      </c>
      <c r="B571" s="5" t="inlineStr">
        <is>
          <t>Pişkinlik</t>
        </is>
      </c>
      <c r="C571" s="5" t="inlineStr">
        <is>
          <t>Kolay</t>
        </is>
      </c>
      <c r="D571" s="6" t="inlineStr">
        <is>
          <t>Şimdi bankaya gidip 'Ayrılık görüşmesi yapmak istiyorum' de.</t>
        </is>
      </c>
      <c r="E571" s="6" t="inlineStr"/>
      <c r="F571" s="5" t="inlineStr"/>
    </row>
    <row r="572">
      <c r="A572" s="5" t="inlineStr">
        <is>
          <t>b10-ehliyet-yenileme</t>
        </is>
      </c>
      <c r="B572" s="5" t="inlineStr">
        <is>
          <t>Cesaret</t>
        </is>
      </c>
      <c r="C572" s="5" t="inlineStr">
        <is>
          <t>Kolay</t>
        </is>
      </c>
      <c r="D572" s="6" t="inlineStr">
        <is>
          <t>Seksen yıldır direksiyondayım. Emekliliğimi kabul etmiyorum. Gaz pedalı sağda.</t>
        </is>
      </c>
      <c r="E572" s="6" t="inlineStr"/>
      <c r="F572" s="5" t="inlineStr"/>
    </row>
    <row r="573">
      <c r="A573" s="5" t="inlineStr">
        <is>
          <t>b10-ehliyet-yenileme</t>
        </is>
      </c>
      <c r="B573" s="5" t="inlineStr">
        <is>
          <t>Akıl</t>
        </is>
      </c>
      <c r="C573" s="5" t="inlineStr">
        <is>
          <t>Orta</t>
        </is>
      </c>
      <c r="D573" s="6" t="inlineStr">
        <is>
          <t>Göz testinde üçüncü satır hep aynı. Ezberin var.</t>
        </is>
      </c>
      <c r="E573" s="6" t="inlineStr"/>
      <c r="F573" s="5" t="inlineStr"/>
    </row>
    <row r="574">
      <c r="A574" s="5" t="inlineStr">
        <is>
          <t>b10-mahallenin-en-yaslisi</t>
        </is>
      </c>
      <c r="B574" s="5" t="inlineStr">
        <is>
          <t>Pişkinlik</t>
        </is>
      </c>
      <c r="C574" s="5" t="inlineStr">
        <is>
          <t>Orta</t>
        </is>
      </c>
      <c r="D574" s="6" t="inlineStr">
        <is>
          <t>Bu senin son büyük sahnen olabilir. Işıkları kendine çek.</t>
        </is>
      </c>
      <c r="E574" s="6" t="inlineStr"/>
      <c r="F574" s="5" t="inlineStr">
        <is>
          <t>E</t>
        </is>
      </c>
    </row>
    <row r="575">
      <c r="A575" s="5" t="inlineStr">
        <is>
          <t>b10-mahallenin-en-yaslisi</t>
        </is>
      </c>
      <c r="B575" s="5" t="inlineStr">
        <is>
          <t>İtibar</t>
        </is>
      </c>
      <c r="C575" s="5" t="inlineStr">
        <is>
          <t>Kolay</t>
        </is>
      </c>
      <c r="D575" s="6" t="inlineStr">
        <is>
          <t>Unvanın önceki sahibini hatırla. Bir dakikalık saygı yeterli.</t>
        </is>
      </c>
      <c r="E575" s="6" t="inlineStr"/>
      <c r="F575" s="5" t="inlineStr"/>
    </row>
    <row r="576">
      <c r="A576" s="5" t="inlineStr">
        <is>
          <t>b10-mezar-tasi-fotografi</t>
        </is>
      </c>
      <c r="B576" s="5" t="inlineStr">
        <is>
          <t>Pişkinlik</t>
        </is>
      </c>
      <c r="C576" s="5" t="inlineStr">
        <is>
          <t>Kolay</t>
        </is>
      </c>
      <c r="D576" s="6" t="inlineStr">
        <is>
          <t>Bu fotoğraf senden uzun yaşayacak. Dekorunu seç.</t>
        </is>
      </c>
      <c r="E576" s="6" t="inlineStr"/>
      <c r="F576" s="5" t="inlineStr"/>
    </row>
    <row r="577">
      <c r="A577" s="5" t="inlineStr">
        <is>
          <t>b10-mezar-tasi-fotografi</t>
        </is>
      </c>
      <c r="B577" s="5" t="inlineStr">
        <is>
          <t>Sosyal Radar</t>
        </is>
      </c>
      <c r="C577" s="5" t="inlineStr">
        <is>
          <t>Orta</t>
        </is>
      </c>
      <c r="D577" s="6" t="inlineStr">
        <is>
          <t>Ziyaretçiler fotoğrafa bakıp seni yorumlayacak. Işığa dikkat.</t>
        </is>
      </c>
      <c r="E577" s="6" t="inlineStr"/>
      <c r="F577" s="5" t="inlineStr"/>
    </row>
    <row r="578">
      <c r="A578" s="5" t="inlineStr">
        <is>
          <t>son-soz</t>
        </is>
      </c>
      <c r="B578" s="5" t="inlineStr">
        <is>
          <t>İtibar</t>
        </is>
      </c>
      <c r="C578" s="5" t="inlineStr">
        <is>
          <t>Kolay</t>
        </is>
      </c>
      <c r="D578" s="6" t="inlineStr">
        <is>
          <t>Yoruldun evladım. Güzel bir şey söyle, sonra dinlen.</t>
        </is>
      </c>
      <c r="E578" s="6" t="inlineStr"/>
      <c r="F578" s="5" t="inlineStr"/>
    </row>
    <row r="579">
      <c r="A579" s="5" t="inlineStr">
        <is>
          <t>son-soz</t>
        </is>
      </c>
      <c r="B579" s="5" t="inlineStr">
        <is>
          <t>Çene</t>
        </is>
      </c>
      <c r="C579" s="5" t="inlineStr">
        <is>
          <t>Kolay</t>
        </is>
      </c>
      <c r="D579" s="6" t="inlineStr">
        <is>
          <t>Son müşteri, son pazarlık. Kısa tut, akılda kalsın.</t>
        </is>
      </c>
      <c r="E579" s="6" t="inlineStr"/>
      <c r="F579" s="5" t="inlineStr"/>
    </row>
    <row r="580">
      <c r="A580" s="5" t="inlineStr">
        <is>
          <t>son-soz</t>
        </is>
      </c>
      <c r="B580" s="5" t="inlineStr">
        <is>
          <t>Cesaret</t>
        </is>
      </c>
      <c r="C580" s="5" t="inlineStr">
        <is>
          <t>Orta</t>
        </is>
      </c>
      <c r="D580" s="6" t="inlineStr">
        <is>
          <t>Hâlâ buradayım. Artık hiçbir şey değil ama. Buradayım.</t>
        </is>
      </c>
      <c r="E580" s="6" t="inlineStr"/>
      <c r="F580" s="5" t="inlineStr"/>
    </row>
    <row r="581">
      <c r="A581" s="5" t="inlineStr">
        <is>
          <t>b6-askerlik-mezun</t>
        </is>
      </c>
      <c r="B581" s="5" t="inlineStr">
        <is>
          <t>Akıl</t>
        </is>
      </c>
      <c r="C581" s="5" t="inlineStr">
        <is>
          <t>Orta</t>
        </is>
      </c>
      <c r="D581" s="6" t="inlineStr">
        <is>
          <t>Kısa dönem altı aydır. Altı ay, bir staj kadar. Staj gibi düşün; maaşı yok, üniforması var.</t>
        </is>
      </c>
      <c r="E581" s="6" t="inlineStr"/>
      <c r="F581" s="5" t="inlineStr"/>
    </row>
    <row r="582">
      <c r="A582" s="5" t="inlineStr">
        <is>
          <t>b6-kisla</t>
        </is>
      </c>
      <c r="B582" s="5" t="inlineStr">
        <is>
          <t>Sosyal Radar</t>
        </is>
      </c>
      <c r="C582" s="5" t="inlineStr">
        <is>
          <t>Orta</t>
        </is>
      </c>
      <c r="D582" s="6" t="inlineStr">
        <is>
          <t>Komutanın köpeği her sabah yedide nöbet kulübesine uğruyor. Köpeği seven, komutanı sevmiş sayılır.</t>
        </is>
      </c>
      <c r="E582" s="6" t="inlineStr"/>
      <c r="F582" s="5" t="inlineStr">
        <is>
          <t>E</t>
        </is>
      </c>
    </row>
    <row r="583">
      <c r="A583" s="5" t="inlineStr">
        <is>
          <t>b6-kisla</t>
        </is>
      </c>
      <c r="B583" s="5" t="inlineStr">
        <is>
          <t>Cesaret</t>
        </is>
      </c>
      <c r="C583" s="5" t="inlineStr">
        <is>
          <t>Kolay</t>
        </is>
      </c>
      <c r="D583" s="6" t="inlineStr">
        <is>
          <t>Evlat, burada kahramanlık yok, düzen var. Düzen de bir tür kahramanlık.</t>
        </is>
      </c>
      <c r="E583" s="6" t="inlineStr"/>
      <c r="F583" s="5" t="inlineStr"/>
    </row>
    <row r="584">
      <c r="A584" s="5" t="inlineStr">
        <is>
          <t>b6-kisla</t>
        </is>
      </c>
      <c r="B584" s="5" t="inlineStr">
        <is>
          <t>Dayanıklılık</t>
        </is>
      </c>
      <c r="C584" s="5" t="inlineStr">
        <is>
          <t>Orta</t>
        </is>
      </c>
      <c r="D584" s="6" t="inlineStr">
        <is>
          <t>Nöbet saat üçte. Saat üç, vücudun en dürüst saatidir.</t>
        </is>
      </c>
      <c r="E584" s="6" t="inlineStr"/>
      <c r="F584" s="5" t="inlineStr"/>
    </row>
    <row r="585">
      <c r="A585" s="5" t="inlineStr">
        <is>
          <t>b6-erken-askerlik</t>
        </is>
      </c>
      <c r="B585" s="5" t="inlineStr">
        <is>
          <t>Sosyal Radar</t>
        </is>
      </c>
      <c r="C585" s="5" t="inlineStr">
        <is>
          <t>Orta</t>
        </is>
      </c>
      <c r="D585" s="6" t="inlineStr">
        <is>
          <t>Komutanın köpeği her sabah yedide nöbet kulübesine uğruyor. Köpeği seven, komutanı sevmiş sayılır.</t>
        </is>
      </c>
      <c r="E585" s="6" t="inlineStr"/>
      <c r="F585" s="5" t="inlineStr">
        <is>
          <t>E</t>
        </is>
      </c>
    </row>
    <row r="586">
      <c r="A586" s="5" t="inlineStr">
        <is>
          <t>b6-erken-askerlik</t>
        </is>
      </c>
      <c r="B586" s="5" t="inlineStr">
        <is>
          <t>Cesaret</t>
        </is>
      </c>
      <c r="C586" s="5" t="inlineStr">
        <is>
          <t>Kolay</t>
        </is>
      </c>
      <c r="D586" s="6" t="inlineStr">
        <is>
          <t>Evlat, burada kahramanlık yok, düzen var. Düzen de bir tür kahramanlık.</t>
        </is>
      </c>
      <c r="E586" s="6" t="inlineStr"/>
      <c r="F586" s="5" t="inlineStr"/>
    </row>
    <row r="587">
      <c r="A587" s="5" t="inlineStr">
        <is>
          <t>b6-erken-askerlik</t>
        </is>
      </c>
      <c r="B587" s="5" t="inlineStr">
        <is>
          <t>Dayanıklılık</t>
        </is>
      </c>
      <c r="C587" s="5" t="inlineStr">
        <is>
          <t>Orta</t>
        </is>
      </c>
      <c r="D587" s="6" t="inlineStr">
        <is>
          <t>Nöbet saat üçte. Saat üç, vücudun en dürüst saatidir.</t>
        </is>
      </c>
      <c r="E587" s="6" t="inlineStr"/>
      <c r="F587" s="5" t="inlineStr"/>
    </row>
    <row r="588">
      <c r="A588" s="5" t="inlineStr">
        <is>
          <t>b6-evden-cikis</t>
        </is>
      </c>
      <c r="B588" s="5" t="inlineStr">
        <is>
          <t>İtibar</t>
        </is>
      </c>
      <c r="C588" s="5" t="inlineStr">
        <is>
          <t>Orta</t>
        </is>
      </c>
      <c r="D588" s="6" t="inlineStr">
        <is>
          <t>Annen odanı her gün topluyor. Toplayacak odası kalmazsa ne yapacağını düşündün mü?</t>
        </is>
      </c>
      <c r="E588" s="6" t="inlineStr"/>
      <c r="F588" s="5" t="inlineStr"/>
    </row>
    <row r="589">
      <c r="A589" s="5" t="inlineStr">
        <is>
          <t>b6-evden-cikis</t>
        </is>
      </c>
      <c r="B589" s="5" t="inlineStr">
        <is>
          <t>Akıl</t>
        </is>
      </c>
      <c r="C589" s="5" t="inlineStr">
        <is>
          <t>Kolay</t>
        </is>
      </c>
      <c r="D589" s="6" t="inlineStr">
        <is>
          <t>Kira maaşın üçte biri. Evde kalırsan üçte biri cebinde; üçte biri de ailenin sorularında.</t>
        </is>
      </c>
      <c r="E589" s="6" t="inlineStr"/>
      <c r="F589" s="5" t="inlineStr"/>
    </row>
    <row r="590">
      <c r="A590" s="5" t="inlineStr">
        <is>
          <t>b6-hayat-yolu</t>
        </is>
      </c>
      <c r="B590" s="5" t="inlineStr">
        <is>
          <t>Kurnazlık</t>
        </is>
      </c>
      <c r="C590" s="5" t="inlineStr">
        <is>
          <t>Kolay</t>
        </is>
      </c>
      <c r="D590" s="6" t="inlineStr">
        <is>
          <t>Hangi yolu seçersen seç, ilk yıl çayı sen koyacaksın.</t>
        </is>
      </c>
      <c r="E590" s="6" t="inlineStr"/>
      <c r="F590" s="5" t="inlineStr"/>
    </row>
    <row r="591">
      <c r="A591" s="5" t="inlineStr">
        <is>
          <t>b6-hayat-yolu</t>
        </is>
      </c>
      <c r="B591" s="5" t="inlineStr">
        <is>
          <t>İtibar</t>
        </is>
      </c>
      <c r="C591" s="5" t="inlineStr">
        <is>
          <t>Orta</t>
        </is>
      </c>
      <c r="D591" s="6" t="inlineStr">
        <is>
          <t>Mahallede herkes kolay parayı konuşur. Kolay paranın kolay bittiğini kimse konuşmaz.</t>
        </is>
      </c>
      <c r="E591" s="6" t="inlineStr"/>
      <c r="F591" s="5" t="inlineStr"/>
    </row>
  </sheetData>
  <autoFilter ref="A1:F591"/>
  <dataValidations count="3">
    <dataValidation sqref="B2:B990" showDropDown="0" showInputMessage="0" showErrorMessage="1" allowBlank="1" errorTitle="Geçersiz değer" error="Listeden bir değer seçin." type="list">
      <formula1>"Akıl,Çene,Kurnazlık,Cesaret,Pişkinlik,İtibar,Dayanıklılık,Sosyal Radar"</formula1>
    </dataValidation>
    <dataValidation sqref="C2:C990" showDropDown="0" showInputMessage="0" showErrorMessage="1" allowBlank="1" errorTitle="Geçersiz değer" error="Listeden bir değer seçin." type="list">
      <formula1>"Kolay,Orta,Zor,Çok Zor"</formula1>
    </dataValidation>
    <dataValidation sqref="F2:F990" showDropDown="0" showInputMessage="0" showErrorMessage="1" allowBlank="1" errorTitle="Geçersiz değer" error="Listeden bir değer seçin." type="list">
      <formula1>"E"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80" customWidth="1" min="3" max="3"/>
  </cols>
  <sheetData>
    <row r="1" ht="32" customHeight="1">
      <c r="A1" s="4" t="inlineStr">
        <is>
          <t>Olay ID</t>
        </is>
      </c>
      <c r="B1" s="4" t="inlineStr">
        <is>
          <t>Hafıza</t>
        </is>
      </c>
      <c r="C1" s="4" t="inlineStr">
        <is>
          <t>Geçmişten metni</t>
        </is>
      </c>
    </row>
    <row r="2">
      <c r="A2" s="5" t="inlineStr">
        <is>
          <t>ilk-harclik</t>
        </is>
      </c>
      <c r="B2" s="5" t="inlineStr">
        <is>
          <t>ilkKelimePara</t>
        </is>
      </c>
      <c r="C2" s="6" t="inlineStr">
        <is>
          <t>İlk kelimen 'Para' olduğundan beri bu konuda seni ciddiye alıyorlar.</t>
        </is>
      </c>
    </row>
    <row r="3">
      <c r="A3" s="5" t="inlineStr">
        <is>
          <t>kim-yapti</t>
        </is>
      </c>
      <c r="B3" s="5" t="inlineStr">
        <is>
          <t>kediSuclu</t>
        </is>
      </c>
      <c r="C3" s="6" t="inlineStr">
        <is>
          <t>Vazo olayından beri ev halkı kedinin ifadelerine daha az, seninkilere daha çok dikkat ediyor.</t>
        </is>
      </c>
    </row>
    <row r="4">
      <c r="A4" s="5" t="inlineStr">
        <is>
          <t>ilk-gercek-yalan</t>
        </is>
      </c>
      <c r="B4" s="5" t="inlineStr">
        <is>
          <t>kediSuclu</t>
        </is>
      </c>
      <c r="C4" s="6" t="inlineStr">
        <is>
          <t>Ev halkı hâlâ o vazo meselesinde kediye inanmadı.</t>
        </is>
      </c>
    </row>
    <row r="5">
      <c r="A5" s="5" t="inlineStr">
        <is>
          <t>ilk-gercek-yalan</t>
        </is>
      </c>
      <c r="B5" s="5" t="inlineStr">
        <is>
          <t>yalanci</t>
        </is>
      </c>
      <c r="C5" s="6" t="inlineStr">
        <is>
          <t>'Kim yaptı?' dosyası hâlâ açık.</t>
        </is>
      </c>
    </row>
    <row r="6">
      <c r="A6" s="5" t="inlineStr">
        <is>
          <t>kirilan-oyuncak</t>
        </is>
      </c>
      <c r="B6" s="5" t="inlineStr">
        <is>
          <t>kediSuclu</t>
        </is>
      </c>
      <c r="C6" s="6" t="inlineStr">
        <is>
          <t>Bu evde bir şey kırılınca artık önce sana bakıyorlar. Kedi aklandı.</t>
        </is>
      </c>
    </row>
    <row r="7">
      <c r="A7" s="5" t="inlineStr">
        <is>
          <t>harclik-pazarligi</t>
        </is>
      </c>
      <c r="B7" s="5" t="inlineStr">
        <is>
          <t>ilkKelimePara</t>
        </is>
      </c>
      <c r="C7" s="6" t="inlineStr">
        <is>
          <t>İlk kelimesi 'Para' olan birinden beklenen an nihayet geldi.</t>
        </is>
      </c>
    </row>
    <row r="8">
      <c r="A8" s="5" t="inlineStr">
        <is>
          <t>ilkokul-kapisi</t>
        </is>
      </c>
      <c r="B8" s="5" t="inlineStr">
        <is>
          <t>yapiskan</t>
        </is>
      </c>
      <c r="C8" s="6" t="inlineStr">
        <is>
          <t>Kreş kapısındaki bacak olayı ailede hâlâ anlatılıyor.</t>
        </is>
      </c>
    </row>
    <row r="9">
      <c r="A9" s="5" t="inlineStr">
        <is>
          <t>sira-arkadasi</t>
        </is>
      </c>
      <c r="B9" s="5" t="inlineStr">
        <is>
          <t>sirVerdi</t>
        </is>
      </c>
      <c r="C9" s="6" t="inlineStr">
        <is>
          <t>Kreşteki sır hikâyesi okula senden önce gelmiş. Yeni sıra arkadaşın biraz temkinli.</t>
        </is>
      </c>
    </row>
    <row r="10">
      <c r="A10" s="5" t="inlineStr">
        <is>
          <t>odev-nerede</t>
        </is>
      </c>
      <c r="B10" s="5" t="inlineStr">
        <is>
          <t>kediSuclu</t>
        </is>
      </c>
      <c r="C10" s="6" t="inlineStr">
        <is>
          <t>Bu evde hayvanlar sanık olarak sık kullanılır. Kedi, ödev defterinden uzak duruyor.</t>
        </is>
      </c>
    </row>
    <row r="11">
      <c r="A11" s="5" t="inlineStr">
        <is>
          <t>bayram-harcligi</t>
        </is>
      </c>
      <c r="B11" s="5" t="inlineStr">
        <is>
          <t>ilkKelimePara</t>
        </is>
      </c>
      <c r="C11" s="6" t="inlineStr">
        <is>
          <t>Akrabalar zarfı uzatırken 'Hani ilk kelimesi para olan' diye gülüştü.</t>
        </is>
      </c>
    </row>
    <row r="12">
      <c r="A12" s="5" t="inlineStr">
        <is>
          <t>mahalle-maci</t>
        </is>
      </c>
      <c r="B12" s="5" t="inlineStr">
        <is>
          <t>cesurPark</t>
        </is>
      </c>
      <c r="C12" s="6" t="inlineStr">
        <is>
          <t>Parktaki büyük çocuk karşı takımda. Seni tanıdı, selam verdi.</t>
        </is>
      </c>
    </row>
    <row r="13">
      <c r="A13" s="5" t="inlineStr">
        <is>
          <t>mahalle-maci</t>
        </is>
      </c>
      <c r="B13" s="5" t="inlineStr">
        <is>
          <t>mahalle-cocugu</t>
        </is>
      </c>
      <c r="C13" s="6" t="inlineStr">
        <is>
          <t>Mahallenin çocuğusun; bu sahada her taşın yerini biliyorsun.</t>
        </is>
      </c>
    </row>
    <row r="14">
      <c r="A14" s="5" t="inlineStr">
        <is>
          <t>kedi-istiyoruz</t>
        </is>
      </c>
      <c r="B14" s="5" t="inlineStr">
        <is>
          <t>kediSuclu</t>
        </is>
      </c>
      <c r="C14" s="6" t="inlineStr">
        <is>
          <t>Vazo davasından beri ailede 'Kediye güven olmaz' diyen bir hizip var.</t>
        </is>
      </c>
    </row>
    <row r="15">
      <c r="A15" s="5" t="inlineStr">
        <is>
          <t>tablet-saati</t>
        </is>
      </c>
      <c r="B15" s="5" t="inlineStr">
        <is>
          <t>ekran-cocugu</t>
        </is>
      </c>
      <c r="C15" s="6" t="inlineStr">
        <is>
          <t>Tabletle büyüdün. Bu evde ekran süresi senin için bir kural değil, bir pazarlık konusu.</t>
        </is>
      </c>
    </row>
    <row r="16">
      <c r="A16" s="5" t="inlineStr">
        <is>
          <t>veli-toplantisi</t>
        </is>
      </c>
      <c r="B16" s="5" t="inlineStr">
        <is>
          <t>yalanci</t>
        </is>
      </c>
      <c r="C16" s="6" t="inlineStr">
        <is>
          <t>Öğretmenin elinde 'yaratıcı açıklamalar' başlıklı bir dosya var.</t>
        </is>
      </c>
    </row>
    <row r="17">
      <c r="A17" s="5" t="inlineStr">
        <is>
          <t>veli-toplantisi</t>
        </is>
      </c>
      <c r="B17" s="5" t="inlineStr">
        <is>
          <t>camKirildi</t>
        </is>
      </c>
      <c r="C17" s="6" t="inlineStr">
        <is>
          <t>Komşunun camı konusu da gündemde.</t>
        </is>
      </c>
    </row>
    <row r="18">
      <c r="A18" s="5" t="inlineStr">
        <is>
          <t>veli-toplantisi</t>
        </is>
      </c>
      <c r="B18" s="5" t="inlineStr">
        <is>
          <t>baskan</t>
        </is>
      </c>
      <c r="C18" s="6" t="inlineStr">
        <is>
          <t>Sınıf başkanlığın hanene artı olarak yazıldı.</t>
        </is>
      </c>
    </row>
    <row r="19">
      <c r="A19" s="5" t="inlineStr">
        <is>
          <t>b4-ilk-telefon</t>
        </is>
      </c>
      <c r="B19" s="5" t="inlineStr">
        <is>
          <t>yalanci</t>
        </is>
      </c>
      <c r="C19" s="6" t="inlineStr">
        <is>
          <t>Yaratıcı açıklamalar dosyan göz önüne alındı; ekran süresi başlangıçta günde bir saatle sınırlandı.</t>
        </is>
      </c>
    </row>
    <row r="20">
      <c r="A20" s="5" t="inlineStr">
        <is>
          <t>b4-aile-grubu</t>
        </is>
      </c>
      <c r="B20" s="5" t="inlineStr">
        <is>
          <t>sirVerdi</t>
        </is>
      </c>
      <c r="C20" s="6" t="inlineStr">
        <is>
          <t>Grup, kreşteki sır olayından haberdar. Bu grupta herkes her şeyden haberdar.</t>
        </is>
      </c>
    </row>
    <row r="21">
      <c r="A21" s="5" t="inlineStr">
        <is>
          <t>b4-flut</t>
        </is>
      </c>
      <c r="B21" s="5" t="inlineStr">
        <is>
          <t>yalanci</t>
        </is>
      </c>
      <c r="C21" s="6" t="inlineStr">
        <is>
          <t>Ailen 'flüt kayboldu' cümlesine karşı önceden hazırlıklı. Dosyanda benzer kayıplar var.</t>
        </is>
      </c>
    </row>
    <row r="22">
      <c r="A22" s="5" t="inlineStr">
        <is>
          <t>b4-kuzen-kiyaslama</t>
        </is>
      </c>
      <c r="B22" s="5" t="inlineStr">
        <is>
          <t>alcili-kol</t>
        </is>
      </c>
      <c r="C22" s="6" t="inlineStr">
        <is>
          <t>Teyzen alçılı kol olayını hatırlattı. Kuzenin hiç kolunu kırmamış. Bu da bir başarı sayıldı.</t>
        </is>
      </c>
    </row>
    <row r="23">
      <c r="A23" s="5" t="inlineStr">
        <is>
          <t>b4-mahalle-haraccilari</t>
        </is>
      </c>
      <c r="B23" s="5" t="inlineStr">
        <is>
          <t>cesurPark</t>
        </is>
      </c>
      <c r="C23" s="6" t="inlineStr">
        <is>
          <t>Parktaki büyük çocuğa kafa tutmuştun. Büyük çocuklar büyüdü. Sen de biraz.</t>
        </is>
      </c>
    </row>
    <row r="24">
      <c r="A24" s="5" t="inlineStr">
        <is>
          <t>b4-ogretmenler-gunu</t>
        </is>
      </c>
      <c r="B24" s="5" t="inlineStr">
        <is>
          <t>baskan</t>
        </is>
      </c>
      <c r="C24" s="6" t="inlineStr">
        <is>
          <t>Eski sınıf başkanı olduğun için para toplama işi herkesin gözünde doğal olarak sana kaldı.</t>
        </is>
      </c>
    </row>
    <row r="25">
      <c r="A25" s="5" t="inlineStr">
        <is>
          <t>b4-ilk-hoslanti</t>
        </is>
      </c>
      <c r="B25" s="5" t="inlineStr">
        <is>
          <t>sirVerdi</t>
        </is>
      </c>
      <c r="C25" s="6" t="inlineStr">
        <is>
          <t>Kreşte bir sırrı dolaşıma sokmuştun. Bu sefer sır senin. Dağıtım kanalları aynı.</t>
        </is>
      </c>
    </row>
    <row r="26">
      <c r="A26" s="5" t="inlineStr">
        <is>
          <t>b4-bilim-fuari</t>
        </is>
      </c>
      <c r="B26" s="5" t="inlineStr">
        <is>
          <t>camKirildi</t>
        </is>
      </c>
      <c r="C26" s="6" t="inlineStr">
        <is>
          <t>Jüri projenin adını okudu: 'Top Camı Kırar mı?' Deney verisi mahalleden geliyordu.</t>
        </is>
      </c>
    </row>
    <row r="27">
      <c r="A27" s="5" t="inlineStr">
        <is>
          <t>b4-kotu-not</t>
        </is>
      </c>
      <c r="B27" s="5" t="inlineStr">
        <is>
          <t>yalanci</t>
        </is>
      </c>
      <c r="C27" s="6" t="inlineStr">
        <is>
          <t>Yaratıcı açıklamalar dosyan kabarık. Ailen artık her 'İyi' cevabının arkasına bakıyor.</t>
        </is>
      </c>
    </row>
    <row r="28">
      <c r="A28" s="5" t="inlineStr">
        <is>
          <t>b4-kedinin-hesabi</t>
        </is>
      </c>
      <c r="B28" s="5" t="inlineStr">
        <is>
          <t>kediSuclu</t>
        </is>
      </c>
      <c r="C28" s="6" t="inlineStr">
        <is>
          <t>Kedi vazo davasını hatırlıyor olabilir. Kameraya hep aynı suçlayıcı ifadeyle bakıyor.</t>
        </is>
      </c>
    </row>
    <row r="29">
      <c r="A29" s="5" t="inlineStr">
        <is>
          <t>b4-fenomen-denemesi</t>
        </is>
      </c>
      <c r="B29" s="5" t="inlineStr">
        <is>
          <t>kediGeldi</t>
        </is>
      </c>
      <c r="C29" s="6" t="inlineStr">
        <is>
          <t>En çok izlenen videon kediye ait. Kedi bu konuda yorum yapmıyor.</t>
        </is>
      </c>
    </row>
    <row r="30">
      <c r="A30" s="5" t="inlineStr">
        <is>
          <t>b4-kantin-ekonomisi</t>
        </is>
      </c>
      <c r="B30" s="5" t="inlineStr">
        <is>
          <t>tepsiTekeli</t>
        </is>
      </c>
      <c r="C30" s="6" t="inlineStr">
        <is>
          <t>Bir kış mahallenin tepsi tekelini yönetmiştin. Kantin de bir tür yokuş.</t>
        </is>
      </c>
    </row>
    <row r="31">
      <c r="A31" s="5" t="inlineStr">
        <is>
          <t>b4-bayram-yatirim</t>
        </is>
      </c>
      <c r="B31" s="5" t="inlineStr">
        <is>
          <t>ilkKelimePara</t>
        </is>
      </c>
      <c r="C31" s="6" t="inlineStr">
        <is>
          <t>Akrabalar zarfı uzatırken yine ilk kelimeni hatırlattı. Bu hikâye senden uzun yaşayacak.</t>
        </is>
      </c>
    </row>
    <row r="32">
      <c r="A32" s="5" t="inlineStr">
        <is>
          <t>b4-spor-secmeleri</t>
        </is>
      </c>
      <c r="B32" s="5" t="inlineStr">
        <is>
          <t>alcili-kol</t>
        </is>
      </c>
      <c r="C32" s="6" t="inlineStr">
        <is>
          <t>Formdaki 'Daha önce kırık?' sorusuna 'Evet, tepsi' yazdın. Kimse devamını sormadı.</t>
        </is>
      </c>
    </row>
    <row r="33">
      <c r="A33" s="5" t="inlineStr">
        <is>
          <t>b4-lise-sinavi</t>
        </is>
      </c>
      <c r="B33" s="5" t="inlineStr">
        <is>
          <t>dershaneli</t>
        </is>
      </c>
      <c r="C33" s="6" t="inlineStr">
        <is>
          <t>İki yılın dershane cumartesileri bu sabah için harcandı. Yatırımın getirisi masada.</t>
        </is>
      </c>
    </row>
    <row r="34">
      <c r="A34" s="5" t="inlineStr">
        <is>
          <t>b4-lise-sinavi</t>
        </is>
      </c>
      <c r="B34" s="5" t="inlineStr">
        <is>
          <t>yz-odevci</t>
        </is>
      </c>
      <c r="C34" s="6" t="inlineStr">
        <is>
          <t>Sınav salonunda yapay zekâ yok. Bunu tam şu an fark ettin.</t>
        </is>
      </c>
    </row>
    <row r="35">
      <c r="A35" s="5" t="inlineStr">
        <is>
          <t>b5-lise-ilk-gun</t>
        </is>
      </c>
      <c r="B35" s="5" t="inlineStr">
        <is>
          <t>iyi-lise</t>
        </is>
      </c>
      <c r="C35" s="6" t="inlineStr">
        <is>
          <t>Lise sınavındaki puanın koridorda senden önce yürüyor. Öğretmenler adını çoktan ezberlemiş.</t>
        </is>
      </c>
    </row>
    <row r="36">
      <c r="A36" s="5" t="inlineStr">
        <is>
          <t>b5-lise-ilk-gun</t>
        </is>
      </c>
      <c r="B36" s="5" t="inlineStr">
        <is>
          <t>baskan</t>
        </is>
      </c>
      <c r="C36" s="6" t="inlineStr">
        <is>
          <t>İlkokuldaki başkanlık geçmişin için denklik başvurusu yaptın. Reddedildi.</t>
        </is>
      </c>
    </row>
    <row r="37">
      <c r="A37" s="5" t="inlineStr">
        <is>
          <t>b5-kantin-vergisi</t>
        </is>
      </c>
      <c r="B37" s="5" t="inlineStr">
        <is>
          <t>haracci-dusmani</t>
        </is>
      </c>
      <c r="C37" s="6" t="inlineStr">
        <is>
          <t>Seni tanıdılar. 'Abinin selamı var' dediler. Selamın içeriği belirtilmedi.</t>
        </is>
      </c>
    </row>
    <row r="38">
      <c r="A38" s="5" t="inlineStr">
        <is>
          <t>b5-okul-temsilcisi</t>
        </is>
      </c>
      <c r="B38" s="5" t="inlineStr">
        <is>
          <t>baskan</t>
        </is>
      </c>
      <c r="C38" s="6" t="inlineStr">
        <is>
          <t>İlkokuldaki başkanlık dosyanı çıkardın. Akvaryum vaadi hâlâ açık kalem olarak duruyor.</t>
        </is>
      </c>
    </row>
    <row r="39">
      <c r="A39" s="5" t="inlineStr">
        <is>
          <t>b5-yapay-zeka-odev</t>
        </is>
      </c>
      <c r="B39" s="5" t="inlineStr">
        <is>
          <t>yalanci</t>
        </is>
      </c>
      <c r="C39" s="6" t="inlineStr">
        <is>
          <t>Yaratıcı açıklamalar dosyan kabarık. 'Bunu sen mi yazdın?' sorusuna herkesten hazırlıklısın.</t>
        </is>
      </c>
    </row>
    <row r="40">
      <c r="A40" s="5" t="inlineStr">
        <is>
          <t>b5-akraba-sorgusu</t>
        </is>
      </c>
      <c r="B40" s="5" t="inlineStr">
        <is>
          <t>kediSuclu</t>
        </is>
      </c>
      <c r="C40" s="6" t="inlineStr">
        <is>
          <t>Halan vazo hikâyesini yine anlatıyor. Kedi yaşlandı ama sana hâlâ şüpheyle bakıyor.</t>
        </is>
      </c>
    </row>
    <row r="41">
      <c r="A41" s="5" t="inlineStr">
        <is>
          <t>b5-fenomen-video</t>
        </is>
      </c>
      <c r="B41" s="5" t="inlineStr">
        <is>
          <t>fenomen</t>
        </is>
      </c>
      <c r="C41" s="6" t="inlineStr">
        <is>
          <t>Zaten biliniyorsun. Yorumlarda 'Bu o değil mi?' diyenler var. Bu o.</t>
        </is>
      </c>
    </row>
    <row r="42">
      <c r="A42" s="5" t="inlineStr">
        <is>
          <t>b5-yaz-isi-garson</t>
        </is>
      </c>
      <c r="B42" s="5" t="inlineStr">
        <is>
          <t>tepsiTekeli</t>
        </is>
      </c>
      <c r="C42" s="6" t="inlineStr">
        <is>
          <t>Bir kış boyunca mahallenin tepsi tekelini elinde tutmuştun. Tepsiyle ilişkin köklü; sadece yönü değişti.</t>
        </is>
      </c>
    </row>
    <row r="43">
      <c r="A43" s="5" t="inlineStr">
        <is>
          <t>b5-ilk-maas</t>
        </is>
      </c>
      <c r="B43" s="5" t="inlineStr">
        <is>
          <t>ilkKelimePara</t>
        </is>
      </c>
      <c r="C43" s="6" t="inlineStr">
        <is>
          <t>İlk kelimen 'Para' idi. On altı yıl sonra nihayet kendin kazandın. Döngü tamamlandı.</t>
        </is>
      </c>
    </row>
    <row r="44">
      <c r="A44" s="5" t="inlineStr">
        <is>
          <t>b5-beden-dersi</t>
        </is>
      </c>
      <c r="B44" s="5" t="inlineStr">
        <is>
          <t>alcili-kol</t>
        </is>
      </c>
      <c r="C44" s="6" t="inlineStr">
        <is>
          <t>Tepsiyle kayak hikâyen hâlâ dolaşımda. Öğretmen topu sana verirken bir an duraksadı.</t>
        </is>
      </c>
    </row>
    <row r="45">
      <c r="A45" s="5" t="inlineStr">
        <is>
          <t>b5-ev-partisi</t>
        </is>
      </c>
      <c r="B45" s="5" t="inlineStr">
        <is>
          <t>camKirildi</t>
        </is>
      </c>
      <c r="C45" s="6" t="inlineStr">
        <is>
          <t>Mahallede adın hâlâ 'komşunun camı' vakasıyla anılıyor. Balkona bu gece uzaktan bakıyorsun.</t>
        </is>
      </c>
    </row>
    <row r="46">
      <c r="A46" s="5" t="inlineStr">
        <is>
          <t>b5-universite-sinavi</t>
        </is>
      </c>
      <c r="B46" s="5" t="inlineStr">
        <is>
          <t>iyi-lise</t>
        </is>
      </c>
      <c r="C46" s="6" t="inlineStr">
        <is>
          <t>Lise sınavını iyi geçmiştin. Yüzde kırk öz güven, yüzde altmış alışkanlık.</t>
        </is>
      </c>
    </row>
    <row r="47">
      <c r="A47" s="5" t="inlineStr">
        <is>
          <t>b5-universite-sinavi</t>
        </is>
      </c>
      <c r="B47" s="5" t="inlineStr">
        <is>
          <t>ai-kopyaci</t>
        </is>
      </c>
      <c r="C47" s="6" t="inlineStr">
        <is>
          <t>Bu salonda yapay zekâ yok. Sadece sen ve birkaç yıllık alışkanlık.</t>
        </is>
      </c>
    </row>
    <row r="48">
      <c r="A48" s="5" t="inlineStr">
        <is>
          <t>b5-universite-sinavi</t>
        </is>
      </c>
      <c r="B48" s="5" t="inlineStr">
        <is>
          <t>meslek-lisesi</t>
        </is>
      </c>
      <c r="C48" s="6" t="inlineStr">
        <is>
          <t>Meslek lisesinden geliyorsun. Soruların yarısı hiç görmediğin konulardan; öbür yarısında herkesten iyisin.</t>
        </is>
      </c>
    </row>
    <row r="49">
      <c r="A49" s="5" t="inlineStr">
        <is>
          <t>b5-universite-sinavi</t>
        </is>
      </c>
      <c r="B49" s="5" t="inlineStr">
        <is>
          <t>acik-lise</t>
        </is>
      </c>
      <c r="C49" s="6" t="inlineStr">
        <is>
          <t>Liseyi akşamları bitirdin. Bu salondaki herkes gündüz uyanıktı; sen hem gündüz hem gece.</t>
        </is>
      </c>
    </row>
    <row r="50">
      <c r="A50" s="5" t="inlineStr">
        <is>
          <t>b5-tercih-listesi</t>
        </is>
      </c>
      <c r="B50" s="5" t="inlineStr">
        <is>
          <t>doktor-sozu</t>
        </is>
      </c>
      <c r="C50" s="6" t="inlineStr">
        <is>
          <t>Bir akşam yemeğinde verdiğin doktor sözü masada duruyor. Puanın başka bir masada.</t>
        </is>
      </c>
    </row>
    <row r="51">
      <c r="A51" s="5" t="inlineStr">
        <is>
          <t>b5-mezuniyet</t>
        </is>
      </c>
      <c r="B51" s="5" t="inlineStr">
        <is>
          <t>okul-temsilcisi</t>
        </is>
      </c>
      <c r="C51" s="6" t="inlineStr">
        <is>
          <t>Okul temsilcisi olarak ön sıradasın. Tost makinesi komisyonu hâlâ çalışıyor.</t>
        </is>
      </c>
    </row>
    <row r="52">
      <c r="A52" s="5" t="inlineStr">
        <is>
          <t>b5-mezuniyet</t>
        </is>
      </c>
      <c r="B52" s="5" t="inlineStr">
        <is>
          <t>fenomen</t>
        </is>
      </c>
      <c r="C52" s="6" t="inlineStr">
        <is>
          <t>Tören boyunca üç kişi seninle fotoğraf çekilmek istedi. İkisi veliydi.</t>
        </is>
      </c>
    </row>
    <row r="53">
      <c r="A53" s="5" t="inlineStr">
        <is>
          <t>b5-mezuniyet</t>
        </is>
      </c>
      <c r="B53" s="5" t="inlineStr">
        <is>
          <t>haracci-dusmani</t>
        </is>
      </c>
      <c r="C53" s="6" t="inlineStr">
        <is>
          <t>Kapıdaki eski tahsilat ekibi bugün ücretsiz geçişe izin verdi. Mezuniyet indirimi.</t>
        </is>
      </c>
    </row>
    <row r="54">
      <c r="A54" s="5" t="inlineStr">
        <is>
          <t>b5-mezuniyet</t>
        </is>
      </c>
      <c r="B54" s="5" t="inlineStr">
        <is>
          <t>universiteli</t>
        </is>
      </c>
      <c r="C54" s="6" t="inlineStr">
        <is>
          <t>Herkes bölümünü soruyor. Üçüncü kez anlatıyorsun; her seferinde biraz daha önemli bir bölüm oluyor.</t>
        </is>
      </c>
    </row>
    <row r="55">
      <c r="A55" s="5" t="inlineStr">
        <is>
          <t>b6-ilk-tam-zamanli-is</t>
        </is>
      </c>
      <c r="B55" s="5" t="inlineStr">
        <is>
          <t>haracci-dusmani</t>
        </is>
      </c>
      <c r="C55" s="6" t="inlineStr">
        <is>
          <t>Dükkanın önünden eski tanıdıklar geçiyor. Seni görünce karşı kaldırıma geçtiler. Sonra bir karşı kaldırıma daha.</t>
        </is>
      </c>
    </row>
    <row r="56">
      <c r="A56" s="5" t="inlineStr">
        <is>
          <t>b6-ehliyet</t>
        </is>
      </c>
      <c r="B56" s="5" t="inlineStr">
        <is>
          <t>alcili-kol</t>
        </is>
      </c>
      <c r="C56" s="6" t="inlineStr">
        <is>
          <t>Eski alçılı kolun el frenini çekerken hafifçe kendini hatırlattı. Görevli not almadı.</t>
        </is>
      </c>
    </row>
    <row r="57">
      <c r="A57" s="5" t="inlineStr">
        <is>
          <t>b6-ilk-maas</t>
        </is>
      </c>
      <c r="B57" s="5" t="inlineStr">
        <is>
          <t>ilkKelimePara</t>
        </is>
      </c>
      <c r="C57" s="6" t="inlineStr">
        <is>
          <t>İlk kelimen 'Para' idi. Sonunda para da seninle konuşmaya başladı. Kısa kesiyor.</t>
        </is>
      </c>
    </row>
    <row r="58">
      <c r="A58" s="5" t="inlineStr">
        <is>
          <t>b6-final-haftasi</t>
        </is>
      </c>
      <c r="B58" s="5" t="inlineStr">
        <is>
          <t>iyi-lise</t>
        </is>
      </c>
      <c r="C58" s="6" t="inlineStr">
        <is>
          <t>Lisedeki çalışma düzenin hâlâ bir yerlerde. Dolabın en arkasında, tozlu bir klasörde.</t>
        </is>
      </c>
    </row>
    <row r="59">
      <c r="A59" s="5" t="inlineStr">
        <is>
          <t>b6-ogrenci-kulubu</t>
        </is>
      </c>
      <c r="B59" s="5" t="inlineStr">
        <is>
          <t>baskan</t>
        </is>
      </c>
      <c r="C59" s="6" t="inlineStr">
        <is>
          <t>Sınıf başkanlığı günlerin geri geldi. Seçim kampanyası kasların hafifçe seğirdi.</t>
        </is>
      </c>
    </row>
    <row r="60">
      <c r="A60" s="5" t="inlineStr">
        <is>
          <t>b6-gece-vardiyasi</t>
        </is>
      </c>
      <c r="B60" s="5" t="inlineStr">
        <is>
          <t>sigara</t>
        </is>
      </c>
      <c r="C60" s="6" t="inlineStr">
        <is>
          <t>Mola denince herkes kapının önüne çıkıyor. Sen de. Ciğerlerin itiraz dilekçesini yeniledi.</t>
        </is>
      </c>
    </row>
    <row r="61">
      <c r="A61" s="5" t="inlineStr">
        <is>
          <t>b6-tasinma</t>
        </is>
      </c>
      <c r="B61" s="5" t="inlineStr">
        <is>
          <t>alcili-kol</t>
        </is>
      </c>
      <c r="C61" s="6" t="inlineStr">
        <is>
          <t>Eski alçılı kolun buzdolabının her köşesinde 'Hatırlıyor musun?' diye soruyor.</t>
        </is>
      </c>
    </row>
    <row r="62">
      <c r="A62" s="5" t="inlineStr">
        <is>
          <t>b6-ev-arkadasi</t>
        </is>
      </c>
      <c r="B62" s="5" t="inlineStr">
        <is>
          <t>kediSuclu</t>
        </is>
      </c>
      <c r="C62" s="6" t="inlineStr">
        <is>
          <t>Vazo davasından beri suçu başkasına atmakta deneyimlisin. Ne yazık ki bu evde kedi yok.</t>
        </is>
      </c>
    </row>
    <row r="63">
      <c r="A63" s="5" t="inlineStr">
        <is>
          <t>b6-spor-salonu</t>
        </is>
      </c>
      <c r="B63" s="5" t="inlineStr">
        <is>
          <t>alcili-kol</t>
        </is>
      </c>
      <c r="C63" s="6" t="inlineStr">
        <is>
          <t>Antrenör eski kırığını sordu. Anlattın. O da kendi kırıklarını anlattı. Set bitti.</t>
        </is>
      </c>
    </row>
    <row r="64">
      <c r="A64" s="5" t="inlineStr">
        <is>
          <t>b6-askerlik</t>
        </is>
      </c>
      <c r="B64" s="5" t="inlineStr">
        <is>
          <t>alcili-kol</t>
        </is>
      </c>
      <c r="C64" s="6" t="inlineStr">
        <is>
          <t>Muayenede eski alçı kaydın soruldu. Doktor röntgene baktı: “Sağlam kaynamış.” İlk sıraya yazıldın.</t>
        </is>
      </c>
    </row>
    <row r="65">
      <c r="A65" s="5" t="inlineStr">
        <is>
          <t>b6-meslek-secimi</t>
        </is>
      </c>
      <c r="B65" s="5" t="inlineStr">
        <is>
          <t>komiser-tanidik</t>
        </is>
      </c>
      <c r="C65" s="6" t="inlineStr">
        <is>
          <t>Bir komiserin kartviziti hâlâ cüzdanında. “Başın sıkışırsa ara” demişti; başın sıkışmadan da arayabilirsin.</t>
        </is>
      </c>
    </row>
    <row r="66">
      <c r="A66" s="5" t="inlineStr">
        <is>
          <t>b6-flort-uygulamasi</t>
        </is>
      </c>
      <c r="B66" s="5" t="inlineStr">
        <is>
          <t>fenomen</t>
        </is>
      </c>
      <c r="C66" s="6" t="inlineStr">
        <is>
          <t>Biri mesaj attı: 'Sen şu videodaki değil misin?' Değilim demeyi düşündün.</t>
        </is>
      </c>
    </row>
    <row r="67">
      <c r="A67" s="5" t="inlineStr">
        <is>
          <t>b6-is-gorusmesi</t>
        </is>
      </c>
      <c r="B67" s="5" t="inlineStr">
        <is>
          <t>yalanci</t>
        </is>
      </c>
      <c r="C67" s="6" t="inlineStr">
        <is>
          <t>Özgeçmişindeki 'ileri düzey' ifadesi biraz yaratıcı. Yaratıcı açıklamalar dosyan zaten kabarık.</t>
        </is>
      </c>
    </row>
    <row r="68">
      <c r="A68" s="5" t="inlineStr">
        <is>
          <t>b6-is-gorusmesi</t>
        </is>
      </c>
      <c r="B68" s="5" t="inlineStr">
        <is>
          <t>yurtdisi-gordu</t>
        </is>
      </c>
      <c r="C68" s="6" t="inlineStr">
        <is>
          <t>Görüşmeci ilk soruyu değişim programından sordu: 'Peynir nasıldı?'</t>
        </is>
      </c>
    </row>
    <row r="69">
      <c r="A69" s="5" t="inlineStr">
        <is>
          <t>b6-dugun-yagmuru</t>
        </is>
      </c>
      <c r="B69" s="5" t="inlineStr">
        <is>
          <t>askerlik-yapti</t>
        </is>
      </c>
      <c r="C69" s="6" t="inlineStr">
        <is>
          <t>'Askerliğini de yaptın, sıra evlilikte' dendi. Belli ki bir kontrol listesi var ve sen üçüncü satırdasın.</t>
        </is>
      </c>
    </row>
    <row r="70">
      <c r="A70" s="5" t="inlineStr">
        <is>
          <t>b6-dukkan-anahtari</t>
        </is>
      </c>
      <c r="B70" s="5" t="inlineStr">
        <is>
          <t>usta-eli</t>
        </is>
      </c>
      <c r="C70" s="6" t="inlineStr">
        <is>
          <t>Ustanın ellerini o kadar izledin ki artık seninkiler de biraz onun gibi. Nasırlar dahil.</t>
        </is>
      </c>
    </row>
    <row r="71">
      <c r="A71" s="5" t="inlineStr">
        <is>
          <t>b6-taki-butcesi</t>
        </is>
      </c>
      <c r="B71" s="5" t="inlineStr">
        <is>
          <t>borclu</t>
        </is>
      </c>
      <c r="C71" s="6" t="inlineStr">
        <is>
          <t>Kredi kartı ekstresi davetiyelerin altında duruyor. Hangisinin daha acil olduğu tartışmalı.</t>
        </is>
      </c>
    </row>
    <row r="72">
      <c r="A72" s="5" t="inlineStr">
        <is>
          <t>b6-ilk-araba</t>
        </is>
      </c>
      <c r="B72" s="5" t="inlineStr">
        <is>
          <t>ehliyetli</t>
        </is>
      </c>
      <c r="C72" s="6" t="inlineStr">
        <is>
          <t>Ehliyetin cüzdanda. Fotoğrafta kendini tanımıyorsun ama araba tanıyacak.</t>
        </is>
      </c>
    </row>
    <row r="73">
      <c r="A73" s="5" t="inlineStr">
        <is>
          <t>b6-ev-sahibi-kavgasi</t>
        </is>
      </c>
      <c r="B73" s="5" t="inlineStr">
        <is>
          <t>depozito-yandi</t>
        </is>
      </c>
      <c r="C73" s="6" t="inlineStr">
        <is>
          <t>Önceki evden depozitonu alamamıştın. Bu evdeki her çiziğin fotoğrafı telefonunda.</t>
        </is>
      </c>
    </row>
    <row r="74">
      <c r="A74" s="5" t="inlineStr">
        <is>
          <t>b6-kombi</t>
        </is>
      </c>
      <c r="B74" s="5" t="inlineStr">
        <is>
          <t>usta-eli</t>
        </is>
      </c>
      <c r="C74" s="6" t="inlineStr">
        <is>
          <t>Ustanın yanında gördüğün onca motor bir kombiden zor olamaz. Olabilir de.</t>
        </is>
      </c>
    </row>
    <row r="75">
      <c r="A75" s="5" t="inlineStr">
        <is>
          <t>b7-kira-artisi</t>
        </is>
      </c>
      <c r="B75" s="5" t="inlineStr">
        <is>
          <t>borclu</t>
        </is>
      </c>
      <c r="C75" s="6" t="inlineStr">
        <is>
          <t>Kredi kartı ekstresi zaten masada duruyor. Yanına bir zarf daha eklendi.</t>
        </is>
      </c>
    </row>
    <row r="76">
      <c r="A76" s="5" t="inlineStr">
        <is>
          <t>b7-eski-sinif-arkadasi</t>
        </is>
      </c>
      <c r="B76" s="5" t="inlineStr">
        <is>
          <t>baskan</t>
        </is>
      </c>
      <c r="C76" s="6" t="inlineStr">
        <is>
          <t>Sınıf başkanıydın. O zaman seçimi o kaybetmişti. Oy sayımı hafızanda hâlâ canlı.</t>
        </is>
      </c>
    </row>
    <row r="77">
      <c r="A77" s="5" t="inlineStr">
        <is>
          <t>b7-eski-sinif-arkadasi</t>
        </is>
      </c>
      <c r="B77" s="5" t="inlineStr">
        <is>
          <t>universiteli</t>
        </is>
      </c>
      <c r="C77" s="6" t="inlineStr">
        <is>
          <t>Diplomanı çerçeveletmiştin. Çerçeve şu an duvarda biraz eğri duruyor.</t>
        </is>
      </c>
    </row>
    <row r="78">
      <c r="A78" s="5" t="inlineStr">
        <is>
          <t>b7-trafik-cezasi</t>
        </is>
      </c>
      <c r="B78" s="5" t="inlineStr">
        <is>
          <t>yalanci</t>
        </is>
      </c>
      <c r="C78" s="6" t="inlineStr">
        <is>
          <t>Yaratıcı açıklamalar dosyan kalın. Kaleminin ucu kendiliğinden kıpırdadı.</t>
        </is>
      </c>
    </row>
    <row r="79">
      <c r="A79" s="5" t="inlineStr">
        <is>
          <t>b7-araba-alma</t>
        </is>
      </c>
      <c r="B79" s="5" t="inlineStr">
        <is>
          <t>askerlik-yapti</t>
        </is>
      </c>
      <c r="C79" s="6" t="inlineStr">
        <is>
          <t>Askerde öğrendiğin tek motor bilgisi hâlâ geçerli: 'Çalışıyorsa dokunma.'</t>
        </is>
      </c>
    </row>
    <row r="80">
      <c r="A80" s="5" t="inlineStr">
        <is>
          <t>b7-ne-zaman-evleneceksin</t>
        </is>
      </c>
      <c r="B80" s="5" t="inlineStr">
        <is>
          <t>yalniz-gezgin</t>
        </is>
      </c>
      <c r="C80" s="6" t="inlineStr">
        <is>
          <t>Tek başına tatile gittiğin duyulmuş. Bir teyze bunu 'kaçış' olarak yorumladı.</t>
        </is>
      </c>
    </row>
    <row r="81">
      <c r="A81" s="5" t="inlineStr">
        <is>
          <t>b7-evlilik-karari</t>
        </is>
      </c>
      <c r="B81" s="5" t="inlineStr">
        <is>
          <t>ilk-sevgili</t>
        </is>
      </c>
      <c r="C81" s="6" t="inlineStr">
        <is>
          <t>Lisedeki o bank, o park, o bir karışlık mesafe. Numara hâlâ telefonunda kayıtlı; adı “Yazma” diye.</t>
        </is>
      </c>
    </row>
    <row r="82">
      <c r="A82" s="5" t="inlineStr">
        <is>
          <t>b7-evlilik-karari</t>
        </is>
      </c>
      <c r="B82" s="5" t="inlineStr">
        <is>
          <t>utangac</t>
        </is>
      </c>
      <c r="C82" s="6" t="inlineStr">
        <is>
          <t>İlk buluşmada reddedilmiştin. O günden beri her teklifi üç kez prova ediyorsun.</t>
        </is>
      </c>
    </row>
    <row r="83">
      <c r="A83" s="5" t="inlineStr">
        <is>
          <t>me-zabita-denetimi</t>
        </is>
      </c>
      <c r="B83" s="5" t="inlineStr">
        <is>
          <t>esnaf-komsu-rakip</t>
        </is>
      </c>
      <c r="C83" s="6" t="inlineStr">
        <is>
          <t>Karşı dükkânın kasaları seninkilerden bir karış daha dışarıda. Bunu bir tek sen fark etmiş olamazsın.</t>
        </is>
      </c>
    </row>
    <row r="84">
      <c r="A84" s="5" t="inlineStr">
        <is>
          <t>b7-dugun-takilari</t>
        </is>
      </c>
      <c r="B84" s="5" t="inlineStr">
        <is>
          <t>fenomen</t>
        </is>
      </c>
      <c r="C84" s="6" t="inlineStr">
        <is>
          <t>Düğün canlı yayında. Takı kuyruğu, yorumlarda 'uzun' diye eleştiriliyor.</t>
        </is>
      </c>
    </row>
    <row r="85">
      <c r="A85" s="5" t="inlineStr">
        <is>
          <t>b7-akraba-tanisma</t>
        </is>
      </c>
      <c r="B85" s="5" t="inlineStr">
        <is>
          <t>flort-emeklisi</t>
        </is>
      </c>
      <c r="C85" s="6" t="inlineStr">
        <is>
          <t>Uygulamayı sildiğini teyzen duymuş. Bunu kişisel bir görev olarak üstlenmiş.</t>
        </is>
      </c>
    </row>
    <row r="86">
      <c r="A86" s="5" t="inlineStr">
        <is>
          <t>b7-ortak-hesap</t>
        </is>
      </c>
      <c r="B86" s="5" t="inlineStr">
        <is>
          <t>borclu</t>
        </is>
      </c>
      <c r="C86" s="6" t="inlineStr">
        <is>
          <t>Kredi kartı ekstresi çantanda katlanmış duruyor. Ortak hesap da onu merak ediyor.</t>
        </is>
      </c>
    </row>
    <row r="87">
      <c r="A87" s="5" t="inlineStr">
        <is>
          <t>b7-ortak-hesap</t>
        </is>
      </c>
      <c r="B87" s="5" t="inlineStr">
        <is>
          <t>meslek-serbest</t>
        </is>
      </c>
      <c r="C87" s="6" t="inlineStr">
        <is>
          <t>Serbest çalıştığın için 'aylık gelir' sorusuna 'Değişken' dedin. Temsilci not almadı, sadece baktı.</t>
        </is>
      </c>
    </row>
    <row r="88">
      <c r="A88" s="5" t="inlineStr">
        <is>
          <t>b7-spor-salonu</t>
        </is>
      </c>
      <c r="B88" s="5" t="inlineStr">
        <is>
          <t>sigara</t>
        </is>
      </c>
      <c r="C88" s="6" t="inlineStr">
        <is>
          <t>Merdivende soluklanırken cebindeki paket, bir yıllık üyelik indiriminden daha pahalıydı.</t>
        </is>
      </c>
    </row>
    <row r="89">
      <c r="A89" s="5" t="inlineStr">
        <is>
          <t>ms-viral</t>
        </is>
      </c>
      <c r="B89" s="5" t="inlineStr">
        <is>
          <t>fenomen</t>
        </is>
      </c>
      <c r="C89" s="6" t="inlineStr">
        <is>
          <t>Eski takipçilerin geri döndü: 'Biz seni ilk günden biliyorduk.'</t>
        </is>
      </c>
    </row>
    <row r="90">
      <c r="A90" s="5" t="inlineStr">
        <is>
          <t>b7-cocuk-karari</t>
        </is>
      </c>
      <c r="B90" s="5" t="inlineStr">
        <is>
          <t>kediSuclu</t>
        </is>
      </c>
      <c r="C90" s="6" t="inlineStr">
        <is>
          <t>Bir gün evde bir vazo kırılacak ve suçlanacak bir kedi olmayacak. Bunu düşünmeden edemedin.</t>
        </is>
      </c>
    </row>
    <row r="91">
      <c r="A91" s="5" t="inlineStr">
        <is>
          <t>mm-lojman-kurasi</t>
        </is>
      </c>
      <c r="B91" s="5" t="inlineStr">
        <is>
          <t>memur-mudur-dusmani</t>
        </is>
      </c>
      <c r="C91" s="6" t="inlineStr">
        <is>
          <t>Müdürün alt katı sana çıkarsa, bu sefer gerçekten tayin istemen gerekecek.</t>
        </is>
      </c>
    </row>
    <row r="92">
      <c r="A92" s="5" t="inlineStr">
        <is>
          <t>b7-site-toplantisi</t>
        </is>
      </c>
      <c r="B92" s="5" t="inlineStr">
        <is>
          <t>baskan</t>
        </is>
      </c>
      <c r="C92" s="6" t="inlineStr">
        <is>
          <t>Sınıf başkanlığı tecrüben burada da seziliyor. Herkes sana dönüp bakıyor. Bu iyi bir şey değil.</t>
        </is>
      </c>
    </row>
    <row r="93">
      <c r="A93" s="5" t="inlineStr">
        <is>
          <t>b7-ilk-kelime</t>
        </is>
      </c>
      <c r="B93" s="5" t="inlineStr">
        <is>
          <t>ilkKelimePara</t>
        </is>
      </c>
      <c r="C93" s="6" t="inlineStr">
        <is>
          <t>Senin ilk kelimen 'Para'ydı. Aile arşivi bu çocuğun da aynı yolda olup olmadığını izliyor.</t>
        </is>
      </c>
    </row>
    <row r="94">
      <c r="A94" s="5" t="inlineStr">
        <is>
          <t>b7-ev-kredisi</t>
        </is>
      </c>
      <c r="B94" s="5" t="inlineStr">
        <is>
          <t>borclu</t>
        </is>
      </c>
      <c r="C94" s="6" t="inlineStr">
        <is>
          <t>Kredi notun banka ekranında sarı yanıyor. Temsilci bir an duraksadı.</t>
        </is>
      </c>
    </row>
    <row r="95">
      <c r="A95" s="5" t="inlineStr">
        <is>
          <t>b7-kres-kaydi</t>
        </is>
      </c>
      <c r="B95" s="5" t="inlineStr">
        <is>
          <t>yapiskan</t>
        </is>
      </c>
      <c r="C95" s="6" t="inlineStr">
        <is>
          <t>Kreş kapısında bir bacağa sarıldığın gün geldi aklına. Bu sefer sarılınan bacak senin.</t>
        </is>
      </c>
    </row>
    <row r="96">
      <c r="A96" s="5" t="inlineStr">
        <is>
          <t>b7-saglik-kontrolu</t>
        </is>
      </c>
      <c r="B96" s="5" t="inlineStr">
        <is>
          <t>sigara</t>
        </is>
      </c>
      <c r="C96" s="6" t="inlineStr">
        <is>
          <t>Doktor ciğer değerlerine bakarken sessizleşti. Cebindeki paket bir anda ağırlaştı.</t>
        </is>
      </c>
    </row>
    <row r="97">
      <c r="A97" s="5" t="inlineStr">
        <is>
          <t>b7-saglik-kontrolu</t>
        </is>
      </c>
      <c r="B97" s="5" t="inlineStr">
        <is>
          <t>sporcu</t>
        </is>
      </c>
      <c r="C97" s="6" t="inlineStr">
        <is>
          <t>Doktor 'Siz spor yapıyorsunuz, belli' dedi. Yıllık üyelik ilk kez kendini amorti etti.</t>
        </is>
      </c>
    </row>
    <row r="98">
      <c r="A98" s="5" t="inlineStr">
        <is>
          <t>b7-bekar-evi</t>
        </is>
      </c>
      <c r="B98" s="5" t="inlineStr">
        <is>
          <t>kediSuclu</t>
        </is>
      </c>
      <c r="C98" s="6" t="inlineStr">
        <is>
          <t>Tencerede bir şey kırıldı. Suçlayacak kedi yok. Bu ev tamamen senin sorumluluğunda.</t>
        </is>
      </c>
    </row>
    <row r="99">
      <c r="A99" s="5" t="inlineStr">
        <is>
          <t>b7-bekar-evi</t>
        </is>
      </c>
      <c r="B99" s="5" t="inlineStr">
        <is>
          <t>kediGeldi</t>
        </is>
      </c>
      <c r="C99" s="6" t="inlineStr">
        <is>
          <t>Kedin buzdolabının önünde bekliyor. Onun maması hardaldan daha taze.</t>
        </is>
      </c>
    </row>
    <row r="100">
      <c r="A100" s="5" t="inlineStr">
        <is>
          <t>b7-ebeveyn-grubu</t>
        </is>
      </c>
      <c r="B100" s="5" t="inlineStr">
        <is>
          <t>baskan</t>
        </is>
      </c>
      <c r="C100" s="6" t="inlineStr">
        <is>
          <t>Sınıf başkanlığı yıllar sonra geri döndü. Bu sefer veli olarak ve gönülsüz.</t>
        </is>
      </c>
    </row>
    <row r="101">
      <c r="A101" s="5" t="inlineStr">
        <is>
          <t>b7-borc-batagi</t>
        </is>
      </c>
      <c r="B101" s="5" t="inlineStr">
        <is>
          <t>borclu</t>
        </is>
      </c>
      <c r="C101" s="6" t="inlineStr">
        <is>
          <t>Borç dosyan zaten açık. Banka temsilcisi numaranı ezbere biliyor.</t>
        </is>
      </c>
    </row>
    <row r="102">
      <c r="A102" s="5" t="inlineStr">
        <is>
          <t>b7-borc-batagi</t>
        </is>
      </c>
      <c r="B102" s="5" t="inlineStr">
        <is>
          <t>meslek-esnaf</t>
        </is>
      </c>
      <c r="C102" s="6" t="inlineStr">
        <is>
          <t>Dükkândaki veresiye defteri kabarık. Sana borçlu olanlar da ödeme yapmıyor.</t>
        </is>
      </c>
    </row>
    <row r="103">
      <c r="A103" s="5" t="inlineStr">
        <is>
          <t>b7-dogum-gunu-partisi</t>
        </is>
      </c>
      <c r="B103" s="5" t="inlineStr">
        <is>
          <t>fenomen</t>
        </is>
      </c>
      <c r="C103" s="6" t="inlineStr">
        <is>
          <t>Partinin fotoğrafları senin hesabında paylaşılacak. Çocuğun ilk kez 'içerik' oldu.</t>
        </is>
      </c>
    </row>
    <row r="104">
      <c r="A104" s="5" t="inlineStr">
        <is>
          <t>mm-kurum-piknigi</t>
        </is>
      </c>
      <c r="B104" s="5" t="inlineStr">
        <is>
          <t>memur-mudur-dusmani</t>
        </is>
      </c>
      <c r="C104" s="6" t="inlineStr">
        <is>
          <t>Müdür karşı takımda. Halatın öbür ucunda, sana bakarak eldiven giyiyor.</t>
        </is>
      </c>
    </row>
    <row r="105">
      <c r="A105" s="5" t="inlineStr">
        <is>
          <t>b7-yil-donumu</t>
        </is>
      </c>
      <c r="B105" s="5" t="inlineStr">
        <is>
          <t>fenomen</t>
        </is>
      </c>
      <c r="C105" s="6" t="inlineStr">
        <is>
          <t>Yıl dönümü paylaşımın bekleniyor. Takipçilerin de hatırlıyor.</t>
        </is>
      </c>
    </row>
    <row r="106">
      <c r="A106" s="5" t="inlineStr">
        <is>
          <t>b8-kirk-yas</t>
        </is>
      </c>
      <c r="B106" s="5" t="inlineStr">
        <is>
          <t>evli</t>
        </is>
      </c>
      <c r="C106" s="6" t="inlineStr">
        <is>
          <t>Eşin pastaya kırk mum dikmek yerine bir '4' ve bir '0' aldı. Tasarruf tedbiri.</t>
        </is>
      </c>
    </row>
    <row r="107">
      <c r="A107" s="5" t="inlineStr">
        <is>
          <t>b8-kirk-yas</t>
        </is>
      </c>
      <c r="B107" s="5" t="inlineStr">
        <is>
          <t>cocuklu</t>
        </is>
      </c>
      <c r="C107" s="6" t="inlineStr">
        <is>
          <t>Çocuğun doğum günü kartına 'Yaşlı ama iyi' yazmış. Dürüst bir denetim raporu.</t>
        </is>
      </c>
    </row>
    <row r="108">
      <c r="A108" s="5" t="inlineStr">
        <is>
          <t>b8-kirk-yas</t>
        </is>
      </c>
      <c r="B108" s="5" t="inlineStr">
        <is>
          <t>borclu</t>
        </is>
      </c>
      <c r="C108" s="6" t="inlineStr">
        <is>
          <t>Kredi kartı ekstresi de kırk yaşını kutladı. O senden daha genç görünüyor.</t>
        </is>
      </c>
    </row>
    <row r="109">
      <c r="A109" s="5" t="inlineStr">
        <is>
          <t>ms-sigortasiz-hayat</t>
        </is>
      </c>
      <c r="B109" s="5" t="inlineStr">
        <is>
          <t>serbest-alacakli</t>
        </is>
      </c>
      <c r="C109" s="6" t="inlineStr">
        <is>
          <t>Prim borcunu ödemek için o faturayı yine hatırladın. O da seni hatırlamıyor.</t>
        </is>
      </c>
    </row>
    <row r="110">
      <c r="A110" s="5" t="inlineStr">
        <is>
          <t>b8-ergen-telefon</t>
        </is>
      </c>
      <c r="B110" s="5" t="inlineStr">
        <is>
          <t>fenomen</t>
        </is>
      </c>
      <c r="C110" s="6" t="inlineStr">
        <is>
          <t>Bir zamanlar senin de binlerce takipçin vardı. Çocuğun hepsini gördü, hiçbirini beğenmedi.</t>
        </is>
      </c>
    </row>
    <row r="111">
      <c r="A111" s="5" t="inlineStr">
        <is>
          <t>mm-performans-formu</t>
        </is>
      </c>
      <c r="B111" s="5" t="inlineStr">
        <is>
          <t>memur-mudur-dusmani</t>
        </is>
      </c>
      <c r="C111" s="6" t="inlineStr">
        <is>
          <t>Formu dolduracak kişi müdür. Kalemini bile seçmiş: kırmızı.</t>
        </is>
      </c>
    </row>
    <row r="112">
      <c r="A112" s="5" t="inlineStr">
        <is>
          <t>b8-bayram-sofrasi</t>
        </is>
      </c>
      <c r="B112" s="5" t="inlineStr">
        <is>
          <t>ilkKelimePara</t>
        </is>
      </c>
      <c r="C112" s="6" t="inlineStr">
        <is>
          <t>Halan yine anlattı: 'Bu çocuğun ilk kelimesi paraydı.' Bu sefer kimse gülmedi; herkes not aldı.</t>
        </is>
      </c>
    </row>
    <row r="113">
      <c r="A113" s="5" t="inlineStr">
        <is>
          <t>b8-doktor-stres</t>
        </is>
      </c>
      <c r="B113" s="5" t="inlineStr">
        <is>
          <t>sigara</t>
        </is>
      </c>
      <c r="C113" s="6" t="inlineStr">
        <is>
          <t>Doktor 'Sigara?' diye sordu. Cevabını yazarken kalemi belirgin şekilde yavaşladı.</t>
        </is>
      </c>
    </row>
    <row r="114">
      <c r="A114" s="5" t="inlineStr">
        <is>
          <t>b8-cocuk-sinav</t>
        </is>
      </c>
      <c r="B114" s="5" t="inlineStr">
        <is>
          <t>universiteli</t>
        </is>
      </c>
      <c r="C114" s="6" t="inlineStr">
        <is>
          <t>Kendi sınav sabahını hatırlıyorsun: iki kalem, bir silgi, yarım bir poğaça. Kazanmıştın; kimse inanmamıştı.</t>
        </is>
      </c>
    </row>
    <row r="115">
      <c r="A115" s="5" t="inlineStr">
        <is>
          <t>b8-cocuk-sinav</t>
        </is>
      </c>
      <c r="B115" s="5" t="inlineStr">
        <is>
          <t>universitesiz</t>
        </is>
      </c>
      <c r="C115" s="6" t="inlineStr">
        <is>
          <t>Sen o sınavdan istediğini alamamıştın. Hayat yine de bir yere vardı; bunu nasıl anlatacağını bilmiyorsun.</t>
        </is>
      </c>
    </row>
    <row r="116">
      <c r="A116" s="5" t="inlineStr">
        <is>
          <t>b8-cocuk-sinav</t>
        </is>
      </c>
      <c r="B116" s="5" t="inlineStr">
        <is>
          <t>iyi-lise</t>
        </is>
      </c>
      <c r="C116" s="6" t="inlineStr">
        <is>
          <t>Lise sınavındaki başarını hâlâ bir kez anlatıyorsun. Çocuk artık sen başlamadan bitirebiliyor.</t>
        </is>
      </c>
    </row>
    <row r="117">
      <c r="A117" s="5" t="inlineStr">
        <is>
          <t>me-internet-satis</t>
        </is>
      </c>
      <c r="B117" s="5" t="inlineStr">
        <is>
          <t>esnaf-cirak</t>
        </is>
      </c>
      <c r="C117" s="6" t="inlineStr">
        <is>
          <t>Çırak kolları sıvadı: 'Usta, siteyi bana bırak.'</t>
        </is>
      </c>
    </row>
    <row r="118">
      <c r="A118" s="5" t="inlineStr">
        <is>
          <t>b8-dijital-para</t>
        </is>
      </c>
      <c r="B118" s="5" t="inlineStr">
        <is>
          <t>borclu</t>
        </is>
      </c>
      <c r="C118" s="6" t="inlineStr">
        <is>
          <t>Kredi kartı limitin bu habere senden önce heyecanlandı.</t>
        </is>
      </c>
    </row>
    <row r="119">
      <c r="A119" s="5" t="inlineStr">
        <is>
          <t>b8-o-cumle</t>
        </is>
      </c>
      <c r="B119" s="5" t="inlineStr">
        <is>
          <t>tepsiTekeli</t>
        </is>
      </c>
      <c r="C119" s="6" t="inlineStr">
        <is>
          <t>Bir kış boyunca mahallenin tepsi tekelini elinde tutmuştun. Bu çocuk doğru dürüst kar görmedi.</t>
        </is>
      </c>
    </row>
    <row r="120">
      <c r="A120" s="5" t="inlineStr">
        <is>
          <t>ms-eski-musteri</t>
        </is>
      </c>
      <c r="B120" s="5" t="inlineStr">
        <is>
          <t>serbest-alacakli</t>
        </is>
      </c>
      <c r="C120" s="6" t="inlineStr">
        <is>
          <t>O fatura hâlâ 'onay bekliyor'. Onay bekleyen fatura artık ergenlik çağında.</t>
        </is>
      </c>
    </row>
    <row r="121">
      <c r="A121" s="5" t="inlineStr">
        <is>
          <t>b8-lise-bulusmasi</t>
        </is>
      </c>
      <c r="B121" s="5" t="inlineStr">
        <is>
          <t>baskan</t>
        </is>
      </c>
      <c r="C121" s="6" t="inlineStr">
        <is>
          <t>Kapıda biri 'Sınıf başkanımız gelmiş!' diye bağırdı. Ardından sordu: 'Akvaryum ne oldu?' Hâlâ.</t>
        </is>
      </c>
    </row>
    <row r="122">
      <c r="A122" s="5" t="inlineStr">
        <is>
          <t>b8-lise-bulusmasi</t>
        </is>
      </c>
      <c r="B122" s="5" t="inlineStr">
        <is>
          <t>yalanci</t>
        </is>
      </c>
      <c r="C122" s="6" t="inlineStr">
        <is>
          <t>Biri 'Köpeğin nasıl?' diye sordu. Hiç köpeğin olmadı; ama bu hikâye otuz yıldır yaşıyor.</t>
        </is>
      </c>
    </row>
    <row r="123">
      <c r="A123" s="5" t="inlineStr">
        <is>
          <t>b8-lise-bulusmasi</t>
        </is>
      </c>
      <c r="B123" s="5" t="inlineStr">
        <is>
          <t>alcili-kol</t>
        </is>
      </c>
      <c r="C123" s="6" t="inlineStr">
        <is>
          <t>Alçına imza atanlardan biri geldi: 'O kol nasıl?' Kol selam söyledi.</t>
        </is>
      </c>
    </row>
    <row r="124">
      <c r="A124" s="5" t="inlineStr">
        <is>
          <t>b8-lise-bulusmasi</t>
        </is>
      </c>
      <c r="B124" s="5" t="inlineStr">
        <is>
          <t>haracci-dusmani</t>
        </is>
      </c>
      <c r="C124" s="6" t="inlineStr">
        <is>
          <t>Köşede, bir zamanlar mahallede haraç toplayan çocuk oturuyor. Şimdi sigorta satıyor. Sana poliçe teklif etti.</t>
        </is>
      </c>
    </row>
    <row r="125">
      <c r="A125" s="5" t="inlineStr">
        <is>
          <t>b8-lise-bulusmasi</t>
        </is>
      </c>
      <c r="B125" s="5" t="inlineStr">
        <is>
          <t>fenomen</t>
        </is>
      </c>
      <c r="C125" s="6" t="inlineStr">
        <is>
          <t>Eski arkadaşlar seni hâlâ o videodan tanıyor. Biri selam yerine videodaki hareketi yaptı.</t>
        </is>
      </c>
    </row>
    <row r="126">
      <c r="A126" s="5" t="inlineStr">
        <is>
          <t>b8-lise-bulusmasi</t>
        </is>
      </c>
      <c r="B126" s="5" t="inlineStr">
        <is>
          <t>motosikletli</t>
        </is>
      </c>
      <c r="C126" s="6" t="inlineStr">
        <is>
          <t>Salona motosikletle geldin. Kaskı çıkarınca 'Ha, sen miydin?' dediler. Etki kaskla birlikte çıktı.</t>
        </is>
      </c>
    </row>
    <row r="127">
      <c r="A127" s="5" t="inlineStr">
        <is>
          <t>b8-sahte-haber</t>
        </is>
      </c>
      <c r="B127" s="5" t="inlineStr">
        <is>
          <t>gozluklu</t>
        </is>
      </c>
      <c r="C127" s="6" t="inlineStr">
        <is>
          <t>Mesajın altındaki minik yazıyı gözlükle okudun: 'Bu mesaj en az on kez iletildi.' Gözlük bile yoruldu.</t>
        </is>
      </c>
    </row>
    <row r="128">
      <c r="A128" s="5" t="inlineStr">
        <is>
          <t>me-tek-yildiz</t>
        </is>
      </c>
      <c r="B128" s="5" t="inlineStr">
        <is>
          <t>esnaf-komsu-rakip</t>
        </is>
      </c>
      <c r="C128" s="6" t="inlineStr">
        <is>
          <t>Yorumu yazan hesabın profil fotoğrafının köşesinde karşı dükkânın tentesi görünüyor.</t>
        </is>
      </c>
    </row>
    <row r="129">
      <c r="A129" s="5" t="inlineStr">
        <is>
          <t>mm-vatandasla-diyalog</t>
        </is>
      </c>
      <c r="B129" s="5" t="inlineStr">
        <is>
          <t>memur-kayip-dosya</t>
        </is>
      </c>
      <c r="C129" s="6" t="inlineStr">
        <is>
          <t>Elindeki evrakın numarası tanıdık: yıllar önce kaybolan o dosyanın numarası.</t>
        </is>
      </c>
    </row>
    <row r="130">
      <c r="A130" s="5" t="inlineStr">
        <is>
          <t>b8-yeniden-egitim</t>
        </is>
      </c>
      <c r="B130" s="5" t="inlineStr">
        <is>
          <t>universitesiz</t>
        </is>
      </c>
      <c r="C130" s="6" t="inlineStr">
        <is>
          <t>Bir üniversite kapısından ilk kez öğrenci olarak giriyorsun. Kapı yirmi yıl bekledi; bekletmediğin için teşekkür etti.</t>
        </is>
      </c>
    </row>
    <row r="131">
      <c r="A131" s="5" t="inlineStr">
        <is>
          <t>b8-yeniden-egitim</t>
        </is>
      </c>
      <c r="B131" s="5" t="inlineStr">
        <is>
          <t>universiteli</t>
        </is>
      </c>
      <c r="C131" s="6" t="inlineStr">
        <is>
          <t>Kampüs değişmemiş. Kantindeki tost fiyatı değişmiş. Kantinci seni tanıdı ve zam yapmadı.</t>
        </is>
      </c>
    </row>
    <row r="132">
      <c r="A132" s="5" t="inlineStr">
        <is>
          <t>mb-genc-yonetici</t>
        </is>
      </c>
      <c r="B132" s="5" t="inlineStr">
        <is>
          <t>beyazyaka-terfi-aldi</t>
        </is>
      </c>
      <c r="C132" s="6" t="inlineStr">
        <is>
          <t>Kıdemli unvanın hâlâ e-posta imzanda duruyor. Artık biraz daha küçük puntoyla.</t>
        </is>
      </c>
    </row>
    <row r="133">
      <c r="A133" s="5" t="inlineStr">
        <is>
          <t>ms-atolye-kirasi</t>
        </is>
      </c>
      <c r="B133" s="5" t="inlineStr">
        <is>
          <t>serbest-viral-oldu</t>
        </is>
      </c>
      <c r="C133" s="6" t="inlineStr">
        <is>
          <t>Viral videon bu bodrumda çekilmişti. İlanda 'ünlü atölye' diye geçiyor. Senin adın yok.</t>
        </is>
      </c>
    </row>
    <row r="134">
      <c r="A134" s="5" t="inlineStr">
        <is>
          <t>b8-ikinci-bahar</t>
        </is>
      </c>
      <c r="B134" s="5" t="inlineStr">
        <is>
          <t>bosandi</t>
        </is>
      </c>
      <c r="C134" s="6" t="inlineStr">
        <is>
          <t>Boşanma evrakındaki son imzanın üstünden iki yıl geçti. O kalem çekmecede, emekliye ayrıldı.</t>
        </is>
      </c>
    </row>
    <row r="135">
      <c r="A135" s="5" t="inlineStr">
        <is>
          <t>b8-cocuk-fenomen</t>
        </is>
      </c>
      <c r="B135" s="5" t="inlineStr">
        <is>
          <t>fenomen</t>
        </is>
      </c>
      <c r="C135" s="6" t="inlineStr">
        <is>
          <t>Senin de bir zamanlar bir videon vardı. O video şimdi çocuğun 'Eski zamanlar' serisinin ikinci bölümü.</t>
        </is>
      </c>
    </row>
    <row r="136">
      <c r="A136" s="5" t="inlineStr">
        <is>
          <t>b8-emeklilik-hesabi</t>
        </is>
      </c>
      <c r="B136" s="5" t="inlineStr">
        <is>
          <t>askerlik-yapti</t>
        </is>
      </c>
      <c r="C136" s="6" t="inlineStr">
        <is>
          <t>Hizmet dökümünde askerlik süren boşluk olarak duruyor. O günler nihayet bir işe yarayabilir.</t>
        </is>
      </c>
    </row>
    <row r="137">
      <c r="A137" s="5" t="inlineStr">
        <is>
          <t>b8-emeklilik-hesabi</t>
        </is>
      </c>
      <c r="B137" s="5" t="inlineStr">
        <is>
          <t>borclu</t>
        </is>
      </c>
      <c r="C137" s="6" t="inlineStr">
        <is>
          <t>Bankadaki danışman emeklilik planını sorarken borç dökümüne de göz attı. Planı kısalttı.</t>
        </is>
      </c>
    </row>
    <row r="138">
      <c r="A138" s="5" t="inlineStr">
        <is>
          <t>b8-son-taksit</t>
        </is>
      </c>
      <c r="B138" s="5" t="inlineStr">
        <is>
          <t>ev-sahibi</t>
        </is>
      </c>
      <c r="C138" s="6" t="inlineStr">
        <is>
          <t>Evin tapusu çekmecede, yirmi yıllık taksit dekontlarının üstünde. Dekontlar tapudan kalın.</t>
        </is>
      </c>
    </row>
    <row r="139">
      <c r="A139" s="5" t="inlineStr">
        <is>
          <t>b8-son-taksit</t>
        </is>
      </c>
      <c r="B139" s="5" t="inlineStr">
        <is>
          <t>yazlikci</t>
        </is>
      </c>
      <c r="C139" s="6" t="inlineStr">
        <is>
          <t>Yazlığın taksitleri hâlâ sürüyor. Kutlama yarım bir kutlama oldu; yazlık payı eksik.</t>
        </is>
      </c>
    </row>
    <row r="140">
      <c r="A140" s="5" t="inlineStr">
        <is>
          <t>b9-gunaydin-gorselleri</t>
        </is>
      </c>
      <c r="B140" s="5" t="inlineStr">
        <is>
          <t>fenomen</t>
        </is>
      </c>
      <c r="C140" s="6" t="inlineStr">
        <is>
          <t>Gençken bir video yirmi bin kişiye ulaşmıştı. Şimdi bir gül, yirmi üç kişiye ulaşamıyor.</t>
        </is>
      </c>
    </row>
    <row r="141">
      <c r="A141" s="5" t="inlineStr">
        <is>
          <t>b9-sabah-yuruyusu</t>
        </is>
      </c>
      <c r="B141" s="5" t="inlineStr">
        <is>
          <t>sporcu</t>
        </is>
      </c>
      <c r="C141" s="6" t="inlineStr">
        <is>
          <t>Yıllardır yaptığın spor sonunda işe yaradı: grubun en önünde yürüyorsun ve kimse gündemi seninle tartışamıyor.</t>
        </is>
      </c>
    </row>
    <row r="142">
      <c r="A142" s="5" t="inlineStr">
        <is>
          <t>b9-sabah-yuruyusu</t>
        </is>
      </c>
      <c r="B142" s="5" t="inlineStr">
        <is>
          <t>sigara</t>
        </is>
      </c>
      <c r="C142" s="6" t="inlineStr">
        <is>
          <t>İlk tur bitmeden molaya ihtiyaç duydun. Grup seni bekledi. Bekleyerek de gündem oluşturdu.</t>
        </is>
      </c>
    </row>
    <row r="143">
      <c r="A143" s="5" t="inlineStr">
        <is>
          <t>b9-doktor-randevusu</t>
        </is>
      </c>
      <c r="B143" s="5" t="inlineStr">
        <is>
          <t>sigara</t>
        </is>
      </c>
      <c r="C143" s="6" t="inlineStr">
        <is>
          <t>Doktor seni daha odaya girmeden 'Hâlâ içiyor musunuz?' diye karşıladı. Dosyan senden önce gelmişti.</t>
        </is>
      </c>
    </row>
    <row r="144">
      <c r="A144" s="5" t="inlineStr">
        <is>
          <t>b9-ilk-torun</t>
        </is>
      </c>
      <c r="B144" s="5" t="inlineStr">
        <is>
          <t>ilkKelimePara</t>
        </is>
      </c>
      <c r="C144" s="6" t="inlineStr">
        <is>
          <t>Senin ilk kelimen 'para' idi. Bebek sana bakıyor ve sanki bunu biliyor gibi.</t>
        </is>
      </c>
    </row>
    <row r="145">
      <c r="A145" s="5" t="inlineStr">
        <is>
          <t>ms-emeklilik-yok</t>
        </is>
      </c>
      <c r="B145" s="5" t="inlineStr">
        <is>
          <t>serbest-alacakli</t>
        </is>
      </c>
      <c r="C145" s="6" t="inlineStr">
        <is>
          <t>O fatura hâlâ onay bekliyor. Muhasebeci emekli oldu. Sen olamadın.</t>
        </is>
      </c>
    </row>
    <row r="146">
      <c r="A146" s="5" t="inlineStr">
        <is>
          <t>me-defterin-son-sayfasi</t>
        </is>
      </c>
      <c r="B146" s="5" t="inlineStr">
        <is>
          <t>esnaf-veresiye-batagi</t>
        </is>
      </c>
      <c r="C146" s="6" t="inlineStr">
        <is>
          <t>Defterin kalınlığı bir tuğla kadar. İlk satır, o gün titreyerek yazdığın satır.</t>
        </is>
      </c>
    </row>
    <row r="147">
      <c r="A147" s="5" t="inlineStr">
        <is>
          <t>b9-genclere-tavsiye</t>
        </is>
      </c>
      <c r="B147" s="5" t="inlineStr">
        <is>
          <t>baskan</t>
        </is>
      </c>
      <c r="C147" s="6" t="inlineStr">
        <is>
          <t>İlkokulda sınıf başkanıydın. O günden beri bir odada söz almadan duramıyorsun.</t>
        </is>
      </c>
    </row>
    <row r="148">
      <c r="A148" s="5" t="inlineStr">
        <is>
          <t>b9-lise-bulusmasi</t>
        </is>
      </c>
      <c r="B148" s="5" t="inlineStr">
        <is>
          <t>universiteli</t>
        </is>
      </c>
      <c r="C148" s="6" t="inlineStr">
        <is>
          <t>Herkes üniversite yıllarını anlattı. Sen de anlattın. Üniversitede ne okuduğunu bir an hatırlayamadın.</t>
        </is>
      </c>
    </row>
    <row r="149">
      <c r="A149" s="5" t="inlineStr">
        <is>
          <t>b9-lise-bulusmasi</t>
        </is>
      </c>
      <c r="B149" s="5" t="inlineStr">
        <is>
          <t>baskan</t>
        </is>
      </c>
      <c r="C149" s="6" t="inlineStr">
        <is>
          <t>Eski sınıf arkadaşların seni hâlâ 'Başkan' diye çağırıyor. Seçim tekrarlanmadı, görev süresi dolmadı.</t>
        </is>
      </c>
    </row>
    <row r="150">
      <c r="A150" s="5" t="inlineStr">
        <is>
          <t>b9-eski-ask</t>
        </is>
      </c>
      <c r="B150" s="5" t="inlineStr">
        <is>
          <t>evli</t>
        </is>
      </c>
      <c r="C150" s="6" t="inlineStr">
        <is>
          <t>Evliliğinin otuzuncu yılındasın. Sepette eşinin istediği mercimek var. Bu bilgi durumu sadeleştiriyor.</t>
        </is>
      </c>
    </row>
    <row r="151">
      <c r="A151" s="5" t="inlineStr">
        <is>
          <t>b9-eski-ask</t>
        </is>
      </c>
      <c r="B151" s="5" t="inlineStr">
        <is>
          <t>bosandi</t>
        </is>
      </c>
      <c r="C151" s="6" t="inlineStr">
        <is>
          <t>Boşanmanın üzerinden yıllar geçti. Eski aşkının sepetinde tek kişilik yemekler var. Seninkinde de.</t>
        </is>
      </c>
    </row>
    <row r="152">
      <c r="A152" s="5" t="inlineStr">
        <is>
          <t>b9-balkon-tarimi</t>
        </is>
      </c>
      <c r="B152" s="5" t="inlineStr">
        <is>
          <t>ev-sahibi</t>
        </is>
      </c>
      <c r="C152" s="6" t="inlineStr">
        <is>
          <t>Kendi evin, kendi balkonun. Bu, kimseye sormadan saksı çivilemek demek. Otuz yıl bunu bekledin.</t>
        </is>
      </c>
    </row>
    <row r="153">
      <c r="A153" s="5" t="inlineStr">
        <is>
          <t>mm-devir-teslim</t>
        </is>
      </c>
      <c r="B153" s="5" t="inlineStr">
        <is>
          <t>memur-kayip-dosya</t>
        </is>
      </c>
      <c r="C153" s="6" t="inlineStr">
        <is>
          <t>Devir listesinde bir satır var: 'Kayıp dosya, takibi sürüyor.' Satır yıllardır takip ediliyor.</t>
        </is>
      </c>
    </row>
    <row r="154">
      <c r="A154" s="5" t="inlineStr">
        <is>
          <t>b9-yapay-zeka-asistani</t>
        </is>
      </c>
      <c r="B154" s="5" t="inlineStr">
        <is>
          <t>yalanci</t>
        </is>
      </c>
      <c r="C154" s="6" t="inlineStr">
        <is>
          <t>Asistana yaşını sorduğunda doğru söyledi. Sen ona yaşını sorduğunda kendi yaşından beş yıl kestin. Alışkanlık.</t>
        </is>
      </c>
    </row>
    <row r="155">
      <c r="A155" s="5" t="inlineStr">
        <is>
          <t>b9-torun-nobeti</t>
        </is>
      </c>
      <c r="B155" s="5" t="inlineStr">
        <is>
          <t>kediGeldi</t>
        </is>
      </c>
      <c r="C155" s="6" t="inlineStr">
        <is>
          <t>Çocukken sen eve bir kedi getirtmiştin. Torun da kapıda bir kediyle bekliyor. Tarih tekerrür ediyor, kedi değişiyor.</t>
        </is>
      </c>
    </row>
    <row r="156">
      <c r="A156" s="5" t="inlineStr">
        <is>
          <t>b9-kahvehane-tavla</t>
        </is>
      </c>
      <c r="B156" s="5" t="inlineStr">
        <is>
          <t>kediSuclu</t>
        </is>
      </c>
      <c r="C156" s="6" t="inlineStr">
        <is>
          <t>Bir pul yere düştü. Refleksle kahvehanenin kedisine baktın. Altmış yıl geçti, refleks yerinde.</t>
        </is>
      </c>
    </row>
    <row r="157">
      <c r="A157" s="5" t="inlineStr">
        <is>
          <t>b9-emeklilik</t>
        </is>
      </c>
      <c r="B157" s="5" t="inlineStr">
        <is>
          <t>meslek-esnaf</t>
        </is>
      </c>
      <c r="C157" s="6" t="inlineStr">
        <is>
          <t>Dükkânın anahtarını çırağa verdin. Çırak kırk yaşında. Kepengi senden daha sesli açıyor.</t>
        </is>
      </c>
    </row>
    <row r="158">
      <c r="A158" s="5" t="inlineStr">
        <is>
          <t>b9-emeklilik</t>
        </is>
      </c>
      <c r="B158" s="5" t="inlineStr">
        <is>
          <t>meslek-memur</t>
        </is>
      </c>
      <c r="C158" s="6" t="inlineStr">
        <is>
          <t>Son dilekçeni imzaladın: kendi emeklilik dilekçen. İlk kez bir evrakı bekletmeden işleme aldın.</t>
        </is>
      </c>
    </row>
    <row r="159">
      <c r="A159" s="5" t="inlineStr">
        <is>
          <t>b9-emeklilik</t>
        </is>
      </c>
      <c r="B159" s="5" t="inlineStr">
        <is>
          <t>meslek-beyazyaka</t>
        </is>
      </c>
      <c r="C159" s="6" t="inlineStr">
        <is>
          <t>Kurumsal e-posta hesabın kapatıldı. Otomatik yanıt olarak 'Artık bu adreste değilim. Hiçbir adreste değilim.' yazdın.</t>
        </is>
      </c>
    </row>
    <row r="160">
      <c r="A160" s="5" t="inlineStr">
        <is>
          <t>b9-emeklilik</t>
        </is>
      </c>
      <c r="B160" s="5" t="inlineStr">
        <is>
          <t>meslek-serbest</t>
        </is>
      </c>
      <c r="C160" s="6" t="inlineStr">
        <is>
          <t>Serbest çalışanın emeklilik töreni olmaz. Kendi kendine bir pasta aldın ve faturasını kestin.</t>
        </is>
      </c>
    </row>
    <row r="161">
      <c r="A161" s="5" t="inlineStr">
        <is>
          <t>ms-retrospektif</t>
        </is>
      </c>
      <c r="B161" s="5" t="inlineStr">
        <is>
          <t>serbest-viral-oldu</t>
        </is>
      </c>
      <c r="C161" s="6" t="inlineStr">
        <is>
          <t>Viral videonun ekran görüntüsü de sergide. En çok fotoğraf çekilen eser o.</t>
        </is>
      </c>
    </row>
    <row r="162">
      <c r="A162" s="5" t="inlineStr">
        <is>
          <t>ms-retrospektif</t>
        </is>
      </c>
      <c r="B162" s="5" t="inlineStr">
        <is>
          <t>serbest-fon-aldi</t>
        </is>
      </c>
      <c r="C162" s="6" t="inlineStr">
        <is>
          <t>Fon komitesinin eski başkanı açılışta. Harcama raporunu hâlâ hatırlıyor.</t>
        </is>
      </c>
    </row>
    <row r="163">
      <c r="A163" s="5" t="inlineStr">
        <is>
          <t>b9-ikramiye</t>
        </is>
      </c>
      <c r="B163" s="5" t="inlineStr">
        <is>
          <t>borclu</t>
        </is>
      </c>
      <c r="C163" s="6" t="inlineStr">
        <is>
          <t>İkramiyenin yarısı daha hesaba düşmeden kredi kartı borcuna gitti. Banka görevlisi 'Hayırlı olsun' demekten vazgeçti.</t>
        </is>
      </c>
    </row>
    <row r="164">
      <c r="A164" s="5" t="inlineStr">
        <is>
          <t>b9-es-7-24</t>
        </is>
      </c>
      <c r="B164" s="5" t="inlineStr">
        <is>
          <t>kediGeldi</t>
        </is>
      </c>
      <c r="C164" s="6" t="inlineStr">
        <is>
          <t>Kedi de artık iki kişiyle sabahtan akşama aynı odada. Kedi, bu değişikliği onaylamadığını belirtti.</t>
        </is>
      </c>
    </row>
    <row r="165">
      <c r="A165" s="5" t="inlineStr">
        <is>
          <t>b9-yalniz-emeklilik</t>
        </is>
      </c>
      <c r="B165" s="5" t="inlineStr">
        <is>
          <t>bosandi</t>
        </is>
      </c>
      <c r="C165" s="6" t="inlineStr">
        <is>
          <t>Boşanmadan sonra evin yarısı boştu. Şimdi hepsi senin. Dolapların yarısı hâlâ boş; alışkanlık.</t>
        </is>
      </c>
    </row>
    <row r="166">
      <c r="A166" s="5" t="inlineStr">
        <is>
          <t>b9-yalniz-emeklilik</t>
        </is>
      </c>
      <c r="B166" s="5" t="inlineStr">
        <is>
          <t>kediGeldi</t>
        </is>
      </c>
      <c r="C166" s="6" t="inlineStr">
        <is>
          <t>Çocukluğundaki kedi çok önce gitti ama evde yine bir kedi var. Kediler hayatında hiç eksik olmadı. Onlar seni seçti.</t>
        </is>
      </c>
    </row>
    <row r="167">
      <c r="A167" s="5" t="inlineStr">
        <is>
          <t>mb-veda-plaketi</t>
        </is>
      </c>
      <c r="B167" s="5" t="inlineStr">
        <is>
          <t>beyazyaka-gm-tanidik</t>
        </is>
      </c>
      <c r="C167" s="6" t="inlineStr">
        <is>
          <t>Genel müdür konuşmasında gölden bahsetti. Kimse anlamadı, sen gülümsedin.</t>
        </is>
      </c>
    </row>
    <row r="168">
      <c r="A168" s="5" t="inlineStr">
        <is>
          <t>b9-tavla-finali</t>
        </is>
      </c>
      <c r="B168" s="5" t="inlineStr">
        <is>
          <t>tavla-sampiyonu</t>
        </is>
      </c>
      <c r="C168" s="6" t="inlineStr">
        <is>
          <t>Geçen sezonun şampiyonusun. Adın duvarda bantlı. Bandı sökmek isteyen çok.</t>
        </is>
      </c>
    </row>
    <row r="169">
      <c r="A169" s="5" t="inlineStr">
        <is>
          <t>b9-torunun-tableti</t>
        </is>
      </c>
      <c r="B169" s="5" t="inlineStr">
        <is>
          <t>ilkKelimePara</t>
        </is>
      </c>
      <c r="C169" s="6" t="inlineStr">
        <is>
          <t>Tablette bir oyun var: 'Sanal Para Topla'. Torun, hayatındaki ilk kelimeyi söylemek için bu oyunu kullanmış.</t>
        </is>
      </c>
    </row>
    <row r="170">
      <c r="A170" s="5" t="inlineStr">
        <is>
          <t>mm-eski-daire</t>
        </is>
      </c>
      <c r="B170" s="5" t="inlineStr">
        <is>
          <t>memur-ikinci-is</t>
        </is>
      </c>
      <c r="C170" s="6" t="inlineStr">
        <is>
          <t>Cebindeki katlanmış kâğıt: yıllar önce yazdığın kafe menüsü. Emeklilik geldi, sermaye hâlâ yolda.</t>
        </is>
      </c>
    </row>
    <row r="171">
      <c r="A171" s="5" t="inlineStr">
        <is>
          <t>b9-yazlik-komsulari</t>
        </is>
      </c>
      <c r="B171" s="5" t="inlineStr">
        <is>
          <t>yazlikci</t>
        </is>
      </c>
      <c r="C171" s="6" t="inlineStr">
        <is>
          <t>İkramiyeyle aldığın yazlığın ilk sezonu. Site grubuna eklendin. İlk mesaj: 'Hortumlar için yeni kurallar'.</t>
        </is>
      </c>
    </row>
    <row r="172">
      <c r="A172" s="5" t="inlineStr">
        <is>
          <t>b9-yazlik-komsulari</t>
        </is>
      </c>
      <c r="B172" s="5" t="inlineStr">
        <is>
          <t>ev-sahibi</t>
        </is>
      </c>
      <c r="C172" s="6" t="inlineStr">
        <is>
          <t>Şehirdeki evin, yazlıktaki evin. İki ayrı aidat, iki ayrı yönetim, iki ayrı hortum yönetmeliği.</t>
        </is>
      </c>
    </row>
    <row r="173">
      <c r="A173" s="5" t="inlineStr">
        <is>
          <t>b9-ikinci-kariyer</t>
        </is>
      </c>
      <c r="B173" s="5" t="inlineStr">
        <is>
          <t>meslek-serbest</t>
        </is>
      </c>
      <c r="C173" s="6" t="inlineStr">
        <is>
          <t>Serbest çalıştığın için zaten hiç emekli olmamıştın. Emeklilik ile çalışmak arasındaki fark bir kâğıttan ibaret.</t>
        </is>
      </c>
    </row>
    <row r="174">
      <c r="A174" s="5" t="inlineStr">
        <is>
          <t>b9-ikinci-kariyer</t>
        </is>
      </c>
      <c r="B174" s="5" t="inlineStr">
        <is>
          <t>meslek-memur</t>
        </is>
      </c>
      <c r="C174" s="6" t="inlineStr">
        <is>
          <t>Ömrünü devlet dairesinde geçirdin. Özel sektörde ilk günün: kimse sana 'Evrakı yarın getirin' demiyor. Kafan karıştı.</t>
        </is>
      </c>
    </row>
    <row r="175">
      <c r="A175" s="5" t="inlineStr">
        <is>
          <t>b9-noter-miras</t>
        </is>
      </c>
      <c r="B175" s="5" t="inlineStr">
        <is>
          <t>borclu</t>
        </is>
      </c>
      <c r="C175" s="6" t="inlineStr">
        <is>
          <t>Mirasın ilk maddesi: borçlar. Noter maddeyi okurken sesini alçalttı. Çocukların ise yükseltti.</t>
        </is>
      </c>
    </row>
    <row r="176">
      <c r="A176" s="5" t="inlineStr">
        <is>
          <t>b9-noter-miras</t>
        </is>
      </c>
      <c r="B176" s="5" t="inlineStr">
        <is>
          <t>ev-sahibi</t>
        </is>
      </c>
      <c r="C176" s="6" t="inlineStr">
        <is>
          <t>Otuz yıllık ev sahipliği tek bir cümleye sığdı: 'Tapu, belirtilen kişiye devredilir.' Otuz yılın kısa özeti.</t>
        </is>
      </c>
    </row>
    <row r="177">
      <c r="A177" s="5" t="inlineStr">
        <is>
          <t>b9-dev-kabak</t>
        </is>
      </c>
      <c r="B177" s="5" t="inlineStr">
        <is>
          <t>yazlikci</t>
        </is>
      </c>
      <c r="C177" s="6" t="inlineStr">
        <is>
          <t>Yazlık sitesinin yönetimi kabağın 'ortak alanı işgal ettiğini' bildiren bir yazı yolladı. Kabağa tebligat yapıldı.</t>
        </is>
      </c>
    </row>
    <row r="178">
      <c r="A178" s="5" t="inlineStr">
        <is>
          <t>me-son-kepenk</t>
        </is>
      </c>
      <c r="B178" s="5" t="inlineStr">
        <is>
          <t>esnaf-dernek-baskani</t>
        </is>
      </c>
      <c r="C178" s="6" t="inlineStr">
        <is>
          <t>Kapıda dernek pankartı var: 'Başkanımıza emeklilikte başarılar.' Pankartın parasını sen onaylamıştın.</t>
        </is>
      </c>
    </row>
    <row r="179">
      <c r="A179" s="5" t="inlineStr">
        <is>
          <t>b9-emekli-seyahati</t>
        </is>
      </c>
      <c r="B179" s="5" t="inlineStr">
        <is>
          <t>askerlik-yapti</t>
        </is>
      </c>
      <c r="C179" s="6" t="inlineStr">
        <is>
          <t>Otobüste sabah beşte kalkmak sana askerliği hatırlattı. Yoklama da alınıyor. Sen 'Burada' diye bağırdın. Otobüs güldü.</t>
        </is>
      </c>
    </row>
    <row r="180">
      <c r="A180" s="5" t="inlineStr">
        <is>
          <t>b9-emekli-seyahati</t>
        </is>
      </c>
      <c r="B180" s="5" t="inlineStr">
        <is>
          <t>sigara</t>
        </is>
      </c>
      <c r="C180" s="6" t="inlineStr">
        <is>
          <t>Her molada otobüsün arkasında aynı üç kişi toplanıyor. Sen de oradasın. Rehber sizi 'Duman Heyeti' diye çağırıyor.</t>
        </is>
      </c>
    </row>
    <row r="181">
      <c r="A181" s="5" t="inlineStr">
        <is>
          <t>b9-sifre-unuttum</t>
        </is>
      </c>
      <c r="B181" s="5" t="inlineStr">
        <is>
          <t>ilkKelimePara</t>
        </is>
      </c>
      <c r="C181" s="6" t="inlineStr">
        <is>
          <t>İlk kelimen 'para' idi. Şifren de 'Para' ile başlıyordu. Sonrası hatırlanmıyor. İlk kelime kaldı, gerisi gitti.</t>
        </is>
      </c>
    </row>
    <row r="182">
      <c r="A182" s="5" t="inlineStr">
        <is>
          <t>b9-site-toplantisi</t>
        </is>
      </c>
      <c r="B182" s="5" t="inlineStr">
        <is>
          <t>baskan</t>
        </is>
      </c>
      <c r="C182" s="6" t="inlineStr">
        <is>
          <t>İlkokulda sınıf başkanıydın. Apartman sakinleri bunu bilmiyor ama seçim sonucu yine aynı çıkıyor.</t>
        </is>
      </c>
    </row>
    <row r="183">
      <c r="A183" s="5" t="inlineStr">
        <is>
          <t>b9-torunun-sorusu</t>
        </is>
      </c>
      <c r="B183" s="5" t="inlineStr">
        <is>
          <t>fenomen</t>
        </is>
      </c>
      <c r="C183" s="6" t="inlineStr">
        <is>
          <t>Gençken birkaç video paylaşmıştın. Torun onları buldu. Senin eski videon şimdi onun sınıf grubunda dolaşıyor.</t>
        </is>
      </c>
    </row>
    <row r="184">
      <c r="A184" s="5" t="inlineStr">
        <is>
          <t>b9-torunun-sorusu</t>
        </is>
      </c>
      <c r="B184" s="5" t="inlineStr">
        <is>
          <t>askerlik-yapti</t>
        </is>
      </c>
      <c r="C184" s="6" t="inlineStr">
        <is>
          <t>Askerlik anılarını anlatmak için ağzını açtın. Torun 'Biliyorum, üç yüz kere anlattın' dedi. Doğru.</t>
        </is>
      </c>
    </row>
    <row r="185">
      <c r="A185" s="5" t="inlineStr">
        <is>
          <t>ms-son-roportaj</t>
        </is>
      </c>
      <c r="B185" s="5" t="inlineStr">
        <is>
          <t>serbest-alacakli</t>
        </is>
      </c>
      <c r="C185" s="6" t="inlineStr">
        <is>
          <t>O fatura hâlâ onay bekliyor. Öğrenci bunu tezine ek olarak koydu.</t>
        </is>
      </c>
    </row>
    <row r="186">
      <c r="A186" s="5" t="inlineStr">
        <is>
          <t>b9-hayat-muhasebesi</t>
        </is>
      </c>
      <c r="B186" s="5" t="inlineStr">
        <is>
          <t>kediSuclu</t>
        </is>
      </c>
      <c r="C186" s="6" t="inlineStr">
        <is>
          <t>Slaytlardan biri: kırık vazo ve suçlu bakışlı bir kedi. Aile yetmiş yıl sonra gerçeği öğrenmek istiyor.</t>
        </is>
      </c>
    </row>
    <row r="187">
      <c r="A187" s="5" t="inlineStr">
        <is>
          <t>b9-hayat-muhasebesi</t>
        </is>
      </c>
      <c r="B187" s="5" t="inlineStr">
        <is>
          <t>kediGeldi</t>
        </is>
      </c>
      <c r="C187" s="6" t="inlineStr">
        <is>
          <t>Fotoğrafların yarısında bir kedi var. Kedilerin sayısı, akrabalardan fazla.</t>
        </is>
      </c>
    </row>
    <row r="188">
      <c r="A188" s="5" t="inlineStr">
        <is>
          <t>b9-hayat-muhasebesi</t>
        </is>
      </c>
      <c r="B188" s="5" t="inlineStr">
        <is>
          <t>bosandi</t>
        </is>
      </c>
      <c r="C188" s="6" t="inlineStr">
        <is>
          <t>Bazı fotoğraflardan bir yüz kesilip çıkarılmış. Makas işi temiz. Çocuklar bunu yorumlamadı.</t>
        </is>
      </c>
    </row>
    <row r="189">
      <c r="A189" s="5" t="inlineStr">
        <is>
          <t>b10-noter-vasiyet</t>
        </is>
      </c>
      <c r="B189" s="5" t="inlineStr">
        <is>
          <t>ev-sahibi</t>
        </is>
      </c>
      <c r="C189" s="6" t="inlineStr">
        <is>
          <t>Tapuyu çantadan çıkardın. Katip, evin kaç kez tadilat gördüğünü sormadan anladı.</t>
        </is>
      </c>
    </row>
    <row r="190">
      <c r="A190" s="5" t="inlineStr">
        <is>
          <t>b10-noter-vasiyet</t>
        </is>
      </c>
      <c r="B190" s="5" t="inlineStr">
        <is>
          <t>borclu</t>
        </is>
      </c>
      <c r="C190" s="6" t="inlineStr">
        <is>
          <t>Mal varlığı beyanını okuyan katip bir süre sustu, sonra 'Borçlar da miras kalır' diye nazikçe hatırlattı.</t>
        </is>
      </c>
    </row>
    <row r="191">
      <c r="A191" s="5" t="inlineStr">
        <is>
          <t>b10-noter-vasiyet</t>
        </is>
      </c>
      <c r="B191" s="5" t="inlineStr">
        <is>
          <t>ilkKelimePara</t>
        </is>
      </c>
      <c r="C191" s="6" t="inlineStr">
        <is>
          <t>Hayattaki ilk kelimen 'Para' idi. Bu belgenin başlığı da öyle.</t>
        </is>
      </c>
    </row>
    <row r="192">
      <c r="A192" s="5" t="inlineStr">
        <is>
          <t>b10-miras-provasi</t>
        </is>
      </c>
      <c r="B192" s="5" t="inlineStr">
        <is>
          <t>kediSuclu</t>
        </is>
      </c>
      <c r="C192" s="6" t="inlineStr">
        <is>
          <t>Vitrindeki o vazonun eşini yıllar önce kırmıştın. Kedi hâlâ şüpheli listesinde.</t>
        </is>
      </c>
    </row>
    <row r="193">
      <c r="A193" s="5" t="inlineStr">
        <is>
          <t>b10-miras-provasi</t>
        </is>
      </c>
      <c r="B193" s="5" t="inlineStr">
        <is>
          <t>yalanci</t>
        </is>
      </c>
      <c r="C193" s="6" t="inlineStr">
        <is>
          <t>Bu masada yalan söyleyen biri var. Uzun yıllardır ilk kez o kişi sen değilsin.</t>
        </is>
      </c>
    </row>
    <row r="194">
      <c r="A194" s="5" t="inlineStr">
        <is>
          <t>b10-teknoloji-kursu</t>
        </is>
      </c>
      <c r="B194" s="5" t="inlineStr">
        <is>
          <t>fenomen</t>
        </is>
      </c>
      <c r="C194" s="6" t="inlineStr">
        <is>
          <t>Eğitmen seni tanıdı. Gençken çektiğin bir video hâlâ dolaşımda. Kurs bir anlığına durdu.</t>
        </is>
      </c>
    </row>
    <row r="195">
      <c r="A195" s="5" t="inlineStr">
        <is>
          <t>b10-teknoloji-kursu</t>
        </is>
      </c>
      <c r="B195" s="5" t="inlineStr">
        <is>
          <t>baskan</t>
        </is>
      </c>
      <c r="C195" s="6" t="inlineStr">
        <is>
          <t>Sınıfta başkan seçimi yapılmadı ama herkes sana bakıyor. Alışkanlık.</t>
        </is>
      </c>
    </row>
    <row r="196">
      <c r="A196" s="5" t="inlineStr">
        <is>
          <t>b10-balkon-kulesi</t>
        </is>
      </c>
      <c r="B196" s="5" t="inlineStr">
        <is>
          <t>baskan</t>
        </is>
      </c>
      <c r="C196" s="6" t="inlineStr">
        <is>
          <t>Sınıf başkanlığından beri kimin konuştuğunu not almak senin görevin. Görev bitmedi.</t>
        </is>
      </c>
    </row>
    <row r="197">
      <c r="A197" s="5" t="inlineStr">
        <is>
          <t>b10-balkon-kulesi</t>
        </is>
      </c>
      <c r="B197" s="5" t="inlineStr">
        <is>
          <t>camKirildi</t>
        </is>
      </c>
      <c r="C197" s="6" t="inlineStr">
        <is>
          <t>Karşıdaki çocuklar top oynuyor. Kırılacak camın sahibini şimdiden biliyorsun.</t>
        </is>
      </c>
    </row>
    <row r="198">
      <c r="A198" s="5" t="inlineStr">
        <is>
          <t>b10-balkon-kulesi</t>
        </is>
      </c>
      <c r="B198" s="5" t="inlineStr">
        <is>
          <t>haracci-dusmani</t>
        </is>
      </c>
      <c r="C198" s="6" t="inlineStr">
        <is>
          <t>Eski haraççılardan biri sokaktan geçti. Göz göze geldiniz. İkiniz de başka yöne baktınız.</t>
        </is>
      </c>
    </row>
    <row r="199">
      <c r="A199" s="5" t="inlineStr">
        <is>
          <t>b10-sinif-bulusmasi</t>
        </is>
      </c>
      <c r="B199" s="5" t="inlineStr">
        <is>
          <t>baskan</t>
        </is>
      </c>
      <c r="C199" s="6" t="inlineStr">
        <is>
          <t>Kapıdan girdiğinde biri 'Başkan geldi!' diye bağırdı. Yetmiş yıldır kimse seçim yapmamış.</t>
        </is>
      </c>
    </row>
    <row r="200">
      <c r="A200" s="5" t="inlineStr">
        <is>
          <t>b10-sinif-bulusmasi</t>
        </is>
      </c>
      <c r="B200" s="5" t="inlineStr">
        <is>
          <t>tepsiTekeli</t>
        </is>
      </c>
      <c r="C200" s="6" t="inlineStr">
        <is>
          <t>Biri o kışı hatırladı. Tepsi tekelinin hesabı yetmiş yıl sonra soruldu.</t>
        </is>
      </c>
    </row>
    <row r="201">
      <c r="A201" s="5" t="inlineStr">
        <is>
          <t>b10-sinif-bulusmasi</t>
        </is>
      </c>
      <c r="B201" s="5" t="inlineStr">
        <is>
          <t>camKirildi</t>
        </is>
      </c>
      <c r="C201" s="6" t="inlineStr">
        <is>
          <t>Komşunun camını kıran top için bugün hâlâ iki ayrı versiyon anlatılıyor.</t>
        </is>
      </c>
    </row>
    <row r="202">
      <c r="A202" s="5" t="inlineStr">
        <is>
          <t>b10-sinif-bulusmasi</t>
        </is>
      </c>
      <c r="B202" s="5" t="inlineStr">
        <is>
          <t>yalanci</t>
        </is>
      </c>
      <c r="C202" s="6" t="inlineStr">
        <is>
          <t>Eski bir sınıf arkadaşın 'Sen o zaman da çok hikâye anlatırdın' dedi. Hikâye bu kez doğru.</t>
        </is>
      </c>
    </row>
    <row r="203">
      <c r="A203" s="5" t="inlineStr">
        <is>
          <t>b10-doktor-gomersiniz</t>
        </is>
      </c>
      <c r="B203" s="5" t="inlineStr">
        <is>
          <t>sporcu</t>
        </is>
      </c>
      <c r="C203" s="6" t="inlineStr">
        <is>
          <t>Doktor spor geçmişini okuyunca bir süre sustu, sonra kendi göbeğine baktı.</t>
        </is>
      </c>
    </row>
    <row r="204">
      <c r="A204" s="5" t="inlineStr">
        <is>
          <t>b10-doktor-gomersiniz</t>
        </is>
      </c>
      <c r="B204" s="5" t="inlineStr">
        <is>
          <t>sigara</t>
        </is>
      </c>
      <c r="C204" s="6" t="inlineStr">
        <is>
          <t>Dosyanın bir sayfası eski alışkanlıklara ayrılmış. Doktor o sayfayı hızlı geçti.</t>
        </is>
      </c>
    </row>
    <row r="205">
      <c r="A205" s="5" t="inlineStr">
        <is>
          <t>b10-doktor-gomersiniz</t>
        </is>
      </c>
      <c r="B205" s="5" t="inlineStr">
        <is>
          <t>askerlik-yapti</t>
        </is>
      </c>
      <c r="C205" s="6" t="inlineStr">
        <is>
          <t>'Dik oturun' dendi. Askerlikten beri bu komuta refleksle uyuyorsun.</t>
        </is>
      </c>
    </row>
    <row r="206">
      <c r="A206" s="5" t="inlineStr">
        <is>
          <t>b10-bayram-harcligi</t>
        </is>
      </c>
      <c r="B206" s="5" t="inlineStr">
        <is>
          <t>ilkKelimePara</t>
        </is>
      </c>
      <c r="C206" s="6" t="inlineStr">
        <is>
          <t>Hayattaki ilk kelimen 'Para' idi. Bugün son zarfı da bu kelimeyle kapattın.</t>
        </is>
      </c>
    </row>
    <row r="207">
      <c r="A207" s="5" t="inlineStr">
        <is>
          <t>b10-bayram-harcligi</t>
        </is>
      </c>
      <c r="B207" s="5" t="inlineStr">
        <is>
          <t>emekli</t>
        </is>
      </c>
      <c r="C207" s="6" t="inlineStr">
        <is>
          <t>Maaş günü ile bayram aynı haftaya denk geldi. Takvim nadiren bu kadar cömert.</t>
        </is>
      </c>
    </row>
    <row r="208">
      <c r="A208" s="5" t="inlineStr">
        <is>
          <t>b10-bayram-harcligi</t>
        </is>
      </c>
      <c r="B208" s="5" t="inlineStr">
        <is>
          <t>tepsiTekeli</t>
        </is>
      </c>
      <c r="C208" s="6" t="inlineStr">
        <is>
          <t>Kapıdaki çocuklar elindeki zarflara bakıyor. Sen de bir zamanlar tepsilere öyle bakmıştın.</t>
        </is>
      </c>
    </row>
    <row r="209">
      <c r="A209" s="5" t="inlineStr">
        <is>
          <t>b10-dijital-miras</t>
        </is>
      </c>
      <c r="B209" s="5" t="inlineStr">
        <is>
          <t>fenomen</t>
        </is>
      </c>
      <c r="C209" s="6" t="inlineStr">
        <is>
          <t>Eski hesabın hâlâ açık. Takipçilerin arasında artık gerçek kişiden çok, kendi kendine konuşan hesaplar var.</t>
        </is>
      </c>
    </row>
    <row r="210">
      <c r="A210" s="5" t="inlineStr">
        <is>
          <t>b10-dijital-miras</t>
        </is>
      </c>
      <c r="B210" s="5" t="inlineStr">
        <is>
          <t>kediGeldi</t>
        </is>
      </c>
      <c r="C210" s="6" t="inlineStr">
        <is>
          <t>Şifrelerin yarısı o kedinin adı. Kedi, dijital varlıklarının gerçek sahibi.</t>
        </is>
      </c>
    </row>
    <row r="211">
      <c r="A211" s="5" t="inlineStr">
        <is>
          <t>b10-mezar-parseli</t>
        </is>
      </c>
      <c r="B211" s="5" t="inlineStr">
        <is>
          <t>ev-sahibi</t>
        </is>
      </c>
      <c r="C211" s="6" t="inlineStr">
        <is>
          <t>Hayatında ikinci kez tapu alıyorsun. Bu seferki aidatsız.</t>
        </is>
      </c>
    </row>
    <row r="212">
      <c r="A212" s="5" t="inlineStr">
        <is>
          <t>b10-mezar-parseli</t>
        </is>
      </c>
      <c r="B212" s="5" t="inlineStr">
        <is>
          <t>borclu</t>
        </is>
      </c>
      <c r="C212" s="6" t="inlineStr">
        <is>
          <t>Görevli taksit seçeneklerini gösterdi. Hayatın boyunca taksitten kaçamadın; son adresin de taksitli.</t>
        </is>
      </c>
    </row>
    <row r="213">
      <c r="A213" s="5" t="inlineStr">
        <is>
          <t>b10-mezar-parseli</t>
        </is>
      </c>
      <c r="B213" s="5" t="inlineStr">
        <is>
          <t>evli</t>
        </is>
      </c>
      <c r="C213" s="6" t="inlineStr">
        <is>
          <t>Görevli 'İki kişilik mi?' diye sordu. Eşin 'Yanyana olsun ama çok da yakın olmasın' dedi.</t>
        </is>
      </c>
    </row>
    <row r="214">
      <c r="A214" s="5" t="inlineStr">
        <is>
          <t>b10-danismanlik</t>
        </is>
      </c>
      <c r="B214" s="5" t="inlineStr">
        <is>
          <t>meslek-memur</t>
        </is>
      </c>
      <c r="C214" s="6" t="inlineStr">
        <is>
          <t>Kurumda senden sonra dört müdür değişti. Arşiv düzeni hâlâ seninki.</t>
        </is>
      </c>
    </row>
    <row r="215">
      <c r="A215" s="5" t="inlineStr">
        <is>
          <t>b10-danismanlik</t>
        </is>
      </c>
      <c r="B215" s="5" t="inlineStr">
        <is>
          <t>meslek-esnaf</t>
        </is>
      </c>
      <c r="C215" s="6" t="inlineStr">
        <is>
          <t>Dükkândaki çırak artık usta. Seni görünce kasayı refleksle kapattı.</t>
        </is>
      </c>
    </row>
    <row r="216">
      <c r="A216" s="5" t="inlineStr">
        <is>
          <t>b10-danismanlik</t>
        </is>
      </c>
      <c r="B216" s="5" t="inlineStr">
        <is>
          <t>meslek-beyazyaka</t>
        </is>
      </c>
      <c r="C216" s="6" t="inlineStr">
        <is>
          <t>Ofiste açık alan kaldırılmış, bölmeler geri gelmiş. Tarih döngüseldir.</t>
        </is>
      </c>
    </row>
    <row r="217">
      <c r="A217" s="5" t="inlineStr">
        <is>
          <t>b10-danismanlik</t>
        </is>
      </c>
      <c r="B217" s="5" t="inlineStr">
        <is>
          <t>meslek-serbest</t>
        </is>
      </c>
      <c r="C217" s="6" t="inlineStr">
        <is>
          <t>Serbest çalışırken kestiğin son faturanın ödemesi bugün yattı.</t>
        </is>
      </c>
    </row>
    <row r="218">
      <c r="A218" s="5" t="inlineStr">
        <is>
          <t>b10-eski-dost-cenazesi</t>
        </is>
      </c>
      <c r="B218" s="5" t="inlineStr">
        <is>
          <t>universiteli</t>
        </is>
      </c>
      <c r="C218" s="6" t="inlineStr">
        <is>
          <t>Kalabalıkta üniversiteden iki tanıdık yüz var. Üçünüz de aynı hocanın adını hatırlamaya çalışıyor.</t>
        </is>
      </c>
    </row>
    <row r="219">
      <c r="A219" s="5" t="inlineStr">
        <is>
          <t>b10-eski-dost-cenazesi</t>
        </is>
      </c>
      <c r="B219" s="5" t="inlineStr">
        <is>
          <t>askerlik-yapti</t>
        </is>
      </c>
      <c r="C219" s="6" t="inlineStr">
        <is>
          <t>Askerlikten bir arkadaş geldi. Selamlaşmanız otuz saniye, hatıralar beş dakika sürdü.</t>
        </is>
      </c>
    </row>
    <row r="220">
      <c r="A220" s="5" t="inlineStr">
        <is>
          <t>b10-eski-dost-cenazesi</t>
        </is>
      </c>
      <c r="B220" s="5" t="inlineStr">
        <is>
          <t>sirVerdi</t>
        </is>
      </c>
      <c r="C220" s="6" t="inlineStr">
        <is>
          <t>Kreşte bir sırrı dolaşıma sokmuştun. Bugün dostunun sırrını mezarına kadar taşıdın.</t>
        </is>
      </c>
    </row>
    <row r="221">
      <c r="A221" s="5" t="inlineStr">
        <is>
          <t>b10-ani-defteri</t>
        </is>
      </c>
      <c r="B221" s="5" t="inlineStr">
        <is>
          <t>kediSuclu</t>
        </is>
      </c>
      <c r="C221" s="6" t="inlineStr">
        <is>
          <t>İkinci sayfada vazo olayı. Kedi hâlâ bir numaralı şüpheli olarak kayıtlı.</t>
        </is>
      </c>
    </row>
    <row r="222">
      <c r="A222" s="5" t="inlineStr">
        <is>
          <t>b10-ani-defteri</t>
        </is>
      </c>
      <c r="B222" s="5" t="inlineStr">
        <is>
          <t>yalanci</t>
        </is>
      </c>
      <c r="C222" s="6" t="inlineStr">
        <is>
          <t>Aile editörlük kurulu, üçüncü bölümün yanına kırmızı kalemle 'Kaynak?' yazdı.</t>
        </is>
      </c>
    </row>
    <row r="223">
      <c r="A223" s="5" t="inlineStr">
        <is>
          <t>b10-ani-defteri</t>
        </is>
      </c>
      <c r="B223" s="5" t="inlineStr">
        <is>
          <t>camKirildi</t>
        </is>
      </c>
      <c r="C223" s="6" t="inlineStr">
        <is>
          <t>Komşunun camı dördüncü bölümde. Komşunun çocukları dipnotta itiraz ediyor.</t>
        </is>
      </c>
    </row>
    <row r="224">
      <c r="A224" s="5" t="inlineStr">
        <is>
          <t>b10-ani-defteri</t>
        </is>
      </c>
      <c r="B224" s="5" t="inlineStr">
        <is>
          <t>tepsiTekeli</t>
        </is>
      </c>
      <c r="C224" s="6" t="inlineStr">
        <is>
          <t>Bir bölümün başlığı: 'Tepsi Tekeli: Bir Kışın Ekonomi Politiği.'</t>
        </is>
      </c>
    </row>
    <row r="225">
      <c r="A225" s="5" t="inlineStr">
        <is>
          <t>b10-ani-defteri</t>
        </is>
      </c>
      <c r="B225" s="5" t="inlineStr">
        <is>
          <t>fenomen</t>
        </is>
      </c>
      <c r="C225" s="6" t="inlineStr">
        <is>
          <t>Bir bölüm gençlikteki kısa ün dönemine ayrıldı. Başlık: 'Beş Dakika, Otuz Bin Beğeni.'</t>
        </is>
      </c>
    </row>
    <row r="226">
      <c r="A226" s="5" t="inlineStr">
        <is>
          <t>b10-seksen-yas-partisi</t>
        </is>
      </c>
      <c r="B226" s="5" t="inlineStr">
        <is>
          <t>cocuklu</t>
        </is>
      </c>
      <c r="C226" s="6" t="inlineStr">
        <is>
          <t>Pastayı çocukların sipariş etti. Mumların sayısında üç kez anlaşamadılar.</t>
        </is>
      </c>
    </row>
    <row r="227">
      <c r="A227" s="5" t="inlineStr">
        <is>
          <t>b10-seksen-yas-partisi</t>
        </is>
      </c>
      <c r="B227" s="5" t="inlineStr">
        <is>
          <t>torunlu</t>
        </is>
      </c>
      <c r="C227" s="6" t="inlineStr">
        <is>
          <t>Torunlar pastanın yanında sıraya girdi. Hepsi mumlara yardım etmek istiyor, hiçbiri pastaya dokunmamayı kabul etmiyor.</t>
        </is>
      </c>
    </row>
    <row r="228">
      <c r="A228" s="5" t="inlineStr">
        <is>
          <t>b10-seksen-yas-partisi</t>
        </is>
      </c>
      <c r="B228" s="5" t="inlineStr">
        <is>
          <t>sigara</t>
        </is>
      </c>
      <c r="C228" s="6" t="inlineStr">
        <is>
          <t>Yıllar önce bıraktığın alışkanlık bugün yarar sağlıyor: ateşle aran hâlâ iyi.</t>
        </is>
      </c>
    </row>
    <row r="229">
      <c r="A229" s="5" t="inlineStr">
        <is>
          <t>b10-huzurevi-turu</t>
        </is>
      </c>
      <c r="B229" s="5" t="inlineStr">
        <is>
          <t>tepsiTekeli</t>
        </is>
      </c>
      <c r="C229" s="6" t="inlineStr">
        <is>
          <t>Yemekhanede tepsiler üst üste dizilmiş. Eski bir iş fırsatı gibi görünüyorlar.</t>
        </is>
      </c>
    </row>
    <row r="230">
      <c r="A230" s="5" t="inlineStr">
        <is>
          <t>b10-huzurevi-turu</t>
        </is>
      </c>
      <c r="B230" s="5" t="inlineStr">
        <is>
          <t>baskan</t>
        </is>
      </c>
      <c r="C230" s="6" t="inlineStr">
        <is>
          <t>Sakinler komitesinin başkanlık seçimi yakında. Kimse kapıdaki ilanı sana göstermek zorunda değildi ama gösterdi.</t>
        </is>
      </c>
    </row>
    <row r="231">
      <c r="A231" s="5" t="inlineStr">
        <is>
          <t>b10-huzurevi-turu</t>
        </is>
      </c>
      <c r="B231" s="5" t="inlineStr">
        <is>
          <t>bosandi</t>
        </is>
      </c>
      <c r="C231" s="6" t="inlineStr">
        <is>
          <t>Briç masasında eski eşinin kuzenini gördün. Dünya küçük, huzurevi daha küçük.</t>
        </is>
      </c>
    </row>
    <row r="232">
      <c r="A232" s="5" t="inlineStr">
        <is>
          <t>b10-torunun-dugunu</t>
        </is>
      </c>
      <c r="B232" s="5" t="inlineStr">
        <is>
          <t>evli</t>
        </is>
      </c>
      <c r="C232" s="6" t="inlineStr">
        <is>
          <t>Kendi düğününüzden sonra ilk kez eşinle aynı masada, aynı şarkıyı dinliyorsun.</t>
        </is>
      </c>
    </row>
    <row r="233">
      <c r="A233" s="5" t="inlineStr">
        <is>
          <t>b10-torunun-dugunu</t>
        </is>
      </c>
      <c r="B233" s="5" t="inlineStr">
        <is>
          <t>askerlik-yapti</t>
        </is>
      </c>
      <c r="C233" s="6" t="inlineStr">
        <is>
          <t>Masadaki eski bir arkadaş askerlik hatırasını anlatmaya başladı. Düğün kısa bir süreliğine duraksadı.</t>
        </is>
      </c>
    </row>
    <row r="234">
      <c r="A234" s="5" t="inlineStr">
        <is>
          <t>b10-torunun-dugunu</t>
        </is>
      </c>
      <c r="B234" s="5" t="inlineStr">
        <is>
          <t>ev-sahibi</t>
        </is>
      </c>
      <c r="C234" s="6" t="inlineStr">
        <is>
          <t>Evin kapısındaki anahtarı yeni çifte hediye ettin. Herkes ağladı, iki kişi hesapladı.</t>
        </is>
      </c>
    </row>
    <row r="235">
      <c r="A235" s="5" t="inlineStr">
        <is>
          <t>b10-yapay-zeka-kitap</t>
        </is>
      </c>
      <c r="B235" s="5" t="inlineStr">
        <is>
          <t>fenomen</t>
        </is>
      </c>
      <c r="C235" s="6" t="inlineStr">
        <is>
          <t>Yapay zekâ gençlikteki videolarını buldu. Kitabın bir bölümü tamamen ekran görüntülerinden oluşuyor.</t>
        </is>
      </c>
    </row>
    <row r="236">
      <c r="A236" s="5" t="inlineStr">
        <is>
          <t>b10-yapay-zeka-kitap</t>
        </is>
      </c>
      <c r="B236" s="5" t="inlineStr">
        <is>
          <t>universiteli</t>
        </is>
      </c>
      <c r="C236" s="6" t="inlineStr">
        <is>
          <t>Kitapta üniversite yılların 'entelektüel uyanış' olarak geçiyor. Aslında çoğu kantinde geçti.</t>
        </is>
      </c>
    </row>
    <row r="237">
      <c r="A237" s="5" t="inlineStr">
        <is>
          <t>b10-yapay-zeka-kitap</t>
        </is>
      </c>
      <c r="B237" s="5" t="inlineStr">
        <is>
          <t>meslek-beyazyaka</t>
        </is>
      </c>
      <c r="C237" s="6" t="inlineStr">
        <is>
          <t>Meslek bölümü, performans değerlendirme dili ile yazılmış. Makine seni terfiye önermiş.</t>
        </is>
      </c>
    </row>
    <row r="238">
      <c r="A238" s="5" t="inlineStr">
        <is>
          <t>b10-yapay-zeka-kitap</t>
        </is>
      </c>
      <c r="B238" s="5" t="inlineStr">
        <is>
          <t>kediSuclu</t>
        </is>
      </c>
      <c r="C238" s="6" t="inlineStr">
        <is>
          <t>Kitapta vazo olayı ayrıntılı. Makine kediye bir dipnot düşmüş: 'Kanıt yetersiz.'</t>
        </is>
      </c>
    </row>
    <row r="239">
      <c r="A239" s="5" t="inlineStr">
        <is>
          <t>b10-eski-ev</t>
        </is>
      </c>
      <c r="B239" s="5" t="inlineStr">
        <is>
          <t>camKirildi</t>
        </is>
      </c>
      <c r="C239" s="6" t="inlineStr">
        <is>
          <t>Karşıdaki komşunun camı hâlâ aynı cam. Ya da yenisi. İkisi de aynı ses tonuyla bakıyor.</t>
        </is>
      </c>
    </row>
    <row r="240">
      <c r="A240" s="5" t="inlineStr">
        <is>
          <t>b10-eski-ev</t>
        </is>
      </c>
      <c r="B240" s="5" t="inlineStr">
        <is>
          <t>kediGeldi</t>
        </is>
      </c>
      <c r="C240" s="6" t="inlineStr">
        <is>
          <t>Bahçe duvarında bir kedi oturuyor. Senin kedinin torununun torunu olabilir. Seni tanımıyor.</t>
        </is>
      </c>
    </row>
    <row r="241">
      <c r="A241" s="5" t="inlineStr">
        <is>
          <t>b10-eski-ev</t>
        </is>
      </c>
      <c r="B241" s="5" t="inlineStr">
        <is>
          <t>haracci-dusmani</t>
        </is>
      </c>
      <c r="C241" s="6" t="inlineStr">
        <is>
          <t>Köşede eski haraççıların durduğu yer artık bir kargo teslimat noktası.</t>
        </is>
      </c>
    </row>
    <row r="242">
      <c r="A242" s="5" t="inlineStr">
        <is>
          <t>b10-eski-ev</t>
        </is>
      </c>
      <c r="B242" s="5" t="inlineStr">
        <is>
          <t>tepsiTekeli</t>
        </is>
      </c>
      <c r="C242" s="6" t="inlineStr">
        <is>
          <t>Kış olsaydı, bu yokuşta kaymak için tepsi kuyruğunda olurdun.</t>
        </is>
      </c>
    </row>
    <row r="243">
      <c r="A243" s="5" t="inlineStr">
        <is>
          <t>b10-son-dans</t>
        </is>
      </c>
      <c r="B243" s="5" t="inlineStr">
        <is>
          <t>cocuklu</t>
        </is>
      </c>
      <c r="C243" s="6" t="inlineStr">
        <is>
          <t>Kapı aralığından bir çocuğun izlediğini fark ettin. Telefonu kaldırmamış. Bu yeterli.</t>
        </is>
      </c>
    </row>
    <row r="244">
      <c r="A244" s="5" t="inlineStr">
        <is>
          <t>b10-son-dans</t>
        </is>
      </c>
      <c r="B244" s="5" t="inlineStr">
        <is>
          <t>sporcu</t>
        </is>
      </c>
      <c r="C244" s="6" t="inlineStr">
        <is>
          <t>Yıllar süren sabah koşuları bugün meyvesini veriyor: bir şarkı, iki tur.</t>
        </is>
      </c>
    </row>
    <row r="245">
      <c r="A245" s="5" t="inlineStr">
        <is>
          <t>b10-son-dans</t>
        </is>
      </c>
      <c r="B245" s="5" t="inlineStr">
        <is>
          <t>ev-sahibi</t>
        </is>
      </c>
      <c r="C245" s="6" t="inlineStr">
        <is>
          <t>Bu ev için ödenen her taksit bu dansı karşıladı.</t>
        </is>
      </c>
    </row>
    <row r="246">
      <c r="A246" s="5" t="inlineStr">
        <is>
          <t>b10-yalniz-ozgur</t>
        </is>
      </c>
      <c r="B246" s="5" t="inlineStr">
        <is>
          <t>bosandi</t>
        </is>
      </c>
      <c r="C246" s="6" t="inlineStr">
        <is>
          <t>Eski eşinden bir bayram mesajı geldi. Cevabın iki kelimeydi ve ikisi de nazikti.</t>
        </is>
      </c>
    </row>
    <row r="247">
      <c r="A247" s="5" t="inlineStr">
        <is>
          <t>b10-yalniz-ozgur</t>
        </is>
      </c>
      <c r="B247" s="5" t="inlineStr">
        <is>
          <t>kediGeldi</t>
        </is>
      </c>
      <c r="C247" s="6" t="inlineStr">
        <is>
          <t>Evde kimse konuşmuyor ama koltukta bir kedi var. Anlaşmanız iyi.</t>
        </is>
      </c>
    </row>
    <row r="248">
      <c r="A248" s="5" t="inlineStr">
        <is>
          <t>b10-yalniz-ozgur</t>
        </is>
      </c>
      <c r="B248" s="5" t="inlineStr">
        <is>
          <t>emekli</t>
        </is>
      </c>
      <c r="C248" s="6" t="inlineStr">
        <is>
          <t>Maaş yattı. Hesap sorulmadan harcanacak.</t>
        </is>
      </c>
    </row>
    <row r="249">
      <c r="A249" s="5" t="inlineStr">
        <is>
          <t>b10-yalniz-ozgur</t>
        </is>
      </c>
      <c r="B249" s="5" t="inlineStr">
        <is>
          <t>huzurevi-sakini</t>
        </is>
      </c>
      <c r="C249" s="6" t="inlineStr">
        <is>
          <t>Huzurevinde tek kişilik odan var. Kapı kapalı, ama çay saati her gün dörtte.</t>
        </is>
      </c>
    </row>
    <row r="250">
      <c r="A250" s="5" t="inlineStr">
        <is>
          <t>b10-komsu-kedisi</t>
        </is>
      </c>
      <c r="B250" s="5" t="inlineStr">
        <is>
          <t>kediSuclu</t>
        </is>
      </c>
      <c r="C250" s="6" t="inlineStr">
        <is>
          <t>Çocukken vazoyu kediye yıkmıştın. Bu kedinin gözlerinde bir şey var. Sanki biliyor.</t>
        </is>
      </c>
    </row>
    <row r="251">
      <c r="A251" s="5" t="inlineStr">
        <is>
          <t>b10-komsu-kedisi</t>
        </is>
      </c>
      <c r="B251" s="5" t="inlineStr">
        <is>
          <t>kediGeldi</t>
        </is>
      </c>
      <c r="C251" s="6" t="inlineStr">
        <is>
          <t>Çocukken eve bir kedi getirtmiştin. Kediler bu bilgiyi kuşaklar boyu aktarıyor olabilir.</t>
        </is>
      </c>
    </row>
    <row r="252">
      <c r="A252" s="5" t="inlineStr">
        <is>
          <t>b10-sabah-yuruyusu</t>
        </is>
      </c>
      <c r="B252" s="5" t="inlineStr">
        <is>
          <t>sporcu</t>
        </is>
      </c>
      <c r="C252" s="6" t="inlineStr">
        <is>
          <t>Yıllardır spor yapıyorsun. Grubun en hızlısı bunu duyunca adımlarını açtı.</t>
        </is>
      </c>
    </row>
    <row r="253">
      <c r="A253" s="5" t="inlineStr">
        <is>
          <t>b10-sabah-yuruyusu</t>
        </is>
      </c>
      <c r="B253" s="5" t="inlineStr">
        <is>
          <t>sigara</t>
        </is>
      </c>
      <c r="C253" s="6" t="inlineStr">
        <is>
          <t>Yıllar önce bıraktığın alışkanlık, yokuşta hâlâ kısa bir nefes arasına dönüşüyor.</t>
        </is>
      </c>
    </row>
    <row r="254">
      <c r="A254" s="5" t="inlineStr">
        <is>
          <t>b10-sabah-yuruyusu</t>
        </is>
      </c>
      <c r="B254" s="5" t="inlineStr">
        <is>
          <t>askerlik-yapti</t>
        </is>
      </c>
      <c r="C254" s="6" t="inlineStr">
        <is>
          <t>Adımların farkında olmadan tempoya giriyor. Grupta biri 'Sol, sol' diye fısıldadı.</t>
        </is>
      </c>
    </row>
    <row r="255">
      <c r="A255" s="5" t="inlineStr">
        <is>
          <t>b10-son-taksit</t>
        </is>
      </c>
      <c r="B255" s="5" t="inlineStr">
        <is>
          <t>borclu</t>
        </is>
      </c>
      <c r="C255" s="6" t="inlineStr">
        <is>
          <t>Borç batağının son halkası kırıldı. Kredi kartın senden daha uzun yaşayacaktı ama bugün değil.</t>
        </is>
      </c>
    </row>
    <row r="256">
      <c r="A256" s="5" t="inlineStr">
        <is>
          <t>b10-son-taksit</t>
        </is>
      </c>
      <c r="B256" s="5" t="inlineStr">
        <is>
          <t>ev-sahibi</t>
        </is>
      </c>
      <c r="C256" s="6" t="inlineStr">
        <is>
          <t>Tapuda artık bankanın adı yok. Ev nihayet tamamen senin.</t>
        </is>
      </c>
    </row>
    <row r="257">
      <c r="A257" s="5" t="inlineStr">
        <is>
          <t>b10-son-taksit</t>
        </is>
      </c>
      <c r="B257" s="5" t="inlineStr">
        <is>
          <t>ilkKelimePara</t>
        </is>
      </c>
      <c r="C257" s="6" t="inlineStr">
        <is>
          <t>İlk kelimen 'Para' idi. Bugün 'Borç yok' diyebilen nadir insanlardansın.</t>
        </is>
      </c>
    </row>
    <row r="258">
      <c r="A258" s="5" t="inlineStr">
        <is>
          <t>b10-ehliyet-yenileme</t>
        </is>
      </c>
      <c r="B258" s="5" t="inlineStr">
        <is>
          <t>askerlik-yapti</t>
        </is>
      </c>
      <c r="C258" s="6" t="inlineStr">
        <is>
          <t>Askerlikte ilk ehliyetini almıştın. O zamandan beri hiç ceza yemedin. Hiç park yeri de bulamadın.</t>
        </is>
      </c>
    </row>
    <row r="259">
      <c r="A259" s="5" t="inlineStr">
        <is>
          <t>b10-ehliyet-yenileme</t>
        </is>
      </c>
      <c r="B259" s="5" t="inlineStr">
        <is>
          <t>meslek-memur</t>
        </is>
      </c>
      <c r="C259" s="6" t="inlineStr">
        <is>
          <t>Masadaki memur seni tanıdı. Aynı kurumda çalışmıştınız. Evrakın hızlandı.</t>
        </is>
      </c>
    </row>
    <row r="260">
      <c r="A260" s="5" t="inlineStr">
        <is>
          <t>b10-ehliyet-yenileme</t>
        </is>
      </c>
      <c r="B260" s="5" t="inlineStr">
        <is>
          <t>fenomen</t>
        </is>
      </c>
      <c r="C260" s="6" t="inlineStr">
        <is>
          <t>Memur 'Siz o videodaki kişi değil misiniz?' diye sordu. Bekleme salonu senin eski videonu izlemeye başladı.</t>
        </is>
      </c>
    </row>
    <row r="261">
      <c r="A261" s="5" t="inlineStr">
        <is>
          <t>b10-mahallenin-en-yaslisi</t>
        </is>
      </c>
      <c r="B261" s="5" t="inlineStr">
        <is>
          <t>baskan</t>
        </is>
      </c>
      <c r="C261" s="6" t="inlineStr">
        <is>
          <t>Hayatta ilk kez sınıf başkanı olduğunda da böyle bir konuşma yapmıştın. İçerik neredeyse aynı.</t>
        </is>
      </c>
    </row>
    <row r="262">
      <c r="A262" s="5" t="inlineStr">
        <is>
          <t>b10-mahallenin-en-yaslisi</t>
        </is>
      </c>
      <c r="B262" s="5" t="inlineStr">
        <is>
          <t>fenomen</t>
        </is>
      </c>
      <c r="C262" s="6" t="inlineStr">
        <is>
          <t>Tören canlı yayında. Eski takipçilerinden biri yorumlara 'Hâlâ efsane' yazdı.</t>
        </is>
      </c>
    </row>
    <row r="263">
      <c r="A263" s="5" t="inlineStr">
        <is>
          <t>b10-mahallenin-en-yaslisi</t>
        </is>
      </c>
      <c r="B263" s="5" t="inlineStr">
        <is>
          <t>cocuklu</t>
        </is>
      </c>
      <c r="C263" s="6" t="inlineStr">
        <is>
          <t>Ön sırada çocukların var. Hepsi çekim yapıyor, kimse alkışlamıyor. Alkış için telefonu bırakmak gerekiyor.</t>
        </is>
      </c>
    </row>
    <row r="264">
      <c r="A264" s="5" t="inlineStr">
        <is>
          <t>b10-mezar-tasi-fotografi</t>
        </is>
      </c>
      <c r="B264" s="5" t="inlineStr">
        <is>
          <t>fenomen</t>
        </is>
      </c>
      <c r="C264" s="6" t="inlineStr">
        <is>
          <t>Fotoğrafçı seni tanıdı ve ücretsiz rötuş teklif etti. Takipçi etkisi hâlâ sürüyor.</t>
        </is>
      </c>
    </row>
    <row r="265">
      <c r="A265" s="5" t="inlineStr">
        <is>
          <t>b10-mezar-tasi-fotografi</t>
        </is>
      </c>
      <c r="B265" s="5" t="inlineStr">
        <is>
          <t>manzarali-parsel</t>
        </is>
      </c>
      <c r="C265" s="6" t="inlineStr">
        <is>
          <t>Fotoğraf manzaralı parselde sergilenecek. Işık açısı parsele göre ayarlandı.</t>
        </is>
      </c>
    </row>
    <row r="266">
      <c r="A266" s="5" t="inlineStr">
        <is>
          <t>b10-mezar-tasi-fotografi</t>
        </is>
      </c>
      <c r="B266" s="5" t="inlineStr">
        <is>
          <t>ani-defteri</t>
        </is>
      </c>
      <c r="C266" s="6" t="inlineStr">
        <is>
          <t>Anı defterinin kapağındaki fotoğrafı getirdin. Fotoğrafçı 'Bunu tekrar çekelim, daha iyi olursunuz' dedi.</t>
        </is>
      </c>
    </row>
    <row r="267">
      <c r="A267" s="5" t="inlineStr">
        <is>
          <t>b10-mezar-tasi-fotografi</t>
        </is>
      </c>
      <c r="B267" s="5" t="inlineStr">
        <is>
          <t>vasiyet-yazildi</t>
        </is>
      </c>
      <c r="C267" s="6" t="inlineStr">
        <is>
          <t>Vasiyetinde fotoğrafın boyutu bile yazıyordu. Fotoğrafçı belgeyi okuyup ölçüleri aldı.</t>
        </is>
      </c>
    </row>
    <row r="268">
      <c r="A268" s="5" t="inlineStr">
        <is>
          <t>son-soz</t>
        </is>
      </c>
      <c r="B268" s="5" t="inlineStr">
        <is>
          <t>vasiyet-yazildi</t>
        </is>
      </c>
      <c r="C268" s="6" t="inlineStr">
        <is>
          <t>Vasiyet noterde. Çaydanlığın kime kalacağı hâlâ tartışmalı.</t>
        </is>
      </c>
    </row>
    <row r="269">
      <c r="A269" s="5" t="inlineStr">
        <is>
          <t>son-soz</t>
        </is>
      </c>
      <c r="B269" s="5" t="inlineStr">
        <is>
          <t>torunlu</t>
        </is>
      </c>
      <c r="C269" s="6" t="inlineStr">
        <is>
          <t>Torunlardan biri elini tutuyor. Diğeri telefonuyla kayıt yapmamaya çalışıyor.</t>
        </is>
      </c>
    </row>
    <row r="270">
      <c r="A270" s="5" t="inlineStr">
        <is>
          <t>son-soz</t>
        </is>
      </c>
      <c r="B270" s="5" t="inlineStr">
        <is>
          <t>evli</t>
        </is>
      </c>
      <c r="C270" s="6" t="inlineStr">
        <is>
          <t>Eşin yanında. 'Her zamanki gibi son sözü sen söyle' dedi.</t>
        </is>
      </c>
    </row>
    <row r="271">
      <c r="A271" s="5" t="inlineStr">
        <is>
          <t>b6-askerlik-mezun</t>
        </is>
      </c>
      <c r="B271" s="5" t="inlineStr">
        <is>
          <t>bolum-emniyet</t>
        </is>
      </c>
      <c r="C271" s="6" t="inlineStr">
        <is>
          <t>Akademide öğrendiğin içtima düzeni burada da geçerli. Bölük komutanı seni ilk günden fark etti.</t>
        </is>
      </c>
    </row>
    <row r="272">
      <c r="A272" s="5" t="inlineStr">
        <is>
          <t>b6-tezkere</t>
        </is>
      </c>
      <c r="B272" s="5" t="inlineStr">
        <is>
          <t>kisla-kankasi</t>
        </is>
      </c>
      <c r="C272" s="6" t="inlineStr">
        <is>
          <t>Telefonda bir mesaj: “Plan geçerli mi?” Kışladaki üç arkadaşın hâlâ bekliyor.</t>
        </is>
      </c>
    </row>
    <row r="273">
      <c r="A273" s="5" t="inlineStr">
        <is>
          <t>b6-ikinci-sinav</t>
        </is>
      </c>
      <c r="B273" s="5" t="inlineStr">
        <is>
          <t>dershaneli</t>
        </is>
      </c>
      <c r="C273" s="6" t="inlineStr">
        <is>
          <t>Cumartesileri dershanede geçen ergenliğin bugün için yapılmış bir provaydı.</t>
        </is>
      </c>
    </row>
    <row r="274">
      <c r="A274" s="5" t="inlineStr">
        <is>
          <t>b6-abinin-cantasi</t>
        </is>
      </c>
      <c r="B274" s="5" t="inlineStr">
        <is>
          <t>karaborsaci</t>
        </is>
      </c>
      <c r="C274" s="6" t="inlineStr">
        <is>
          <t>Stat önünde bilet satarken öğrendin: abinin işlerinde soru sorulmaz, fiyat sorulur.</t>
        </is>
      </c>
    </row>
    <row r="275">
      <c r="A275" s="5" t="inlineStr">
        <is>
          <t>b6-donus-bileti</t>
        </is>
      </c>
      <c r="B275" s="5" t="inlineStr">
        <is>
          <t>yabanci-dil</t>
        </is>
      </c>
      <c r="C275" s="6" t="inlineStr">
        <is>
          <t>Buradaki arkadaşların seni bir iş görüşmesine önerdi. Rüyalarını artık iki dilde görüyorsun.</t>
        </is>
      </c>
    </row>
    <row r="276">
      <c r="A276" s="5" t="inlineStr">
        <is>
          <t>b6-evden-cikis</t>
        </is>
      </c>
      <c r="B276" s="5" t="inlineStr">
        <is>
          <t>baska-sehir</t>
        </is>
      </c>
      <c r="C276" s="6" t="inlineStr">
        <is>
          <t>Dört yıldır yurttasın. Ranza, ortak banyo ve priz nöbeti. Artık bir kapı istiyorsun; kilitli olan.</t>
        </is>
      </c>
    </row>
    <row r="277">
      <c r="A277" s="5" t="inlineStr">
        <is>
          <t>b6-evden-cikis</t>
        </is>
      </c>
      <c r="B277" s="5" t="inlineStr">
        <is>
          <t>kendi-odasi</t>
        </is>
      </c>
      <c r="C277" s="6" t="inlineStr">
        <is>
          <t>On üç yaşında kendi odanı resmî başvuruyla almıştın. Şimdi başvuru daha büyük.</t>
        </is>
      </c>
    </row>
    <row r="278">
      <c r="A278" s="5" t="inlineStr">
        <is>
          <t>b6-hayat-yolu</t>
        </is>
      </c>
      <c r="B278" s="5" t="inlineStr">
        <is>
          <t>tezgah</t>
        </is>
      </c>
      <c r="C278" s="6" t="inlineStr">
        <is>
          <t>Kuzeninin tezgâhında öğrendiklerin: fiyat söylenir, pazarlık edilir, veresiye yazılmaz. Yazılır aslında.</t>
        </is>
      </c>
    </row>
    <row r="279">
      <c r="A279" s="5" t="inlineStr">
        <is>
          <t>b6-hayat-yolu</t>
        </is>
      </c>
      <c r="B279" s="5" t="inlineStr">
        <is>
          <t>kisla-kankasi</t>
        </is>
      </c>
      <c r="C279" s="6" t="inlineStr">
        <is>
          <t>Kışladan üç arkadaşın hâlâ “Plan geçerli mi?” diye soruyor.</t>
        </is>
      </c>
    </row>
    <row r="280">
      <c r="A280" s="5" t="inlineStr">
        <is>
          <t>b6-hayat-yolu</t>
        </is>
      </c>
      <c r="B280" s="5" t="inlineStr">
        <is>
          <t>acik-lise</t>
        </is>
      </c>
      <c r="C280" s="6" t="inlineStr">
        <is>
          <t>Akşam lisesinin diploması çekmecede. Devlet kapısı için bir kâğıt daha var elinde.</t>
        </is>
      </c>
    </row>
    <row r="281">
      <c r="A281" s="5" t="inlineStr">
        <is>
          <t>b7-polis-asayis</t>
        </is>
      </c>
      <c r="B281" s="5" t="inlineStr">
        <is>
          <t>komiser-tanidik</t>
        </is>
      </c>
      <c r="C281" s="6" t="inlineStr">
        <is>
          <t>Gençken tanıdığın komiser şimdi büro amirin. “Seni hatırlıyorum” dedi; iyi mi kötü mü, söylemedi.</t>
        </is>
      </c>
    </row>
    <row r="282">
      <c r="A282" s="5" t="inlineStr">
        <is>
          <t>b7-polis-asayis</t>
        </is>
      </c>
      <c r="B282" s="5" t="inlineStr">
        <is>
          <t>haracci-dusmani</t>
        </is>
      </c>
      <c r="C282" s="6" t="inlineStr">
        <is>
          <t>Çocukken haraççılara kafa tuttuğun hâlâ anlatılıyor. Simitçi de biliyor; sana biraz daha susamlı veriyor.</t>
        </is>
      </c>
    </row>
    <row r="283">
      <c r="A283" s="5" t="inlineStr">
        <is>
          <t>b7-polis-komiserlik</t>
        </is>
      </c>
      <c r="B283" s="5" t="inlineStr">
        <is>
          <t>evli</t>
        </is>
      </c>
      <c r="C283" s="6" t="inlineStr">
        <is>
          <t>Evlisin; sorgu odasında düğün pastası konuşulunca kendi düğününü hatırladın. Sizinkini kimse çalmamıştı. Kimse istememişti.</t>
        </is>
      </c>
    </row>
    <row r="284">
      <c r="A284" s="5" t="inlineStr">
        <is>
          <t>b7-polis-ekip</t>
        </is>
      </c>
      <c r="B284" s="5" t="inlineStr">
        <is>
          <t>zarf-aldi</t>
        </is>
      </c>
      <c r="C284" s="6" t="inlineStr">
        <is>
          <t>Otuz beşindeki zarf hâlâ aklında. Kimse bilmiyor; ama çaycı sana hep biraz uzun bakıyor.</t>
        </is>
      </c>
    </row>
    <row r="285">
      <c r="A285" s="5" t="inlineStr">
        <is>
          <t>b7-polis-ekip</t>
        </is>
      </c>
      <c r="B285" s="5" t="inlineStr">
        <is>
          <t>polis-surgun</t>
        </is>
      </c>
      <c r="C285" s="6" t="inlineStr">
        <is>
          <t>Sürgün geldiğin bu uzak ilçede ekip küçük, kedi büyük. Yine de ekip ekip.</t>
        </is>
      </c>
    </row>
    <row r="286">
      <c r="A286" s="5" t="inlineStr">
        <is>
          <t>b7-polis-ekip</t>
        </is>
      </c>
      <c r="B286" s="5" t="inlineStr">
        <is>
          <t>polis-gozetim</t>
        </is>
      </c>
      <c r="C286" s="6" t="inlineStr">
        <is>
          <t>Yazdığın her rapor bir üst makamda ikinci kez okunuyor. Ekip de bunu biliyor.</t>
        </is>
      </c>
    </row>
    <row r="287">
      <c r="A287" s="5" t="inlineStr">
        <is>
          <t>b8-polis-mudurluk</t>
        </is>
      </c>
      <c r="B287" s="5" t="inlineStr">
        <is>
          <t>polis-muhbir</t>
        </is>
      </c>
      <c r="C287" s="6" t="inlineStr">
        <is>
          <t>Asayişten kalan simitçin hâlâ köşede. Mülakat sabahı sana bedava simit verdi: “Uğur getirsin.”</t>
        </is>
      </c>
    </row>
    <row r="288">
      <c r="A288" s="5" t="inlineStr">
        <is>
          <t>b8-polis-mudurluk</t>
        </is>
      </c>
      <c r="B288" s="5" t="inlineStr">
        <is>
          <t>zarf-aldi</t>
        </is>
      </c>
      <c r="C288" s="6" t="inlineStr">
        <is>
          <t>Kurul dosyanı karıştırırken bir sayfada uzun durdu. O sayfa otuz beş yaşına denk geliyor. Sonra geçti.</t>
        </is>
      </c>
    </row>
    <row r="289">
      <c r="A289" s="5" t="inlineStr">
        <is>
          <t>b8-polis-teftis</t>
        </is>
      </c>
      <c r="B289" s="5" t="inlineStr">
        <is>
          <t>zarf-aldi</t>
        </is>
      </c>
      <c r="C289" s="6" t="inlineStr">
        <is>
          <t>Müfettiş otuz beş yaşının dosyalarını istedi. Midende bir zarf ağırlığı var.</t>
        </is>
      </c>
    </row>
    <row r="290">
      <c r="A290" s="5" t="inlineStr">
        <is>
          <t>b8-polis-teftis</t>
        </is>
      </c>
      <c r="B290" s="5" t="inlineStr">
        <is>
          <t>polis-gozetim</t>
        </is>
      </c>
      <c r="C290" s="6" t="inlineStr">
        <is>
          <t>Yıllardır izleniyorsun; teftiş sana sürpriz değil. Müfettiş dosyanı senden iyi biliyor.</t>
        </is>
      </c>
    </row>
    <row r="291">
      <c r="A291" s="5" t="inlineStr">
        <is>
          <t>b9-polis-veda</t>
        </is>
      </c>
      <c r="B291" s="5" t="inlineStr">
        <is>
          <t>polis-mudur</t>
        </is>
      </c>
      <c r="C291" s="6" t="inlineStr">
        <is>
          <t>Emniyet müdürüsün; plaketin boyu da ona göre. Çaycı taşırken iki kez dinlendi.</t>
        </is>
      </c>
    </row>
    <row r="292">
      <c r="A292" s="5" t="inlineStr">
        <is>
          <t>b9-polis-veda</t>
        </is>
      </c>
      <c r="B292" s="5" t="inlineStr">
        <is>
          <t>polis-muhbir</t>
        </is>
      </c>
      <c r="C292" s="6" t="inlineStr">
        <is>
          <t>Tören kapısında eski simitçin. Yaşlanmış, sen de. Bir simit uzattı: “Son ihbar: seni çok seviyorlar.”</t>
        </is>
      </c>
    </row>
    <row r="293">
      <c r="A293" s="5" t="inlineStr">
        <is>
          <t>b9-polis-veda</t>
        </is>
      </c>
      <c r="B293" s="5" t="inlineStr">
        <is>
          <t>polis-sadik-ekip</t>
        </is>
      </c>
      <c r="C293" s="6" t="inlineStr">
        <is>
          <t>Eski ekibinden dördü emekli, ikisi müdür; hepsi törene geldi. Karakol kedisinin torunu da.</t>
        </is>
      </c>
    </row>
    <row r="294">
      <c r="A294" s="5" t="inlineStr">
        <is>
          <t>b9-polis-veda</t>
        </is>
      </c>
      <c r="B294" s="5" t="inlineStr">
        <is>
          <t>polis-surgun</t>
        </is>
      </c>
      <c r="C294" s="6" t="inlineStr">
        <is>
          <t>Sürgün gittiğin uzak ilçeden bir otobüs dolusu insan geldi. Sürgün sandığın yer seni evlat saymış.</t>
        </is>
      </c>
    </row>
    <row r="295">
      <c r="A295" s="5" t="inlineStr">
        <is>
          <t>b7-yargi-aidat</t>
        </is>
      </c>
      <c r="B295" s="5" t="inlineStr">
        <is>
          <t>yargi-horoz-karari</t>
        </is>
      </c>
      <c r="C295" s="6" t="inlineStr">
        <is>
          <t>Horoz Kararı'nı adliyede herkes duymuş. Mübaşir seni sabah dörtte kalkan biri sanıyor.</t>
        </is>
      </c>
    </row>
    <row r="296">
      <c r="A296" s="5" t="inlineStr">
        <is>
          <t>b7-yargi-kedi</t>
        </is>
      </c>
      <c r="B296" s="5" t="inlineStr">
        <is>
          <t>yargi-leke</t>
        </is>
      </c>
      <c r="C296" s="6" t="inlineStr">
        <is>
          <t>Büyük dosyada eğildiğin gün hâlâ aklında. Bu dosyada kimse baskı yapmıyor; kedi bile. Garip bir rahatlık.</t>
        </is>
      </c>
    </row>
    <row r="297">
      <c r="A297" s="5" t="inlineStr">
        <is>
          <t>b8-yargi-yuksek</t>
        </is>
      </c>
      <c r="B297" s="5" t="inlineStr">
        <is>
          <t>yargi-kedi-karari</t>
        </is>
      </c>
      <c r="C297" s="6" t="inlineStr">
        <is>
          <t>Kurul üyelerinden birinin iki kedisi var. Kedi kararını okumuş; seni gülümseyerek selamladı.</t>
        </is>
      </c>
    </row>
    <row r="298">
      <c r="A298" s="5" t="inlineStr">
        <is>
          <t>b8-yargi-yuksek</t>
        </is>
      </c>
      <c r="B298" s="5" t="inlineStr">
        <is>
          <t>yargi-leke</t>
        </is>
      </c>
      <c r="C298" s="6" t="inlineStr">
        <is>
          <t>Kurul dosyanda bir kararda duraksadı. O büyük dosya. Sonra sayfayı çevirdi, yavaşça.</t>
        </is>
      </c>
    </row>
    <row r="299">
      <c r="A299" s="5" t="inlineStr">
        <is>
          <t>b8-yargi-denetim</t>
        </is>
      </c>
      <c r="B299" s="5" t="inlineStr">
        <is>
          <t>yargi-leke</t>
        </is>
      </c>
      <c r="C299" s="6" t="inlineStr">
        <is>
          <t>Kalın dosya o büyük dosya. Müfettiş kapağına iki kez dokundu.</t>
        </is>
      </c>
    </row>
    <row r="300">
      <c r="A300" s="5" t="inlineStr">
        <is>
          <t>b9-yargi-ceviz</t>
        </is>
      </c>
      <c r="B300" s="5" t="inlineStr">
        <is>
          <t>yargi-yuksek</t>
        </is>
      </c>
      <c r="C300" s="6" t="inlineStr">
        <is>
          <t>Yüksek mahkemedesin; dosya temyizle önüne geldi. Kırk yıl sonra aynı ağaç, bu sefer en üst kata çıktı.</t>
        </is>
      </c>
    </row>
    <row r="301">
      <c r="A301" s="5" t="inlineStr">
        <is>
          <t>b9-yargi-ceviz</t>
        </is>
      </c>
      <c r="B301" s="5" t="inlineStr">
        <is>
          <t>yargi-kedi-karari</t>
        </is>
      </c>
      <c r="C301" s="6" t="inlineStr">
        <is>
          <t>Her yıl Pamuk-Paşa'nın bir fotoğrafı gelirdi. Bu yılkinde bir yavru var; adını “Hâkim” koymuşlar.</t>
        </is>
      </c>
    </row>
    <row r="302">
      <c r="A302" s="5" t="inlineStr">
        <is>
          <t>b9-yargi-ceviz</t>
        </is>
      </c>
      <c r="B302" s="5" t="inlineStr">
        <is>
          <t>yargi-horoz-karari</t>
        </is>
      </c>
      <c r="C302" s="6" t="inlineStr">
        <is>
          <t>Kasabadan bu bayram da kart geldi: “Horoz emekli oldu, torunu ötüyor. Siz de emekli olun artık.”</t>
        </is>
      </c>
    </row>
    <row r="303">
      <c r="A303" s="5" t="inlineStr">
        <is>
          <t>b7-hekim-uzmanlik</t>
        </is>
      </c>
      <c r="B303" s="5" t="inlineStr">
        <is>
          <t>hekim-ilce-sevgisi</t>
        </is>
      </c>
      <c r="C303" s="6" t="inlineStr">
        <is>
          <t>İlçeden hâlâ reçel geliyor. Asistan odasında en sevilen sensin; reçel yüzünden.</t>
        </is>
      </c>
    </row>
    <row r="304">
      <c r="A304" s="5" t="inlineStr">
        <is>
          <t>b7-hekim-hasta-yakini</t>
        </is>
      </c>
      <c r="B304" s="5" t="inlineStr">
        <is>
          <t>klinik-sefi</t>
        </is>
      </c>
      <c r="C304" s="6" t="inlineStr">
        <is>
          <t>Klinik şefisin; on bir kişi bunu duydu ve on birinin de doğrudan şefle konuşması gerekiyor.</t>
        </is>
      </c>
    </row>
    <row r="305">
      <c r="A305" s="5" t="inlineStr">
        <is>
          <t>b8-hekim-profesorluk</t>
        </is>
      </c>
      <c r="B305" s="5" t="inlineStr">
        <is>
          <t>klinik-sefi</t>
        </is>
      </c>
      <c r="C305" s="6" t="inlineStr">
        <is>
          <t>Klinik şefliğinin yükü hâlâ omuzlarında; dosyanın en ağır sayfaları da oradan geliyor.</t>
        </is>
      </c>
    </row>
    <row r="306">
      <c r="A306" s="5" t="inlineStr">
        <is>
          <t>b8-hekim-aile-grubu</t>
        </is>
      </c>
      <c r="B306" s="5" t="inlineStr">
        <is>
          <t>hekim-ilce-sevgisi</t>
        </is>
      </c>
      <c r="C306" s="6" t="inlineStr">
        <is>
          <t>İlçedeki eski hastaların da artık bu grupta. Nasıl girdiklerini kimse bilmiyor.</t>
        </is>
      </c>
    </row>
    <row r="307">
      <c r="A307" s="5" t="inlineStr">
        <is>
          <t>b9-hekim-son-vizit</t>
        </is>
      </c>
      <c r="B307" s="5" t="inlineStr">
        <is>
          <t>hekim-profesor</t>
        </is>
      </c>
      <c r="C307" s="6" t="inlineStr">
        <is>
          <t>Profesörsün; asistanların yarısı senin kitabından çalışmış. Kapaktaki fotoğrafın genç; tanımadılar.</t>
        </is>
      </c>
    </row>
    <row r="308">
      <c r="A308" s="5" t="inlineStr">
        <is>
          <t>b9-hekim-son-vizit</t>
        </is>
      </c>
      <c r="B308" s="5" t="inlineStr">
        <is>
          <t>hekim-ilce-sevgisi</t>
        </is>
      </c>
      <c r="C308" s="6" t="inlineStr">
        <is>
          <t>İlçeden eski bir hastan torunuyla gelmiş. Elinde bir kavanoz reçel: “Son vizite.”</t>
        </is>
      </c>
    </row>
    <row r="309">
      <c r="A309" s="5" t="inlineStr">
        <is>
          <t>b9-hekim-son-vizit</t>
        </is>
      </c>
      <c r="B309" s="5" t="inlineStr">
        <is>
          <t>hekim-sozcu-usulu</t>
        </is>
      </c>
      <c r="C309" s="6" t="inlineStr">
        <is>
          <t>Koridorda bir hasta ailesi sözcüsünü seçmiş, sırayla bekliyor. Senin usulün; artık hastanenin kuralı.</t>
        </is>
      </c>
    </row>
    <row r="310">
      <c r="A310" s="5" t="inlineStr">
        <is>
          <t>b9-hekim-son-vizit</t>
        </is>
      </c>
      <c r="B310" s="5" t="inlineStr">
        <is>
          <t>klinik-sefi</t>
        </is>
      </c>
      <c r="C310" s="6" t="inlineStr">
        <is>
          <t>Klinik şefliğinden kalan dolabın hâlâ senin adınla. Kimse açmaya cesaret edemiyor; içinde sadece çay var.</t>
        </is>
      </c>
    </row>
    <row r="311">
      <c r="A311" s="5" t="inlineStr">
        <is>
          <t>b7-cete-tahsilat</t>
        </is>
      </c>
      <c r="B311" s="5" t="inlineStr">
        <is>
          <t>abiden-koptu</t>
        </is>
      </c>
      <c r="C311" s="6" t="inlineStr">
        <is>
          <t>Abinin gölgesinden çıkmıştın. Gölge seni hâlâ kâğıtla arıyor.</t>
        </is>
      </c>
    </row>
    <row r="312">
      <c r="A312" s="5" t="inlineStr">
        <is>
          <t>b7-cete-rakip</t>
        </is>
      </c>
      <c r="B312" s="5" t="inlineStr">
        <is>
          <t>mahalle-babasi</t>
        </is>
      </c>
      <c r="C312" s="6" t="inlineStr">
        <is>
          <t>Büyük işten sonra mahallede sözün geçiyor. Karşı kaldırım bunu henüz duymamış.</t>
        </is>
      </c>
    </row>
    <row r="313">
      <c r="A313" s="5" t="inlineStr">
        <is>
          <t>b7-cete-rakip</t>
        </is>
      </c>
      <c r="B313" s="5" t="inlineStr">
        <is>
          <t>tefeci-defteri</t>
        </is>
      </c>
      <c r="C313" s="6" t="inlineStr">
        <is>
          <t>Yeğenin babası da defterinde yazılı. Üçüncü sayfada.</t>
        </is>
      </c>
    </row>
    <row r="314">
      <c r="A314" s="5" t="inlineStr">
        <is>
          <t>b8-cete-hatir-masasi</t>
        </is>
      </c>
      <c r="B314" s="5" t="inlineStr">
        <is>
          <t>mahalle-babasi</t>
        </is>
      </c>
      <c r="C314" s="6" t="inlineStr">
        <is>
          <t>Mahalle babası oldun; düğün tarihleri de artık senin işin.</t>
        </is>
      </c>
    </row>
    <row r="315">
      <c r="A315" s="5" t="inlineStr">
        <is>
          <t>b8-cete-abinin-emekliligi</t>
        </is>
      </c>
      <c r="B315" s="5" t="inlineStr">
        <is>
          <t>abiye-borclu</t>
        </is>
      </c>
      <c r="C315" s="6" t="inlineStr">
        <is>
          <t>Abiye bir iyilik borcun vardı. Abi bugün onu hatırlatmadı; bu daha kötü.</t>
        </is>
      </c>
    </row>
    <row r="316">
      <c r="A316" s="5" t="inlineStr">
        <is>
          <t>b9-cete-kahvehane</t>
        </is>
      </c>
      <c r="B316" s="5" t="inlineStr">
        <is>
          <t>eski-hukumlu</t>
        </is>
      </c>
      <c r="C316" s="6" t="inlineStr">
        <is>
          <t>Hikâyelerinin bir kısmı koğuşta geçiyor. Gençler en çok onları seviyor.</t>
        </is>
      </c>
    </row>
    <row r="317">
      <c r="A317" s="5" t="inlineStr">
        <is>
          <t>b9-cete-kahvehane</t>
        </is>
      </c>
      <c r="B317" s="5" t="inlineStr">
        <is>
          <t>mahalle-babasi</t>
        </is>
      </c>
      <c r="C317" s="6" t="inlineStr">
        <is>
          <t>Mahalle babalığını bıraktın; mahalle seni bırakmadı.</t>
        </is>
      </c>
    </row>
    <row r="318">
      <c r="A318" s="5" t="inlineStr">
        <is>
          <t>b9-cete-kahvehane</t>
        </is>
      </c>
      <c r="B318" s="5" t="inlineStr">
        <is>
          <t>tefeci-defteri</t>
        </is>
      </c>
      <c r="C318" s="6" t="inlineStr">
        <is>
          <t>Eski defter hâlâ evde. Borçlular artık torunlarını gönderiyor; selam vermeye.</t>
        </is>
      </c>
    </row>
    <row r="319">
      <c r="A319" s="5" t="inlineStr">
        <is>
          <t>b7-dolandirici-ilan</t>
        </is>
      </c>
      <c r="B319" s="5" t="inlineStr">
        <is>
          <t>ilkKelimePara</t>
        </is>
      </c>
      <c r="C319" s="6" t="inlineStr">
        <is>
          <t>İlk kelimen “Para”ydı. Bu ilan o kelimenin devamı.</t>
        </is>
      </c>
    </row>
    <row r="320">
      <c r="A320" s="5" t="inlineStr">
        <is>
          <t>b7-dolandirici-ilan</t>
        </is>
      </c>
      <c r="B320" s="5" t="inlineStr">
        <is>
          <t>kediSuclu</t>
        </is>
      </c>
      <c r="C320" s="6" t="inlineStr">
        <is>
          <t>Vazoyu kediye yıkmıştın. Manzarayı yıkacak bir kedi henüz bulamadın.</t>
        </is>
      </c>
    </row>
    <row r="321">
      <c r="A321" s="5" t="inlineStr">
        <is>
          <t>b7-dolandirici-kurs</t>
        </is>
      </c>
      <c r="B321" s="5" t="inlineStr">
        <is>
          <t>yalanci</t>
        </is>
      </c>
      <c r="C321" s="6" t="inlineStr">
        <is>
          <t>Yaratıcı açıklamalar dosyan kabarık. Bu salon onun ciltli hâli.</t>
        </is>
      </c>
    </row>
    <row r="322">
      <c r="A322" s="5" t="inlineStr">
        <is>
          <t>b7-dolandirici-kulup</t>
        </is>
      </c>
      <c r="B322" s="5" t="inlineStr">
        <is>
          <t>ifsa-oldu</t>
        </is>
      </c>
      <c r="C322" s="6" t="inlineStr">
        <is>
          <t>Sesin bir zamanlar haber sitesindeydi. Üyelerden biri sesini bir yerden hatırlıyor gibi bakıyor.</t>
        </is>
      </c>
    </row>
    <row r="323">
      <c r="A323" s="5" t="inlineStr">
        <is>
          <t>b7-dolandirici-kulup</t>
        </is>
      </c>
      <c r="B323" s="5" t="inlineStr">
        <is>
          <t>kolay-para-gurusu</t>
        </is>
      </c>
      <c r="C323" s="6" t="inlineStr">
        <is>
          <t>Kulübün yarısı akademi mezunu. Hepsi sana “Hocam” diyor; hepsi soru soruyor.</t>
        </is>
      </c>
    </row>
    <row r="324">
      <c r="A324" s="5" t="inlineStr">
        <is>
          <t>b8-dolandirici-kitap</t>
        </is>
      </c>
      <c r="B324" s="5" t="inlineStr">
        <is>
          <t>kolay-para-gurusu</t>
        </is>
      </c>
      <c r="C324" s="6" t="inlineStr">
        <is>
          <t>Akademinin salonları kitabın ilk okurları. Hepsi yedinci bölümü sormak için sırada.</t>
        </is>
      </c>
    </row>
    <row r="325">
      <c r="A325" s="5" t="inlineStr">
        <is>
          <t>b8-dolandirici-mektup</t>
        </is>
      </c>
      <c r="B325" s="5" t="inlineStr">
        <is>
          <t>vicdan-sesi</t>
        </is>
      </c>
      <c r="C325" s="6" t="inlineStr">
        <is>
          <t>O gün telefonu kapatmıştın. Öğretmen bunu unutmamış.</t>
        </is>
      </c>
    </row>
    <row r="326">
      <c r="A326" s="5" t="inlineStr">
        <is>
          <t>b8-dolandirici-mektup</t>
        </is>
      </c>
      <c r="B326" s="5" t="inlineStr">
        <is>
          <t>paralari-iade</t>
        </is>
      </c>
      <c r="C326" s="6" t="inlineStr">
        <is>
          <t>Bir zamanlar paraları geri ödemiştin. Öğretmen bunu da duymuş.</t>
        </is>
      </c>
    </row>
    <row r="327">
      <c r="A327" s="5" t="inlineStr">
        <is>
          <t>b9-dolandirici-son-numara</t>
        </is>
      </c>
      <c r="B327" s="5" t="inlineStr">
        <is>
          <t>paralari-iade</t>
        </is>
      </c>
      <c r="C327" s="6" t="inlineStr">
        <is>
          <t>Yıllar önce paraları geri ödemiştin. Banktakilerden biri o paralardan birini çerçevede saklıyor.</t>
        </is>
      </c>
    </row>
    <row r="328">
      <c r="A328" s="5" t="inlineStr">
        <is>
          <t>b9-dolandirici-son-numara</t>
        </is>
      </c>
      <c r="B328" s="5" t="inlineStr">
        <is>
          <t>eski-hukumlu</t>
        </is>
      </c>
      <c r="C328" s="6" t="inlineStr">
        <is>
          <t>Emekliler koğuş hikâyeni biliyor; sana “Hocam” değil, “Üstat” diyorlar.</t>
        </is>
      </c>
    </row>
    <row r="329">
      <c r="A329" s="5" t="inlineStr">
        <is>
          <t>b9-dolandirici-son-numara</t>
        </is>
      </c>
      <c r="B329" s="5" t="inlineStr">
        <is>
          <t>kolay-para-gurusu</t>
        </is>
      </c>
      <c r="C329" s="6" t="inlineStr">
        <is>
          <t>Kremi satan, akademinin eski öğrencilerinden. Tanıdın; sen öğretmiştin.</t>
        </is>
      </c>
    </row>
    <row r="330">
      <c r="A330" s="5" t="inlineStr">
        <is>
          <t>k10-cete</t>
        </is>
      </c>
      <c r="B330" s="5" t="inlineStr">
        <is>
          <t>abiye-karsi-sigorta</t>
        </is>
      </c>
      <c r="C330" s="6" t="inlineStr">
        <is>
          <t>Kasadaki fotokopi hâlâ duruyor. Hangi yolu seçersen seç, cebinde bir koz var.</t>
        </is>
      </c>
    </row>
    <row r="331">
      <c r="A331" s="5" t="inlineStr">
        <is>
          <t>k10-cete</t>
        </is>
      </c>
      <c r="B331" s="5" t="inlineStr">
        <is>
          <t>komiser-tanidik</t>
        </is>
      </c>
      <c r="C331" s="6" t="inlineStr">
        <is>
          <t>Cüzdanındaki kartvizit hâlâ orada. Numara değişmemiş.</t>
        </is>
      </c>
    </row>
    <row r="332">
      <c r="A332" s="5" t="inlineStr">
        <is>
          <t>k10-dolandirici</t>
        </is>
      </c>
      <c r="B332" s="5" t="inlineStr">
        <is>
          <t>vicdan-sesi</t>
        </is>
      </c>
      <c r="C332" s="6" t="inlineStr">
        <is>
          <t>Bir telefonu kapatmayı bir kez bildin. Kapılardan biri hâlâ açık.</t>
        </is>
      </c>
    </row>
    <row r="333">
      <c r="A333" s="5" t="inlineStr">
        <is>
          <t>k10-dolandirici</t>
        </is>
      </c>
      <c r="B333" s="5" t="inlineStr">
        <is>
          <t>ifsa-oldu</t>
        </is>
      </c>
      <c r="C333" s="6" t="inlineStr">
        <is>
          <t>Sesin bir haber sitesinde duruyor. Havalimanındaki anonsu okuyan ses de ona benziyor.</t>
        </is>
      </c>
    </row>
    <row r="334">
      <c r="A334" s="5" t="inlineStr">
        <is>
          <t>b7-hapis-gorus-gunu</t>
        </is>
      </c>
      <c r="B334" s="5" t="inlineStr">
        <is>
          <t>evli</t>
        </is>
      </c>
      <c r="C334" s="6" t="inlineStr">
        <is>
          <t>Eşin de gelmiş; kumandanın pilinin nerede olduğunu soruyor. Evde bunu yalnızca sen biliyordun.</t>
        </is>
      </c>
    </row>
    <row r="335">
      <c r="A335" s="5" t="inlineStr">
        <is>
          <t>b7-hapis-gorus-gunu</t>
        </is>
      </c>
      <c r="B335" s="5" t="inlineStr">
        <is>
          <t>cocuklu</t>
        </is>
      </c>
      <c r="C335" s="6" t="inlineStr">
        <is>
          <t>Çocuğun bir resim yapmış: sen, bir çay bardağı ve bir pencere. Pencerede parmaklık yok; çizmeyi unutmuş.</t>
        </is>
      </c>
    </row>
    <row r="336">
      <c r="A336" s="5" t="inlineStr">
        <is>
          <t>b7-hapis-islah-kursu</t>
        </is>
      </c>
      <c r="B336" s="5" t="inlineStr">
        <is>
          <t>kolay-para-gurusu</t>
        </is>
      </c>
      <c r="C336" s="6" t="inlineStr">
        <is>
          <t>Kişisel gelişim hocası senin akademinin eski öğrencisi çıktı. Seni görünce kürsüden indi.</t>
        </is>
      </c>
    </row>
    <row r="337">
      <c r="A337" s="5" t="inlineStr">
        <is>
          <t>b7-cezaevi-kapisi</t>
        </is>
      </c>
      <c r="B337" s="5" t="inlineStr">
        <is>
          <t>islah-sertifikasi</t>
        </is>
      </c>
      <c r="C337" s="6" t="inlineStr">
        <is>
          <t>Islah kursundan bir sertifikan var. Çerçevelemeye değer mi, henüz bilmiyorsun.</t>
        </is>
      </c>
    </row>
    <row r="338">
      <c r="A338" s="5" t="inlineStr">
        <is>
          <t>b7-cezaevi-kapisi</t>
        </is>
      </c>
      <c r="B338" s="5" t="inlineStr">
        <is>
          <t>kogus-dostu</t>
        </is>
      </c>
      <c r="C338" s="6" t="inlineStr">
        <is>
          <t>Koğuştan tavla rakibin kapıya kadar geçirdi: “Dışarıda da oynarız.”</t>
        </is>
      </c>
    </row>
    <row r="339">
      <c r="A339" s="5" t="inlineStr">
        <is>
          <t>b8-hapis-gorus-gunu</t>
        </is>
      </c>
      <c r="B339" s="5" t="inlineStr">
        <is>
          <t>evli</t>
        </is>
      </c>
      <c r="C339" s="6" t="inlineStr">
        <is>
          <t>Eşin yine gelmiş. Kumandanın pili hâlâ bulunamadı; artık bir aile efsanesi.</t>
        </is>
      </c>
    </row>
    <row r="340">
      <c r="A340" s="5" t="inlineStr">
        <is>
          <t>b8-hapis-gorus-gunu</t>
        </is>
      </c>
      <c r="B340" s="5" t="inlineStr">
        <is>
          <t>cocuklu</t>
        </is>
      </c>
      <c r="C340" s="6" t="inlineStr">
        <is>
          <t>Çocuğun büyümüş; artık o sana nasihat ediyor. Dinliyorsun; ahize tek, başka seçenek yok.</t>
        </is>
      </c>
    </row>
    <row r="341">
      <c r="A341" s="5" t="inlineStr">
        <is>
          <t>b8-cezaevi-kapisi</t>
        </is>
      </c>
      <c r="B341" s="5" t="inlineStr">
        <is>
          <t>islah-sertifikasi</t>
        </is>
      </c>
      <c r="C341" s="6" t="inlineStr">
        <is>
          <t>Islah kursunun sertifikası poşetin en üstünde. Yıllar içinde biraz sararmış.</t>
        </is>
      </c>
    </row>
    <row r="342">
      <c r="A342" s="5" t="inlineStr">
        <is>
          <t>b8-cezaevi-kapisi</t>
        </is>
      </c>
      <c r="B342" s="5" t="inlineStr">
        <is>
          <t>kogus-dostu</t>
        </is>
      </c>
      <c r="C342" s="6" t="inlineStr">
        <is>
          <t>Tavla rakibin kapıda seni uğurladı: “Nuriye'ye iyi bak.”</t>
        </is>
      </c>
    </row>
    <row r="343">
      <c r="A343" s="5" t="inlineStr">
        <is>
          <t>b9-cezaevi-kapisi</t>
        </is>
      </c>
      <c r="B343" s="5" t="inlineStr">
        <is>
          <t>kogus-dostu</t>
        </is>
      </c>
      <c r="C343" s="6" t="inlineStr">
        <is>
          <t>Koğuştaki tavla rakibin senden önce çıkmış. Kapıda bekliyor; elinde iki çay.</t>
        </is>
      </c>
    </row>
    <row r="344">
      <c r="A344" s="5" t="inlineStr">
        <is>
          <t>b7-sohret-taninma</t>
        </is>
      </c>
      <c r="B344" s="5" t="inlineStr">
        <is>
          <t>sohret-donus</t>
        </is>
      </c>
      <c r="C344" s="6" t="inlineStr">
        <is>
          <t>Skandaldan sonra sessizce geri dönmüştün; teyzeler de dönmüş.</t>
        </is>
      </c>
    </row>
    <row r="345">
      <c r="A345" s="5" t="inlineStr">
        <is>
          <t>b7-sohret-taninma</t>
        </is>
      </c>
      <c r="B345" s="5" t="inlineStr">
        <is>
          <t>sohret-dizi-rolu</t>
        </is>
      </c>
      <c r="C345" s="6" t="inlineStr">
        <is>
          <t>Akşam kuşağındaki ilk rolün hâlâ tekrarlarda oynuyor.</t>
        </is>
      </c>
    </row>
    <row r="346">
      <c r="A346" s="5" t="inlineStr">
        <is>
          <t>b8-sohret-kapak</t>
        </is>
      </c>
      <c r="B346" s="5" t="inlineStr">
        <is>
          <t>sohret-reklam-yuzu</t>
        </is>
      </c>
      <c r="C346" s="6" t="inlineStr">
        <is>
          <t>Deterjan reklamından tanıyanlar kapakta da leke arıyor.</t>
        </is>
      </c>
    </row>
    <row r="347">
      <c r="A347" s="5" t="inlineStr">
        <is>
          <t>b8-sohret-kapak</t>
        </is>
      </c>
      <c r="B347" s="5" t="inlineStr">
        <is>
          <t>evli</t>
        </is>
      </c>
      <c r="C347" s="6" t="inlineStr">
        <is>
          <t>Eşinin tek şartı var: “Beni ‘sürpriz aşk’ diye yazmasınlar.”</t>
        </is>
      </c>
    </row>
    <row r="348">
      <c r="A348" s="5" t="inlineStr">
        <is>
          <t>b8-sohret-kapak</t>
        </is>
      </c>
      <c r="B348" s="5" t="inlineStr">
        <is>
          <t>cocuklu</t>
        </is>
      </c>
      <c r="C348" s="6" t="inlineStr">
        <is>
          <t>Çocuğun okulda göstermek için imzalı bir kapak istedi.</t>
        </is>
      </c>
    </row>
    <row r="349">
      <c r="A349" s="5" t="inlineStr">
        <is>
          <t>b8-sohret-program</t>
        </is>
      </c>
      <c r="B349" s="5" t="inlineStr">
        <is>
          <t>eski-hukumlu</t>
        </is>
      </c>
      <c r="C349" s="6" t="inlineStr">
        <is>
          <t>Hapishane anıların kitap olmuştu; kanal o kitap yüzünden aradı.</t>
        </is>
      </c>
    </row>
    <row r="350">
      <c r="A350" s="5" t="inlineStr">
        <is>
          <t>b8-sohret-program</t>
        </is>
      </c>
      <c r="B350" s="5" t="inlineStr">
        <is>
          <t>sohret-kapak-oldu</t>
        </is>
      </c>
      <c r="C350" s="6" t="inlineStr">
        <is>
          <t>Magazin kapağındaki fotoğrafın programın afişine de kondu.</t>
        </is>
      </c>
    </row>
    <row r="351">
      <c r="A351" s="5" t="inlineStr">
        <is>
          <t>b7-girisim-garaj</t>
        </is>
      </c>
      <c r="B351" s="5" t="inlineStr">
        <is>
          <t>bolum-muhendislik</t>
        </is>
      </c>
      <c r="C351" s="6" t="inlineStr">
        <is>
          <t>Mühendislik diplomanı garajın duvarına astın; nemden kıvrıldı.</t>
        </is>
      </c>
    </row>
    <row r="352">
      <c r="A352" s="5" t="inlineStr">
        <is>
          <t>b7-girisim-garaj</t>
        </is>
      </c>
      <c r="B352" s="5" t="inlineStr">
        <is>
          <t>bolum-isletme</t>
        </is>
      </c>
      <c r="C352" s="6" t="inlineStr">
        <is>
          <t>İşletme bölümünde iş planı dersini pekiyiyle geçmiştin; plan garajı öngörmüyordu.</t>
        </is>
      </c>
    </row>
    <row r="353">
      <c r="A353" s="5" t="inlineStr">
        <is>
          <t>b7-girisim-garaj</t>
        </is>
      </c>
      <c r="B353" s="5" t="inlineStr">
        <is>
          <t>teneffus-tuccari</t>
        </is>
      </c>
      <c r="C353" s="6" t="inlineStr">
        <is>
          <t>Teneffüste de ilk sermayen bir sırt çantasıydı. Şimdi bir garaj; büyüme var.</t>
        </is>
      </c>
    </row>
    <row r="354">
      <c r="A354" s="5" t="inlineStr">
        <is>
          <t>b7-girisim-pivot</t>
        </is>
      </c>
      <c r="B354" s="5" t="inlineStr">
        <is>
          <t>girisim-ilk-musteri</t>
        </is>
      </c>
      <c r="C354" s="6" t="inlineStr">
        <is>
          <t>İlk müşterin kırtasiyeci hâlâ seninle; kalemle ödemeye devam ediyor.</t>
        </is>
      </c>
    </row>
    <row r="355">
      <c r="A355" s="5" t="inlineStr">
        <is>
          <t>b7-girisim-ekosistem</t>
        </is>
      </c>
      <c r="B355" s="5" t="inlineStr">
        <is>
          <t>holding</t>
        </is>
      </c>
      <c r="C355" s="6" t="inlineStr">
        <is>
          <t>Yatırım turunda büyümeyi seçmiştin; şirketin artık bir grup.</t>
        </is>
      </c>
    </row>
    <row r="356">
      <c r="A356" s="5" t="inlineStr">
        <is>
          <t>b7-girisim-ekosistem</t>
        </is>
      </c>
      <c r="B356" s="5" t="inlineStr">
        <is>
          <t>sirketi-satti</t>
        </is>
      </c>
      <c r="C356" s="6" t="inlineStr">
        <is>
          <t>Şirketini satmıştın; kartvizitinde “seri girişimci” yazıyor, seri şimdilik bir.</t>
        </is>
      </c>
    </row>
    <row r="357">
      <c r="A357" s="5" t="inlineStr">
        <is>
          <t>b7-girisim-ekosistem</t>
        </is>
      </c>
      <c r="B357" s="5" t="inlineStr">
        <is>
          <t>borclu</t>
        </is>
      </c>
      <c r="C357" s="6" t="inlineStr">
        <is>
          <t>Borçların da buluşmaya gelmiş; ön sırada oturuyorlar.</t>
        </is>
      </c>
    </row>
    <row r="358">
      <c r="A358" s="5" t="inlineStr">
        <is>
          <t>b8-girisim-kurul</t>
        </is>
      </c>
      <c r="B358" s="5" t="inlineStr">
        <is>
          <t>girisim-pivotcu</t>
        </is>
      </c>
      <c r="C358" s="6" t="inlineStr">
        <is>
          <t>Yıllar önce bir gecede pivot yapmıştın; kurul hâlâ bir tane daha bekliyor.</t>
        </is>
      </c>
    </row>
    <row r="359">
      <c r="A359" s="5" t="inlineStr">
        <is>
          <t>b8-girisim-kurul</t>
        </is>
      </c>
      <c r="B359" s="5" t="inlineStr">
        <is>
          <t>holding</t>
        </is>
      </c>
      <c r="C359" s="6" t="inlineStr">
        <is>
          <t>Şirketin artık bir grup; kurul toplantısı üç gün sürüyor.</t>
        </is>
      </c>
    </row>
    <row r="360">
      <c r="A360" s="5" t="inlineStr">
        <is>
          <t>b8-girisim-kader</t>
        </is>
      </c>
      <c r="B360" s="5" t="inlineStr">
        <is>
          <t>borclu</t>
        </is>
      </c>
      <c r="C360" s="6" t="inlineStr">
        <is>
          <t>Borçların bu bankada senden önce tanınıyor.</t>
        </is>
      </c>
    </row>
    <row r="361">
      <c r="A361" s="5" t="inlineStr">
        <is>
          <t>b9-girisim-nasihat</t>
        </is>
      </c>
      <c r="B361" s="5" t="inlineStr">
        <is>
          <t>sirketi-satti</t>
        </is>
      </c>
      <c r="C361" s="6" t="inlineStr">
        <is>
          <t>Şirketini satalı yıllar oldu; kapıdaki adın hâlâ sökülmüş yerinden belli.</t>
        </is>
      </c>
    </row>
    <row r="362">
      <c r="A362" s="5" t="inlineStr">
        <is>
          <t>b9-girisim-nasihat</t>
        </is>
      </c>
      <c r="B362" s="5" t="inlineStr">
        <is>
          <t>girisim-ilk-musteri</t>
        </is>
      </c>
      <c r="C362" s="6" t="inlineStr">
        <is>
          <t>İlk müşterin kırtasiyeci salonda; kalemle alkışlıyor.</t>
        </is>
      </c>
    </row>
    <row r="363">
      <c r="A363" s="5" t="inlineStr">
        <is>
          <t>b7-politika-cay</t>
        </is>
      </c>
      <c r="B363" s="5" t="inlineStr">
        <is>
          <t>baskan</t>
        </is>
      </c>
      <c r="C363" s="6" t="inlineStr">
        <is>
          <t>Sınıf başkanlığında vaat ettiğin kantin indirimini hâlâ yapamadın; siyaset kaldığı yerden.</t>
        </is>
      </c>
    </row>
    <row r="364">
      <c r="A364" s="5" t="inlineStr">
        <is>
          <t>b7-politika-cay</t>
        </is>
      </c>
      <c r="B364" s="5" t="inlineStr">
        <is>
          <t>okul-temsilcisi</t>
        </is>
      </c>
      <c r="C364" s="6" t="inlineStr">
        <is>
          <t>Okul temsilciliğinden kalma bir alışkanlık: her toplantıda ilk sen el kaldırıyorsun.</t>
        </is>
      </c>
    </row>
    <row r="365">
      <c r="A365" s="5" t="inlineStr">
        <is>
          <t>b7-politika-cay</t>
        </is>
      </c>
      <c r="B365" s="5" t="inlineStr">
        <is>
          <t>polis-surgun</t>
        </is>
      </c>
      <c r="C365" s="6" t="inlineStr">
        <is>
          <t>Emniyetteki sürgün dosyan, parti dosyanda “saha tecrübesi” diye geçiyor.</t>
        </is>
      </c>
    </row>
    <row r="366">
      <c r="A366" s="5" t="inlineStr">
        <is>
          <t>b7-politika-kaldirim</t>
        </is>
      </c>
      <c r="B366" s="5" t="inlineStr">
        <is>
          <t>parti-il-yoneticisi</t>
        </is>
      </c>
      <c r="C366" s="6" t="inlineStr">
        <is>
          <t>Semaver günlerinden kalan il yöneticiliğin adaylıkta işine yarıyor.</t>
        </is>
      </c>
    </row>
    <row r="367">
      <c r="A367" s="5" t="inlineStr">
        <is>
          <t>b7-politika-kaldirim</t>
        </is>
      </c>
      <c r="B367" s="5" t="inlineStr">
        <is>
          <t>komiser-tanidik</t>
        </is>
      </c>
      <c r="C367" s="6" t="inlineStr">
        <is>
          <t>Tanıdık komiser, kaldırımın kırk yıllık hikâyesini senden iyi biliyor.</t>
        </is>
      </c>
    </row>
    <row r="368">
      <c r="A368" s="5" t="inlineStr">
        <is>
          <t>b8-politika-otobus</t>
        </is>
      </c>
      <c r="B368" s="5" t="inlineStr">
        <is>
          <t>eski-hukumlu</t>
        </is>
      </c>
      <c r="C368" s="6" t="inlineStr">
        <is>
          <t>Hapisten çıkıp siyasete girmiştin; afişteki o hafif gülümseme oradan kalma.</t>
        </is>
      </c>
    </row>
    <row r="369">
      <c r="A369" s="5" t="inlineStr">
        <is>
          <t>b8-politika-otobus</t>
        </is>
      </c>
      <c r="B369" s="5" t="inlineStr">
        <is>
          <t>meclis-uyesi</t>
        </is>
      </c>
      <c r="C369" s="6" t="inlineStr">
        <is>
          <t>Meclis üyeliğinden kalan o kaldırım, rotanın ilk durağı.</t>
        </is>
      </c>
    </row>
    <row r="370">
      <c r="A370" s="5" t="inlineStr">
        <is>
          <t>b8-politika-tartisma</t>
        </is>
      </c>
      <c r="B370" s="5" t="inlineStr">
        <is>
          <t>belediye-baskani</t>
        </is>
      </c>
      <c r="C370" s="6" t="inlineStr">
        <is>
          <t>Başkanken yaptırdığın ilk kavşak, bu gecenin ta kendisi.</t>
        </is>
      </c>
    </row>
    <row r="371">
      <c r="A371" s="5" t="inlineStr">
        <is>
          <t>b8-politika-kurdele</t>
        </is>
      </c>
      <c r="B371" s="5" t="inlineStr">
        <is>
          <t>ihaleci</t>
        </is>
      </c>
      <c r="C371" s="6" t="inlineStr">
        <is>
          <t>Çeşmeyi yapan firmayı seçim gecesinden tanıyorsun; biraz fazla iyi.</t>
        </is>
      </c>
    </row>
    <row r="372">
      <c r="A372" s="5" t="inlineStr">
        <is>
          <t>b8-politika-kurdele</t>
        </is>
      </c>
      <c r="B372" s="5" t="inlineStr">
        <is>
          <t>secim-kazandi</t>
        </is>
      </c>
      <c r="C372" s="6" t="inlineStr">
        <is>
          <t>Seçim gecesi son mitingin işe yaramıştı; artık Makarya Meclisi'ndesin.</t>
        </is>
      </c>
    </row>
    <row r="373">
      <c r="A373" s="5" t="inlineStr">
        <is>
          <t>b9-politika-ani</t>
        </is>
      </c>
      <c r="B373" s="5" t="inlineStr">
        <is>
          <t>belediye-baskani</t>
        </is>
      </c>
      <c r="C373" s="6" t="inlineStr">
        <is>
          <t>Belediye başkanlığı dönemin kitabın en kalın bölümü.</t>
        </is>
      </c>
    </row>
    <row r="374">
      <c r="A374" s="5" t="inlineStr">
        <is>
          <t>b9-politika-ani</t>
        </is>
      </c>
      <c r="B374" s="5" t="inlineStr">
        <is>
          <t>tv-tartismaci</t>
        </is>
      </c>
      <c r="C374" s="6" t="inlineStr">
        <is>
          <t>Gece yarısı tartışmalarından kalan bir cümle kitabın arka kapağına kondu.</t>
        </is>
      </c>
    </row>
    <row r="375">
      <c r="A375" s="5" t="inlineStr">
        <is>
          <t>b9-politika-ani</t>
        </is>
      </c>
      <c r="B375" s="5" t="inlineStr">
        <is>
          <t>ihaleci</t>
        </is>
      </c>
      <c r="C375" s="6" t="inlineStr">
        <is>
          <t>Seçim gecesindeki ihale bölümünü yayınevinin avukatı üç kez okudu, sonra çıkardı.</t>
        </is>
      </c>
    </row>
    <row r="376">
      <c r="A376" s="5" t="inlineStr">
        <is>
          <t>b9-politika-kahve</t>
        </is>
      </c>
      <c r="B376" s="5" t="inlineStr">
        <is>
          <t>meclis-uyesi</t>
        </is>
      </c>
      <c r="C376" s="6" t="inlineStr">
        <is>
          <t>Yıllar önce vaat ettiğin kaldırım hâlâ gündemde; artık başkası vaat ediyor.</t>
        </is>
      </c>
    </row>
    <row r="377">
      <c r="A377" s="5" t="inlineStr">
        <is>
          <t>b7-goc-oturma-izni</t>
        </is>
      </c>
      <c r="B377" s="5" t="inlineStr">
        <is>
          <t>hat-hekim</t>
        </is>
      </c>
      <c r="C377" s="6" t="inlineStr">
        <is>
          <t>Diploma denklik dosyan da aynı masada. Memur iki dosyayı tarttı; hekiminki ağır geldi, önce onu aldı.</t>
        </is>
      </c>
    </row>
    <row r="378">
      <c r="A378" s="5" t="inlineStr">
        <is>
          <t>b7-goc-oturma-izni</t>
        </is>
      </c>
      <c r="B378" s="5" t="inlineStr">
        <is>
          <t>yabanci-dil</t>
        </is>
      </c>
      <c r="C378" s="6" t="inlineStr">
        <is>
          <t>Dili iyi konuştuğunu fark eden memur daha hızlı konuşmaya başladı.</t>
        </is>
      </c>
    </row>
    <row r="379">
      <c r="A379" s="5" t="inlineStr">
        <is>
          <t>b7-goc-akrabalar</t>
        </is>
      </c>
      <c r="B379" s="5" t="inlineStr">
        <is>
          <t>hat-hekim</t>
        </is>
      </c>
      <c r="C379" s="6" t="inlineStr">
        <is>
          <t>Sofraya oturur oturmaz teyzen dizini gösterdi. Doktor olduğun için tatil fiilen bitti.</t>
        </is>
      </c>
    </row>
    <row r="380">
      <c r="A380" s="5" t="inlineStr">
        <is>
          <t>b7-goc-bayram-sofrasi</t>
        </is>
      </c>
      <c r="B380" s="5" t="inlineStr">
        <is>
          <t>cocuklu</t>
        </is>
      </c>
      <c r="C380" s="6" t="inlineStr">
        <is>
          <t>Çocukların bayram mesajını Öte Diyar dilinde yazdı. Deden telefonu sana uzattı: “Bunu bir çevir.”</t>
        </is>
      </c>
    </row>
    <row r="381">
      <c r="A381" s="5" t="inlineStr">
        <is>
          <t>b7-goc-bayram-sofrasi</t>
        </is>
      </c>
      <c r="B381" s="5" t="inlineStr">
        <is>
          <t>ote-diyar-vatandasi</t>
        </is>
      </c>
      <c r="C381" s="6" t="inlineStr">
        <is>
          <t>Yeni pasaportun çekmecede. Bayramda ilk kez iki ülkede birden ev sahibisin.</t>
        </is>
      </c>
    </row>
    <row r="382">
      <c r="A382" s="5" t="inlineStr">
        <is>
          <t>k10-goc</t>
        </is>
      </c>
      <c r="B382" s="5" t="inlineStr">
        <is>
          <t>hat-hekim</t>
        </is>
      </c>
      <c r="C382" s="6" t="inlineStr">
        <is>
          <t>Başhekim, vatandaş olursan kadroya alınabileceğini söyledi. Nöbet listende adın zaten kalıcı.</t>
        </is>
      </c>
    </row>
    <row r="383">
      <c r="A383" s="5" t="inlineStr">
        <is>
          <t>k10-goc</t>
        </is>
      </c>
      <c r="B383" s="5" t="inlineStr">
        <is>
          <t>memlekette-ev</t>
        </is>
      </c>
      <c r="C383" s="6" t="inlineStr">
        <is>
          <t>Memleketteki evin anahtarı annende. Annen “Perdeler hazır” diye mesaj attı.</t>
        </is>
      </c>
    </row>
    <row r="384">
      <c r="A384" s="5" t="inlineStr">
        <is>
          <t>b8-goc-dil-okulu</t>
        </is>
      </c>
      <c r="B384" s="5" t="inlineStr">
        <is>
          <t>cocuklu</t>
        </is>
      </c>
      <c r="C384" s="6" t="inlineStr">
        <is>
          <t>Sınıftaki çocuklardan biri senin. Ödevini Öte Diyar dilinde yazıp “Babam çevirir” dedi.</t>
        </is>
      </c>
    </row>
    <row r="385">
      <c r="A385" s="5" t="inlineStr">
        <is>
          <t>b8-goc-donsem-mi</t>
        </is>
      </c>
      <c r="B385" s="5" t="inlineStr">
        <is>
          <t>evli</t>
        </is>
      </c>
      <c r="C385" s="6" t="inlineStr">
        <is>
          <t>Eşin bu soruya artık cevap vermiyor; sadece çayını tazeliyor.</t>
        </is>
      </c>
    </row>
    <row r="386">
      <c r="A386" s="5" t="inlineStr">
        <is>
          <t>b8-goc-donsem-mi</t>
        </is>
      </c>
      <c r="B386" s="5" t="inlineStr">
        <is>
          <t>hat-hekim</t>
        </is>
      </c>
      <c r="C386" s="6" t="inlineStr">
        <is>
          <t>Memleketteki bir hastane seni başhekim yardımcılığına çağırdı. Mektupta adın iki farklı yazılmış.</t>
        </is>
      </c>
    </row>
    <row r="387">
      <c r="A387" s="5" t="inlineStr">
        <is>
          <t>b9-goc-iki-dilde-emeklilik</t>
        </is>
      </c>
      <c r="B387" s="5" t="inlineStr">
        <is>
          <t>gurbet-ogretmeni</t>
        </is>
      </c>
      <c r="C387" s="6" t="inlineStr">
        <is>
          <t>Hafta sonu okulundaki çocuklardan biri bu kurumda memur. Dosyanı görünce “Hocam!” dedi, memleket dilinde.</t>
        </is>
      </c>
    </row>
    <row r="388">
      <c r="A388" s="5" t="inlineStr">
        <is>
          <t>b9-goc-iki-dilde-emeklilik</t>
        </is>
      </c>
      <c r="B388" s="5" t="inlineStr">
        <is>
          <t>donuse-hazir</t>
        </is>
      </c>
      <c r="C388" s="6" t="inlineStr">
        <is>
          <t>Memleketteki ev boyalı, erik ağacı budanmış. Bekleyen bir tek sensin.</t>
        </is>
      </c>
    </row>
    <row r="389">
      <c r="A389" s="5" t="inlineStr">
        <is>
          <t>b9-goc-iki-dilde-emeklilik</t>
        </is>
      </c>
      <c r="B389" s="5" t="inlineStr">
        <is>
          <t>ote-diyar-vatandasi</t>
        </is>
      </c>
      <c r="C389" s="6" t="inlineStr">
        <is>
          <t>İki pasaportun var; ikisi aynı çekmecede, ikisinin de süresi bitmek üzere.</t>
        </is>
      </c>
    </row>
    <row r="390">
      <c r="A390" s="5" t="inlineStr">
        <is>
          <t>b7-koy-sehirliler</t>
        </is>
      </c>
      <c r="B390" s="5" t="inlineStr">
        <is>
          <t>koy-fenomeni</t>
        </is>
      </c>
      <c r="C390" s="6" t="inlineStr">
        <is>
          <t>Takipçilerin horozu tanıyor. Biri horoza hayran mektubu yazdı; şehirlilerin tabelasından daha kibar.</t>
        </is>
      </c>
    </row>
    <row r="391">
      <c r="A391" s="5" t="inlineStr">
        <is>
          <t>k10-koy</t>
        </is>
      </c>
      <c r="B391" s="5" t="inlineStr">
        <is>
          <t>kahvede-sozu-var</t>
        </is>
      </c>
      <c r="C391" s="6" t="inlineStr">
        <is>
          <t>Barıştırdığın iki üye kahvede senin masana oturuyor. Masan köyün en kalabalık masası.</t>
        </is>
      </c>
    </row>
    <row r="392">
      <c r="A392" s="5" t="inlineStr">
        <is>
          <t>k10-koy</t>
        </is>
      </c>
      <c r="B392" s="5" t="inlineStr">
        <is>
          <t>kooperatif-defteri</t>
        </is>
      </c>
      <c r="C392" s="6" t="inlineStr">
        <is>
          <t>Kooperatifin defteri hâlâ sende. Kimin ne kadar süt verdiğini köyde en iyi sen biliyorsun.</t>
        </is>
      </c>
    </row>
    <row r="393">
      <c r="A393" s="5" t="inlineStr">
        <is>
          <t>b8-koy-muhtarlik-secimi</t>
        </is>
      </c>
      <c r="B393" s="5" t="inlineStr">
        <is>
          <t>muhtar</t>
        </is>
      </c>
      <c r="C393" s="6" t="inlineStr">
        <is>
          <t>Dört yıldır muhtarsın. Mührün kenarı aşındı; köy bunu bir icraat sayıyor.</t>
        </is>
      </c>
    </row>
    <row r="394">
      <c r="A394" s="5" t="inlineStr">
        <is>
          <t>b8-koy-muhtarlik-secimi</t>
        </is>
      </c>
      <c r="B394" s="5" t="inlineStr">
        <is>
          <t>kahvede-sozu-var</t>
        </is>
      </c>
      <c r="C394" s="6" t="inlineStr">
        <is>
          <t>Barıştırdığın iki üye seçim masanın başında; biri çay taşıyor, öbürü oy sayıyor.</t>
        </is>
      </c>
    </row>
    <row r="395">
      <c r="A395" s="5" t="inlineStr">
        <is>
          <t>b8-koy-unlu-koylu</t>
        </is>
      </c>
      <c r="B395" s="5" t="inlineStr">
        <is>
          <t>koy-fenomeni</t>
        </is>
      </c>
      <c r="C395" s="6" t="inlineStr">
        <is>
          <t>Yönetmen seni tanıdı: “Keçili adam!” Ekip önce seninle fotoğraf çektirdi.</t>
        </is>
      </c>
    </row>
    <row r="396">
      <c r="A396" s="5" t="inlineStr">
        <is>
          <t>b8-koy-unlu-koylu</t>
        </is>
      </c>
      <c r="B396" s="5" t="inlineStr">
        <is>
          <t>keci-dostu</t>
        </is>
      </c>
      <c r="C396" s="6" t="inlineStr">
        <is>
          <t>Lider keçi kameranın önüne senden önce yürüdü. Kurdelesini de kendisi seçmiş gibi duruyor.</t>
        </is>
      </c>
    </row>
    <row r="397">
      <c r="A397" s="5" t="inlineStr">
        <is>
          <t>b9-koy-cinarin-alti</t>
        </is>
      </c>
      <c r="B397" s="5" t="inlineStr">
        <is>
          <t>muhtar</t>
        </is>
      </c>
      <c r="C397" s="6" t="inlineStr">
        <is>
          <t>Eski mühür vitrinde duruyor. Yeni muhtar her kararından önce sana uğruyor; bazen de sonra.</t>
        </is>
      </c>
    </row>
    <row r="398">
      <c r="A398" s="5" t="inlineStr">
        <is>
          <t>b9-koy-cinarin-alti</t>
        </is>
      </c>
      <c r="B398" s="5" t="inlineStr">
        <is>
          <t>unlu-koylu</t>
        </is>
      </c>
      <c r="C398" s="6" t="inlineStr">
        <is>
          <t>Belgesel her yıl tekrar yayınlanıyor. Her yayından sonra bir otobüs şehirli çınarın altında seninle fotoğraf çektiriyor.</t>
        </is>
      </c>
    </row>
    <row r="399">
      <c r="A399" s="5" t="inlineStr">
        <is>
          <t>b7-usta-ilk-cirak</t>
        </is>
      </c>
      <c r="B399" s="5" t="inlineStr">
        <is>
          <t>esnaf-cirak</t>
        </is>
      </c>
      <c r="C399" s="6" t="inlineStr">
        <is>
          <t>Sen de çıraktın. Ustanın ilk sözü “Önce süpür” olmuştu; aynı süpürgeyi buldun.</t>
        </is>
      </c>
    </row>
    <row r="400">
      <c r="A400" s="5" t="inlineStr">
        <is>
          <t>b7-usta-karsi-dukkan</t>
        </is>
      </c>
      <c r="B400" s="5" t="inlineStr">
        <is>
          <t>usta-eli</t>
        </is>
      </c>
      <c r="C400" s="6" t="inlineStr">
        <is>
          <t>Ellerin cihazdan önce tanınıyor. Sanayide “Onun eli değsin” diyenler var.</t>
        </is>
      </c>
    </row>
    <row r="401">
      <c r="A401" s="5" t="inlineStr">
        <is>
          <t>b7-usta-sanayi-hakemi</t>
        </is>
      </c>
      <c r="B401" s="5" t="inlineStr">
        <is>
          <t>usta-buyudu</t>
        </is>
      </c>
      <c r="C401" s="6" t="inlineStr">
        <is>
          <t>Yeni sitedeki büyük dükkânın ikisinin de gözünde. Sözün artık metrekareyle ölçülüyor.</t>
        </is>
      </c>
    </row>
    <row r="402">
      <c r="A402" s="5" t="inlineStr">
        <is>
          <t>b7-usta-sanayi-hakemi</t>
        </is>
      </c>
      <c r="B402" s="5" t="inlineStr">
        <is>
          <t>usta-ciragi-var</t>
        </is>
      </c>
      <c r="C402" s="6" t="inlineStr">
        <is>
          <t>Çırağın ikisinin yanında da çalışmıştı. İkisinin de sırrını biliyor; sana söylemiyor.</t>
        </is>
      </c>
    </row>
    <row r="403">
      <c r="A403" s="5" t="inlineStr">
        <is>
          <t>k10-usta</t>
        </is>
      </c>
      <c r="B403" s="5" t="inlineStr">
        <is>
          <t>usta-ciragi-var</t>
        </is>
      </c>
      <c r="C403" s="6" t="inlineStr">
        <is>
          <t>Çırağın da kolileri topluyor. Hangi dükkâna gideceğini sana soruyor; sen de kendine.</t>
        </is>
      </c>
    </row>
    <row r="404">
      <c r="A404" s="5" t="inlineStr">
        <is>
          <t>k10-usta</t>
        </is>
      </c>
      <c r="B404" s="5" t="inlineStr">
        <is>
          <t>usta-eli</t>
        </is>
      </c>
      <c r="C404" s="6" t="inlineStr">
        <is>
          <t>Fabrikanın müdürü seni eski bir müşterisinden duymuş: “Eli değince araba susuyormuş.”</t>
        </is>
      </c>
    </row>
    <row r="405">
      <c r="A405" s="5" t="inlineStr">
        <is>
          <t>b8-usta-sessiz-motor</t>
        </is>
      </c>
      <c r="B405" s="5" t="inlineStr">
        <is>
          <t>usta-buyudu</t>
        </is>
      </c>
      <c r="C405" s="6" t="inlineStr">
        <is>
          <t>Yeni sitedeki dükkânında üç lift var; bu araba hiçbirine sığmadı, çok hafif.</t>
        </is>
      </c>
    </row>
    <row r="406">
      <c r="A406" s="5" t="inlineStr">
        <is>
          <t>b8-usta-ustalarin-ustasi</t>
        </is>
      </c>
      <c r="B406" s="5" t="inlineStr">
        <is>
          <t>usta-ciragi-var</t>
        </is>
      </c>
      <c r="C406" s="6" t="inlineStr">
        <is>
          <t>Bu, ilk çırağın. O zaman telefon elinden düşmüyordu; şimdi onun da bir çırağı var, telefonu elinden düşmüyor.</t>
        </is>
      </c>
    </row>
    <row r="407">
      <c r="A407" s="5" t="inlineStr">
        <is>
          <t>b8-usta-ustalarin-ustasi</t>
        </is>
      </c>
      <c r="B407" s="5" t="inlineStr">
        <is>
          <t>sanayi-hakemi</t>
        </is>
      </c>
      <c r="C407" s="6" t="inlineStr">
        <is>
          <t>Açılışa sitenin bütün ustaları geldi; park yerini kimse tartışmadı. Senin sayende.</t>
        </is>
      </c>
    </row>
    <row r="408">
      <c r="A408" s="5" t="inlineStr">
        <is>
          <t>b9-usta-son-kepenk</t>
        </is>
      </c>
      <c r="B408" s="5" t="inlineStr">
        <is>
          <t>ustalarin-ustasi</t>
        </is>
      </c>
      <c r="C408" s="6" t="inlineStr">
        <is>
          <t>Sanayideki ustaların yarısı senin elinden geçti. Arayanların bir kısmı müşteri değil; eski çırakların.</t>
        </is>
      </c>
    </row>
    <row r="409">
      <c r="A409" s="5" t="inlineStr">
        <is>
          <t>b9-usta-son-kepenk</t>
        </is>
      </c>
      <c r="B409" s="5" t="inlineStr">
        <is>
          <t>yeni-motor-ustasi</t>
        </is>
      </c>
      <c r="C409" s="6" t="inlineStr">
        <is>
          <t>Sessiz arabaların sesini de biliyorsun. Telefondaki en zor teşhisler onlar.</t>
        </is>
      </c>
    </row>
    <row r="410">
      <c r="A410" s="5" t="inlineStr">
        <is>
          <t>b7-erken-tahliye</t>
        </is>
      </c>
      <c r="B410" s="5" t="inlineStr">
        <is>
          <t>islah-sertifikasi</t>
        </is>
      </c>
      <c r="C410" s="6" t="inlineStr">
        <is>
          <t>Islah kursundan bir sertifikan var. Çerçevelemeye değer mi, henüz bilmiyorsun.</t>
        </is>
      </c>
    </row>
    <row r="411">
      <c r="A411" s="5" t="inlineStr">
        <is>
          <t>b7-erken-tahliye</t>
        </is>
      </c>
      <c r="B411" s="5" t="inlineStr">
        <is>
          <t>kogus-dostu</t>
        </is>
      </c>
      <c r="C411" s="6" t="inlineStr">
        <is>
          <t>Koğuştan tavla rakibin kapıya kadar geçirdi: “Dışarıda da oynarız.”</t>
        </is>
      </c>
    </row>
    <row r="412">
      <c r="A412" s="5" t="inlineStr">
        <is>
          <t>b8-erken-tahliye</t>
        </is>
      </c>
      <c r="B412" s="5" t="inlineStr">
        <is>
          <t>islah-sertifikasi</t>
        </is>
      </c>
      <c r="C412" s="6" t="inlineStr">
        <is>
          <t>Islah kursunun sertifikası poşetin en üstünde. Yıllar içinde biraz sararmış.</t>
        </is>
      </c>
    </row>
    <row r="413">
      <c r="A413" s="5" t="inlineStr">
        <is>
          <t>b8-erken-tahliye</t>
        </is>
      </c>
      <c r="B413" s="5" t="inlineStr">
        <is>
          <t>kogus-dostu</t>
        </is>
      </c>
      <c r="C413" s="6" t="inlineStr">
        <is>
          <t>Tavla rakibin kapıda seni uğurladı: “Nuriye'ye iyi bak.”</t>
        </is>
      </c>
    </row>
  </sheetData>
  <autoFilter ref="A1:C4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26" customWidth="1" min="3" max="3"/>
    <col width="14" customWidth="1" min="4" max="4"/>
  </cols>
  <sheetData>
    <row r="1" ht="32" customHeight="1">
      <c r="A1" s="4" t="inlineStr">
        <is>
          <t>Özellik</t>
        </is>
      </c>
      <c r="B1" s="4" t="inlineStr">
        <is>
          <t>Açıklama</t>
        </is>
      </c>
      <c r="C1" s="4" t="inlineStr">
        <is>
          <t>Bonus</t>
        </is>
      </c>
      <c r="D1" s="4" t="inlineStr">
        <is>
          <t>Otomatik stat</t>
        </is>
      </c>
    </row>
    <row r="2">
      <c r="A2" s="5" t="inlineStr">
        <is>
          <t>Hayat Arşivcisi</t>
        </is>
      </c>
      <c r="B2" s="6" t="inlineStr">
        <is>
          <t>Kimin neyi, ne zaman, hangi bayramda söylediğini tarih ve saatiyle hatırlarsın.</t>
        </is>
      </c>
      <c r="C2" s="5" t="inlineStr">
        <is>
          <t>Akıl +1, Sosyal Radar +1</t>
        </is>
      </c>
      <c r="D2" s="5" t="inlineStr"/>
    </row>
    <row r="3">
      <c r="A3" s="5" t="inlineStr">
        <is>
          <t>Balkon Müfettişi</t>
        </is>
      </c>
      <c r="B3" s="6" t="inlineStr">
        <is>
          <t>Sokakta olan hiçbir şey kayda geçmeden sonuçlanmaz.</t>
        </is>
      </c>
      <c r="C3" s="5" t="inlineStr">
        <is>
          <t>Sosyal Radar +2</t>
        </is>
      </c>
      <c r="D3" s="5" t="inlineStr"/>
    </row>
    <row r="4">
      <c r="A4" s="5" t="inlineStr">
        <is>
          <t>Son Sözü Söyler</t>
        </is>
      </c>
      <c r="B4" s="6" t="inlineStr">
        <is>
          <t>Masadaki her tartışma sende kapanır. Kimse itiraz edecek enerjiyi bulamaz.</t>
        </is>
      </c>
      <c r="C4" s="5" t="inlineStr">
        <is>
          <t>Çene +1, Pişkinlik +1</t>
        </is>
      </c>
      <c r="D4" s="5" t="inlineStr"/>
    </row>
    <row r="5">
      <c r="A5" s="5" t="inlineStr">
        <is>
          <t>Ekran Yerlisi</t>
        </is>
      </c>
      <c r="B5" s="6" t="inlineStr">
        <is>
          <t>Her uygulamanın ayarlar menüsünü ailenden iyi bilirsin. Ailen de bunu bilir, ama hangi ayarı bilmez.</t>
        </is>
      </c>
      <c r="C5" s="5" t="inlineStr">
        <is>
          <t>Kurnazlık +1, Sosyal Radar +1</t>
        </is>
      </c>
      <c r="D5" s="5" t="inlineStr"/>
    </row>
    <row r="6">
      <c r="A6" s="5" t="inlineStr">
        <is>
          <t>Grup Diplomatı</t>
        </is>
      </c>
      <c r="B6" s="6" t="inlineStr">
        <is>
          <t>Mesaj grubunda bir şey yazmadan önce üç kez okursun. Dördüncüde silersin.</t>
        </is>
      </c>
      <c r="C6" s="5" t="inlineStr">
        <is>
          <t>Sosyal Radar +1, Çene +1</t>
        </is>
      </c>
      <c r="D6" s="5" t="inlineStr"/>
    </row>
    <row r="7">
      <c r="A7" s="5" t="inlineStr">
        <is>
          <t>Kantin Ekonomisti</t>
        </is>
      </c>
      <c r="B7" s="6" t="inlineStr">
        <is>
          <t>Tostla ayran arasındaki kâr marjını ezbere bilirsin.</t>
        </is>
      </c>
      <c r="C7" s="5" t="inlineStr">
        <is>
          <t>Kurnazlık +1, Çene +1</t>
        </is>
      </c>
      <c r="D7" s="5" t="inlineStr"/>
    </row>
    <row r="8">
      <c r="A8" s="5" t="inlineStr">
        <is>
          <t>Grup Yöneticisi</t>
        </is>
      </c>
      <c r="B8" s="6" t="inlineStr">
        <is>
          <t>Mesaj gruplarını kurar, yönetir, gerektiğinde sessize alırsın.</t>
        </is>
      </c>
      <c r="C8" s="5" t="inlineStr">
        <is>
          <t>Sosyal Radar +1, Çene +1</t>
        </is>
      </c>
      <c r="D8" s="5" t="inlineStr"/>
    </row>
    <row r="9">
      <c r="A9" s="5" t="inlineStr">
        <is>
          <t>Deneme Kurdu</t>
        </is>
      </c>
      <c r="B9" s="6" t="inlineStr">
        <is>
          <t>Yüzlerce deneme sınavından sonra sınav salonu sana ikinci evin gibi gelir.</t>
        </is>
      </c>
      <c r="C9" s="5" t="inlineStr">
        <is>
          <t>Akıl +1, Dayanıklılık +1</t>
        </is>
      </c>
      <c r="D9" s="5" t="inlineStr"/>
    </row>
    <row r="10">
      <c r="A10" s="5" t="inlineStr">
        <is>
          <t>Kestirme Bilir</t>
        </is>
      </c>
      <c r="B10" s="6" t="inlineStr">
        <is>
          <t>Şehrin bütün arka sokaklarını, otopark geçişlerini ve açık kalan kapılarını bilirsin.</t>
        </is>
      </c>
      <c r="C10" s="5" t="inlineStr">
        <is>
          <t>Kurnazlık +1, Dayanıklılık +1</t>
        </is>
      </c>
      <c r="D10" s="5" t="inlineStr"/>
    </row>
    <row r="11">
      <c r="A11" s="5" t="inlineStr">
        <is>
          <t>Bütçe Tablocusu</t>
        </is>
      </c>
      <c r="B11" s="6" t="inlineStr">
        <is>
          <t>Her harcamanın bir hücresi var. Hücrelerin çoğu kırmızı.</t>
        </is>
      </c>
      <c r="C11" s="5" t="inlineStr">
        <is>
          <t>Akıl +1, Kurnazlık +1</t>
        </is>
      </c>
      <c r="D11" s="5" t="inlineStr"/>
    </row>
    <row r="12">
      <c r="A12" s="5" t="inlineStr">
        <is>
          <t>Nöbet Disiplini</t>
        </is>
      </c>
      <c r="B12" s="6" t="inlineStr">
        <is>
          <t>Saat üçte uyanık kalmayı bilirsin. Kimse sana nedenini sormaz.</t>
        </is>
      </c>
      <c r="C12" s="5" t="inlineStr">
        <is>
          <t>Dayanıklılık +2</t>
        </is>
      </c>
      <c r="D12" s="5" t="inlineStr"/>
    </row>
    <row r="13">
      <c r="A13" s="5" t="inlineStr">
        <is>
          <t>Referans Mektubu</t>
        </is>
      </c>
      <c r="B13" s="6" t="inlineStr">
        <is>
          <t>Birileri senin hakkında iyi şeyler söylüyor. Bazıları seni gerçekten tanıyor.</t>
        </is>
      </c>
      <c r="C13" s="5" t="inlineStr">
        <is>
          <t>Çene +1, Sosyal Radar +1</t>
        </is>
      </c>
      <c r="D13" s="5" t="inlineStr"/>
    </row>
    <row r="14">
      <c r="A14" s="5" t="inlineStr">
        <is>
          <t>Kayınvalide Diplomatı</t>
        </is>
      </c>
      <c r="B14" s="6" t="inlineStr">
        <is>
          <t>İki aile arasında aynı cümleyi iki farklı anlamda kurabilirsin.</t>
        </is>
      </c>
      <c r="C14" s="5" t="inlineStr">
        <is>
          <t>Sosyal Radar +1, Çene +1</t>
        </is>
      </c>
      <c r="D14" s="5" t="inlineStr"/>
    </row>
    <row r="15">
      <c r="A15" s="5" t="inlineStr">
        <is>
          <t>Uykusuz Operasyon</t>
        </is>
      </c>
      <c r="B15" s="6" t="inlineStr">
        <is>
          <t>Üç saat uykuyla tam gün mesai yaparsın. Nasıl olduğunu kimse sormaz, sen de bilmiyorsun.</t>
        </is>
      </c>
      <c r="C15" s="5" t="inlineStr">
        <is>
          <t>Dayanıklılık +2</t>
        </is>
      </c>
      <c r="D15" s="5" t="inlineStr"/>
    </row>
    <row r="16">
      <c r="A16" s="5" t="inlineStr">
        <is>
          <t>Tablo Ustası</t>
        </is>
      </c>
      <c r="B16" s="6" t="inlineStr">
        <is>
          <t>Hayatındaki her kararın bir hesap tablosu var. Bazılarının grafiği de.</t>
        </is>
      </c>
      <c r="C16" s="5" t="inlineStr">
        <is>
          <t>Akıl +1, Kurnazlık +1</t>
        </is>
      </c>
      <c r="D16" s="5" t="inlineStr"/>
    </row>
    <row r="17">
      <c r="A17" s="5" t="inlineStr">
        <is>
          <t>Aidat Tahsildarı</t>
        </is>
      </c>
      <c r="B17" s="6" t="inlineStr">
        <is>
          <t>Kimin aidat borcu olduğunu merdivendeki ayak sesinden bilirsin.</t>
        </is>
      </c>
      <c r="C17" s="5" t="inlineStr">
        <is>
          <t>Çene +1, Kurnazlık +1</t>
        </is>
      </c>
      <c r="D17" s="5" t="inlineStr"/>
    </row>
    <row r="18">
      <c r="A18" s="5" t="inlineStr">
        <is>
          <t>Okuma Gözlüğü Otoritesi</t>
        </is>
      </c>
      <c r="B18" s="6" t="inlineStr">
        <is>
          <t>Gözlüğünün üstünden bakınca toplantılar kısalır.</t>
        </is>
      </c>
      <c r="C18" s="5" t="inlineStr">
        <is>
          <t>Akıl +1, Pişkinlik +1</t>
        </is>
      </c>
      <c r="D18" s="5" t="inlineStr"/>
    </row>
    <row r="19">
      <c r="A19" s="5" t="inlineStr">
        <is>
          <t>Aile Grubu Moderatörü</t>
        </is>
      </c>
      <c r="B19" s="6" t="inlineStr">
        <is>
          <t>Sahte haberi, iletilmeden önce yakalarsın.</t>
        </is>
      </c>
      <c r="C19" s="5" t="inlineStr">
        <is>
          <t>Sosyal Radar +1, İtibar +1</t>
        </is>
      </c>
      <c r="D19" s="5" t="inlineStr"/>
    </row>
    <row r="20">
      <c r="A20" s="5" t="inlineStr">
        <is>
          <t>Tavla Kurdu</t>
        </is>
      </c>
      <c r="B20" s="6" t="inlineStr">
        <is>
          <t>Zarın ne geleceğini bilmezsin ama rakibin ne yapacağını bilirsin.</t>
        </is>
      </c>
      <c r="C20" s="5" t="inlineStr">
        <is>
          <t>Kurnazlık +1, Pişkinlik +1</t>
        </is>
      </c>
      <c r="D20" s="5" t="inlineStr"/>
    </row>
    <row r="21">
      <c r="A21" s="5" t="inlineStr">
        <is>
          <t>Randevu Avcısı</t>
        </is>
      </c>
      <c r="B21" s="6" t="inlineStr">
        <is>
          <t>Gece yarısı açılan boş randevuyu ilk sen görürsün.</t>
        </is>
      </c>
      <c r="C21" s="5" t="inlineStr">
        <is>
          <t>Akıl +1, Dayanıklılık +1</t>
        </is>
      </c>
      <c r="D21" s="5" t="inlineStr"/>
    </row>
    <row r="22">
      <c r="A22" s="5" t="inlineStr">
        <is>
          <t>Bahçe Filozofu</t>
        </is>
      </c>
      <c r="B22" s="6" t="inlineStr">
        <is>
          <t>Domatesin büyümesini bekleyen insan her şeyi beklemeyi öğrenir.</t>
        </is>
      </c>
      <c r="C22" s="5" t="inlineStr">
        <is>
          <t>İtibar +1, Dayanıklılık +1</t>
        </is>
      </c>
      <c r="D22" s="5" t="inlineStr"/>
    </row>
    <row r="23">
      <c r="A23" s="5" t="inlineStr">
        <is>
          <t>Plaza Diplomatı</t>
        </is>
      </c>
      <c r="B23" s="6" t="inlineStr">
        <is>
          <t>Toplantıda tek kelime etmeden katkı sunmuş görünürsün.</t>
        </is>
      </c>
      <c r="C23" s="5" t="inlineStr">
        <is>
          <t>Sosyal Radar +1, Çene +1</t>
        </is>
      </c>
      <c r="D23" s="5" t="inlineStr"/>
    </row>
    <row r="24">
      <c r="A24" s="5" t="inlineStr">
        <is>
          <t>Sessize Alma Ustası</t>
        </is>
      </c>
      <c r="B24" s="6" t="inlineStr">
        <is>
          <t>Mikrofonun, kameran ve vicdanın gerektiğinde kapanır.</t>
        </is>
      </c>
      <c r="C24" s="5" t="inlineStr">
        <is>
          <t>Kurnazlık +1, Dayanıklılık +1</t>
        </is>
      </c>
      <c r="D24" s="5" t="inlineStr"/>
    </row>
    <row r="25">
      <c r="A25" s="5" t="inlineStr">
        <is>
          <t>Fatura Avcısı</t>
        </is>
      </c>
      <c r="B25" s="6" t="inlineStr">
        <is>
          <t>Ödenmemiş her faturanın muhasebecisini adıyla ve doğum gününden tanırsın.</t>
        </is>
      </c>
      <c r="C25" s="5" t="inlineStr">
        <is>
          <t>Çene +1, Dayanıklılık +1</t>
        </is>
      </c>
      <c r="D25" s="5" t="inlineStr"/>
    </row>
    <row r="26">
      <c r="A26" s="5" t="inlineStr">
        <is>
          <t>Kendi Patronu</t>
        </is>
      </c>
      <c r="B26" s="6" t="inlineStr">
        <is>
          <t>Kimse sana ne yapacağını söyleyemez. Maaş da veremez.</t>
        </is>
      </c>
      <c r="C26" s="5" t="inlineStr">
        <is>
          <t>Cesaret +1, Pişkinlik +1</t>
        </is>
      </c>
      <c r="D26" s="5" t="inlineStr"/>
    </row>
    <row r="27">
      <c r="A27" s="5" t="inlineStr">
        <is>
          <t>Pazarlık Duayeni</t>
        </is>
      </c>
      <c r="B27" s="6" t="inlineStr">
        <is>
          <t>'Son fiyat' cümlesini en az üç kez söylemeden kimse kapından çıkamaz.</t>
        </is>
      </c>
      <c r="C27" s="5" t="inlineStr">
        <is>
          <t>Çene +1, Kurnazlık +1</t>
        </is>
      </c>
      <c r="D27" s="5" t="inlineStr"/>
    </row>
    <row r="28">
      <c r="A28" s="5" t="inlineStr">
        <is>
          <t>Mahalle Muhasebecisi</t>
        </is>
      </c>
      <c r="B28" s="6" t="inlineStr">
        <is>
          <t>Kimin kime ne kadar borcu olduğunu defteri açmadan bilirsin.</t>
        </is>
      </c>
      <c r="C28" s="5" t="inlineStr">
        <is>
          <t>Akıl +1, Sosyal Radar +1</t>
        </is>
      </c>
      <c r="D28" s="5" t="inlineStr"/>
    </row>
    <row r="29">
      <c r="A29" s="5" t="inlineStr">
        <is>
          <t>Islak İmza Ustası</t>
        </is>
      </c>
      <c r="B29" s="6" t="inlineStr">
        <is>
          <t>Eksik fotokopiyi evrak masaya değmeden fark edersin.</t>
        </is>
      </c>
      <c r="C29" s="5" t="inlineStr">
        <is>
          <t>Dayanıklılık +1, Kurnazlık +1</t>
        </is>
      </c>
      <c r="D29" s="5" t="inlineStr"/>
    </row>
    <row r="30">
      <c r="A30" s="5" t="inlineStr">
        <is>
          <t>Mevzuat Kalkanı</t>
        </is>
      </c>
      <c r="B30" s="6" t="inlineStr">
        <is>
          <t>Her itiraza bir madde numarasıyla cevap verirsin; madde değişmişse değişikliğiyle.</t>
        </is>
      </c>
      <c r="C30" s="5" t="inlineStr">
        <is>
          <t>Akıl +1, Pişkinlik +1</t>
        </is>
      </c>
      <c r="D30" s="5" t="inlineStr"/>
    </row>
    <row r="31">
      <c r="A31" s="5" t="inlineStr">
        <is>
          <t>Sessiz Gözlemci</t>
        </is>
      </c>
      <c r="B31" s="6" t="inlineStr">
        <is>
          <t>Konuşmadan önce ortamı okursun.</t>
        </is>
      </c>
      <c r="C31" s="5" t="inlineStr">
        <is>
          <t>Sosyal Radar +2, Akıl +1</t>
        </is>
      </c>
      <c r="D31" s="5" t="inlineStr"/>
    </row>
    <row r="32">
      <c r="A32" s="5" t="inlineStr">
        <is>
          <t>Ses Yükseltince Oluyor</t>
        </is>
      </c>
      <c r="B32" s="6" t="inlineStr">
        <is>
          <t>Ses seviyesini bir müzakere aracına çevirebilirsin.</t>
        </is>
      </c>
      <c r="C32" s="5" t="inlineStr">
        <is>
          <t>Çene +2</t>
        </is>
      </c>
      <c r="D32" s="5" t="inlineStr"/>
    </row>
    <row r="33">
      <c r="A33" s="5" t="inlineStr">
        <is>
          <t>Erken Ekonomi Bilinci</t>
        </is>
      </c>
      <c r="B33" s="6" t="inlineStr">
        <is>
          <t>Paranın yalnızca metal olmadığını erken fark ettin.</t>
        </is>
      </c>
      <c r="C33" s="5" t="inlineStr">
        <is>
          <t>Kurnazlık +2</t>
        </is>
      </c>
      <c r="D33" s="5" t="inlineStr"/>
    </row>
    <row r="34">
      <c r="A34" s="5" t="inlineStr">
        <is>
          <t>Teknoloji Merakı</t>
        </is>
      </c>
      <c r="B34" s="6" t="inlineStr">
        <is>
          <t>Ekranlar ve sistemler ilgini çeker.</t>
        </is>
      </c>
      <c r="C34" s="5" t="inlineStr">
        <is>
          <t>Akıl +1, Kurnazlık +1</t>
        </is>
      </c>
      <c r="D34" s="5" t="inlineStr"/>
    </row>
    <row r="35">
      <c r="A35" s="5" t="inlineStr">
        <is>
          <t>Yastık Altı Ekonomisti</t>
        </is>
      </c>
      <c r="B35" s="6" t="inlineStr">
        <is>
          <t>Küçük kaynakları saklama refleksin gelişti.</t>
        </is>
      </c>
      <c r="C35" s="5" t="inlineStr">
        <is>
          <t>Kurnazlık +1, Dayanıklılık +1</t>
        </is>
      </c>
      <c r="D35" s="5" t="inlineStr"/>
    </row>
    <row r="36">
      <c r="A36" s="5" t="inlineStr">
        <is>
          <t>Küçük Tüccar</t>
        </is>
      </c>
      <c r="B36" s="6" t="inlineStr">
        <is>
          <t>Takas ve pazarlık sana doğal geliyor.</t>
        </is>
      </c>
      <c r="C36" s="5" t="inlineStr">
        <is>
          <t>Çene +1, Kurnazlık +1</t>
        </is>
      </c>
      <c r="D36" s="5" t="inlineStr"/>
    </row>
    <row r="37">
      <c r="A37" s="5" t="inlineStr">
        <is>
          <t>Sahne Sever</t>
        </is>
      </c>
      <c r="B37" s="6" t="inlineStr">
        <is>
          <t>İlginin merkezine çıkmaktan çekinmezsin.</t>
        </is>
      </c>
      <c r="C37" s="5" t="inlineStr">
        <is>
          <t>Pişkinlik +2</t>
        </is>
      </c>
      <c r="D37" s="5" t="inlineStr"/>
    </row>
    <row r="38">
      <c r="A38" s="5" t="inlineStr">
        <is>
          <t>Para Üstü Radarı</t>
        </is>
      </c>
      <c r="B38" s="6" t="inlineStr">
        <is>
          <t>Küçük rakam farklarını yakalarsın.</t>
        </is>
      </c>
      <c r="C38" s="5" t="inlineStr">
        <is>
          <t>Kurnazlık +2</t>
        </is>
      </c>
      <c r="D38" s="5" t="inlineStr"/>
    </row>
    <row r="39">
      <c r="A39" s="5" t="inlineStr">
        <is>
          <t>Kendine Gülebilir</t>
        </is>
      </c>
      <c r="B39" s="6" t="inlineStr">
        <is>
          <t>Sosyal baskıyı mizahla azaltırsın.</t>
        </is>
      </c>
      <c r="C39" s="5" t="inlineStr">
        <is>
          <t>Pişkinlik +1, Dayanıklılık +1</t>
        </is>
      </c>
      <c r="D39" s="5" t="inlineStr"/>
    </row>
    <row r="40">
      <c r="A40" s="5" t="inlineStr">
        <is>
          <t>Organizatör</t>
        </is>
      </c>
      <c r="B40" s="6" t="inlineStr">
        <is>
          <t>Oyuna katılmak kadar kuralları koymak da ilgini çeker.</t>
        </is>
      </c>
      <c r="C40" s="5" t="inlineStr">
        <is>
          <t>Çene +1, Sosyal Radar +1</t>
        </is>
      </c>
      <c r="D40" s="5" t="inlineStr"/>
    </row>
    <row r="41">
      <c r="A41" s="5" t="inlineStr">
        <is>
          <t>İş Modeli Kurar</t>
        </is>
      </c>
      <c r="B41" s="6" t="inlineStr">
        <is>
          <t>Kaynak ile emek arasında bağlantı kurarsın.</t>
        </is>
      </c>
      <c r="C41" s="5" t="inlineStr">
        <is>
          <t>Kurnazlık +1, Akıl +1</t>
        </is>
      </c>
      <c r="D41" s="5" t="inlineStr"/>
    </row>
    <row r="42">
      <c r="A42" s="5" t="inlineStr">
        <is>
          <t>Seçim Makinesi</t>
        </is>
      </c>
      <c r="B42" s="6" t="inlineStr">
        <is>
          <t>Kalabalığı arkana almayı biliyorsun.</t>
        </is>
      </c>
      <c r="C42" s="5" t="inlineStr">
        <is>
          <t>Çene +1, Cesaret +1</t>
        </is>
      </c>
      <c r="D42" s="5" t="inlineStr"/>
    </row>
    <row r="43">
      <c r="A43" s="5" t="inlineStr">
        <is>
          <t>Asist Ustası</t>
        </is>
      </c>
      <c r="B43" s="6" t="inlineStr">
        <is>
          <t>Başkasının parlamasını sağlamak da bir yetenek.</t>
        </is>
      </c>
      <c r="C43" s="5" t="inlineStr">
        <is>
          <t>Sosyal Radar +2</t>
        </is>
      </c>
      <c r="D43" s="5" t="inlineStr"/>
    </row>
    <row r="44">
      <c r="A44" s="5" t="inlineStr">
        <is>
          <t>Limonata Baronu</t>
        </is>
      </c>
      <c r="B44" s="6" t="inlineStr">
        <is>
          <t>Küçük sermayeyle büyük işler.</t>
        </is>
      </c>
      <c r="C44" s="5" t="inlineStr">
        <is>
          <t>Kurnazlık +2</t>
        </is>
      </c>
      <c r="D44" s="5" t="inlineStr"/>
    </row>
    <row r="45">
      <c r="A45" s="5" t="inlineStr">
        <is>
          <t>Kilit Kırıcı</t>
        </is>
      </c>
      <c r="B45" s="6" t="inlineStr">
        <is>
          <t>Her sistemin bir açığı vardır.</t>
        </is>
      </c>
      <c r="C45" s="5" t="inlineStr">
        <is>
          <t>Akıl +2</t>
        </is>
      </c>
      <c r="D45" s="5" t="inlineStr"/>
    </row>
    <row r="46">
      <c r="A46" s="5" t="inlineStr">
        <is>
          <t>Analitik Zihin</t>
        </is>
      </c>
      <c r="B46" s="6" t="inlineStr">
        <is>
          <t>Sorunu parçalarına ayırırsın.</t>
        </is>
      </c>
      <c r="C46" s="5" t="inlineStr">
        <is>
          <t>Akıl +2</t>
        </is>
      </c>
      <c r="D46" s="5" t="inlineStr">
        <is>
          <t>Akıl</t>
        </is>
      </c>
    </row>
    <row r="47">
      <c r="A47" s="5" t="inlineStr">
        <is>
          <t>Sözünü Geçirir</t>
        </is>
      </c>
      <c r="B47" s="6" t="inlineStr">
        <is>
          <t>Söylediğin şey genelde olur.</t>
        </is>
      </c>
      <c r="C47" s="5" t="inlineStr">
        <is>
          <t>Çene +2</t>
        </is>
      </c>
      <c r="D47" s="5" t="inlineStr">
        <is>
          <t>Çene</t>
        </is>
      </c>
    </row>
    <row r="48">
      <c r="A48" s="5" t="inlineStr">
        <is>
          <t>Açık Bulur</t>
        </is>
      </c>
      <c r="B48" s="6" t="inlineStr">
        <is>
          <t>Kurallardaki boşlukları fark edersin.</t>
        </is>
      </c>
      <c r="C48" s="5" t="inlineStr">
        <is>
          <t>Kurnazlık +2</t>
        </is>
      </c>
      <c r="D48" s="5" t="inlineStr">
        <is>
          <t>Kurnazlık</t>
        </is>
      </c>
    </row>
    <row r="49">
      <c r="A49" s="5" t="inlineStr">
        <is>
          <t>Geri Adım Atmaz</t>
        </is>
      </c>
      <c r="B49" s="6" t="inlineStr">
        <is>
          <t>Korkuyu hissedersin ama yine de yaparsın.</t>
        </is>
      </c>
      <c r="C49" s="5" t="inlineStr">
        <is>
          <t>Cesaret +2</t>
        </is>
      </c>
      <c r="D49" s="5" t="inlineStr">
        <is>
          <t>Cesaret</t>
        </is>
      </c>
    </row>
    <row r="50">
      <c r="A50" s="5" t="inlineStr">
        <is>
          <t>Yüzü Kızarmaz</t>
        </is>
      </c>
      <c r="B50" s="6" t="inlineStr">
        <is>
          <t>Utanma duygusu seni yavaşlatmaz.</t>
        </is>
      </c>
      <c r="C50" s="5" t="inlineStr">
        <is>
          <t>Pişkinlik +2</t>
        </is>
      </c>
      <c r="D50" s="5" t="inlineStr">
        <is>
          <t>Pişkinlik</t>
        </is>
      </c>
    </row>
    <row r="51">
      <c r="A51" s="5" t="inlineStr">
        <is>
          <t>Sözü Senet</t>
        </is>
      </c>
      <c r="B51" s="6" t="inlineStr">
        <is>
          <t>Mahallede sözün senet yerine geçer; kefil aranınca adın ilk sırada.</t>
        </is>
      </c>
      <c r="C51" s="5" t="inlineStr">
        <is>
          <t>İtibar +2</t>
        </is>
      </c>
      <c r="D51" s="5" t="inlineStr">
        <is>
          <t>İtibar</t>
        </is>
      </c>
    </row>
    <row r="52">
      <c r="A52" s="5" t="inlineStr">
        <is>
          <t>Kolay Dağılmaz</t>
        </is>
      </c>
      <c r="B52" s="6" t="inlineStr">
        <is>
          <t>Baskı altında toparlanırsın.</t>
        </is>
      </c>
      <c r="C52" s="5" t="inlineStr">
        <is>
          <t>Dayanıklılık +2</t>
        </is>
      </c>
      <c r="D52" s="5" t="inlineStr">
        <is>
          <t>Dayanıklılık</t>
        </is>
      </c>
    </row>
    <row r="53">
      <c r="A53" s="5" t="inlineStr">
        <is>
          <t>Odayı Okur</t>
        </is>
      </c>
      <c r="B53" s="6" t="inlineStr">
        <is>
          <t>Kimin ne hissettiğini herkesten önce anlarsın.</t>
        </is>
      </c>
      <c r="C53" s="5" t="inlineStr">
        <is>
          <t>Sosyal Radar +2</t>
        </is>
      </c>
      <c r="D53" s="5" t="inlineStr">
        <is>
          <t>Sosyal Radar</t>
        </is>
      </c>
    </row>
    <row r="54">
      <c r="A54" s="5" t="inlineStr">
        <is>
          <t>Kitap Kurdu</t>
        </is>
      </c>
      <c r="B54" s="6" t="inlineStr">
        <is>
          <t>Köşedekilerden kaçıp kütüphaneye sığındı; sınav salonları ona yabancı değil.</t>
        </is>
      </c>
      <c r="C54" s="5" t="inlineStr">
        <is>
          <t>Akıl +2</t>
        </is>
      </c>
      <c r="D54" s="5" t="inlineStr"/>
    </row>
    <row r="55">
      <c r="A55" s="5" t="inlineStr">
        <is>
          <t>Tezgâh Ağzı</t>
        </is>
      </c>
      <c r="B55" s="6" t="inlineStr">
        <is>
          <t>Müşteri daha ağzını açmadan ne alacağını, ne kadar pazarlık edeceğini ve kimin selamıyla geldiğini bilirsin.</t>
        </is>
      </c>
      <c r="C55" s="5" t="inlineStr">
        <is>
          <t>Çene +2</t>
        </is>
      </c>
      <c r="D55" s="5" t="inlineStr"/>
    </row>
    <row r="56">
      <c r="A56" s="5" t="inlineStr">
        <is>
          <t>İki Dilli Rüya</t>
        </is>
      </c>
      <c r="B56" s="6" t="inlineStr">
        <is>
          <t>İki dilde düşünür, iki dilde küfreder, iki dilde de yanlış anlaşılırsın.</t>
        </is>
      </c>
      <c r="C56" s="5" t="inlineStr">
        <is>
          <t>Sosyal Radar +1, Akıl +1</t>
        </is>
      </c>
      <c r="D56" s="5" t="inlineStr"/>
    </row>
  </sheetData>
  <autoFilter ref="A1:D56"/>
  <dataValidations count="1">
    <dataValidation sqref="D2:D455" showDropDown="0" showInputMessage="0" showErrorMessage="1" allowBlank="1" errorTitle="Geçersiz değer" error="Listeden bir değer seçin." type="list">
      <formula1>"Akıl,Çene,Kurnazlık,Cesaret,Pişkinlik,İtibar,Dayanıklılık,Sosyal Radar"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203"/>
  <sheetViews>
    <sheetView workbookViewId="0">
      <pane ySplit="1" topLeftCell="A2" activePane="bottomLeft" state="frozen"/>
      <selection pane="bottomLeft" activeCell="A1" sqref="A1"/>
    </sheetView>
  </sheetViews>
  <sheetFormatPr baseColWidth="8" defaultRowHeight="15"/>
  <cols>
    <col width="26" customWidth="1" min="1" max="1"/>
    <col width="60" customWidth="1" min="2" max="2"/>
    <col width="70" customWidth="1" min="3" max="3"/>
  </cols>
  <sheetData>
    <row r="1" ht="32" customHeight="1">
      <c r="A1" s="4" t="inlineStr">
        <is>
          <t>Hafıza</t>
        </is>
      </c>
      <c r="B1" s="4" t="inlineStr">
        <is>
          <t>Final kartı etiketi</t>
        </is>
      </c>
      <c r="C1" s="4" t="inlineStr">
        <is>
          <t>Sonraki bölümde</t>
        </is>
      </c>
    </row>
    <row r="2">
      <c r="A2" s="5" t="inlineStr">
        <is>
          <t>kediSuclu</t>
        </is>
      </c>
      <c r="B2" s="6" t="inlineStr">
        <is>
          <t>Vazo davasında kediyi suçladı.</t>
        </is>
      </c>
      <c r="C2" s="6" t="inlineStr"/>
    </row>
    <row r="3">
      <c r="A3" s="5" t="inlineStr">
        <is>
          <t>ilkKelimePara</t>
        </is>
      </c>
      <c r="B3" s="6" t="inlineStr">
        <is>
          <t>İlk kelimesi 'Para' oldu.</t>
        </is>
      </c>
      <c r="C3" s="6" t="inlineStr"/>
    </row>
    <row r="4">
      <c r="A4" s="5" t="inlineStr">
        <is>
          <t>yalanci</t>
        </is>
      </c>
      <c r="B4" s="6" t="inlineStr">
        <is>
          <t>Yaratıcı açıklamalar dosyası kabarık.</t>
        </is>
      </c>
      <c r="C4" s="6" t="inlineStr"/>
    </row>
    <row r="5">
      <c r="A5" s="5" t="inlineStr">
        <is>
          <t>sirVerdi</t>
        </is>
      </c>
      <c r="B5" s="6" t="inlineStr">
        <is>
          <t>Kreşte bir sırrı dolaşıma soktu.</t>
        </is>
      </c>
      <c r="C5" s="6" t="inlineStr"/>
    </row>
    <row r="6">
      <c r="A6" s="5" t="inlineStr">
        <is>
          <t>cesurPark</t>
        </is>
      </c>
      <c r="B6" s="6" t="inlineStr">
        <is>
          <t>Parktaki büyük çocuğa kafa tuttu.</t>
        </is>
      </c>
      <c r="C6" s="6" t="inlineStr"/>
    </row>
    <row r="7">
      <c r="A7" s="5" t="inlineStr">
        <is>
          <t>yapiskan</t>
        </is>
      </c>
      <c r="B7" s="6" t="inlineStr">
        <is>
          <t>Kreş kapısında bacağa sarıldı.</t>
        </is>
      </c>
      <c r="C7" s="6" t="inlineStr"/>
    </row>
    <row r="8">
      <c r="A8" s="5" t="inlineStr">
        <is>
          <t>baskan</t>
        </is>
      </c>
      <c r="B8" s="6" t="inlineStr">
        <is>
          <t>Sınıf başkanı seçildi.</t>
        </is>
      </c>
      <c r="C8" s="6" t="inlineStr"/>
    </row>
    <row r="9">
      <c r="A9" s="5" t="inlineStr">
        <is>
          <t>kediGeldi</t>
        </is>
      </c>
      <c r="B9" s="6" t="inlineStr">
        <is>
          <t>Eve bir kedi getirtti.</t>
        </is>
      </c>
      <c r="C9" s="6" t="inlineStr"/>
    </row>
    <row r="10">
      <c r="A10" s="5" t="inlineStr">
        <is>
          <t>camKirildi</t>
        </is>
      </c>
      <c r="B10" s="6" t="inlineStr">
        <is>
          <t>Komşunun camıyla tanıştı.</t>
        </is>
      </c>
      <c r="C10" s="6" t="inlineStr"/>
    </row>
    <row r="11">
      <c r="A11" s="5" t="inlineStr">
        <is>
          <t>tepsiTekeli</t>
        </is>
      </c>
      <c r="B11" s="6" t="inlineStr">
        <is>
          <t>Bir kış boyunca mahallenin tepsi tekelini elinde tuttu.</t>
        </is>
      </c>
      <c r="C11" s="6" t="inlineStr"/>
    </row>
    <row r="12">
      <c r="A12" s="5" t="inlineStr">
        <is>
          <t>alcili-kol</t>
        </is>
      </c>
      <c r="B12" s="6" t="inlineStr">
        <is>
          <t>Çocukluğunda bir kolu alçıda geçti.</t>
        </is>
      </c>
      <c r="C12" s="6" t="inlineStr"/>
    </row>
    <row r="13">
      <c r="A13" s="5" t="inlineStr">
        <is>
          <t>vasiyet-yazildi</t>
        </is>
      </c>
      <c r="B13" s="6" t="inlineStr">
        <is>
          <t>Vasiyetini noter huzurunda, üç nüsha ve bir dipnotla imzaladı.</t>
        </is>
      </c>
      <c r="C13" s="6" t="inlineStr"/>
    </row>
    <row r="14">
      <c r="A14" s="5" t="inlineStr">
        <is>
          <t>manzarali-parsel</t>
        </is>
      </c>
      <c r="B14" s="6" t="inlineStr">
        <is>
          <t>Mezarlıkta manzaralı parseli erkenden kapattı.</t>
        </is>
      </c>
      <c r="C14" s="6" t="inlineStr"/>
    </row>
    <row r="15">
      <c r="A15" s="5" t="inlineStr">
        <is>
          <t>ani-defteri</t>
        </is>
      </c>
      <c r="B15" s="6" t="inlineStr">
        <is>
          <t>Anı defterini bitirdi. Bazı bölümler hâlâ tartışmalı.</t>
        </is>
      </c>
      <c r="C15" s="6" t="inlineStr"/>
    </row>
    <row r="16">
      <c r="A16" s="5" t="inlineStr">
        <is>
          <t>huzurevi-sakini</t>
        </is>
      </c>
      <c r="B16" s="6" t="inlineStr">
        <is>
          <t>Son yıllarını huzurevinin çay saati komitesinde geçirdi.</t>
        </is>
      </c>
      <c r="C16" s="6" t="inlineStr"/>
    </row>
    <row r="17">
      <c r="A17" s="5" t="inlineStr">
        <is>
          <t>kitaplasti</t>
        </is>
      </c>
      <c r="B17" s="6" t="inlineStr">
        <is>
          <t>Hayat hikâyesi bir torun ve bir yapay zekâ tarafından kitaplaştırıldı.</t>
        </is>
      </c>
      <c r="C17" s="6" t="inlineStr"/>
    </row>
    <row r="18">
      <c r="A18" s="5" t="inlineStr">
        <is>
          <t>iyi-lise</t>
        </is>
      </c>
      <c r="B18" s="6" t="inlineStr">
        <is>
          <t>Lise sınavından iyi bir liseye yerleşti.</t>
        </is>
      </c>
      <c r="C18" s="6" t="inlineStr">
        <is>
          <t>İyi bir lisede dört yıl: yüksek beklentiler, erken başlayan dershane ve Büyük Sınav'da bir adım önde başlamak.</t>
        </is>
      </c>
    </row>
    <row r="19">
      <c r="A19" s="5" t="inlineStr">
        <is>
          <t>lakapli</t>
        </is>
      </c>
      <c r="B19" s="6" t="inlineStr">
        <is>
          <t>Ortaokulda takılan lakap, lise mezuniyetine kadar görevde kaldı.</t>
        </is>
      </c>
      <c r="C19" s="6" t="inlineStr"/>
    </row>
    <row r="20">
      <c r="A20" s="5" t="inlineStr">
        <is>
          <t>sokak-yasagi</t>
        </is>
      </c>
      <c r="B20" s="6" t="inlineStr">
        <is>
          <t>Mahallede bir sokaktan bir daha hiç geçemedi; okul yolu ömür boyu dört dakika uzun kaldı.</t>
        </is>
      </c>
      <c r="C20" s="6" t="inlineStr"/>
    </row>
    <row r="21">
      <c r="A21" s="5" t="inlineStr">
        <is>
          <t>ilk-mesaj</t>
        </is>
      </c>
      <c r="B21" s="6" t="inlineStr">
        <is>
          <t>İlk hoşlantısına ilk mesajı gönderdi. 'Selam.'</t>
        </is>
      </c>
      <c r="C21" s="6" t="inlineStr"/>
    </row>
    <row r="22">
      <c r="A22" s="5" t="inlineStr">
        <is>
          <t>oyun-faturasi</t>
        </is>
      </c>
      <c r="B22" s="6" t="inlineStr">
        <is>
          <t>Oyun içi alışverişle ailenin kart ekstresini tarihe geçirdi.</t>
        </is>
      </c>
      <c r="C22" s="6" t="inlineStr"/>
    </row>
    <row r="23">
      <c r="A23" s="5" t="inlineStr">
        <is>
          <t>dershaneli</t>
        </is>
      </c>
      <c r="B23" s="6" t="inlineStr">
        <is>
          <t>Ergenliğinin cumartesileri dershaneye tahsis edildi.</t>
        </is>
      </c>
      <c r="C23" s="6" t="inlineStr"/>
    </row>
    <row r="24">
      <c r="A24" s="5" t="inlineStr">
        <is>
          <t>yz-odevci</t>
        </is>
      </c>
      <c r="B24" s="6" t="inlineStr">
        <is>
          <t>Ödevlerini yapay zekâya yaptırmayı denedi; öğretmen 'ayrıca'ları saydı.</t>
        </is>
      </c>
      <c r="C24" s="6" t="inlineStr"/>
    </row>
    <row r="25">
      <c r="A25" s="5" t="inlineStr">
        <is>
          <t>kendi-odasi</t>
        </is>
      </c>
      <c r="B25" s="6" t="inlineStr">
        <is>
          <t>On üç yaşında kendi odasını resmî başvuruyla aldı.</t>
        </is>
      </c>
      <c r="C25" s="6" t="inlineStr"/>
    </row>
    <row r="26">
      <c r="A26" s="5" t="inlineStr">
        <is>
          <t>fuar-birincisi</t>
        </is>
      </c>
      <c r="B26" s="6" t="inlineStr">
        <is>
          <t>Okul bilim fuarında yanardağ yapmadan birinci oldu.</t>
        </is>
      </c>
      <c r="C26" s="6" t="inlineStr"/>
    </row>
    <row r="27">
      <c r="A27" s="5" t="inlineStr">
        <is>
          <t>takim-oyuncusu</t>
        </is>
      </c>
      <c r="B27" s="6" t="inlineStr">
        <is>
          <t>Okul takımının seçmelerini geçti; forma büyük geldi.</t>
        </is>
      </c>
      <c r="C27" s="6" t="inlineStr"/>
    </row>
    <row r="28">
      <c r="A28" s="5" t="inlineStr">
        <is>
          <t>yanlis-grup</t>
        </is>
      </c>
      <c r="B28" s="6" t="inlineStr">
        <is>
          <t>Aile grubuna yanlış mesaj gönderdi; evin yemek listesi o günden beri tartışmalı.</t>
        </is>
      </c>
      <c r="C28" s="6" t="inlineStr"/>
    </row>
    <row r="29">
      <c r="A29" s="5" t="inlineStr">
        <is>
          <t>universiteli</t>
        </is>
      </c>
      <c r="B29" s="6" t="inlineStr">
        <is>
          <t>Büyük Makarya Sınavı'nı geçip üniversiteye girdi.</t>
        </is>
      </c>
      <c r="C29" s="6" t="inlineStr"/>
    </row>
    <row r="30">
      <c r="A30" s="5" t="inlineStr">
        <is>
          <t>ilk-sevgili</t>
        </is>
      </c>
      <c r="B30" s="6" t="inlineStr">
        <is>
          <t>Lisede bir parkta, bir bankta, bir karış mesafeyi kapattı.</t>
        </is>
      </c>
      <c r="C30" s="6" t="inlineStr">
        <is>
          <t>Bir sevgilin var. Yetişkinliğe ilk kez iki kişi giriyorsun.</t>
        </is>
      </c>
    </row>
    <row r="31">
      <c r="A31" s="5" t="inlineStr">
        <is>
          <t>ilk-ayrilik</t>
        </is>
      </c>
      <c r="B31" s="6" t="inlineStr">
        <is>
          <t>İlk ayrılığını bir mesajlaşma uygulamasında, üç noktanın gölgesinde yaşadı.</t>
        </is>
      </c>
      <c r="C31" s="6" t="inlineStr"/>
    </row>
    <row r="32">
      <c r="A32" s="5" t="inlineStr">
        <is>
          <t>ai-kopyaci</t>
        </is>
      </c>
      <c r="B32" s="6" t="inlineStr">
        <is>
          <t>Tarih ödevini bir yapay zekâya emanet etti.</t>
        </is>
      </c>
      <c r="C32" s="6" t="inlineStr"/>
    </row>
    <row r="33">
      <c r="A33" s="5" t="inlineStr">
        <is>
          <t>okul-temsilcisi</t>
        </is>
      </c>
      <c r="B33" s="6" t="inlineStr">
        <is>
          <t>Okul temsilcisi seçildi; ikinci tost makinesi vaadiyle.</t>
        </is>
      </c>
      <c r="C33" s="6" t="inlineStr"/>
    </row>
    <row r="34">
      <c r="A34" s="5" t="inlineStr">
        <is>
          <t>doktor-sozu</t>
        </is>
      </c>
      <c r="B34" s="6" t="inlineStr">
        <is>
          <t>Bir akşam yemeğinde aileye doktor olacağına söz verdi.</t>
        </is>
      </c>
      <c r="C34" s="6" t="inlineStr"/>
    </row>
    <row r="35">
      <c r="A35" s="5" t="inlineStr">
        <is>
          <t>yurt-disi-hayali</t>
        </is>
      </c>
      <c r="B35" s="6" t="inlineStr">
        <is>
          <t>Yurt dışındaki bir okuldan cevap alacak kadar ileri gitti.</t>
        </is>
      </c>
      <c r="C35" s="6" t="inlineStr"/>
    </row>
    <row r="36">
      <c r="A36" s="5" t="inlineStr">
        <is>
          <t>ehliyetli</t>
        </is>
      </c>
      <c r="B36" s="6" t="inlineStr">
        <is>
          <t>Ehliyetini aldı; arabanın anahtarını almak ayrı bir süreçti.</t>
        </is>
      </c>
      <c r="C36" s="6" t="inlineStr"/>
    </row>
    <row r="37">
      <c r="A37" s="5" t="inlineStr">
        <is>
          <t>yurtdisi-gordu</t>
        </is>
      </c>
      <c r="B37" s="6" t="inlineStr">
        <is>
          <t>Bir dönem yurt dışında düzgün peynir aradı.</t>
        </is>
      </c>
      <c r="C37" s="6" t="inlineStr"/>
    </row>
    <row r="38">
      <c r="A38" s="5" t="inlineStr">
        <is>
          <t>usta-eli</t>
        </is>
      </c>
      <c r="B38" s="6" t="inlineStr">
        <is>
          <t>Bir ustanın elinden meslek kaptı.</t>
        </is>
      </c>
      <c r="C38" s="6" t="inlineStr"/>
    </row>
    <row r="39">
      <c r="A39" s="5" t="inlineStr">
        <is>
          <t>depozito-yandi</t>
        </is>
      </c>
      <c r="B39" s="6" t="inlineStr">
        <is>
          <t>Bir kiralık evden depozitosunu hiç geri alamadı.</t>
        </is>
      </c>
      <c r="C39" s="6" t="inlineStr"/>
    </row>
    <row r="40">
      <c r="A40" s="5" t="inlineStr">
        <is>
          <t>universitesiz</t>
        </is>
      </c>
      <c r="B40" s="6" t="inlineStr">
        <is>
          <t>Üniversite yerine doğrudan hayata atıldı.</t>
        </is>
      </c>
      <c r="C40" s="6" t="inlineStr"/>
    </row>
    <row r="41">
      <c r="A41" s="5" t="inlineStr">
        <is>
          <t>taki-defteri</t>
        </is>
      </c>
      <c r="B41" s="6" t="inlineStr">
        <is>
          <t>Düğün takılarını kuruşu kuruşuna deftere geçirdi; defter hâlâ güncelleniyor.</t>
        </is>
      </c>
      <c r="C41" s="6" t="inlineStr"/>
    </row>
    <row r="42">
      <c r="A42" s="5" t="inlineStr">
        <is>
          <t>arabali</t>
        </is>
      </c>
      <c r="B42" s="6" t="inlineStr">
        <is>
          <t>Araba sahibi oldu; muayene tarihini doğum gününden iyi bilir.</t>
        </is>
      </c>
      <c r="C42" s="6" t="inlineStr"/>
    </row>
    <row r="43">
      <c r="A43" s="5" t="inlineStr">
        <is>
          <t>site-yoneticisi</t>
        </is>
      </c>
      <c r="B43" s="6" t="inlineStr">
        <is>
          <t>Site toplantısında itiraz ederken yönetici seçildi.</t>
        </is>
      </c>
      <c r="C43" s="6" t="inlineStr"/>
    </row>
    <row r="44">
      <c r="A44" s="5" t="inlineStr">
        <is>
          <t>yalniz-gezgin</t>
        </is>
      </c>
      <c r="B44" s="6" t="inlineStr">
        <is>
          <t>Tek kişilik tatile çıktı ve garsona 'bir kişi' demeyi öğrendi.</t>
        </is>
      </c>
      <c r="C44" s="6" t="inlineStr"/>
    </row>
    <row r="45">
      <c r="A45" s="5" t="inlineStr">
        <is>
          <t>flort-emeklisi</t>
        </is>
      </c>
      <c r="B45" s="6" t="inlineStr">
        <is>
          <t>Flört uygulamasını son kez sildi. Gerçekten son kez.</t>
        </is>
      </c>
      <c r="C45" s="6" t="inlineStr"/>
    </row>
    <row r="46">
      <c r="A46" s="5" t="inlineStr">
        <is>
          <t>gozluklu</t>
        </is>
      </c>
      <c r="B46" s="6" t="inlineStr">
        <is>
          <t>Okuma gözlüğünü yıllarca başının üstünde aradı.</t>
        </is>
      </c>
      <c r="C46" s="6" t="inlineStr"/>
    </row>
    <row r="47">
      <c r="A47" s="5" t="inlineStr">
        <is>
          <t>motosikletli</t>
        </is>
      </c>
      <c r="B47" s="6" t="inlineStr">
        <is>
          <t>Kırk yaşında bir motosiklet aldı ve bir süre kullandı.</t>
        </is>
      </c>
      <c r="C47" s="6" t="inlineStr"/>
    </row>
    <row r="48">
      <c r="A48" s="5" t="inlineStr">
        <is>
          <t>maratoncu</t>
        </is>
      </c>
      <c r="B48" s="6" t="inlineStr">
        <is>
          <t>Bir maratonu başından sonuna kadar koştu; çoğunu.</t>
        </is>
      </c>
      <c r="C48" s="6" t="inlineStr"/>
    </row>
    <row r="49">
      <c r="A49" s="5" t="inlineStr">
        <is>
          <t>kariyer-degisti</t>
        </is>
      </c>
      <c r="B49" s="6" t="inlineStr">
        <is>
          <t>Kırkından sonra mesleğini değiştirdi ve geri dönmedi.</t>
        </is>
      </c>
      <c r="C49" s="6" t="inlineStr"/>
    </row>
    <row r="50">
      <c r="A50" s="5" t="inlineStr">
        <is>
          <t>yazlikci</t>
        </is>
      </c>
      <c r="B50" s="6" t="inlineStr">
        <is>
          <t>Denize 'yürüme mesafesinde' bir yazlık sahibi oldu.</t>
        </is>
      </c>
      <c r="C50" s="6" t="inlineStr"/>
    </row>
    <row r="51">
      <c r="A51" s="5" t="inlineStr">
        <is>
          <t>ikinci-bahar</t>
        </is>
      </c>
      <c r="B51" s="6" t="inlineStr">
        <is>
          <t>Boşandıktan sonra bir kafede ikinci bahara merhaba dedi.</t>
        </is>
      </c>
      <c r="C51" s="6" t="inlineStr"/>
    </row>
    <row r="52">
      <c r="A52" s="5" t="inlineStr">
        <is>
          <t>dijital-paraci</t>
        </is>
      </c>
      <c r="B52" s="6" t="inlineStr">
        <is>
          <t>Dijital paradan kazandığını her sofrada anlattı; kaybettiğini hiçbirinde.</t>
        </is>
      </c>
      <c r="C52" s="6" t="inlineStr"/>
    </row>
    <row r="53">
      <c r="A53" s="5" t="inlineStr">
        <is>
          <t>torunlu</t>
        </is>
      </c>
      <c r="B53" s="6" t="inlineStr">
        <is>
          <t>İlk torununun ilk kelimesini kaçırmadı; kayda aldı.</t>
        </is>
      </c>
      <c r="C53" s="6" t="inlineStr"/>
    </row>
    <row r="54">
      <c r="A54" s="5" t="inlineStr">
        <is>
          <t>emekli</t>
        </is>
      </c>
      <c r="B54" s="6" t="inlineStr">
        <is>
          <t>Resmî olarak emekli oldu. Gayriresmî olarak hâlâ herkesin işini yaptı.</t>
        </is>
      </c>
      <c r="C54" s="6" t="inlineStr">
        <is>
          <t>Emeklilik: tavla, sabah yürüyüşleri ve torun bakımı nöbetleri.</t>
        </is>
      </c>
    </row>
    <row r="55">
      <c r="A55" s="5" t="inlineStr">
        <is>
          <t>tavla-sampiyonu</t>
        </is>
      </c>
      <c r="B55" s="6" t="inlineStr">
        <is>
          <t>Kahvehane tavla liginin tartışmalı şampiyonu.</t>
        </is>
      </c>
      <c r="C55" s="6" t="inlineStr"/>
    </row>
    <row r="56">
      <c r="A56" s="5" t="inlineStr">
        <is>
          <t>yuruyus-grubu</t>
        </is>
      </c>
      <c r="B56" s="6" t="inlineStr">
        <is>
          <t>Sabah yürüyüş grubunun daimi üyesi ve gayriresmî tempo sorumlusu.</t>
        </is>
      </c>
      <c r="C56" s="6" t="inlineStr"/>
    </row>
    <row r="57">
      <c r="A57" s="5" t="inlineStr">
        <is>
          <t>beyazyaka-terfi-aldi</t>
        </is>
      </c>
      <c r="B57" s="6" t="inlineStr">
        <is>
          <t>Unvanının başına 'kıdemli' kelimesini ekletti.</t>
        </is>
      </c>
      <c r="C57" s="6" t="inlineStr"/>
    </row>
    <row r="58">
      <c r="A58" s="5" t="inlineStr">
        <is>
          <t>beyazyaka-sag-kaldi</t>
        </is>
      </c>
      <c r="B58" s="6" t="inlineStr">
        <is>
          <t>Bir yeniden yapılanma dalgasından masasıyla birlikte sağ çıktı.</t>
        </is>
      </c>
      <c r="C58" s="6" t="inlineStr"/>
    </row>
    <row r="59">
      <c r="A59" s="5" t="inlineStr">
        <is>
          <t>beyazyaka-gm-tanidik</t>
        </is>
      </c>
      <c r="B59" s="6" t="inlineStr">
        <is>
          <t>Arızalı bir asansörde genel müdürle kırk dakika geçirdi ve adı hatırlandı.</t>
        </is>
      </c>
      <c r="C59" s="6" t="inlineStr"/>
    </row>
    <row r="60">
      <c r="A60" s="5" t="inlineStr">
        <is>
          <t>serbest-viral-oldu</t>
        </is>
      </c>
      <c r="B60" s="6" t="inlineStr">
        <is>
          <t>Bir performansı kısa video uygulamasında iki milyon kez izlendi. Ödemesi görünürlük olarak yapıldı.</t>
        </is>
      </c>
      <c r="C60" s="6" t="inlineStr"/>
    </row>
    <row r="61">
      <c r="A61" s="5" t="inlineStr">
        <is>
          <t>serbest-alacakli</t>
        </is>
      </c>
      <c r="B61" s="6" t="inlineStr">
        <is>
          <t>Bir faturası hâlâ 'onay bekliyor'.</t>
        </is>
      </c>
      <c r="C61" s="6" t="inlineStr"/>
    </row>
    <row r="62">
      <c r="A62" s="5" t="inlineStr">
        <is>
          <t>serbest-fon-aldi</t>
        </is>
      </c>
      <c r="B62" s="6" t="inlineStr">
        <is>
          <t>Kırk iki sayfalık bir fon başvurusunu kabul ettirdi.</t>
        </is>
      </c>
      <c r="C62" s="6" t="inlineStr"/>
    </row>
    <row r="63">
      <c r="A63" s="5" t="inlineStr">
        <is>
          <t>esnaf-veresiye-batagi</t>
        </is>
      </c>
      <c r="B63" s="6" t="inlineStr">
        <is>
          <t>Veresiye defteri bir tuğla kalınlığına ulaştı; tahsilat oranı gizli tutuldu.</t>
        </is>
      </c>
      <c r="C63" s="6" t="inlineStr"/>
    </row>
    <row r="64">
      <c r="A64" s="5" t="inlineStr">
        <is>
          <t>esnaf-komsu-rakip</t>
        </is>
      </c>
      <c r="B64" s="6" t="inlineStr">
        <is>
          <t>Karşı dükkânla otuz yıl süren bir etiket savaşı yürüttü.</t>
        </is>
      </c>
      <c r="C64" s="6" t="inlineStr"/>
    </row>
    <row r="65">
      <c r="A65" s="5" t="inlineStr">
        <is>
          <t>esnaf-cirak</t>
        </is>
      </c>
      <c r="B65" s="6" t="inlineStr">
        <is>
          <t>Bir çırak yetiştirdi; çırak da ona telefon ayarlarını öğretti.</t>
        </is>
      </c>
      <c r="C65" s="6" t="inlineStr"/>
    </row>
    <row r="66">
      <c r="A66" s="5" t="inlineStr">
        <is>
          <t>esnaf-dernek-baskani</t>
        </is>
      </c>
      <c r="B66" s="6" t="inlineStr">
        <is>
          <t>Çarşının esnaf derneğine başkan seçildi; ilk icraatı ortak çöp kutusu oldu.</t>
        </is>
      </c>
      <c r="C66" s="6" t="inlineStr"/>
    </row>
    <row r="67">
      <c r="A67" s="5" t="inlineStr">
        <is>
          <t>memur-mudur-dusmani</t>
        </is>
      </c>
      <c r="B67" s="6" t="inlineStr">
        <is>
          <t>Bir müdürle arası hiç düzelmedi; kırmızı kalem hep hazırdı.</t>
        </is>
      </c>
      <c r="C67" s="6" t="inlineStr"/>
    </row>
    <row r="68">
      <c r="A68" s="5" t="inlineStr">
        <is>
          <t>memur-kayip-dosya</t>
        </is>
      </c>
      <c r="B68" s="6" t="inlineStr">
        <is>
          <t>Zimmetindeki bir dosya kayboldu; takibi otuz yıl sürdü.</t>
        </is>
      </c>
      <c r="C68" s="6" t="inlineStr"/>
    </row>
    <row r="69">
      <c r="A69" s="5" t="inlineStr">
        <is>
          <t>memur-ikinci-is</t>
        </is>
      </c>
      <c r="B69" s="6" t="inlineStr">
        <is>
          <t>Emekliliğe bir kafe hayaliyle hazırlandı; menüsü çekmecede bekledi.</t>
        </is>
      </c>
      <c r="C69" s="6" t="inlineStr"/>
    </row>
    <row r="70">
      <c r="A70" s="5" t="inlineStr">
        <is>
          <t>haracci-dusmani</t>
        </is>
      </c>
      <c r="B70" s="6" t="inlineStr">
        <is>
          <t>Mahalle haraççılarına kafa tuttu.</t>
        </is>
      </c>
      <c r="C70" s="6" t="inlineStr"/>
    </row>
    <row r="71">
      <c r="A71" s="5" t="inlineStr">
        <is>
          <t>fenomen</t>
        </is>
      </c>
      <c r="B71" s="6" t="inlineStr">
        <is>
          <t>Kedisinin hesabı fenomen oldu.</t>
        </is>
      </c>
      <c r="C71" s="6" t="inlineStr"/>
    </row>
    <row r="72">
      <c r="A72" s="5" t="inlineStr">
        <is>
          <t>borclu</t>
        </is>
      </c>
      <c r="B72" s="6" t="inlineStr">
        <is>
          <t>Kredi kartı borcuyla tanıştı.</t>
        </is>
      </c>
      <c r="C72" s="6" t="inlineStr">
        <is>
          <t>Borç seni takip ediyor: asgari ödeme hayatının ritmi, bankanın müşteri temsilcisi de en düzenli arayanın.</t>
        </is>
      </c>
    </row>
    <row r="73">
      <c r="A73" s="5" t="inlineStr">
        <is>
          <t>evli</t>
        </is>
      </c>
      <c r="B73" s="6" t="inlineStr">
        <is>
          <t>Evlendi.</t>
        </is>
      </c>
      <c r="C73" s="6" t="inlineStr">
        <is>
          <t>Evli hayat: ortak hesap, iki aile ve “Çocuk ne zaman?” sorusu.</t>
        </is>
      </c>
    </row>
    <row r="74">
      <c r="A74" s="5" t="inlineStr">
        <is>
          <t>cocuklu</t>
        </is>
      </c>
      <c r="B74" s="6" t="inlineStr">
        <is>
          <t>Çocuk sahibi oldu.</t>
        </is>
      </c>
      <c r="C74" s="6" t="inlineStr">
        <is>
          <t>Çocuklu hayat: uykusuz geceler, okul servisi ve veli toplantıları; bu kez kapının öbür tarafında sen varsın.</t>
        </is>
      </c>
    </row>
    <row r="75">
      <c r="A75" s="5" t="inlineStr">
        <is>
          <t>meslek-memur</t>
        </is>
      </c>
      <c r="B75" s="6" t="inlineStr">
        <is>
          <t>Memur oldu.</t>
        </is>
      </c>
      <c r="C75" s="6" t="inlineStr">
        <is>
          <t>Memurluk: tayinler, müdürler ve ıslak imza.</t>
        </is>
      </c>
    </row>
    <row r="76">
      <c r="A76" s="5" t="inlineStr">
        <is>
          <t>ev-sahibi</t>
        </is>
      </c>
      <c r="B76" s="6" t="inlineStr">
        <is>
          <t>Ev sahibi oldu.</t>
        </is>
      </c>
      <c r="C76" s="6" t="inlineStr">
        <is>
          <t>Ev sahibisin: kredi taksitleri ve site yönetimi toplantıları. Aidatı artık sen ödüyorsun.</t>
        </is>
      </c>
    </row>
    <row r="77">
      <c r="A77" s="5" t="inlineStr">
        <is>
          <t>askerlik-yapti</t>
        </is>
      </c>
      <c r="B77" s="6" t="inlineStr">
        <is>
          <t>Askerliğini yaptı.</t>
        </is>
      </c>
      <c r="C77" s="6" t="inlineStr">
        <is>
          <t>Askerlik bitti. Artık iş görüşmelerinde “Yaptın mı?” sorusuna gülümseyerek cevap verebilirsin.</t>
        </is>
      </c>
    </row>
    <row r="78">
      <c r="A78" s="5" t="inlineStr">
        <is>
          <t>meslek-esnaf</t>
        </is>
      </c>
      <c r="B78" s="6" t="inlineStr">
        <is>
          <t>Esnaf oldu.</t>
        </is>
      </c>
      <c r="C78" s="6" t="inlineStr">
        <is>
          <t>Esnaf hayatı: kira artışları, karşı dükkân ve veresiye defteri.</t>
        </is>
      </c>
    </row>
    <row r="79">
      <c r="A79" s="5" t="inlineStr">
        <is>
          <t>meslek-beyazyaka</t>
        </is>
      </c>
      <c r="B79" s="6" t="inlineStr">
        <is>
          <t>Beyaz yakalı oldu.</t>
        </is>
      </c>
      <c r="C79" s="6" t="inlineStr">
        <is>
          <t>Plaza hayatı: toplantılar, terfi yarışları ve açık ofis.</t>
        </is>
      </c>
    </row>
    <row r="80">
      <c r="A80" s="5" t="inlineStr">
        <is>
          <t>meslek-serbest</t>
        </is>
      </c>
      <c r="B80" s="6" t="inlineStr">
        <is>
          <t>Serbest çalışmaya başladı.</t>
        </is>
      </c>
      <c r="C80" s="6" t="inlineStr">
        <is>
          <t>Serbest çalışma: fatura kovalamaca ve bir gün viral olma ihtimali.</t>
        </is>
      </c>
    </row>
    <row r="81">
      <c r="A81" s="5" t="inlineStr">
        <is>
          <t>mahalle-cocugu</t>
        </is>
      </c>
      <c r="B81" s="6" t="inlineStr">
        <is>
          <t>Çocukluğu sokakta, mahallede geçti.</t>
        </is>
      </c>
      <c r="C81" s="6" t="inlineStr"/>
    </row>
    <row r="82">
      <c r="A82" s="5" t="inlineStr">
        <is>
          <t>ekran-cocugu</t>
        </is>
      </c>
      <c r="B82" s="6" t="inlineStr">
        <is>
          <t>Çocukluğu ekran başında geçti.</t>
        </is>
      </c>
      <c r="C82" s="6" t="inlineStr"/>
    </row>
    <row r="83">
      <c r="A83" s="5" t="inlineStr">
        <is>
          <t>teneffus-tuccari</t>
        </is>
      </c>
      <c r="B83" s="6" t="inlineStr">
        <is>
          <t>Teneffüste ticaret yaptı.</t>
        </is>
      </c>
      <c r="C83" s="6" t="inlineStr"/>
    </row>
    <row r="84">
      <c r="A84" s="5" t="inlineStr">
        <is>
          <t>mahalle-abileri</t>
        </is>
      </c>
      <c r="B84" s="6" t="inlineStr">
        <is>
          <t>Mahalle abileriyle takıldı.</t>
        </is>
      </c>
      <c r="C84" s="6" t="inlineStr">
        <is>
          <t>Mahalle abileri seni unutmadı. Çarşıda bir iş, bir borç ve bir lakap hazır.</t>
        </is>
      </c>
    </row>
    <row r="85">
      <c r="A85" s="5" t="inlineStr">
        <is>
          <t>meslek-lisesi</t>
        </is>
      </c>
      <c r="B85" s="6" t="inlineStr">
        <is>
          <t>Meslek lisesine yazıldı.</t>
        </is>
      </c>
      <c r="C85" s="6" t="inlineStr">
        <is>
          <t>Meslek lisesi: atölyede staj, erken para ve Büyük Sınav'da yarısı tanıdık, yarısı yabancı sorular.</t>
        </is>
      </c>
    </row>
    <row r="86">
      <c r="A86" s="5" t="inlineStr">
        <is>
          <t>okulu-birakti</t>
        </is>
      </c>
      <c r="B86" s="6" t="inlineStr">
        <is>
          <t>Okulu bıraktı.</t>
        </is>
      </c>
      <c r="C86" s="6" t="inlineStr">
        <is>
          <t>Okul yok. Çay ocağı, sanayi ve abilerin işleri seni bekliyor; okula dönmenin bir yolu hâlâ var.</t>
        </is>
      </c>
    </row>
    <row r="87">
      <c r="A87" s="5" t="inlineStr">
        <is>
          <t>acik-lise</t>
        </is>
      </c>
      <c r="B87" s="6" t="inlineStr">
        <is>
          <t>Liseyi akşamları bitirdi.</t>
        </is>
      </c>
      <c r="C87" s="6" t="inlineStr"/>
    </row>
    <row r="88">
      <c r="A88" s="5" t="inlineStr">
        <is>
          <t>abinin-adami</t>
        </is>
      </c>
      <c r="B88" s="6" t="inlineStr">
        <is>
          <t>Mahalle abisinin adamı oldu.</t>
        </is>
      </c>
      <c r="C88" s="6" t="inlineStr">
        <is>
          <t>Abinin yanında: çarşıda yükselmek kolay, oradan çıkmak zor.</t>
        </is>
      </c>
    </row>
    <row r="89">
      <c r="A89" s="5" t="inlineStr">
        <is>
          <t>karaborsaci</t>
        </is>
      </c>
      <c r="B89" s="6" t="inlineStr">
        <is>
          <t>Stat önünde karaborsa bilet sattı.</t>
        </is>
      </c>
      <c r="C89" s="6" t="inlineStr"/>
    </row>
    <row r="90">
      <c r="A90" s="5" t="inlineStr">
        <is>
          <t>mezuna-kaldi</t>
        </is>
      </c>
      <c r="B90" s="6" t="inlineStr">
        <is>
          <t>Mezuna kaldı.</t>
        </is>
      </c>
      <c r="C90" s="6" t="inlineStr">
        <is>
          <t>Bir yıl daha dershane ve ikinci bir Büyük Sınav şansı.</t>
        </is>
      </c>
    </row>
    <row r="91">
      <c r="A91" s="5" t="inlineStr">
        <is>
          <t>tezgah</t>
        </is>
      </c>
      <c r="B91" s="6" t="inlineStr">
        <is>
          <t>Kuzeninin tezgâhına geçti.</t>
        </is>
      </c>
      <c r="C91" s="6" t="inlineStr">
        <is>
          <t>Tezgâhın arkasında hayat: pazarlık, veresiye defteri ve akranlarından önce kazanılan ilk para.</t>
        </is>
      </c>
    </row>
    <row r="92">
      <c r="A92" s="5" t="inlineStr">
        <is>
          <t>erken-askerlik</t>
        </is>
      </c>
      <c r="B92" s="6" t="inlineStr">
        <is>
          <t>Askere erken gitti.</t>
        </is>
      </c>
      <c r="C92" s="6" t="inlineStr">
        <is>
          <t>Önce askerlik: kışla, nöbet ve dönüşte nereden başlayacağına dair uzun düşünceler.</t>
        </is>
      </c>
    </row>
    <row r="93">
      <c r="A93" s="5" t="inlineStr">
        <is>
          <t>sinava-girmedi</t>
        </is>
      </c>
      <c r="B93" s="6" t="inlineStr">
        <is>
          <t>Büyük Sınav'a girmedi.</t>
        </is>
      </c>
      <c r="C93" s="6" t="inlineStr">
        <is>
          <t>Sınavsız bir hayat: erken iş, erken para, erken sorumluluk.</t>
        </is>
      </c>
    </row>
    <row r="94">
      <c r="A94" s="5" t="inlineStr">
        <is>
          <t>bolum-hukuk</t>
        </is>
      </c>
      <c r="B94" s="6" t="inlineStr">
        <is>
          <t>Hukuk okudu.</t>
        </is>
      </c>
      <c r="C94" s="6" t="inlineStr">
        <is>
          <t>Hukuk fakültesi: ezber, stajlar ve kürsüye giden yolun ilk basamağı.</t>
        </is>
      </c>
    </row>
    <row r="95">
      <c r="A95" s="5" t="inlineStr">
        <is>
          <t>bolum-emniyet</t>
        </is>
      </c>
      <c r="B95" s="6" t="inlineStr">
        <is>
          <t>Emniyet Akademisi'ne girdi.</t>
        </is>
      </c>
      <c r="C95" s="6" t="inlineStr">
        <is>
          <t>Emniyet Akademisi: disiplin, üniforma ve polisliğe giden yol.</t>
        </is>
      </c>
    </row>
    <row r="96">
      <c r="A96" s="5" t="inlineStr">
        <is>
          <t>bolum-muhendislik</t>
        </is>
      </c>
      <c r="B96" s="6" t="inlineStr">
        <is>
          <t>Mühendislik okudu.</t>
        </is>
      </c>
      <c r="C96" s="6" t="inlineStr">
        <is>
          <t>Mühendislik: formüller, stajlar ve evde bozulan her şeyin senden sorulduğu yıllar.</t>
        </is>
      </c>
    </row>
    <row r="97">
      <c r="A97" s="5" t="inlineStr">
        <is>
          <t>bolum-iletisim</t>
        </is>
      </c>
      <c r="B97" s="6" t="inlineStr">
        <is>
          <t>Konservatuvara girdi.</t>
        </is>
      </c>
      <c r="C97" s="6" t="inlineStr">
        <is>
          <t>Konservatuvar: seçmeler, küçük sahneler ve “İyi de ne iş yapacak?” soruları.</t>
        </is>
      </c>
    </row>
    <row r="98">
      <c r="A98" s="5" t="inlineStr">
        <is>
          <t>bolum-isletme</t>
        </is>
      </c>
      <c r="B98" s="6" t="inlineStr">
        <is>
          <t>İşletme okudu.</t>
        </is>
      </c>
      <c r="C98" s="6" t="inlineStr">
        <is>
          <t>İşletme: sunumlar, stajlar ve ilk iş fikirleri.</t>
        </is>
      </c>
    </row>
    <row r="99">
      <c r="A99" s="5" t="inlineStr">
        <is>
          <t>bolum-tip</t>
        </is>
      </c>
      <c r="B99" s="6" t="inlineStr">
        <is>
          <t>Tıp okudu.</t>
        </is>
      </c>
      <c r="C99" s="6" t="inlineStr">
        <is>
          <t>Tıp: altı yıl, bitmeyen nöbetler ve aile grubunda her gün artan semptom soruları.</t>
        </is>
      </c>
    </row>
    <row r="100">
      <c r="A100" s="5" t="inlineStr">
        <is>
          <t>baska-sehir</t>
        </is>
      </c>
      <c r="B100" s="6" t="inlineStr">
        <is>
          <t>Başka şehirde okudu.</t>
        </is>
      </c>
      <c r="C100" s="6" t="inlineStr">
        <is>
          <t>Başka şehirde üniversite: yurt odası, ilk kez tek başına alınan kararlar ve annenin haftada iki telefonu.</t>
        </is>
      </c>
    </row>
    <row r="101">
      <c r="A101" s="5" t="inlineStr">
        <is>
          <t>ayni-sehir</t>
        </is>
      </c>
      <c r="B101" s="6" t="inlineStr">
        <is>
          <t>Üniversiteye evden gitti.</t>
        </is>
      </c>
      <c r="C101" s="6" t="inlineStr">
        <is>
          <t>Evden üniversite: sokağa çıkma saati, buzdolabı bursu ve bitmeyen “Nereye?” soruları.</t>
        </is>
      </c>
    </row>
    <row r="102">
      <c r="A102" s="5" t="inlineStr">
        <is>
          <t>yurtdisi-universite</t>
        </is>
      </c>
      <c r="B102" s="6" t="inlineStr">
        <is>
          <t>Öte Diyar'da üniversite okudu.</t>
        </is>
      </c>
      <c r="C102" s="6" t="inlineStr">
        <is>
          <t>Öte Diyar'da öğrencilik: yeni bir dil, yalnızlık ve her bayram atlanan uçak bileti.</t>
        </is>
      </c>
    </row>
    <row r="103">
      <c r="A103" s="5" t="inlineStr">
        <is>
          <t>utangac</t>
        </is>
      </c>
      <c r="B103" s="6" t="inlineStr">
        <is>
          <t>İlk buluşmada reddedildi.</t>
        </is>
      </c>
      <c r="C103" s="6" t="inlineStr">
        <is>
          <t>Kalbin biraz kırık. Bir sonraki buluşmaya daha temkinli gideceksin.</t>
        </is>
      </c>
    </row>
    <row r="104">
      <c r="A104" s="5" t="inlineStr">
        <is>
          <t>duz-lise</t>
        </is>
      </c>
      <c r="B104" s="6" t="inlineStr">
        <is>
          <t>Mahallenin lisesine gitti.</t>
        </is>
      </c>
      <c r="C104" s="6" t="inlineStr">
        <is>
          <t>Mahallenin lisesi: kalabalık sınıflar, kantinde tost ve kimsenin senden pek bir şey beklemediği dört yıl.</t>
        </is>
      </c>
    </row>
    <row r="105">
      <c r="A105" s="5" t="inlineStr">
        <is>
          <t>kiraci</t>
        </is>
      </c>
      <c r="B105" s="6" t="inlineStr">
        <is>
          <t>Tek başına kiraya çıktı.</t>
        </is>
      </c>
      <c r="C105" s="6" t="inlineStr">
        <is>
          <t>Kiracı hayatı: her yıl gelen “Kirayı güncelleyelim” telefonu ve depozitonun geri dönüp dönmeyeceği sorusu.</t>
        </is>
      </c>
    </row>
    <row r="106">
      <c r="A106" s="5" t="inlineStr">
        <is>
          <t>ev-arkadasli</t>
        </is>
      </c>
      <c r="B106" s="6" t="inlineStr">
        <is>
          <t>Bir ev arkadaşıyla eve çıktı.</t>
        </is>
      </c>
      <c r="C106" s="6" t="inlineStr">
        <is>
          <t>Ev arkadaşlı hayat: bulaşık nöbeti, ortak fatura ve birinin mutlaka taşınacağı o gün.</t>
        </is>
      </c>
    </row>
    <row r="107">
      <c r="A107" s="5" t="inlineStr">
        <is>
          <t>evde-kaldi</t>
        </is>
      </c>
      <c r="B107" s="6" t="inlineStr">
        <is>
          <t>Ailesinin evinde kaldı.</t>
        </is>
      </c>
      <c r="C107" s="6" t="inlineStr">
        <is>
          <t>Aile evinde yetişkinlik: kira yok, “Nereye?” sorusu var; evlenene kadar ya da evlenmeyi düşünene kadar.</t>
        </is>
      </c>
    </row>
    <row r="108">
      <c r="A108" s="5" t="inlineStr">
        <is>
          <t>aile-dairesi</t>
        </is>
      </c>
      <c r="B108" s="6" t="inlineStr">
        <is>
          <t>Ailesinin aldığı daireye yerleşti.</t>
        </is>
      </c>
      <c r="C108" s="6" t="inlineStr">
        <is>
          <t>Ailenin dairesinde hayat: kira yok, habersiz pazar ziyaretleri var.</t>
        </is>
      </c>
    </row>
    <row r="109">
      <c r="A109" s="5" t="inlineStr">
        <is>
          <t>abiye-borclu</t>
        </is>
      </c>
      <c r="B109" s="6" t="inlineStr">
        <is>
          <t>Abiye bir iyilik borcu var. Abi unutmaz.</t>
        </is>
      </c>
      <c r="C109" s="6" t="inlineStr">
        <is>
          <t>Abinin bir iyiliği var sende. Günü gelince isteyecek.</t>
        </is>
      </c>
    </row>
    <row r="110">
      <c r="A110" s="5" t="inlineStr">
        <is>
          <t>bedelli</t>
        </is>
      </c>
      <c r="B110" s="6" t="inlineStr">
        <is>
          <t>Askerliği bedelli yaptı; tek nöbeti banka kuyruğundaydı.</t>
        </is>
      </c>
      <c r="C110" s="6" t="inlineStr">
        <is>
          <t>Askerlik bitti sayılır. İş görüşmelerinde “Yaptın mı?” sorusuna kısa bir cevabın var.</t>
        </is>
      </c>
    </row>
    <row r="111">
      <c r="A111" s="5" t="inlineStr">
        <is>
          <t>curuk-rapor</t>
        </is>
      </c>
      <c r="B111" s="6" t="inlineStr">
        <is>
          <t>Heyetten “elverişsiz” raporu aldı; düztabanlığı efsane oldu.</t>
        </is>
      </c>
      <c r="C111" s="6" t="inlineStr">
        <is>
          <t>Raporun cebinde. Düztabanlığın da artık hayat boyu seninle.</t>
        </is>
      </c>
    </row>
    <row r="112">
      <c r="A112" s="5" t="inlineStr">
        <is>
          <t>kisla-kankasi</t>
        </is>
      </c>
      <c r="B112" s="6" t="inlineStr">
        <is>
          <t>Kışladan ömürlük üç arkadaşla döndü.</t>
        </is>
      </c>
      <c r="C112" s="6" t="inlineStr"/>
    </row>
    <row r="113">
      <c r="A113" s="5" t="inlineStr">
        <is>
          <t>komiser-tanidik</t>
        </is>
      </c>
      <c r="B113" s="6" t="inlineStr">
        <is>
          <t>Cüzdanında bir komiserin kartviziti var.</t>
        </is>
      </c>
      <c r="C113" s="6" t="inlineStr"/>
    </row>
    <row r="114">
      <c r="A114" s="5" t="inlineStr">
        <is>
          <t>yabanci-dil</t>
        </is>
      </c>
      <c r="B114" s="6" t="inlineStr">
        <is>
          <t>Öte Diyar'da yerli dostlar edindi; rüyalarını iki dilde gördü.</t>
        </is>
      </c>
      <c r="C114" s="6" t="inlineStr"/>
    </row>
    <row r="115">
      <c r="A115" s="5" t="inlineStr">
        <is>
          <t>yurtdan-dondu</t>
        </is>
      </c>
      <c r="B115" s="6" t="inlineStr">
        <is>
          <t>Öte Diyar'dan diplomasıyla döndü.</t>
        </is>
      </c>
      <c r="C115" s="6" t="inlineStr">
        <is>
          <t>Dönüşün hikâyesi: “Neden döndün?” sorusu, ondan sonra da “Keşke kalsaydın.”</t>
        </is>
      </c>
    </row>
    <row r="116">
      <c r="A116" s="5" t="inlineStr">
        <is>
          <t>abiden-koptu</t>
        </is>
      </c>
      <c r="B116" s="6" t="inlineStr">
        <is>
          <t>Abinin gölgesinden çıkıp kendi işini kurdu.</t>
        </is>
      </c>
      <c r="C116" s="6" t="inlineStr"/>
    </row>
    <row r="117">
      <c r="A117" s="5" t="inlineStr">
        <is>
          <t>abiye-karsi-sigorta</t>
        </is>
      </c>
      <c r="B117" s="6" t="inlineStr">
        <is>
          <t>Abinin defterinin bir fotokopisi bir kasada duruyor.</t>
        </is>
      </c>
      <c r="C117" s="6" t="inlineStr"/>
    </row>
    <row r="118">
      <c r="A118" s="5" t="inlineStr">
        <is>
          <t>vicdan-sesi</t>
        </is>
      </c>
      <c r="B118" s="6" t="inlineStr">
        <is>
          <t>Bir telefonu kapatmayı bildi.</t>
        </is>
      </c>
      <c r="C118" s="6" t="inlineStr"/>
    </row>
    <row r="119">
      <c r="A119" s="5" t="inlineStr">
        <is>
          <t>ifsa-oldu</t>
        </is>
      </c>
      <c r="B119" s="6" t="inlineStr">
        <is>
          <t>Sesi bir haber sitesinde yayınlandı; adı değil.</t>
        </is>
      </c>
      <c r="C119" s="6" t="inlineStr"/>
    </row>
    <row r="120">
      <c r="A120" s="5" t="inlineStr">
        <is>
          <t>hat-polis</t>
        </is>
      </c>
      <c r="B120" s="6" t="inlineStr">
        <is>
          <t>Polis oldu.</t>
        </is>
      </c>
      <c r="C120" s="6" t="inlineStr">
        <is>
          <t>Karakol hayatı: nöbetler, tayin kâğıtları ve her amirin kendine göre bir “usulü.”</t>
        </is>
      </c>
    </row>
    <row r="121">
      <c r="A121" s="5" t="inlineStr">
        <is>
          <t>hat-yargi</t>
        </is>
      </c>
      <c r="B121" s="6" t="inlineStr">
        <is>
          <t>Hâkim oldu.</t>
        </is>
      </c>
      <c r="C121" s="6" t="inlineStr">
        <is>
          <t>Adliye koridorları: tayinler, dosya yığınları ve kürsüye giden uzun yol.</t>
        </is>
      </c>
    </row>
    <row r="122">
      <c r="A122" s="5" t="inlineStr">
        <is>
          <t>hat-hekim</t>
        </is>
      </c>
      <c r="B122" s="6" t="inlineStr">
        <is>
          <t>Hekim oldu.</t>
        </is>
      </c>
      <c r="C122" s="6" t="inlineStr">
        <is>
          <t>Hekimlik: nöbetler, bitmeyen dosyalar ve aile grubunda her gün yeni bir semptom sorusu.</t>
        </is>
      </c>
    </row>
    <row r="123">
      <c r="A123" s="5" t="inlineStr">
        <is>
          <t>hat-cete</t>
        </is>
      </c>
      <c r="B123" s="6" t="inlineStr">
        <is>
          <t>Abinin işine girdi.</t>
        </is>
      </c>
      <c r="C123" s="6" t="inlineStr">
        <is>
          <t>Abinin paravan dükkânı: kira, rakipler ve deftere yazılmayan hesaplar.</t>
        </is>
      </c>
    </row>
    <row r="124">
      <c r="A124" s="5" t="inlineStr">
        <is>
          <t>hat-sohret</t>
        </is>
      </c>
      <c r="B124" s="6" t="inlineStr">
        <is>
          <t>Şöhretin peşine düştü.</t>
        </is>
      </c>
      <c r="C124" s="6" t="inlineStr">
        <is>
          <t>Sahne hayatı: fatura kovalamaca, görünürlük teklifleri ve bir gün gerçekten tanınma ihtimali.</t>
        </is>
      </c>
    </row>
    <row r="125">
      <c r="A125" s="5" t="inlineStr">
        <is>
          <t>hat-koy</t>
        </is>
      </c>
      <c r="B125" s="6" t="inlineStr">
        <is>
          <t>Köye döndü, toprağı işledi.</t>
        </is>
      </c>
      <c r="C125" s="6" t="inlineStr">
        <is>
          <t>Toprakla hayat: pazar tezgâhı, kira yerine hava durumu ve şehre gidip gelen kamyonlar.</t>
        </is>
      </c>
    </row>
    <row r="126">
      <c r="A126" s="5" t="inlineStr">
        <is>
          <t>hat-usta</t>
        </is>
      </c>
      <c r="B126" s="6" t="inlineStr">
        <is>
          <t>Sanayide kendi ustalığını ilan etti.</t>
        </is>
      </c>
      <c r="C126" s="6" t="inlineStr">
        <is>
          <t>Kendi tezgâhında ustalık: kira artışları, karşı dükkân ve yanına alacağın ilk çırak.</t>
        </is>
      </c>
    </row>
    <row r="127">
      <c r="A127" s="5" t="inlineStr">
        <is>
          <t>hat-dolandirici</t>
        </is>
      </c>
      <c r="B127" s="6" t="inlineStr">
        <is>
          <t>Telefonda “size özel fırsat” sattı.</t>
        </is>
      </c>
      <c r="C127" s="6" t="inlineStr">
        <is>
          <t>“Size özel fırsat” işi: kolay para, zor faturalar ve her telefon çaldığında gelen küçük bir ürperti.</t>
        </is>
      </c>
    </row>
    <row r="128">
      <c r="A128" s="5" t="inlineStr">
        <is>
          <t>hat-girisimci</t>
        </is>
      </c>
      <c r="B128" s="6" t="inlineStr">
        <is>
          <t>Kendi şirketini kurdu.</t>
        </is>
      </c>
      <c r="C128" s="6" t="inlineStr">
        <is>
          <t>Kendi şirketin: fatura kovalamaca, yapay zekâ rakipler ve “Bir gün büyüyeceğiz” inancı.</t>
        </is>
      </c>
    </row>
    <row r="129">
      <c r="A129" s="5" t="inlineStr">
        <is>
          <t>hat-goc</t>
        </is>
      </c>
      <c r="B129" s="6" t="inlineStr">
        <is>
          <t>Öte Diyar'da kaldı.</t>
        </is>
      </c>
      <c r="C129" s="6" t="inlineStr">
        <is>
          <t>Gurbette hayat: plaza koridorları, bayramda ekran ve her yıl biraz daha yabancılaşan memleket.</t>
        </is>
      </c>
    </row>
    <row r="130">
      <c r="A130" s="5" t="inlineStr">
        <is>
          <t>zarf-aldi</t>
        </is>
      </c>
      <c r="B130" s="6" t="inlineStr">
        <is>
          <t>Rüşvet zarfını aldı; kimse fark etmedi.</t>
        </is>
      </c>
      <c r="C130" s="6" t="inlineStr">
        <is>
          <t>Zarf unutulmadı; ileride bir teftiş eski dosyaları açabilir.</t>
        </is>
      </c>
    </row>
    <row r="131">
      <c r="A131" s="5" t="inlineStr">
        <is>
          <t>polis-gozetim</t>
        </is>
      </c>
      <c r="B131" s="6" t="inlineStr">
        <is>
          <t>Karşı tarafa geçemedi; kalan yıllarını gözetim altında bir polis olarak geçirdi.</t>
        </is>
      </c>
      <c r="C131" s="6" t="inlineStr">
        <is>
          <t>Her raporu bir üst makamda ikinci kez okunacak.</t>
        </is>
      </c>
    </row>
    <row r="132">
      <c r="A132" s="5" t="inlineStr">
        <is>
          <t>polis-surgun</t>
        </is>
      </c>
      <c r="B132" s="6" t="inlineStr">
        <is>
          <t>Rüşveti ihbar etti, uzak bir ilçeye sürüldü.</t>
        </is>
      </c>
      <c r="C132" s="6" t="inlineStr">
        <is>
          <t>Uzak bir ilçede, küçük bir karakolda devam edecek.</t>
        </is>
      </c>
    </row>
    <row r="133">
      <c r="A133" s="5" t="inlineStr">
        <is>
          <t>yargi-leke</t>
        </is>
      </c>
      <c r="B133" s="6" t="inlineStr">
        <is>
          <t>Büyük dosyada baskıya boyun eğdi; kimse ispatlayamadı.</t>
        </is>
      </c>
      <c r="C133" s="6" t="inlineStr">
        <is>
          <t>O dosya bir gün yeniden önüne gelebilir.</t>
        </is>
      </c>
    </row>
    <row r="134">
      <c r="A134" s="5" t="inlineStr">
        <is>
          <t>klinik-sefi</t>
        </is>
      </c>
      <c r="B134" s="6" t="inlineStr">
        <is>
          <t>Otuz beşinde klinik şefi oldu.</t>
        </is>
      </c>
      <c r="C134" s="6" t="inlineStr">
        <is>
          <t>Şeflik yükü ve imkânıyla devam edecek.</t>
        </is>
      </c>
    </row>
    <row r="135">
      <c r="A135" s="5" t="inlineStr">
        <is>
          <t>memur-terfi</t>
        </is>
      </c>
      <c r="B135" s="6" t="inlineStr">
        <is>
          <t>Tayini değil, terfiyi seçti; şube müdürü oldu.</t>
        </is>
      </c>
      <c r="C135" s="6" t="inlineStr"/>
    </row>
    <row r="136">
      <c r="A136" s="5" t="inlineStr">
        <is>
          <t>kriz-isten-cikti</t>
        </is>
      </c>
      <c r="B136" s="6" t="inlineStr">
        <is>
          <t>Küçülme dalgasında işten çıkarıldı.</t>
        </is>
      </c>
      <c r="C136" s="6" t="inlineStr">
        <is>
          <t>İşsiz ve tazminatlı yeni bir döneme giriyor.</t>
        </is>
      </c>
    </row>
    <row r="137">
      <c r="A137" s="5" t="inlineStr">
        <is>
          <t>polis-muhbir</t>
        </is>
      </c>
      <c r="B137" s="6" t="inlineStr">
        <is>
          <t>Bir simitçiyi muhbir yaptı; simitçi ömür boyu onun adamı kaldı.</t>
        </is>
      </c>
      <c r="C137" s="6" t="inlineStr"/>
    </row>
    <row r="138">
      <c r="A138" s="5" t="inlineStr">
        <is>
          <t>polis-yuz-okur</t>
        </is>
      </c>
      <c r="B138" s="6" t="inlineStr">
        <is>
          <t>Blöfle üç şüpheliyi birden konuşturdu; “yüz okuyan komiser” diye anıldı.</t>
        </is>
      </c>
      <c r="C138" s="6" t="inlineStr"/>
    </row>
    <row r="139">
      <c r="A139" s="5" t="inlineStr">
        <is>
          <t>polis-sadik-ekip</t>
        </is>
      </c>
      <c r="B139" s="6" t="inlineStr">
        <is>
          <t>Ekibini tek tek dinledi; ekip de onu nereye giderse izledi.</t>
        </is>
      </c>
      <c r="C139" s="6" t="inlineStr"/>
    </row>
    <row r="140">
      <c r="A140" s="5" t="inlineStr">
        <is>
          <t>polis-mudur</t>
        </is>
      </c>
      <c r="B140" s="6" t="inlineStr">
        <is>
          <t>Emniyet müdürü oldu.</t>
        </is>
      </c>
      <c r="C140" s="6" t="inlineStr"/>
    </row>
    <row r="141">
      <c r="A141" s="5" t="inlineStr">
        <is>
          <t>yargi-horoz-karari</t>
        </is>
      </c>
      <c r="B141" s="6" t="inlineStr">
        <is>
          <t>Kasabada verdiği “Horoz Kararı” fakültede ders oldu.</t>
        </is>
      </c>
      <c r="C141" s="6" t="inlineStr"/>
    </row>
    <row r="142">
      <c r="A142" s="5" t="inlineStr">
        <is>
          <t>yargi-kedi-karari</t>
        </is>
      </c>
      <c r="B142" s="6" t="inlineStr">
        <is>
          <t>Bir kedinin ortak velayetine gerekçeli karar yazdı.</t>
        </is>
      </c>
      <c r="C142" s="6" t="inlineStr"/>
    </row>
    <row r="143">
      <c r="A143" s="5" t="inlineStr">
        <is>
          <t>yargi-yuksek</t>
        </is>
      </c>
      <c r="B143" s="6" t="inlineStr">
        <is>
          <t>Yüksek mahkeme üyesi oldu.</t>
        </is>
      </c>
      <c r="C143" s="6" t="inlineStr"/>
    </row>
    <row r="144">
      <c r="A144" s="5" t="inlineStr">
        <is>
          <t>hekim-ilce-sevgisi</t>
        </is>
      </c>
      <c r="B144" s="6" t="inlineStr">
        <is>
          <t>Mecburi hizmette ilçenin evladı oldu; reçeller yıllarca geldi.</t>
        </is>
      </c>
      <c r="C144" s="6" t="inlineStr"/>
    </row>
    <row r="145">
      <c r="A145" s="5" t="inlineStr">
        <is>
          <t>hekim-sozcu-usulu</t>
        </is>
      </c>
      <c r="B145" s="6" t="inlineStr">
        <is>
          <t>Hasta yakınlarına sözcü usulünü getirdi; koridorlar sustu.</t>
        </is>
      </c>
      <c r="C145" s="6" t="inlineStr"/>
    </row>
    <row r="146">
      <c r="A146" s="5" t="inlineStr">
        <is>
          <t>hekim-profesor</t>
        </is>
      </c>
      <c r="B146" s="6" t="inlineStr">
        <is>
          <t>Profesör oldu.</t>
        </is>
      </c>
      <c r="C146" s="6" t="inlineStr"/>
    </row>
    <row r="147">
      <c r="A147" s="5" t="inlineStr">
        <is>
          <t>hapis</t>
        </is>
      </c>
      <c r="B147" s="6" t="inlineStr">
        <is>
          <t>Bir süre devletin misafiri oldu.</t>
        </is>
      </c>
      <c r="C147" s="6" t="inlineStr">
        <is>
          <t>Koğuş hayatı: tavla hiyerarşisi, görüş günleri ve af söylentileri.</t>
        </is>
      </c>
    </row>
    <row r="148">
      <c r="A148" s="5" t="inlineStr">
        <is>
          <t>eski-hukumlu</t>
        </is>
      </c>
      <c r="B148" s="6" t="inlineStr">
        <is>
          <t>Sabıka kaydı var; anlatacak hikâyesi de.</t>
        </is>
      </c>
      <c r="C148" s="6" t="inlineStr">
        <is>
          <t>Eski hükümlü hayatı: iş başvurularında açıklaması zor bir boşluk, kahvede anlatması kolay bir hikâye.</t>
        </is>
      </c>
    </row>
    <row r="149">
      <c r="A149" s="5" t="inlineStr">
        <is>
          <t>mahalle-babasi</t>
        </is>
      </c>
      <c r="B149" s="6" t="inlineStr">
        <is>
          <t>Mahallede kavgaları o bitirir, düğün tarihlerini o belirler.</t>
        </is>
      </c>
      <c r="C149" s="6" t="inlineStr">
        <is>
          <t>Mahalle babalığı: hatır masası, eski defterler ve kapıda bekleyen veliahtlar.</t>
        </is>
      </c>
    </row>
    <row r="150">
      <c r="A150" s="5" t="inlineStr">
        <is>
          <t>esnaf-direndi</t>
        </is>
      </c>
      <c r="B150" s="6" t="inlineStr">
        <is>
          <t>Karşıya açılan zincir markete rağmen kepenk kapatmadı.</t>
        </is>
      </c>
      <c r="C150" s="6" t="inlineStr">
        <is>
          <t>Direnen esnaf: veresiye defteri, sadık müşteriler ve karşıdaki marketin ışıkları.</t>
        </is>
      </c>
    </row>
    <row r="151">
      <c r="A151" s="5" t="inlineStr">
        <is>
          <t>tefeci-defteri</t>
        </is>
      </c>
      <c r="B151" s="6" t="inlineStr">
        <is>
          <t>Mahallenin yarısı onun defterinde yazılı.</t>
        </is>
      </c>
      <c r="C151" s="6" t="inlineStr"/>
    </row>
    <row r="152">
      <c r="A152" s="5" t="inlineStr">
        <is>
          <t>kolay-para-gurusu</t>
        </is>
      </c>
      <c r="B152" s="6" t="inlineStr">
        <is>
          <t>Bir düğün salonu dolusu insana “kolay para” anlattı.</t>
        </is>
      </c>
      <c r="C152" s="6" t="inlineStr">
        <is>
          <t>Guru hayatı: kitap, televizyon ve bir gün mutlaka karşına çıkan eski öğrenciler.</t>
        </is>
      </c>
    </row>
    <row r="153">
      <c r="A153" s="5" t="inlineStr">
        <is>
          <t>paralari-iade</t>
        </is>
      </c>
      <c r="B153" s="6" t="inlineStr">
        <is>
          <t>Bir gün paraları geri ödedi. Neredeyse hepsini.</t>
        </is>
      </c>
      <c r="C153" s="6" t="inlineStr"/>
    </row>
    <row r="154">
      <c r="A154" s="5" t="inlineStr">
        <is>
          <t>kogus-dostu</t>
        </is>
      </c>
      <c r="B154" s="6" t="inlineStr">
        <is>
          <t>Koğuştan ömürlük bir tavla rakibiyle çıktı.</t>
        </is>
      </c>
      <c r="C154" s="6" t="inlineStr"/>
    </row>
    <row r="155">
      <c r="A155" s="5" t="inlineStr">
        <is>
          <t>islah-sertifikasi</t>
        </is>
      </c>
      <c r="B155" s="6" t="inlineStr">
        <is>
          <t>Islah kursundan sertifikayla çıktı.</t>
        </is>
      </c>
      <c r="C155" s="6" t="inlineStr"/>
    </row>
    <row r="156">
      <c r="A156" s="5" t="inlineStr">
        <is>
          <t>sohret-dizi-rolu</t>
        </is>
      </c>
      <c r="B156" s="6" t="inlineStr">
        <is>
          <t>Akşam kuşağı dizisinde rol kaptı.</t>
        </is>
      </c>
      <c r="C156" s="6" t="inlineStr"/>
    </row>
    <row r="157">
      <c r="A157" s="5" t="inlineStr">
        <is>
          <t>sohret-reklam-yuzu</t>
        </is>
      </c>
      <c r="B157" s="6" t="inlineStr">
        <is>
          <t>Bir deterjan reklamının yüzü oldu.</t>
        </is>
      </c>
      <c r="C157" s="6" t="inlineStr"/>
    </row>
    <row r="158">
      <c r="A158" s="5" t="inlineStr">
        <is>
          <t>sohret-donus</t>
        </is>
      </c>
      <c r="B158" s="6" t="inlineStr">
        <is>
          <t>Skandaldan sonra sessiz kaldı, geri döndü.</t>
        </is>
      </c>
      <c r="C158" s="6" t="inlineStr"/>
    </row>
    <row r="159">
      <c r="A159" s="5" t="inlineStr">
        <is>
          <t>sohret-kapak-oldu</t>
        </is>
      </c>
      <c r="B159" s="6" t="inlineStr">
        <is>
          <t>Magazin kapağına çıktı.</t>
        </is>
      </c>
      <c r="C159" s="6" t="inlineStr"/>
    </row>
    <row r="160">
      <c r="A160" s="5" t="inlineStr">
        <is>
          <t>girisim-ilk-musteri</t>
        </is>
      </c>
      <c r="B160" s="6" t="inlineStr">
        <is>
          <t>İlk müşterisini kapı kapı dolaşıp buldu.</t>
        </is>
      </c>
      <c r="C160" s="6" t="inlineStr"/>
    </row>
    <row r="161">
      <c r="A161" s="5" t="inlineStr">
        <is>
          <t>girisim-pivotcu</t>
        </is>
      </c>
      <c r="B161" s="6" t="inlineStr">
        <is>
          <t>Şirketini bir gecede yapay zekâ şirketi yaptı.</t>
        </is>
      </c>
      <c r="C161" s="6" t="inlineStr"/>
    </row>
    <row r="162">
      <c r="A162" s="5" t="inlineStr">
        <is>
          <t>holding</t>
        </is>
      </c>
      <c r="B162" s="6" t="inlineStr">
        <is>
          <t>Şirketini holdinge dönüştürdü.</t>
        </is>
      </c>
      <c r="C162" s="6" t="inlineStr">
        <is>
          <t>Sonraki bölümde holding seni toplantıdan toplantıya taşıyacak.</t>
        </is>
      </c>
    </row>
    <row r="163">
      <c r="A163" s="5" t="inlineStr">
        <is>
          <t>sirketi-satti</t>
        </is>
      </c>
      <c r="B163" s="6" t="inlineStr">
        <is>
          <t>Şirketini sattı; adı kapıdan söküldü.</t>
        </is>
      </c>
      <c r="C163" s="6" t="inlineStr">
        <is>
          <t>Sonraki bölümde “seri girişimci” unvanıyla dolaşacaksın.</t>
        </is>
      </c>
    </row>
    <row r="164">
      <c r="A164" s="5" t="inlineStr">
        <is>
          <t>parti-il-yoneticisi</t>
        </is>
      </c>
      <c r="B164" s="6" t="inlineStr">
        <is>
          <t>Partinin il yöneticisi oldu; çayla başladı.</t>
        </is>
      </c>
      <c r="C164" s="6" t="inlineStr"/>
    </row>
    <row r="165">
      <c r="A165" s="5" t="inlineStr">
        <is>
          <t>meclis-uyesi</t>
        </is>
      </c>
      <c r="B165" s="6" t="inlineStr">
        <is>
          <t>Belediye meclis üyesi seçildi.</t>
        </is>
      </c>
      <c r="C165" s="6" t="inlineStr"/>
    </row>
    <row r="166">
      <c r="A166" s="5" t="inlineStr">
        <is>
          <t>belediye-baskani</t>
        </is>
      </c>
      <c r="B166" s="6" t="inlineStr">
        <is>
          <t>Belediye başkanı seçildi.</t>
        </is>
      </c>
      <c r="C166" s="6" t="inlineStr">
        <is>
          <t>Sonraki bölümde anı kitabın bu dönemle dolacak.</t>
        </is>
      </c>
    </row>
    <row r="167">
      <c r="A167" s="5" t="inlineStr">
        <is>
          <t>tv-tartismaci</t>
        </is>
      </c>
      <c r="B167" s="6" t="inlineStr">
        <is>
          <t>Gece yarısı tartışmalarının aranan konuğu oldu.</t>
        </is>
      </c>
      <c r="C167" s="6" t="inlineStr"/>
    </row>
    <row r="168">
      <c r="A168" s="5" t="inlineStr">
        <is>
          <t>secim-kazandi</t>
        </is>
      </c>
      <c r="B168" s="6" t="inlineStr">
        <is>
          <t>Makarya Meclisi'ne seçildi.</t>
        </is>
      </c>
      <c r="C168" s="6" t="inlineStr">
        <is>
          <t>Sonraki bölümde herkes sana “Başkanım” diyecek, nedenini sormadan.</t>
        </is>
      </c>
    </row>
    <row r="169">
      <c r="A169" s="5" t="inlineStr">
        <is>
          <t>ihaleci</t>
        </is>
      </c>
      <c r="B169" s="6" t="inlineStr">
        <is>
          <t>Seçim gecesi bir ihale teklifini kabul etti.</t>
        </is>
      </c>
      <c r="C169" s="6" t="inlineStr">
        <is>
          <t>Sonraki bölümde o ihale anılarından çıkmayacak.</t>
        </is>
      </c>
    </row>
    <row r="170">
      <c r="A170" s="5" t="inlineStr">
        <is>
          <t>memlekette-ev</t>
        </is>
      </c>
      <c r="B170" s="6" t="inlineStr">
        <is>
          <t>Gurbetteyken memlekette küçük bir ev aldı; anahtarı annesindeydi.</t>
        </is>
      </c>
      <c r="C170" s="6" t="inlineStr"/>
    </row>
    <row r="171">
      <c r="A171" s="5" t="inlineStr">
        <is>
          <t>ote-diyar-vatandasi</t>
        </is>
      </c>
      <c r="B171" s="6" t="inlineStr">
        <is>
          <t>Öte Diyar vatandaşı oldu; pasaport fotoğrafında kurallara aykırı biçimde gülüyordu.</t>
        </is>
      </c>
      <c r="C171" s="6" t="inlineStr">
        <is>
          <t>İki pasaportlu hayat: iki seçim sandığı, iki vergi dairesi ve her bayramda “Hangi taraftasın?” sorusu.</t>
        </is>
      </c>
    </row>
    <row r="172">
      <c r="A172" s="5" t="inlineStr">
        <is>
          <t>ote-diyar-dukkani</t>
        </is>
      </c>
      <c r="B172" s="6" t="inlineStr">
        <is>
          <t>Öte Diyar'da iki dilli tabelalı bir dükkân açtı.</t>
        </is>
      </c>
      <c r="C172" s="6" t="inlineStr">
        <is>
          <t>Gurbette dükkân: kira iki dilde artar, müşteriler iki dilde pazarlık eder.</t>
        </is>
      </c>
    </row>
    <row r="173">
      <c r="A173" s="5" t="inlineStr">
        <is>
          <t>gurbet-ogretmeni</t>
        </is>
      </c>
      <c r="B173" s="6" t="inlineStr">
        <is>
          <t>Gurbette çocuklara memleket dilini öğretti.</t>
        </is>
      </c>
      <c r="C173" s="6" t="inlineStr"/>
    </row>
    <row r="174">
      <c r="A174" s="5" t="inlineStr">
        <is>
          <t>donuse-hazir</t>
        </is>
      </c>
      <c r="B174" s="6" t="inlineStr">
        <is>
          <t>Memleketteki evi dönüş için onarttı; kendisi hep yarı hazırdı.</t>
        </is>
      </c>
      <c r="C174" s="6" t="inlineStr"/>
    </row>
    <row r="175">
      <c r="A175" s="5" t="inlineStr">
        <is>
          <t>yazliga-dondu</t>
        </is>
      </c>
      <c r="B175" s="6" t="inlineStr">
        <is>
          <t>Emekliliğinde memleketteki evine döndü; balkonda mangal yaktı.</t>
        </is>
      </c>
      <c r="C175" s="6" t="inlineStr"/>
    </row>
    <row r="176">
      <c r="A176" s="5" t="inlineStr">
        <is>
          <t>iki-memleketli</t>
        </is>
      </c>
      <c r="B176" s="6" t="inlineStr">
        <is>
          <t>Kışları Öte Diyar'da, yazları memlekette geçirdi; iki mahallede de beklendi.</t>
        </is>
      </c>
      <c r="C176" s="6" t="inlineStr"/>
    </row>
    <row r="177">
      <c r="A177" s="5" t="inlineStr">
        <is>
          <t>keci-dostu</t>
        </is>
      </c>
      <c r="B177" s="6" t="inlineStr">
        <is>
          <t>Sürünün lider keçisiyle anlaştı.</t>
        </is>
      </c>
      <c r="C177" s="6" t="inlineStr"/>
    </row>
    <row r="178">
      <c r="A178" s="5" t="inlineStr">
        <is>
          <t>kooperatif-defteri</t>
        </is>
      </c>
      <c r="B178" s="6" t="inlineStr">
        <is>
          <t>Kooperatifin hesap defterini tuttu.</t>
        </is>
      </c>
      <c r="C178" s="6" t="inlineStr"/>
    </row>
    <row r="179">
      <c r="A179" s="5" t="inlineStr">
        <is>
          <t>kahvede-sozu-var</t>
        </is>
      </c>
      <c r="B179" s="6" t="inlineStr">
        <is>
          <t>Köy kahvesinde iki küs üyeyi barıştırdı; sözü dinlendi.</t>
        </is>
      </c>
      <c r="C179" s="6" t="inlineStr"/>
    </row>
    <row r="180">
      <c r="A180" s="5" t="inlineStr">
        <is>
          <t>muhtar</t>
        </is>
      </c>
      <c r="B180" s="6" t="inlineStr">
        <is>
          <t>Köyün muhtarı oldu; mühür cebinde yıprandı.</t>
        </is>
      </c>
      <c r="C180" s="6" t="inlineStr">
        <is>
          <t>Muhtarlık: mühür, dilekçeler, bitmeyen soba meselesi ve her kararından sonra kahvede toplanan bir meclis.</t>
        </is>
      </c>
    </row>
    <row r="181">
      <c r="A181" s="5" t="inlineStr">
        <is>
          <t>kooperatif</t>
        </is>
      </c>
      <c r="B181" s="6" t="inlineStr">
        <is>
          <t>Köyde kooperatif kurdu; peynirleri şehre gitti.</t>
        </is>
      </c>
      <c r="C181" s="6" t="inlineStr">
        <is>
          <t>Kooperatif hayatı: uzun toplantılar, süt tankı hesapları ve peynirin şehirdeki fiyatı.</t>
        </is>
      </c>
    </row>
    <row r="182">
      <c r="A182" s="5" t="inlineStr">
        <is>
          <t>koy-fenomeni</t>
        </is>
      </c>
      <c r="B182" s="6" t="inlineStr">
        <is>
          <t>Keçileriyle çektiği videolarla ülke çapında tanındı.</t>
        </is>
      </c>
      <c r="C182" s="6" t="inlineStr">
        <is>
          <t>Köy fenomenliği: keçilerin reklam anlaşmaları, kahveye gelen turistler ve her an çalışan bir kamera.</t>
        </is>
      </c>
    </row>
    <row r="183">
      <c r="A183" s="5" t="inlineStr">
        <is>
          <t>unlu-koylu</t>
        </is>
      </c>
      <c r="B183" s="6" t="inlineStr">
        <is>
          <t>Bir belgesel sayesinde “Belgeseldeki adam” olarak tanındı.</t>
        </is>
      </c>
      <c r="C183" s="6" t="inlineStr"/>
    </row>
    <row r="184">
      <c r="A184" s="5" t="inlineStr">
        <is>
          <t>koy-hafizasi</t>
        </is>
      </c>
      <c r="B184" s="6" t="inlineStr">
        <is>
          <t>Köyün hikâyesini bir deftere yazdı.</t>
        </is>
      </c>
      <c r="C184" s="6" t="inlineStr"/>
    </row>
    <row r="185">
      <c r="A185" s="5" t="inlineStr">
        <is>
          <t>usta-ciragi-var</t>
        </is>
      </c>
      <c r="B185" s="6" t="inlineStr">
        <is>
          <t>İlk çırağını yetiştirdi.</t>
        </is>
      </c>
      <c r="C185" s="6" t="inlineStr"/>
    </row>
    <row r="186">
      <c r="A186" s="5" t="inlineStr">
        <is>
          <t>sanayi-hakemi</t>
        </is>
      </c>
      <c r="B186" s="6" t="inlineStr">
        <is>
          <t>Sanayide ustaların kavgasını çözen kişi oldu.</t>
        </is>
      </c>
      <c r="C186" s="6" t="inlineStr"/>
    </row>
    <row r="187">
      <c r="A187" s="5" t="inlineStr">
        <is>
          <t>usta-buyudu</t>
        </is>
      </c>
      <c r="B187" s="6" t="inlineStr">
        <is>
          <t>Yeni sanayi sitesinde iki katlı dükkânıyla büyüdü.</t>
        </is>
      </c>
      <c r="C187" s="6" t="inlineStr">
        <is>
          <t>Büyük dükkân: kalfalar, lift taksitleri ve sitenin en kalabalık kapısı.</t>
        </is>
      </c>
    </row>
    <row r="188">
      <c r="A188" s="5" t="inlineStr">
        <is>
          <t>yeni-motor-ustasi</t>
        </is>
      </c>
      <c r="B188" s="6" t="inlineStr">
        <is>
          <t>Sessiz motorların da sesini öğrendi.</t>
        </is>
      </c>
      <c r="C188" s="6" t="inlineStr"/>
    </row>
    <row r="189">
      <c r="A189" s="5" t="inlineStr">
        <is>
          <t>ustalarin-ustasi</t>
        </is>
      </c>
      <c r="B189" s="6" t="inlineStr">
        <is>
          <t>Sanayide “ustaların ustası” diye anıldı.</t>
        </is>
      </c>
      <c r="C189" s="6" t="inlineStr"/>
    </row>
    <row r="190">
      <c r="A190" s="5" t="inlineStr">
        <is>
          <t>son-motor</t>
        </is>
      </c>
      <c r="B190" s="6" t="inlineStr">
        <is>
          <t>Son motorunu kendi elleriyle toplayıp sanayinin girişine bıraktı.</t>
        </is>
      </c>
      <c r="C190" s="6" t="inlineStr"/>
    </row>
    <row r="191">
      <c r="A191" s="5" t="inlineStr">
        <is>
          <t>ikiz</t>
        </is>
      </c>
      <c r="B191" s="6" t="inlineStr">
        <is>
          <t>İkiz babası oldu; bebek arabası pazarlığı iki kez yapıldı.</t>
        </is>
      </c>
      <c r="C191" s="6" t="inlineStr"/>
    </row>
    <row r="192">
      <c r="A192" s="5" t="inlineStr">
        <is>
          <t>kiraci-kaldi</t>
        </is>
      </c>
      <c r="B192" s="6" t="inlineStr">
        <is>
          <t>Ev almak yerine kirada kalmayı seçti.</t>
        </is>
      </c>
      <c r="C192" s="6" t="inlineStr"/>
    </row>
    <row r="193">
      <c r="A193" s="5" t="inlineStr">
        <is>
          <t>aile-yardimi-ev</t>
        </is>
      </c>
      <c r="B193" s="6" t="inlineStr">
        <is>
          <t>Ailesinin yardımıyla ev sahibi oldu; anahtarın yedeği annesinde.</t>
        </is>
      </c>
      <c r="C193" s="6" t="inlineStr"/>
    </row>
    <row r="194">
      <c r="A194" s="5" t="inlineStr">
        <is>
          <t>evin-oglu</t>
        </is>
      </c>
      <c r="B194" s="6" t="inlineStr">
        <is>
          <t>Annesinin evinin oğlu olarak kaldı.</t>
        </is>
      </c>
      <c r="C194" s="6" t="inlineStr">
        <is>
          <t>Evin Oğlu: annenin tencere takvimi, sabit bir oda ve her bayram aynı soru.</t>
        </is>
      </c>
    </row>
    <row r="195">
      <c r="A195" s="5" t="inlineStr">
        <is>
          <t>zirve</t>
        </is>
      </c>
      <c r="B195" s="6" t="inlineStr">
        <is>
          <t>Hattının zirvesine çıktı.</t>
        </is>
      </c>
      <c r="C195" s="6" t="inlineStr">
        <is>
          <t>Zirvedesin: artık herkes senden bir şey istiyor; en çok da zaman.</t>
        </is>
      </c>
    </row>
    <row r="196">
      <c r="A196" s="5" t="inlineStr">
        <is>
          <t>emekliligi-reddetti</t>
        </is>
      </c>
      <c r="B196" s="6" t="inlineStr">
        <is>
          <t>Emekli olmayı reddetti; masası bir müze parçasına dönüştü.</t>
        </is>
      </c>
      <c r="C196" s="6" t="inlineStr"/>
    </row>
    <row r="197">
      <c r="A197" s="5" t="inlineStr">
        <is>
          <t>ask-evliligi</t>
        </is>
      </c>
      <c r="B197" s="6" t="inlineStr">
        <is>
          <t>Aşk evliliği yaptı; kahvesi tuzluydu.</t>
        </is>
      </c>
      <c r="C197" s="6" t="inlineStr"/>
    </row>
    <row r="198">
      <c r="A198" s="5" t="inlineStr">
        <is>
          <t>gorucu</t>
        </is>
      </c>
      <c r="B198" s="6" t="inlineStr">
        <is>
          <t>Görücü usulüyle evlendi; ilk kahve bir yıl sürdü.</t>
        </is>
      </c>
      <c r="C198" s="6" t="inlineStr"/>
    </row>
    <row r="199">
      <c r="A199" s="5" t="inlineStr">
        <is>
          <t>bekar</t>
        </is>
      </c>
      <c r="B199" s="6" t="inlineStr">
        <is>
          <t>Bekâr kaldı; her bayram “Hayırlısı” dinledi.</t>
        </is>
      </c>
      <c r="C199" s="6" t="inlineStr">
        <is>
          <t>Bekâr hayat: bayram sofralarında aynı soru, tek kişilik tatiller ve kimseye hesap vermeyen akşamlar.</t>
        </is>
      </c>
    </row>
    <row r="200">
      <c r="A200" s="5" t="inlineStr">
        <is>
          <t>capkin</t>
        </is>
      </c>
      <c r="B200" s="6" t="inlineStr">
        <is>
          <t>Çapkın ilan edildi; aynı restoranda üç ayrı akşam rezervasyonu vardı.</t>
        </is>
      </c>
      <c r="C200" s="6" t="inlineStr">
        <is>
          <t>Çapkın hayat: aynı restoran, farklı akşamlar ve bir gün mutlaka gelen o tesadüf.</t>
        </is>
      </c>
    </row>
    <row r="201">
      <c r="A201" s="5" t="inlineStr">
        <is>
          <t>capkin-ifsa</t>
        </is>
      </c>
      <c r="B201" s="6" t="inlineStr">
        <is>
          <t>Çapkınlığı bir aile grubunda ifşa oldu.</t>
        </is>
      </c>
      <c r="C201" s="6" t="inlineStr"/>
    </row>
    <row r="202">
      <c r="A202" s="5" t="inlineStr">
        <is>
          <t>hat-politika</t>
        </is>
      </c>
      <c r="B202" s="6" t="inlineStr">
        <is>
          <t>Siyasete atıldı.</t>
        </is>
      </c>
      <c r="C202" s="6" t="inlineStr">
        <is>
          <t>Siyaset: miting çayları, kaldırım vaatleri ve seçim gecesi.</t>
        </is>
      </c>
    </row>
    <row r="203">
      <c r="A203" s="5" t="inlineStr">
        <is>
          <t>ceza-indirimi</t>
        </is>
      </c>
      <c r="B203" s="6" t="inlineStr">
        <is>
          <t>Mahallesi ona kefil oldu; cezası kısaldı.</t>
        </is>
      </c>
      <c r="C203" s="6" t="inlineStr"/>
    </row>
  </sheetData>
  <autoFilter ref="A1:C20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90" customWidth="1" min="3" max="3"/>
    <col width="18" customWidth="1" min="4" max="4"/>
  </cols>
  <sheetData>
    <row r="1" ht="32" customHeight="1">
      <c r="A1" s="4" t="inlineStr">
        <is>
          <t>Asgari yaş</t>
        </is>
      </c>
      <c r="B1" s="4" t="inlineStr">
        <is>
          <t>Azami yaş</t>
        </is>
      </c>
      <c r="C1" s="4" t="inlineStr">
        <is>
          <t>Mezar taşı metni</t>
        </is>
      </c>
      <c r="D1" s="4" t="inlineStr">
        <is>
          <t>Gereken hafıza</t>
        </is>
      </c>
    </row>
    <row r="2">
      <c r="A2" s="5" t="n">
        <v>18</v>
      </c>
      <c r="B2" s="5" t="n">
        <v>40</v>
      </c>
      <c r="C2" s="6" t="inlineStr">
        <is>
          <t>Kira sözleşmesinin ek maddelerini okurken. Madde 14 hâlâ açıklığa kavuşmadı.</t>
        </is>
      </c>
      <c r="D2" s="5" t="inlineStr"/>
    </row>
    <row r="3">
      <c r="A3" s="5" t="n">
        <v>18</v>
      </c>
      <c r="B3" s="5" t="n">
        <v>40</v>
      </c>
      <c r="C3" s="6" t="inlineStr">
        <is>
          <t>Kargo takip ekranında 'dağıtıma çıktı' yazısını beklerken. Kargo ertesi gün teslim edildi.</t>
        </is>
      </c>
      <c r="D3" s="5" t="inlineStr"/>
    </row>
    <row r="4">
      <c r="A4" s="5" t="n">
        <v>18</v>
      </c>
      <c r="B4" s="5" t="n">
        <v>40</v>
      </c>
      <c r="C4" s="6" t="inlineStr">
        <is>
          <t>Ev arkadaşıyla bulaşık nöbeti tartışmasının dördüncü turunda. Bulaşıklar hâlâ lavaboda.</t>
        </is>
      </c>
      <c r="D4" s="5" t="inlineStr"/>
    </row>
    <row r="5">
      <c r="A5" s="5" t="n">
        <v>18</v>
      </c>
      <c r="B5" s="5" t="n">
        <v>40</v>
      </c>
      <c r="C5" s="6" t="inlineStr">
        <is>
          <t>Staj başvurusunun on yedinci formunu doldururken. Başvuru alındı.</t>
        </is>
      </c>
      <c r="D5" s="5" t="inlineStr"/>
    </row>
    <row r="6">
      <c r="A6" s="5" t="n">
        <v>18</v>
      </c>
      <c r="B6" s="5" t="n">
        <v>40</v>
      </c>
      <c r="C6" s="6" t="inlineStr">
        <is>
          <t>Yeni işinin ilk gününde, asansörde kimseyle göz teması kurmamaya çalışırken.</t>
        </is>
      </c>
      <c r="D6" s="5" t="inlineStr"/>
    </row>
    <row r="7">
      <c r="A7" s="5" t="n">
        <v>18</v>
      </c>
      <c r="B7" s="5" t="n">
        <v>40</v>
      </c>
      <c r="C7" s="6" t="inlineStr">
        <is>
          <t>Kısa video uygulaması için aynı dansın kırk birinci çekiminde. Kırkıncısı zaten yüklenmişti.</t>
        </is>
      </c>
      <c r="D7" s="5" t="inlineStr">
        <is>
          <t>fenomen</t>
        </is>
      </c>
    </row>
    <row r="8">
      <c r="A8" s="5" t="n">
        <v>18</v>
      </c>
      <c r="B8" s="5" t="n">
        <v>40</v>
      </c>
      <c r="C8" s="6" t="inlineStr">
        <is>
          <t>Sabah koşusunun son turunda, saatin adım sayısını kontrol ederken. Hedef tamamlanmıştı.</t>
        </is>
      </c>
      <c r="D8" s="5" t="inlineStr">
        <is>
          <t>sporcu</t>
        </is>
      </c>
    </row>
    <row r="9">
      <c r="A9" s="5" t="n">
        <v>18</v>
      </c>
      <c r="B9" s="5" t="n">
        <v>40</v>
      </c>
      <c r="C9" s="6" t="inlineStr">
        <is>
          <t>Taksit planını yeniden yapılandırmak için bankayı ararken. Sıradaki müşteri temsilcisi hâlâ hatta.</t>
        </is>
      </c>
      <c r="D9" s="5" t="inlineStr">
        <is>
          <t>borclu</t>
        </is>
      </c>
    </row>
    <row r="10">
      <c r="A10" s="5" t="n">
        <v>40</v>
      </c>
      <c r="B10" s="5" t="n">
        <v>60</v>
      </c>
      <c r="C10" s="6" t="inlineStr">
        <is>
          <t>Site yönetimine itiraz dilekçesini teslim ederken. Dilekçe hâlâ değerlendiriliyor.</t>
        </is>
      </c>
      <c r="D10" s="5" t="inlineStr"/>
    </row>
    <row r="11">
      <c r="A11" s="5" t="n">
        <v>40</v>
      </c>
      <c r="B11" s="5" t="n">
        <v>60</v>
      </c>
      <c r="C11" s="6" t="inlineStr">
        <is>
          <t>Kombi tamircisini beklerken. Tamirci ertesi gün geldi.</t>
        </is>
      </c>
      <c r="D11" s="5" t="inlineStr"/>
    </row>
    <row r="12">
      <c r="A12" s="5" t="n">
        <v>40</v>
      </c>
      <c r="B12" s="5" t="n">
        <v>60</v>
      </c>
      <c r="C12" s="6" t="inlineStr">
        <is>
          <t>Performans değerlendirme toplantısında 'beklentileri karşılıyor' ifadesini duyduğu anda.</t>
        </is>
      </c>
      <c r="D12" s="5" t="inlineStr">
        <is>
          <t>meslek-beyazyaka</t>
        </is>
      </c>
    </row>
    <row r="13">
      <c r="A13" s="5" t="n">
        <v>40</v>
      </c>
      <c r="B13" s="5" t="n">
        <v>60</v>
      </c>
      <c r="C13" s="6" t="inlineStr">
        <is>
          <t>Dükkânın kepengini indirirken, günün son müşterisinin 'Bir şey soracaktım' demesiyle.</t>
        </is>
      </c>
      <c r="D13" s="5" t="inlineStr">
        <is>
          <t>meslek-esnaf</t>
        </is>
      </c>
    </row>
    <row r="14">
      <c r="A14" s="5" t="n">
        <v>40</v>
      </c>
      <c r="B14" s="5" t="n">
        <v>60</v>
      </c>
      <c r="C14" s="6" t="inlineStr">
        <is>
          <t>Mesai bitimine üç dakika kala gelen evrakı imzalarken. Evrak işleme alındı.</t>
        </is>
      </c>
      <c r="D14" s="5" t="inlineStr">
        <is>
          <t>meslek-memur</t>
        </is>
      </c>
    </row>
    <row r="15">
      <c r="A15" s="5" t="n">
        <v>40</v>
      </c>
      <c r="B15" s="5" t="n">
        <v>60</v>
      </c>
      <c r="C15" s="6" t="inlineStr">
        <is>
          <t>Müşteriden gelen 'Ufak bir revizyon' mesajını açarken. Revizyon hâlâ sürüyor.</t>
        </is>
      </c>
      <c r="D15" s="5" t="inlineStr">
        <is>
          <t>meslek-serbest</t>
        </is>
      </c>
    </row>
    <row r="16">
      <c r="A16" s="5" t="n">
        <v>40</v>
      </c>
      <c r="B16" s="5" t="n">
        <v>60</v>
      </c>
      <c r="C16" s="6" t="inlineStr">
        <is>
          <t>Veli toplantısında söz alma sırası kendisine geldiği anda.</t>
        </is>
      </c>
      <c r="D16" s="5" t="inlineStr">
        <is>
          <t>cocuklu</t>
        </is>
      </c>
    </row>
    <row r="17">
      <c r="A17" s="5" t="n">
        <v>40</v>
      </c>
      <c r="B17" s="5" t="n">
        <v>60</v>
      </c>
      <c r="C17" s="6" t="inlineStr">
        <is>
          <t>Aile grubundaki uzun bir sesli mesajı ikinci kez dinlerken.</t>
        </is>
      </c>
      <c r="D17" s="5" t="inlineStr"/>
    </row>
    <row r="18">
      <c r="A18" s="5" t="n">
        <v>40</v>
      </c>
      <c r="B18" s="5" t="n">
        <v>60</v>
      </c>
      <c r="C18" s="6" t="inlineStr">
        <is>
          <t>Evlilik yıldönümü hediyesini son dakikada paketlerken. Kurdele bağlandı.</t>
        </is>
      </c>
      <c r="D18" s="5" t="inlineStr">
        <is>
          <t>evli</t>
        </is>
      </c>
    </row>
    <row r="19">
      <c r="A19" s="5" t="n">
        <v>40</v>
      </c>
      <c r="B19" s="5" t="n">
        <v>60</v>
      </c>
      <c r="C19" s="6" t="inlineStr">
        <is>
          <t>Bir sigarayı daha son sigara ilan ederken. Bu sefer gerçekten son oldu.</t>
        </is>
      </c>
      <c r="D19" s="5" t="inlineStr">
        <is>
          <t>sigara</t>
        </is>
      </c>
    </row>
    <row r="20">
      <c r="A20" s="5" t="n">
        <v>60</v>
      </c>
      <c r="B20" s="5" t="n">
        <v>75</v>
      </c>
      <c r="C20" s="6" t="inlineStr">
        <is>
          <t>Emeklilik dilekçesinin onayını beklerken. Onay ertesi hafta geldi.</t>
        </is>
      </c>
      <c r="D20" s="5" t="inlineStr"/>
    </row>
    <row r="21">
      <c r="A21" s="5" t="n">
        <v>60</v>
      </c>
      <c r="B21" s="5" t="n">
        <v>75</v>
      </c>
      <c r="C21" s="6" t="inlineStr">
        <is>
          <t>Emekli ikramiyesiyle aldığı motosikletle ilk virajda. Viraj kazandı.</t>
        </is>
      </c>
      <c r="D21" s="5" t="inlineStr">
        <is>
          <t>emekli</t>
        </is>
      </c>
    </row>
    <row r="22">
      <c r="A22" s="5" t="n">
        <v>60</v>
      </c>
      <c r="B22" s="5" t="n">
        <v>75</v>
      </c>
      <c r="C22" s="6" t="inlineStr">
        <is>
          <t>Pazarın kapanışında son kasa domatesi pazarlık ederken. Domatesler yarı fiyatına alındı.</t>
        </is>
      </c>
      <c r="D22" s="5" t="inlineStr"/>
    </row>
    <row r="23">
      <c r="A23" s="5" t="n">
        <v>60</v>
      </c>
      <c r="B23" s="5" t="n">
        <v>75</v>
      </c>
      <c r="C23" s="6" t="inlineStr">
        <is>
          <t>Torunuyla saklambaç oynarken, en iyi saklanma yerini bulduğu anda. Oyunu kazandı.</t>
        </is>
      </c>
      <c r="D23" s="5" t="inlineStr">
        <is>
          <t>torunlu</t>
        </is>
      </c>
    </row>
    <row r="24">
      <c r="A24" s="5" t="n">
        <v>60</v>
      </c>
      <c r="B24" s="5" t="n">
        <v>75</v>
      </c>
      <c r="C24" s="6" t="inlineStr">
        <is>
          <t>Apartman toplantısında asansör bakım ücretinin paylaştırılmasını oylarken.</t>
        </is>
      </c>
      <c r="D24" s="5" t="inlineStr"/>
    </row>
    <row r="25">
      <c r="A25" s="5" t="n">
        <v>60</v>
      </c>
      <c r="B25" s="5" t="n">
        <v>75</v>
      </c>
      <c r="C25" s="6" t="inlineStr">
        <is>
          <t>Mahalle kahvesinde, bir tavla partisinin son zarında. Zar çift geldi.</t>
        </is>
      </c>
      <c r="D25" s="5" t="inlineStr"/>
    </row>
    <row r="26">
      <c r="A26" s="5" t="n">
        <v>60</v>
      </c>
      <c r="B26" s="5" t="n">
        <v>75</v>
      </c>
      <c r="C26" s="6" t="inlineStr">
        <is>
          <t>Bahçede domates fidesine konuşurken. Fide büyümeye devam etti.</t>
        </is>
      </c>
      <c r="D26" s="5" t="inlineStr"/>
    </row>
    <row r="27">
      <c r="A27" s="5" t="n">
        <v>60</v>
      </c>
      <c r="B27" s="5" t="n">
        <v>75</v>
      </c>
      <c r="C27" s="6" t="inlineStr">
        <is>
          <t>Kedisinin mamasını son indirimli paketten alırken. Kedi durumu kabullenmedi.</t>
        </is>
      </c>
      <c r="D27" s="5" t="inlineStr">
        <is>
          <t>kediGeldi</t>
        </is>
      </c>
    </row>
    <row r="28">
      <c r="A28" s="5" t="n">
        <v>60</v>
      </c>
      <c r="B28" s="5" t="n">
        <v>75</v>
      </c>
      <c r="C28" s="6" t="inlineStr">
        <is>
          <t>Eski takipçilerinden birinin 'Siz ölmediniz mi?' yorumuna cevap yazarken. Cevap gönderilmedi.</t>
        </is>
      </c>
      <c r="D28" s="5" t="inlineStr">
        <is>
          <t>fenomen</t>
        </is>
      </c>
    </row>
    <row r="29">
      <c r="A29" s="5" t="n">
        <v>60</v>
      </c>
      <c r="B29" s="5" t="n">
        <v>75</v>
      </c>
      <c r="C29" s="6" t="inlineStr">
        <is>
          <t>Sabah yürüyüşünde, ilk kez kimsenin geçemediği yokuşu geçtiği anda. Yokuş belediyeye bildirildi.</t>
        </is>
      </c>
      <c r="D29" s="5" t="inlineStr">
        <is>
          <t>sporcu</t>
        </is>
      </c>
    </row>
    <row r="30">
      <c r="A30" s="5" t="n">
        <v>75</v>
      </c>
      <c r="B30" s="5" t="n">
        <v>90</v>
      </c>
      <c r="C30" s="6" t="inlineStr">
        <is>
          <t>Uykusunda, huzur içinde. Alarmı kurmayı unutmamıştı.</t>
        </is>
      </c>
      <c r="D30" s="5" t="inlineStr"/>
    </row>
    <row r="31">
      <c r="A31" s="5" t="n">
        <v>75</v>
      </c>
      <c r="B31" s="5" t="n">
        <v>90</v>
      </c>
      <c r="C31" s="6" t="inlineStr">
        <is>
          <t>Öğleden sonra şekerlemesinde, huzur içinde. Şekerleme uzadı.</t>
        </is>
      </c>
      <c r="D31" s="5" t="inlineStr"/>
    </row>
    <row r="32">
      <c r="A32" s="5" t="n">
        <v>75</v>
      </c>
      <c r="B32" s="5" t="n">
        <v>90</v>
      </c>
      <c r="C32" s="6" t="inlineStr">
        <is>
          <t>Balkonda, sokağın akşam raporunu tamamladıktan sonra. Rapor eksiksizdi.</t>
        </is>
      </c>
      <c r="D32" s="5" t="inlineStr"/>
    </row>
    <row r="33">
      <c r="A33" s="5" t="n">
        <v>75</v>
      </c>
      <c r="B33" s="5" t="n">
        <v>90</v>
      </c>
      <c r="C33" s="6" t="inlineStr">
        <is>
          <t>Uykusunda, huzur içinde. Yanındaki kedi uyanmadı.</t>
        </is>
      </c>
      <c r="D33" s="5" t="inlineStr">
        <is>
          <t>kediGeldi</t>
        </is>
      </c>
    </row>
    <row r="34">
      <c r="A34" s="5" t="n">
        <v>75</v>
      </c>
      <c r="B34" s="5" t="n">
        <v>90</v>
      </c>
      <c r="C34" s="6" t="inlineStr">
        <is>
          <t>Emekli maaşını çekip bayram zarflarını hazırlarken. Zarflar dağıtıldı.</t>
        </is>
      </c>
      <c r="D34" s="5" t="inlineStr">
        <is>
          <t>emekli</t>
        </is>
      </c>
    </row>
    <row r="35">
      <c r="A35" s="5" t="n">
        <v>75</v>
      </c>
      <c r="B35" s="5" t="n">
        <v>90</v>
      </c>
      <c r="C35" s="6" t="inlineStr">
        <is>
          <t>Torunlarına aynı hikâyeyi yedinci kez anlatırken. Sonunu bu sefer herkes birlikte söyledi.</t>
        </is>
      </c>
      <c r="D35" s="5" t="inlineStr">
        <is>
          <t>torunlu</t>
        </is>
      </c>
    </row>
    <row r="36">
      <c r="A36" s="5" t="n">
        <v>75</v>
      </c>
      <c r="B36" s="5" t="n">
        <v>90</v>
      </c>
      <c r="C36" s="6" t="inlineStr">
        <is>
          <t>Eşiyle akşam çayında, bardaklar tam tazelendiği anda. Çay soğumadı.</t>
        </is>
      </c>
      <c r="D36" s="5" t="inlineStr">
        <is>
          <t>evli</t>
        </is>
      </c>
    </row>
    <row r="37">
      <c r="A37" s="5" t="n">
        <v>75</v>
      </c>
      <c r="B37" s="5" t="n">
        <v>90</v>
      </c>
      <c r="C37" s="6" t="inlineStr">
        <is>
          <t>Koltukta, kumanda elinde, huzur içinde. Dizinin sonunu sonraki bölüm açıkladı.</t>
        </is>
      </c>
      <c r="D37" s="5" t="inlineStr"/>
    </row>
    <row r="38">
      <c r="A38" s="5" t="n">
        <v>75</v>
      </c>
      <c r="B38" s="5" t="n">
        <v>90</v>
      </c>
      <c r="C38" s="6" t="inlineStr">
        <is>
          <t>Eski iş arkadaşlarının yıllık buluşmasında, kendi eski masasına oturduğu anda.</t>
        </is>
      </c>
      <c r="D38" s="5" t="inlineStr">
        <is>
          <t>meslek-memur</t>
        </is>
      </c>
    </row>
    <row r="39">
      <c r="A39" s="5" t="n">
        <v>75</v>
      </c>
      <c r="B39" s="5" t="n">
        <v>90</v>
      </c>
      <c r="C39" s="6" t="inlineStr">
        <is>
          <t>Pazar kahvaltısında, bütün ailesi masadayken. Yumurta tam kıvamındaydı.</t>
        </is>
      </c>
      <c r="D39" s="5" t="inlineStr">
        <is>
          <t>cocuklu</t>
        </is>
      </c>
    </row>
    <row r="40">
      <c r="A40" s="5" t="n">
        <v>90</v>
      </c>
      <c r="B40" s="5" t="n">
        <v>110</v>
      </c>
      <c r="C40" s="6" t="inlineStr">
        <is>
          <t>Uykusunda, huzur içinde. Sabahın ilk çayı demlenmişti.</t>
        </is>
      </c>
      <c r="D40" s="5" t="inlineStr"/>
    </row>
    <row r="41">
      <c r="A41" s="5" t="n">
        <v>90</v>
      </c>
      <c r="B41" s="5" t="n">
        <v>110</v>
      </c>
      <c r="C41" s="6" t="inlineStr">
        <is>
          <t>Pencere kenarında, güneşin tam kendi sandalyesine vurduğu anda. Sandalye hâlâ orada.</t>
        </is>
      </c>
      <c r="D41" s="5" t="inlineStr"/>
    </row>
    <row r="42">
      <c r="A42" s="5" t="n">
        <v>90</v>
      </c>
      <c r="B42" s="5" t="n">
        <v>110</v>
      </c>
      <c r="C42" s="6" t="inlineStr">
        <is>
          <t>Uykusunda, huzur içinde. Rüyasında kiminle tartıştığı açıklanmadı.</t>
        </is>
      </c>
      <c r="D42" s="5" t="inlineStr"/>
    </row>
    <row r="43">
      <c r="A43" s="5" t="n">
        <v>90</v>
      </c>
      <c r="B43" s="5" t="n">
        <v>110</v>
      </c>
      <c r="C43" s="6" t="inlineStr">
        <is>
          <t>Mahallenin en yaşlı sakini unvanını bir yıl daha koruduktan sonra. Unvan boşta kaldı.</t>
        </is>
      </c>
      <c r="D43" s="5" t="inlineStr"/>
    </row>
    <row r="44">
      <c r="A44" s="5" t="n">
        <v>90</v>
      </c>
      <c r="B44" s="5" t="n">
        <v>110</v>
      </c>
      <c r="C44" s="6" t="inlineStr">
        <is>
          <t>Torununun torununa ilk kez adını söyletmeyi başardığı gün, huzur içinde.</t>
        </is>
      </c>
      <c r="D44" s="5" t="inlineStr">
        <is>
          <t>torunlu</t>
        </is>
      </c>
    </row>
    <row r="45">
      <c r="A45" s="5" t="n">
        <v>90</v>
      </c>
      <c r="B45" s="5" t="n">
        <v>110</v>
      </c>
      <c r="C45" s="6" t="inlineStr">
        <is>
          <t>Öğleden sonra şekerlemesinde, yanında açık bir fotoğraf albümüyle. Albüm doğru sayfadaydı.</t>
        </is>
      </c>
      <c r="D45" s="5" t="inlineStr"/>
    </row>
    <row r="46">
      <c r="A46" s="5" t="n">
        <v>90</v>
      </c>
      <c r="B46" s="5" t="n">
        <v>110</v>
      </c>
      <c r="C46" s="6" t="inlineStr">
        <is>
          <t>Uykusunda, huzur içinde. Dükkânın anahtarı hâlâ cebindeydi.</t>
        </is>
      </c>
      <c r="D46" s="5" t="inlineStr">
        <is>
          <t>meslek-esnaf</t>
        </is>
      </c>
    </row>
  </sheetData>
  <autoFilter ref="A1:D4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8" customWidth="1" min="2" max="2"/>
    <col width="10" customWidth="1" min="3" max="3"/>
    <col width="10" customWidth="1" min="4" max="4"/>
    <col width="18" customWidth="1" min="5" max="5"/>
    <col width="22" customWidth="1" min="6" max="6"/>
    <col width="10" customWidth="1" min="7" max="7"/>
    <col width="60" customWidth="1" min="8" max="8"/>
    <col width="30" customWidth="1" min="9" max="9"/>
  </cols>
  <sheetData>
    <row r="1" ht="32" customHeight="1">
      <c r="A1" s="4" t="inlineStr">
        <is>
          <t>Bölüm</t>
        </is>
      </c>
      <c r="B1" s="4" t="inlineStr">
        <is>
          <t>Ad</t>
        </is>
      </c>
      <c r="C1" s="4" t="inlineStr">
        <is>
          <t>Seçilecek olay</t>
        </is>
      </c>
      <c r="D1" s="4" t="inlineStr">
        <is>
          <t>Beklenen stat</t>
        </is>
      </c>
      <c r="E1" s="4" t="inlineStr">
        <is>
          <t>Yaş aralığı</t>
        </is>
      </c>
      <c r="F1" s="4" t="inlineStr">
        <is>
          <t>Son görsel (olay ID)</t>
        </is>
      </c>
      <c r="G1" s="4" t="inlineStr">
        <is>
          <t>Son yaş</t>
        </is>
      </c>
      <c r="H1" s="4" t="inlineStr">
        <is>
          <t>Son metin</t>
        </is>
      </c>
      <c r="I1" s="4" t="inlineStr">
        <is>
          <t>Sonraki düğme</t>
        </is>
      </c>
    </row>
    <row r="2">
      <c r="A2" s="5" t="n">
        <v>1</v>
      </c>
      <c r="B2" s="5" t="inlineStr">
        <is>
          <t>Ev</t>
        </is>
      </c>
      <c r="C2" s="5" t="n">
        <v>6</v>
      </c>
      <c r="D2" s="5" t="n">
        <v>25</v>
      </c>
      <c r="E2" s="5" t="inlineStr">
        <is>
          <t>Doğum → 3 yaş</t>
        </is>
      </c>
      <c r="F2" s="5" t="inlineStr">
        <is>
          <t>kres-kapisi</t>
        </is>
      </c>
      <c r="G2" s="5" t="inlineStr">
        <is>
          <t>3 YAŞ</t>
        </is>
      </c>
      <c r="H2" s="6" t="inlineStr">
        <is>
          <t>Ev güvenliydi. Şimdi başka çocuklar var.</t>
        </is>
      </c>
      <c r="I2" s="5" t="inlineStr">
        <is>
          <t>BÖLÜM II · DIŞ DÜNYA</t>
        </is>
      </c>
    </row>
    <row r="3">
      <c r="A3" s="5" t="n">
        <v>2</v>
      </c>
      <c r="B3" s="5" t="inlineStr">
        <is>
          <t>Dış Dünya</t>
        </is>
      </c>
      <c r="C3" s="5" t="n">
        <v>7</v>
      </c>
      <c r="D3" s="5" t="n">
        <v>29</v>
      </c>
      <c r="E3" s="5" t="inlineStr">
        <is>
          <t>3 → 6 yaş</t>
        </is>
      </c>
      <c r="F3" s="5" t="inlineStr">
        <is>
          <t>ilkokul-kapisi</t>
        </is>
      </c>
      <c r="G3" s="5" t="inlineStr">
        <is>
          <t>6 YAŞ</t>
        </is>
      </c>
      <c r="H3" s="6" t="inlineStr">
        <is>
          <t>Artık yalnızca aileyi değil, dış dünyanın kurallarını da okumaya başladın.</t>
        </is>
      </c>
      <c r="I3" s="5" t="inlineStr">
        <is>
          <t>BÖLÜM III · OKUL YILLARI</t>
        </is>
      </c>
    </row>
    <row r="4">
      <c r="A4" s="5" t="n">
        <v>3</v>
      </c>
      <c r="B4" s="5" t="inlineStr">
        <is>
          <t>Okul Yılları</t>
        </is>
      </c>
      <c r="C4" s="5" t="n">
        <v>6</v>
      </c>
      <c r="D4" s="5" t="n">
        <v>32</v>
      </c>
      <c r="E4" s="5" t="inlineStr">
        <is>
          <t>6 → 9 yaş</t>
        </is>
      </c>
      <c r="F4" s="5" t="inlineStr">
        <is>
          <t>karne-gunu</t>
        </is>
      </c>
      <c r="G4" s="5" t="inlineStr">
        <is>
          <t>9 YAŞ</t>
        </is>
      </c>
      <c r="H4" s="6" t="inlineStr">
        <is>
          <t>Karne elinde, karakter ortada.</t>
        </is>
      </c>
      <c r="I4" s="5" t="inlineStr">
        <is>
          <t>BÖLÜM IV · ERGENLİK</t>
        </is>
      </c>
    </row>
    <row r="5">
      <c r="A5" s="5" t="n">
        <v>4</v>
      </c>
      <c r="B5" s="5" t="inlineStr">
        <is>
          <t>Ergenlik</t>
        </is>
      </c>
      <c r="C5" s="5" t="n">
        <v>13</v>
      </c>
      <c r="D5" s="5" t="n">
        <v>35</v>
      </c>
      <c r="E5" s="5" t="inlineStr">
        <is>
          <t>10 → 14 yaş</t>
        </is>
      </c>
      <c r="F5" s="5" t="inlineStr">
        <is>
          <t>b4-lise-sinavi</t>
        </is>
      </c>
      <c r="G5" s="5" t="inlineStr">
        <is>
          <t>14 YAŞ</t>
        </is>
      </c>
      <c r="H5" s="6" t="inlineStr">
        <is>
          <t>Sesin çatladı, telefonun çatlamadı. Önceliklerin belli.</t>
        </is>
      </c>
      <c r="I5" s="5" t="inlineStr">
        <is>
          <t>BÖLÜM V · SINAV ÇAĞI</t>
        </is>
      </c>
    </row>
    <row r="6">
      <c r="A6" s="5" t="n">
        <v>5</v>
      </c>
      <c r="B6" s="5" t="inlineStr">
        <is>
          <t>Sınav Çağı</t>
        </is>
      </c>
      <c r="C6" s="5" t="n">
        <v>13</v>
      </c>
      <c r="D6" s="5" t="n">
        <v>38</v>
      </c>
      <c r="E6" s="5" t="inlineStr">
        <is>
          <t>15 → 18 yaş</t>
        </is>
      </c>
      <c r="F6" s="5" t="inlineStr">
        <is>
          <t>b5-mezuniyet</t>
        </is>
      </c>
      <c r="G6" s="5" t="inlineStr">
        <is>
          <t>18 YAŞ</t>
        </is>
      </c>
      <c r="H6" s="6" t="inlineStr">
        <is>
          <t>Resmen yetişkinsin. Sistem bunu kutlamak için sana ilk faturanı hazırlıyor.</t>
        </is>
      </c>
      <c r="I6" s="5" t="inlineStr">
        <is>
          <t>BÖLÜM VI · GENÇ YETİŞKİN</t>
        </is>
      </c>
    </row>
    <row r="7">
      <c r="A7" s="5" t="n">
        <v>6</v>
      </c>
      <c r="B7" s="5" t="inlineStr">
        <is>
          <t>Genç Yetişkin</t>
        </is>
      </c>
      <c r="C7" s="5" t="n">
        <v>14</v>
      </c>
      <c r="D7" s="5" t="n">
        <v>40</v>
      </c>
      <c r="E7" s="5" t="inlineStr">
        <is>
          <t>18 → 26 yaş</t>
        </is>
      </c>
      <c r="F7" s="5" t="inlineStr">
        <is>
          <t>b6-meslek-secimi</t>
        </is>
      </c>
      <c r="G7" s="5" t="inlineStr">
        <is>
          <t>26 YAŞ</t>
        </is>
      </c>
      <c r="H7" s="6" t="inlineStr">
        <is>
          <t>Bir yolun, bir adresin ve bir kredi kartı ekstren var. Hayat seni artık ciddiye alıyor.</t>
        </is>
      </c>
      <c r="I7" s="5" t="inlineStr">
        <is>
          <t>BÖLÜM VII · KARİYER VE AİLE</t>
        </is>
      </c>
    </row>
    <row r="8">
      <c r="A8" s="5" t="n">
        <v>7</v>
      </c>
      <c r="B8" s="5" t="inlineStr">
        <is>
          <t>Kariyer ve Aile</t>
        </is>
      </c>
      <c r="C8" s="5" t="n">
        <v>14</v>
      </c>
      <c r="D8" s="5" t="n">
        <v>43</v>
      </c>
      <c r="E8" s="5" t="inlineStr">
        <is>
          <t>26 → 40 yaş</t>
        </is>
      </c>
      <c r="F8" s="5" t="inlineStr">
        <is>
          <t>b7-evlilik-karari</t>
        </is>
      </c>
      <c r="G8" s="5" t="inlineStr">
        <is>
          <t>40 YAŞ</t>
        </is>
      </c>
      <c r="H8" s="6" t="inlineStr">
        <is>
          <t>Kırk yaşına bastın. Ayakkabın da bastı; o da artık yorgun.</t>
        </is>
      </c>
      <c r="I8" s="5" t="inlineStr">
        <is>
          <t>BÖLÜM VIII · ORTA YAŞ</t>
        </is>
      </c>
    </row>
    <row r="9">
      <c r="A9" s="5" t="n">
        <v>8</v>
      </c>
      <c r="B9" s="5" t="inlineStr">
        <is>
          <t>Orta Yaş</t>
        </is>
      </c>
      <c r="C9" s="5" t="n">
        <v>13</v>
      </c>
      <c r="D9" s="5" t="n">
        <v>45</v>
      </c>
      <c r="E9" s="5" t="inlineStr">
        <is>
          <t>40 → 55 yaş</t>
        </is>
      </c>
      <c r="F9" s="5" t="inlineStr">
        <is>
          <t>b8-lise-bulusmasi</t>
        </is>
      </c>
      <c r="G9" s="5" t="inlineStr">
        <is>
          <t>55 YAŞ</t>
        </is>
      </c>
      <c r="H9" s="6" t="inlineStr">
        <is>
          <t>Gözlüğün yakın için, sabrın uzak için. İkisi de reçeteli.</t>
        </is>
      </c>
      <c r="I9" s="5" t="inlineStr">
        <is>
          <t>BÖLÜM IX · OLGUNLUK</t>
        </is>
      </c>
    </row>
    <row r="10">
      <c r="A10" s="5" t="n">
        <v>9</v>
      </c>
      <c r="B10" s="5" t="inlineStr">
        <is>
          <t>Olgunluk</t>
        </is>
      </c>
      <c r="C10" s="5" t="n">
        <v>13</v>
      </c>
      <c r="D10" s="5" t="n">
        <v>48</v>
      </c>
      <c r="E10" s="5" t="inlineStr">
        <is>
          <t>55 → 70 yaş</t>
        </is>
      </c>
      <c r="F10" s="5" t="inlineStr">
        <is>
          <t>b9-emeklilik</t>
        </is>
      </c>
      <c r="G10" s="5" t="inlineStr">
        <is>
          <t>70 YAŞ</t>
        </is>
      </c>
      <c r="H10" s="6" t="inlineStr">
        <is>
          <t>Yetmiş yaşındasın. Zamanın bol, randevuların dolu; hangisinin daha önemli olduğuna sen karar veriyorsun.</t>
        </is>
      </c>
      <c r="I10" s="5" t="inlineStr">
        <is>
          <t>BÖLÜM X · SON PERDE</t>
        </is>
      </c>
    </row>
    <row r="11">
      <c r="A11" s="5" t="n">
        <v>10</v>
      </c>
      <c r="B11" s="5" t="inlineStr">
        <is>
          <t>Son Perde</t>
        </is>
      </c>
      <c r="C11" s="5" t="n">
        <v>11</v>
      </c>
      <c r="D11" s="5" t="n">
        <v>51</v>
      </c>
      <c r="E11" s="5" t="inlineStr">
        <is>
          <t>70 yaş ve sonrası</t>
        </is>
      </c>
      <c r="F11" s="5" t="inlineStr">
        <is>
          <t>son-soz</t>
        </is>
      </c>
      <c r="G11" s="5" t="inlineStr"/>
      <c r="H11" s="6" t="inlineStr"/>
      <c r="I11" s="5" t="inlineStr"/>
    </row>
  </sheetData>
  <autoFilter ref="A1:I1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2026-10-04T08:06:19Z</dcterms:created>
  <dcterms:modified xmlns:dcterms="http://purl.org/dc/terms/" xmlns:xsi="http://www.w3.org/2001/XMLSchema-instance" xsi:type="dcterms:W3CDTF">2026-10-04T08:06:22Z</dcterms:modified>
</cp:coreProperties>
</file>