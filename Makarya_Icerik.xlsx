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'Olaylar'!$A$1:$V$485</definedName>
    <definedName name="_xlnm._FilterDatabase" localSheetId="3" hidden="1">'Seçimler'!$A$1:$AI$1837</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SUMPRODUCT((COUNTIFS(Seçimler!A:A,Olaylar!A$2:A$485)&gt;0)*(Olaylar!B$2:B$485=1)*COUNTIFS(Seçimler!A:A,Olaylar!A$2:A$485))</f>
        <v/>
      </c>
      <c r="F2" t="inlineStr"/>
      <c r="G2" t="inlineStr"/>
    </row>
    <row r="3">
      <c r="A3" t="n">
        <v>2</v>
      </c>
      <c r="B3">
        <f>COUNTIF(Olaylar!B:B,2)</f>
        <v/>
      </c>
      <c r="C3">
        <f>COUNTIFS(Olaylar!B:B,2,Olaylar!I:I,"E")</f>
        <v/>
      </c>
      <c r="D3">
        <f>VLOOKUP(2,Bölümler!A:C,3,FALSE)</f>
        <v/>
      </c>
      <c r="E3">
        <f>SUMPRODUCT((COUNTIFS(Seçimler!A:A,Olaylar!A$2:A$485)&gt;0)*(Olaylar!B$2:B$485=2)*COUNTIFS(Seçimler!A:A,Olaylar!A$2:A$485))</f>
        <v/>
      </c>
      <c r="F3" t="inlineStr"/>
      <c r="G3" t="inlineStr"/>
    </row>
    <row r="4">
      <c r="A4" t="n">
        <v>3</v>
      </c>
      <c r="B4">
        <f>COUNTIF(Olaylar!B:B,3)</f>
        <v/>
      </c>
      <c r="C4">
        <f>COUNTIFS(Olaylar!B:B,3,Olaylar!I:I,"E")</f>
        <v/>
      </c>
      <c r="D4">
        <f>VLOOKUP(3,Bölümler!A:C,3,FALSE)</f>
        <v/>
      </c>
      <c r="E4">
        <f>SUMPRODUCT((COUNTIFS(Seçimler!A:A,Olaylar!A$2:A$485)&gt;0)*(Olaylar!B$2:B$485=3)*COUNTIFS(Seçimler!A:A,Olaylar!A$2:A$485))</f>
        <v/>
      </c>
      <c r="F4" t="inlineStr"/>
      <c r="G4" t="inlineStr"/>
    </row>
    <row r="5">
      <c r="A5" t="n">
        <v>4</v>
      </c>
      <c r="B5">
        <f>COUNTIF(Olaylar!B:B,4)</f>
        <v/>
      </c>
      <c r="C5">
        <f>COUNTIFS(Olaylar!B:B,4,Olaylar!I:I,"E")</f>
        <v/>
      </c>
      <c r="D5">
        <f>VLOOKUP(4,Bölümler!A:C,3,FALSE)</f>
        <v/>
      </c>
      <c r="E5">
        <f>SUMPRODUCT((COUNTIFS(Seçimler!A:A,Olaylar!A$2:A$485)&gt;0)*(Olaylar!B$2:B$485=4)*COUNTIFS(Seçimler!A:A,Olaylar!A$2:A$485))</f>
        <v/>
      </c>
      <c r="F5" t="inlineStr"/>
      <c r="G5" t="inlineStr"/>
    </row>
    <row r="6">
      <c r="A6" t="n">
        <v>5</v>
      </c>
      <c r="B6">
        <f>COUNTIF(Olaylar!B:B,5)</f>
        <v/>
      </c>
      <c r="C6">
        <f>COUNTIFS(Olaylar!B:B,5,Olaylar!I:I,"E")</f>
        <v/>
      </c>
      <c r="D6">
        <f>VLOOKUP(5,Bölümler!A:C,3,FALSE)</f>
        <v/>
      </c>
      <c r="E6">
        <f>SUMPRODUCT((COUNTIFS(Seçimler!A:A,Olaylar!A$2:A$485)&gt;0)*(Olaylar!B$2:B$485=5)*COUNTIFS(Seçimler!A:A,Olaylar!A$2:A$485))</f>
        <v/>
      </c>
      <c r="F6" t="inlineStr"/>
      <c r="G6" t="inlineStr"/>
    </row>
    <row r="7">
      <c r="A7" t="n">
        <v>6</v>
      </c>
      <c r="B7">
        <f>COUNTIF(Olaylar!B:B,6)</f>
        <v/>
      </c>
      <c r="C7">
        <f>COUNTIFS(Olaylar!B:B,6,Olaylar!I:I,"E")</f>
        <v/>
      </c>
      <c r="D7">
        <f>VLOOKUP(6,Bölümler!A:C,3,FALSE)</f>
        <v/>
      </c>
      <c r="E7">
        <f>SUMPRODUCT((COUNTIFS(Seçimler!A:A,Olaylar!A$2:A$485)&gt;0)*(Olaylar!B$2:B$485=6)*COUNTIFS(Seçimler!A:A,Olaylar!A$2:A$485))</f>
        <v/>
      </c>
      <c r="F7" t="inlineStr"/>
      <c r="G7" t="inlineStr"/>
    </row>
    <row r="8">
      <c r="A8" t="n">
        <v>7</v>
      </c>
      <c r="B8">
        <f>COUNTIF(Olaylar!B:B,7)</f>
        <v/>
      </c>
      <c r="C8">
        <f>COUNTIFS(Olaylar!B:B,7,Olaylar!I:I,"E")</f>
        <v/>
      </c>
      <c r="D8">
        <f>VLOOKUP(7,Bölümler!A:C,3,FALSE)</f>
        <v/>
      </c>
      <c r="E8">
        <f>SUMPRODUCT((COUNTIFS(Seçimler!A:A,Olaylar!A$2:A$485)&gt;0)*(Olaylar!B$2:B$485=7)*COUNTIFS(Seçimler!A:A,Olaylar!A$2:A$485))</f>
        <v/>
      </c>
      <c r="F8" t="inlineStr"/>
      <c r="G8" t="inlineStr"/>
    </row>
    <row r="9">
      <c r="A9" t="n">
        <v>8</v>
      </c>
      <c r="B9">
        <f>COUNTIF(Olaylar!B:B,8)</f>
        <v/>
      </c>
      <c r="C9">
        <f>COUNTIFS(Olaylar!B:B,8,Olaylar!I:I,"E")</f>
        <v/>
      </c>
      <c r="D9">
        <f>VLOOKUP(8,Bölümler!A:C,3,FALSE)</f>
        <v/>
      </c>
      <c r="E9">
        <f>SUMPRODUCT((COUNTIFS(Seçimler!A:A,Olaylar!A$2:A$485)&gt;0)*(Olaylar!B$2:B$485=8)*COUNTIFS(Seçimler!A:A,Olaylar!A$2:A$485))</f>
        <v/>
      </c>
      <c r="F9" t="inlineStr"/>
      <c r="G9" t="inlineStr"/>
    </row>
    <row r="10">
      <c r="A10" t="n">
        <v>9</v>
      </c>
      <c r="B10">
        <f>COUNTIF(Olaylar!B:B,9)</f>
        <v/>
      </c>
      <c r="C10">
        <f>COUNTIFS(Olaylar!B:B,9,Olaylar!I:I,"E")</f>
        <v/>
      </c>
      <c r="D10">
        <f>VLOOKUP(9,Bölümler!A:C,3,FALSE)</f>
        <v/>
      </c>
      <c r="E10">
        <f>SUMPRODUCT((COUNTIFS(Seçimler!A:A,Olaylar!A$2:A$485)&gt;0)*(Olaylar!B$2:B$485=9)*COUNTIFS(Seçimler!A:A,Olaylar!A$2:A$485))</f>
        <v/>
      </c>
      <c r="F10" t="inlineStr"/>
      <c r="G10" t="inlineStr"/>
    </row>
    <row r="11">
      <c r="A11" t="n">
        <v>10</v>
      </c>
      <c r="B11">
        <f>COUNTIF(Olaylar!B:B,10)</f>
        <v/>
      </c>
      <c r="C11">
        <f>COUNTIFS(Olaylar!B:B,10,Olaylar!I:I,"E")</f>
        <v/>
      </c>
      <c r="D11">
        <f>VLOOKUP(10,Bölümler!A:C,3,FALSE)</f>
        <v/>
      </c>
      <c r="E11">
        <f>SUMPRODUCT((COUNTIFS(Seçimler!A:A,Olaylar!A$2:A$485)&gt;0)*(Olaylar!B$2:B$485=10)*COUNTIFS(Seçimler!A:A,Olaylar!A$2:A$485))</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beş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resmî bir zarf çıktı: Yıllardır prim yatmamış. Emeklilik takvimin daha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“Babam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sordun. Ekrandaki tarihi okudun, gözlüğünü sildin, yine okudun.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bakkal, berber ve kapıcı birbirini iki kez aradı.</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yedi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Bekleme salonu bayram sofrası kadar gergin.</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çeyiz takımını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komutanın köpeğiyle dost olur,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yirmilik bir delikanlı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yıllardır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sheetData>
  <autoFilter ref="A1:V485"/>
  <dataValidations count="6">
    <dataValidation sqref="B2:B884" showDropDown="0" showInputMessage="0" showErrorMessage="1" allowBlank="1" errorTitle="Geçersiz değer" error="Listeden bir değer seçin." type="list">
      <formula1>"1,2,3,4,5,6,7,8,9,10"</formula1>
    </dataValidation>
    <dataValidation sqref="G2:G884"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4" showDropDown="0" showInputMessage="0" showErrorMessage="1" allowBlank="1" errorTitle="Geçersiz değer" error="Listeden bir değer seçin." type="list">
      <formula1>"ev,para,sosyal,okul-iş"</formula1>
    </dataValidation>
    <dataValidation sqref="I2:I884" showDropDown="0" showInputMessage="0" showErrorMessage="1" allowBlank="1" errorTitle="Geçersiz değer" error="Listeden bir değer seçin." type="list">
      <formula1>"E"</formula1>
    </dataValidation>
    <dataValidation sqref="N2:N884" showDropDown="0" showInputMessage="0" showErrorMessage="1" allowBlank="1" errorTitle="Geçersiz değer" error="Listeden bir değer seçin." type="list">
      <formula1>"erkek,kız"</formula1>
    </dataValidation>
    <dataValidation sqref="Q2:Q884"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poker</t>
        </is>
      </c>
      <c r="N86" s="5" t="inlineStr">
        <is>
          <t>Poker Yüzü</t>
        </is>
      </c>
      <c r="O86" s="6" t="inlineStr">
        <is>
          <t>Parmağını daireye koy ve 5 saniye boyunca dairenin içinde tut. Kıpırdama. Göz kırpma.</t>
        </is>
      </c>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Seçilme sırası karakter testi oldu; testi geçtin.</t>
        </is>
      </c>
      <c r="I95" s="6" t="inlineStr">
        <is>
          <t>Beklerken kaptanlardan biri seni ilk seçti. Sabır ödüllendi.</t>
        </is>
      </c>
      <c r="J95" s="6" t="inlineStr">
        <is>
          <t>Son seçilen oldun. Takıma kaleci olarak katıldın.</t>
        </is>
      </c>
      <c r="K95" s="6" t="inlineStr">
        <is>
          <t>Hiç seçilmedin. Top senindi. “Top benim, oynamıyorum!” dedin, topu koltuğunun altına alıp eve gittin. Ertesi gün mahalle başka bir topla oynadı;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Öyle bir tanıtım yaptın ki iki kaptan seni almak için tartıştı.</t>
        </is>
      </c>
      <c r="J96" s="6" t="inlineStr">
        <is>
          <t>'Beni al' dedin. Kaptan 'bakarız' dedi.</t>
        </is>
      </c>
      <c r="K96" s="6" t="inlineStr">
        <is>
          <t>'Beni al' dedin, karşı takım kaptanı aldı. Kendi takımın bunu fark etmedi bile.</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en güçlü oyuncuyu seçtin.</t>
        </is>
      </c>
      <c r="J97" s="6" t="inlineStr">
        <is>
          <t>Yanlış oyuncuyu seçtin.</t>
        </is>
      </c>
      <c r="K97" s="6" t="inlineStr">
        <is>
          <t>“En iyi o oynar” diye yanına gittiğin çocuk ilk vuruşta kendi kalesine attı. Bütün takım sana döndü.</t>
        </is>
      </c>
      <c r="L97" s="6" t="inlineStr">
        <is>
          <t>Fena değildi ama en iyisi değildi.</t>
        </is>
      </c>
      <c r="M97" s="5" t="inlineStr">
        <is>
          <t>memory</t>
        </is>
      </c>
      <c r="N97" s="5" t="inlineStr">
        <is>
          <t>Takımı Oku</t>
        </is>
      </c>
      <c r="O97" s="6" t="inlineStr">
        <is>
          <t>Çocukları kısa süre göreceksin. En iyi top kontrolü olanı hatırla.</t>
        </is>
      </c>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doors</t>
        </is>
      </c>
      <c r="N129" s="5" t="inlineStr">
        <is>
          <t>Doğru Sınıfı Bul</t>
        </is>
      </c>
      <c r="O129" s="6" t="inlineStr">
        <is>
          <t>Sınıfının işaretini aklında tut. Birazdan kaybolacak.</t>
        </is>
      </c>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Defterin sınıfa örnek olarak gösterildi.</t>
        </is>
      </c>
      <c r="J131" s="6" t="inlineStr">
        <is>
          <t>Yazdın, sildin, yine yazdın. Sayfada harf kalmadı, delik kaldı.</t>
        </is>
      </c>
      <c r="K131" s="6" t="inlineStr">
        <is>
          <t>Deftere değil sıraya yazdın.</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row>
    <row r="132">
      <c r="A132" s="5" t="inlineStr">
        <is>
          <t>ilk-ders</t>
        </is>
      </c>
      <c r="B132" s="5" t="n">
        <v>3</v>
      </c>
      <c r="C132" s="6" t="inlineStr">
        <is>
          <t>Yanındakine yardım et</t>
        </is>
      </c>
      <c r="D132" s="5" t="inlineStr"/>
      <c r="E132" s="5" t="inlineStr"/>
      <c r="F132" s="5" t="inlineStr">
        <is>
          <t>Sosyal Radar +1, 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Tabletten öğrendiğin şeyin reklam şarkısı olduğu anlaşıldı.</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güldünüz, ortak düşman olarak matematiği seçtiniz. Ömürlük dostluk.</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görünmez bir sınır çektin. İki taraf da saygı duydu.</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Bir espri yaptın, o güldü. Sıra artık ortak bölge.</t>
        </is>
      </c>
      <c r="I137" s="6" t="inlineStr">
        <is>
          <t>Espriyi o kadar beğendi ki teneffüste başkalarına anlattı. Kaynak olarak seni gösterdi.</t>
        </is>
      </c>
      <c r="J137" s="6" t="inlineStr">
        <is>
          <t>Espri havada kaldı. Kalem saymaya devam edildi.</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row>
    <row r="138">
      <c r="A138" s="5" t="inlineStr">
        <is>
          <t>teneffus-kantini</t>
        </is>
      </c>
      <c r="B138" s="5" t="n">
        <v>1</v>
      </c>
      <c r="C138" s="6" t="inlineStr">
        <is>
          <t>Sırada bekle</t>
        </is>
      </c>
      <c r="D138" s="5" t="inlineStr"/>
      <c r="E138" s="5" t="inlineStr"/>
      <c r="F138" s="5" t="inlineStr">
        <is>
          <t>Dayanıklılık +1, İtibar +1</t>
        </is>
      </c>
      <c r="G138" s="6" t="inlineStr">
        <is>
          <t>Tost soğuktu ama vicdanın sıcak.</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Üç arkadaşının siparişini birleştirip toplu indirim aldın.</t>
        </is>
      </c>
      <c r="J139" s="6" t="inlineStr">
        <is>
          <t>Arkadaşın siparişi unuttu. Kendi tostunu yedi.</t>
        </is>
      </c>
      <c r="K139" s="6" t="inlineStr">
        <is>
          <t>Sipariş verdirdin; kantinci ikinizi de sıranın sonuna gönderdi.</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Kantinci sana ömür boyu 'ekstra kaşar' hakkı tanıdı.</t>
        </is>
      </c>
      <c r="J140" s="6" t="inlineStr">
        <is>
          <t>Topladın ama zil çaldı. Yardım ettin, aç kaldın.</t>
        </is>
      </c>
      <c r="K140" s="6" t="inlineStr">
        <is>
          <t>Yardım ederken peynir kasesini devirdin. Kantin geçici olarak kapandı.</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Hatayı buldun, kantinci ödül olarak sana çikolata verdi. Hata aslında senin lehineydi.</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row>
    <row r="143">
      <c r="A143" s="5" t="inlineStr">
        <is>
          <t>odev-nerede</t>
        </is>
      </c>
      <c r="B143" s="5" t="n">
        <v>1</v>
      </c>
      <c r="C143" s="6" t="inlineStr">
        <is>
          <t>Doğruyu söyle</t>
        </is>
      </c>
      <c r="D143" s="5" t="inlineStr"/>
      <c r="E143" s="5" t="inlineStr"/>
      <c r="F143" s="5" t="inlineStr">
        <is>
          <t>İtibar +2</t>
        </is>
      </c>
      <c r="G143" s="6" t="inlineStr">
        <is>
          <t>Öğretmen dürüstlüğünü not etti. Ödevi de not etti.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iki sayfa. Kalite tartışılır, teslim kesin.</t>
        </is>
      </c>
      <c r="I144" s="6" t="inlineStr">
        <is>
          <t>Teneffüste bitirdin; öğretmen 'En temiz ödev bu' dedi. Kimse sormadı.</t>
        </is>
      </c>
      <c r="J144" s="6" t="inlineStr">
        <is>
          <t>Yetiştiremedin; yarım ödev teslim edildi.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Ek süre ve geçmiş olsun dileği.</t>
        </is>
      </c>
      <c r="J145" s="6" t="inlineStr">
        <is>
          <t>'Sizin köpeğiniz yok ki' dedi öğretmen.</t>
        </is>
      </c>
      <c r="K145" s="6" t="inlineStr">
        <is>
          <t>Köpeğin adını bile uydurdun: Karabaş. Öğretmen akşam anneni arayıp Karabaş'ın sağlığını sordu. Annen “Hangi Karabaş?” dedi. Ertesi sabah okula iki ödevle gittin: biri seninki, biri Karabaş'ınki.</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tebrik etti, sonra yardımcın oldu.</t>
        </is>
      </c>
      <c r="J146" s="6" t="inlineStr">
        <is>
          <t>Aday oldun; iki oy aldın. Biri senin, biri sıra arkadaşının.</t>
        </is>
      </c>
      <c r="K146" s="6" t="inlineStr">
        <is>
          <t>Seçim konuşmasında 'Herkese dondurma' dedin. Öğretmen adaylığını iptal etti.</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Sen gölge başkansın.</t>
        </is>
      </c>
      <c r="I147" s="6" t="inlineStr">
        <is>
          <t>Adayın açık farkla kazandı. Tüm kararlar önce sana danışılıyor.</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Seçim kurulu başkanı oldun. Aday olmadan kazanmanın yolu.</t>
        </is>
      </c>
      <c r="I149" s="6" t="inlineStr">
        <is>
          <t>Sandığı sen tasarladın, oyları sen saydın, sonucu sen açıkladın. Tam yetki.</t>
        </is>
      </c>
      <c r="J149" s="6" t="inlineStr">
        <is>
          <t>Kurul kuruldu; kimse seni dinlemedi.</t>
        </is>
      </c>
      <c r="K149" s="6" t="inlineStr">
        <is>
          <t>Oyları sayarken iki kez saydın. Seçim yenilendi.</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 o kadar etkiliydi ki diğer adaylar çekildi.</t>
        </is>
      </c>
      <c r="J150" s="6" t="inlineStr">
        <is>
          <t>Konuşman uzun sürdü; teneffüs zili yarıda kesti.</t>
        </is>
      </c>
      <c r="K150" s="6" t="inlineStr">
        <is>
          <t>Konuşmanın ortasında ne diyeceğini unuttun. Sessizlik 40 saniye sürdü.</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 'onur konuğu' listesindeymişsin. Ayrı davetiye basılıyormuş.</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Katılım oranı yüzde elli.</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Tahminini yüksek sesle söyledin. Parti sahibi duydu.</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Bakkal, oyuncakçı ve simitçi aynı gün rekor kırdı. Sana teşekkür kartı gönderildi.</t>
        </is>
      </c>
      <c r="J156" s="6" t="inlineStr">
        <is>
          <t>Harcadın; aldıklarının yarısı ertesi gün bozuldu.</t>
        </is>
      </c>
      <c r="K156" s="6" t="inlineStr">
        <is>
          <t>Hepsini tek bir oyuncağa harcadın. Oyuncak ilk gün kırıldı.</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turuyla bütçeyi ikiye katladın.</t>
        </is>
      </c>
      <c r="I157" s="6" t="inlineStr">
        <is>
          <t>Uzak akrabaları da ziyaret listesine ekledin. Babanın teyzesinin kayınbiraderi bile zarf verdi; kim olduğunu hâlâ bilmiyorsun.</t>
        </is>
      </c>
      <c r="J157" s="6" t="inlineStr">
        <is>
          <t>İkinci turda 'Sen gelmiştin ya' dediler.</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sakladığın yeri kuzenin buldu.</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üstüne komşunun balkonundan düşen bir top da geldi. Bonus.</t>
        </is>
      </c>
      <c r="J161" s="6" t="inlineStr">
        <is>
          <t>Süpürge kısa geldi. Sandalye de. Sen de.</t>
        </is>
      </c>
      <c r="K161" s="6" t="inlineStr">
        <is>
          <t>Süpürge sapı balkona takıldı. Artık orada bir uçurtma ve bir süpürge var.</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Aşağıdakiler nefeslerini ancak sen inince bıraktı.</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Asist de bir sanattır.</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row>
    <row r="166">
      <c r="A166" s="5" t="inlineStr">
        <is>
          <t>mahalle-maci</t>
        </is>
      </c>
      <c r="B166" s="5" t="n">
        <v>3</v>
      </c>
      <c r="C166" s="6" t="inlineStr">
        <is>
          <t>Camı düşün, yavaş vur</t>
        </is>
      </c>
      <c r="D166" s="5" t="inlineStr"/>
      <c r="E166" s="5" t="inlineStr"/>
      <c r="F166" s="5" t="inlineStr">
        <is>
          <t>İtibar +1, Dayanıklılık +1</t>
        </is>
      </c>
      <c r="G166" s="6" t="inlineStr">
        <is>
          <t>Top kaleye yavaşça yuvarlandı. Kaleci aldı. Cam teşekkür etti.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Kedi onaylandı.</t>
        </is>
      </c>
      <c r="I167" s="6" t="inlineStr">
        <is>
          <t>Konuşma sırasında babaannen ağladı. Bir değil iki kedi onaylandı.</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maddelik plan sundun. Kedi onaylandı.</t>
        </is>
      </c>
      <c r="I168" s="6" t="inlineStr">
        <is>
          <t>Mama ve kum için kumbarandan pay ayırdın. Baban “Bu çocuk benden düzenli” dedi; iki yavru birden onaylandı.</t>
        </is>
      </c>
      <c r="J168" s="6" t="inlineStr">
        <is>
          <t>Plan iyiydi ama bütçe onaylanmadı.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row>
    <row r="171">
      <c r="A171" s="5" t="inlineStr">
        <is>
          <t>tablet-saati</t>
        </is>
      </c>
      <c r="B171" s="5" t="n">
        <v>1</v>
      </c>
      <c r="C171" s="6" t="inlineStr">
        <is>
          <t>Süreye uy</t>
        </is>
      </c>
      <c r="D171" s="5" t="inlineStr"/>
      <c r="E171" s="5" t="inlineStr"/>
      <c r="F171" s="5" t="inlineStr">
        <is>
          <t>İtibar +1, Dayanıklılık +1</t>
        </is>
      </c>
      <c r="G171" s="6" t="inlineStr">
        <is>
          <t>Canavar yarına kaldı. İrade bugün kazandı.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istedin, on beş aldın. Pazarlık dersi.</t>
        </is>
      </c>
      <c r="J172" s="6" t="inlineStr">
        <is>
          <t>Beş dakika istedin; 'Yarın' dendi.</t>
        </is>
      </c>
      <c r="K172" s="6" t="inlineStr">
        <is>
          <t>Beş dakika istedin; ertesi günün süresi de kesildi.</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Sınırsız ekran, sınırsız sorumluluk.</t>
        </is>
      </c>
      <c r="I174" s="6" t="inlineStr">
        <is>
          <t>Kilidi çözdün ve ailenin telefonuna ekran süresi koydun.</t>
        </is>
      </c>
      <c r="J174" s="6" t="inlineStr">
        <is>
          <t>Kilit çözülmedi; tablet 10 dakika kilitlendi.</t>
        </is>
      </c>
      <c r="K174" s="6" t="inlineStr">
        <is>
          <t>Kilidi çözmeye çalışırken tableti fabrika ayarlarına döndürdün.</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Her şeyi duydun ve ailen çıkmadan savunmanı hazırladın.</t>
        </is>
      </c>
      <c r="J175" s="6" t="inlineStr">
        <is>
          <t>Hiçbir şey duyamadın. Kapı çok kalınmış.</t>
        </is>
      </c>
      <c r="K175" s="6" t="inlineStr">
        <is>
          <t>Kapıya yaslandın, kapı açıldı. İçeri düştün.</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row>
    <row r="176">
      <c r="A176" s="5" t="inlineStr">
        <is>
          <t>veli-toplantisi</t>
        </is>
      </c>
      <c r="B176" s="5" t="n">
        <v>2</v>
      </c>
      <c r="C176" s="6" t="inlineStr">
        <is>
          <t>Öğretmene önceden çiçek götür</t>
        </is>
      </c>
      <c r="D176" s="5" t="inlineStr">
        <is>
          <t>Pişkinlik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row>
    <row r="178">
      <c r="A178" s="5" t="inlineStr">
        <is>
          <t>veli-toplantisi</t>
        </is>
      </c>
      <c r="B178" s="5" t="n">
        <v>4</v>
      </c>
      <c r="C178" s="6" t="inlineStr">
        <is>
          <t>Ailenin yüzünden sonucu oku</t>
        </is>
      </c>
      <c r="D178" s="5" t="inlineStr">
        <is>
          <t>Sosyal Radar</t>
        </is>
      </c>
      <c r="E178" s="5" t="inlineStr">
        <is>
          <t>Kolay</t>
        </is>
      </c>
      <c r="F178" s="5" t="inlineStr"/>
      <c r="G178" s="6" t="inlineStr"/>
      <c r="H178" s="6" t="inlineStr">
        <is>
          <t>Kapıdan çıkarken yüzlerine baktın. Sonuç iyi. Rahatladın.</t>
        </is>
      </c>
      <c r="I178" s="6" t="inlineStr">
        <is>
          <t>Yüz ifadesinden sadece sonucu değil, akşam yemeğini de tahmin ettin.</t>
        </is>
      </c>
      <c r="J178" s="6" t="inlineStr">
        <is>
          <t>Yüzleri hiçbir şey söylemiyordu.</t>
        </is>
      </c>
      <c r="K178" s="6" t="inlineStr">
        <is>
          <t>'İyi geçti' diye sevinçle koştun. İyi geçmemişti.</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açtın. Alkış geldi.</t>
        </is>
      </c>
      <c r="I179" s="6" t="inlineStr">
        <is>
          <t>Karneyi gösterdin; ailen fotoğrafını çekip aile grubuna gönderdi.</t>
        </is>
      </c>
      <c r="J179" s="6" t="inlineStr">
        <is>
          <t>Karneyi gösterdin; tek zayıf not da görüldü.</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kötü haber gölgede kaldı.</t>
        </is>
      </c>
      <c r="I180" s="6" t="inlineStr">
        <is>
          <t>Sunumun o kadar iyiydi ki karneyi açmalarına gerek kalmadı.</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 bir gün ertelendi. Bu bir günü iyi kullandın.</t>
        </is>
      </c>
      <c r="I181" s="6" t="inlineStr">
        <is>
          <t>Karne tatil boyunca 'kayıp' kaldı ve ilk gün imzalı bulundu. Kimse nasıl olduğunu sormadı.</t>
        </is>
      </c>
      <c r="J181" s="6" t="inlineStr">
        <is>
          <t>Ertelemeye çalıştın; öğretmen aradı.</t>
        </is>
      </c>
      <c r="K181" s="6" t="inlineStr">
        <is>
          <t>Ertelemeye çalıştın; karne çantadan çıktı ve herkesin önünde açıldı.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zayıf not dahil.</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ailene bir sözleşme imzalatmıştın. Madde üç: her pekiyiye bir dondurma. Temmuz ortasında dondurmalık tükendi.</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row>
    <row r="184">
      <c r="A184" s="5" t="inlineStr">
        <is>
          <t>b4-ilk-telefon</t>
        </is>
      </c>
      <c r="B184" s="5" t="n">
        <v>1</v>
      </c>
      <c r="C184" s="6" t="inlineStr">
        <is>
          <t>Kurallara uy</t>
        </is>
      </c>
      <c r="D184" s="5" t="inlineStr"/>
      <c r="E184" s="5" t="inlineStr"/>
      <c r="F184" s="5" t="inlineStr">
        <is>
          <t>İtibar +1</t>
        </is>
      </c>
      <c r="G184" s="6" t="inlineStr">
        <is>
          <t>Kullanım koşullarını okumadan kabul ettin. Hayatının geri kalanı için iyi bir antrenman.</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bayramlarda genel af. Ailen metni okumadan onayladı.</t>
        </is>
      </c>
      <c r="J185" s="6" t="inlineStr">
        <is>
          <t>'Hafta sonu bakarız' denildi. Hafta sonu bakılmadı.</t>
        </is>
      </c>
      <c r="K185" s="6" t="inlineStr">
        <is>
          <t>Pazarlık uzadı; telefon 'soğuma süresi' adıyla bir haftalığına dolaba kaldırıldı. Dolap kilitli.</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yetişkinden izin iste' ekranında donup kaldı.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Aile içi onay oranın tavan.</t>
        </is>
      </c>
      <c r="I189" s="6" t="inlineStr">
        <is>
          <t>Günaydını çiçekli görselle attın; babaanne onu alıp başka bir aile grubuna iletti. Artık iki grupta ünlüsün.</t>
        </is>
      </c>
      <c r="J189" s="6" t="inlineStr">
        <is>
          <t>Günaydın yazdın. Saat 11.40'tı. Grup bunu not etti.</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Oyun seni 'ücretsiz oyuncu' olarak etiketledi. Toplum da ileride aynısını yapacak.</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'Tek seferlik' diye sunum yaptın. İzin çıktı.</t>
        </is>
      </c>
      <c r="I192" s="6" t="inlineStr">
        <is>
          <t>Kılıcın 'eğitim amaçlı' olduğunu anlattın. Kılıçla birlikte bir kalkan da onaylandı.</t>
        </is>
      </c>
      <c r="J192" s="6" t="inlineStr">
        <is>
          <t>'Gerçek bir kılıç mı?' diye sordu annen. Konu teknik açıklamada boğuldu.</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Yastık altı fonundan ödedin. İlk dijital varlık yatırımın.</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row>
    <row r="195">
      <c r="A195" s="5" t="inlineStr">
        <is>
          <t>b4-flut</t>
        </is>
      </c>
      <c r="B195" s="5" t="n">
        <v>1</v>
      </c>
      <c r="C195" s="6" t="inlineStr">
        <is>
          <t>Yalnızca derste çal</t>
        </is>
      </c>
      <c r="D195" s="5" t="inlineStr"/>
      <c r="E195" s="5" t="inlineStr"/>
      <c r="F195" s="5" t="inlineStr">
        <is>
          <t>İtibar +1</t>
        </is>
      </c>
      <c r="G195" s="6" t="inlineStr">
        <is>
          <t>Flüt yalnızca derste çalındı. Evde ömür boyu müzikal bir ateşkes ilan edildi.</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grubunda 'Kaynağı belirsiz ıslık' konulu bir başlık açıldı.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rhythm</t>
        </is>
      </c>
      <c r="N196" s="5" t="inlineStr">
        <is>
          <t>Flüt Ritmi</t>
        </is>
      </c>
      <c r="O196" s="6" t="inlineStr">
        <is>
          <t>Işık yanınca notaya bas. Kaçırırsan alt kat süpürge sapıyla tavana vurur.</t>
        </is>
      </c>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sen derste nota yazımından tam not aldın. Kayıp, fırsata dönüştü.</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üç alkış. Oran bire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Gecenin tek faydalı mesajlarını sen attın. Öğretmen ertesi gün grubu 'örnek iletişim' diye sınıfa okuttu.</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swipe</t>
        </is>
      </c>
      <c r="N200" s="5" t="inlineStr">
        <is>
          <t>Gönder ya da Sil</t>
        </is>
      </c>
      <c r="O200" s="6" t="inlineStr">
        <is>
          <t>Kartları hızla ayır: işe yarayanı gönder, pişman olacağını sil.</t>
        </is>
      </c>
      <c r="P200"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konuşulanlar dışarı taşınıyor' yazdın. Grup iki saat boyunca kendini denetledi.</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Gizli bir ateşkes imzaladınız. Karşılığında ödev defterine erişim kazandın.</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row>
    <row r="203">
      <c r="A203" s="5" t="inlineStr">
        <is>
          <t>b4-kisa-video</t>
        </is>
      </c>
      <c r="B203" s="5" t="n">
        <v>1</v>
      </c>
      <c r="C203" s="6" t="inlineStr">
        <is>
          <t>İzle, beğen, geç</t>
        </is>
      </c>
      <c r="D203" s="5" t="inlineStr"/>
      <c r="E203" s="5" t="inlineStr"/>
      <c r="F203" s="5" t="inlineStr">
        <is>
          <t>Akıl +1</t>
        </is>
      </c>
      <c r="G203" s="6" t="inlineStr">
        <is>
          <t>Üç saat video izledin. Hiçbirini hatırlamıyorsun. Çağın ruhunu yakaladın.</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 başka bir şehre ulaştı; orada bir çocuk seni taklit etti. Artık bir trendin var.</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kravatla, rapor sunar gibi yaptın. Yorumlar: 'Bu çocuk büyüyünce müdür olur.'</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Sofranın ekseni sana döndü.</t>
        </is>
      </c>
      <c r="I208" s="6" t="inlineStr">
        <is>
          <t>Başarılarını öyle sundun ki teyzen konuyu değiştirdi ve 'Çay isteyen?' diye kalktı.</t>
        </is>
      </c>
      <c r="J208" s="6" t="inlineStr">
        <is>
          <t>Başarılarını saydın. Bitince teyzen 'Ha, bir de yüzmede ikinci oldu' dedi.</t>
        </is>
      </c>
      <c r="K208" s="6" t="inlineStr">
        <is>
          <t>Karşı hamle olarak piyano çaldığını söyledin. Salonda piyano vardı.</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row>
    <row r="209">
      <c r="A209" s="5" t="inlineStr">
        <is>
          <t>b4-kuzen-kiyaslama</t>
        </is>
      </c>
      <c r="B209" s="5" t="n">
        <v>3</v>
      </c>
      <c r="C209" s="6" t="inlineStr">
        <is>
          <t>Kuzenle ittifak kur</t>
        </is>
      </c>
      <c r="D209" s="5" t="inlineStr">
        <is>
          <t>Sosyal Radar</t>
        </is>
      </c>
      <c r="E209" s="5" t="inlineStr">
        <is>
          <t>Zor</t>
        </is>
      </c>
      <c r="F209" s="5" t="inlineStr"/>
      <c r="G209" s="6" t="inlineStr"/>
      <c r="H209" s="6" t="inlineStr">
        <is>
          <t>Balkonda anlaştınız: kimse kimseyi geçmeyecek. Gizli barış imzalandı.</t>
        </is>
      </c>
      <c r="I209" s="6" t="inlineStr">
        <is>
          <t>Ortak açıklama yaptınız: 'İkimiz de ortalama olmak istiyoruz.' Anneler uzun süre konuşmadı.</t>
        </is>
      </c>
      <c r="J209" s="6" t="inlineStr">
        <is>
          <t>İttifak teklif ettin; kuzen bunu da annesine anlattı.</t>
        </is>
      </c>
      <c r="K209" s="6" t="inlineStr">
        <is>
          <t>İttifak kurdunuz;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bir yöneticiydim' dedin. Sofrada ağır bir sessizlik oldu. Puan sende.</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Ailen etkilendi ve biraz korktu.</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Ailen seni ödüllendirdi: ek ekran süresi. Hesap makinesi için.</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Telefon fabrika ayarlarına döndü. Fotoğraflar, yazışmalar ve üç yıllık oyun kaydı devlet sırrı gibi yok oldu.</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ekran süresi kuralını unuttu. Evde yeni bir denetim boşluğu doğdu.</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 döküldü. Harçlığının yarısı yol boyunca vergilendirildi.</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lanes</t>
        </is>
      </c>
      <c r="N216" s="5" t="inlineStr">
        <is>
          <t>Köşeden Kaç</t>
        </is>
      </c>
      <c r="O216" s="6" t="inlineStr">
        <is>
          <t>Sağa sola kayarak engellere çarpmadan eve ulaş.</t>
        </is>
      </c>
      <c r="P216" s="6" t="inlineStr">
        <is>
          <t>{"obstacles":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borcun faize bağlandı.</t>
        </is>
      </c>
      <c r="K217" s="6" t="inlineStr">
        <is>
          <t>Pazarlık uzadıkça fiyat arttı. Harçlığı, şarj aletini ve yeni bir lakabı teslim ettin: 'Taksit'.</t>
        </is>
      </c>
      <c r="L217" s="6" t="inlineStr"/>
      <c r="M217" s="5" t="inlineStr"/>
      <c r="N217" s="5" t="inlineStr"/>
      <c r="O217" s="6" t="inlineStr"/>
      <c r="P217" s="6" t="inlineStr"/>
      <c r="Q217" s="5" t="inlineStr"/>
      <c r="R217" s="5" t="inlineStr"/>
      <c r="S217" s="5" t="inlineStr"/>
      <c r="T217" s="5" t="inlineStr"/>
      <c r="U217" s="5" t="inlineStr"/>
      <c r="V217" s="5" t="inlineStr"/>
      <c r="W217" s="5" t="inlineStr">
        <is>
          <t>lakapli</t>
        </is>
      </c>
      <c r="X217" s="5" t="inlineStr"/>
      <c r="Y217" s="5" t="inlineStr"/>
      <c r="Z217" s="6" t="inlineStr"/>
      <c r="AA217" s="5" t="inlineStr"/>
      <c r="AB217" s="5" t="inlineStr"/>
      <c r="AC217" s="5" t="inlineStr"/>
      <c r="AD217" s="5" t="inlineStr"/>
      <c r="AE217" s="5" t="inlineStr"/>
      <c r="AF217" s="5" t="inlineStr"/>
      <c r="AG217" s="5" t="inlineStr"/>
      <c r="AH217" s="5" t="inlineStr"/>
      <c r="AI217" s="5" t="inlineStr">
        <is>
          <t>Taksit</t>
        </is>
      </c>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çıkıp 'Ne oluyor?' dedi. Üçü birden seni gösterdi.</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sana kendi anahtarının yedeğini verdi.</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row>
    <row r="223">
      <c r="A223" s="5" t="inlineStr">
        <is>
          <t>b4-sivilce</t>
        </is>
      </c>
      <c r="B223" s="5" t="n">
        <v>3</v>
      </c>
      <c r="C223" s="6" t="inlineStr">
        <is>
          <t>Bere tak</t>
        </is>
      </c>
      <c r="D223" s="5" t="inlineStr">
        <is>
          <t>Pişkinlik</t>
        </is>
      </c>
      <c r="E223" s="5" t="inlineStr">
        <is>
          <t>Kolay</t>
        </is>
      </c>
      <c r="F223" s="5" t="inlineStr"/>
      <c r="G223" s="6" t="inlineStr"/>
      <c r="H223" s="6" t="inlineStr">
        <is>
          <t>Bereyle poz verdin. Tarz sanıldı.</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Sivilceye verdiğin isim sana geçti. Artık sen 'Müdür Bey'sin.</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row>
    <row r="225">
      <c r="A225" s="5" t="inlineStr">
        <is>
          <t>b4-ses-catlamasi</t>
        </is>
      </c>
      <c r="B225" s="5" t="n">
        <v>1</v>
      </c>
      <c r="C225" s="6" t="inlineStr">
        <is>
          <t>Fısıltıyla oku</t>
        </is>
      </c>
      <c r="D225" s="5" t="inlineStr"/>
      <c r="E225" s="5" t="inlineStr"/>
      <c r="F225" s="5" t="inlineStr">
        <is>
          <t>Kurnazlık +1</t>
        </is>
      </c>
      <c r="G225" s="6" t="inlineStr">
        <is>
          <t>Fısıltıyla okudun. Öğretmen 'Daha yüksek' dedi. Yüksek okudun. Ses çatladı. Plan kısmen işledi.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hold</t>
        </is>
      </c>
      <c r="N226" s="5" t="inlineStr">
        <is>
          <t>Sesini Sabit Tut</t>
        </is>
      </c>
      <c r="O226" s="6" t="inlineStr">
        <is>
          <t>Basılı tut, çubuk yeşildeyken bırak. Az kalırsa fısıltı, fazla kaçarsa kanarya.</t>
        </is>
      </c>
      <c r="P226" s="6" t="inlineStr"/>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deftere yazdın, üstünü iade ettin. Veliler seni muhasebeci ilan etti.</t>
        </is>
      </c>
      <c r="I231" s="6" t="inlineStr">
        <is>
          <t>Toplamı hedefin üstüne çıkardın ve kalan parayla sınıfa pasta aldın. Veli grubu ilk kez hemfikir.</t>
        </is>
      </c>
      <c r="J231" s="6" t="inlineStr">
        <is>
          <t>Üç kişi 'Sonra veririm' dedi. Sonra gelmedi.</t>
        </is>
      </c>
      <c r="K231" s="6" t="inlineStr">
        <is>
          <t>Toplanan parayı cebinde unuttun. Pantolon yıkandı. Para temiz ama sayısı belirsiz.</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Önerin kabul edildi ve grubun adı 'Yapıcı Veliler' oldu. Arka planda sen varsın.</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yorumladın. Tez olurdu.</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'Selam' geldi. Tarihî bir yazışma başladı.</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itfaiyeci gitti. Anlamını kimse çözemedi. Sen de.</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Katkın tescillendi.</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geçen yazki tatil fotoğrafların. Mayolu olanlar dahil.</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koltuktasın. Statü onaylandı.</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İki saatlik yolun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Sayımı yaptın, iki kişinin başka okulun otobüsüne bindiğini fark ettin. Uluslararası kriz önlendi.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bıraktın. Kimse fark etmedi. Bu da bir cevap.</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Bitkilerin müziğe tepkisini ölçtün. Sonuç: tepki yok. Jüri dürüstlüğünü ödüllendirdi.</t>
        </is>
      </c>
      <c r="I250" s="6" t="inlineStr">
        <is>
          <t>Apartmanın aidat ödeme davranışını grafikledin. Birinci oldun; site yönetimi raporu istedi.</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Soruyu sordun; jüri üyesinin kendi çocuğunun yanardağ yaptığı ortaya çıktı. İlişkiler gerildi.</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poker</t>
        </is>
      </c>
      <c r="N254" s="5" t="inlineStr">
        <is>
          <t>Akşam Yemeği Sorgusu</t>
        </is>
      </c>
      <c r="O254" s="6" t="inlineStr">
        <is>
          <t>Parmağını daireye koy ve kıpırdatma. Sorular üstüne gelecek.</t>
        </is>
      </c>
      <c r="P254" s="6" t="inlineStr">
        <is>
          <t>{"questions": ["Okul nasıl?", "Sınavlar ne zaman?", "Neden bu kadar sessizsin?", "Çantanda ne var?", "Bana bak bakayım."]}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annen sonradan bir resmî evrakta seninkini örnek aldı.</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 o kadar sevindi ki kâğıdı aile grubuna attı. 'Torunum sınava girmiş' notuyla.</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dolu. Sabah çekim, öğlen uyku, akşam kutu açılışı. Sen artık kedinin asistanısın.</t>
        </is>
      </c>
      <c r="J258" s="6" t="inlineStr">
        <is>
          <t>Kedi çekimlere gelmedi. Menajer olarak ilk krizin, oyuncunun kanepenin altında olması.</t>
        </is>
      </c>
      <c r="K258" s="6" t="inlineStr">
        <is>
          <t>Kedi çekim sırasında kamerayı masadan itti. Video en çok izlenen videon oldu. Senin telefonun kırıldı.</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ailen onu kuzenle paylaşıyor. Maliyet bölündü, prestij sende.</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Plana o kadar inandılar ki dershane parasının bir kısmı 'başarı fonu' olarak ayrıldı.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 oldu. Annen tarifi gruba paylaştı. Tarif yayıldı.</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oy vereceğini çözdün. Akşam yemeğinde babana tam rapor verdin; baban seni danışman ilan etti.</t>
        </is>
      </c>
      <c r="J269" s="6" t="inlineStr">
        <is>
          <t>Kulak verdin ama yönetici kapıyı suratına kapattı. Makbuzu almayı da unuttun.</t>
        </is>
      </c>
      <c r="K269" s="6" t="inlineStr">
        <is>
          <t>Dinlerken yakalandın. Yönetici seni “casus” diye tutanağa geçirdi. Adın ilk kez resmî bir belgede.</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Akşam mutfakta tutanak tutuldu.</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row>
    <row r="272">
      <c r="A272" s="5" t="inlineStr">
        <is>
          <t>b4-yz-odev</t>
        </is>
      </c>
      <c r="B272" s="5" t="n">
        <v>1</v>
      </c>
      <c r="C272" s="6" t="inlineStr">
        <is>
          <t>Kendin yaz</t>
        </is>
      </c>
      <c r="D272" s="5" t="inlineStr"/>
      <c r="E272" s="5" t="inlineStr"/>
      <c r="F272" s="5" t="inlineStr">
        <is>
          <t>İtibar +1, Akıl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'Tam senin tarzın' dedi. Tarzının artık bir yazılımı var.</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İnsan yapımı sertifikası aldın.</t>
        </is>
      </c>
      <c r="I274" s="6" t="inlineStr">
        <is>
          <t>Öyle bir yeniden yazdın ki makinenin metninden iyi oldu. Makine bile etkilenirdi.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Okul yapay zekâ yönetmeliğini senin ödevin üzerinden yazdı. Adın Ek-1'de.</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Gerekçeli, imzalı, ekli bir dilekçe verdin. Aile meclisi odayı sana tahsis etti.</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47 takipçi seçkin bir kulübe dönüştü. Üyelik kapalı.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Maç yaptınız. Kaybettin ama dik durdun. Ertesi gün selam verdiler. Kısmi barış.</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top oynamaya devam ettiler. Soğuk barış.</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İş teklif ettin; kabul ettiler, ilk gün kasayı alıp gittiler. Tecrübe böyle kazanılır.</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 Kantinci sana ayrı bir tezgâh verdi. Bayilik aldın.</t>
        </is>
      </c>
      <c r="J289" s="6" t="inlineStr">
        <is>
          <t>Tostlar karıştı. Kaşarlı isteyen sucukluyu aldı. Müşteri memnuniyeti sıfır.</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Annenin tarifi ilk kez ticarileşti.</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da bir dilim aldı. Sonra ruhsatını sordu.</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yüzde otuz kârdaydın ve çıktın. Nadir görülen bir olgunluk.</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sakladığın yeri kuzenin yine buldu. Kuzen artık bir dedektif.</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Faiz oranını pazarlıkla belirledin. Ailen her ay taksit ödüyor. Akşam yemeklerinde gergin bir kredi ilişkisi var.</t>
        </is>
      </c>
      <c r="J296" s="6" t="inlineStr">
        <is>
          <t>Geri ödeme 'ileride' olarak planlandı. İleridenin ne zaman olduğu belirtilmedi.</t>
        </is>
      </c>
      <c r="K296" s="6" t="inlineStr">
        <is>
          <t>Ailen parayı dershane taksitine saydı. Kendi eğitimini kredilendirmiş oldun.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Tarih yazıldı.</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Ertelediğin buluşmanın yerine daha iyi bir plan önerdin. Kabul edildi. Zaman kazandın, puan kazandın.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ama anlamı da büyük.</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Paslarını kimse değerlendiremedi. İstatistik seni haklı çıkarıyor ama liste çıkarmıyor.</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İktidar bazen malzeme odasındadır.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bargain</t>
        </is>
      </c>
      <c r="N305" s="5" t="inlineStr">
        <is>
          <t>Son Fiyat?</t>
        </is>
      </c>
      <c r="O305" s="6" t="inlineStr">
        <is>
          <t>Alıcının sabrı bitmeden doğru fiyatı bul. Fazla inersen annen duyar.</t>
        </is>
      </c>
      <c r="P305" s="6" t="inlineStr">
        <is>
          <t>{"item":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dönüştü. Zincir kapandı. Ailen sorgulamadı.</t>
        </is>
      </c>
      <c r="J307" s="6" t="inlineStr">
        <is>
          <t>Telefonu bisiklete çevirdin. Bisikletin zinciri yok.</t>
        </is>
      </c>
      <c r="K307" s="6" t="inlineStr">
        <is>
          <t>Zincir tersine döndü: telefonu verdin, eline bir kutu kartpostal geçti. Değeri tartışmalı, duygusal.</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balance</t>
        </is>
      </c>
      <c r="N309" s="5" t="inlineStr">
        <is>
          <t>Tek Ayak Sinyal</t>
        </is>
      </c>
      <c r="O309" s="6" t="inlineStr">
        <is>
          <t>Kayan sinyal çizgisinin altında telefonu tut. Tek ayak üstündesin, unutma.</t>
        </is>
      </c>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row>
    <row r="310">
      <c r="A310" s="5" t="inlineStr">
        <is>
          <t>b4-yaz-tatili</t>
        </is>
      </c>
      <c r="B310" s="5" t="n">
        <v>3</v>
      </c>
      <c r="C310" s="6" t="inlineStr">
        <is>
          <t>Yan yazlıkla ittifak kur</t>
        </is>
      </c>
      <c r="D310" s="5" t="inlineStr">
        <is>
          <t>Sosyal Radar</t>
        </is>
      </c>
      <c r="E310" s="5" t="inlineStr">
        <is>
          <t>Kolay</t>
        </is>
      </c>
      <c r="F310" s="5" t="inlineStr"/>
      <c r="G310" s="6" t="inlineStr"/>
      <c r="H310" s="6" t="inlineStr">
        <is>
          <t>Tek ayak üstünde bir yaz arkadaşlığı kurdun. Eylülde koptunuz. Yazlık dostluklarının doğası bu.</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İttifak kurdunuz;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row>
    <row r="312">
      <c r="A312" s="5" t="inlineStr">
        <is>
          <t>b4-dershane-denemesi</t>
        </is>
      </c>
      <c r="B312" s="5" t="n">
        <v>1</v>
      </c>
      <c r="C312" s="6" t="inlineStr">
        <is>
          <t>Sıranı kabul et</t>
        </is>
      </c>
      <c r="D312" s="5" t="inlineStr"/>
      <c r="E312" s="5" t="inlineStr"/>
      <c r="F312" s="5" t="inlineStr">
        <is>
          <t>Dayanıklılık +1</t>
        </is>
      </c>
      <c r="G312" s="6" t="inlineStr">
        <is>
          <t>Sıranı gördün, not aldın, yürüdün. Bir sonraki deneme bir hafta sonra. Hayat bir deneme serisi.</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'Hangi okuldan geliyordun?' diye sordu. İki yıldır oradasın.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row>
    <row r="315">
      <c r="A315" s="5" t="inlineStr">
        <is>
          <t>b4-lise-sinavi</t>
        </is>
      </c>
      <c r="B315" s="5" t="n">
        <v>1</v>
      </c>
      <c r="C315" s="6" t="inlineStr">
        <is>
          <t>Meslek lisesini yaz</t>
        </is>
      </c>
      <c r="D315" s="5" t="inlineStr"/>
      <c r="E315" s="5" t="inlineStr"/>
      <c r="F315" s="5" t="inlineStr">
        <is>
          <t>Dayanıklılık +1, 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Dershane bunu 'bir sonraki paketimiz' olarak değerlendirdi.</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İyi bir lise, sakinliğin ödülü.</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Tahta da seni.</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İkinci gün sınıfın mesaj grubunu sen kurdun. Yöneticilik yetkisi yalnızca sende.</t>
        </is>
      </c>
      <c r="J323" s="6" t="inlineStr">
        <is>
          <t>Kendini tanıttın. Karşındakiler seni rehbere 'şu çok konuşan' diye kaydetti.</t>
        </is>
      </c>
      <c r="K323" s="6" t="inlineStr">
        <is>
          <t>Heyecanla herkese el salladın. Karşılık veren tek kişi müdür yardımcısıydı.</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Dört yıl boyunca sınıfta kimse onun önünde konuşmadı; senin önünde de.</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dedi ve her zamanki gibi yaptı. Devrim bir dönem daha ertelendi.</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yeni bir şey oldu. Okulda iki kişi aynısını istedi.</t>
        </is>
      </c>
      <c r="I326" s="6" t="inlineStr">
        <is>
          <t>Saçın koridorda akım başlattı. Berbere artık 'o öğrencinin saçı' diye sipariş geliyor.</t>
        </is>
      </c>
      <c r="J326" s="6" t="inlineStr">
        <is>
          <t>Sonuç fotoğrafa benzemedi. Babanın gençlik fotoğrafına benzedi.</t>
        </is>
      </c>
      <c r="K326" s="6" t="inlineStr">
        <is>
          <t>Berber “Biraz alalım” dedi ve makineyi açtı. Biraz, sıfır numaraymış. Akşam babaannen seni kapıda “Askere mi gidiyor bu çocuk?” diye karşıladı.</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Kuzenlerden randevu talebi geliyor.</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gerçekten tarz oldu.</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Evde de hiçbir tartışmayı kaybetmiyorsun artık.</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'Bu öğrenci ileride bir şey olur' dedi. Ne olacağını söylemedi.</t>
        </is>
      </c>
      <c r="J331" s="6" t="inlineStr">
        <is>
          <t>Rolün 'Ağaç 2'. Repliğin yok ama iyi bir ağaçtın.</t>
        </is>
      </c>
      <c r="K331" s="6" t="inlineStr">
        <is>
          <t>Rolün 'Ağaç 2'. Gösterinin en sessiz anında ağaç olarak hapşırdın. Salon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Rehber öğretmen formları sana onaylatıyor.</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alındı. İçinde deneme sınavları, ek dersler ve dershane logolu bir kalem var.</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bargain</t>
        </is>
      </c>
      <c r="N334" s="5" t="inlineStr">
        <is>
          <t>Kayıt Masası Pazarlığı</t>
        </is>
      </c>
      <c r="O334" s="6" t="inlineStr">
        <is>
          <t>Danışmanın sabrı bitmeden doğru indirimi kopar; kalem hediyesine razı olma.</t>
        </is>
      </c>
      <c r="P334" s="6" t="inlineStr">
        <is>
          <t>{"item":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Tasarruf edilen para internet paketine aktarıldı.</t>
        </is>
      </c>
      <c r="I335" s="6" t="inlineStr">
        <is>
          <t>Aileni ikna ettin. Evin en sessiz odası sana verildi, misafir yatağı salona taşındı. Annen yine de iki saatte bir meyve tabağıyla giriyor.</t>
        </is>
      </c>
      <c r="J335" s="6" t="inlineStr">
        <is>
          <t>'Evde çalışırım' dedin. Ailen seni tanıyordu.</t>
        </is>
      </c>
      <c r="K335" s="6" t="inlineStr">
        <is>
          <t>'Evde çalışırım' dedin. Ailen seni hem dershaneye hem de akşam etüdüne yazdırdı.</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Tablon ailede takdir topladı. Yine de yazdırıldın ama taksitle.</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Kimse arkandan bir şey demedi. Ertesi gün kimse hatırlamadı bile.</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kimse dinlemedi. Neyse ki kimse ısrar da etmedi.</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hepinizin velisi okula çağrıldı; seninki en önde oturuyordu.</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Eskisi artık 'eski grup' olarak anılıyor.</t>
        </is>
      </c>
      <c r="J342" s="6" t="inlineStr">
        <is>
          <t>Grubu kurdun. İki kişi katıldı, biri yanlışlıkla.</t>
        </is>
      </c>
      <c r="K342" s="6" t="inlineStr">
        <is>
          <t>Yeni grubun ilk mesajı asıl gruptaki biri hakkındaydı. Ekran görüntüsü on dakikada asıl gruba ulaştı.</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konuşulan tek şey ödevmiş. Hayal kırıklığı.</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keşfettin ve güzergâhı sınıfa açtın. Ön kapının tarifesi bir haftada çöktü.</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Birbirlerine baktılar ve 'Bu hafta pas' dediler. Tarifeden muaf tutuldun.</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ayağa kalkıp dondurma almaya gitti.</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Açık sözlülüğün işe yaradı. Karşındaki güldü, rahatladı ve elini uzattı.</t>
        </is>
      </c>
      <c r="I351" s="6" t="inlineStr">
        <is>
          <t>İkiniz aynı anda 'Ben de' dediniz. Film sahnesiydi; tek eksik müzikti.</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Hazırlık karşılığını buldu.</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Tarihî bir koşu.</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race</t>
        </is>
      </c>
      <c r="N353" s="5" t="inlineStr">
        <is>
          <t>Bildirimden Önce</t>
        </is>
      </c>
      <c r="O353" s="6" t="inlineStr">
        <is>
          <t>Hızlı dokun; eve bildirimden önce var.</t>
        </is>
      </c>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Ailen artık haftalık bir özet bülten alıyor. Hazırlayan ve yayımlayan: sen.</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Kısa ve net vaat kazandı.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özgeçmiş gibi sundun. Seçildin; rakibin de sana danışman oldu.</t>
        </is>
      </c>
      <c r="J358" s="6" t="inlineStr">
        <is>
          <t>Deneyimini anlattın. Biri 'Akvaryum ne oldu?' diye sordu. Kampanya orada bitti.</t>
        </is>
      </c>
      <c r="K358" s="6" t="inlineStr">
        <is>
          <t>İlkokuldan bir sınıf arkadaşın söz aldı ve akvaryum vaadini ayrıntılarıyla anlattı.</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Okul yönetimi bir sonraki seçim kurulunun başına seni atadı.</t>
        </is>
      </c>
      <c r="J359" s="6" t="inlineStr">
        <is>
          <t>Kampanya iyiydi. Adayın 'Geçen yıl ne yaptın?' sorusunu cevaplayamadı.</t>
        </is>
      </c>
      <c r="K359" s="6" t="inlineStr">
        <is>
          <t>Afişleri bastırdın. Yüz afiş, yüz kez yanlış yazılmış bir isim.</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İki akraba anlamadı, bir kuzen alkışladı.</t>
        </is>
      </c>
      <c r="I365" s="6" t="inlineStr">
        <is>
          <t>Hayalini öyle anlattın ki en küçük kuzenin “Ben de onu olacağım” dedi. Teyzen sana ters ters baktı. İlk hayranın dokuz yaşında.</t>
        </is>
      </c>
      <c r="J365" s="6" t="inlineStr">
        <is>
          <t>Hayalini anlattın. Büyük hala 'O iş değil ki' dedi. Konu kapandı.</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row>
    <row r="368">
      <c r="A368" s="5" t="inlineStr">
        <is>
          <t>b5-okul-gezisi</t>
        </is>
      </c>
      <c r="B368" s="5" t="n">
        <v>1</v>
      </c>
      <c r="C368" s="6" t="inlineStr">
        <is>
          <t>Öğretmenin yanına otur</t>
        </is>
      </c>
      <c r="D368" s="5" t="inlineStr"/>
      <c r="E368" s="5" t="inlineStr"/>
      <c r="F368" s="5" t="inlineStr">
        <is>
          <t>Akıl +1</t>
        </is>
      </c>
      <c r="G368" s="6" t="inlineStr">
        <is>
          <t>Dört saat boyunca yöre tarihini dinledin. Müzeye vardığında rehberden fazlasını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devredildi. Otobüs senin yayın akışında.</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de vardı. İlkinden çok izlendi. Fenomen olan annen.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'Geri döndüm' videon başlı başına bir olay.</t>
        </is>
      </c>
      <c r="I373" s="6" t="inlineStr">
        <is>
          <t>Geri dönüşün eski şöhretini ikiye katladı. Bir teyze otobüste seni tanıyıp yer verdi. Kariyer zirvesi.</t>
        </is>
      </c>
      <c r="J373" s="6" t="inlineStr">
        <is>
          <t>Seslendin. Takipçilerin başka birine seslenmekle meşgul.</t>
        </is>
      </c>
      <c r="K373" s="6" t="inlineStr">
        <is>
          <t>Seslenişte kendi adını yanlış söyledin. Yorumlar bir hafta bununla uğraştı.</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Kırıklar maaştan kesilecek.</t>
        </is>
      </c>
      <c r="L375" s="6" t="inlineStr">
        <is>
          <t>Çayların çoğu yerine ulaştı. Şekerlik ulaşamadı; martılar memnun.</t>
        </is>
      </c>
      <c r="M375" s="5" t="inlineStr">
        <is>
          <t>balance</t>
        </is>
      </c>
      <c r="N375" s="5" t="inlineStr">
        <is>
          <t>Çay Tepsisi</t>
        </is>
      </c>
      <c r="O375" s="6" t="inlineStr">
        <is>
          <t>Tepsiyi parmağınla dengede tut; on iki bardak da masaya ulaşsın.</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Patron seni gelecek yaz için ortak adayı ilan etti.</t>
        </is>
      </c>
      <c r="J377" s="6" t="inlineStr">
        <is>
          <t>Kasaya geçtin. Herkes kartla ödedi. Bütün gün tek bir para üstü verdin; o da doğruydu.</t>
        </is>
      </c>
      <c r="K377" s="6" t="inlineStr">
        <is>
          <t>Para üstünü o kadar hızlı verdin ki bir müşteriye iki kez verdin. Fark maaşından kesildi.</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row>
    <row r="378">
      <c r="A378" s="5" t="inlineStr">
        <is>
          <t>b5-yaz-isi-garson</t>
        </is>
      </c>
      <c r="B378" s="5" t="n">
        <v>4</v>
      </c>
      <c r="C378" s="6" t="inlineStr">
        <is>
          <t>İlk gün istifa et</t>
        </is>
      </c>
      <c r="D378" s="5" t="inlineStr"/>
      <c r="E378" s="5" t="inlineStr"/>
      <c r="F378" s="5" t="inlineStr">
        <is>
          <t>Pişkinlik +1</t>
        </is>
      </c>
      <c r="G378" s="6" t="inlineStr">
        <is>
          <t>İlk gün istifa ettin. Çay bahçesi seni tanımadan kaybetti. İş deneyimi hanesi: yarım gün.</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Ailen ilk kez senden borç istedi.</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Gelecek yaz için yeni ücret tarifesi imzalandı.</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bir de ortak fotoğraf paylaştınız. Ayrılık resmî olarak ertelendi.</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Asist listesinin başındasın.</t>
        </is>
      </c>
      <c r="I387" s="6" t="inlineStr">
        <is>
          <t>Paslarını gören beden öğretmeni seni okul takımına çağırdı. Adını ilk kez doğru söyledi.</t>
        </is>
      </c>
      <c r="J387" s="6" t="inlineStr">
        <is>
          <t>Pas verdin. Top tavandaki lambaya gitti. Lamba hâlâ sallanıyor.</t>
        </is>
      </c>
      <c r="K387" s="6" t="inlineStr">
        <is>
          <t>Servisi fazla güçlü attın. Top duvarı aşıp komşu bahçeye düştü. Komşu vermedi; turnuva bitti.</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Arkadaşların bunu ihanet olarak değerlendirdi.</t>
        </is>
      </c>
      <c r="I391" s="6" t="inlineStr">
        <is>
          <t>Üç ünite bitirdin, masaya da özet çıkardın. Kafe fiilen etüt merkezine döndü.</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geçen denemeden yedi fazla. Adın ilan panosunda.</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breath</t>
        </is>
      </c>
      <c r="N394" s="5" t="inlineStr">
        <is>
          <t>Sınav Nefesi</t>
        </is>
      </c>
      <c r="O394" s="6" t="inlineStr">
        <is>
          <t>Daire büyürken nefes al, küçülürken ver. Sorular bekleyebilir.</t>
        </is>
      </c>
      <c r="P394" s="6" t="inlineStr"/>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Ama örüntü şahane.</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Sonra baban 'Peki, bir düşünelim' dedi. Tarihî bir ilk.</t>
        </is>
      </c>
      <c r="I399" s="6" t="inlineStr">
        <is>
          <t>Öyle savundun ki baban kendi yarım kalan hayalini anlattı. Tatlıyı birlikte yediniz.</t>
        </is>
      </c>
      <c r="J399" s="6" t="inlineStr">
        <is>
          <t>Baban 'Önce doktor ol, sonra ne istersen' dedi. Takvim belirsiz.</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Aile meclisi toplandı, oylama yapıldı, kazandın. Baban çekimser kaldı.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Mektubu yazdın ve bir okuldan bekleme listesi cevabı aldın. Umut yazılı hâle geldi.</t>
        </is>
      </c>
      <c r="I403" s="6" t="inlineStr">
        <is>
          <t>Kısmi burs geldi. Ailen hesap makinesini çıkardı. Hesap makinesi hâlâ düşünüyor.</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Ailen 'Önce buradaki sınavı kazan' dedi. Kısmi onay alındı.</t>
        </is>
      </c>
      <c r="I404" s="6" t="inlineStr">
        <is>
          <t>Sunumun sonunda ailen buzdolabının üstüne bir “Öte Diyar kumbarası” koydu. İlk katkı: senin bayram harçlıkların.</t>
        </is>
      </c>
      <c r="J404" s="6" t="inlineStr">
        <is>
          <t>Ailen ücreti yüksek sesle okudu. Sonra bir daha okudu.</t>
        </is>
      </c>
      <c r="K404" s="6" t="inlineStr">
        <is>
          <t>Baban tanıtım videosunu izledi ve kendisi başvurmak istedi.</t>
        </is>
      </c>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Uçak bileti ailede.</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izlemedin. Ama arşiv sağlam.</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Yan sıradakiler hâlâ anlatıyor.</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Mesaj grubunda hâlâ 'o gece' diye anılıyor. Ayrıntılar gizli.</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lanes</t>
        </is>
      </c>
      <c r="N413" s="5" t="inlineStr">
        <is>
          <t>Teslimat Yolu</t>
        </is>
      </c>
      <c r="O413" s="6" t="inlineStr">
        <is>
          <t>Sağa sola kay; çukurlardan, barikatlardan ve aniden açılan araba kapılarından kaç.</t>
        </is>
      </c>
      <c r="P413" s="6" t="inlineStr">
        <is>
          <t>{"obstacles":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Kurye değil, halkla ilişkiler uzmanısın.</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İptal edildi. Tasarruf edilen para ertesi gün başka bir özel derse yatırıldı.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Öğretmen dosyana 'Ne istediğini biliyor' yazdı. Ailen dosyayı gördü, ilk kez itiraz etmedi.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 teslim; tutanaksız ama saygılı.</t>
        </is>
      </c>
      <c r="I423" s="6" t="inlineStr">
        <is>
          <t>Sözleşmeye 'hafta sonu tam gün' maddesi ekletmeyi başardın. Aile hukukunda bir ilk.</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Gece üçte bütün aile mutfakta seni bekliyordu.</t>
        </is>
      </c>
      <c r="L424" s="6" t="inlineStr">
        <is>
          <t>Telefonu aldın ama geri koyarken çekmece gıcırdadı. Sabah baban çekmeceyi yağladı; tek kelime etmeden.</t>
        </is>
      </c>
      <c r="M424" s="5" t="inlineStr">
        <is>
          <t>poker</t>
        </is>
      </c>
      <c r="N424" s="5" t="inlineStr">
        <is>
          <t>Gece Yarısı Mutfak</t>
        </is>
      </c>
      <c r="O424" s="6" t="inlineStr">
        <is>
          <t>Parmağını dairenin içinde tut; ses çıkarma, ekmek poşetine dokunma.</t>
        </is>
      </c>
      <c r="P424" s="6" t="inlineStr"/>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tahmin ettin. İstatistik lehine çalıştı: üniversitelisin.</t>
        </is>
      </c>
      <c r="I426" s="6" t="inlineStr">
        <is>
          <t>Tahminlerinin çoğu tuttu. Puanın, bir yıl gece gündüz çalışan kuzenininkini geçti. Bu konu bayramlarda açılmayacak.</t>
        </is>
      </c>
      <c r="J426" s="6" t="inlineStr">
        <is>
          <t>Olasılık hesabı bu yıl karşı taraftaydı. Puanın barajın bir tık altında.</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sakin ve beklendiği gibi.</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Dershane seni broşürüne 'başarı hikâyesi' olarak aldı.</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t>
        </is>
      </c>
      <c r="W428" s="5" t="inlineStr"/>
      <c r="X428" s="5" t="inlineStr"/>
      <c r="Y428" s="5" t="inlineStr"/>
      <c r="Z428" s="6" t="inlineStr"/>
      <c r="AA428" s="5" t="inlineStr"/>
      <c r="AB428" s="5" t="inlineStr"/>
      <c r="AC428" s="5" t="inlineStr"/>
      <c r="AD428" s="5" t="inlineStr"/>
      <c r="AE428" s="5" t="inlineStr"/>
      <c r="AF428" s="5" t="inlineStr"/>
      <c r="AG428" s="5" t="inlineStr"/>
      <c r="AH428" s="5" t="inlineStr"/>
      <c r="AI428" s="5" t="inlineStr"/>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c r="AC430" s="5" t="inlineStr"/>
      <c r="AD430" s="5" t="inlineStr"/>
      <c r="AE430" s="5" t="inlineStr"/>
      <c r="AF430" s="5" t="inlineStr"/>
      <c r="AG430" s="5" t="inlineStr"/>
      <c r="AH430" s="5" t="inlineStr"/>
      <c r="AI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rhythm</t>
        </is>
      </c>
      <c r="N432" s="5" t="inlineStr">
        <is>
          <t>İlk Dans</t>
        </is>
      </c>
      <c r="O432" s="6" t="inlineStr">
        <is>
          <t>Işık parladığında adım at; ritmi kaçırırsan pist seni izler.</t>
        </is>
      </c>
      <c r="P432" s="6" t="inlineStr"/>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is>
          <t>Pasta</t>
        </is>
      </c>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Salon ayakta alkışladı.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c r="AI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Sabah altıda kalkmak artık bir kişilik özelliği.</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c r="AI436" s="5" t="inlineStr"/>
    </row>
    <row r="437">
      <c r="A437" s="5" t="inlineStr">
        <is>
          <t>b5-tercih-listesi</t>
        </is>
      </c>
      <c r="B437" s="5" t="n">
        <v>3</v>
      </c>
      <c r="C437" s="6" t="inlineStr">
        <is>
          <t>Mühendislik</t>
        </is>
      </c>
      <c r="D437" s="5" t="inlineStr"/>
      <c r="E437" s="5" t="inlineStr"/>
      <c r="F437" s="5" t="inlineStr">
        <is>
          <t>Akıl +2</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c r="AI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c r="AI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c r="AI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 okulun resmî hesabında paylaşıldı. Yorumlar ağlayan veli emojileriyle dolu.</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Artık grubun muhasebecisisin.</t>
        </is>
      </c>
      <c r="I449" s="6" t="inlineStr">
        <is>
          <t>Aynı parayla tatili iki gün uzattınız. Hesap tablon grubun ortak mirası oldu.</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pürüzsüz geçti. Kimse teşekkür etmedi; iyi yönetim görünmez.</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kurallar listesi kapıya asıldı. Üçüncü madde ilk gece ihlal edildi.</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anlaşma imzaladın: o ışığı kapatacak, sen alarmını.</t>
        </is>
      </c>
      <c r="I456" s="6" t="inlineStr">
        <is>
          <t>Üst ranzanın annesi her hafta koli yolluyor; kolinin yarısı artık senin. Sarmaları annenin sarmasından iyi. Bunu annene hiç söylemeyeceksin.</t>
        </is>
      </c>
      <c r="J456" s="6" t="inlineStr">
        <is>
          <t>Anlaşma yapıldı. İlk gece iki taraf da ihlal etti.</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müşteri dükkandan bir tadilat projesiyle çıktı. Prim yattı.</t>
        </is>
      </c>
      <c r="J459" s="6" t="inlineStr">
        <is>
          <t>Fazlasını satmaya çalıştın. Müşteri vidayı da almadı.</t>
        </is>
      </c>
      <c r="K459" s="6" t="inlineStr">
        <is>
          <t>Müşteriye en pahalısını sattın. Müşteri patronun kayınpederiymiş.</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Görevli bir şey yazdı. İyi bir şeymiş.</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hold</t>
        </is>
      </c>
      <c r="N461" s="5" t="inlineStr">
        <is>
          <t>Yokuş Kalkışı</t>
        </is>
      </c>
      <c r="O461" s="6" t="inlineStr">
        <is>
          <t>Debriyajı yavaşça bırak: çubuk yeşil aralığa girince parmağını kaldır. Erken bırakırsan stop, geç bırakırsan geri kayarsın.</t>
        </is>
      </c>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Görevli seni oğlunun düğününe davet etti. Ehliyet de posta ile geldi.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hazine çıktı. Kendi hazinen.</t>
        </is>
      </c>
      <c r="I467" s="6" t="inlineStr">
        <is>
          <t>Birikim yastıktan yorgana, oradan dolabın dibine göç etti ve büyüdü. Annen yatağı havalandırırken buldu, saydı, yerine koydu. Akşam babana “Bu çocuk bizden zengin” dedi.</t>
        </is>
      </c>
      <c r="J467" s="6" t="inlineStr">
        <is>
          <t>Sakladın. Yastık kılıfını annen yıkamaya götürdü.</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o tuhaf sesin nereden geldiğini buldun.</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otuz yıllık fiyat defterini de buldun. Ustalık belgesi değil ama yakın.</t>
        </is>
      </c>
      <c r="J470" s="6" t="inlineStr">
        <is>
          <t>Vidayı ararken usta arkandaydı. 'Bir şey mi kaybettin?' dedi.</t>
        </is>
      </c>
      <c r="K470" s="6" t="inlineStr">
        <is>
          <t>Vida yerine çay ocağının altındaki eski kasayı buldun. Usta ertesi gün kilidi değiştirdi.</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adı üzerinde anlaşılamadı. Sınav geldi.</t>
        </is>
      </c>
      <c r="K474" s="6" t="inlineStr">
        <is>
          <t>Herkes senin notlarına güveniyordu. Senin notun yoktu.</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sordun. Cevap: 'Her şey.' Yine de bir bilgi.</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bekledi. Banka limiti artırdı, sen harcamayı artırmadın.</t>
        </is>
      </c>
      <c r="J477" s="6" t="inlineStr">
        <is>
          <t>Acil durum tanımın zamanla genişledi. Kahve de acil durum oldu.</t>
        </is>
      </c>
      <c r="K477" s="6" t="inlineStr">
        <is>
          <t>Acil durumlar listesi kırk maddeye ulaştı. Asgari ödeme artık bir yaşam tarzı.</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c r="AC477" s="5" t="inlineStr"/>
      <c r="AD477" s="5" t="inlineStr"/>
      <c r="AE477" s="5" t="inlineStr"/>
      <c r="AF477" s="5" t="inlineStr"/>
      <c r="AG477" s="5" t="inlineStr"/>
      <c r="AH477" s="5" t="inlineStr"/>
      <c r="AI477" s="5" t="inlineStr"/>
    </row>
    <row r="478">
      <c r="A478" s="5" t="inlineStr">
        <is>
          <t>b6-kredi-karti</t>
        </is>
      </c>
      <c r="B478" s="5" t="n">
        <v>3</v>
      </c>
      <c r="C478" s="6" t="inlineStr">
        <is>
          <t>Limiti sonuna kadar kullan</t>
        </is>
      </c>
      <c r="D478" s="5" t="inlineStr"/>
      <c r="E478" s="5" t="inlineStr"/>
      <c r="F478" s="5" t="inlineStr">
        <is>
          <t>Pişkinlik +2</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 sana 'Zenginsin' dedi. Tablo yalan söylüyordu.</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Kulübün en hızlı yeni üyesisin. Rota planlaması artık sana soruluyor.</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sana yardımcı olmak için çekildi. Başkanlık yılları geri döndü.</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Kazandın. Motorun sahibi seni gelecek haftaya davet etti. Motoru geri verip eve gittin.</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çay içtiniz. O da sonunda rahatladı.</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müşteri hayatını anlattı, sen de kendininkini. İkiniz de hafifledi.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Gece vardiyası artık bir anı.</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bargain</t>
        </is>
      </c>
      <c r="N493" s="5" t="inlineStr">
        <is>
          <t>Kira Pazarlığı</t>
        </is>
      </c>
      <c r="O493" s="6" t="inlineStr">
        <is>
          <t>Ev sahibinin sabrı bitmeden kirayı aşağı kaydır ve makul yerde anlaş.</t>
        </is>
      </c>
      <c r="P493" s="6" t="inlineStr">
        <is>
          <t>{"item":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Rutubeti, gürültücü komşuyu ve ev sahibinin zayıf noktasını öğrendin. Pazarlık kendiliğinden bitti.</t>
        </is>
      </c>
      <c r="J494" s="6" t="inlineStr">
        <is>
          <t>Önceki kiracı 'Güzel ev' dedi ve telefonu çok hızlı kapattı.</t>
        </is>
      </c>
      <c r="K494" s="6" t="inlineStr">
        <is>
          <t>Yanlışlıkla ev sahibini aradın, önceki kiracıyı sordun. İkisi artık senin hakkında konuşuyor.</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tek başına çıkardın. Komşular balkondan alkışladı, biri video çekti.</t>
        </is>
      </c>
      <c r="J496" s="6" t="inlineStr">
        <is>
          <t>Buzdolabı üçüncü katta kaldı. Üçüncü kattaki komşuyla artık tanışıyorsun.</t>
        </is>
      </c>
      <c r="K496" s="6" t="inlineStr">
        <is>
          <t>Buzdolabı geri kaydı, duvarda bir çizik bıraktı. Depozito da o çizikten içeri kaçtı.</t>
        </is>
      </c>
      <c r="L496" s="6" t="inlineStr">
        <is>
          <t>Buzdolabı yukarıda ama kapısı ters takılı. Artık duvara doğru açılıyor.</t>
        </is>
      </c>
      <c r="M496" s="5" t="inlineStr">
        <is>
          <t>balance</t>
        </is>
      </c>
      <c r="N496" s="5" t="inlineStr">
        <is>
          <t>Dördüncü Kat</t>
        </is>
      </c>
      <c r="O496" s="6" t="inlineStr">
        <is>
          <t>Buzdolabını merdivende sağa sola devirmeden dengede tut.</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row>
    <row r="498">
      <c r="A498" s="5" t="inlineStr">
        <is>
          <t>b6-ev-arkadasi</t>
        </is>
      </c>
      <c r="B498" s="5" t="n">
        <v>1</v>
      </c>
      <c r="C498" s="6" t="inlineStr">
        <is>
          <t>Bulaşığı sen yap</t>
        </is>
      </c>
      <c r="D498" s="5" t="inlineStr"/>
      <c r="E498" s="5" t="inlineStr"/>
      <c r="F498" s="5" t="inlineStr">
        <is>
          <t>İtibar +2</t>
        </is>
      </c>
      <c r="G498" s="6" t="inlineStr">
        <is>
          <t>Bulaşığı yine sen yıkadın. Ev arkadaşın 'Bulaşık kendiliğinden yıkanıyor' teorisini doğruladı.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Ev arkadaşın seninle konuşmayı bıraktı. Bulaşık yıkamayı zaten bırakmıştı.</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Ev arkadaşın ilk kez lavabonun dibini gördü: 'Ne güzel lavaboymuş.' Reform başladı.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imzalı bir referans mektubu aldın. Adını da doğru yazmışlar.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Formdasın.</t>
        </is>
      </c>
      <c r="I509" s="6" t="inlineStr">
        <is>
          <t>Sabah koşan emekli grubuna katıldın. Senden hızlılar ama sen daha gençsin.</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söktün. Döndüğünde cümlelerine yabancı kelime sıkıştırıyorsun. Aile şikâyetçi.</t>
        </is>
      </c>
      <c r="J511" s="6" t="inlineStr">
        <is>
          <t>Formun dördüncü sayfası eksikti. Dördüncü sayfanın var olduğunu kimse söylememişti.</t>
        </is>
      </c>
      <c r="K511" s="6" t="inlineStr">
        <is>
          <t>Kabul edildin, vize reddedildi. Dönemi arkadaşlarının görüntülü aramalarından izledin.</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c r="AI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 öyle etkiliydi ki heyetteki bir doktor sana ortopedik tabanlık önerdi, öbürü kartvizit verdi. Rapor elinde, yeni tanıdıkların cebinde.</t>
        </is>
      </c>
      <c r="J515" s="6" t="inlineStr">
        <is>
          <t>Heyet dinledi, not aldı, seni en uzak birliğe yazdı. Düztabanlık orada da konuşuldu; yürüyüşte.</t>
        </is>
      </c>
      <c r="K515" s="6" t="inlineStr">
        <is>
          <t>Anlatırken hangi ayağın düz olduğunu karıştırdın. Heyet gülmedi. Kâğıdına “Acil celp” yazıldı; bir de “gözetim” notu.</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Kısa bir sessizlik oldu. Konu hava durumuna geçti.</t>
        </is>
      </c>
      <c r="I517" s="6" t="inlineStr">
        <is>
          <t>Teyze, üniversitedeki oğluna senin gibi çalışmasını önerdi. Oğlu duydu.</t>
        </is>
      </c>
      <c r="J517" s="6" t="inlineStr">
        <is>
          <t>'Olsun, okusaydın daha iyisi olurdu' dendi. Matematik kimseyi ikna etmedi.</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Akrabalar da katıldı. Hepsi katıldı.</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Teşekkür ettiğin hoca, seni üç kez bırakan hocaydı. Salon anladı.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memurla göz teması kurdun. Diploma aynı gün elinde.</t>
        </is>
      </c>
      <c r="I522" s="6" t="inlineStr">
        <is>
          <t>Diplomayı aldın, üstelik ikinci nüsha da çıktı. Biri çerçeveye, biri zarfa.</t>
        </is>
      </c>
      <c r="J522" s="6" t="inlineStr">
        <is>
          <t>Önünde bütün mezunlar vardı. Arkanda da.</t>
        </is>
      </c>
      <c r="K522" s="6" t="inlineStr">
        <is>
          <t>Adın yanlış yazılmış. Düzeltme için dilekçe, dilekçe için harç, harç için sıra.</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c r="AH524" s="5" t="inlineStr"/>
      <c r="AI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c r="AI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evrakını yanlış doldurdun; şirketin adı resmî olarak bir yazım hatası. Kapatıp bir plazaya girdin; kimse şirketi hatırlamıyor, adı hariç.</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c r="AI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Akademiden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c r="AI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c r="AI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c r="AI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Senin tek yatırımın kartvizitti; geri dönüşü muhteşemdi.</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c r="AI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Mektup o kadar iyiydi ki şirket seni mülakatsız aldı. Hoca da bir sonraki yıl mektup yazmayı bıraktı: “Seninki son oldu.”</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40</t>
        </is>
      </c>
      <c r="AI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Mesajı eşleşmene değil, aile grubuna attın. Teyze 'Kim bu?' diye sordu. Sonra herkes sordu.</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planındaki komşuymuş. Şikâyetçiymiş.</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Kalan yarısında dört kişi uyudunuz.</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Yaktın, kontrol ettin, üstünde çay demledin. Grubun resmî ateş sorumlusu ilan edildin.</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Kartın on dakikada tanımlandı. Kurumsal bir mucize, tutanakla kayda geçti.</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Kaydın da onunla birlikte ayrılmış.</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İlk satış, 'hasarlı ürün' rafından yapıldı.</t>
        </is>
      </c>
      <c r="L543" s="6" t="inlineStr">
        <is>
          <t>Vitrin ayakta ama bir kutu hafif eğik. Her sabah düzelteceksin; her akşam yine eğilecek.</t>
        </is>
      </c>
      <c r="M543" s="5" t="inlineStr">
        <is>
          <t>balance</t>
        </is>
      </c>
      <c r="N543" s="5" t="inlineStr">
        <is>
          <t>Vitrin Düzeni</t>
        </is>
      </c>
      <c r="O543" s="6" t="inlineStr">
        <is>
          <t>Üst üste dizilmiş kutuları devirmeden dengede tut. Vitrin dükkânın yüzüdür; yüzün şu an titriyor.</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İmzan artık bir devlet evrakının resmî parçası.</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Kasabadaki ilk yılın emekliler gibi geçti.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Serbest hayatının ilk faturası kesildi.</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bargain</t>
        </is>
      </c>
      <c r="N550" s="5" t="inlineStr">
        <is>
          <t>İlk Teklif</t>
        </is>
      </c>
      <c r="O550" s="6" t="inlineStr">
        <is>
          <t>Müşterinin sabrı tükenmeden ücreti olabildiğince yukarıda tut.</t>
        </is>
      </c>
      <c r="P550" s="6" t="inlineStr">
        <is>
          <t>{"item":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Bir tık altına girdin ve daha hızlı teslim sözü verdin. Müşteri seni kalıcı ajansı yaptı.</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row>
    <row r="553">
      <c r="A553" s="5" t="inlineStr">
        <is>
          <t>b6-is-gorusmesi</t>
        </is>
      </c>
      <c r="B553" s="5" t="n">
        <v>1</v>
      </c>
      <c r="C553" s="6" t="inlineStr">
        <is>
          <t>Dürüst cevap ver</t>
        </is>
      </c>
      <c r="D553" s="5" t="inlineStr"/>
      <c r="E553" s="5" t="inlineStr"/>
      <c r="F553" s="5" t="inlineStr">
        <is>
          <t>İtibar +2</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row>
    <row r="554">
      <c r="A554" s="5" t="inlineStr">
        <is>
          <t>b6-is-gorusmesi</t>
        </is>
      </c>
      <c r="B554" s="5" t="n">
        <v>2</v>
      </c>
      <c r="C554" s="6" t="inlineStr">
        <is>
          <t>Soğukkanlılığını koru</t>
        </is>
      </c>
      <c r="D554" s="5" t="inlineStr">
        <is>
          <t>Pişkinlik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poker</t>
        </is>
      </c>
      <c r="N554" s="5" t="inlineStr">
        <is>
          <t>Poker Suratı</t>
        </is>
      </c>
      <c r="O554" s="6" t="inlineStr">
        <is>
          <t>Parmağını kaçan dairenin içinde tut. Sorular üstüne geldikçe bırakma.</t>
        </is>
      </c>
      <c r="P554" s="6" t="inlineStr">
        <is>
          <t>{"questions": ["Beş yıl sonra neredesiniz?", "En büyük zayıflığınız?", "Neden ayrıldınız?", "Maaş beklentiniz?", "Neden sizi seçelim?"]}</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Ona öyle dikkatle baktın ki diğer ikisi seni 'rahatsız edici' diye not etti.</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 anlattıkça bir yıla uzadı. Etkilendiler.</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Kimin kime küs olduğunu çözdün. Gerçek organizasyon şeması artık senin kafanda.</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row>
    <row r="560">
      <c r="A560" s="5" t="inlineStr">
        <is>
          <t>b6-dugun-yagmuru</t>
        </is>
      </c>
      <c r="B560" s="5" t="n">
        <v>1</v>
      </c>
      <c r="C560" s="6" t="inlineStr">
        <is>
          <t>'Yakında' de ve gülümse</t>
        </is>
      </c>
      <c r="D560" s="5" t="inlineStr"/>
      <c r="E560" s="5" t="inlineStr"/>
      <c r="F560" s="5" t="inlineStr">
        <is>
          <t>Pişkinlik +1</t>
        </is>
      </c>
      <c r="G560" s="6" t="inlineStr">
        <is>
          <t>Teyze 'Yakında'yı bir tarih olarak kaydetti. Takvimde kırmızıyla işaretli.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 o kadar iyi gitti ki gelin damadı bırakıp arkana geçti. Video yayıldı.</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rhythm</t>
        </is>
      </c>
      <c r="N561" s="5" t="inlineStr">
        <is>
          <t>Halay Başı</t>
        </is>
      </c>
      <c r="O561" s="6" t="inlineStr">
        <is>
          <t>Davul vurduğu an dokun. Ritmi kaçırırsan halay kopar; mendili düşürme.</t>
        </is>
      </c>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 mahallede konuşuldu. Usta 'Bunu kim yaptı?' diye sordu. Sesinde gurur vardı.</t>
        </is>
      </c>
      <c r="J565" s="6" t="inlineStr">
        <is>
          <t>Müşteriler aradıklarını bulamadı. Satış durdu.</t>
        </is>
      </c>
      <c r="K565" s="6" t="inlineStr">
        <is>
          <t>Ustanın otuz yıllık tabelasını düşürdün. Eskiden 'USTA' yazıyordu. Şimdi 'UST'.</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row>
    <row r="568">
      <c r="A568" s="5" t="inlineStr">
        <is>
          <t>me-veresiye-defteri</t>
        </is>
      </c>
      <c r="B568" s="5" t="n">
        <v>1</v>
      </c>
      <c r="C568" s="6" t="inlineStr">
        <is>
          <t>Deftere yaz</t>
        </is>
      </c>
      <c r="D568" s="5" t="inlineStr"/>
      <c r="E568" s="5" t="inlineStr"/>
      <c r="F568" s="5" t="inlineStr">
        <is>
          <t>İtibar +2</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 çıktı ki müşteri ilk taksiti erken getirdi. Kuruşu kuruşuna, çocukluktan beri.</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Sistem çalışıyor.</t>
        </is>
      </c>
      <c r="I572" s="6" t="inlineStr">
        <is>
          <t>Hepsi doğru. Şef masana gelip 'Sen bu işi biliyorsun' dedi. Bu cümle otuz yıllık iş yükü demekti.</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swipe</t>
        </is>
      </c>
      <c r="N572" s="5" t="inlineStr">
        <is>
          <t>İmzala ya da İade Et</t>
        </is>
      </c>
      <c r="O572" s="6" t="inlineStr">
        <is>
          <t>Eksiksiz evrakı imzaya, eksik olanı iadeye kaydır. Kararsız kalırsan ikisi de seni bekler.</t>
        </is>
      </c>
      <c r="P572"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ve bir tanesi bile sorun çıkarmadı. Bürokrasinin nadir mucizelerinden biri.</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üç şirket gerçek ücretle iş teklif etti.</t>
        </is>
      </c>
      <c r="J576" s="6" t="inlineStr">
        <is>
          <t>Faturanı görmediler. Görünürlük sorunu yaşandı.</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row>
    <row r="579">
      <c r="A579" s="5" t="inlineStr">
        <is>
          <t>b6-taki-butcesi</t>
        </is>
      </c>
      <c r="B579" s="5" t="n">
        <v>1</v>
      </c>
      <c r="C579" s="6" t="inlineStr">
        <is>
          <t>Her düğüne çeyrek tak</t>
        </is>
      </c>
      <c r="D579" s="5" t="inlineStr"/>
      <c r="E579" s="5" t="inlineStr"/>
      <c r="F579" s="5" t="inlineStr">
        <is>
          <t>İtibar +2</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Anlamlı bir sessizlik oldu.</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Yılın bütün düğünleri için sabit fiyat anlaşması yaptın. Bir düğün sezonu kurtarıldı.</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row>
    <row r="584">
      <c r="A584" s="5" t="inlineStr">
        <is>
          <t>b6-ilk-araba</t>
        </is>
      </c>
      <c r="B584" s="5" t="n">
        <v>1</v>
      </c>
      <c r="C584" s="6" t="inlineStr">
        <is>
          <t>İlana güvenip al</t>
        </is>
      </c>
      <c r="D584" s="5" t="inlineStr"/>
      <c r="E584" s="5" t="inlineStr"/>
      <c r="F584" s="5" t="inlineStr">
        <is>
          <t>İtibar +1</t>
        </is>
      </c>
      <c r="G584" s="6" t="inlineStr">
        <is>
          <t>İlk hafta sanayideki usta seni adınla tanıdı. İkinci hafta sen onun çocuklarının adını öğrendin.</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Araba artık sıfır değil. Sen de değilsin.</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Kıskanç yorumlar sohbete düştü.</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Kurumsal kimlik belden yukarı çalışıyor.</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Altyapı hep senden yana.</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bargain</t>
        </is>
      </c>
      <c r="N596" s="5" t="inlineStr">
        <is>
          <t>Toptancı Pazarlığı</t>
        </is>
      </c>
      <c r="O596" s="6" t="inlineStr">
        <is>
          <t>Toptancının sabrı bitmeden fiyatı aşağı çek. Çay ikram ediyorsa henüz umut var.</t>
        </is>
      </c>
      <c r="P596" s="6" t="inlineStr">
        <is>
          <t>{"item":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Karşı dükkân buna 'sinerji' diyor.</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row>
    <row r="602">
      <c r="A602" s="5" t="inlineStr">
        <is>
          <t>mm-saat-1658</t>
        </is>
      </c>
      <c r="B602" s="5" t="n">
        <v>4</v>
      </c>
      <c r="C602" s="6" t="inlineStr">
        <is>
          <t>Mesaiyi uzat</t>
        </is>
      </c>
      <c r="D602" s="5" t="inlineStr"/>
      <c r="E602" s="5" t="inlineStr"/>
      <c r="F602" s="5" t="inlineStr">
        <is>
          <t>İtibar +2</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Ev sahibinin unuttuğu bir madde buldun: boya ve kombi masrafı onda. Masa döndü.</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güldü, 'Yeğen yok' dedi ve artışı yarıya indirdi. Garip bir dostluk başladı.</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sokağın bütün kargolarını sana emanet etti. Sokağın gayriresmî dağıtım merkezisin.</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 sokağın ters numaralandırıldığını anlattı. Belediyeye birlikte dilekçe verdiniz.</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lanes</t>
        </is>
      </c>
      <c r="N610" s="5" t="inlineStr">
        <is>
          <t>Terlikle Takip</t>
        </is>
      </c>
      <c r="O610" s="6" t="inlineStr">
        <is>
          <t>Kaldırımda şerit değiştirerek kuryeye yetiş; pazar arabaları ve bakkal kasaları yolda.</t>
        </is>
      </c>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o kadar iyi çalıştı ki diğer serbest çalışanlara şablon olarak satmaya başladın.</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'Kopya mı çekiyorsun?' diye yüksek sesle sordu. Bütün daire sana döndü. İlkokul hissi.</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row>
    <row r="619">
      <c r="A619" s="5" t="inlineStr">
        <is>
          <t>b6-kombi</t>
        </is>
      </c>
      <c r="B619" s="5" t="n">
        <v>1</v>
      </c>
      <c r="C619" s="6" t="inlineStr">
        <is>
          <t>Üç gün bekle</t>
        </is>
      </c>
      <c r="D619" s="5" t="inlineStr"/>
      <c r="E619" s="5" t="inlineStr"/>
      <c r="F619" s="5" t="inlineStr">
        <is>
          <t>Dayanıklılık +2</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Komşular sırayla kapını çalıyor. Yan gelir kapısı açıldı.</t>
        </is>
      </c>
      <c r="J622" s="6" t="inlineStr">
        <is>
          <t>Numarayı denedin. Kombi usta ile hiç tanışmamıştı, anlamadı.</t>
        </is>
      </c>
      <c r="K622" s="6" t="inlineStr">
        <is>
          <t>Vurdun. Kombi durdu, sonra bütün apartmanın sıcak suyu durdu. Yönetici aradı.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Pazarlık o kadar iyi gitti ki ev sahibi kombiyi de yeniletti. Mahallede efsane oldun.</t>
        </is>
      </c>
      <c r="J624" s="6" t="inlineStr">
        <is>
          <t>Pazarlık ettin. Ev sahibi “Düşüneyim” dedi; ertesi sabah aynı rakamı bu kez “Kusura bakma” diye bitirerek gönderdi.</t>
        </is>
      </c>
      <c r="K624" s="6" t="inlineStr">
        <is>
          <t>Pazarlık ettin; ev sahibi, emlakçı yeğenini devreye soktu. Artış iki katına çıktı, adına 'güncelleme' dendi.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ev sahibi bu fikri senden aldı. Tahliye bildirimi teşekkür notuyla geldi.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Artık kendi evinde rehberlik yapıyorsun.</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row>
    <row r="627">
      <c r="A627" s="5" t="inlineStr">
        <is>
          <t>b7-eski-sinif-arkadasi</t>
        </is>
      </c>
      <c r="B627" s="5" t="n">
        <v>1</v>
      </c>
      <c r="C627" s="6" t="inlineStr">
        <is>
          <t>Tebrik et</t>
        </is>
      </c>
      <c r="D627" s="5" t="inlineStr"/>
      <c r="E627" s="5" t="inlineStr"/>
      <c r="F627" s="5" t="inlineStr">
        <is>
          <t>İtibar +1</t>
        </is>
      </c>
      <c r="G627" s="6" t="inlineStr">
        <is>
          <t>“Çok sevindim, helal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 sırrı 'erken kalkmak'mış. Hiçbir şey öğrenmedin ama kahve iyiydi.</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Buluşma o kadar güzel geçti ki herkes seni 'hâlâ başkan' diye çağırdı. Görev süren sona ermedi.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Bin dört yüz kişi 'Neye tamam?' diye yanıtladı.</t>
        </is>
      </c>
      <c r="L631" s="6" t="inlineStr">
        <is>
          <t>Yarısını ayıkladın. Diğer yarısı hâlâ orada, sessizce çoğalıyor.</t>
        </is>
      </c>
      <c r="M631" s="5" t="inlineStr">
        <is>
          <t>swipe</t>
        </is>
      </c>
      <c r="N631" s="5" t="inlineStr">
        <is>
          <t>Arşivle / Yanıtla</t>
        </is>
      </c>
      <c r="O631" s="6" t="inlineStr">
        <is>
          <t>Gereksizleri sola arşivle, gerçekten önemli olanları sağa yanıtla.</t>
        </is>
      </c>
      <c r="P631"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bir müşteriyle yazışmaya girdi ve yüzde otuz indirim onayladı.</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Etiketlerin yarısı da artışı kabul etti.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'Başka yer bakarım' dedin. Dükkân sahibi 'Bak' dedi. Şimdi bakıyorsun.</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ertelettin, gecikme bedelini de sildirdin. Borç batağında ilk kez bir basamak yukarı çıktın.</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Övgün o kadar inceydi ki iki müdür birbirini arayıp seni ortak referans olarak kaydetti.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Tutanak: 'Kurum demirbaşının izinsiz yer değiştirmesi.' Müdürle aranızdaki soğukluk resmiyet kazandı.</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indirimli ödedin. Devletle ilk kampanya deneyimin oldu.</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row>
    <row r="644">
      <c r="A644" s="5" t="inlineStr">
        <is>
          <t>b7-trafik-cezasi</t>
        </is>
      </c>
      <c r="B644" s="5" t="n">
        <v>3</v>
      </c>
      <c r="C644" s="6" t="inlineStr">
        <is>
          <t>'Fotoğraftaki ben değilim' de</t>
        </is>
      </c>
      <c r="D644" s="5" t="inlineStr">
        <is>
          <t>Pişkinlik</t>
        </is>
      </c>
      <c r="E644" s="5" t="inlineStr">
        <is>
          <t>Çok 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ikinci bir fotoğraf çıktı. Onda da ışık kırmızıydı. Dosya birleştirildi.</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Nezaketin artık kibar bir öfke biçimi aldı.</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Öyle ısrarcıydın ki şirket seni ödeme listesinin başına aldı. Sessizlik karşılığında.</t>
        </is>
      </c>
      <c r="J646" s="6" t="inlineStr">
        <is>
          <t>Santral seni bekleme müziğine bağladı. Müziği ezberledin, para gelmedi.</t>
        </is>
      </c>
      <c r="K646" s="6" t="inlineStr">
        <is>
          <t>Ödeme sonunda yapıldı. Başka bir serbest çalışanın hesabına.</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Doğum günü değilmiş. Faturan 'şüpheli' klasörüne taşındı.</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 sonrası şirket bütün serbest çalışanlara ödemeleri yaptı. Kahraman oldun, sessizce.</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bir de paspas koparttın. Esnaflık kanda var.</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öyle zamanladın ki masa alkışladı. Aile içinde 'dili keskin' unvanını aldın.</t>
        </is>
      </c>
      <c r="J654" s="6" t="inlineStr">
        <is>
          <t>Kimse gülmedi. Teyzen yalnızca “Ay” dedi ve eliyle göğsünü tuttu. Annen masanın altından bacağını çimdikledi.</t>
        </is>
      </c>
      <c r="K654" s="6" t="inlineStr">
        <is>
          <t>Soruyu sorduğun çift gerçekten boşanıyormuş. Düğünün geri kalanı senin hakkında konuşuldu.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Aile bir oylama yaptı. Sen kazandın. Yani kaybettin.</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Mesajın 'Merhaba :)' ile cevaplandı. Özgünlük tek taraflı kaldı.</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profili' diye kapattı. Gerçek olduğunu kanıtlamak için kimlik yüklemen istendi.</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row>
    <row r="660">
      <c r="A660" s="5" t="inlineStr">
        <is>
          <t>b7-evlilik-karari</t>
        </is>
      </c>
      <c r="B660" s="5" t="n">
        <v>1</v>
      </c>
      <c r="C660" s="6" t="inlineStr">
        <is>
          <t>Sevdiğin kişiye evlenme teklif et</t>
        </is>
      </c>
      <c r="D660" s="5" t="inlineStr">
        <is>
          <t>Gönül</t>
        </is>
      </c>
      <c r="E660" s="5" t="inlineStr">
        <is>
          <t>Orta</t>
        </is>
      </c>
      <c r="F660" s="5" t="inlineStr"/>
      <c r="G660" s="6" t="inlineStr"/>
      <c r="H660" s="6" t="inlineStr">
        <is>
          <t>Yüzüğü tatlının içine sakladın; neyse ki önce sen fark ettin. “Evet” dedi. İki ay sonra, bir misafir salonunda, tuzlu bir kahve seni bekliyor.</t>
        </is>
      </c>
      <c r="I660" s="6" t="inlineStr">
        <is>
          <t>Teklifi öyle bir kurdun ki garsonlar ağladı, yan masa alkışladı, “Evet” cevabı alkışların arasında kayboldu. Tekrar sordun; yine evet.</t>
        </is>
      </c>
      <c r="J660" s="6" t="inlineStr">
        <is>
          <t>Teklifi prova ettin, cesaretin provada kaldı. Tatlı geldi, yendi, yüzük cebinde eve döndü. Yüzük çekmeceye girdi; sen de uzun bir bekârlığa.</t>
        </is>
      </c>
      <c r="K660" s="6" t="inlineStr">
        <is>
          <t>Diz çöktüğün anda yüzük elinden kaydı, kaldırım ızgarasından kanala düştü. İkiniz telefon feneriyle ızgaraya eğildiniz; bir saat sonra o doğruldu ve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Kısa, kibar ve çok uzun gelen bir konuşma oldu.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Kahve bir cumartesi içildi; ikinci kahve de, üçüncü de. Bir yıl sonra kahveyi düğün salonunda içiyordun.</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Sistem bunu 'özgüven' olarak kaydetti.</t>
        </is>
      </c>
      <c r="I668" s="6" t="inlineStr">
        <is>
          <t>Kendine 5 verdin; yöneticin itiraz edecek enerjiyi bulamadı. Tarihî bir gün.</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is>
          <t>Beş Üzerinden Beş</t>
        </is>
      </c>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Çarşıdaki denetimlerde artık sana danışılıyor.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yazdın. On yıl sonra onların düğününe aynısını takacaksın. Borç tarihe geçti.</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öyle hızlı hesapladın ki kuyumcu olan dayı seni işe almak istedi. Hesap sahnede tutuldu.</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aşağıdan el salladı. Fotoğraf çerçevelendi.</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mumu yakıp başka bir çifti oturttu; siz açık büfede, havlunun yanında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hepsini sen yedin. Yatırımın bir kısmı geri döndü.</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 sana yaslandı. İkiniz birlikte bir sonraki kareye girdiniz. Eleştirmen buna 'etkileşim' dedi.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olması gerektiğini ikna edici anlattın. Mutfakta yeni bir düzen kuruldu.</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Bardak eşinin annesinden kalmaydı. Konu bulaşıktan çıktı.</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üç yıldır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Bilgi işlem sorunu senin tarifinle buldu ve raporuna adını yazdı. Artık her arızada ilk seni arıyorlar.</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O kadar ikna edici söyledin ki vatandaşlar sana teşekkür edip evlerine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Artık bir müttefikin var.</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Eleştiri anında övgüye dönüştü. Menemen o gün 'harika' ilan edildi.</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hava durumu konuştunuz. İki teyze sonuçtan memnun, siz ikiniz değil.</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Tablon öyle kusursuzdu ki eşin onu ailesine gösterdi. Aile de kendi bütçesini sana yaptırmak istiyor.</t>
        </is>
      </c>
      <c r="J700" s="6" t="inlineStr">
        <is>
          <t>Tablo hazırlandı. Kimse açmadı. Tablo şu an masaüstünde, 'yeni klasör (3)' içinde.</t>
        </is>
      </c>
      <c r="K700" s="6" t="inlineStr">
        <is>
          <t>Tabloya göre ikiniz de altı aydır iflastasınız. Kimse bu bilgiyi istememişti.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Merdivenler artık düşman değil.</t>
        </is>
      </c>
      <c r="I704" s="6" t="inlineStr">
        <is>
          <t>Salonun 'Ayın Üyesi' panosuna fotoğrafın asıldı. Eğitmen artık sana kasları göstermiyor, seninkilere bakıyor.</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Salon kapandı, sen kapanmadın.</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Sadık bir kitle.</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rhythm</t>
        </is>
      </c>
      <c r="N707" s="5" t="inlineStr">
        <is>
          <t>Canlı Performans</t>
        </is>
      </c>
      <c r="O707" s="6" t="inlineStr">
        <is>
          <t>Işık parladığı anda dokun. İki milyon kişi izliyor. Belki.</t>
        </is>
      </c>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Bir çamaşır suyuna sanatsal yorum getirdin. Üç aylık kira çözüldü.</t>
        </is>
      </c>
      <c r="I708" s="6" t="inlineStr">
        <is>
          <t>Reklam öyle tuttu ki ikinci sezon çekildi. Sanatın artık bir raf ömrü var.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yıl önce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 kucağına oturdu ve mırladı. Eşin ağladı, sen ağladın, kedi uyudu. Karar oy birliğiyle alındı.</t>
        </is>
      </c>
      <c r="J714" s="6" t="inlineStr">
        <is>
          <t>Kedi odayı terk etti. Oylama ertelendi.</t>
        </is>
      </c>
      <c r="K714" s="6" t="inlineStr">
        <is>
          <t>Kedi tam o anda vazoyu devirdi. Bu, evdeki tek bebeğin yeterince yorucu olduğunun kanıtı sayıldı.</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tam verdin. Müşteri kasanın düzenine hayran kaldı.</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tezgâha kafanı vurdun, kasayı açık bıraktın. Gün sonu sayımında fazla çıkan tek şey baş ağrısı.</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yemeğini yedin, manzaraya baktın. Yan masadaki çiftler seni kıskançlıkla izledi.</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Tur rehberi seni 'grup sözcüsü' ilan etti. Tatilin sonunda herkes sana teşekkür notu yazdı.</t>
        </is>
      </c>
      <c r="J722" s="6" t="inlineStr">
        <is>
          <t>Tur grubunun yaş ortalaması 67 çıktı. Harika insanlardı. Çok erken yattılar.</t>
        </is>
      </c>
      <c r="K722" s="6" t="inlineStr">
        <is>
          <t>Turda otobüsü kaçırdın. Grup seni bıraktı ama mesaj grubu senin hakkında konuşmayı bırakmadı.</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breath</t>
        </is>
      </c>
      <c r="N723" s="5" t="inlineStr">
        <is>
          <t>Sunum Nefesi</t>
        </is>
      </c>
      <c r="O723" s="6" t="inlineStr">
        <is>
          <t>Daire büyürken bas, küçülürken bırak. Slaytlar değil, nefes geçer.</t>
        </is>
      </c>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Plan diğer departmanlara da örnek gösterildi. Terfine bir de 'süreç sahibi' eklendi.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ama balkondan müdürlük görünüyor; bu da bir tür ısınma.</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Gece üçte bebek ağlayınca üst kattan terlik sesi geliyor. Sabah masanda bir kurum içi yazı duruyor.</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 ikinci gün trafikte kutlandı.</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breath</t>
        </is>
      </c>
      <c r="N735" s="5" t="inlineStr">
        <is>
          <t>Ninni Nefesi</t>
        </is>
      </c>
      <c r="O735" s="6" t="inlineStr">
        <is>
          <t>Daire büyürken bas, küçülürken bırak. Bebeğin nefesiyle aynı ritmi tut.</t>
        </is>
      </c>
      <c r="P735" s="6" t="inlineStr"/>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Mahallede o kadar tur attın ki komşular devriye var sandı. Site grubunda 'şüpheli araç' diye fotoğrafın paylaşıldı.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Asansörde artık sana selam veriyorlar.</t>
        </is>
      </c>
      <c r="I739" s="6" t="inlineStr">
        <is>
          <t>İtirazın öyle ikna ediciydi ki salon ayağa kalktı. Bir de seni yönetici seçtiler. Artık itiraz edilen sensin.</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Genel kurul seni kahraman ilan etti. Aidat yine de arttı.</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4</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Arabuluculuğun öyle başarılıydı ki iki komşu barıştı, ortak bir ayakkabılık aldı. Sitede yeni bir çağ başladı.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damgalı işlerin moda oldu. Fiyatını üçe katladın.</t>
        </is>
      </c>
      <c r="J744" s="6" t="inlineStr">
        <is>
          <t>Müşteri 'İnsan dokunuşu' için ek bütçe olmadığını söyledi.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kimse gülmedi; herkes sana baktı. O akşamdan beri kredi kartı ekstresini çekmecenin en dibinde saklıyorsun.</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Video, aile arşivinin en çok izlenen parçası oldu.</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İlk kelime, senin şaşkın yüzünün üzerine seslendirildi.</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kazandın. Çocuklar seni en sevdikleri yetişkin ilan etti.</t>
        </is>
      </c>
      <c r="I751" s="6" t="inlineStr">
        <is>
          <t>Oyun o kadar eğlenceliydi ki üç çocuk ailesinden 'Onun partisine de gidelim' diye istedi. Takvimin doldu.</t>
        </is>
      </c>
      <c r="J751" s="6" t="inlineStr">
        <is>
          <t>Kovalamacada beş yaşındakilere yetişemedin. Nefes nefese bir banka oturdun.</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Hiçbir şey bilmediğin halde gayet inandırıcıydın.</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 seçti. Eşin danışmana küstü. Koltuk eve geldi.</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row>
    <row r="756">
      <c r="A756" s="5" t="inlineStr">
        <is>
          <t>mb-yillik-izin</t>
        </is>
      </c>
      <c r="B756" s="5" t="n">
        <v>1</v>
      </c>
      <c r="C756" s="6" t="inlineStr">
        <is>
          <t>Kasımda izin al</t>
        </is>
      </c>
      <c r="D756" s="5" t="inlineStr"/>
      <c r="E756" s="5" t="inlineStr"/>
      <c r="F756" s="5" t="inlineStr">
        <is>
          <t>Dayanıklılık +1</t>
        </is>
      </c>
      <c r="G756" s="6" t="inlineStr">
        <is>
          <t>Herkes çalışırken tatile çıktın. Otel boştu, deniz soğuktu, ruhun ısındı.</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bir haftayı kaptın. Ekip bunu yıllarca konuştu.</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 sana devredilmiş. Sahilden çalıştın.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İzni aldın, üstüne yöneticin 'Bu arada telefona da bakma' dedi. Kayda geçti.</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row>
    <row r="764">
      <c r="A764" s="5" t="inlineStr">
        <is>
          <t>me-cirak</t>
        </is>
      </c>
      <c r="B764" s="5" t="n">
        <v>4</v>
      </c>
      <c r="C764" s="6" t="inlineStr">
        <is>
          <t>'Kendim yeterim' de</t>
        </is>
      </c>
      <c r="D764" s="5" t="inlineStr"/>
      <c r="E764" s="5" t="inlineStr"/>
      <c r="F764" s="5" t="inlineStr">
        <is>
          <t>Dayanıklılık +1</t>
        </is>
      </c>
      <c r="G764" s="6" t="inlineStr">
        <is>
          <t>Tek başına devam ettin. Dükkânda bir kişilik yer var; o yer de hep senin.</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Sen de o fiyatla komşu bir ev ilanı açtın, sadece bakmak için.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bargain</t>
        </is>
      </c>
      <c r="N766" s="5" t="inlineStr">
        <is>
          <t>Ev Pazarlığı</t>
        </is>
      </c>
      <c r="O766" s="6" t="inlineStr">
        <is>
          <t>Satıcının sabrı bitmeden fiyatı aşağı çek. Çok sıkıştırırsan masadan kalkar.</t>
        </is>
      </c>
      <c r="P766" s="6" t="inlineStr">
        <is>
          <t>{"item":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c r="AI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inlineStr"/>
      <c r="Z769" s="6" t="inlineStr"/>
      <c r="AA769" s="5" t="inlineStr"/>
      <c r="AB769" s="5" t="inlineStr">
        <is>
          <t>kiraci-kaldi</t>
        </is>
      </c>
      <c r="AC769" s="5" t="inlineStr">
        <is>
          <t>Rahat</t>
        </is>
      </c>
      <c r="AD769" s="5" t="inlineStr"/>
      <c r="AE769" s="5" t="inlineStr"/>
      <c r="AF769" s="5" t="inlineStr"/>
      <c r="AG769" s="5" t="inlineStr"/>
      <c r="AH769" s="5" t="inlineStr"/>
      <c r="AI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43</t>
        </is>
      </c>
      <c r="AI772" s="5" t="inlineStr"/>
    </row>
    <row r="773">
      <c r="A773" s="5" t="inlineStr">
        <is>
          <t>b7-kres-kaydi</t>
        </is>
      </c>
      <c r="B773" s="5" t="n">
        <v>1</v>
      </c>
      <c r="C773" s="6" t="inlineStr">
        <is>
          <t>Dürüst cevap ver</t>
        </is>
      </c>
      <c r="D773" s="5" t="inlineStr"/>
      <c r="E773" s="5" t="inlineStr"/>
      <c r="F773" s="5" t="inlineStr">
        <is>
          <t>İtibar +1</t>
        </is>
      </c>
      <c r="G773" s="6" t="inlineStr">
        <is>
          <t>Dürüstçe 'Uyuyamıyor, biz de uyuyamıyoruz' dedin. Müdür bu cevabı çok duymuş. Kayıt yapıldı.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Sunumun öyle iyiydi ki müdür seni veli temsilcisi yaptı. Ertesi sabah veli grubuna eklendin: 214 mesaj, hepsi sana soruyor.</t>
        </is>
      </c>
      <c r="J774" s="6" t="inlineStr">
        <is>
          <t>Müdür 'Çok etkileyici, bekleme listesine alıyoruz' dedi.</t>
        </is>
      </c>
      <c r="K774" s="6" t="inlineStr">
        <is>
          <t>Sunum sırasında çocuğun müdürün masasına tırmandı ve kalemliği devirdi. Sosyal becerileri canlı sergilendi.</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şeyi inceledin. Kreş iyi. Sen de iyisin. Sadece biraz fazla soru sordun.</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mâni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Üç saat sonra bulundun.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Dört yıllık salı ziyaretleri sona erdi.</t>
        </is>
      </c>
      <c r="J780" s="6" t="inlineStr">
        <is>
          <t>'Biliyordum' dedi. Bu, öfkeden daha ağır bir cevap.</t>
        </is>
      </c>
      <c r="K780" s="6" t="inlineStr">
        <is>
          <t>Şikâyet dilekçesi yazdı. Dilekçe de kayboldu.</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öyle inandı ki seni diğer hastalara örnek gösterdi. Bekleme salonunda alkışlandın.</t>
        </is>
      </c>
      <c r="J783" s="6" t="inlineStr">
        <is>
          <t>Doktor sonuçlara tekrar baktı ve 'Hangi spor?' dedi. 'Yürüyüş' dedin. 'Nereye?' dedi.</t>
        </is>
      </c>
      <c r="K783" s="6" t="inlineStr">
        <is>
          <t>Doktor 'O zaman bu sonuçlar ilginç' dedi ve seni ek tetkike gönderdi. Yalan, hastane koridorunda uzadı.</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Yemekler öyle güzel oldu ki arkadaşların sana tarif sormaya başladı. Artık hafta sonları yemek davetleri veriyorsun.</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tencere de sana baktı. Kapağı kapatıp tencereyle birlikte çöpe indin. Kapıcı “Bunu ben almam” dedi.</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balance</t>
        </is>
      </c>
      <c r="N789" s="5" t="inlineStr">
        <is>
          <t>Uyuyan Yük</t>
        </is>
      </c>
      <c r="O789" s="6" t="inlineStr">
        <is>
          <t>Uyuyan çocuğu dengede tut. Sallanırsa uyanır.</t>
        </is>
      </c>
      <c r="P789" s="6" t="inlineStr">
        <is>
          <t>{"item": "👶"}</t>
        </is>
      </c>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Gece daha güzel geçti.</t>
        </is>
      </c>
      <c r="I790" s="6" t="inlineStr">
        <is>
          <t>Hemşireyle öyle iyi anlaştın ki sana kendi numarasını verdi, 'Bir şey olursa arayın' dedi. Hiç aramadın ama iyi hissettirdi.</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çantasından bir zarf çıkarıp sana uzattı.</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videoyu bütün düğüne gösterdi. Gelin ve damadı gölgede bıraktın.</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Uzlaşma rengi bulunurken tadilat üç ay uzadı. Üç ay boyunca yemekleri banyoda pişirdiniz.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Savunman öyle iyiydi ki eşin fikir değiştirdi, kendi annesine de antrasit önerdi. Bir akım başlattın.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Organizasyon o kadar başarılıydı ki önümüzdeki beş yılın hediyeleri sana bırakıldı. Seçim yapılmadı, atandın.</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Güven raporuna 'yüksek' yazıldı.</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herkes sana biraz farklı bakıyor. İyi anlamda.</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bargain</t>
        </is>
      </c>
      <c r="N806" s="5" t="inlineStr">
        <is>
          <t>Sezon Sonu Pazarlığı</t>
        </is>
      </c>
      <c r="O806" s="6" t="inlineStr">
        <is>
          <t>Müşterinin sabrı bitmeden fiyatı olabildiğince yukarıda tut. 'Son fiyat' en az üç kez söylenir.</t>
        </is>
      </c>
      <c r="P806" s="6" t="inlineStr">
        <is>
          <t>{"item":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sattın. Sezonun kahramanı sensin.</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n">
        <v>1</v>
      </c>
      <c r="Z807" s="6" t="inlineStr">
        <is>
          <t>İndirim sezonunda, en üst rafa uzanırken. Ürün hâlâ yüzde elli indirimde.</t>
        </is>
      </c>
      <c r="AA807" s="5" t="inlineStr"/>
      <c r="AB807" s="5" t="inlineStr"/>
      <c r="AC807" s="5" t="inlineStr"/>
      <c r="AD807" s="5" t="inlineStr"/>
      <c r="AE807" s="5" t="inlineStr"/>
      <c r="AF807" s="5" t="inlineStr"/>
      <c r="AG807" s="5" t="inlineStr"/>
      <c r="AH807" s="5" t="inlineStr"/>
      <c r="AI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Limonata tezgâhından beri bu kadar kuyruk görmemiştin.</t>
        </is>
      </c>
      <c r="J808" s="6" t="inlineStr">
        <is>
          <t>Mahalle 'O zaman sonra geliriz' dedi. Mantığı kimse açıklayamadı.</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o kadar ustalıkla dolaştırdın ki banka seni fark etmeden bir kampanya daha tanımladı.</t>
        </is>
      </c>
      <c r="J812" s="6" t="inlineStr">
        <is>
          <t>Transfer sırasında bir karta limit düştü. Borç şimdi iki yerde, iki kat.</t>
        </is>
      </c>
      <c r="K812" s="6" t="inlineStr">
        <is>
          <t>Kartları birbirine öyle bağladın ki ay sonunda üçü de aynı anda reddetti. Market kasasında, poşetler doluyken. Arkadaki teyze ekmeğinin parasını ödedi: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 ders alındı.</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bileziği kendi çıkarıp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eşinin bileğine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Çocuğun çok mutluydu. Diğer veliler bunu 'cesur bir tercih' diye yorumladı.</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temalı kurabiyeler bile vardı. Veli grubunda 'Nasıl yaptınız?' soruları.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İçinde fiyat notları da vardı.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Fotoğraf kurum bülteninde çıktı.</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race</t>
        </is>
      </c>
      <c r="N818" s="5" t="inlineStr">
        <is>
          <t>Halat Çekme Finali</t>
        </is>
      </c>
      <c r="O818" s="6" t="inlineStr">
        <is>
          <t>Beş saniye hızlı dokun; karşı takımı çizgiye çek. Müdür karşı tarafta.</t>
        </is>
      </c>
      <c r="P818" s="6" t="inlineStr"/>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Piknik o kadar düzenliydi ki müdürlük seni 'Sosyal Faaliyetler Sorumlusu' yaptı. Maaş aynı, iş iki kat.</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mutluydu. Hatırlatıcının kurulma saati sorgulanmadı.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 eşin tarafından önceden tahmin edildi. 'Ben de biliyordum' dedi. Nasıl bildiğini öğrenemedin.</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row>
    <row r="825">
      <c r="A825" s="5" t="inlineStr">
        <is>
          <t>b8-kirk-yas</t>
        </is>
      </c>
      <c r="B825" s="5" t="n">
        <v>1</v>
      </c>
      <c r="C825" s="6" t="inlineStr">
        <is>
          <t>Envanteri kabul et</t>
        </is>
      </c>
      <c r="D825" s="5" t="inlineStr"/>
      <c r="E825" s="5" t="inlineStr"/>
      <c r="F825" s="5" t="inlineStr">
        <is>
          <t>Dayanıklılık +1, İtibar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Büyük bir değişiklik ilan ettin. Salı günü unuttun.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geç yatma hakkı, indirim kuponları ve kimseye kanıtlayacak bir şeyin kalmaması.</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'Kırk sadece bir sayı' dedin. Pasta yine geldi, ama mumsuz.</t>
        </is>
      </c>
      <c r="I828" s="6" t="inlineStr">
        <is>
          <t>İptal ettin; gerçekten kimse gelmedi. Akşam kapı kolunda bir poşet buldun: en sevdiğin tatlı ve bir not, “Rahatsız etmeyelim dedik.”</t>
        </is>
      </c>
      <c r="J828" s="6" t="inlineStr">
        <is>
          <t>İptal edilemedi. Aile mesaj grubuna 'İyi ki doğdun' mesajı 47 kez düştü.</t>
        </is>
      </c>
      <c r="K828" s="6" t="inlineStr">
        <is>
          <t>Kutlamayı iptal ettin; herkes doğum gününü unuttu. Sen hariç.</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row>
    <row r="829">
      <c r="A829" s="5" t="inlineStr">
        <is>
          <t>b8-motosiklet</t>
        </is>
      </c>
      <c r="B829" s="5" t="n">
        <v>1</v>
      </c>
      <c r="C829" s="6" t="inlineStr">
        <is>
          <t>Broşürü al, eve git</t>
        </is>
      </c>
      <c r="D829" s="5" t="inlineStr"/>
      <c r="E829" s="5" t="inlineStr"/>
      <c r="F829" s="5" t="inlineStr">
        <is>
          <t>İtibar +1</t>
        </is>
      </c>
      <c r="G829" s="6" t="inlineStr">
        <is>
          <t>Broşür buzdolabının kapağına asıldı. Yıllarca orada kalacak; yakıt harcamadan, hayal olarak.</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İlk turda devrildin; sabit dururken.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c r="AI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Mahallede 'Kriz geçiriyor ama bütçeli' diye anılıyorsun.</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Kahvehanede biri “Hayırdır, askere mi gidiyorsun?” diye sordu. Masa güldü, sen de.</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güneş yanığı. Aile grubunda domates çıkartması dolaşıyor.</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berber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row>
    <row r="836">
      <c r="A836" s="5" t="inlineStr">
        <is>
          <t>b8-sac-meselesi</t>
        </is>
      </c>
      <c r="B836" s="5" t="n">
        <v>4</v>
      </c>
      <c r="C836" s="6" t="inlineStr">
        <is>
          <t>Şapka koleksiyonuna başla</t>
        </is>
      </c>
      <c r="D836" s="5" t="inlineStr"/>
      <c r="E836" s="5" t="inlineStr"/>
      <c r="F836" s="5" t="inlineStr">
        <is>
          <t>Kurnazlık +1</t>
        </is>
      </c>
      <c r="G836" s="6" t="inlineStr">
        <is>
          <t>Dört şapka aldın. Sorun çözülmedi, ama bir stile kavuştu.</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özel bir poliçe buldun ve arkadaşlarına da yaptırdın. Komisyon bile aldın.</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işlemleri tek günde bitirdin. Memur 'Bu kadar hızlısını görmedim' dedi.</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döneminde erken ödeme indirimi çıktı. Borcun yarıya indi.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bir konuşma yaptın ki çocuk kendi ekran süresini kendisi kısıtladı. Hâlâ inanılmıyor.</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row>
    <row r="844">
      <c r="A844" s="5" t="inlineStr">
        <is>
          <t>b8-ergen-telefon</t>
        </is>
      </c>
      <c r="B844" s="5" t="n">
        <v>4</v>
      </c>
      <c r="C844" s="6" t="inlineStr">
        <is>
          <t>Kendi on dört yaşını anlat</t>
        </is>
      </c>
      <c r="D844" s="5" t="inlineStr">
        <is>
          <t>Gönül</t>
        </is>
      </c>
      <c r="E844" s="5" t="inlineStr">
        <is>
          <t>Kolay</t>
        </is>
      </c>
      <c r="F844" s="5" t="inlineStr"/>
      <c r="G844" s="6" t="inlineStr"/>
      <c r="H844" s="6" t="inlineStr">
        <is>
          <t>Kendi gizli defterini anlattın. Çocuk ilk kez gülerek dinledi.</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Tartı bir süre sessiz kaldı; bu da bir tür onay.</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Pantolon teşekkür etti.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halıda 'Hata' yazdı. Tartı bile yalanını kabul etmedi.</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Unvanın 'yapay zekâ sorumlusu' oldu.</t>
        </is>
      </c>
      <c r="J849" s="6" t="inlineStr">
        <is>
          <t>Araç hatayı kendi buldu ve raporladı. Hatayı yapanın adıyla.</t>
        </is>
      </c>
      <c r="K849" s="6" t="inlineStr">
        <is>
          <t>Araç kendi değerlendirmesini yazdı: 'Eğitmen, verimliliği bilinçli olarak düşürmüştür.'</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insanları bilmiyor' dedin. Pozisyonun 'strateji' oldu.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'Mahallenin en güvenilir esnafı' unvanı, kasa kadar ağır.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artmadı, asansör bozuldu. Dükkânın yeni adı 'Söylenti Merkezi'.</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Süs haberden büyük geldi. Kimse inanmadı.</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Beklentileri karşıladın.</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kendini müdür koltuğunda gördüğünü söyledin. Müdür koltuğunu biraz daha yakına çekti.</t>
        </is>
      </c>
      <c r="L857" s="6" t="inlineStr">
        <is>
          <t>“İyi”de anlaştınız. Müdür kırmızı kalemi kapattı, sen de çeneni.</t>
        </is>
      </c>
      <c r="M857" s="5" t="inlineStr">
        <is>
          <t>bargain</t>
        </is>
      </c>
      <c r="N857" s="5" t="inlineStr">
        <is>
          <t>Not Pazarlığı</t>
        </is>
      </c>
      <c r="O857" s="6" t="inlineStr">
        <is>
          <t>Müdürün sabrı bitmeden notunu “Orta”dan yukarı it. Kırmızı kalem masada bekliyor.</t>
        </is>
      </c>
      <c r="P857" s="6" t="inlineStr">
        <is>
          <t>{"item": "not", "mode": "sell"}</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is>
          <t>Omurga</t>
        </is>
      </c>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Artık etiketleri, menüleri ve hayal kırıklıklarını net görüyorsun.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büyüttün, okudun. Teknoloji kolunu uzattı.</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aile grubuna gönderdin. Başlık: 'Bu ne?' Tartışma üçüncü gününde.</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yarım saat evi altüst ettin. Alt kattaki komşu kapıya çıktı, yüzüne baktı: “Kafanda, kafanda!” Bütün apartman öğrendi.</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row>
    <row r="863">
      <c r="A863" s="5" t="inlineStr">
        <is>
          <t>b8-bayram-sofrasi</t>
        </is>
      </c>
      <c r="B863" s="5" t="n">
        <v>1</v>
      </c>
      <c r="C863" s="6" t="inlineStr">
        <is>
          <t>Sarmaya odaklan</t>
        </is>
      </c>
      <c r="D863" s="5" t="inlineStr"/>
      <c r="E863" s="5" t="inlineStr"/>
      <c r="F863" s="5" t="inlineStr">
        <is>
          <t>Dayanıklılık +1, İtibar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row>
    <row r="864">
      <c r="A864" s="5" t="inlineStr">
        <is>
          <t>b8-bayram-sofrasi</t>
        </is>
      </c>
      <c r="B864" s="5" t="n">
        <v>2</v>
      </c>
      <c r="C864" s="6" t="inlineStr">
        <is>
          <t>Miras sorusuna soğukkanlı kal</t>
        </is>
      </c>
      <c r="D864" s="5" t="inlineStr">
        <is>
          <t>Pişkinlik</t>
        </is>
      </c>
      <c r="E864" s="5" t="inlineStr">
        <is>
          <t>Orta</t>
        </is>
      </c>
      <c r="F864" s="5" t="inlineStr"/>
      <c r="G864" s="6" t="inlineStr"/>
      <c r="H864" s="6" t="inlineStr">
        <is>
          <t>Hiçbir soruya net cevap vermedin. Konu gelecek bayrama ertelendi.</t>
        </is>
      </c>
      <c r="I864" s="6" t="inlineStr">
        <is>
          <t>Öyle soğukkanlıydın ki amca payından vazgeçip sana çay koydu.</t>
        </is>
      </c>
      <c r="J864" s="6" t="inlineStr">
        <is>
          <t>'Tapu kimde' sorusunda yutkundun. Artık herkes bir şey bildiğini düşünüyor.</t>
        </is>
      </c>
      <c r="K864" s="6" t="inlineStr">
        <is>
          <t>Tatlı gelmeden sofrada iki cephe oluştu. Gelecek bayram iki ayrı salonda kutlanacak.</t>
        </is>
      </c>
      <c r="L864" s="6" t="inlineStr">
        <is>
          <t>Bir kez göz kırptın. Tarla bölündü; sulama hakkı tartışmaya açık.</t>
        </is>
      </c>
      <c r="M864" s="5" t="inlineStr">
        <is>
          <t>poker</t>
        </is>
      </c>
      <c r="N864" s="5" t="inlineStr">
        <is>
          <t>Miras Sorusu</t>
        </is>
      </c>
      <c r="O864" s="6" t="inlineStr">
        <is>
          <t>Sorular üstüne gelirken parmağını dairede tut. Yüz ifaden kayıt altında.</t>
        </is>
      </c>
      <c r="P864" s="6" t="inlineStr">
        <is>
          <t>{"questions": ["Tarlaya kim bakacak?", "Sen zaten şehirdesin, değil mi?", "Tapu kimde?", "Bu sofrayı kim kurdu?", "Baban tam olarak ne demişti?"]}</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karnelerini karşılaştırmaya başladı. Tarla meselesi yanında masum kaldı.</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kapıya kadar götürdü. Rehberde adı artık 'Kahraman'.</t>
        </is>
      </c>
      <c r="J868" s="6" t="inlineStr">
        <is>
          <t>Görevli sıraya girmeni söyledi. Sıra otoparkın dışına kadar uzanıyordu.</t>
        </is>
      </c>
      <c r="K868" s="6" t="inlineStr">
        <is>
          <t>Görevliyle konuşurken arkadaki araç boş yere girdi. Görevli ona el salladı.</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row>
    <row r="870">
      <c r="A870" s="5" t="inlineStr">
        <is>
          <t>b8-bekar-orta-yas</t>
        </is>
      </c>
      <c r="B870" s="5" t="n">
        <v>1</v>
      </c>
      <c r="C870" s="6" t="inlineStr">
        <is>
          <t>Özgürlüğün tadını çıkar</t>
        </is>
      </c>
      <c r="D870" s="5" t="inlineStr"/>
      <c r="E870" s="5" t="inlineStr"/>
      <c r="F870" s="5" t="inlineStr">
        <is>
          <t>Pişkinlik +1, Dayanıklılık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 iki saat sürdü, hafıza tazelendi.</t>
        </is>
      </c>
      <c r="J871" s="6" t="inlineStr">
        <is>
          <t>Profil fotoğrafı seçmek üç hafta sürdü. Profil hâlâ 'eksik'.</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seni seçti ve kucağında uyudu. Akrabaların bakışı artık kediye yöneliyor.</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gece 23.59'da yükledin. Sistem 23.58'de kapanmış. Saatler farklıymış.</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Başvurunun adı o kadar soyut oldu ki kendi projeni kendin tanıyamadın. Komite de.</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Kolektifin fonu aldı ve adı bir yıl boyunca her yerde anıldı. Toplantı tutanakları bile yayımlandı.</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Not, yapılacaklar listesinin 47. sırasında.</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ve bir broşür verdi. Broşürü okumak da ayrıca stres.</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ve telefona bakmadın. Döndüğünde iş yerindeydi. Bu biraz can sıktı.</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Çocuk sınav çıkışı 'Nereden biliyordun?' diye sordu. Cevap: tecrübe ve bir poğaça.</t>
        </is>
      </c>
      <c r="J884" s="6" t="inlineStr">
        <is>
          <t>“Öğretmenim tam tersini söyledi” dedi. Öğretmen kazandı, her zamanki gibi.</t>
        </is>
      </c>
      <c r="K884" s="6" t="inlineStr">
        <is>
          <t>Kendi sınavında yaptığın hatayı detaylıca anlattın. Çocuk bütün sınav boyunca o hatayı düşündü.</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sarıldı. Sonuç ne olursa olsun, bu sabah kazanıldı.</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poker</t>
        </is>
      </c>
      <c r="N888" s="5" t="inlineStr">
        <is>
          <t>Kısa Görüşme</t>
        </is>
      </c>
      <c r="O888" s="6" t="inlineStr">
        <is>
          <t>Parmağını dairede tut. Sorular üstüne gelecek. Kıpırdama.</t>
        </is>
      </c>
      <c r="P888" s="6" t="inlineStr">
        <is>
          <t>{"questions": ["Şirkette kendini nasıl görüyorsun?", "Değişime açık mısın?", "Aile nasıl, iyi mi?", "Kartını yanına aldın mı?", "Şu formu bir okur musun?"]}</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Liderlik bu.</t>
        </is>
      </c>
      <c r="I889" s="6" t="inlineStr">
        <is>
          <t>Ekibini savundun, yönetim etkilendi, sana bir ekip daha verdi. Bütçesiz.</t>
        </is>
      </c>
      <c r="J889" s="6" t="inlineStr">
        <is>
          <t>Ekibin kaldı. Sen 'danışman' statüsüne alındın.</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İzlenmeler arttı, satışlar biraz arttı, tanınman çok arttı.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row>
    <row r="894">
      <c r="A894" s="5" t="inlineStr">
        <is>
          <t>me-internet-satis</t>
        </is>
      </c>
      <c r="B894" s="5" t="n">
        <v>4</v>
      </c>
      <c r="C894" s="6" t="inlineStr">
        <is>
          <t>Direnmeye devam et</t>
        </is>
      </c>
      <c r="D894" s="5" t="inlineStr"/>
      <c r="E894" s="5" t="inlineStr"/>
      <c r="F894" s="5" t="inlineStr">
        <is>
          <t>Dayanıklılık +1, 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Aile tarihinin en verimli dönemi.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row>
    <row r="898">
      <c r="A898" s="5" t="inlineStr">
        <is>
          <t>mm-terfi-sinavi</t>
        </is>
      </c>
      <c r="B898" s="5" t="n">
        <v>4</v>
      </c>
      <c r="C898" s="6" t="inlineStr">
        <is>
          <t>Girme, masanda kal</t>
        </is>
      </c>
      <c r="D898" s="5" t="inlineStr"/>
      <c r="E898" s="5" t="inlineStr"/>
      <c r="F898" s="5" t="inlineStr">
        <is>
          <t>İtibar +1, Dayanıklılık +1</t>
        </is>
      </c>
      <c r="G898" s="6" t="inlineStr">
        <is>
          <t>Masan pencere kenarında, çayın sıcak, sorumluluğun makul. Bazı terfiler yataydır.</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sana borç yapılandırmada yardım edecek birini buldu. Ücretsiz.</t>
        </is>
      </c>
      <c r="J901" s="6" t="inlineStr">
        <is>
          <t>Tabloyu gönderdin; 'Sen grafik okumayı bilmiyorsun' dedi.</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'Anlat' dedi. Gece ikiye kadar sokak oyunları anlatıldı.</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'Bunu kim öğretti?' diye soruluyor.</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hazırlamıştı. İki yemek, bir mide.</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Uzun bir cevap geldi. İyi ki sormuşsun.</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balance</t>
        </is>
      </c>
      <c r="N910" s="5" t="inlineStr">
        <is>
          <t>Mutfak Dansı</t>
        </is>
      </c>
      <c r="O910" s="6" t="inlineStr">
        <is>
          <t>Dans ederken tezgâhtan kayan tabağı tepsinin üstünde tut. Müzik hızlanıyor.</t>
        </is>
      </c>
      <c r="P910" s="6" t="inlineStr">
        <is>
          <t>{"item":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Çocuk avukat gibi konuştu. Kaybettin.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row>
    <row r="915">
      <c r="A915" s="5" t="inlineStr">
        <is>
          <t>ms-eski-musteri</t>
        </is>
      </c>
      <c r="B915" s="5" t="n">
        <v>1</v>
      </c>
      <c r="C915" s="6" t="inlineStr">
        <is>
          <t>Görmezden gel</t>
        </is>
      </c>
      <c r="D915" s="5" t="inlineStr"/>
      <c r="E915" s="5" t="inlineStr"/>
      <c r="F915" s="5" t="inlineStr">
        <is>
          <t>Dayanıklılık +1</t>
        </is>
      </c>
      <c r="G915" s="6" t="inlineStr">
        <is>
          <t>Mesajı okundu olarak bıraktın. On beş yıldır onların yaptığını sen de yaptın. Bir tür adalet.</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bargain</t>
        </is>
      </c>
      <c r="N916" s="5" t="inlineStr">
        <is>
          <t>Özlem Fiyatı</t>
        </is>
      </c>
      <c r="O916" s="6" t="inlineStr">
        <is>
          <t>Karşı tarafın sabrı bitmeden ücreti yukarı it. Özlemin bir fiyatı var.</t>
        </is>
      </c>
      <c r="P916" s="6" t="inlineStr">
        <is>
          <t>{"item":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row>
    <row r="918">
      <c r="A918" s="5" t="inlineStr">
        <is>
          <t>b8-lise-bulusmasi</t>
        </is>
      </c>
      <c r="B918" s="5" t="n">
        <v>1</v>
      </c>
      <c r="C918" s="6" t="inlineStr">
        <is>
          <t>Herkesle kısa sohbet et</t>
        </is>
      </c>
      <c r="D918" s="5" t="inlineStr"/>
      <c r="E918" s="5" t="inlineStr"/>
      <c r="F918" s="5" t="inlineStr">
        <is>
          <t>Çene +1, 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Konuşma güldürdü. Salon, gençliğini beş dakikalığına geri aldı.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bir öğretmeni taklit ettin. Öğretmen en ön masadaydı ve alkışlamadı.</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ve bir daha iletmeyeceğine söz verdi. Söz iki gün sürdü; rekor.</t>
        </is>
      </c>
      <c r="J923" s="6" t="inlineStr">
        <is>
          <t>Bağlantını da sahte haber sandılar. Artık sen 'şüpheli kaynak'sın.</t>
        </is>
      </c>
      <c r="K923" s="6" t="inlineStr">
        <is>
          <t>Grupta 'Kimin haberi doğru?' anketi açıldı. Dörde bir kaybettin.</t>
        </is>
      </c>
      <c r="L923" s="6" t="inlineStr">
        <is>
          <t>Üç haberden ikisini yalanladın. Amca üçüncüsüne sarıldı: “Bari bunu bırak.”</t>
        </is>
      </c>
      <c r="M923" s="5" t="inlineStr">
        <is>
          <t>swipe</t>
        </is>
      </c>
      <c r="N923" s="5" t="inlineStr">
        <is>
          <t>Doğru mu, Sahte mi?</t>
        </is>
      </c>
      <c r="O923" s="6" t="inlineStr">
        <is>
          <t>Haberler akıyor; sahteyi sola, doğruyu sağa at. Amca senden hızlı iletiyor.</t>
        </is>
      </c>
      <c r="P923"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Sonunda 'Şu haber işini bırakayım' dedi. Grupta huzurlu bir sessizlik.</t>
        </is>
      </c>
      <c r="J924" s="6" t="inlineStr">
        <is>
          <t>Amca sana üç haber daha anlattı. Bu kez sesli.</t>
        </is>
      </c>
      <c r="K924" s="6" t="inlineStr">
        <is>
          <t>Amca seni grubun yöneticisi yaptı. Artık her sahte haberin sorumlusu sensin.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sana geri döndü; kaynak: 'bir tanıdık.'</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açıldı, genel müdür 'Devam edelim' deyip seni ofisine aldı. O günden beri kat değiştirdin.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ertesi ay bir birimin başına getirildin. Yem işe yaradı.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açtın, teknisyene el salladın. Genel müdür seni 'kriz yöneticisi' olarak hatırladı.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dükkâna çağırdın, ikram ettin. Yıldız beşe çıktı.</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iyi ama karşıdaki daha iyi.' Kibar ve öldürücü.</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saniye düşündü, sonra sıraya geçti.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işlemi bitirdin. Kim olduğunu sonunda söyledi: 'Sabırlı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Artık haftada iki kez ona bakıyorsun; o sana hiç bakmıyor.</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Yerdekilere el salladın; ipi bırakmadan.</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Jenerikte adın, yanlış yazılmış.</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 çizgisine kollarını açarak girdin. O fotoğraf artık bilgisayarının arka planı.</t>
        </is>
      </c>
      <c r="J943" s="6" t="inlineStr">
        <is>
          <t>Depara kalktın; bacakların kalkmadı. Son kilometre yürüyerek tamamlandı.</t>
        </is>
      </c>
      <c r="K943" s="6" t="inlineStr">
        <is>
          <t>Sponsor standına daldın. İçecek piramidi yıkıldı; görüntüler sponsorun yeni reklamında.</t>
        </is>
      </c>
      <c r="L943" s="6" t="inlineStr">
        <is>
          <t>Yarı yolda kramp girdi. Finişe topallayarak ve alkışlar eşliğinde vardın.</t>
        </is>
      </c>
      <c r="M943" s="5" t="inlineStr">
        <is>
          <t>race</t>
        </is>
      </c>
      <c r="N943" s="5" t="inlineStr">
        <is>
          <t>Son Kilometre</t>
        </is>
      </c>
      <c r="O943" s="6" t="inlineStr">
        <is>
          <t>Beş saniye. Ekrana hızla dokun; sponsor standına değil, finişe koş.</t>
        </is>
      </c>
      <c r="P943" s="6" t="inlineStr"/>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c r="AI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kurs iptal edildi. Özgeçmişinin en ilginç kısmı artık bu altı ay.</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cevap verdin. Sınıf seni 'kurtarıcı' ilan etti.</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yıl başka bir ev; başka birinin çatı sorunu.</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Aldın; bahçedeki incir ağacı da tapuya dahilmiş. Yazlık değer kazandı, incir de.</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bargain</t>
        </is>
      </c>
      <c r="N950" s="5" t="inlineStr">
        <is>
          <t>Emlakçı Pazarlığı</t>
        </is>
      </c>
      <c r="O950" s="6" t="inlineStr">
        <is>
          <t>Emlakçının sabrı bitmeden doğru fiyatı bul. “Bu fiyata bir daha bulamazsınız” cümlesine kanma.</t>
        </is>
      </c>
      <c r="P950" s="6" t="inlineStr">
        <is>
          <t>{"item":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eczacı seni tanımıyor; ilişki sıfırdan başladı.</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icraatın tutanak yazmak oldu. İkincisi, tutanağı kimsenin okumadığını fark etmek.</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itibarın asansör gibi yükseldi.</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Uyum raporun kusursuz.</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Yöneticin pazartesi sana “abi” diye hitap etmeye başladı.</t>
        </is>
      </c>
      <c r="I965" s="6" t="inlineStr">
        <is>
          <t>Genel müdür yeni yöneticine 'Bu işi ondan öğren' dedi. Tüm gölün önünde.</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öyle anlattın ki fon bir sonraki yıl bütçeyi atölyene ayırdı.</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öyle düzenledin ki arkandaki üç kişi de sana danıştı. Koridorda gayriresmî bir danışma masası kuruldu.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çayını da ikram etti. Dosyan tamam, bir de dost edindin.</t>
        </is>
      </c>
      <c r="J972" s="6" t="inlineStr">
        <is>
          <t>Yedi numara 'Önce üçe uğrayın' dedi. Üç, seni yeniden yediye gönderdi.</t>
        </is>
      </c>
      <c r="K972" s="6" t="inlineStr">
        <is>
          <t>Yedi numaraya gittin; öğle arası başladı. Sıra numaran geçersiz sayıldı.</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Kırk dakika bel ağrısı anlattın.</t>
        </is>
      </c>
      <c r="K975" s="6" t="inlineStr">
        <is>
          <t>Eski eşinden söz ettin. Üç kez. Adıyla.</t>
        </is>
      </c>
      <c r="L975" s="6" t="inlineStr">
        <is>
          <t>İlk yarım saat ellerin terledi, sonra açıldın. İkinci buluşma “bakarız”a kaldı; ama gülerek söylendi.</t>
        </is>
      </c>
      <c r="M975" s="5" t="inlineStr">
        <is>
          <t>breath</t>
        </is>
      </c>
      <c r="N975" s="5" t="inlineStr">
        <is>
          <t>İlk Buluşma Nefesi</t>
        </is>
      </c>
      <c r="O975" s="6" t="inlineStr">
        <is>
          <t>Daire büyürken nefes al, küçülürken bırak. Sakin kalırsan sohbet kendiliğinden akar.</t>
        </is>
      </c>
      <c r="P975" s="6" t="inlineStr"/>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masaya vurup güldün; çay bardağı devrildi, karşındakinin kucağına. Akşamın geri kalanı ıslak mendille geçti.</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Hikâyeni öyle anlattın ki karşındaki de kendininkini anlattı. Hesap gelince ikiniz birden cüzdana uzandınız ve kavga ederek ödediniz. Bu, iyiye işarettir.</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yeniden seçildi. Çay yine aynı demde.</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is>
          <t>Tek Oy</t>
        </is>
      </c>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seni başkan yapmayı teklif etti. Kabul etmedin; sadece yönetmeliği yazdın.</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 geldi. Kahvesini sen getirdin. Pazartesi senden iki nüsha izin formu istedi.</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Planın o kadar sağlam ki bir kafe zinciri fikri satın almak istedi. Satmadın; hayal satılmaz.</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“Babam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“Babam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“Babam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“Babam benimle yarışıyor.”</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merakla dinledi. Karşılığında sana her şeyi yeniden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Eğitmen 'Beni siz eğitiyorsunuz' dedi. Şirketin yapay zekâ çalışma grubuna seçildin.</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ve fazla gün buldun. Kurum düzeltti; bu kez senin aleyhine.</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Kışla günleri nihayet işe yaradı: dört ay erken emeklilik.</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Yastık altında unuttuğun bir zarf daha buldun. Plan B, plan A'yı geçti.</t>
        </is>
      </c>
      <c r="J997" s="6" t="inlineStr">
        <is>
          <t>Saydın; enflasyon senden önce saymış.</t>
        </is>
      </c>
      <c r="K997" s="6" t="inlineStr">
        <is>
          <t>Saydın; yastık altındakiler artık tedavülde değil. Nostaljik değerleri var.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Ara sıra girip yatağın kenarına oturuyorsun. Oda da sana alıştı.</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Aramaların arasına doğru boşlukları koydun. Çocuk seni kendisi aramaya başladı.</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eşin kaldırdı.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ve yine reddettin. Banka ilk kez seni ciddiye aldı.</t>
        </is>
      </c>
      <c r="I1004" s="6" t="inlineStr">
        <is>
          <t>Teklifi kullanıp evi yeniledin; ev değer kazandı. Borcun yine var ama bu sefer bir de planın var.</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 işleme alınamadı; form numarası eksik.</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mesajı okudun. Mesaj 'Gözlüğün bende kalmış' idi.</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yanlışlıkla 'Başsağlığı' şablonunu seçtin. Grupta panik on dakika sürdü.</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itiraf etti ve seni gruba yönetici olarak ekledi. Artık iki grupta da sen varsın.</t>
        </is>
      </c>
      <c r="J1011" s="6" t="inlineStr">
        <is>
          <t>Mesajı yazdın; kimse anlamadı. Üç kişi 'Hangi grup?' diye sordu, ikisi 'Ben de girebilir miyim?'</t>
        </is>
      </c>
      <c r="K1011" s="6" t="inlineStr">
        <is>
          <t>Yanlış gruba yazdın. Apartman grubu şimdi hangi gizli gruptan bahsettiğini soruyor.</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O sabahın gündemi senin seçtiğin konu: belediyenin kaldırım projesi.</t>
        </is>
      </c>
      <c r="I1012" s="6" t="inlineStr">
        <is>
          <t>Grubu öyle hızlı çektin ki iki kişi koşuya geçti. Grup adını 'Tempo'ya çevirdi.</t>
        </is>
      </c>
      <c r="J1012" s="6" t="inlineStr">
        <is>
          <t>En öne geçmeye çalıştın; ikinci turda dördüncü sıraya düştün. Gündem seni konu aldı.</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race</t>
        </is>
      </c>
      <c r="N1012" s="5" t="inlineStr">
        <is>
          <t>Tempo Yarışı</t>
        </is>
      </c>
      <c r="O1012" s="6" t="inlineStr">
        <is>
          <t>Grubun en önüne geçmek için hızlı dokun. Ama unutma, bu resmî olarak bir yarış değil.</t>
        </is>
      </c>
      <c r="P1012" s="6" t="inlineStr"/>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Grup için bir mesaj grubu kurdun. Yürüyüş artık hem parkta hem telefonda yapılıyor.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Masaya bir geri sayım yapıştırdın. Rakam küçülmüyor gibi.</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stajın hiç işlenmemiş. Tarih bir yıl ileri kaydı.</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danışmanları kaldırdı. Yerine araçlar geldi.</t>
        </is>
      </c>
      <c r="K1017" s="6" t="inlineStr">
        <is>
          <t>Danışmanlık teklifini kendi yöneticine gönderdin. Yöneticin bunu istifa sandı.</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bir kâğıt yapıştırdın. Çaycı her sabah 'Kaç kaldı abi?' diye soruyor; cevabı ezbere biliyorsun.</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17.00'de bittiğinde ekranda küçük bir tören oluyor.</t>
        </is>
      </c>
      <c r="I1019" s="6" t="inlineStr">
        <is>
          <t>Sayacın bütün birime yayıldı. Daire artık her sabah ortak bir geri sayımla açılıyor.</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Birim ikiye bölündü; verimlilik arttı.</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sezmeye başladın. Artık akrabalar da randevu için seni arıyor. Mesai saatin gece.</t>
        </is>
      </c>
      <c r="J1022" s="6" t="inlineStr">
        <is>
          <t>İptali gördün, dokundun, 'İşlem zaman aşımına uğradı' dedi uygulama.</t>
        </is>
      </c>
      <c r="K1022" s="6" t="inlineStr">
        <is>
          <t>Gece uyanık kaldın, sabah uyuyakaldın. Kendi aldığın randevuyu kaçırdın.</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Bebeğin kulağı henüz tam belli değil.</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Evin 'ustanın evi' olarak turlara girdi. Kira da girdi.</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Çarşıda üç aile birbirine selam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is>
          <t>Benim Zamanımda</t>
        </is>
      </c>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otuz dakika boyunca cevap verdi. Kafeden en son sen çıktın.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adını yazarken yanlışlıkla bir önceki sınıfın adını yazdın. Kimse düzeltmedi.</t>
        </is>
      </c>
      <c r="K1040" s="6" t="inlineStr">
        <is>
          <t>Grubu kurdun ve ilk mesajda yanlış kişiyi 'Merhum' diye andın. Kendisi grupta ve üzgün.</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Akşam yemeği nohutsuz kaldı. Geçmiş de öyle.</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düştü. Market görevlisi 'Reyon üç, temizlik' anonsu yaptı.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Reyon Üç</t>
        </is>
      </c>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ve kendi saksısını ekledi. Artık iki kat ortak bir bahçe işletiyor.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Kariyerinin son iki haftası en verimli dönemin oldu.</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Kim kimi eğitiyor, belirsiz.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artık yalnız senin sesine cevap veriyor. Misafir gelince ona önce senin adını söylüyor.</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şekerle uçtu, gece üçte uyudu. Sen ise hiç uyumadın.</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Sana masandaki bitkiyi devraldığını söyledi. Yaşıyor.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Kimse okumayacak ama var.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Yirmi yıllık anlaşma yine imzasız yenilendi.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ve sana yirmi yıl önceki bir maçı hatırlattı. Sen de kaybetmiştin.</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hâlâ “abi” diyor;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Domates fiyatları artık senin sorunun; hava durumu da.</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üç eseri devirdin. Kataloğa 'etkileşimli bölüm' diye eklendi.</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 sırasında bir eseri gerçek sandılar ve ikram tepsisi olarak kullandılar.</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Ne yapacağını düşünmedin.</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bargain</t>
        </is>
      </c>
      <c r="N1088" s="5" t="inlineStr">
        <is>
          <t>Kapanış Pazarlığı</t>
        </is>
      </c>
      <c r="O1088" s="6" t="inlineStr">
        <is>
          <t>Pazarcının sabrı bitmeden kasanın fiyatını aşağı çek. Kapanışa yarım saat var; onun da evi var.</t>
        </is>
      </c>
      <c r="P1088" s="6" t="inlineStr">
        <is>
          <t>{"item":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ve tam zamanında sattın. Aile seni 'finans danışmanı' ilan etti.</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 kurum bülteninde yayımlandı ve sonraki emekliler için şablon oldu.</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eşin planı okumadı. Kumanda yine eşinde. Plan buzdolabının kapağında sergileniyor.</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Öğretmen sana 'Neden bu kadar geç başladınız?' diye sordu.</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İnsan kaynakları şablon olarak kaydetti.</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İyi bir işaret.</t>
        </is>
      </c>
      <c r="I1108" s="6" t="inlineStr">
        <is>
          <t>Eski ekibin sana kendi plaketini yaptırdı. Adın doğru yazılmış.</t>
        </is>
      </c>
      <c r="J1108" s="6" t="inlineStr">
        <is>
          <t>Geldiler; yarısı hâlâ senin onayını bekleyen izin talepleriyle.</t>
        </is>
      </c>
      <c r="K1108" s="6" t="inlineStr">
        <is>
          <t>Ekibini topladın; parti bir 'kısa görüşmeye' dönüştü. Terfi isteyen 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Yeni sahip seni 'danışman' olarak tuttu. Maaşsız, her sabah 08.00'de.</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Dükkânın uzaktan çalışma modeli yok.</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Düşeş attın. Kahvehane alkışladı. Tebeşir ile adın büyük harfle yazıldı.</t>
        </is>
      </c>
      <c r="I1113" s="6" t="inlineStr">
        <is>
          <t>Düşeş attın ve rakip ayağa kalktı, seni kutladı. Kahvehane sahibi sana ömür boyu bedava çay ilan etti.</t>
        </is>
      </c>
      <c r="J1113" s="6" t="inlineStr">
        <is>
          <t>Bir-iki attın. Rakip gülümsedi. Sen de gülümsedin. Kahvehane gülümsemeyi tartıştı.</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Kazanmadın, kaybetmedin; final ertelendi. Kahvehane sahibi televizyonu tekrar açtı.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Kurt, kuzu kılığına girdi.</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tablette bir satın alma yaptın. Torunun oyunu artık altın rengi ama aile bütçesi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bağlandı, tableti tamir etti ve bir de senin telefonunu güncelledi. Çift kazanç.</t>
        </is>
      </c>
      <c r="J1118" s="6" t="inlineStr">
        <is>
          <t>Çocuğunu aradın; toplantıdaymış. Mesaj attı: 'Kapat, aç.' Zaten bunu denemiştin.</t>
        </is>
      </c>
      <c r="K1118" s="6" t="inlineStr">
        <is>
          <t>Çocuğunu aradın; torun o sırada tablette senin sesini kayıt altına aldı. Artık bir oyun karakterinin sesi sensin.</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Kurum sana gönüllü danışmanlık teklif etti.</t>
        </is>
      </c>
      <c r="J1120" s="6" t="inlineStr">
        <is>
          <t>Şifren iptal edilmiş. Sistem seni tanımadı; kahve makinesi tanıdı.</t>
        </is>
      </c>
      <c r="K1120" s="6" t="inlineStr">
        <is>
          <t>Güvenlik seni nazikçe dışarı çıkardı. Otuz yıllık hizmet, üç dakikalık bir tutanakla kapandı.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ve dükkânın cirosu arttı. Çırak sana kendi dükkânında danışmanlık teklif etti.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Oyunun adı, sanat tarihi kitabına bir dipnot olarak geçti.</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itiraz etmedi. Kendi aralarında ise ayrı bir dava açtılar.</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 bir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balance</t>
        </is>
      </c>
      <c r="N1135" s="5" t="inlineStr">
        <is>
          <t>Kabak Arabası</t>
        </is>
      </c>
      <c r="O1135" s="6" t="inlineStr">
        <is>
          <t>El arabasındaki kabağı dengede tut; bahçe kapısına kadar düşürme. Belin de seninle.</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is>
          <t>Kabak</t>
        </is>
      </c>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Son iş günün yarım kepenkle tarihe geçti.</t>
        </is>
      </c>
      <c r="K1139" s="6" t="inlineStr">
        <is>
          <t>Kepengi indirdin; anahtar içeride kaldı. Emekliliğin çilingirde başladı.</t>
        </is>
      </c>
      <c r="L1139" s="6" t="inlineStr">
        <is>
          <t>Kepenk ortada takıldı. Karşı dükkânın çırağı koştu, birlikte indirdiniz. Son iş günün yardımla bitti; mahalle bunu da alkışladı.</t>
        </is>
      </c>
      <c r="M1139" s="5" t="inlineStr">
        <is>
          <t>hold</t>
        </is>
      </c>
      <c r="N1139" s="5" t="inlineStr">
        <is>
          <t>Son Kepenk</t>
        </is>
      </c>
      <c r="O1139" s="6" t="inlineStr">
        <is>
          <t>Kepengi indirmek için basılı tut; çubuğu tam yerinde bırak, yoksa ortada takılır.</t>
        </is>
      </c>
      <c r="P1139" s="6" t="inlineStr"/>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Emekliliğe zararla girdin.</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öyle güzel çıktı ki dernek bunu yıllık takvimin kapağı yaptı. Herkes seni tanıyor.</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Banka seni 'dijital okuryazar' kampanyasına davet etti.</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is>
          <t>Anons</t>
        </is>
      </c>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Danışman olarak döndün; yönetim kurulu seni 'kurumsal hafıza' ilan etti. Maaşından iyi ücret.</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'Kartınızı masaya bırakın' dedin. Eski stajyerin bir an sana inandı. Teklif masadan kalktı.</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eski sınıf arkadaşın çıktı. Başkanlık yarışı yeniden alevlendi.</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kendin de inandın. Artık gençliğinde bir güvercin sahibi olduğunu düşünüyorsun.</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ilk oyunda sana mars oldu. Başlangıç şansı dedin.</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Kırk yıllık döngü, bir kafe masasında sessizce tamamlandı.</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Kırk iki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kırk iki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devam etti. Sen hikâyede, slayt başka yerde.</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ruhu nihayet aklandı.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Noter belgeyi 'örnek vasiyet' olarak arşivine aldı.</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Çaydanlığın kime kalacağını üç ayrı maddede üç farklı kişiye bıraktın. Çaydanlık artık bir hukuk sorunu.</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is>
          <t>Çaydanlık</t>
        </is>
      </c>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Gizemli madde noter tarafından 'lütfen açıklayınız' notuyla iade edildi.</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row>
    <row r="1168">
      <c r="A1168" s="5" t="inlineStr">
        <is>
          <t>b10-miras-provasi</t>
        </is>
      </c>
      <c r="B1168" s="5" t="n">
        <v>1</v>
      </c>
      <c r="C1168" s="6" t="inlineStr">
        <is>
          <t>'Ben daha buradayım' de</t>
        </is>
      </c>
      <c r="D1168" s="5" t="inlineStr"/>
      <c r="E1168" s="5" t="inlineStr"/>
      <c r="F1168" s="5" t="inlineStr">
        <is>
          <t>Cesaret +1</t>
        </is>
      </c>
      <c r="G1168" s="6" t="inlineStr">
        <is>
          <t>Masada kısa bir sessizlik oldu. Sonra biri tatlıyı getirdi ve konu kapandı. Şimdilik.</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Herkes kendi adını listede en üstte görmek için yarıştı. Bulaşıklar bile yıkandı.</t>
        </is>
      </c>
      <c r="J1169" s="6" t="inlineStr">
        <is>
          <t>Liste okununca kimse tepki vermedi. Herkes kendi gerçek listesini zaten hazırlamıştı.</t>
        </is>
      </c>
      <c r="K1169" s="6" t="inlineStr">
        <is>
          <t>Sahte listeyi gerçek sanan küçük gelin, vitrindeki takımı o gece gazete kâğıdına sarıp paketledi. Sabah vitrinde tek bir şekerlik kaldı.</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Konu bir sonraki pazara ertelendi.</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row>
    <row r="1171">
      <c r="A1171" s="5" t="inlineStr">
        <is>
          <t>b10-miras-provasi</t>
        </is>
      </c>
      <c r="B1171" s="5" t="n">
        <v>4</v>
      </c>
      <c r="C1171" s="6" t="inlineStr">
        <is>
          <t>Takımı hemen hediye et</t>
        </is>
      </c>
      <c r="D1171" s="5" t="inlineStr"/>
      <c r="E1171" s="5" t="inlineStr"/>
      <c r="F1171" s="5" t="inlineStr">
        <is>
          <t>Gönül +2</t>
        </is>
      </c>
      <c r="G1171" s="6" t="inlineStr">
        <is>
          <t>Takım paketlendi. Diğerleri dolapta başka neler olduğunu not etmeye başladı.</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ilk yirmi saniyesi 'Bu çalışıyor mu?' oldu.</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hold</t>
        </is>
      </c>
      <c r="N1173" s="5" t="inlineStr">
        <is>
          <t>Bas, Konuş</t>
        </is>
      </c>
      <c r="O1173" s="6" t="inlineStr">
        <is>
          <t>Kayıt tuşuna basılı tut; mesaj bitince doğru anda bırak.</t>
        </is>
      </c>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Eğitmen, 'Aslında bu kısayolu bilmiyordum' dedi. Sınıf sana döndü.</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 sertifikası verilmedi. Telefonun hâlâ yazı boyutu en büyükte.</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okunmadan kimse evden çıkmıyor. Resmî sıfatın yok, yetkin var.</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Arabalar yer değiştirdi, taraflar barıştı, biri sana simit getirdi.</t>
        </is>
      </c>
      <c r="J1178" s="6" t="inlineStr">
        <is>
          <t>Sesin aşağıya ulaşmadı. Tartışma sensiz sonuçlandı.</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Gözlem kulesi bir günlüğüne kapatıldı. Sokak ne yapacağını bilemedi.</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tebeşirlerin hesabını verdin. Zaman aşımı nedeniyle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Gelmeyenlerin yanına sessizce not düştün. Başkanlık görevi resmen tamamlandı.</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row>
    <row r="1183">
      <c r="A1183" s="5" t="inlineStr">
        <is>
          <t>b10-doktor-gomersiniz</t>
        </is>
      </c>
      <c r="B1183" s="5" t="n">
        <v>1</v>
      </c>
      <c r="C1183" s="6" t="inlineStr">
        <is>
          <t>Teşekkür et</t>
        </is>
      </c>
      <c r="D1183" s="5" t="inlineStr"/>
      <c r="E1183" s="5" t="inlineStr"/>
      <c r="F1183" s="5" t="inlineStr">
        <is>
          <t>İtibar +1</t>
        </is>
      </c>
      <c r="G1183" s="6" t="inlineStr">
        <is>
          <t>İltifat dosyaya işlendi. Bir sonraki randevu altı ay sonraya verildi. Bu da bir iltifat.</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Doktor sözünü geri aldı ve iki tahlil daha istedi.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herkes sana katıldı. Hastanede ilk sabah jimnastiği başlatıldı.</t>
        </is>
      </c>
      <c r="J1185" s="6" t="inlineStr">
        <is>
          <t>İki esneme hareketinden sonra koridordaki bankta dinlenmeye karar verdin.</t>
        </is>
      </c>
      <c r="K1185" s="6" t="inlineStr">
        <is>
          <t>Eğilip ayak parmaklarına uzandın; belin orada tutuldu. Doktorun odasına sıranla değil, tekerlekli sandalyeyle girdin. Doktor 'Siz bizi gömersiniz' cümlesini geri aldı.</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Mont değişimi başarılı oldu.</t>
        </is>
      </c>
      <c r="K1187" s="6" t="inlineStr">
        <is>
          <t>Yanlış çocuğu suçladın. İkizmiş.</t>
        </is>
      </c>
      <c r="L1187" s="6" t="inlineStr">
        <is>
          <t>Montu tanıdın, yüzü tanımadın. Çocuğa yarım zarf verdin; o da yarım teşekkür etti.</t>
        </is>
      </c>
      <c r="M1187" s="5" t="inlineStr">
        <is>
          <t>memory</t>
        </is>
      </c>
      <c r="N1187" s="5" t="inlineStr">
        <is>
          <t>Kapıdaki Yüzler</t>
        </is>
      </c>
      <c r="O1187" s="6" t="inlineStr">
        <is>
          <t>Sıradaki çocukların yüzlerini ezberle; ikinci kez geleni seç.</t>
        </is>
      </c>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is>
          <t>İkiz Savcısı</t>
        </is>
      </c>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ama hâlâ geçerliydi. Çocuklar tarih dersi aldı.</t>
        </is>
      </c>
      <c r="I1188" s="6" t="inlineStr">
        <is>
          <t>Yastığın altından yıllardır birikmiş bir hazine çıktı. Çocuklar bu bayramı destan olarak anlatıyor.</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verildi. Sıra, rekor sürede dağıldı.</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Klasör adları o kadar düzenli oldu ki aile her bayram arşiv turu yapıyor.</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swipe</t>
        </is>
      </c>
      <c r="N1191" s="5" t="inlineStr">
        <is>
          <t>Fotoğraf Ayıkla</t>
        </is>
      </c>
      <c r="O1191" s="6" t="inlineStr">
        <is>
          <t>Gözünün açık olduğu fotoğrafları sağa, kapalı olanları sola kaydır.</t>
        </is>
      </c>
      <c r="P1191"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Miras, bir zekâ yarışmasına dönüştü.</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Uygun fiyatlı parsel alındı. Ziyaretçiler en azından park yeri aramayacak.</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Pazarlık uzadı, manzaralı parsel başka birine satıldı. O kişi de pazarlık ediyordu.</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bargain</t>
        </is>
      </c>
      <c r="N1194" s="5" t="inlineStr">
        <is>
          <t>Parsel Pazarlığı</t>
        </is>
      </c>
      <c r="O1194" s="6" t="inlineStr">
        <is>
          <t>Görevlinin sabrı bitmeden doğru fiyatı bul.</t>
        </is>
      </c>
      <c r="P1194" s="6" t="inlineStr">
        <is>
          <t>{"item":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ve onayladın. Görevli ilk kez bir müşteriyi bu kadar ciddi gördü.</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koltuk altından kaldırdı;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sözleşmesi imzalandı. Görevin: ayda bir kez telefon açmak.</t>
        </is>
      </c>
      <c r="J1197" s="6" t="inlineStr">
        <is>
          <t>Ücret istedin, onlar dosyayı kendileri buldu. Danışmanlık teklifi rafa kaldırıldı.</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Kurum seni kırk dakika alkışladı. Ödeme yapılmadı.</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Üç cümlelik bir hatıra anlattın. Helva kavuran bile kepçeyi bırakıp dinledi.</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Anı defteri o kadar sürükleyici oldu ki mahallede elden ele dolaşmaya başladı. Bazı komşular kitaba itiraz dilekçesi yazdı.</t>
        </is>
      </c>
      <c r="J1203" s="6" t="inlineStr">
        <is>
          <t>Süslemeler fark edildi. Deftere 'Kurgu' etiketi yapıştırıldı.</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Yetmiş beş yıllık dosya kapandı.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aile üyelerinden biri 'O vazoyu ben kırmıştım' dedi. Dosya yeniden açıldı.</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nefesle söndürdün, yan masadaki mumları da. Rekor kayda geçti, pasta bozulmadı.</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breath</t>
        </is>
      </c>
      <c r="N1205" s="5" t="inlineStr">
        <is>
          <t>Mumları Söndür</t>
        </is>
      </c>
      <c r="O1205" s="6" t="inlineStr">
        <is>
          <t>Daire büyürken bas, küçülürken bırak. Nefesini doğru anda boşalt.</t>
        </is>
      </c>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Kimse telefonuna bakmadı.</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Seksen yıllık tecrübe.</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row>
    <row r="1210">
      <c r="A1210" s="5" t="inlineStr">
        <is>
          <t>b10-huzurevi-turu</t>
        </is>
      </c>
      <c r="B1210" s="5" t="n">
        <v>2</v>
      </c>
      <c r="C1210" s="6" t="inlineStr">
        <is>
          <t>Hemen kayıt ol</t>
        </is>
      </c>
      <c r="D1210" s="5" t="inlineStr"/>
      <c r="E1210" s="5" t="inlineStr"/>
      <c r="F1210" s="5" t="inlineStr">
        <is>
          <t>Sosyal Radar +1</t>
        </is>
      </c>
      <c r="G1210" s="6" t="inlineStr">
        <is>
          <t>Kayıt tamamlandı. Üç gün içinde bütün sakinlerin hayat hikâyesine vakıfsın; onlar da seninkine.</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 o kadar iyi yönetildi ki komşu huzurevinden transfer talepleri gelmeye başladı.</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Figürler kusursuz tekrarlandı.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seni koltuk altından tutup halayı ayakların yere değmeden bitirdi; video aile grubunda üç gün döndü.</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aile her bayram bir bölümünü sesli okuyor.</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kendi eski evinden eve polis arabasıyla döndün.</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row>
    <row r="1222">
      <c r="A1222" s="5" t="inlineStr">
        <is>
          <t>b10-son-dans</t>
        </is>
      </c>
      <c r="B1222" s="5" t="n">
        <v>2</v>
      </c>
      <c r="C1222" s="6" t="inlineStr">
        <is>
          <t>Eski kaldırış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Figür kusursuz. Eşin kahkahalar içinde yere indi: 'Deli misin sen?' Gözleri kırk yıl önceki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eski kaldırış figürünü denerken. Figür tamamlandı.</t>
        </is>
      </c>
      <c r="AA1222" s="5" t="inlineStr"/>
      <c r="AB1222" s="5" t="inlineStr"/>
      <c r="AC1222" s="5" t="inlineStr"/>
      <c r="AD1222" s="5" t="inlineStr"/>
      <c r="AE1222" s="5" t="inlineStr"/>
      <c r="AF1222" s="5" t="inlineStr"/>
      <c r="AG1222" s="5" t="inlineStr"/>
      <c r="AH1222" s="5" t="inlineStr"/>
      <c r="AI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Farklı şarkıları söylediğinizi nakaratta fark ettiniz.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 doldu.</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bütün eski dostları bir çay bahçesinde topladı. Yeni bir grup kuruldu.</t>
        </is>
      </c>
      <c r="J1226" s="6" t="inlineStr">
        <is>
          <t>Aradığın kişilerin yarısı telefonunu duymadı.</t>
        </is>
      </c>
      <c r="K1226" s="6" t="inlineStr">
        <is>
          <t>Defterdeki eski numarayı çevirdin; numara artık bir satış hattıymış. Kırk dakika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row>
    <row r="1227">
      <c r="A1227" s="5" t="inlineStr">
        <is>
          <t>b10-komsu-kedisi</t>
        </is>
      </c>
      <c r="B1227" s="5" t="n">
        <v>1</v>
      </c>
      <c r="C1227" s="6" t="inlineStr">
        <is>
          <t>Mama koy</t>
        </is>
      </c>
      <c r="D1227" s="5" t="inlineStr"/>
      <c r="E1227" s="5" t="inlineStr"/>
      <c r="F1227" s="5" t="inlineStr">
        <is>
          <t>Gönül +1</t>
        </is>
      </c>
      <c r="G1227" s="6" t="inlineStr">
        <is>
          <t>Kedi mamayı yedi ve gitti. Denetim başarıyla tamamlandı.</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komşu da seni ziyarete gelmeye başladı. Bir kedi, iki dostluk.</t>
        </is>
      </c>
      <c r="J1228" s="6" t="inlineStr">
        <is>
          <t>Kedi içeri girdi, her şeyi kokladı ve çıktı. Başvurun reddedildi.</t>
        </is>
      </c>
      <c r="K1228" s="6" t="inlineStr">
        <is>
          <t>Kedi senin yerine komşuyu tercih etti ve sana bunu balkondan gösterdi.</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ve bir tur boyunca liderliği bırakmadın. Grup sana şapka hediye etti.</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Banka müdürü sana saygıyla eğildi. Senin iyimserliğin onu aştı.</t>
        </is>
      </c>
      <c r="J1234" s="6" t="inlineStr">
        <is>
          <t>Başvuru 'değerlendirme aşamasında' kaldı. Değerlendirme süresi belirsiz.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row>
    <row r="1236">
      <c r="A1236" s="5" t="inlineStr">
        <is>
          <t>b10-ehliyet-yenileme</t>
        </is>
      </c>
      <c r="B1236" s="5" t="n">
        <v>1</v>
      </c>
      <c r="C1236" s="6" t="inlineStr">
        <is>
          <t>Arabanın anahtarını teslim et</t>
        </is>
      </c>
      <c r="D1236" s="5" t="inlineStr"/>
      <c r="E1236" s="5" t="inlineStr"/>
      <c r="F1236" s="5" t="inlineStr">
        <is>
          <t>Gönül +2</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ezberden okudun. Muayene tamamlandı.</t>
        </is>
      </c>
      <c r="I1237" s="6" t="inlineStr">
        <is>
          <t>Doktor senin ezberini fark etti ve seni tebrik etti: 'Hafızanız gözlerinizden iyi.' Rapor imzalandı.</t>
        </is>
      </c>
      <c r="J1237" s="6" t="inlineStr">
        <is>
          <t>Doktor satırları değiştirdi. Ezber boşa gitti.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6</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 teslim alındı, fotoğraf çekildi. Plaket buzdolabının üstüne yerleştirildi.</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tuhaf kasıldı. On iki karenin on ikisinde bir gözün kapalı, ağzın yamuk. Taşa en 'doğal' olanı işlendi.</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Arka plan seçenekleri arasında sadece gri vardı. Seçim yapıldı.</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Kimse yatırım yapmadı.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row>
    <row r="1271">
      <c r="A1271" s="5" t="inlineStr">
        <is>
          <t>sokak-mi-ekran-mi</t>
        </is>
      </c>
      <c r="B1271" s="5" t="n">
        <v>3</v>
      </c>
      <c r="C1271" s="6" t="inlineStr">
        <is>
          <t>Tableti sokağa indir</t>
        </is>
      </c>
      <c r="D1271" s="5" t="inlineStr">
        <is>
          <t>Pişkinlik</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ve bir yorgan sıkıştırdı. Yorgan valize sığdı; sen yurda sığacak mısın, bakacağız.</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ailen buna “kader” dedi ve yurt masrafını dayına kitledi.</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Resmî unvanın artık “mezun”; kimliğinde yazmıyor ama herkes biliyor.</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 sınıra tam sığdı; fazlalığı uçuş görevlisine hediye ettin. Koltuğun bir sınıf yükseldi.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Işıklar bir saniye söndü; şefin sabrı biraz daha kısaldı.</t>
        </is>
      </c>
      <c r="K1284" s="6" t="inlineStr">
        <is>
          <t>Arızayı buldun sandın; aslında şefin çay makinesiydi. Atölye bir hafta çaysız kaldı.</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Abiler defterini merak etmeye başladı.</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Çarşı o gün cimri ilan edildi.</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tezgâhtaki şeker kavanozunun dibine sakladın. Abi o gün herkesin çayına ikişer şeker attı; bozukluklar bardaklardan çıktı.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seni yanına ortak alacağını söyledi; tarih vermedi.</t>
        </is>
      </c>
      <c r="J1290" s="6" t="inlineStr">
        <is>
          <t>Anahtarı kaptın, yanlış cıvatayı söktün. Usta anahtarı elinden geri aldı: “Önce çay.”</t>
        </is>
      </c>
      <c r="K1290" s="6" t="inlineStr">
        <is>
          <t>Anahtarı kaptın ve müşterinin arabasının yan aynasını söktün. Araba yalnızca yağ değişimine gelmişti. Usta aynanın parasını senin bir aylık bahşişinden kesti.</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abi de kendi fiyatını koydu. Onunki senin bir aylık bahşişindi.</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biri “Ben de kaydolsam mı?” dedi. Çarşıda eğitim reformu başladı.</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boyunca kimse fark etmedi; sonra herkes fark etti.</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seni dinledikten sonra bir de tabanlık markası önerdi. Rapor elinde, tabanlık ayağında; ikisi de hayatın boyunca sende.</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uyandırdı ve kimseye söylemedi. Sadakat.</t>
        </is>
      </c>
      <c r="K1301" s="6" t="inlineStr">
        <is>
          <t>Nöbette uyuyakaldın. Komutan seni uyandırmadı; fotoğrafını çekip annene gönderdi: “Oğlunuz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uyuyordu.</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 rüzgârda uçtu. Kantin kaosa, sen ek nöbete.</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Bütün bölük sana hediye getirmeye başladı. Kantinden. Tost.</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'Oğlumun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uyandırdı ve kimseye söylemedi. Sadakat.</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koltuğu merdivende sıkıştırdınız. Koltuk hâlâ orada; bina onu artık sahipleniyor.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gittiğin yerde müdür eski bölük komutanının kardeşi çıktı. İşe alındın, bir de kahve ısmarlandı.</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Geçen yılın on katı puan yaptın. Dershane seni afişe bastı; afişte “Bir yılda neler değişir?” yazıyor.</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tutan taktikler bu sefer tutmadı. Sınav, denemeleri okumuş.</t>
        </is>
      </c>
      <c r="K1314" s="6" t="inlineStr">
        <is>
          <t>Denemelerdeki gibi son yarım saati uyuyarak geçirdin. Denemelerde kimse seni uyandırmıyordu.</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row>
    <row r="1317">
      <c r="A1317" s="5" t="inlineStr">
        <is>
          <t>b6-ikinci-tercih</t>
        </is>
      </c>
      <c r="B1317" s="5" t="n">
        <v>2</v>
      </c>
      <c r="C1317" s="6" t="inlineStr">
        <is>
          <t>Emniyet Akademisi</t>
        </is>
      </c>
      <c r="D1317" s="5" t="inlineStr"/>
      <c r="E1317" s="5" t="inlineStr"/>
      <c r="F1317" s="5" t="inlineStr">
        <is>
          <t>Cesaret +1, İtibar +1</t>
        </is>
      </c>
      <c r="G1317" s="6" t="inlineStr">
        <is>
          <t>Akademiyi yazdın. Baban seni ilk kez bir üniformanın içinde hayal etti ve gözleri doldu; sonra sesli olarak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Sana “İyi oyaladın” dedi; ilk terfin buydu.</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Yanlışlıkla alış fiyatını söyledin. Müşteri üç kasa aldı. Kuzen o hafta seninle konuşmadı.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cebinden bozukluklar döküldü. Şimdi tezgâhta cepsiz bir önlükle çalışıyorsun.</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bıraktın, kahveci çay ısmarladı, çay bitmeden döndün. Abi “Aferin” dedi. Mahallede adın artık “Güvenilir.” Nedense bu seni sevindirmedi.</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Çantayı açtığın an abinin arabası yanından geçti. Yarım simidin hesabını hâlâ soruyor.</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akademinin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sana akademinin broşürünü verdi: “Senin gibi dinleyen lazım.”</t>
        </is>
      </c>
      <c r="J1330" s="6" t="inlineStr">
        <is>
          <t>Komiser seni dinledi ve bir cümleyle bitirdi: “Otur yerine.” Oturdun; davulcu yerini almıştı.</t>
        </is>
      </c>
      <c r="K1330" s="6" t="inlineStr">
        <is>
          <t>Sohbeti uzattıkça tutanak uzadı. Sabah çıktığında adın iki ayrı dosyadaydı.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Mutfak senin sayende bir kulübe dönüştü. Yerli arkadaşların “Makarya” kelimesini doğru telaffuz etmeye başladı; neredeyse.</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sınavı uyuyarak kaçırdın. Hocan “Kültürel fark” diye not düştü.</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seni vardiya sorumlusu yaptı. Artık sen pazarlık ediliyorsun.</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Bayramı bir havalimanında, kendi ekranından izledin.</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geri döndün; bu sefer vardiya sorumlusu olarak. Kalmak da bir tür iş.</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c r="AI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üçüncü basamağı atlamayı öğrendin. Evde bir hayalet yaşıyor; notları iyi.</t>
        </is>
      </c>
      <c r="I1346" s="6" t="inlineStr">
        <is>
          <t>Sistemin öyle sağlam ki bir gece annen senden geç geldi. İkiniz de bir şey demediniz.</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seni o günden beri “Mühendis Bey” diye çağırıyor.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indi. Jüri bunu performans sandı, puanını yine de vermedi.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olarak da teslim ettin. Hoca bunu yayına çevirmek istedi; kantinci de ortaklık.</t>
        </is>
      </c>
      <c r="J1352" s="6" t="inlineStr">
        <is>
          <t>Kantinci analizini dinledi ve fiyatları artırdı. Sonucu şimdi bütün bölüm ödüyor.</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breath</t>
        </is>
      </c>
      <c r="N1353" s="5" t="inlineStr">
        <is>
          <t>Derin Nefes</t>
        </is>
      </c>
      <c r="O1353" s="6" t="inlineStr">
        <is>
          <t>Daire büyürken nefes al, küçülürken ver. Ritmi kaçırırsan yer ayağının altından kayar.</t>
        </is>
      </c>
      <c r="P1353" s="6" t="inlineStr"/>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inlineStr"/>
      <c r="Z1355" s="6" t="inlineStr"/>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 için yatak odası. Kapıda dört ayrı isim yazılı; posta hep başkasına gelir.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Oda sana direniyor, sen de odaya.</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aile meclisi toplandı. Karar: söz hakkın var ama kullanım saati akşam dokuza kadar.</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gün karşına bir zincir mağaza açıldı. Rafları borçla doldurdun; müşteriyi zincire kaptırdın.</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“Memur Bey”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row>
    <row r="1366">
      <c r="A1366" s="5" t="inlineStr">
        <is>
          <t>b6-hayat-yolu</t>
        </is>
      </c>
      <c r="B1366" s="5" t="n">
        <v>4</v>
      </c>
      <c r="C1366" s="6" t="inlineStr">
        <is>
          <t>Abinin işine gir</t>
        </is>
      </c>
      <c r="D1366" s="5" t="inlineStr"/>
      <c r="E1366" s="5" t="inlineStr"/>
      <c r="F1366" s="5" t="inlineStr">
        <is>
          <t>Pişkinlik +2</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Bir reklamı yanlış hesaptan paylaştın. Kedi takipçi kaybetti, sen de işi.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40</t>
        </is>
      </c>
      <c r="AI1370" s="5" t="inlineStr"/>
    </row>
    <row r="1371">
      <c r="A1371" s="5" t="inlineStr">
        <is>
          <t>b6-hekimlik-yolu</t>
        </is>
      </c>
      <c r="B1371" s="5" t="n">
        <v>1</v>
      </c>
      <c r="C1371" s="6" t="inlineStr">
        <is>
          <t>Devlet hastanesine, mecburi hizmete</t>
        </is>
      </c>
      <c r="D1371" s="5" t="inlineStr"/>
      <c r="E1371" s="5" t="inlineStr"/>
      <c r="F1371" s="5" t="inlineStr">
        <is>
          <t>İtibar +2</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uykunu da yanında götürme.</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c r="AI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usul sordu; alayla.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taraflardan biri duydu. Duruşma bir saat bu yüzden uzadı.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seni dinledi ve sonra telefonunu açtı: “Ama burada başka yazıyor.” Sabaha kadar tartıştınız.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İki masa arasında oturan tek kişi sensin. Yer rahat değil ama geniş.</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döktün. O gün sete bir “Kahve dökülmez” tabelası asıldı. Tabela sana bakıyor.</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Yolda traktör bozuldu. Domatesleri yol kenarında sattın; kamyoncular aldı. Fiyatı onlar belirledi.</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Gelen yorumlar domates kadar kırmızı.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üstlenmeyi önerdin. Kabul etti. İlk ayın garanti.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fazla indirim yaptın. Bütün durak geldi; zararına çalışıyorsun ama çok çalışıyorsun.</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row>
    <row r="1396">
      <c r="A1396" s="5" t="inlineStr">
        <is>
          <t>b6-dolandirici-ilk-is</t>
        </is>
      </c>
      <c r="B1396" s="5" t="n">
        <v>1</v>
      </c>
      <c r="C1396" s="6" t="inlineStr">
        <is>
          <t>Telefonu kapat, bu kişiyi arama</t>
        </is>
      </c>
      <c r="D1396" s="5" t="inlineStr"/>
      <c r="E1396" s="5" t="inlineStr"/>
      <c r="F1396" s="5" t="inlineStr">
        <is>
          <t>İtibar +2</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o kadar güvendi ki bütün öğretmenler odasını yönlendirdi. Artık gerçek bir danışman olmak için sınava hazırlanıyorsun.</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Şimdi o grafiği gerçekleştirmen gerekiyor.</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o kadar sevildi ki mahalledeki bütün Makaryalılar pazar kahvaltısına geliyor. Bir derneğin başkanı gibisin; ama ücretsiz.</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Apartman toplantısında gündemin ilk maddesi sendin.</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o da seni mahallede muhbir diye tanıttı. Artık simitçi senden kaçıyor, bisikletler de.</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isimler duruyordu. Pastacı itiraf etti: ödeme yapılmamış. Dosya bir fatura davasına dönüştü.</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poker</t>
        </is>
      </c>
      <c r="N1410" s="5" t="inlineStr">
        <is>
          <t>Sorgu Yüzü</t>
        </is>
      </c>
      <c r="O1410" s="6" t="inlineStr">
        <is>
          <t>“Pastacı her şeyi anlattı” de ve gözünü kırpma. Parmağını dairenin içinde tut; üç şüpheli yüzünü okuyor.</t>
        </is>
      </c>
      <c r="P1410" s="6" t="inlineStr"/>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not ettin, defter kayboldu. Bir hafta sonra panoda asılı bulundu; bütün ekip seni okudu.</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Yüz okurken fazla dik baktın; başkan rahatsız oldu, mülakatı kısa kesti. Kadro gitti, bakışın dosyana yazıldı.</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Aranızda saygıya benzer bir şey oldu.</t>
        </is>
      </c>
      <c r="I1419" s="6" t="inlineStr">
        <is>
          <t>Listen öyle dürüsttü ki müfettiş onu başka karakollara örnek diye gönderdi. Başka karakollar sana kızgın.</t>
        </is>
      </c>
      <c r="J1419" s="6" t="inlineStr">
        <is>
          <t>Eksiklerini söyledin; müfettiş “Bunları zaten biliyordum” dedi. Liste dosyaya girdi, biraz da utancın.</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Neyi arayacağını bildin, bulacağını da. Müfettiş teftişi iki günde bitirip sana “Keşke her yer böyle olsa” dedi. Her yer duydu.</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Kasabanın ilk ses yalıtımı projesi o sabah başladı.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Sıradaki aidat davası; asansör de, galiba.</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is>
          <t>Asansör Hâkimi</t>
        </is>
      </c>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İkisine de hak verip gerekçeli ortak velayet kararı yazdın. Karar dergilere girdi.</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Paşacıymış.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zaman bitti. Kurul iyi kararlarına hiç gelemedi.</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Sezdin ama müfettiş kişisel bir şey konuşmaya hiç niyetli değildi. İnceleme kitabına göre sürdü.</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okumaktan bıkıp uzlaştı; ama yanlış sebepten.</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Şerifi”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Sıralaman öyle temizdi ki hoca vizitten sonra seni makale ekibine aldı. Makale senin uykusuzluğun hakkında değil, neyse ki.</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odanın yakınıymış. İki aile birbirinin haberini aldı; yanlış haberleri.</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Aile hastaneye bir yazı gönderdi; başhekim yazıyı panoya astı, altına senin adın.</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Veri toplarken arşivde bir raf üstüne devrildi. Makale yerine arşiv düzenleme raporu yazdın.</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öyle sevildi ki öbür aileler de katılmak istedi. Teyzenin komşuları seni pazar sunucusu sanıyor.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aile sözcünün de bir akraba olduğunu hatırlayıp ona da güvenmedi.</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Hastayla sohbet öyle güzel geçti ki hasta seni bahçesine davet etti, asistanlar da kendilerini. Vizit bir piknikle sona erdi, taburcu olunca.</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Odayı Okur</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gönderdin, üstüne tutanak ekledin. Müteahhit dosyayı başka karakola taşıyamadı; dosya sende, sen yerinde.</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“Polis Abi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Kahraman ilan edildin; bir parti seni listenin başına yazdı. Rozetini çerçeveletip Makarya Meclisi yolunu tuttun.</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c r="AI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c r="AI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“Doktor bey, biz de öleceğiz mi?” diye sordu; dondun. Bir daha çağırmadılar; nöbetine döndün.</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is>
          <t>Terleyen Doktor</t>
        </is>
      </c>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Doğrusunu bulduğunda kapı kapanmıştı.</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c r="AI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dilekçe kayboldu,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Kalanlara teklif edilen maaş kesintisini imzaladın. Masan duruyor, kupan duruyor; maaş bordrosu biraz eridi.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c r="AI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çevirdin. Ertesi gün tahsilata başkası gitti, sana yıkamanın kasası kaldı.</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Hesap makinesinin basmayan tuşlarından biri sıfırmış. Deftere kimse inanmıyor; sen de artık emin değilsin.</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“Abi”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aile bunu gördü; düğünlerinde adın anılmadı, pastadan da pay yok.</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Depodan yalnızca bir telefon zil sesi geliyordu.</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oturuyorsun, işler sana sorulmadan dönüyor.</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sana ilk kez “Abi” dedi; sesi titrek.</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Mahallede ilk kez biri sana “Amca” dedi; mağlubiyetten ağır geldi.</t>
        </is>
      </c>
      <c r="K1505" s="6" t="inlineStr">
        <is>
          <t>Mars olmamak için zarı avucunda tuttun, 'Kaydı' dedin. Genç videoya almış; akşam mahallenin bütün telefonlarında 'Abinin zarı' dönüyordu.</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Bahçe Filozofu</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Sesin yine tanıdık.</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“Sen o telefondaki çocuksun!” Salonun yarısı ona döndü, yarısı sana. Kalan yarım saat karışık geçti.</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adam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ama komşusu yazdı, broşürü de dağıttı. Bu ay rekor; içinde bir taş.</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parkta “Dikkat Et” sohbeti yapıyorsun. Hayatının ilk seminerinde bilet yok, dinleyici çok.</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sana “Sessiz Bey” diyor; hiç bu kadar isabetli bir lakabın olmamıştı.</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emekli bir öğretmen sanıyor; düzeltmiyorsun.</t>
        </is>
      </c>
      <c r="J1530" s="6" t="inlineStr">
        <is>
          <t>Bavulun tartıya sığmadı. Fazla bagaj ücretini kulübün kartıyla ödemeye kalkınca kasadan açıklama istediler.</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alkışladı, sen masana döndün. Siyaset olmadı, soru kaldı.</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dinledi, sonra güvenliğe “Beyefendiye kapıyı gösterin” dedi.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ay sonra bir televizyon programı aradı; artık bir “yüz”sün.</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daha çok yayıldı. İşine döndün; iş yerinde herkes sana yanlışını söylüyor, düzelttikçe daha çok gülüyorlar.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Zarı yatağın altına düşürdün. Aramaya eğildiğinde yatağını başkası almıştı.</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poker</t>
        </is>
      </c>
      <c r="N1543" s="5" t="inlineStr">
        <is>
          <t>Görüş Camı</t>
        </is>
      </c>
      <c r="O1543" s="6" t="inlineStr">
        <is>
          <t>Parmağını dairenin içinde tut. Annen camın öbür tarafından yüzüne bakıyor; kıpırdarsan anlar.</t>
        </is>
      </c>
      <c r="P1543" s="6" t="inlineStr">
        <is>
          <t>{"questions": ["Yemek veriyorlar mı?", "Üşüyor musun?", "Neden zayıfladın?", "Arkadaşların iyi mi?", "Bana bak bakayım."]}</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hepsini bir kâğıda yazıp buzdolabına astı.</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Kokuya en çok gardiyan alıştı.</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Derslerin öyle tuttu ki öbür koğuşlar da istedi. Müdür dosyana “örnek kursiyer” yazdı; af söylentilerinde adın geçiyor.</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Söylentin öyle sağlam oldu ki öbür koğuşlar tarihi senden teyit ediyor. Af çıkmadı ama kaynak olarak ünlüsün.</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Kitaba bütün koğuşun lakaplarını yazdın. Basılmadı ama koğuşta okundu; kırk mektup geldi, hepsi düzeltme istiyor.</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“İçeriyi bilmeyen yok zaten” dedi.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43</t>
        </is>
      </c>
      <c r="AI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zarlarından birini sana verdi: “Nuriye artık senin.” Koğuşta sana kimse yenilgi hatırlatamaz.</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gardiyanlar da kendi turnuvalarına seni çağırdı. Koyduğun kurallar hâlâ geçerli.</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Delikanlının annesi cevap verdi, sana da selam yolladı. Koğuşta adın artık “Kâtip.”</t>
        </is>
      </c>
      <c r="I1561" s="6" t="inlineStr">
        <is>
          <t>Yaşlı adamın eski sevgilisi cevap yazdı; görüşe geliyor. Koğuş bir hafta boyunca adamın saçını taradı.</t>
        </is>
      </c>
      <c r="J1561" s="6" t="inlineStr">
        <is>
          <t>Zarfları karıştırdın; vergi dairesinin mektubu delikanlının annesine gitti. Kadın oğlunun borcu sanıp ödedi. Borç başkasınınmış; o da şimdi teşekkür mektubu istiyor.</t>
        </is>
      </c>
      <c r="K1561" s="6" t="inlineStr">
        <is>
          <t>Delikanlının mektubunu fazla süsledin. Annesi “Bunu sen yazmamışsın” diye cevap verdi; delikanlı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Öyle kibar bir mektup yazdın ki cevap geldi: gecikme faizi silinmiş. Koğuşta artık danışman sayılıyorsun.</t>
        </is>
      </c>
      <c r="I1562" s="6" t="inlineStr">
        <is>
          <t>Mektup öyle resmî oldu ki daire aynı şablonu istedi. Artık dışarıya form yazıyorsun; ücretsiz ama itibarlı.</t>
        </is>
      </c>
      <c r="J1562" s="6" t="inlineStr">
        <is>
          <t>Daire “Dilekçenizi şahsen veriniz” diye cevap yazdı. Şahsen gitmek şu an biraz zor.</t>
        </is>
      </c>
      <c r="K1562" s="6" t="inlineStr">
        <is>
          <t>Dosya numarasını yanlış yazdın; başka birinin borcu da koğuş arkadaşına geldi. Adam iki kişinin borcunu ödüyor,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row>
    <row r="1563">
      <c r="A1563" s="5" t="inlineStr">
        <is>
          <t>b8-hapis-cay-ocagi</t>
        </is>
      </c>
      <c r="B1563" s="5" t="n">
        <v>1</v>
      </c>
      <c r="C1563" s="6" t="inlineStr">
        <is>
          <t>Demliği Erol'a bırak</t>
        </is>
      </c>
      <c r="D1563" s="5" t="inlineStr"/>
      <c r="E1563" s="5" t="inlineStr"/>
      <c r="F1563" s="5" t="inlineStr">
        <is>
          <t>İtibar +1, Sosyal Radar +1</t>
        </is>
      </c>
      <c r="G1563" s="6" t="inlineStr">
        <is>
          <t>“Genç öğrensin” dedin. Erol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row>
    <row r="1564">
      <c r="A1564" s="5" t="inlineStr">
        <is>
          <t>b8-hapis-cay-ocagi</t>
        </is>
      </c>
      <c r="B1564" s="5" t="n">
        <v>2</v>
      </c>
      <c r="C1564" s="6" t="inlineStr">
        <is>
          <t>Erol'la demleme yarışına gir</t>
        </is>
      </c>
      <c r="D1564" s="5" t="inlineStr">
        <is>
          <t>Dayanıklılık</t>
        </is>
      </c>
      <c r="E1564" s="5" t="inlineStr">
        <is>
          <t>Orta</t>
        </is>
      </c>
      <c r="F1564" s="5" t="inlineStr"/>
      <c r="G1564" s="6" t="inlineStr"/>
      <c r="H1564" s="6" t="inlineStr">
        <is>
          <t>Üç demlik, üç tur, jüri bütün koğuş. Kazandın. Erol bardağını uzattı: “Bir tane daha koy; nasıl yaptığını hâlâ anlamadım.”</t>
        </is>
      </c>
      <c r="I1564" s="6" t="inlineStr">
        <is>
          <t>Çayın öyle iyi oldu ki eski çaycı tahliyesini bir gün erteletmek istedi. Olmadı; gönlü sende kaldı, demlik de.</t>
        </is>
      </c>
      <c r="J1564" s="6" t="inlineStr">
        <is>
          <t>Erol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Erol demleyecek.</t>
        </is>
      </c>
      <c r="M1564" s="5" t="inlineStr">
        <is>
          <t>hold</t>
        </is>
      </c>
      <c r="N1564" s="5" t="inlineStr">
        <is>
          <t>Tavşan Kanı</t>
        </is>
      </c>
      <c r="O1564" s="6" t="inlineStr">
        <is>
          <t>Basılı tut; çay tavşan kanına dönünce bırak. Erken bırakırsan açık, geç kalırsan kömür.</t>
        </is>
      </c>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is>
          <t>Kömür</t>
        </is>
      </c>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öyle tuttu ki müdür bütün koğuşlara dağıttı. Çizelgenin altında adın yazıyor; yanlış yazılmış ama olsun.</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hepsinin daha önce de söylendiğini yıl yıl hatırlattı. Liste uzundu, süre kısa.</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oğluyla ilk kez net konuştu. Sana bir poşet kurabiye bıraktı.</t>
        </is>
      </c>
      <c r="I1568" s="6" t="inlineStr">
        <is>
          <t>Teyzenin oğlu koğuş arkadaşın çıktı. Artık iki ailen var; kurabiye de iki kat.</t>
        </is>
      </c>
      <c r="J1568" s="6" t="inlineStr">
        <is>
          <t>Yardım ederken kendi süren bitti. Teyze teşekkür etti; senin ziyaretçin camın ardından el salladı.</t>
        </is>
      </c>
      <c r="K1568" s="6" t="inlineStr">
        <is>
          <t>Ahizeleri karıştırdınız. Teyze senin ziyaretçine oğlunun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row>
    <row r="1569">
      <c r="A1569" s="5" t="inlineStr">
        <is>
          <t>b8-cezaevi-kapisi</t>
        </is>
      </c>
      <c r="B1569" s="5" t="n">
        <v>1</v>
      </c>
      <c r="C1569" s="6" t="inlineStr">
        <is>
          <t>Kursta öğrendiğinle esnaf ol</t>
        </is>
      </c>
      <c r="D1569" s="5" t="inlineStr"/>
      <c r="E1569" s="5" t="inlineStr"/>
      <c r="F1569" s="5" t="inlineStr">
        <is>
          <t>Dayanıklılık +1, Akıl +1</t>
        </is>
      </c>
      <c r="G1569" s="6" t="inlineStr">
        <is>
          <t>Sanayinin ucunda küçük bir dükkân tuttun; içeride öğrendiğin sabunu yapıyorsun.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row>
    <row r="1570">
      <c r="A1570" s="5" t="inlineStr">
        <is>
          <t>b8-cezaevi-kapisi</t>
        </is>
      </c>
      <c r="B1570" s="5" t="n">
        <v>2</v>
      </c>
      <c r="C1570" s="6" t="inlineStr">
        <is>
          <t>Eski işine dön</t>
        </is>
      </c>
      <c r="D1570" s="5" t="inlineStr"/>
      <c r="E1570" s="5" t="inlineStr"/>
      <c r="F1570" s="5" t="inlineStr">
        <is>
          <t>Pişkinlik +1, Kurnazlık +1</t>
        </is>
      </c>
      <c r="G1570" s="6" t="inlineStr">
        <is>
          <t>Eski defterini açtın; numaraların yarısı artık kullanılmıyor, kalanlar seni tanımadı. Masanı yeniden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row>
    <row r="1571">
      <c r="A1571" s="5" t="inlineStr">
        <is>
          <t>b8-cezaevi-kapisi</t>
        </is>
      </c>
      <c r="B1571" s="5" t="n">
        <v>3</v>
      </c>
      <c r="C1571" s="6" t="inlineStr">
        <is>
          <t>Uzun yılları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konuşuluyor; söyleşilerin biletleri tükeniyor. Koğuşa imzalı bir kutu kitap yolladın; en çok çaycı okudu.</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row>
    <row r="1572">
      <c r="A1572" s="5" t="inlineStr">
        <is>
          <t>b8-cezaevi-kapisi</t>
        </is>
      </c>
      <c r="B1572" s="5" t="n">
        <v>4</v>
      </c>
      <c r="C1572" s="6" t="inlineStr">
        <is>
          <t>“İçeriyi ben gördüm” de, siyasete gir</t>
        </is>
      </c>
      <c r="D1572" s="5" t="inlineStr">
        <is>
          <t>Pişkinlik</t>
        </is>
      </c>
      <c r="E1572" s="5" t="inlineStr">
        <is>
          <t>Zor</t>
        </is>
      </c>
      <c r="F1572" s="5" t="inlineStr"/>
      <c r="G1572" s="6" t="inlineStr"/>
      <c r="H1572" s="6" t="inlineStr">
        <is>
          <t>Afişindeki cümle kısaydı: “Ben içeriyi gördüm.” Mahalle seni meclis yolunda destekliyor; koğuş da, mektupla.</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Kimse geçmişini sormadı; bakkal sordurmadı.</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43</t>
        </is>
      </c>
      <c r="AI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geçirecekti; henüz geçirmedi.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45</t>
        </is>
      </c>
      <c r="AI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Binadan dışarı eşlik edildin; koridordaki kırk kişi seni alkışladı, sen gidince.</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diyette çıktı. Sandviç de sohbet de orada bitti.</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is>
          <t>Ağzı Dolu</t>
        </is>
      </c>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tişörtler tükendi. Yasak en iyi reklamın oldu.</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adam sandı, onun yaptıkları için sana kızdı. Sırada kendini savundun, kaybettin.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Sırada tek başına kameraya konuşan adam oldun.</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row>
    <row r="1589">
      <c r="A1589" s="5" t="inlineStr">
        <is>
          <t>b8-sohret-kapak</t>
        </is>
      </c>
      <c r="B1589" s="5" t="n">
        <v>1</v>
      </c>
      <c r="C1589" s="6" t="inlineStr">
        <is>
          <t>Başlığı editöre bırak</t>
        </is>
      </c>
      <c r="D1589" s="5" t="inlineStr"/>
      <c r="E1589" s="5" t="inlineStr"/>
      <c r="F1589" s="5" t="inlineStr">
        <is>
          <t>Dayanıklılık +1, Sosyal Radar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dergiyi okudu, erik parasını istiyor.</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 çıkardın; kapağa atletle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kırk dakikayı sehpadaki suyla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 öyle izlendi ki sokakta insanlar sana dert anlatıyor. Programın bir çeşit mahalle muhtarlığına döndü.</t>
        </is>
      </c>
      <c r="J1594" s="6" t="inlineStr">
        <is>
          <t>Hikâyeni anlattın; reji tam o sırada reklama girdi. İzleyici sonunu bilmiyor, sen de artık hatırlamıyorsun.</t>
        </is>
      </c>
      <c r="K1594" s="6" t="inlineStr">
        <is>
          <t>Anlatırken sahte kütüphaneye yaslandın; kütüphane devrildi. Programın ilk anı o oldu, sonrakiler de.</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jeneriğe koydu.</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sadece artık dede;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bir kırtasiyeci “Deneyelim” dedi. İlk müşterin oldu. Ödemeyi kalemle yaptı; ama yaptı.</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ürünü düzelttin. Yatırımcı seni “inatçı” diye anlatıyor, müşteriler “düzgün” diye. İkisi de doğru.</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dediğin anda ekranda kuzenin elle cevap yazdığı görüntü açıldı. Canlı.</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is>
          <t>Yapay Kuzen</t>
        </is>
      </c>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Yöntemin “Tatil Metodu” diye anıldı.</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row>
    <row r="1609">
      <c r="A1609" s="5" t="inlineStr">
        <is>
          <t>b8-girisim-kurul</t>
        </is>
      </c>
      <c r="B1609" s="5" t="n">
        <v>1</v>
      </c>
      <c r="C1609" s="6" t="inlineStr">
        <is>
          <t>Masa tenisinde çalışanlarla tanış</t>
        </is>
      </c>
      <c r="D1609" s="5" t="inlineStr"/>
      <c r="E1609" s="5" t="inlineStr"/>
      <c r="F1609" s="5" t="inlineStr">
        <is>
          <t>Sosyal Radar +1, Dayanıklılık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Karton bardakta çay içmeye devam; borç bardaktan taştı.</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c r="AI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kırk dakika konuştun; vade bir yıl uzadı. Çıkarken bardağın da cam oldu.</t>
        </is>
      </c>
      <c r="I1614" s="6" t="inlineStr">
        <is>
          <t>Müdür o kadar ikna oldu ki kendi birikimini şirketine yatırdı. Artık her toplantıya o da geliyor, kendi çayıyla.</t>
        </is>
      </c>
      <c r="J1614" s="6" t="inlineStr">
        <is>
          <t>Müdür dinledi, sonra “Genel müdürlüğe soralım” dedi. Genel müdürlük hâlâ düşünüyor.</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pivot yaptı; uygulama köpek gezdirme işine döndü. Senin köpeğin yok.</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 çayı soğuk içti. Miting de biraz soğudu.</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hold</t>
        </is>
      </c>
      <c r="N1620" s="5" t="inlineStr">
        <is>
          <t>Semaver Demi</t>
        </is>
      </c>
      <c r="O1620" s="6" t="inlineStr">
        <is>
          <t>Basılı tut; çay tavşan kanına dönünce bırak. Erken bırakırsan açık, geç kalırsan semaver taşar.</t>
        </is>
      </c>
      <c r="P1620" s="6" t="inlineStr"/>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Vaadin o kadar sevildi ki rakip aday bile sana oy verdiğini söyledi. Seçildin; kaldırıma şimdiden adın konmak isteniyor.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is>
          <t>Şu Taşlı Yer</t>
        </is>
      </c>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girince sesin yankılandı, kimse anlamadı. Seçimi çok az farkla kaybettin.</t>
        </is>
      </c>
      <c r="K1626" s="6" t="inlineStr">
        <is>
          <t>Hoparlörü kapatmayı unuttun; şoförle klima kavgan bütün mahalleye yayınlandı.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Karşındaki de göbeği savunuyormuş, anlaşılmamış. Tartışma değil mutabakat oldu; zil çalmadı.</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sahnesi kısa video uygulamasında milyonlarca izlendi. Parti seçim şarkısına zil sesi ekledi.</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race</t>
        </is>
      </c>
      <c r="N1630" s="5" t="inlineStr">
        <is>
          <t>Zil Kapışması</t>
        </is>
      </c>
      <c r="O1630" s="6" t="inlineStr">
        <is>
          <t>Beş saniye. Sunucudan hızlı dokun; zil kimdeyse söz onda.</t>
        </is>
      </c>
      <c r="P1630" s="6" t="inlineStr"/>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 sen ve kurdele ıslandınız. Açılışa “sağanak” dendi.</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masana geldi, kitabı imzalattı, sonra konuştu.</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Kedi de sehven sevindi.</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abi.”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öyle uzun sürdü ki gizemli bir figüre dönüştün. Dönüş röportajın için üç kanal yarıştı.</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tabelası iki kat; adın en üstte.</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Garajdaki buzdolabı yeniden dolma saklıyor.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Kaybettin. Ertesi gün bir kanal aradı: “Seçim yorumcusu olur musunuz?” Artık ekranda kaynak kişisin.</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 sonucu önemini yitirdi, hesabın kazandı. Ailen bayramda aramadı.</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43</t>
        </is>
      </c>
      <c r="AI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Arkandaki Makaryalı amca sana memleket dilinde laf söyledi; memur da anladı.</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Rakamları memleket parasına çevirirken bir sıfır fazla koydun. Akraba grubunda artık “milyoner kuzen” diye geçiyorsun.</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senin oldu. Eriğin henüz haberi yok.</t>
        </is>
      </c>
      <c r="J1657" s="6" t="inlineStr">
        <is>
          <t>Evi gezdin, fiyat her gezişte arttı. Emlakçı “gurbetçi fiyatı” demedi; gözleri dedi.</t>
        </is>
      </c>
      <c r="K1657" s="6" t="inlineStr">
        <is>
          <t>Kaparoyu verdin, ev sahibi vazgeçti. Kaparo geri döndü, eksik döndü. Kalanı “masraf” diye anlatıldı.</t>
        </is>
      </c>
      <c r="L1657" s="6" t="inlineStr">
        <is>
          <t>Fiyatı biraz indirdin. Ev senin ama bahçedeki erik ağacı “ayrıca konuşulacak”.</t>
        </is>
      </c>
      <c r="M1657" s="5" t="inlineStr">
        <is>
          <t>bargain</t>
        </is>
      </c>
      <c r="N1657" s="5" t="inlineStr">
        <is>
          <t>Gurbetçi Fiyatı</t>
        </is>
      </c>
      <c r="O1657" s="6" t="inlineStr">
        <is>
          <t>Emlakçının sabrı bitmeden makul fiyatı bul. Plakanı görünce fiyat zaten bir kez arttı.</t>
        </is>
      </c>
      <c r="P1657" s="6" t="inlineStr">
        <is>
          <t>{"item":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Yerel gazete seni “bayram tatlıcısı” diye yazdı; fotoğrafta baklavaya ters bakıyorsun.</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lanes</t>
        </is>
      </c>
      <c r="N1661" s="5" t="inlineStr">
        <is>
          <t>Aktarma Koşusu</t>
        </is>
      </c>
      <c r="O1661" s="6" t="inlineStr">
        <is>
          <t>Sağa sola kay; valizlere, kuyruklara ve temizlik arabasına çarpmadan kapıya yetiş.</t>
        </is>
      </c>
      <c r="P1661" s="6" t="inlineStr">
        <is>
          <t>{"obstacles":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da karşılama eksik olmadı: “Öte Diyar'da biz böyle yapıyorduk” cümlen ilk ay toplantıların en çok alıntılanan cümlesi oldu.</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ekleri saydı: kırk yedi. Biri ağladı, biri de okuldan istifa etti.</t>
        </is>
      </c>
      <c r="K1666" s="6" t="inlineStr">
        <is>
          <t>Dersin ortasında bir kelimeyi hatırlayamadın ve Öte Diyar dilinde söyledin. Sınıf bunu fark etti; sana ilk kez güldüler.</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Usta öyle iyi çalıştı ki komşular da onu istedi. Ev yenilendi; erik ağacı budandı ve ilk kez meyve verdi.</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Öte Diyar'a gelmek istediğini söyledi. Nabız ters yöne attı.</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 da onu şablon yaptı. Senden sonra emekli olan gurbetçiler senin adını anıyor.</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“Öte Diyarlı amca”. Bahçede erik, balkonda mangal; burada yasak değil. Otuz yıldır ilk kez yakıyorsun.</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 ısmarlanan adamsın. Öte Diyar'daki komşular dönüşünü takvime işaretliyor, bahçesini sana emanet ediyor.</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t>
        </is>
      </c>
      <c r="K1677" s="6" t="inlineStr">
        <is>
          <t>Lider keçi göz temasını meydan okuma saydı ve seni tosladı. Komşu lahanasını unuttu; hâlâ gülüyor.</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senin tarlanın sınırını tartışmaya başladı.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Kural öyle tuttu ki komşu köyler de istedi. Bölgede adı artık “Muhtar Usulü.”</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 üç ay sürdü, dilekçe hâlâ imza bekliyor.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kalktı: “Ben de ona veriyorum.” Sayım bir saatte bitti; kalan vakit çaya gitti.</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“Belgeseldeki adam” diye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 yazanlar senden iyi tamirciydi. Çırak videoyu silmedi, arşivledi.</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race</t>
        </is>
      </c>
      <c r="N1704" s="5" t="inlineStr">
        <is>
          <t>Cihazla Yarış</t>
        </is>
      </c>
      <c r="O1704" s="6" t="inlineStr">
        <is>
          <t>Cihaz açılmadan arızayı bul. Hızlı dokun; kulağın cihazdan önce davransın.</t>
        </is>
      </c>
      <c r="P1704" s="6" t="inlineStr"/>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yanlış taksiye yanlış parça taktın. Kışla anısı ilk kez bir faturaya dönüştü.</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Park yeri de artık tek.</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Genel müdür seni üretim toplantısına çağırdı; toplantı da gürültülüydü.</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bir genç geldi: “Ustanın ustası sen misin?” Çırak olmak istiyor.</t>
        </is>
      </c>
      <c r="J1717" s="6" t="inlineStr">
        <is>
          <t>Kaputu birlikte açtınız, farklı şeyler dediniz. İkiniz de haklıydınız; müşteri ikinize de kızdı.</t>
        </is>
      </c>
      <c r="K1717" s="6" t="inlineStr">
        <is>
          <t>Tamir sırasında tezgâhta kendi makasını gördün, geri istedin. Açılış bir makas pazarlığına döndü.</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Telefon hattın sanayide bir kurum oldu. Genç ustalar zor vakaları sana bağlıyor; emekli maaşından fazla kazanıyorsun, oturarak.</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sitenin girişine koydular, altına adını yazdılar; yanlışsız.</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poker</t>
        </is>
      </c>
      <c r="N1723" s="5" t="inlineStr">
        <is>
          <t>Tuzlu Yüz</t>
        </is>
      </c>
      <c r="O1723" s="6" t="inlineStr">
        <is>
          <t>Kahve tuzlu, salon sana bakıyor. Parmağını dairenin içinde tut; yüzün kıpırdamasın.</t>
        </is>
      </c>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Hava durumundan başladınız, kira fiyatlarına geçtiniz, ikinizin de annesine güldünüz. Kahve soğudu; muhabbet soğumadı.</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çay bardağını devirdin; çay karşındakinin kucağına gitti. Anneler gazeteyi bıraktı, peçete getirdi, ikinci buluşmayı iptal etti.</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Barda on dakika hava durumundan konuştun, sonra diğer masayı nazikçe bitirdin. Akşam tek kişilik devam etti; hesabı ikiye böldünüz.</t>
        </is>
      </c>
      <c r="I1730" s="6" t="inlineStr">
        <is>
          <t>Sohbet öyle iyi gitti ki diğer masaya gitmeyi unuttun. Belki de aradığın buymuş.</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Takı sırasında kimse kimseye bakamadı; herkes güldü.</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“Abi, sizin zamanınızda kolaymış” dedi. Kırk dört yaşın o cümlede.</t>
        </is>
      </c>
      <c r="K1733" s="6" t="inlineStr">
        <is>
          <t>Ders verirken arkadan eski bir buluşman selam verdi. Garson dersin uygulamasını canlı izledi.</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sadece bayramlarda.</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“Evladım yaptı” diye tabak dağıttı. Apartmanda artık iki aşçı var.</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row>
    <row r="1740">
      <c r="A1740" s="5" t="inlineStr">
        <is>
          <t>kriz-7</t>
        </is>
      </c>
      <c r="B1740" s="5" t="n">
        <v>1</v>
      </c>
      <c r="C1740" s="6" t="inlineStr">
        <is>
          <t>Dişini sık, dayan</t>
        </is>
      </c>
      <c r="D1740" s="5" t="inlineStr"/>
      <c r="E1740" s="5" t="inlineStr"/>
      <c r="F1740" s="5" t="inlineStr">
        <is>
          <t>Dayanıklılık +2</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43</t>
        </is>
      </c>
      <c r="AI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 senin, kira senin, veresiye defteri de senin. Hayat yeniden bir ritim buldu.</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bir yatırımcı “Sizin gibi tecrübeli birini arıyorduk” dedi. Kriz, özgeçmişinin en iyi satırı oldu.</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Kahvede bir cümle kurdun, akşama kadar üç zarf geldi;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43</t>
        </is>
      </c>
      <c r="AI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Hayat yeniden bir ritim buldu.</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bir yatırımcı “Sizin gibi tecrübeli birini arıyorduk” dedi. Kriz, özgeçmişinin en iyi satırı oldu.</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herkes sana “abi” demeye başladı. Bu kelimenin ağırlığını ilk kez omzunda hissettin.</t>
        </is>
      </c>
      <c r="J1750" s="6" t="inlineStr">
        <is>
          <t>Telefonu açtılar ama “Sen bu işlerin adamı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45</t>
        </is>
      </c>
      <c r="AI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herkes sana “abi” demeye başladı. Bu kelimenin ağırlığını ilk kez omzunda hissettin.</t>
        </is>
      </c>
      <c r="J1756" s="6" t="inlineStr">
        <is>
          <t>Telefonu açtılar ama “Sen bu işlerin adamı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row>
    <row r="1758">
      <c r="A1758" s="5" t="inlineStr">
        <is>
          <t>b8-orta-yas</t>
        </is>
      </c>
      <c r="B1758" s="5" t="n">
        <v>1</v>
      </c>
      <c r="C1758" s="6" t="inlineStr">
        <is>
          <t>Hiçbir şey olmamış gibi devam et</t>
        </is>
      </c>
      <c r="D1758" s="5" t="inlineStr"/>
      <c r="E1758" s="5" t="inlineStr"/>
      <c r="F1758" s="5" t="inlineStr">
        <is>
          <t>Dayanıklılık +1, İtibar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Saç kararını geri çevirdi; motosiklet çevirmedi.</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inlineStr"/>
      <c r="Z1761" s="6" t="inlineStr"/>
      <c r="AA1761" s="5" t="inlineStr"/>
      <c r="AB1761" s="5" t="inlineStr"/>
      <c r="AC1761" s="5" t="inlineStr"/>
      <c r="AD1761" s="5" t="inlineStr"/>
      <c r="AE1761" s="5" t="inlineStr"/>
      <c r="AF1761" s="5" t="inlineStr"/>
      <c r="AG1761" s="5" t="inlineStr"/>
      <c r="AH1761" s="5" t="inlineStr"/>
      <c r="AI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Dilekçe hâlâ dolaşıyor; sen de yerindesin.</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t>
        </is>
      </c>
      <c r="AH1762" s="5" t="inlineStr"/>
      <c r="AI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sunumunda ekranın açık kaldı; alışveriş sepetin bütün yönetimin gözü önündeydi.</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t>
        </is>
      </c>
      <c r="AH1764" s="5" t="inlineStr"/>
      <c r="AI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Eski devriye arkadaşların hâlâ “Yavaş koş” diye takılıyor.</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c r="AH1768" s="5" t="inlineStr"/>
      <c r="AI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c r="AH1776" s="5" t="inlineStr"/>
      <c r="AI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Doğum günü pastanın üstündeki mum “50” yazıyordu; üflediğinde bir dilek tuttun, söylemedin.</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partinin adını yanlış söyledin; rakip partininkini. İl başkanı telefonu kapattı.</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c r="AI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Öte Diyar'daki ilk sabah kahveni tek başına içtin; pahalıydı, manzara da öyle.</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c r="AI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o kadar uzundu ki partiye teslim etmek için iki dosya gerekti. Liste başı oldun.</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43</t>
        </is>
      </c>
      <c r="AI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“İçeriyi bilmeyen yok zaten” dedi.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43</t>
        </is>
      </c>
      <c r="AI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“Uzun Koğuş” adlı kitabın çıktı. Bir haber programı seni “yaşayan tanık” diye çağırdı; canlı yayında koğuşa selam gönderdin.</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Eski yoluna döndün; kitabın bir öykü yarışmasında “kurgu” dalında mansiyon aldıktan sonra. Jüri notu: “Bu kadarı da olmaz.”</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cezaevleriyle ilgili bir komisyona önerdi. İlk toplantıda çay ocaklarının yerini değiştirdin; herkes daha rahat, kimse nedenini bilmiyor.</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43</t>
        </is>
      </c>
      <c r="AI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hold</t>
        </is>
      </c>
      <c r="N1802" s="5" t="inlineStr">
        <is>
          <t>Kolonya Ölçüsü</t>
        </is>
      </c>
      <c r="O1802" s="6" t="inlineStr">
        <is>
          <t>Basılı tut; çubuk yeşil alandayken bırak. Az olursa teyze bakar, çok olursa halı.</t>
        </is>
      </c>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duydu, sonra arkadaşından. Arkadaşının annesi sana baktı.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rhythm</t>
        </is>
      </c>
      <c r="N1809" s="5" t="inlineStr">
        <is>
          <t>Halay Başı</t>
        </is>
      </c>
      <c r="O1809" s="6" t="inlineStr">
        <is>
          <t>Davul vurduğunda dokun; mendil ritimden düşmesin.</t>
        </is>
      </c>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Ertesi gün mahalle rakamları senden duydu.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sesler oradan geliyor.</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koyduğunu önce söylüyor; bebek ikisine de gülüyor.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tencere çorbayla geldi, geri çeviremedin. Beşinci gün kapı herkese açıktı.</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 açıldı. Öğretmen çantayı teneffüste lavaboda yıkadı. Veli grubunun ilk mesajı senin adınla açıldı.</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hepinizi kibarca kapının dışına çıkardı.</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sonradan kuzeninin seninkine bilezik taktığı ortaya çıktı.</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biri hikâyeleri kaydetmek için geri geldi.</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row>
    <row r="1830">
      <c r="A1830" s="5" t="inlineStr">
        <is>
          <t>b9-dunurler</t>
        </is>
      </c>
      <c r="B1830" s="5" t="n">
        <v>1</v>
      </c>
      <c r="C1830" s="6" t="inlineStr">
        <is>
          <t>Lafı büyüklere bırak, çayları tazele</t>
        </is>
      </c>
      <c r="D1830" s="5" t="inlineStr"/>
      <c r="E1830" s="5" t="inlineStr"/>
      <c r="F1830" s="5" t="inlineStr">
        <is>
          <t>Sosyal Radar +1</t>
        </is>
      </c>
      <c r="G1830" s="6" t="inlineStr">
        <is>
          <t>Lafı dünürün açtı, sen çayları tazeledin. Gecenin sonunda iki aile kapıda yarım saat vedalaştı; tek bir söz yanlış düşmedi.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ve eşinin senin bile bilmediğin bir huyunu anlattı.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row>
  </sheetData>
  <autoFilter ref="A1:AI1837"/>
  <dataValidations count="4">
    <dataValidation sqref="D2:D2236" showDropDown="0" showInputMessage="0" showErrorMessage="1" allowBlank="1" errorTitle="Geçersiz değer" error="Listeden bir değer seçin." type="list">
      <formula1>"Akıl,Çene,Kurnazlık,Cesaret,Pişkinlik,İtibar,Gönül,Dayanıklılık,Sosyal Radar"</formula1>
    </dataValidation>
    <dataValidation sqref="E2:E2236" showDropDown="0" showInputMessage="0" showErrorMessage="1" allowBlank="1" errorTitle="Geçersiz değer" error="Listeden bir değer seçin." type="list">
      <formula1>"Çok Kolay,Kolay,Orta,Zor,Çok Zor"</formula1>
    </dataValidation>
    <dataValidation sqref="M2:M2236" showDropDown="0" showInputMessage="0" showErrorMessage="1" allowBlank="1" errorTitle="Geçersiz değer" error="Listeden bir değer seçin." type="list">
      <formula1>"timing,hold,collect,race,memory,cups,doors,rhythm,lanes,simon,poker,trace,bargain,swipe,breath,balance"</formula1>
    </dataValidation>
    <dataValidation sqref="S2:S223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asker!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Kaldır onu, asker.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alt kattaki teyze onun teyzesiymiş.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Akademide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Kırk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 babası oldun; düğün tarihleri de artık senin işin.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Akademinin salonları kitabın ilk okurları. Hepsi yedinci bölümü sormak için sırada.</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Borçların da buluşmaya gelmiş; ön sırada oturuyorlar.</t>
        </is>
      </c>
    </row>
    <row r="359">
      <c r="A359" s="5" t="inlineStr">
        <is>
          <t>b8-girisim-kurul</t>
        </is>
      </c>
      <c r="B359" s="5" t="inlineStr">
        <is>
          <t>girisim-pivotcu</t>
        </is>
      </c>
      <c r="C359" s="6" t="inlineStr">
        <is>
          <t>Yıllar önce bir gecede pivot yapmıştın; kurul hâlâ bir tane daha bekliyor.</t>
        </is>
      </c>
    </row>
    <row r="360">
      <c r="A360" s="5" t="inlineStr">
        <is>
          <t>b8-girisim-kurul</t>
        </is>
      </c>
      <c r="B360" s="5" t="inlineStr">
        <is>
          <t>holding</t>
        </is>
      </c>
      <c r="C360" s="6" t="inlineStr">
        <is>
          <t>Şirketin artık bir grup; kurul toplantısı üç gün sürüyor.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rozeti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Mektupta adın iki farklı yazılmış.</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tanıdı: “Keçili adam!”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Sen de çıraktın. Ustanın ilk sözü “Önce süpür” olmuştu; aynı süpürgeyi buldun.</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dükkânında üç lift var; bu araba hiçbirine sığmadı, çok hafif.</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bir çeyrek takmıştı. Eşin bunu sana hatırlattı; iki kez.</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“Altmışından sonra motosiklet aldı; kahvehane ayağa kalktı, biz yerimizde oturamadık.”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Kırk iki sayfalık bir fon başvurusunu kabul ettirdi.</t>
        </is>
      </c>
      <c r="C62" s="6" t="inlineStr"/>
      <c r="D62" s="6" t="inlineStr"/>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Emniyet Akademisi: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“Belgeseldeki adam”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babası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2026-10-08T19:08:12Z</dcterms:created>
  <dcterms:modified xmlns:dcterms="http://purl.org/dc/terms/" xmlns:xsi="http://www.w3.org/2001/XMLSchema-instance" xsi:type="dcterms:W3CDTF">2026-10-08T19:08:17Z</dcterms:modified>
</cp:coreProperties>
</file>