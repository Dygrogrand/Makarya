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 xmlns:r="http://schemas.openxmlformats.org/officeDocument/2006/relationships" name="Varyantlar" sheetId="11" state="visible" r:id="rId11"/>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Sebepleri'!$A$1:$E$80</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8">
      <c r="A8" s="2" t="inlineStr">
        <is>
          <t>ADLANDIRMA: ÖZELLİK = dokuz temel değer (Akıl, Çene, Kurnazlık, Cesaret, Pişkinlik, İtibar, Gönül, Dayanıklılık, Sosyal Radar). ROZET = zor işlerle kazanılan ödüller (Kitap Kurdu, Kantin Ekonomisti…).</t>
        </is>
      </c>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 Mekân grubu (ev, yol, is, saglik, sosyal, kurum): neden, olayın geçtiği yere uyan gruptan seçilir; kavşak olaylarında arka plan ölümü yoktur, ölüm yalnızca seçimin kendi riskinden gelir.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row>
    <row r="3">
      <c r="A3" t="n">
        <v>2</v>
      </c>
      <c r="B3">
        <f>COUNTIF(Olaylar!B:B,2)</f>
        <v/>
      </c>
      <c r="C3">
        <f>COUNTIFS(Olaylar!B:B,2,Olaylar!I:I,"E")</f>
        <v/>
      </c>
      <c r="D3">
        <f>VLOOKUP(2,Bölümler!A:C,3,FALSE)</f>
        <v/>
      </c>
      <c r="E3">
        <f>SUMPRODUCT((COUNTIFS(Seçimler!A:A,Olaylar!A$2:A$486)&gt;0)*(Olaylar!B$2:B$486=2)*COUNTIFS(Seçimler!A:A,Olaylar!A$2:A$486))</f>
        <v/>
      </c>
    </row>
    <row r="4">
      <c r="A4" t="n">
        <v>3</v>
      </c>
      <c r="B4">
        <f>COUNTIF(Olaylar!B:B,3)</f>
        <v/>
      </c>
      <c r="C4">
        <f>COUNTIFS(Olaylar!B:B,3,Olaylar!I:I,"E")</f>
        <v/>
      </c>
      <c r="D4">
        <f>VLOOKUP(3,Bölümler!A:C,3,FALSE)</f>
        <v/>
      </c>
      <c r="E4">
        <f>SUMPRODUCT((COUNTIFS(Seçimler!A:A,Olaylar!A$2:A$486)&gt;0)*(Olaylar!B$2:B$486=3)*COUNTIFS(Seçimler!A:A,Olaylar!A$2:A$486))</f>
        <v/>
      </c>
    </row>
    <row r="5">
      <c r="A5" t="n">
        <v>4</v>
      </c>
      <c r="B5">
        <f>COUNTIF(Olaylar!B:B,4)</f>
        <v/>
      </c>
      <c r="C5">
        <f>COUNTIFS(Olaylar!B:B,4,Olaylar!I:I,"E")</f>
        <v/>
      </c>
      <c r="D5">
        <f>VLOOKUP(4,Bölümler!A:C,3,FALSE)</f>
        <v/>
      </c>
      <c r="E5">
        <f>SUMPRODUCT((COUNTIFS(Seçimler!A:A,Olaylar!A$2:A$486)&gt;0)*(Olaylar!B$2:B$486=4)*COUNTIFS(Seçimler!A:A,Olaylar!A$2:A$486))</f>
        <v/>
      </c>
    </row>
    <row r="6">
      <c r="A6" t="n">
        <v>5</v>
      </c>
      <c r="B6">
        <f>COUNTIF(Olaylar!B:B,5)</f>
        <v/>
      </c>
      <c r="C6">
        <f>COUNTIFS(Olaylar!B:B,5,Olaylar!I:I,"E")</f>
        <v/>
      </c>
      <c r="D6">
        <f>VLOOKUP(5,Bölümler!A:C,3,FALSE)</f>
        <v/>
      </c>
      <c r="E6">
        <f>SUMPRODUCT((COUNTIFS(Seçimler!A:A,Olaylar!A$2:A$486)&gt;0)*(Olaylar!B$2:B$486=5)*COUNTIFS(Seçimler!A:A,Olaylar!A$2:A$486))</f>
        <v/>
      </c>
    </row>
    <row r="7">
      <c r="A7" t="n">
        <v>6</v>
      </c>
      <c r="B7">
        <f>COUNTIF(Olaylar!B:B,6)</f>
        <v/>
      </c>
      <c r="C7">
        <f>COUNTIFS(Olaylar!B:B,6,Olaylar!I:I,"E")</f>
        <v/>
      </c>
      <c r="D7">
        <f>VLOOKUP(6,Bölümler!A:C,3,FALSE)</f>
        <v/>
      </c>
      <c r="E7">
        <f>SUMPRODUCT((COUNTIFS(Seçimler!A:A,Olaylar!A$2:A$486)&gt;0)*(Olaylar!B$2:B$486=6)*COUNTIFS(Seçimler!A:A,Olaylar!A$2:A$486))</f>
        <v/>
      </c>
    </row>
    <row r="8">
      <c r="A8" t="n">
        <v>7</v>
      </c>
      <c r="B8">
        <f>COUNTIF(Olaylar!B:B,7)</f>
        <v/>
      </c>
      <c r="C8">
        <f>COUNTIFS(Olaylar!B:B,7,Olaylar!I:I,"E")</f>
        <v/>
      </c>
      <c r="D8">
        <f>VLOOKUP(7,Bölümler!A:C,3,FALSE)</f>
        <v/>
      </c>
      <c r="E8">
        <f>SUMPRODUCT((COUNTIFS(Seçimler!A:A,Olaylar!A$2:A$486)&gt;0)*(Olaylar!B$2:B$486=7)*COUNTIFS(Seçimler!A:A,Olaylar!A$2:A$486))</f>
        <v/>
      </c>
    </row>
    <row r="9">
      <c r="A9" t="n">
        <v>8</v>
      </c>
      <c r="B9">
        <f>COUNTIF(Olaylar!B:B,8)</f>
        <v/>
      </c>
      <c r="C9">
        <f>COUNTIFS(Olaylar!B:B,8,Olaylar!I:I,"E")</f>
        <v/>
      </c>
      <c r="D9">
        <f>VLOOKUP(8,Bölümler!A:C,3,FALSE)</f>
        <v/>
      </c>
      <c r="E9">
        <f>SUMPRODUCT((COUNTIFS(Seçimler!A:A,Olaylar!A$2:A$486)&gt;0)*(Olaylar!B$2:B$486=8)*COUNTIFS(Seçimler!A:A,Olaylar!A$2:A$486))</f>
        <v/>
      </c>
    </row>
    <row r="10">
      <c r="A10" t="n">
        <v>9</v>
      </c>
      <c r="B10">
        <f>COUNTIF(Olaylar!B:B,9)</f>
        <v/>
      </c>
      <c r="C10">
        <f>COUNTIFS(Olaylar!B:B,9,Olaylar!I:I,"E")</f>
        <v/>
      </c>
      <c r="D10">
        <f>VLOOKUP(9,Bölümler!A:C,3,FALSE)</f>
        <v/>
      </c>
      <c r="E10">
        <f>SUMPRODUCT((COUNTIFS(Seçimler!A:A,Olaylar!A$2:A$486)&gt;0)*(Olaylar!B$2:B$486=9)*COUNTIFS(Seçimler!A:A,Olaylar!A$2:A$486))</f>
        <v/>
      </c>
    </row>
    <row r="11">
      <c r="A11" t="n">
        <v>10</v>
      </c>
      <c r="B11">
        <f>COUNTIF(Olaylar!B:B,10)</f>
        <v/>
      </c>
      <c r="C11">
        <f>COUNTIFS(Olaylar!B:B,10,Olaylar!I:I,"E")</f>
        <v/>
      </c>
      <c r="D11">
        <f>VLOOKUP(10,Bölümler!A:C,3,FALSE)</f>
        <v/>
      </c>
      <c r="E11">
        <f>SUMPRODUCT((COUNTIFS(Seçimler!A:A,Olaylar!A$2:A$486)&gt;0)*(Olaylar!B$2:B$486=10)*COUNTIFS(Seçimler!A:A,Olaylar!A$2:A$486))</f>
        <v/>
      </c>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5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c r="W1" s="4" t="inlineStr">
        <is>
          <t>Asgari varlık</t>
        </is>
      </c>
      <c r="X1" s="4" t="inlineStr">
        <is>
          <t>Azami varlık</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Parkta İlk Yüz Yüze</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is>
          <t>ilk-bulusma-oldu</t>
        </is>
      </c>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Lise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Yaz İşinin Zarfı</t>
        </is>
      </c>
      <c r="F99" s="6" t="inlineStr">
        <is>
          <t>Yaz boyunca çalıştın ve eline ilk zarf geçti. Zarf ince, ama senin.</t>
        </is>
      </c>
      <c r="G99" s="5" t="inlineStr">
        <is>
          <t>ev</t>
        </is>
      </c>
      <c r="H99" s="5" t="inlineStr">
        <is>
          <t>para</t>
        </is>
      </c>
      <c r="I99" s="5" t="inlineStr"/>
      <c r="J99" s="5" t="inlineStr"/>
      <c r="K99" s="5" t="inlineStr">
        <is>
          <t>yaz-calisti</t>
        </is>
      </c>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Hesaba Yatan 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market boş, ışık fazla parlak. Gelen herkes ya ekmek arıyor ya konuşacak birini; ikincisinin reyonu yok.</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is>
          <t>bolum-hukuk, bolum-emniyet, bolum-tip</t>
        </is>
      </c>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Spor salonunun yılbaşı kampanyası: bir yıllık üyelik, aylık fiyatın yarısına. Kasada kart makinesi, duvarda terli bir poster. Yeni yıldaki kendine güvendin; o hâlâ salona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Üniversite, ortak programla öğrencilerini bir dönem Öte Diyar'a gönderiyor: değişim programı. Burs oradaki kiranın yarısı, başvuru formu sekiz sayfa. Annen ilanı görünce önce “Orada ne yiyeceksin?” diye sordu.</t>
        </is>
      </c>
      <c r="G133" s="5" t="inlineStr">
        <is>
          <t>universite</t>
        </is>
      </c>
      <c r="H133" s="5" t="inlineStr"/>
      <c r="I133" s="5" t="inlineStr"/>
      <c r="J133" s="5" t="inlineStr"/>
      <c r="K133" s="5" t="inlineStr">
        <is>
          <t>universiteli</t>
        </is>
      </c>
      <c r="L133" s="5" t="inlineStr">
        <is>
          <t>bolum-emniyet, yurtdisi-universite, okulu-birakti</t>
        </is>
      </c>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is>
          <t>hat-hekim, hat-avukat, hat-muhendis</t>
        </is>
      </c>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 hat-cete</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is>
          <t>hat-polis, hat-yargi, hat-hekim, hat-politika, hat-ogretmen</t>
        </is>
      </c>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is>
          <t>hat-girisimci, hat-sohret, hat-dolandirici</t>
        </is>
      </c>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is>
          <t>hat-hekim, hat-avukat, hat-muhendis</t>
        </is>
      </c>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is>
          <t>hat-cete</t>
        </is>
      </c>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is>
          <t>hat-polis, hat-yargi, hat-hekim, hat-politika, hat-ogretmen</t>
        </is>
      </c>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is>
          <t>hat-girisimci, hat-sohret, hat-dolandirici</t>
        </is>
      </c>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is>
          <t>hat-hekim, hat-avukat, hat-muhendis</t>
        </is>
      </c>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is>
          <t>hat-cete</t>
        </is>
      </c>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is>
          <t>hat-polis, hat-yargi, hat-hekim, hat-politika, hat-ogretmen</t>
        </is>
      </c>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is>
          <t>hat-girisimci, hat-sohret, hat-dolandirici</t>
        </is>
      </c>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 hat-hekim, hat-avukat, hat-muhendis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 hat-cete</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 hat-polis, hat-yargi, hat-hekim, hat-politika, hat-ogretmen</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 hat-girisimci, hat-sohret, hat-dolandirici</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Bir İkinci El Daha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ev</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 hat-hekim, hat-avukat, hat-muhendis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 hat-cete</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 hat-girisimci, hat-sohret, hat-dolandirici</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 hat-polis, hat-yargi, hat-hekim, hat-politika, hat-ogretmen</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Yeni Yıl, Aynı Kampanya</t>
        </is>
      </c>
      <c r="F183" s="6" t="inlineStr">
        <is>
          <t>Geçen kışın pantolonu bu sabah kapanmadı. Spor salonu yine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 hat-girisimci, hat-sohret, hat-dolandirici</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 hat-cete</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 hat-hekim, hat-avukat, hat-muhendis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 hat-polis, hat-yargi, hat-hekim, hat-politika, hat-ogretmen</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 hat-girisimci, hat-sohret, hat-dolandirici</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 hat-hekim, hat-avukat, hat-muhendis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 hat-cete</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 hat-polis, hat-yargi, hat-hekim, hat-politika, hat-ogretmen</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 hat-girisimci, hat-sohret, hat-dolandirici</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 hat-hekim, hat-avukat, hat-muhendis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 hat-cete</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 hat-polis, hat-yargi, hat-hekim, hat-politika, hat-ogretmen</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Kırkıncı Yaş Günü</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 hat-girisimci, hat-sohret, hat-dolandirici</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 hat-hekim, hat-avukat, hat-muhendis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 hat-cete</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 hat-polis, hat-yargi, hat-hekim, hat-politika, hat-ogretmen</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 hat-girisimci, hat-sohret, hat-dolandirici</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 hat-hekim, hat-avukat, hat-muhendis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 hat-cete</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 hat-polis, hat-yargi, hat-hekim, hat-politika, hat-ogretmen</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 hat-girisimci, hat-sohret, hat-dolandirici</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 hat-hekim, hat-avukat, hat-muhendis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 hat-cete</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 hat-polis, hat-yargi, hat-hekim, hat-politika, hat-ogretmen</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 hat-hekim, hat-avukat, hat-muhendis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 hat-girisimci, hat-sohret, hat-dolandirici</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 hat-cete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 hat-polis, hat-yargi, hat-hekim, hat-politika, hat-ogretmen</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 hat-hekim, hat-avukat, hat-muhendis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 hat-polis, hat-yargi, hat-hekim, hat-politika, hat-ogretmen</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 hat-girisimci, hat-sohret, hat-dolandirici</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 hat-cete</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 hat-polis, hat-yargi, hat-hekim, hat-politika, hat-ogretmen</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 hat-hekim, hat-avukat, hat-muhendis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 hat-cete</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 hat-girisimci, hat-sohret, hat-dolandirici</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 hat-polis, hat-yargi, hat-hekim, hat-politika, hat-ogretmen</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 hat-hekim, hat-avukat, hat-muhendis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 hat-cete</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 hat-polis, hat-yargi, hat-hekim, hat-politika, hat-ogretmen</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 hat-girisimci, hat-sohret, hat-dolandirici</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 hat-cete</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 hat-hekim, hat-avukat, hat-muhendis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 hat-girisimci, hat-sohret, hat-dolandirici</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Borcu Yoktur</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akraba masasında her yıl aynı soru: “Bölümün güzel mi?” Her seferinde “Güzel” diyorsun; her seferinde biraz daha az emin. Cevabı gerçekten güzel yapmak için bu yıl bölümde ne yapacağına karar ver.</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Girişimciler ve küçük işletmeciler buluşması: yüz kişi, üç yüz kartvizit, tek mikrofon. Herkes “sektörü sarsmaktan” bahsediyor; sarsılan tek şey kahve makinesi. Moderatör sana dönüyor: “Sen bu işe nasıl başladın?”</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is>
          <t>girisim-ilk-musteri, girisim-pivotcu</t>
        </is>
      </c>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is>
          <t>goc</t>
        </is>
      </c>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is>
          <t>koy</t>
        </is>
      </c>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is>
          <t>usta</t>
        </is>
      </c>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row r="487">
      <c r="A487" t="inlineStr">
        <is>
          <t>b6-staj-hukuk</t>
        </is>
      </c>
      <c r="B487" t="n">
        <v>6</v>
      </c>
      <c r="C487" t="inlineStr">
        <is>
          <t>20 yaş 11 ay</t>
        </is>
      </c>
      <c r="D487" t="inlineStr">
        <is>
          <t>⚖️</t>
        </is>
      </c>
      <c r="E487" t="inlineStr">
        <is>
          <t>Büro Stajı</t>
        </is>
      </c>
      <c r="F487" t="inlineStr">
        <is>
          <t>Staj başladı: bir hukuk bürosu, bir masa ve yirmi yıllık dosya dolabı. “Şimdilik etrafı izle” dediler. Şimdilik üç hafta sürdü.</t>
        </is>
      </c>
      <c r="G487" t="inlineStr">
        <is>
          <t>ofis</t>
        </is>
      </c>
      <c r="K487" t="inlineStr">
        <is>
          <t>universiteli, bolum-hukuk</t>
        </is>
      </c>
    </row>
    <row r="488">
      <c r="A488" t="inlineStr">
        <is>
          <t>b7-faiz-ay-donumu</t>
        </is>
      </c>
      <c r="B488" t="n">
        <v>7</v>
      </c>
      <c r="C488" t="inlineStr">
        <is>
          <t>31 yaş 4 ay</t>
        </is>
      </c>
      <c r="D488" t="inlineStr">
        <is>
          <t>💳</t>
        </is>
      </c>
      <c r="E488" t="inlineStr">
        <is>
          <t>Faiz Ay Dönümü</t>
        </is>
      </c>
      <c r="F488" t="inlineStr">
        <is>
          <t>Banka ekstre gönderdi: borç, ödediğinden hızlı büyümüş. Asgari ödemenin vadesi, karşına dönüp “Beni unuttun mu?” diye soran eski sevgili gibi geldi.</t>
        </is>
      </c>
      <c r="G488" t="inlineStr">
        <is>
          <t>banka</t>
        </is>
      </c>
      <c r="J488" t="n">
        <v>4</v>
      </c>
      <c r="K488" t="inlineStr">
        <is>
          <t>kart-borclu</t>
        </is>
      </c>
      <c r="L488" t="inlineStr">
        <is>
          <t>hapis</t>
        </is>
      </c>
    </row>
    <row r="489">
      <c r="A489" t="inlineStr">
        <is>
          <t>b8-kefil-mektubu</t>
        </is>
      </c>
      <c r="B489" t="n">
        <v>8</v>
      </c>
      <c r="C489" t="inlineStr">
        <is>
          <t>44 yaş</t>
        </is>
      </c>
      <c r="D489" t="inlineStr">
        <is>
          <t>✉️</t>
        </is>
      </c>
      <c r="E489" t="inlineStr">
        <is>
          <t>Kefil Mektubu</t>
        </is>
      </c>
      <c r="F489" t="inlineStr">
        <is>
          <t>Postacı tebligat getirdi. Yıllar önce imza attığın kişi taşınmış; banka artık sana “Sayın kefil” diyor. İmza, kalemden çok daha ağır çıktı.</t>
        </is>
      </c>
      <c r="G489" t="inlineStr">
        <is>
          <t>ev</t>
        </is>
      </c>
      <c r="J489" t="n">
        <v>4</v>
      </c>
      <c r="K489" t="inlineStr">
        <is>
          <t>kefil-borclu</t>
        </is>
      </c>
      <c r="L489" t="inlineStr">
        <is>
          <t>hapis</t>
        </is>
      </c>
    </row>
    <row r="490">
      <c r="A490" t="inlineStr">
        <is>
          <t>b8-icra-zarfi</t>
        </is>
      </c>
      <c r="B490" t="n">
        <v>8</v>
      </c>
      <c r="C490" t="inlineStr">
        <is>
          <t>47 yaş</t>
        </is>
      </c>
      <c r="D490" t="inlineStr">
        <is>
          <t>📮</t>
        </is>
      </c>
      <c r="E490" t="inlineStr">
        <is>
          <t>İcra Zarfı</t>
        </is>
      </c>
      <c r="F490" t="inlineStr">
        <is>
          <t>İcra memuru zarfı elden verdi. “Evde değildi” diyen komşu bile kapıdaydı; çocuklar merdivenden indi. Borcun yılları, bir zarfta toplanmış.</t>
        </is>
      </c>
      <c r="G490" t="inlineStr">
        <is>
          <t>apartman</t>
        </is>
      </c>
      <c r="J490" t="n">
        <v>4</v>
      </c>
      <c r="K490" t="inlineStr">
        <is>
          <t>borclu</t>
        </is>
      </c>
      <c r="L490" t="inlineStr">
        <is>
          <t>hapis</t>
        </is>
      </c>
      <c r="X490" t="inlineStr">
        <is>
          <t>Fakir</t>
        </is>
      </c>
    </row>
    <row r="491">
      <c r="A491" t="inlineStr">
        <is>
          <t>b7-avukat-ilk-muvekkil</t>
        </is>
      </c>
      <c r="B491" t="n">
        <v>7</v>
      </c>
      <c r="C491" t="inlineStr">
        <is>
          <t>27 yaş 8 ay</t>
        </is>
      </c>
      <c r="D491" t="inlineStr">
        <is>
          <t>⚖️</t>
        </is>
      </c>
      <c r="E491" t="inlineStr">
        <is>
          <t>İlk Müvekkil</t>
        </is>
      </c>
      <c r="F491" t="inlineStr">
        <is>
          <t>Büronun kapısında ilk müvekkilin bekliyor. Elinde doksan sayfalık bir klasör, dilinde tek bir cümle: “Komşu balkonunu benim tarafıma uzatmış.”</t>
        </is>
      </c>
      <c r="G491" t="inlineStr">
        <is>
          <t>ofis</t>
        </is>
      </c>
      <c r="J491" t="n">
        <v>3</v>
      </c>
      <c r="L491" t="inlineStr">
        <is>
          <t>hapis</t>
        </is>
      </c>
      <c r="V491" t="inlineStr">
        <is>
          <t>avukat</t>
        </is>
      </c>
    </row>
    <row r="492">
      <c r="A492" t="inlineStr">
        <is>
          <t>b7-avukat-durusma</t>
        </is>
      </c>
      <c r="B492" t="n">
        <v>7</v>
      </c>
      <c r="C492" t="inlineStr">
        <is>
          <t>32 yaş</t>
        </is>
      </c>
      <c r="D492" t="inlineStr">
        <is>
          <t>⚖️</t>
        </is>
      </c>
      <c r="E492" t="inlineStr">
        <is>
          <t>Duruşma Günü</t>
        </is>
      </c>
      <c r="F492" t="inlineStr">
        <is>
          <t>Duruşma sabahı. Dosya kolide, kolinin kapağı dosya kadar kalın. Karşı vekil elinde tek bir kâğıtla geldi. Bu kötü işaret.</t>
        </is>
      </c>
      <c r="G492" t="inlineStr">
        <is>
          <t>mahkeme</t>
        </is>
      </c>
      <c r="J492" t="n">
        <v>3</v>
      </c>
      <c r="L492" t="inlineStr">
        <is>
          <t>hapis</t>
        </is>
      </c>
      <c r="V492" t="inlineStr">
        <is>
          <t>avukat</t>
        </is>
      </c>
    </row>
    <row r="493">
      <c r="A493" t="inlineStr">
        <is>
          <t>b7-avukat-tahsilat</t>
        </is>
      </c>
      <c r="B493" t="n">
        <v>7</v>
      </c>
      <c r="C493" t="inlineStr">
        <is>
          <t>37 yaş</t>
        </is>
      </c>
      <c r="D493" t="inlineStr">
        <is>
          <t>💼</t>
        </is>
      </c>
      <c r="E493" t="inlineStr">
        <is>
          <t>Ücret Tahsili</t>
        </is>
      </c>
      <c r="F493" t="inlineStr">
        <is>
          <t>Davayı kazandınız. Müvekkil sevinçten ağladı, tebrik mesajı gönderdi, hatta pasta getirdi. Ücretten hiç söz etmedi.</t>
        </is>
      </c>
      <c r="G493" t="inlineStr">
        <is>
          <t>ofis</t>
        </is>
      </c>
      <c r="J493" t="n">
        <v>3</v>
      </c>
      <c r="L493" t="inlineStr">
        <is>
          <t>hapis</t>
        </is>
      </c>
      <c r="V493" t="inlineStr">
        <is>
          <t>avukat</t>
        </is>
      </c>
    </row>
    <row r="494">
      <c r="A494" t="inlineStr">
        <is>
          <t>b8-avukat-ortaklik</t>
        </is>
      </c>
      <c r="B494" t="n">
        <v>8</v>
      </c>
      <c r="C494" t="inlineStr">
        <is>
          <t>44 yaş 6 ay</t>
        </is>
      </c>
      <c r="D494" t="inlineStr">
        <is>
          <t>🤝</t>
        </is>
      </c>
      <c r="E494" t="inlineStr">
        <is>
          <t>Ortaklık Teklifi</t>
        </is>
      </c>
      <c r="F494" t="inlineStr">
        <is>
          <t>Kıdemli ortak masana oturdu: “Büroyu devretmek istiyorum.” Sağ elinde anahtar, sol elinde bir tabela. İkisi de ağır.</t>
        </is>
      </c>
      <c r="G494" t="inlineStr">
        <is>
          <t>ofis</t>
        </is>
      </c>
      <c r="J494" t="n">
        <v>3</v>
      </c>
      <c r="L494" t="inlineStr">
        <is>
          <t>hapis, zirve</t>
        </is>
      </c>
      <c r="V494" t="inlineStr">
        <is>
          <t>avukat</t>
        </is>
      </c>
    </row>
    <row r="495">
      <c r="A495" t="inlineStr">
        <is>
          <t>b8-avukat-baro</t>
        </is>
      </c>
      <c r="B495" t="n">
        <v>8</v>
      </c>
      <c r="C495" t="inlineStr">
        <is>
          <t>49 yaş</t>
        </is>
      </c>
      <c r="D495" t="inlineStr">
        <is>
          <t>🗳️</t>
        </is>
      </c>
      <c r="E495" t="inlineStr">
        <is>
          <t>Baro Seçimi</t>
        </is>
      </c>
      <c r="F495" t="inlineStr">
        <is>
          <t>Baro seçimi yaklaşıyor. Adaylar bildiri yazıyor, bildiriler birbirine benziyor. Hepsi “Meslektaşlarımızın sesi olacağız” diyor.</t>
        </is>
      </c>
      <c r="G495" t="inlineStr">
        <is>
          <t>mahkeme</t>
        </is>
      </c>
      <c r="J495" t="n">
        <v>3</v>
      </c>
      <c r="L495" t="inlineStr">
        <is>
          <t>hapis</t>
        </is>
      </c>
      <c r="V495" t="inlineStr">
        <is>
          <t>avukat</t>
        </is>
      </c>
    </row>
    <row r="496">
      <c r="A496" t="inlineStr">
        <is>
          <t>b9-avukat-son-dava</t>
        </is>
      </c>
      <c r="B496" t="n">
        <v>9</v>
      </c>
      <c r="C496" t="inlineStr">
        <is>
          <t>60 yaş 6 ay</t>
        </is>
      </c>
      <c r="D496" t="inlineStr">
        <is>
          <t>⚖️</t>
        </is>
      </c>
      <c r="E496" t="inlineStr">
        <is>
          <t>Son Dava</t>
        </is>
      </c>
      <c r="F496" t="inlineStr">
        <is>
          <t>Son duruşma. Emeklilik dilekçen çekmecede, müvekkil elinde ceviz. Hâkim de aynı hâkim, otuz yıl önceki. Birbirinizi bakışla tanıdınız.</t>
        </is>
      </c>
      <c r="G496" t="inlineStr">
        <is>
          <t>mahkeme</t>
        </is>
      </c>
      <c r="J496" t="n">
        <v>3</v>
      </c>
      <c r="L496" t="inlineStr">
        <is>
          <t>hapis</t>
        </is>
      </c>
      <c r="V496" t="inlineStr">
        <is>
          <t>avukat</t>
        </is>
      </c>
    </row>
    <row r="497">
      <c r="A497" t="inlineStr">
        <is>
          <t>k10-avukat</t>
        </is>
      </c>
      <c r="B497" t="n">
        <v>7</v>
      </c>
      <c r="C497" t="inlineStr">
        <is>
          <t>35 yaş</t>
        </is>
      </c>
      <c r="D497" t="inlineStr">
        <is>
          <t>⚖️</t>
        </is>
      </c>
      <c r="E497" t="inlineStr">
        <is>
          <t>Büyük Dava</t>
        </is>
      </c>
      <c r="F497" t="inlineStr">
        <is>
          <t>Karşında koca bir şirket, arkanda küçük bir büro. Şirketin avukatı iki masa ötede fısıldadı: “Anlaşalım.” Teklif sayfası cebinde, ücret sayfasında sıfırlar var.</t>
        </is>
      </c>
      <c r="G497" t="inlineStr">
        <is>
          <t>mahkeme</t>
        </is>
      </c>
      <c r="I497" t="inlineStr">
        <is>
          <t>E</t>
        </is>
      </c>
      <c r="L497" t="inlineStr">
        <is>
          <t>hapis</t>
        </is>
      </c>
      <c r="Q497" t="n">
        <v>10</v>
      </c>
      <c r="R497" t="inlineStr">
        <is>
          <t>Her avukatın önüne bir gün büyük şirket davası gelir. O davada seçtiğin yol, tabelanın nerede asılı kalacağını belirler.</t>
        </is>
      </c>
      <c r="V497" t="inlineStr">
        <is>
          <t>avukat</t>
        </is>
      </c>
    </row>
    <row r="498">
      <c r="A498" t="inlineStr">
        <is>
          <t>b7-muhendis-saha</t>
        </is>
      </c>
      <c r="B498" t="n">
        <v>7</v>
      </c>
      <c r="C498" t="inlineStr">
        <is>
          <t>27 yaş 8 ay</t>
        </is>
      </c>
      <c r="D498" t="inlineStr">
        <is>
          <t>🏗️</t>
        </is>
      </c>
      <c r="E498" t="inlineStr">
        <is>
          <t>Saha Ziyareti</t>
        </is>
      </c>
      <c r="F498" t="inlineStr">
        <is>
          <t>Şantiyeye ilk keşif. Çizimde kolon var, sahada kolon yok. Şef çizime, sonra sahaya, sonra sana baktı: “Sen mi çizdin bunu?”</t>
        </is>
      </c>
      <c r="G498" t="inlineStr">
        <is>
          <t>ofis</t>
        </is>
      </c>
      <c r="J498" t="n">
        <v>3</v>
      </c>
      <c r="L498" t="inlineStr">
        <is>
          <t>hapis</t>
        </is>
      </c>
      <c r="V498" t="inlineStr">
        <is>
          <t>muhendis</t>
        </is>
      </c>
    </row>
    <row r="499">
      <c r="A499" t="inlineStr">
        <is>
          <t>b7-muhendis-hakedis</t>
        </is>
      </c>
      <c r="B499" t="n">
        <v>7</v>
      </c>
      <c r="C499" t="inlineStr">
        <is>
          <t>32 yaş</t>
        </is>
      </c>
      <c r="D499" t="inlineStr">
        <is>
          <t>🧾</t>
        </is>
      </c>
      <c r="E499" t="inlineStr">
        <is>
          <t>Hakediş Haftası</t>
        </is>
      </c>
      <c r="F499" t="inlineStr">
        <is>
          <t>Ay sonu hakediş haftası. Müteahhit “Bu ay çok iş yaptık” diyor, raporda yaptık dediği kalemlerin üçte biri henüz kâğıtta.</t>
        </is>
      </c>
      <c r="G499" t="inlineStr">
        <is>
          <t>ofis</t>
        </is>
      </c>
      <c r="J499" t="n">
        <v>3</v>
      </c>
      <c r="L499" t="inlineStr">
        <is>
          <t>hapis</t>
        </is>
      </c>
      <c r="V499" t="inlineStr">
        <is>
          <t>muhendis</t>
        </is>
      </c>
    </row>
    <row r="500">
      <c r="A500" t="inlineStr">
        <is>
          <t>b7-muhendis-teslim-gecesi</t>
        </is>
      </c>
      <c r="B500" t="n">
        <v>7</v>
      </c>
      <c r="C500" t="inlineStr">
        <is>
          <t>37 yaş</t>
        </is>
      </c>
      <c r="D500" t="inlineStr">
        <is>
          <t>🌙</t>
        </is>
      </c>
      <c r="E500" t="inlineStr">
        <is>
          <t>Teslim Gecesi</t>
        </is>
      </c>
      <c r="F500" t="inlineStr">
        <is>
          <t>Teslim tarihi yarın sabah. Projeyi bitirmek için dokuz kişi, bir kahve makinesi ve yedek bir şarj aleti var. Akşam saat dokuzda kahve bitti.</t>
        </is>
      </c>
      <c r="G500" t="inlineStr">
        <is>
          <t>ofis</t>
        </is>
      </c>
      <c r="J500" t="n">
        <v>3</v>
      </c>
      <c r="L500" t="inlineStr">
        <is>
          <t>hapis</t>
        </is>
      </c>
      <c r="V500" t="inlineStr">
        <is>
          <t>muhendis</t>
        </is>
      </c>
    </row>
    <row r="501">
      <c r="A501" t="inlineStr">
        <is>
          <t>b8-muhendis-revizyon</t>
        </is>
      </c>
      <c r="B501" t="n">
        <v>8</v>
      </c>
      <c r="C501" t="inlineStr">
        <is>
          <t>44 yaş 6 ay</t>
        </is>
      </c>
      <c r="D501" t="inlineStr">
        <is>
          <t>📐</t>
        </is>
      </c>
      <c r="E501" t="inlineStr">
        <is>
          <t>Revizyon On Dört</t>
        </is>
      </c>
      <c r="F501" t="inlineStr">
        <is>
          <t>Müşteri tasarımı on dördüncü kez değiştirdi. Bu kez merdiven yerine asansör istiyor. Binada asansör kuyusu yok.</t>
        </is>
      </c>
      <c r="G501" t="inlineStr">
        <is>
          <t>ofis</t>
        </is>
      </c>
      <c r="J501" t="n">
        <v>3</v>
      </c>
      <c r="L501" t="inlineStr">
        <is>
          <t>hapis, zirve</t>
        </is>
      </c>
      <c r="V501" t="inlineStr">
        <is>
          <t>muhendis</t>
        </is>
      </c>
    </row>
    <row r="502">
      <c r="A502" t="inlineStr">
        <is>
          <t>b8-muhendis-mudur</t>
        </is>
      </c>
      <c r="B502" t="n">
        <v>8</v>
      </c>
      <c r="C502" t="inlineStr">
        <is>
          <t>49 yaş</t>
        </is>
      </c>
      <c r="D502" t="inlineStr">
        <is>
          <t>🏢</t>
        </is>
      </c>
      <c r="E502" t="inlineStr">
        <is>
          <t>Proje Müdürlüğü</t>
        </is>
      </c>
      <c r="F502" t="inlineStr">
        <is>
          <t>Firmanın sahibi odasına çağırdı: “Proje müdürlüğü senin.” Masanın üstünde bir anahtar, bir kart ve “Gece telefonu açık olacak” notu duruyor.</t>
        </is>
      </c>
      <c r="G502" t="inlineStr">
        <is>
          <t>ofis</t>
        </is>
      </c>
      <c r="J502" t="n">
        <v>3</v>
      </c>
      <c r="L502" t="inlineStr">
        <is>
          <t>hapis</t>
        </is>
      </c>
      <c r="V502" t="inlineStr">
        <is>
          <t>muhendis</t>
        </is>
      </c>
    </row>
    <row r="503">
      <c r="A503" t="inlineStr">
        <is>
          <t>b9-muhendis-son-proje</t>
        </is>
      </c>
      <c r="B503" t="n">
        <v>9</v>
      </c>
      <c r="C503" t="inlineStr">
        <is>
          <t>60 yaş 6 ay</t>
        </is>
      </c>
      <c r="D503" t="inlineStr">
        <is>
          <t>🌉</t>
        </is>
      </c>
      <c r="E503" t="inlineStr">
        <is>
          <t>Son Proje</t>
        </is>
      </c>
      <c r="F503" t="inlineStr">
        <is>
          <t>Emeklilik öncesi son proje: eski mahalle köprüsü. Aynı köprüyü otuz yıl önce staj yaparken ölçmüştün. Ölçü defteri hâlâ çekmecende.</t>
        </is>
      </c>
      <c r="G503" t="inlineStr">
        <is>
          <t>ofis</t>
        </is>
      </c>
      <c r="J503" t="n">
        <v>3</v>
      </c>
      <c r="L503" t="inlineStr">
        <is>
          <t>hapis</t>
        </is>
      </c>
      <c r="V503" t="inlineStr">
        <is>
          <t>muhendis</t>
        </is>
      </c>
    </row>
    <row r="504">
      <c r="A504" t="inlineStr">
        <is>
          <t>k10-muhendis</t>
        </is>
      </c>
      <c r="B504" t="n">
        <v>7</v>
      </c>
      <c r="C504" t="inlineStr">
        <is>
          <t>35 yaş</t>
        </is>
      </c>
      <c r="D504" t="inlineStr">
        <is>
          <t>🌉</t>
        </is>
      </c>
      <c r="E504" t="inlineStr">
        <is>
          <t>Büyük Proje</t>
        </is>
      </c>
      <c r="F504" t="inlineStr">
        <is>
          <t>Dev bir projenin sorumlusu sensin. Hesapta küçük bir tolerans hatası buldun. Teslim üç gün sonra ve hata kimsenin gözünde değil.</t>
        </is>
      </c>
      <c r="G504" t="inlineStr">
        <is>
          <t>ofis</t>
        </is>
      </c>
      <c r="I504" t="inlineStr">
        <is>
          <t>E</t>
        </is>
      </c>
      <c r="L504" t="inlineStr">
        <is>
          <t>hapis</t>
        </is>
      </c>
      <c r="Q504" t="n">
        <v>10</v>
      </c>
      <c r="R504" t="inlineStr">
        <is>
          <t>Her mühendisin bir gün altına imza attığı proje çıkar. O imzanın nasıl atıldığı, kalan yılları belirler.</t>
        </is>
      </c>
      <c r="V504" t="inlineStr">
        <is>
          <t>muhendis</t>
        </is>
      </c>
    </row>
    <row r="505">
      <c r="A505" t="inlineStr">
        <is>
          <t>b7-ogretmen-ilk-sinif</t>
        </is>
      </c>
      <c r="B505" t="n">
        <v>7</v>
      </c>
      <c r="C505" t="inlineStr">
        <is>
          <t>27 yaş 8 ay</t>
        </is>
      </c>
      <c r="D505" t="inlineStr">
        <is>
          <t>🍎</t>
        </is>
      </c>
      <c r="E505" t="inlineStr">
        <is>
          <t>İlk Sınıf</t>
        </is>
      </c>
      <c r="F505" t="inlineStr">
        <is>
          <t>İlk dersin. Otuz öğrenci, bir tahta kalemi, bir de “Öğretmenim, tuvalet” cümlesi. Cümle üçüncü dakikada yirmi iki kez söylendi.</t>
        </is>
      </c>
      <c r="G505" t="inlineStr">
        <is>
          <t>sinif</t>
        </is>
      </c>
      <c r="J505" t="n">
        <v>3</v>
      </c>
      <c r="L505" t="inlineStr">
        <is>
          <t>hapis</t>
        </is>
      </c>
      <c r="V505" t="inlineStr">
        <is>
          <t>ogretmen</t>
        </is>
      </c>
    </row>
    <row r="506">
      <c r="A506" t="inlineStr">
        <is>
          <t>b7-ogretmen-veli-toplantisi</t>
        </is>
      </c>
      <c r="B506" t="n">
        <v>7</v>
      </c>
      <c r="C506" t="inlineStr">
        <is>
          <t>32 yaş</t>
        </is>
      </c>
      <c r="D506" t="inlineStr">
        <is>
          <t>👨‍👩‍👧</t>
        </is>
      </c>
      <c r="E506" t="inlineStr">
        <is>
          <t>Veli Akşamı</t>
        </is>
      </c>
      <c r="F506" t="inlineStr">
        <is>
          <t>Veli toplantısı. Otuz veli, otuz çocuk, bir de sınıfın en sessiz öğrencisinin babası. Baba içeri girerken “Biz kahve içmeden konuşmayız” dedi.</t>
        </is>
      </c>
      <c r="G506" t="inlineStr">
        <is>
          <t>sinif</t>
        </is>
      </c>
      <c r="J506" t="n">
        <v>3</v>
      </c>
      <c r="L506" t="inlineStr">
        <is>
          <t>hapis</t>
        </is>
      </c>
      <c r="V506" t="inlineStr">
        <is>
          <t>ogretmen</t>
        </is>
      </c>
    </row>
    <row r="507">
      <c r="A507" t="inlineStr">
        <is>
          <t>b7-ogretmen-karne</t>
        </is>
      </c>
      <c r="B507" t="n">
        <v>7</v>
      </c>
      <c r="C507" t="inlineStr">
        <is>
          <t>37 yaş</t>
        </is>
      </c>
      <c r="D507" t="inlineStr">
        <is>
          <t>📄</t>
        </is>
      </c>
      <c r="E507" t="inlineStr">
        <is>
          <t>Karne Haftası</t>
        </is>
      </c>
      <c r="F507" t="inlineStr">
        <is>
          <t>Karne haftası. Otuz karne, otuz imza, otuz çocuk. Bir çocuk karnesini görünce “Bu hata olmalı” dedi. Hata yoktu.</t>
        </is>
      </c>
      <c r="G507" t="inlineStr">
        <is>
          <t>sinif</t>
        </is>
      </c>
      <c r="J507" t="n">
        <v>3</v>
      </c>
      <c r="L507" t="inlineStr">
        <is>
          <t>hapis</t>
        </is>
      </c>
      <c r="V507" t="inlineStr">
        <is>
          <t>ogretmen</t>
        </is>
      </c>
    </row>
    <row r="508">
      <c r="A508" t="inlineStr">
        <is>
          <t>b8-ogretmen-mudur</t>
        </is>
      </c>
      <c r="B508" t="n">
        <v>8</v>
      </c>
      <c r="C508" t="inlineStr">
        <is>
          <t>44 yaş 6 ay</t>
        </is>
      </c>
      <c r="D508" t="inlineStr">
        <is>
          <t>🏫</t>
        </is>
      </c>
      <c r="E508" t="inlineStr">
        <is>
          <t>Müdür Yardımcılığı</t>
        </is>
      </c>
      <c r="F508" t="inlineStr">
        <is>
          <t>Müdür seni odasına çağırdı: “Müdür yardımcılığı açılıyor.” Makam odası dar, koltuk büyük. Koltuğun altında eski bir sınav kağıdı sıkışmış.</t>
        </is>
      </c>
      <c r="G508" t="inlineStr">
        <is>
          <t>okul</t>
        </is>
      </c>
      <c r="J508" t="n">
        <v>3</v>
      </c>
      <c r="L508" t="inlineStr">
        <is>
          <t>hapis, zirve</t>
        </is>
      </c>
      <c r="V508" t="inlineStr">
        <is>
          <t>ogretmen</t>
        </is>
      </c>
    </row>
    <row r="509">
      <c r="A509" t="inlineStr">
        <is>
          <t>b8-ogretmen-eski-ogrenci</t>
        </is>
      </c>
      <c r="B509" t="n">
        <v>8</v>
      </c>
      <c r="C509" t="inlineStr">
        <is>
          <t>49 yaş</t>
        </is>
      </c>
      <c r="D509" t="inlineStr">
        <is>
          <t>🤝</t>
        </is>
      </c>
      <c r="E509" t="inlineStr">
        <is>
          <t>Eski Öğrenci</t>
        </is>
      </c>
      <c r="F509" t="inlineStr">
        <is>
          <t>Çarşıda biri seni durdurdu: “Öğretmenim, ben sizin ilk sınıfınızdanım.” Önünde takım elbiseli, cebinde telefon, yüzünde otuz yıllık bir gülümseme var.</t>
        </is>
      </c>
      <c r="G509" t="inlineStr">
        <is>
          <t>sokak</t>
        </is>
      </c>
      <c r="J509" t="n">
        <v>3</v>
      </c>
      <c r="L509" t="inlineStr">
        <is>
          <t>hapis</t>
        </is>
      </c>
      <c r="V509" t="inlineStr">
        <is>
          <t>ogretmen</t>
        </is>
      </c>
    </row>
    <row r="510">
      <c r="A510" t="inlineStr">
        <is>
          <t>b9-ogretmen-son-ders</t>
        </is>
      </c>
      <c r="B510" t="n">
        <v>9</v>
      </c>
      <c r="C510" t="inlineStr">
        <is>
          <t>60 yaş 6 ay</t>
        </is>
      </c>
      <c r="D510" t="inlineStr">
        <is>
          <t>🔔</t>
        </is>
      </c>
      <c r="E510" t="inlineStr">
        <is>
          <t>Son Ders</t>
        </is>
      </c>
      <c r="F510" t="inlineStr">
        <is>
          <t>Son ders. Tahta kalemin yirmi dokuz yıldır aynı çekmecede. Sınıf bu sefer sessiz, çünkü bir öğrenci sana bir çiçek getirmiş. Çiçek de sessiz.</t>
        </is>
      </c>
      <c r="G510" t="inlineStr">
        <is>
          <t>sinif</t>
        </is>
      </c>
      <c r="J510" t="n">
        <v>3</v>
      </c>
      <c r="L510" t="inlineStr">
        <is>
          <t>hapis</t>
        </is>
      </c>
      <c r="V510" t="inlineStr">
        <is>
          <t>ogretmen</t>
        </is>
      </c>
    </row>
    <row r="511">
      <c r="A511" t="inlineStr">
        <is>
          <t>k10-ogretmen</t>
        </is>
      </c>
      <c r="B511" t="n">
        <v>7</v>
      </c>
      <c r="C511" t="inlineStr">
        <is>
          <t>35 yaş</t>
        </is>
      </c>
      <c r="D511" t="inlineStr">
        <is>
          <t>🏫</t>
        </is>
      </c>
      <c r="E511" t="inlineStr">
        <is>
          <t>Kapanacak Okul</t>
        </is>
      </c>
      <c r="F511" t="inlineStr">
        <is>
          <t>Okul kapanacak. Öğrenci sayısı yirmi sekize düştü, kâğıtta otuz yazması gerekiyor. Müdür sana baktı: “İki öğrenci uydurmak mümkün mü?”</t>
        </is>
      </c>
      <c r="G511" t="inlineStr">
        <is>
          <t>okul</t>
        </is>
      </c>
      <c r="I511" t="inlineStr">
        <is>
          <t>E</t>
        </is>
      </c>
      <c r="L511" t="inlineStr">
        <is>
          <t>hapis</t>
        </is>
      </c>
      <c r="Q511" t="n">
        <v>10</v>
      </c>
      <c r="R511" t="inlineStr">
        <is>
          <t>Her öğretmenin bir gün okulunun kapanma ihtimaliyle yüzleştiği bir sabah vardır. O sabah verdiğin cevap, sınıfın geri kalanını belirler.</t>
        </is>
      </c>
      <c r="V511" t="inlineStr">
        <is>
          <t>ogretmen</t>
        </is>
      </c>
    </row>
    <row r="512">
      <c r="A512" t="inlineStr">
        <is>
          <t>yol-dar-sokaklar</t>
        </is>
      </c>
      <c r="B512" t="n">
        <v>8</v>
      </c>
      <c r="C512" t="inlineStr">
        <is>
          <t>49 yaş</t>
        </is>
      </c>
      <c r="D512" t="inlineStr">
        <is>
          <t>🚬</t>
        </is>
      </c>
      <c r="E512" t="inlineStr">
        <is>
          <t>Dar Sokakların Daveti</t>
        </is>
      </c>
      <c r="F512" t="inlineStr">
        <is>
          <t>Cüzdanın pazar tezgâhı kadar sade. Köşede eski bir tanıdık bekliyor: “Hâlâ sıfır mı? Bizde kimse sıfır kalmaz. Sıfırı çok seviyoruz.”</t>
        </is>
      </c>
      <c r="G512" t="inlineStr">
        <is>
          <t>sokak</t>
        </is>
      </c>
      <c r="J512" t="n">
        <v>3</v>
      </c>
      <c r="L512" t="inlineStr">
        <is>
          <t>hapis, hat-cete</t>
        </is>
      </c>
      <c r="X512" t="inlineStr">
        <is>
          <t>Fakir</t>
        </is>
      </c>
    </row>
    <row r="513">
      <c r="A513" t="inlineStr">
        <is>
          <t>yol-park-banki</t>
        </is>
      </c>
      <c r="B513" t="n">
        <v>8</v>
      </c>
      <c r="C513" t="inlineStr">
        <is>
          <t>51 yaş</t>
        </is>
      </c>
      <c r="D513" t="inlineStr">
        <is>
          <t>🪑</t>
        </is>
      </c>
      <c r="E513" t="inlineStr">
        <is>
          <t>Park Bankı</t>
        </is>
      </c>
      <c r="F513" t="inlineStr">
        <is>
          <t>Ev sahibi anahtarı aldı, valiz kapının önüne çıktı. Akşamı otobüs duraklarında geçirdin, gece de park bankına yürüdün. Yanındaki yaşlı adam yer açtı: “Beşte süpürgeci gelir. Önce kovar, sonra çay verir.”</t>
        </is>
      </c>
      <c r="G513" t="inlineStr">
        <is>
          <t>park</t>
        </is>
      </c>
      <c r="J513" t="n">
        <v>3</v>
      </c>
      <c r="L513" t="inlineStr">
        <is>
          <t>hapis, yol-parkbanki</t>
        </is>
      </c>
      <c r="X513" t="inlineStr">
        <is>
          <t>Borç içinde</t>
        </is>
      </c>
    </row>
    <row r="514">
      <c r="A514" t="inlineStr">
        <is>
          <t>yol-kefil-koyu</t>
        </is>
      </c>
      <c r="B514" t="n">
        <v>7</v>
      </c>
      <c r="C514" t="inlineStr">
        <is>
          <t>38 yaş</t>
        </is>
      </c>
      <c r="D514" t="inlineStr">
        <is>
          <t>🏚️</t>
        </is>
      </c>
      <c r="E514" t="inlineStr">
        <is>
          <t>Kefil Köyü</t>
        </is>
      </c>
      <c r="F514" t="inlineStr">
        <is>
          <t>Kefil olduğun adam bir sabah ortadan kayboldu. Banka seni buldu. Nişanlısı mektup bıraktı: “Köyde bir ev var. Ev de, borç da senin. Bahçe bedava.”</t>
        </is>
      </c>
      <c r="G514" t="inlineStr">
        <is>
          <t>koy</t>
        </is>
      </c>
      <c r="J514" t="n">
        <v>3</v>
      </c>
      <c r="K514" t="inlineStr">
        <is>
          <t>kefil-borclu</t>
        </is>
      </c>
      <c r="L514" t="inlineStr">
        <is>
          <t>hapis, hat-koy</t>
        </is>
      </c>
      <c r="X514" t="inlineStr">
        <is>
          <t>Fakir</t>
        </is>
      </c>
    </row>
    <row r="515">
      <c r="A515" t="inlineStr">
        <is>
          <t>yol-mahalle-efsanesi</t>
        </is>
      </c>
      <c r="B515" t="n">
        <v>9</v>
      </c>
      <c r="C515" t="inlineStr">
        <is>
          <t>63 yaş</t>
        </is>
      </c>
      <c r="D515" t="inlineStr">
        <is>
          <t>📒</t>
        </is>
      </c>
      <c r="E515" t="inlineStr">
        <is>
          <t>Bakkal Defteri</t>
        </is>
      </c>
      <c r="F515" t="inlineStr">
        <is>
          <t>Dükkânın kepenginin yarısı kapalı, yarısı hatırada. Bakkal Cemal Efendi emekli oldu; defteri sana bıraktı. “Herkesin borcu burada. İki gün sonra herkes bana borçlu olmadığını söyleyecek.”</t>
        </is>
      </c>
      <c r="G515" t="inlineStr">
        <is>
          <t>bakkal</t>
        </is>
      </c>
      <c r="J515" t="n">
        <v>3</v>
      </c>
      <c r="L515" t="inlineStr">
        <is>
          <t>hapis, yol-efsane</t>
        </is>
      </c>
      <c r="X515" t="inlineStr">
        <is>
          <t>Fakir</t>
        </is>
      </c>
    </row>
    <row r="516">
      <c r="A516" t="inlineStr">
        <is>
          <t>yol-tek-basina</t>
        </is>
      </c>
      <c r="B516" t="n">
        <v>9</v>
      </c>
      <c r="C516" t="inlineStr">
        <is>
          <t>66 yaş</t>
        </is>
      </c>
      <c r="D516" t="inlineStr">
        <is>
          <t>🎒</t>
        </is>
      </c>
      <c r="E516" t="inlineStr">
        <is>
          <t>Sırt Çantası</t>
        </is>
      </c>
      <c r="F516" t="inlineStr">
        <is>
          <t>Hesaptaki son para otobüs biletine yetiyor. Kimseye haber vermeden terminale gittin. Gişedeki kadın sordu: “Nereye?” Sen düşündün, sıradaki herkes de düşündü.</t>
        </is>
      </c>
      <c r="G516" t="inlineStr">
        <is>
          <t>toplu-tasima</t>
        </is>
      </c>
      <c r="J516" t="n">
        <v>3</v>
      </c>
      <c r="L516" t="inlineStr">
        <is>
          <t>hapis, yol-gezgin</t>
        </is>
      </c>
      <c r="X516" t="inlineStr">
        <is>
          <t>Fakir</t>
        </is>
      </c>
    </row>
    <row r="517">
      <c r="A517" t="inlineStr">
        <is>
          <t>yol-bosanma-sureci</t>
        </is>
      </c>
      <c r="B517" t="n">
        <v>8</v>
      </c>
      <c r="C517" t="inlineStr">
        <is>
          <t>52 yaş</t>
        </is>
      </c>
      <c r="D517" t="inlineStr">
        <is>
          <t>⚖️</t>
        </is>
      </c>
      <c r="E517" t="inlineStr">
        <is>
          <t>Boşanma Davası</t>
        </is>
      </c>
      <c r="F517" t="inlineStr">
        <is>
          <t>Dilekçe masaya geldi. Evi ikiye bölmek kolaydı; borcu üçe bölmek zordu. Avukat “Mal rejimi” dedi, sen “Mal yok” dedin. Hâkim ikinizin de sözünü tutanağa geçirdi.</t>
        </is>
      </c>
      <c r="G517" t="inlineStr">
        <is>
          <t>mahkeme</t>
        </is>
      </c>
      <c r="J517" t="n">
        <v>3</v>
      </c>
      <c r="K517" t="inlineStr">
        <is>
          <t>evli</t>
        </is>
      </c>
      <c r="L517" t="inlineStr">
        <is>
          <t>hapis, yol-bosanma</t>
        </is>
      </c>
      <c r="X517" t="inlineStr">
        <is>
          <t>Fakir</t>
        </is>
      </c>
    </row>
    <row r="518">
      <c r="A518" t="inlineStr">
        <is>
          <t>yol-saglik-faturasi</t>
        </is>
      </c>
      <c r="B518" t="n">
        <v>9</v>
      </c>
      <c r="C518" t="inlineStr">
        <is>
          <t>68 yaş</t>
        </is>
      </c>
      <c r="D518" t="inlineStr">
        <is>
          <t>🧾</t>
        </is>
      </c>
      <c r="E518" t="inlineStr">
        <is>
          <t>Hastane Faturası</t>
        </is>
      </c>
      <c r="F518" t="inlineStr">
        <is>
          <t>Hastane koridoru sessiz, kasadaki makine gürültülü. Fatura sana uzatıldı: sigortanın karşılamadığı kısım, karşılamadığı kısmının üstüne eklenmişti. Rakam tek satır, yanındaki mühür üç.</t>
        </is>
      </c>
      <c r="G518" t="inlineStr">
        <is>
          <t>hastane</t>
        </is>
      </c>
      <c r="J518" t="n">
        <v>3</v>
      </c>
      <c r="L518" t="inlineStr">
        <is>
          <t>hapis, yol-saglik</t>
        </is>
      </c>
      <c r="X518" t="inlineStr">
        <is>
          <t>Fakir</t>
        </is>
      </c>
    </row>
    <row r="519">
      <c r="A519" t="inlineStr">
        <is>
          <t>yol-yeniden-basla</t>
        </is>
      </c>
      <c r="B519" t="n">
        <v>8</v>
      </c>
      <c r="C519" t="inlineStr">
        <is>
          <t>55 yaş</t>
        </is>
      </c>
      <c r="D519" t="inlineStr">
        <is>
          <t>🌱</t>
        </is>
      </c>
      <c r="E519" t="inlineStr">
        <is>
          <t>Sıfırdan</t>
        </is>
      </c>
      <c r="F519" t="inlineStr">
        <is>
          <t>Cüzdanın boş, takvimin dolu. Bir sabah aynaya baktın; ayna “Yine mi?” dedi. Yine. Ama bu kez elinde bir not defteri var: yapmayacaklarının listesi uzun, yapacaklarının listesi bir satır.</t>
        </is>
      </c>
      <c r="G519" t="inlineStr">
        <is>
          <t>ev</t>
        </is>
      </c>
      <c r="J519" t="n">
        <v>3</v>
      </c>
      <c r="L519" t="inlineStr">
        <is>
          <t>hapis, yol-yeniden</t>
        </is>
      </c>
      <c r="X519" t="inlineStr">
        <is>
          <t>Fakir</t>
        </is>
      </c>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L194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c r="AK1" s="4" t="inlineStr">
        <is>
          <t>Kritik başarıda hafıza</t>
        </is>
      </c>
      <c r="AL1" s="4" t="inlineStr">
        <is>
          <t>Başarısızlıkta para kaybı</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simon</t>
        </is>
      </c>
      <c r="N6" s="5" t="inlineStr">
        <is>
          <t>Ninni Sırası</t>
        </is>
      </c>
      <c r="O6" s="6" t="inlineStr">
        <is>
          <t>Sırayı dinle, aynı sırayla tekrar et.</t>
        </is>
      </c>
      <c r="P6" s="6" t="inlineStr">
        <is>
          <t>{"items": ["🌙", "🧸", "🍼", "🎵"]}</t>
        </is>
      </c>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n"/>
      <c r="V19" s="5" t="inlineStr">
        <is>
          <t>ilkKelimePara</t>
        </is>
      </c>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timing</t>
        </is>
      </c>
      <c r="N20" s="5" t="inlineStr">
        <is>
          <t>Dengede Kal</t>
        </is>
      </c>
      <c r="O20" s="6" t="inlineStr">
        <is>
          <t>İbre yeşil alandayken DURDUR'a bas. Art arda tutturdukça kombo kazanırsın.</t>
        </is>
      </c>
      <c r="P20" s="6" t="n"/>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timing</t>
        </is>
      </c>
      <c r="N28" s="5" t="inlineStr">
        <is>
          <t>Mumu Üfle</t>
        </is>
      </c>
      <c r="O28" s="6" t="inlineStr">
        <is>
          <t>İbre yeşil alandayken DURDUR'a bas. Art arda tutturdukça kombo kazanırsın.</t>
        </is>
      </c>
      <c r="P28" s="6" t="n"/>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unutup yeniden buldun. Hayatında ilk kez zengin oldun; para aynı paraydı.</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Dinledin. Büyükler “Çocuğun yanında konuşmayalım” deyip yarım saat daha konuştu. Çocuk, sendin.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fight</t>
        </is>
      </c>
      <c r="N47" s="5" t="inlineStr">
        <is>
          <t>Sıranın Arasından Geç</t>
        </is>
      </c>
      <c r="O47" s="6" t="inlineStr">
        <is>
          <t>Engelin olmadığı şeride geç.</t>
        </is>
      </c>
      <c r="P47" s="6" t="inlineStr">
        <is>
          <t>{"mode": "dodge", "obstacles": ["🧒", "👧", "🧒🏽", "👦"]}</t>
        </is>
      </c>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lie</t>
        </is>
      </c>
      <c r="N86" s="5" t="inlineStr">
        <is>
          <t>Annenin Soruları</t>
        </is>
      </c>
      <c r="O86" s="6" t="inlineStr">
        <is>
          <t>Söylediklerini aklında tut; sorulara çelişmeden cevap ver.</t>
        </is>
      </c>
      <c r="P86" s="6" t="inlineStr">
        <is>
          <t>{"who": "Annen", "facts": ["Pastaya dokunmadım.", "Buzdolabını açmadım bile.", "Çikolatalı köşe zaten öyleydi."], "qs": [{"q": "Buzdolabına en son ne zaman baktın?", "o": ["Hiç açmadım.", "Sabah açtım.", "Az önce."]}, {"q": "Dudağındaki ne?", "o": ["Kuru üzüm, belki.", "Çikolata.", "Pasta."]}, {"q": "Köşe ne zaman eksildi?", "o": ["Zaten eksikti.", "Ben gelince.", "Az önce."]}]}</t>
        </is>
      </c>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hidden</t>
        </is>
      </c>
      <c r="N97" s="5" t="inlineStr">
        <is>
          <t>Takımı Oku</t>
        </is>
      </c>
      <c r="O97" s="6" t="inlineStr">
        <is>
          <t>Kalabalıkta topu en iyi sürenin işaretini (⚽) bul.</t>
        </is>
      </c>
      <c r="P97" s="6" t="inlineStr">
        <is>
          <t>{"target": "⚽", "decoys": ["🧒", "👦", "👧", "🧒🏽"]}</t>
        </is>
      </c>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hidden</t>
        </is>
      </c>
      <c r="N129" s="5" t="inlineStr">
        <is>
          <t>Doğru Sınıfı Bul</t>
        </is>
      </c>
      <c r="O129" s="6" t="inlineStr">
        <is>
          <t>Sınıfının çiçeğini (🌻) kapılar arasında bul.</t>
        </is>
      </c>
      <c r="P129" s="6" t="inlineStr">
        <is>
          <t>{"target": "🌻", "decoys": ["🌼", "🌷", "🌹", "🪻"]}</t>
        </is>
      </c>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bir bozukluk eksik. Söyledin. Teyze tamamladı,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Kurnazlık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notlara değil jestine baktırarak çıkardın. Annen güldü, baban karneyi balkondan alt komşuya salladı: “Bizimki!”</t>
        </is>
      </c>
      <c r="I179" s="6" t="inlineStr">
        <is>
          <t>Karneyi kapıda açtın; yüzündeki özgüven notları gölgede bıraktı. Annen fotoğrafını çekip aile grubuna attı; on dakikada otuz kalp ve babaannenin bir sesli mesajı geldi: “Bu bizim taraftan.”</t>
        </is>
      </c>
      <c r="J179" s="6" t="inlineStr">
        <is>
          <t>Karneyi gösterdin; en çok göze batan not senden önce konuştu.</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gerisi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ne yazıyorsa o.</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'Aile Meclisi'. Kimse geri değiştiremiyor, çünkü kimse nasıl yapıldığını bilmiyor.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simon</t>
        </is>
      </c>
      <c r="N196" s="5" t="inlineStr">
        <is>
          <t>Flüt Notaları</t>
        </is>
      </c>
      <c r="O196" s="6" t="inlineStr">
        <is>
          <t>Sırayı dinle, aynı sırayla tekrar et.</t>
        </is>
      </c>
      <c r="P196" s="6" t="inlineStr">
        <is>
          <t>{"items": ["🔴", "🟡", "🟢", "🔵"]}</t>
        </is>
      </c>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hidden</t>
        </is>
      </c>
      <c r="N200" s="5" t="inlineStr">
        <is>
          <t>Önemli Mesaj</t>
        </is>
      </c>
      <c r="O200" s="6" t="inlineStr">
        <is>
          <t>Yüzlerce mesajın içinde tek önemli olanı (❗) bul.</t>
        </is>
      </c>
      <c r="P200" s="6" t="inlineStr">
        <is>
          <t>{"target": "❗", "decoys": ["💬", "😂", "👍", "🎉", "📷"]}</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'Bak, uyardılar'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 senin yüzde onun.</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+1</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Kuzenin ağzını açtı: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Seviye 47'ye.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'matematik çalışıyorsunuz'.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fight</t>
        </is>
      </c>
      <c r="N216" s="5" t="inlineStr">
        <is>
          <t>Köşeden Kaç</t>
        </is>
      </c>
      <c r="O216" s="6" t="inlineStr">
        <is>
          <t>Engelin olmadığı şeride geç.</t>
        </is>
      </c>
      <c r="P216" s="6" t="inlineStr">
        <is>
          <t>{"mode": "dodge", "obstacles":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Eve dön, kitaplara göm</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Eve döndün ama kitap açılmadı; köşedekiler aklından çıkmadı.</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c r="AJ222" s="5" t="inlineStr"/>
    </row>
    <row r="223">
      <c r="A223" s="5" t="inlineStr">
        <is>
          <t>b4-sivilce</t>
        </is>
      </c>
      <c r="B223" s="5" t="n">
        <v>3</v>
      </c>
      <c r="C223" s="6" t="inlineStr">
        <is>
          <t>Bere tak</t>
        </is>
      </c>
      <c r="D223" s="5" t="inlineStr">
        <is>
          <t>Kurnazlık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Müdür Bey'in resmî bir veda töreni yapıldı. Sınıf alkışladı. Başka hiçbir sivilce bu kadar sevilmedi.</t>
        </is>
      </c>
      <c r="J224" s="6" t="inlineStr">
        <is>
          <t>İsmi koydun; ertesi gün Müdür Bey'in bir yardımcısı çıktı.</t>
        </is>
      </c>
      <c r="K224" s="6" t="inlineStr">
        <is>
          <t>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timing</t>
        </is>
      </c>
      <c r="N226" s="5" t="inlineStr">
        <is>
          <t>Sesini Sabit Tut</t>
        </is>
      </c>
      <c r="O226" s="6" t="inlineStr">
        <is>
          <t>İbre yeşil alandayken DURDUR'a bas. Art arda tutturdukça kombo kazanırsın.</t>
        </is>
      </c>
      <c r="P226" s="6" t="n"/>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Şarkıları sen seçtin; şoför ikinci saatte “Başkanım, bir de ben seçsem?” dedi.</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Üç kez saydın, üç ayrı sonuç çıktı. Öğretmen en güzel olanı seçip deftere yazdı.</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lie</t>
        </is>
      </c>
      <c r="N254" s="5" t="inlineStr">
        <is>
          <t>Akşam Yemeği Sorgusu</t>
        </is>
      </c>
      <c r="O254" s="6" t="inlineStr">
        <is>
          <t>Söylediklerini aklında tut; sorulara çelişmeden cevap ver.</t>
        </is>
      </c>
      <c r="P254" s="6" t="inlineStr">
        <is>
          <t>{"who": "Baban", "facts": ["Matematik sınavı kolaydı.", "Kâğıdı öğretmen daha vermedi.", "Akşamları ders çalışıyorum."], "qs": [{"q": "Sınav nasıl geçti?", "o": ["Kolay geçti, bakalım not.", "Zordu.", "Hiç girmedim."]}, {"q": "Kâğıt nerede?", "o": ["Öğretmen daha vermedi.", "Çantamda.", "Kaybettim."]}, {"q": "Akşamları ne yapıyorsun?", "o": ["Ders çalışıyorum.", "Oyun oynuyorum.", "Uyuyorum."]}]}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bu kez dolabın üstüne, kışlık yorganların arasına sakladın. Kuzenin yine buldu. Bu sefer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is>
          <t>ilk-bulusma-oldu</t>
        </is>
      </c>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is>
          <t>ilk-bulusma-oldu</t>
        </is>
      </c>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is>
          <t>ilk-bulusma-oldu</t>
        </is>
      </c>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duel</t>
        </is>
      </c>
      <c r="N305" s="5" t="inlineStr">
        <is>
          <t>Son Fiyat?</t>
        </is>
      </c>
      <c r="O305" s="6" t="inlineStr">
        <is>
          <t>Karşındakinin sabrı bitmeden en iyi cevabı seç.</t>
        </is>
      </c>
      <c r="P305" s="6" t="inlineStr">
        <is>
          <t>{"who": "Alıcı", "item":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hidden</t>
        </is>
      </c>
      <c r="N309" s="5" t="inlineStr">
        <is>
          <t>Sinyal Avı</t>
        </is>
      </c>
      <c r="O309" s="6" t="inlineStr">
        <is>
          <t>Sinyal çubuğunu (📶) kumsalda bul.</t>
        </is>
      </c>
      <c r="P309" s="6" t="inlineStr">
        <is>
          <t>{"target": "📶", "decoys": ["🌴", "🏖️", "🐚", "☀️", "⛱️"]}</t>
        </is>
      </c>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hediye kalemden vazgeçtin.</t>
        </is>
      </c>
      <c r="M334" s="5" t="inlineStr">
        <is>
          <t>duel</t>
        </is>
      </c>
      <c r="N334" s="5" t="inlineStr">
        <is>
          <t>Kayıt Masası Pazarlığı</t>
        </is>
      </c>
      <c r="O334" s="6" t="inlineStr">
        <is>
          <t>Karşındakinin sabrı bitmeden en iyi cevabı seç.</t>
        </is>
      </c>
      <c r="P334" s="6" t="inlineStr">
        <is>
          <t>{"who": "Danışman", "item":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timing</t>
        </is>
      </c>
      <c r="N353" s="5" t="inlineStr">
        <is>
          <t>Bildirimden Önce</t>
        </is>
      </c>
      <c r="O353" s="6" t="inlineStr">
        <is>
          <t>İbre yeşil alandayken DURDUR'a bas. Art arda tutturdukça kombo kazanırsın.</t>
        </is>
      </c>
      <c r="P353" s="6" t="n"/>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 altına çizilen balığa sen de bir akvaryum çizdin.</t>
        </is>
      </c>
      <c r="J358" s="6" t="inlineStr">
        <is>
          <t>Deneyimini anlattın. Biri 'Akvaryum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tower</t>
        </is>
      </c>
      <c r="N375" s="5" t="inlineStr">
        <is>
          <t>Çay Tepsisi</t>
        </is>
      </c>
      <c r="O375" s="6" t="inlineStr">
        <is>
          <t>Kaymadan üst üste dizmek için doğru anda BIRAK'a bas.</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timing</t>
        </is>
      </c>
      <c r="N394" s="5" t="inlineStr">
        <is>
          <t>Sınav Nefesi</t>
        </is>
      </c>
      <c r="O394" s="6" t="inlineStr">
        <is>
          <t>İbre yeşil alandayken DURDUR'a bas. Art arda tutturdukça kombo kazanırsın.</t>
        </is>
      </c>
      <c r="P394" s="6" t="n"/>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Mektup gitti; okuldan “bekleme listesi” cevabı geldi. Kabul sınavdan sonra belli olacak, mektup artık dosyanda duruyor.</t>
        </is>
      </c>
      <c r="I403" s="6" t="inlineStr">
        <is>
          <t>Mektubu okuyan kişi “Bu bizde kalsın” dedi, kısmi burs yazdı. Kabul yine sınav sonucuna bağlı; ailenin hesap makinesi bu kez gülümsedi.</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is>
          <t>Akıl 28</t>
        </is>
      </c>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Sunumu bitirdin; baban ücret satırında durdu. “Önce burada kazan, sonra konuşuruz” dedi. Mektubu gönderme yetkisi yine de sende.</t>
        </is>
      </c>
      <c r="I404" s="6" t="inlineStr">
        <is>
          <t>Sunumun sonunda ailen buzdolabının üstüne bir “Öte Diyar kumbarası” koydu. İlk katkı: senin bayram harçlıkların.</t>
        </is>
      </c>
      <c r="J404" s="6" t="inlineStr">
        <is>
          <t>Ücret satırına gelince ailen sustu. Baban tabloyu iki kez okudu, sonra kapağı kapattı. Konu bu yıl kapandı; sekmen açık kaldı.</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is>
          <t>yd-aile-ok</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Bu Öte Diyar'da okumak değil; ama mektubuna eklenecek ilk gerçek satır.</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fight</t>
        </is>
      </c>
      <c r="N413" s="5" t="inlineStr">
        <is>
          <t>Teslimat Yolu</t>
        </is>
      </c>
      <c r="O413" s="6" t="inlineStr">
        <is>
          <t>Engelin olmadığı şeride geç.</t>
        </is>
      </c>
      <c r="P413" s="6" t="inlineStr">
        <is>
          <t>{"mode": "dodge", "obstacles":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hidden</t>
        </is>
      </c>
      <c r="N424" s="5" t="inlineStr">
        <is>
          <t>Anahtarı Bul</t>
        </is>
      </c>
      <c r="O424" s="6" t="inlineStr">
        <is>
          <t>Karanlık mutfakta anahtarı (🔑) bul.</t>
        </is>
      </c>
      <c r="P424" s="6" t="inlineStr">
        <is>
          <t>{"target": "🔑", "decoys": ["🥖", "🧂", "🍴", "🥄", "🧅"]}</t>
        </is>
      </c>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üniversiteye girdin. Aile grubunda üç saat sadece tebrik yağdı; kimse bölümünü sormadı. Soracaklar.</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 sinav-orta</t>
        </is>
      </c>
      <c r="W425" s="5" t="inlineStr"/>
      <c r="X425" s="5" t="inlineStr"/>
      <c r="Y425" s="5" t="inlineStr"/>
      <c r="Z425" s="6" t="inlineStr"/>
      <c r="AA425" s="5" t="inlineStr"/>
      <c r="AB425" s="5" t="inlineStr">
        <is>
          <t>sinav-kotu</t>
        </is>
      </c>
      <c r="AC425" s="5" t="inlineStr"/>
      <c r="AD425" s="5" t="inlineStr"/>
      <c r="AE425" s="5" t="inlineStr"/>
      <c r="AF425" s="5" t="inlineStr"/>
      <c r="AG425" s="5" t="inlineStr"/>
      <c r="AH425" s="5" t="inlineStr"/>
      <c r="AI425" s="5" t="inlineStr">
        <is>
          <t>Bilgili Sıfır</t>
        </is>
      </c>
      <c r="AJ425" s="5" t="inlineStr"/>
      <c r="AK425" t="inlineStr">
        <is>
          <t>sinav-iyi, -sinav-orta</t>
        </is>
      </c>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 sinav-orta</t>
        </is>
      </c>
      <c r="W426" s="5" t="inlineStr"/>
      <c r="X426" s="5" t="inlineStr"/>
      <c r="Y426" s="5" t="inlineStr"/>
      <c r="Z426" s="6" t="inlineStr"/>
      <c r="AA426" s="5" t="inlineStr"/>
      <c r="AB426" s="5" t="inlineStr">
        <is>
          <t>sinav-kotu</t>
        </is>
      </c>
      <c r="AC426" s="5" t="inlineStr"/>
      <c r="AD426" s="5" t="inlineStr"/>
      <c r="AE426" s="5" t="inlineStr"/>
      <c r="AF426" s="5" t="inlineStr"/>
      <c r="AG426" s="5" t="inlineStr"/>
      <c r="AH426" s="5" t="inlineStr"/>
      <c r="AI426" s="5" t="inlineStr"/>
      <c r="AJ426" s="5" t="inlineStr"/>
      <c r="AK426" t="inlineStr">
        <is>
          <t>sinav-iyi, -sinav-orta</t>
        </is>
      </c>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 sinav-orta</t>
        </is>
      </c>
      <c r="W427" s="5" t="inlineStr"/>
      <c r="X427" s="5" t="inlineStr"/>
      <c r="Y427" s="5" t="inlineStr"/>
      <c r="Z427" s="6" t="inlineStr"/>
      <c r="AA427" s="5" t="inlineStr"/>
      <c r="AB427" s="5" t="inlineStr">
        <is>
          <t>sinav-kotu</t>
        </is>
      </c>
      <c r="AC427" s="5" t="inlineStr"/>
      <c r="AD427" s="5" t="inlineStr"/>
      <c r="AE427" s="5" t="inlineStr"/>
      <c r="AF427" s="5" t="inlineStr"/>
      <c r="AG427" s="5" t="inlineStr"/>
      <c r="AH427" s="5" t="inlineStr"/>
      <c r="AI427" s="5" t="inlineStr"/>
      <c r="AJ427" s="5" t="inlineStr"/>
      <c r="AK427" t="inlineStr">
        <is>
          <t>sinav-iyi, -sinav-orta</t>
        </is>
      </c>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 sinav-orta</t>
        </is>
      </c>
      <c r="W428" s="5" t="inlineStr"/>
      <c r="X428" s="5" t="inlineStr"/>
      <c r="Y428" s="5" t="inlineStr"/>
      <c r="Z428" s="6" t="inlineStr"/>
      <c r="AA428" s="5" t="inlineStr"/>
      <c r="AB428" s="5" t="inlineStr">
        <is>
          <t>sinav-kotu</t>
        </is>
      </c>
      <c r="AC428" s="5" t="inlineStr"/>
      <c r="AD428" s="5" t="inlineStr"/>
      <c r="AE428" s="5" t="inlineStr"/>
      <c r="AF428" s="5" t="inlineStr"/>
      <c r="AG428" s="5" t="inlineStr"/>
      <c r="AH428" s="5" t="inlineStr"/>
      <c r="AI428" s="5" t="inlineStr"/>
      <c r="AJ428" s="5" t="inlineStr"/>
      <c r="AK428" t="inlineStr">
        <is>
          <t>sinav-iyi, -sinav-orta</t>
        </is>
      </c>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is>
          <t>sinav-kotu, yd-reddedildi</t>
        </is>
      </c>
      <c r="AC430" s="5" t="inlineStr"/>
      <c r="AD430" s="5" t="inlineStr"/>
      <c r="AE430" s="5" t="inlineStr"/>
      <c r="AF430" s="5" t="inlineStr"/>
      <c r="AG430" s="5" t="inlineStr"/>
      <c r="AH430" s="5" t="inlineStr">
        <is>
          <t>Akıl 30</t>
        </is>
      </c>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simon</t>
        </is>
      </c>
      <c r="N432" s="5" t="inlineStr">
        <is>
          <t>İlk Dans</t>
        </is>
      </c>
      <c r="O432" s="6" t="inlineStr">
        <is>
          <t>Sırayı dinle, aynı sırayla tekrar et.</t>
        </is>
      </c>
      <c r="P432" s="6" t="inlineStr">
        <is>
          <t>{"items": ["⬅️", "⬆️", "➡️", "⬇️"]}</t>
        </is>
      </c>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is>
          <t>Akıl 27</t>
        </is>
      </c>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is>
          <t>Dayanıklılık 28</t>
        </is>
      </c>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is>
          <t>Akıl 26</t>
        </is>
      </c>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is>
          <t>Pişkinlik 24</t>
        </is>
      </c>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is>
          <t>sinav-iyi</t>
        </is>
      </c>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is>
          <t>Akıl 31</t>
        </is>
      </c>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Araba yokuşta bir an düşündü, sonra çıktı. Görevli kâğıdına “Gayret” yazdı; kâğıtta öyle bir kutu yoktu.</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timing</t>
        </is>
      </c>
      <c r="N461" s="5" t="inlineStr">
        <is>
          <t>Yokuş Kalkışı</t>
        </is>
      </c>
      <c r="O461" s="6" t="inlineStr">
        <is>
          <t>İbre yeşil alandayken DURDUR'a bas. Art arda tutturdukça kombo kazanırsın.</t>
        </is>
      </c>
      <c r="P461" s="6" t="n"/>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balık hikâyesini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is>
          <t>borclu, kart-borclu</t>
        </is>
      </c>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 kart-borclu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is>
          <t>Dayanıklılık 30</t>
        </is>
      </c>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duel</t>
        </is>
      </c>
      <c r="N493" s="5" t="inlineStr">
        <is>
          <t>Kira Pazarlığı</t>
        </is>
      </c>
      <c r="O493" s="6" t="inlineStr">
        <is>
          <t>Karşındakinin sabrı bitmeden en iyi cevabı seç.</t>
        </is>
      </c>
      <c r="P493" s="6" t="inlineStr">
        <is>
          <t>{"who": "Ev sahibi", "item":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tower</t>
        </is>
      </c>
      <c r="N496" s="5" t="inlineStr">
        <is>
          <t>Dördüncü Kat</t>
        </is>
      </c>
      <c r="O496" s="6" t="inlineStr">
        <is>
          <t>Kaymadan üst üste dizmek için doğru anda BIRAK'a bas.</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is>
          <t>Akıl 29</t>
        </is>
      </c>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n">
        <v>1</v>
      </c>
      <c r="Z513" s="6" t="inlineStr">
        <is>
          <t>Kışlanın ilk nöbetinde, “Sağlam” denilen tahta merdiveni denerken. Merdiven rapor edildi.</t>
        </is>
      </c>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is>
          <t>bolum-hukuk, bolum-muhendislik</t>
        </is>
      </c>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is>
          <t>Akıl 27</t>
        </is>
      </c>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is>
          <t>Cesaret 26</t>
        </is>
      </c>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is>
          <t>Dayanıklılık 30</t>
        </is>
      </c>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is>
          <t>Akıl 32</t>
        </is>
      </c>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is>
          <t>Pişkinlik 27</t>
        </is>
      </c>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is>
          <t>Kurnazlık 33</t>
        </is>
      </c>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36</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tower</t>
        </is>
      </c>
      <c r="N543" s="5" t="inlineStr">
        <is>
          <t>Vitrin Düzeni</t>
        </is>
      </c>
      <c r="O543" s="6" t="inlineStr">
        <is>
          <t>Kaymadan üst üste dizmek için doğru anda BIRAK'a bas.</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c r="AL545" t="n">
        <v>1</v>
      </c>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duel</t>
        </is>
      </c>
      <c r="N550" s="5" t="inlineStr">
        <is>
          <t>İlk Teklif</t>
        </is>
      </c>
      <c r="O550" s="6" t="inlineStr">
        <is>
          <t>Karşındakinin sabrı bitmeden en iyi cevabı seç.</t>
        </is>
      </c>
      <c r="P550" s="6" t="inlineStr">
        <is>
          <t>{"who": "Müşteri", "item":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Dayanıklılık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lie</t>
        </is>
      </c>
      <c r="N554" s="5" t="inlineStr">
        <is>
          <t>Mülakat Soruları</t>
        </is>
      </c>
      <c r="O554" s="6" t="inlineStr">
        <is>
          <t>Söylediklerini aklında tut; sorulara çelişmeden cevap ver.</t>
        </is>
      </c>
      <c r="P554" s="6" t="inlineStr">
        <is>
          <t>{"who": "Mülakatçı", "facts": ["Önceki işimden kendi isteğimle ayrıldım.", "Beş yıllık tecrübem var.", "Maaş beklentim piyasa düzeyinde."], "qs": [{"q": "Neden ayrıldınız?", "o": ["Kendi isteğimle, yeni hedefler için.", "Beni çıkardılar.", "Patron beni sevmiyordu."]}, {"q": "Kaç yıllık tecrübeniz var?", "o": ["Beş yıl.", "Üç yıl.", "On yıl."]}, {"q": "Maaş beklentiniz?", "o": ["Piyasa düzeyinde.", "Ne verirseniz.", "İki katı."]}]}</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simon</t>
        </is>
      </c>
      <c r="N561" s="5" t="inlineStr">
        <is>
          <t>Halay Başı</t>
        </is>
      </c>
      <c r="O561" s="6" t="inlineStr">
        <is>
          <t>Sırayı dinle, aynı sırayla tekrar et.</t>
        </is>
      </c>
      <c r="P561" s="6" t="inlineStr">
        <is>
          <t>{"items": ["👣", "👏", "🪘", "🕺"]}</t>
        </is>
      </c>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diff</t>
        </is>
      </c>
      <c r="N572" s="5" t="inlineStr">
        <is>
          <t>Eksik Evrak</t>
        </is>
      </c>
      <c r="O572" s="6" t="inlineStr">
        <is>
          <t>İki evrak yığını aynı olmalı: farklı olan kâğıtları bul.</t>
        </is>
      </c>
      <c r="P572" s="6" t="inlineStr">
        <is>
          <t>{"set": ["📄", "📑", "📝", "🗂️", "🖋️"]}</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is>
          <t>Fakir</t>
        </is>
      </c>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duel</t>
        </is>
      </c>
      <c r="N596" s="5" t="inlineStr">
        <is>
          <t>Toptancı Pazarlığı</t>
        </is>
      </c>
      <c r="O596" s="6" t="inlineStr">
        <is>
          <t>Karşındakinin sabrı bitmeden en iyi cevabı seç.</t>
        </is>
      </c>
      <c r="P596" s="6" t="inlineStr">
        <is>
          <t>{"who": "Toptancı", "item":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is>
          <t>Cesaret 30</t>
        </is>
      </c>
      <c r="AI597" s="5" t="inlineStr"/>
      <c r="AJ597" s="5" t="inlineStr"/>
      <c r="AL597" t="n">
        <v>1</v>
      </c>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hidden</t>
        </is>
      </c>
      <c r="N610" s="5" t="inlineStr">
        <is>
          <t>Terlikle Takip</t>
        </is>
      </c>
      <c r="O610" s="6" t="inlineStr">
        <is>
          <t>Kalabalık kaldırımda kuryeyi (🛵) bul.</t>
        </is>
      </c>
      <c r="P610" s="6" t="inlineStr">
        <is>
          <t>{"target": "🛵", "decoys": ["🚲", "🛴", "🚶", "🛒", "🐕"]}</t>
        </is>
      </c>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hidden</t>
        </is>
      </c>
      <c r="N631" s="5" t="inlineStr">
        <is>
          <t>Önemli E-posta</t>
        </is>
      </c>
      <c r="O631" s="6" t="inlineStr">
        <is>
          <t>Gelen kutusunda gerçekten önemli tek e-postayı (📧) bul.</t>
        </is>
      </c>
      <c r="P631" s="6" t="inlineStr">
        <is>
          <t>{"target": "📧", "decoys": ["📰", "📢", "🎁", "🛍️", "📎"]}</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bir bozukluk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is>
          <t>Rahat</t>
        </is>
      </c>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Paspası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Sofradan sonra, balkonda sevdiğin kişiye teklif et</t>
        </is>
      </c>
      <c r="D660" s="5" t="inlineStr">
        <is>
          <t>Gönül</t>
        </is>
      </c>
      <c r="E660" s="5" t="inlineStr">
        <is>
          <t>Orta</t>
        </is>
      </c>
      <c r="F660" s="5" t="inlineStr"/>
      <c r="G660" s="6" t="inlineStr"/>
      <c r="H660" s="6" t="inlineStr">
        <is>
          <t>Sofradan sonra balkona çıktınız. Yüzüğü çıkardın; “Evet” dedi. İki ay sonra, bir misafir salonunda, tuzlu bir kahve seni bekliyor.</t>
        </is>
      </c>
      <c r="I660" s="6" t="inlineStr">
        <is>
          <t>Teklifi öyle bir kurdun ki balkonun altından komşular alkışladı, “Evet” alkışların arasında kayboldu. Tekrar sordun; yine evet.</t>
        </is>
      </c>
      <c r="J660" s="6" t="inlineStr">
        <is>
          <t>Teklifi prova ettin, cesaretin provada kaldı. Balkona çıkmadın, çay içildi, yüzük cebinde eve döndü. Çekmeceye girdi; sen de uzun bir bekârlığa.</t>
        </is>
      </c>
      <c r="K660" s="6" t="inlineStr">
        <is>
          <t>Diz çöktüğün anda yüzük elinden kaydı, balkon demirinden aşağıdaki bahçeye düştü. İkiniz telefon fenerleriyle indiniz; bir saat sonra o doğruldu,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simon</t>
        </is>
      </c>
      <c r="N707" s="5" t="inlineStr">
        <is>
          <t>Canlı Performans</t>
        </is>
      </c>
      <c r="O707" s="6" t="inlineStr">
        <is>
          <t>Sırayı dinle, aynı sırayla tekrar et.</t>
        </is>
      </c>
      <c r="P707" s="6" t="inlineStr">
        <is>
          <t>{"items": ["🎤", "💃", "🎸", "🎬"]}</t>
        </is>
      </c>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Reklamın ikinci bölümü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duel</t>
        </is>
      </c>
      <c r="N723" s="5" t="inlineStr">
        <is>
          <t>Sunum Düellosu</t>
        </is>
      </c>
      <c r="O723" s="6" t="inlineStr">
        <is>
          <t>Karşındakinin sabrı bitmeden en iyi cevabı seç.</t>
        </is>
      </c>
      <c r="P723" s="6" t="inlineStr">
        <is>
          <t>{"who": "Yönetici", "rounds": [{"q": "Rakamlarınız nerede?", "o": [{"t": "Slayt üçte, özetle: yüzde on iki artış.", "s": 1}, {"t": "Bir bakayım, birazdan bulurum.", "s": 0.4}, {"t": "Rakamlar kalbimizde.", "s": 0.15}]}, {"q": "Rakibiniz daha tecrübeli, ne diyorsunuz?", "o": [{"t": "Tecrübeye saygı duyarım; sonuçlarım ortada.", "s": 1}, {"t": "Doğru, ben de aynısını düşünüyordum.", "s": 0.3}, {"t": "O öğle yemeklerinde çok iyi.", "s": 0.15}]}, {"q": "Son söz sizin.", "o": [{"t": "Üç hedef, bir takvim, bir sorumlu: ben.", "s": 1}, {"t": "Teşekkürler, çok güzel bir toplantıydı.", "s": 0.5}, {"t": "Slaytları e-postayla yollarım.", "s": 0.35}]}]}</t>
        </is>
      </c>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is>
          <t>Cesaret 30</t>
        </is>
      </c>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is>
          <t>Dayanıklılık 34</t>
        </is>
      </c>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simon</t>
        </is>
      </c>
      <c r="N735" s="5" t="inlineStr">
        <is>
          <t>Ninni Sırası</t>
        </is>
      </c>
      <c r="O735" s="6" t="inlineStr">
        <is>
          <t>Sırayı dinle, aynı sırayla tekrar et.</t>
        </is>
      </c>
      <c r="P735" s="6" t="inlineStr">
        <is>
          <t>{"items": ["🌙", "🍼", "🎵", "🧸"]}</t>
        </is>
      </c>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is>
          <t>Dayanıklılık 30</t>
        </is>
      </c>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duel</t>
        </is>
      </c>
      <c r="N766" s="5" t="inlineStr">
        <is>
          <t>Ev Pazarlığı</t>
        </is>
      </c>
      <c r="O766" s="6" t="inlineStr">
        <is>
          <t>Karşındakinin sabrı bitmeden en iyi cevabı seç.</t>
        </is>
      </c>
      <c r="P766" s="6" t="inlineStr">
        <is>
          <t>{"who": "Satıcı", "item":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is>
          <t>Çene 38</t>
        </is>
      </c>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Zengin</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n">
        <v>3</v>
      </c>
      <c r="Z769" s="6" t="inlineStr">
        <is>
          <t>Kaynağı sorulmayan nakitle alınan evin eski sahibiyle merdivende “dostça” pazarlıkta. Pazarlık yarım kaldı.</t>
        </is>
      </c>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 kefil-borclu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37</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Vazodan beri tanıdık bir yöntem.</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timing</t>
        </is>
      </c>
      <c r="N789" s="5" t="inlineStr">
        <is>
          <t>Uyuyan Yük</t>
        </is>
      </c>
      <c r="O789" s="6" t="inlineStr">
        <is>
          <t>İbre yeşil alandayken DURDUR'a bas. Art arda tutturdukça kombo kazanırsın.</t>
        </is>
      </c>
      <c r="P789" s="6" t="n"/>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Veli toplantısında öğretmen adını okudu, sen refleksle “Aynen” dedin. Sınıf güldü; öğretmen tutanağa “katıldı” yazdı.</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duel</t>
        </is>
      </c>
      <c r="N806" s="5" t="inlineStr">
        <is>
          <t>Sezon Sonu Pazarlığı</t>
        </is>
      </c>
      <c r="O806" s="6" t="inlineStr">
        <is>
          <t>Karşındakinin sabrı bitmeden en iyi cevabı seç.</t>
        </is>
      </c>
      <c r="P806" s="6" t="inlineStr">
        <is>
          <t>{"who": "Müşteri", "item":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is>
          <t>borclu, kart-borclu</t>
        </is>
      </c>
      <c r="Y810" s="5" t="inlineStr"/>
      <c r="Z810" s="6" t="inlineStr"/>
      <c r="AA810" s="5" t="inlineStr"/>
      <c r="AB810" s="5" t="inlineStr"/>
      <c r="AC810" s="5" t="inlineStr">
        <is>
          <t>Orta</t>
        </is>
      </c>
      <c r="AD810" s="5" t="inlineStr"/>
      <c r="AE810" s="5" t="inlineStr"/>
      <c r="AF810" s="5" t="n">
        <v>1</v>
      </c>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 kart-borclu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is>
          <t>Sosyal Radar 33</t>
        </is>
      </c>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anahtar yine kayıp.</t>
        </is>
      </c>
      <c r="M818" s="5" t="inlineStr">
        <is>
          <t>fight</t>
        </is>
      </c>
      <c r="N818" s="5" t="inlineStr">
        <is>
          <t>Halat Çekme Finali</t>
        </is>
      </c>
      <c r="O818" s="6" t="inlineStr">
        <is>
          <t>Saldırının geldiği yöne karşılık ver.</t>
        </is>
      </c>
      <c r="P818" s="6" t="inlineStr">
        <is>
          <t>{"mode": "parry", "opp": "💪"}</t>
        </is>
      </c>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Kırk yaşı olduğu gibi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is>
          <t>Orta</t>
        </is>
      </c>
      <c r="AD830" s="5" t="inlineStr"/>
      <c r="AE830" s="5" t="inlineStr"/>
      <c r="AF830" s="5" t="inlineStr"/>
      <c r="AG830" s="5" t="inlineStr"/>
      <c r="AH830" s="5" t="inlineStr">
        <is>
          <t>Cesaret 28</t>
        </is>
      </c>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Hikâyeyi fazla detaylandırdın.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duel</t>
        </is>
      </c>
      <c r="N857" s="5" t="inlineStr">
        <is>
          <t>Not Görüşmesi</t>
        </is>
      </c>
      <c r="O857" s="6" t="inlineStr">
        <is>
          <t>Karşındakinin sabrı bitmeden en iyi cevabı seç.</t>
        </is>
      </c>
      <c r="P857" s="6" t="inlineStr">
        <is>
          <t>{"who": "Müdür", "rounds": [{"q": "Beklentileri karşılıyorsunuz, bu yeterli değil mi?", "o": [{"t": "Karşılamak taban; ben tavanı konuşmak istiyorum.", "s": 1}, {"t": "Yeterli, teşekkürler.", "s": 0.2}, {"t": "Karşılamıyor desem?", "s": 0.35}]}, {"q": "Kanıtınız?", "o": [{"t": "Üç tamamlanan dosya, sıfır iade.", "s": 1}, {"t": "Herkes biliyor zaten.", "s": 0.3}, {"t": "Kanıt masada, kırmızı kalemle.", "s": 0.5}]}, {"q": "Tamam, bir üst not için ne istiyorsunuz?", "o": [{"t": "Notu, yazılı gerekçesiyle.", "s": 1}, {"t": "Ne verirseniz.", "s": 0.25}, {"t": "Maaş zammı da olsun.", "s": 0.55}]}]}</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domatesin fiyatını kendiliğinden indirdi, üstüne “Müfettişsiniz herhalde” diye fısıldadı.</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Dayanıklılık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duel</t>
        </is>
      </c>
      <c r="N864" s="5" t="inlineStr">
        <is>
          <t>Miras Sorusu</t>
        </is>
      </c>
      <c r="O864" s="6" t="inlineStr">
        <is>
          <t>Karşındakinin sabrı bitmeden en iyi cevabı seç.</t>
        </is>
      </c>
      <c r="P864" s="6" t="inlineStr">
        <is>
          <t>{"who": "Amca", "rounds": [{"q": "Tarlaya kim bakacak?", "o": [{"t": "Konuşalım, ama yemekten sonra.", "s": 1}, {"t": "Bakarım, merak etme.", "s": 0.3}, {"t": "Sen bakıyorsun zaten.", "s": 0.45}]}, {"q": "Sen zaten şehirdesin, değil mi?", "o": [{"t": "Şehirdeyim, ama bayramlar hep burada.", "s": 1}, {"t": "Evet, ve dönmeyeceğim.", "s": 0.2}, {"t": "Sen de orada değildin.", "s": 0.4}]}, {"q": "Tapu kimde?", "o": [{"t": "Sofradan sonra hepimiz bakarız.", "s": 1}, {"t": "Bende.", "s": 0.2}, {"t": "Babamda, ben hiç görmedim.", "s": 0.5}]}]}</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is>
          <t>Dayanıklılık 30</t>
        </is>
      </c>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duel</t>
        </is>
      </c>
      <c r="N888" s="5" t="inlineStr">
        <is>
          <t>Kısa Görüşme</t>
        </is>
      </c>
      <c r="O888" s="6" t="inlineStr">
        <is>
          <t>Karşındakinin sabrı bitmeden en iyi cevabı seç.</t>
        </is>
      </c>
      <c r="P888" s="6" t="inlineStr">
        <is>
          <t>{"who": "İnsan kaynakları", "rounds": [{"q": "Şirkette kendini nasıl görüyorsun?", "o": [{"t": "Değer üreten, uyum sağlayan biri olarak.", "s": 1}, {"t": "Hiç düşünmedim.", "s": 0.2}, {"t": "Sen söyle.", "s": 0.3}]}, {"q": "Değişime açık mısın?", "o": [{"t": "Açığım; hangi değişim, takvim ne?", "s": 1}, {"t": "Elbette, her şeye.", "s": 0.4}, {"t": "Bu bir yeniden yapılanma mı?", "s": 0.55}]}, {"q": "Şu formu bir okur musun?", "o": [{"t": "Okurum, ama önce metni ve tarihi konuşalım.", "s": 1}, {"t": "İmzalarım.", "s": 0.1}, {"t": "Avukatıma sorayım.", "s": 0.6}]}]}</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is>
          <t>Akıl 35</t>
        </is>
      </c>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simon</t>
        </is>
      </c>
      <c r="N910" s="5" t="inlineStr">
        <is>
          <t>Mutfak Dansı</t>
        </is>
      </c>
      <c r="O910" s="6" t="inlineStr">
        <is>
          <t>Sırayı dinle, aynı sırayla tekrar et.</t>
        </is>
      </c>
      <c r="P910" s="6" t="inlineStr">
        <is>
          <t>{"items": ["🍽️", "🥄", "🍴",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duel</t>
        </is>
      </c>
      <c r="N916" s="5" t="inlineStr">
        <is>
          <t>Özlem Fiyatı</t>
        </is>
      </c>
      <c r="O916" s="6" t="inlineStr">
        <is>
          <t>Karşındakinin sabrı bitmeden en iyi cevabı seç.</t>
        </is>
      </c>
      <c r="P916" s="6" t="inlineStr">
        <is>
          <t>{"who": "Eski müşteri", "item":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diff</t>
        </is>
      </c>
      <c r="N923" s="5" t="inlineStr">
        <is>
          <t>Sahte Haber Farkı</t>
        </is>
      </c>
      <c r="O923" s="6" t="inlineStr">
        <is>
          <t>İki haber panosu aynı olmalı: oynanmış kareleri bul.</t>
        </is>
      </c>
      <c r="P923" s="6" t="inlineStr">
        <is>
          <t>{"set": ["📰", "📢", "📺", "📱", "🗞️"]}</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timing</t>
        </is>
      </c>
      <c r="N943" s="5" t="inlineStr">
        <is>
          <t>Son Kilometre</t>
        </is>
      </c>
      <c r="O943" s="6" t="inlineStr">
        <is>
          <t>İbre yeşil alandayken DURDUR'a bas. Art arda tutturdukça kombo kazanırsın.</t>
        </is>
      </c>
      <c r="P943" s="6" t="n"/>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is>
          <t>Dayanıklılık 34</t>
        </is>
      </c>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is>
          <t>Cesaret 30</t>
        </is>
      </c>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duel</t>
        </is>
      </c>
      <c r="N950" s="5" t="inlineStr">
        <is>
          <t>Emlakçı Pazarlığı</t>
        </is>
      </c>
      <c r="O950" s="6" t="inlineStr">
        <is>
          <t>Karşındakinin sabrı bitmeden en iyi cevabı seç.</t>
        </is>
      </c>
      <c r="P950" s="6" t="inlineStr">
        <is>
          <t>{"who": "Emlakçı", "item":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is>
          <t>Rahat</t>
        </is>
      </c>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bu kez salondan değil,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is>
          <t>Rahat</t>
        </is>
      </c>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is>
          <t>Rahat</t>
        </is>
      </c>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is>
          <t>İtibar 33</t>
        </is>
      </c>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duel</t>
        </is>
      </c>
      <c r="N975" s="5" t="inlineStr">
        <is>
          <t>İlk Buluşma Sohbeti</t>
        </is>
      </c>
      <c r="O975" s="6" t="inlineStr">
        <is>
          <t>Karşındakinin sabrı bitmeden en iyi cevabı seç.</t>
        </is>
      </c>
      <c r="P975" s="6" t="inlineStr">
        <is>
          <t>{"who": "Karşındaki", "rounds": [{"q": "Siz de mi bir tanıdığın tanıdığısınız?", "o": [{"t": "Evet; umarım tanıdığımız iyi bir kahveci çıkar.", "s": 1}, {"t": "Aslında hiç gelmek istememiştim.", "s": 0.15}, {"t": "Tanıdık bilmem, kahve güzelmiş.", "s": 0.6}]}, {"q": "Ne yapıyorsunuz, emekli misiniz?", "o": [{"t": "İşten çok işlerin peşinden koşuyorum.", "s": 1}, {"t": "Evet, çok sıkıcı.", "s": 0.25}, {"t": "Hayat bana bakıyor.", "s": 0.5}]}, {"q": "Bir daha kahve içer miyiz?", "o": [{"t": "İçeriz; bu sefer benden.", "s": 1}, {"t": "Düşüneyim.", "s": 0.4}, {"t": "Teyze ayarlasın.", "s": 0.3}]}]}</t>
        </is>
      </c>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is>
          <t>İtibar 34</t>
        </is>
      </c>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defterin arasına koydun, “Belki” yazan sayfaya.</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yazıcını sordu. Yazıcın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timing</t>
        </is>
      </c>
      <c r="N1012" s="5" t="inlineStr">
        <is>
          <t>Tempo Yarışı</t>
        </is>
      </c>
      <c r="O1012" s="6" t="inlineStr">
        <is>
          <t>İbre yeşil alandayken DURDUR'a bas. Art arda tutturdukça kombo kazanırsın.</t>
        </is>
      </c>
      <c r="P1012" s="6" t="n"/>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duel</t>
        </is>
      </c>
      <c r="N1088" s="5" t="inlineStr">
        <is>
          <t>Kapanış Pazarlığı</t>
        </is>
      </c>
      <c r="O1088" s="6" t="inlineStr">
        <is>
          <t>Karşındakinin sabrı bitmeden en iyi cevabı seç.</t>
        </is>
      </c>
      <c r="P1088" s="6" t="inlineStr">
        <is>
          <t>{"who": "Pazarcı", "item":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is>
          <t>Orta</t>
        </is>
      </c>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is>
          <t>Rahat</t>
        </is>
      </c>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is>
          <t>Rahat</t>
        </is>
      </c>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c r="AL1093" t="n">
        <v>1</v>
      </c>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c r="AL1095" t="n">
        <v>1</v>
      </c>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tower</t>
        </is>
      </c>
      <c r="N1135" s="5" t="inlineStr">
        <is>
          <t>Kabak Arabası</t>
        </is>
      </c>
      <c r="O1135" s="6" t="inlineStr">
        <is>
          <t>Kaymadan üst üste dizmek için doğru anda BIRAK'a bas.</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timing</t>
        </is>
      </c>
      <c r="N1139" s="5" t="inlineStr">
        <is>
          <t>Son Kepenk</t>
        </is>
      </c>
      <c r="O1139" s="6" t="inlineStr">
        <is>
          <t>İbre yeşil alandayken DURDUR'a bas. Art arda tutturdukça kombo kazanırsın.</t>
        </is>
      </c>
      <c r="P1139" s="6" t="n"/>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otuz sekiz sayfanı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timing</t>
        </is>
      </c>
      <c r="N1173" s="5" t="inlineStr">
        <is>
          <t>Sesli Mesaj</t>
        </is>
      </c>
      <c r="O1173" s="6" t="inlineStr">
        <is>
          <t>İbre yeşil alandayken DURDUR'a bas. Art arda tutturdukça kombo kazanırsın.</t>
        </is>
      </c>
      <c r="P1173" s="6" t="n"/>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hidden</t>
        </is>
      </c>
      <c r="N1187" s="5" t="inlineStr">
        <is>
          <t>Montunu Değiştiren</t>
        </is>
      </c>
      <c r="O1187" s="6" t="inlineStr">
        <is>
          <t>Sıradaki çocukların arasında montunu değiştirenin işaretini (🧥) bul.</t>
        </is>
      </c>
      <c r="P1187" s="6" t="inlineStr">
        <is>
          <t>{"target": "🧥", "decoys": ["🧒🏻", "👧🏽", "🧒🏿", "👦🏼", "👧🏻"]}</t>
        </is>
      </c>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diff</t>
        </is>
      </c>
      <c r="N1191" s="5" t="inlineStr">
        <is>
          <t>Fotoğraf Farkı</t>
        </is>
      </c>
      <c r="O1191" s="6" t="inlineStr">
        <is>
          <t>İki albüm aynı olmalı: farklı olan fotoğrafları bul.</t>
        </is>
      </c>
      <c r="P1191" s="6" t="inlineStr">
        <is>
          <t>{"set": ["📷", "🖼️", "😀", "😴", "👪"]}</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duel</t>
        </is>
      </c>
      <c r="N1194" s="5" t="inlineStr">
        <is>
          <t>Parsel Pazarlığı</t>
        </is>
      </c>
      <c r="O1194" s="6" t="inlineStr">
        <is>
          <t>Karşındakinin sabrı bitmeden en iyi cevabı seç.</t>
        </is>
      </c>
      <c r="P1194" s="6" t="inlineStr">
        <is>
          <t>{"who": "Görevli", "item":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İtirafı okuyan aile üyeleri ayağa kalktı ve kedinin anısına bir dakikalık saygı duruşu yapıldı.</t>
        </is>
      </c>
      <c r="J1204" s="6" t="inlineStr">
        <is>
          <t>İtirafı yazdın ama sayfa kahveye bulandı. Kedinin sicili değişmedi.</t>
        </is>
      </c>
      <c r="K1204" s="6" t="inlineStr">
        <is>
          <t>Gerçeği yazdın.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timing</t>
        </is>
      </c>
      <c r="N1205" s="5" t="inlineStr">
        <is>
          <t>Mumları Söndür</t>
        </is>
      </c>
      <c r="O1205" s="6" t="inlineStr">
        <is>
          <t>İbre yeşil alandayken DURDUR'a bas. Art arda tutturdukça kombo kazanırsın.</t>
        </is>
      </c>
      <c r="P1205" s="6" t="n"/>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Çene</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bir bozukluk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is>
          <t>Dayanıklılık 28</t>
        </is>
      </c>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 sinav-orta, -sinav-kotu</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c r="AK1313" t="inlineStr">
        <is>
          <t>sinav-iyi, -sinav-orta</t>
        </is>
      </c>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 sinav-orta, -sinav-kotu</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c r="AK1314" t="inlineStr">
        <is>
          <t>sinav-iyi, -sinav-orta</t>
        </is>
      </c>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is>
          <t>Akıl 27</t>
        </is>
      </c>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is>
          <t>Dayanıklılık 28</t>
        </is>
      </c>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is>
          <t>Akıl 26</t>
        </is>
      </c>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is>
          <t>Pişkinlik 24</t>
        </is>
      </c>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is>
          <t>sinav-iyi</t>
        </is>
      </c>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is>
          <t>Akıl 31</t>
        </is>
      </c>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Fotokopileri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n">
        <v>2</v>
      </c>
      <c r="Z1331" s="6" t="inlineStr">
        <is>
          <t>Öte Diyar'da ilk kış, gece yurda dönerken “Buralı değilsin” diye sataşan bir grubun karşısında durup kavgaya karıştığında. Gruptan biri sonradan özür diledi; çok geç, çok kısa.</t>
        </is>
      </c>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müdürün cümlesi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is>
          <t>Çene 36</t>
        </is>
      </c>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is>
          <t>Akıl 32</t>
        </is>
      </c>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timing</t>
        </is>
      </c>
      <c r="N1353" s="5" t="inlineStr">
        <is>
          <t>Derin Nefes</t>
        </is>
      </c>
      <c r="O1353" s="6" t="inlineStr">
        <is>
          <t>İbre yeşil alandayken DURDUR'a bas. Art arda tutturdukça kombo kazanırsın.</t>
        </is>
      </c>
      <c r="P1353" s="6" t="n"/>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n">
        <v>1</v>
      </c>
      <c r="Z1355" s="6" t="inlineStr">
        <is>
          <t>Yeni evin eski kombisini ilk kez yakmaya çalışırken. Ev sahibi “Normal” demişti.</t>
        </is>
      </c>
      <c r="AA1355" s="5" t="inlineStr">
        <is>
          <t>Şen -1, Yalçın -1, Tan +1</t>
        </is>
      </c>
      <c r="AB1355" s="5" t="inlineStr">
        <is>
          <t>evde-kaldi</t>
        </is>
      </c>
      <c r="AC1355" s="5" t="inlineStr">
        <is>
          <t>Fakir</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c r="AL1363" t="n">
        <v>1</v>
      </c>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Abinin işine gir</t>
        </is>
      </c>
      <c r="D1365" s="5" t="inlineStr"/>
      <c r="E1365" s="5" t="inlineStr"/>
      <c r="F1365" s="5" t="inlineStr">
        <is>
          <t>Pişkinlik +1</t>
        </is>
      </c>
      <c r="G1365" s="6" t="inlineStr">
        <is>
          <t>Abi seni bir oto yıkamanın başına geçirdi. Arabalar pek yıkanmıyor ama kasa hep dolu. Nereden dolduğunu sormamayı öğrendin; bu, bu işin ilk ve son dersi.</t>
        </is>
      </c>
      <c r="H1365" s="6" t="inlineStr"/>
      <c r="I1365" s="6" t="inlineStr"/>
      <c r="J1365" s="6" t="inlineStr"/>
      <c r="K1365" s="6" t="inlineStr"/>
      <c r="L1365" s="6" t="inlineStr"/>
      <c r="M1365" s="5" t="inlineStr"/>
      <c r="N1365" s="5" t="inlineStr"/>
      <c r="O1365" s="6" t="inlineStr"/>
      <c r="P1365" s="6" t="inlineStr"/>
      <c r="Q1365" s="5" t="inlineStr"/>
      <c r="R1365" s="5" t="inlineStr">
        <is>
          <t>abinin-adami</t>
        </is>
      </c>
      <c r="S1365" s="5" t="inlineStr"/>
      <c r="T1365" s="5" t="inlineStr"/>
      <c r="U1365" s="5" t="inlineStr">
        <is>
          <t>hat-cete, meslek-esnaf</t>
        </is>
      </c>
      <c r="V1365" s="5" t="inlineStr"/>
      <c r="W1365" s="5" t="inlineStr"/>
      <c r="X1365" s="5" t="inlineStr"/>
      <c r="Y1365" s="5" t="inlineStr"/>
      <c r="Z1365" s="6" t="inlineStr"/>
      <c r="AA1365" s="5" t="inlineStr">
        <is>
          <t>hepsi -1</t>
        </is>
      </c>
      <c r="AB1365" s="5" t="inlineStr"/>
      <c r="AC1365" s="5" t="inlineStr"/>
      <c r="AD1365" s="5" t="inlineStr">
        <is>
          <t>Rahat</t>
        </is>
      </c>
      <c r="AE1365" s="5" t="inlineStr"/>
      <c r="AF1365" s="5" t="inlineStr"/>
      <c r="AG1365" s="5" t="inlineStr"/>
      <c r="AH1365" s="5" t="inlineStr"/>
      <c r="AI1365" s="5" t="inlineStr"/>
      <c r="AJ1365" s="5" t="inlineStr"/>
    </row>
    <row r="1366">
      <c r="A1366" s="5" t="inlineStr">
        <is>
          <t>b6-hayat-yolu</t>
        </is>
      </c>
      <c r="B1366" s="5" t="n">
        <v>4</v>
      </c>
      <c r="C1366" s="6" t="inlineStr">
        <is>
          <t>Takipçilerini işe çevir</t>
        </is>
      </c>
      <c r="D1366" s="5" t="inlineStr">
        <is>
          <t>Pişkinlik</t>
        </is>
      </c>
      <c r="E1366" s="5" t="inlineStr">
        <is>
          <t>Zor</t>
        </is>
      </c>
      <c r="F1366" s="5" t="inlineStr"/>
      <c r="G1366" s="6" t="inlineStr"/>
      <c r="H1366" s="6" t="inlineStr">
        <is>
          <t>Kedinin hesabı artık bir marka. Bir mama firması seninle anlaştı; kedi yüzde yetmiş, sen yüzde otuz alıyorsun.</t>
        </is>
      </c>
      <c r="I1366" s="6" t="inlineStr">
        <is>
          <t>Kedi bir reklam filmine çıktı; sen de arkada. Sokakta insanlar seni kedinin sahibi olarak tanıyor. Bu da bir şöhret.</t>
        </is>
      </c>
      <c r="J1366" s="6" t="inlineStr">
        <is>
          <t>Takipçilerin kediyi seviyor, reklamı sevmiyor. Anlaşmalar gelmedi; düğünlerde fotoğrafçılık yapmaya başladın.</t>
        </is>
      </c>
      <c r="K1366" s="6" t="inlineStr">
        <is>
          <t>Mama reklamını kedinin değil kendi hesabından, sabah suratınla paylaştın. Takipçiler kediyi sana yakıştıramadı, gitti. Kedi o hafta sana sırtını dönüp uyudu. Düğün fotoğrafçılığı seni bekliyor.</t>
        </is>
      </c>
      <c r="L1366" s="6" t="inlineStr"/>
      <c r="M1366" s="5" t="inlineStr"/>
      <c r="N1366" s="5" t="inlineStr"/>
      <c r="O1366" s="6" t="inlineStr"/>
      <c r="P1366" s="6" t="inlineStr"/>
      <c r="Q1366" s="5" t="inlineStr"/>
      <c r="R1366" s="5" t="inlineStr">
        <is>
          <t>fenomen</t>
        </is>
      </c>
      <c r="S1366" s="5" t="inlineStr"/>
      <c r="T1366" s="5" t="inlineStr"/>
      <c r="U1366" s="5" t="inlineStr"/>
      <c r="V1366" s="5" t="inlineStr">
        <is>
          <t>hat-sohret, meslek-serbest</t>
        </is>
      </c>
      <c r="W1366" s="5" t="inlineStr"/>
      <c r="X1366" s="5" t="inlineStr"/>
      <c r="Y1366" s="5" t="inlineStr"/>
      <c r="Z1366" s="6" t="inlineStr"/>
      <c r="AA1366" s="5" t="inlineStr"/>
      <c r="AB1366" s="5" t="inlineStr">
        <is>
          <t>meslek-serbest</t>
        </is>
      </c>
      <c r="AC1366" s="5" t="inlineStr"/>
      <c r="AD1366" s="5" t="inlineStr">
        <is>
          <t>Orta</t>
        </is>
      </c>
      <c r="AE1366" s="5" t="inlineStr"/>
      <c r="AF1366" s="5" t="inlineStr"/>
      <c r="AG1366" s="5" t="inlineStr"/>
      <c r="AH1366" s="5" t="inlineStr"/>
      <c r="AI1366" s="5" t="inlineStr"/>
      <c r="AJ1366" s="5" t="inlineStr"/>
    </row>
    <row r="1367">
      <c r="A1367" s="5" t="inlineStr">
        <is>
          <t>b6-hayat-yolu</t>
        </is>
      </c>
      <c r="B1367" s="5" t="n">
        <v>5</v>
      </c>
      <c r="C1367" s="6" t="inlineStr">
        <is>
          <t>Dedenin köyüne dön, toprağı işle</t>
        </is>
      </c>
      <c r="D1367" s="5" t="inlineStr"/>
      <c r="E1367" s="5" t="inlineStr"/>
      <c r="F1367" s="5" t="inlineStr">
        <is>
          <t>Dayanıklılık +1, İtibar +1</t>
        </is>
      </c>
      <c r="G1367" s="6" t="inlineStr">
        <is>
          <t>Şehri bıraktın, dedenin tarlasına döndün. Deden traktörün anahtarını verdi; kontağın püf noktasını vermedi. Köy kahvesinde adın şimdiden “Şehirli Torun”.</t>
        </is>
      </c>
      <c r="H1367" s="6" t="inlineStr"/>
      <c r="I1367" s="6" t="inlineStr"/>
      <c r="J1367" s="6" t="inlineStr"/>
      <c r="K1367" s="6" t="inlineStr"/>
      <c r="L1367" s="6" t="inlineStr"/>
      <c r="M1367" s="5" t="inlineStr"/>
      <c r="N1367" s="5" t="inlineStr"/>
      <c r="O1367" s="6" t="inlineStr"/>
      <c r="P1367" s="6" t="inlineStr"/>
      <c r="Q1367" s="5" t="inlineStr"/>
      <c r="R1367" s="5" t="inlineStr"/>
      <c r="S1367" s="5" t="inlineStr"/>
      <c r="T1367" s="5" t="inlineStr"/>
      <c r="U1367" s="5" t="inlineStr">
        <is>
          <t>hat-koy, meslek-esnaf</t>
        </is>
      </c>
      <c r="V1367" s="5" t="inlineStr"/>
      <c r="W1367" s="5" t="inlineStr"/>
      <c r="X1367" s="5" t="inlineStr"/>
      <c r="Y1367" s="5" t="inlineStr"/>
      <c r="Z1367" s="6" t="inlineStr"/>
      <c r="AA1367" s="5" t="inlineStr">
        <is>
          <t>Yalçın +1, Şen +1, Tan -1, Varlı -1</t>
        </is>
      </c>
      <c r="AB1367" s="5" t="inlineStr"/>
      <c r="AC1367" s="5" t="inlineStr"/>
      <c r="AD1367" s="5" t="inlineStr">
        <is>
          <t>Fakir</t>
        </is>
      </c>
      <c r="AE1367" s="5" t="inlineStr"/>
      <c r="AF1367" s="5" t="inlineStr"/>
      <c r="AG1367" s="5" t="inlineStr"/>
      <c r="AH1367" s="5" t="inlineStr"/>
      <c r="AI1367" s="5" t="inlineStr"/>
      <c r="AJ1367" s="5" t="inlineStr"/>
    </row>
    <row r="1368">
      <c r="A1368" s="5" t="inlineStr">
        <is>
          <t>b6-hayat-yolu</t>
        </is>
      </c>
      <c r="B1368" s="5" t="n">
        <v>6</v>
      </c>
      <c r="C1368" s="6" t="inlineStr">
        <is>
          <t>Telefonla “yatırım danışmanlığı” yap</t>
        </is>
      </c>
      <c r="D1368" s="5" t="inlineStr">
        <is>
          <t>Kurnazlık</t>
        </is>
      </c>
      <c r="E1368" s="5" t="inlineStr">
        <is>
          <t>Zor</t>
        </is>
      </c>
      <c r="F1368" s="5" t="inlineStr"/>
      <c r="G1368" s="6" t="inlineStr"/>
      <c r="H1368" s="6" t="inlineStr">
        <is>
          <t>Bir masa, üç hat ve “Size özel bir fırsat” cümlesi. İlk ay kazandığını ailene söyleyemedin; ailen de nereden kazandığını sormadı.</t>
        </is>
      </c>
      <c r="I1368" s="6" t="inlineStr">
        <is>
          <t>Sesin o kadar güven verici ki bir banka müdürü seni işe almak istedi. Teşekkür ettin; kendi masan daha kârlı.</t>
        </is>
      </c>
      <c r="J1368" s="6" t="inlineStr">
        <is>
          <t>Telefonu açanların hepsi senden şüphelendi, biri de seni kendi planına davet etti. Bir çağrı merkezinde meşru satış yapmaya başladın.</t>
        </is>
      </c>
      <c r="K1368" s="6" t="inlineStr">
        <is>
          <t>İlk aradığın numara teyzeninmiş. Aile grubunda sesli mesajın dolaşıyor. Meşru bir çağrı merkezine geçtin; teyzen hâlâ dinliyor.</t>
        </is>
      </c>
      <c r="L1368" s="6" t="inlineStr"/>
      <c r="M1368" s="5" t="inlineStr"/>
      <c r="N1368" s="5" t="inlineStr"/>
      <c r="O1368" s="6" t="inlineStr"/>
      <c r="P1368" s="6" t="inlineStr"/>
      <c r="Q1368" s="5" t="inlineStr"/>
      <c r="R1368" s="5" t="inlineStr">
        <is>
          <t>yalanci</t>
        </is>
      </c>
      <c r="S1368" s="5" t="inlineStr"/>
      <c r="T1368" s="5" t="inlineStr"/>
      <c r="U1368" s="5" t="inlineStr"/>
      <c r="V1368" s="5" t="inlineStr">
        <is>
          <t>hat-dolandirici, meslek-serbest</t>
        </is>
      </c>
      <c r="W1368" s="5" t="inlineStr"/>
      <c r="X1368" s="5" t="inlineStr"/>
      <c r="Y1368" s="5" t="inlineStr"/>
      <c r="Z1368" s="6" t="inlineStr"/>
      <c r="AA1368" s="5" t="inlineStr">
        <is>
          <t>hepsi -1</t>
        </is>
      </c>
      <c r="AB1368" s="5" t="inlineStr">
        <is>
          <t>meslek-serbest</t>
        </is>
      </c>
      <c r="AC1368" s="5" t="inlineStr"/>
      <c r="AD1368" s="5" t="inlineStr">
        <is>
          <t>Orta</t>
        </is>
      </c>
      <c r="AE1368" s="5" t="inlineStr"/>
      <c r="AF1368" s="5" t="inlineStr"/>
      <c r="AG1368" s="5" t="inlineStr"/>
      <c r="AH1368" s="5" t="inlineStr"/>
      <c r="AI1368" s="5" t="inlineStr"/>
      <c r="AJ1368" s="5" t="inlineStr"/>
    </row>
    <row r="1369">
      <c r="A1369" s="5" t="inlineStr">
        <is>
          <t>b6-hekimlik-yolu</t>
        </is>
      </c>
      <c r="B1369" s="5" t="n">
        <v>1</v>
      </c>
      <c r="C1369" s="6" t="inlineStr">
        <is>
          <t>Devlet hastanesine, mecburi hizmete</t>
        </is>
      </c>
      <c r="D1369" s="5" t="inlineStr"/>
      <c r="E1369" s="5" t="inlineStr"/>
      <c r="F1369" s="5" t="inlineStr">
        <is>
          <t>İtibar +1, Dayanıklılık +1</t>
        </is>
      </c>
      <c r="G1369" s="6" t="inlineStr">
        <is>
          <t>Kura çekildi, bir ilçe hastanesine düştün. Acilde tek hekimsin; gece ikide hem doktor, hem hemşire, hem de hasta yakınlarının psikoloğusun.</t>
        </is>
      </c>
      <c r="H1369" s="6" t="inlineStr"/>
      <c r="I1369" s="6" t="inlineStr"/>
      <c r="J1369" s="6" t="inlineStr"/>
      <c r="K1369" s="6" t="inlineStr"/>
      <c r="L1369" s="6" t="inlineStr"/>
      <c r="M1369" s="5" t="inlineStr"/>
      <c r="N1369" s="5" t="inlineStr"/>
      <c r="O1369" s="6" t="inlineStr"/>
      <c r="P1369" s="6" t="inlineStr"/>
      <c r="Q1369" s="5" t="inlineStr"/>
      <c r="R1369" s="5" t="inlineStr"/>
      <c r="S1369" s="5" t="inlineStr"/>
      <c r="T1369" s="5" t="inlineStr"/>
      <c r="U1369" s="5" t="inlineStr">
        <is>
          <t>hat-hekim, meslek-memur</t>
        </is>
      </c>
      <c r="V1369" s="5" t="inlineStr"/>
      <c r="W1369" s="5" t="inlineStr"/>
      <c r="X1369" s="5" t="inlineStr"/>
      <c r="Y1369" s="5" t="inlineStr"/>
      <c r="Z1369" s="6" t="inlineStr"/>
      <c r="AA1369" s="5" t="inlineStr">
        <is>
          <t>Erdem +1, Yalçın +1</t>
        </is>
      </c>
      <c r="AB1369" s="5" t="inlineStr"/>
      <c r="AC1369" s="5" t="inlineStr"/>
      <c r="AD1369" s="5" t="inlineStr">
        <is>
          <t>Orta</t>
        </is>
      </c>
      <c r="AE1369" s="5" t="inlineStr"/>
      <c r="AF1369" s="5" t="inlineStr"/>
      <c r="AG1369" s="5" t="inlineStr"/>
      <c r="AH1369" s="5" t="inlineStr"/>
      <c r="AI1369" s="5" t="inlineStr"/>
      <c r="AJ1369" s="5" t="inlineStr"/>
    </row>
    <row r="1370">
      <c r="A1370" s="5" t="inlineStr">
        <is>
          <t>b6-hekimlik-yolu</t>
        </is>
      </c>
      <c r="B1370" s="5" t="n">
        <v>2</v>
      </c>
      <c r="C1370" s="6" t="inlineStr">
        <is>
          <t>Uzmanlık sınavına gir</t>
        </is>
      </c>
      <c r="D1370" s="5" t="inlineStr">
        <is>
          <t>Akıl</t>
        </is>
      </c>
      <c r="E1370" s="5" t="inlineStr">
        <is>
          <t>Zor</t>
        </is>
      </c>
      <c r="F1370" s="5" t="inlineStr"/>
      <c r="G1370" s="6" t="inlineStr"/>
      <c r="H1370" s="6" t="inlineStr">
        <is>
          <t>Sınavı geçtin; istediğin branş, istediğin şehir. Beş yıllık asistanlık başlıyor. Annen hemen sordu: “Bayramda gelirsin, değil mi?” Hocan da aynı soruyu sordu; nöbet listesi için.</t>
        </is>
      </c>
      <c r="I1370" s="6" t="inlineStr">
        <is>
          <t>Derece yaptın. Hocalar seni kendi kliniğine istedi. Annen bunu okuduğunda “Hangi hastalığa bakıyorsun?” diye sordu; hepsine.</t>
        </is>
      </c>
      <c r="J1370" s="6" t="inlineStr">
        <is>
          <t>Puan yetmedi. Mecburi hizmete gittin; seneye yine deneyeceksin. Sınav kitapları acildeki masanın altında.</t>
        </is>
      </c>
      <c r="K1370" s="6" t="inlineStr">
        <is>
          <t>Sınavda yanlış branşı işaretledin. Mecburi hizmete gittin; orada branş yok, herkes her şey.</t>
        </is>
      </c>
      <c r="L1370" s="6" t="inlineStr"/>
      <c r="M1370" s="5" t="inlineStr"/>
      <c r="N1370" s="5" t="inlineStr"/>
      <c r="O1370" s="6" t="inlineStr"/>
      <c r="P1370" s="6" t="inlineStr"/>
      <c r="Q1370" s="5" t="inlineStr"/>
      <c r="R1370" s="5" t="inlineStr"/>
      <c r="S1370" s="5" t="inlineStr"/>
      <c r="T1370" s="5" t="inlineStr"/>
      <c r="U1370" s="5" t="inlineStr"/>
      <c r="V1370" s="5" t="inlineStr">
        <is>
          <t>hat-hekim, meslek-memur</t>
        </is>
      </c>
      <c r="W1370" s="5" t="inlineStr"/>
      <c r="X1370" s="5" t="inlineStr"/>
      <c r="Y1370" s="5" t="inlineStr"/>
      <c r="Z1370" s="6" t="inlineStr"/>
      <c r="AA1370" s="5" t="inlineStr"/>
      <c r="AB1370" s="5" t="inlineStr">
        <is>
          <t>hat-hekim, meslek-memur</t>
        </is>
      </c>
      <c r="AC1370" s="5" t="inlineStr"/>
      <c r="AD1370" s="5" t="inlineStr">
        <is>
          <t>Rahat</t>
        </is>
      </c>
      <c r="AE1370" s="5" t="inlineStr"/>
      <c r="AF1370" s="5" t="inlineStr"/>
      <c r="AG1370" s="5" t="inlineStr"/>
      <c r="AH1370" s="5" t="inlineStr">
        <is>
          <t>Akıl 32</t>
        </is>
      </c>
      <c r="AI1370" s="5" t="inlineStr"/>
      <c r="AJ1370" s="5" t="inlineStr"/>
    </row>
    <row r="1371">
      <c r="A1371" s="5" t="inlineStr">
        <is>
          <t>b6-hekimlik-yolu</t>
        </is>
      </c>
      <c r="B1371" s="5" t="n">
        <v>3</v>
      </c>
      <c r="C1371" s="6" t="inlineStr">
        <is>
          <t>Özel hastaneye geç</t>
        </is>
      </c>
      <c r="D1371" s="5" t="inlineStr">
        <is>
          <t>Çene</t>
        </is>
      </c>
      <c r="E1371" s="5" t="inlineStr">
        <is>
          <t>Orta</t>
        </is>
      </c>
      <c r="F1371" s="5" t="inlineStr"/>
      <c r="G1371" s="6" t="inlineStr"/>
      <c r="H1371" s="6" t="inlineStr">
        <is>
          <t>Özel bir hastane seni kadrosuna aldı. Odanda bitki var, hastaların randevulu. Aile grubundaki hastalar da artık randevu istiyor.</t>
        </is>
      </c>
      <c r="I1371" s="6" t="inlineStr">
        <is>
          <t>Hastane seni tanıtım filmine koydu. Gülümseyen doktor sensin; gülümsemek sözleşmede yazıyor.</t>
        </is>
      </c>
      <c r="J1371" s="6" t="inlineStr">
        <is>
          <t>Özel hastane seni aldı ama önce mecburi hizmet dedi. Bir ilçe hastanesinde iki yıl; bitki yok.</t>
        </is>
      </c>
      <c r="K1371" s="6" t="inlineStr">
        <is>
          <t>Görüşmede maaşı sordun, müdür “Biz aileyiz” dedi. Mecburi hizmete gittin; orada da aile yok, hasta var.</t>
        </is>
      </c>
      <c r="L1371" s="6" t="inlineStr"/>
      <c r="M1371" s="5" t="inlineStr"/>
      <c r="N1371" s="5" t="inlineStr"/>
      <c r="O1371" s="6" t="inlineStr"/>
      <c r="P1371" s="6" t="inlineStr"/>
      <c r="Q1371" s="5" t="inlineStr"/>
      <c r="R1371" s="5" t="inlineStr"/>
      <c r="S1371" s="5" t="inlineStr"/>
      <c r="T1371" s="5" t="inlineStr"/>
      <c r="U1371" s="5" t="inlineStr"/>
      <c r="V1371" s="5" t="inlineStr">
        <is>
          <t>hat-hekim, meslek-beyazyaka</t>
        </is>
      </c>
      <c r="W1371" s="5" t="inlineStr"/>
      <c r="X1371" s="5" t="inlineStr"/>
      <c r="Y1371" s="5" t="inlineStr"/>
      <c r="Z1371" s="6" t="inlineStr"/>
      <c r="AA1371" s="5" t="inlineStr"/>
      <c r="AB1371" s="5" t="inlineStr">
        <is>
          <t>hat-hekim, meslek-memur</t>
        </is>
      </c>
      <c r="AC1371" s="5" t="inlineStr"/>
      <c r="AD1371" s="5" t="inlineStr">
        <is>
          <t>Rahat</t>
        </is>
      </c>
      <c r="AE1371" s="5" t="inlineStr"/>
      <c r="AF1371" s="5" t="inlineStr"/>
      <c r="AG1371" s="5" t="inlineStr"/>
      <c r="AH1371" s="5" t="inlineStr"/>
      <c r="AI1371" s="5" t="inlineStr"/>
      <c r="AJ1371" s="5" t="inlineStr"/>
    </row>
    <row r="1372">
      <c r="A1372" s="5" t="inlineStr">
        <is>
          <t>b6-hekimlik-yolu</t>
        </is>
      </c>
      <c r="B1372" s="5" t="n">
        <v>4</v>
      </c>
      <c r="C1372" s="6" t="inlineStr">
        <is>
          <t>Öte Diyar'da hekimlik yap</t>
        </is>
      </c>
      <c r="D1372" s="5" t="inlineStr">
        <is>
          <t>Akıl</t>
        </is>
      </c>
      <c r="E1372" s="5" t="inlineStr">
        <is>
          <t>Zor</t>
        </is>
      </c>
      <c r="F1372" s="5" t="inlineStr"/>
      <c r="G1372" s="6" t="inlineStr"/>
      <c r="H1372" s="6" t="inlineStr">
        <is>
          <t>Dil sınavı, denklik sınavı, bir de mülakat. Hepsini geçtin. Bir kış sabahı Öte Diyar'da bir hastanenin koridorundasın; kimse adını doğru okuyamıyor.</t>
        </is>
      </c>
      <c r="I1372" s="6" t="inlineStr">
        <is>
          <t>Oradaki hastane seni bir yıl içinde uzman yaptı. Memlekete her dönüşünde akrabalar sıraya giriyor; sen de tatildesin, sözde.</t>
        </is>
      </c>
      <c r="J1372" s="6" t="inlineStr">
        <is>
          <t>Denklik sınavı olmadı. Mecburi hizmete gittin. Öte Diyar'ın broşürü acil servis masanın altında.</t>
        </is>
      </c>
      <c r="K1372" s="6" t="inlineStr">
        <is>
          <t>Dil sınavında hasta rolündeki jüri üyesine “Geçmiş olsun” diyecekken başsağlığı diledin. Jüri bir an sustu, sonra kendi nabzını yokladı. Mecburi hizmete gittin; orada herkes seni anlıyor, en azından.</t>
        </is>
      </c>
      <c r="L1372" s="6" t="inlineStr"/>
      <c r="M1372" s="5" t="inlineStr"/>
      <c r="N1372" s="5" t="inlineStr"/>
      <c r="O1372" s="6" t="inlineStr"/>
      <c r="P1372" s="6" t="inlineStr"/>
      <c r="Q1372" s="5" t="inlineStr"/>
      <c r="R1372" s="5" t="inlineStr"/>
      <c r="S1372" s="5" t="inlineStr"/>
      <c r="T1372" s="5" t="inlineStr"/>
      <c r="U1372" s="5" t="inlineStr"/>
      <c r="V1372" s="5" t="inlineStr">
        <is>
          <t>hat-hekim, hat-goc, meslek-beyazyaka</t>
        </is>
      </c>
      <c r="W1372" s="5" t="inlineStr"/>
      <c r="X1372" s="5" t="inlineStr"/>
      <c r="Y1372" s="5" t="inlineStr"/>
      <c r="Z1372" s="6" t="inlineStr"/>
      <c r="AA1372" s="5" t="inlineStr">
        <is>
          <t>Varlı +1, Şen -1, Yalçın -1</t>
        </is>
      </c>
      <c r="AB1372" s="5" t="inlineStr">
        <is>
          <t>hat-hekim, meslek-memur</t>
        </is>
      </c>
      <c r="AC1372" s="5" t="inlineStr"/>
      <c r="AD1372" s="5" t="inlineStr">
        <is>
          <t>Rahat</t>
        </is>
      </c>
      <c r="AE1372" s="5" t="inlineStr"/>
      <c r="AF1372" s="5" t="inlineStr"/>
      <c r="AG1372" s="5" t="inlineStr"/>
      <c r="AH1372" s="5" t="inlineStr">
        <is>
          <t>Akıl 34</t>
        </is>
      </c>
      <c r="AI1372" s="5" t="inlineStr"/>
      <c r="AJ1372" s="5" t="inlineStr"/>
    </row>
    <row r="1373">
      <c r="A1373" s="5" t="inlineStr">
        <is>
          <t>b6-polis-devriye</t>
        </is>
      </c>
      <c r="B1373" s="5" t="n">
        <v>1</v>
      </c>
      <c r="C1373" s="6" t="inlineStr">
        <is>
          <t>Kıdemlinin dediğini yap</t>
        </is>
      </c>
      <c r="D1373" s="5" t="inlineStr"/>
      <c r="E1373" s="5" t="inlineStr"/>
      <c r="F1373" s="5" t="inlineStr">
        <is>
          <t>Dayanıklılık +1, Sosyal Radar +1</t>
        </is>
      </c>
      <c r="G1373" s="6" t="inlineStr">
        <is>
          <t>Kıdemli iki manavı ayırdı, bir kasa domatesi ikiye böldü, işi bitirdi. Sana döndü: “Bu işin yarısı domates bölmektir.” Diğer yarısını sormadın.</t>
        </is>
      </c>
      <c r="H1373" s="6" t="inlineStr"/>
      <c r="I1373" s="6" t="inlineStr"/>
      <c r="J1373" s="6" t="inlineStr"/>
      <c r="K1373" s="6" t="inlineStr"/>
      <c r="L1373" s="6" t="inlineStr"/>
      <c r="M1373" s="5" t="inlineStr"/>
      <c r="N1373" s="5" t="inlineStr"/>
      <c r="O1373" s="6" t="inlineStr"/>
      <c r="P1373" s="6" t="inlineStr"/>
      <c r="Q1373" s="5" t="inlineStr"/>
      <c r="R1373" s="5" t="inlineStr"/>
      <c r="S1373" s="5" t="inlineStr"/>
      <c r="T1373" s="5" t="inlineStr"/>
      <c r="U1373" s="5" t="inlineStr"/>
      <c r="V1373" s="5" t="inlineStr"/>
      <c r="W1373" s="5" t="inlineStr"/>
      <c r="X1373" s="5" t="inlineStr"/>
      <c r="Y1373" s="5" t="inlineStr"/>
      <c r="Z1373" s="6" t="inlineStr"/>
      <c r="AA1373" s="5" t="inlineStr"/>
      <c r="AB1373" s="5" t="inlineStr"/>
      <c r="AC1373" s="5" t="inlineStr"/>
      <c r="AD1373" s="5" t="inlineStr"/>
      <c r="AE1373" s="5" t="inlineStr"/>
      <c r="AF1373" s="5" t="inlineStr"/>
      <c r="AG1373" s="5" t="inlineStr"/>
      <c r="AH1373" s="5" t="inlineStr"/>
      <c r="AI1373" s="5" t="inlineStr"/>
      <c r="AJ1373" s="5" t="inlineStr"/>
    </row>
    <row r="1374">
      <c r="A1374" s="5" t="inlineStr">
        <is>
          <t>b6-polis-devriye</t>
        </is>
      </c>
      <c r="B1374" s="5" t="n">
        <v>2</v>
      </c>
      <c r="C1374" s="6" t="inlineStr">
        <is>
          <t>Kavgayı sen çöz</t>
        </is>
      </c>
      <c r="D1374" s="5" t="inlineStr">
        <is>
          <t>Cesaret</t>
        </is>
      </c>
      <c r="E1374" s="5" t="inlineStr">
        <is>
          <t>Orta</t>
        </is>
      </c>
      <c r="F1374" s="5" t="inlineStr"/>
      <c r="G1374" s="6" t="inlineStr"/>
      <c r="H1374" s="6" t="inlineStr">
        <is>
          <t>İki manavı aynı masaya oturttun, domatesleri tarttırdın. Kavga bir kiloluk fark yüzündenmiş; kantar bozukmuş. Kantarı değiştirdiler; seni de çarşıda tanıdılar.</t>
        </is>
      </c>
      <c r="I1374" s="6" t="inlineStr">
        <is>
          <t>Manavlar barıştı, sana da birer kasa domates yolladılar. Reddettin; karakolda herkes o hafta salata yedi, isimsiz bağış olarak.</t>
        </is>
      </c>
      <c r="J1374" s="6" t="inlineStr">
        <is>
          <t>Kavgayı çözdün sandın; sen gidince yeniden başladı. Bu sefer kantarla.</t>
        </is>
      </c>
      <c r="K1374" s="6" t="inlineStr">
        <is>
          <t>Araya girdin; ilk domates ensene, ikincisi şapkana geldi. Karakola salata gibi döndün. Ertesi sabah dolabında bir kasa domates vardı; üstünde “Hoş geldin Domates” yazıyordu.</t>
        </is>
      </c>
      <c r="L1374" s="6" t="inlineStr"/>
      <c r="M1374" s="5" t="inlineStr"/>
      <c r="N1374" s="5" t="inlineStr"/>
      <c r="O1374" s="6" t="inlineStr"/>
      <c r="P1374" s="6" t="inlineStr"/>
      <c r="Q1374" s="5" t="inlineStr"/>
      <c r="R1374" s="5" t="inlineStr"/>
      <c r="S1374" s="5" t="inlineStr"/>
      <c r="T1374" s="5" t="inlineStr"/>
      <c r="U1374" s="5" t="inlineStr"/>
      <c r="V1374" s="5" t="inlineStr"/>
      <c r="W1374" s="5" t="inlineStr"/>
      <c r="X1374" s="5" t="inlineStr"/>
      <c r="Y1374" s="5" t="inlineStr"/>
      <c r="Z1374" s="6" t="inlineStr"/>
      <c r="AA1374" s="5" t="inlineStr"/>
      <c r="AB1374" s="5" t="inlineStr"/>
      <c r="AC1374" s="5" t="inlineStr"/>
      <c r="AD1374" s="5" t="inlineStr"/>
      <c r="AE1374" s="5" t="inlineStr"/>
      <c r="AF1374" s="5" t="inlineStr"/>
      <c r="AG1374" s="5" t="inlineStr"/>
      <c r="AH1374" s="5" t="inlineStr"/>
      <c r="AI1374" s="5" t="inlineStr">
        <is>
          <t>Domates</t>
        </is>
      </c>
      <c r="AJ1374" s="5" t="inlineStr"/>
    </row>
    <row r="1375">
      <c r="A1375" s="5" t="inlineStr">
        <is>
          <t>b6-polis-devriye</t>
        </is>
      </c>
      <c r="B1375" s="5" t="n">
        <v>3</v>
      </c>
      <c r="C1375" s="6" t="inlineStr">
        <is>
          <t>Kıdemliye usulü hatırlat</t>
        </is>
      </c>
      <c r="D1375" s="5" t="inlineStr">
        <is>
          <t>Cesaret</t>
        </is>
      </c>
      <c r="E1375" s="5" t="inlineStr">
        <is>
          <t>Zor</t>
        </is>
      </c>
      <c r="F1375" s="5" t="inlineStr"/>
      <c r="G1375" s="6" t="inlineStr"/>
      <c r="H1375" s="6" t="inlineStr">
        <is>
          <t>Tutanak tuttun, ifade aldın, usulü işlettin. Kıdemli söylenerek imzaladı; akşam amire “Bu çocuk iyi” dedi.</t>
        </is>
      </c>
      <c r="I1375" s="6" t="inlineStr">
        <is>
          <t>Tuttuğun tutanak karakolda örnek diye dolaştırıldı. Amir seni bir sonraki eğitime yazdı; kıdemli de sana çay ısmarladı, isteksizce.</t>
        </is>
      </c>
      <c r="J1375" s="6" t="inlineStr">
        <is>
          <t>Kıdemli seni dinledi ve telsizi açtı: skor soruyordu. Tutanak cebinde kaldı.</t>
        </is>
      </c>
      <c r="K1375" s="6" t="inlineStr">
        <is>
          <t>Kıdemli seni bütün karakola “Kitap” diye tanıttı. Bir hafta boyunca herkes sana çay ocağında usul sordu; çaya kaç şeker atılacağı dahil.</t>
        </is>
      </c>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is>
          <t>Cesaret 28</t>
        </is>
      </c>
      <c r="AI1375" s="5" t="inlineStr"/>
      <c r="AJ1375" s="5" t="inlineStr"/>
    </row>
    <row r="1376">
      <c r="A1376" s="5" t="inlineStr">
        <is>
          <t>b6-yargi-kurs</t>
        </is>
      </c>
      <c r="B1376" s="5" t="n">
        <v>1</v>
      </c>
      <c r="C1376" s="6" t="inlineStr">
        <is>
          <t>Not al, sus, izle</t>
        </is>
      </c>
      <c r="D1376" s="5" t="inlineStr"/>
      <c r="E1376" s="5" t="inlineStr"/>
      <c r="F1376" s="5" t="inlineStr">
        <is>
          <t>Akıl +1, Sosyal Radar +1</t>
        </is>
      </c>
      <c r="G1376" s="6" t="inlineStr">
        <is>
          <t>Üç saat not aldın. Kıdemli sonunda sana döndü: “Ne gördün?” “Ceviz” dedin. Kıdemli güldü: “Doğru. Ama asıl dava ceviz değil.”</t>
        </is>
      </c>
      <c r="H1376" s="6" t="inlineStr"/>
      <c r="I1376" s="6" t="inlineStr"/>
      <c r="J1376" s="6" t="inlineStr"/>
      <c r="K1376" s="6" t="inlineStr"/>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c r="AJ1376" s="5" t="inlineStr"/>
    </row>
    <row r="1377">
      <c r="A1377" s="5" t="inlineStr">
        <is>
          <t>b6-yargi-kurs</t>
        </is>
      </c>
      <c r="B1377" s="5" t="n">
        <v>2</v>
      </c>
      <c r="C1377" s="6" t="inlineStr">
        <is>
          <t>Keşif için ağaca gitmeyi öner</t>
        </is>
      </c>
      <c r="D1377" s="5" t="inlineStr">
        <is>
          <t>Cesaret</t>
        </is>
      </c>
      <c r="E1377" s="5" t="inlineStr">
        <is>
          <t>Orta</t>
        </is>
      </c>
      <c r="F1377" s="5" t="inlineStr"/>
      <c r="G1377" s="6" t="inlineStr"/>
      <c r="H1377" s="6" t="inlineStr">
        <is>
          <t>Keşfe gittiniz. Ağacın dalı gerçekten sınırı geçiyor; ama kökü de öbür tarafı. Dava ikiye bölündü, komşular hâlâ konuşmuyor ama ceviz topluyor.</t>
        </is>
      </c>
      <c r="I1377" s="6" t="inlineStr">
        <is>
          <t>Keşifte iki komşu ağacın altında çocukken birlikte oynadıklarını hatırladı. Dava düştü. Kıdemli, “Senden olur” dedi.</t>
        </is>
      </c>
      <c r="J1377" s="6" t="inlineStr">
        <is>
          <t>Keşfe gittiniz; ağaç kesilmişti. Dava artık bir kütük davası.</t>
        </is>
      </c>
      <c r="K1377" s="6" t="inlineStr">
        <is>
          <t>Keşifte ceviz başına düştü. Tutanağa “Mahkeme heyetine ceviz isabet etmiştir” yazıldı; adın dipnotta.</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c r="AI1377" s="5" t="inlineStr"/>
      <c r="AJ1377" s="5" t="inlineStr"/>
    </row>
    <row r="1378">
      <c r="A1378" s="5" t="inlineStr">
        <is>
          <t>b6-yargi-kurs</t>
        </is>
      </c>
      <c r="B1378" s="5" t="n">
        <v>3</v>
      </c>
      <c r="C1378" s="6" t="inlineStr">
        <is>
          <t>Kararı kıdemliden önce tahmin et</t>
        </is>
      </c>
      <c r="D1378" s="5" t="inlineStr">
        <is>
          <t>Akıl</t>
        </is>
      </c>
      <c r="E1378" s="5" t="inlineStr">
        <is>
          <t>Zor</t>
        </is>
      </c>
      <c r="F1378" s="5" t="inlineStr"/>
      <c r="G1378" s="6" t="inlineStr"/>
      <c r="H1378" s="6" t="inlineStr">
        <is>
          <t>Tahminin tuttu. Kıdemli karar metnini yazarken senin cümlelerinden birini kullandı. Adını anmadı; adaylar anılmaz.</t>
        </is>
      </c>
      <c r="I1378" s="6" t="inlineStr">
        <is>
          <t>Tahminin öyle isabetliydi ki kıdemli bir sonraki dosyayı sana verdi: “Taslağı sen yaz.” Taslak neredeyse hiç değişmedi.</t>
        </is>
      </c>
      <c r="J1378" s="6" t="inlineStr">
        <is>
          <t>Tahmin tutmadı. Kıdemli kararı okuduğunda senin notlarındaki cümlenin tam tersini okudu.</t>
        </is>
      </c>
      <c r="K1378" s="6" t="inlineStr">
        <is>
          <t>Tahminini koridorda yüksek sesle söyledin. Davalı komşu duydu, içeri girip kıdemliye sordu: “Karar çıkmış, siz niye hâlâ okuyorsunuz?” Duruşma bir saat uzadı; kıdemli o bir saat sana hiç bakmadı.</t>
        </is>
      </c>
      <c r="L1378" s="6" t="inlineStr"/>
      <c r="M1378" s="5" t="inlineStr"/>
      <c r="N1378" s="5" t="inlineStr"/>
      <c r="O1378" s="6" t="inlineStr"/>
      <c r="P1378" s="6" t="inlineStr"/>
      <c r="Q1378" s="5" t="inlineStr"/>
      <c r="R1378" s="5" t="inlineStr"/>
      <c r="S1378" s="5" t="inlineStr"/>
      <c r="T1378" s="5" t="inlineStr">
        <is>
          <t>Mevzuat Kalkanı</t>
        </is>
      </c>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is>
          <t>Akıl 32</t>
        </is>
      </c>
      <c r="AI1378" s="5" t="inlineStr"/>
      <c r="AJ1378" s="5" t="inlineStr"/>
    </row>
    <row r="1379">
      <c r="A1379" s="5" t="inlineStr">
        <is>
          <t>b6-hekim-ilk-nobet</t>
        </is>
      </c>
      <c r="B1379" s="5" t="n">
        <v>1</v>
      </c>
      <c r="C1379" s="6" t="inlineStr">
        <is>
          <t>Önce amcaya çay ver</t>
        </is>
      </c>
      <c r="D1379" s="5" t="inlineStr"/>
      <c r="E1379" s="5" t="inlineStr"/>
      <c r="F1379" s="5" t="inlineStr">
        <is>
          <t>İtibar +1</t>
        </is>
      </c>
      <c r="G1379" s="6" t="inlineStr">
        <is>
          <t>Amcaya çay verdin. Amca çayı içti, iyileşti; aslında sadece yalnızmış. Diğer altı hastaya bakarken amca kapıda nöbet tuttu.</t>
        </is>
      </c>
      <c r="H1379" s="6" t="inlineStr"/>
      <c r="I1379" s="6" t="inlineStr"/>
      <c r="J1379" s="6" t="inlineStr"/>
      <c r="K1379" s="6" t="inlineStr"/>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b6-hekim-ilk-nobet</t>
        </is>
      </c>
      <c r="B1380" s="5" t="n">
        <v>2</v>
      </c>
      <c r="C1380" s="6" t="inlineStr">
        <is>
          <t>Sırayı aciliyete göre diz</t>
        </is>
      </c>
      <c r="D1380" s="5" t="inlineStr">
        <is>
          <t>Akıl</t>
        </is>
      </c>
      <c r="E1380" s="5" t="inlineStr">
        <is>
          <t>Orta</t>
        </is>
      </c>
      <c r="F1380" s="5" t="inlineStr"/>
      <c r="G1380" s="6" t="inlineStr"/>
      <c r="H1380" s="6" t="inlineStr">
        <is>
          <t>Hastaları doğru sıraya dizdin. Sabaha kadar kimse beklediği için kötüleşmedi. Başhemşire sana ilk kez adınla hitap etti.</t>
        </is>
      </c>
      <c r="I1380" s="6" t="inlineStr">
        <is>
          <t>Sabah vizitinde hoca nöbet defterine baktı ve bir kelime yazdı: “Düzgün.” Tıpta bundan büyük iltifat yok.</t>
        </is>
      </c>
      <c r="J1380" s="6" t="inlineStr">
        <is>
          <t>Sırayı dizdin ama “internette okudum” hastası sırayı üç kez bozdu. Sabah yorgundun; ama herkes hayattaydı.</t>
        </is>
      </c>
      <c r="K1380" s="6" t="inlineStr">
        <is>
          <t>Dosyaları karıştırdın; kaygılı hastaya ağrı kesici, ağrılı hastaya sakinleştirici önerdin. İkisi de iyi hissetti. Hoca hissetmedi.</t>
        </is>
      </c>
      <c r="L1380" s="6" t="inlineStr"/>
      <c r="M1380" s="5" t="inlineStr"/>
      <c r="N1380" s="5" t="inlineStr"/>
      <c r="O1380" s="6" t="inlineStr"/>
      <c r="P1380" s="6" t="inlineStr"/>
      <c r="Q1380" s="5" t="inlineStr"/>
      <c r="R1380" s="5" t="inlineStr"/>
      <c r="S1380" s="5" t="inlineStr"/>
      <c r="T1380" s="5" t="inlineStr">
        <is>
          <t>Gözüne Uyku Girmez</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c r="AI1380" s="5" t="inlineStr"/>
      <c r="AJ1380" s="5" t="inlineStr"/>
    </row>
    <row r="1381">
      <c r="A1381" s="5" t="inlineStr">
        <is>
          <t>b6-hekim-ilk-nobet</t>
        </is>
      </c>
      <c r="B1381" s="5" t="n">
        <v>3</v>
      </c>
      <c r="C1381" s="6" t="inlineStr">
        <is>
          <t>“İnternette okudum” hastasını ikna et</t>
        </is>
      </c>
      <c r="D1381" s="5" t="inlineStr">
        <is>
          <t>Çene</t>
        </is>
      </c>
      <c r="E1381" s="5" t="inlineStr">
        <is>
          <t>Zor</t>
        </is>
      </c>
      <c r="F1381" s="5" t="inlineStr"/>
      <c r="G1381" s="6" t="inlineStr"/>
      <c r="H1381" s="6" t="inlineStr">
        <is>
          <t>Hastaya internetin neyi yanlış okuduğunu anlattın. Hasta sana teşekkür etti ve bir daha arama motoruna değil sana soracağını söyledi. Numaranı istedi; vermedin.</t>
        </is>
      </c>
      <c r="I1381" s="6" t="inlineStr">
        <is>
          <t>Hasta öyle ikna oldu ki kendi forumunda senin hakkında övgü yazdı. Ertesi hafta acile üç kişi “O doktoru” soruyordu.</t>
        </is>
      </c>
      <c r="J1381" s="6" t="inlineStr">
        <is>
          <t>Hasta telefonunu uzattı: “Ama burada başka yazıyor.” Sabaha kadar tartıştınız. Taburcu olurken yorum yazdı: “Doktor kibar ama internetten habersiz.”</t>
        </is>
      </c>
      <c r="K1381" s="6" t="inlineStr">
        <is>
          <t>Hastayı ikna edemedin; o seni ikna etti. Sabaha karşı bir an kendi semptomlarını aradın.</t>
        </is>
      </c>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b6-cete-paravan</t>
        </is>
      </c>
      <c r="B1382" s="5" t="n">
        <v>1</v>
      </c>
      <c r="C1382" s="6" t="inlineStr">
        <is>
          <t>Doğru defteri aç, gerisini abiye bırak</t>
        </is>
      </c>
      <c r="D1382" s="5" t="inlineStr"/>
      <c r="E1382" s="5" t="inlineStr"/>
      <c r="F1382" s="5" t="inlineStr">
        <is>
          <t>Pişkinlik +1, Dayanıklılık +1</t>
        </is>
      </c>
      <c r="G1382" s="6" t="inlineStr">
        <is>
          <t>Müfettiş vergi defterine baktı, bir çay içti, bir araba yıkattı; parasını ödedi. Abi akşam aradı: “Öğreniyorsun.” Neyi öğrendiğini düşünmek istemiyorsun.</t>
        </is>
      </c>
      <c r="H1382" s="6" t="inlineStr"/>
      <c r="I1382" s="6" t="inlineStr"/>
      <c r="J1382" s="6" t="inlineStr"/>
      <c r="K1382" s="6" t="inlineStr"/>
      <c r="L1382" s="6" t="inlineStr"/>
      <c r="M1382" s="5" t="inlineStr"/>
      <c r="N1382" s="5" t="inlineStr"/>
      <c r="O1382" s="6" t="inlineStr"/>
      <c r="P1382" s="6" t="inlineStr"/>
      <c r="Q1382" s="5" t="inlineStr"/>
      <c r="R1382" s="5" t="inlineStr"/>
      <c r="S1382" s="5" t="inlineStr"/>
      <c r="T1382" s="5" t="inlineStr"/>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b6-cete-paravan</t>
        </is>
      </c>
      <c r="B1383" s="5" t="n">
        <v>2</v>
      </c>
      <c r="C1383" s="6" t="inlineStr">
        <is>
          <t>Oto yıkamayı gerçekten oto yıkama yap</t>
        </is>
      </c>
      <c r="D1383" s="5" t="inlineStr">
        <is>
          <t>Akıl</t>
        </is>
      </c>
      <c r="E1383" s="5" t="inlineStr">
        <is>
          <t>Zor</t>
        </is>
      </c>
      <c r="F1383" s="5" t="inlineStr"/>
      <c r="G1383" s="6" t="inlineStr"/>
      <c r="H1383" s="6" t="inlineStr">
        <is>
          <t>Köpüklü yıkama, iç temizlik, jant parlatma. Üç ayda gerçek müşteri geldi. Abinin defteri inceldi, seninki kalınlaştı.</t>
        </is>
      </c>
      <c r="I1383" s="6" t="inlineStr">
        <is>
          <t>Dükkân o kadar iyi işledi ki abi bile arabasını getirdi; üstelik ödedi. Mahallede artık “Abinin adamı” değil, “Yıkamacı” diye biliniyorsun.</t>
        </is>
      </c>
      <c r="J1383" s="6" t="inlineStr">
        <is>
          <t>Gerçek müşteriler geldi ama abinin müşterileri de gelmeye devam etti. İki defter şimdi üç oldu.</t>
        </is>
      </c>
      <c r="K1383" s="6" t="inlineStr">
        <is>
          <t>Gerçek bir yıkama yaparken abinin arabasının bagajını açtın. Ne gördüğünü söylemeyeceksin; abi de sana söylememeni söyledi.</t>
        </is>
      </c>
      <c r="L1383" s="6" t="inlineStr"/>
      <c r="M1383" s="5" t="inlineStr"/>
      <c r="N1383" s="5" t="inlineStr"/>
      <c r="O1383" s="6" t="inlineStr"/>
      <c r="P1383" s="6" t="inlineStr"/>
      <c r="Q1383" s="5" t="inlineStr"/>
      <c r="R1383" s="5" t="inlineStr"/>
      <c r="S1383" s="5" t="inlineStr"/>
      <c r="T1383" s="5" t="inlineStr"/>
      <c r="U1383" s="5" t="inlineStr"/>
      <c r="V1383" s="5" t="inlineStr">
        <is>
          <t>abiden-koptu</t>
        </is>
      </c>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3</v>
      </c>
      <c r="C1384" s="6" t="inlineStr">
        <is>
          <t>Abinin defterini kendine sakla</t>
        </is>
      </c>
      <c r="D1384" s="5" t="inlineStr">
        <is>
          <t>Kurnazlık</t>
        </is>
      </c>
      <c r="E1384" s="5" t="inlineStr">
        <is>
          <t>Çok Zor</t>
        </is>
      </c>
      <c r="F1384" s="5" t="inlineStr"/>
      <c r="G1384" s="6" t="inlineStr"/>
      <c r="H1384" s="6" t="inlineStr">
        <is>
          <t>Abinin defterinin bir fotokopisini aldın ve bir kasaya koydun. Kasanın anahtarı ayakkabında. Artık abi senin için değil, sen abi için bir sigortasın.</t>
        </is>
      </c>
      <c r="I1384" s="6" t="inlineStr">
        <is>
          <t>Fotokopiyi gören tek kişi abinin rakibiydi; seni yemeğe çağırdı. Şimdi iki abinin masasına birden oturan tek kişisin. İki tarafa da aynı gülümsemeyi yapıyorsun; yanakların yoruldu.</t>
        </is>
      </c>
      <c r="J1384" s="6" t="inlineStr">
        <is>
          <t>Fotokopi makinesi kâğıt sıkıştırdı. Defterin üç sayfası makinenin içinde kaldı. Makine artık bir delil.</t>
        </is>
      </c>
      <c r="K1384" s="6" t="inlineStr">
        <is>
          <t>Abi, fotokopi kuyruğunda arkanda duruyordu. “Bir tane de bana çek” dedi. O günden sonra oto yıkamada kamera var.</t>
        </is>
      </c>
      <c r="L1384" s="6" t="inlineStr"/>
      <c r="M1384" s="5" t="inlineStr"/>
      <c r="N1384" s="5" t="inlineStr"/>
      <c r="O1384" s="6" t="inlineStr"/>
      <c r="P1384" s="6" t="inlineStr"/>
      <c r="Q1384" s="5" t="inlineStr"/>
      <c r="R1384" s="5" t="inlineStr"/>
      <c r="S1384" s="5" t="inlineStr"/>
      <c r="T1384" s="5" t="inlineStr"/>
      <c r="U1384" s="5" t="inlineStr"/>
      <c r="V1384" s="5" t="inlineStr">
        <is>
          <t>abiye-karsi-sigorta</t>
        </is>
      </c>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b6-sohret-ilk-rol</t>
        </is>
      </c>
      <c r="B1385" s="5" t="n">
        <v>1</v>
      </c>
      <c r="C1385" s="6" t="inlineStr">
        <is>
          <t>On beşinci tekrarı çek, sesini çıkarma</t>
        </is>
      </c>
      <c r="D1385" s="5" t="inlineStr"/>
      <c r="E1385" s="5" t="inlineStr"/>
      <c r="F1385" s="5" t="inlineStr">
        <is>
          <t>Dayanıklılık +1</t>
        </is>
      </c>
      <c r="G1385" s="6" t="inlineStr">
        <is>
          <t>On beşinci tekrarda yönetmen “Tamam” dedi. Sonra aynı sahneyi başka açıdan on dört kez daha çektiniz. Hesabı kimse ödemedi.</t>
        </is>
      </c>
      <c r="H1385" s="6" t="inlineStr"/>
      <c r="I1385" s="6" t="inlineStr"/>
      <c r="J1385" s="6" t="inlineStr"/>
      <c r="K1385" s="6" t="inlineStr"/>
      <c r="L1385" s="6" t="inlineStr"/>
      <c r="M1385" s="5" t="inlineStr"/>
      <c r="N1385" s="5" t="inlineStr"/>
      <c r="O1385" s="6" t="inlineStr"/>
      <c r="P1385" s="6" t="inlineStr"/>
      <c r="Q1385" s="5" t="inlineStr"/>
      <c r="R1385" s="5" t="inlineStr"/>
      <c r="S1385" s="5" t="inlineStr"/>
      <c r="T1385" s="5" t="inlineStr"/>
      <c r="U1385" s="5" t="inlineStr"/>
      <c r="V1385" s="5" t="inlineStr"/>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b6-sohret-ilk-rol</t>
        </is>
      </c>
      <c r="B1386" s="5" t="n">
        <v>2</v>
      </c>
      <c r="C1386" s="6" t="inlineStr">
        <is>
          <t>Repliğe bir doğaçlama ekle</t>
        </is>
      </c>
      <c r="D1386" s="5" t="inlineStr">
        <is>
          <t>Pişkinlik</t>
        </is>
      </c>
      <c r="E1386" s="5" t="inlineStr">
        <is>
          <t>Zor</t>
        </is>
      </c>
      <c r="F1386" s="5" t="inlineStr"/>
      <c r="G1386" s="6" t="inlineStr"/>
      <c r="H1386" s="6" t="inlineStr">
        <is>
          <t>“Hesap lütfen… bir de sizin telefonunuz.” Yönetmen güldü, sahne kaldı. Dizide ikinci bölümde de varsın.</t>
        </is>
      </c>
      <c r="I1386" s="6" t="inlineStr">
        <is>
          <t>Doğaçlama sosyal medyada kısa video oldu. İki milyon izlenme; herkes kafedeki genci soruyor. Menajerin yok; artık lazım.</t>
        </is>
      </c>
      <c r="J1386" s="6" t="inlineStr">
        <is>
          <t>Doğaçlamanı kimse sevmedi. Sahne kurgu masasında kesildi; dizide sadece ensen var.</t>
        </is>
      </c>
      <c r="K1386" s="6" t="inlineStr">
        <is>
          <t>Doğaçlama yaparken başrol oyuncusunun repliğini söyledin. Başrol seni o günden beri tanımıyor, bilerek.</t>
        </is>
      </c>
      <c r="L1386" s="6" t="inlineStr"/>
      <c r="M1386" s="5" t="inlineStr"/>
      <c r="N1386" s="5" t="inlineStr"/>
      <c r="O1386" s="6" t="inlineStr"/>
      <c r="P1386" s="6" t="inlineStr"/>
      <c r="Q1386" s="5" t="inlineStr"/>
      <c r="R1386" s="5" t="inlineStr"/>
      <c r="S1386" s="5" t="inlineStr"/>
      <c r="T1386" s="5" t="inlineStr"/>
      <c r="U1386" s="5" t="inlineStr"/>
      <c r="V1386" s="5" t="inlineStr">
        <is>
          <t>serbest-viral-oldu</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3</v>
      </c>
      <c r="C1387" s="6" t="inlineStr">
        <is>
          <t>Başrolün yanına otur, sohbet et</t>
        </is>
      </c>
      <c r="D1387" s="5" t="inlineStr">
        <is>
          <t>Sosyal Radar</t>
        </is>
      </c>
      <c r="E1387" s="5" t="inlineStr">
        <is>
          <t>Orta</t>
        </is>
      </c>
      <c r="F1387" s="5" t="inlineStr"/>
      <c r="G1387" s="6" t="inlineStr"/>
      <c r="H1387" s="6" t="inlineStr">
        <is>
          <t>Başrol oyuncusu seninle kahve içti. Sete girişin ertesi gün bir karavanla yapıldı; karavan senin değil ama kapısını açabiliyorsun.</t>
        </is>
      </c>
      <c r="I1387" s="6" t="inlineStr">
        <is>
          <t>Başrol seni menajerine tanıttı. Menajer ilk bakışta “Yüzün bir şey diyor” dedi. Ne dediğini henüz söylemedi.</t>
        </is>
      </c>
      <c r="J1387" s="6" t="inlineStr">
        <is>
          <t>Başrol oyuncusu kulaklığını çıkarmadı. Sohbet tek taraflı oldu; sen bunu da bir sahne sandın.</t>
        </is>
      </c>
      <c r="K1387" s="6" t="inlineStr">
        <is>
          <t>Başrolün kahvesini gömleğine döktün; sahne kahve lekeli gömlekle çekildi. Ertesi gün sete “Kahve dökülmez” tabelası asıldı. Altına biri küçük harflerle senin adını yazmıştı.</t>
        </is>
      </c>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b6-koy-ilk-hasat</t>
        </is>
      </c>
      <c r="B1388" s="5" t="n">
        <v>1</v>
      </c>
      <c r="C1388" s="6" t="inlineStr">
        <is>
          <t>Komisyoncuya ver, işi bitir</t>
        </is>
      </c>
      <c r="D1388" s="5" t="inlineStr"/>
      <c r="E1388" s="5" t="inlineStr"/>
      <c r="F1388" s="5" t="inlineStr">
        <is>
          <t>Dayanıklılık +1</t>
        </is>
      </c>
      <c r="G1388" s="6" t="inlineStr">
        <is>
          <t>Komisyoncu kamyonla geldi, domatesleri tarttı, fiyatı söyledi, gitti. Aynı domatesler üç gün sonra şehirde dört katına satıldı. Deden “Hep böyleydi” dedi.</t>
        </is>
      </c>
      <c r="H1388" s="6" t="inlineStr"/>
      <c r="I1388" s="6" t="inlineStr"/>
      <c r="J1388" s="6" t="inlineStr"/>
      <c r="K1388" s="6" t="inlineStr"/>
      <c r="L1388" s="6" t="inlineStr"/>
      <c r="M1388" s="5" t="inlineStr"/>
      <c r="N1388" s="5" t="inlineStr"/>
      <c r="O1388" s="6" t="inlineStr"/>
      <c r="P1388" s="6" t="inlineStr"/>
      <c r="Q1388" s="5" t="inlineStr"/>
      <c r="R1388" s="5" t="inlineStr"/>
      <c r="S1388" s="5" t="inlineStr"/>
      <c r="T1388" s="5" t="inlineStr"/>
      <c r="U1388" s="5" t="inlineStr"/>
      <c r="V1388" s="5" t="inlineStr"/>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b6-koy-ilk-hasat</t>
        </is>
      </c>
      <c r="B1389" s="5" t="n">
        <v>2</v>
      </c>
      <c r="C1389" s="6" t="inlineStr">
        <is>
          <t>Şehirde pazara kendin taşı</t>
        </is>
      </c>
      <c r="D1389" s="5" t="inlineStr">
        <is>
          <t>Dayanıklılık</t>
        </is>
      </c>
      <c r="E1389" s="5" t="inlineStr">
        <is>
          <t>Zor</t>
        </is>
      </c>
      <c r="F1389" s="5" t="inlineStr"/>
      <c r="G1389" s="6" t="inlineStr"/>
      <c r="H1389" s="6" t="inlineStr">
        <is>
          <t>Sabah dörtte yola çıktın, altıda tezgâhı kurdun, öğlen bitirdin. Kazandığın para komisyoncunun verdiğinin üç katı. Belin de üç kat ağrıyor.</t>
        </is>
      </c>
      <c r="I1389" s="6" t="inlineStr">
        <is>
          <t>Pazardaki müşteriler seni “Köylü Genç” diye çağırmaya başladı. Hafta sonları kuyruk var; domates sırası.</t>
        </is>
      </c>
      <c r="J1389" s="6" t="inlineStr">
        <is>
          <t>Pazara gittin ama tezgâh yerin yoktu. Kaldırımda sattın, zabıta seni kaldırdı. Domatesler sana kaldı; salata çok.</t>
        </is>
      </c>
      <c r="K1389"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3</v>
      </c>
      <c r="C1390" s="6" t="inlineStr">
        <is>
          <t>Domatesleri internetten sat</t>
        </is>
      </c>
      <c r="D1390" s="5" t="inlineStr">
        <is>
          <t>Kurnazlık</t>
        </is>
      </c>
      <c r="E1390" s="5" t="inlineStr">
        <is>
          <t>Orta</t>
        </is>
      </c>
      <c r="F1390" s="5" t="inlineStr"/>
      <c r="G1390" s="6" t="inlineStr"/>
      <c r="H1390" s="6" t="inlineStr">
        <is>
          <t>Domateslerin fotoğrafını çektin, “Köyden sofraya” yazdın. Şehirden sipariş yağdı. Kargo pahalı ama domatesin fiyatı daha pahalı.</t>
        </is>
      </c>
      <c r="I1390" s="6" t="inlineStr">
        <is>
          <t>Siparişler o kadar arttı ki komşu köylülerin domateslerini de satmaya başladın. Köyde artık sana “Aracı” diyorlar; ama kibarca.</t>
        </is>
      </c>
      <c r="J1390" s="6" t="inlineStr">
        <is>
          <t>Siparişler geldi, kargo gecikti. Domatesler müşterilere salça olarak ulaştı. Yorumlar karışık.</t>
        </is>
      </c>
      <c r="K1390" s="6" t="inlineStr">
        <is>
          <t>Fotoğraftaki domatesler internetten bulduğun bir görselmiş. Bir müşteri iki fotoğrafı yan yana paylaştı: “Beklenti / gerçek.” Deden de paylaştı; domatesini beğendiler sandı.</t>
        </is>
      </c>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b6-usta-kendi-tezgahi</t>
        </is>
      </c>
      <c r="B1391" s="5" t="n">
        <v>1</v>
      </c>
      <c r="C1391" s="6" t="inlineStr">
        <is>
          <t>Ustanı ara, sor</t>
        </is>
      </c>
      <c r="D1391" s="5" t="inlineStr"/>
      <c r="E1391" s="5" t="inlineStr"/>
      <c r="F1391" s="5" t="inlineStr">
        <is>
          <t>İtibar +1, Sosyal Radar +1</t>
        </is>
      </c>
      <c r="G1391" s="6" t="inlineStr">
        <is>
          <t>Ustan telefonda sesi dinledi: “Triger.” Haklıydı. Taksici sana teşekkür etti; ustana da bir kutu lokum götürdü. Hesap böyle kapanır.</t>
        </is>
      </c>
      <c r="H1391" s="6" t="inlineStr"/>
      <c r="I1391" s="6" t="inlineStr"/>
      <c r="J1391" s="6" t="inlineStr"/>
      <c r="K1391" s="6" t="inlineStr"/>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b6-usta-kendi-tezgahi</t>
        </is>
      </c>
      <c r="B1392" s="5" t="n">
        <v>2</v>
      </c>
      <c r="C1392" s="6" t="inlineStr">
        <is>
          <t>Sesi kendin bul</t>
        </is>
      </c>
      <c r="D1392" s="5" t="inlineStr">
        <is>
          <t>Akıl</t>
        </is>
      </c>
      <c r="E1392" s="5" t="inlineStr">
        <is>
          <t>Orta</t>
        </is>
      </c>
      <c r="F1392" s="5" t="inlineStr"/>
      <c r="G1392" s="6" t="inlineStr"/>
      <c r="H1392" s="6" t="inlineStr">
        <is>
          <t>Kaputu açtın, dinledin, buldun. Taksici arabayı çalıştırdığında ses yoktu. Taksi durağında adın bir hafta içinde yayıldı.</t>
        </is>
      </c>
      <c r="I1392" s="6" t="inlineStr">
        <is>
          <t>Sesi buldun, bir de taksicinin fark etmediği ikinci arızayı. Taksi durağı artık sana geliyor; sanayide kıskananlar da.</t>
        </is>
      </c>
      <c r="J1392" s="6" t="inlineStr">
        <is>
          <t>Üç parça söktün, ses devam etti. Dördüncüyü sökünce ses durdu, araba da durdu.</t>
        </is>
      </c>
      <c r="K1392" s="6" t="inlineStr">
        <is>
          <t>Parçayı yanlış taktın. Ses değişti: “Vıyyy, sonra tık tık tık.” Taksici bunu da kaydetti.</t>
        </is>
      </c>
      <c r="L1392" s="6" t="inlineStr"/>
      <c r="M1392" s="5" t="inlineStr"/>
      <c r="N1392" s="5" t="inlineStr"/>
      <c r="O1392" s="6" t="inlineStr"/>
      <c r="P1392" s="6" t="inlineStr"/>
      <c r="Q1392" s="5" t="inlineStr"/>
      <c r="R1392" s="5" t="inlineStr"/>
      <c r="S1392" s="5" t="inlineStr"/>
      <c r="T1392" s="5" t="inlineStr">
        <is>
          <t>Kilit Kırıcı</t>
        </is>
      </c>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3</v>
      </c>
      <c r="C1393" s="6" t="inlineStr">
        <is>
          <t>Pazarlıkla işi büyüt</t>
        </is>
      </c>
      <c r="D1393" s="5" t="inlineStr">
        <is>
          <t>Çene</t>
        </is>
      </c>
      <c r="E1393" s="5" t="inlineStr">
        <is>
          <t>Orta</t>
        </is>
      </c>
      <c r="F1393" s="5" t="inlineStr"/>
      <c r="G1393" s="6" t="inlineStr"/>
      <c r="H1393" s="6" t="inlineStr">
        <is>
          <t>Taksiciye bütün durağın bakımını önerdin. Taksici telsizi açtı: “Beyler, sanayide yeni bir usta var, eli hafif.” Ertesi sabah kapında dört taksi vardı; biri sadece çay içmeye gelmişti.</t>
        </is>
      </c>
      <c r="I1393" s="6" t="inlineStr">
        <is>
          <t>Durak kabul etti, bir de karşı durak. Dükkânın önünde sabah taksi kuyruğu var; sanayinin en kalabalık kapısı senin.</t>
        </is>
      </c>
      <c r="J1393" s="6" t="inlineStr">
        <is>
          <t>Taksici “Önce bunu yap, sonra konuşuruz” dedi. Konuşmak hâlâ sırada.</t>
        </is>
      </c>
      <c r="K1393" s="6" t="inlineStr">
        <is>
          <t>Pazarlıkta öyle indirim yaptın ki bütün durak geldi, karşı durak da. Sabah yedide kapında on taksi, akşam kasada çay parası. Annen telefonda “İşler nasıl?” diye soruyor. Çok.</t>
        </is>
      </c>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b6-dolandirici-ilk-is</t>
        </is>
      </c>
      <c r="B1394" s="5" t="n">
        <v>1</v>
      </c>
      <c r="C1394" s="6" t="inlineStr">
        <is>
          <t>Telefonu kapat, bu kişiyi arama</t>
        </is>
      </c>
      <c r="D1394" s="5" t="inlineStr"/>
      <c r="E1394" s="5" t="inlineStr"/>
      <c r="F1394" s="5" t="inlineStr">
        <is>
          <t>İtibar +1</t>
        </is>
      </c>
      <c r="G1394" s="6" t="inlineStr">
        <is>
          <t>Telefonu kapattın. Bütün gün posterdeki “Başarı” yazısına baktın. Akşam anneni aradın; sebepsizce. Annen de sebebini sormadı.</t>
        </is>
      </c>
      <c r="H1394" s="6" t="inlineStr"/>
      <c r="I1394" s="6" t="inlineStr"/>
      <c r="J1394" s="6" t="inlineStr"/>
      <c r="K1394" s="6" t="inlineStr"/>
      <c r="L1394" s="6" t="inlineStr"/>
      <c r="M1394" s="5" t="inlineStr"/>
      <c r="N1394" s="5" t="inlineStr"/>
      <c r="O1394" s="6" t="inlineStr"/>
      <c r="P1394" s="6" t="inlineStr"/>
      <c r="Q1394" s="5" t="inlineStr"/>
      <c r="R1394" s="5" t="inlineStr"/>
      <c r="S1394" s="5" t="inlineStr"/>
      <c r="T1394" s="5" t="inlineStr"/>
      <c r="U1394" s="5" t="inlineStr">
        <is>
          <t>vicdan-sesi</t>
        </is>
      </c>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b6-dolandirici-ilk-is</t>
        </is>
      </c>
      <c r="B1395" s="5" t="n">
        <v>2</v>
      </c>
      <c r="C1395" s="6" t="inlineStr">
        <is>
          <t>Senaryoyu oku, kapat</t>
        </is>
      </c>
      <c r="D1395" s="5" t="inlineStr">
        <is>
          <t>Pişkinlik</t>
        </is>
      </c>
      <c r="E1395" s="5" t="inlineStr">
        <is>
          <t>Zor</t>
        </is>
      </c>
      <c r="F1395" s="5" t="inlineStr"/>
      <c r="G1395" s="6" t="inlineStr"/>
      <c r="H1395" s="6" t="inlineStr">
        <is>
          <t>Senaryoyu okudun, öğretmen “Düşüneyim” dedi, sonra aradı: “Tamam.” Ayın en büyük satışı senin. Posterin altında fotoğrafın asılı.</t>
        </is>
      </c>
      <c r="I1395" s="6" t="inlineStr">
        <is>
          <t>Öğretmen iki arkadaşını da önerdi. Ayın rekoru kırıldı. Kutlamada herkes sana kadeh kaldırdı; kimse öğretmenin adını söylemedi.</t>
        </is>
      </c>
      <c r="J1395" s="6" t="inlineStr">
        <is>
          <t>Öğretmen senaryonun ortasında durdu: “Evladım, sen bu işi sevmiyorsun.” Kapattı. Haklıydı.</t>
        </is>
      </c>
      <c r="K1395" s="6" t="inlineStr">
        <is>
          <t>Öğretmen konuşmayı kaydetmiş ve yerel bir tüketici grubuna göndermiş. Sesin bir haber sitesinde. Adın yok; sesin var.</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is>
          <t>ifsa-oldu</t>
        </is>
      </c>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3</v>
      </c>
      <c r="C1396" s="6" t="inlineStr">
        <is>
          <t>Ona gerçek bir tavsiye ver</t>
        </is>
      </c>
      <c r="D1396" s="5" t="inlineStr">
        <is>
          <t>Akıl</t>
        </is>
      </c>
      <c r="E1396" s="5" t="inlineStr">
        <is>
          <t>Orta</t>
        </is>
      </c>
      <c r="F1396" s="5" t="inlineStr"/>
      <c r="G1396" s="6" t="inlineStr"/>
      <c r="H1396" s="6" t="inlineStr">
        <is>
          <t>Öğretmene birikimini devlet tahviline koymasını söyledin. Teşekkür etti. Patron kaydı dinledi ve seni “eğitim”e aldı.</t>
        </is>
      </c>
      <c r="I1396" s="6" t="inlineStr">
        <is>
          <t>Öğretmen sana öyle güvendi ki emekliler çay bahçesindeki bütün masayı sana yolladı; hepsine aynı dürüst tavsiyeyi verdin. Akşam annen “Bugün ne sattın?” dedi. “Hiçbir şey” dedin; ilk kez gururla.</t>
        </is>
      </c>
      <c r="J1396" s="6" t="inlineStr">
        <is>
          <t>Tavsiyeni verdin, öğretmen anlamadı. Patron anladı. Bir hafta ücretsiz izne çıkarıldın.</t>
        </is>
      </c>
      <c r="K1396" s="6" t="inlineStr">
        <is>
          <t>Gerçek tavsiyeyi kayıtlı hattan verdin. Patron seni kovdu, öğretmen seni aradı: “İyi misin evladım?”</t>
        </is>
      </c>
      <c r="L1396" s="6" t="inlineStr"/>
      <c r="M1396" s="5" t="inlineStr"/>
      <c r="N1396" s="5" t="inlineStr"/>
      <c r="O1396" s="6" t="inlineStr"/>
      <c r="P1396" s="6" t="inlineStr"/>
      <c r="Q1396" s="5" t="inlineStr"/>
      <c r="R1396" s="5" t="inlineStr"/>
      <c r="S1396" s="5" t="inlineStr"/>
      <c r="T1396" s="5" t="inlineStr"/>
      <c r="U1396" s="5" t="inlineStr"/>
      <c r="V1396" s="5" t="inlineStr">
        <is>
          <t>vicdan-sesi</t>
        </is>
      </c>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b6-girisim-sunumu</t>
        </is>
      </c>
      <c r="B1397" s="5" t="n">
        <v>1</v>
      </c>
      <c r="C1397" s="6" t="inlineStr">
        <is>
          <t>Dürüst ol: “Henüz müşterimiz yok”</t>
        </is>
      </c>
      <c r="D1397" s="5" t="inlineStr"/>
      <c r="E1397" s="5" t="inlineStr"/>
      <c r="F1397" s="5" t="inlineStr">
        <is>
          <t>İtibar +1, Cesaret +1</t>
        </is>
      </c>
      <c r="G1397" s="6" t="inlineStr">
        <is>
          <t>Dürüstlüğün salonu şaşırttı. Yatırımcılardan biri telefonu bıraktı: “İlk kez biri bunu söyledi.” Para vermedi ama akıl verdi; ücretsiz ve bol.</t>
        </is>
      </c>
      <c r="H1397" s="6" t="inlineStr"/>
      <c r="I1397" s="6" t="inlineStr"/>
      <c r="J1397" s="6" t="inlineStr"/>
      <c r="K1397" s="6" t="inlineStr"/>
      <c r="L1397" s="6" t="inlineStr"/>
      <c r="M1397" s="5" t="inlineStr"/>
      <c r="N1397" s="5" t="inlineStr"/>
      <c r="O1397" s="6" t="inlineStr"/>
      <c r="P1397" s="6" t="inlineStr"/>
      <c r="Q1397" s="5" t="inlineStr"/>
      <c r="R1397" s="5" t="inlineStr"/>
      <c r="S1397" s="5" t="inlineStr"/>
      <c r="T1397" s="5" t="inlineStr"/>
      <c r="U1397" s="5" t="inlineStr"/>
      <c r="V1397" s="5" t="inlineStr"/>
      <c r="W1397" s="5" t="inlineStr"/>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b6-girisim-sunumu</t>
        </is>
      </c>
      <c r="B1398" s="5" t="n">
        <v>2</v>
      </c>
      <c r="C1398" s="6" t="inlineStr">
        <is>
          <t>Rakamları “iyimser” göster</t>
        </is>
      </c>
      <c r="D1398" s="5" t="inlineStr">
        <is>
          <t>Pişkinlik</t>
        </is>
      </c>
      <c r="E1398" s="5" t="inlineStr">
        <is>
          <t>Zor</t>
        </is>
      </c>
      <c r="F1398" s="5" t="inlineStr"/>
      <c r="G1398" s="6" t="inlineStr"/>
      <c r="H1398" s="6" t="inlineStr">
        <is>
          <t>Grafik yukarı gidiyordu; biraz fazla yukarı. Yatırımcılar ikna oldu. O gece grafiği yatağının karşısına astın. Sabah ilk sen ona baktın, sonra o sana.</t>
        </is>
      </c>
      <c r="I1398" s="6" t="inlineStr">
        <is>
          <t>Bir yatırımcı hemen imza attı, diğer ikisi de kaçırmamak için. Şirketin değeri bir sabahta ikiye katlandı; sen hâlâ aynı sandalyedesin.</t>
        </is>
      </c>
      <c r="J1398" s="6" t="inlineStr">
        <is>
          <t>Yatırımcılardan biri grafiğin eksenini sordu. Eksen yoktu. Toplantı kısa sürdü.</t>
        </is>
      </c>
      <c r="K1398" s="6" t="inlineStr">
        <is>
          <t>Yatırımcılardan biri geçen ay aynı grafiği başka bir girişimden görmüştü. Aynı şablondu. Salonda bir sessizlik oldu; senin sessizliğin.</t>
        </is>
      </c>
      <c r="L1398" s="6" t="inlineStr"/>
      <c r="M1398" s="5" t="inlineStr"/>
      <c r="N1398" s="5" t="inlineStr"/>
      <c r="O1398" s="6" t="inlineStr"/>
      <c r="P1398" s="6" t="inlineStr"/>
      <c r="Q1398" s="5" t="inlineStr"/>
      <c r="R1398" s="5" t="inlineStr"/>
      <c r="S1398" s="5" t="inlineStr"/>
      <c r="T1398" s="5" t="inlineStr"/>
      <c r="U1398" s="5" t="inlineStr"/>
      <c r="V1398" s="5" t="inlineStr">
        <is>
          <t>borclu</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3</v>
      </c>
      <c r="C1399" s="6" t="inlineStr">
        <is>
          <t>Ürünü canlı göster</t>
        </is>
      </c>
      <c r="D1399" s="5" t="inlineStr">
        <is>
          <t>Akıl</t>
        </is>
      </c>
      <c r="E1399" s="5" t="inlineStr">
        <is>
          <t>Orta</t>
        </is>
      </c>
      <c r="F1399" s="5" t="inlineStr"/>
      <c r="G1399" s="6" t="inlineStr"/>
      <c r="H1399" s="6" t="inlineStr">
        <is>
          <t>Ürün çalıştı. Yatırımcılar ilk kez başlarını kaldırdı. Birisi “Tekrar göster” dedi; bir daha çalıştı.</t>
        </is>
      </c>
      <c r="I1399" s="6" t="inlineStr">
        <is>
          <t>Canlı gösterimde yatırımcılardan biri ürünü kendi telefonunda denedi ve sunumun ortasında kullanmaya başladı. Anlaşma o akşam yapıldı.</t>
        </is>
      </c>
      <c r="J1399" s="6" t="inlineStr">
        <is>
          <t>Ürün yavaş açıldı. Açılırken bir fıkra anlattın. Fıkra ürünü kurtarmadı.</t>
        </is>
      </c>
      <c r="K1399" s="6" t="inlineStr">
        <is>
          <t>Ürün canlı gösterimde çöktü; ekranda test için yazdığın mesaj belirdi: “Bu yatırımcılar bir şey anlamaz.” Okudular. Üçü de.</t>
        </is>
      </c>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b6-goc-ilk-kira</t>
        </is>
      </c>
      <c r="B1400" s="5" t="n">
        <v>1</v>
      </c>
      <c r="C1400" s="6" t="inlineStr">
        <is>
          <t>Hepsini oku, imzala</t>
        </is>
      </c>
      <c r="D1400" s="5" t="inlineStr"/>
      <c r="E1400" s="5" t="inlineStr"/>
      <c r="F1400" s="5" t="inlineStr">
        <is>
          <t>Akıl +1, Dayanıklılık +1</t>
        </is>
      </c>
      <c r="G1400" s="6" t="inlineStr">
        <is>
          <t>Otuz dört sayfayı okudun. Çöpü dört renge ayırıyorsun; komşuların beş. Balkon var ama mangal yok; annen bunu hâlâ kabullenmedi.</t>
        </is>
      </c>
      <c r="H1400" s="6" t="inlineStr"/>
      <c r="I1400" s="6" t="inlineStr"/>
      <c r="J1400" s="6" t="inlineStr"/>
      <c r="K1400" s="6" t="inlineStr"/>
      <c r="L1400" s="6" t="inlineStr"/>
      <c r="M1400" s="5" t="inlineStr"/>
      <c r="N1400" s="5" t="inlineStr"/>
      <c r="O1400" s="6" t="inlineStr"/>
      <c r="P1400" s="6" t="inlineStr"/>
      <c r="Q1400" s="5" t="inlineStr"/>
      <c r="R1400" s="5" t="inlineStr"/>
      <c r="S1400" s="5" t="inlineStr"/>
      <c r="T1400" s="5" t="inlineStr"/>
      <c r="U1400" s="5" t="inlineStr"/>
      <c r="V1400" s="5" t="inlineStr"/>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b6-goc-ilk-kira</t>
        </is>
      </c>
      <c r="B1401" s="5" t="n">
        <v>2</v>
      </c>
      <c r="C1401" s="6" t="inlineStr">
        <is>
          <t>Memleketten gelenlerle ev tut</t>
        </is>
      </c>
      <c r="D1401" s="5" t="inlineStr">
        <is>
          <t>Sosyal Radar</t>
        </is>
      </c>
      <c r="E1401" s="5" t="inlineStr">
        <is>
          <t>Orta</t>
        </is>
      </c>
      <c r="F1401" s="5" t="inlineStr"/>
      <c r="G1401" s="6" t="inlineStr"/>
      <c r="H1401" s="6" t="inlineStr">
        <is>
          <t>Üç Makaryalı, bir apartman dairesi. Evde çay hiç bitmiyor, bayramlar kalabalık. Öte Diyar'ın ortasında küçük bir mahalle kurdunuz.</t>
        </is>
      </c>
      <c r="I1401" s="6" t="inlineStr">
        <is>
          <t>Ev öyle sevildi ki bütün Makaryalılar pazar kahvaltısına geliyor; menemen tavası iki kez büyüdü. Ev sahibi bir pazar şikâyete geldi; kalktığında ince belli bardağı parmak uçlarıyla tutmayı öğrenmişti.</t>
        </is>
      </c>
      <c r="J1401" s="6" t="inlineStr">
        <is>
          <t>Ev tuttunuz; ev arkadaşlarından biri her gece memleketi aradı, hoparlörden. Uyku artık bir lüks.</t>
        </is>
      </c>
      <c r="K1401" s="6" t="inlineStr">
        <is>
          <t>Ev arkadaşları balkonda mangal yaktı. Sözleşmenin yirminci sayfası devreye girdi. Hepiniz yeni ev arıyorsunuz.</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3</v>
      </c>
      <c r="C1402" s="6" t="inlineStr">
        <is>
          <t>Yerel mahallede tek başına yaşa</t>
        </is>
      </c>
      <c r="D1402" s="5" t="inlineStr">
        <is>
          <t>Cesaret</t>
        </is>
      </c>
      <c r="E1402" s="5" t="inlineStr">
        <is>
          <t>Zor</t>
        </is>
      </c>
      <c r="F1402" s="5" t="inlineStr"/>
      <c r="G1402" s="6" t="inlineStr"/>
      <c r="H1402" s="6" t="inlineStr">
        <is>
          <t>Tek Makaryalı sensin; komşular önce çekindi, sonra kapını çaldı. Şimdi apartmanın yaz şenliğinde senin baklavan var.</t>
        </is>
      </c>
      <c r="I1402" s="6" t="inlineStr">
        <is>
          <t>Komşuların seni öyle benimsedi ki apartman yönetimine seçildin. Aidat tahsil ediyorsun; bir dilde, iki aksanla.</t>
        </is>
      </c>
      <c r="J1402" s="6" t="inlineStr">
        <is>
          <t>Komşular kibar: asansörde selam veriyor, kapıyı tutuyor. Bütün kış kimse kapını çalmadı. Memlekette kapının çalınmadığı tek bir gün olmazdı.</t>
        </is>
      </c>
      <c r="K1402"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2" s="6" t="inlineStr"/>
      <c r="M1402" s="5" t="inlineStr"/>
      <c r="N1402" s="5" t="inlineStr"/>
      <c r="O1402" s="6" t="inlineStr"/>
      <c r="P1402" s="6" t="inlineStr"/>
      <c r="Q1402" s="5" t="inlineStr"/>
      <c r="R1402" s="5" t="inlineStr"/>
      <c r="S1402" s="5" t="inlineStr"/>
      <c r="T1402" s="5" t="inlineStr">
        <is>
          <t>İki Dilli Rüya</t>
        </is>
      </c>
      <c r="U1402" s="5" t="inlineStr"/>
      <c r="V1402" s="5" t="inlineStr"/>
      <c r="W1402" s="5" t="inlineStr"/>
      <c r="X1402" s="5" t="inlineStr"/>
      <c r="Y1402" s="5" t="n">
        <v>2</v>
      </c>
      <c r="Z1402" s="6" t="inlineStr">
        <is>
          <t>Gurbette yerel mahallede ilk gece, tanımadığı sokakta yolu karşıya geçerken. Sokak adını sonradan öğrendi.</t>
        </is>
      </c>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b7-polis-asayis</t>
        </is>
      </c>
      <c r="B1403" s="5" t="n">
        <v>1</v>
      </c>
      <c r="C1403" s="6" t="inlineStr">
        <is>
          <t>Kayıtları baştan tara</t>
        </is>
      </c>
      <c r="D1403" s="5" t="inlineStr"/>
      <c r="E1403" s="5" t="inlineStr"/>
      <c r="F1403" s="5" t="inlineStr">
        <is>
          <t>Akıl +1, Dayanıklılık +1</t>
        </is>
      </c>
      <c r="G1403" s="6" t="inlineStr">
        <is>
          <t>Üç gece kayıt taradın. Bisikletlerin hepsi aynı saatte kaybolmuş: pazar kurulurken. Dosyayı amire verdin; amir “Pazarı mı gözaltına alalım?” dedi.</t>
        </is>
      </c>
      <c r="H1403" s="6" t="inlineStr"/>
      <c r="I1403" s="6" t="inlineStr"/>
      <c r="J1403" s="6" t="inlineStr"/>
      <c r="K1403" s="6" t="inlineStr"/>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b7-polis-asayis</t>
        </is>
      </c>
      <c r="B1404" s="5" t="n">
        <v>2</v>
      </c>
      <c r="C1404" s="6" t="inlineStr">
        <is>
          <t>Simitçiyle dost ol</t>
        </is>
      </c>
      <c r="D1404" s="5" t="inlineStr">
        <is>
          <t>Sosyal Radar</t>
        </is>
      </c>
      <c r="E1404" s="5" t="inlineStr">
        <is>
          <t>Orta</t>
        </is>
      </c>
      <c r="F1404" s="5" t="inlineStr"/>
      <c r="G1404" s="6" t="inlineStr"/>
      <c r="H1404" s="6" t="inlineStr">
        <is>
          <t>Bir hafta her sabah simit aldın. Sekizinci gün simitçi fısıldadı: “Kırmızı kamyonet.” Bisikletler bir depoda bulundu; simitçi de artık senin adamın.</t>
        </is>
      </c>
      <c r="I1404" s="6" t="inlineStr">
        <is>
          <t>Simitçi kamyoneti de verdi, şoförün yeğeninin düğün tarihini de. Hepsini düğünde topladınız; pasta kesilmeden.</t>
        </is>
      </c>
      <c r="J1404" s="6" t="inlineStr">
        <is>
          <t>Bir hafta simit aldın, simitçi tek kelime etmedi. Dosya kapanmadı; sen iki kilo aldın.</t>
        </is>
      </c>
      <c r="K1404" s="6" t="inlineStr">
        <is>
          <t>Simitçiye fazla soru sordun. Ertesi sabah tezgâhına bir yazı asmıştı: “Polise simit yok.” Bütün mahalle yazının önünde fotoğraf çektirdi; bisikletler de bir daha görünmedi.</t>
        </is>
      </c>
      <c r="L1404" s="6" t="inlineStr"/>
      <c r="M1404" s="5" t="inlineStr"/>
      <c r="N1404" s="5" t="inlineStr"/>
      <c r="O1404" s="6" t="inlineStr"/>
      <c r="P1404" s="6" t="inlineStr"/>
      <c r="Q1404" s="5" t="inlineStr"/>
      <c r="R1404" s="5" t="inlineStr"/>
      <c r="S1404" s="5" t="inlineStr"/>
      <c r="T1404" s="5" t="inlineStr"/>
      <c r="U1404" s="5" t="inlineStr"/>
      <c r="V1404" s="5" t="inlineStr">
        <is>
          <t>polis-muhbir</t>
        </is>
      </c>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3</v>
      </c>
      <c r="C1405" s="6" t="inlineStr">
        <is>
          <t>Pazar sabahı pusu kur</t>
        </is>
      </c>
      <c r="D1405" s="5" t="inlineStr">
        <is>
          <t>Cesaret</t>
        </is>
      </c>
      <c r="E1405" s="5" t="inlineStr">
        <is>
          <t>Zor</t>
        </is>
      </c>
      <c r="F1405" s="5" t="inlineStr"/>
      <c r="G1405" s="6" t="inlineStr"/>
      <c r="H1405" s="6" t="inlineStr">
        <is>
          <t>Pazar sabahı bir tentenin arkasında dört saat bekledin. Kamyonet geldi, sen çıktın, şoför teslim oldu. Elinde hâlâ bir demet maydanoz vardı.</t>
        </is>
      </c>
      <c r="I1405" s="6" t="inlineStr">
        <is>
          <t>Pusu öyle kusursuzdu ki şoför seni pazarcı sanıp kamyoneti sana emanet etti. Dosya ve kamyonet aynı gün teslim.</t>
        </is>
      </c>
      <c r="J1405" s="6" t="inlineStr">
        <is>
          <t>Dört saat bekledin; kamyonet o hafta gelmedi. Tente sahibi sana iki kasa limon sattı; nasıl olduğunu anlamadın.</t>
        </is>
      </c>
      <c r="K1405" s="6" t="inlineStr">
        <is>
          <t>Yanlış tentenin arkasına saklandın; tente çöktü. Kamyonet önünden geçti, şoför el salladı.</t>
        </is>
      </c>
      <c r="L1405" s="6" t="inlineStr"/>
      <c r="M1405" s="5" t="inlineStr"/>
      <c r="N1405" s="5" t="inlineStr"/>
      <c r="O1405" s="6" t="inlineStr"/>
      <c r="P1405" s="6" t="inlineStr"/>
      <c r="Q1405" s="5" t="inlineStr"/>
      <c r="R1405" s="5" t="inlineStr"/>
      <c r="S1405" s="5" t="inlineStr"/>
      <c r="T1405" s="5" t="inlineStr">
        <is>
          <t>Nöbet Disiplini</t>
        </is>
      </c>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is>
          <t>Cesaret 30</t>
        </is>
      </c>
      <c r="AI1405" s="5" t="inlineStr"/>
      <c r="AJ1405" s="5" t="inlineStr"/>
    </row>
    <row r="1406">
      <c r="A1406" s="5" t="inlineStr">
        <is>
          <t>b7-polis-komiserlik</t>
        </is>
      </c>
      <c r="B1406" s="5" t="n">
        <v>1</v>
      </c>
      <c r="C1406" s="6" t="inlineStr">
        <is>
          <t>Üçünün de ifadesini al</t>
        </is>
      </c>
      <c r="D1406" s="5" t="inlineStr"/>
      <c r="E1406" s="5" t="inlineStr"/>
      <c r="F1406" s="5" t="inlineStr">
        <is>
          <t>Sosyal Radar +1, Dayanıklılık +1</t>
        </is>
      </c>
      <c r="G1406" s="6" t="inlineStr">
        <is>
          <t>Dokuz saat ifade aldın. Üçü birbirini gösterdi, sonra hep birlikte seni. Dosyayı “faili meçhul pasta” diye kapattın; tutanakta krema lekesi var.</t>
        </is>
      </c>
      <c r="H1406" s="6" t="inlineStr"/>
      <c r="I1406" s="6" t="inlineStr"/>
      <c r="J1406" s="6" t="inlineStr"/>
      <c r="K1406" s="6" t="inlineStr"/>
      <c r="L1406" s="6" t="inlineStr"/>
      <c r="M1406" s="5" t="inlineStr"/>
      <c r="N1406" s="5" t="inlineStr"/>
      <c r="O1406" s="6" t="inlineStr"/>
      <c r="P1406" s="6" t="inlineStr"/>
      <c r="Q1406" s="5" t="inlineStr"/>
      <c r="R1406" s="5" t="inlineStr"/>
      <c r="S1406" s="5" t="inlineStr"/>
      <c r="T1406" s="5" t="inlineStr"/>
      <c r="U1406" s="5" t="inlineStr"/>
      <c r="V1406" s="5" t="inlineStr"/>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b7-polis-komiserlik</t>
        </is>
      </c>
      <c r="B1407" s="5" t="n">
        <v>2</v>
      </c>
      <c r="C1407" s="6" t="inlineStr">
        <is>
          <t>Pastacının dükkânını ara</t>
        </is>
      </c>
      <c r="D1407" s="5" t="inlineStr">
        <is>
          <t>Cesaret</t>
        </is>
      </c>
      <c r="E1407" s="5" t="inlineStr">
        <is>
          <t>Orta</t>
        </is>
      </c>
      <c r="F1407" s="5" t="inlineStr"/>
      <c r="G1407" s="6" t="inlineStr"/>
      <c r="H1407" s="6" t="inlineStr">
        <is>
          <t>Dükkânın arkasında pastayı buldun; üstünde gelinle damadın adı hâlâ duruyordu. Pastacı itiraf etti: “Parası ödenmedi, pastamı geri aldım.” Damadın annesi karakolda ilk kez sustu.</t>
        </is>
      </c>
      <c r="I1407" s="6" t="inlineStr">
        <is>
          <t>Pastayı da faturayı da buldun, iki anneyi pastacıyla barıştırdın. Düğün bir hafta sonra yeniden yapıldı; masan pastanın hemen yanında.</t>
        </is>
      </c>
      <c r="J1407" s="6" t="inlineStr">
        <is>
          <t>Dükkânda yalnızca un buldun. Pastacı seni kapıya kadar geçirip bir kurabiye verdi. Delil değil, ikram.</t>
        </is>
      </c>
      <c r="K1407" s="6" t="inlineStr">
        <is>
          <t>Aramada yanlış kapıyı açıp soğuk hava deposunda kaldın. Seni pastacı çıkardı; tutanağa kurtarıcının adını yazdın.</t>
        </is>
      </c>
      <c r="L1407" s="6" t="inlineStr"/>
      <c r="M1407" s="5" t="inlineStr"/>
      <c r="N1407" s="5" t="inlineStr"/>
      <c r="O1407" s="6" t="inlineStr"/>
      <c r="P1407" s="6" t="inlineStr"/>
      <c r="Q1407" s="5" t="inlineStr"/>
      <c r="R1407" s="5" t="inlineStr"/>
      <c r="S1407" s="5" t="inlineStr"/>
      <c r="T1407" s="5" t="inlineStr"/>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c r="AI1407" s="5" t="inlineStr"/>
      <c r="AJ1407" s="5" t="inlineStr"/>
    </row>
    <row r="1408">
      <c r="A1408" s="5" t="inlineStr">
        <is>
          <t>b7-polis-komiserlik</t>
        </is>
      </c>
      <c r="B1408" s="5" t="n">
        <v>3</v>
      </c>
      <c r="C1408" s="6" t="inlineStr">
        <is>
          <t>Yüzlerini oku, blöf yap</t>
        </is>
      </c>
      <c r="D1408" s="5" t="inlineStr">
        <is>
          <t>Sosyal Radar</t>
        </is>
      </c>
      <c r="E1408" s="5" t="inlineStr">
        <is>
          <t>Zor</t>
        </is>
      </c>
      <c r="F1408" s="5" t="inlineStr"/>
      <c r="G1408" s="6" t="inlineStr"/>
      <c r="H1408" s="6" t="inlineStr">
        <is>
          <t>“Pastacı her şeyi anlattı” dedin. Damadın annesi atıldı: “Yalan, ben sadece sakladım!” Dosya on dakikada kapandı; ekip seni ilk kez alkışladı.</t>
        </is>
      </c>
      <c r="I1408" s="6" t="inlineStr">
        <is>
          <t>Blöfün öyle tuttu ki üç şüpheli birbirinin payını itiraf etti; hepsi tutarlı. Amir “Bunun gözünden hiçbir şey kaçmıyor” deyip seni dedektif kursuna yazdı.</t>
        </is>
      </c>
      <c r="J1408" s="6" t="inlineStr">
        <is>
          <t>Blöf yaptın, kimse yutmadı. Gelinin annesi sana “Evladım, sen evli misin?” diye sordu; sorgu el değiştirdi.</t>
        </is>
      </c>
      <c r="K1408" s="6" t="inlineStr">
        <is>
          <t>Blöfün ortasında kendi yüzün kızardı. Üç şüpheli aynı anda sustu, sonra aynı anda güldü. Karakolda adın “Pancar.”</t>
        </is>
      </c>
      <c r="L1408" s="6" t="inlineStr">
        <is>
          <t>Blöf yarıya kadar tuttu. Damadın annesi bir şey diyecekti, gelinin annesi elini tuttu. Dosya bir hafta daha açık.</t>
        </is>
      </c>
      <c r="M1408" s="5" t="inlineStr">
        <is>
          <t>lie</t>
        </is>
      </c>
      <c r="N1408" s="5" t="inlineStr">
        <is>
          <t>Sorgu Odası</t>
        </is>
      </c>
      <c r="O1408" s="6" t="inlineStr">
        <is>
          <t>Söylediklerini aklında tut; sorulara çelişmeden cevap ver.</t>
        </is>
      </c>
      <c r="P1408" s="6" t="inlineStr">
        <is>
          <t>{"who": "Şüpheli", "facts": ["Pastacı her şeyi anlattı.", "Gelinin annesi pastaya hiç dokunmadı.", "Damadın annesi mutfaktaydı."], "qs": [{"q": "Pastacı ne anlattı?", "o": ["Her şeyi; sen de anlat.", "Hiçbir şey.", "Bilmiyorum."]}, {"q": "Gelinin annesi pastaya dokundu mu?", "o": ["Hiç dokunmadı, dedim ya.", "Dokundu.", "Bilmiyorum."]}, {"q": "Damadın annesi neredeydi?", "o": ["Mutfaktaydı.", "Salonda.", "Bahçede."]}]}</t>
        </is>
      </c>
      <c r="Q1408" s="5" t="inlineStr"/>
      <c r="R1408" s="5" t="inlineStr"/>
      <c r="S1408" s="5" t="inlineStr"/>
      <c r="T1408" s="5" t="inlineStr">
        <is>
          <t>Odayı Okur</t>
        </is>
      </c>
      <c r="U1408" s="5" t="inlineStr"/>
      <c r="V1408" s="5" t="inlineStr">
        <is>
          <t>polis-yuz-okur</t>
        </is>
      </c>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is>
          <t>Pancar</t>
        </is>
      </c>
      <c r="AJ1408" s="5" t="inlineStr"/>
    </row>
    <row r="1409">
      <c r="A1409" s="5" t="inlineStr">
        <is>
          <t>b7-polis-ekip</t>
        </is>
      </c>
      <c r="B1409" s="5" t="n">
        <v>1</v>
      </c>
      <c r="C1409" s="6" t="inlineStr">
        <is>
          <t>Kısa tut, işe dön</t>
        </is>
      </c>
      <c r="D1409" s="5" t="inlineStr"/>
      <c r="E1409" s="5" t="inlineStr"/>
      <c r="F1409" s="5" t="inlineStr">
        <is>
          <t>Cesaret +1, Sosyal Radar +1</t>
        </is>
      </c>
      <c r="G1409" s="6" t="inlineStr">
        <is>
          <t>“Herkes işinin başına” dedin, toplantı iki dakika sürdü. Ekip bunu sevdi. Kedi de; masanı resmen işgal etti.</t>
        </is>
      </c>
      <c r="H1409" s="6" t="inlineStr"/>
      <c r="I1409" s="6" t="inlineStr"/>
      <c r="J1409" s="6" t="inlineStr"/>
      <c r="K1409" s="6" t="inlineStr"/>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b7-polis-ekip</t>
        </is>
      </c>
      <c r="B1410" s="5" t="n">
        <v>2</v>
      </c>
      <c r="C1410" s="6" t="inlineStr">
        <is>
          <t>Herkesle tek tek konuş</t>
        </is>
      </c>
      <c r="D1410" s="5" t="inlineStr">
        <is>
          <t>Sosyal Radar</t>
        </is>
      </c>
      <c r="E1410" s="5" t="inlineStr">
        <is>
          <t>Orta</t>
        </is>
      </c>
      <c r="F1410" s="5" t="inlineStr"/>
      <c r="G1410" s="6" t="inlineStr"/>
      <c r="H1410" s="6" t="inlineStr">
        <is>
          <t>Altı polisi tek tek dinledin. Biri tayin, biri izin, biri sadece çay istiyordu. Hepsini çözdün; ekip artık “Amirim” derken gülmüyor.</t>
        </is>
      </c>
      <c r="I1410" s="6" t="inlineStr">
        <is>
          <t>Konuşmalardan sonra ekip sana söz verdi: “Nereye gidersen oraya.” Çaycı bile seninle birlikte tayin istedi.</t>
        </is>
      </c>
      <c r="J1410" s="6" t="inlineStr">
        <is>
          <t>Konuştun ama herkes aynı şeyi istedi: eski amir gibi olmaman. Eski amiri tanımıyorsun.</t>
        </is>
      </c>
      <c r="K1410" s="6" t="inlineStr">
        <is>
          <t>Konuşmaları deftere kısa kısa not ettin: “tembel ama iyi”, “çok konuşuyor”, “kedi?”. Defter kayboldu, üç gün sonra çay ocağında bulundu. O günden beri ekip birbirine senin notlarınla sesleniyor.</t>
        </is>
      </c>
      <c r="L1410" s="6" t="inlineStr"/>
      <c r="M1410" s="5" t="inlineStr"/>
      <c r="N1410" s="5" t="inlineStr"/>
      <c r="O1410" s="6" t="inlineStr"/>
      <c r="P1410" s="6" t="inlineStr"/>
      <c r="Q1410" s="5" t="inlineStr"/>
      <c r="R1410" s="5" t="inlineStr"/>
      <c r="S1410" s="5" t="inlineStr"/>
      <c r="T1410" s="5" t="inlineStr"/>
      <c r="U1410" s="5" t="inlineStr"/>
      <c r="V1410" s="5" t="inlineStr">
        <is>
          <t>polis-sadik-ekip</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c r="AJ1410" s="5" t="inlineStr"/>
    </row>
    <row r="1411">
      <c r="A1411" s="5" t="inlineStr">
        <is>
          <t>b7-polis-ekip</t>
        </is>
      </c>
      <c r="B1411" s="5" t="n">
        <v>3</v>
      </c>
      <c r="C1411" s="6" t="inlineStr">
        <is>
          <t>Tozlu bir dosyayı ekiple kapat</t>
        </is>
      </c>
      <c r="D1411" s="5" t="inlineStr">
        <is>
          <t>Cesaret</t>
        </is>
      </c>
      <c r="E1411" s="5" t="inlineStr">
        <is>
          <t>Zor</t>
        </is>
      </c>
      <c r="F1411" s="5" t="inlineStr"/>
      <c r="G1411" s="6" t="inlineStr"/>
      <c r="H1411" s="6" t="inlineStr">
        <is>
          <t>Aylardır açık kalan jant kapağı dosyasını bir haftada kapattınız. Şüpheli kapakları çalmıyormuş; parlatıp geri takıyormuş, ücretsiz.</t>
        </is>
      </c>
      <c r="I1411" s="6" t="inlineStr">
        <is>
          <t>Dosya kapandı, emniyet bülteninde ekip fotoğrafınız çıktı. Kedi de karede; bülten en çok onu konuştu.</t>
        </is>
      </c>
      <c r="J1411" s="6" t="inlineStr">
        <is>
          <t>Dosya kapanmadı ama ekip bir haftayı birlikte geçirdi. Artık herkes birbirinin çayını biliyor.</t>
        </is>
      </c>
      <c r="K1411" s="6" t="inlineStr">
        <is>
          <t>Baskını yanlış adrese yaptınız; ev sahibi size börek ikram etti. Tutanağa börekli bir özür girdi.</t>
        </is>
      </c>
      <c r="L1411" s="6" t="inlineStr"/>
      <c r="M1411" s="5" t="inlineStr"/>
      <c r="N1411" s="5" t="inlineStr"/>
      <c r="O1411" s="6" t="inlineStr"/>
      <c r="P1411" s="6" t="inlineStr"/>
      <c r="Q1411" s="5" t="inlineStr"/>
      <c r="R1411" s="5" t="inlineStr"/>
      <c r="S1411" s="5" t="inlineStr"/>
      <c r="T1411" s="5" t="inlineStr">
        <is>
          <t>Gözüne Uyku Girmez</t>
        </is>
      </c>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b8-polis-mudurluk</t>
        </is>
      </c>
      <c r="B1412" s="5" t="n">
        <v>1</v>
      </c>
      <c r="C1412" s="6" t="inlineStr">
        <is>
          <t>Dosyanı anlat, abartma</t>
        </is>
      </c>
      <c r="D1412" s="5" t="inlineStr"/>
      <c r="E1412" s="5" t="inlineStr"/>
      <c r="F1412" s="5" t="inlineStr">
        <is>
          <t>Akıl +1, İtibar +1</t>
        </is>
      </c>
      <c r="G1412" s="6" t="inlineStr">
        <is>
          <t>Yaptıklarını sade sade anlattın. Başkan “Az konuşan polis az bulunur” diye not aldı. Kadro bu dönem başkasına gitti; not dosyanda kaldı.</t>
        </is>
      </c>
      <c r="H1412" s="6" t="inlineStr"/>
      <c r="I1412" s="6" t="inlineStr"/>
      <c r="J1412" s="6" t="inlineStr"/>
      <c r="K1412" s="6" t="inlineStr"/>
      <c r="L1412" s="6" t="inlineStr"/>
      <c r="M1412" s="5" t="inlineStr"/>
      <c r="N1412" s="5" t="inlineStr"/>
      <c r="O1412" s="6" t="inlineStr"/>
      <c r="P1412" s="6" t="inlineStr"/>
      <c r="Q1412" s="5" t="inlineStr"/>
      <c r="R1412" s="5" t="inlineStr"/>
      <c r="S1412" s="5" t="inlineStr"/>
      <c r="T1412" s="5" t="inlineStr"/>
      <c r="U1412" s="5" t="inlineStr"/>
      <c r="V1412" s="5" t="inlineStr"/>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b8-polis-mudurluk</t>
        </is>
      </c>
      <c r="B1413" s="5" t="n">
        <v>2</v>
      </c>
      <c r="C1413" s="6" t="inlineStr">
        <is>
          <t>Kurulun havasını oku</t>
        </is>
      </c>
      <c r="D1413" s="5" t="inlineStr">
        <is>
          <t>Sosyal Radar</t>
        </is>
      </c>
      <c r="E1413" s="5" t="inlineStr">
        <is>
          <t>Orta</t>
        </is>
      </c>
      <c r="F1413" s="5" t="inlineStr"/>
      <c r="G1413" s="6" t="inlineStr"/>
      <c r="H1413" s="6" t="inlineStr">
        <is>
          <t>Kurulda biri balıkçı, biri torun sahibi, biri emekliliğe altı ay. Her birine kendi dilinden cevap verdin. Emniyet müdürü oldun; ilk tebrik vantilatörden.</t>
        </is>
      </c>
      <c r="I1413" s="6" t="inlineStr">
        <is>
          <t>Mülakat sohbete, sohbet balık tarifine döndü. Müdür oldun; başkan hâlâ arayıp tarifi soruyor.</t>
        </is>
      </c>
      <c r="J1413" s="6" t="inlineStr">
        <is>
          <t>Havayı okudun ama yanlış sayfadan: balıkçıya torun, torunluya balık anlattın. Kadro başkasına gitti.</t>
        </is>
      </c>
      <c r="K1413" s="6" t="inlineStr">
        <is>
          <t>Başkana “Sizi bir yerden tanıyorum” dedin. Tanıyormuşsun: yirmi yıl önce ona park cezası yazmışsın. Mülakat orada bitti.</t>
        </is>
      </c>
      <c r="L1413" s="6" t="inlineStr"/>
      <c r="M1413" s="5" t="inlineStr"/>
      <c r="N1413" s="5" t="inlineStr"/>
      <c r="O1413" s="6" t="inlineStr"/>
      <c r="P1413" s="6" t="inlineStr"/>
      <c r="Q1413" s="5" t="inlineStr"/>
      <c r="R1413" s="5" t="inlineStr"/>
      <c r="S1413" s="5" t="inlineStr"/>
      <c r="T1413" s="5" t="inlineStr"/>
      <c r="U1413" s="5" t="inlineStr"/>
      <c r="V1413" s="5" t="inlineStr">
        <is>
          <t>polis-mudur</t>
        </is>
      </c>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3</v>
      </c>
      <c r="C1414" s="6" t="inlineStr">
        <is>
          <t>Teşkilatın aksayan yanlarını söyle</t>
        </is>
      </c>
      <c r="D1414" s="5" t="inlineStr">
        <is>
          <t>Cesaret</t>
        </is>
      </c>
      <c r="E1414" s="5" t="inlineStr">
        <is>
          <t>Zor</t>
        </is>
      </c>
      <c r="F1414" s="5" t="inlineStr"/>
      <c r="G1414" s="6" t="inlineStr"/>
      <c r="H1414" s="6" t="inlineStr">
        <is>
          <t>Kurula tek tek anlattın: bozuk telsizler, eski araçlar, çay ocağının sigortası. Sessizlik oldu. Müdür oldun; ilk iş sigortayı değiştirdin.</t>
        </is>
      </c>
      <c r="I1414" s="6" t="inlineStr">
        <is>
          <t>Konuşman öyle yerindeydi ki kurul raporuna aynen girdi. Müdür oldun; bütün karakolların telsizi yenilendi, maç skoru daha net duyuluyor.</t>
        </is>
      </c>
      <c r="J1414" s="6" t="inlineStr">
        <is>
          <t>Söyledin; kurul not aldı, kadroyu da daha az konuşan birine verdi. Telsizler bozuk, sen yerindesin.</t>
        </is>
      </c>
      <c r="K1414" s="6" t="inlineStr">
        <is>
          <t>Konuşurken çay ocağını örnek verdin; başkanın kayınbiraderi o ocağı kurmuş. Kadro gitti, çay da acılaştı.</t>
        </is>
      </c>
      <c r="L1414" s="6" t="inlineStr"/>
      <c r="M1414" s="5" t="inlineStr"/>
      <c r="N1414" s="5" t="inlineStr"/>
      <c r="O1414" s="6" t="inlineStr"/>
      <c r="P1414" s="6" t="inlineStr"/>
      <c r="Q1414" s="5" t="inlineStr"/>
      <c r="R1414" s="5" t="inlineStr"/>
      <c r="S1414" s="5" t="inlineStr"/>
      <c r="T1414" s="5" t="inlineStr">
        <is>
          <t>Son Sözü Söyler</t>
        </is>
      </c>
      <c r="U1414" s="5" t="inlineStr"/>
      <c r="V1414" s="5" t="inlineStr">
        <is>
          <t>polis-mudur</t>
        </is>
      </c>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4</v>
      </c>
      <c r="C1415" s="6" t="inlineStr">
        <is>
          <t>Kurulun yüzünden soruları oku</t>
        </is>
      </c>
      <c r="D1415" s="5" t="inlineStr">
        <is>
          <t>Sosyal Radar</t>
        </is>
      </c>
      <c r="E1415" s="5" t="inlineStr">
        <is>
          <t>Kolay</t>
        </is>
      </c>
      <c r="F1415" s="5" t="inlineStr"/>
      <c r="G1415" s="6" t="inlineStr"/>
      <c r="H1415" s="6" t="inlineStr">
        <is>
          <t>Soruları sorulmadan önce yüzlerinden okudun; cevaplar hazırdı. Müdür oldun. Başkan çıkışta sordu: “Beni de okudun mu?” Okumuştun.</t>
        </is>
      </c>
      <c r="I1415" s="6" t="inlineStr">
        <is>
          <t>Beş kişiyi de okudun, beşinin de kafasındaki adayı sen oldun. Müdürlük kararı aynı gün çıktı; vantilatör de kapandı.</t>
        </is>
      </c>
      <c r="J1415" s="6" t="inlineStr">
        <is>
          <t>Yüzleri okudun ama başkan gözlüğünü hiç çıkarmadı. Kadro bu dönem başkasına gitti.</t>
        </is>
      </c>
      <c r="K1415" s="6" t="inlineStr">
        <is>
          <t>Başkanın yüzünü o kadar dikkatle okudun ki başkan sonunda dayanamadı: “Evladım, sorgu odasında değiliz.” Kurul güldü, kadro gitti. Dosyana bir not düştüler: “Bakışları sert.”</t>
        </is>
      </c>
      <c r="L1415" s="6" t="inlineStr"/>
      <c r="M1415" s="5" t="inlineStr"/>
      <c r="N1415" s="5" t="inlineStr"/>
      <c r="O1415" s="6" t="inlineStr"/>
      <c r="P1415" s="6" t="inlineStr"/>
      <c r="Q1415" s="5" t="inlineStr"/>
      <c r="R1415" s="5" t="inlineStr">
        <is>
          <t>polis-yuz-okur</t>
        </is>
      </c>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b8-polis-teftis</t>
        </is>
      </c>
      <c r="B1416" s="5" t="n">
        <v>1</v>
      </c>
      <c r="C1416" s="6" t="inlineStr">
        <is>
          <t>Arşivi aç, çay koy, bekle</t>
        </is>
      </c>
      <c r="D1416" s="5" t="inlineStr"/>
      <c r="E1416" s="5" t="inlineStr"/>
      <c r="F1416" s="5" t="inlineStr">
        <is>
          <t>İtibar +1, Dayanıklılık +1</t>
        </is>
      </c>
      <c r="G1416" s="6" t="inlineStr">
        <is>
          <t>Arşivi açtın, müfettişe çay koydun, bekledin. Üç hafta sürdü. Rapor tek bir eksik buldu: çay ocağının ruhsatı.</t>
        </is>
      </c>
      <c r="H1416" s="6" t="inlineStr"/>
      <c r="I1416" s="6" t="inlineStr"/>
      <c r="J1416" s="6" t="inlineStr"/>
      <c r="K1416" s="6" t="inlineStr"/>
      <c r="L1416" s="6" t="inlineStr"/>
      <c r="M1416" s="5" t="inlineStr"/>
      <c r="N1416" s="5" t="inlineStr"/>
      <c r="O1416" s="6" t="inlineStr"/>
      <c r="P1416" s="6" t="inlineStr"/>
      <c r="Q1416" s="5" t="inlineStr"/>
      <c r="R1416" s="5" t="inlineStr"/>
      <c r="S1416" s="5" t="inlineStr"/>
      <c r="T1416" s="5" t="inlineStr"/>
      <c r="U1416" s="5" t="inlineStr"/>
      <c r="V1416" s="5" t="inlineStr"/>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b8-polis-teftis</t>
        </is>
      </c>
      <c r="B1417" s="5" t="n">
        <v>2</v>
      </c>
      <c r="C1417" s="6" t="inlineStr">
        <is>
          <t>Eksiklerini önce sen söyle</t>
        </is>
      </c>
      <c r="D1417" s="5" t="inlineStr">
        <is>
          <t>Cesaret</t>
        </is>
      </c>
      <c r="E1417" s="5" t="inlineStr">
        <is>
          <t>Orta</t>
        </is>
      </c>
      <c r="F1417" s="5" t="inlineStr"/>
      <c r="G1417" s="6" t="inlineStr"/>
      <c r="H1417" s="6" t="inlineStr">
        <is>
          <t>Müfettiş sormadan eksiklerini listeledin. Müfettiş listeye bir madde ekledi, raporu kısalttı. Giderken kapıda döndü: “İki hafta kazandırdınız, komiserim.” İlk gülümsemesiydi.</t>
        </is>
      </c>
      <c r="I1417" s="6" t="inlineStr">
        <is>
          <t>Listen öyle dürüsttü ki müfettiş onu başka karakollara örnek diye gönderdi. Başka karakollar sana kızgın.</t>
        </is>
      </c>
      <c r="J1417" s="6" t="inlineStr">
        <is>
          <t>Eksiklerini tek tek saydın. Müfettiş başını kaldırmadan “Bunları biliyordum” dedi, sonra ekledi: “Altıncıyı bilmiyordum, teşekkürler.”</t>
        </is>
      </c>
      <c r="K1417" s="6" t="inlineStr">
        <is>
          <t>Eksik listen o kadar uzun çıktı ki müfettiş iki hafta fazla kaldı. Karakol seni affetmedi; çaycı hariç.</t>
        </is>
      </c>
      <c r="L1417" s="6" t="inlineStr"/>
      <c r="M1417" s="5" t="inlineStr"/>
      <c r="N1417" s="5" t="inlineStr"/>
      <c r="O1417" s="6" t="inlineStr"/>
      <c r="P1417" s="6" t="inlineStr"/>
      <c r="Q1417" s="5" t="inlineStr"/>
      <c r="R1417" s="5" t="inlineStr"/>
      <c r="S1417" s="5" t="inlineStr"/>
      <c r="T1417" s="5" t="inlineStr"/>
      <c r="U1417" s="5" t="inlineStr"/>
      <c r="V1417" s="5" t="inlineStr"/>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3</v>
      </c>
      <c r="C1418" s="6" t="inlineStr">
        <is>
          <t>Müfettişin neyi aradığını sez</t>
        </is>
      </c>
      <c r="D1418" s="5" t="inlineStr">
        <is>
          <t>Sosyal Radar</t>
        </is>
      </c>
      <c r="E1418" s="5" t="inlineStr">
        <is>
          <t>Orta</t>
        </is>
      </c>
      <c r="F1418" s="5" t="inlineStr"/>
      <c r="G1418" s="6" t="inlineStr"/>
      <c r="H1418" s="6" t="inlineStr">
        <is>
          <t>Müfettişin iki kez aynı klasöre döndüğünü fark ettin, klasörü önceden düzenlemiştin. Rapor temiz çıktı; müfettiş ilk kez gülümsedi, yarım.</t>
        </is>
      </c>
      <c r="I1418" s="6" t="inlineStr">
        <is>
          <t>Klasörü açtığında her şey yerindeydi; en üstte de bir not: “Çayınız arkada, şekeri iki.” Müfettiş teftişi iki günde bitirdi. Giderken çay bardağını kendisi yıkayıp bıraktı.</t>
        </is>
      </c>
      <c r="J1418" s="6" t="inlineStr">
        <is>
          <t>Sezdin ama yanlış klasörü düzenledin. Müfettiş düzenlemediğin tek klasörü açtı.</t>
        </is>
      </c>
      <c r="K1418" s="6" t="inlineStr">
        <is>
          <t>Müfettişin aradığını sezdin ve yüksek sesle söyledin. Müfettiş “Ben öyle bir şey aramıyordum” dedi; o andan sonra aradı.</t>
        </is>
      </c>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4</v>
      </c>
      <c r="C1419" s="6" t="inlineStr">
        <is>
          <t>Eski zarfın izini sil</t>
        </is>
      </c>
      <c r="D1419" s="5" t="inlineStr">
        <is>
          <t>Kurnazlık</t>
        </is>
      </c>
      <c r="E1419" s="5" t="inlineStr">
        <is>
          <t>Zor</t>
        </is>
      </c>
      <c r="F1419" s="5" t="inlineStr"/>
      <c r="G1419" s="6" t="inlineStr"/>
      <c r="H1419" s="6" t="inlineStr">
        <is>
          <t>O yılın klasörü bir su baskınında ıslanmış. Kurusun diye kaloriferin üstüne bıraktın; kuruyunca okunmaz oldu. Müfettiş “Talihsiz” dedi.</t>
        </is>
      </c>
      <c r="I1419" s="6" t="inlineStr">
        <is>
          <t>İz silmene gerek kalmadı: zarfı veren adam çoktan Öte Diyar'a taşınmış, dosyası da onunla. On üç yıl sonra ilk kez deliksiz uyudun.</t>
        </is>
      </c>
      <c r="J1419" s="6" t="inlineStr">
        <is>
          <t>Klasörü aradın ama müfettiş senden önce bulmuştu. Hiçbir şey sormadı; sadece bir not aldı. Uykuların kısaldı.</t>
        </is>
      </c>
      <c r="K1419" s="6" t="inlineStr">
        <is>
          <t>Klasörü gece almaya gittin; müfettiş arşivde kitap okuyordu. Konuşmanız kısa sürdü, dava uzun.</t>
        </is>
      </c>
      <c r="L1419" s="6" t="inlineStr"/>
      <c r="M1419" s="5" t="inlineStr"/>
      <c r="N1419" s="5" t="inlineStr"/>
      <c r="O1419" s="6" t="inlineStr"/>
      <c r="P1419" s="6" t="inlineStr"/>
      <c r="Q1419" s="5" t="inlineStr"/>
      <c r="R1419" s="5" t="inlineStr">
        <is>
          <t>zarf-aldi</t>
        </is>
      </c>
      <c r="S1419" s="5" t="inlineStr"/>
      <c r="T1419" s="5" t="inlineStr"/>
      <c r="U1419" s="5" t="inlineStr"/>
      <c r="V1419" s="5" t="inlineStr"/>
      <c r="W1419" s="5" t="inlineStr">
        <is>
          <t>hapis</t>
        </is>
      </c>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b9-polis-veda</t>
        </is>
      </c>
      <c r="B1420" s="5" t="n">
        <v>1</v>
      </c>
      <c r="C1420" s="6" t="inlineStr">
        <is>
          <t>Kısa bir teşekkür et</t>
        </is>
      </c>
      <c r="D1420" s="5" t="inlineStr"/>
      <c r="E1420" s="5" t="inlineStr"/>
      <c r="F1420" s="5" t="inlineStr">
        <is>
          <t>İtibar +1, Sosyal Radar +1</t>
        </is>
      </c>
      <c r="G1420" s="6" t="inlineStr">
        <is>
          <t>“Sağ olun” dedin, kürsüden indin. Tören planlanandan yirmi dakika erken bitti; en büyük alkışı bu aldı.</t>
        </is>
      </c>
      <c r="H1420" s="6" t="inlineStr"/>
      <c r="I1420" s="6" t="inlineStr"/>
      <c r="J1420" s="6" t="inlineStr"/>
      <c r="K1420" s="6" t="inlineStr"/>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b9-polis-veda</t>
        </is>
      </c>
      <c r="B1421" s="5" t="n">
        <v>2</v>
      </c>
      <c r="C1421" s="6" t="inlineStr">
        <is>
          <t>Otuz yılı anlat</t>
        </is>
      </c>
      <c r="D1421" s="5" t="inlineStr">
        <is>
          <t>Çene</t>
        </is>
      </c>
      <c r="E1421" s="5" t="inlineStr">
        <is>
          <t>Orta</t>
        </is>
      </c>
      <c r="F1421" s="5" t="inlineStr"/>
      <c r="G1421" s="6" t="inlineStr"/>
      <c r="H1421" s="6" t="inlineStr">
        <is>
          <t>Domatesli ilk devriyeden son teftişe kadar anlattın. Beş dakika yirmi oldu ama kimse saate bakmadı. Plaketi alırken salon ayaktaydı.</t>
        </is>
      </c>
      <c r="I1421" s="6" t="inlineStr">
        <is>
          <t>Anlattıkların öyle tuttu ki tören kaydı eğitimde gösterilmeye başladı. Yeni polisler seni “Domates Hikâyesi” diye tanıyor.</t>
        </is>
      </c>
      <c r="J1421" s="6" t="inlineStr">
        <is>
          <t>Anlatmaya başladın, yarısında bir isim unuttun, sonra bir yıl. Konuşma yarım kaldı; alkış tam.</t>
        </is>
      </c>
      <c r="K1421" s="6" t="inlineStr">
        <is>
          <t>Mikrofon yirminci dakikada kapandı; sen kırkıncıya kadar konuştun. Son yirmi dakikayı yalnızca ön sıra duydu; ön sırada da teşkilatın en sağır emeklisi oturuyordu, her cümleye 'Ne?' diyerek.</t>
        </is>
      </c>
      <c r="L1421" s="6" t="inlineStr"/>
      <c r="M1421" s="5" t="inlineStr"/>
      <c r="N1421" s="5" t="inlineStr"/>
      <c r="O1421" s="6" t="inlineStr"/>
      <c r="P1421" s="6" t="inlineStr"/>
      <c r="Q1421" s="5" t="inlineStr"/>
      <c r="R1421" s="5" t="inlineStr"/>
      <c r="S1421" s="5" t="inlineStr"/>
      <c r="T1421" s="5" t="inlineStr"/>
      <c r="U1421" s="5" t="inlineStr"/>
      <c r="V1421" s="5" t="inlineStr"/>
      <c r="W1421" s="5" t="inlineStr"/>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3</v>
      </c>
      <c r="C1422" s="6" t="inlineStr">
        <is>
          <t>Son bir dosyayı kapat</t>
        </is>
      </c>
      <c r="D1422" s="5" t="inlineStr">
        <is>
          <t>Cesaret</t>
        </is>
      </c>
      <c r="E1422" s="5" t="inlineStr">
        <is>
          <t>Zor</t>
        </is>
      </c>
      <c r="F1422" s="5" t="inlineStr"/>
      <c r="G1422" s="6" t="inlineStr"/>
      <c r="H1422" s="6" t="inlineStr">
        <is>
          <t>Törenden bir gün önce yıllardır açık duran kayıp bisiklet dosyasını kapattın. Bisiklet bir bodrumdaymış; sahibi artık dede, torununa verdi.</t>
        </is>
      </c>
      <c r="I1422" s="6" t="inlineStr">
        <is>
          <t>Son dosyayı kapattın, üstüne bir de kayıp kediyi buldun. Tören ertelendi; önce kedi sahibine teslim edildi, alkışla.</t>
        </is>
      </c>
      <c r="J1422" s="6" t="inlineStr">
        <is>
          <t>Dosyayı açtın, bir gün uğraştın, kapatamadın. Masana bıraktın; halefin açacak, belki onun halefi.</t>
        </is>
      </c>
      <c r="K1422" s="6" t="inlineStr">
        <is>
          <t>Son baskında bodruma indin, kapı arkandan kilitlendi. Törene çilingirle geldin; plaketi çilingir tuttu.</t>
        </is>
      </c>
      <c r="L1422" s="6" t="inlineStr"/>
      <c r="M1422" s="5" t="inlineStr"/>
      <c r="N1422" s="5" t="inlineStr"/>
      <c r="O1422" s="6" t="inlineStr"/>
      <c r="P1422" s="6" t="inlineStr"/>
      <c r="Q1422" s="5" t="inlineStr"/>
      <c r="R1422" s="5" t="inlineStr"/>
      <c r="S1422" s="5" t="inlineStr"/>
      <c r="T1422" s="5" t="inlineStr">
        <is>
          <t>Kendine Gülebilir</t>
        </is>
      </c>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b7-yargi-horoz</t>
        </is>
      </c>
      <c r="B1423" s="5" t="n">
        <v>1</v>
      </c>
      <c r="C1423" s="6" t="inlineStr">
        <is>
          <t>Uzlaşmaya gönder</t>
        </is>
      </c>
      <c r="D1423" s="5" t="inlineStr"/>
      <c r="E1423" s="5" t="inlineStr"/>
      <c r="F1423" s="5" t="inlineStr">
        <is>
          <t>İtibar +1, Sosyal Radar +1</t>
        </is>
      </c>
      <c r="G1423" s="6" t="inlineStr">
        <is>
          <t>Tarafları uzlaşmaya gönderdin. Horozun sahibi komşuya kulak tıkacı hediye etti, barıştılar. Horoz uzlaşmayı imzalamadı.</t>
        </is>
      </c>
      <c r="H1423" s="6" t="inlineStr"/>
      <c r="I1423" s="6" t="inlineStr"/>
      <c r="J1423" s="6" t="inlineStr"/>
      <c r="K1423" s="6" t="inlineStr"/>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b7-yargi-horoz</t>
        </is>
      </c>
      <c r="B1424" s="5" t="n">
        <v>2</v>
      </c>
      <c r="C1424" s="6" t="inlineStr">
        <is>
          <t>Horozu bilirkişiye incelet</t>
        </is>
      </c>
      <c r="D1424" s="5" t="inlineStr">
        <is>
          <t>Akıl</t>
        </is>
      </c>
      <c r="E1424" s="5" t="inlineStr">
        <is>
          <t>Orta</t>
        </is>
      </c>
      <c r="F1424" s="5" t="inlineStr"/>
      <c r="G1424" s="6" t="inlineStr"/>
      <c r="H1424" s="6" t="inlineStr">
        <is>
          <t>Bilirkişi bir hafta dinledi: horoz dörtte değil, dördü on geçe ötüyormuş. Kararını o on dakikanın üstüne kurdun; bir hukuk dergisi yayımladı.</t>
        </is>
      </c>
      <c r="I1424" s="6" t="inlineStr">
        <is>
          <t>Karar öyle titiz çıktı ki fakültede ders oldu. Herkes “Horoz Kararı” diyor; horozun adı hiç geçmiyor, senin adın her yerde.</t>
        </is>
      </c>
      <c r="J1424" s="6" t="inlineStr">
        <is>
          <t>Bilirkişi geldiğinde horoz bir hafta boyunca tek kez ötmedi. Dava ertelendi; horoz ertesi sabah dörtte kaldığı yerden devam etti.</t>
        </is>
      </c>
      <c r="K1424" s="6" t="inlineStr">
        <is>
          <t>Bilirkişi horoz yerine komşunun kendi çalar saatini kaydetmiş. Rapor salonda okundu; komşu kıpkırmızı, sen daha kırmızı.</t>
        </is>
      </c>
      <c r="L1424" s="6" t="inlineStr"/>
      <c r="M1424" s="5" t="inlineStr"/>
      <c r="N1424" s="5" t="inlineStr"/>
      <c r="O1424" s="6" t="inlineStr"/>
      <c r="P1424" s="6" t="inlineStr"/>
      <c r="Q1424" s="5" t="inlineStr"/>
      <c r="R1424" s="5" t="inlineStr"/>
      <c r="S1424" s="5" t="inlineStr"/>
      <c r="T1424" s="5" t="inlineStr"/>
      <c r="U1424" s="5" t="inlineStr"/>
      <c r="V1424" s="5" t="inlineStr">
        <is>
          <t>yargi-horoz-karari</t>
        </is>
      </c>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3</v>
      </c>
      <c r="C1425" s="6" t="inlineStr">
        <is>
          <t>Duruşmayı sabah dörtte yap</t>
        </is>
      </c>
      <c r="D1425" s="5" t="inlineStr">
        <is>
          <t>Cesaret</t>
        </is>
      </c>
      <c r="E1425" s="5" t="inlineStr">
        <is>
          <t>Zor</t>
        </is>
      </c>
      <c r="F1425" s="5" t="inlineStr"/>
      <c r="G1425" s="6" t="inlineStr"/>
      <c r="H1425" s="6" t="inlineStr">
        <is>
          <t>Salonu sabah dörtte açtın. Horoz tam vaktinde öttü, komşu haklı çıktı, kümese kalın bir duvar örüldü. Kasaba bu duruşmayı yıllarca anlattı.</t>
        </is>
      </c>
      <c r="I1425" s="6" t="inlineStr">
        <is>
          <t>Sabah dörtte herkes geldi. Horoz öttü, ardından kasabanın bütün horozları; davacı da davalı da kahkahayı bastı. Kasaba o sabah karar verdi: horozlar beşte kalkacak. Horozlara soran olmadı.</t>
        </is>
      </c>
      <c r="J1425" s="6" t="inlineStr">
        <is>
          <t>Sabah dörtte salonda yalnızca sen, zabıt kâtibi ve horoz vardı. Taraflar uyuyakalmış. Horoz haklıydı.</t>
        </is>
      </c>
      <c r="K1425" s="6" t="inlineStr">
        <is>
          <t>Sabah dörtte geldin, salon kilitli. Anahtar kâtipte, kâtip uykuda. Kapının önünde horozu dinledin; ikna oldun.</t>
        </is>
      </c>
      <c r="L1425" s="6" t="inlineStr"/>
      <c r="M1425" s="5" t="inlineStr"/>
      <c r="N1425" s="5" t="inlineStr"/>
      <c r="O1425" s="6" t="inlineStr"/>
      <c r="P1425" s="6" t="inlineStr"/>
      <c r="Q1425" s="5" t="inlineStr"/>
      <c r="R1425" s="5" t="inlineStr"/>
      <c r="S1425" s="5" t="inlineStr"/>
      <c r="T1425" s="5" t="inlineStr">
        <is>
          <t>Nöbet Disiplini</t>
        </is>
      </c>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b7-yargi-aidat</t>
        </is>
      </c>
      <c r="B1426" s="5" t="n">
        <v>1</v>
      </c>
      <c r="C1426" s="6" t="inlineStr">
        <is>
          <t>Sırayla, dosya dosya ilerle</t>
        </is>
      </c>
      <c r="D1426" s="5" t="inlineStr"/>
      <c r="E1426" s="5" t="inlineStr"/>
      <c r="F1426" s="5" t="inlineStr">
        <is>
          <t>Akıl +1, Dayanıklılık +1</t>
        </is>
      </c>
      <c r="G1426" s="6" t="inlineStr">
        <is>
          <t>Her sabah on dosya okudun, altı ayda iki yüz dosya kapattın. Aidat davası iki yüz birinci sıradaydı. Apartman yöneticisi haberi alınca adliyeye teşekkür etmeye geldi; beş kat merdiven çıkarak, alışkanlıktan.</t>
        </is>
      </c>
      <c r="H1426" s="6" t="inlineStr"/>
      <c r="I1426" s="6" t="inlineStr"/>
      <c r="J1426" s="6" t="inlineStr"/>
      <c r="K1426" s="6" t="inlineStr"/>
      <c r="L1426" s="6" t="inlineStr"/>
      <c r="M1426" s="5" t="inlineStr"/>
      <c r="N1426" s="5" t="inlineStr"/>
      <c r="O1426" s="6" t="inlineStr"/>
      <c r="P1426" s="6" t="inlineStr"/>
      <c r="Q1426" s="5" t="inlineStr"/>
      <c r="R1426" s="5" t="inlineStr"/>
      <c r="S1426" s="5" t="inlineStr"/>
      <c r="T1426" s="5" t="inlineStr"/>
      <c r="U1426" s="5" t="inlineStr"/>
      <c r="V1426" s="5" t="inlineStr"/>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b7-yargi-aidat</t>
        </is>
      </c>
      <c r="B1427" s="5" t="n">
        <v>2</v>
      </c>
      <c r="C1427" s="6" t="inlineStr">
        <is>
          <t>Aidat davasını öne al</t>
        </is>
      </c>
      <c r="D1427" s="5" t="inlineStr">
        <is>
          <t>Akıl</t>
        </is>
      </c>
      <c r="E1427" s="5" t="inlineStr">
        <is>
          <t>Orta</t>
        </is>
      </c>
      <c r="F1427" s="5" t="inlineStr"/>
      <c r="G1427" s="6" t="inlineStr"/>
      <c r="H1427" s="6" t="inlineStr">
        <is>
          <t>Yönetici on bir yıldır aynı toplantı tutanağını fotokopiyle çoğaltmış. Davayı iki celsede bitirdin. Asansör tamir edildi; ilk binen sen oldun.</t>
        </is>
      </c>
      <c r="I1427" s="6" t="inlineStr">
        <is>
          <t>Kararın öyle net çıktı ki şehirdeki altı aidat davası kendiliğinden uzlaştı. Koridorda sana “Aidat Hâkimi” diyorlar; iltifat mı, bilmiyorsun.</t>
        </is>
      </c>
      <c r="J1427" s="6" t="inlineStr">
        <is>
          <t>Dosyayı açtın, içinden başka bir apartmanın dosyası çıktı. Asıl dosya kayıp. On bir yıl, on iki olacak.</t>
        </is>
      </c>
      <c r="K1427" s="6" t="inlineStr">
        <is>
          <t>Keşif için apartmana gittin, asansöre bindin. Asansör bozuktu; iki saat kaldın. Ara kararı içeriden, sesli verdin.</t>
        </is>
      </c>
      <c r="L1427" s="6" t="inlineStr"/>
      <c r="M1427" s="5" t="inlineStr"/>
      <c r="N1427" s="5" t="inlineStr"/>
      <c r="O1427" s="6" t="inlineStr"/>
      <c r="P1427" s="6" t="inlineStr"/>
      <c r="Q1427" s="5" t="inlineStr"/>
      <c r="R1427" s="5" t="inlineStr"/>
      <c r="S1427" s="5" t="inlineStr"/>
      <c r="T1427" s="5" t="inlineStr"/>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3</v>
      </c>
      <c r="C1428" s="6" t="inlineStr">
        <is>
          <t>Kırk daireyi aynı masaya oturt</t>
        </is>
      </c>
      <c r="D1428" s="5" t="inlineStr">
        <is>
          <t>İtibar</t>
        </is>
      </c>
      <c r="E1428" s="5" t="inlineStr">
        <is>
          <t>Zor</t>
        </is>
      </c>
      <c r="F1428" s="5" t="inlineStr"/>
      <c r="G1428" s="6" t="inlineStr"/>
      <c r="H1428" s="6" t="inlineStr">
        <is>
          <t>Kırk daire sakinini aynı salona sığdırdın. Üç saat bağırıştılar, sonra biri çay getirdi. Borç ikiye bölündü, asansör üçe.</t>
        </is>
      </c>
      <c r="I1428" s="6" t="inlineStr">
        <is>
          <t>Toplantı bir apartman barışına döndü; yaz sonunda sana mangal davetiyesi geldi. Hâkimler gitmez, gitmedin. Davetiye çerçevede.</t>
        </is>
      </c>
      <c r="J1428" s="6" t="inlineStr">
        <is>
          <t>Taraflar masaya oturdu, sonra masadan kalktı, sonra masa hakkında dava açtı.</t>
        </is>
      </c>
      <c r="K1428" s="6" t="inlineStr">
        <is>
          <t>Uzlaşma toplantısında yönetici seçimi yapıldı ve sen seçildin. Görevden çekildin; aidat makbuzları hâlâ sana geliyor.</t>
        </is>
      </c>
      <c r="L1428" s="6" t="inlineStr"/>
      <c r="M1428" s="5" t="inlineStr"/>
      <c r="N1428" s="5" t="inlineStr"/>
      <c r="O1428" s="6" t="inlineStr"/>
      <c r="P1428" s="6" t="inlineStr"/>
      <c r="Q1428" s="5" t="inlineStr"/>
      <c r="R1428" s="5" t="inlineStr"/>
      <c r="S1428" s="5" t="inlineStr"/>
      <c r="T1428" s="5" t="inlineStr">
        <is>
          <t>Mevzuat Kalkanı</t>
        </is>
      </c>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is>
          <t>İtibar 33</t>
        </is>
      </c>
      <c r="AI1428" s="5" t="inlineStr"/>
      <c r="AJ1428" s="5" t="inlineStr"/>
    </row>
    <row r="1429">
      <c r="A1429" s="5" t="inlineStr">
        <is>
          <t>b7-yargi-kedi</t>
        </is>
      </c>
      <c r="B1429" s="5" t="n">
        <v>1</v>
      </c>
      <c r="C1429" s="6" t="inlineStr">
        <is>
          <t>Dönüşümlü bakım kararı ver</t>
        </is>
      </c>
      <c r="D1429" s="5" t="inlineStr"/>
      <c r="E1429" s="5" t="inlineStr"/>
      <c r="F1429" s="5" t="inlineStr">
        <is>
          <t>İtibar +1, Akıl +1</t>
        </is>
      </c>
      <c r="G1429" s="6" t="inlineStr">
        <is>
          <t>Hafta içi Pamuk, hafta sonu Paşa kararı verdin. Kedi iki ismi de umursamadı; iki kap mamayı da boş bırakmadı.</t>
        </is>
      </c>
      <c r="H1429" s="6" t="inlineStr"/>
      <c r="I1429" s="6" t="inlineStr"/>
      <c r="J1429" s="6" t="inlineStr"/>
      <c r="K1429" s="6" t="inlineStr"/>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b7-yargi-kedi</t>
        </is>
      </c>
      <c r="B1430" s="5" t="n">
        <v>2</v>
      </c>
      <c r="C1430" s="6" t="inlineStr">
        <is>
          <t>Kediyi ortaya bırak, seçsin</t>
        </is>
      </c>
      <c r="D1430" s="5" t="inlineStr">
        <is>
          <t>Sosyal Radar</t>
        </is>
      </c>
      <c r="E1430" s="5" t="inlineStr">
        <is>
          <t>Orta</t>
        </is>
      </c>
      <c r="F1430" s="5" t="inlineStr"/>
      <c r="G1430" s="6" t="inlineStr"/>
      <c r="H1430" s="6" t="inlineStr">
        <is>
          <t>Kedi önce birine, sonra öbürüne gitti, sonra ikisinin arasına yattı. Ortak velayete karar verdin; komşular aynı bankta oturmaya başladı.</t>
        </is>
      </c>
      <c r="I1430" s="6" t="inlineStr">
        <is>
          <t>Kedi iki komşunun arasına oturup ikisinin elini birden patiledi. Salon sustu. O akşam iki komşu birlikte mama almaya gitti.</t>
        </is>
      </c>
      <c r="J1430" s="6" t="inlineStr">
        <is>
          <t>Kedi ikisine de gitmedi, mübaşirin kucağına atladı. Dava ertelendi; kedi geçici olarak mübaşirde.</t>
        </is>
      </c>
      <c r="K1430" s="6" t="inlineStr">
        <is>
          <t>Kedi kürsüye atladı, mürekkebi devirdi, kararın üstünden yürüdü. Karar patili çıktı; üst mahkeme geri gönderdi. Gerekçe: “İmza okunmuyor.”</t>
        </is>
      </c>
      <c r="L1430" s="6" t="inlineStr"/>
      <c r="M1430" s="5" t="inlineStr"/>
      <c r="N1430" s="5" t="inlineStr"/>
      <c r="O1430" s="6" t="inlineStr"/>
      <c r="P1430" s="6" t="inlineStr"/>
      <c r="Q1430" s="5" t="inlineStr"/>
      <c r="R1430" s="5" t="inlineStr"/>
      <c r="S1430" s="5" t="inlineStr"/>
      <c r="T1430" s="5" t="inlineStr"/>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c r="AI1430" s="5" t="inlineStr"/>
      <c r="AJ1430" s="5" t="inlineStr"/>
    </row>
    <row r="1431">
      <c r="A1431" s="5" t="inlineStr">
        <is>
          <t>b7-yargi-kedi</t>
        </is>
      </c>
      <c r="B1431" s="5" t="n">
        <v>3</v>
      </c>
      <c r="C1431" s="6" t="inlineStr">
        <is>
          <t>Veteriner kayıtlarını getirt</t>
        </is>
      </c>
      <c r="D1431" s="5" t="inlineStr">
        <is>
          <t>Akıl</t>
        </is>
      </c>
      <c r="E1431" s="5" t="inlineStr">
        <is>
          <t>Zor</t>
        </is>
      </c>
      <c r="F1431" s="5" t="inlineStr"/>
      <c r="G1431" s="6" t="inlineStr"/>
      <c r="H1431" s="6" t="inlineStr">
        <is>
          <t>Kayıtlara göre aşıya hep biri götürmüş, mamayı hep öbürü almış. Gerekçeli ortak velayet kararı yazdın. Mübaşir kediyi teslim ederken iç çekti: “Ben de alışmıştım.”</t>
        </is>
      </c>
      <c r="I1431" s="6" t="inlineStr">
        <is>
          <t>Gerekçen öyle sağlam çıktı ki şehirdeki bütün kedi davaları senin kararına bakılarak çözülüyor. Adliye kedileri sana selam veriyor.</t>
        </is>
      </c>
      <c r="J1431" s="6" t="inlineStr">
        <is>
          <t>Kayıtlar geldi; kedi iki farklı isimle iki farklı veterinere gitmiş. Dosya iki kat kalınlaştı.</t>
        </is>
      </c>
      <c r="K1431" s="6" t="inlineStr">
        <is>
          <t>Kayıtları okurken fark ettin: kedi aslında üçüncü bir komşuda da kalıyormuş. Dava üç taraflı oldu, sen iki kat yorgun.</t>
        </is>
      </c>
      <c r="L1431" s="6" t="inlineStr"/>
      <c r="M1431" s="5" t="inlineStr"/>
      <c r="N1431" s="5" t="inlineStr"/>
      <c r="O1431" s="6" t="inlineStr"/>
      <c r="P1431" s="6" t="inlineStr"/>
      <c r="Q1431" s="5" t="inlineStr"/>
      <c r="R1431" s="5" t="inlineStr"/>
      <c r="S1431" s="5" t="inlineStr"/>
      <c r="T1431" s="5" t="inlineStr">
        <is>
          <t>Ukala Ama Haklı</t>
        </is>
      </c>
      <c r="U1431" s="5" t="inlineStr"/>
      <c r="V1431" s="5" t="inlineStr">
        <is>
          <t>yargi-kedi-karari</t>
        </is>
      </c>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is>
          <t>Akıl 34</t>
        </is>
      </c>
      <c r="AI1431" s="5" t="inlineStr"/>
      <c r="AJ1431" s="5" t="inlineStr"/>
    </row>
    <row r="1432">
      <c r="A1432" s="5" t="inlineStr">
        <is>
          <t>b8-yargi-yuksek</t>
        </is>
      </c>
      <c r="B1432" s="5" t="n">
        <v>1</v>
      </c>
      <c r="C1432" s="6" t="inlineStr">
        <is>
          <t>Sade klasörü sun</t>
        </is>
      </c>
      <c r="D1432" s="5" t="inlineStr"/>
      <c r="E1432" s="5" t="inlineStr"/>
      <c r="F1432" s="5" t="inlineStr">
        <is>
          <t>Akıl +1, İtibar +1</t>
        </is>
      </c>
      <c r="G1432" s="6" t="inlineStr">
        <is>
          <t>Sade, sağlam kararlarını sundun. Kurul beğendi ama seçmedi: “Bir dahaki sefere.” Dosyan sıraya girdi; sıra uzun.</t>
        </is>
      </c>
      <c r="H1432" s="6" t="inlineStr"/>
      <c r="I1432" s="6" t="inlineStr"/>
      <c r="J1432" s="6" t="inlineStr"/>
      <c r="K1432" s="6" t="inlineStr"/>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b8-yargi-yuksek</t>
        </is>
      </c>
      <c r="B1433" s="5" t="n">
        <v>2</v>
      </c>
      <c r="C1433" s="6" t="inlineStr">
        <is>
          <t>Tuhaf davaları anlat</t>
        </is>
      </c>
      <c r="D1433" s="5" t="inlineStr">
        <is>
          <t>Çene</t>
        </is>
      </c>
      <c r="E1433" s="5" t="inlineStr">
        <is>
          <t>Orta</t>
        </is>
      </c>
      <c r="F1433" s="5" t="inlineStr"/>
      <c r="G1433" s="6" t="inlineStr"/>
      <c r="H1433" s="6" t="inlineStr">
        <is>
          <t>Horoz, aidat, kedi... Kurul güldü, sonra düşündü: hukuk en küçük davada da hukuktu. Üye seçildin.</t>
        </is>
      </c>
      <c r="I1433" s="6" t="inlineStr">
        <is>
          <t>Kurul o kadar etkilendi ki seni oy birliğiyle seçti. Başkan açılış konuşmasında kedi davandan söz etti; adını yanlış söyledi ama.</t>
        </is>
      </c>
      <c r="J1433" s="6" t="inlineStr">
        <is>
          <t>Kurul güldü, güldü, sonra bir sonraki adaya geçti. Hikâyelerin koridora yayıldı; koltuk yayılmadı.</t>
        </is>
      </c>
      <c r="K1433" s="6" t="inlineStr">
        <is>
          <t>Kedi davasını anlatırken Pamuk ile Paşa'yı karıştırdın. Kurul başkanı telefonunu çıkarıp iki kedisinin fotoğrafını gösterdi: “Adlarını sizin kararınızdan koydum. Bu Paşa.” Sen ona Pamuk demiştin. Seçilemedin.</t>
        </is>
      </c>
      <c r="L1433" s="6" t="inlineStr"/>
      <c r="M1433" s="5" t="inlineStr"/>
      <c r="N1433" s="5" t="inlineStr"/>
      <c r="O1433" s="6" t="inlineStr"/>
      <c r="P1433" s="6" t="inlineStr"/>
      <c r="Q1433" s="5" t="inlineStr"/>
      <c r="R1433" s="5" t="inlineStr"/>
      <c r="S1433" s="5" t="inlineStr"/>
      <c r="T1433" s="5" t="inlineStr"/>
      <c r="U1433" s="5" t="inlineStr"/>
      <c r="V1433" s="5" t="inlineStr">
        <is>
          <t>yargi-yuksek</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c r="AI1433" s="5" t="inlineStr"/>
      <c r="AJ1433" s="5" t="inlineStr"/>
    </row>
    <row r="1434">
      <c r="A1434" s="5" t="inlineStr">
        <is>
          <t>b8-yargi-yuksek</t>
        </is>
      </c>
      <c r="B1434" s="5" t="n">
        <v>3</v>
      </c>
      <c r="C1434" s="6" t="inlineStr">
        <is>
          <t>Bozulan kararlarını da anlat</t>
        </is>
      </c>
      <c r="D1434" s="5" t="inlineStr">
        <is>
          <t>İtibar</t>
        </is>
      </c>
      <c r="E1434" s="5" t="inlineStr">
        <is>
          <t>Zor</t>
        </is>
      </c>
      <c r="F1434" s="5" t="inlineStr"/>
      <c r="G1434" s="6" t="inlineStr"/>
      <c r="H1434" s="6" t="inlineStr">
        <is>
          <t>Bozulan kararlarını ve neden bozulduklarını anlattın. Kurul bunu hiçbir adaydan duymamıştı. Üye seçildin; ilk dosyan başkasının hatası.</t>
        </is>
      </c>
      <c r="I1434" s="6" t="inlineStr">
        <is>
          <t>Kurul dürüstlüğünü öyle sevdi ki seni seçti ve konuşmanı yeni hâkimlere okuttu. Artık bütün adaylar hatalarını anlatıyor; senin kadar iyi değil.</t>
        </is>
      </c>
      <c r="J1434" s="6" t="inlineStr">
        <is>
          <t>Hatalarını anlattın; kurul dinledi ve hatasız görünen bir adayı seçti. Sen yerinde kaldın, vicdanın hafifledi.</t>
        </is>
      </c>
      <c r="K1434" s="6" t="inlineStr">
        <is>
          <t>Hatalarını anlatmaya başladın; liste uzadı. Kurul başkanı saatine baktı: “Doğrularınızı bir dahaki sefere dinleriz.” Bir dahaki sefer dört yıl sonra.</t>
        </is>
      </c>
      <c r="L1434" s="6" t="inlineStr"/>
      <c r="M1434" s="5" t="inlineStr"/>
      <c r="N1434" s="5" t="inlineStr"/>
      <c r="O1434" s="6" t="inlineStr"/>
      <c r="P1434" s="6" t="inlineStr"/>
      <c r="Q1434" s="5" t="inlineStr"/>
      <c r="R1434" s="5" t="inlineStr"/>
      <c r="S1434" s="5" t="inlineStr"/>
      <c r="T1434" s="5" t="inlineStr">
        <is>
          <t>Kendine Gülebilir</t>
        </is>
      </c>
      <c r="U1434" s="5" t="inlineStr"/>
      <c r="V1434" s="5" t="inlineStr">
        <is>
          <t>yargi-yuksek</t>
        </is>
      </c>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is>
          <t>İtibar 35</t>
        </is>
      </c>
      <c r="AI1434" s="5" t="inlineStr"/>
      <c r="AJ1434" s="5" t="inlineStr"/>
    </row>
    <row r="1435">
      <c r="A1435" s="5" t="inlineStr">
        <is>
          <t>b8-yargi-yuksek</t>
        </is>
      </c>
      <c r="B1435" s="5" t="n">
        <v>4</v>
      </c>
      <c r="C1435" s="6" t="inlineStr">
        <is>
          <t>Horoz Kararı'nı öne çıkar</t>
        </is>
      </c>
      <c r="D1435" s="5" t="inlineStr">
        <is>
          <t>Akıl</t>
        </is>
      </c>
      <c r="E1435" s="5" t="inlineStr">
        <is>
          <t>Kolay</t>
        </is>
      </c>
      <c r="F1435" s="5" t="inlineStr"/>
      <c r="G1435" s="6" t="inlineStr"/>
      <c r="H1435" s="6" t="inlineStr">
        <is>
          <t>Kurulun yarısı Horoz Kararı'nı fakültede okumuş. Biri “Horozcu hâkim bu mu?” diye fısıldadı. Üye seçildin; ilk günün sabah dörtte başladı.</t>
        </is>
      </c>
      <c r="I1435" s="6" t="inlineStr">
        <is>
          <t>Kurul başkanı Horoz Kararı'nın çerçeveli bir kopyasını getirmişti; imzalamanı istedi. Oy birliğiyle üye seçildin.</t>
        </is>
      </c>
      <c r="J1435" s="6" t="inlineStr">
        <is>
          <t>Horoz Kararı'nı herkes biliyordu ama kurul “Başka ne yaptınız?” diye sordu. Cevabın horozdan kısa sürdü.</t>
        </is>
      </c>
      <c r="K1435" s="6" t="inlineStr">
        <is>
          <t>Kararı anlatırken horoz taklidi yaptın. Salon güldü, kurul gülmedi. Dosyan sıranın sonuna gitti.</t>
        </is>
      </c>
      <c r="L1435" s="6" t="inlineStr"/>
      <c r="M1435" s="5" t="inlineStr"/>
      <c r="N1435" s="5" t="inlineStr"/>
      <c r="O1435" s="6" t="inlineStr"/>
      <c r="P1435" s="6" t="inlineStr"/>
      <c r="Q1435" s="5" t="inlineStr"/>
      <c r="R1435" s="5" t="inlineStr">
        <is>
          <t>yargi-horoz-karari</t>
        </is>
      </c>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b8-yargi-denetim</t>
        </is>
      </c>
      <c r="B1436" s="5" t="n">
        <v>1</v>
      </c>
      <c r="C1436" s="6" t="inlineStr">
        <is>
          <t>Her soruya dosyayla cevap ver</t>
        </is>
      </c>
      <c r="D1436" s="5" t="inlineStr"/>
      <c r="E1436" s="5" t="inlineStr"/>
      <c r="F1436" s="5" t="inlineStr">
        <is>
          <t>Akıl +1, Dayanıklılık +1</t>
        </is>
      </c>
      <c r="G1436" s="6" t="inlineStr">
        <is>
          <t>Her soruya dosyadan bir sayfa gösterdin. İnceleme üç hafta sürdü. Raporda tek eleştiri: “Gerekçeler gereğinden uzun.”</t>
        </is>
      </c>
      <c r="H1436" s="6" t="inlineStr"/>
      <c r="I1436" s="6" t="inlineStr"/>
      <c r="J1436" s="6" t="inlineStr"/>
      <c r="K1436" s="6" t="inlineStr"/>
      <c r="L1436" s="6" t="inlineStr"/>
      <c r="M1436" s="5" t="inlineStr"/>
      <c r="N1436" s="5" t="inlineStr"/>
      <c r="O1436" s="6" t="inlineStr"/>
      <c r="P1436" s="6" t="inlineStr"/>
      <c r="Q1436" s="5" t="inlineStr"/>
      <c r="R1436" s="5" t="inlineStr"/>
      <c r="S1436" s="5" t="inlineStr"/>
      <c r="T1436" s="5" t="inlineStr"/>
      <c r="U1436" s="5" t="inlineStr"/>
      <c r="V1436" s="5" t="inlineStr"/>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c r="AI1436" s="5" t="inlineStr"/>
      <c r="AJ1436" s="5" t="inlineStr"/>
    </row>
    <row r="1437">
      <c r="A1437" s="5" t="inlineStr">
        <is>
          <t>b8-yargi-denetim</t>
        </is>
      </c>
      <c r="B1437" s="5" t="n">
        <v>2</v>
      </c>
      <c r="C1437" s="6" t="inlineStr">
        <is>
          <t>Kalın dosyayı birlikte oku</t>
        </is>
      </c>
      <c r="D1437" s="5" t="inlineStr">
        <is>
          <t>Akıl</t>
        </is>
      </c>
      <c r="E1437" s="5" t="inlineStr">
        <is>
          <t>Orta</t>
        </is>
      </c>
      <c r="F1437" s="5" t="inlineStr"/>
      <c r="G1437" s="6" t="inlineStr"/>
      <c r="H1437" s="6" t="inlineStr">
        <is>
          <t>Kalın dosyayı müfettişle sayfa sayfa okudun; her kararın bir gerekçesi vardı. Müfettiş dosyayı kapattı: “Temiz.”</t>
        </is>
      </c>
      <c r="I1437" s="6" t="inlineStr">
        <is>
          <t>Dosyayı öyle anlattın ki müfettiş kendi notlarını silip senin gerekçeni rapora kopyaladı. Raporun en iyi sayfası senin; altında onun imzası.</t>
        </is>
      </c>
      <c r="J1437" s="6" t="inlineStr">
        <is>
          <t>Okudunuz ama müfettiş üçüncü sayfada takıldı, bir daha çıkamadı. İnceleme bir ay uzadı.</t>
        </is>
      </c>
      <c r="K1437" s="6" t="inlineStr">
        <is>
          <t>Kalın dosyayı okurken kendi el yazını çözemedin. Müfettiş de çözemedi. Raporda “okunaksız gerekçe” notu var.</t>
        </is>
      </c>
      <c r="L1437" s="6" t="inlineStr"/>
      <c r="M1437" s="5" t="inlineStr"/>
      <c r="N1437" s="5" t="inlineStr"/>
      <c r="O1437" s="6" t="inlineStr"/>
      <c r="P1437" s="6" t="inlineStr"/>
      <c r="Q1437" s="5" t="inlineStr"/>
      <c r="R1437" s="5" t="inlineStr"/>
      <c r="S1437" s="5" t="inlineStr"/>
      <c r="T1437" s="5" t="inlineStr"/>
      <c r="U1437" s="5" t="inlineStr"/>
      <c r="V1437" s="5" t="inlineStr"/>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3</v>
      </c>
      <c r="C1438" s="6" t="inlineStr">
        <is>
          <t>Müfettişin endişesini sez</t>
        </is>
      </c>
      <c r="D1438" s="5" t="inlineStr">
        <is>
          <t>Sosyal Radar</t>
        </is>
      </c>
      <c r="E1438" s="5" t="inlineStr">
        <is>
          <t>Orta</t>
        </is>
      </c>
      <c r="F1438" s="5" t="inlineStr"/>
      <c r="G1438" s="6" t="inlineStr"/>
      <c r="H1438" s="6" t="inlineStr">
        <is>
          <t>Müfettişin derdinin senin kararların değil, koridordaki dosya yığını olduğunu anladın. Birlikte saydınız: dört bin iki yüz. Müfettiş raporuna seni değil, koridoru yazdı.</t>
        </is>
      </c>
      <c r="I1438" s="6" t="inlineStr">
        <is>
          <t>Müfettişle birlikte yazdığınız rapor adliyeye üç yeni hâkim kazandırdı. Müfettiş giderken kapıda döndü: “Yıllardır ilk kez biri bana hâlimi sordu.”</t>
        </is>
      </c>
      <c r="J1438" s="6" t="inlineStr">
        <is>
          <t>“Yorgun görünüyorsunuz” dedin. Müfettiş gözlüğünün üstünden baktı: “Soruları ben soruyorum.” Ve sordu; on dört gün boyunca.</t>
        </is>
      </c>
      <c r="K1438" s="6" t="inlineStr">
        <is>
          <t>Müfettişe hâlini hatırını sordun; müfettiş bunu baskı saydı ve tutanağa yazdı. Hatır sormak da dosyaya girdi.</t>
        </is>
      </c>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4</v>
      </c>
      <c r="C1439" s="6" t="inlineStr">
        <is>
          <t>Kalın dosyayı sessizce geri çek</t>
        </is>
      </c>
      <c r="D1439" s="5" t="inlineStr">
        <is>
          <t>Kurnazlık</t>
        </is>
      </c>
      <c r="E1439" s="5" t="inlineStr">
        <is>
          <t>Zor</t>
        </is>
      </c>
      <c r="F1439" s="5" t="inlineStr"/>
      <c r="G1439" s="6" t="inlineStr"/>
      <c r="H1439" s="6" t="inlineStr">
        <is>
          <t>Dosyayı “eksik evrak” diye kaleme geri gönderdin. Kalem dosyayı başka bir rafa koydu; o raf, adliyenin unuttuğu raf.</t>
        </is>
      </c>
      <c r="I1439" s="6" t="inlineStr">
        <is>
          <t>Dosya geri çekildi, sonra adliye taşındı, sonra dosya yeni binaya hiç gelmedi. Yıllardır ilk kez rahat nefes aldın.</t>
        </is>
      </c>
      <c r="J1439" s="6" t="inlineStr">
        <is>
          <t>Dosyayı geri çekmeye çalıştın; kalem müdürü “Müfettiş istedi, veremem” dedi. Dosya masada kaldı; sen de karşısında, ter içinde.</t>
        </is>
      </c>
      <c r="K1439" s="6" t="inlineStr">
        <is>
          <t>Dosyayı akşam çantana koydun; çıkışta güvenlik kontrolü yeni başlamıştı. Soruşturma o gece açıldı.</t>
        </is>
      </c>
      <c r="L1439" s="6" t="inlineStr"/>
      <c r="M1439" s="5" t="inlineStr"/>
      <c r="N1439" s="5" t="inlineStr"/>
      <c r="O1439" s="6" t="inlineStr"/>
      <c r="P1439" s="6" t="inlineStr"/>
      <c r="Q1439" s="5" t="inlineStr"/>
      <c r="R1439" s="5" t="inlineStr">
        <is>
          <t>yargi-leke</t>
        </is>
      </c>
      <c r="S1439" s="5" t="inlineStr"/>
      <c r="T1439" s="5" t="inlineStr"/>
      <c r="U1439" s="5" t="inlineStr"/>
      <c r="V1439" s="5" t="inlineStr"/>
      <c r="W1439" s="5" t="inlineStr">
        <is>
          <t>hapis</t>
        </is>
      </c>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b9-yargi-ceviz</t>
        </is>
      </c>
      <c r="B1440" s="5" t="n">
        <v>1</v>
      </c>
      <c r="C1440" s="6" t="inlineStr">
        <is>
          <t>Kararı yaz, cübbeyi as</t>
        </is>
      </c>
      <c r="D1440" s="5" t="inlineStr"/>
      <c r="E1440" s="5" t="inlineStr"/>
      <c r="F1440" s="5" t="inlineStr">
        <is>
          <t>Akıl +1, İtibar +1</t>
        </is>
      </c>
      <c r="G1440" s="6" t="inlineStr">
        <is>
          <t>Otuz beş yıllık davaya iki sayfalık bir karar yazdın, cübbeni astın. Çıkarken kapında bir torba ceviz vardı; kimden, yazmıyor.</t>
        </is>
      </c>
      <c r="H1440" s="6" t="inlineStr"/>
      <c r="I1440" s="6" t="inlineStr"/>
      <c r="J1440" s="6" t="inlineStr"/>
      <c r="K1440" s="6" t="inlineStr"/>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b9-yargi-ceviz</t>
        </is>
      </c>
      <c r="B1441" s="5" t="n">
        <v>2</v>
      </c>
      <c r="C1441" s="6" t="inlineStr">
        <is>
          <t>Torunları ağacın altında buluştur</t>
        </is>
      </c>
      <c r="D1441" s="5" t="inlineStr">
        <is>
          <t>İtibar</t>
        </is>
      </c>
      <c r="E1441" s="5" t="inlineStr">
        <is>
          <t>Orta</t>
        </is>
      </c>
      <c r="F1441" s="5" t="inlineStr"/>
      <c r="G1441" s="6" t="inlineStr"/>
      <c r="H1441" s="6" t="inlineStr">
        <is>
          <t>İki torunu ağacın altında buluşturdun. Dedelerinin aynı ağaçtan düştüğünü öğrendiler; ikisinin de. Dava geri çekildi, ağacın altına bank kondu.</t>
        </is>
      </c>
      <c r="I1441" s="6" t="inlineStr">
        <is>
          <t>Torunlar ağacın altında tanıştı, sonra bir daha tanıştı, sonra nişanlandı. Düğüne seni de çağırdılar; ceviz dağıtıldı.</t>
        </is>
      </c>
      <c r="J1441" s="6" t="inlineStr">
        <is>
          <t>Torunlar ağacın altında dedeleri gibi kavga etti. Kin de ağaç gibi köklüymüş. Kararı sen verdin, mecburen.</t>
        </is>
      </c>
      <c r="K1441" s="6" t="inlineStr">
        <is>
          <t>Keşifte ceviz başına düştü. Otuz beş yıl önceki tutanak da aynı cümleyle bitiyordu; kâtip ikisini yan yana dosyaladı.</t>
        </is>
      </c>
      <c r="L1441" s="6" t="inlineStr"/>
      <c r="M1441" s="5" t="inlineStr"/>
      <c r="N1441" s="5" t="inlineStr"/>
      <c r="O1441" s="6" t="inlineStr"/>
      <c r="P1441" s="6" t="inlineStr"/>
      <c r="Q1441" s="5" t="inlineStr"/>
      <c r="R1441" s="5" t="inlineStr"/>
      <c r="S1441" s="5" t="inlineStr"/>
      <c r="T1441" s="5" t="inlineStr"/>
      <c r="U1441" s="5" t="inlineStr"/>
      <c r="V1441" s="5" t="inlineStr"/>
      <c r="W1441" s="5" t="inlineStr"/>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3</v>
      </c>
      <c r="C1442" s="6" t="inlineStr">
        <is>
          <t>Son kararına bir paragraf ekle</t>
        </is>
      </c>
      <c r="D1442" s="5" t="inlineStr">
        <is>
          <t>Akıl</t>
        </is>
      </c>
      <c r="E1442" s="5" t="inlineStr">
        <is>
          <t>Zor</t>
        </is>
      </c>
      <c r="F1442" s="5" t="inlineStr"/>
      <c r="G1442" s="6" t="inlineStr"/>
      <c r="H1442" s="6" t="inlineStr">
        <is>
          <t>Kararın sonuna bir paragraf ekledin: ağaç yüz yıl yaşar, kin bir ömür; hangisini miras bırakacağınıza siz karar verin. Paragraf fakülte kitabına girdi.</t>
        </is>
      </c>
      <c r="I1442" s="6" t="inlineStr">
        <is>
          <t>Paragraf öyle sevildi ki kasabada ağacın altına taşa kazındı. Taraflar her okuyuşta biraz utanıyor, biraz ceviz topluyor.</t>
        </is>
      </c>
      <c r="J1442" s="6" t="inlineStr">
        <is>
          <t>Paragrafı yazdın, sildin, yeniden yazdın. Karar çıktı; paragraf çekmecende kaldı.</t>
        </is>
      </c>
      <c r="K1442" s="6" t="inlineStr">
        <is>
          <t>Paragraf öyle uzadı ki karar iki cilt oldu. Taraflar ikinci cildin ortasında ağacın altında buluştu ve birlikte şikâyet etti: senden. Otuz beş yıl sonra ilk kez aynı taraftalar.</t>
        </is>
      </c>
      <c r="L1442" s="6" t="inlineStr"/>
      <c r="M1442" s="5" t="inlineStr"/>
      <c r="N1442" s="5" t="inlineStr"/>
      <c r="O1442" s="6" t="inlineStr"/>
      <c r="P1442" s="6" t="inlineStr"/>
      <c r="Q1442" s="5" t="inlineStr"/>
      <c r="R1442" s="5" t="inlineStr"/>
      <c r="S1442" s="5" t="inlineStr"/>
      <c r="T1442" s="5" t="inlineStr">
        <is>
          <t>Bahçe Filozofu</t>
        </is>
      </c>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b7-hekim-ilce</t>
        </is>
      </c>
      <c r="B1443" s="5" t="n">
        <v>1</v>
      </c>
      <c r="C1443" s="6" t="inlineStr">
        <is>
          <t>Kapıya mesai saatini as</t>
        </is>
      </c>
      <c r="D1443" s="5" t="inlineStr"/>
      <c r="E1443" s="5" t="inlineStr"/>
      <c r="F1443" s="5" t="inlineStr">
        <is>
          <t>Dayanıklılık +1, Akıl +1</t>
        </is>
      </c>
      <c r="G1443" s="6" t="inlineStr">
        <is>
          <t>Kapıya mesai saatlerini yazan bir tabela astın. Ertesi gün tabelanın altına biri ekleme yapmış: “Acilse evine gidin.” Adresin de yazılı.</t>
        </is>
      </c>
      <c r="H1443" s="6" t="inlineStr"/>
      <c r="I1443" s="6" t="inlineStr"/>
      <c r="J1443" s="6" t="inlineStr"/>
      <c r="K1443" s="6" t="inlineStr"/>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b7-hekim-ilce</t>
        </is>
      </c>
      <c r="B1444" s="5" t="n">
        <v>2</v>
      </c>
      <c r="C1444" s="6" t="inlineStr">
        <is>
          <t>Pazar yerine sağlık masası kur</t>
        </is>
      </c>
      <c r="D1444" s="5" t="inlineStr">
        <is>
          <t>Dayanıklılık</t>
        </is>
      </c>
      <c r="E1444" s="5" t="inlineStr">
        <is>
          <t>Orta</t>
        </is>
      </c>
      <c r="F1444" s="5" t="inlineStr"/>
      <c r="G1444" s="6" t="inlineStr"/>
      <c r="H1444" s="6" t="inlineStr">
        <is>
          <t>Pazarın ortasına masa kurdun, akşama kadar tansiyon ölçtün. Karşılığında domates, peynir, bir kavanoz reçel. İlçe seni evlat bildi.</t>
        </is>
      </c>
      <c r="I1444" s="6" t="inlineStr">
        <is>
          <t>Pazar masası öyle tuttu ki ilçe dergisi kapak yaptı: “Bizim Doktor.” Başhekim kıskandı; başhekim sensin.</t>
        </is>
      </c>
      <c r="J1444" s="6" t="inlineStr">
        <is>
          <t>Masa kurdun; herkes kendi tansiyonunu değil, bir akrabasının tahlilini getirdi. Akşama kadar başkalarının kâğıdını okudun.</t>
        </is>
      </c>
      <c r="K1444" s="6" t="inlineStr">
        <is>
          <t>Pazarcılar masanı tezgâh sandı, zabıta da. Akşama kadar domates tarttın; işgaliye cezasını ilçenin tek doktoru ödedi.</t>
        </is>
      </c>
      <c r="L1444" s="6" t="inlineStr"/>
      <c r="M1444" s="5" t="inlineStr"/>
      <c r="N1444" s="5" t="inlineStr"/>
      <c r="O1444" s="6" t="inlineStr"/>
      <c r="P1444" s="6" t="inlineStr"/>
      <c r="Q1444" s="5" t="inlineStr"/>
      <c r="R1444" s="5" t="inlineStr"/>
      <c r="S1444" s="5" t="inlineStr"/>
      <c r="T1444" s="5" t="inlineStr"/>
      <c r="U1444" s="5" t="inlineStr"/>
      <c r="V1444" s="5" t="inlineStr">
        <is>
          <t>hekim-ilce-sevgisi</t>
        </is>
      </c>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3</v>
      </c>
      <c r="C1445" s="6" t="inlineStr">
        <is>
          <t>Aile grubuna kural koy</t>
        </is>
      </c>
      <c r="D1445" s="5" t="inlineStr">
        <is>
          <t>Pişkinlik</t>
        </is>
      </c>
      <c r="E1445" s="5" t="inlineStr">
        <is>
          <t>Zor</t>
        </is>
      </c>
      <c r="F1445" s="5" t="inlineStr"/>
      <c r="G1445" s="6" t="inlineStr"/>
      <c r="H1445" s="6" t="inlineStr">
        <is>
          <t>Gruba yazdın: “Fotoğraf değil, randevu.” Grup iki gün sustu. Üçüncü gün teyzen randevu aldı; dizinin fotoğrafını da getirdi, kâğıda basılı.</t>
        </is>
      </c>
      <c r="I1445" s="6" t="inlineStr">
        <is>
          <t>Kuralın tuttu; grup artık yalnızca bayram mesajı atıyor. Bir amcan telefonuna seni “Grubun Bekçisi” diye kaydetmiş.</t>
        </is>
      </c>
      <c r="J1445" s="6" t="inlineStr">
        <is>
          <t>Kuralı yazdın. Bir dakika sonra bir kuzen sordu: “Bu kural dizler için de geçerli mi?”</t>
        </is>
      </c>
      <c r="K1445" s="6" t="inlineStr">
        <is>
          <t>Kuralı yanlışlıkla ilçe muhtarlar grubuna attın. Muhtarlar artık randevuyla konuşuyor; seninle bile.</t>
        </is>
      </c>
      <c r="L1445" s="6" t="inlineStr"/>
      <c r="M1445" s="5" t="inlineStr"/>
      <c r="N1445" s="5" t="inlineStr"/>
      <c r="O1445" s="6" t="inlineStr"/>
      <c r="P1445" s="6" t="inlineStr"/>
      <c r="Q1445" s="5" t="inlineStr"/>
      <c r="R1445" s="5" t="inlineStr"/>
      <c r="S1445" s="5" t="inlineStr"/>
      <c r="T1445" s="5" t="inlineStr">
        <is>
          <t>Son Sözü Söyler</t>
        </is>
      </c>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b7-hekim-uzmanlik</t>
        </is>
      </c>
      <c r="B1446" s="5" t="n">
        <v>1</v>
      </c>
      <c r="C1446" s="6" t="inlineStr">
        <is>
          <t>“Bakıp söyleyeceğim” de</t>
        </is>
      </c>
      <c r="D1446" s="5" t="inlineStr"/>
      <c r="E1446" s="5" t="inlineStr"/>
      <c r="F1446" s="5" t="inlineStr">
        <is>
          <t>İtibar +1, Akıl +1</t>
        </is>
      </c>
      <c r="G1446" s="6" t="inlineStr">
        <is>
          <t>“Emin değilim hocam, bakıp söyleyeceğim” dedin. Hoca bir an sustu: “Bunu diyen üçüncü asistansın. Öbür ikisi profesör oldu.”</t>
        </is>
      </c>
      <c r="H1446" s="6" t="inlineStr"/>
      <c r="I1446" s="6" t="inlineStr"/>
      <c r="J1446" s="6" t="inlineStr"/>
      <c r="K1446" s="6" t="inlineStr"/>
      <c r="L1446" s="6" t="inlineStr"/>
      <c r="M1446" s="5" t="inlineStr"/>
      <c r="N1446" s="5" t="inlineStr"/>
      <c r="O1446" s="6" t="inlineStr"/>
      <c r="P1446" s="6" t="inlineStr"/>
      <c r="Q1446" s="5" t="inlineStr"/>
      <c r="R1446" s="5" t="inlineStr"/>
      <c r="S1446" s="5" t="inlineStr"/>
      <c r="T1446" s="5" t="inlineStr"/>
      <c r="U1446" s="5" t="inlineStr"/>
      <c r="V1446" s="5" t="inlineStr"/>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b7-hekim-uzmanlik</t>
        </is>
      </c>
      <c r="B1447" s="5" t="n">
        <v>2</v>
      </c>
      <c r="C1447" s="6" t="inlineStr">
        <is>
          <t>Ayırıcı tanıları sırala</t>
        </is>
      </c>
      <c r="D1447" s="5" t="inlineStr">
        <is>
          <t>Akıl</t>
        </is>
      </c>
      <c r="E1447" s="5" t="inlineStr">
        <is>
          <t>Orta</t>
        </is>
      </c>
      <c r="F1447" s="5" t="inlineStr"/>
      <c r="G1447" s="6" t="inlineStr"/>
      <c r="H1447" s="6" t="inlineStr">
        <is>
          <t>Dokuz ihtimal saydın, sekizini tek tek eledin. Hoca başını salladı. Hasta da salladı; o da ikna olmuş.</t>
        </is>
      </c>
      <c r="I1447" s="6" t="inlineStr">
        <is>
          <t>Sıralamayı bitirdiğinde hoca seni makale ekibine yazdı. Hasta da taburcu olurken elini sıktı: “Hocadan çok sen anlattın.”</t>
        </is>
      </c>
      <c r="J1447" s="6" t="inlineStr">
        <is>
          <t>Sekiz ihtimal saydın, dokuzuncuyu unuttun. Hoca dokuzuncuyu söyledi. Doğrusu oymuş.</t>
        </is>
      </c>
      <c r="K1447" s="6" t="inlineStr">
        <is>
          <t>Ayırıcı tanıları eksiksiz saydın, ama yan yataktaki hastanın. Teyze nazikçe düzeltti: “Evladım, ben o değilim. O yandaki.” Otuz kişi aynı anda yan yatağa döndü.</t>
        </is>
      </c>
      <c r="L1447" s="6" t="inlineStr"/>
      <c r="M1447" s="5" t="inlineStr"/>
      <c r="N1447" s="5" t="inlineStr"/>
      <c r="O1447" s="6" t="inlineStr"/>
      <c r="P1447" s="6" t="inlineStr"/>
      <c r="Q1447" s="5" t="inlineStr"/>
      <c r="R1447" s="5" t="inlineStr"/>
      <c r="S1447" s="5" t="inlineStr"/>
      <c r="T1447" s="5" t="inlineStr"/>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is>
          <t>Akıl 33</t>
        </is>
      </c>
      <c r="AI1447" s="5" t="inlineStr">
        <is>
          <t>Yan Yatak</t>
        </is>
      </c>
      <c r="AJ1447" s="5" t="inlineStr"/>
    </row>
    <row r="1448">
      <c r="A1448" s="5" t="inlineStr">
        <is>
          <t>b7-hekim-uzmanlik</t>
        </is>
      </c>
      <c r="B1448" s="5" t="n">
        <v>3</v>
      </c>
      <c r="C1448" s="6" t="inlineStr">
        <is>
          <t>Uykusuz ama dimdik cevap ver</t>
        </is>
      </c>
      <c r="D1448" s="5" t="inlineStr">
        <is>
          <t>Dayanıklılık</t>
        </is>
      </c>
      <c r="E1448" s="5" t="inlineStr">
        <is>
          <t>Zor</t>
        </is>
      </c>
      <c r="F1448" s="5" t="inlineStr"/>
      <c r="G1448" s="6" t="inlineStr"/>
      <c r="H1448" s="6" t="inlineStr">
        <is>
          <t>Otuz altı saatlik uykusuzlukla cümleleri sendelemeden dizdin. Vizit bitince koridorda ayakta uyudun; kimse fark etmedi.</t>
        </is>
      </c>
      <c r="I1448" s="6" t="inlineStr">
        <is>
          <t>Cevabın kusursuzdu; hoca “Bu çocuk hiç uyumuyor mu?” diye sordu, övgü olarak. Ertesi ay baş asistan oldun; daha da az uyuyacaksın.</t>
        </is>
      </c>
      <c r="J1448" s="6" t="inlineStr">
        <is>
          <t>Cevabın ortasında bir kelime aradın, bulamadın. Hoca kelimeyi söyledi; sen de ekledin: “Aynen.”</t>
        </is>
      </c>
      <c r="K1448" s="6" t="inlineStr">
        <is>
          <t>Cevap verirken gözlerin kapandı. Uyandığında vizit iki oda ilerdeydi; hasta üstüne battaniye örtmüştü.</t>
        </is>
      </c>
      <c r="L1448" s="6" t="inlineStr"/>
      <c r="M1448" s="5" t="inlineStr"/>
      <c r="N1448" s="5" t="inlineStr"/>
      <c r="O1448" s="6" t="inlineStr"/>
      <c r="P1448" s="6" t="inlineStr"/>
      <c r="Q1448" s="5" t="inlineStr"/>
      <c r="R1448" s="5" t="inlineStr"/>
      <c r="S1448" s="5" t="inlineStr"/>
      <c r="T1448" s="5" t="inlineStr">
        <is>
          <t>Nöbet Disiplini</t>
        </is>
      </c>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b7-hekim-hasta-yakini</t>
        </is>
      </c>
      <c r="B1449" s="5" t="n">
        <v>1</v>
      </c>
      <c r="C1449" s="6" t="inlineStr">
        <is>
          <t>Saat beşte tek bilgilendirme yap</t>
        </is>
      </c>
      <c r="D1449" s="5" t="inlineStr"/>
      <c r="E1449" s="5" t="inlineStr"/>
      <c r="F1449" s="5" t="inlineStr">
        <is>
          <t>Dayanıklılık +1, Sosyal Radar +1</t>
        </is>
      </c>
      <c r="G1449" s="6" t="inlineStr">
        <is>
          <t>Saat beşte koridorda tek bir bilgilendirme yaptın. On bir kişi dinledi, on ikincisi hoparlörden. Sonra hepsi tek tek gelip aynı soruyu sordu.</t>
        </is>
      </c>
      <c r="H1449" s="6" t="inlineStr"/>
      <c r="I1449" s="6" t="inlineStr"/>
      <c r="J1449" s="6" t="inlineStr"/>
      <c r="K1449" s="6" t="inlineStr"/>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c r="AI1449" s="5" t="inlineStr"/>
      <c r="AJ1449" s="5" t="inlineStr"/>
    </row>
    <row r="1450">
      <c r="A1450" s="5" t="inlineStr">
        <is>
          <t>b7-hekim-hasta-yakini</t>
        </is>
      </c>
      <c r="B1450" s="5" t="n">
        <v>2</v>
      </c>
      <c r="C1450" s="6" t="inlineStr">
        <is>
          <t>Aileden bir sözcü seç</t>
        </is>
      </c>
      <c r="D1450" s="5" t="inlineStr">
        <is>
          <t>Akıl</t>
        </is>
      </c>
      <c r="E1450" s="5" t="inlineStr">
        <is>
          <t>Orta</t>
        </is>
      </c>
      <c r="F1450" s="5" t="inlineStr"/>
      <c r="G1450" s="6" t="inlineStr"/>
      <c r="H1450" s="6" t="inlineStr">
        <is>
          <t>Aileden en sakin olanı sözcü yaptın. Bilgi ondan ötekilere aktı, koridor boşaldı. Sözcü de artık ailenin küçük doktoru.</t>
        </is>
      </c>
      <c r="I1450" s="6" t="inlineStr">
        <is>
          <t>Sözcü öyle iyi çıktı ki servis bu usulü bütün hasta aileleri için kural yaptı. Amca taburcu olurken sana değil sözcüye teşekkür etti.</t>
        </is>
      </c>
      <c r="J1450" s="6" t="inlineStr">
        <is>
          <t>Sözcüyü seçtin; öbür on kişi sözcüye güvenmedi. Artık on bir kişi artı bir sözcü var.</t>
        </is>
      </c>
      <c r="K1450"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0" s="6" t="inlineStr"/>
      <c r="M1450" s="5" t="inlineStr"/>
      <c r="N1450" s="5" t="inlineStr"/>
      <c r="O1450" s="6" t="inlineStr"/>
      <c r="P1450" s="6" t="inlineStr"/>
      <c r="Q1450" s="5" t="inlineStr"/>
      <c r="R1450" s="5" t="inlineStr"/>
      <c r="S1450" s="5" t="inlineStr"/>
      <c r="T1450" s="5" t="inlineStr"/>
      <c r="U1450" s="5" t="inlineStr"/>
      <c r="V1450" s="5" t="inlineStr">
        <is>
          <t>hekim-sozcu-usulu</t>
        </is>
      </c>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3</v>
      </c>
      <c r="C1451" s="6" t="inlineStr">
        <is>
          <t>Nöbet sonrası herkese tek tek dön</t>
        </is>
      </c>
      <c r="D1451" s="5" t="inlineStr">
        <is>
          <t>Dayanıklılık</t>
        </is>
      </c>
      <c r="E1451" s="5" t="inlineStr">
        <is>
          <t>Zor</t>
        </is>
      </c>
      <c r="F1451" s="5" t="inlineStr"/>
      <c r="G1451" s="6" t="inlineStr"/>
      <c r="H1451" s="6" t="inlineStr">
        <is>
          <t>Nöbetten çıkıp on iki kişiyi tek tek aradın. Sabaha karşı sonuncusu teşekkür etti. Uyumadın ama koridor sana bir hafta tatlı getirdi.</t>
        </is>
      </c>
      <c r="I1451" s="6" t="inlineStr">
        <is>
          <t>On iki telefonun hepsi teşekkürle bitti. Taburcu günü amca koridordaki on bir yakınına seni gösterdi: “Bu doktor beni sizden iyi tanıyor.”</t>
        </is>
      </c>
      <c r="J1451" s="6" t="inlineStr">
        <is>
          <t>Aramaya başladın; dördüncüde uyuyakaldın. Kalan sekiz kişi sabah hep birlikte geldi.</t>
        </is>
      </c>
      <c r="K1451" s="6" t="inlineStr">
        <is>
          <t>Aramaları yaptın ama yanlış listeden; başka bir hastanın yakınlarını bilgilendirdin. Onlar da çok memnun kaldı, ne yazık ki.</t>
        </is>
      </c>
      <c r="L1451" s="6" t="inlineStr"/>
      <c r="M1451" s="5" t="inlineStr"/>
      <c r="N1451" s="5" t="inlineStr"/>
      <c r="O1451" s="6" t="inlineStr"/>
      <c r="P1451" s="6" t="inlineStr"/>
      <c r="Q1451" s="5" t="inlineStr"/>
      <c r="R1451" s="5" t="inlineStr"/>
      <c r="S1451" s="5" t="inlineStr"/>
      <c r="T1451" s="5" t="inlineStr">
        <is>
          <t>Gözüne Uyku Girmez</t>
        </is>
      </c>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b8-hekim-profesorluk</t>
        </is>
      </c>
      <c r="B1452" s="5" t="n">
        <v>1</v>
      </c>
      <c r="C1452" s="6" t="inlineStr">
        <is>
          <t>Makaleyi hafta sonları yaz</t>
        </is>
      </c>
      <c r="D1452" s="5" t="inlineStr"/>
      <c r="E1452" s="5" t="inlineStr"/>
      <c r="F1452" s="5" t="inlineStr">
        <is>
          <t>Akıl +1, Dayanıklılık +1</t>
        </is>
      </c>
      <c r="G1452" s="6" t="inlineStr">
        <is>
          <t>Üç ay hafta sonu yazdın. Makale bitti; jüri bir sonraki döneme kaldı. Aile grubuna “Değişen bir şey yok” yazdın; doğruydu.</t>
        </is>
      </c>
      <c r="H1452" s="6" t="inlineStr"/>
      <c r="I1452" s="6" t="inlineStr"/>
      <c r="J1452" s="6" t="inlineStr"/>
      <c r="K1452" s="6" t="inlineStr"/>
      <c r="L1452" s="6" t="inlineStr"/>
      <c r="M1452" s="5" t="inlineStr"/>
      <c r="N1452" s="5" t="inlineStr"/>
      <c r="O1452" s="6" t="inlineStr"/>
      <c r="P1452" s="6" t="inlineStr"/>
      <c r="Q1452" s="5" t="inlineStr"/>
      <c r="R1452" s="5" t="inlineStr"/>
      <c r="S1452" s="5" t="inlineStr"/>
      <c r="T1452" s="5" t="inlineStr"/>
      <c r="U1452" s="5" t="inlineStr"/>
      <c r="V1452" s="5" t="inlineStr"/>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b8-hekim-profesorluk</t>
        </is>
      </c>
      <c r="B1453" s="5" t="n">
        <v>2</v>
      </c>
      <c r="C1453" s="6" t="inlineStr">
        <is>
          <t>Asistanlarla ortak çalış</t>
        </is>
      </c>
      <c r="D1453" s="5" t="inlineStr">
        <is>
          <t>Sosyal Radar</t>
        </is>
      </c>
      <c r="E1453" s="5" t="inlineStr">
        <is>
          <t>Orta</t>
        </is>
      </c>
      <c r="F1453" s="5" t="inlineStr"/>
      <c r="G1453" s="6" t="inlineStr"/>
      <c r="H1453" s="6" t="inlineStr">
        <is>
          <t>Dört asistana birer bölüm verdin, akşamları birleştirdiniz. Makale zamanında çıktı; profesör oldun. Asistanlar da ilk makalelerini kazandı.</t>
        </is>
      </c>
      <c r="I1453" s="6" t="inlineStr">
        <is>
          <t>Ekip öyle uyumlu çalıştı ki bir makale yerine iki çıktı. Jüri seni oy birliğiyle profesör yaptı; asistanlar pasta aldı, üstünde senin adın yanlış.</t>
        </is>
      </c>
      <c r="J1453" s="6" t="inlineStr">
        <is>
          <t>Asistanlar bölümleri yazdı ama her biri ayrı bir dille. Birleştirmek üç ay daha sürdü; jüri bekleyemedi.</t>
        </is>
      </c>
      <c r="K1453" s="6" t="inlineStr">
        <is>
          <t>Asistanlardan biri makaleyi kendi adıyla bir dergiye yollamış. Dergi kabul etti. Tebrik ettin, dişlerini sıkarak.</t>
        </is>
      </c>
      <c r="L1453" s="6" t="inlineStr"/>
      <c r="M1453" s="5" t="inlineStr"/>
      <c r="N1453" s="5" t="inlineStr"/>
      <c r="O1453" s="6" t="inlineStr"/>
      <c r="P1453" s="6" t="inlineStr"/>
      <c r="Q1453" s="5" t="inlineStr"/>
      <c r="R1453" s="5" t="inlineStr"/>
      <c r="S1453" s="5" t="inlineStr"/>
      <c r="T1453" s="5" t="inlineStr"/>
      <c r="U1453" s="5" t="inlineStr"/>
      <c r="V1453" s="5" t="inlineStr">
        <is>
          <t>hekim-profesor</t>
        </is>
      </c>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3</v>
      </c>
      <c r="C1454" s="6" t="inlineStr">
        <is>
          <t>Tek başına büyük çalışmayı bitir</t>
        </is>
      </c>
      <c r="D1454" s="5" t="inlineStr">
        <is>
          <t>Akıl</t>
        </is>
      </c>
      <c r="E1454" s="5" t="inlineStr">
        <is>
          <t>Zor</t>
        </is>
      </c>
      <c r="F1454" s="5" t="inlineStr"/>
      <c r="G1454" s="6" t="inlineStr"/>
      <c r="H1454" s="6" t="inlineStr">
        <is>
          <t>Üç ay gece gündüz çalıştın, büyük çalışmayı tek başına bitirdin. Jüri sorularını beş dakikada bitirdi; profesör oldun.</t>
        </is>
      </c>
      <c r="I1454" s="6" t="inlineStr">
        <is>
          <t>Çalışma yurt dışı bir dergide çıktı, Öte Diyar'dan bir hoca bile tebrik yazdı. Profesör oldun; aile grubu da “Artık bedava muayene mi?” diye sordu.</t>
        </is>
      </c>
      <c r="J1454" s="6" t="inlineStr">
        <is>
          <t>Çalışma bitti ama bir istatistik hatası çıktı. Düzeltmek bir dönem sürdü; jüri seni bir sonraki takvime yazdı.</t>
        </is>
      </c>
      <c r="K1454" s="6" t="inlineStr">
        <is>
          <t>Bütün verileri tek bilgisayarda tuttun. Asistan bilgisayarın üstüne çay döktü. Çalışmaya sıfırdan başladın; asistan o günden beri çayını karton bardakta içiyor.</t>
        </is>
      </c>
      <c r="L1454" s="6" t="inlineStr"/>
      <c r="M1454" s="5" t="inlineStr"/>
      <c r="N1454" s="5" t="inlineStr"/>
      <c r="O1454" s="6" t="inlineStr"/>
      <c r="P1454" s="6" t="inlineStr"/>
      <c r="Q1454" s="5" t="inlineStr"/>
      <c r="R1454" s="5" t="inlineStr"/>
      <c r="S1454" s="5" t="inlineStr"/>
      <c r="T1454" s="5" t="inlineStr">
        <is>
          <t>Ukala Ama Haklı</t>
        </is>
      </c>
      <c r="U1454" s="5" t="inlineStr"/>
      <c r="V1454" s="5" t="inlineStr">
        <is>
          <t>hekim-profesor</t>
        </is>
      </c>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is>
          <t>Akıl 37</t>
        </is>
      </c>
      <c r="AI1454" s="5" t="inlineStr"/>
      <c r="AJ1454" s="5" t="inlineStr"/>
    </row>
    <row r="1455">
      <c r="A1455" s="5" t="inlineStr">
        <is>
          <t>b8-hekim-profesorluk</t>
        </is>
      </c>
      <c r="B1455" s="5" t="n">
        <v>4</v>
      </c>
      <c r="C1455" s="6" t="inlineStr">
        <is>
          <t>Kliniğin yıllık verisini topla</t>
        </is>
      </c>
      <c r="D1455" s="5" t="inlineStr">
        <is>
          <t>Dayanıklılık</t>
        </is>
      </c>
      <c r="E1455" s="5" t="inlineStr">
        <is>
          <t>Kolay</t>
        </is>
      </c>
      <c r="F1455" s="5" t="inlineStr"/>
      <c r="G1455" s="6" t="inlineStr"/>
      <c r="H1455" s="6" t="inlineStr">
        <is>
          <t>Klinik şefi olarak on yıllık veriye zaten sahiptin. Bir ayda topladın, iki ayda yazdın. Jüri toplanmadan profesör oldun.</t>
        </is>
      </c>
      <c r="I1455" s="6" t="inlineStr">
        <is>
          <t>Verin öyle zengin çıktı ki üç makale birden yazdın. Jüri “Bu kadarı fazla” dedi, yine de profesör yaptı.</t>
        </is>
      </c>
      <c r="J1455" s="6" t="inlineStr">
        <is>
          <t>Verileri topladın ama arşivin yarısı eski kâğıt dosyalardaymış. Jüri tarihine yetişemedin.</t>
        </is>
      </c>
      <c r="K1455" s="6" t="inlineStr">
        <is>
          <t>Arşivde en üst raftaki klasöre uzandın; raf seninle birlikte devrildi. Üç gün kâğıt topladın. Jüriye makale yetişmedi ama arşiv hiç bu kadar düzenli olmamıştı; başhemşire sana teşekkür kartı yazdı.</t>
        </is>
      </c>
      <c r="L1455" s="6" t="inlineStr"/>
      <c r="M1455" s="5" t="inlineStr"/>
      <c r="N1455" s="5" t="inlineStr"/>
      <c r="O1455" s="6" t="inlineStr"/>
      <c r="P1455" s="6" t="inlineStr"/>
      <c r="Q1455" s="5" t="inlineStr"/>
      <c r="R1455" s="5" t="inlineStr">
        <is>
          <t>klinik-sefi</t>
        </is>
      </c>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b8-hekim-aile-grubu</t>
        </is>
      </c>
      <c r="B1456" s="5" t="n">
        <v>1</v>
      </c>
      <c r="C1456" s="6" t="inlineStr">
        <is>
          <t>Hepsine “Hastaneye gel” yaz</t>
        </is>
      </c>
      <c r="D1456" s="5" t="inlineStr"/>
      <c r="E1456" s="5" t="inlineStr"/>
      <c r="F1456" s="5" t="inlineStr">
        <is>
          <t>İtibar +1, Dayanıklılık +1</t>
        </is>
      </c>
      <c r="G1456" s="6" t="inlineStr">
        <is>
          <t>Hepsine aynı cevabı yazdın: “Hastaneye gel.” Ertesi gün poliklinik kapında sekiz akraba; biri kek getirmiş, kimse randevu almamış.</t>
        </is>
      </c>
      <c r="H1456" s="6" t="inlineStr"/>
      <c r="I1456" s="6" t="inlineStr"/>
      <c r="J1456" s="6" t="inlineStr"/>
      <c r="K1456" s="6" t="inlineStr"/>
      <c r="L1456" s="6" t="inlineStr"/>
      <c r="M1456" s="5" t="inlineStr"/>
      <c r="N1456" s="5" t="inlineStr"/>
      <c r="O1456" s="6" t="inlineStr"/>
      <c r="P1456" s="6" t="inlineStr"/>
      <c r="Q1456" s="5" t="inlineStr"/>
      <c r="R1456" s="5" t="inlineStr"/>
      <c r="S1456" s="5" t="inlineStr"/>
      <c r="T1456" s="5" t="inlineStr"/>
      <c r="U1456" s="5" t="inlineStr"/>
      <c r="V1456" s="5" t="inlineStr"/>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c r="AI1456" s="5" t="inlineStr"/>
      <c r="AJ1456" s="5" t="inlineStr"/>
    </row>
    <row r="1457">
      <c r="A1457" s="5" t="inlineStr">
        <is>
          <t>b8-hekim-aile-grubu</t>
        </is>
      </c>
      <c r="B1457" s="5" t="n">
        <v>2</v>
      </c>
      <c r="C1457" s="6" t="inlineStr">
        <is>
          <t>Haftalık soru-cevap saati aç</t>
        </is>
      </c>
      <c r="D1457" s="5" t="inlineStr">
        <is>
          <t>Çene</t>
        </is>
      </c>
      <c r="E1457" s="5" t="inlineStr">
        <is>
          <t>Orta</t>
        </is>
      </c>
      <c r="F1457" s="5" t="inlineStr"/>
      <c r="G1457" s="6" t="inlineStr"/>
      <c r="H1457" s="6" t="inlineStr">
        <is>
          <t>Her pazar akşamı bir saat soru-cevap açtın; gerisi yasak. Grup kurala uydu. Pazar akşamları aile artık seni dinlemek için toplanıyor.</t>
        </is>
      </c>
      <c r="I1457" s="6" t="inlineStr">
        <is>
          <t>Pazar saati sevildi: yengenin komşusu, kuzenin kayınpederi, eniştenin berberi de gruba katıldı. Pazar akşamı dokuzda kimse dizi açmıyor; herkes telefonun başında seni bekliyor.</t>
        </is>
      </c>
      <c r="J1457" s="6" t="inlineStr">
        <is>
          <t>Soru-cevap saati açtın; sorular saat dışında da geldi, bu sefer “Saatin dışında ama...” diye başlayarak.</t>
        </is>
      </c>
      <c r="K1457" s="6" t="inlineStr">
        <is>
          <t>İlk soru-cevap saatinde kırk kişi aynı anda yazdı; telefonun ısındı, kapandı. Grupta üç saat “Doktora bir şey oldu” paniği yaşandı. Halan ambulans çağırmış; adresi senin hastanen.</t>
        </is>
      </c>
      <c r="L1457" s="6" t="inlineStr"/>
      <c r="M1457" s="5" t="inlineStr"/>
      <c r="N1457" s="5" t="inlineStr"/>
      <c r="O1457" s="6" t="inlineStr"/>
      <c r="P1457" s="6" t="inlineStr"/>
      <c r="Q1457" s="5" t="inlineStr"/>
      <c r="R1457" s="5" t="inlineStr"/>
      <c r="S1457" s="5" t="inlineStr"/>
      <c r="T1457" s="5" t="inlineStr"/>
      <c r="U1457" s="5" t="inlineStr"/>
      <c r="V1457" s="5" t="inlineStr"/>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3</v>
      </c>
      <c r="C1458" s="6" t="inlineStr">
        <is>
          <t>Aile grubuna da sözcü seç</t>
        </is>
      </c>
      <c r="D1458" s="5" t="inlineStr">
        <is>
          <t>Sosyal Radar</t>
        </is>
      </c>
      <c r="E1458" s="5" t="inlineStr">
        <is>
          <t>Kolay</t>
        </is>
      </c>
      <c r="F1458" s="5" t="inlineStr"/>
      <c r="G1458" s="6" t="inlineStr"/>
      <c r="H1458" s="6" t="inlineStr">
        <is>
          <t>Hastanedeki sözcü usulünü aileye uyguladın: sorular önce kuzenine gidiyor, o süzüp sana getiriyor. Günde yüz mesaj, üçe indi.</t>
        </is>
      </c>
      <c r="I1458" s="6" t="inlineStr">
        <is>
          <t>Kuzenin sözcülükte öyle ustalaştı ki artık yarı doktor gibi konuşuyor. Aile ona soruyor, o sana; sen de sonunda uyuyorsun.</t>
        </is>
      </c>
      <c r="J1458" s="6" t="inlineStr">
        <is>
          <t>Sözcüyü seçtin; halan yine sana yazdı: “Kuzenine sordum, sen de bir bak.” Artık her soru iki kez geliyor.</t>
        </is>
      </c>
      <c r="K1458" s="6" t="inlineStr">
        <is>
          <t>Sözcü seçtiğin kuzen ilk gün kendi teşhisini koymaya başladı. Şimdi iki doktorlu bir grubunuz var; biri değil.</t>
        </is>
      </c>
      <c r="L1458" s="6" t="inlineStr"/>
      <c r="M1458" s="5" t="inlineStr"/>
      <c r="N1458" s="5" t="inlineStr"/>
      <c r="O1458" s="6" t="inlineStr"/>
      <c r="P1458" s="6" t="inlineStr"/>
      <c r="Q1458" s="5" t="inlineStr"/>
      <c r="R1458" s="5" t="inlineStr">
        <is>
          <t>hekim-sozcu-usulu</t>
        </is>
      </c>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4</v>
      </c>
      <c r="C1459" s="6" t="inlineStr">
        <is>
          <t>Grubu sessize al</t>
        </is>
      </c>
      <c r="D1459" s="5" t="inlineStr">
        <is>
          <t>Pişkinlik</t>
        </is>
      </c>
      <c r="E1459" s="5" t="inlineStr">
        <is>
          <t>Zor</t>
        </is>
      </c>
      <c r="F1459" s="5" t="inlineStr"/>
      <c r="G1459" s="6" t="inlineStr"/>
      <c r="H1459" s="6" t="inlineStr">
        <is>
          <t>Grubu sessize aldın. Üç gün kimse fark etmedi; dördüncü gün teyzen hastaneye gelip seni buldu: “Görmüyor musun?” Görmüyordun, rahattın.</t>
        </is>
      </c>
      <c r="I1459" s="6" t="inlineStr">
        <is>
          <t>Sessize aldın ve kimse fark etmedi. Grup kendi kendine bir ay yaşadı; sen sadece bayramda bir mesaj attın, tüm aile duygulandı.</t>
        </is>
      </c>
      <c r="J1459" s="6" t="inlineStr">
        <is>
          <t>Sessize aldın ama bir saat sonra dayanamayıp açtın. Kırk yeni mesaj, biri dizin fotoğrafı.</t>
        </is>
      </c>
      <c r="K1459" s="6" t="inlineStr">
        <is>
          <t>Sessize alırken yanlışlıkla gruptan çıktın. Ekranda tek satır belirdi: “Doktor gruptan ayrıldı.” Yarım saatte annen ağlayarak aradı; bir saat sonra teyzen börekle kapındaydı: “Biz sana ne yaptık?”</t>
        </is>
      </c>
      <c r="L1459" s="6" t="inlineStr"/>
      <c r="M1459" s="5" t="inlineStr"/>
      <c r="N1459" s="5" t="inlineStr"/>
      <c r="O1459" s="6" t="inlineStr"/>
      <c r="P1459" s="6" t="inlineStr"/>
      <c r="Q1459" s="5" t="inlineStr"/>
      <c r="R1459" s="5" t="inlineStr"/>
      <c r="S1459" s="5" t="inlineStr"/>
      <c r="T1459" s="5" t="inlineStr">
        <is>
          <t>Sessize Alma Ustası</t>
        </is>
      </c>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b9-hekim-son-vizit</t>
        </is>
      </c>
      <c r="B1460" s="5" t="n">
        <v>1</v>
      </c>
      <c r="C1460" s="6" t="inlineStr">
        <is>
          <t>Bir asistana fikrini sor</t>
        </is>
      </c>
      <c r="D1460" s="5" t="inlineStr"/>
      <c r="E1460" s="5" t="inlineStr"/>
      <c r="F1460" s="5" t="inlineStr">
        <is>
          <t>Akıl +1, İtibar +1</t>
        </is>
      </c>
      <c r="G1460" s="6" t="inlineStr">
        <is>
          <t>Bir asistana döndün: “Bu hastada ne düşünüyorsun?” “Emin değilim hocam, bakıp söyleyeceğim” dedi. Gülümsedin; bu da profesör olur.</t>
        </is>
      </c>
      <c r="H1460" s="6" t="inlineStr"/>
      <c r="I1460" s="6" t="inlineStr"/>
      <c r="J1460" s="6" t="inlineStr"/>
      <c r="K1460" s="6" t="inlineStr"/>
      <c r="L1460" s="6" t="inlineStr"/>
      <c r="M1460" s="5" t="inlineStr"/>
      <c r="N1460" s="5" t="inlineStr"/>
      <c r="O1460" s="6" t="inlineStr"/>
      <c r="P1460" s="6" t="inlineStr"/>
      <c r="Q1460" s="5" t="inlineStr"/>
      <c r="R1460" s="5" t="inlineStr"/>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b9-hekim-son-vizit</t>
        </is>
      </c>
      <c r="B1461" s="5" t="n">
        <v>2</v>
      </c>
      <c r="C1461" s="6" t="inlineStr">
        <is>
          <t>Hastayla uzun uzun sohbet et</t>
        </is>
      </c>
      <c r="D1461" s="5" t="inlineStr">
        <is>
          <t>İtibar</t>
        </is>
      </c>
      <c r="E1461" s="5" t="inlineStr">
        <is>
          <t>Orta</t>
        </is>
      </c>
      <c r="F1461" s="5" t="inlineStr"/>
      <c r="G1461" s="6" t="inlineStr"/>
      <c r="H1461" s="6" t="inlineStr">
        <is>
          <t>Vizit durdu; hastayla torunlarından, bahçesinden konuştun. Asistanlar not aldı; sonra neden not aldıklarını anladılar.</t>
        </is>
      </c>
      <c r="I1461" s="6" t="inlineStr">
        <is>
          <t>Hasta seni bahçesine davet etti, asistanları da. Taburcu olduğu pazar yirmi bir kişi bir bahçede kiraz topladı; hasta en tepedeydi.</t>
        </is>
      </c>
      <c r="J1461" s="6" t="inlineStr">
        <is>
          <t>Sohbete başladın; hasta uykuya daldı. Asistanlar sessizce bekledi. Son vizit en sessiz vizitin oldu.</t>
        </is>
      </c>
      <c r="K1461" s="6" t="inlineStr">
        <is>
          <t>Hastaya hayatını anlattın, sonra kendi hayatını. Hasta sonunda sana “Siz iyi misiniz hocam?” diye sordu.</t>
        </is>
      </c>
      <c r="L1461" s="6" t="inlineStr"/>
      <c r="M1461" s="5" t="inlineStr"/>
      <c r="N1461" s="5" t="inlineStr"/>
      <c r="O1461" s="6" t="inlineStr"/>
      <c r="P1461" s="6" t="inlineStr"/>
      <c r="Q1461" s="5" t="inlineStr"/>
      <c r="R1461" s="5" t="inlineStr"/>
      <c r="S1461" s="5" t="inlineStr"/>
      <c r="T1461" s="5" t="inlineStr"/>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3</v>
      </c>
      <c r="C1462" s="6" t="inlineStr">
        <is>
          <t>Son bir zor vakayı çöz</t>
        </is>
      </c>
      <c r="D1462" s="5" t="inlineStr">
        <is>
          <t>Akıl</t>
        </is>
      </c>
      <c r="E1462" s="5" t="inlineStr">
        <is>
          <t>Zor</t>
        </is>
      </c>
      <c r="F1462" s="5" t="inlineStr"/>
      <c r="G1462" s="6" t="inlineStr"/>
      <c r="H1462" s="6" t="inlineStr">
        <is>
          <t>Kimsenin çözemediği bir vakayı yatak başında on dakikada bağladın. Asistanlar alkışlamak istedi; hastanede alkış olmaz, yerlerinde kıpırdandılar.</t>
        </is>
      </c>
      <c r="I1462" s="6" t="inlineStr">
        <is>
          <t>Vakayı çözdün, hasta ertesi hafta taburcu oldu. Olgu sunumu asistanların ilk makalesi oldu; teşekkür kısmı bir sayfa.</t>
        </is>
      </c>
      <c r="J1462" s="6" t="inlineStr">
        <is>
          <t>Vakayı çözemedin; bir asistan çözdü. Onu tebrik ettin. İçinden de biraz kendini.</t>
        </is>
      </c>
      <c r="K1462" s="6" t="inlineStr">
        <is>
          <t>Vakayı çözerken eski bir bilgiyi yeni sandın. En genç asistan nazikçe düzeltti. Emekliliğin tam vaktinde geldi.</t>
        </is>
      </c>
      <c r="L1462" s="6" t="inlineStr"/>
      <c r="M1462" s="5" t="inlineStr"/>
      <c r="N1462" s="5" t="inlineStr"/>
      <c r="O1462" s="6" t="inlineStr"/>
      <c r="P1462" s="6" t="inlineStr"/>
      <c r="Q1462" s="5" t="inlineStr"/>
      <c r="R1462" s="5" t="inlineStr"/>
      <c r="S1462" s="5" t="inlineStr"/>
      <c r="T1462" s="5" t="inlineStr">
        <is>
          <t>Ukala Ama Haklı</t>
        </is>
      </c>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k10-polis</t>
        </is>
      </c>
      <c r="B1463" s="5" t="n">
        <v>1</v>
      </c>
      <c r="C1463" s="6" t="inlineStr">
        <is>
          <t>Zarfı reddet</t>
        </is>
      </c>
      <c r="D1463" s="5" t="inlineStr"/>
      <c r="E1463" s="5" t="inlineStr"/>
      <c r="F1463" s="5" t="inlineStr">
        <is>
          <t>İtibar +1, Cesaret +1</t>
        </is>
      </c>
      <c r="G1463" s="6" t="inlineStr">
        <is>
          <t>Zarfı fincanla birlikte adama geri yolladın, üstüne tutanak tuttun. Çaycı fincanı geri götürürken fısıldadı: “Bu karakolda çok çay taşıdım, zarfı ilk kez geri taşıyorum.”</t>
        </is>
      </c>
      <c r="H1463" s="6" t="inlineStr"/>
      <c r="I1463" s="6" t="inlineStr"/>
      <c r="J1463" s="6" t="inlineStr"/>
      <c r="K1463" s="6" t="inlineStr"/>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k10-polis</t>
        </is>
      </c>
      <c r="B1464" s="5" t="n">
        <v>2</v>
      </c>
      <c r="C1464" s="6" t="inlineStr">
        <is>
          <t>Zarfı al</t>
        </is>
      </c>
      <c r="D1464" s="5" t="inlineStr">
        <is>
          <t>Kurnazlık</t>
        </is>
      </c>
      <c r="E1464" s="5" t="inlineStr">
        <is>
          <t>Zor</t>
        </is>
      </c>
      <c r="F1464" s="5" t="inlineStr"/>
      <c r="G1464" s="6" t="inlineStr"/>
      <c r="H1464" s="6" t="inlineStr">
        <is>
          <t>Zarfı çekmeceye koydun, dosya yavaşladı, kimse bir şey sormadı. Evde yeni bir koltuk var; oturunca biraz batıyor.</t>
        </is>
      </c>
      <c r="I1464" s="6" t="inlineStr">
        <is>
          <t>Zarf sessizce geldi, sessizce eridi; müteahhit bile unuttu. Hayatın rahat. Vicdanın ara sıra kapıyı çalıyor, açmıyorsun.</t>
        </is>
      </c>
      <c r="J1464" s="6" t="inlineStr">
        <is>
          <t>Zarfı koyduğun çekmece, iç denetimin o hafta açtığı ilk çekmeceymiş. Nezarethaneyi bu sefer içeriden gördün.</t>
        </is>
      </c>
      <c r="K1464" s="6" t="inlineStr">
        <is>
          <t>Zarfı sayarken kamera açıktı; kamerayı sen taktırmıştın, geçen yıl. Dava kısa sürdü, ceza uzun.</t>
        </is>
      </c>
      <c r="L1464" s="6" t="inlineStr"/>
      <c r="M1464" s="5" t="inlineStr"/>
      <c r="N1464" s="5" t="inlineStr"/>
      <c r="O1464" s="6" t="inlineStr"/>
      <c r="P1464" s="6" t="inlineStr"/>
      <c r="Q1464" s="5" t="inlineStr"/>
      <c r="R1464" s="5" t="inlineStr"/>
      <c r="S1464" s="5" t="inlineStr"/>
      <c r="T1464" s="5" t="inlineStr"/>
      <c r="U1464" s="5" t="inlineStr"/>
      <c r="V1464" s="5" t="inlineStr">
        <is>
          <t>zarf-aldi</t>
        </is>
      </c>
      <c r="W1464" s="5" t="inlineStr"/>
      <c r="X1464" s="5" t="inlineStr"/>
      <c r="Y1464" s="5" t="inlineStr"/>
      <c r="Z1464" s="6" t="inlineStr"/>
      <c r="AA1464" s="5" t="inlineStr"/>
      <c r="AB1464" s="5" t="inlineStr">
        <is>
          <t>hapis</t>
        </is>
      </c>
      <c r="AC1464" s="5" t="inlineStr"/>
      <c r="AD1464" s="5" t="inlineStr">
        <is>
          <t>Rahat</t>
        </is>
      </c>
      <c r="AE1464" s="5" t="inlineStr"/>
      <c r="AF1464" s="5" t="inlineStr"/>
      <c r="AG1464" s="5" t="inlineStr"/>
      <c r="AH1464" s="5" t="inlineStr"/>
      <c r="AI1464" s="5" t="inlineStr"/>
      <c r="AJ1464" s="5" t="inlineStr"/>
    </row>
    <row r="1465">
      <c r="A1465" s="5" t="inlineStr">
        <is>
          <t>k10-polis</t>
        </is>
      </c>
      <c r="B1465" s="5" t="n">
        <v>3</v>
      </c>
      <c r="C1465" s="6" t="inlineStr">
        <is>
          <t>Karşı tarafa geç</t>
        </is>
      </c>
      <c r="D1465" s="5" t="inlineStr">
        <is>
          <t>Kurnazlık</t>
        </is>
      </c>
      <c r="E1465" s="5" t="inlineStr">
        <is>
          <t>Zor</t>
        </is>
      </c>
      <c r="F1465" s="5" t="inlineStr"/>
      <c r="G1465" s="6" t="inlineStr"/>
      <c r="H1465" s="6" t="inlineStr">
        <is>
          <t>Zarfı değil, teklifin tamamını aldın: rozeti bırakıp müteahhidin “güvenlik danışmanı” oldun. Maaş üç katı; eski ekibin selamı kesti.</t>
        </is>
      </c>
      <c r="I1465" s="6" t="inlineStr">
        <is>
          <t>Rozeti bıraktın, müteahhidin sağ kolu oldun. Arabalar, ofis, adını fısıldayan adamlar. Annen telefonu açmıyor.</t>
        </is>
      </c>
      <c r="J1465" s="6" t="inlineStr">
        <is>
          <t>İstifa dilekçeni yazdın ama müteahhidin adamı ortadan kayboldu. Rozet hâlâ sende; artık her adımını bir üst makam izliyor.</t>
        </is>
      </c>
      <c r="K1465" s="6" t="inlineStr">
        <is>
          <t>Müteahhidin adamı numaranı telefonuna “Karakol – Zarf” diye kaydetmiş. Telefon iç denetimin elinde açıldı. İstifan kabul edilmedi; çayını artık amirin getiriyor, gözünü senden ayırmadan.</t>
        </is>
      </c>
      <c r="L1465" s="6" t="inlineStr"/>
      <c r="M1465" s="5" t="inlineStr"/>
      <c r="N1465" s="5" t="inlineStr"/>
      <c r="O1465" s="6" t="inlineStr"/>
      <c r="P1465" s="6" t="inlineStr"/>
      <c r="Q1465" s="5" t="inlineStr"/>
      <c r="R1465" s="5" t="inlineStr"/>
      <c r="S1465" s="5" t="inlineStr"/>
      <c r="T1465" s="5" t="inlineStr"/>
      <c r="U1465" s="5" t="inlineStr"/>
      <c r="V1465" s="5" t="inlineStr">
        <is>
          <t>-hat-dolandirici, -hat-girisimci, -hat-goc, -hat-hekim, -hat-koy, -hat-polis, -hat-politika, -hat-sohret, -hat-usta, -hat-yargi, -meslek-beyazyaka, -meslek-memur, -meslek-serbest, hat-cete, meslek-esnaf</t>
        </is>
      </c>
      <c r="W1465" s="5" t="inlineStr"/>
      <c r="X1465" s="5" t="inlineStr"/>
      <c r="Y1465" s="5" t="inlineStr"/>
      <c r="Z1465" s="6" t="inlineStr"/>
      <c r="AA1465" s="5" t="inlineStr">
        <is>
          <t>hepsi -1</t>
        </is>
      </c>
      <c r="AB1465" s="5" t="inlineStr">
        <is>
          <t>polis-gozetim</t>
        </is>
      </c>
      <c r="AC1465" s="5" t="inlineStr"/>
      <c r="AD1465" s="5" t="inlineStr">
        <is>
          <t>Rahat</t>
        </is>
      </c>
      <c r="AE1465" s="5" t="inlineStr"/>
      <c r="AF1465" s="5" t="inlineStr"/>
      <c r="AG1465" s="5" t="inlineStr"/>
      <c r="AH1465" s="5" t="inlineStr"/>
      <c r="AI1465" s="5" t="inlineStr"/>
      <c r="AJ1465" s="5" t="inlineStr"/>
    </row>
    <row r="1466">
      <c r="A1466" s="5" t="inlineStr">
        <is>
          <t>k10-polis</t>
        </is>
      </c>
      <c r="B1466" s="5" t="n">
        <v>4</v>
      </c>
      <c r="C1466" s="6" t="inlineStr">
        <is>
          <t>İhbar et</t>
        </is>
      </c>
      <c r="D1466" s="5" t="inlineStr">
        <is>
          <t>Cesaret</t>
        </is>
      </c>
      <c r="E1466" s="5" t="inlineStr">
        <is>
          <t>Zor</t>
        </is>
      </c>
      <c r="F1466" s="5" t="inlineStr"/>
      <c r="G1466" s="6" t="inlineStr"/>
      <c r="H1466" s="6" t="inlineStr">
        <is>
          <t>Zarfı delil torbasına koyup başsavcılığa götürdün. Müteahhit, üç memur ve bir fincan gözaltında. Haberlerde adın geçti; ertesi gün bir parti kapını çaldı: “Aday olur musun?”</t>
        </is>
      </c>
      <c r="I1466" s="6" t="inlineStr">
        <is>
          <t>Haberlerde yüzün, karakolun önünde kalabalık. Bir parti seni listenin başına yazdı. Rozetini çerçeveletip salona astın; annen misafirlere önce onu gösteriyor, sonra seni.</t>
        </is>
      </c>
      <c r="J1466" s="6" t="inlineStr">
        <is>
          <t>İhbar ettin; dosya bir masadan öbürüne, sonra hiçbir masaya gitti. Bir ay sonra tayinin çıktı: haritada ilk kez gördüğün bir ilçe. Rozet hâlâ sende.</t>
        </is>
      </c>
      <c r="K1466" s="6" t="inlineStr">
        <is>
          <t>İhbarın ertesi günü müteahhidin kuzeni amirin oldu. Tayinin uzak bir dağ ilçesine; karakolun tek aracı bir traktör.</t>
        </is>
      </c>
      <c r="L1466" s="6" t="inlineStr"/>
      <c r="M1466" s="5" t="inlineStr"/>
      <c r="N1466" s="5" t="inlineStr"/>
      <c r="O1466" s="6" t="inlineStr"/>
      <c r="P1466" s="6" t="inlineStr"/>
      <c r="Q1466" s="5" t="inlineStr"/>
      <c r="R1466" s="5" t="inlineStr"/>
      <c r="S1466" s="5" t="inlineStr"/>
      <c r="T1466" s="5" t="inlineStr"/>
      <c r="U1466" s="5" t="inlineStr"/>
      <c r="V1466" s="5" t="inlineStr">
        <is>
          <t>-hat-cete, -hat-dolandirici, -hat-girisimci, -hat-goc, -hat-hekim, -hat-koy, -hat-polis, -hat-sohret, -hat-usta, -hat-yargi, -meslek-beyazyaka, -meslek-esnaf, -meslek-memur, -meslek-serbest, hat-politika</t>
        </is>
      </c>
      <c r="W1466" s="5" t="inlineStr"/>
      <c r="X1466" s="5" t="inlineStr"/>
      <c r="Y1466" s="5" t="inlineStr"/>
      <c r="Z1466" s="6" t="inlineStr"/>
      <c r="AA1466" s="5" t="inlineStr"/>
      <c r="AB1466" s="5" t="inlineStr">
        <is>
          <t>polis-surgun</t>
        </is>
      </c>
      <c r="AC1466" s="5" t="inlineStr"/>
      <c r="AD1466" s="5" t="inlineStr"/>
      <c r="AE1466" s="5" t="inlineStr"/>
      <c r="AF1466" s="5" t="inlineStr"/>
      <c r="AG1466" s="5" t="inlineStr"/>
      <c r="AH1466" s="5" t="inlineStr">
        <is>
          <t>Cesaret 32</t>
        </is>
      </c>
      <c r="AI1466" s="5" t="inlineStr"/>
      <c r="AJ1466" s="5" t="inlineStr"/>
    </row>
    <row r="1467">
      <c r="A1467" s="5" t="inlineStr">
        <is>
          <t>k10-yargi</t>
        </is>
      </c>
      <c r="B1467" s="5" t="n">
        <v>1</v>
      </c>
      <c r="C1467" s="6" t="inlineStr">
        <is>
          <t>Dosyaya göre karar ver</t>
        </is>
      </c>
      <c r="D1467" s="5" t="inlineStr"/>
      <c r="E1467" s="5" t="inlineStr"/>
      <c r="F1467" s="5" t="inlineStr">
        <is>
          <t>Akıl +1, İtibar +1</t>
        </is>
      </c>
      <c r="G1467" s="6" t="inlineStr">
        <is>
          <t>Dosyayı okudun, bilirkişiyi dinledin, kararı verdin: çınar da park da kalıyor. Telefonun bir hafta çaldı, sonra sustu. Ay sonunda adliyeye bir zarf geldi: parktaki çocukların resmi. Kocaman bir ağaç, altında cübbeli biri.</t>
        </is>
      </c>
      <c r="H1467" s="6" t="inlineStr"/>
      <c r="I1467" s="6" t="inlineStr"/>
      <c r="J1467" s="6" t="inlineStr"/>
      <c r="K1467" s="6" t="inlineStr"/>
      <c r="L1467" s="6" t="inlineStr"/>
      <c r="M1467" s="5" t="inlineStr"/>
      <c r="N1467" s="5" t="inlineStr"/>
      <c r="O1467" s="6" t="inlineStr"/>
      <c r="P1467" s="6" t="inlineStr"/>
      <c r="Q1467" s="5" t="inlineStr"/>
      <c r="R1467" s="5" t="inlineStr"/>
      <c r="S1467" s="5" t="inlineStr"/>
      <c r="T1467" s="5" t="inlineStr"/>
      <c r="U1467" s="5" t="inlineStr"/>
      <c r="V1467" s="5" t="inlineStr"/>
      <c r="W1467" s="5" t="inlineStr"/>
      <c r="X1467" s="5" t="inlineStr"/>
      <c r="Y1467" s="5" t="inlineStr"/>
      <c r="Z1467" s="6" t="inlineStr"/>
      <c r="AA1467" s="5" t="inlineStr"/>
      <c r="AB1467" s="5" t="inlineStr"/>
      <c r="AC1467" s="5" t="inlineStr"/>
      <c r="AD1467" s="5" t="inlineStr"/>
      <c r="AE1467" s="5" t="inlineStr"/>
      <c r="AF1467" s="5" t="inlineStr"/>
      <c r="AG1467" s="5" t="inlineStr"/>
      <c r="AH1467" s="5" t="inlineStr"/>
      <c r="AI1467" s="5" t="inlineStr"/>
      <c r="AJ1467" s="5" t="inlineStr"/>
    </row>
    <row r="1468">
      <c r="A1468" s="5" t="inlineStr">
        <is>
          <t>k10-yargi</t>
        </is>
      </c>
      <c r="B1468" s="5" t="n">
        <v>2</v>
      </c>
      <c r="C1468" s="6" t="inlineStr">
        <is>
          <t>Baskıya boyun eğ</t>
        </is>
      </c>
      <c r="D1468" s="5" t="inlineStr">
        <is>
          <t>Kurnazlık</t>
        </is>
      </c>
      <c r="E1468" s="5" t="inlineStr">
        <is>
          <t>Zor</t>
        </is>
      </c>
      <c r="F1468" s="5" t="inlineStr"/>
      <c r="G1468" s="6" t="inlineStr"/>
      <c r="H1468" s="6" t="inlineStr">
        <is>
          <t>Kararı istedikleri gibi yazdın, gerekçeyi kimsenin okumayacağı kadar uzattın. Çınar gitti; sana şehir dışında bir yazlık kaldı, kimin adına olduğu belirsiz.</t>
        </is>
      </c>
      <c r="I1468" s="6" t="inlineStr">
        <is>
          <t>Karar sessizce kesinleşti, kimse itiraz etmedi. Yazlığın denize bakıyor. Çınarın yerinde bir otopark; oraya hiç park etmiyorsun.</t>
        </is>
      </c>
      <c r="J1468" s="6" t="inlineStr">
        <is>
          <t>Kararı yazdın; ertesi gün mesajların bir gazetede çıktı. Önce kurul dinledi, sonra savcılık. Cübbe askıda, sen içeride.</t>
        </is>
      </c>
      <c r="K1468" s="6" t="inlineStr">
        <is>
          <t>Mesajları sileyim derken adliyenin ortak grubuna ilettin. Soruşturma bir öğleden sonrada bitti.</t>
        </is>
      </c>
      <c r="L1468" s="6" t="inlineStr"/>
      <c r="M1468" s="5" t="inlineStr"/>
      <c r="N1468" s="5" t="inlineStr"/>
      <c r="O1468" s="6" t="inlineStr"/>
      <c r="P1468" s="6" t="inlineStr"/>
      <c r="Q1468" s="5" t="inlineStr"/>
      <c r="R1468" s="5" t="inlineStr"/>
      <c r="S1468" s="5" t="inlineStr"/>
      <c r="T1468" s="5" t="inlineStr"/>
      <c r="U1468" s="5" t="inlineStr"/>
      <c r="V1468" s="5" t="inlineStr">
        <is>
          <t>yargi-leke</t>
        </is>
      </c>
      <c r="W1468" s="5" t="inlineStr"/>
      <c r="X1468" s="5" t="inlineStr"/>
      <c r="Y1468" s="5" t="inlineStr"/>
      <c r="Z1468" s="6" t="inlineStr"/>
      <c r="AA1468" s="5" t="inlineStr"/>
      <c r="AB1468" s="5" t="inlineStr">
        <is>
          <t>hapis</t>
        </is>
      </c>
      <c r="AC1468" s="5" t="inlineStr"/>
      <c r="AD1468" s="5" t="inlineStr">
        <is>
          <t>Rahat</t>
        </is>
      </c>
      <c r="AE1468" s="5" t="inlineStr"/>
      <c r="AF1468" s="5" t="inlineStr"/>
      <c r="AG1468" s="5" t="inlineStr"/>
      <c r="AH1468" s="5" t="inlineStr"/>
      <c r="AI1468" s="5" t="inlineStr"/>
      <c r="AJ1468" s="5" t="inlineStr"/>
    </row>
    <row r="1469">
      <c r="A1469" s="5" t="inlineStr">
        <is>
          <t>k10-yargi</t>
        </is>
      </c>
      <c r="B1469" s="5" t="n">
        <v>3</v>
      </c>
      <c r="C1469" s="6" t="inlineStr">
        <is>
          <t>Cübbeyi bırak, avukat ol</t>
        </is>
      </c>
      <c r="D1469" s="5" t="inlineStr">
        <is>
          <t>Çene</t>
        </is>
      </c>
      <c r="E1469" s="5" t="inlineStr">
        <is>
          <t>Orta</t>
        </is>
      </c>
      <c r="F1469" s="5" t="inlineStr"/>
      <c r="G1469" s="6" t="inlineStr"/>
      <c r="H1469" s="6" t="inlineStr">
        <is>
          <t>Dosyadan çekilip istifanı verdin, bir hukuk bürosu açtın. İlk müvekkilin çınarı savunan mahalle derneği; ücret bir kasa ceviz. Sonrakiler nakit ödüyor.</t>
        </is>
      </c>
      <c r="I1469" s="6" t="inlineStr">
        <is>
          <t>Büronun kapısında sıra var; hâkimken tanıdığın herkes davasını sana getiriyor. Tabelada “Eski Hâkim” yazıyor; müşteri ona geliyor.</t>
        </is>
      </c>
      <c r="J1469" s="6" t="inlineStr">
        <is>
          <t>İstifa dilekçeni yazdın ama baro kaydın aylarca sürecekti. Dilekçeyi çekmeceye koydun; cübbe hâlâ üstünde.</t>
        </is>
      </c>
      <c r="K1469" s="6" t="inlineStr">
        <is>
          <t>Büro kiraladın, tabela astırdın, istifa dilekçesini vermeyi unuttun. Hâkimken avukat tabelası asmanın bir disiplin cezası varmış. Tabela indi, sen kaldın.</t>
        </is>
      </c>
      <c r="L1469" s="6" t="inlineStr"/>
      <c r="M1469" s="5" t="inlineStr"/>
      <c r="N1469" s="5" t="inlineStr"/>
      <c r="O1469" s="6" t="inlineStr"/>
      <c r="P1469" s="6" t="inlineStr"/>
      <c r="Q1469" s="5" t="inlineStr"/>
      <c r="R1469" s="5" t="inlineStr"/>
      <c r="S1469" s="5" t="inlineStr"/>
      <c r="T1469" s="5" t="inlineStr"/>
      <c r="U1469" s="5" t="inlineStr"/>
      <c r="V1469" s="5" t="inlineStr">
        <is>
          <t>-hat-cete, -hat-dolandirici, -hat-girisimci, -hat-goc, -hat-hekim, -hat-koy, -hat-polis, -hat-politika, -hat-sohret, -hat-usta, -hat-yargi, -meslek-esnaf, -meslek-memur, -meslek-serbest, meslek-beyazyaka</t>
        </is>
      </c>
      <c r="W1469" s="5" t="inlineStr"/>
      <c r="X1469" s="5" t="inlineStr"/>
      <c r="Y1469" s="5" t="inlineStr"/>
      <c r="Z1469" s="6" t="inlineStr"/>
      <c r="AA1469" s="5" t="inlineStr"/>
      <c r="AB1469" s="5" t="inlineStr"/>
      <c r="AC1469" s="5" t="inlineStr"/>
      <c r="AD1469" s="5" t="inlineStr">
        <is>
          <t>Rahat</t>
        </is>
      </c>
      <c r="AE1469" s="5" t="inlineStr"/>
      <c r="AF1469" s="5" t="inlineStr"/>
      <c r="AG1469" s="5" t="inlineStr"/>
      <c r="AH1469" s="5" t="inlineStr">
        <is>
          <t>Çene 38</t>
        </is>
      </c>
      <c r="AI1469" s="5" t="inlineStr"/>
      <c r="AJ1469" s="5" t="inlineStr"/>
    </row>
    <row r="1470">
      <c r="A1470" s="5" t="inlineStr">
        <is>
          <t>k10-yargi</t>
        </is>
      </c>
      <c r="B1470" s="5" t="n">
        <v>4</v>
      </c>
      <c r="C1470" s="6" t="inlineStr">
        <is>
          <t>Siyasete atıl</t>
        </is>
      </c>
      <c r="D1470" s="5" t="inlineStr">
        <is>
          <t>Çene</t>
        </is>
      </c>
      <c r="E1470" s="5" t="inlineStr">
        <is>
          <t>Zor</t>
        </is>
      </c>
      <c r="F1470" s="5" t="inlineStr"/>
      <c r="G1470" s="6" t="inlineStr"/>
      <c r="H1470" s="6" t="inlineStr">
        <is>
          <t>Çınar kararını verdin, ertesi gün cübbeni astın. Mahalle seni omuzlarda taşıdı, bir parti de listesinin başına. Makarya Meclisi'nin kapısı aralandı.</t>
        </is>
      </c>
      <c r="I1470" s="6" t="inlineStr">
        <is>
          <t>“Çınarı Kurtaran Hâkim” diye afişlere çıktın. Parti seni aday yaptı, anketler seni ilk sıraya yazdı. Cübbe dolapta, naftalinle.</t>
        </is>
      </c>
      <c r="J1470" s="6" t="inlineStr">
        <is>
          <t>Parti seni aday yapmayı düşündü, bir anket yaptı, düşünmekten vazgeçti. Cübbe hâlâ üstünde, çınar hâlâ yerinde.</t>
        </is>
      </c>
      <c r="K1470" s="6" t="inlineStr">
        <is>
          <t>Adaylık konuşmanı adliye merdivenlerinde yaptın; kurul da dinledi. Aday olamadın; iki ay maaş kesintisiyle cübbeye döndün.</t>
        </is>
      </c>
      <c r="L1470" s="6" t="inlineStr"/>
      <c r="M1470" s="5" t="inlineStr"/>
      <c r="N1470" s="5" t="inlineStr"/>
      <c r="O1470" s="6" t="inlineStr"/>
      <c r="P1470" s="6" t="inlineStr"/>
      <c r="Q1470" s="5" t="inlineStr"/>
      <c r="R1470" s="5" t="inlineStr"/>
      <c r="S1470" s="5" t="inlineStr"/>
      <c r="T1470" s="5" t="inlineStr"/>
      <c r="U1470" s="5" t="inlineStr"/>
      <c r="V1470" s="5" t="inlineStr">
        <is>
          <t>-hat-cete, -hat-dolandirici, -hat-girisimci, -hat-goc, -hat-hekim, -hat-koy, -hat-polis, -hat-sohret, -hat-usta, -hat-yargi, -meslek-beyazyaka, -meslek-esnaf, -meslek-memur, -meslek-serbest, hat-politika</t>
        </is>
      </c>
      <c r="W1470" s="5" t="inlineStr"/>
      <c r="X1470" s="5" t="inlineStr"/>
      <c r="Y1470" s="5" t="inlineStr"/>
      <c r="Z1470" s="6" t="inlineStr"/>
      <c r="AA1470" s="5" t="inlineStr"/>
      <c r="AB1470" s="5" t="inlineStr"/>
      <c r="AC1470" s="5" t="inlineStr"/>
      <c r="AD1470" s="5" t="inlineStr"/>
      <c r="AE1470" s="5" t="inlineStr"/>
      <c r="AF1470" s="5" t="inlineStr"/>
      <c r="AG1470" s="5" t="inlineStr"/>
      <c r="AH1470" s="5" t="inlineStr">
        <is>
          <t>Çene 42</t>
        </is>
      </c>
      <c r="AI1470" s="5" t="inlineStr"/>
      <c r="AJ1470" s="5" t="inlineStr"/>
    </row>
    <row r="1471">
      <c r="A1471" s="5" t="inlineStr">
        <is>
          <t>k10-hekim</t>
        </is>
      </c>
      <c r="B1471" s="5" t="n">
        <v>1</v>
      </c>
      <c r="C1471" s="6" t="inlineStr">
        <is>
          <t>Klinik şefliğine oyna</t>
        </is>
      </c>
      <c r="D1471" s="5" t="inlineStr">
        <is>
          <t>Akıl</t>
        </is>
      </c>
      <c r="E1471" s="5" t="inlineStr">
        <is>
          <t>Zor</t>
        </is>
      </c>
      <c r="F1471" s="5" t="inlineStr"/>
      <c r="G1471" s="6" t="inlineStr"/>
      <c r="H1471" s="6" t="inlineStr">
        <is>
          <t>Sınava üç ay çalıştın: nöbetten sonra, nöbetten önce. Şef oldun; odan pencereli, telefonun susmuyor.</t>
        </is>
      </c>
      <c r="I1471" s="6" t="inlineStr">
        <is>
          <t>Sınavda en yüksek puan senin. İlk gün servis seni alkışla karşıladı; ikinci gün aynı servis sana yirmi dilekçe verdi.</t>
        </is>
      </c>
      <c r="J1471" s="6" t="inlineStr">
        <is>
          <t>Sınavdan iki puanla kaldın. Şef, senden bir yıl sonra uzman olan meslektaşın oldu. Sana çay getirdi, saygıyla.</t>
        </is>
      </c>
      <c r="K1471" s="6" t="inlineStr">
        <is>
          <t>Sınava nöbetten çıkıp girdin, ilk soruda uyuyakaldın. Gözetmen omzuna dokununca refleksle “Serumu tak, tansiyonu ölç” dedin. Salon güldü; kâğıdında yalnızca adın var.</t>
        </is>
      </c>
      <c r="L1471" s="6" t="inlineStr"/>
      <c r="M1471" s="5" t="inlineStr"/>
      <c r="N1471" s="5" t="inlineStr"/>
      <c r="O1471" s="6" t="inlineStr"/>
      <c r="P1471" s="6" t="inlineStr"/>
      <c r="Q1471" s="5" t="inlineStr"/>
      <c r="R1471" s="5" t="inlineStr"/>
      <c r="S1471" s="5" t="inlineStr"/>
      <c r="T1471" s="5" t="inlineStr"/>
      <c r="U1471" s="5" t="inlineStr"/>
      <c r="V1471" s="5" t="inlineStr">
        <is>
          <t>klinik-sefi</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is>
          <t>Akıl 36</t>
        </is>
      </c>
      <c r="AI1471" s="5" t="inlineStr"/>
      <c r="AJ1471" s="5" t="inlineStr"/>
    </row>
    <row r="1472">
      <c r="A1472" s="5" t="inlineStr">
        <is>
          <t>k10-hekim</t>
        </is>
      </c>
      <c r="B1472" s="5" t="n">
        <v>2</v>
      </c>
      <c r="C1472" s="6" t="inlineStr">
        <is>
          <t>Kendi kliniğini aç</t>
        </is>
      </c>
      <c r="D1472" s="5" t="inlineStr">
        <is>
          <t>Kurnazlık</t>
        </is>
      </c>
      <c r="E1472" s="5" t="inlineStr">
        <is>
          <t>Zor</t>
        </is>
      </c>
      <c r="F1472" s="5" t="inlineStr"/>
      <c r="G1472" s="6" t="inlineStr"/>
      <c r="H1472" s="6" t="inlineStr">
        <is>
          <t>Yatırımcıyla anlaştın, sözleşmeyi satır satır okudun, tabelayı sen seçtin. Klinik açıldı; bekleme salonunda yedi akraba, hepsi indirim bekliyor.</t>
        </is>
      </c>
      <c r="I1472" s="6" t="inlineStr">
        <is>
          <t>Klinik ilk yılında şube açtı. Hastanedeki eski hocan randevu almak için seni aradı; sekreterin onu bekletti.</t>
        </is>
      </c>
      <c r="J1472" s="6" t="inlineStr">
        <is>
          <t>Yatırımcı sözleşmenin son sayfasında kliniğe kendi köpeğinin adını vermiş. Masadan kalktın; hastanedeki kadron hâlâ senin.</t>
        </is>
      </c>
      <c r="K1472" s="6" t="inlineStr">
        <is>
          <t>Bir imza kalmışken yatırımcı ortadan kayboldu, kiraladığın yer düğün salonu oldu. Hastaneye döndün; nöbet listesi seni bekliyordu.</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-hat-goc, -hat-hekim, -hat-koy, -hat-polis, -hat-politika, -hat-sohret, -hat-usta, -hat-yargi, -meslek-beyazyaka, -meslek-esnaf, -meslek-memur, hat-girisimci, meslek-serbest</t>
        </is>
      </c>
      <c r="W1472" s="5" t="inlineStr"/>
      <c r="X1472" s="5" t="inlineStr"/>
      <c r="Y1472" s="5" t="inlineStr"/>
      <c r="Z1472" s="6" t="inlineStr"/>
      <c r="AA1472" s="5" t="inlineStr"/>
      <c r="AB1472" s="5" t="inlineStr"/>
      <c r="AC1472" s="5" t="inlineStr">
        <is>
          <t>Orta</t>
        </is>
      </c>
      <c r="AD1472" s="5" t="inlineStr">
        <is>
          <t>Rahat</t>
        </is>
      </c>
      <c r="AE1472" s="5" t="inlineStr"/>
      <c r="AF1472" s="5" t="inlineStr"/>
      <c r="AG1472" s="5" t="inlineStr"/>
      <c r="AH1472" s="5" t="inlineStr"/>
      <c r="AI1472" s="5" t="inlineStr"/>
      <c r="AJ1472" s="5" t="inlineStr"/>
      <c r="AL1472" t="n">
        <v>1</v>
      </c>
    </row>
    <row r="1473">
      <c r="A1473" s="5" t="inlineStr">
        <is>
          <t>k10-hekim</t>
        </is>
      </c>
      <c r="B1473" s="5" t="n">
        <v>3</v>
      </c>
      <c r="C1473" s="6" t="inlineStr">
        <is>
          <t>Televizyon doktoru ol</t>
        </is>
      </c>
      <c r="D1473" s="5" t="inlineStr">
        <is>
          <t>Pişkinlik</t>
        </is>
      </c>
      <c r="E1473" s="5" t="inlineStr">
        <is>
          <t>Zor</t>
        </is>
      </c>
      <c r="F1473" s="5" t="inlineStr"/>
      <c r="G1473" s="6" t="inlineStr"/>
      <c r="H1473" s="6" t="inlineStr">
        <is>
          <t>İlk konukluğunda kameraya baktın, tansiyonu üç cümlede anlattın. Program seni haftada bir değil, her gün istedi. Önlük artık stüdyo askısında.</t>
        </is>
      </c>
      <c r="I1473" s="6" t="inlineStr">
        <is>
          <t>Bir ay sonra kendi programın başladı. Pazarda teyzeler seni ekrandaki gibi selamlıyor, sen de ekrandaki gibi gülümsüyorsun.</t>
        </is>
      </c>
      <c r="J1473" s="6" t="inlineStr">
        <is>
          <t>Canlı yayında sunucu “Hocam, biz de öleceğiz mi?” diye sordu. Dondun. Beş saniye kimse konuşmadı; televizyonda beş saniye bir ömür. Bir daha çağırmadılar.</t>
        </is>
      </c>
      <c r="K1473" s="6" t="inlineStr">
        <is>
          <t>Işıklar altında terledin, pudraladılar, daha çok terledin. Yayın “Terleyen Doktor” diye dolaştı; hastanede hastalar seni oradan tanıyor.</t>
        </is>
      </c>
      <c r="L1473" s="6" t="inlineStr"/>
      <c r="M1473" s="5" t="inlineStr"/>
      <c r="N1473" s="5" t="inlineStr"/>
      <c r="O1473" s="6" t="inlineStr"/>
      <c r="P1473" s="6" t="inlineStr"/>
      <c r="Q1473" s="5" t="inlineStr"/>
      <c r="R1473" s="5" t="inlineStr"/>
      <c r="S1473" s="5" t="inlineStr"/>
      <c r="T1473" s="5" t="inlineStr"/>
      <c r="U1473" s="5" t="inlineStr"/>
      <c r="V1473" s="5" t="inlineStr">
        <is>
          <t>-hat-cete, -hat-dolandirici, -hat-girisimci, -hat-goc, -hat-hekim, -hat-koy, -hat-polis, -hat-politika, -hat-usta, -hat-yargi, -meslek-beyazyaka, -meslek-esnaf, -meslek-memur, hat-sohret, meslek-serbest</t>
        </is>
      </c>
      <c r="W1473" s="5" t="inlineStr"/>
      <c r="X1473" s="5" t="inlineStr"/>
      <c r="Y1473" s="5" t="inlineStr"/>
      <c r="Z1473" s="6" t="inlineStr"/>
      <c r="AA1473" s="5" t="inlineStr"/>
      <c r="AB1473" s="5" t="inlineStr"/>
      <c r="AC1473" s="5" t="inlineStr"/>
      <c r="AD1473" s="5" t="inlineStr"/>
      <c r="AE1473" s="5" t="inlineStr"/>
      <c r="AF1473" s="5" t="inlineStr"/>
      <c r="AG1473" s="5" t="inlineStr"/>
      <c r="AH1473" s="5" t="inlineStr">
        <is>
          <t>Pişkinlik 30</t>
        </is>
      </c>
      <c r="AI1473" s="5" t="inlineStr">
        <is>
          <t>Terleyen Doktor</t>
        </is>
      </c>
      <c r="AJ1473" s="5" t="inlineStr"/>
    </row>
    <row r="1474">
      <c r="A1474" s="5" t="inlineStr">
        <is>
          <t>k10-hekim</t>
        </is>
      </c>
      <c r="B1474" s="5" t="n">
        <v>4</v>
      </c>
      <c r="C1474" s="6" t="inlineStr">
        <is>
          <t>Öte Diyar'da hekimlik</t>
        </is>
      </c>
      <c r="D1474" s="5" t="inlineStr">
        <is>
          <t>Akıl</t>
        </is>
      </c>
      <c r="E1474" s="5" t="inlineStr">
        <is>
          <t>Zor</t>
        </is>
      </c>
      <c r="F1474" s="5" t="inlineStr"/>
      <c r="G1474" s="6" t="inlineStr"/>
      <c r="H1474" s="6" t="inlineStr">
        <is>
          <t>Dil, denklik, mülakat: üç kapıyı da geçtin. Öte Diyar'da bir hastanede kimse adını doğru okuyamıyor; maaş bordron ise gayet okunaklı.</t>
        </is>
      </c>
      <c r="I1474" s="6" t="inlineStr">
        <is>
          <t>Öte Diyar'daki hastane seni iki yılda bölüm sorumlusu yaptı. Aile grubu hâlâ diz röntgeni yolluyor; saat farkıyla, gece üçte.</t>
        </is>
      </c>
      <c r="J1474" s="6" t="inlineStr">
        <is>
          <t>Denklik sınavından tek soruyla kaldın. İlan seneye yeniden çıkacak; sen o arada yine burada nöbet tutuyorsun.</t>
        </is>
      </c>
      <c r="K1474" s="6" t="inlineStr">
        <is>
          <t>Sınavda “nöbet” kelimesinin karşılığını aradın; oralarda öyle bir kelime yokmuş. Kâğıt boş kaldı, sen burada kaldın.</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-hat-girisimci, -hat-hekim, -hat-koy, -hat-polis, -hat-politika, -hat-sohret, -hat-usta, -hat-yargi, -meslek-esnaf, -meslek-memur, -meslek-serbest, hat-goc, meslek-beyazyaka</t>
        </is>
      </c>
      <c r="W1474" s="5" t="inlineStr"/>
      <c r="X1474" s="5" t="inlineStr"/>
      <c r="Y1474" s="5" t="inlineStr"/>
      <c r="Z1474" s="6" t="inlineStr"/>
      <c r="AA1474" s="5" t="inlineStr"/>
      <c r="AB1474" s="5" t="inlineStr"/>
      <c r="AC1474" s="5" t="inlineStr"/>
      <c r="AD1474" s="5" t="inlineStr"/>
      <c r="AE1474" s="5" t="inlineStr"/>
      <c r="AF1474" s="5" t="inlineStr"/>
      <c r="AG1474" s="5" t="inlineStr"/>
      <c r="AH1474" s="5" t="inlineStr"/>
      <c r="AI1474" s="5" t="inlineStr"/>
      <c r="AJ1474" s="5" t="inlineStr"/>
    </row>
    <row r="1475">
      <c r="A1475" s="5" t="inlineStr">
        <is>
          <t>k10-hekim</t>
        </is>
      </c>
      <c r="B1475" s="5" t="n">
        <v>5</v>
      </c>
      <c r="C1475" s="6" t="inlineStr">
        <is>
          <t>Serviste kal, asistanların hocası ol</t>
        </is>
      </c>
      <c r="D1475" s="5" t="inlineStr"/>
      <c r="E1475" s="5" t="inlineStr"/>
      <c r="F1475" s="5" t="inlineStr">
        <is>
          <t>Gönül +1, Dayanıklılık +1</t>
        </is>
      </c>
      <c r="G1475" s="6" t="inlineStr">
        <is>
          <t>Üç teklife de “Sağ olun” dedin. Asistanlar sana “Hocam” demeye başladı; ilk hafta yirmi soru, ikinci hafta yirmi çay. Önlüğün cebinde artık bir hastanın çocuğunun çizdiği resim var.</t>
        </is>
      </c>
      <c r="H1475" s="6" t="inlineStr"/>
      <c r="I1475" s="6" t="inlineStr"/>
      <c r="J1475" s="6" t="inlineStr"/>
      <c r="K1475" s="6" t="inlineStr"/>
      <c r="L1475" s="6" t="inlineStr"/>
      <c r="M1475" s="5" t="inlineStr"/>
      <c r="N1475" s="5" t="inlineStr"/>
      <c r="O1475" s="6" t="inlineStr"/>
      <c r="P1475" s="6" t="inlineStr"/>
      <c r="Q1475" s="5" t="inlineStr"/>
      <c r="R1475" s="5" t="inlineStr"/>
      <c r="S1475" s="5" t="inlineStr"/>
      <c r="T1475" s="5" t="inlineStr"/>
      <c r="U1475" s="5" t="inlineStr"/>
      <c r="V1475" s="5" t="inlineStr"/>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c r="AI1475" s="5" t="inlineStr"/>
      <c r="AJ1475" s="5" t="inlineStr"/>
    </row>
    <row r="1476">
      <c r="A1476" s="5" t="inlineStr">
        <is>
          <t>k10-memur</t>
        </is>
      </c>
      <c r="B1476" s="5" t="n">
        <v>1</v>
      </c>
      <c r="C1476" s="6" t="inlineStr">
        <is>
          <t>Memlekete tayin</t>
        </is>
      </c>
      <c r="D1476" s="5" t="inlineStr"/>
      <c r="E1476" s="5" t="inlineStr"/>
      <c r="F1476" s="5" t="inlineStr">
        <is>
          <t>İtibar +1, Sosyal Radar +1</t>
        </is>
      </c>
      <c r="G1476" s="6" t="inlineStr">
        <is>
          <t>Memleketine döndün. Daire aynı, çay ocağı aynı, müdür ilkokul arkadaşın. İlk gün “Hoş geldin” dedi, ikinci gün çay borcunu hatırlattı.</t>
        </is>
      </c>
      <c r="H1476" s="6" t="inlineStr"/>
      <c r="I1476" s="6" t="inlineStr"/>
      <c r="J1476" s="6" t="inlineStr"/>
      <c r="K1476" s="6" t="inlineStr"/>
      <c r="L1476" s="6" t="inlineStr"/>
      <c r="M1476" s="5" t="inlineStr"/>
      <c r="N1476" s="5" t="inlineStr"/>
      <c r="O1476" s="6" t="inlineStr"/>
      <c r="P1476" s="6" t="inlineStr"/>
      <c r="Q1476" s="5" t="inlineStr"/>
      <c r="R1476" s="5" t="inlineStr"/>
      <c r="S1476" s="5" t="inlineStr"/>
      <c r="T1476" s="5" t="inlineStr"/>
      <c r="U1476" s="5" t="inlineStr"/>
      <c r="V1476" s="5" t="inlineStr"/>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k10-memur</t>
        </is>
      </c>
      <c r="B1477" s="5" t="n">
        <v>2</v>
      </c>
      <c r="C1477" s="6" t="inlineStr">
        <is>
          <t>Terfiyi seç</t>
        </is>
      </c>
      <c r="D1477" s="5" t="inlineStr">
        <is>
          <t>Akıl</t>
        </is>
      </c>
      <c r="E1477" s="5" t="inlineStr">
        <is>
          <t>Orta</t>
        </is>
      </c>
      <c r="F1477" s="5" t="inlineStr"/>
      <c r="G1477" s="6" t="inlineStr"/>
      <c r="H1477" s="6" t="inlineStr">
        <is>
          <t>Sınavı geçip şube müdürü oldun. Artık bir masan değil bir odan var; odada bir masa, masada başkalarının sana getirdiği kâğıtlar.</t>
        </is>
      </c>
      <c r="I1477" s="6" t="inlineStr">
        <is>
          <t>Sınavı birincilikle geçtin, genel müdürlük seni gözüne kestirdi. Kapında isim tabelası var; harfleri de doğru.</t>
        </is>
      </c>
      <c r="J1477" s="6" t="inlineStr">
        <is>
          <t>Sınavdan bir puanla kaldın. O puanı köy şubesinin mektubunu okurken kaybettiğini düşünüyorsun; köy şubesi biraz daha yaşadı.</t>
        </is>
      </c>
      <c r="K1477" s="6" t="inlineStr">
        <is>
          <t>Sınav salonunu yanlış binada aradın; genel müdürlüğün iki binası varmış. Doğru binaya koşarak girdiğinde gözetmen kâğıtları topluyordu. Seni görünce birini uzattı: “Adını yaz bari, katılmış say.”</t>
        </is>
      </c>
      <c r="L1477" s="6" t="inlineStr"/>
      <c r="M1477" s="5" t="inlineStr"/>
      <c r="N1477" s="5" t="inlineStr"/>
      <c r="O1477" s="6" t="inlineStr"/>
      <c r="P1477" s="6" t="inlineStr"/>
      <c r="Q1477" s="5" t="inlineStr"/>
      <c r="R1477" s="5" t="inlineStr"/>
      <c r="S1477" s="5" t="inlineStr"/>
      <c r="T1477" s="5" t="inlineStr"/>
      <c r="U1477" s="5" t="inlineStr"/>
      <c r="V1477" s="5" t="inlineStr">
        <is>
          <t>memur-terfi</t>
        </is>
      </c>
      <c r="W1477" s="5" t="inlineStr"/>
      <c r="X1477" s="5" t="inlineStr"/>
      <c r="Y1477" s="5" t="inlineStr"/>
      <c r="Z1477" s="6" t="inlineStr"/>
      <c r="AA1477" s="5" t="inlineStr"/>
      <c r="AB1477" s="5" t="inlineStr"/>
      <c r="AC1477" s="5" t="inlineStr"/>
      <c r="AD1477" s="5" t="inlineStr">
        <is>
          <t>Rahat</t>
        </is>
      </c>
      <c r="AE1477" s="5" t="inlineStr"/>
      <c r="AF1477" s="5" t="inlineStr"/>
      <c r="AG1477" s="5" t="inlineStr"/>
      <c r="AH1477" s="5" t="inlineStr">
        <is>
          <t>Akıl 34</t>
        </is>
      </c>
      <c r="AI1477" s="5" t="inlineStr"/>
      <c r="AJ1477" s="5" t="inlineStr"/>
    </row>
    <row r="1478">
      <c r="A1478" s="5" t="inlineStr">
        <is>
          <t>k10-memur</t>
        </is>
      </c>
      <c r="B1478" s="5" t="n">
        <v>3</v>
      </c>
      <c r="C1478" s="6" t="inlineStr">
        <is>
          <t>Köy şubesinde kal</t>
        </is>
      </c>
      <c r="D1478" s="5" t="inlineStr">
        <is>
          <t>İtibar</t>
        </is>
      </c>
      <c r="E1478" s="5" t="inlineStr">
        <is>
          <t>Zor</t>
        </is>
      </c>
      <c r="F1478" s="5" t="inlineStr"/>
      <c r="G1478" s="6" t="inlineStr"/>
      <c r="H1478" s="6" t="inlineStr">
        <is>
          <t>Şube yine de kapandı; sen kapanmadın. Kadroyu bırakıp köyde kaldın. Muhtar sana bir tarla gösterdi: “Memurluk bitti, toprak başladı.”</t>
        </is>
      </c>
      <c r="I1478" s="6" t="inlineStr">
        <is>
          <t>Kadroyu bıraktın, köy seni bağrına bastı. Eski şube binası şimdi kooperatif; müdürü sensin, maaşın domates.</t>
        </is>
      </c>
      <c r="J1478" s="6" t="inlineStr">
        <is>
          <t>Kalmak istedin ama dilekçen üç masada bekledi. Sonunda seni merkeze çektiler. Köyün mektubunu masa camının altına koydun.</t>
        </is>
      </c>
      <c r="K1478" s="6" t="inlineStr">
        <is>
          <t>Kalmak için dilekçe yazdın; köylüler de kırk imza ekledi. Dilekçeyi muhtar götürdü, yanlış müdürlüğe. Sen merkeze atandın; köy şubesinin anahtarı hâlâ cebinde.</t>
        </is>
      </c>
      <c r="L1478" s="6" t="inlineStr"/>
      <c r="M1478" s="5" t="inlineStr"/>
      <c r="N1478" s="5" t="inlineStr"/>
      <c r="O1478" s="6" t="inlineStr"/>
      <c r="P1478" s="6" t="inlineStr"/>
      <c r="Q1478" s="5" t="inlineStr"/>
      <c r="R1478" s="5" t="inlineStr"/>
      <c r="S1478" s="5" t="inlineStr"/>
      <c r="T1478" s="5" t="inlineStr"/>
      <c r="U1478" s="5" t="inlineStr"/>
      <c r="V1478" s="5" t="inlineStr">
        <is>
          <t>-hat-cete, -hat-dolandirici, -hat-girisimci, -hat-goc, -hat-hekim, -hat-polis, -hat-politika, -hat-sohret, -hat-usta, -hat-yargi, -meslek-beyazyaka, -meslek-memur, -meslek-serbest, hat-koy, meslek-esnaf</t>
        </is>
      </c>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k10-beyazyaka</t>
        </is>
      </c>
      <c r="B1479" s="5" t="n">
        <v>1</v>
      </c>
      <c r="C1479" s="6" t="inlineStr">
        <is>
          <t>Maaş kesintisini kabul et</t>
        </is>
      </c>
      <c r="D1479" s="5" t="inlineStr"/>
      <c r="E1479" s="5" t="inlineStr"/>
      <c r="F1479" s="5" t="inlineStr">
        <is>
          <t>Dayanıklılık +1, Sosyal Radar +1</t>
        </is>
      </c>
      <c r="G1479" s="6" t="inlineStr">
        <is>
          <t>Kesintiyi imzaladın. Masan duruyor, kupan duruyor. Gidenler veda pastası getirdi; en büyük dilimi sana verdiler, acıdıkları belliydi.</t>
        </is>
      </c>
      <c r="H1479" s="6" t="inlineStr"/>
      <c r="I1479" s="6" t="inlineStr"/>
      <c r="J1479" s="6" t="inlineStr"/>
      <c r="K1479" s="6" t="inlineStr"/>
      <c r="L1479" s="6" t="inlineStr"/>
      <c r="M1479" s="5" t="inlineStr"/>
      <c r="N1479" s="5" t="inlineStr"/>
      <c r="O1479" s="6" t="inlineStr"/>
      <c r="P1479" s="6" t="inlineStr"/>
      <c r="Q1479" s="5" t="inlineStr"/>
      <c r="R1479" s="5" t="inlineStr"/>
      <c r="S1479" s="5" t="inlineStr"/>
      <c r="T1479" s="5" t="inlineStr"/>
      <c r="U1479" s="5" t="inlineStr"/>
      <c r="V1479" s="5" t="inlineStr"/>
      <c r="W1479" s="5" t="inlineStr"/>
      <c r="X1479" s="5" t="inlineStr"/>
      <c r="Y1479" s="5" t="inlineStr"/>
      <c r="Z1479" s="6" t="inlineStr"/>
      <c r="AA1479" s="5" t="inlineStr"/>
      <c r="AB1479" s="5" t="inlineStr"/>
      <c r="AC1479" s="5" t="inlineStr"/>
      <c r="AD1479" s="5" t="inlineStr"/>
      <c r="AE1479" s="5" t="inlineStr"/>
      <c r="AF1479" s="5" t="n">
        <v>1</v>
      </c>
      <c r="AG1479" s="5" t="inlineStr"/>
      <c r="AH1479" s="5" t="inlineStr"/>
      <c r="AI1479" s="5" t="inlineStr"/>
      <c r="AJ1479" s="5" t="inlineStr"/>
    </row>
    <row r="1480">
      <c r="A1480" s="5" t="inlineStr">
        <is>
          <t>k10-beyazyaka</t>
        </is>
      </c>
      <c r="B1480" s="5" t="n">
        <v>2</v>
      </c>
      <c r="C1480" s="6" t="inlineStr">
        <is>
          <t>Küçülmeden sağ çık</t>
        </is>
      </c>
      <c r="D1480" s="5" t="inlineStr">
        <is>
          <t>Sosyal Radar</t>
        </is>
      </c>
      <c r="E1480" s="5" t="inlineStr">
        <is>
          <t>Orta</t>
        </is>
      </c>
      <c r="F1480" s="5" t="inlineStr"/>
      <c r="G1480" s="6" t="inlineStr"/>
      <c r="H1480" s="6" t="inlineStr">
        <is>
          <t>Hangi toplantıya girmeyeceğini, hangi sunumda görüneceğini bildin. Kat yarıya indi; sen hâlâ oradasın, üstelik pencere kenarında.</t>
        </is>
      </c>
      <c r="I1480" s="6" t="inlineStr">
        <is>
          <t>Dalgadan hem sağ çıktın hem terfi aldın; boşalan iki masanın işi sana verildi. Maaş bir buçuk, iş üç.</t>
        </is>
      </c>
      <c r="J1480" s="6" t="inlineStr">
        <is>
          <t>Doğru toplantılara girdin ama liste başka bir kattan hazırlanmış. Kutuna saksını, kupanı ve on yılını koydun.</t>
        </is>
      </c>
      <c r="K1480" s="6" t="inlineStr">
        <is>
          <t>Yeniden yapılanma sunumunu sen hazırladın; son slaytta kendi adın vardı. Fark etmeden sundun.</t>
        </is>
      </c>
      <c r="L1480" s="6" t="inlineStr"/>
      <c r="M1480" s="5" t="inlineStr"/>
      <c r="N1480" s="5" t="inlineStr"/>
      <c r="O1480" s="6" t="inlineStr"/>
      <c r="P1480" s="6" t="inlineStr"/>
      <c r="Q1480" s="5" t="inlineStr"/>
      <c r="R1480" s="5" t="inlineStr"/>
      <c r="S1480" s="5" t="inlineStr"/>
      <c r="T1480" s="5" t="inlineStr"/>
      <c r="U1480" s="5" t="inlineStr"/>
      <c r="V1480" s="5" t="inlineStr">
        <is>
          <t>beyazyaka-sag-kaldi</t>
        </is>
      </c>
      <c r="W1480" s="5" t="inlineStr"/>
      <c r="X1480" s="5" t="inlineStr"/>
      <c r="Y1480" s="5" t="inlineStr"/>
      <c r="Z1480" s="6" t="inlineStr"/>
      <c r="AA1480" s="5" t="inlineStr"/>
      <c r="AB1480" s="5" t="inlineStr">
        <is>
          <t>kriz-isten-cikti</t>
        </is>
      </c>
      <c r="AC1480" s="5" t="inlineStr"/>
      <c r="AD1480" s="5" t="inlineStr">
        <is>
          <t>Rahat</t>
        </is>
      </c>
      <c r="AE1480" s="5" t="inlineStr"/>
      <c r="AF1480" s="5" t="inlineStr"/>
      <c r="AG1480" s="5" t="inlineStr"/>
      <c r="AH1480" s="5" t="inlineStr"/>
      <c r="AI1480" s="5" t="inlineStr"/>
      <c r="AJ1480" s="5" t="inlineStr"/>
    </row>
    <row r="1481">
      <c r="A1481" s="5" t="inlineStr">
        <is>
          <t>k10-beyazyaka</t>
        </is>
      </c>
      <c r="B1481" s="5" t="n">
        <v>3</v>
      </c>
      <c r="C1481" s="6" t="inlineStr">
        <is>
          <t>Tazminatla şirket kur</t>
        </is>
      </c>
      <c r="D1481" s="5" t="inlineStr">
        <is>
          <t>Cesaret</t>
        </is>
      </c>
      <c r="E1481" s="5" t="inlineStr">
        <is>
          <t>Zor</t>
        </is>
      </c>
      <c r="F1481" s="5" t="inlineStr"/>
      <c r="G1481" s="6" t="inlineStr"/>
      <c r="H1481" s="6" t="inlineStr">
        <is>
          <t>Tazminatı alıp kapıdan çıktın, ertesi gün şirketini kurdun. Ofisin bir kafenin köşe masası; patron sensin, stajyer de.</t>
        </is>
      </c>
      <c r="I1481" s="6" t="inlineStr">
        <is>
          <t>Şirketin ilk yılında eski işyerin senden hizmet aldı. Faturayı eski müdürüne sen kestin; iki kez okudun.</t>
        </is>
      </c>
      <c r="J1481" s="6" t="inlineStr">
        <is>
          <t>Tazminat hesabını bir daha yaptın; cesaretin hesaba sığmadı. İstifa taslağı taslaklarda kaldı, sen masanda.</t>
        </is>
      </c>
      <c r="K1481" s="6" t="inlineStr">
        <is>
          <t>İnsan kaynaklarına gidip “Ben de gitmek istiyorum” dedin. Listede yokmuşsun; tazminat yalnızca listedekilere. Masana döndün; kutunu çoktan toplamıştın, geri açtın.</t>
        </is>
      </c>
      <c r="L1481" s="6" t="inlineStr"/>
      <c r="M1481" s="5" t="inlineStr"/>
      <c r="N1481" s="5" t="inlineStr"/>
      <c r="O1481" s="6" t="inlineStr"/>
      <c r="P1481" s="6" t="inlineStr"/>
      <c r="Q1481" s="5" t="inlineStr"/>
      <c r="R1481" s="5" t="inlineStr"/>
      <c r="S1481" s="5" t="inlineStr"/>
      <c r="T1481" s="5" t="inlineStr"/>
      <c r="U1481" s="5" t="inlineStr"/>
      <c r="V1481" s="5" t="inlineStr">
        <is>
          <t>-hat-cete, -hat-dolandirici, -hat-goc, -hat-hekim, -hat-koy, -hat-polis, -hat-politika, -hat-sohret, -hat-usta, -hat-yargi, -meslek-beyazyaka, -meslek-esnaf, -meslek-memur, hat-girisimci, meslek-serbest</t>
        </is>
      </c>
      <c r="W1481" s="5" t="inlineStr"/>
      <c r="X1481" s="5" t="inlineStr"/>
      <c r="Y1481" s="5" t="inlineStr"/>
      <c r="Z1481" s="6" t="inlineStr"/>
      <c r="AA1481" s="5" t="inlineStr"/>
      <c r="AB1481" s="5" t="inlineStr"/>
      <c r="AC1481" s="5" t="inlineStr">
        <is>
          <t>Orta</t>
        </is>
      </c>
      <c r="AD1481" s="5" t="inlineStr"/>
      <c r="AE1481" s="5" t="inlineStr"/>
      <c r="AF1481" s="5" t="inlineStr"/>
      <c r="AG1481" s="5" t="inlineStr"/>
      <c r="AH1481" s="5" t="inlineStr"/>
      <c r="AI1481" s="5" t="inlineStr"/>
      <c r="AJ1481" s="5" t="inlineStr"/>
      <c r="AL1481" t="n">
        <v>1</v>
      </c>
    </row>
    <row r="1482">
      <c r="A1482" s="5" t="inlineStr">
        <is>
          <t>k10-beyazyaka</t>
        </is>
      </c>
      <c r="B1482" s="5" t="n">
        <v>4</v>
      </c>
      <c r="C1482" s="6" t="inlineStr">
        <is>
          <t>Öte Diyar ofisine transfer</t>
        </is>
      </c>
      <c r="D1482" s="5" t="inlineStr">
        <is>
          <t>Akıl</t>
        </is>
      </c>
      <c r="E1482" s="5" t="inlineStr">
        <is>
          <t>Zor</t>
        </is>
      </c>
      <c r="F1482" s="5" t="inlineStr"/>
      <c r="G1482" s="6" t="inlineStr"/>
      <c r="H1482" s="6" t="inlineStr">
        <is>
          <t>İç ilana başvurdun, üç tur mülakatı geçtin. Dalga kıyıya vururken sen havalimanındaydın. Öte Diyar ofisinde kahve makinesi bile başka dil konuşuyor.</t>
        </is>
      </c>
      <c r="I1482" s="6" t="inlineStr">
        <is>
          <t>Transferle birlikte bir kademe terfi geldi. Öte Diyar'daki ilk sunumunda kimse slaytlarını anlamadı; herkes alkışladı.</t>
        </is>
      </c>
      <c r="J1482" s="6" t="inlineStr">
        <is>
          <t>Son turda oranın müdürü “Burada kış altı ay” dedi, sen irkildin, o da gördü. Transfer olmadı; sen buradasın, dalga da.</t>
        </is>
      </c>
      <c r="K1482" s="6" t="inlineStr">
        <is>
          <t>Mülakata yanlış saat diliminde bağlandın; karşında boş bir toplantı odası. Transfer yok, bir de “ilgisiz aday” notu var.</t>
        </is>
      </c>
      <c r="L1482" s="6" t="inlineStr"/>
      <c r="M1482" s="5" t="inlineStr"/>
      <c r="N1482" s="5" t="inlineStr"/>
      <c r="O1482" s="6" t="inlineStr"/>
      <c r="P1482" s="6" t="inlineStr"/>
      <c r="Q1482" s="5" t="inlineStr"/>
      <c r="R1482" s="5" t="inlineStr"/>
      <c r="S1482" s="5" t="inlineStr"/>
      <c r="T1482" s="5" t="inlineStr"/>
      <c r="U1482" s="5" t="inlineStr"/>
      <c r="V1482" s="5" t="inlineStr">
        <is>
          <t>-hat-cete, -hat-dolandirici, -hat-girisimci, -hat-hekim, -hat-koy, -hat-polis, -hat-politika, -hat-sohret, -hat-usta, -hat-yargi, -meslek-esnaf, -meslek-memur, -meslek-serbest, hat-goc, meslek-beyazyaka</t>
        </is>
      </c>
      <c r="W1482" s="5" t="inlineStr"/>
      <c r="X1482" s="5" t="inlineStr"/>
      <c r="Y1482" s="5" t="inlineStr"/>
      <c r="Z1482" s="6" t="inlineStr"/>
      <c r="AA1482" s="5" t="inlineStr"/>
      <c r="AB1482" s="5" t="inlineStr"/>
      <c r="AC1482" s="5" t="inlineStr"/>
      <c r="AD1482" s="5" t="inlineStr">
        <is>
          <t>Rahat</t>
        </is>
      </c>
      <c r="AE1482" s="5" t="inlineStr"/>
      <c r="AF1482" s="5" t="inlineStr"/>
      <c r="AG1482" s="5" t="inlineStr"/>
      <c r="AH1482" s="5" t="inlineStr">
        <is>
          <t>Akıl 35</t>
        </is>
      </c>
      <c r="AI1482" s="5" t="inlineStr"/>
      <c r="AJ1482" s="5" t="inlineStr"/>
    </row>
    <row r="1483">
      <c r="A1483" s="5" t="inlineStr">
        <is>
          <t>b7-cete-tahsilat</t>
        </is>
      </c>
      <c r="B1483" s="5" t="n">
        <v>1</v>
      </c>
      <c r="C1483" s="6" t="inlineStr">
        <is>
          <t>Borcu lahmacunla tahsil et</t>
        </is>
      </c>
      <c r="D1483" s="5" t="inlineStr"/>
      <c r="E1483" s="5" t="inlineStr"/>
      <c r="F1483" s="5" t="inlineStr">
        <is>
          <t>Pişkinlik +1, Dayanıklılık +1</t>
        </is>
      </c>
      <c r="G1483" s="6" t="inlineStr">
        <is>
          <t>Üç ayın karşılığı kırk iki lahmacun. Abiye götürdün; abi tek tek saydı, birini yedi, “Eksik” dedi.</t>
        </is>
      </c>
      <c r="H1483" s="6" t="inlineStr"/>
      <c r="I1483" s="6" t="inlineStr"/>
      <c r="J1483" s="6" t="inlineStr"/>
      <c r="K1483" s="6" t="inlineStr"/>
      <c r="L1483" s="6" t="inlineStr"/>
      <c r="M1483" s="5" t="inlineStr"/>
      <c r="N1483" s="5" t="inlineStr"/>
      <c r="O1483" s="6" t="inlineStr"/>
      <c r="P1483" s="6" t="inlineStr"/>
      <c r="Q1483" s="5" t="inlineStr"/>
      <c r="R1483" s="5" t="inlineStr"/>
      <c r="S1483" s="5" t="inlineStr"/>
      <c r="T1483" s="5" t="inlineStr"/>
      <c r="U1483" s="5" t="inlineStr"/>
      <c r="V1483" s="5" t="inlineStr"/>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c r="AI1483" s="5" t="inlineStr"/>
      <c r="AJ1483" s="5" t="inlineStr"/>
    </row>
    <row r="1484">
      <c r="A1484" s="5" t="inlineStr">
        <is>
          <t>b7-cete-tahsilat</t>
        </is>
      </c>
      <c r="B1484" s="5" t="n">
        <v>2</v>
      </c>
      <c r="C1484" s="6" t="inlineStr">
        <is>
          <t>Nurettin'le ödeme planı yap</t>
        </is>
      </c>
      <c r="D1484" s="5" t="inlineStr">
        <is>
          <t>Çene</t>
        </is>
      </c>
      <c r="E1484" s="5" t="inlineStr">
        <is>
          <t>Orta</t>
        </is>
      </c>
      <c r="F1484" s="5" t="inlineStr"/>
      <c r="G1484" s="6" t="inlineStr"/>
      <c r="H1484" s="6" t="inlineStr">
        <is>
          <t>Nurettin her cuma bir miktar bırakacak. Abi planı beğendi; sen de ilk kez bir işi konuşarak bitirdin.</t>
        </is>
      </c>
      <c r="I1484" s="6" t="inlineStr">
        <is>
          <t>Nurettin borcunu kapattı, üstüne tabelasına senin adını yazdırdı: “Tahsilat ortağımız.” Abi tabelayı sökmedi.</t>
        </is>
      </c>
      <c r="J1484" s="6" t="inlineStr">
        <is>
          <t>Nurettin planı dinledi, başını salladı, sana bir ayran ikram etti. Ayranı içtin; plan tezgâhta kaldı.</t>
        </is>
      </c>
      <c r="K1484" s="6" t="inlineStr">
        <is>
          <t>Konuşurken Nurettin'in borcu bir şekilde senin borcuna dönüştü. Nasıl olduğunu ikiniz de anlamadınız; abi anladı.</t>
        </is>
      </c>
      <c r="L1484" s="6" t="inlineStr"/>
      <c r="M1484" s="5" t="inlineStr"/>
      <c r="N1484" s="5" t="inlineStr"/>
      <c r="O1484" s="6" t="inlineStr"/>
      <c r="P1484" s="6" t="inlineStr"/>
      <c r="Q1484" s="5" t="inlineStr"/>
      <c r="R1484" s="5" t="inlineStr"/>
      <c r="S1484" s="5" t="inlineStr"/>
      <c r="T1484" s="5" t="inlineStr"/>
      <c r="U1484" s="5" t="inlineStr"/>
      <c r="V1484" s="5" t="inlineStr"/>
      <c r="W1484" s="5" t="inlineStr">
        <is>
          <t>abiye-borclu</t>
        </is>
      </c>
      <c r="X1484" s="5" t="inlineStr"/>
      <c r="Y1484" s="5" t="inlineStr"/>
      <c r="Z1484" s="6" t="inlineStr"/>
      <c r="AA1484" s="5" t="inlineStr"/>
      <c r="AB1484" s="5" t="inlineStr"/>
      <c r="AC1484" s="5" t="inlineStr"/>
      <c r="AD1484" s="5" t="inlineStr"/>
      <c r="AE1484" s="5" t="inlineStr"/>
      <c r="AF1484" s="5" t="inlineStr"/>
      <c r="AG1484" s="5" t="inlineStr"/>
      <c r="AH1484" s="5" t="inlineStr"/>
      <c r="AI1484" s="5" t="inlineStr"/>
      <c r="AJ1484" s="5" t="inlineStr"/>
    </row>
    <row r="1485">
      <c r="A1485" s="5" t="inlineStr">
        <is>
          <t>b7-cete-tahsilat</t>
        </is>
      </c>
      <c r="B1485" s="5" t="n">
        <v>3</v>
      </c>
      <c r="C1485" s="6" t="inlineStr">
        <is>
          <t>Abiye “Bu adam zaten batık” de</t>
        </is>
      </c>
      <c r="D1485" s="5" t="inlineStr">
        <is>
          <t>Cesaret</t>
        </is>
      </c>
      <c r="E1485" s="5" t="inlineStr">
        <is>
          <t>Zor</t>
        </is>
      </c>
      <c r="F1485" s="5" t="inlineStr"/>
      <c r="G1485" s="6" t="inlineStr"/>
      <c r="H1485" s="6" t="inlineStr">
        <is>
          <t>Abi uzun uzun baktı, sonra Nurettin'in kâğıdını çöpe attı. “Senin gözün var” dedi. Yeni görevin: kimin batık olduğunu önceden söylemek.</t>
        </is>
      </c>
      <c r="I1485" s="6" t="inlineStr">
        <is>
          <t>Tahsilat listesini artık sen hazırlıyorsun. Nurettin her hafta sana bedava ayran gönderiyor; sebebini kimse bilmiyor.</t>
        </is>
      </c>
      <c r="J1485" s="6" t="inlineStr">
        <is>
          <t>Abi “Batık olan da borcunu öder” dedi. Seni kebapçıya geri yolladı; bu sefer iki selamla.</t>
        </is>
      </c>
      <c r="K1485" s="6" t="inlineStr">
        <is>
          <t>Abi Nurettin'in borcunu sana devretti. Artık ayda bir kendi kapına tahsilata geliyorsun.</t>
        </is>
      </c>
      <c r="L1485" s="6" t="inlineStr"/>
      <c r="M1485" s="5" t="inlineStr"/>
      <c r="N1485" s="5" t="inlineStr"/>
      <c r="O1485" s="6" t="inlineStr"/>
      <c r="P1485" s="6" t="inlineStr"/>
      <c r="Q1485" s="5" t="inlineStr"/>
      <c r="R1485" s="5" t="inlineStr"/>
      <c r="S1485" s="5" t="inlineStr"/>
      <c r="T1485" s="5" t="inlineStr">
        <is>
          <t>Odayı Okur</t>
        </is>
      </c>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4</v>
      </c>
      <c r="C1486" s="6" t="inlineStr">
        <is>
          <t>Kasadaki fotokopiyi ima et</t>
        </is>
      </c>
      <c r="D1486" s="5" t="inlineStr"/>
      <c r="E1486" s="5" t="inlineStr"/>
      <c r="F1486" s="5" t="inlineStr">
        <is>
          <t>Kurnazlık +1</t>
        </is>
      </c>
      <c r="G1486" s="6" t="inlineStr">
        <is>
          <t>Kasadan hiç bahsetmedin; yalnızca anahtarlığını parmağında çevirdin. Abi anahtarlığa uzun uzun baktı. Ertesi gün tahsilata başkası gitti; sana oto yıkamanın kasasında oturmak düştü.</t>
        </is>
      </c>
      <c r="H1486" s="6" t="inlineStr"/>
      <c r="I1486" s="6" t="inlineStr"/>
      <c r="J1486" s="6" t="inlineStr"/>
      <c r="K1486" s="6" t="inlineStr"/>
      <c r="L1486" s="6" t="inlineStr"/>
      <c r="M1486" s="5" t="inlineStr"/>
      <c r="N1486" s="5" t="inlineStr"/>
      <c r="O1486" s="6" t="inlineStr"/>
      <c r="P1486" s="6" t="inlineStr"/>
      <c r="Q1486" s="5" t="inlineStr"/>
      <c r="R1486" s="5" t="inlineStr">
        <is>
          <t>abiye-karsi-sigorta</t>
        </is>
      </c>
      <c r="S1486" s="5" t="inlineStr"/>
      <c r="T1486" s="5" t="inlineStr"/>
      <c r="U1486" s="5" t="inlineStr"/>
      <c r="V1486" s="5" t="inlineStr"/>
      <c r="W1486" s="5" t="inlineStr"/>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b7-cete-tefeci</t>
        </is>
      </c>
      <c r="B1487" s="5" t="n">
        <v>1</v>
      </c>
      <c r="C1487" s="6" t="inlineStr">
        <is>
          <t>Hatır için ver, deftere isim yaz</t>
        </is>
      </c>
      <c r="D1487" s="5" t="inlineStr"/>
      <c r="E1487" s="5" t="inlineStr"/>
      <c r="F1487" s="5" t="inlineStr">
        <is>
          <t>İtibar +1, Sosyal Radar +1</t>
        </is>
      </c>
      <c r="G1487" s="6" t="inlineStr">
        <is>
          <t>Deftere rakam yerine isim yazdın. Paranın yarısı geri geldi, gerisi bayramlarda baklava olarak. Mahalle seni seviyor; kasa sevmiyor.</t>
        </is>
      </c>
      <c r="H1487" s="6" t="inlineStr"/>
      <c r="I1487" s="6" t="inlineStr"/>
      <c r="J1487" s="6" t="inlineStr"/>
      <c r="K1487" s="6" t="inlineStr"/>
      <c r="L1487" s="6" t="inlineStr"/>
      <c r="M1487" s="5" t="inlineStr"/>
      <c r="N1487" s="5" t="inlineStr"/>
      <c r="O1487" s="6" t="inlineStr"/>
      <c r="P1487" s="6" t="inlineStr"/>
      <c r="Q1487" s="5" t="inlineStr"/>
      <c r="R1487" s="5" t="inlineStr"/>
      <c r="S1487" s="5" t="inlineStr"/>
      <c r="T1487" s="5" t="inlineStr"/>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b7-cete-tefeci</t>
        </is>
      </c>
      <c r="B1488" s="5" t="n">
        <v>2</v>
      </c>
      <c r="C1488" s="6" t="inlineStr">
        <is>
          <t>Mahallenin yarısını deftere yaz</t>
        </is>
      </c>
      <c r="D1488" s="5" t="inlineStr">
        <is>
          <t>Kurnazlık</t>
        </is>
      </c>
      <c r="E1488" s="5" t="inlineStr">
        <is>
          <t>Orta</t>
        </is>
      </c>
      <c r="F1488" s="5" t="inlineStr"/>
      <c r="G1488" s="6" t="inlineStr"/>
      <c r="H1488" s="6" t="inlineStr">
        <is>
          <t>İki yılda mahallenin yarısı deftere girdi. Sokakta herkes selam veriyor; bazıları karşı kaldırıma geçerek.</t>
        </is>
      </c>
      <c r="I1488" s="6" t="inlineStr">
        <is>
          <t>Defter öyle kalınlaştı ki abi bile göz attı: “Bunu ben de yapamazdım.” Kendi adını da gördü, sesini çıkarmadı.</t>
        </is>
      </c>
      <c r="J1488" s="6" t="inlineStr">
        <is>
          <t>Borç verdiğin herkes aynı hafta araba yıkatmayı bıraktı. Kasa boş, köpük makinesi boş, defter dolu.</t>
        </is>
      </c>
      <c r="K1488" s="6" t="inlineStr">
        <is>
          <t>Defteri kovanın yanında unuttun. Çırak hortumu açtı; on iki sayfa borç köpükle birlikte kanala aktı. O hafta mahallede herkes araba yıkatmaya geldi; bahşişler de çok iyiydi.</t>
        </is>
      </c>
      <c r="L1488" s="6" t="inlineStr"/>
      <c r="M1488" s="5" t="inlineStr"/>
      <c r="N1488" s="5" t="inlineStr"/>
      <c r="O1488" s="6" t="inlineStr"/>
      <c r="P1488" s="6" t="inlineStr"/>
      <c r="Q1488" s="5" t="inlineStr"/>
      <c r="R1488" s="5" t="inlineStr"/>
      <c r="S1488" s="5" t="inlineStr"/>
      <c r="T1488" s="5" t="inlineStr"/>
      <c r="U1488" s="5" t="inlineStr"/>
      <c r="V1488" s="5" t="inlineStr">
        <is>
          <t>tefeci-defteri</t>
        </is>
      </c>
      <c r="W1488" s="5" t="inlineStr"/>
      <c r="X1488" s="5" t="inlineStr"/>
      <c r="Y1488" s="5" t="inlineStr"/>
      <c r="Z1488" s="6" t="inlineStr"/>
      <c r="AA1488" s="5" t="inlineStr"/>
      <c r="AB1488" s="5" t="inlineStr"/>
      <c r="AC1488" s="5" t="inlineStr"/>
      <c r="AD1488" s="5" t="inlineStr">
        <is>
          <t>Rahat</t>
        </is>
      </c>
      <c r="AE1488" s="5" t="inlineStr"/>
      <c r="AF1488" s="5" t="inlineStr"/>
      <c r="AG1488" s="5" t="inlineStr"/>
      <c r="AH1488" s="5" t="inlineStr"/>
      <c r="AI1488" s="5" t="inlineStr"/>
      <c r="AJ1488" s="5" t="inlineStr"/>
      <c r="AL1488" t="n">
        <v>1</v>
      </c>
    </row>
    <row r="1489">
      <c r="A1489" s="5" t="inlineStr">
        <is>
          <t>b7-cete-tefeci</t>
        </is>
      </c>
      <c r="B1489" s="5" t="n">
        <v>3</v>
      </c>
      <c r="C1489" s="6" t="inlineStr">
        <is>
          <t>Abinin müşterilerini kendi defterine geçir</t>
        </is>
      </c>
      <c r="D1489" s="5" t="inlineStr">
        <is>
          <t>Cesaret</t>
        </is>
      </c>
      <c r="E1489" s="5" t="inlineStr">
        <is>
          <t>Zor</t>
        </is>
      </c>
      <c r="F1489" s="5" t="inlineStr"/>
      <c r="G1489" s="6" t="inlineStr"/>
      <c r="H1489" s="6" t="inlineStr">
        <is>
          <t>Abinin üç müşterisi artık sana geliyor. Abi fark etti, bir şey demedi; sana yeni bir hesap makinesi gönderdi. Bütün tuşları basıyor.</t>
        </is>
      </c>
      <c r="I1489" s="6" t="inlineStr">
        <is>
          <t>Abinin müşterilerinin yarısı sana geçti. Abi seni yemeğe çağırdı, hesabı sana bıraktı; bu bir terfi sayılır.</t>
        </is>
      </c>
      <c r="J1489" s="6" t="inlineStr">
        <is>
          <t>Müşteriler iki defter arasında kaldı; ikisine de ödemediler. Abi sana bir hafta selam vermedi.</t>
        </is>
      </c>
      <c r="K1489" s="6" t="inlineStr">
        <is>
          <t>Eski müşterilerden biri defterini karakola götürdü; üstünde senin el yazın var. Hâkim yazının güzel olduğunu söyledi, sonra kararı okudu.</t>
        </is>
      </c>
      <c r="L1489" s="6" t="inlineStr"/>
      <c r="M1489" s="5" t="inlineStr"/>
      <c r="N1489" s="5" t="inlineStr"/>
      <c r="O1489" s="6" t="inlineStr"/>
      <c r="P1489" s="6" t="inlineStr"/>
      <c r="Q1489" s="5" t="inlineStr"/>
      <c r="R1489" s="5" t="inlineStr"/>
      <c r="S1489" s="5" t="inlineStr"/>
      <c r="T1489" s="5" t="inlineStr">
        <is>
          <t>Pazarlık Duayeni</t>
        </is>
      </c>
      <c r="U1489" s="5" t="inlineStr"/>
      <c r="V1489" s="5" t="inlineStr">
        <is>
          <t>tefeci-defteri</t>
        </is>
      </c>
      <c r="W1489" s="5" t="inlineStr">
        <is>
          <t>hapis</t>
        </is>
      </c>
      <c r="X1489" s="5" t="inlineStr"/>
      <c r="Y1489" s="5" t="inlineStr"/>
      <c r="Z1489" s="6" t="inlineStr"/>
      <c r="AA1489" s="5" t="inlineStr"/>
      <c r="AB1489" s="5" t="inlineStr"/>
      <c r="AC1489" s="5" t="inlineStr"/>
      <c r="AD1489" s="5" t="inlineStr"/>
      <c r="AE1489" s="5" t="inlineStr"/>
      <c r="AF1489" s="5" t="inlineStr"/>
      <c r="AG1489" s="5" t="inlineStr"/>
      <c r="AH1489" s="5" t="inlineStr">
        <is>
          <t>Cesaret 31</t>
        </is>
      </c>
      <c r="AI1489" s="5" t="inlineStr"/>
      <c r="AJ1489" s="5" t="inlineStr"/>
    </row>
    <row r="1490">
      <c r="A1490" s="5" t="inlineStr">
        <is>
          <t>b7-cete-rakip</t>
        </is>
      </c>
      <c r="B1490" s="5" t="n">
        <v>1</v>
      </c>
      <c r="C1490" s="6" t="inlineStr">
        <is>
          <t>Çay gönder, masaya çağır</t>
        </is>
      </c>
      <c r="D1490" s="5" t="inlineStr"/>
      <c r="E1490" s="5" t="inlineStr"/>
      <c r="F1490" s="5" t="inlineStr">
        <is>
          <t>Sosyal Radar +1, Çene +1</t>
        </is>
      </c>
      <c r="G1490" s="6" t="inlineStr">
        <is>
          <t>Yeğen çayı içti, masaya oturdu, bir saat dinledi. Ertesi gün tabelasındaki fazla harfi söktü. Arada bir sana müşteri gönderiyor.</t>
        </is>
      </c>
      <c r="H1490" s="6" t="inlineStr"/>
      <c r="I1490" s="6" t="inlineStr"/>
      <c r="J1490" s="6" t="inlineStr"/>
      <c r="K1490" s="6" t="inlineStr"/>
      <c r="L1490" s="6" t="inlineStr"/>
      <c r="M1490" s="5" t="inlineStr"/>
      <c r="N1490" s="5" t="inlineStr"/>
      <c r="O1490" s="6" t="inlineStr"/>
      <c r="P1490" s="6" t="inlineStr"/>
      <c r="Q1490" s="5" t="inlineStr"/>
      <c r="R1490" s="5" t="inlineStr"/>
      <c r="S1490" s="5" t="inlineStr"/>
      <c r="T1490" s="5" t="inlineStr"/>
      <c r="U1490" s="5" t="inlineStr"/>
      <c r="V1490" s="5" t="inlineStr"/>
      <c r="W1490" s="5" t="inlineStr"/>
      <c r="X1490" s="5" t="inlineStr"/>
      <c r="Y1490" s="5" t="inlineStr"/>
      <c r="Z1490" s="6" t="inlineStr"/>
      <c r="AA1490" s="5" t="inlineStr"/>
      <c r="AB1490" s="5" t="inlineStr"/>
      <c r="AC1490" s="5" t="inlineStr"/>
      <c r="AD1490" s="5" t="inlineStr"/>
      <c r="AE1490" s="5" t="inlineStr"/>
      <c r="AF1490" s="5" t="inlineStr"/>
      <c r="AG1490" s="5" t="inlineStr"/>
      <c r="AH1490" s="5" t="inlineStr"/>
      <c r="AI1490" s="5" t="inlineStr"/>
      <c r="AJ1490" s="5" t="inlineStr"/>
    </row>
    <row r="1491">
      <c r="A1491" s="5" t="inlineStr">
        <is>
          <t>b7-cete-rakip</t>
        </is>
      </c>
      <c r="B1491" s="5" t="n">
        <v>2</v>
      </c>
      <c r="C1491" s="6" t="inlineStr">
        <is>
          <t>Fiyat savaşına gir</t>
        </is>
      </c>
      <c r="D1491" s="5" t="inlineStr">
        <is>
          <t>Kurnazlık</t>
        </is>
      </c>
      <c r="E1491" s="5" t="inlineStr">
        <is>
          <t>Orta</t>
        </is>
      </c>
      <c r="F1491" s="5" t="inlineStr"/>
      <c r="G1491" s="6" t="inlineStr"/>
      <c r="H1491" s="6" t="inlineStr">
        <is>
          <t>Yıkamayı ucuzlattın, cilayı bedava yaptın. Üç ayda karşı kaldırım kepenk indirdi; sen de bedava cilayı bir türlü kaldıramadın.</t>
        </is>
      </c>
      <c r="I1491" s="6" t="inlineStr">
        <is>
          <t>Yeğen dükkânını kapatıp sana eleman olarak geldi. Çayları o dağıtıyor, seni “Patron” diye çağırıyor.</t>
        </is>
      </c>
      <c r="J1491" s="6" t="inlineStr">
        <is>
          <t>İkiniz de fiyat indirdiniz. Mahallenin arabaları hiç bu kadar temiz, siz hiç bu kadar yorgun olmamıştınız.</t>
        </is>
      </c>
      <c r="K1491" s="6" t="inlineStr">
        <is>
          <t>Savaş öyle kızıştı ki bir gün müşteriye para ödeyerek araba yıkadın. Müşteri ertesi gün yine geldi.</t>
        </is>
      </c>
      <c r="L1491" s="6" t="inlineStr"/>
      <c r="M1491" s="5" t="inlineStr"/>
      <c r="N1491" s="5" t="inlineStr"/>
      <c r="O1491" s="6" t="inlineStr"/>
      <c r="P1491" s="6" t="inlineStr"/>
      <c r="Q1491" s="5" t="inlineStr"/>
      <c r="R1491" s="5" t="inlineStr"/>
      <c r="S1491" s="5" t="inlineStr"/>
      <c r="T1491" s="5" t="inlineStr"/>
      <c r="U1491" s="5" t="inlineStr"/>
      <c r="V1491" s="5" t="inlineStr"/>
      <c r="W1491" s="5" t="inlineStr"/>
      <c r="X1491" s="5" t="inlineStr"/>
      <c r="Y1491" s="5" t="inlineStr"/>
      <c r="Z1491" s="6" t="inlineStr"/>
      <c r="AA1491" s="5" t="inlineStr"/>
      <c r="AB1491" s="5" t="inlineStr"/>
      <c r="AC1491" s="5" t="inlineStr"/>
      <c r="AD1491" s="5" t="inlineStr"/>
      <c r="AE1491" s="5" t="inlineStr"/>
      <c r="AF1491" s="5" t="inlineStr"/>
      <c r="AG1491" s="5" t="inlineStr"/>
      <c r="AH1491" s="5" t="inlineStr"/>
      <c r="AI1491" s="5" t="inlineStr"/>
      <c r="AJ1491" s="5" t="inlineStr"/>
    </row>
    <row r="1492">
      <c r="A1492" s="5" t="inlineStr">
        <is>
          <t>b7-cete-rakip</t>
        </is>
      </c>
      <c r="B1492" s="5" t="n">
        <v>3</v>
      </c>
      <c r="C1492" s="6" t="inlineStr">
        <is>
          <t>Karşıya git, dükkânında yüzleş</t>
        </is>
      </c>
      <c r="D1492" s="5" t="inlineStr">
        <is>
          <t>Cesaret</t>
        </is>
      </c>
      <c r="E1492" s="5" t="inlineStr">
        <is>
          <t>Zor</t>
        </is>
      </c>
      <c r="F1492" s="5" t="inlineStr"/>
      <c r="G1492" s="6" t="inlineStr"/>
      <c r="H1492" s="6" t="inlineStr">
        <is>
          <t>Yeğenin dükkânında bir araba yıkattın, yüksek bahşiş bırakıp çıktın. Mesaj alındı; ertesi hafta tabelasını değiştirdi.</t>
        </is>
      </c>
      <c r="I1492" s="6" t="inlineStr">
        <is>
          <t>Yüzleşme o kadar sakin geçti ki yeğen kira sözleşmesini sana devretti. Artık iki kaldırımda da köpük senin.</t>
        </is>
      </c>
      <c r="J1492" s="6" t="inlineStr">
        <is>
          <t>Yeğen seni tanımadı, sıraya aldı. Kırk dakika bekledin; araban hiç bu kadar parlamamıştı.</t>
        </is>
      </c>
      <c r="K1492" s="6" t="inlineStr">
        <is>
          <t>Yeğen seni tanıdı ve seninle fotoğraf çektirdi: “Rakibimle.” Fotoğraf şimdi onun tabelasında asılı.</t>
        </is>
      </c>
      <c r="L1492" s="6" t="inlineStr"/>
      <c r="M1492" s="5" t="inlineStr"/>
      <c r="N1492" s="5" t="inlineStr"/>
      <c r="O1492" s="6" t="inlineStr"/>
      <c r="P1492" s="6" t="inlineStr"/>
      <c r="Q1492" s="5" t="inlineStr"/>
      <c r="R1492" s="5" t="inlineStr"/>
      <c r="S1492" s="5" t="inlineStr"/>
      <c r="T1492" s="5" t="inlineStr">
        <is>
          <t>Son Sözü Söyler</t>
        </is>
      </c>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4</v>
      </c>
      <c r="C1493" s="6" t="inlineStr">
        <is>
          <t>Kışla arkadaşlarını çağır</t>
        </is>
      </c>
      <c r="D1493" s="5" t="inlineStr">
        <is>
          <t>Cesaret</t>
        </is>
      </c>
      <c r="E1493" s="5" t="inlineStr">
        <is>
          <t>Orta</t>
        </is>
      </c>
      <c r="F1493" s="5" t="inlineStr"/>
      <c r="G1493" s="6" t="inlineStr"/>
      <c r="H1493" s="6" t="inlineStr">
        <is>
          <t>Üç kışla arkadaşın karşı kaldırıma sandalye çekip bütün gün yalnızca çay içti. Yeğen üçüncü gün pes etti.</t>
        </is>
      </c>
      <c r="I1493" s="6" t="inlineStr">
        <is>
          <t>Arkadaşların yeğeni kışla hikâyeleriyle ikna etti. Karşı dükkân artık senin şuben.</t>
        </is>
      </c>
      <c r="J1493" s="6" t="inlineStr">
        <is>
          <t>Arkadaşların geldi, karşı dükkânda araba yıkatıp gittiler. İndirimliymiş.</t>
        </is>
      </c>
      <c r="K1493" s="6" t="inlineStr">
        <is>
          <t>Arkadaşların karşı kaldırıma oturdu; yeğenin annesi çay getirdi, börek getirdi. Akşama kadar onun dükkânını övdüler. Dördüncü gün biri orada çalışmaya başladı.</t>
        </is>
      </c>
      <c r="L1493" s="6" t="inlineStr"/>
      <c r="M1493" s="5" t="inlineStr"/>
      <c r="N1493" s="5" t="inlineStr"/>
      <c r="O1493" s="6" t="inlineStr"/>
      <c r="P1493" s="6" t="inlineStr"/>
      <c r="Q1493" s="5" t="inlineStr"/>
      <c r="R1493" s="5" t="inlineStr">
        <is>
          <t>kisla-kankasi</t>
        </is>
      </c>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b8-cete-hatir-masasi</t>
        </is>
      </c>
      <c r="B1494" s="5" t="n">
        <v>1</v>
      </c>
      <c r="C1494" s="6" t="inlineStr">
        <is>
          <t>Yazı tura at</t>
        </is>
      </c>
      <c r="D1494" s="5" t="inlineStr"/>
      <c r="E1494" s="5" t="inlineStr"/>
      <c r="F1494" s="5" t="inlineStr">
        <is>
          <t>Pişkinlik +1, Cesaret +1</t>
        </is>
      </c>
      <c r="G1494" s="6" t="inlineStr">
        <is>
          <t>Parayı attın, masanın altına kaçtı. İki aile beraber eğildi, beraber kalktı; düğünü ortak yapmaya karar verdiler. Halay iki saat sürdü.</t>
        </is>
      </c>
      <c r="H1494" s="6" t="inlineStr"/>
      <c r="I1494" s="6" t="inlineStr"/>
      <c r="J1494" s="6" t="inlineStr"/>
      <c r="K1494" s="6" t="inlineStr"/>
      <c r="L1494" s="6" t="inlineStr"/>
      <c r="M1494" s="5" t="inlineStr"/>
      <c r="N1494" s="5" t="inlineStr"/>
      <c r="O1494" s="6" t="inlineStr"/>
      <c r="P1494" s="6" t="inlineStr"/>
      <c r="Q1494" s="5" t="inlineStr"/>
      <c r="R1494" s="5" t="inlineStr"/>
      <c r="S1494" s="5" t="inlineStr"/>
      <c r="T1494" s="5" t="inlineStr"/>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b8-cete-hatir-masasi</t>
        </is>
      </c>
      <c r="B1495" s="5" t="n">
        <v>2</v>
      </c>
      <c r="C1495" s="6" t="inlineStr">
        <is>
          <t>İki damadı da dinle</t>
        </is>
      </c>
      <c r="D1495" s="5" t="inlineStr">
        <is>
          <t>Sosyal Radar</t>
        </is>
      </c>
      <c r="E1495" s="5" t="inlineStr">
        <is>
          <t>Orta</t>
        </is>
      </c>
      <c r="F1495" s="5" t="inlineStr"/>
      <c r="G1495" s="6" t="inlineStr"/>
      <c r="H1495" s="6" t="inlineStr">
        <is>
          <t>Damatlardan biri aslında perşembeyi istiyormuş, söylemeye çekiniyormuş. Mesele çay bitmeden çözüldü.</t>
        </is>
      </c>
      <c r="I1495" s="6" t="inlineStr">
        <is>
          <t>Dinledikçe iki ailenin akraba olduğu ortaya çıktı. Düğün birleşti, seni nikâh şahidi yaptılar; iki kez imza attın.</t>
        </is>
      </c>
      <c r="J1495" s="6" t="inlineStr">
        <is>
          <t>Dinledin, dinledin; damatlar birbirini ikna etti, seni değil. Masadan sensiz kalktılar.</t>
        </is>
      </c>
      <c r="K1495" s="6" t="inlineStr">
        <is>
          <t>Bir tarafa hafifçe başını salladın. Öbür kayınpeder gördü, çayını yarım bıraktı, kalktı. O cumartesi iki düğün de yapıldı; ikisinde de senin masan yoktu. Yirmi yıldır ilk kez davetsiz bir cumartesi geçirdin.</t>
        </is>
      </c>
      <c r="L1495" s="6" t="inlineStr"/>
      <c r="M1495" s="5" t="inlineStr"/>
      <c r="N1495" s="5" t="inlineStr"/>
      <c r="O1495" s="6" t="inlineStr"/>
      <c r="P1495" s="6" t="inlineStr"/>
      <c r="Q1495" s="5" t="inlineStr"/>
      <c r="R1495" s="5" t="inlineStr"/>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3</v>
      </c>
      <c r="C1496" s="6" t="inlineStr">
        <is>
          <t>Salon sahibini depodan çıkar</t>
        </is>
      </c>
      <c r="D1496" s="5" t="inlineStr">
        <is>
          <t>Kurnazlık</t>
        </is>
      </c>
      <c r="E1496" s="5" t="inlineStr">
        <is>
          <t>Orta</t>
        </is>
      </c>
      <c r="F1496" s="5" t="inlineStr"/>
      <c r="G1496" s="6" t="inlineStr"/>
      <c r="H1496" s="6" t="inlineStr">
        <is>
          <t>Salon sahibi depodan çıktı, ikinci bir salonu olduğunu itiraf etti. Mesele bitti; adam sana bir düğün borçlu.</t>
        </is>
      </c>
      <c r="I1496" s="6" t="inlineStr">
        <is>
          <t>Salon sahibi iki aileye indirim yaptı, sana da salonda ömürlük bir masa ayırdı. Masanın üstünde adın yazıyor.</t>
        </is>
      </c>
      <c r="J1496" s="6" t="inlineStr">
        <is>
          <t>Depoya seslendin; cevap gelmedi. Kapıyı çaldın; içeriden bir ses “Burada kimse yok” dedi.</t>
        </is>
      </c>
      <c r="K1496" s="6" t="inlineStr">
        <is>
          <t>Salon sahibi çıktı ve aynı cumartesiye üçüncü bir aileyi de yazdığını itiraf etti. Üç damat, üç kayınpeder, bir masa. Bütün çayları sen ödedin; üç düğünün hiçbirine çağrılmadın.</t>
        </is>
      </c>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4</v>
      </c>
      <c r="C1497" s="6" t="inlineStr">
        <is>
          <t>Komiser dostunu iki düğüne de davet ettir</t>
        </is>
      </c>
      <c r="D1497" s="5" t="inlineStr"/>
      <c r="E1497" s="5" t="inlineStr"/>
      <c r="F1497" s="5" t="inlineStr">
        <is>
          <t>Sosyal Radar +1</t>
        </is>
      </c>
      <c r="G1497" s="6" t="inlineStr">
        <is>
          <t>Komiser iki düğüne de davetli çıktı; hangisine gideceğini sana sordu. “İkisine de git” dedin. Gitti, iki salonda da halaya kalktı; o gece kimse kimseyle kavga etmedi.</t>
        </is>
      </c>
      <c r="H1497" s="6" t="inlineStr"/>
      <c r="I1497" s="6" t="inlineStr"/>
      <c r="J1497" s="6" t="inlineStr"/>
      <c r="K1497" s="6" t="inlineStr"/>
      <c r="L1497" s="6" t="inlineStr"/>
      <c r="M1497" s="5" t="inlineStr"/>
      <c r="N1497" s="5" t="inlineStr"/>
      <c r="O1497" s="6" t="inlineStr"/>
      <c r="P1497" s="6" t="inlineStr"/>
      <c r="Q1497" s="5" t="inlineStr"/>
      <c r="R1497" s="5" t="inlineStr">
        <is>
          <t>komiser-tanidik</t>
        </is>
      </c>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b8-cete-abinin-emekliligi</t>
        </is>
      </c>
      <c r="B1498" s="5" t="n">
        <v>1</v>
      </c>
      <c r="C1498" s="6" t="inlineStr">
        <is>
          <t>Payını al, işleri yeğene bırak</t>
        </is>
      </c>
      <c r="D1498" s="5" t="inlineStr"/>
      <c r="E1498" s="5" t="inlineStr"/>
      <c r="F1498" s="5" t="inlineStr">
        <is>
          <t>İtibar +1, Dayanıklılık +1</t>
        </is>
      </c>
      <c r="G1498" s="6" t="inlineStr">
        <is>
          <t>Abiye bir tespih, yeğene anahtarları verdin; sen oto yıkamada kaldın. Akşamları kahvede yeğen yanından geçerken soruyor: “Bir isteğin var mı?” Çay istiyorsun, getiriyor. Şimdilik.</t>
        </is>
      </c>
      <c r="H1498" s="6" t="inlineStr"/>
      <c r="I1498" s="6" t="inlineStr"/>
      <c r="J1498" s="6" t="inlineStr"/>
      <c r="K1498" s="6" t="inlineStr"/>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b8-cete-abinin-emekliligi</t>
        </is>
      </c>
      <c r="B1499" s="5" t="n">
        <v>2</v>
      </c>
      <c r="C1499" s="6" t="inlineStr">
        <is>
          <t>Yeğenle ortak ol</t>
        </is>
      </c>
      <c r="D1499" s="5" t="inlineStr">
        <is>
          <t>Çene</t>
        </is>
      </c>
      <c r="E1499" s="5" t="inlineStr">
        <is>
          <t>Orta</t>
        </is>
      </c>
      <c r="F1499" s="5" t="inlineStr"/>
      <c r="G1499" s="6" t="inlineStr"/>
      <c r="H1499" s="6" t="inlineStr">
        <is>
          <t>Yeğen rakamları, sen insanları yönetiyorsun. İlk toplantıda anlaştınız; ikincide telefonunu cebine koydu.</t>
        </is>
      </c>
      <c r="I1499" s="6" t="inlineStr">
        <is>
          <t>Yeğen seni öyle sevdi ki kartvizitine “Öğrencisi” yazdırdı. Abi bunu görünce yıllardır ilk kez güldü.</t>
        </is>
      </c>
      <c r="J1499" s="6" t="inlineStr">
        <is>
          <t>Ortaklık sözleşmesini yeğen hazırladı. Üç sayfa; senin adın yalnızca imza yerinde.</t>
        </is>
      </c>
      <c r="K1499" s="6" t="inlineStr">
        <is>
          <t>Ortaklığın ilk ayında yeğen masaları değiştirdi. Kahvedeki yerin artık kapının yanı; cereyan var.</t>
        </is>
      </c>
      <c r="L1499" s="6" t="inlineStr"/>
      <c r="M1499" s="5" t="inlineStr"/>
      <c r="N1499" s="5" t="inlineStr"/>
      <c r="O1499" s="6" t="inlineStr"/>
      <c r="P1499" s="6" t="inlineStr"/>
      <c r="Q1499" s="5" t="inlineStr"/>
      <c r="R1499" s="5" t="inlineStr"/>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3</v>
      </c>
      <c r="C1500" s="6" t="inlineStr">
        <is>
          <t>Bütün işi tek başına devral</t>
        </is>
      </c>
      <c r="D1500" s="5" t="inlineStr">
        <is>
          <t>Cesaret</t>
        </is>
      </c>
      <c r="E1500" s="5" t="inlineStr">
        <is>
          <t>Zor</t>
        </is>
      </c>
      <c r="F1500" s="5" t="inlineStr"/>
      <c r="G1500" s="6" t="inlineStr"/>
      <c r="H1500" s="6" t="inlineStr">
        <is>
          <t>Abinin defterleri, masaları, kahvedeki pencere kenarı artık senin. Yeğen ilk kez gelip elini öptü; dudakları titriyordu.</t>
        </is>
      </c>
      <c r="I1500" s="6" t="inlineStr">
        <is>
          <t>Devir öyle pürüzsüz oldu ki abi bile sana danışmaya başladı. Bayramda elini öpmeye gelenlerin sırası kapıdan taşıyor.</t>
        </is>
      </c>
      <c r="J1500" s="6" t="inlineStr">
        <is>
          <t>Yeğen ayak diredi, abi araya girdi. İşler ikiye bölündü; masanın yarısı senin, çayın tamamı ortak.</t>
        </is>
      </c>
      <c r="K1500" s="6" t="inlineStr">
        <is>
          <t>Devraldığın defterlerde abinin otuz yıllık hesapları da vardı. Savcılık onları senden önce okudu; şimdi hepsinin sahibi sensin.</t>
        </is>
      </c>
      <c r="L1500" s="6" t="inlineStr"/>
      <c r="M1500" s="5" t="inlineStr"/>
      <c r="N1500" s="5" t="inlineStr"/>
      <c r="O1500" s="6" t="inlineStr"/>
      <c r="P1500" s="6" t="inlineStr"/>
      <c r="Q1500" s="5" t="inlineStr"/>
      <c r="R1500" s="5" t="inlineStr"/>
      <c r="S1500" s="5" t="inlineStr"/>
      <c r="T1500" s="5" t="inlineStr">
        <is>
          <t>Mevzuat Kalkanı</t>
        </is>
      </c>
      <c r="U1500" s="5" t="inlineStr"/>
      <c r="V1500" s="5" t="inlineStr">
        <is>
          <t>mahalle-babasi</t>
        </is>
      </c>
      <c r="W1500" s="5" t="inlineStr">
        <is>
          <t>hapis</t>
        </is>
      </c>
      <c r="X1500" s="5" t="inlineStr"/>
      <c r="Y1500" s="5" t="inlineStr"/>
      <c r="Z1500" s="6" t="inlineStr"/>
      <c r="AA1500" s="5" t="inlineStr"/>
      <c r="AB1500" s="5" t="inlineStr"/>
      <c r="AC1500" s="5" t="inlineStr"/>
      <c r="AD1500" s="5" t="inlineStr">
        <is>
          <t>Zengin</t>
        </is>
      </c>
      <c r="AE1500" s="5" t="inlineStr"/>
      <c r="AF1500" s="5" t="inlineStr"/>
      <c r="AG1500" s="5" t="inlineStr"/>
      <c r="AH1500" s="5" t="inlineStr"/>
      <c r="AI1500" s="5" t="inlineStr"/>
      <c r="AJ1500" s="5" t="inlineStr"/>
    </row>
    <row r="1501">
      <c r="A1501" s="5" t="inlineStr">
        <is>
          <t>b8-cete-abinin-emekliligi</t>
        </is>
      </c>
      <c r="B1501" s="5" t="n">
        <v>4</v>
      </c>
      <c r="C1501" s="6" t="inlineStr">
        <is>
          <t>Fotokopiyi abiye hediye et</t>
        </is>
      </c>
      <c r="D1501" s="5" t="inlineStr"/>
      <c r="E1501" s="5" t="inlineStr"/>
      <c r="F1501" s="5" t="inlineStr">
        <is>
          <t>Kurnazlık +1, İtibar +1</t>
        </is>
      </c>
      <c r="G1501" s="6" t="inlineStr">
        <is>
          <t>Fotokopiyi kurdeleyle paketledin. Abi gözlüğünü takıp bir sayfa okudu, güldü: “Bende aslı bile yok artık.” İkiniz de rahatladınız.</t>
        </is>
      </c>
      <c r="H1501" s="6" t="inlineStr"/>
      <c r="I1501" s="6" t="inlineStr"/>
      <c r="J1501" s="6" t="inlineStr"/>
      <c r="K1501" s="6" t="inlineStr"/>
      <c r="L1501" s="6" t="inlineStr"/>
      <c r="M1501" s="5" t="inlineStr"/>
      <c r="N1501" s="5" t="inlineStr"/>
      <c r="O1501" s="6" t="inlineStr"/>
      <c r="P1501" s="6" t="inlineStr"/>
      <c r="Q1501" s="5" t="inlineStr"/>
      <c r="R1501" s="5" t="inlineStr">
        <is>
          <t>abiye-karsi-sigorta</t>
        </is>
      </c>
      <c r="S1501" s="5" t="inlineStr"/>
      <c r="T1501" s="5" t="inlineStr"/>
      <c r="U1501" s="5" t="inlineStr">
        <is>
          <t>-abiye-karsi-sigorta</t>
        </is>
      </c>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b9-cete-kahvehane</t>
        </is>
      </c>
      <c r="B1502" s="5" t="n">
        <v>1</v>
      </c>
      <c r="C1502" s="6" t="inlineStr">
        <is>
          <t>Hikâyeyi olduğu gibi anlat</t>
        </is>
      </c>
      <c r="D1502" s="5" t="inlineStr"/>
      <c r="E1502" s="5" t="inlineStr"/>
      <c r="F1502" s="5" t="inlineStr">
        <is>
          <t>İtibar +1, Çene +1</t>
        </is>
      </c>
      <c r="G1502" s="6" t="inlineStr">
        <is>
          <t>Gerçeği anlattın: az para, çok çay, bol köpük. Gençler hayal kırıklığıyla dağıldı; biri kaldı, oto yıkamaya çırak oldu.</t>
        </is>
      </c>
      <c r="H1502" s="6" t="inlineStr"/>
      <c r="I1502" s="6" t="inlineStr"/>
      <c r="J1502" s="6" t="inlineStr"/>
      <c r="K1502" s="6" t="inlineStr"/>
      <c r="L1502" s="6" t="inlineStr"/>
      <c r="M1502" s="5" t="inlineStr"/>
      <c r="N1502" s="5" t="inlineStr"/>
      <c r="O1502" s="6" t="inlineStr"/>
      <c r="P1502" s="6" t="inlineStr"/>
      <c r="Q1502" s="5" t="inlineStr"/>
      <c r="R1502" s="5" t="inlineStr"/>
      <c r="S1502" s="5" t="inlineStr"/>
      <c r="T1502" s="5" t="inlineStr"/>
      <c r="U1502" s="5" t="inlineStr"/>
      <c r="V1502" s="5" t="inlineStr"/>
      <c r="W1502" s="5" t="inlineStr"/>
      <c r="X1502" s="5" t="inlineStr"/>
      <c r="Y1502" s="5" t="inlineStr"/>
      <c r="Z1502" s="6" t="inlineStr"/>
      <c r="AA1502" s="5" t="inlineStr"/>
      <c r="AB1502" s="5" t="inlineStr"/>
      <c r="AC1502" s="5" t="inlineStr"/>
      <c r="AD1502" s="5" t="inlineStr"/>
      <c r="AE1502" s="5" t="inlineStr"/>
      <c r="AF1502" s="5" t="inlineStr"/>
      <c r="AG1502" s="5" t="inlineStr"/>
      <c r="AH1502" s="5" t="inlineStr"/>
      <c r="AI1502" s="5" t="inlineStr"/>
      <c r="AJ1502" s="5" t="inlineStr"/>
    </row>
    <row r="1503">
      <c r="A1503" s="5" t="inlineStr">
        <is>
          <t>b9-cete-kahvehane</t>
        </is>
      </c>
      <c r="B1503" s="5" t="n">
        <v>2</v>
      </c>
      <c r="C1503" s="6" t="inlineStr">
        <is>
          <t>Tavlada meydan oku</t>
        </is>
      </c>
      <c r="D1503" s="5" t="inlineStr">
        <is>
          <t>Kurnazlık</t>
        </is>
      </c>
      <c r="E1503" s="5" t="inlineStr">
        <is>
          <t>Orta</t>
        </is>
      </c>
      <c r="F1503" s="5" t="inlineStr"/>
      <c r="G1503" s="6" t="inlineStr"/>
      <c r="H1503" s="6" t="inlineStr">
        <is>
          <t>Mahallenin en iddialı gencini üç el üst üste yendin. Pulları toplarken “Bu işin yarısı zar, yarısı sabır” dedin; hangi iş, soran olmadı.</t>
        </is>
      </c>
      <c r="I1503" s="6" t="inlineStr">
        <is>
          <t>Mars ettin; genç kalkıp elini öptü. Kahvedeki tavlanın kapağına adın yazıldı; tükenmez kalemle.</t>
        </is>
      </c>
      <c r="J1503" s="6" t="inlineStr">
        <is>
          <t>Genç seni yendi. Pulları toplarken elini uzattı: 'Sağ ol büyüğüm.' Mahallede ilk kez biri sana 'büyüğüm' dedi; mağlubiyetten ağır geldi.</t>
        </is>
      </c>
      <c r="K1503" s="6" t="inlineStr">
        <is>
          <t>Mars olmamak için zarı avucunda tuttun, 'Kaydı' dedin. Genç videoya almış. Akşam mahallenin bütün telefonlarında aynı video dönüyordu; adı tek kelime: 'Kaydı.'</t>
        </is>
      </c>
      <c r="L1503" s="6" t="inlineStr"/>
      <c r="M1503" s="5" t="inlineStr"/>
      <c r="N1503" s="5" t="inlineStr"/>
      <c r="O1503" s="6" t="inlineStr"/>
      <c r="P1503" s="6" t="inlineStr"/>
      <c r="Q1503" s="5" t="inlineStr"/>
      <c r="R1503" s="5" t="inlineStr"/>
      <c r="S1503" s="5" t="inlineStr"/>
      <c r="T1503" s="5" t="inlineStr"/>
      <c r="U1503" s="5" t="inlineStr"/>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is>
          <t>Kaydı</t>
        </is>
      </c>
      <c r="AJ1503" s="5" t="inlineStr"/>
    </row>
    <row r="1504">
      <c r="A1504" s="5" t="inlineStr">
        <is>
          <t>b9-cete-kahvehane</t>
        </is>
      </c>
      <c r="B1504" s="5" t="n">
        <v>3</v>
      </c>
      <c r="C1504" s="6" t="inlineStr">
        <is>
          <t>Son bir hatır masası kur</t>
        </is>
      </c>
      <c r="D1504" s="5" t="inlineStr">
        <is>
          <t>Cesaret</t>
        </is>
      </c>
      <c r="E1504" s="5" t="inlineStr">
        <is>
          <t>Zor</t>
        </is>
      </c>
      <c r="F1504" s="5" t="inlineStr"/>
      <c r="G1504" s="6" t="inlineStr"/>
      <c r="H1504" s="6" t="inlineStr">
        <is>
          <t>İki gencin otopark kavgasını çayın ilk yudumunda bitirdin. Birinin arabasını yıkattın, ötekine park ettirdin; mantığını soran olmadı.</t>
        </is>
      </c>
      <c r="I1504" s="6" t="inlineStr">
        <is>
          <t>Kavga bitti, gençler ortak oldu; açtıkları dükkânın adı senin adın. Tabelada bir harf ters; bilerek.</t>
        </is>
      </c>
      <c r="J1504" s="6" t="inlineStr">
        <is>
          <t>Gençler seni dinledi, sonra telefondan bir video açıp kendi aralarında çözdüler. Artık danışman değil, izleyicisin.</t>
        </is>
      </c>
      <c r="K1504" s="6" t="inlineStr">
        <is>
          <t>Araya girerken ikisinin de babasının sana borçlu olduğunu hatırlattın. Kavga bitti; iki aile seni bayram listesinden sildi.</t>
        </is>
      </c>
      <c r="L1504" s="6" t="inlineStr"/>
      <c r="M1504" s="5" t="inlineStr"/>
      <c r="N1504" s="5" t="inlineStr"/>
      <c r="O1504" s="6" t="inlineStr"/>
      <c r="P1504" s="6" t="inlineStr"/>
      <c r="Q1504" s="5" t="inlineStr"/>
      <c r="R1504" s="5" t="inlineStr"/>
      <c r="S1504" s="5" t="inlineStr"/>
      <c r="T1504" s="5" t="inlineStr">
        <is>
          <t>Sözü Senet</t>
        </is>
      </c>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b7-dolandirici-ilan</t>
        </is>
      </c>
      <c r="B1505" s="5" t="n">
        <v>1</v>
      </c>
      <c r="C1505" s="6" t="inlineStr">
        <is>
          <t>İlanı kaldır, eski buzdolabını sat</t>
        </is>
      </c>
      <c r="D1505" s="5" t="inlineStr"/>
      <c r="E1505" s="5" t="inlineStr"/>
      <c r="F1505" s="5" t="inlineStr">
        <is>
          <t>İtibar +1, Akıl +1</t>
        </is>
      </c>
      <c r="G1505" s="6" t="inlineStr">
        <is>
          <t>Manzarayı kaldırıp gerçek buzdolabını koydun. Alıcı kamyonla geldi, buzdolabını aldı, manzaraya da bir kez baktı; bedavaya.</t>
        </is>
      </c>
      <c r="H1505" s="6" t="inlineStr"/>
      <c r="I1505" s="6" t="inlineStr"/>
      <c r="J1505" s="6" t="inlineStr"/>
      <c r="K1505" s="6" t="inlineStr"/>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c r="AJ1505" s="5" t="inlineStr"/>
    </row>
    <row r="1506">
      <c r="A1506" s="5" t="inlineStr">
        <is>
          <t>b7-dolandirici-ilan</t>
        </is>
      </c>
      <c r="B1506" s="5" t="n">
        <v>2</v>
      </c>
      <c r="C1506" s="6" t="inlineStr">
        <is>
          <t>Manzarayı “pazar günleri kiralık” yap</t>
        </is>
      </c>
      <c r="D1506" s="5" t="inlineStr">
        <is>
          <t>Pişkinlik</t>
        </is>
      </c>
      <c r="E1506" s="5" t="inlineStr">
        <is>
          <t>Orta</t>
        </is>
      </c>
      <c r="F1506" s="5" t="inlineStr"/>
      <c r="G1506" s="6" t="inlineStr"/>
      <c r="H1506" s="6" t="inlineStr">
        <is>
          <t>Alıcı her pazar balkonuna gelip bir saat denize bakıyor; parasını peşin ödedi. Çekirdek kabukları senin.</t>
        </is>
      </c>
      <c r="I1506" s="6" t="inlineStr">
        <is>
          <t>Alıcı arkadaşlarına da önerdi; pazar günleri balkonda sıra var. Komşu da kendi balkonunda “benzer manzara” açtı.</t>
        </is>
      </c>
      <c r="J1506" s="6" t="inlineStr">
        <is>
          <t>Alıcı balkona çıktı, denize baktı, sana baktı: “Deniz nerede?” Gösterdin; parmak kadar. Gitti.</t>
        </is>
      </c>
      <c r="K1506" s="6" t="inlineStr">
        <is>
          <t>Alıcı ilanı apartman grubuna attı. Artık sana “Manzaracı” diyorlar; yönetici aidata manzara farkı ekledi.</t>
        </is>
      </c>
      <c r="L1506" s="6" t="inlineStr"/>
      <c r="M1506" s="5" t="inlineStr"/>
      <c r="N1506" s="5" t="inlineStr"/>
      <c r="O1506" s="6" t="inlineStr"/>
      <c r="P1506" s="6" t="inlineStr"/>
      <c r="Q1506" s="5" t="inlineStr"/>
      <c r="R1506" s="5" t="inlineStr"/>
      <c r="S1506" s="5" t="inlineStr"/>
      <c r="T1506" s="5" t="inlineStr"/>
      <c r="U1506" s="5" t="inlineStr"/>
      <c r="V1506" s="5" t="inlineStr"/>
      <c r="W1506" s="5" t="inlineStr">
        <is>
          <t>yalanci</t>
        </is>
      </c>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is>
          <t>Manzaracı</t>
        </is>
      </c>
      <c r="AJ1506" s="5" t="inlineStr"/>
    </row>
    <row r="1507">
      <c r="A1507" s="5" t="inlineStr">
        <is>
          <t>b7-dolandirici-ilan</t>
        </is>
      </c>
      <c r="B1507" s="5" t="n">
        <v>3</v>
      </c>
      <c r="C1507" s="6" t="inlineStr">
        <is>
          <t>Kamyoncuyu başka işe yönlendir</t>
        </is>
      </c>
      <c r="D1507" s="5" t="inlineStr">
        <is>
          <t>Kurnazlık</t>
        </is>
      </c>
      <c r="E1507" s="5" t="inlineStr">
        <is>
          <t>Orta</t>
        </is>
      </c>
      <c r="F1507" s="5" t="inlineStr"/>
      <c r="G1507" s="6" t="inlineStr"/>
      <c r="H1507" s="6" t="inlineStr">
        <is>
          <t>Kamyoncuyu komşunun taşınmasına yönlendirdin. Komşu memnun, kamyoncu memnun; sen aracılık ücretini aldın. İlk dürüst paran.</t>
        </is>
      </c>
      <c r="I1507" s="6" t="inlineStr">
        <is>
          <t>Kamyoncuyla ortak nakliye ilanı açtınız. İş gerçek, kamyon gerçek; bir tek ilandaki adın uydurma.</t>
        </is>
      </c>
      <c r="J1507" s="6" t="inlineStr">
        <is>
          <t>Kamyoncu seni dinlemedi, balkon korkuluğunu ölçmeye başladı. Şerit metreyle peşinden koştun.</t>
        </is>
      </c>
      <c r="K1507" s="6" t="inlineStr">
        <is>
          <t>Kamyoncu manzarayı sökemeyince balkondaki saksıları yükledi. Nakliye ücretini de sen ödedin.</t>
        </is>
      </c>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b7-dolandirici-kurs</t>
        </is>
      </c>
      <c r="B1508" s="5" t="n">
        <v>1</v>
      </c>
      <c r="C1508" s="6" t="inlineStr">
        <is>
          <t>Kürsüye çık: “Kolay para yok”</t>
        </is>
      </c>
      <c r="D1508" s="5" t="inlineStr"/>
      <c r="E1508" s="5" t="inlineStr"/>
      <c r="F1508" s="5" t="inlineStr">
        <is>
          <t>İtibar +1, Cesaret +1</t>
        </is>
      </c>
      <c r="G1508" s="6" t="inlineStr">
        <is>
          <t>“Kolay para yok” dedin, indin. Salon üç saniye sustu, sonra alkışladı; ders buymuş sandılar. Biletleri iade ettin; teyze defterine yalnızca bunu yazdı.</t>
        </is>
      </c>
      <c r="H1508" s="6" t="inlineStr"/>
      <c r="I1508" s="6" t="inlineStr"/>
      <c r="J1508" s="6" t="inlineStr"/>
      <c r="K1508" s="6" t="inlineStr"/>
      <c r="L1508" s="6" t="inlineStr"/>
      <c r="M1508" s="5" t="inlineStr"/>
      <c r="N1508" s="5" t="inlineStr"/>
      <c r="O1508" s="6" t="inlineStr"/>
      <c r="P1508" s="6" t="inlineStr"/>
      <c r="Q1508" s="5" t="inlineStr"/>
      <c r="R1508" s="5" t="inlineStr"/>
      <c r="S1508" s="5" t="inlineStr"/>
      <c r="T1508" s="5" t="inlineStr"/>
      <c r="U1508" s="5" t="inlineStr">
        <is>
          <t>vicdan-sesi</t>
        </is>
      </c>
      <c r="V1508" s="5" t="inlineStr"/>
      <c r="W1508" s="5" t="inlineStr"/>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c r="AJ1508" s="5" t="inlineStr"/>
    </row>
    <row r="1509">
      <c r="A1509" s="5" t="inlineStr">
        <is>
          <t>b7-dolandirici-kurs</t>
        </is>
      </c>
      <c r="B1509" s="5" t="n">
        <v>2</v>
      </c>
      <c r="C1509" s="6" t="inlineStr">
        <is>
          <t>Sahnede motivasyon yağdır</t>
        </is>
      </c>
      <c r="D1509" s="5" t="inlineStr">
        <is>
          <t>Pişkinlik</t>
        </is>
      </c>
      <c r="E1509" s="5" t="inlineStr">
        <is>
          <t>Zor</t>
        </is>
      </c>
      <c r="F1509" s="5" t="inlineStr"/>
      <c r="G1509" s="6" t="inlineStr"/>
      <c r="H1509" s="6" t="inlineStr">
        <is>
          <t>Üç saat konuştun, hiçbir şey söylemedin, herkes not aldı. Çıkışta imza kuyruğu oluştu; imzaladığın şey kendi fotoğrafın.</t>
        </is>
      </c>
      <c r="I1509" s="6" t="inlineStr">
        <is>
          <t>Salon ayağa kalktı, biri “Hocam!” diye bağırdı. Ertesi hafta iki salon kiraladın; ikincisinde sen yoksun, fotoğrafın var.</t>
        </is>
      </c>
      <c r="J1509" s="6" t="inlineStr">
        <is>
          <t>Motivasyon cümleleri bitti, süre bitmedi. Son saati “Soru var mı?” diyerek geçirdin; soru yoktu.</t>
        </is>
      </c>
      <c r="K1509" s="6" t="inlineStr">
        <is>
          <t>Teyze kursu telefonundan canlı yayınladı. Ertesi gün bir haber sitesinde: “Akademinin içi boş çıktı.” Haberin altına ilk yorumu annen yazdı: “Benim çocuğum öyle değildir.”</t>
        </is>
      </c>
      <c r="L1509" s="6" t="inlineStr"/>
      <c r="M1509" s="5" t="inlineStr"/>
      <c r="N1509" s="5" t="inlineStr"/>
      <c r="O1509" s="6" t="inlineStr"/>
      <c r="P1509" s="6" t="inlineStr"/>
      <c r="Q1509" s="5" t="inlineStr"/>
      <c r="R1509" s="5" t="inlineStr"/>
      <c r="S1509" s="5" t="inlineStr"/>
      <c r="T1509" s="5" t="inlineStr">
        <is>
          <t>Sahne Sever</t>
        </is>
      </c>
      <c r="U1509" s="5" t="inlineStr"/>
      <c r="V1509" s="5" t="inlineStr">
        <is>
          <t>kolay-para-gurusu</t>
        </is>
      </c>
      <c r="W1509" s="5" t="inlineStr">
        <is>
          <t>ifsa-oldu</t>
        </is>
      </c>
      <c r="X1509" s="5" t="inlineStr"/>
      <c r="Y1509" s="5" t="inlineStr"/>
      <c r="Z1509" s="6" t="inlineStr"/>
      <c r="AA1509" s="5" t="inlineStr"/>
      <c r="AB1509" s="5" t="inlineStr"/>
      <c r="AC1509" s="5" t="inlineStr"/>
      <c r="AD1509" s="5" t="inlineStr">
        <is>
          <t>Rahat</t>
        </is>
      </c>
      <c r="AE1509" s="5" t="inlineStr"/>
      <c r="AF1509" s="5" t="inlineStr"/>
      <c r="AG1509" s="5" t="inlineStr"/>
      <c r="AH1509" s="5" t="inlineStr"/>
      <c r="AI1509" s="5" t="inlineStr"/>
      <c r="AJ1509" s="5" t="inlineStr"/>
    </row>
    <row r="1510">
      <c r="A1510" s="5" t="inlineStr">
        <is>
          <t>b7-dolandirici-kurs</t>
        </is>
      </c>
      <c r="B1510" s="5" t="n">
        <v>3</v>
      </c>
      <c r="C1510" s="6" t="inlineStr">
        <is>
          <t>Kursu kameraya çekip sat</t>
        </is>
      </c>
      <c r="D1510" s="5" t="inlineStr">
        <is>
          <t>Kurnazlık</t>
        </is>
      </c>
      <c r="E1510" s="5" t="inlineStr">
        <is>
          <t>Orta</t>
        </is>
      </c>
      <c r="F1510" s="5" t="inlineStr"/>
      <c r="G1510" s="6" t="inlineStr"/>
      <c r="H1510" s="6" t="inlineStr">
        <is>
          <t>Kursu kameraya çektin, internetten sattın. Salon kirası yok, teyze yok, soru yok; yorumların hepsi dört yıldız.</t>
        </is>
      </c>
      <c r="I1510" s="6" t="inlineStr">
        <is>
          <t>Video öyle yayıldı ki biri senin kursunu kopyalayıp satmaya başladı. Kolay parayı senden kolayca aldı.</t>
        </is>
      </c>
      <c r="J1510" s="6" t="inlineStr">
        <is>
          <t>Çekim sırasında pankartın yarısı düştü; geriye “Para Akademisi” kaldı. Fazla ciddi durdu, satmadı.</t>
        </is>
      </c>
      <c r="K1510" s="6" t="inlineStr">
        <is>
          <t>Kamerayı ters tuttun. Üç saatlik kursun tamamı tavan. Yorumlar tavanı beğendi.</t>
        </is>
      </c>
      <c r="L1510" s="6" t="inlineStr"/>
      <c r="M1510" s="5" t="inlineStr"/>
      <c r="N1510" s="5" t="inlineStr"/>
      <c r="O1510" s="6" t="inlineStr"/>
      <c r="P1510" s="6" t="inlineStr"/>
      <c r="Q1510" s="5" t="inlineStr"/>
      <c r="R1510" s="5" t="inlineStr"/>
      <c r="S1510" s="5" t="inlineStr"/>
      <c r="T1510" s="5" t="inlineStr"/>
      <c r="U1510" s="5" t="inlineStr"/>
      <c r="V1510" s="5" t="inlineStr">
        <is>
          <t>kolay-para-gurusu</t>
        </is>
      </c>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4</v>
      </c>
      <c r="C1511" s="6" t="inlineStr">
        <is>
          <t>Ara verip teyzeyle konuş</t>
        </is>
      </c>
      <c r="D1511" s="5" t="inlineStr">
        <is>
          <t>Sosyal Radar</t>
        </is>
      </c>
      <c r="E1511" s="5" t="inlineStr">
        <is>
          <t>Orta</t>
        </is>
      </c>
      <c r="F1511" s="5" t="inlineStr"/>
      <c r="G1511" s="6" t="inlineStr"/>
      <c r="H1511" s="6" t="inlineStr">
        <is>
          <t>Teyze, telefonu kapattığın emekli öğretmenin arkadaşıymış: “O seni anlatmıştı.” Kursu yarıda kesip teyzeye çay ısmarladın.</t>
        </is>
      </c>
      <c r="I1511" s="6" t="inlineStr">
        <is>
          <t>Teyze kürsüye çıkıp salona gerçek bir birikim dersi verdi. Sen arka sırada not aldın; ilk kez.</t>
        </is>
      </c>
      <c r="J1511" s="6" t="inlineStr">
        <is>
          <t>Teyzeyle konuştun ama salon bekliyordu. Kürsüye döndüğünde ne diyeceğini unutmuştun; kimse fark etmedi.</t>
        </is>
      </c>
      <c r="K1511" s="6" t="inlineStr">
        <is>
          <t>Teyze seni tanıdı, ayağa kalktı: “Sen o telefondaki çocuksun!” Salona döndü: “Arkadaşımı dolandıracaktı, son anda vazgeçti.” Salonun yarısı “Aferin” dedi, yarısı biletini geri istedi. Hepsi aynı anda.</t>
        </is>
      </c>
      <c r="L1511" s="6" t="inlineStr"/>
      <c r="M1511" s="5" t="inlineStr"/>
      <c r="N1511" s="5" t="inlineStr"/>
      <c r="O1511" s="6" t="inlineStr"/>
      <c r="P1511" s="6" t="inlineStr"/>
      <c r="Q1511" s="5" t="inlineStr"/>
      <c r="R1511" s="5" t="inlineStr">
        <is>
          <t>vicdan-sesi</t>
        </is>
      </c>
      <c r="S1511" s="5" t="inlineStr"/>
      <c r="T1511" s="5" t="inlineStr"/>
      <c r="U1511" s="5" t="inlineStr"/>
      <c r="V1511" s="5" t="inlineStr"/>
      <c r="W1511" s="5" t="inlineStr"/>
      <c r="X1511" s="5" t="inlineStr"/>
      <c r="Y1511" s="5" t="inlineStr"/>
      <c r="Z1511" s="6" t="inlineStr"/>
      <c r="AA1511" s="5" t="inlineStr"/>
      <c r="AB1511" s="5" t="inlineStr"/>
      <c r="AC1511" s="5" t="inlineStr"/>
      <c r="AD1511" s="5" t="inlineStr"/>
      <c r="AE1511" s="5" t="inlineStr"/>
      <c r="AF1511" s="5" t="inlineStr"/>
      <c r="AG1511" s="5" t="inlineStr"/>
      <c r="AH1511" s="5" t="inlineStr"/>
      <c r="AI1511" s="5" t="inlineStr"/>
      <c r="AJ1511" s="5" t="inlineStr"/>
    </row>
    <row r="1512">
      <c r="A1512" s="5" t="inlineStr">
        <is>
          <t>b7-dolandirici-kulup</t>
        </is>
      </c>
      <c r="B1512" s="5" t="n">
        <v>1</v>
      </c>
      <c r="C1512" s="6" t="inlineStr">
        <is>
          <t>Kulübü dağıt, kasayı paylaştır</t>
        </is>
      </c>
      <c r="D1512" s="5" t="inlineStr"/>
      <c r="E1512" s="5" t="inlineStr"/>
      <c r="F1512" s="5" t="inlineStr">
        <is>
          <t>İtibar +1, Akıl +1</t>
        </is>
      </c>
      <c r="G1512" s="6" t="inlineStr">
        <is>
          <t>Kasadakini üyelere paylaştırdın; herkese biraz eksik düştü. Kulüp dağıldı, mesaj grubu dağılmadı. Her sabah biri “Günaydın” yazıyor.</t>
        </is>
      </c>
      <c r="H1512" s="6" t="inlineStr"/>
      <c r="I1512" s="6" t="inlineStr"/>
      <c r="J1512" s="6" t="inlineStr"/>
      <c r="K1512" s="6" t="inlineStr"/>
      <c r="L1512" s="6" t="inlineStr"/>
      <c r="M1512" s="5" t="inlineStr"/>
      <c r="N1512" s="5" t="inlineStr"/>
      <c r="O1512" s="6" t="inlineStr"/>
      <c r="P1512" s="6" t="inlineStr"/>
      <c r="Q1512" s="5" t="inlineStr"/>
      <c r="R1512" s="5" t="inlineStr"/>
      <c r="S1512" s="5" t="inlineStr"/>
      <c r="T1512" s="5" t="inlineStr"/>
      <c r="U1512" s="5" t="inlineStr">
        <is>
          <t>paralari-iade</t>
        </is>
      </c>
      <c r="V1512" s="5" t="inlineStr"/>
      <c r="W1512" s="5" t="inlineStr"/>
      <c r="X1512" s="5" t="inlineStr"/>
      <c r="Y1512" s="5" t="inlineStr"/>
      <c r="Z1512" s="6" t="inlineStr"/>
      <c r="AA1512" s="5" t="inlineStr"/>
      <c r="AB1512" s="5" t="inlineStr"/>
      <c r="AC1512" s="5" t="inlineStr"/>
      <c r="AD1512" s="5" t="inlineStr"/>
      <c r="AE1512" s="5" t="inlineStr"/>
      <c r="AF1512" s="5" t="n">
        <v>1</v>
      </c>
      <c r="AG1512" s="5" t="inlineStr"/>
      <c r="AH1512" s="5" t="inlineStr"/>
      <c r="AI1512" s="5" t="inlineStr"/>
      <c r="AJ1512" s="5" t="inlineStr"/>
    </row>
    <row r="1513">
      <c r="A1513" s="5" t="inlineStr">
        <is>
          <t>b7-dolandirici-kulup</t>
        </is>
      </c>
      <c r="B1513" s="5" t="n">
        <v>2</v>
      </c>
      <c r="C1513" s="6" t="inlineStr">
        <is>
          <t>Peçeteyi büyük ekrana yansıt</t>
        </is>
      </c>
      <c r="D1513" s="5" t="inlineStr">
        <is>
          <t>Pişkinlik</t>
        </is>
      </c>
      <c r="E1513" s="5" t="inlineStr">
        <is>
          <t>Orta</t>
        </is>
      </c>
      <c r="F1513" s="5" t="inlineStr"/>
      <c r="G1513" s="6" t="inlineStr"/>
      <c r="H1513" s="6" t="inlineStr">
        <is>
          <t>Peçete dev ekranda bir yatırım tablosuna benzedi. Üyeler güneşe bakıp ikna oldu; toplantı alkışla bitti.</t>
        </is>
      </c>
      <c r="I1513" s="6" t="inlineStr">
        <is>
          <t>Üyelerden biri peçeteyi çerçevelemek için satın aldı. Kulübün bu ayki tek kârı buydu ve fena değildi.</t>
        </is>
      </c>
      <c r="J1513" s="6" t="inlineStr">
        <is>
          <t>Ekran peçetenin arkasını gösterdi: kafenin adı ve bir telefon numarası. Numarayı birkaç kişi kaydetti.</t>
        </is>
      </c>
      <c r="K1513" s="6" t="inlineStr">
        <is>
          <t>Peçetenin köşesinde alışveriş listen vardı. En alttaki satır: “Bavul.” Altı çizili.</t>
        </is>
      </c>
      <c r="L1513" s="6" t="inlineStr"/>
      <c r="M1513" s="5" t="inlineStr"/>
      <c r="N1513" s="5" t="inlineStr"/>
      <c r="O1513" s="6" t="inlineStr"/>
      <c r="P1513" s="6" t="inlineStr"/>
      <c r="Q1513" s="5" t="inlineStr"/>
      <c r="R1513" s="5" t="inlineStr"/>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3</v>
      </c>
      <c r="C1514" s="6" t="inlineStr">
        <is>
          <t>Büyük bir “yeni fırsat” duyur</t>
        </is>
      </c>
      <c r="D1514" s="5" t="inlineStr">
        <is>
          <t>Kurnazlık</t>
        </is>
      </c>
      <c r="E1514" s="5" t="inlineStr">
        <is>
          <t>Zor</t>
        </is>
      </c>
      <c r="F1514" s="5" t="inlineStr"/>
      <c r="G1514" s="6" t="inlineStr"/>
      <c r="H1514" s="6" t="inlineStr">
        <is>
          <t>Yeni fırsatın adını söyledin; ne olduğunu kimse sormadı, herkes katıldı. Toplantı bitmeden kulübün adı “Altın Dal” oldu.</t>
        </is>
      </c>
      <c r="I1514" s="6" t="inlineStr">
        <is>
          <t>Kafenin sahibi de üye oldu; toplantıların çayı artık bedava. Kulüp büyüdü; neden büyüdüğünü kimse sormuyor.</t>
        </is>
      </c>
      <c r="J1514" s="6" t="inlineStr">
        <is>
          <t>“Yeni fırsat” dediğin anda garson “Bu ay üçüncü” dedi. Üyeler dağıldı; hesap sana kaldı.</t>
        </is>
      </c>
      <c r="K1514" s="6" t="inlineStr">
        <is>
          <t>“Yeni fırsat” dediğin anda üyelerden birinin annesi ayağa kalktı: “Oğlum, bu bizim bakkala da aynı fırsatı anlattı.” Bakkal da üyeymiş; şikâyetçi de o. Bir sonraki toplantı adliye koridorunda.</t>
        </is>
      </c>
      <c r="L1514" s="6" t="inlineStr"/>
      <c r="M1514" s="5" t="inlineStr"/>
      <c r="N1514" s="5" t="inlineStr"/>
      <c r="O1514" s="6" t="inlineStr"/>
      <c r="P1514" s="6" t="inlineStr"/>
      <c r="Q1514" s="5" t="inlineStr"/>
      <c r="R1514" s="5" t="inlineStr"/>
      <c r="S1514" s="5" t="inlineStr"/>
      <c r="T1514" s="5" t="inlineStr">
        <is>
          <t>Tablo Ustası</t>
        </is>
      </c>
      <c r="U1514" s="5" t="inlineStr"/>
      <c r="V1514" s="5" t="inlineStr"/>
      <c r="W1514" s="5" t="inlineStr">
        <is>
          <t>hapis</t>
        </is>
      </c>
      <c r="X1514" s="5" t="inlineStr"/>
      <c r="Y1514" s="5" t="inlineStr"/>
      <c r="Z1514" s="6" t="inlineStr"/>
      <c r="AA1514" s="5" t="inlineStr"/>
      <c r="AB1514" s="5" t="inlineStr"/>
      <c r="AC1514" s="5" t="inlineStr"/>
      <c r="AD1514" s="5" t="inlineStr">
        <is>
          <t>Rahat</t>
        </is>
      </c>
      <c r="AE1514" s="5" t="inlineStr"/>
      <c r="AF1514" s="5" t="inlineStr"/>
      <c r="AG1514" s="5" t="inlineStr"/>
      <c r="AH1514" s="5" t="inlineStr"/>
      <c r="AI1514" s="5" t="inlineStr"/>
      <c r="AJ1514" s="5" t="inlineStr"/>
    </row>
    <row r="1515">
      <c r="A1515" s="5" t="inlineStr">
        <is>
          <t>b8-dolandirici-kitap</t>
        </is>
      </c>
      <c r="B1515" s="5" t="n">
        <v>1</v>
      </c>
      <c r="C1515" s="6" t="inlineStr">
        <is>
          <t>Boş sayfaları “düşünme alanı” diye anlat</t>
        </is>
      </c>
      <c r="D1515" s="5" t="inlineStr"/>
      <c r="E1515" s="5" t="inlineStr"/>
      <c r="F1515" s="5" t="inlineStr">
        <is>
          <t>Pişkinlik +1, Çene +1</t>
        </is>
      </c>
      <c r="G1515" s="6" t="inlineStr">
        <is>
          <t>“O sayfalar okurun kendi yolu” dedin. Sunucu etkilendi, kitap ikinci baskıya girdi. İkinci baskıda boş sayfa sayısı arttı.</t>
        </is>
      </c>
      <c r="H1515" s="6" t="inlineStr"/>
      <c r="I1515" s="6" t="inlineStr"/>
      <c r="J1515" s="6" t="inlineStr"/>
      <c r="K1515" s="6" t="inlineStr"/>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b8-dolandirici-kitap</t>
        </is>
      </c>
      <c r="B1516" s="5" t="n">
        <v>2</v>
      </c>
      <c r="C1516" s="6" t="inlineStr">
        <is>
          <t>Yedi yolu canlı yayında uydur</t>
        </is>
      </c>
      <c r="D1516" s="5" t="inlineStr">
        <is>
          <t>Çene</t>
        </is>
      </c>
      <c r="E1516" s="5" t="inlineStr">
        <is>
          <t>Orta</t>
        </is>
      </c>
      <c r="F1516" s="5" t="inlineStr"/>
      <c r="G1516" s="6" t="inlineStr"/>
      <c r="H1516" s="6" t="inlineStr">
        <is>
          <t>Yedi yolu tek tek uydurdun; beşincide sunucu not almaya başladı. Yeni baskıda o yollar var, senin bile hatırlamadığın.</t>
        </is>
      </c>
      <c r="I1516" s="6" t="inlineStr">
        <is>
          <t>Uydurduğun yedinci yol “Erken kalk” oldu. İzleyiciler sabah beşte uyanmaya başladı; kitap tükendi.</t>
        </is>
      </c>
      <c r="J1516" s="6" t="inlineStr">
        <is>
          <t>Üçüncü yolda takıldın, dördüncüyü birincinin tekrarı yaptın. Sunucu “Yedi değil, üç” diye özetledi.</t>
        </is>
      </c>
      <c r="K1516" s="6" t="inlineStr">
        <is>
          <t>Yollardan biri “Borç al, sonra düşün” oldu. Yayından sonra bankalar kitabı tavsiye etti; okurlar etmedi.</t>
        </is>
      </c>
      <c r="L1516" s="6" t="inlineStr"/>
      <c r="M1516" s="5" t="inlineStr"/>
      <c r="N1516" s="5" t="inlineStr"/>
      <c r="O1516" s="6" t="inlineStr"/>
      <c r="P1516" s="6" t="inlineStr"/>
      <c r="Q1516" s="5" t="inlineStr"/>
      <c r="R1516" s="5" t="inlineStr"/>
      <c r="S1516" s="5" t="inlineStr"/>
      <c r="T1516" s="5" t="inlineStr"/>
      <c r="U1516" s="5" t="inlineStr"/>
      <c r="V1516" s="5" t="inlineStr"/>
      <c r="W1516" s="5" t="inlineStr"/>
      <c r="X1516" s="5" t="inlineStr"/>
      <c r="Y1516" s="5" t="inlineStr"/>
      <c r="Z1516" s="6" t="inlineStr"/>
      <c r="AA1516" s="5" t="inlineStr"/>
      <c r="AB1516" s="5" t="inlineStr"/>
      <c r="AC1516" s="5" t="inlineStr"/>
      <c r="AD1516" s="5" t="inlineStr"/>
      <c r="AE1516" s="5" t="inlineStr"/>
      <c r="AF1516" s="5" t="inlineStr"/>
      <c r="AG1516" s="5" t="inlineStr"/>
      <c r="AH1516" s="5" t="inlineStr"/>
      <c r="AI1516" s="5" t="inlineStr"/>
      <c r="AJ1516" s="5" t="inlineStr"/>
    </row>
    <row r="1517">
      <c r="A1517" s="5" t="inlineStr">
        <is>
          <t>b8-dolandirici-kitap</t>
        </is>
      </c>
      <c r="B1517" s="5" t="n">
        <v>3</v>
      </c>
      <c r="C1517" s="6" t="inlineStr">
        <is>
          <t>Reklam arasında sunucuya kurs sat</t>
        </is>
      </c>
      <c r="D1517" s="5" t="inlineStr">
        <is>
          <t>Kurnazlık</t>
        </is>
      </c>
      <c r="E1517" s="5" t="inlineStr">
        <is>
          <t>Orta</t>
        </is>
      </c>
      <c r="F1517" s="5" t="inlineStr"/>
      <c r="G1517" s="6" t="inlineStr"/>
      <c r="H1517" s="6" t="inlineStr">
        <is>
          <t>Reklam arasında sunucuya kursu anlattın; ertesi gün kayıt oldu. Programın bütün ekibi artık öğrencin, kameraman hariç.</t>
        </is>
      </c>
      <c r="I1517" s="6" t="inlineStr">
        <is>
          <t>Sunucu kursu kendi programında övdü. Kameraman da kaydoldu; artık kimse çekmiyor.</t>
        </is>
      </c>
      <c r="J1517" s="6" t="inlineStr">
        <is>
          <t>Sunucu dinledi, “Bizim kanalın da böyle bir kursu var” dedi. Onunki daha pahalıymış.</t>
        </is>
      </c>
      <c r="K1517" s="6" t="inlineStr">
        <is>
          <t>Reklam arası sandığın an canlı yayındaymış. Kursun fiyatını bütün ülke duydu; kayıt olan tek kişi annen.</t>
        </is>
      </c>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4</v>
      </c>
      <c r="C1518" s="6" t="inlineStr">
        <is>
          <t>Canlı yayında itiraf et</t>
        </is>
      </c>
      <c r="D1518" s="5" t="inlineStr">
        <is>
          <t>Cesaret</t>
        </is>
      </c>
      <c r="E1518" s="5" t="inlineStr">
        <is>
          <t>Zor</t>
        </is>
      </c>
      <c r="F1518" s="5" t="inlineStr"/>
      <c r="G1518" s="6" t="inlineStr"/>
      <c r="H1518" s="6" t="inlineStr">
        <is>
          <t>“Kolay para yok, kitap da boş” dedin. Stüdyo sustu, telefonlar kilitlendi. Ertesi hafta satışları iade ettin; kitap koleksiyon parçası oldu.</t>
        </is>
      </c>
      <c r="I1518" s="6" t="inlineStr">
        <is>
          <t>İtirafın günün en çok izlenen anı oldu. Sunucu seni her hafta “dürüstlük köşesi”ne çağırıyor; ilk kez gerçek bir işin var.</t>
        </is>
      </c>
      <c r="J1518" s="6" t="inlineStr">
        <is>
          <t>İtirafa başladın, reklam girdi. Dönüşte sunucu konuyu hava durumuna bağladı.</t>
        </is>
      </c>
      <c r="K1518" s="6" t="inlineStr">
        <is>
          <t>Sunucu itirafını da bir satış tekniği sandı. Üçüncü baskıya “İtiraf Bölümü” eklendi; o da boş.</t>
        </is>
      </c>
      <c r="L1518" s="6" t="inlineStr"/>
      <c r="M1518" s="5" t="inlineStr"/>
      <c r="N1518" s="5" t="inlineStr"/>
      <c r="O1518" s="6" t="inlineStr"/>
      <c r="P1518" s="6" t="inlineStr"/>
      <c r="Q1518" s="5" t="inlineStr"/>
      <c r="R1518" s="5" t="inlineStr">
        <is>
          <t>vicdan-sesi</t>
        </is>
      </c>
      <c r="S1518" s="5" t="inlineStr"/>
      <c r="T1518" s="5" t="inlineStr">
        <is>
          <t>Kendine Gülebilir</t>
        </is>
      </c>
      <c r="U1518" s="5" t="inlineStr"/>
      <c r="V1518" s="5" t="inlineStr">
        <is>
          <t>paralari-iade</t>
        </is>
      </c>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b8-dolandirici-mektup</t>
        </is>
      </c>
      <c r="B1519" s="5" t="n">
        <v>1</v>
      </c>
      <c r="C1519" s="6" t="inlineStr">
        <is>
          <t>Dürüst bir cevap yaz</t>
        </is>
      </c>
      <c r="D1519" s="5" t="inlineStr"/>
      <c r="E1519" s="5" t="inlineStr"/>
      <c r="F1519" s="5" t="inlineStr">
        <is>
          <t>İtibar +2</t>
        </is>
      </c>
      <c r="G1519" s="6" t="inlineStr">
        <is>
          <t>İki sayfa yazdın, üç kez yırttın, dördüncüyü gönderdin. Cevap bir hafta sonra geldi: “Hiç geç değil.” Altında bir reçel tarifi.</t>
        </is>
      </c>
      <c r="H1519" s="6" t="inlineStr"/>
      <c r="I1519" s="6" t="inlineStr"/>
      <c r="J1519" s="6" t="inlineStr"/>
      <c r="K1519" s="6" t="inlineStr"/>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b8-dolandirici-mektup</t>
        </is>
      </c>
      <c r="B1520" s="5" t="n">
        <v>2</v>
      </c>
      <c r="C1520" s="6" t="inlineStr">
        <is>
          <t>Herkese parasını geri öde</t>
        </is>
      </c>
      <c r="D1520" s="5" t="inlineStr">
        <is>
          <t>İtibar</t>
        </is>
      </c>
      <c r="E1520" s="5" t="inlineStr">
        <is>
          <t>Orta</t>
        </is>
      </c>
      <c r="F1520" s="5" t="inlineStr"/>
      <c r="G1520" s="6" t="inlineStr"/>
      <c r="H1520" s="6" t="inlineStr">
        <is>
          <t>Eski defterlerden isimleri tek tek buldun, parayı tek tek gönderdin. Hesabın boşaldı; telefonun ilk kez sevinçle çalıyor.</t>
        </is>
      </c>
      <c r="I1520" s="6" t="inlineStr">
        <is>
          <t>Parasını geri alanlardan biri seni işe çağırdı: gerçek bir danışmanlık bürosu. Maaş az ama kimse seni haber sitesinde aramıyor.</t>
        </is>
      </c>
      <c r="J1520" s="6" t="inlineStr">
        <is>
          <t>İsimlerin yarısını buldun; yarısı taşınmış. Kalan paralar bir zarfta, çekmecende. Her gece zarfa bakıp öyle yatıyorsun.</t>
        </is>
      </c>
      <c r="K1520" s="6" t="inlineStr">
        <is>
          <t>İade için açtığın hesabı biri sahte sanıp ihbar etti. Hayatının ilk dürüst işini anlatmak için karakolda üç saat oturdun.</t>
        </is>
      </c>
      <c r="L1520" s="6" t="inlineStr"/>
      <c r="M1520" s="5" t="inlineStr"/>
      <c r="N1520" s="5" t="inlineStr"/>
      <c r="O1520" s="6" t="inlineStr"/>
      <c r="P1520" s="6" t="inlineStr"/>
      <c r="Q1520" s="5" t="inlineStr"/>
      <c r="R1520" s="5" t="inlineStr"/>
      <c r="S1520" s="5" t="inlineStr"/>
      <c r="T1520" s="5" t="inlineStr"/>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n">
        <v>1</v>
      </c>
      <c r="AG1520" s="5" t="inlineStr"/>
      <c r="AH1520" s="5" t="inlineStr"/>
      <c r="AI1520" s="5" t="inlineStr"/>
      <c r="AJ1520" s="5" t="inlineStr"/>
    </row>
    <row r="1521">
      <c r="A1521" s="5" t="inlineStr">
        <is>
          <t>b8-dolandirici-mektup</t>
        </is>
      </c>
      <c r="B1521" s="5" t="n">
        <v>3</v>
      </c>
      <c r="C1521" s="6" t="inlineStr">
        <is>
          <t>Öğretmene yeni bir “fırsat” gönder</t>
        </is>
      </c>
      <c r="D1521" s="5" t="inlineStr">
        <is>
          <t>Pişkinlik</t>
        </is>
      </c>
      <c r="E1521" s="5" t="inlineStr">
        <is>
          <t>Zor</t>
        </is>
      </c>
      <c r="F1521" s="5" t="inlineStr"/>
      <c r="G1521" s="6" t="inlineStr"/>
      <c r="H1521" s="6" t="inlineStr">
        <is>
          <t>Cevabına bir broşür ekledin. Öğretmen yazmadı; komşusu aradı, broşürü emekliler kahvesinde dağıtmış. Telefonu kapatınca zarftaki fotoğrafla göz göze geldin, öğretmen ve torunu. Fotoğrafı ters çevirdin.</t>
        </is>
      </c>
      <c r="I1521" s="6" t="inlineStr">
        <is>
          <t>Broşür emekliler derneğine kadar ulaştı. Ayın rekoru kırıldı; mektubu çekmeceye kilitledin, açmıyorsun.</t>
        </is>
      </c>
      <c r="J1521" s="6" t="inlineStr">
        <is>
          <t>Öğretmen broşürü geri gönderdi; kırmızı kalemle düzeltilmiş. Üç yazım hatası ve bir “Yazıklar olsun.”</t>
        </is>
      </c>
      <c r="K1521" s="6" t="inlineStr">
        <is>
          <t>Öğretmen broşürü doğrudan savcılığa göndermiş, kırmızı kalemle düzelterek. Dosyada imla hataların da var.</t>
        </is>
      </c>
      <c r="L1521" s="6" t="inlineStr"/>
      <c r="M1521" s="5" t="inlineStr"/>
      <c r="N1521" s="5" t="inlineStr"/>
      <c r="O1521" s="6" t="inlineStr"/>
      <c r="P1521" s="6" t="inlineStr"/>
      <c r="Q1521" s="5" t="inlineStr"/>
      <c r="R1521" s="5" t="inlineStr"/>
      <c r="S1521" s="5" t="inlineStr"/>
      <c r="T1521" s="5" t="inlineStr"/>
      <c r="U1521" s="5" t="inlineStr"/>
      <c r="V1521" s="5" t="inlineStr"/>
      <c r="W1521" s="5" t="inlineStr">
        <is>
          <t>hapis</t>
        </is>
      </c>
      <c r="X1521" s="5" t="inlineStr"/>
      <c r="Y1521" s="5" t="inlineStr"/>
      <c r="Z1521" s="6" t="inlineStr"/>
      <c r="AA1521" s="5" t="inlineStr"/>
      <c r="AB1521" s="5" t="inlineStr"/>
      <c r="AC1521" s="5" t="inlineStr"/>
      <c r="AD1521" s="5" t="inlineStr">
        <is>
          <t>Rahat</t>
        </is>
      </c>
      <c r="AE1521" s="5" t="inlineStr"/>
      <c r="AF1521" s="5" t="inlineStr"/>
      <c r="AG1521" s="5" t="inlineStr"/>
      <c r="AH1521" s="5" t="inlineStr"/>
      <c r="AI1521" s="5" t="inlineStr"/>
      <c r="AJ1521" s="5" t="inlineStr"/>
    </row>
    <row r="1522">
      <c r="A1522" s="5" t="inlineStr">
        <is>
          <t>b9-dolandirici-son-numara</t>
        </is>
      </c>
      <c r="B1522" s="5" t="n">
        <v>1</v>
      </c>
      <c r="C1522" s="6" t="inlineStr">
        <is>
          <t>Kremin satıcısını kenara çekip uyar</t>
        </is>
      </c>
      <c r="D1522" s="5" t="inlineStr"/>
      <c r="E1522" s="5" t="inlineStr"/>
      <c r="F1522" s="5" t="inlineStr">
        <is>
          <t>İtibar +1, Sosyal Radar +1</t>
        </is>
      </c>
      <c r="G1522" s="6" t="inlineStr">
        <is>
          <t>Satıcıyı kenara çektin: 'Bu işi senden önce ben yaptım, sonunu da gördüm.' Kavanozlarını topladı; giderken sana bir tane hediye bıraktı.</t>
        </is>
      </c>
      <c r="H1522" s="6" t="inlineStr"/>
      <c r="I1522" s="6" t="inlineStr"/>
      <c r="J1522" s="6" t="inlineStr"/>
      <c r="K1522" s="6" t="inlineStr"/>
      <c r="L1522" s="6" t="inlineStr"/>
      <c r="M1522" s="5" t="inlineStr"/>
      <c r="N1522" s="5" t="inlineStr"/>
      <c r="O1522" s="6" t="inlineStr"/>
      <c r="P1522" s="6" t="inlineStr"/>
      <c r="Q1522" s="5" t="inlineStr"/>
      <c r="R1522" s="5" t="inlineStr"/>
      <c r="S1522" s="5" t="inlineStr"/>
      <c r="T1522" s="5" t="inlineStr"/>
      <c r="U1522" s="5" t="inlineStr"/>
      <c r="V1522" s="5" t="inlineStr"/>
      <c r="W1522" s="5" t="inlineStr"/>
      <c r="X1522" s="5" t="inlineStr"/>
      <c r="Y1522" s="5" t="inlineStr"/>
      <c r="Z1522" s="6" t="inlineStr"/>
      <c r="AA1522" s="5" t="inlineStr"/>
      <c r="AB1522" s="5" t="inlineStr"/>
      <c r="AC1522" s="5" t="inlineStr"/>
      <c r="AD1522" s="5" t="inlineStr"/>
      <c r="AE1522" s="5" t="inlineStr"/>
      <c r="AF1522" s="5" t="inlineStr"/>
      <c r="AG1522" s="5" t="inlineStr"/>
      <c r="AH1522" s="5" t="inlineStr"/>
      <c r="AI1522" s="5" t="inlineStr"/>
      <c r="AJ1522" s="5" t="inlineStr"/>
    </row>
    <row r="1523">
      <c r="A1523" s="5" t="inlineStr">
        <is>
          <t>b9-dolandirici-son-numara</t>
        </is>
      </c>
      <c r="B1523" s="5" t="n">
        <v>2</v>
      </c>
      <c r="C1523" s="6" t="inlineStr">
        <is>
          <t>Emeklilere bu işlerin sonunu anlat</t>
        </is>
      </c>
      <c r="D1523" s="5" t="inlineStr">
        <is>
          <t>Çene</t>
        </is>
      </c>
      <c r="E1523" s="5" t="inlineStr">
        <is>
          <t>Orta</t>
        </is>
      </c>
      <c r="F1523" s="5" t="inlineStr"/>
      <c r="G1523" s="6" t="inlineStr"/>
      <c r="H1523" s="6" t="inlineStr">
        <is>
          <t>Hiçbir numaranın nasıl yapıldığını değil, nasıl bittiğini anlattın. Emekliler krem yerine simit aldı.</t>
        </is>
      </c>
      <c r="I1523" s="6" t="inlineStr">
        <is>
          <t>Her salı bankta 'Dikkat Et' sohbeti yapıyorsun. Hayatının ilk dürüst semineri: bilet yok, simit var, dinleyici bankın iki ucundan taşıyor.</t>
        </is>
      </c>
      <c r="J1523" s="6" t="inlineStr">
        <is>
          <t>Anlatırken araya kendi başarılarını da kattın. Emekliler kremi aldı; senin tavsiyenle sandılar.</t>
        </is>
      </c>
      <c r="K1523" s="6" t="inlineStr">
        <is>
          <t>Öyle parladın ki biri sana para uzattı: “Hocam, bizi de bir kulübe yaz.” Kulüp yok; bekleyen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c r="X1523" s="5" t="inlineStr"/>
      <c r="Y1523" s="5" t="inlineStr"/>
      <c r="Z1523" s="6" t="inlineStr"/>
      <c r="AA1523" s="5" t="inlineStr"/>
      <c r="AB1523" s="5" t="inlineStr"/>
      <c r="AC1523" s="5" t="inlineStr"/>
      <c r="AD1523" s="5" t="inlineStr"/>
      <c r="AE1523" s="5" t="inlineStr"/>
      <c r="AF1523" s="5" t="inlineStr"/>
      <c r="AG1523" s="5" t="inlineStr"/>
      <c r="AH1523" s="5" t="inlineStr"/>
      <c r="AI1523" s="5" t="inlineStr"/>
      <c r="AJ1523" s="5" t="inlineStr"/>
    </row>
    <row r="1524">
      <c r="A1524" s="5" t="inlineStr">
        <is>
          <t>b9-dolandirici-son-numara</t>
        </is>
      </c>
      <c r="B1524" s="5" t="n">
        <v>3</v>
      </c>
      <c r="C1524" s="6" t="inlineStr">
        <is>
          <t>Kremi satıcıya geri sat</t>
        </is>
      </c>
      <c r="D1524" s="5" t="inlineStr">
        <is>
          <t>Kurnazlık</t>
        </is>
      </c>
      <c r="E1524" s="5" t="inlineStr">
        <is>
          <t>Zor</t>
        </is>
      </c>
      <c r="F1524" s="5" t="inlineStr"/>
      <c r="G1524" s="6" t="inlineStr"/>
      <c r="H1524" s="6" t="inlineStr">
        <is>
          <t>Satıcının kavanozlarını ucuza alıp ona pahalıya geri sattın. Emekliler alkışladı; kavanozlar hiç açılmadı.</t>
        </is>
      </c>
      <c r="I1524" s="6" t="inlineStr">
        <is>
          <t>Satıcı kavanozları geri alırken senden kurs istedi. Kabul etmedin; kariyerindeki ilk ret.</t>
        </is>
      </c>
      <c r="J1524" s="6" t="inlineStr">
        <is>
          <t>Satıcı pazarlığı anladı, kavanozları sana bıraktı. Balkonunda kırk kavanoz krem var.</t>
        </is>
      </c>
      <c r="K1524" s="6" t="inlineStr">
        <is>
          <t>Pazarlıkta bir kavanozu denedin. Yüzün yeşerdi; emekliler bunu gençlik belirtisi sanıp sıraya girdi.</t>
        </is>
      </c>
      <c r="L1524" s="6" t="inlineStr"/>
      <c r="M1524" s="5" t="inlineStr"/>
      <c r="N1524" s="5" t="inlineStr"/>
      <c r="O1524" s="6" t="inlineStr"/>
      <c r="P1524" s="6" t="inlineStr"/>
      <c r="Q1524" s="5" t="inlineStr"/>
      <c r="R1524" s="5" t="inlineStr"/>
      <c r="S1524" s="5" t="inlineStr"/>
      <c r="T1524" s="5" t="inlineStr">
        <is>
          <t>Pazarlık Duayeni</t>
        </is>
      </c>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k10-cete</t>
        </is>
      </c>
      <c r="B1525" s="5" t="n">
        <v>1</v>
      </c>
      <c r="C1525" s="6" t="inlineStr">
        <is>
          <t>Büyük işi yap</t>
        </is>
      </c>
      <c r="D1525" s="5" t="inlineStr">
        <is>
          <t>Cesaret</t>
        </is>
      </c>
      <c r="E1525" s="5" t="inlineStr">
        <is>
          <t>Zor</t>
        </is>
      </c>
      <c r="F1525" s="5" t="inlineStr"/>
      <c r="G1525" s="6" t="inlineStr"/>
      <c r="H1525" s="6" t="inlineStr">
        <is>
          <t>İş bitti; nasıl bittiğini kimse anlatmıyor, sen de. Ertesi sabah kahvede senin çayın herkesinkinden önce geldi. Mahalle artık senin.</t>
        </is>
      </c>
      <c r="I1525" s="6" t="inlineStr">
        <is>
          <t>İş öyle temiz bitti ki abi bile nasıl olduğunu sordu. Söylemedin. Mahallenin anahtarı sende; abinin yedeği de.</t>
        </is>
      </c>
      <c r="J1525" s="6" t="inlineStr">
        <is>
          <t>Kapıda bir ekip bekliyordu; haritayı ters tuttuğunu görünce güldüler. Gülüşleri de tutanağa girdi.</t>
        </is>
      </c>
      <c r="K1525" s="6" t="inlineStr">
        <is>
          <t>Baskın sabah altıda geldi. Kapıyı elinde köpük hortumuyla açtın. Tutanakta: “Direnme yok, köpük var.”</t>
        </is>
      </c>
      <c r="L1525" s="6" t="inlineStr"/>
      <c r="M1525" s="5" t="inlineStr"/>
      <c r="N1525" s="5" t="inlineStr"/>
      <c r="O1525" s="6" t="inlineStr"/>
      <c r="P1525" s="6" t="inlineStr"/>
      <c r="Q1525" s="5" t="inlineStr"/>
      <c r="R1525" s="5" t="inlineStr"/>
      <c r="S1525" s="5" t="inlineStr"/>
      <c r="T1525" s="5" t="inlineStr"/>
      <c r="U1525" s="5" t="inlineStr"/>
      <c r="V1525" s="5" t="inlineStr">
        <is>
          <t>mahalle-babasi</t>
        </is>
      </c>
      <c r="W1525" s="5" t="inlineStr">
        <is>
          <t>hapis</t>
        </is>
      </c>
      <c r="X1525" s="5" t="inlineStr"/>
      <c r="Y1525" s="5" t="n">
        <v>2</v>
      </c>
      <c r="Z1525" s="6" t="inlineStr">
        <is>
          <t>Abinin “Büyük iş bu” dediği gece. Haritayı hâlâ ters tutuyordu.</t>
        </is>
      </c>
      <c r="AA1525" s="5" t="inlineStr"/>
      <c r="AB1525" s="5" t="inlineStr">
        <is>
          <t>hapis</t>
        </is>
      </c>
      <c r="AC1525" s="5" t="inlineStr"/>
      <c r="AD1525" s="5" t="inlineStr">
        <is>
          <t>Zengin</t>
        </is>
      </c>
      <c r="AE1525" s="5" t="inlineStr"/>
      <c r="AF1525" s="5" t="inlineStr"/>
      <c r="AG1525" s="5" t="inlineStr"/>
      <c r="AH1525" s="5" t="inlineStr"/>
      <c r="AI1525" s="5" t="inlineStr">
        <is>
          <t>Köpük</t>
        </is>
      </c>
      <c r="AJ1525" s="5" t="inlineStr"/>
    </row>
    <row r="1526">
      <c r="A1526" s="5" t="inlineStr">
        <is>
          <t>k10-cete</t>
        </is>
      </c>
      <c r="B1526" s="5" t="n">
        <v>2</v>
      </c>
      <c r="C1526" s="6" t="inlineStr">
        <is>
          <t>Sessizce çekil, dükkânı gerçekten işlet</t>
        </is>
      </c>
      <c r="D1526" s="5" t="inlineStr"/>
      <c r="E1526" s="5" t="inlineStr"/>
      <c r="F1526" s="5" t="inlineStr">
        <is>
          <t>İtibar +1, Dayanıklılık +1</t>
        </is>
      </c>
      <c r="G1526" s="6" t="inlineStr">
        <is>
          <t>Anahtarı ve tespihi abiye geri uzattın. Ertesi gün yıkamaya gerçek bir fiyat listesi astın. Abi bir hafta küstü, sonra arabasını yıkatmaya geldi; parasını da ödedi.</t>
        </is>
      </c>
      <c r="H1526" s="6" t="inlineStr"/>
      <c r="I1526" s="6" t="inlineStr"/>
      <c r="J1526" s="6" t="inlineStr"/>
      <c r="K1526" s="6" t="inlineStr"/>
      <c r="L1526" s="6" t="inlineStr"/>
      <c r="M1526" s="5" t="inlineStr"/>
      <c r="N1526" s="5" t="inlineStr"/>
      <c r="O1526" s="6" t="inlineStr"/>
      <c r="P1526" s="6" t="inlineStr"/>
      <c r="Q1526" s="5" t="inlineStr"/>
      <c r="R1526" s="5" t="inlineStr"/>
      <c r="S1526" s="5" t="inlineStr"/>
      <c r="T1526" s="5" t="inlineStr"/>
      <c r="U1526" s="5" t="inlineStr">
        <is>
          <t>-hat-cete, -hat-dolandirici, -hat-girisimci, -hat-goc, -hat-hekim, -hat-koy, -hat-polis, -hat-politika, -hat-sohret, -hat-usta, -hat-yargi, -meslek-beyazyaka, -meslek-memur, -meslek-serbest, meslek-esnaf</t>
        </is>
      </c>
      <c r="V1526" s="5" t="inlineStr"/>
      <c r="W1526" s="5" t="inlineStr"/>
      <c r="X1526" s="5" t="inlineStr"/>
      <c r="Y1526" s="5" t="inlineStr"/>
      <c r="Z1526" s="6" t="inlineStr"/>
      <c r="AA1526" s="5" t="inlineStr">
        <is>
          <t>hepsi +1</t>
        </is>
      </c>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3</v>
      </c>
      <c r="C1527" s="6" t="inlineStr">
        <is>
          <t>Muhbir ol</t>
        </is>
      </c>
      <c r="D1527" s="5" t="inlineStr">
        <is>
          <t>Sosyal Radar</t>
        </is>
      </c>
      <c r="E1527" s="5" t="inlineStr">
        <is>
          <t>Zor</t>
        </is>
      </c>
      <c r="F1527" s="5" t="inlineStr"/>
      <c r="G1527" s="6" t="inlineStr"/>
      <c r="H1527" s="6" t="inlineStr">
        <is>
          <t>Komisere her şeyi anlattın. İki ay sonra Öte Diyar'da, yeni bir adla, bir oto yıkamada çalışıyorsun. Köpük aynı köpük.</t>
        </is>
      </c>
      <c r="I1527" s="6" t="inlineStr">
        <is>
          <t>Yeni adın, yeni pasaportun, Öte Diyar'da bir dairen var. Komşular adını söyleyemediği için sana “Sessiz” diyor. Hayatında ilk kez sana tam oturan bir ad taktılar.</t>
        </is>
      </c>
      <c r="J1527" s="6" t="inlineStr">
        <is>
          <t>Komisere anlattın ama anlattıklarında en çok senin adın geçiyordu. Anlaşma olmadı; dosya oldu.</t>
        </is>
      </c>
      <c r="K1527" s="6" t="inlineStr">
        <is>
          <t>Görüşmeyi kahvenin arka odasından telefonla yaptın; abi yan masadaydı. Önce abi küstü, sonra devlet seni misafir etti.</t>
        </is>
      </c>
      <c r="L1527" s="6" t="inlineStr"/>
      <c r="M1527" s="5" t="inlineStr"/>
      <c r="N1527" s="5" t="inlineStr"/>
      <c r="O1527" s="6" t="inlineStr"/>
      <c r="P1527" s="6" t="inlineStr"/>
      <c r="Q1527" s="5" t="inlineStr"/>
      <c r="R1527" s="5" t="inlineStr"/>
      <c r="S1527" s="5" t="inlineStr"/>
      <c r="T1527" s="5" t="inlineStr"/>
      <c r="U1527" s="5" t="inlineStr"/>
      <c r="V1527" s="5" t="inlineStr">
        <is>
          <t>-hat-cete, -hat-dolandirici, -hat-girisimci, -hat-hekim, -hat-koy, -hat-polis, -hat-politika, -hat-sohret, -hat-usta, -hat-yargi, -meslek-esnaf, -meslek-memur, -meslek-serbest, hat-goc, meslek-beyazyaka</t>
        </is>
      </c>
      <c r="W1527" s="5" t="inlineStr">
        <is>
          <t>hapis</t>
        </is>
      </c>
      <c r="X1527" s="5" t="inlineStr"/>
      <c r="Y1527" s="5" t="inlineStr"/>
      <c r="Z1527" s="6" t="inlineStr"/>
      <c r="AA1527" s="5" t="inlineStr"/>
      <c r="AB1527" s="5" t="inlineStr">
        <is>
          <t>hapis</t>
        </is>
      </c>
      <c r="AC1527" s="5" t="inlineStr"/>
      <c r="AD1527" s="5" t="inlineStr"/>
      <c r="AE1527" s="5" t="inlineStr"/>
      <c r="AF1527" s="5" t="inlineStr"/>
      <c r="AG1527" s="5" t="inlineStr"/>
      <c r="AH1527" s="5" t="inlineStr"/>
      <c r="AI1527" s="5" t="inlineStr"/>
      <c r="AJ1527" s="5" t="inlineStr"/>
    </row>
    <row r="1528">
      <c r="A1528" s="5" t="inlineStr">
        <is>
          <t>k10-dolandirici</t>
        </is>
      </c>
      <c r="B1528" s="5" t="n">
        <v>1</v>
      </c>
      <c r="C1528" s="6" t="inlineStr">
        <is>
          <t>Vurgunu yap, Öte Diyar'a kaç</t>
        </is>
      </c>
      <c r="D1528" s="5" t="inlineStr">
        <is>
          <t>Kurnazlık</t>
        </is>
      </c>
      <c r="E1528" s="5" t="inlineStr">
        <is>
          <t>Zor</t>
        </is>
      </c>
      <c r="F1528" s="5" t="inlineStr"/>
      <c r="G1528" s="6" t="inlineStr"/>
      <c r="H1528" s="6" t="inlineStr">
        <is>
          <t>Havalimanında kimse bir şey sormadı. Öte Diyar'da denize bakan küçük bir dairen var. Deniz bu sefer gerçekten deniz.</t>
        </is>
      </c>
      <c r="I1528" s="6" t="inlineStr">
        <is>
          <t>Öte Diyar'da yeni bir isim, yeni bir dil. Komşular seni kitap yazmaya gelmiş biri sanıyor; düzeltmiyorsun. Kitap yok; yatağın altında bir bavul var.</t>
        </is>
      </c>
      <c r="J1528" s="6" t="inlineStr">
        <is>
          <t>Bavulun tartıda on dört kilo fazla çıktı. Fazlayı kulübün kartıyla ödemeye kalktın. Görevli kartın üstündeki adı yüksek sesle okudu: “Altın Yaprak Yatırım Kulübü?” Arkadaki sırada bir üye vardı.</t>
        </is>
      </c>
      <c r="K1528" s="6" t="inlineStr">
        <is>
          <t>Uçağa bindin, kemerini taktın; uçak kalkmadı. Kapıda iki memur bekliyordu; biri kulübün üyesiymiş.</t>
        </is>
      </c>
      <c r="L1528" s="6" t="inlineStr"/>
      <c r="M1528" s="5" t="inlineStr"/>
      <c r="N1528" s="5" t="inlineStr"/>
      <c r="O1528" s="6" t="inlineStr"/>
      <c r="P1528" s="6" t="inlineStr"/>
      <c r="Q1528" s="5" t="inlineStr"/>
      <c r="R1528" s="5" t="inlineStr"/>
      <c r="S1528" s="5" t="inlineStr"/>
      <c r="T1528" s="5" t="inlineStr"/>
      <c r="U1528" s="5" t="inlineStr"/>
      <c r="V1528" s="5" t="inlineStr">
        <is>
          <t>-hat-cete, -hat-dolandirici, -hat-girisimci, -hat-hekim, -hat-koy, -hat-polis, -hat-politika, -hat-sohret, -hat-usta, -hat-yargi, -meslek-esnaf, -meslek-memur, -meslek-serbest, hat-goc, meslek-beyazyaka</t>
        </is>
      </c>
      <c r="W1528" s="5" t="inlineStr">
        <is>
          <t>hapis</t>
        </is>
      </c>
      <c r="X1528" s="5" t="inlineStr"/>
      <c r="Y1528" s="5" t="inlineStr"/>
      <c r="Z1528" s="6" t="inlineStr"/>
      <c r="AA1528" s="5" t="inlineStr"/>
      <c r="AB1528" s="5" t="inlineStr">
        <is>
          <t>hapis</t>
        </is>
      </c>
      <c r="AC1528" s="5" t="inlineStr"/>
      <c r="AD1528" s="5" t="inlineStr">
        <is>
          <t>Rahat</t>
        </is>
      </c>
      <c r="AE1528" s="5" t="inlineStr"/>
      <c r="AF1528" s="5" t="inlineStr"/>
      <c r="AG1528" s="5" t="inlineStr"/>
      <c r="AH1528" s="5" t="inlineStr"/>
      <c r="AI1528" s="5" t="inlineStr"/>
      <c r="AJ1528" s="5" t="inlineStr"/>
    </row>
    <row r="1529">
      <c r="A1529" s="5" t="inlineStr">
        <is>
          <t>k10-dolandirici</t>
        </is>
      </c>
      <c r="B1529" s="5" t="n">
        <v>2</v>
      </c>
      <c r="C1529" s="6" t="inlineStr">
        <is>
          <t>Siyasete sız</t>
        </is>
      </c>
      <c r="D1529" s="5" t="inlineStr">
        <is>
          <t>Pişkinlik</t>
        </is>
      </c>
      <c r="E1529" s="5" t="inlineStr">
        <is>
          <t>Zor</t>
        </is>
      </c>
      <c r="F1529" s="5" t="inlineStr"/>
      <c r="G1529" s="6" t="inlineStr"/>
      <c r="H1529" s="6" t="inlineStr">
        <is>
          <t>Açılış yemeğinde öyle bir konuşma yaptın ki sabah seni ilçe başkan yardımcısı yaptılar. Kulüp üyeleri artık seçmenin.</t>
        </is>
      </c>
      <c r="I1529" s="6" t="inlineStr">
        <is>
          <t>Parti seni aday listesine, üst sıralara yazdı. Afişte gülüyorsun; kulüp üyeleri önünden geçerken durup düşünüyor.</t>
        </is>
      </c>
      <c r="J1529" s="6" t="inlineStr">
        <is>
          <t>Yemekte konuştun ama tatlı servisi başlamıştı; kimse dinlemedi. Kulübe döndün; kasa orada, üyeler de.</t>
        </is>
      </c>
      <c r="K1529" s="6" t="inlineStr">
        <is>
          <t>Konuşmanın ortasında bir kulüp üyesi kalkıp kâr payını sordu. Salon ona alkış tuttu. Ertesi hafta parti onu aday yaptı; ilk bağışı sen yaptın, mecburen.</t>
        </is>
      </c>
      <c r="L1529" s="6" t="inlineStr"/>
      <c r="M1529" s="5" t="inlineStr"/>
      <c r="N1529" s="5" t="inlineStr"/>
      <c r="O1529" s="6" t="inlineStr"/>
      <c r="P1529" s="6" t="inlineStr"/>
      <c r="Q1529" s="5" t="inlineStr"/>
      <c r="R1529" s="5" t="inlineStr"/>
      <c r="S1529" s="5" t="inlineStr"/>
      <c r="T1529" s="5" t="inlineStr">
        <is>
          <t>Plaza Diplomatı</t>
        </is>
      </c>
      <c r="U1529" s="5" t="inlineStr"/>
      <c r="V1529" s="5" t="inlineStr">
        <is>
          <t>-hat-cete, -hat-dolandirici, -hat-girisimci, -hat-goc, -hat-hekim, -hat-koy, -hat-polis, -hat-sohret, -hat-usta, -hat-yargi, -meslek-beyazyaka, -meslek-esnaf, -meslek-memur, -meslek-serbest, hat-politika</t>
        </is>
      </c>
      <c r="W1529" s="5" t="inlineStr"/>
      <c r="X1529" s="5" t="inlineStr"/>
      <c r="Y1529" s="5" t="inlineStr"/>
      <c r="Z1529" s="6" t="inlineStr"/>
      <c r="AA1529" s="5" t="inlineStr"/>
      <c r="AB1529" s="5" t="inlineStr"/>
      <c r="AC1529" s="5" t="inlineStr"/>
      <c r="AD1529" s="5" t="inlineStr"/>
      <c r="AE1529" s="5" t="inlineStr"/>
      <c r="AF1529" s="5" t="inlineStr"/>
      <c r="AG1529" s="5" t="inlineStr"/>
      <c r="AH1529" s="5" t="inlineStr"/>
      <c r="AI1529" s="5" t="inlineStr"/>
      <c r="AJ1529" s="5" t="inlineStr"/>
    </row>
    <row r="1530">
      <c r="A1530" s="5" t="inlineStr">
        <is>
          <t>k10-dolandirici</t>
        </is>
      </c>
      <c r="B1530" s="5" t="n">
        <v>3</v>
      </c>
      <c r="C1530" s="6" t="inlineStr">
        <is>
          <t>Bırak, dürüst iş bul</t>
        </is>
      </c>
      <c r="D1530" s="5" t="inlineStr"/>
      <c r="E1530" s="5" t="inlineStr"/>
      <c r="F1530" s="5" t="inlineStr">
        <is>
          <t>İtibar +2</t>
        </is>
      </c>
      <c r="G1530" s="6" t="inlineStr">
        <is>
          <t>Kasayı üyelere paylaştırıp telefonu açtın. Annen “Sesin iyi geliyor” dedi. Ertesi hafta bir kargo deposunda sabah vardiyasına başladın; paketlerin hepsi gerçek.</t>
        </is>
      </c>
      <c r="H1530" s="6" t="inlineStr"/>
      <c r="I1530" s="6" t="inlineStr"/>
      <c r="J1530" s="6" t="inlineStr"/>
      <c r="K1530" s="6" t="inlineStr"/>
      <c r="L1530" s="6" t="inlineStr"/>
      <c r="M1530" s="5" t="inlineStr"/>
      <c r="N1530" s="5" t="inlineStr"/>
      <c r="O1530" s="6" t="inlineStr"/>
      <c r="P1530" s="6" t="inlineStr"/>
      <c r="Q1530" s="5" t="inlineStr"/>
      <c r="R1530" s="5" t="inlineStr"/>
      <c r="S1530" s="5" t="inlineStr"/>
      <c r="T1530" s="5" t="inlineStr"/>
      <c r="U1530" s="5" t="inlineStr">
        <is>
          <t>-hat-cete, -hat-dolandirici, -hat-girisimci, -hat-goc, -hat-hekim, -hat-koy, -hat-polis, -hat-politika, -hat-sohret, -hat-usta, -hat-yargi, -meslek-beyazyaka, -meslek-esnaf, -meslek-memur, meslek-serbest</t>
        </is>
      </c>
      <c r="V1530" s="5" t="inlineStr"/>
      <c r="W1530" s="5" t="inlineStr"/>
      <c r="X1530" s="5" t="inlineStr"/>
      <c r="Y1530" s="5" t="inlineStr"/>
      <c r="Z1530" s="6" t="inlineStr"/>
      <c r="AA1530" s="5" t="inlineStr">
        <is>
          <t>hepsi +1</t>
        </is>
      </c>
      <c r="AB1530" s="5" t="inlineStr"/>
      <c r="AC1530" s="5" t="inlineStr"/>
      <c r="AD1530" s="5" t="inlineStr"/>
      <c r="AE1530" s="5" t="inlineStr"/>
      <c r="AF1530" s="5" t="inlineStr"/>
      <c r="AG1530" s="5" t="inlineStr"/>
      <c r="AH1530" s="5" t="inlineStr"/>
      <c r="AI1530" s="5" t="inlineStr"/>
      <c r="AJ1530" s="5" t="inlineStr"/>
    </row>
    <row r="1531">
      <c r="A1531" s="5" t="inlineStr">
        <is>
          <t>k10-esnaf</t>
        </is>
      </c>
      <c r="B1531" s="5" t="n">
        <v>1</v>
      </c>
      <c r="C1531" s="6" t="inlineStr">
        <is>
          <t>Markete diren</t>
        </is>
      </c>
      <c r="D1531" s="5" t="inlineStr">
        <is>
          <t>Çene</t>
        </is>
      </c>
      <c r="E1531" s="5" t="inlineStr">
        <is>
          <t>Orta</t>
        </is>
      </c>
      <c r="F1531" s="5" t="inlineStr"/>
      <c r="G1531" s="6" t="inlineStr"/>
      <c r="H1531" s="6" t="inlineStr">
        <is>
          <t>Veresiye defterini açtın, müşterilerin adlarını tek tek andın. Mahalle geri döndü; markette ekmek var, sende hatır.</t>
        </is>
      </c>
      <c r="I1531" s="6" t="inlineStr">
        <is>
          <t>Mahalleli senin için bir “Esnafa Sahip Çık” günü düzenledi. Kuyruk marketin kapısına dayandı; müdür de sıraya girdi.</t>
        </is>
      </c>
      <c r="J1531" s="6" t="inlineStr">
        <is>
          <t>Dükkân açık ama müşteri yarıya indi. Akşamları karşının ışıklarına bakıyorsun; seninki daha sıcak.</t>
        </is>
      </c>
      <c r="K1531" s="6" t="inlineStr">
        <is>
          <t>Fiyatı indirdin; market ertesi sabah yarısına indirdi. Müşteriler artık senden veresiye, karşıdan peşin alıyor. Defter kalınlaştı, kasa inceldi.</t>
        </is>
      </c>
      <c r="L1531" s="6" t="inlineStr"/>
      <c r="M1531" s="5" t="inlineStr"/>
      <c r="N1531" s="5" t="inlineStr"/>
      <c r="O1531" s="6" t="inlineStr"/>
      <c r="P1531" s="6" t="inlineStr"/>
      <c r="Q1531" s="5" t="inlineStr"/>
      <c r="R1531" s="5" t="inlineStr"/>
      <c r="S1531" s="5" t="inlineStr"/>
      <c r="T1531" s="5" t="inlineStr"/>
      <c r="U1531" s="5" t="inlineStr"/>
      <c r="V1531" s="5" t="inlineStr">
        <is>
          <t>esnaf-direndi</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k10-esnaf</t>
        </is>
      </c>
      <c r="B1532" s="5" t="n">
        <v>2</v>
      </c>
      <c r="C1532" s="6" t="inlineStr">
        <is>
          <t>Dükkânı sat, markette reyon şefi ol</t>
        </is>
      </c>
      <c r="D1532" s="5" t="inlineStr">
        <is>
          <t>Çene</t>
        </is>
      </c>
      <c r="E1532" s="5" t="inlineStr">
        <is>
          <t>Orta</t>
        </is>
      </c>
      <c r="F1532" s="5" t="inlineStr"/>
      <c r="G1532" s="6" t="inlineStr"/>
      <c r="H1532" s="6" t="inlineStr">
        <is>
          <t>Kepengi son kez indirip karşıya geçtin. Reyon şefi yeleğin yeşil; eski müşterilerin sana hâlâ “Usta” diyor, müdür bundan hoşlanmıyor.</t>
        </is>
      </c>
      <c r="I1532" s="6" t="inlineStr">
        <is>
          <t>Market seni reyon şefi olarak aldı ve eski müşterilerin seni takip etti. Artık zincirin en çok satan reyonu senin; veresiye hariç.</t>
        </is>
      </c>
      <c r="J1532" s="6" t="inlineStr">
        <is>
          <t>Dükkânı satmak istedin; alıcılar karşıdaki markete bakıp fiyat kırdı. Satmadın, dükkânında kaldın. Kepenk yerinde; sen de.</t>
        </is>
      </c>
      <c r="K1532" s="6" t="inlineStr">
        <is>
          <t>Market mülakatında eski müşterilerine veresiye verdiğini anlattın. Müdür bunu bir risk olarak not etti. Dükkânına döndün; defter seni bekliyordu.</t>
        </is>
      </c>
      <c r="L1532" s="6" t="inlineStr"/>
      <c r="M1532" s="5" t="inlineStr"/>
      <c r="N1532" s="5" t="inlineStr"/>
      <c r="O1532" s="6" t="inlineStr"/>
      <c r="P1532" s="6" t="inlineStr"/>
      <c r="Q1532" s="5" t="inlineStr"/>
      <c r="R1532" s="5" t="inlineStr"/>
      <c r="S1532" s="5" t="inlineStr"/>
      <c r="T1532" s="5" t="inlineStr"/>
      <c r="U1532" s="5" t="inlineStr"/>
      <c r="V1532" s="5" t="inlineStr">
        <is>
          <t>-hat-cete, -hat-dolandirici, -hat-girisimci, -hat-goc, -hat-hekim, -hat-koy, -hat-polis, -hat-politika, -hat-sohret, -hat-usta, -hat-yargi, -meslek-esnaf, -meslek-memur, -meslek-serbest, meslek-beyazyaka</t>
        </is>
      </c>
      <c r="W1532" s="5" t="inlineStr"/>
      <c r="X1532" s="5" t="inlineStr"/>
      <c r="Y1532" s="5" t="inlineStr"/>
      <c r="Z1532" s="6" t="inlineStr"/>
      <c r="AA1532" s="5" t="inlineStr"/>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3</v>
      </c>
      <c r="C1533" s="6" t="inlineStr">
        <is>
          <t>Markete “koruma” ortaklığı sat</t>
        </is>
      </c>
      <c r="D1533" s="5" t="inlineStr">
        <is>
          <t>Kurnazlık</t>
        </is>
      </c>
      <c r="E1533" s="5" t="inlineStr">
        <is>
          <t>Zor</t>
        </is>
      </c>
      <c r="F1533" s="5" t="inlineStr"/>
      <c r="G1533" s="6" t="inlineStr"/>
      <c r="H1533" s="6" t="inlineStr">
        <is>
          <t>Müdüre “Bu mahallede işler benim bildiğim usulle yürür” dedin; müdür ne demek istediğini sormadı, sen de anlatmadın. Her ay kapıdan bir zarf çıkıyor. Ailen zarfın nereden geldiğini sormuyor; sormaması da bir cevap.</t>
        </is>
      </c>
      <c r="I1533" s="6" t="inlineStr">
        <is>
          <t>Müdür seni o kadar ciddiye aldı ki öbür şubeler de “mahalle temsilcisi” diye aradı. Dükkân artık vitrin, asıl iş masada. Ailen seni sofraya çağırmıyor.</t>
        </is>
      </c>
      <c r="J1533" s="6" t="inlineStr">
        <is>
          <t>Müdür seni sonuna kadar dinledi, sonra güvenliğe döndü: “Arkadaşı çıkışa kadar geçirin.” Dükkânına döndün; tezgâh hâlâ senin.</t>
        </is>
      </c>
      <c r="K1533" s="6" t="inlineStr">
        <is>
          <t>Konuşmanı mağazanın kamerası sesiyle kaydetti. Görüntü mahalle grubunda; dükkânına müşteri değil, meraklı geliyor.</t>
        </is>
      </c>
      <c r="L1533" s="6" t="inlineStr"/>
      <c r="M1533" s="5" t="inlineStr"/>
      <c r="N1533" s="5" t="inlineStr"/>
      <c r="O1533" s="6" t="inlineStr"/>
      <c r="P1533" s="6" t="inlineStr"/>
      <c r="Q1533" s="5" t="inlineStr"/>
      <c r="R1533" s="5" t="inlineStr"/>
      <c r="S1533" s="5" t="inlineStr"/>
      <c r="T1533" s="5" t="inlineStr"/>
      <c r="U1533" s="5" t="inlineStr"/>
      <c r="V1533" s="5" t="inlineStr">
        <is>
          <t>-hat-dolandirici, -hat-girisimci, -hat-goc, -hat-hekim, -hat-koy, -hat-polis, -hat-politika, -hat-sohret, -hat-usta, -hat-yargi, -meslek-beyazyaka, -meslek-memur, -meslek-serbest, hat-cete, meslek-esnaf</t>
        </is>
      </c>
      <c r="W1533" s="5" t="inlineStr"/>
      <c r="X1533" s="5" t="inlineStr"/>
      <c r="Y1533" s="5" t="inlineStr"/>
      <c r="Z1533" s="6" t="inlineStr"/>
      <c r="AA1533" s="5" t="inlineStr">
        <is>
          <t>hepsi -1</t>
        </is>
      </c>
      <c r="AB1533" s="5" t="inlineStr"/>
      <c r="AC1533" s="5" t="inlineStr"/>
      <c r="AD1533" s="5" t="inlineStr">
        <is>
          <t>Rahat</t>
        </is>
      </c>
      <c r="AE1533" s="5" t="inlineStr"/>
      <c r="AF1533" s="5" t="inlineStr"/>
      <c r="AG1533" s="5" t="inlineStr"/>
      <c r="AH1533" s="5" t="inlineStr"/>
      <c r="AI1533" s="5" t="inlineStr"/>
      <c r="AJ1533" s="5" t="inlineStr"/>
    </row>
    <row r="1534">
      <c r="A1534" s="5" t="inlineStr">
        <is>
          <t>k10-serbest</t>
        </is>
      </c>
      <c r="B1534" s="5" t="n">
        <v>1</v>
      </c>
      <c r="C1534" s="6" t="inlineStr">
        <is>
          <t>Kameraya geç</t>
        </is>
      </c>
      <c r="D1534" s="5" t="inlineStr">
        <is>
          <t>Pişkinlik</t>
        </is>
      </c>
      <c r="E1534" s="5" t="inlineStr">
        <is>
          <t>Zor</t>
        </is>
      </c>
      <c r="F1534" s="5" t="inlineStr"/>
      <c r="G1534" s="6" t="inlineStr"/>
      <c r="H1534" s="6" t="inlineStr">
        <is>
          <t>Cümleyi her gün başka bir tonla söyledin; bir gün annenle birlikte. O video ilkini geçti. Bir ay sonra televizyondan aradılar; annen “Ben de gelirim” dedi, geldi.</t>
        </is>
      </c>
      <c r="I1534" s="6" t="inlineStr">
        <is>
          <t>Cümle bir reklam şarkısı oldu, sen de reklamın yüzü. Sokakta çocuklar cümleyi bağırıyor; sen her seferinde tamamlıyorsun.</t>
        </is>
      </c>
      <c r="J1534" s="6" t="inlineStr">
        <is>
          <t>İkinci video tutmadı, üçüncüsünü kimse izlemedi. İşine döndün; komşunun oğlu artık başkasını çekiyor.</t>
        </is>
      </c>
      <c r="K1534" s="6" t="inlineStr">
        <is>
          <t>İkinci videoda cümleyi yanlış söyledin; yanlışı ilkinden hızlı yayıldı. İşine döndün. Annen bile telefonda yanlışıyla söylüyor; düzeltince “Öyle değildi ki” diyor.</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-hat-usta, -hat-yargi, -meslek-beyazyaka, -meslek-esnaf, -meslek-memur, hat-sohret, meslek-serbest</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k10-serbest</t>
        </is>
      </c>
      <c r="B1535" s="5" t="n">
        <v>2</v>
      </c>
      <c r="C1535" s="6" t="inlineStr">
        <is>
          <t>Viral işinden ajans kur</t>
        </is>
      </c>
      <c r="D1535" s="5" t="inlineStr">
        <is>
          <t>Akıl</t>
        </is>
      </c>
      <c r="E1535" s="5" t="inlineStr">
        <is>
          <t>Orta</t>
        </is>
      </c>
      <c r="F1535" s="5" t="inlineStr"/>
      <c r="G1535" s="6" t="inlineStr"/>
      <c r="H1535" s="6" t="inlineStr">
        <is>
          <t>Viral olmayı bilmiyordun ama bilmeyenlere anlatmayı bildin. Ajansının ilk üç müşterisi var; biri komşunun oğlu.</t>
        </is>
      </c>
      <c r="I1535" s="6" t="inlineStr">
        <is>
          <t>İlk yılda on iki kişiyi viral yaptın. Kendi cümlen hâlâ en büyüğü; ofisin duvarına yazdırdın.</t>
        </is>
      </c>
      <c r="J1535" s="6" t="inlineStr">
        <is>
          <t>Logoyu bitirene kadar viral dalga çoktan geçmişti. Logo güzel oldu, müşteri yok. Eski işine döndün.</t>
        </is>
      </c>
      <c r="K1535" s="6" t="inlineStr">
        <is>
          <t>İlk müşterin viral cümleni tişörtlere bastırıp sattı; sana tek kuruş ödemeden. Tişörtten sen de bir tane aldın, indirimli. Eski işine döndün.</t>
        </is>
      </c>
      <c r="L1535" s="6" t="inlineStr"/>
      <c r="M1535" s="5" t="inlineStr"/>
      <c r="N1535" s="5" t="inlineStr"/>
      <c r="O1535" s="6" t="inlineStr"/>
      <c r="P1535" s="6" t="inlineStr"/>
      <c r="Q1535" s="5" t="inlineStr"/>
      <c r="R1535" s="5" t="inlineStr"/>
      <c r="S1535" s="5" t="inlineStr"/>
      <c r="T1535" s="5" t="inlineStr"/>
      <c r="U1535" s="5" t="inlineStr"/>
      <c r="V1535" s="5" t="inlineStr">
        <is>
          <t>-hat-cete, -hat-dolandirici, -hat-goc, -hat-hekim, -hat-koy, -hat-polis, -hat-politika, -hat-sohret, -hat-usta, -hat-yargi, -meslek-beyazyaka, -meslek-esnaf, -meslek-memur, hat-girisimci, meslek-serbest</t>
        </is>
      </c>
      <c r="W1535" s="5" t="inlineStr"/>
      <c r="X1535" s="5" t="inlineStr"/>
      <c r="Y1535" s="5" t="inlineStr"/>
      <c r="Z1535" s="6" t="inlineStr"/>
      <c r="AA1535" s="5" t="inlineStr"/>
      <c r="AB1535" s="5" t="inlineStr"/>
      <c r="AC1535" s="5" t="inlineStr"/>
      <c r="AD1535" s="5" t="inlineStr"/>
      <c r="AE1535" s="5" t="inlineStr"/>
      <c r="AF1535" s="5" t="inlineStr"/>
      <c r="AG1535" s="5" t="inlineStr"/>
      <c r="AH1535" s="5" t="inlineStr"/>
      <c r="AI1535" s="5" t="inlineStr"/>
      <c r="AJ1535" s="5" t="inlineStr"/>
    </row>
    <row r="1536">
      <c r="A1536" s="5" t="inlineStr">
        <is>
          <t>k10-serbest</t>
        </is>
      </c>
      <c r="B1536" s="5" t="n">
        <v>3</v>
      </c>
      <c r="C1536" s="6" t="inlineStr">
        <is>
          <t>Viral geçsin, işine dön</t>
        </is>
      </c>
      <c r="D1536" s="5" t="inlineStr"/>
      <c r="E1536" s="5" t="inlineStr"/>
      <c r="F1536" s="5" t="inlineStr">
        <is>
          <t>Dayanıklılık +1, İtibar +1</t>
        </is>
      </c>
      <c r="G1536" s="6" t="inlineStr">
        <is>
          <t>Telefonu sessize alıp işine döndün. İki hafta sonra kimse cümleyi hatırlamıyordu; bir tek annen, her telefonda onu söylüyor.</t>
        </is>
      </c>
      <c r="H1536" s="6" t="inlineStr"/>
      <c r="I1536" s="6" t="inlineStr"/>
      <c r="J1536" s="6" t="inlineStr"/>
      <c r="K1536" s="6" t="inlineStr"/>
      <c r="L1536" s="6" t="inlineStr"/>
      <c r="M1536" s="5" t="inlineStr"/>
      <c r="N1536" s="5" t="inlineStr"/>
      <c r="O1536" s="6" t="inlineStr"/>
      <c r="P1536" s="6" t="inlineStr"/>
      <c r="Q1536" s="5" t="inlineStr"/>
      <c r="R1536" s="5" t="inlineStr"/>
      <c r="S1536" s="5" t="inlineStr"/>
      <c r="T1536" s="5" t="inlineStr"/>
      <c r="U1536" s="5" t="inlineStr"/>
      <c r="V1536" s="5" t="inlineStr"/>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b7-hapis-kogus-ilk-gun</t>
        </is>
      </c>
      <c r="B1537" s="5" t="n">
        <v>1</v>
      </c>
      <c r="C1537" s="6" t="inlineStr">
        <is>
          <t>“Nasıl gelirse” de</t>
        </is>
      </c>
      <c r="D1537" s="5" t="inlineStr"/>
      <c r="E1537" s="5" t="inlineStr"/>
      <c r="F1537" s="5" t="inlineStr">
        <is>
          <t>Dayanıklılık +1, Sosyal Radar +1</t>
        </is>
      </c>
      <c r="G1537" s="6" t="inlineStr">
        <is>
          <t>Çaycı uzun uzun baktı, bardağını yarım şekerli doldurdu. Koğuşta adın “Nasıl Gelirse” oldu; en az tartışılan isim.</t>
        </is>
      </c>
      <c r="H1537" s="6" t="inlineStr"/>
      <c r="I1537" s="6" t="inlineStr"/>
      <c r="J1537" s="6" t="inlineStr"/>
      <c r="K1537" s="6" t="inlineStr"/>
      <c r="L1537" s="6" t="inlineStr"/>
      <c r="M1537" s="5" t="inlineStr"/>
      <c r="N1537" s="5" t="inlineStr"/>
      <c r="O1537" s="6" t="inlineStr"/>
      <c r="P1537" s="6" t="inlineStr"/>
      <c r="Q1537" s="5" t="inlineStr"/>
      <c r="R1537" s="5" t="inlineStr"/>
      <c r="S1537" s="5" t="inlineStr"/>
      <c r="T1537" s="5" t="inlineStr"/>
      <c r="U1537" s="5" t="inlineStr"/>
      <c r="V1537" s="5" t="inlineStr"/>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b7-hapis-kogus-ilk-gun</t>
        </is>
      </c>
      <c r="B1538" s="5" t="n">
        <v>2</v>
      </c>
      <c r="C1538" s="6" t="inlineStr">
        <is>
          <t>Tavla hiyerarşisine meydan oku</t>
        </is>
      </c>
      <c r="D1538" s="5" t="inlineStr">
        <is>
          <t>Kurnazlık</t>
        </is>
      </c>
      <c r="E1538" s="5" t="inlineStr">
        <is>
          <t>Orta</t>
        </is>
      </c>
      <c r="F1538" s="5" t="inlineStr"/>
      <c r="G1538" s="6" t="inlineStr"/>
      <c r="H1538" s="6" t="inlineStr">
        <is>
          <t>Koğuşun tavla şampiyonunu ilk gece yendin. Ertesi sabah yatağın pencere kenarına taşındı; güneş de sana geçti.</t>
        </is>
      </c>
      <c r="I1538" s="6" t="inlineStr">
        <is>
          <t>Şampiyonu mars ettin; şampiyon kendi zarlarını sana hediye etti. Koğuşta sana artık kimse “yeni” demiyor.</t>
        </is>
      </c>
      <c r="J1538" s="6" t="inlineStr">
        <is>
          <t>Şampiyon seni üç elde yendi, sonra pulları nasıl dizeceğini anlattı. Ücretsiz ders; bedeli bulaşık.</t>
        </is>
      </c>
      <c r="K1538" s="6" t="inlineStr">
        <is>
          <t>Zar yatağın altına kaçtı. Eğilip aradın; doğrulduğunda yatağında biri yatıyordu, battaniyeni de çekmişti: “Boş sandım.” O gece kapının dibinde yattın.</t>
        </is>
      </c>
      <c r="L1538" s="6" t="inlineStr"/>
      <c r="M1538" s="5" t="inlineStr"/>
      <c r="N1538" s="5" t="inlineStr"/>
      <c r="O1538" s="6" t="inlineStr"/>
      <c r="P1538" s="6" t="inlineStr"/>
      <c r="Q1538" s="5" t="inlineStr"/>
      <c r="R1538" s="5" t="inlineStr"/>
      <c r="S1538" s="5" t="inlineStr"/>
      <c r="T1538" s="5" t="inlineStr"/>
      <c r="U1538" s="5" t="inlineStr"/>
      <c r="V1538" s="5" t="inlineStr">
        <is>
          <t>kogus-dostu</t>
        </is>
      </c>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3</v>
      </c>
      <c r="C1539" s="6" t="inlineStr">
        <is>
          <t>Çay ocağına gönüllü ol</t>
        </is>
      </c>
      <c r="D1539" s="5" t="inlineStr">
        <is>
          <t>Çene</t>
        </is>
      </c>
      <c r="E1539" s="5" t="inlineStr">
        <is>
          <t>Orta</t>
        </is>
      </c>
      <c r="F1539" s="5" t="inlineStr"/>
      <c r="G1539" s="6" t="inlineStr"/>
      <c r="H1539" s="6" t="inlineStr">
        <is>
          <t>Ocağa girdin; artık herkesin şeker sayısını ve derdini biliyorsun. Koğuşta çay kimdeyse söz de onda.</t>
        </is>
      </c>
      <c r="I1539" s="6" t="inlineStr">
        <is>
          <t>Çayın o kadar iyi ki gardiyanlar da mola saatinde uğruyor. Ocak artık senin; kapının yanında bir de taburen var.</t>
        </is>
      </c>
      <c r="J1539" s="6" t="inlineStr">
        <is>
          <t>Sabırsızlanıp çayı erken koydun. Koğuş sana bir hafta “Açık Çay” dedi.</t>
        </is>
      </c>
      <c r="K1539" s="6" t="inlineStr">
        <is>
          <t>Demliği devirdin, şeker listesi ıslandı. Kimin kaç şeker içtiği artık bilinmiyor; koğuş bir hafta küs.</t>
        </is>
      </c>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b7-hapis-gorus-gunu</t>
        </is>
      </c>
      <c r="B1540" s="5" t="n">
        <v>1</v>
      </c>
      <c r="C1540" s="6" t="inlineStr">
        <is>
          <t>Yirmi dakikayı dinleyerek geçir</t>
        </is>
      </c>
      <c r="D1540" s="5" t="inlineStr"/>
      <c r="E1540" s="5" t="inlineStr"/>
      <c r="F1540" s="5" t="inlineStr">
        <is>
          <t>Sosyal Radar +1, Gönül +1</t>
        </is>
      </c>
      <c r="G1540" s="6" t="inlineStr">
        <is>
          <t>Hiç konuşmadın; annen mahallenin bütün haberlerini anlattı. Sonunda “Sen de bir şey söyle” dedi. “Yemekler güzel” dedin; ağladı.</t>
        </is>
      </c>
      <c r="H1540" s="6" t="inlineStr"/>
      <c r="I1540" s="6" t="inlineStr"/>
      <c r="J1540" s="6" t="inlineStr"/>
      <c r="K1540" s="6" t="inlineStr"/>
      <c r="L1540" s="6" t="inlineStr"/>
      <c r="M1540" s="5" t="inlineStr"/>
      <c r="N1540" s="5" t="inlineStr"/>
      <c r="O1540" s="6" t="inlineStr"/>
      <c r="P1540" s="6" t="inlineStr"/>
      <c r="Q1540" s="5" t="inlineStr"/>
      <c r="R1540" s="5" t="inlineStr"/>
      <c r="S1540" s="5" t="inlineStr"/>
      <c r="T1540" s="5" t="inlineStr"/>
      <c r="U1540" s="5" t="inlineStr"/>
      <c r="V1540" s="5" t="inlineStr"/>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b7-hapis-gorus-gunu</t>
        </is>
      </c>
      <c r="B1541" s="5" t="n">
        <v>2</v>
      </c>
      <c r="C1541" s="6" t="inlineStr">
        <is>
          <t>Her şey yolunda gibi göster</t>
        </is>
      </c>
      <c r="D1541" s="5" t="inlineStr">
        <is>
          <t>Pişkinlik</t>
        </is>
      </c>
      <c r="E1541" s="5" t="inlineStr">
        <is>
          <t>Orta</t>
        </is>
      </c>
      <c r="F1541" s="5" t="inlineStr"/>
      <c r="G1541" s="6" t="inlineStr"/>
      <c r="H1541" s="6" t="inlineStr">
        <is>
          <t>Koğuşu bir yurt gibi anlattın: tavla, çay, sohbet. Annen rahatladı: “Bari arkadaş edinmişsin.” Çıkarken gardiyana döndü: “Bizimkine iyi bakın, üşür.”</t>
        </is>
      </c>
      <c r="I1541" s="6" t="inlineStr">
        <is>
          <t>Öyle anlattın ki annen bir sonraki görüşe arkadaşların için de börek getirdi. Koğuşta itibarın iki tepsi arttı.</t>
        </is>
      </c>
      <c r="J1541" s="6" t="inlineStr">
        <is>
          <t>“Her şey yolunda” derken arkandan “Süre bitti” sesi geldi. Cümlen yarım kaldı; annen yarısına inandı.</t>
        </is>
      </c>
      <c r="K1541" s="6" t="inlineStr">
        <is>
          <t>Ahize elinden kaydı; kalan on dakikayı işaretle anlaştınız. Annen “Çorap” anladı; gelecek ay otuz çift çorap geldi.</t>
        </is>
      </c>
      <c r="L1541" s="6" t="inlineStr">
        <is>
          <t>Yüzün tuttu, sesin tutmadı. Annen “İyiyim” kelimesine inandı, titremesine inanmadı.</t>
        </is>
      </c>
      <c r="M1541" s="5" t="inlineStr">
        <is>
          <t>lie</t>
        </is>
      </c>
      <c r="N1541" s="5" t="inlineStr">
        <is>
          <t>Görüş Camı</t>
        </is>
      </c>
      <c r="O1541" s="6" t="inlineStr">
        <is>
          <t>Söylediklerini aklında tut; sorulara çelişmeden cevap ver.</t>
        </is>
      </c>
      <c r="P1541" s="6" t="inlineStr">
        <is>
          <t>{"who": "Annen", "facts": ["Yemekler iyi.", "Üşümüyorum.", "Arkadaşlarım iyi."], "qs": [{"q": "Yemek veriyorlar mı?", "o": ["Evet, iyi.", "Pek değil.", "Çok kötü."]}, {"q": "Üşüyor musun?", "o": ["Hayır, battaniye var.", "Evet.", "Çok."]}, {"q": "Arkadaşların iyi mi?", "o": ["İyi, birlikte oyun oynuyoruz.", "Hiç arkadaşım yok.", "Kavga ediyoruz."]}]}</t>
        </is>
      </c>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3</v>
      </c>
      <c r="C1542" s="6" t="inlineStr">
        <is>
          <t>Dışarıdaki işleri ahizeden yönet</t>
        </is>
      </c>
      <c r="D1542" s="5" t="inlineStr">
        <is>
          <t>Kurnazlık</t>
        </is>
      </c>
      <c r="E1542" s="5" t="inlineStr">
        <is>
          <t>Orta</t>
        </is>
      </c>
      <c r="F1542" s="5" t="inlineStr"/>
      <c r="G1542" s="6" t="inlineStr"/>
      <c r="H1542" s="6" t="inlineStr">
        <is>
          <t>Annene üç talimat verdin: kira, sigorta, bir de dükkânın kepengi. Annen kirayı yatırdı, sigortayı yatırdı; kepengi de her sabah açıp tezgâha kendisi oturdu. Mahalle ona artık “Usta” diyor.</t>
        </is>
      </c>
      <c r="I1542" s="6" t="inlineStr">
        <is>
          <t>Annen talimatları öyle iyi uyguladı ki dışarıda işler senin zamanından düzgün dönüyor. Çıkınca yerin olacak mı, emin değilsin.</t>
        </is>
      </c>
      <c r="J1542" s="6" t="inlineStr">
        <is>
          <t>Talimatları verdin; hat cızırdıyordu. Annen tek cümle duydu: “Sen üşüme yeter.”</t>
        </is>
      </c>
      <c r="K1542" s="6" t="inlineStr">
        <is>
          <t>Talimatların arasında bir kasa şifresi söyledin; yanlışını. Annen bir ay kasayla uğraştı; çilingir de artık seni tanıyor.</t>
        </is>
      </c>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4</v>
      </c>
      <c r="C1543" s="6" t="inlineStr">
        <is>
          <t>Çocuğa bir masal anlat</t>
        </is>
      </c>
      <c r="D1543" s="5" t="inlineStr"/>
      <c r="E1543" s="5" t="inlineStr"/>
      <c r="F1543" s="5" t="inlineStr">
        <is>
          <t>Gönül +1</t>
        </is>
      </c>
      <c r="G1543" s="6" t="inlineStr">
        <is>
          <t>Yirmi dakikanın on beşini bir masala verdin: bir kral bir süre sarayda tatil yapıyormuş. Çocuk sonunu sordu. “Bir sonraki görüşte” dedin; söz verdin.</t>
        </is>
      </c>
      <c r="H1543" s="6" t="inlineStr"/>
      <c r="I1543" s="6" t="inlineStr"/>
      <c r="J1543" s="6" t="inlineStr"/>
      <c r="K1543" s="6" t="inlineStr"/>
      <c r="L1543" s="6" t="inlineStr"/>
      <c r="M1543" s="5" t="inlineStr"/>
      <c r="N1543" s="5" t="inlineStr"/>
      <c r="O1543" s="6" t="inlineStr"/>
      <c r="P1543" s="6" t="inlineStr"/>
      <c r="Q1543" s="5" t="inlineStr"/>
      <c r="R1543" s="5" t="inlineStr">
        <is>
          <t>cocuklu</t>
        </is>
      </c>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b7-hapis-islah-kursu</t>
        </is>
      </c>
      <c r="B1544" s="5" t="n">
        <v>1</v>
      </c>
      <c r="C1544" s="6" t="inlineStr">
        <is>
          <t>Sabun yapımına yazıl</t>
        </is>
      </c>
      <c r="D1544" s="5" t="inlineStr"/>
      <c r="E1544" s="5" t="inlineStr"/>
      <c r="F1544" s="5" t="inlineStr">
        <is>
          <t>Dayanıklılık +1, Akıl +1</t>
        </is>
      </c>
      <c r="G1544" s="6" t="inlineStr">
        <is>
          <t>Üç ayda lavanta kokulu kırk sabun yaptın. Sertifikan var; koğuş da artık lavanta kokuyor. Annene bir tane yolladın; banyoya koymadı, vitrine koydu.</t>
        </is>
      </c>
      <c r="H1544" s="6" t="inlineStr"/>
      <c r="I1544" s="6" t="inlineStr"/>
      <c r="J1544" s="6" t="inlineStr"/>
      <c r="K1544" s="6" t="inlineStr"/>
      <c r="L1544" s="6" t="inlineStr"/>
      <c r="M1544" s="5" t="inlineStr"/>
      <c r="N1544" s="5" t="inlineStr"/>
      <c r="O1544" s="6" t="inlineStr"/>
      <c r="P1544" s="6" t="inlineStr"/>
      <c r="Q1544" s="5" t="inlineStr"/>
      <c r="R1544" s="5" t="inlineStr"/>
      <c r="S1544" s="5" t="inlineStr"/>
      <c r="T1544" s="5" t="inlineStr"/>
      <c r="U1544" s="5" t="inlineStr">
        <is>
          <t>islah-sertifikasi</t>
        </is>
      </c>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b7-hapis-islah-kursu</t>
        </is>
      </c>
      <c r="B1545" s="5" t="n">
        <v>2</v>
      </c>
      <c r="C1545" s="6" t="inlineStr">
        <is>
          <t>Ahşap oymacılığında ustalaş</t>
        </is>
      </c>
      <c r="D1545" s="5" t="inlineStr">
        <is>
          <t>Dayanıklılık</t>
        </is>
      </c>
      <c r="E1545" s="5" t="inlineStr">
        <is>
          <t>Orta</t>
        </is>
      </c>
      <c r="F1545" s="5" t="inlineStr"/>
      <c r="G1545" s="6" t="inlineStr"/>
      <c r="H1545" s="6" t="inlineStr">
        <is>
          <t>İlk kaşık yamuk, ikincisi tahta, üçüncüsü kaşık. Sertifika töreninde müdür kaşığını evine götürdü.</t>
        </is>
      </c>
      <c r="I1545" s="6" t="inlineStr">
        <is>
          <t>Oyduğun tavla takımı cezaevi sergisinde birinci oldu. Koğuşun turnuvası artık senin tahtanda oynanıyor.</t>
        </is>
      </c>
      <c r="J1545" s="6" t="inlineStr">
        <is>
          <t>Kaşık olacaktı, kürdan oldu. Kürdanları koğuşa dağıttın; herkes seni sevdi ama sertifika yok.</t>
        </is>
      </c>
      <c r="K1545" s="6" t="inlineStr">
        <is>
          <t>Tahtayı yanlış yerinden oydun; elinde bir “eser” kaldı. Hoca adını “Soyut Dönem” koydu; koğuşta öyle çağrılıyorsun.</t>
        </is>
      </c>
      <c r="L1545" s="6" t="inlineStr"/>
      <c r="M1545" s="5" t="inlineStr"/>
      <c r="N1545" s="5" t="inlineStr"/>
      <c r="O1545" s="6" t="inlineStr"/>
      <c r="P1545" s="6" t="inlineStr"/>
      <c r="Q1545" s="5" t="inlineStr"/>
      <c r="R1545" s="5" t="inlineStr"/>
      <c r="S1545" s="5" t="inlineStr"/>
      <c r="T1545" s="5" t="inlineStr"/>
      <c r="U1545" s="5" t="inlineStr"/>
      <c r="V1545" s="5" t="inlineStr">
        <is>
          <t>islah-sertifikasi</t>
        </is>
      </c>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is>
          <t>Soyut Dönem</t>
        </is>
      </c>
      <c r="AJ1545" s="5" t="inlineStr"/>
    </row>
    <row r="1546">
      <c r="A1546" s="5" t="inlineStr">
        <is>
          <t>b7-hapis-islah-kursu</t>
        </is>
      </c>
      <c r="B1546" s="5" t="n">
        <v>3</v>
      </c>
      <c r="C1546" s="6" t="inlineStr">
        <is>
          <t>Kişisel gelişim kursunu devral</t>
        </is>
      </c>
      <c r="D1546" s="5" t="inlineStr">
        <is>
          <t>Pişkinlik</t>
        </is>
      </c>
      <c r="E1546" s="5" t="inlineStr">
        <is>
          <t>Zor</t>
        </is>
      </c>
      <c r="F1546" s="5" t="inlineStr"/>
      <c r="G1546" s="6" t="inlineStr"/>
      <c r="H1546" s="6" t="inlineStr">
        <is>
          <t>Hocayı bir haftada koltuğundan ettin; derse artık sen giriyorsun. Konu: “Koğuşta Verimlilik.” Katılım zorunlu değil ama başka program yok.</t>
        </is>
      </c>
      <c r="I1546" s="6" t="inlineStr">
        <is>
          <t>Öbür koğuşlar da derslerini istedi. Son derste eski hoca en arka sıradan el kaldırdı: “Hocam, bir sorum var.” Müdür dosyana “örnek kursiyer” yazdı.</t>
        </is>
      </c>
      <c r="J1546" s="6" t="inlineStr">
        <is>
          <t>Hoca seni ön sıraya oturtup bütün dönem yalnızca sana soru sordu. Kişisel gelişimin boyun tutulması oldu.</t>
        </is>
      </c>
      <c r="K1546" s="6" t="inlineStr">
        <is>
          <t>Derste eski hocayı taklit ettin, o da seni. Koğuş ikinizi karıştırıyor; mektupların ona gidiyor.</t>
        </is>
      </c>
      <c r="L1546" s="6" t="inlineStr"/>
      <c r="M1546" s="5" t="inlineStr"/>
      <c r="N1546" s="5" t="inlineStr"/>
      <c r="O1546" s="6" t="inlineStr"/>
      <c r="P1546" s="6" t="inlineStr"/>
      <c r="Q1546" s="5" t="inlineStr"/>
      <c r="R1546" s="5" t="inlineStr"/>
      <c r="S1546" s="5" t="inlineStr"/>
      <c r="T1546" s="5" t="inlineStr">
        <is>
          <t>Tezgâh Ağzı</t>
        </is>
      </c>
      <c r="U1546" s="5" t="inlineStr"/>
      <c r="V1546" s="5" t="inlineStr">
        <is>
          <t>islah-sertifikasi</t>
        </is>
      </c>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b7-hapis-af-soylentisi</t>
        </is>
      </c>
      <c r="B1547" s="5" t="n">
        <v>1</v>
      </c>
      <c r="C1547" s="6" t="inlineStr">
        <is>
          <t>Söylentiye inanma, günleri say</t>
        </is>
      </c>
      <c r="D1547" s="5" t="inlineStr"/>
      <c r="E1547" s="5" t="inlineStr"/>
      <c r="F1547" s="5" t="inlineStr">
        <is>
          <t>Dayanıklılık +1</t>
        </is>
      </c>
      <c r="G1547" s="6" t="inlineStr">
        <is>
          <t>Duvara çizgiler çektin; söylentiye değil çizgilere güvendin. Af çıkmadı; çizgilerin doğru çıktı.</t>
        </is>
      </c>
      <c r="H1547" s="6" t="inlineStr"/>
      <c r="I1547" s="6" t="inlineStr"/>
      <c r="J1547" s="6" t="inlineStr"/>
      <c r="K1547" s="6" t="inlineStr"/>
      <c r="L1547" s="6" t="inlineStr"/>
      <c r="M1547" s="5" t="inlineStr"/>
      <c r="N1547" s="5" t="inlineStr"/>
      <c r="O1547" s="6" t="inlineStr"/>
      <c r="P1547" s="6" t="inlineStr"/>
      <c r="Q1547" s="5" t="inlineStr"/>
      <c r="R1547" s="5" t="inlineStr"/>
      <c r="S1547" s="5" t="inlineStr"/>
      <c r="T1547" s="5" t="inlineStr"/>
      <c r="U1547" s="5" t="inlineStr"/>
      <c r="V1547" s="5" t="inlineStr"/>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c r="AJ1547" s="5" t="inlineStr"/>
    </row>
    <row r="1548">
      <c r="A1548" s="5" t="inlineStr">
        <is>
          <t>b7-hapis-af-soylentisi</t>
        </is>
      </c>
      <c r="B1548" s="5" t="n">
        <v>2</v>
      </c>
      <c r="C1548" s="6" t="inlineStr">
        <is>
          <t>Söylentiyi büyüt</t>
        </is>
      </c>
      <c r="D1548" s="5" t="inlineStr">
        <is>
          <t>Çene</t>
        </is>
      </c>
      <c r="E1548" s="5" t="inlineStr">
        <is>
          <t>Orta</t>
        </is>
      </c>
      <c r="F1548" s="5" t="inlineStr"/>
      <c r="G1548" s="6" t="inlineStr"/>
      <c r="H1548" s="6" t="inlineStr">
        <is>
          <t>Söylentiye bir tarih, bir madde numarası ve bir “kaynak” ekledin. Koğuş iki hafta mutlu yaşadı; iki hafta az değil.</t>
        </is>
      </c>
      <c r="I1548" s="6" t="inlineStr">
        <is>
          <t>Öbür koğuşlar tarihi senden teyit etmeye başladı. Af çıkmadı; ama çaycı takvimdeki tarihin yanına adını yazdı: “Kaynak.”</t>
        </is>
      </c>
      <c r="J1548" s="6" t="inlineStr">
        <is>
          <t>Söylentiyi büyütmek istedin; çaycı düzeltti: “O madde geçen yıl konuşuldu.” Kaynaklık çaycıda kaldı.</t>
        </is>
      </c>
      <c r="K1548" s="6" t="inlineStr">
        <is>
          <t>Söylentin gardiyanlara kadar ulaştı; onlar da inanıp izin planı yaptı. Af çıkmayınca kimse sana çay vermedi.</t>
        </is>
      </c>
      <c r="L1548" s="6" t="inlineStr"/>
      <c r="M1548" s="5" t="inlineStr"/>
      <c r="N1548" s="5" t="inlineStr"/>
      <c r="O1548" s="6" t="inlineStr"/>
      <c r="P1548" s="6" t="inlineStr"/>
      <c r="Q1548" s="5" t="inlineStr"/>
      <c r="R1548" s="5" t="inlineStr"/>
      <c r="S1548" s="5" t="inlineStr"/>
      <c r="T1548" s="5" t="inlineStr"/>
      <c r="U1548" s="5" t="inlineStr"/>
      <c r="V1548" s="5" t="inlineStr"/>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3</v>
      </c>
      <c r="C1549" s="6" t="inlineStr">
        <is>
          <t>Avukata mektup yaz</t>
        </is>
      </c>
      <c r="D1549" s="5" t="inlineStr">
        <is>
          <t>Akıl</t>
        </is>
      </c>
      <c r="E1549" s="5" t="inlineStr">
        <is>
          <t>Orta</t>
        </is>
      </c>
      <c r="F1549" s="5" t="inlineStr"/>
      <c r="G1549" s="6" t="inlineStr"/>
      <c r="H1549" s="6" t="inlineStr">
        <is>
          <t>Mektubu madde numaralarıyla üç kez yazdın. Avukat cevap verdi: “Dosyanda iyi hâl indirimi var.” Çıkış tarihini takvime işledin.</t>
        </is>
      </c>
      <c r="I1549" s="6" t="inlineStr">
        <is>
          <t>Avukat mektubunu öbür müvekkillerine örnek gösteriyor. İyi hâl dosyan kalınlaştı; kapı görünür oldu.</t>
        </is>
      </c>
      <c r="J1549" s="6" t="inlineStr">
        <is>
          <t>Avukat cevap vermedi; mektubu yanlış adrese göndermişsin. Başka bir avukat okudu, kartvizit yolladı.</t>
        </is>
      </c>
      <c r="K1549" s="6" t="inlineStr">
        <is>
          <t>Avukatın adını yanlış yazdın. Cevap geldi: “Ben o değilim ama geçmiş olsun.” Bir de fatura.</t>
        </is>
      </c>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b7-cezaevi-kapisi</t>
        </is>
      </c>
      <c r="B1550" s="5" t="n">
        <v>1</v>
      </c>
      <c r="C1550" s="6" t="inlineStr">
        <is>
          <t>Islah kursundan esnaflığa geç</t>
        </is>
      </c>
      <c r="D1550" s="5" t="inlineStr"/>
      <c r="E1550" s="5" t="inlineStr"/>
      <c r="F1550" s="5" t="inlineStr">
        <is>
          <t>Dayanıklılık +1, İtibar +1</t>
        </is>
      </c>
      <c r="G1550" s="6" t="inlineStr">
        <is>
          <t>Mahallede küçük bir dükkân kiraladın; tabelaya “Kursta öğrendim” yazdırdın. İlk gün annen kapıya bir saksı fesleğen koydu: “Nazar değmesin.”</t>
        </is>
      </c>
      <c r="H1550" s="6" t="inlineStr"/>
      <c r="I1550" s="6" t="inlineStr"/>
      <c r="J1550" s="6" t="inlineStr"/>
      <c r="K1550" s="6" t="inlineStr"/>
      <c r="L1550" s="6" t="inlineStr"/>
      <c r="M1550" s="5" t="inlineStr"/>
      <c r="N1550" s="5" t="inlineStr"/>
      <c r="O1550" s="6" t="inlineStr"/>
      <c r="P1550" s="6" t="inlineStr"/>
      <c r="Q1550" s="5" t="inlineStr"/>
      <c r="R1550" s="5" t="inlineStr"/>
      <c r="S1550" s="5" t="inlineStr"/>
      <c r="T1550" s="5" t="inlineStr"/>
      <c r="U1550" s="5" t="inlineStr">
        <is>
          <t>-hat-cete, -hat-dolandirici, -hat-girisimci, -hat-goc, -hat-hekim, -hat-koy, -hat-polis, -hat-politika, -hat-sohret, -hat-usta, -hat-yargi, -meslek-beyazyaka, -meslek-memur, -meslek-serbest, meslek-esnaf, -hapis, eski-hukumlu</t>
        </is>
      </c>
      <c r="V1550" s="5" t="inlineStr"/>
      <c r="W1550" s="5" t="inlineStr"/>
      <c r="X1550" s="5" t="inlineStr"/>
      <c r="Y1550" s="5" t="inlineStr"/>
      <c r="Z1550" s="6" t="inlineStr"/>
      <c r="AA1550" s="5" t="inlineStr"/>
      <c r="AB1550" s="5" t="inlineStr"/>
      <c r="AC1550" s="5" t="inlineStr"/>
      <c r="AD1550" s="5" t="inlineStr">
        <is>
          <t>Fakir</t>
        </is>
      </c>
      <c r="AE1550" s="5" t="inlineStr"/>
      <c r="AF1550" s="5" t="inlineStr"/>
      <c r="AG1550" s="5" t="inlineStr"/>
      <c r="AH1550" s="5" t="inlineStr"/>
      <c r="AI1550" s="5" t="inlineStr"/>
      <c r="AJ1550" s="5" t="inlineStr"/>
    </row>
    <row r="1551">
      <c r="A1551" s="5" t="inlineStr">
        <is>
          <t>b7-cezaevi-kapisi</t>
        </is>
      </c>
      <c r="B1551" s="5" t="n">
        <v>2</v>
      </c>
      <c r="C1551" s="6" t="inlineStr">
        <is>
          <t>Eski işine dön</t>
        </is>
      </c>
      <c r="D1551" s="5" t="inlineStr"/>
      <c r="E1551" s="5" t="inlineStr"/>
      <c r="F1551" s="5" t="inlineStr">
        <is>
          <t>Pişkinlik +1, Cesaret +1</t>
        </is>
      </c>
      <c r="G1551" s="6" t="inlineStr">
        <is>
          <t>Eski telefonunu açtın: kırk iki cevapsız arama. Hiçbiri seni özlememiş, hepsi işi soruyor. Kaldığın yerden devam; biraz daha dikkatli.</t>
        </is>
      </c>
      <c r="H1551" s="6" t="inlineStr"/>
      <c r="I1551" s="6" t="inlineStr"/>
      <c r="J1551" s="6" t="inlineStr"/>
      <c r="K1551" s="6" t="inlineStr"/>
      <c r="L1551" s="6" t="inlineStr"/>
      <c r="M1551" s="5" t="inlineStr"/>
      <c r="N1551" s="5" t="inlineStr"/>
      <c r="O1551" s="6" t="inlineStr"/>
      <c r="P1551" s="6" t="inlineStr"/>
      <c r="Q1551" s="5" t="inlineStr"/>
      <c r="R1551" s="5" t="inlineStr"/>
      <c r="S1551" s="5" t="inlineStr"/>
      <c r="T1551" s="5" t="inlineStr"/>
      <c r="U1551" s="5" t="inlineStr">
        <is>
          <t>-hapis, eski-hukumlu</t>
        </is>
      </c>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3</v>
      </c>
      <c r="C1552" s="6" t="inlineStr">
        <is>
          <t>Koğuş anılarını kitap yap</t>
        </is>
      </c>
      <c r="D1552" s="5" t="inlineStr">
        <is>
          <t>Çene</t>
        </is>
      </c>
      <c r="E1552" s="5" t="inlineStr">
        <is>
          <t>Zor</t>
        </is>
      </c>
      <c r="F1552" s="5" t="inlineStr"/>
      <c r="G1552" s="6" t="inlineStr"/>
      <c r="H1552" s="6" t="inlineStr">
        <is>
          <t>“Koğuşta Çay Nasıl Demlenir” çıktı. İlk imza gününe çaycı da geldi; kitaba bakmadan “Şekeri az yazmışsın” dedi.</t>
        </is>
      </c>
      <c r="I1552" s="6" t="inlineStr">
        <is>
          <t>Kitap çok satanlar rafında. Bir yapımcı dizisini çekmek istiyor; sen kendi rolünü oynamak istedin, kabul etti.</t>
        </is>
      </c>
      <c r="J1552" s="6" t="inlineStr">
        <is>
          <t>Kitabı yazdın, yayınevi “Bu fazla gerçekçi” dedi. Taslak çekmecede; sen eski hayatına dönüyorsun.</t>
        </is>
      </c>
      <c r="K1552" s="6" t="inlineStr">
        <is>
          <t>Kitap basıldı. Koğuştaki herkesi gerçek lakabıyla yazmıştın; ilk imza gününe hepsi geldi, kitap almak için değil. Yayınevi ikinci baskıyı lakapsız yaptı; o baskı satmadı.</t>
        </is>
      </c>
      <c r="L1552" s="6" t="inlineStr"/>
      <c r="M1552" s="5" t="inlineStr"/>
      <c r="N1552" s="5" t="inlineStr"/>
      <c r="O1552" s="6" t="inlineStr"/>
      <c r="P1552" s="6" t="inlineStr"/>
      <c r="Q1552" s="5" t="inlineStr"/>
      <c r="R1552" s="5" t="inlineStr"/>
      <c r="S1552" s="5" t="inlineStr"/>
      <c r="T1552" s="5" t="inlineStr"/>
      <c r="U1552" s="5" t="inlineStr"/>
      <c r="V1552" s="5" t="inlineStr">
        <is>
          <t>-hat-cete, -hat-dolandirici, -hat-girisimci, -hat-goc, -hat-hekim, -hat-koy, -hat-polis, -hat-politika, -hat-usta, -hat-yargi, -meslek-beyazyaka, -meslek-esnaf, -meslek-memur, hat-sohret, meslek-serbest, -hapis, eski-hukumlu</t>
        </is>
      </c>
      <c r="W1552" s="5" t="inlineStr">
        <is>
          <t>-hapis, eski-hukumlu</t>
        </is>
      </c>
      <c r="X1552" s="5" t="inlineStr"/>
      <c r="Y1552" s="5" t="inlineStr"/>
      <c r="Z1552" s="6" t="inlineStr"/>
      <c r="AA1552" s="5" t="inlineStr"/>
      <c r="AB1552" s="5" t="inlineStr">
        <is>
          <t>-hapis, eski-hukumlu</t>
        </is>
      </c>
      <c r="AC1552" s="5" t="inlineStr"/>
      <c r="AD1552" s="5" t="inlineStr"/>
      <c r="AE1552" s="5" t="inlineStr"/>
      <c r="AF1552" s="5" t="inlineStr"/>
      <c r="AG1552" s="5" t="inlineStr"/>
      <c r="AH1552" s="5" t="inlineStr"/>
      <c r="AI1552" s="5" t="inlineStr"/>
      <c r="AJ1552" s="5" t="inlineStr"/>
    </row>
    <row r="1553">
      <c r="A1553" s="5" t="inlineStr">
        <is>
          <t>b7-cezaevi-kapisi</t>
        </is>
      </c>
      <c r="B1553" s="5" t="n">
        <v>4</v>
      </c>
      <c r="C1553" s="6" t="inlineStr">
        <is>
          <t>“Sistemi içeriden tanıyorum” diye siyasete gir</t>
        </is>
      </c>
      <c r="D1553" s="5" t="inlineStr">
        <is>
          <t>Pişkinlik</t>
        </is>
      </c>
      <c r="E1553" s="5" t="inlineStr">
        <is>
          <t>Zor</t>
        </is>
      </c>
      <c r="F1553" s="5" t="inlineStr"/>
      <c r="G1553" s="6" t="inlineStr"/>
      <c r="H1553" s="6" t="inlineStr">
        <is>
          <t>Slogan tuttu. Bir partinin ilçe teşkilatı seni kapıda karşıladı; ilk mitingde en önde koğuştan çıkmış arkadaşların alkışlıyordu.</t>
        </is>
      </c>
      <c r="I1553" s="6" t="inlineStr">
        <is>
          <t>Sloganın afişlere basıldı. Rakiplerinin geçmişi sorulunca “Benimki belli” diyorsun; salon ayağa kalkıyor.</t>
        </is>
      </c>
      <c r="J1553" s="6" t="inlineStr">
        <is>
          <t>Parti binasında sloganını söyledin. Kapıdaki görevli başını salladı: “Bu hafta üçüncü geliyor bu slogan. Öbürleri de içeriden.” Eski hayatına döndün.</t>
        </is>
      </c>
      <c r="K1553" s="6" t="inlineStr">
        <is>
          <t>Eski hayatına döndün; ama önce kürsüde “Sistemi içeriden tanıyorum” dedin ve arkadan biri bağırdı: “Biz de seni içeriden tanıyoruz.”</t>
        </is>
      </c>
      <c r="L1553" s="6" t="inlineStr"/>
      <c r="M1553" s="5" t="inlineStr"/>
      <c r="N1553" s="5" t="inlineStr"/>
      <c r="O1553" s="6" t="inlineStr"/>
      <c r="P1553" s="6" t="inlineStr"/>
      <c r="Q1553" s="5" t="inlineStr"/>
      <c r="R1553" s="5" t="inlineStr"/>
      <c r="S1553" s="5" t="inlineStr"/>
      <c r="T1553" s="5" t="inlineStr"/>
      <c r="U1553" s="5" t="inlineStr"/>
      <c r="V1553" s="5" t="inlineStr">
        <is>
          <t>-hat-cete, -hat-dolandirici, -hat-girisimci, -hat-goc, -hat-hekim, -hat-koy, -hat-polis, -hat-sohret, -hat-usta, -hat-yargi, -meslek-beyazyaka, -meslek-esnaf, -meslek-memur, -meslek-serbest, hat-politika, -hapis, eski-hukumlu</t>
        </is>
      </c>
      <c r="W1553" s="5" t="inlineStr">
        <is>
          <t>-hapis, eski-hukumlu</t>
        </is>
      </c>
      <c r="X1553" s="5" t="inlineStr"/>
      <c r="Y1553" s="5" t="inlineStr"/>
      <c r="Z1553" s="6" t="inlineStr"/>
      <c r="AA1553" s="5" t="inlineStr"/>
      <c r="AB1553" s="5" t="inlineStr">
        <is>
          <t>-hapis, eski-hukumlu</t>
        </is>
      </c>
      <c r="AC1553" s="5" t="inlineStr"/>
      <c r="AD1553" s="5" t="inlineStr"/>
      <c r="AE1553" s="5" t="inlineStr"/>
      <c r="AF1553" s="5" t="inlineStr"/>
      <c r="AG1553" s="5" t="inlineStr"/>
      <c r="AH1553" s="5" t="inlineStr"/>
      <c r="AI1553" s="5" t="inlineStr"/>
      <c r="AJ1553" s="5" t="inlineStr"/>
    </row>
    <row r="1554">
      <c r="A1554" s="5" t="inlineStr">
        <is>
          <t>b7-cezaevi-kapisi</t>
        </is>
      </c>
      <c r="B1554" s="5" t="n">
        <v>5</v>
      </c>
      <c r="C1554" s="6" t="inlineStr">
        <is>
          <t>Mahallenin kefaletiyle iş bul</t>
        </is>
      </c>
      <c r="D1554" s="5" t="inlineStr"/>
      <c r="E1554" s="5" t="inlineStr"/>
      <c r="F1554" s="5" t="inlineStr">
        <is>
          <t>İtibar +1, Dayanıklılık +1</t>
        </is>
      </c>
      <c r="G1554" s="6" t="inlineStr">
        <is>
          <t>Kapıda seni çarşının en eski esnafı bekliyordu: “Senin için söz verdim, dükkânın arka tarafı senin.” Mahallede kimse geçmişini sormadı; sordurmadılar.</t>
        </is>
      </c>
      <c r="H1554" s="6" t="inlineStr"/>
      <c r="I1554" s="6" t="inlineStr"/>
      <c r="J1554" s="6" t="inlineStr"/>
      <c r="K1554" s="6" t="inlineStr"/>
      <c r="L1554" s="6" t="inlineStr"/>
      <c r="M1554" s="5" t="inlineStr"/>
      <c r="N1554" s="5" t="inlineStr"/>
      <c r="O1554" s="6" t="inlineStr"/>
      <c r="P1554" s="6" t="inlineStr"/>
      <c r="Q1554" s="5" t="inlineStr"/>
      <c r="R1554" s="5" t="inlineStr"/>
      <c r="S1554" s="5" t="inlineStr"/>
      <c r="T1554" s="5" t="inlineStr"/>
      <c r="U1554" s="5" t="inlineStr">
        <is>
          <t>-hat-cete, -hat-dolandirici, -hat-girisimci, -hat-goc, -hat-hekim, -hat-koy, -hat-polis, -hat-politika, -hat-sohret, -hat-usta, -hat-yargi, -meslek-beyazyaka, -meslek-memur, -meslek-serbest, meslek-esnaf, -hapis, eski-hukumlu, -ceza-indirimi</t>
        </is>
      </c>
      <c r="V1554" s="5" t="inlineStr"/>
      <c r="W1554" s="5" t="inlineStr"/>
      <c r="X1554" s="5" t="inlineStr"/>
      <c r="Y1554" s="5" t="inlineStr"/>
      <c r="Z1554" s="6" t="inlineStr"/>
      <c r="AA1554" s="5" t="inlineStr"/>
      <c r="AB1554" s="5" t="inlineStr"/>
      <c r="AC1554" s="5" t="inlineStr"/>
      <c r="AD1554" s="5" t="inlineStr">
        <is>
          <t>Fakir</t>
        </is>
      </c>
      <c r="AE1554" s="5" t="inlineStr"/>
      <c r="AF1554" s="5" t="inlineStr"/>
      <c r="AG1554" s="5" t="inlineStr"/>
      <c r="AH1554" s="5" t="inlineStr">
        <is>
          <t>İtibar 37</t>
        </is>
      </c>
      <c r="AI1554" s="5" t="inlineStr"/>
      <c r="AJ1554" s="5" t="inlineStr"/>
    </row>
    <row r="1555">
      <c r="A1555" s="5" t="inlineStr">
        <is>
          <t>b8-hapis-tavla-turnuvasi</t>
        </is>
      </c>
      <c r="B1555" s="5" t="n">
        <v>1</v>
      </c>
      <c r="C1555" s="6" t="inlineStr">
        <is>
          <t>Hikmet Amca'ya kazandır</t>
        </is>
      </c>
      <c r="D1555" s="5" t="inlineStr"/>
      <c r="E1555" s="5" t="inlineStr"/>
      <c r="F1555" s="5" t="inlineStr">
        <is>
          <t>İtibar +1, Sosyal Radar +1</t>
        </is>
      </c>
      <c r="G1555" s="6" t="inlineStr">
        <is>
          <t>Son elde bir pulu bile bile açık bıraktın. Hikmet Amca kazandı, Fikriye'yi öptü. Akşam koğuşuna bir tepsi revani geldi; notta tek kelime: “Gördüm.”</t>
        </is>
      </c>
      <c r="H1555" s="6" t="inlineStr"/>
      <c r="I1555" s="6" t="inlineStr"/>
      <c r="J1555" s="6" t="inlineStr"/>
      <c r="K1555" s="6" t="inlineStr"/>
      <c r="L1555" s="6" t="inlineStr"/>
      <c r="M1555" s="5" t="inlineStr"/>
      <c r="N1555" s="5" t="inlineStr"/>
      <c r="O1555" s="6" t="inlineStr"/>
      <c r="P1555" s="6" t="inlineStr"/>
      <c r="Q1555" s="5" t="inlineStr"/>
      <c r="R1555" s="5" t="inlineStr"/>
      <c r="S1555" s="5" t="inlineStr"/>
      <c r="T1555" s="5" t="inlineStr"/>
      <c r="U1555" s="5" t="inlineStr"/>
      <c r="V1555" s="5" t="inlineStr"/>
      <c r="W1555" s="5" t="inlineStr"/>
      <c r="X1555" s="5" t="inlineStr"/>
      <c r="Y1555" s="5" t="inlineStr"/>
      <c r="Z1555" s="6" t="inlineStr"/>
      <c r="AA1555" s="5" t="inlineStr"/>
      <c r="AB1555" s="5" t="inlineStr"/>
      <c r="AC1555" s="5" t="inlineStr"/>
      <c r="AD1555" s="5" t="inlineStr"/>
      <c r="AE1555" s="5" t="inlineStr"/>
      <c r="AF1555" s="5" t="inlineStr"/>
      <c r="AG1555" s="5" t="inlineStr"/>
      <c r="AH1555" s="5" t="inlineStr"/>
      <c r="AI1555" s="5" t="inlineStr"/>
      <c r="AJ1555" s="5" t="inlineStr"/>
    </row>
    <row r="1556">
      <c r="A1556" s="5" t="inlineStr">
        <is>
          <t>b8-hapis-tavla-turnuvasi</t>
        </is>
      </c>
      <c r="B1556" s="5" t="n">
        <v>2</v>
      </c>
      <c r="C1556" s="6" t="inlineStr">
        <is>
          <t>Kazanmak için oyna</t>
        </is>
      </c>
      <c r="D1556" s="5" t="inlineStr">
        <is>
          <t>Kurnazlık</t>
        </is>
      </c>
      <c r="E1556" s="5" t="inlineStr">
        <is>
          <t>Zor</t>
        </is>
      </c>
      <c r="F1556" s="5" t="inlineStr"/>
      <c r="G1556" s="6" t="inlineStr"/>
      <c r="H1556" s="6" t="inlineStr">
        <is>
          <t>Üç elin ikisini aldın. Hikmet Amca elini sıktı: “Nuriye bugün küstü.” Kupa, boş bir reçel kavanozu, artık pencerende.</t>
        </is>
      </c>
      <c r="I1556" s="6" t="inlineStr">
        <is>
          <t>Mars! Hikmet Amca uzun uzun tahtaya baktı, sonra Nuriye'yi avucuna koydu: “Bundan sonra senin. Bana zaten çok yalan söyledi.”</t>
        </is>
      </c>
      <c r="J1556" s="6" t="inlineStr">
        <is>
          <t>Hikmet Amca seni sakin sakin yendi. Kupayı aldı, sonra sana verdi: “Bende otuz tane var.”</t>
        </is>
      </c>
      <c r="K1556" s="6" t="inlineStr">
        <is>
          <t>Zarı öyle hırsla attın ki Hikmet Amca'nın çay bardağına düştü. Altı geldi. Hikmet Amca “Çaydan gelen sayılmaz” dedi; koğuş ikiye bölündü, Hikmet Amca bir ay konuşmadı.</t>
        </is>
      </c>
      <c r="L1556" s="6" t="inlineStr"/>
      <c r="M1556" s="5" t="inlineStr"/>
      <c r="N1556" s="5" t="inlineStr"/>
      <c r="O1556" s="6" t="inlineStr"/>
      <c r="P1556" s="6" t="inlineStr"/>
      <c r="Q1556" s="5" t="inlineStr"/>
      <c r="R1556" s="5" t="inlineStr"/>
      <c r="S1556" s="5" t="inlineStr"/>
      <c r="T1556" s="5" t="inlineStr">
        <is>
          <t>Tavla Kurdu</t>
        </is>
      </c>
      <c r="U1556" s="5" t="inlineStr"/>
      <c r="V1556" s="5" t="inlineStr">
        <is>
          <t>kogus-dostu</t>
        </is>
      </c>
      <c r="W1556" s="5" t="inlineStr"/>
      <c r="X1556" s="5" t="inlineStr"/>
      <c r="Y1556" s="5" t="inlineStr"/>
      <c r="Z1556" s="6" t="inlineStr"/>
      <c r="AA1556" s="5" t="inlineStr"/>
      <c r="AB1556" s="5" t="inlineStr"/>
      <c r="AC1556" s="5" t="inlineStr"/>
      <c r="AD1556" s="5" t="inlineStr"/>
      <c r="AE1556" s="5" t="inlineStr"/>
      <c r="AF1556" s="5" t="inlineStr"/>
      <c r="AG1556" s="5" t="inlineStr"/>
      <c r="AH1556" s="5" t="inlineStr"/>
      <c r="AI1556" s="5" t="inlineStr"/>
      <c r="AJ1556" s="5" t="inlineStr"/>
    </row>
    <row r="1557">
      <c r="A1557" s="5" t="inlineStr">
        <is>
          <t>b8-hapis-tavla-turnuvasi</t>
        </is>
      </c>
      <c r="B1557" s="5" t="n">
        <v>3</v>
      </c>
      <c r="C1557" s="6" t="inlineStr">
        <is>
          <t>Turnuvanın hakemi ol</t>
        </is>
      </c>
      <c r="D1557" s="5" t="inlineStr">
        <is>
          <t>Sosyal Radar</t>
        </is>
      </c>
      <c r="E1557" s="5" t="inlineStr">
        <is>
          <t>Orta</t>
        </is>
      </c>
      <c r="F1557" s="5" t="inlineStr"/>
      <c r="G1557" s="6" t="inlineStr"/>
      <c r="H1557" s="6" t="inlineStr">
        <is>
          <t>İki itiraz, bir zar kontrolü, sıfır kavga. Müdür raporuna turnuvanın bu yıl “sakin” geçtiğini yazdı.</t>
        </is>
      </c>
      <c r="I1557" s="6" t="inlineStr">
        <is>
          <t>Öyle tarafsızdın ki finalde iki taraf da sana kızdı; demek ki doğruydu. Ertesi yıl gardiyanlar kendi turnuvalarına seni hakem çağırdı.</t>
        </is>
      </c>
      <c r="J1557" s="6" t="inlineStr">
        <is>
          <t>Bir itirazda “Tekrar atın” dedin; iki taraf da kızdı. Kalan maçları çaycı yönetti.</t>
        </is>
      </c>
      <c r="K1557" s="6" t="inlineStr">
        <is>
          <t>Finalde “Kırık zar, yeniden atın!” dedin. Zar dümdüz duruyordu; Hikmet Amca'nın Nuriye'siydi. İki koğuş birden sana döndü; bir hafta yemekhanede tek başına oturdun.</t>
        </is>
      </c>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b8-hapis-mektup</t>
        </is>
      </c>
      <c r="B1558" s="5" t="n">
        <v>1</v>
      </c>
      <c r="C1558" s="6" t="inlineStr">
        <is>
          <t>Önce kendi ailene yaz</t>
        </is>
      </c>
      <c r="D1558" s="5" t="inlineStr"/>
      <c r="E1558" s="5" t="inlineStr"/>
      <c r="F1558" s="5" t="inlineStr">
        <is>
          <t>Dayanıklılık +1, Gönül +1</t>
        </is>
      </c>
      <c r="G1558" s="6" t="inlineStr">
        <is>
          <t>Üç sayfa yazdın; ikisi hava durumuydu. Cevap iki ay sonra geldi: “Hava burada da öyle.” Satır arasını anladın.</t>
        </is>
      </c>
      <c r="H1558" s="6" t="inlineStr"/>
      <c r="I1558" s="6" t="inlineStr"/>
      <c r="J1558" s="6" t="inlineStr"/>
      <c r="K1558" s="6" t="inlineStr"/>
      <c r="L1558" s="6" t="inlineStr"/>
      <c r="M1558" s="5" t="inlineStr"/>
      <c r="N1558" s="5" t="inlineStr"/>
      <c r="O1558" s="6" t="inlineStr"/>
      <c r="P1558" s="6" t="inlineStr"/>
      <c r="Q1558" s="5" t="inlineStr"/>
      <c r="R1558" s="5" t="inlineStr"/>
      <c r="S1558" s="5" t="inlineStr"/>
      <c r="T1558" s="5" t="inlineStr"/>
      <c r="U1558" s="5" t="inlineStr"/>
      <c r="V1558" s="5" t="inlineStr"/>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b8-hapis-mektup</t>
        </is>
      </c>
      <c r="B1559" s="5" t="n">
        <v>2</v>
      </c>
      <c r="C1559" s="6" t="inlineStr">
        <is>
          <t>Koğuşun mektup kâtibi ol</t>
        </is>
      </c>
      <c r="D1559" s="5" t="inlineStr">
        <is>
          <t>Çene</t>
        </is>
      </c>
      <c r="E1559" s="5" t="inlineStr">
        <is>
          <t>Orta</t>
        </is>
      </c>
      <c r="F1559" s="5" t="inlineStr"/>
      <c r="G1559" s="6" t="inlineStr"/>
      <c r="H1559" s="6" t="inlineStr">
        <is>
          <t>Bir ayda kırk mektup yazdın. En gencin annesi cevap verdi, sana da selam yolladı. Koğuşta adın artık “Kâtip.”</t>
        </is>
      </c>
      <c r="I1559" s="6" t="inlineStr">
        <is>
          <t>Koğuşun en yaşlısının eski sevgilisi cevap yazdı; görüşe geliyor. Koğuş bir hafta boyunca onun saçını taradı, kolonyasını sıktı.</t>
        </is>
      </c>
      <c r="J1559" s="6" t="inlineStr">
        <is>
          <t>Zarfları karıştırdın; vergi dairesinin mektubu en gencin annesine gitti. Anne, evladının borcu sanıp ödedi. Borç başkasınınmış; o da şimdi teşekkür mektubu istiyor.</t>
        </is>
      </c>
      <c r="K1559" s="6" t="inlineStr">
        <is>
          <t>En gencin mektubunu fazla süsledin. Annesinin cevabı geldi: “Bunu sen yazmamışsın. Sen 'özledim' yazmazsın, 'para yolla' yazarsın.” En genç bir hafta seninle konuşmadı.</t>
        </is>
      </c>
      <c r="L1559" s="6" t="inlineStr"/>
      <c r="M1559" s="5" t="inlineStr"/>
      <c r="N1559" s="5" t="inlineStr"/>
      <c r="O1559" s="6" t="inlineStr"/>
      <c r="P1559" s="6" t="inlineStr"/>
      <c r="Q1559" s="5" t="inlineStr"/>
      <c r="R1559" s="5" t="inlineStr"/>
      <c r="S1559" s="5" t="inlineStr"/>
      <c r="T1559" s="5" t="inlineStr"/>
      <c r="U1559" s="5" t="inlineStr"/>
      <c r="V1559" s="5" t="inlineStr">
        <is>
          <t>kogus-dostu</t>
        </is>
      </c>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3</v>
      </c>
      <c r="C1560" s="6" t="inlineStr">
        <is>
          <t>Vergi dairesinin mektubunu üstlen</t>
        </is>
      </c>
      <c r="D1560" s="5" t="inlineStr">
        <is>
          <t>Kurnazlık</t>
        </is>
      </c>
      <c r="E1560" s="5" t="inlineStr">
        <is>
          <t>Orta</t>
        </is>
      </c>
      <c r="F1560" s="5" t="inlineStr"/>
      <c r="G1560" s="6" t="inlineStr"/>
      <c r="H1560" s="6" t="inlineStr">
        <is>
          <t>Kibar bir mektup yazdın; cevap geldi: gecikme faizi silinmiş. Koğuş arkadaşın mektubu yastığının altına koydu; o akşam mandalinasını seninle paylaştı.</t>
        </is>
      </c>
      <c r="I1560" s="6" t="inlineStr">
        <is>
          <t>Mektubun resmîliği daireyi bile şaşırttı; cevapta “Dilekçenizi örnek almak isteriz” yazıyordu. O günden beri koğuşta herkes borcunu sana anlatıyor; ödeyen yok.</t>
        </is>
      </c>
      <c r="J1560" s="6" t="inlineStr">
        <is>
          <t>Daire “Dilekçenizi şahsen veriniz” diye cevap yazdı. Şahsen gitmek şu an biraz zor.</t>
        </is>
      </c>
      <c r="K1560" s="6" t="inlineStr">
        <is>
          <t>Dosya numarasını yanlış yazdın; başka birinin borcu da koğuş arkadaşına geldi. Şimdi iki kişinin borcunu ödüyor ve seni affetmiyor.</t>
        </is>
      </c>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b8-hapis-cay-ocagi</t>
        </is>
      </c>
      <c r="B1561" s="5" t="n">
        <v>1</v>
      </c>
      <c r="C1561" s="6" t="inlineStr">
        <is>
          <t>Demliği Deniz'e bırak</t>
        </is>
      </c>
      <c r="D1561" s="5" t="inlineStr"/>
      <c r="E1561" s="5" t="inlineStr"/>
      <c r="F1561" s="5" t="inlineStr">
        <is>
          <t>İtibar +1, Sosyal Radar +1</t>
        </is>
      </c>
      <c r="G1561" s="6" t="inlineStr">
        <is>
          <t>“Genç öğrensin” dedin. Deniz ilk hafta çayı acı demledi, ikinci hafta öğrendi. Senin bardağın her sabah ilk dolan.</t>
        </is>
      </c>
      <c r="H1561" s="6" t="inlineStr"/>
      <c r="I1561" s="6" t="inlineStr"/>
      <c r="J1561" s="6" t="inlineStr"/>
      <c r="K1561" s="6" t="inlineStr"/>
      <c r="L1561" s="6" t="inlineStr"/>
      <c r="M1561" s="5" t="inlineStr"/>
      <c r="N1561" s="5" t="inlineStr"/>
      <c r="O1561" s="6" t="inlineStr"/>
      <c r="P1561" s="6" t="inlineStr"/>
      <c r="Q1561" s="5" t="inlineStr"/>
      <c r="R1561" s="5" t="inlineStr"/>
      <c r="S1561" s="5" t="inlineStr"/>
      <c r="T1561" s="5" t="inlineStr"/>
      <c r="U1561" s="5" t="inlineStr"/>
      <c r="V1561" s="5" t="inlineStr"/>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b8-hapis-cay-ocagi</t>
        </is>
      </c>
      <c r="B1562" s="5" t="n">
        <v>2</v>
      </c>
      <c r="C1562" s="6" t="inlineStr">
        <is>
          <t>Deniz'le demleme yarışına gir</t>
        </is>
      </c>
      <c r="D1562" s="5" t="inlineStr">
        <is>
          <t>Dayanıklılık</t>
        </is>
      </c>
      <c r="E1562" s="5" t="inlineStr">
        <is>
          <t>Orta</t>
        </is>
      </c>
      <c r="F1562" s="5" t="inlineStr"/>
      <c r="G1562" s="6" t="inlineStr"/>
      <c r="H1562" s="6" t="inlineStr">
        <is>
          <t>Üç demlik, üç tur, jüri bütün koğuş. Kazandın. Deniz bardağını uzattı: “Bir tane daha koy; nasıl yaptığını hâlâ anlamadım.”</t>
        </is>
      </c>
      <c r="I1562" s="6" t="inlineStr">
        <is>
          <t>Çayın öyle iyi oldu ki eski çaycı tahliyesini bir gün erteletmek istedi. Olmadı; gönlü sende kaldı, demlik de.</t>
        </is>
      </c>
      <c r="J1562" s="6" t="inlineStr">
        <is>
          <t>Deniz kazandı. Çayı gerçekten iyiydi; sen de kabul ettin, bir bardak daha isteyerek.</t>
        </is>
      </c>
      <c r="K1562" s="6" t="inlineStr">
        <is>
          <t>Demliği ocakta unuttun, çay kömüre döndü. Koğuş bütün öğleden sonra yanık koktu; eski çaycı kapıdan çıkarken dönüp tek kelime söyledi: “Kömür.”</t>
        </is>
      </c>
      <c r="L1562" s="6" t="inlineStr">
        <is>
          <t>Çayın tavşan kanı olmadı ama içilir oldu. Jüri ikiye bölündü; sabah çayını sen, akşamkini Deniz demleyecek.</t>
        </is>
      </c>
      <c r="M1562" s="5" t="inlineStr">
        <is>
          <t>timing</t>
        </is>
      </c>
      <c r="N1562" s="5" t="inlineStr">
        <is>
          <t>Tavşan Kanı</t>
        </is>
      </c>
      <c r="O1562" s="6" t="inlineStr">
        <is>
          <t>İbre yeşil alandayken DURDUR'a bas. Art arda tutturdukça kombo kazanırsın.</t>
        </is>
      </c>
      <c r="P1562" s="6" t="n"/>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3</v>
      </c>
      <c r="C1563" s="6" t="inlineStr">
        <is>
          <t>Ocağı bir düzene bağla</t>
        </is>
      </c>
      <c r="D1563" s="5" t="inlineStr">
        <is>
          <t>Akıl</t>
        </is>
      </c>
      <c r="E1563" s="5" t="inlineStr">
        <is>
          <t>Orta</t>
        </is>
      </c>
      <c r="F1563" s="5" t="inlineStr"/>
      <c r="G1563" s="6" t="inlineStr"/>
      <c r="H1563" s="6" t="inlineStr">
        <is>
          <t>Şeker listesini deftere geçirdin, sıra çizelgesi astın. İlk kez çay kavgası çıkmadı; herkes düzenden şikâyetçi ama sırasını bekliyor.</t>
        </is>
      </c>
      <c r="I1563" s="6" t="inlineStr">
        <is>
          <t>Düzenin tuttu; müdür çizelgeni bütün koğuşlara dağıttı. Ertesi hafta öbür koğuştan bir pusula geldi: “Sizin çizelge bizde kavga çıkardı. Şekeri kim sayacak?”</t>
        </is>
      </c>
      <c r="J1563" s="6" t="inlineStr">
        <is>
          <t>Çizelgeyi astın; kimse okumadı. Çay yine en yüksek sesle isteyene gitti.</t>
        </is>
      </c>
      <c r="K1563" s="6" t="inlineStr">
        <is>
          <t>Çizelgede kendini ilk sıraya yazdın. Koğuş fark etti; bir hafta herkes senden önce içti, sana sıra hiç gelmedi.</t>
        </is>
      </c>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b8-hapis-gorus-gunu</t>
        </is>
      </c>
      <c r="B1564" s="5" t="n">
        <v>1</v>
      </c>
      <c r="C1564" s="6" t="inlineStr">
        <is>
          <t>Albümü sayfa sayfa gez</t>
        </is>
      </c>
      <c r="D1564" s="5" t="inlineStr"/>
      <c r="E1564" s="5" t="inlineStr"/>
      <c r="F1564" s="5" t="inlineStr">
        <is>
          <t>Dayanıklılık +1, Gönül +1</t>
        </is>
      </c>
      <c r="G1564" s="6" t="inlineStr">
        <is>
          <t>Yirmi dakikada iki düğün, bir mezuniyet, üç bayram gördün. Hepsinde kenarda boş bir sandalye vardı; senin için koymuşlar.</t>
        </is>
      </c>
      <c r="H1564" s="6" t="inlineStr"/>
      <c r="I1564" s="6" t="inlineStr"/>
      <c r="J1564" s="6" t="inlineStr"/>
      <c r="K1564" s="6" t="inlineStr"/>
      <c r="L1564" s="6" t="inlineStr"/>
      <c r="M1564" s="5" t="inlineStr"/>
      <c r="N1564" s="5" t="inlineStr"/>
      <c r="O1564" s="6" t="inlineStr"/>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b8-hapis-gorus-gunu</t>
        </is>
      </c>
      <c r="B1565" s="5" t="n">
        <v>2</v>
      </c>
      <c r="C1565" s="6" t="inlineStr">
        <is>
          <t>Çıkınca yapacaklarını anlat</t>
        </is>
      </c>
      <c r="D1565" s="5" t="inlineStr">
        <is>
          <t>Çene</t>
        </is>
      </c>
      <c r="E1565" s="5" t="inlineStr">
        <is>
          <t>Orta</t>
        </is>
      </c>
      <c r="F1565" s="5" t="inlineStr"/>
      <c r="G1565" s="6" t="inlineStr"/>
      <c r="H1565" s="6" t="inlineStr">
        <is>
          <t>Planlarını öyle anlattın ki ziyaretçin not aldı. Çıkınca tek tek kontrol edecekmiş; sevgiyle.</t>
        </is>
      </c>
      <c r="I1565" s="6" t="inlineStr">
        <is>
          <t>Anlattığın plan öyle iyiydi ki dışarıda hazırlık başladı. Çıktığında bir iş, bir oda ve demlenmiş bir çay bekliyor.</t>
        </is>
      </c>
      <c r="J1565" s="6" t="inlineStr">
        <is>
          <t>Planları anlatırken süre doldu. Son kelimen “Bir de…” oldu; ne olduğunu ikiniz de merak ediyorsunuz.</t>
        </is>
      </c>
      <c r="K1565" s="6" t="inlineStr">
        <is>
          <t>Planlarını anlattın. Ziyaretçin cebinden katlanmış bir kâğıt çıkardı: önceki görüşlerde verdiğin sözler, tarihleriyle. Okumaya başladı; süre listenin yarısında bitti.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3</v>
      </c>
      <c r="C1566" s="6" t="inlineStr">
        <is>
          <t>Yan kabindeki teyzeye yardım et</t>
        </is>
      </c>
      <c r="D1566" s="5" t="inlineStr">
        <is>
          <t>Sosyal Radar</t>
        </is>
      </c>
      <c r="E1566" s="5" t="inlineStr">
        <is>
          <t>Orta</t>
        </is>
      </c>
      <c r="F1566" s="5" t="inlineStr"/>
      <c r="G1566" s="6" t="inlineStr"/>
      <c r="H1566" s="6" t="inlineStr">
        <is>
          <t>Yan kabindeki teyze ahizeyi ters tutuyordu. Düzelttin; evladıyla ilk kez net konuştu. Sana bir poşet kurabiye bıraktı.</t>
        </is>
      </c>
      <c r="I1566" s="6" t="inlineStr">
        <is>
          <t>Teyze her görüşte senin ziyaretçinle aynı otobüse binmeye başladı. Artık iki ailen var; kurabiye de iki kat.</t>
        </is>
      </c>
      <c r="J1566" s="6" t="inlineStr">
        <is>
          <t>Yardım ederken kendi süren bitti. Teyze teşekkür etti; senin ziyaretçin camın ardından el salladı.</t>
        </is>
      </c>
      <c r="K1566" s="6" t="inlineStr">
        <is>
          <t>Ahizeleri karıştırdınız. Teyze senin ziyaretçine evladının bütün marifetlerini anlattı, senin ziyaretçin de teyzeye seninkileri. Süre bitince ikisi kapıda kol kola çıktı; sana el sallamayı unuttular.</t>
        </is>
      </c>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b8-cezaevi-kapisi</t>
        </is>
      </c>
      <c r="B1567" s="5" t="n">
        <v>1</v>
      </c>
      <c r="C1567" s="6" t="inlineStr">
        <is>
          <t>İçeride öğrendiğin sabunla tezgâh aç</t>
        </is>
      </c>
      <c r="D1567" s="5" t="inlineStr"/>
      <c r="E1567" s="5" t="inlineStr"/>
      <c r="F1567" s="5" t="inlineStr">
        <is>
          <t>Dayanıklılık +1, Akıl +1</t>
        </is>
      </c>
      <c r="G1567" s="6" t="inlineStr">
        <is>
          <t>Mahallenin pazarında küçük bir tezgâh açtın; içeride öğrendiğin sabunu satıyorsun. İlk müşterin emekli olmuş eski gardiyandı. Pazarlık etmedi, iki tane aldı.</t>
        </is>
      </c>
      <c r="H1567" s="6" t="inlineStr"/>
      <c r="I1567" s="6" t="inlineStr"/>
      <c r="J1567" s="6" t="inlineStr"/>
      <c r="K1567" s="6" t="inlineStr"/>
      <c r="L1567" s="6" t="inlineStr"/>
      <c r="M1567" s="5" t="inlineStr"/>
      <c r="N1567" s="5" t="inlineStr"/>
      <c r="O1567" s="6" t="inlineStr"/>
      <c r="P1567" s="6" t="inlineStr"/>
      <c r="Q1567" s="5" t="inlineStr"/>
      <c r="R1567" s="5" t="inlineStr"/>
      <c r="S1567" s="5" t="inlineStr"/>
      <c r="T1567" s="5" t="inlineStr"/>
      <c r="U1567" s="5" t="inlineStr">
        <is>
          <t>-hat-cete, -hat-dolandirici, -hat-girisimci, -hat-goc, -hat-hekim, -hat-koy, -hat-polis, -hat-politika, -hat-sohret, -hat-usta, -hat-yargi, -meslek-beyazyaka, -meslek-memur, -meslek-serbest, meslek-esnaf, -hapis, eski-hukumlu</t>
        </is>
      </c>
      <c r="V1567" s="5" t="inlineStr"/>
      <c r="W1567" s="5" t="inlineStr"/>
      <c r="X1567" s="5" t="inlineStr"/>
      <c r="Y1567" s="5" t="inlineStr"/>
      <c r="Z1567" s="6" t="inlineStr"/>
      <c r="AA1567" s="5" t="inlineStr"/>
      <c r="AB1567" s="5" t="inlineStr"/>
      <c r="AC1567" s="5" t="inlineStr"/>
      <c r="AD1567" s="5" t="inlineStr">
        <is>
          <t>Fakir</t>
        </is>
      </c>
      <c r="AE1567" s="5" t="inlineStr"/>
      <c r="AF1567" s="5" t="inlineStr"/>
      <c r="AG1567" s="5" t="inlineStr"/>
      <c r="AH1567" s="5" t="inlineStr"/>
      <c r="AI1567" s="5" t="inlineStr"/>
      <c r="AJ1567" s="5" t="inlineStr"/>
    </row>
    <row r="1568">
      <c r="A1568" s="5" t="inlineStr">
        <is>
          <t>b8-cezaevi-kapisi</t>
        </is>
      </c>
      <c r="B1568" s="5" t="n">
        <v>2</v>
      </c>
      <c r="C1568" s="6" t="inlineStr">
        <is>
          <t>Eski defteri aç</t>
        </is>
      </c>
      <c r="D1568" s="5" t="inlineStr"/>
      <c r="E1568" s="5" t="inlineStr"/>
      <c r="F1568" s="5" t="inlineStr">
        <is>
          <t>Pişkinlik +1, Kurnazlık +1</t>
        </is>
      </c>
      <c r="G1568" s="6" t="inlineStr">
        <is>
          <t>Defterdeki numaraların yarısı artık kullanılmıyor. Tanıyan tek kişi “Sen çıktın mı?” dedi ve kapattı. Masanı yine de kurdun; ilk işin yeni telefonun nasıl açıldığını öğrenmek oldu.</t>
        </is>
      </c>
      <c r="H1568" s="6" t="inlineStr"/>
      <c r="I1568" s="6" t="inlineStr"/>
      <c r="J1568" s="6" t="inlineStr"/>
      <c r="K1568" s="6" t="inlineStr"/>
      <c r="L1568" s="6" t="inlineStr"/>
      <c r="M1568" s="5" t="inlineStr"/>
      <c r="N1568" s="5" t="inlineStr"/>
      <c r="O1568" s="6" t="inlineStr"/>
      <c r="P1568" s="6" t="inlineStr"/>
      <c r="Q1568" s="5" t="inlineStr"/>
      <c r="R1568" s="5" t="inlineStr"/>
      <c r="S1568" s="5" t="inlineStr"/>
      <c r="T1568" s="5" t="inlineStr"/>
      <c r="U1568" s="5" t="inlineStr">
        <is>
          <t>-hapis, eski-hukumlu</t>
        </is>
      </c>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3</v>
      </c>
      <c r="C1569" s="6" t="inlineStr">
        <is>
          <t>Koğuş yıllarını kitap yap</t>
        </is>
      </c>
      <c r="D1569" s="5" t="inlineStr">
        <is>
          <t>Çene</t>
        </is>
      </c>
      <c r="E1569" s="5" t="inlineStr">
        <is>
          <t>Zor</t>
        </is>
      </c>
      <c r="F1569" s="5" t="inlineStr"/>
      <c r="G1569" s="6" t="inlineStr"/>
      <c r="H1569" s="6" t="inlineStr">
        <is>
          <t>“Uzun Koğuş” adlı kitabın çıktı. Bir haber programı seni “yaşayan tanık” diye çağırdı; canlı yayında koğuşa selam gönderdin.</t>
        </is>
      </c>
      <c r="I1569" s="6" t="inlineStr">
        <is>
          <t>Kitap her yerde konuşuldu. İlk imza gününde kuyruğun başında, tahliye sabahı karşı kaldırımda simitle bekleyen yüz vardı. İlk imzayı ona attın; altına bir de “Simit borcum” yazdın.</t>
        </is>
      </c>
      <c r="J1569" s="6" t="inlineStr">
        <is>
          <t>Yayınevi “Anılar çok uzun, okur kısa” dedi. Taslağı dolaba kaldırdın, eski defterini çıkardın.</t>
        </is>
      </c>
      <c r="K1569" s="6" t="inlineStr">
        <is>
          <t>Eski yoluna döndün. Yayınevi kitabını basmış ama kapağa başkasının fotoğrafını koymuştu. İmza gününe gittin; seni içeri almadılar.</t>
        </is>
      </c>
      <c r="L1569" s="6" t="inlineStr"/>
      <c r="M1569" s="5" t="inlineStr"/>
      <c r="N1569" s="5" t="inlineStr"/>
      <c r="O1569" s="6" t="inlineStr"/>
      <c r="P1569" s="6" t="inlineStr"/>
      <c r="Q1569" s="5" t="inlineStr"/>
      <c r="R1569" s="5" t="inlineStr"/>
      <c r="S1569" s="5" t="inlineStr"/>
      <c r="T1569" s="5" t="inlineStr"/>
      <c r="U1569" s="5" t="inlineStr"/>
      <c r="V1569" s="5" t="inlineStr">
        <is>
          <t>-hat-cete, -hat-dolandirici, -hat-girisimci, -hat-goc, -hat-hekim, -hat-koy, -hat-polis, -hat-politika, -hat-usta, -hat-yargi, -meslek-beyazyaka, -meslek-esnaf, -meslek-memur, hat-sohret, meslek-serbest, -hapis, eski-hukumlu</t>
        </is>
      </c>
      <c r="W1569" s="5" t="inlineStr">
        <is>
          <t>-hapis, eski-hukumlu</t>
        </is>
      </c>
      <c r="X1569" s="5" t="inlineStr"/>
      <c r="Y1569" s="5" t="inlineStr"/>
      <c r="Z1569" s="6" t="inlineStr"/>
      <c r="AA1569" s="5" t="inlineStr"/>
      <c r="AB1569" s="5" t="inlineStr">
        <is>
          <t>-hapis, eski-hukumlu</t>
        </is>
      </c>
      <c r="AC1569" s="5" t="inlineStr"/>
      <c r="AD1569" s="5" t="inlineStr"/>
      <c r="AE1569" s="5" t="inlineStr"/>
      <c r="AF1569" s="5" t="inlineStr"/>
      <c r="AG1569" s="5" t="inlineStr"/>
      <c r="AH1569" s="5" t="inlineStr"/>
      <c r="AI1569" s="5" t="inlineStr"/>
      <c r="AJ1569" s="5" t="inlineStr"/>
    </row>
    <row r="1570">
      <c r="A1570" s="5" t="inlineStr">
        <is>
          <t>b8-cezaevi-kapisi</t>
        </is>
      </c>
      <c r="B1570" s="5" t="n">
        <v>4</v>
      </c>
      <c r="C1570" s="6" t="inlineStr">
        <is>
          <t>Afişe “Ben içeriyi gördüm” yaz, siyasete gir</t>
        </is>
      </c>
      <c r="D1570" s="5" t="inlineStr">
        <is>
          <t>Pişkinlik</t>
        </is>
      </c>
      <c r="E1570" s="5" t="inlineStr">
        <is>
          <t>Zor</t>
        </is>
      </c>
      <c r="F1570" s="5" t="inlineStr"/>
      <c r="G1570" s="6" t="inlineStr"/>
      <c r="H1570" s="6" t="inlineStr">
        <is>
          <t>Afişindeki cümle kısaydı: “Ben içeriyi gördüm.” İlk afişi, tahliye sabahı seni simitle bekleyen astı, eğri. Düzeltmene izin vermedi: “Böyle daha samimi.” Koğuştan her hafta bir destek mektubu geliyor.</t>
        </is>
      </c>
      <c r="I1570" s="6" t="inlineStr">
        <is>
          <t>Parti seni cezaevleriyle ilgili bir komisyona önerdi. İlk toplantıda çay ocaklarının yerini değiştirdin; herkes daha rahat, kimse nedenini bilmiyor.</t>
        </is>
      </c>
      <c r="J1570" s="6" t="inlineStr">
        <is>
          <t>Başvuru formunda “Son on yılınızı anlatınız” diye bir kutu vardı. Kutu küçük kaldı. Formu katlayıp cebine koydun; o akşam eski telefon defterini açtın.</t>
        </is>
      </c>
      <c r="K1570" s="6" t="inlineStr">
        <is>
          <t>Eski yoluna döndün. İlk mitingde kalabalığı “Arkadaşlar, sayım var!” diye topladın; yarısı dağıldı, kalan yarısı eski koğuş arkadaşlarındı.</t>
        </is>
      </c>
      <c r="L1570" s="6" t="inlineStr"/>
      <c r="M1570" s="5" t="inlineStr"/>
      <c r="N1570" s="5" t="inlineStr"/>
      <c r="O1570" s="6" t="inlineStr"/>
      <c r="P1570" s="6" t="inlineStr"/>
      <c r="Q1570" s="5" t="inlineStr"/>
      <c r="R1570" s="5" t="inlineStr"/>
      <c r="S1570" s="5" t="inlineStr"/>
      <c r="T1570" s="5" t="inlineStr"/>
      <c r="U1570" s="5" t="inlineStr"/>
      <c r="V1570" s="5" t="inlineStr">
        <is>
          <t>-hat-cete, -hat-dolandirici, -hat-girisimci, -hat-goc, -hat-hekim, -hat-koy, -hat-polis, -hat-sohret, -hat-usta, -hat-yargi, -meslek-beyazyaka, -meslek-esnaf, -meslek-memur, -meslek-serbest, hat-politika, -hapis, eski-hukumlu</t>
        </is>
      </c>
      <c r="W1570" s="5" t="inlineStr">
        <is>
          <t>-hapis, eski-hukumlu</t>
        </is>
      </c>
      <c r="X1570" s="5" t="inlineStr"/>
      <c r="Y1570" s="5" t="inlineStr"/>
      <c r="Z1570" s="6" t="inlineStr"/>
      <c r="AA1570" s="5" t="inlineStr"/>
      <c r="AB1570" s="5" t="inlineStr">
        <is>
          <t>-hapis, eski-hukumlu</t>
        </is>
      </c>
      <c r="AC1570" s="5" t="inlineStr"/>
      <c r="AD1570" s="5" t="inlineStr"/>
      <c r="AE1570" s="5" t="inlineStr"/>
      <c r="AF1570" s="5" t="inlineStr"/>
      <c r="AG1570" s="5" t="inlineStr"/>
      <c r="AH1570" s="5" t="inlineStr"/>
      <c r="AI1570" s="5" t="inlineStr"/>
      <c r="AJ1570" s="5" t="inlineStr"/>
    </row>
    <row r="1571">
      <c r="A1571" s="5" t="inlineStr">
        <is>
          <t>b8-cezaevi-kapisi</t>
        </is>
      </c>
      <c r="B1571" s="5" t="n">
        <v>5</v>
      </c>
      <c r="C1571" s="6" t="inlineStr">
        <is>
          <t>Bakkalın arka deposunda başla</t>
        </is>
      </c>
      <c r="D1571" s="5" t="inlineStr"/>
      <c r="E1571" s="5" t="inlineStr"/>
      <c r="F1571" s="5" t="inlineStr">
        <is>
          <t>İtibar +1, Dayanıklılık +1</t>
        </is>
      </c>
      <c r="G1571" s="6" t="inlineStr">
        <is>
          <t>Mahalleye döndüğün akşam bakkal kepengi yarıya indirip çıktı, eline bir anahtar tutuşturdu: “Arka depo senin, kirası sonra.” Veresiye defterine ilk satırı kendi elinle yazdın: “Kira, sonra.”</t>
        </is>
      </c>
      <c r="H1571" s="6" t="inlineStr"/>
      <c r="I1571" s="6" t="inlineStr"/>
      <c r="J1571" s="6" t="inlineStr"/>
      <c r="K1571" s="6" t="inlineStr"/>
      <c r="L1571" s="6" t="inlineStr"/>
      <c r="M1571" s="5" t="inlineStr"/>
      <c r="N1571" s="5" t="inlineStr"/>
      <c r="O1571" s="6" t="inlineStr"/>
      <c r="P1571" s="6" t="inlineStr"/>
      <c r="Q1571" s="5" t="inlineStr"/>
      <c r="R1571" s="5" t="inlineStr"/>
      <c r="S1571" s="5" t="inlineStr"/>
      <c r="T1571" s="5" t="inlineStr"/>
      <c r="U1571" s="5" t="inlineStr">
        <is>
          <t>-hat-cete, -hat-dolandirici, -hat-girisimci, -hat-goc, -hat-hekim, -hat-koy, -hat-polis, -hat-politika, -hat-sohret, -hat-usta, -hat-yargi, -meslek-beyazyaka, -meslek-memur, -meslek-serbest, meslek-esnaf, -hapis, eski-hukumlu, -ceza-indirimi</t>
        </is>
      </c>
      <c r="V1571" s="5" t="inlineStr"/>
      <c r="W1571" s="5" t="inlineStr"/>
      <c r="X1571" s="5" t="inlineStr"/>
      <c r="Y1571" s="5" t="inlineStr"/>
      <c r="Z1571" s="6" t="inlineStr"/>
      <c r="AA1571" s="5" t="inlineStr"/>
      <c r="AB1571" s="5" t="inlineStr"/>
      <c r="AC1571" s="5" t="inlineStr"/>
      <c r="AD1571" s="5" t="inlineStr">
        <is>
          <t>Fakir</t>
        </is>
      </c>
      <c r="AE1571" s="5" t="inlineStr"/>
      <c r="AF1571" s="5" t="inlineStr"/>
      <c r="AG1571" s="5" t="inlineStr"/>
      <c r="AH1571" s="5" t="inlineStr">
        <is>
          <t>İtibar 37</t>
        </is>
      </c>
      <c r="AI1571" s="5" t="inlineStr"/>
      <c r="AJ1571" s="5" t="inlineStr"/>
    </row>
    <row r="1572">
      <c r="A1572" s="5" t="inlineStr">
        <is>
          <t>b9-cezaevi-kapisi</t>
        </is>
      </c>
      <c r="B1572" s="5" t="n">
        <v>1</v>
      </c>
      <c r="C1572" s="6" t="inlineStr">
        <is>
          <t>Mahallede küçük bir tamirci aç</t>
        </is>
      </c>
      <c r="D1572" s="5" t="inlineStr"/>
      <c r="E1572" s="5" t="inlineStr"/>
      <c r="F1572" s="5" t="inlineStr">
        <is>
          <t>Dayanıklılık +1, Sosyal Radar +1</t>
        </is>
      </c>
      <c r="G1572" s="6" t="inlineStr">
        <is>
          <t>Saat, radyo, bir de gönül tamiri. Müşterilerin çoğu emekli; sohbet uzun, iş kısa. Kimse acele etmiyor, en çok da sen.</t>
        </is>
      </c>
      <c r="H1572" s="6" t="inlineStr"/>
      <c r="I1572" s="6" t="inlineStr"/>
      <c r="J1572" s="6" t="inlineStr"/>
      <c r="K1572" s="6" t="inlineStr"/>
      <c r="L1572" s="6" t="inlineStr"/>
      <c r="M1572" s="5" t="inlineStr"/>
      <c r="N1572" s="5" t="inlineStr"/>
      <c r="O1572" s="6" t="inlineStr"/>
      <c r="P1572" s="6" t="inlineStr"/>
      <c r="Q1572" s="5" t="inlineStr"/>
      <c r="R1572" s="5" t="inlineStr"/>
      <c r="S1572" s="5" t="inlineStr"/>
      <c r="T1572" s="5" t="inlineStr"/>
      <c r="U1572" s="5" t="inlineStr">
        <is>
          <t>-hat-cete, -hat-dolandirici, -hat-girisimci, -hat-goc, -hat-hekim, -hat-koy, -hat-polis, -hat-politika, -hat-sohret, -hat-usta, -hat-yargi, -meslek-beyazyaka, -meslek-memur, -meslek-serbest, meslek-esnaf, -hapis, eski-hukumlu</t>
        </is>
      </c>
      <c r="V1572" s="5" t="inlineStr"/>
      <c r="W1572" s="5" t="inlineStr"/>
      <c r="X1572" s="5" t="inlineStr"/>
      <c r="Y1572" s="5" t="inlineStr"/>
      <c r="Z1572" s="6" t="inlineStr"/>
      <c r="AA1572" s="5" t="inlineStr"/>
      <c r="AB1572" s="5" t="inlineStr"/>
      <c r="AC1572" s="5" t="inlineStr"/>
      <c r="AD1572" s="5" t="inlineStr">
        <is>
          <t>Fakir</t>
        </is>
      </c>
      <c r="AE1572" s="5" t="inlineStr"/>
      <c r="AF1572" s="5" t="inlineStr"/>
      <c r="AG1572" s="5" t="inlineStr"/>
      <c r="AH1572" s="5" t="inlineStr"/>
      <c r="AI1572" s="5" t="inlineStr"/>
      <c r="AJ1572" s="5" t="inlineStr"/>
    </row>
    <row r="1573">
      <c r="A1573" s="5" t="inlineStr">
        <is>
          <t>b9-cezaevi-kapisi</t>
        </is>
      </c>
      <c r="B1573" s="5" t="n">
        <v>2</v>
      </c>
      <c r="C1573" s="6" t="inlineStr">
        <is>
          <t>Eski işine dön</t>
        </is>
      </c>
      <c r="D1573" s="5" t="inlineStr"/>
      <c r="E1573" s="5" t="inlineStr"/>
      <c r="F1573" s="5" t="inlineStr">
        <is>
          <t>Pişkinlik +1, Cesaret +1</t>
        </is>
      </c>
      <c r="G1573" s="6" t="inlineStr">
        <is>
          <t>Eski çevreni aradın; çoğu emekli olmuş, birkaçı torun bakıyor. İşi kaldığı yerden sürdürüyorsun; öğle uykusuna ara vererek.</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-hapis, eski-hukumlu</t>
        </is>
      </c>
      <c r="V1573" s="5" t="inlineStr"/>
      <c r="W1573" s="5" t="inlineStr"/>
      <c r="X1573" s="5" t="inlineStr"/>
      <c r="Y1573" s="5" t="inlineStr"/>
      <c r="Z1573" s="6" t="inlineStr"/>
      <c r="AA1573" s="5" t="inlineStr"/>
      <c r="AB1573" s="5" t="inlineStr"/>
      <c r="AC1573" s="5" t="inlineStr"/>
      <c r="AD1573" s="5" t="inlineStr"/>
      <c r="AE1573" s="5" t="inlineStr"/>
      <c r="AF1573" s="5" t="inlineStr"/>
      <c r="AG1573" s="5" t="inlineStr"/>
      <c r="AH1573" s="5" t="inlineStr"/>
      <c r="AI1573" s="5" t="inlineStr"/>
      <c r="AJ1573" s="5" t="inlineStr"/>
    </row>
    <row r="1574">
      <c r="A1574" s="5" t="inlineStr">
        <is>
          <t>b9-cezaevi-kapisi</t>
        </is>
      </c>
      <c r="B1574" s="5" t="n">
        <v>3</v>
      </c>
      <c r="C1574" s="6" t="inlineStr">
        <is>
          <t>Koğuş yıllarını kitap yap</t>
        </is>
      </c>
      <c r="D1574" s="5" t="inlineStr">
        <is>
          <t>Çene</t>
        </is>
      </c>
      <c r="E1574" s="5" t="inlineStr">
        <is>
          <t>Zor</t>
        </is>
      </c>
      <c r="F1574" s="5" t="inlineStr"/>
      <c r="G1574" s="6" t="inlineStr"/>
      <c r="H1574" s="6" t="inlineStr">
        <is>
          <t>“Altmışa Doğru Koğuş” emekliler arasında elden ele dolaşıyor. Parkta imza günü yapıyorsun; kuyruk bankın öbür ucunda bitiyor.</t>
        </is>
      </c>
      <c r="I1574" s="6" t="inlineStr">
        <is>
          <t>Kitap bir tiyatro oyunu oldu. Galaya koğuştan çıkmış iki arkadaşın geldi; en çok onlar güldü, kendi repliklerine.</t>
        </is>
      </c>
      <c r="J1574" s="6" t="inlineStr">
        <is>
          <t>El yazını kimse okuyamadı. Mahalleden bir genç bilgisayara geçirmeye başladı, on sayfa sonra bıraktı: 'Ben bunu okuyunca geceleri uyuyamıyorum.' Defteri geri aldın, eski yoluna döndün.</t>
        </is>
      </c>
      <c r="K1574" s="6" t="inlineStr">
        <is>
          <t>Taslağı otobüste unuttun. Şoför okudu, beğendi, kendi adıyla yarışmaya gönderdi; ödül aldı. Sen eski yoluna döndün.</t>
        </is>
      </c>
      <c r="L1574" s="6" t="inlineStr"/>
      <c r="M1574" s="5" t="inlineStr"/>
      <c r="N1574" s="5" t="inlineStr"/>
      <c r="O1574" s="6" t="inlineStr"/>
      <c r="P1574" s="6" t="inlineStr"/>
      <c r="Q1574" s="5" t="inlineStr"/>
      <c r="R1574" s="5" t="inlineStr"/>
      <c r="S1574" s="5" t="inlineStr"/>
      <c r="T1574" s="5" t="inlineStr"/>
      <c r="U1574" s="5" t="inlineStr"/>
      <c r="V1574" s="5" t="inlineStr">
        <is>
          <t>-hat-cete, -hat-dolandirici, -hat-girisimci, -hat-goc, -hat-hekim, -hat-koy, -hat-polis, -hat-politika, -hat-usta, -hat-yargi, -meslek-beyazyaka, -meslek-esnaf, -meslek-memur, hat-sohret, meslek-serbest, -hapis, eski-hukumlu</t>
        </is>
      </c>
      <c r="W1574" s="5" t="inlineStr">
        <is>
          <t>-hapis, eski-hukumlu</t>
        </is>
      </c>
      <c r="X1574" s="5" t="inlineStr"/>
      <c r="Y1574" s="5" t="inlineStr"/>
      <c r="Z1574" s="6" t="inlineStr"/>
      <c r="AA1574" s="5" t="inlineStr"/>
      <c r="AB1574" s="5" t="inlineStr">
        <is>
          <t>-hapis, eski-hukumlu</t>
        </is>
      </c>
      <c r="AC1574" s="5" t="inlineStr"/>
      <c r="AD1574" s="5" t="inlineStr"/>
      <c r="AE1574" s="5" t="inlineStr"/>
      <c r="AF1574" s="5" t="inlineStr"/>
      <c r="AG1574" s="5" t="inlineStr"/>
      <c r="AH1574" s="5" t="inlineStr"/>
      <c r="AI1574" s="5" t="inlineStr"/>
      <c r="AJ1574" s="5" t="inlineStr"/>
    </row>
    <row r="1575">
      <c r="A1575" s="5" t="inlineStr">
        <is>
          <t>b9-cezaevi-kapisi</t>
        </is>
      </c>
      <c r="B1575" s="5" t="n">
        <v>4</v>
      </c>
      <c r="C1575" s="6" t="inlineStr">
        <is>
          <t>“Geç kaldım ama gördüm” diye siyasete gir</t>
        </is>
      </c>
      <c r="D1575" s="5" t="inlineStr">
        <is>
          <t>Pişkinlik</t>
        </is>
      </c>
      <c r="E1575" s="5" t="inlineStr">
        <is>
          <t>Zor</t>
        </is>
      </c>
      <c r="F1575" s="5" t="inlineStr"/>
      <c r="G1575" s="6" t="inlineStr"/>
      <c r="H1575" s="6" t="inlineStr">
        <is>
          <t>Sloganınla bir partinin emekliler kolunda göreve başladın. Toplantılar çay ocağı gibi: herkes konuşuyor, sen demliyorsun.</t>
        </is>
      </c>
      <c r="I1575" s="6" t="inlineStr">
        <is>
          <t>Mahalle seni muhtarlığa, parti de meclise aday gösterdi. Afişindeki fotoğraf cezaevi kapısında çekildi; bilerek.</t>
        </is>
      </c>
      <c r="J1575" s="6" t="inlineStr">
        <is>
          <t>Başvurun komisyonda kaldı. Komisyon toplanmadı; sen de beklemedin, eski yoluna döndün.</t>
        </is>
      </c>
      <c r="K1575" s="6" t="inlineStr">
        <is>
          <t>İlk konuşmanda mikrofonu tavla zarı gibi salladın. Salon güldü, seçim kurulu gülmedi. Eski yoluna döndün.</t>
        </is>
      </c>
      <c r="L1575" s="6" t="inlineStr"/>
      <c r="M1575" s="5" t="inlineStr"/>
      <c r="N1575" s="5" t="inlineStr"/>
      <c r="O1575" s="6" t="inlineStr"/>
      <c r="P1575" s="6" t="inlineStr"/>
      <c r="Q1575" s="5" t="inlineStr"/>
      <c r="R1575" s="5" t="inlineStr"/>
      <c r="S1575" s="5" t="inlineStr"/>
      <c r="T1575" s="5" t="inlineStr"/>
      <c r="U1575" s="5" t="inlineStr"/>
      <c r="V1575" s="5" t="inlineStr">
        <is>
          <t>-hat-cete, -hat-dolandirici, -hat-girisimci, -hat-goc, -hat-hekim, -hat-koy, -hat-polis, -hat-sohret, -hat-usta, -hat-yargi, -meslek-beyazyaka, -meslek-esnaf, -meslek-memur, -meslek-serbest, hat-politika, -hapis, eski-hukumlu</t>
        </is>
      </c>
      <c r="W1575" s="5" t="inlineStr">
        <is>
          <t>-hapis, eski-hukumlu</t>
        </is>
      </c>
      <c r="X1575" s="5" t="inlineStr"/>
      <c r="Y1575" s="5" t="inlineStr"/>
      <c r="Z1575" s="6" t="inlineStr"/>
      <c r="AA1575" s="5" t="inlineStr"/>
      <c r="AB1575" s="5" t="inlineStr">
        <is>
          <t>-hapis, eski-hukumlu</t>
        </is>
      </c>
      <c r="AC1575" s="5" t="inlineStr"/>
      <c r="AD1575" s="5" t="inlineStr"/>
      <c r="AE1575" s="5" t="inlineStr"/>
      <c r="AF1575" s="5" t="inlineStr"/>
      <c r="AG1575" s="5" t="inlineStr"/>
      <c r="AH1575" s="5" t="inlineStr"/>
      <c r="AI1575" s="5" t="inlineStr"/>
      <c r="AJ1575" s="5" t="inlineStr"/>
    </row>
    <row r="1576">
      <c r="A1576" s="5" t="inlineStr">
        <is>
          <t>b9-cezaevi-kapisi</t>
        </is>
      </c>
      <c r="B1576" s="5" t="n">
        <v>5</v>
      </c>
      <c r="C1576" s="6" t="inlineStr">
        <is>
          <t>Mahallenin kefaletiyle iş bul</t>
        </is>
      </c>
      <c r="D1576" s="5" t="inlineStr"/>
      <c r="E1576" s="5" t="inlineStr"/>
      <c r="F1576" s="5" t="inlineStr">
        <is>
          <t>İtibar +1, Dayanıklılık +1</t>
        </is>
      </c>
      <c r="G1576" s="6" t="inlineStr">
        <is>
          <t>Kapıda seni çarşının en eski esnafı bekliyordu: “Senin için söz verdim, dükkânın arka tarafı senin.” Mahallede kimse geçmişini sormadı; sordurmadılar.</t>
        </is>
      </c>
      <c r="H1576" s="6" t="inlineStr"/>
      <c r="I1576" s="6" t="inlineStr"/>
      <c r="J1576" s="6" t="inlineStr"/>
      <c r="K1576" s="6" t="inlineStr"/>
      <c r="L1576" s="6" t="inlineStr"/>
      <c r="M1576" s="5" t="inlineStr"/>
      <c r="N1576" s="5" t="inlineStr"/>
      <c r="O1576" s="6" t="inlineStr"/>
      <c r="P1576" s="6" t="inlineStr"/>
      <c r="Q1576" s="5" t="inlineStr"/>
      <c r="R1576" s="5" t="inlineStr"/>
      <c r="S1576" s="5" t="inlineStr"/>
      <c r="T1576" s="5" t="inlineStr"/>
      <c r="U1576" s="5" t="inlineStr">
        <is>
          <t>-hat-cete, -hat-dolandirici, -hat-girisimci, -hat-goc, -hat-hekim, -hat-koy, -hat-polis, -hat-politika, -hat-sohret, -hat-usta, -hat-yargi, -meslek-beyazyaka, -meslek-memur, -meslek-serbest, meslek-esnaf, -hapis, eski-hukumlu, -ceza-indirimi</t>
        </is>
      </c>
      <c r="V1576" s="5" t="inlineStr"/>
      <c r="W1576" s="5" t="inlineStr"/>
      <c r="X1576" s="5" t="inlineStr"/>
      <c r="Y1576" s="5" t="inlineStr"/>
      <c r="Z1576" s="6" t="inlineStr"/>
      <c r="AA1576" s="5" t="inlineStr"/>
      <c r="AB1576" s="5" t="inlineStr"/>
      <c r="AC1576" s="5" t="inlineStr"/>
      <c r="AD1576" s="5" t="inlineStr">
        <is>
          <t>Fakir</t>
        </is>
      </c>
      <c r="AE1576" s="5" t="inlineStr"/>
      <c r="AF1576" s="5" t="inlineStr"/>
      <c r="AG1576" s="5" t="inlineStr"/>
      <c r="AH1576" s="5" t="inlineStr">
        <is>
          <t>İtibar 38</t>
        </is>
      </c>
      <c r="AI1576" s="5" t="inlineStr"/>
      <c r="AJ1576" s="5" t="inlineStr"/>
    </row>
    <row r="1577">
      <c r="A1577" s="5" t="inlineStr">
        <is>
          <t>b7-sohret-secmeler</t>
        </is>
      </c>
      <c r="B1577" s="5" t="n">
        <v>1</v>
      </c>
      <c r="C1577" s="6" t="inlineStr">
        <is>
          <t>Metni yazıldığı gibi, kusursuz oku</t>
        </is>
      </c>
      <c r="D1577" s="5" t="inlineStr"/>
      <c r="E1577" s="5" t="inlineStr"/>
      <c r="F1577" s="5" t="inlineStr">
        <is>
          <t>Akıl +1, Dayanıklılık +1</t>
        </is>
      </c>
      <c r="G1577" s="6" t="inlineStr">
        <is>
          <t>Metni tek hata yapmadan okudun. Yapımcı “Teşekkürler” dedi. Rol, sandviç bitmeden okuyan birine gitti.</t>
        </is>
      </c>
      <c r="H1577" s="6" t="inlineStr"/>
      <c r="I1577" s="6" t="inlineStr"/>
      <c r="J1577" s="6" t="inlineStr"/>
      <c r="K1577" s="6" t="inlineStr"/>
      <c r="L1577" s="6" t="inlineStr"/>
      <c r="M1577" s="5" t="inlineStr"/>
      <c r="N1577" s="5" t="inlineStr"/>
      <c r="O1577" s="6" t="inlineStr"/>
      <c r="P1577" s="6" t="inlineStr"/>
      <c r="Q1577" s="5" t="inlineStr"/>
      <c r="R1577" s="5" t="inlineStr"/>
      <c r="S1577" s="5" t="inlineStr"/>
      <c r="T1577" s="5" t="inlineStr"/>
      <c r="U1577" s="5" t="inlineStr"/>
      <c r="V1577" s="5" t="inlineStr"/>
      <c r="W1577" s="5" t="inlineStr"/>
      <c r="X1577" s="5" t="inlineStr"/>
      <c r="Y1577" s="5" t="inlineStr"/>
      <c r="Z1577" s="6" t="inlineStr"/>
      <c r="AA1577" s="5" t="inlineStr"/>
      <c r="AB1577" s="5" t="inlineStr"/>
      <c r="AC1577" s="5" t="inlineStr"/>
      <c r="AD1577" s="5" t="inlineStr"/>
      <c r="AE1577" s="5" t="inlineStr"/>
      <c r="AF1577" s="5" t="inlineStr"/>
      <c r="AG1577" s="5" t="inlineStr"/>
      <c r="AH1577" s="5" t="inlineStr"/>
      <c r="AI1577" s="5" t="inlineStr"/>
      <c r="AJ1577" s="5" t="inlineStr"/>
    </row>
    <row r="1578">
      <c r="A1578" s="5" t="inlineStr">
        <is>
          <t>b7-sohret-secmeler</t>
        </is>
      </c>
      <c r="B1578" s="5" t="n">
        <v>2</v>
      </c>
      <c r="C1578" s="6" t="inlineStr">
        <is>
          <t>Repliği bağırarak, gözyaşıyla oyna</t>
        </is>
      </c>
      <c r="D1578" s="5" t="inlineStr">
        <is>
          <t>Pişkinlik</t>
        </is>
      </c>
      <c r="E1578" s="5" t="inlineStr">
        <is>
          <t>Orta</t>
        </is>
      </c>
      <c r="F1578" s="5" t="inlineStr"/>
      <c r="G1578" s="6" t="inlineStr"/>
      <c r="H1578" s="6" t="inlineStr">
        <is>
          <t>Koridordaki kırk kişi sustu. Yapımcı sandviçi bıraktı: “Arsa meselesine inandım.” Dizide küçük kardeşsin; arsa yine ağabeyin.</t>
        </is>
      </c>
      <c r="I1578" s="6" t="inlineStr">
        <is>
          <t>Yapımcı ağladı, kameraman ağladı, sandviç ıslandı. Rol senin; senaristler arsayı sana vermek için yeni bölüm yazıyor.</t>
        </is>
      </c>
      <c r="J1578" s="6" t="inlineStr">
        <is>
          <t>Bağırdın ama gözyaşı gelmedi. Yapımcı “Kuru ağlama da bir tarz” dedi ve sıradakini çağırdı.</t>
        </is>
      </c>
      <c r="K1578" s="6" t="inlineStr">
        <is>
          <t>O kadar bağırdın ki güvenlik geldi. Kapıya kadar kolundan tutup götürdüler; sen hâlâ “Arsa benim!” diye bağırıyordun. Koridordaki kırk kişi alkışladı. Rol, alkışlayanlardan birine gitti.</t>
        </is>
      </c>
      <c r="L1578" s="6" t="inlineStr"/>
      <c r="M1578" s="5" t="inlineStr"/>
      <c r="N1578" s="5" t="inlineStr"/>
      <c r="O1578" s="6" t="inlineStr"/>
      <c r="P1578" s="6" t="inlineStr"/>
      <c r="Q1578" s="5" t="inlineStr"/>
      <c r="R1578" s="5" t="inlineStr"/>
      <c r="S1578" s="5" t="inlineStr"/>
      <c r="T1578" s="5" t="inlineStr"/>
      <c r="U1578" s="5" t="inlineStr"/>
      <c r="V1578" s="5" t="inlineStr">
        <is>
          <t>sohret-dizi-rolu</t>
        </is>
      </c>
      <c r="W1578" s="5" t="inlineStr"/>
      <c r="X1578" s="5" t="inlineStr"/>
      <c r="Y1578" s="5" t="inlineStr"/>
      <c r="Z1578" s="6" t="inlineStr"/>
      <c r="AA1578" s="5" t="inlineStr"/>
      <c r="AB1578" s="5" t="inlineStr"/>
      <c r="AC1578" s="5" t="inlineStr"/>
      <c r="AD1578" s="5" t="inlineStr"/>
      <c r="AE1578" s="5" t="inlineStr"/>
      <c r="AF1578" s="5" t="inlineStr"/>
      <c r="AG1578" s="5" t="inlineStr"/>
      <c r="AH1578" s="5" t="inlineStr"/>
      <c r="AI1578" s="5" t="inlineStr"/>
      <c r="AJ1578" s="5" t="inlineStr"/>
    </row>
    <row r="1579">
      <c r="A1579" s="5" t="inlineStr">
        <is>
          <t>b7-sohret-secmeler</t>
        </is>
      </c>
      <c r="B1579" s="5" t="n">
        <v>3</v>
      </c>
      <c r="C1579" s="6" t="inlineStr">
        <is>
          <t>Yapımcının sandviçine laf at, buzu kır</t>
        </is>
      </c>
      <c r="D1579" s="5" t="inlineStr">
        <is>
          <t>Sosyal Radar</t>
        </is>
      </c>
      <c r="E1579" s="5" t="inlineStr">
        <is>
          <t>Orta</t>
        </is>
      </c>
      <c r="F1579" s="5" t="inlineStr"/>
      <c r="G1579" s="6" t="inlineStr"/>
      <c r="H1579" s="6" t="inlineStr">
        <is>
          <t>“Kaşarlı mı?” dedin. Güldü. Kardeş rolü başkasına gitti ama sana kahveciyi verdi. Kahveci her bölümde var.</t>
        </is>
      </c>
      <c r="I1579" s="6" t="inlineStr">
        <is>
          <t>Sandviç muhabbeti uzadı; aynı fırından ekmek aldığınız çıktı. Kahveci rolü yeniden yazıldı, adı da seninki oldu.</t>
        </is>
      </c>
      <c r="J1579" s="6" t="inlineStr">
        <is>
          <t>Sandviçe laf attın; yapımcı lokmasını yuttu: “Diyetteyim, bu kaçamak.” Sandviçi çöpe attı, sıradakini çağırdı. Sen de sandviçin peşinden çıktın.</t>
        </is>
      </c>
      <c r="K1579" s="6" t="inlineStr">
        <is>
          <t>Yapımcı sandviçi sana uzattı: “Madem merak ettin.” Repliği ağzın dolu okudun. Kayıt hâlâ dolaşıyor.</t>
        </is>
      </c>
      <c r="L1579" s="6" t="inlineStr"/>
      <c r="M1579" s="5" t="inlineStr"/>
      <c r="N1579" s="5" t="inlineStr"/>
      <c r="O1579" s="6" t="inlineStr"/>
      <c r="P1579" s="6" t="inlineStr"/>
      <c r="Q1579" s="5" t="inlineStr"/>
      <c r="R1579" s="5" t="inlineStr"/>
      <c r="S1579" s="5" t="inlineStr"/>
      <c r="T1579" s="5" t="inlineStr"/>
      <c r="U1579" s="5" t="inlineStr"/>
      <c r="V1579" s="5" t="inlineStr">
        <is>
          <t>sohret-dizi-rolu</t>
        </is>
      </c>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b7-sohret-reklam</t>
        </is>
      </c>
      <c r="B1580" s="5" t="n">
        <v>1</v>
      </c>
      <c r="C1580" s="6" t="inlineStr">
        <is>
          <t>Sözleşmeyi imzala, lekesiz yaşa</t>
        </is>
      </c>
      <c r="D1580" s="5" t="inlineStr"/>
      <c r="E1580" s="5" t="inlineStr"/>
      <c r="F1580" s="5" t="inlineStr">
        <is>
          <t>Pişkinlik +1, Dayanıklılık +1</t>
        </is>
      </c>
      <c r="G1580" s="6" t="inlineStr">
        <is>
          <t>Otobüs duraklarında gülümseyen dev bir sen var. Bir gün pantolonuna çay döküldü; üç kişi fotoğrafını çekti.</t>
        </is>
      </c>
      <c r="H1580" s="6" t="inlineStr"/>
      <c r="I1580" s="6" t="inlineStr"/>
      <c r="J1580" s="6" t="inlineStr"/>
      <c r="K1580" s="6" t="inlineStr"/>
      <c r="L1580" s="6" t="inlineStr"/>
      <c r="M1580" s="5" t="inlineStr"/>
      <c r="N1580" s="5" t="inlineStr"/>
      <c r="O1580" s="6" t="inlineStr"/>
      <c r="P1580" s="6" t="inlineStr"/>
      <c r="Q1580" s="5" t="inlineStr"/>
      <c r="R1580" s="5" t="inlineStr"/>
      <c r="S1580" s="5" t="inlineStr"/>
      <c r="T1580" s="5" t="inlineStr"/>
      <c r="U1580" s="5" t="inlineStr">
        <is>
          <t>sohret-reklam-yuzu</t>
        </is>
      </c>
      <c r="V1580" s="5" t="inlineStr"/>
      <c r="W1580" s="5" t="inlineStr"/>
      <c r="X1580" s="5" t="inlineStr"/>
      <c r="Y1580" s="5" t="inlineStr"/>
      <c r="Z1580" s="6" t="inlineStr"/>
      <c r="AA1580" s="5" t="inlineStr"/>
      <c r="AB1580" s="5" t="inlineStr"/>
      <c r="AC1580" s="5" t="inlineStr"/>
      <c r="AD1580" s="5" t="inlineStr">
        <is>
          <t>Orta</t>
        </is>
      </c>
      <c r="AE1580" s="5" t="inlineStr"/>
      <c r="AF1580" s="5" t="inlineStr"/>
      <c r="AG1580" s="5" t="inlineStr"/>
      <c r="AH1580" s="5" t="inlineStr"/>
      <c r="AI1580" s="5" t="inlineStr"/>
      <c r="AJ1580" s="5" t="inlineStr"/>
    </row>
    <row r="1581">
      <c r="A1581" s="5" t="inlineStr">
        <is>
          <t>b7-sohret-reklam</t>
        </is>
      </c>
      <c r="B1581" s="5" t="n">
        <v>2</v>
      </c>
      <c r="C1581" s="6" t="inlineStr">
        <is>
          <t>Cümleni tişörte, kupaya bas</t>
        </is>
      </c>
      <c r="D1581" s="5" t="inlineStr">
        <is>
          <t>Sosyal Radar</t>
        </is>
      </c>
      <c r="E1581" s="5" t="inlineStr">
        <is>
          <t>Orta</t>
        </is>
      </c>
      <c r="F1581" s="5" t="inlineStr"/>
      <c r="G1581" s="6" t="inlineStr"/>
      <c r="H1581" s="6" t="inlineStr">
        <is>
          <t>Cümleni tişörte, kupaya, anahtarlığa bastın. Mahallenin bakkalı bile satıyor; sana pay vermeden.</t>
        </is>
      </c>
      <c r="I1581" s="6" t="inlineStr">
        <is>
          <t>Cümlen okullarda söylenmeye başladı; öğretmenler yasakladı. Ertesi hafta tişörtler tükendi; yeğenin okula seninkini giydi, müdür odasına çağrıldı, gururla.</t>
        </is>
      </c>
      <c r="J1581" s="6" t="inlineStr">
        <is>
          <t>Kupalar geldi; cümlen yanlış basılmış. Kimse almadı. Evde çayı yanlış cümleden içiyorsun.</t>
        </is>
      </c>
      <c r="K1581" s="6" t="inlineStr">
        <is>
          <t>Cümlenin hakkını senden önce başkası almış. Kendi cümleni kullandığın için ondan ihtar yedin.</t>
        </is>
      </c>
      <c r="L1581" s="6" t="inlineStr"/>
      <c r="M1581" s="5" t="inlineStr"/>
      <c r="N1581" s="5" t="inlineStr"/>
      <c r="O1581" s="6" t="inlineStr"/>
      <c r="P1581" s="6" t="inlineStr"/>
      <c r="Q1581" s="5" t="inlineStr"/>
      <c r="R1581" s="5" t="inlineStr"/>
      <c r="S1581" s="5" t="inlineStr"/>
      <c r="T1581" s="5" t="inlineStr"/>
      <c r="U1581" s="5" t="inlineStr"/>
      <c r="V1581" s="5" t="inlineStr">
        <is>
          <t>fenomen</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3</v>
      </c>
      <c r="C1582" s="6" t="inlineStr">
        <is>
          <t>Reklamda senaryoyu bırak, doğaçla</t>
        </is>
      </c>
      <c r="D1582" s="5" t="inlineStr">
        <is>
          <t>Pişkinlik</t>
        </is>
      </c>
      <c r="E1582" s="5" t="inlineStr">
        <is>
          <t>Zor</t>
        </is>
      </c>
      <c r="F1582" s="5" t="inlineStr"/>
      <c r="G1582" s="6" t="inlineStr"/>
      <c r="H1582" s="6" t="inlineStr">
        <is>
          <t>Senaryoda “Mis gibi” yazıyordu; sen “Annem bile şaşırdı” dedin. Reklam tuttu. Annen hâlâ neye şaşırdığını soruyor.</t>
        </is>
      </c>
      <c r="I1582" s="6" t="inlineStr">
        <is>
          <t>Doğaçlaman reklam ödülü aldı. Firma yeni reklamların senaryosunu sana soruyor; deterjanını hâlâ markette parayla alıyorsun.</t>
        </is>
      </c>
      <c r="J1582" s="6" t="inlineStr">
        <is>
          <t>Doğaçlama kurguda kesildi. Reklamda yalnızca çamaşır makinesini açan elin var. El olarak iyi para.</t>
        </is>
      </c>
      <c r="K1582" s="6" t="inlineStr">
        <is>
          <t>Doğaçlarken rakip firmanın adını andın. Reklam yayından kalktı; sen de sözleşmeden.</t>
        </is>
      </c>
      <c r="L1582" s="6" t="inlineStr"/>
      <c r="M1582" s="5" t="inlineStr"/>
      <c r="N1582" s="5" t="inlineStr"/>
      <c r="O1582" s="6" t="inlineStr"/>
      <c r="P1582" s="6" t="inlineStr"/>
      <c r="Q1582" s="5" t="inlineStr"/>
      <c r="R1582" s="5" t="inlineStr"/>
      <c r="S1582" s="5" t="inlineStr"/>
      <c r="T1582" s="5" t="inlineStr">
        <is>
          <t>Sahne Sever</t>
        </is>
      </c>
      <c r="U1582" s="5" t="inlineStr"/>
      <c r="V1582" s="5" t="inlineStr">
        <is>
          <t>sohret-reklam-yuzu</t>
        </is>
      </c>
      <c r="W1582" s="5" t="inlineStr"/>
      <c r="X1582" s="5" t="inlineStr"/>
      <c r="Y1582" s="5" t="inlineStr"/>
      <c r="Z1582" s="6" t="inlineStr"/>
      <c r="AA1582" s="5" t="inlineStr"/>
      <c r="AB1582" s="5" t="inlineStr"/>
      <c r="AC1582" s="5" t="inlineStr"/>
      <c r="AD1582" s="5" t="inlineStr"/>
      <c r="AE1582" s="5" t="inlineStr"/>
      <c r="AF1582" s="5" t="inlineStr"/>
      <c r="AG1582" s="5" t="inlineStr"/>
      <c r="AH1582" s="5" t="inlineStr"/>
      <c r="AI1582" s="5" t="inlineStr"/>
      <c r="AJ1582" s="5" t="inlineStr"/>
    </row>
    <row r="1583">
      <c r="A1583" s="5" t="inlineStr">
        <is>
          <t>b7-sohret-taninma</t>
        </is>
      </c>
      <c r="B1583" s="5" t="n">
        <v>1</v>
      </c>
      <c r="C1583" s="6" t="inlineStr">
        <is>
          <t>“Bankadaki arkadaşıyım” de, geç</t>
        </is>
      </c>
      <c r="D1583" s="5" t="inlineStr"/>
      <c r="E1583" s="5" t="inlineStr"/>
      <c r="F1583" s="5" t="inlineStr">
        <is>
          <t>Kurnazlık +1, Dayanıklılık +1</t>
        </is>
      </c>
      <c r="G1583" s="6" t="inlineStr">
        <is>
          <t>Teyze memnun oldu, sıra ilerledi. Ertesi hafta damadı bankada seni sormuş. Artık bir bankada bir arkadaşın var.</t>
        </is>
      </c>
      <c r="H1583" s="6" t="inlineStr"/>
      <c r="I1583" s="6" t="inlineStr"/>
      <c r="J1583" s="6" t="inlineStr"/>
      <c r="K1583" s="6" t="inlineStr"/>
      <c r="L1583" s="6" t="inlineStr"/>
      <c r="M1583" s="5" t="inlineStr"/>
      <c r="N1583" s="5" t="inlineStr"/>
      <c r="O1583" s="6" t="inlineStr"/>
      <c r="P1583" s="6" t="inlineStr"/>
      <c r="Q1583" s="5" t="inlineStr"/>
      <c r="R1583" s="5" t="inlineStr"/>
      <c r="S1583" s="5" t="inlineStr"/>
      <c r="T1583" s="5" t="inlineStr"/>
      <c r="U1583" s="5" t="inlineStr"/>
      <c r="V1583" s="5" t="inlineStr"/>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b7-sohret-taninma</t>
        </is>
      </c>
      <c r="B1584" s="5" t="n">
        <v>2</v>
      </c>
      <c r="C1584" s="6" t="inlineStr">
        <is>
          <t>Dizideki repliğini orada söyle</t>
        </is>
      </c>
      <c r="D1584" s="5" t="inlineStr">
        <is>
          <t>Pişkinlik</t>
        </is>
      </c>
      <c r="E1584" s="5" t="inlineStr">
        <is>
          <t>Orta</t>
        </is>
      </c>
      <c r="F1584" s="5" t="inlineStr"/>
      <c r="G1584" s="6" t="inlineStr"/>
      <c r="H1584" s="6" t="inlineStr">
        <is>
          <t>Repliği söyledin; kasiyer de tanıdı, sıra alkışladı. Teyze fotoğraf çekti, damadına gönderdi.</t>
        </is>
      </c>
      <c r="I1584" s="6" t="inlineStr">
        <is>
          <t>Market müdürü anonsla seni kasaya çağırdı, alışverişin hediye oldu. Karşılığında raflar arasında on fotoğraf verdin.</t>
        </is>
      </c>
      <c r="J1584" s="6" t="inlineStr">
        <is>
          <t>Repliği söyledin; teyze “Yok, o değil” dedi. Kasiyer “Ben biliyorum, siz bankadakisiniz” dedi. Poşetlerini aldın, bankacı olarak çıktın.</t>
        </is>
      </c>
      <c r="K1584" s="6" t="inlineStr">
        <is>
          <t>Teyze seni başka dizideki kötü karakter sandı: “O garibanı evden kovan sen değil misin?” Sırada kendini savundun; kasiyer de teyzeden yana çıktı. Ekmeği almadan çıktın.</t>
        </is>
      </c>
      <c r="L1584" s="6" t="inlineStr"/>
      <c r="M1584" s="5" t="inlineStr"/>
      <c r="N1584" s="5" t="inlineStr"/>
      <c r="O1584" s="6" t="inlineStr"/>
      <c r="P1584" s="6" t="inlineStr"/>
      <c r="Q1584" s="5" t="inlineStr"/>
      <c r="R1584" s="5" t="inlineStr"/>
      <c r="S1584" s="5" t="inlineStr"/>
      <c r="T1584" s="5" t="inlineStr"/>
      <c r="U1584" s="5" t="inlineStr"/>
      <c r="V1584" s="5" t="inlineStr"/>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3</v>
      </c>
      <c r="C1585" s="6" t="inlineStr">
        <is>
          <t>Sırayı imza dağıtarak hızlandır</t>
        </is>
      </c>
      <c r="D1585" s="5" t="inlineStr">
        <is>
          <t>Sosyal Radar</t>
        </is>
      </c>
      <c r="E1585" s="5" t="inlineStr">
        <is>
          <t>Orta</t>
        </is>
      </c>
      <c r="F1585" s="5" t="inlineStr"/>
      <c r="G1585" s="6" t="inlineStr"/>
      <c r="H1585" s="6" t="inlineStr">
        <is>
          <t>Fişlerin arkasını imzaladın. Sıra hızlandı, herkes mutlu. Kasiyer imzalı fişi vitrine astı.</t>
        </is>
      </c>
      <c r="I1585" s="6" t="inlineStr">
        <is>
          <t>İmza dağıtırken kasiyerin de oyuncu olmak istediğini öğrendin, yapımcıya önerdin. Seçildi. Mahallenin ikinci ünlüsü senin keşfin.</t>
        </is>
      </c>
      <c r="J1585" s="6" t="inlineStr">
        <is>
          <t>Bir amca imzayı fişin önüne attırdı; fiş geçersiz oldu. İade kuyruğu senden sorumlu.</t>
        </is>
      </c>
      <c r="K1585" s="6" t="inlineStr">
        <is>
          <t>Kalemin mürekkebi patladı, teyzenin paltosu lekelendi. Deterjan reklamlarındaki gibi çıkmadı.</t>
        </is>
      </c>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4</v>
      </c>
      <c r="C1586" s="6" t="inlineStr">
        <is>
          <t>Canlı yayın aç, kasa sırasını yayına al</t>
        </is>
      </c>
      <c r="D1586" s="5" t="inlineStr">
        <is>
          <t>Pişkinlik</t>
        </is>
      </c>
      <c r="E1586" s="5" t="inlineStr">
        <is>
          <t>Zor</t>
        </is>
      </c>
      <c r="F1586" s="5" t="inlineStr"/>
      <c r="G1586" s="6" t="inlineStr"/>
      <c r="H1586" s="6" t="inlineStr">
        <is>
          <t>Kırk bin kişi kasa sırasını canlı izledi. Teyze yorumlarda tanındı; damadı da kendini gösterdi.</t>
        </is>
      </c>
      <c r="I1586" s="6" t="inlineStr">
        <is>
          <t>Yayın o kadar izlendi ki market zinciri seni “kasa sırası elçisi” yaptı. Sıra artık senin için bekliyor.</t>
        </is>
      </c>
      <c r="J1586" s="6" t="inlineStr">
        <is>
          <t>Yayını açtın; marketin interneti çekmedi. Ekranda dönen bir daire, sırada tek başına telefona konuşan sen. Teyze kasiyere eğildi: “Dizide değil bu, belli.”</t>
        </is>
      </c>
      <c r="K1586" s="6" t="inlineStr">
        <is>
          <t>Yayında teyze sana hayat dersi verdi; yorumlar onu tuttu. Teyzenin artık senden çok takipçisi var.</t>
        </is>
      </c>
      <c r="L1586" s="6" t="inlineStr"/>
      <c r="M1586" s="5" t="inlineStr"/>
      <c r="N1586" s="5" t="inlineStr"/>
      <c r="O1586" s="6" t="inlineStr"/>
      <c r="P1586" s="6" t="inlineStr"/>
      <c r="Q1586" s="5" t="inlineStr"/>
      <c r="R1586" s="5" t="inlineStr">
        <is>
          <t>fenomen</t>
        </is>
      </c>
      <c r="S1586" s="5" t="inlineStr"/>
      <c r="T1586" s="5" t="inlineStr">
        <is>
          <t>Odayı Okur</t>
        </is>
      </c>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b8-sohret-kapak</t>
        </is>
      </c>
      <c r="B1587" s="5" t="n">
        <v>1</v>
      </c>
      <c r="C1587" s="6" t="inlineStr">
        <is>
          <t>Başlığı editöre bırak</t>
        </is>
      </c>
      <c r="D1587" s="5" t="inlineStr"/>
      <c r="E1587" s="5" t="inlineStr"/>
      <c r="F1587" s="5" t="inlineStr">
        <is>
          <t>Dayanıklılık +1</t>
        </is>
      </c>
      <c r="G1587" s="6" t="inlineStr">
        <is>
          <t>Başlık çıktı: “Hiç bu kadar samimi olmamıştı.” Röportajda üç cümle kurdun; ikisi senin değil.</t>
        </is>
      </c>
      <c r="H1587" s="6" t="inlineStr"/>
      <c r="I1587" s="6" t="inlineStr"/>
      <c r="J1587" s="6" t="inlineStr"/>
      <c r="K1587" s="6" t="inlineStr"/>
      <c r="L1587" s="6" t="inlineStr"/>
      <c r="M1587" s="5" t="inlineStr"/>
      <c r="N1587" s="5" t="inlineStr"/>
      <c r="O1587" s="6" t="inlineStr"/>
      <c r="P1587" s="6" t="inlineStr"/>
      <c r="Q1587" s="5" t="inlineStr"/>
      <c r="R1587" s="5" t="inlineStr"/>
      <c r="S1587" s="5" t="inlineStr"/>
      <c r="T1587" s="5" t="inlineStr"/>
      <c r="U1587" s="5" t="inlineStr">
        <is>
          <t>sohret-kapak-oldu</t>
        </is>
      </c>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b8-sohret-kapak</t>
        </is>
      </c>
      <c r="B1588" s="5" t="n">
        <v>2</v>
      </c>
      <c r="C1588" s="6" t="inlineStr">
        <is>
          <t>Röportajda itiraf gibi bir şey söyle</t>
        </is>
      </c>
      <c r="D1588" s="5" t="inlineStr">
        <is>
          <t>Pişkinlik</t>
        </is>
      </c>
      <c r="E1588" s="5" t="inlineStr">
        <is>
          <t>Orta</t>
        </is>
      </c>
      <c r="F1588" s="5" t="inlineStr"/>
      <c r="G1588" s="6" t="inlineStr"/>
      <c r="H1588" s="6" t="inlineStr">
        <is>
          <t>“Aslında çok utangacım” dedin. Başlık bu oldu. Dergi tükendi; utangaçlığın kırk bin nüsha sattı.</t>
        </is>
      </c>
      <c r="I1588" s="6" t="inlineStr">
        <is>
          <t>İtirafın o kadar konuşuldu ki bütün akşam programları seni istedi. Utangaçlık turuna çıktın, her kanalda.</t>
        </is>
      </c>
      <c r="J1588" s="6" t="inlineStr">
        <is>
          <t>İtiraf gibi bir şey söyledin ama editör anlamadı. Başlık: “Yeni projeler yolda.” Yolda olan yok.</t>
        </is>
      </c>
      <c r="K1588" s="6" t="inlineStr">
        <is>
          <t>İtiraf diye çocukken komşunun erik ağacına tırmandığını anlattın. Komşu teyze dergiyi okudu, mahalleye gösterdi, sonra aradı: “Otuz beş yıldır kim yaptı diye merak ediyordum. Eriklerimi faiziyle isterim.”</t>
        </is>
      </c>
      <c r="L1588" s="6" t="inlineStr"/>
      <c r="M1588" s="5" t="inlineStr"/>
      <c r="N1588" s="5" t="inlineStr"/>
      <c r="O1588" s="6" t="inlineStr"/>
      <c r="P1588" s="6" t="inlineStr"/>
      <c r="Q1588" s="5" t="inlineStr"/>
      <c r="R1588" s="5" t="inlineStr"/>
      <c r="S1588" s="5" t="inlineStr"/>
      <c r="T1588" s="5" t="inlineStr"/>
      <c r="U1588" s="5" t="inlineStr"/>
      <c r="V1588" s="5" t="inlineStr">
        <is>
          <t>sohret-kapak-oldu</t>
        </is>
      </c>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is>
          <t>Erik Hırsızı</t>
        </is>
      </c>
      <c r="AJ1588" s="5" t="inlineStr"/>
    </row>
    <row r="1589">
      <c r="A1589" s="5" t="inlineStr">
        <is>
          <t>b8-sohret-kapak</t>
        </is>
      </c>
      <c r="B1589" s="5" t="n">
        <v>3</v>
      </c>
      <c r="C1589" s="6" t="inlineStr">
        <is>
          <t>Fotoğrafçıya doğal pozu sen göster</t>
        </is>
      </c>
      <c r="D1589" s="5" t="inlineStr">
        <is>
          <t>Sosyal Radar</t>
        </is>
      </c>
      <c r="E1589" s="5" t="inlineStr">
        <is>
          <t>Zor</t>
        </is>
      </c>
      <c r="F1589" s="5" t="inlineStr"/>
      <c r="G1589" s="6" t="inlineStr"/>
      <c r="H1589" s="6" t="inlineStr">
        <is>
          <t>Ceketlerin ikisini çıkardın, balkonda çay içerken çekildin. Kapak “yılın en doğal kapağı” seçildi; çay soğudu.</t>
        </is>
      </c>
      <c r="I1589" s="6" t="inlineStr">
        <is>
          <t>Balkon fotoğrafı öyle sevildi ki ceketin markası sana teşekkür yazdı; o ceketi giymemişken. Stilist küs.</t>
        </is>
      </c>
      <c r="J1589" s="6" t="inlineStr">
        <is>
          <t>Pozu gösterdin; fotoğrafçı “Bu doğal değil, yorgun” dedi. Üç ceketle çekildin; kapakta terlisin.</t>
        </is>
      </c>
      <c r="K1589" s="6" t="inlineStr">
        <is>
          <t>Doğal olmak için ceketlerin üçünü de çıkardın; kapağa evde giydiğin delik tişörtle çıktın. Annen dergileri topluyor, komşular buluyor.</t>
        </is>
      </c>
      <c r="L1589" s="6" t="inlineStr"/>
      <c r="M1589" s="5" t="inlineStr"/>
      <c r="N1589" s="5" t="inlineStr"/>
      <c r="O1589" s="6" t="inlineStr"/>
      <c r="P1589" s="6" t="inlineStr"/>
      <c r="Q1589" s="5" t="inlineStr"/>
      <c r="R1589" s="5" t="inlineStr"/>
      <c r="S1589" s="5" t="inlineStr"/>
      <c r="T1589" s="5" t="inlineStr">
        <is>
          <t>Odayı Okur</t>
        </is>
      </c>
      <c r="U1589" s="5" t="inlineStr"/>
      <c r="V1589" s="5" t="inlineStr">
        <is>
          <t>sohret-kapak-oldu</t>
        </is>
      </c>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b8-sohret-program</t>
        </is>
      </c>
      <c r="B1590" s="5" t="n">
        <v>1</v>
      </c>
      <c r="C1590" s="6" t="inlineStr">
        <is>
          <t>İlk konuk olarak anneni çağır</t>
        </is>
      </c>
      <c r="D1590" s="5" t="inlineStr"/>
      <c r="E1590" s="5" t="inlineStr"/>
      <c r="F1590" s="5" t="inlineStr">
        <is>
          <t>Sosyal Radar +1, Gönül +1</t>
        </is>
      </c>
      <c r="G1590" s="6" t="inlineStr">
        <is>
          <t>Annen stüdyoya börekle geldi, çocukluğunu anlattı. Reyting iyi; ikinci bölüme de o gelmek istiyor, börekle.</t>
        </is>
      </c>
      <c r="H1590" s="6" t="inlineStr"/>
      <c r="I1590" s="6" t="inlineStr"/>
      <c r="J1590" s="6" t="inlineStr"/>
      <c r="K1590" s="6" t="inlineStr"/>
      <c r="L1590" s="6" t="inlineStr"/>
      <c r="M1590" s="5" t="inlineStr"/>
      <c r="N1590" s="5" t="inlineStr"/>
      <c r="O1590" s="6" t="inlineStr"/>
      <c r="P1590" s="6" t="inlineStr"/>
      <c r="Q1590" s="5" t="inlineStr"/>
      <c r="R1590" s="5" t="inlineStr"/>
      <c r="S1590" s="5" t="inlineStr"/>
      <c r="T1590" s="5" t="inlineStr"/>
      <c r="U1590" s="5" t="inlineStr"/>
      <c r="V1590" s="5" t="inlineStr"/>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c r="AJ1590" s="5" t="inlineStr"/>
    </row>
    <row r="1591">
      <c r="A1591" s="5" t="inlineStr">
        <is>
          <t>b8-sohret-program</t>
        </is>
      </c>
      <c r="B1591" s="5" t="n">
        <v>2</v>
      </c>
      <c r="C1591" s="6" t="inlineStr">
        <is>
          <t>Konuğu sert sorularla sıkıştır</t>
        </is>
      </c>
      <c r="D1591" s="5" t="inlineStr">
        <is>
          <t>Cesaret</t>
        </is>
      </c>
      <c r="E1591" s="5" t="inlineStr">
        <is>
          <t>Orta</t>
        </is>
      </c>
      <c r="F1591" s="5" t="inlineStr"/>
      <c r="G1591" s="6" t="inlineStr"/>
      <c r="H1591" s="6" t="inlineStr">
        <is>
          <t>Konuğun ter döktü, reyting yükseldi. Programın adı “Sıcak Koltuk” oldu; koltuk gerçekten ısınıyor.</t>
        </is>
      </c>
      <c r="I1591" s="6" t="inlineStr">
        <is>
          <t>Sert sorun ertesi gün bütün sabah programlarında konuşuldu. Kanal seni hafta sonuna da istiyor; hafta sonun gidiyor.</t>
        </is>
      </c>
      <c r="J1591" s="6" t="inlineStr">
        <is>
          <t>Sert soruyu sordun; konuk güldü, cevap vermedi. Kalan yarım saati sehpadaki suyu yudumlayarak doldurdun.</t>
        </is>
      </c>
      <c r="K1591" s="6" t="inlineStr">
        <is>
          <t>Sert soruyu sordun; konuk canlı yayında ağlamaya başladı. Peçeteyi ona sen uzattın, kamera da seni çekti. Yayın bitmeden annen aradı: “Ayıp ettin.”</t>
        </is>
      </c>
      <c r="L1591" s="6" t="inlineStr"/>
      <c r="M1591" s="5" t="inlineStr"/>
      <c r="N1591" s="5" t="inlineStr"/>
      <c r="O1591" s="6" t="inlineStr"/>
      <c r="P1591" s="6" t="inlineStr"/>
      <c r="Q1591" s="5" t="inlineStr"/>
      <c r="R1591" s="5" t="inlineStr"/>
      <c r="S1591" s="5" t="inlineStr"/>
      <c r="T1591" s="5" t="inlineStr"/>
      <c r="U1591" s="5" t="inlineStr"/>
      <c r="V1591" s="5" t="inlineStr"/>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3</v>
      </c>
      <c r="C1592" s="6" t="inlineStr">
        <is>
          <t>Programı kendi hikâyenle aç</t>
        </is>
      </c>
      <c r="D1592" s="5" t="inlineStr">
        <is>
          <t>Pişkinlik</t>
        </is>
      </c>
      <c r="E1592" s="5" t="inlineStr">
        <is>
          <t>Zor</t>
        </is>
      </c>
      <c r="F1592" s="5" t="inlineStr"/>
      <c r="G1592" s="6" t="inlineStr"/>
      <c r="H1592" s="6" t="inlineStr">
        <is>
          <t>Hayatını on dakikada anlattın; stüdyo sustu, sonra alkışladı. Program tuttu. Sahte kütüphaneye gerçek kitaplar geldi.</t>
        </is>
      </c>
      <c r="I1592" s="6" t="inlineStr">
        <is>
          <t>İlk bölümden sonra sokakta insanlar seni durdurup dert anlatmaya başladı: bakkal veresiye defterini, komşu kayınvalidesini. Kanal ikinci sezonun adını koydu: “Bir Derdim Var.”</t>
        </is>
      </c>
      <c r="J1592" s="6" t="inlineStr">
        <is>
          <t>Hikâyeni anlattın; reji tam o sırada reklama girdi. İzleyici sonunu bilmiyor, sen de artık hatırlamıyorsun.</t>
        </is>
      </c>
      <c r="K1592" s="6" t="inlineStr">
        <is>
          <t>Anlatırken sahte kütüphaneye yaslandın; kütüphane devrildi, kitapların hepsi kartonmuş. Kamera hepsini çekti. Program o günden beri jenerikte bu anla açılıyor.</t>
        </is>
      </c>
      <c r="L1592" s="6" t="inlineStr"/>
      <c r="M1592" s="5" t="inlineStr"/>
      <c r="N1592" s="5" t="inlineStr"/>
      <c r="O1592" s="6" t="inlineStr"/>
      <c r="P1592" s="6" t="inlineStr"/>
      <c r="Q1592" s="5" t="inlineStr"/>
      <c r="R1592" s="5" t="inlineStr"/>
      <c r="S1592" s="5" t="inlineStr"/>
      <c r="T1592" s="5" t="inlineStr">
        <is>
          <t>Son Sözü Söyler</t>
        </is>
      </c>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4</v>
      </c>
      <c r="C1593" s="6" t="inlineStr">
        <is>
          <t>Seyirciyle şarkı söyleyerek aç</t>
        </is>
      </c>
      <c r="D1593" s="5" t="inlineStr">
        <is>
          <t>Sosyal Radar</t>
        </is>
      </c>
      <c r="E1593" s="5" t="inlineStr">
        <is>
          <t>Orta</t>
        </is>
      </c>
      <c r="F1593" s="5" t="inlineStr"/>
      <c r="G1593" s="6" t="inlineStr"/>
      <c r="H1593" s="6" t="inlineStr">
        <is>
          <t>Açılışta seyirciyle şarkı söyledin. Program müzikli sohbete döndü; konuklar gelmeden önce ses açıyor.</t>
        </is>
      </c>
      <c r="I1593" s="6" t="inlineStr">
        <is>
          <t>Açılış şarkın o kadar sevildi ki düğünlerde çalınıyor. Düğünlere davet ediliyorsun; gelinle damat seni tanımıyor.</t>
        </is>
      </c>
      <c r="J1593" s="6" t="inlineStr">
        <is>
          <t>Seyirci şarkıyı bilmiyordu; tek başına söyledin. Reji sesini kıstı, alkış da kısık geldi.</t>
        </is>
      </c>
      <c r="K1593" s="6" t="inlineStr">
        <is>
          <t>Şarkıya yanlış tondan girdin; orkestra nezaketen seni takip etti, seyirci etmedi. Ertesi hafta orkestra gelmedi; program o günden beri yalnızca senin sesinle açılıyor.</t>
        </is>
      </c>
      <c r="L1593" s="6" t="inlineStr"/>
      <c r="M1593" s="5" t="inlineStr"/>
      <c r="N1593" s="5" t="inlineStr"/>
      <c r="O1593" s="6" t="inlineStr"/>
      <c r="P1593" s="6" t="inlineStr"/>
      <c r="Q1593" s="5" t="inlineStr">
        <is>
          <t>Sahne Sever</t>
        </is>
      </c>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b9-sohret-juri</t>
        </is>
      </c>
      <c r="B1594" s="5" t="n">
        <v>1</v>
      </c>
      <c r="C1594" s="6" t="inlineStr">
        <is>
          <t>Nazikçe düzelt, puanını ver</t>
        </is>
      </c>
      <c r="D1594" s="5" t="inlineStr"/>
      <c r="E1594" s="5" t="inlineStr"/>
      <c r="F1594" s="5" t="inlineStr">
        <is>
          <t>İtibar +1, Akıl +1</t>
        </is>
      </c>
      <c r="G1594" s="6" t="inlineStr">
        <is>
          <t>Repliği düzelttin; yarışmacı teşekkür etti, yine yanlış okudu. Puanını verdin. Yirmi beş yıl önce seni de kimse düzeltmemişti.</t>
        </is>
      </c>
      <c r="H1594" s="6" t="inlineStr"/>
      <c r="I1594" s="6" t="inlineStr"/>
      <c r="J1594" s="6" t="inlineStr"/>
      <c r="K1594" s="6" t="inlineStr"/>
      <c r="L1594" s="6" t="inlineStr"/>
      <c r="M1594" s="5" t="inlineStr"/>
      <c r="N1594" s="5" t="inlineStr"/>
      <c r="O1594" s="6" t="inlineStr"/>
      <c r="P1594" s="6" t="inlineStr"/>
      <c r="Q1594" s="5" t="inlineStr"/>
      <c r="R1594" s="5" t="inlineStr"/>
      <c r="S1594" s="5" t="inlineStr"/>
      <c r="T1594" s="5" t="inlineStr"/>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b9-sohret-juri</t>
        </is>
      </c>
      <c r="B1595" s="5" t="n">
        <v>2</v>
      </c>
      <c r="C1595" s="6" t="inlineStr">
        <is>
          <t>Sert jüri ol, masaya damga vur</t>
        </is>
      </c>
      <c r="D1595" s="5" t="inlineStr">
        <is>
          <t>Pişkinlik</t>
        </is>
      </c>
      <c r="E1595" s="5" t="inlineStr">
        <is>
          <t>Orta</t>
        </is>
      </c>
      <c r="F1595" s="5" t="inlineStr"/>
      <c r="G1595" s="6" t="inlineStr"/>
      <c r="H1595" s="6" t="inlineStr">
        <is>
          <t>“Bu replik senin değil, benim” dedin. Salon alkışladı. Program sana “Demir Jüri” dedi; mahallenin çocukları seni sokakta bu adla çağırıyor.</t>
        </is>
      </c>
      <c r="I1595" s="6" t="inlineStr">
        <is>
          <t>Sert yorumun kısa video uygulamasında milyonlarca izlendi. Gençler seni ilk kez tanıdı, eski dizini baştan izliyorlar.</t>
        </is>
      </c>
      <c r="J1595" s="6" t="inlineStr">
        <is>
          <t>Sert konuştun; yarışmacı ağladı, seyirci onu tuttu. Program seni “duygusuz jüri” diye tanıtmaya başladı.</t>
        </is>
      </c>
      <c r="K1595" s="6" t="inlineStr">
        <is>
          <t>Ayağa kalkarken mikrofon kablosuna takıldın, jüri masasını devirdin. Program o anı her bölümün jeneriğine koydu; mahallede çocuklar oyun oynarken masa devirip senin adını bağırıyor.</t>
        </is>
      </c>
      <c r="L1595" s="6" t="inlineStr"/>
      <c r="M1595" s="5" t="inlineStr"/>
      <c r="N1595" s="5" t="inlineStr"/>
      <c r="O1595" s="6" t="inlineStr"/>
      <c r="P1595" s="6" t="inlineStr"/>
      <c r="Q1595" s="5" t="inlineStr"/>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3</v>
      </c>
      <c r="C1596" s="6" t="inlineStr">
        <is>
          <t>“Nerede O Eski Yıldızlar”da anılarını anlat</t>
        </is>
      </c>
      <c r="D1596" s="5" t="inlineStr">
        <is>
          <t>Sosyal Radar</t>
        </is>
      </c>
      <c r="E1596" s="5" t="inlineStr">
        <is>
          <t>Orta</t>
        </is>
      </c>
      <c r="F1596" s="5" t="inlineStr"/>
      <c r="G1596" s="6" t="inlineStr"/>
      <c r="H1596" s="6" t="inlineStr">
        <is>
          <t>Eski setleri anlattın; stüdyo kahkahaya boğuldu. Eski rol arkadaşların aradı, bir araya gelme planı yapılıyor.</t>
        </is>
      </c>
      <c r="I1596" s="6" t="inlineStr">
        <is>
          <t>Anıların öyle sevildi ki eski dizinin devamı çekilecek. Rolün aynı, bu sefer torunlu; yapımcı yine sandviç yiyor.</t>
        </is>
      </c>
      <c r="J1596" s="6" t="inlineStr">
        <is>
          <t>Anılarını anlattın; sunucu her cümlenin ortasında reklama girdi. Hiçbir anı bitmedi.</t>
        </is>
      </c>
      <c r="K1596" s="6" t="inlineStr">
        <is>
          <t>Anlattığın anı başka bir oyuncuya aitmiş; o da izliyormuş. Ertesi gün canlı bağlandı, düzeltti.</t>
        </is>
      </c>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4</v>
      </c>
      <c r="C1597" s="6" t="inlineStr">
        <is>
          <t>Eski kapak fotoğrafını yeniden çektir</t>
        </is>
      </c>
      <c r="D1597" s="5" t="inlineStr">
        <is>
          <t>Pişkinlik</t>
        </is>
      </c>
      <c r="E1597" s="5" t="inlineStr">
        <is>
          <t>Zor</t>
        </is>
      </c>
      <c r="F1597" s="5" t="inlineStr"/>
      <c r="G1597" s="6" t="inlineStr"/>
      <c r="H1597" s="6" t="inlineStr">
        <is>
          <t>Yıllar önceki kapağının aynısını çektin. Dergi ikisini yan yana bastı; okurlar farkı değil, benzerliği konuştu.</t>
        </is>
      </c>
      <c r="I1597" s="6" t="inlineStr">
        <is>
          <t>Eski ve yeni kapak yan yana satışa çıktı; iki dergi birden tükendi. Editör üçüncüsü için tarih istiyor.</t>
        </is>
      </c>
      <c r="J1597" s="6" t="inlineStr">
        <is>
          <t>Aynı pozu verdin; fotoğrafçı “Tamam, şimdi rahat durun” dedi. Rahat durdun; o kare kullanıldı.</t>
        </is>
      </c>
      <c r="K1597" s="6" t="inlineStr">
        <is>
          <t>Aynı pozu verirken belin tuttu. Kapakta pozun yarısı çıktı; başlık: “Yepyeni bir duruş.”</t>
        </is>
      </c>
      <c r="L1597" s="6" t="inlineStr"/>
      <c r="M1597" s="5" t="inlineStr"/>
      <c r="N1597" s="5" t="inlineStr"/>
      <c r="O1597" s="6" t="inlineStr"/>
      <c r="P1597" s="6" t="inlineStr"/>
      <c r="Q1597" s="5" t="inlineStr"/>
      <c r="R1597" s="5" t="inlineStr">
        <is>
          <t>sohret-kapak-oldu</t>
        </is>
      </c>
      <c r="S1597" s="5" t="inlineStr"/>
      <c r="T1597" s="5" t="inlineStr">
        <is>
          <t>Kendine Gülebilir</t>
        </is>
      </c>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b7-girisim-garaj</t>
        </is>
      </c>
      <c r="B1598" s="5" t="n">
        <v>1</v>
      </c>
      <c r="C1598" s="6" t="inlineStr">
        <is>
          <t>Kuzene hisse ver, arabayı unutsun</t>
        </is>
      </c>
      <c r="D1598" s="5" t="inlineStr"/>
      <c r="E1598" s="5" t="inlineStr"/>
      <c r="F1598" s="5" t="inlineStr">
        <is>
          <t>Kurnazlık +1, Sosyal Radar +1</t>
        </is>
      </c>
      <c r="G1598" s="6" t="inlineStr">
        <is>
          <t>Kuzen yüzde beşi aldı, arabayı unuttu. Artık her bayram sofrasında seni “ortağım” diye tanıştırıyor.</t>
        </is>
      </c>
      <c r="H1598" s="6" t="inlineStr"/>
      <c r="I1598" s="6" t="inlineStr"/>
      <c r="J1598" s="6" t="inlineStr"/>
      <c r="K1598" s="6" t="inlineStr"/>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b7-girisim-garaj</t>
        </is>
      </c>
      <c r="B1599" s="5" t="n">
        <v>2</v>
      </c>
      <c r="C1599" s="6" t="inlineStr">
        <is>
          <t>İlk müşteriyi kapı kapı bul</t>
        </is>
      </c>
      <c r="D1599" s="5" t="inlineStr">
        <is>
          <t>Cesaret</t>
        </is>
      </c>
      <c r="E1599" s="5" t="inlineStr">
        <is>
          <t>Orta</t>
        </is>
      </c>
      <c r="F1599" s="5" t="inlineStr"/>
      <c r="G1599" s="6" t="inlineStr"/>
      <c r="H1599" s="6" t="inlineStr">
        <is>
          <t>On dokuzuncu kapıda kırtasiyeci “Deneyelim” dedi. İlk müşterin oldu; ilk ödemeyi bir kutu kalemle yaptı. Faturaları hâlâ o kalemlerle yazıyorsun.</t>
        </is>
      </c>
      <c r="I1599" s="6" t="inlineStr">
        <is>
          <t>Kırtasiyeci ürünü bütün esnaf derneğine anlattı. Garajın önünde kuyruk var; baban arabayı çıkaramıyor.</t>
        </is>
      </c>
      <c r="J1599" s="6" t="inlineStr">
        <is>
          <t>Kırk kapı çaldın; otuz dokuzu “Biz kâğıtla idare ediyoruz” dedi, biri köpeğini gönderdi. Köpek sadece baktı.</t>
        </is>
      </c>
      <c r="K1599" s="6" t="inlineStr">
        <is>
          <t>Site yöneticisi seni seyyar satıcı sandı. Site grubunda fotoğrafın dolaşıyor: “Dikkat!”</t>
        </is>
      </c>
      <c r="L1599" s="6" t="inlineStr"/>
      <c r="M1599" s="5" t="inlineStr"/>
      <c r="N1599" s="5" t="inlineStr"/>
      <c r="O1599" s="6" t="inlineStr"/>
      <c r="P1599" s="6" t="inlineStr"/>
      <c r="Q1599" s="5" t="inlineStr"/>
      <c r="R1599" s="5" t="inlineStr"/>
      <c r="S1599" s="5" t="inlineStr"/>
      <c r="T1599" s="5" t="inlineStr"/>
      <c r="U1599" s="5" t="inlineStr"/>
      <c r="V1599" s="5" t="inlineStr">
        <is>
          <t>girisim-ilk-musteri</t>
        </is>
      </c>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3</v>
      </c>
      <c r="C1600" s="6" t="inlineStr">
        <is>
          <t>Buzdolabındaki sunucuyu hızlandır</t>
        </is>
      </c>
      <c r="D1600" s="5" t="inlineStr">
        <is>
          <t>Akıl</t>
        </is>
      </c>
      <c r="E1600" s="5" t="inlineStr">
        <is>
          <t>Zor</t>
        </is>
      </c>
      <c r="F1600" s="5" t="inlineStr"/>
      <c r="G1600" s="6" t="inlineStr"/>
      <c r="H1600" s="6" t="inlineStr">
        <is>
          <t>Sunucuyu soğusun diye buzdolabının içine aldın. Hız iki katına çıktı. Annenin dolmaları artık bulutta.</t>
        </is>
      </c>
      <c r="I1600" s="6" t="inlineStr">
        <is>
          <t>Buzdolabı sunucunu bir teknoloji dergisi yazdı. Garaja ziyaretçi akıyor; şirketin ürünü yok ama turistik yeri var.</t>
        </is>
      </c>
      <c r="J1600" s="6" t="inlineStr">
        <is>
          <t>Hızlandırırken buzdolabı buz çözme moduna girdi. Veriler kurtuldu, dondurmalar kurtulmadı.</t>
        </is>
      </c>
      <c r="K1600" s="6" t="inlineStr">
        <is>
          <t>Kabloları ters bağladın; sokağın elektriği gitti. Bütün mahalle kapı önünde garaja bakıyor.</t>
        </is>
      </c>
      <c r="L1600" s="6" t="inlineStr"/>
      <c r="M1600" s="5" t="inlineStr"/>
      <c r="N1600" s="5" t="inlineStr"/>
      <c r="O1600" s="6" t="inlineStr"/>
      <c r="P1600" s="6" t="inlineStr"/>
      <c r="Q1600" s="5" t="inlineStr"/>
      <c r="R1600" s="5" t="inlineStr"/>
      <c r="S1600" s="5" t="inlineStr"/>
      <c r="T1600" s="5" t="inlineStr">
        <is>
          <t>Ukala Ama Haklı</t>
        </is>
      </c>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b7-girisim-pivot</t>
        </is>
      </c>
      <c r="B1601" s="5" t="n">
        <v>1</v>
      </c>
      <c r="C1601" s="6" t="inlineStr">
        <is>
          <t>Dönme; ürünü daha iyi yap</t>
        </is>
      </c>
      <c r="D1601" s="5" t="inlineStr"/>
      <c r="E1601" s="5" t="inlineStr"/>
      <c r="F1601" s="5" t="inlineStr">
        <is>
          <t>İtibar +1, Dayanıklılık +1</t>
        </is>
      </c>
      <c r="G1601" s="6" t="inlineStr">
        <is>
          <t>Pivot yapmadın; üç ay gece yarısına kadar ürünü düzelttin. Yatırımcı toplantıda yine tek kelime söyledi: “İnat.” Müşteriler de tek kelime yazdı: “Düzelmiş.”</t>
        </is>
      </c>
      <c r="H1601" s="6" t="inlineStr"/>
      <c r="I1601" s="6" t="inlineStr"/>
      <c r="J1601" s="6" t="inlineStr"/>
      <c r="K1601" s="6" t="inlineStr"/>
      <c r="L1601" s="6" t="inlineStr"/>
      <c r="M1601" s="5" t="inlineStr"/>
      <c r="N1601" s="5" t="inlineStr"/>
      <c r="O1601" s="6" t="inlineStr"/>
      <c r="P1601" s="6" t="inlineStr"/>
      <c r="Q1601" s="5" t="inlineStr"/>
      <c r="R1601" s="5" t="inlineStr"/>
      <c r="S1601" s="5" t="inlineStr"/>
      <c r="T1601" s="5" t="inlineStr"/>
      <c r="U1601" s="5" t="inlineStr"/>
      <c r="V1601" s="5" t="inlineStr"/>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b7-girisim-pivot</t>
        </is>
      </c>
      <c r="B1602" s="5" t="n">
        <v>2</v>
      </c>
      <c r="C1602" s="6" t="inlineStr">
        <is>
          <t>Şirketi bir gecede yapay zekâ şirketi yap</t>
        </is>
      </c>
      <c r="D1602" s="5" t="inlineStr">
        <is>
          <t>Pişkinlik</t>
        </is>
      </c>
      <c r="E1602" s="5" t="inlineStr">
        <is>
          <t>Orta</t>
        </is>
      </c>
      <c r="F1602" s="5" t="inlineStr"/>
      <c r="G1602" s="6" t="inlineStr"/>
      <c r="H1602" s="6" t="inlineStr">
        <is>
          <t>Logoya bir yıldız, adına “Zekâ” ekledin. Ürün aynı, şirketin değeri üç katı. Kimse içini açıp bakmadı.</t>
        </is>
      </c>
      <c r="I1602" s="6" t="inlineStr">
        <is>
          <t>Ekosistem etkinliklerinde ana konuşmacı oldun. Yapay zekân hakkında konuşuyorsun; ürünü hâlâ kuzen elle çalıştırıyor.</t>
        </is>
      </c>
      <c r="J1602" s="6" t="inlineStr">
        <is>
          <t>Logoyu değiştirdin; yatırımcı ürünün aynı olduğunu fark etti. Yıldız logodan silindi, yatırımcı toplantıdan.</t>
        </is>
      </c>
      <c r="K1602" s="6" t="inlineStr">
        <is>
          <t>Sunumda “Yapay zekâmız şu an sizi dinliyor” dedin; ekrana kuzeninin kamerası düştü. Kuzen ağzında simit, klavyede hızlı hızlı cevap yazıyordu. Yatırımcı öne eğildi: “Bu modelin adı ne?” Kuzen ekrandan cevap verdi: “Ben.”</t>
        </is>
      </c>
      <c r="L1602" s="6" t="inlineStr"/>
      <c r="M1602" s="5" t="inlineStr"/>
      <c r="N1602" s="5" t="inlineStr"/>
      <c r="O1602" s="6" t="inlineStr"/>
      <c r="P1602" s="6" t="inlineStr"/>
      <c r="Q1602" s="5" t="inlineStr"/>
      <c r="R1602" s="5" t="inlineStr"/>
      <c r="S1602" s="5" t="inlineStr"/>
      <c r="T1602" s="5" t="inlineStr"/>
      <c r="U1602" s="5" t="inlineStr"/>
      <c r="V1602" s="5" t="inlineStr">
        <is>
          <t>girisim-pivotcu</t>
        </is>
      </c>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3</v>
      </c>
      <c r="C1603" s="6" t="inlineStr">
        <is>
          <t>Rakibin mühendislerini kendi tarafına çek</t>
        </is>
      </c>
      <c r="D1603" s="5" t="inlineStr">
        <is>
          <t>Cesaret</t>
        </is>
      </c>
      <c r="E1603" s="5" t="inlineStr">
        <is>
          <t>Orta</t>
        </is>
      </c>
      <c r="F1603" s="5" t="inlineStr"/>
      <c r="G1603" s="6" t="inlineStr"/>
      <c r="H1603" s="6" t="inlineStr">
        <is>
          <t>İki mühendisi kahveye çağırdın, üçüncü kahvede ikna ettin. Rakip bir hafta ürününü güncelleyemedi.</t>
        </is>
      </c>
      <c r="I1603" s="6" t="inlineStr">
        <is>
          <t>Rakibin bütün ekibi sana geçti; bir hafta sonra kurucusu da. Şimdi ürün müdürün; her toplantıda yapay zekâdan bahsediyor.</t>
        </is>
      </c>
      <c r="J1603" s="6" t="inlineStr">
        <is>
          <t>Mühendisler kahveyi içti, gelmedi. Hesabı sen ödedin: üç kahve, iki poğaça.</t>
        </is>
      </c>
      <c r="K1603" s="6" t="inlineStr">
        <is>
          <t>Mühendislere yüksek bir maaş teklif ettin. Gelmediler; ama rakamı senin ekibin duydu. Ertesi sabah bütün ekibin aynı maaşı istedi.</t>
        </is>
      </c>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b7-girisim-ekosistem</t>
        </is>
      </c>
      <c r="B1604" s="5" t="n">
        <v>1</v>
      </c>
      <c r="C1604" s="6" t="inlineStr">
        <is>
          <t>Dürüstçe “Şans” de</t>
        </is>
      </c>
      <c r="D1604" s="5" t="inlineStr"/>
      <c r="E1604" s="5" t="inlineStr"/>
      <c r="F1604" s="5" t="inlineStr">
        <is>
          <t>İtibar +1, Sosyal Radar +1</t>
        </is>
      </c>
      <c r="G1604" s="6" t="inlineStr">
        <is>
          <t>“Şans” dedin. Salon güldü, sonra not aldı. Ertesi hafta biri “şans odaklı büyüme” eğitimi satmaya başladı.</t>
        </is>
      </c>
      <c r="H1604" s="6" t="inlineStr"/>
      <c r="I1604" s="6" t="inlineStr"/>
      <c r="J1604" s="6" t="inlineStr"/>
      <c r="K1604" s="6" t="inlineStr"/>
      <c r="L1604" s="6" t="inlineStr"/>
      <c r="M1604" s="5" t="inlineStr"/>
      <c r="N1604" s="5" t="inlineStr"/>
      <c r="O1604" s="6" t="inlineStr"/>
      <c r="P1604" s="6" t="inlineStr"/>
      <c r="Q1604" s="5" t="inlineStr"/>
      <c r="R1604" s="5" t="inlineStr"/>
      <c r="S1604" s="5" t="inlineStr"/>
      <c r="T1604" s="5" t="inlineStr"/>
      <c r="U1604" s="5" t="inlineStr"/>
      <c r="V1604" s="5" t="inlineStr"/>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b7-girisim-ekosistem</t>
        </is>
      </c>
      <c r="B1605" s="5" t="n">
        <v>2</v>
      </c>
      <c r="C1605" s="6" t="inlineStr">
        <is>
          <t>Yöntemine bir ad koy, kitap sözü ver</t>
        </is>
      </c>
      <c r="D1605" s="5" t="inlineStr">
        <is>
          <t>Çene</t>
        </is>
      </c>
      <c r="E1605" s="5" t="inlineStr">
        <is>
          <t>Orta</t>
        </is>
      </c>
      <c r="F1605" s="5" t="inlineStr"/>
      <c r="G1605" s="6" t="inlineStr"/>
      <c r="H1605" s="6" t="inlineStr">
        <is>
          <t>“Garaj Metodu” dedin. Salon alkışladı, üç yayınevi aradı. Metodun içini henüz doldurmadın.</t>
        </is>
      </c>
      <c r="I1605" s="6" t="inlineStr">
        <is>
          <t>Garaj Metodu daha yazılmadan ön siparişte en çok satanlara girdi. Şimdi kitabı yazman lazım.</t>
        </is>
      </c>
      <c r="J1605" s="6" t="inlineStr">
        <is>
          <t>Yöntemine ad koydun; salondan biri aynı adla kurs verdiğini söyledi. Kartvizitini değil, kurs broşürünü dağıttı.</t>
        </is>
      </c>
      <c r="K1605" s="6" t="inlineStr">
        <is>
          <t>Anlatırken slaytlar karıştı; ekrana tatil fotoğrafların geldi, şişme simitle. Moderatör kurtarmaya çalıştı: “Demek ki sır dinlenmekmiş.” Ertesi gün buluşmadan paylaşılan tek fotoğraf o oldu.</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3</v>
      </c>
      <c r="C1606" s="6" t="inlineStr">
        <is>
          <t>Mikrofonu bırakma, yeni fikrini sat</t>
        </is>
      </c>
      <c r="D1606" s="5" t="inlineStr">
        <is>
          <t>Cesaret</t>
        </is>
      </c>
      <c r="E1606" s="5" t="inlineStr">
        <is>
          <t>Zor</t>
        </is>
      </c>
      <c r="F1606" s="5" t="inlineStr"/>
      <c r="G1606" s="6" t="inlineStr"/>
      <c r="H1606" s="6" t="inlineStr">
        <is>
          <t>Mikrofonu bırakmadan yeni fikrini anlattın. Buluşma bitmeden iki yatırımcı seni kahveye çağırdı; hesabı onlar ödedi.</t>
        </is>
      </c>
      <c r="I1606" s="6" t="inlineStr">
        <is>
          <t>Bir yatırımcı ayağa kalkıp “Varım” dedi, diğerleri kaçırmamak için peşinden. Fikrin henüz bir cümle; değeri bir apartman.</t>
        </is>
      </c>
      <c r="J1606" s="6" t="inlineStr">
        <is>
          <t>Moderatör süre dolduğunu söyleyip mikrofonu aldı. Fikrin koridorda devam etti; koridor boştu.</t>
        </is>
      </c>
      <c r="K1606" s="6" t="inlineStr">
        <is>
          <t>Anlattığın fikir, ön sıradaki gencin geçen ay kurduğu şirketin ta kendisiymiş. Genç el kaldırıp teşekkür etti.</t>
        </is>
      </c>
      <c r="L1606" s="6" t="inlineStr"/>
      <c r="M1606" s="5" t="inlineStr"/>
      <c r="N1606" s="5" t="inlineStr"/>
      <c r="O1606" s="6" t="inlineStr"/>
      <c r="P1606" s="6" t="inlineStr"/>
      <c r="Q1606" s="5" t="inlineStr"/>
      <c r="R1606" s="5" t="inlineStr"/>
      <c r="S1606" s="5" t="inlineStr"/>
      <c r="T1606" s="5" t="inlineStr">
        <is>
          <t>Kendi Patronu</t>
        </is>
      </c>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is>
          <t>Cesaret 31</t>
        </is>
      </c>
      <c r="AI1606" s="5" t="inlineStr"/>
      <c r="AJ1606" s="5" t="inlineStr"/>
    </row>
    <row r="1607">
      <c r="A1607" s="5" t="inlineStr">
        <is>
          <t>b8-girisim-kurul</t>
        </is>
      </c>
      <c r="B1607" s="5" t="n">
        <v>1</v>
      </c>
      <c r="C1607" s="6" t="inlineStr">
        <is>
          <t>Masa tenisinde çalışanlarla tanış</t>
        </is>
      </c>
      <c r="D1607" s="5" t="inlineStr"/>
      <c r="E1607" s="5" t="inlineStr"/>
      <c r="F1607" s="5" t="inlineStr">
        <is>
          <t>Sosyal Radar +1</t>
        </is>
      </c>
      <c r="G1607" s="6" t="inlineStr">
        <is>
          <t>On ikisini yendin, yirmisine yenildin. Artık adlarını biliyorsun; onlar da senin servisini.</t>
        </is>
      </c>
      <c r="H1607" s="6" t="inlineStr"/>
      <c r="I1607" s="6" t="inlineStr"/>
      <c r="J1607" s="6" t="inlineStr"/>
      <c r="K1607" s="6" t="inlineStr"/>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b8-girisim-kurul</t>
        </is>
      </c>
      <c r="B1608" s="5" t="n">
        <v>2</v>
      </c>
      <c r="C1608" s="6" t="inlineStr">
        <is>
          <t>Kurulda “tarihî” olmadığını kanıtla</t>
        </is>
      </c>
      <c r="D1608" s="5" t="inlineStr">
        <is>
          <t>Akıl</t>
        </is>
      </c>
      <c r="E1608" s="5" t="inlineStr">
        <is>
          <t>Orta</t>
        </is>
      </c>
      <c r="F1608" s="5" t="inlineStr"/>
      <c r="G1608" s="6" t="inlineStr"/>
      <c r="H1608" s="6" t="inlineStr">
        <is>
          <t>Rakamları ezberden okudun, kurul şaşırdı. Fotoğrafının altındaki yazı “Kurucu (hâlâ)” oldu.</t>
        </is>
      </c>
      <c r="I1608" s="6" t="inlineStr">
        <is>
          <t>Sunumu devraldın, kırk dakika konuştun, kurul planı değiştirdi. Kültür sunumunu yapan genç çıkışta yanına geldi: “Slayttaki fotoğrafı değiştiriyorum.”</t>
        </is>
      </c>
      <c r="J1608" s="6" t="inlineStr">
        <is>
          <t>Rakamlarla konuştun; kurul yeni finans müdürünün rakamlarına daha çok güvendi. Seninkiler de doğruydu, sadece eskiydi.</t>
        </is>
      </c>
      <c r="K1608" s="6" t="inlineStr">
        <is>
          <t>Rakamları okurken geçen yılın dosyasını açtın. Kurul, şirketin geçen yıl daha iyi olduğunu senden öğrendi.</t>
        </is>
      </c>
      <c r="L1608" s="6" t="inlineStr"/>
      <c r="M1608" s="5" t="inlineStr"/>
      <c r="N1608" s="5" t="inlineStr"/>
      <c r="O1608" s="6" t="inlineStr"/>
      <c r="P1608" s="6" t="inlineStr"/>
      <c r="Q1608" s="5" t="inlineStr"/>
      <c r="R1608" s="5" t="inlineStr"/>
      <c r="S1608" s="5" t="inlineStr"/>
      <c r="T1608" s="5" t="inlineStr"/>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c r="AI1608" s="5" t="inlineStr"/>
      <c r="AJ1608" s="5" t="inlineStr"/>
    </row>
    <row r="1609">
      <c r="A1609" s="5" t="inlineStr">
        <is>
          <t>b8-girisim-kurul</t>
        </is>
      </c>
      <c r="B1609" s="5" t="n">
        <v>3</v>
      </c>
      <c r="C1609" s="6" t="inlineStr">
        <is>
          <t>Kurulu dağıt, herkesi garaja götür</t>
        </is>
      </c>
      <c r="D1609" s="5" t="inlineStr">
        <is>
          <t>Cesaret</t>
        </is>
      </c>
      <c r="E1609" s="5" t="inlineStr">
        <is>
          <t>Zor</t>
        </is>
      </c>
      <c r="F1609" s="5" t="inlineStr"/>
      <c r="G1609" s="6" t="inlineStr"/>
      <c r="H1609" s="6" t="inlineStr">
        <is>
          <t>Bir haftalığına herkesi garaja taşıdın. Ürün iki haftada yenilendi; masa tenisi ofiste yalnız kaldı.</t>
        </is>
      </c>
      <c r="I1609" s="6" t="inlineStr">
        <is>
          <t>Garaj haftası efsane oldu; rakipler de çalışanlarını garaja taşıdı. Babanın garajının önünde artık kuyruk var; baban kapıda bilet kesiyor.</t>
        </is>
      </c>
      <c r="J1609" s="6" t="inlineStr">
        <is>
          <t>Kırk kişi garaja sığmadı. Toplantı kaldırımda yapıldı, zabıta gelince bitti.</t>
        </is>
      </c>
      <c r="K1609" s="6" t="inlineStr">
        <is>
          <t>Kurul garaj fikrine karşı oy verdi; lehte tek oy seninki. Çıkarken kapı kartın çalışmadı.</t>
        </is>
      </c>
      <c r="L1609" s="6" t="inlineStr"/>
      <c r="M1609" s="5" t="inlineStr"/>
      <c r="N1609" s="5" t="inlineStr"/>
      <c r="O1609" s="6" t="inlineStr"/>
      <c r="P1609" s="6" t="inlineStr"/>
      <c r="Q1609" s="5" t="inlineStr"/>
      <c r="R1609" s="5" t="inlineStr"/>
      <c r="S1609" s="5" t="inlineStr"/>
      <c r="T1609" s="5" t="inlineStr">
        <is>
          <t>Geri Adım Atmaz</t>
        </is>
      </c>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b8-girisim-kader</t>
        </is>
      </c>
      <c r="B1610" s="5" t="n">
        <v>1</v>
      </c>
      <c r="C1610" s="6" t="inlineStr">
        <is>
          <t>Küçül ama kimseyi kovma</t>
        </is>
      </c>
      <c r="D1610" s="5" t="inlineStr"/>
      <c r="E1610" s="5" t="inlineStr"/>
      <c r="F1610" s="5" t="inlineStr">
        <is>
          <t>İtibar +2</t>
        </is>
      </c>
      <c r="G1610" s="6" t="inlineStr">
        <is>
          <t>Şirket yarıya indi, kimse kovulmadı. Bayramda kırk çalışandan mesaj geldi; kırkına da cevap yazdın, tek tek.</t>
        </is>
      </c>
      <c r="H1610" s="6" t="inlineStr"/>
      <c r="I1610" s="6" t="inlineStr"/>
      <c r="J1610" s="6" t="inlineStr"/>
      <c r="K1610" s="6" t="inlineStr"/>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n">
        <v>1</v>
      </c>
      <c r="AG1610" s="5" t="inlineStr"/>
      <c r="AH1610" s="5" t="inlineStr"/>
      <c r="AI1610" s="5" t="inlineStr"/>
      <c r="AJ1610" s="5" t="inlineStr"/>
    </row>
    <row r="1611">
      <c r="A1611" s="5" t="inlineStr">
        <is>
          <t>b8-girisim-kader</t>
        </is>
      </c>
      <c r="B1611" s="5" t="n">
        <v>2</v>
      </c>
      <c r="C1611" s="6" t="inlineStr">
        <is>
          <t>Holdingi kur, bir de otel al</t>
        </is>
      </c>
      <c r="D1611" s="5" t="inlineStr">
        <is>
          <t>Cesaret</t>
        </is>
      </c>
      <c r="E1611" s="5" t="inlineStr">
        <is>
          <t>Zor</t>
        </is>
      </c>
      <c r="F1611" s="5" t="inlineStr"/>
      <c r="G1611" s="6" t="inlineStr"/>
      <c r="H1611" s="6" t="inlineStr">
        <is>
          <t>Grup şirketleri dosyası kazandı. Holdingin var: bir yazılım şirketi, bir kafe zinciri ve nedenini bilmediğin bir otel.</t>
        </is>
      </c>
      <c r="I1611" s="6" t="inlineStr">
        <is>
          <t>Holdingin logosu bir gökdelende yanıyor. Otelin en üst katı senin; kuzen hâlâ şirket arabası istiyor, artık filo var.</t>
        </is>
      </c>
      <c r="J1611" s="6" t="inlineStr">
        <is>
          <t>Otel teklifi reddedildi, kredi de. Müdür kalkarken senin karton bardağını da aldı; sen daha içmemiştin.</t>
        </is>
      </c>
      <c r="K1611" s="6" t="inlineStr">
        <is>
          <t>Oteli aldın; ilk yağmurda lobide kurbağalar öttü. Temel bataklıkmış. Holding bir hafta sürdü; kurbağalar hâlâ orada, borç da.</t>
        </is>
      </c>
      <c r="L1611" s="6" t="inlineStr"/>
      <c r="M1611" s="5" t="inlineStr"/>
      <c r="N1611" s="5" t="inlineStr"/>
      <c r="O1611" s="6" t="inlineStr"/>
      <c r="P1611" s="6" t="inlineStr"/>
      <c r="Q1611" s="5" t="inlineStr"/>
      <c r="R1611" s="5" t="inlineStr"/>
      <c r="S1611" s="5" t="inlineStr"/>
      <c r="T1611" s="5" t="inlineStr"/>
      <c r="U1611" s="5" t="inlineStr"/>
      <c r="V1611" s="5" t="inlineStr">
        <is>
          <t>holding</t>
        </is>
      </c>
      <c r="W1611" s="5" t="inlineStr"/>
      <c r="X1611" s="5" t="inlineStr"/>
      <c r="Y1611" s="5" t="inlineStr"/>
      <c r="Z1611" s="6" t="inlineStr"/>
      <c r="AA1611" s="5" t="inlineStr"/>
      <c r="AB1611" s="5" t="inlineStr">
        <is>
          <t>borclu</t>
        </is>
      </c>
      <c r="AC1611" s="5" t="inlineStr">
        <is>
          <t>Rahat</t>
        </is>
      </c>
      <c r="AD1611" s="5" t="inlineStr">
        <is>
          <t>Zengin</t>
        </is>
      </c>
      <c r="AE1611" s="5" t="inlineStr"/>
      <c r="AF1611" s="5" t="inlineStr"/>
      <c r="AG1611" s="5" t="inlineStr"/>
      <c r="AH1611" s="5" t="inlineStr">
        <is>
          <t>Cesaret 33</t>
        </is>
      </c>
      <c r="AI1611" s="5" t="inlineStr"/>
      <c r="AJ1611" s="5" t="inlineStr"/>
      <c r="AL1611" t="n">
        <v>1</v>
      </c>
    </row>
    <row r="1612">
      <c r="A1612" s="5" t="inlineStr">
        <is>
          <t>b8-girisim-kader</t>
        </is>
      </c>
      <c r="B1612" s="5" t="n">
        <v>3</v>
      </c>
      <c r="C1612" s="6" t="inlineStr">
        <is>
          <t>Müdürü ikna et, vade uzasın</t>
        </is>
      </c>
      <c r="D1612" s="5" t="inlineStr">
        <is>
          <t>Çene</t>
        </is>
      </c>
      <c r="E1612" s="5" t="inlineStr">
        <is>
          <t>Orta</t>
        </is>
      </c>
      <c r="F1612" s="5" t="inlineStr"/>
      <c r="G1612" s="6" t="inlineStr"/>
      <c r="H1612" s="6" t="inlineStr">
        <is>
          <t>Müdürle bir saat konuştun; vade bir yıl uzadı. Çıkarken çayın da cam bardakta geldi.</t>
        </is>
      </c>
      <c r="I1612" s="6" t="inlineStr">
        <is>
          <t>Müdür o kadar ikna oldu ki kendi birikimini şirketine yatırdı. Artık her toplantıya o da geliyor, kendi çayıyla.</t>
        </is>
      </c>
      <c r="J1612" s="6" t="inlineStr">
        <is>
          <t>Müdür “Genel müdürlüğe soralım” dedi. Üç hafta sonra cevap geldi: “Şubenizle görüşünüz.” Şube yine aynı masa, sen yine karton bardak.</t>
        </is>
      </c>
      <c r="K1612" s="6" t="inlineStr">
        <is>
          <t>İkna ederken heyecanla masaya vurdun; müdürün cam bardağı devrildi, çay dosyalara aktı. Islanan dosya seninkiydi. Vade kısaldı; bardağın yine karton.</t>
        </is>
      </c>
      <c r="L1612" s="6" t="inlineStr"/>
      <c r="M1612" s="5" t="inlineStr"/>
      <c r="N1612" s="5" t="inlineStr"/>
      <c r="O1612" s="6" t="inlineStr"/>
      <c r="P1612" s="6" t="inlineStr"/>
      <c r="Q1612" s="5" t="inlineStr"/>
      <c r="R1612" s="5" t="inlineStr"/>
      <c r="S1612" s="5" t="inlineStr"/>
      <c r="T1612" s="5" t="inlineStr"/>
      <c r="U1612" s="5" t="inlineStr"/>
      <c r="V1612" s="5" t="inlineStr"/>
      <c r="W1612" s="5" t="inlineStr">
        <is>
          <t>borclu</t>
        </is>
      </c>
      <c r="X1612" s="5" t="inlineStr"/>
      <c r="Y1612" s="5" t="inlineStr"/>
      <c r="Z1612" s="6" t="inlineStr"/>
      <c r="AA1612" s="5" t="inlineStr"/>
      <c r="AB1612" s="5" t="inlineStr"/>
      <c r="AC1612" s="5" t="inlineStr"/>
      <c r="AD1612" s="5" t="inlineStr"/>
      <c r="AE1612" s="5" t="inlineStr"/>
      <c r="AF1612" s="5" t="inlineStr"/>
      <c r="AG1612" s="5" t="inlineStr"/>
      <c r="AH1612" s="5" t="inlineStr"/>
      <c r="AI1612" s="5" t="inlineStr"/>
      <c r="AJ1612" s="5" t="inlineStr"/>
    </row>
    <row r="1613">
      <c r="A1613" s="5" t="inlineStr">
        <is>
          <t>b9-girisim-nasihat</t>
        </is>
      </c>
      <c r="B1613" s="5" t="n">
        <v>1</v>
      </c>
      <c r="C1613" s="6" t="inlineStr">
        <is>
          <t>Garaj hikâyeni olduğu gibi anlat</t>
        </is>
      </c>
      <c r="D1613" s="5" t="inlineStr"/>
      <c r="E1613" s="5" t="inlineStr"/>
      <c r="F1613" s="5" t="inlineStr">
        <is>
          <t>İtibar +1, Çene +1</t>
        </is>
      </c>
      <c r="G1613" s="6" t="inlineStr">
        <is>
          <t>Buzdolabını, kuzeni, kırtasiyeciyi anlattın. Gençler not almadı, güldü. Çıkışta biri garajının adresini verdi: “Bakar mısınız?”</t>
        </is>
      </c>
      <c r="H1613" s="6" t="inlineStr"/>
      <c r="I1613" s="6" t="inlineStr"/>
      <c r="J1613" s="6" t="inlineStr"/>
      <c r="K1613" s="6" t="inlineStr"/>
      <c r="L1613" s="6" t="inlineStr"/>
      <c r="M1613" s="5" t="inlineStr"/>
      <c r="N1613" s="5" t="inlineStr"/>
      <c r="O1613" s="6" t="inlineStr"/>
      <c r="P1613" s="6" t="inlineStr"/>
      <c r="Q1613" s="5" t="inlineStr"/>
      <c r="R1613" s="5" t="inlineStr"/>
      <c r="S1613" s="5" t="inlineStr"/>
      <c r="T1613" s="5" t="inlineStr"/>
      <c r="U1613" s="5" t="inlineStr"/>
      <c r="V1613" s="5" t="inlineStr"/>
      <c r="W1613" s="5" t="inlineStr"/>
      <c r="X1613" s="5" t="inlineStr"/>
      <c r="Y1613" s="5" t="inlineStr"/>
      <c r="Z1613" s="6" t="inlineStr"/>
      <c r="AA1613" s="5" t="inlineStr"/>
      <c r="AB1613" s="5" t="inlineStr"/>
      <c r="AC1613" s="5" t="inlineStr"/>
      <c r="AD1613" s="5" t="inlineStr"/>
      <c r="AE1613" s="5" t="inlineStr"/>
      <c r="AF1613" s="5" t="inlineStr"/>
      <c r="AG1613" s="5" t="inlineStr"/>
      <c r="AH1613" s="5" t="inlineStr"/>
      <c r="AI1613" s="5" t="inlineStr"/>
      <c r="AJ1613" s="5" t="inlineStr"/>
    </row>
    <row r="1614">
      <c r="A1614" s="5" t="inlineStr">
        <is>
          <t>b9-girisim-nasihat</t>
        </is>
      </c>
      <c r="B1614" s="5" t="n">
        <v>2</v>
      </c>
      <c r="C1614" s="6" t="inlineStr">
        <is>
          <t>Soran gencin uygulamasına yatırım yap</t>
        </is>
      </c>
      <c r="D1614" s="5" t="inlineStr">
        <is>
          <t>Akıl</t>
        </is>
      </c>
      <c r="E1614" s="5" t="inlineStr">
        <is>
          <t>Orta</t>
        </is>
      </c>
      <c r="F1614" s="5" t="inlineStr"/>
      <c r="G1614" s="6" t="inlineStr"/>
      <c r="H1614" s="6" t="inlineStr">
        <is>
          <t>Emeklilik uygulamasına küçük bir yatırım yaptın. İlk kullanıcısı da sen oldun; seni “çok aktif” buldu.</t>
        </is>
      </c>
      <c r="I1614" s="6" t="inlineStr">
        <is>
          <t>Genç iki yılda şirketini büyüttü, sana yönetim kurulunda yer açtı. Emekliliğin yine toplantıyla geçiyor.</t>
        </is>
      </c>
      <c r="J1614" s="6" t="inlineStr">
        <is>
          <t>Bir ay sonra genç “Yön değiştirdik” dedi; uygulama artık köpek gezdiriyor. Senin köpeğin yok. Yatırımcı toplantısına yine de çağrıldın; komşunun köpeğini ödünç aldın.</t>
        </is>
      </c>
      <c r="K1614" s="6" t="inlineStr">
        <is>
          <t>Genç parayla ofise masa tenisi aldı. Ürün yok, masa tenisi var. Bu sahneyi bir yerden hatırlıyorsun.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3</v>
      </c>
      <c r="C1615" s="6" t="inlineStr">
        <is>
          <t>“Asla pes etmeyin” deme, gerçeği söyle</t>
        </is>
      </c>
      <c r="D1615" s="5" t="inlineStr">
        <is>
          <t>Cesaret</t>
        </is>
      </c>
      <c r="E1615" s="5" t="inlineStr">
        <is>
          <t>Orta</t>
        </is>
      </c>
      <c r="F1615" s="5" t="inlineStr"/>
      <c r="G1615" s="6" t="inlineStr"/>
      <c r="H1615" s="6" t="inlineStr">
        <is>
          <t>“Çoğunuz batacak, bu normal” dedin. Salon sustu, sonra ayağa kalktı. Alkış bu kez gerçekti.</t>
        </is>
      </c>
      <c r="I1615" s="6" t="inlineStr">
        <is>
          <t>Konuşman üniversitenin ders programına girdi: “Batmayı Öğrenmek.” Dersi sen veriyorsun; kontenjan doldu.</t>
        </is>
      </c>
      <c r="J1615" s="6" t="inlineStr">
        <is>
          <t>Gerçeği söyledin; moderatör araya girip “Ama umut da önemli” dedi. Salon moderatörü alkışladı.</t>
        </is>
      </c>
      <c r="K1615" s="6" t="inlineStr">
        <is>
          <t>Ön sıradaki genç ağladı. Onun şirketini, senin yatırımcı olduğun bir fon alıp kapatmış; ikiniz de şimdi öğrendiniz.</t>
        </is>
      </c>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4</v>
      </c>
      <c r="C1616" s="6" t="inlineStr">
        <is>
          <t>Holdingde staj programı aç</t>
        </is>
      </c>
      <c r="D1616" s="5" t="inlineStr">
        <is>
          <t>Sosyal Radar</t>
        </is>
      </c>
      <c r="E1616" s="5" t="inlineStr">
        <is>
          <t>Zor</t>
        </is>
      </c>
      <c r="F1616" s="5" t="inlineStr"/>
      <c r="G1616" s="6" t="inlineStr"/>
      <c r="H1616" s="6" t="inlineStr">
        <is>
          <t>Staj programını anlattın; salondaki yüz gencin doksanı başvurdu. Başvuruları bir yapay zekâ ayıklıyor. Seni de ayıkladı; eski özgeçmişin sistemde kalmış.</t>
        </is>
      </c>
      <c r="I1616" s="6" t="inlineStr">
        <is>
          <t>Stajyerlerden biri holdingin en kârlı birimini kurdu. Sana “Kurucu (tarihî)” diyor; bu sefer saygıyla.</t>
        </is>
      </c>
      <c r="J1616" s="6" t="inlineStr">
        <is>
          <t>Gençler yazılım yerine holdingin kafe zincirinde staj yapmayı seçti. Kafeler doldu, yazılım boş.</t>
        </is>
      </c>
      <c r="K1616" s="6" t="inlineStr">
        <is>
          <t>Anlatırken insan kaynakları aradı: program bütçeden çıkarılmış. Salonda yüz genç, sende bir özür.</t>
        </is>
      </c>
      <c r="L1616" s="6" t="inlineStr"/>
      <c r="M1616" s="5" t="inlineStr"/>
      <c r="N1616" s="5" t="inlineStr"/>
      <c r="O1616" s="6" t="inlineStr"/>
      <c r="P1616" s="6" t="inlineStr"/>
      <c r="Q1616" s="5" t="inlineStr"/>
      <c r="R1616" s="5" t="inlineStr">
        <is>
          <t>holding</t>
        </is>
      </c>
      <c r="S1616" s="5" t="inlineStr"/>
      <c r="T1616" s="5" t="inlineStr">
        <is>
          <t>Plaza Diplomatı</t>
        </is>
      </c>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b7-politika-cay</t>
        </is>
      </c>
      <c r="B1617" s="5" t="n">
        <v>1</v>
      </c>
      <c r="C1617" s="6" t="inlineStr">
        <is>
          <t>Çayı mahalledeki kahveden ısmarla</t>
        </is>
      </c>
      <c r="D1617" s="5" t="inlineStr"/>
      <c r="E1617" s="5" t="inlineStr"/>
      <c r="F1617" s="5" t="inlineStr">
        <is>
          <t>Kurnazlık +1, Sosyal Radar +1</t>
        </is>
      </c>
      <c r="G1617" s="6" t="inlineStr">
        <is>
          <t>Kahveci iki yüz çayı getirdi, faturayı partiye kesti. Mitinge en çok kahvedekiler geldi; çay bitince gittiler.</t>
        </is>
      </c>
      <c r="H1617" s="6" t="inlineStr"/>
      <c r="I1617" s="6" t="inlineStr"/>
      <c r="J1617" s="6" t="inlineStr"/>
      <c r="K1617" s="6" t="inlineStr"/>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b7-politika-cay</t>
        </is>
      </c>
      <c r="B1618" s="5" t="n">
        <v>2</v>
      </c>
      <c r="C1618" s="6" t="inlineStr">
        <is>
          <t>İki yüz çayı semaverle sen yetiştir</t>
        </is>
      </c>
      <c r="D1618" s="5" t="inlineStr">
        <is>
          <t>Dayanıklılık</t>
        </is>
      </c>
      <c r="E1618" s="5" t="inlineStr">
        <is>
          <t>Orta</t>
        </is>
      </c>
      <c r="F1618" s="5" t="inlineStr"/>
      <c r="G1618" s="6" t="inlineStr"/>
      <c r="H1618" s="6" t="inlineStr">
        <is>
          <t>Dört saat semaver başında durdun; iki yüz çay, sıfır şikâyet. İl başkanı adını sordu. Bir dahakine yine soracak.</t>
        </is>
      </c>
      <c r="I1618" s="6" t="inlineStr">
        <is>
          <t>Çayın o kadar övüldü ki seni il yöneticisi yaptılar. Görev tanımında hâlâ “çay” yazıyor; ama büyük harfle.</t>
        </is>
      </c>
      <c r="J1618" s="6" t="inlineStr">
        <is>
          <t>Semaver yetişmedi; son elli kişiye çay ılık gitti. İl başkanı bir yudum aldı, bardağı geri koydu: “Bunu kim demledi?” Elli kişi aynı anda sana döndü.</t>
        </is>
      </c>
      <c r="K1618" s="6" t="inlineStr">
        <is>
          <t>Semaver taştı, pankart ıslandı. “Yeşil Balkon” yazısı “Yeş Bal” oldu; fotoğraflar çoktan çekilmişti.</t>
        </is>
      </c>
      <c r="L1618" s="6" t="inlineStr">
        <is>
          <t>İki yüz çayın yarısı tavşan kanı, yarısı açık. Miting de yarı yarıya ısındı.</t>
        </is>
      </c>
      <c r="M1618" s="5" t="inlineStr">
        <is>
          <t>timing</t>
        </is>
      </c>
      <c r="N1618" s="5" t="inlineStr">
        <is>
          <t>Semaver Demi</t>
        </is>
      </c>
      <c r="O1618" s="6" t="inlineStr">
        <is>
          <t>İbre yeşil alandayken DURDUR'a bas. Art arda tutturdukça kombo kazanırsın.</t>
        </is>
      </c>
      <c r="P1618" s="6" t="n"/>
      <c r="Q1618" s="5" t="inlineStr"/>
      <c r="R1618" s="5" t="inlineStr"/>
      <c r="S1618" s="5" t="inlineStr"/>
      <c r="T1618" s="5" t="inlineStr"/>
      <c r="U1618" s="5" t="inlineStr"/>
      <c r="V1618" s="5" t="inlineStr">
        <is>
          <t>parti-il-yoneticisi</t>
        </is>
      </c>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is>
          <t>Yeş Bal</t>
        </is>
      </c>
      <c r="AJ1618" s="5" t="inlineStr"/>
    </row>
    <row r="1619">
      <c r="A1619" s="5" t="inlineStr">
        <is>
          <t>b7-politika-cay</t>
        </is>
      </c>
      <c r="B1619" s="5" t="n">
        <v>3</v>
      </c>
      <c r="C1619" s="6" t="inlineStr">
        <is>
          <t>Çayı bırak, il başkanı gelmeden kürsüye çık</t>
        </is>
      </c>
      <c r="D1619" s="5" t="inlineStr">
        <is>
          <t>Cesaret</t>
        </is>
      </c>
      <c r="E1619" s="5" t="inlineStr">
        <is>
          <t>Zor</t>
        </is>
      </c>
      <c r="F1619" s="5" t="inlineStr"/>
      <c r="G1619" s="6" t="inlineStr"/>
      <c r="H1619" s="6" t="inlineStr">
        <is>
          <t>Başkan gecikince mikrofonu aldın, kalabalığı ısıttın. O geldiğinde miting bitmişti; seni il yöneticisi yaptı, mecburen.</t>
        </is>
      </c>
      <c r="I1619" s="6" t="inlineStr">
        <is>
          <t>Kalabalık il başkanını değil seni istedi. Başkan seni yanına aldı, kulağına tek kelime söyledi: “Yavaş.”</t>
        </is>
      </c>
      <c r="J1619" s="6" t="inlineStr">
        <is>
          <t>Mikrofon açılmadı. On dakika kalabalığa dudak okuttun. Sonra çay dağıttın; ondan kaçış yok.</t>
        </is>
      </c>
      <c r="K1619" s="6" t="inlineStr">
        <is>
          <t>Kürsüde il başkanının adını üç kez yanlış söyledin. Başkan geldiğinde kalabalık onu o adla karşıladı.</t>
        </is>
      </c>
      <c r="L1619" s="6" t="inlineStr"/>
      <c r="M1619" s="5" t="inlineStr"/>
      <c r="N1619" s="5" t="inlineStr"/>
      <c r="O1619" s="6" t="inlineStr"/>
      <c r="P1619" s="6" t="inlineStr"/>
      <c r="Q1619" s="5" t="inlineStr"/>
      <c r="R1619" s="5" t="inlineStr"/>
      <c r="S1619" s="5" t="inlineStr"/>
      <c r="T1619" s="5" t="inlineStr">
        <is>
          <t>Teneffüs Başkanı</t>
        </is>
      </c>
      <c r="U1619" s="5" t="inlineStr"/>
      <c r="V1619" s="5" t="inlineStr">
        <is>
          <t>parti-il-yoneticisi</t>
        </is>
      </c>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b7-politika-kaldirim</t>
        </is>
      </c>
      <c r="B1620" s="5" t="n">
        <v>1</v>
      </c>
      <c r="C1620" s="6" t="inlineStr">
        <is>
          <t>Kaldırımın taşını kendin döşe</t>
        </is>
      </c>
      <c r="D1620" s="5" t="inlineStr"/>
      <c r="E1620" s="5" t="inlineStr"/>
      <c r="F1620" s="5" t="inlineStr">
        <is>
          <t>Dayanıklılık +1, İtibar +1</t>
        </is>
      </c>
      <c r="G1620" s="6" t="inlineStr">
        <is>
          <t>Bir hafta sonu tek başına on metre kaldırım döşedin. Seçimi o on metre kazandırmadı ama mahalle oradan yürüyor, adını anarak.</t>
        </is>
      </c>
      <c r="H1620" s="6" t="inlineStr"/>
      <c r="I1620" s="6" t="inlineStr"/>
      <c r="J1620" s="6" t="inlineStr"/>
      <c r="K1620" s="6" t="inlineStr"/>
      <c r="L1620" s="6" t="inlineStr"/>
      <c r="M1620" s="5" t="inlineStr"/>
      <c r="N1620" s="5" t="inlineStr"/>
      <c r="O1620" s="6" t="inlineStr"/>
      <c r="P1620" s="6" t="inlineStr"/>
      <c r="Q1620" s="5" t="inlineStr"/>
      <c r="R1620" s="5" t="inlineStr"/>
      <c r="S1620" s="5" t="inlineStr"/>
      <c r="T1620" s="5" t="inlineStr"/>
      <c r="U1620" s="5" t="inlineStr"/>
      <c r="V1620" s="5" t="inlineStr"/>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c r="AJ1620" s="5" t="inlineStr"/>
    </row>
    <row r="1621">
      <c r="A1621" s="5" t="inlineStr">
        <is>
          <t>b7-politika-kaldirim</t>
        </is>
      </c>
      <c r="B1621" s="5" t="n">
        <v>2</v>
      </c>
      <c r="C1621" s="6" t="inlineStr">
        <is>
          <t>Rakibi aş: kaldırıma bank ve ağaç da koy</t>
        </is>
      </c>
      <c r="D1621" s="5" t="inlineStr">
        <is>
          <t>Çene</t>
        </is>
      </c>
      <c r="E1621" s="5" t="inlineStr">
        <is>
          <t>Orta</t>
        </is>
      </c>
      <c r="F1621" s="5" t="inlineStr"/>
      <c r="G1621" s="6" t="inlineStr"/>
      <c r="H1621" s="6" t="inlineStr">
        <is>
          <t>“Kaldırım, bank ve ağaç” dedin. Mahalle ağaca ikna oldu. Meclis üyesi seçildin; fidan yolda.</t>
        </is>
      </c>
      <c r="I1621" s="6" t="inlineStr">
        <is>
          <t>Seçildin. Açılış günü kaldırımın ilk taşını sen değil, kırk yıldır çamurda yürüyen bakkal döşedi; sen arkada fidanı tuttun. Fotoğrafta bakkal gülüyor.</t>
        </is>
      </c>
      <c r="J1621" s="6" t="inlineStr">
        <is>
          <t>Sen bank dedin, rakip “Bank ve çardak” dedi. Seçim açık artırmaya döndü; çardak kazandı.</t>
        </is>
      </c>
      <c r="K1621" s="6" t="inlineStr">
        <is>
          <t>Vaatler öyle uzadı ki biri haritada kaldırıma yer kalmadığını gösterdi. Afişlerin kaldırımın üstünde; yürünmüyor.</t>
        </is>
      </c>
      <c r="L1621" s="6" t="inlineStr"/>
      <c r="M1621" s="5" t="inlineStr"/>
      <c r="N1621" s="5" t="inlineStr"/>
      <c r="O1621" s="6" t="inlineStr"/>
      <c r="P1621" s="6" t="inlineStr"/>
      <c r="Q1621" s="5" t="inlineStr"/>
      <c r="R1621" s="5" t="inlineStr"/>
      <c r="S1621" s="5" t="inlineStr"/>
      <c r="T1621" s="5" t="inlineStr"/>
      <c r="U1621" s="5" t="inlineStr"/>
      <c r="V1621" s="5" t="inlineStr">
        <is>
          <t>meclis-uyesi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3</v>
      </c>
      <c r="C1622" s="6" t="inlineStr">
        <is>
          <t>Rakiple yerel kanalda kaldırım tartış</t>
        </is>
      </c>
      <c r="D1622" s="5" t="inlineStr">
        <is>
          <t>Pişkinlik</t>
        </is>
      </c>
      <c r="E1622" s="5" t="inlineStr">
        <is>
          <t>Zor</t>
        </is>
      </c>
      <c r="F1622" s="5" t="inlineStr"/>
      <c r="G1622" s="6" t="inlineStr"/>
      <c r="H1622" s="6" t="inlineStr">
        <is>
          <t>Kırk dakika kaldırım konuştunuz. Sen “Yürüdüm, biliyorum” dedin; rakip yürümemişti. Meclis üyesi seçildin.</t>
        </is>
      </c>
      <c r="I1622" s="6" t="inlineStr">
        <is>
          <t>Rakibin ayakkabı tabanlarının hiç aşınmadığını kameraya gösterdin. Oyların üçte ikisi seninki.</t>
        </is>
      </c>
      <c r="J1622" s="6" t="inlineStr">
        <is>
          <t>Rakip kaldırımın metrekare fiyatını ezbere bildi, sen bilmedin. Seçimi o kazandı; kaldırım hâlâ yok.</t>
        </is>
      </c>
      <c r="K1622" s="6" t="inlineStr">
        <is>
          <t>Yayında kaldırıma “yaya yolu”, sonra “şu taşlı yer” dedin. Yerel kanal seni hâlâ “Şu Taşlı Yer” diye anıyor.</t>
        </is>
      </c>
      <c r="L1622" s="6" t="inlineStr"/>
      <c r="M1622" s="5" t="inlineStr"/>
      <c r="N1622" s="5" t="inlineStr"/>
      <c r="O1622" s="6" t="inlineStr"/>
      <c r="P1622" s="6" t="inlineStr"/>
      <c r="Q1622" s="5" t="inlineStr"/>
      <c r="R1622" s="5" t="inlineStr"/>
      <c r="S1622" s="5" t="inlineStr"/>
      <c r="T1622" s="5" t="inlineStr">
        <is>
          <t>Son Sözü Söyler</t>
        </is>
      </c>
      <c r="U1622" s="5" t="inlineStr"/>
      <c r="V1622" s="5" t="inlineStr">
        <is>
          <t>meclis-uyesi</t>
        </is>
      </c>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is>
          <t>Pişkinlik 28</t>
        </is>
      </c>
      <c r="AI1622" s="5" t="inlineStr">
        <is>
          <t>Şu Taşlı Yer</t>
        </is>
      </c>
      <c r="AJ1622" s="5" t="inlineStr"/>
    </row>
    <row r="1623">
      <c r="A1623" s="5" t="inlineStr">
        <is>
          <t>b8-politika-otobus</t>
        </is>
      </c>
      <c r="B1623" s="5" t="n">
        <v>1</v>
      </c>
      <c r="C1623" s="6" t="inlineStr">
        <is>
          <t>Otobüsten in, yürüyerek gez</t>
        </is>
      </c>
      <c r="D1623" s="5" t="inlineStr"/>
      <c r="E1623" s="5" t="inlineStr"/>
      <c r="F1623" s="5" t="inlineStr">
        <is>
          <t>Dayanıklılık +1, Sosyal Radar +1</t>
        </is>
      </c>
      <c r="G1623" s="6" t="inlineStr">
        <is>
          <t>Otobüs arkandan boş geldi, hoparlör sana şarkı söyledi. Günde üç mahalle gezdin ama her kapıda çay içtin. Her çay yarım oy.</t>
        </is>
      </c>
      <c r="H1623" s="6" t="inlineStr"/>
      <c r="I1623" s="6" t="inlineStr"/>
      <c r="J1623" s="6" t="inlineStr"/>
      <c r="K1623" s="6" t="inlineStr"/>
      <c r="L1623" s="6" t="inlineStr"/>
      <c r="M1623" s="5" t="inlineStr"/>
      <c r="N1623" s="5" t="inlineStr"/>
      <c r="O1623" s="6" t="inlineStr"/>
      <c r="P1623" s="6" t="inlineStr"/>
      <c r="Q1623" s="5" t="inlineStr"/>
      <c r="R1623" s="5" t="inlineStr"/>
      <c r="S1623" s="5" t="inlineStr"/>
      <c r="T1623" s="5" t="inlineStr"/>
      <c r="U1623" s="5" t="inlineStr"/>
      <c r="V1623" s="5" t="inlineStr"/>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b8-politika-otobus</t>
        </is>
      </c>
      <c r="B1624" s="5" t="n">
        <v>2</v>
      </c>
      <c r="C1624" s="6" t="inlineStr">
        <is>
          <t>Hoparlörden kendin konuş</t>
        </is>
      </c>
      <c r="D1624" s="5" t="inlineStr">
        <is>
          <t>Çene</t>
        </is>
      </c>
      <c r="E1624" s="5" t="inlineStr">
        <is>
          <t>Orta</t>
        </is>
      </c>
      <c r="F1624" s="5" t="inlineStr"/>
      <c r="G1624" s="6" t="inlineStr"/>
      <c r="H1624" s="6" t="inlineStr">
        <is>
          <t>Mahalle mahalle isim sayarak konuştun. Herkes adını duydu; seçimi kazandın. Şarkıyı kimse özlemedi.</t>
        </is>
      </c>
      <c r="I1624" s="6" t="inlineStr">
        <is>
          <t>Anonsların öyle sevildi ki seçimden sonra da çalınmasını istediler. Belediye başkanısın; sesin hâlâ sokakta.</t>
        </is>
      </c>
      <c r="J1624" s="6" t="inlineStr">
        <is>
          <t>Otobüs alt geçide girdi; “Değerli hemşehrilerim” yankılandı, gerisi uğultu oldu. Seçimi kırk oyla kaybettin. O alt geçidin üstünde tam kırk hane var.</t>
        </is>
      </c>
      <c r="K1624" s="6" t="inlineStr">
        <is>
          <t>Hoparlörü kapatmayı unuttun; şoföre “Klimayı bana da çevir, pişiyorum!” diye bağırışın bütün mahalleye yayınlandı. Balkondan bir teyze seslendi: “Biz de pişiyoruz evladım!” Klima oy kaybettirdi.</t>
        </is>
      </c>
      <c r="L1624" s="6" t="inlineStr"/>
      <c r="M1624" s="5" t="inlineStr"/>
      <c r="N1624" s="5" t="inlineStr"/>
      <c r="O1624" s="6" t="inlineStr"/>
      <c r="P1624" s="6" t="inlineStr"/>
      <c r="Q1624" s="5" t="inlineStr"/>
      <c r="R1624" s="5" t="inlineStr"/>
      <c r="S1624" s="5" t="inlineStr"/>
      <c r="T1624" s="5" t="inlineStr"/>
      <c r="U1624" s="5" t="inlineStr"/>
      <c r="V1624" s="5" t="inlineStr">
        <is>
          <t>belediye-baskani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c r="AI1624" s="5" t="inlineStr"/>
      <c r="AJ1624" s="5" t="inlineStr"/>
    </row>
    <row r="1625">
      <c r="A1625" s="5" t="inlineStr">
        <is>
          <t>b8-politika-otobus</t>
        </is>
      </c>
      <c r="B1625" s="5" t="n">
        <v>3</v>
      </c>
      <c r="C1625" s="6" t="inlineStr">
        <is>
          <t>Rakibin otobüsüyle aynı caddede yarış</t>
        </is>
      </c>
      <c r="D1625" s="5" t="inlineStr">
        <is>
          <t>Cesaret</t>
        </is>
      </c>
      <c r="E1625" s="5" t="inlineStr">
        <is>
          <t>Zor</t>
        </is>
      </c>
      <c r="F1625" s="5" t="inlineStr"/>
      <c r="G1625" s="6" t="inlineStr"/>
      <c r="H1625" s="6" t="inlineStr">
        <is>
          <t>İki otobüs yan yana durdu; senin şoförün önce korna çaldı. Mahalle kornayı sevdi, seni seçti.</t>
        </is>
      </c>
      <c r="I1625" s="6" t="inlineStr">
        <is>
          <t>Rakibin otobüsü bozuldu; durup onu da kendi otobüsüne aldın. Fotoğraf her yerde. Başkansın; rakip yardımcın.</t>
        </is>
      </c>
      <c r="J1625" s="6" t="inlineStr">
        <is>
          <t>İki otobüs dar sokağa sıkıştı. Seçmen iki adayı da yaya gördü, kararsız kaldı. Kararsızlık kazandı.</t>
        </is>
      </c>
      <c r="K1625" s="6" t="inlineStr">
        <is>
          <t>Rakibi geçerken hoparlörün yanlışlıkla onun şarkısını çaldı. Mahallenin kafası karıştı, oyunu ona verdi.</t>
        </is>
      </c>
      <c r="L1625" s="6" t="inlineStr"/>
      <c r="M1625" s="5" t="inlineStr"/>
      <c r="N1625" s="5" t="inlineStr"/>
      <c r="O1625" s="6" t="inlineStr"/>
      <c r="P1625" s="6" t="inlineStr"/>
      <c r="Q1625" s="5" t="inlineStr"/>
      <c r="R1625" s="5" t="inlineStr"/>
      <c r="S1625" s="5" t="inlineStr"/>
      <c r="T1625" s="5" t="inlineStr"/>
      <c r="U1625" s="5" t="inlineStr"/>
      <c r="V1625" s="5" t="inlineStr">
        <is>
          <t>belediye-baskani</t>
        </is>
      </c>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b8-politika-tartisma</t>
        </is>
      </c>
      <c r="B1626" s="5" t="n">
        <v>1</v>
      </c>
      <c r="C1626" s="6" t="inlineStr">
        <is>
          <t>İki tarafı da haklı bul</t>
        </is>
      </c>
      <c r="D1626" s="5" t="inlineStr"/>
      <c r="E1626" s="5" t="inlineStr"/>
      <c r="F1626" s="5" t="inlineStr">
        <is>
          <t>Sosyal Radar +1, İtibar +1</t>
        </is>
      </c>
      <c r="G1626" s="6" t="inlineStr">
        <is>
          <t>“Göbek de güzel, ışık da” dedin. Program seni “uzlaşmacı” diye tanıttı; bir daha çağırmadı.</t>
        </is>
      </c>
      <c r="H1626" s="6" t="inlineStr"/>
      <c r="I1626" s="6" t="inlineStr"/>
      <c r="J1626" s="6" t="inlineStr"/>
      <c r="K1626" s="6" t="inlineStr"/>
      <c r="L1626" s="6" t="inlineStr"/>
      <c r="M1626" s="5" t="inlineStr"/>
      <c r="N1626" s="5" t="inlineStr"/>
      <c r="O1626" s="6" t="inlineStr"/>
      <c r="P1626" s="6" t="inlineStr"/>
      <c r="Q1626" s="5" t="inlineStr"/>
      <c r="R1626" s="5" t="inlineStr"/>
      <c r="S1626" s="5" t="inlineStr"/>
      <c r="T1626" s="5" t="inlineStr"/>
      <c r="U1626" s="5" t="inlineStr"/>
      <c r="V1626" s="5" t="inlineStr"/>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b8-politika-tartisma</t>
        </is>
      </c>
      <c r="B1627" s="5" t="n">
        <v>2</v>
      </c>
      <c r="C1627" s="6" t="inlineStr">
        <is>
          <t>Göbeği ondan yüksek sesle savun</t>
        </is>
      </c>
      <c r="D1627" s="5" t="inlineStr">
        <is>
          <t>Çene</t>
        </is>
      </c>
      <c r="E1627" s="5" t="inlineStr">
        <is>
          <t>Orta</t>
        </is>
      </c>
      <c r="F1627" s="5" t="inlineStr"/>
      <c r="G1627" s="6" t="inlineStr"/>
      <c r="H1627" s="6" t="inlineStr">
        <is>
          <t>Göbeği öyle savundun ki karşındaki konuk ışığa geçti. Sunucu zili çaldı; alkış bitmedi.</t>
        </is>
      </c>
      <c r="I1627" s="6" t="inlineStr">
        <is>
          <t>Gecenin en çok izlenen yayını oldu. Kanal seni her salı istiyor; göbek konusu tükendi, sırada rampalar var.</t>
        </is>
      </c>
      <c r="J1627" s="6" t="inlineStr">
        <is>
          <t>Göbeği savundun; karşındaki de savundu, daha yüksek sesle. Tartışma değil düet oldu. Sunucu zili hiç çalmadı; reklama erken girildi.</t>
        </is>
      </c>
      <c r="K1627" s="6" t="inlineStr">
        <is>
          <t>Heyecanla masaya vurdun; tek bardak su sunucunun kucağına döküldü. Zil bu kez senin için çaldı; reklama girildi.</t>
        </is>
      </c>
      <c r="L1627" s="6" t="inlineStr"/>
      <c r="M1627" s="5" t="inlineStr"/>
      <c r="N1627" s="5" t="inlineStr"/>
      <c r="O1627" s="6" t="inlineStr"/>
      <c r="P1627" s="6" t="inlineStr"/>
      <c r="Q1627" s="5" t="inlineStr"/>
      <c r="R1627" s="5" t="inlineStr"/>
      <c r="S1627" s="5" t="inlineStr"/>
      <c r="T1627" s="5" t="inlineStr"/>
      <c r="U1627" s="5" t="inlineStr"/>
      <c r="V1627" s="5" t="inlineStr">
        <is>
          <t>tv-tartismaci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3</v>
      </c>
      <c r="C1628" s="6" t="inlineStr">
        <is>
          <t>Sunucunun zilini ele geçir</t>
        </is>
      </c>
      <c r="D1628" s="5" t="inlineStr">
        <is>
          <t>Pişkinlik</t>
        </is>
      </c>
      <c r="E1628" s="5" t="inlineStr">
        <is>
          <t>Zor</t>
        </is>
      </c>
      <c r="F1628" s="5" t="inlineStr"/>
      <c r="G1628" s="6" t="inlineStr"/>
      <c r="H1628" s="6" t="inlineStr">
        <is>
          <t>Zili aldın, sözün her kesildiğinde çaldın. Salon güldü, konuklar sustu. Son sözü sen söyledin; zille.</t>
        </is>
      </c>
      <c r="I1628" s="6" t="inlineStr">
        <is>
          <t>Zil sende kaldı; sunucu üç kez geri istedi, üçünde de zili çaldın. Sahne kısa video uygulamasında milyonlarca kez izlendi; çocuklar okulda teneffüs zilini senin gibi çalıyor.</t>
        </is>
      </c>
      <c r="J1628" s="6" t="inlineStr">
        <is>
          <t>Zile uzandın; sunucu elini çekmedi. Canlı yayında iki yetişkin bir zili paylaştı; kimse kazanmadı.</t>
        </is>
      </c>
      <c r="K1628" s="6" t="inlineStr">
        <is>
          <t>Zil elinden kaydı, masanın altına yuvarlandı. Programın kalanını masanın altından konuştun.</t>
        </is>
      </c>
      <c r="L1628" s="6" t="inlineStr">
        <is>
          <t>Zil bir sende kaldı, bir sunucuda. Konuklar sustu; seyirci kimin kazandığını hâlâ tartışıyor.</t>
        </is>
      </c>
      <c r="M1628" s="5" t="inlineStr">
        <is>
          <t>fight</t>
        </is>
      </c>
      <c r="N1628" s="5" t="inlineStr">
        <is>
          <t>Zil Kapışması</t>
        </is>
      </c>
      <c r="O1628" s="6" t="inlineStr">
        <is>
          <t>Saldırının geldiği yöne karşılık ver.</t>
        </is>
      </c>
      <c r="P1628" s="6" t="inlineStr">
        <is>
          <t>{"mode": "parry", "opp": "🔔"}</t>
        </is>
      </c>
      <c r="Q1628" s="5" t="inlineStr"/>
      <c r="R1628" s="5" t="inlineStr"/>
      <c r="S1628" s="5" t="inlineStr"/>
      <c r="T1628" s="5" t="inlineStr">
        <is>
          <t>Yüzü Kızarmaz</t>
        </is>
      </c>
      <c r="U1628" s="5" t="inlineStr"/>
      <c r="V1628" s="5" t="inlineStr">
        <is>
          <t>tv-tartismaci</t>
        </is>
      </c>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b8-politika-kurdele</t>
        </is>
      </c>
      <c r="B1629" s="5" t="n">
        <v>1</v>
      </c>
      <c r="C1629" s="6" t="inlineStr">
        <is>
          <t>Makası bırak, kurdeleyi düğümünden çöz</t>
        </is>
      </c>
      <c r="D1629" s="5" t="inlineStr"/>
      <c r="E1629" s="5" t="inlineStr"/>
      <c r="F1629" s="5" t="inlineStr">
        <is>
          <t>Kurnazlık +1, Dayanıklılık +1</t>
        </is>
      </c>
      <c r="G1629" s="6" t="inlineStr">
        <is>
          <t>Kurdeleyi düğümünden çözdün. Kimse kesilmediğini fark etmedi; fotoğrafta bir makas var, yeter.</t>
        </is>
      </c>
      <c r="H1629" s="6" t="inlineStr"/>
      <c r="I1629" s="6" t="inlineStr"/>
      <c r="J1629" s="6" t="inlineStr"/>
      <c r="K1629" s="6" t="inlineStr"/>
      <c r="L1629" s="6" t="inlineStr"/>
      <c r="M1629" s="5" t="inlineStr"/>
      <c r="N1629" s="5" t="inlineStr"/>
      <c r="O1629" s="6" t="inlineStr"/>
      <c r="P1629" s="6" t="inlineStr"/>
      <c r="Q1629" s="5" t="inlineStr"/>
      <c r="R1629" s="5" t="inlineStr"/>
      <c r="S1629" s="5" t="inlineStr"/>
      <c r="T1629" s="5" t="inlineStr"/>
      <c r="U1629" s="5" t="inlineStr"/>
      <c r="V1629" s="5" t="inlineStr"/>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b8-politika-kurdele</t>
        </is>
      </c>
      <c r="B1630" s="5" t="n">
        <v>2</v>
      </c>
      <c r="C1630" s="6" t="inlineStr">
        <is>
          <t>Kesmeden önce uzun bir konuşma yap</t>
        </is>
      </c>
      <c r="D1630" s="5" t="inlineStr">
        <is>
          <t>Çene</t>
        </is>
      </c>
      <c r="E1630" s="5" t="inlineStr">
        <is>
          <t>Orta</t>
        </is>
      </c>
      <c r="F1630" s="5" t="inlineStr"/>
      <c r="G1630" s="6" t="inlineStr"/>
      <c r="H1630" s="6" t="inlineStr">
        <is>
          <t>Çeşmenin tarihini anlattın; çeşme dün yapılmıştı. Yine de alkış aldın, kurdele de kesildi.</t>
        </is>
      </c>
      <c r="I1630" s="6" t="inlineStr">
        <is>
          <t>Konuşman biterken çeşmeden su aktı; zamanlama kusursuzdu. Kalabalık bunu senin başarın saydı. Sen de.</t>
        </is>
      </c>
      <c r="J1630" s="6" t="inlineStr">
        <is>
          <t>Konuşma uzadı, kalabalık dağıldı, kurdeleyi bir çocuk kopardı. Fotoğrafta çocuk var.</t>
        </is>
      </c>
      <c r="K1630" s="6" t="inlineStr">
        <is>
          <t>Tam doruk noktasında çeşme çalıştı; basınç fazlaydı. Ön sıradaki teyzelerin fönü, konuşma kâğıdın ve kurdele aynı anda ıslandı. Mahallede o çeşmenin adı hâlâ “Islak Açılış.”</t>
        </is>
      </c>
      <c r="L1630" s="6" t="inlineStr"/>
      <c r="M1630" s="5" t="inlineStr"/>
      <c r="N1630" s="5" t="inlineStr"/>
      <c r="O1630" s="6" t="inlineStr"/>
      <c r="P1630" s="6" t="inlineStr"/>
      <c r="Q1630" s="5" t="inlineStr"/>
      <c r="R1630" s="5" t="inlineStr"/>
      <c r="S1630" s="5" t="inlineStr"/>
      <c r="T1630" s="5" t="inlineStr"/>
      <c r="U1630" s="5" t="inlineStr"/>
      <c r="V1630" s="5" t="inlineStr"/>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3</v>
      </c>
      <c r="C1631" s="6" t="inlineStr">
        <is>
          <t>Kör makası kameraya göster, şakaya vur</t>
        </is>
      </c>
      <c r="D1631" s="5" t="inlineStr">
        <is>
          <t>Pişkinlik</t>
        </is>
      </c>
      <c r="E1631" s="5" t="inlineStr">
        <is>
          <t>Orta</t>
        </is>
      </c>
      <c r="F1631" s="5" t="inlineStr"/>
      <c r="G1631" s="6" t="inlineStr"/>
      <c r="H1631" s="6" t="inlineStr">
        <is>
          <t>“Bu makas da seçim vaadi gibi, kesiyormuş gibi yapıyor” dedin. Herkes güldü; espri kurdeleden uzun yaşadı.</t>
        </is>
      </c>
      <c r="I1631" s="6" t="inlineStr">
        <is>
          <t>Esprin haberlere çıktı; bir makas firması sana yeni makas yolladı. Açılış davetlerin ikiye katlandı.</t>
        </is>
      </c>
      <c r="J1631" s="6" t="inlineStr">
        <is>
          <t>Makası getiren görevli bozuldu; makas babasından kalmaymış. Kurdeleyi elinden alıp kendisi kesti, iki hamlede.</t>
        </is>
      </c>
      <c r="K1631" s="6" t="inlineStr">
        <is>
          <t>Makası sallarken kurdeleyi değil mikrofon kablosunu kestin. Açılışın sesi orada bitti.</t>
        </is>
      </c>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4</v>
      </c>
      <c r="C1632" s="6" t="inlineStr">
        <is>
          <t>Açılışı bırak, Meclis'e yetiş, kürsüye çık</t>
        </is>
      </c>
      <c r="D1632" s="5" t="inlineStr">
        <is>
          <t>Cesaret</t>
        </is>
      </c>
      <c r="E1632" s="5" t="inlineStr">
        <is>
          <t>Zor</t>
        </is>
      </c>
      <c r="F1632" s="5" t="inlineStr"/>
      <c r="G1632" s="6" t="inlineStr"/>
      <c r="H1632" s="6" t="inlineStr">
        <is>
          <t>Kürsüdeki ilk konuşmanda çeşmeyi anlattın. Meclis güldü, sonra alkışladı. Tutanakta iki kez “(Alkışlar)” yazıyor.</t>
        </is>
      </c>
      <c r="I1632" s="6" t="inlineStr">
        <is>
          <t>İlk konuşmanı her sıradan vekil ayakta alkışladı. Kantinde tost sana ikram edildi; ayran da.</t>
        </is>
      </c>
      <c r="J1632" s="6" t="inlineStr">
        <is>
          <t>Süren yirmi saniyeydi, ilk cümlen otuz. Tutanakta yalnızca “Sayın Başkan” yazıyor.</t>
        </is>
      </c>
      <c r="K1632" s="6" t="inlineStr">
        <is>
          <t>Kurdele ceketine takılı kalmış. Konuşman unutuldu; kurdeleli fotoğrafın kaldı.</t>
        </is>
      </c>
      <c r="L1632" s="6" t="inlineStr"/>
      <c r="M1632" s="5" t="inlineStr"/>
      <c r="N1632" s="5" t="inlineStr"/>
      <c r="O1632" s="6" t="inlineStr"/>
      <c r="P1632" s="6" t="inlineStr"/>
      <c r="Q1632" s="5" t="inlineStr"/>
      <c r="R1632" s="5" t="inlineStr">
        <is>
          <t>secim-kazandi</t>
        </is>
      </c>
      <c r="S1632" s="5" t="inlineStr"/>
      <c r="T1632" s="5" t="inlineStr">
        <is>
          <t>Sözünü Geçirir</t>
        </is>
      </c>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b9-politika-ani</t>
        </is>
      </c>
      <c r="B1633" s="5" t="n">
        <v>1</v>
      </c>
      <c r="C1633" s="6" t="inlineStr">
        <is>
          <t>Her şeyi olduğu gibi yaz</t>
        </is>
      </c>
      <c r="D1633" s="5" t="inlineStr"/>
      <c r="E1633" s="5" t="inlineStr"/>
      <c r="F1633" s="5" t="inlineStr">
        <is>
          <t>İtibar +1, Akıl +1</t>
        </is>
      </c>
      <c r="G1633" s="6" t="inlineStr">
        <is>
          <t>Kitap dürüst oldu; kırk iki tane sattı. Otuzunu akrabalar aldı. Birini eski rakibin aldı, altını çize çize okuyor.</t>
        </is>
      </c>
      <c r="H1633" s="6" t="inlineStr"/>
      <c r="I1633" s="6" t="inlineStr"/>
      <c r="J1633" s="6" t="inlineStr"/>
      <c r="K1633" s="6" t="inlineStr"/>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b9-politika-ani</t>
        </is>
      </c>
      <c r="B1634" s="5" t="n">
        <v>2</v>
      </c>
      <c r="C1634" s="6" t="inlineStr">
        <is>
          <t>Küçük bir sır uydur</t>
        </is>
      </c>
      <c r="D1634" s="5" t="inlineStr">
        <is>
          <t>Pişkinlik</t>
        </is>
      </c>
      <c r="E1634" s="5" t="inlineStr">
        <is>
          <t>Orta</t>
        </is>
      </c>
      <c r="F1634" s="5" t="inlineStr"/>
      <c r="G1634" s="6" t="inlineStr"/>
      <c r="H1634" s="6" t="inlineStr">
        <is>
          <t>“Semaverin gizli tarifi” diye bir bölüm ekledin. Kitap okundu; tarif denendi, tutmadı. Kimse şikâyet etmedi.</t>
        </is>
      </c>
      <c r="I1634" s="6" t="inlineStr">
        <is>
          <t>Uydurduğun sır bir televizyon programına konu oldu. Doğrulaman için çağrıldın; doğruladın.</t>
        </is>
      </c>
      <c r="J1634" s="6" t="inlineStr">
        <is>
          <t>Editör “Bu sırrı biri daha önce yazmış” dedi. Yazan, eski il başkanın.</t>
        </is>
      </c>
      <c r="K1634" s="6" t="inlineStr">
        <is>
          <t>Sırrın kahramanı eski bir parti arkadaşın; kitabı okumuş. Fuarda imza kuyruğuna girdi, kitabı imzalattı, sonra kuyruğa dönüp okudu: 'O gece ben orada değildim.' Kuyruk dağıldı; yarısı ondan imza almaya gitti.</t>
        </is>
      </c>
      <c r="L1634" s="6" t="inlineStr"/>
      <c r="M1634" s="5" t="inlineStr"/>
      <c r="N1634" s="5" t="inlineStr"/>
      <c r="O1634" s="6" t="inlineStr"/>
      <c r="P1634" s="6" t="inlineStr"/>
      <c r="Q1634" s="5" t="inlineStr"/>
      <c r="R1634" s="5" t="inlineStr"/>
      <c r="S1634" s="5" t="inlineStr"/>
      <c r="T1634" s="5" t="inlineStr"/>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3</v>
      </c>
      <c r="C1635" s="6" t="inlineStr">
        <is>
          <t>Eski rakibinle ortak kitap yaz</t>
        </is>
      </c>
      <c r="D1635" s="5" t="inlineStr">
        <is>
          <t>Sosyal Radar</t>
        </is>
      </c>
      <c r="E1635" s="5" t="inlineStr">
        <is>
          <t>Zor</t>
        </is>
      </c>
      <c r="F1635" s="5" t="inlineStr"/>
      <c r="G1635" s="6" t="inlineStr"/>
      <c r="H1635" s="6" t="inlineStr">
        <is>
          <t>Her bölümü ikişer kez yazdınız, bir kez kavga ettiniz. Kitap “uzlaşmanın anıları” diye satıldı.</t>
        </is>
      </c>
      <c r="I1635" s="6" t="inlineStr">
        <is>
          <t>İmza gününde ikiniz aynı kalemi kullandınız. Fotoğraf ders kitaplarına girdi, “Nezaket” başlığının altına.</t>
        </is>
      </c>
      <c r="J1635" s="6" t="inlineStr">
        <is>
          <t>Anlaşamadınız; aynı kapakla iki ayrı kitap çıktı. Kitapçılar yan yana dizdi.</t>
        </is>
      </c>
      <c r="K1635" s="6" t="inlineStr">
        <is>
          <t>Önsözde anlaşamadınız; önsöz iki yüz sayfa oldu. Kitap önsözden ibaret.</t>
        </is>
      </c>
      <c r="L1635" s="6" t="inlineStr"/>
      <c r="M1635" s="5" t="inlineStr"/>
      <c r="N1635" s="5" t="inlineStr"/>
      <c r="O1635" s="6" t="inlineStr"/>
      <c r="P1635" s="6" t="inlineStr"/>
      <c r="Q1635" s="5" t="inlineStr"/>
      <c r="R1635" s="5" t="inlineStr"/>
      <c r="S1635" s="5" t="inlineStr"/>
      <c r="T1635" s="5" t="inlineStr">
        <is>
          <t>Odayı Okur</t>
        </is>
      </c>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b9-politika-kahve</t>
        </is>
      </c>
      <c r="B1636" s="5" t="n">
        <v>1</v>
      </c>
      <c r="C1636" s="6" t="inlineStr">
        <is>
          <t>Hepsini dinle, önce kediyle ilgilen</t>
        </is>
      </c>
      <c r="D1636" s="5" t="inlineStr"/>
      <c r="E1636" s="5" t="inlineStr"/>
      <c r="F1636" s="5" t="inlineStr">
        <is>
          <t>İtibar +1, Sosyal Radar +1</t>
        </is>
      </c>
      <c r="G1636" s="6" t="inlineStr">
        <is>
          <t>Kediyi belediyeye götürdün; ceza çöp kutusunu devirmekten. Cezayı ödedin. Kedi artık kahvede, senin masanda uyuyor.</t>
        </is>
      </c>
      <c r="H1636" s="6" t="inlineStr"/>
      <c r="I1636" s="6" t="inlineStr"/>
      <c r="J1636" s="6" t="inlineStr"/>
      <c r="K1636" s="6" t="inlineStr"/>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b9-politika-kahve</t>
        </is>
      </c>
      <c r="B1637" s="5" t="n">
        <v>2</v>
      </c>
      <c r="C1637" s="6" t="inlineStr">
        <is>
          <t>Eski telefon defterini aç, birkaç yeri ara</t>
        </is>
      </c>
      <c r="D1637" s="5" t="inlineStr">
        <is>
          <t>Çene</t>
        </is>
      </c>
      <c r="E1637" s="5" t="inlineStr">
        <is>
          <t>Orta</t>
        </is>
      </c>
      <c r="F1637" s="5" t="inlineStr"/>
      <c r="G1637" s="6" t="inlineStr"/>
      <c r="H1637" s="6" t="inlineStr">
        <is>
          <t>Üç yeri aradın, ikisi açtı, biri seni hatırladı. Kaldırım programa alındı; beş yıl sonrasına ama alındı.</t>
        </is>
      </c>
      <c r="I1637" s="6" t="inlineStr">
        <is>
          <t>Aradığın herkes hatırladı: torun işe girdi, kaldırım döküldü, kedinin cezası silindi. Bütün gün çayın ısmarlandı.</t>
        </is>
      </c>
      <c r="J1637" s="6" t="inlineStr">
        <is>
          <t>Numaraların yarısı başkasına geçmiş. Biri pizzacı çıktı; mecburen bir şey sipariş ettin.</t>
        </is>
      </c>
      <c r="K1637" s="6" t="inlineStr">
        <is>
          <t>Yanlış numarayı aradın; eski rakibin açtı. Ricayı dinledi, kaldırımı kendisi yaptırdı. Kahve artık onu seviyor.</t>
        </is>
      </c>
      <c r="L1637" s="6" t="inlineStr"/>
      <c r="M1637" s="5" t="inlineStr"/>
      <c r="N1637" s="5" t="inlineStr"/>
      <c r="O1637" s="6" t="inlineStr"/>
      <c r="P1637" s="6" t="inlineStr"/>
      <c r="Q1637" s="5" t="inlineStr"/>
      <c r="R1637" s="5" t="inlineStr"/>
      <c r="S1637" s="5" t="inlineStr"/>
      <c r="T1637" s="5" t="inlineStr"/>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3</v>
      </c>
      <c r="C1638" s="6" t="inlineStr">
        <is>
          <t>Ricaları bir mahalle toplantısına çevir</t>
        </is>
      </c>
      <c r="D1638" s="5" t="inlineStr">
        <is>
          <t>Pişkinlik</t>
        </is>
      </c>
      <c r="E1638" s="5" t="inlineStr">
        <is>
          <t>Orta</t>
        </is>
      </c>
      <c r="F1638" s="5" t="inlineStr"/>
      <c r="G1638" s="6" t="inlineStr"/>
      <c r="H1638" s="6" t="inlineStr">
        <is>
          <t>Masaları birleştirdin, kahveyi mahalle meclisine çevirdin. Kaldırım için imza toplandı; kedi de patisini bastı.</t>
        </is>
      </c>
      <c r="I1638" s="6" t="inlineStr">
        <is>
          <t>Toplantılar öyle sevildi ki belediye her ay birini gönderiyor. Yine “Başkanım”sın; bu sefer bir sebebi var.</t>
        </is>
      </c>
      <c r="J1638" s="6" t="inlineStr">
        <is>
          <t>Toplantıya kimse gelmedi; tavla turnuvası vardı. Sen de oynadın, kaybettin.</t>
        </is>
      </c>
      <c r="K1638" s="6" t="inlineStr">
        <is>
          <t>Kaldırımcıyla kedi sahibi kavgaya tutuştu; kedi çöp kutusunu yine devirdi. Ceza bu kez senin adına kesildi.</t>
        </is>
      </c>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4</v>
      </c>
      <c r="C1639" s="6" t="inlineStr">
        <is>
          <t>“Eski Meclis üyesi” kartını çıkar</t>
        </is>
      </c>
      <c r="D1639" s="5" t="inlineStr">
        <is>
          <t>Pişkinlik</t>
        </is>
      </c>
      <c r="E1639" s="5" t="inlineStr">
        <is>
          <t>Zor</t>
        </is>
      </c>
      <c r="F1639" s="5" t="inlineStr"/>
      <c r="G1639" s="6" t="inlineStr"/>
      <c r="H1639" s="6" t="inlineStr">
        <is>
          <t>Kartı gösterdin; belediyede kapılar açıldı, kedinin cezası 'sehven' diye silindi. Kahveye döndüğünde kedi senin sandalyendeydi; kalkmadı.</t>
        </is>
      </c>
      <c r="I1639" s="6" t="inlineStr">
        <is>
          <t>Başkan yardımcısı eski stajyerin çıktı. Kaldırım bir haftada döküldü; adı “Vekil Yolu” oldu.</t>
        </is>
      </c>
      <c r="J1639" s="6" t="inlineStr">
        <is>
          <t>Güvenlikteki genç kartının süresinin çoktan dolduğunu söyledi. Ziyaretçi kartıyla girdin.</t>
        </is>
      </c>
      <c r="K1639" s="6" t="inlineStr">
        <is>
          <t>Kartı çıkarırken cüzdandan eski miting fotoğrafların döküldü; bekleme salonu tek tek inceledi. Cezayı ödeyip çıktın.</t>
        </is>
      </c>
      <c r="L1639" s="6" t="inlineStr"/>
      <c r="M1639" s="5" t="inlineStr"/>
      <c r="N1639" s="5" t="inlineStr"/>
      <c r="O1639" s="6" t="inlineStr"/>
      <c r="P1639" s="6" t="inlineStr"/>
      <c r="Q1639" s="5" t="inlineStr"/>
      <c r="R1639" s="5" t="inlineStr">
        <is>
          <t>secim-kazandi</t>
        </is>
      </c>
      <c r="S1639" s="5" t="inlineStr"/>
      <c r="T1639" s="5" t="inlineStr">
        <is>
          <t>Kendine Gülebilir</t>
        </is>
      </c>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k10-sohret</t>
        </is>
      </c>
      <c r="B1640" s="5" t="n">
        <v>1</v>
      </c>
      <c r="C1640" s="6" t="inlineStr">
        <is>
          <t>Özür videosu çek</t>
        </is>
      </c>
      <c r="D1640" s="5" t="inlineStr">
        <is>
          <t>Çene</t>
        </is>
      </c>
      <c r="E1640" s="5" t="inlineStr">
        <is>
          <t>Orta</t>
        </is>
      </c>
      <c r="F1640" s="5" t="inlineStr"/>
      <c r="G1640" s="6" t="inlineStr"/>
      <c r="H1640" s="6" t="inlineStr">
        <is>
          <t>Beyaz tişört, sade duvar, titrek ses. Özrün kabul edildi; garson bile yorum yazdı: “Tamam, artık tanıyorum.” Sponsorlar döndü.</t>
        </is>
      </c>
      <c r="I1640" s="6" t="inlineStr">
        <is>
          <t>Özür videon, olay videosundan çok izlendi. Garsonla birlikte reklam çektiniz. Artık garsonu da herkes tanıyor.</t>
        </is>
      </c>
      <c r="J1640" s="6" t="inlineStr">
        <is>
          <t>Işık kötüydü, sesin fazla prova edilmişti. Yorumlar “Oyunculuk bu mu?” diyor. Kimse affetmedi; bekliyorlar.</t>
        </is>
      </c>
      <c r="K1640" s="6" t="inlineStr">
        <is>
          <t>Videonun sonunda “Beni tanıyanlar bilir” dedin. Aynı cümle. İkinci video da her yerde.</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is>
          <t>Rahat</t>
        </is>
      </c>
      <c r="AE1640" s="5" t="inlineStr"/>
      <c r="AF1640" s="5" t="inlineStr"/>
      <c r="AG1640" s="5" t="inlineStr"/>
      <c r="AH1640" s="5" t="inlineStr"/>
      <c r="AI1640" s="5" t="inlineStr"/>
      <c r="AJ1640" s="5" t="inlineStr"/>
    </row>
    <row r="1641">
      <c r="A1641" s="5" t="inlineStr">
        <is>
          <t>k10-sohret</t>
        </is>
      </c>
      <c r="B1641" s="5" t="n">
        <v>2</v>
      </c>
      <c r="C1641" s="6" t="inlineStr">
        <is>
          <t>Sessiz kal, geri dönüşü bekle</t>
        </is>
      </c>
      <c r="D1641" s="5" t="inlineStr">
        <is>
          <t>Dayanıklılık</t>
        </is>
      </c>
      <c r="E1641" s="5" t="inlineStr">
        <is>
          <t>Zor</t>
        </is>
      </c>
      <c r="F1641" s="5" t="inlineStr"/>
      <c r="G1641" s="6" t="inlineStr"/>
      <c r="H1641" s="6" t="inlineStr">
        <is>
          <t>Altı ay tek kelime etmedin. Sonra bir yarışma programında bir kez gülümsedin. Herkes affetti; neyi affettiğini kimse hatırlamıyor.</t>
        </is>
      </c>
      <c r="I1641" s="6" t="inlineStr">
        <is>
          <t>Sessizliğin uzadıkça “Nerede bu?” diye haber yapıldı. Dönüş röportajında sunucu ilk soruyu gülümseyerek sordu: “Bizi tanıyor musunuz?”</t>
        </is>
      </c>
      <c r="J1641" s="6" t="inlineStr">
        <is>
          <t>Sessiz kaldın; seni herkes unuttu, skandal da dahil. Geri dönmek için önce hatırlanman lazım.</t>
        </is>
      </c>
      <c r="K1641" s="6" t="inlineStr">
        <is>
          <t>Sessizliğinin üçüncü ayında yanlışlıkla canlı yayın açtın; kırk dakika buzdolabına baktın. Bu da yeni skandal sayıldı.</t>
        </is>
      </c>
      <c r="L1641" s="6" t="inlineStr"/>
      <c r="M1641" s="5" t="inlineStr"/>
      <c r="N1641" s="5" t="inlineStr"/>
      <c r="O1641" s="6" t="inlineStr"/>
      <c r="P1641" s="6" t="inlineStr"/>
      <c r="Q1641" s="5" t="inlineStr"/>
      <c r="R1641" s="5" t="inlineStr"/>
      <c r="S1641" s="5" t="inlineStr"/>
      <c r="T1641" s="5" t="inlineStr"/>
      <c r="U1641" s="5" t="inlineStr"/>
      <c r="V1641" s="5" t="inlineStr">
        <is>
          <t>sohret-donus</t>
        </is>
      </c>
      <c r="W1641" s="5" t="inlineStr"/>
      <c r="X1641" s="5" t="inlineStr"/>
      <c r="Y1641" s="5" t="inlineStr"/>
      <c r="Z1641" s="6" t="inlineStr"/>
      <c r="AA1641" s="5" t="inlineStr"/>
      <c r="AB1641" s="5" t="inlineStr"/>
      <c r="AC1641" s="5" t="inlineStr"/>
      <c r="AD1641" s="5" t="inlineStr">
        <is>
          <t>Rahat</t>
        </is>
      </c>
      <c r="AE1641" s="5" t="inlineStr"/>
      <c r="AF1641" s="5" t="inlineStr"/>
      <c r="AG1641" s="5" t="inlineStr"/>
      <c r="AH1641" s="5" t="inlineStr"/>
      <c r="AI1641" s="5" t="inlineStr"/>
      <c r="AJ1641" s="5" t="inlineStr"/>
    </row>
    <row r="1642">
      <c r="A1642" s="5" t="inlineStr">
        <is>
          <t>k10-sohret</t>
        </is>
      </c>
      <c r="B1642" s="5" t="n">
        <v>3</v>
      </c>
      <c r="C1642" s="6" t="inlineStr">
        <is>
          <t>Her şeyi bırak, köye çekil</t>
        </is>
      </c>
      <c r="D1642" s="5" t="inlineStr"/>
      <c r="E1642" s="5" t="inlineStr"/>
      <c r="F1642" s="5" t="inlineStr">
        <is>
          <t>İtibar +1, Dayanıklılık +1</t>
        </is>
      </c>
      <c r="G1642" s="6" t="inlineStr">
        <is>
          <t>Telefonu kapattın, köye yerleştin. Köyde seni kimse tanımıyor; bir teyze hariç. O da garsonun annesi.</t>
        </is>
      </c>
      <c r="H1642" s="6" t="inlineStr"/>
      <c r="I1642" s="6" t="inlineStr"/>
      <c r="J1642" s="6" t="inlineStr"/>
      <c r="K1642" s="6" t="inlineStr"/>
      <c r="L1642" s="6" t="inlineStr"/>
      <c r="M1642" s="5" t="inlineStr"/>
      <c r="N1642" s="5" t="inlineStr"/>
      <c r="O1642" s="6" t="inlineStr"/>
      <c r="P1642" s="6" t="inlineStr"/>
      <c r="Q1642" s="5" t="inlineStr"/>
      <c r="R1642" s="5" t="inlineStr"/>
      <c r="S1642" s="5" t="inlineStr"/>
      <c r="T1642" s="5" t="inlineStr"/>
      <c r="U1642" s="5" t="inlineStr">
        <is>
          <t>-hat-cete, -hat-dolandirici, -hat-girisimci, -hat-goc, -hat-hekim, -hat-polis, -hat-politika, -hat-sohret, -hat-usta, -hat-yargi, -meslek-beyazyaka, -meslek-memur, -meslek-serbest, hat-koy, meslek-esnaf</t>
        </is>
      </c>
      <c r="V1642" s="5" t="inlineStr"/>
      <c r="W1642" s="5" t="inlineStr"/>
      <c r="X1642" s="5" t="inlineStr"/>
      <c r="Y1642" s="5" t="inlineStr"/>
      <c r="Z1642" s="6" t="inlineStr"/>
      <c r="AA1642" s="5" t="inlineStr"/>
      <c r="AB1642" s="5" t="inlineStr"/>
      <c r="AC1642" s="5" t="inlineStr"/>
      <c r="AD1642" s="5" t="inlineStr"/>
      <c r="AE1642" s="5" t="inlineStr"/>
      <c r="AF1642" s="5" t="inlineStr"/>
      <c r="AG1642" s="5" t="inlineStr"/>
      <c r="AH1642" s="5" t="inlineStr"/>
      <c r="AI1642" s="5" t="inlineStr"/>
      <c r="AJ1642" s="5" t="inlineStr"/>
    </row>
    <row r="1643">
      <c r="A1643" s="5" t="inlineStr">
        <is>
          <t>k10-girisimci</t>
        </is>
      </c>
      <c r="B1643" s="5" t="n">
        <v>1</v>
      </c>
      <c r="C1643" s="6" t="inlineStr">
        <is>
          <t>Büyü: parayı al, üç şehre birden açıl</t>
        </is>
      </c>
      <c r="D1643" s="5" t="inlineStr">
        <is>
          <t>Akıl</t>
        </is>
      </c>
      <c r="E1643" s="5" t="inlineStr">
        <is>
          <t>Zor</t>
        </is>
      </c>
      <c r="F1643" s="5" t="inlineStr"/>
      <c r="G1643" s="6" t="inlineStr"/>
      <c r="H1643" s="6" t="inlineStr">
        <is>
          <t>Üç şehre açıldın, üçünde de tuttu. Şirketin adı artık sonuna “Grup” alıyor. Kuzen arabasını aldı.</t>
        </is>
      </c>
      <c r="I1643" s="6" t="inlineStr">
        <is>
          <t>Fon ikinci turu sen istemeden verdi. Yeni binanın açılışında kurdeleyi annen kesti, makası çantasına koyup götürdü. Kuzen arabasını aldı; şimdi şoför istiyor.</t>
        </is>
      </c>
      <c r="J1643" s="6" t="inlineStr">
        <is>
          <t>Üç şehrin birinde tuttu, ikisinde battı. Fon parayı istemiyor ama banka istiyor. Borç senin adına.</t>
        </is>
      </c>
      <c r="K1643" s="6" t="inlineStr">
        <is>
          <t>Açıldığın şehirlerden birinde şirketin adı yerel bir küfre denk geldi. Şube kapandı; borç açık kaldı.</t>
        </is>
      </c>
      <c r="L1643" s="6" t="inlineStr"/>
      <c r="M1643" s="5" t="inlineStr"/>
      <c r="N1643" s="5" t="inlineStr"/>
      <c r="O1643" s="6" t="inlineStr"/>
      <c r="P1643" s="6" t="inlineStr"/>
      <c r="Q1643" s="5" t="inlineStr"/>
      <c r="R1643" s="5" t="inlineStr"/>
      <c r="S1643" s="5" t="inlineStr"/>
      <c r="T1643" s="5" t="inlineStr"/>
      <c r="U1643" s="5" t="inlineStr"/>
      <c r="V1643" s="5" t="inlineStr">
        <is>
          <t>holding</t>
        </is>
      </c>
      <c r="W1643" s="5" t="inlineStr"/>
      <c r="X1643" s="5" t="inlineStr"/>
      <c r="Y1643" s="5" t="inlineStr"/>
      <c r="Z1643" s="6" t="inlineStr"/>
      <c r="AA1643" s="5" t="inlineStr"/>
      <c r="AB1643" s="5" t="inlineStr">
        <is>
          <t>borclu</t>
        </is>
      </c>
      <c r="AC1643" s="5" t="inlineStr">
        <is>
          <t>Orta</t>
        </is>
      </c>
      <c r="AD1643" s="5" t="inlineStr">
        <is>
          <t>Zengin</t>
        </is>
      </c>
      <c r="AE1643" s="5" t="inlineStr"/>
      <c r="AF1643" s="5" t="inlineStr"/>
      <c r="AG1643" s="5" t="inlineStr"/>
      <c r="AH1643" s="5" t="inlineStr"/>
      <c r="AI1643" s="5" t="inlineStr"/>
      <c r="AJ1643" s="5" t="inlineStr"/>
      <c r="AL1643" t="n">
        <v>1</v>
      </c>
    </row>
    <row r="1644">
      <c r="A1644" s="5" t="inlineStr">
        <is>
          <t>k10-girisimci</t>
        </is>
      </c>
      <c r="B1644" s="5" t="n">
        <v>2</v>
      </c>
      <c r="C1644" s="6" t="inlineStr">
        <is>
          <t>Şirketi holdinge sat</t>
        </is>
      </c>
      <c r="D1644" s="5" t="inlineStr"/>
      <c r="E1644" s="5" t="inlineStr"/>
      <c r="F1644" s="5" t="inlineStr">
        <is>
          <t>Akıl +1, Kurnazlık +1</t>
        </is>
      </c>
      <c r="G1644" s="6" t="inlineStr">
        <is>
          <t>Holding şirketi aldı, adını kapıdan söktü. Hesabında hiç görmediğin bir rakam var. Kuzen de payını aldı; artık iki araba istiyor.</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sirketi-satti</t>
        </is>
      </c>
      <c r="V1644" s="5" t="inlineStr"/>
      <c r="W1644" s="5" t="inlineStr"/>
      <c r="X1644" s="5" t="inlineStr"/>
      <c r="Y1644" s="5" t="inlineStr"/>
      <c r="Z1644" s="6" t="inlineStr"/>
      <c r="AA1644" s="5" t="inlineStr"/>
      <c r="AB1644" s="5" t="inlineStr"/>
      <c r="AC1644" s="5" t="inlineStr"/>
      <c r="AD1644" s="5" t="inlineStr">
        <is>
          <t>Rahat</t>
        </is>
      </c>
      <c r="AE1644" s="5" t="inlineStr"/>
      <c r="AF1644" s="5" t="inlineStr"/>
      <c r="AG1644" s="5" t="inlineStr"/>
      <c r="AH1644" s="5" t="inlineStr"/>
      <c r="AI1644" s="5" t="inlineStr"/>
      <c r="AJ1644" s="5" t="inlineStr"/>
    </row>
    <row r="1645">
      <c r="A1645" s="5" t="inlineStr">
        <is>
          <t>k10-girisimci</t>
        </is>
      </c>
      <c r="B1645" s="5" t="n">
        <v>3</v>
      </c>
      <c r="C1645" s="6" t="inlineStr">
        <is>
          <t>Batmadan kapat, köye dön</t>
        </is>
      </c>
      <c r="D1645" s="5" t="inlineStr"/>
      <c r="E1645" s="5" t="inlineStr"/>
      <c r="F1645" s="5" t="inlineStr">
        <is>
          <t>İtibar +1, Dayanıklılık +1</t>
        </is>
      </c>
      <c r="G1645" s="6" t="inlineStr">
        <is>
          <t>Şirketi kapattın, borçları ödedin, kalanla köye döndün. Annen kapıda sordu: “Şirket ne oldu?” “Kapattım.” “İyi. Otur, dolma var.”</t>
        </is>
      </c>
      <c r="H1645" s="6" t="inlineStr"/>
      <c r="I1645" s="6" t="inlineStr"/>
      <c r="J1645" s="6" t="inlineStr"/>
      <c r="K1645" s="6" t="inlineStr"/>
      <c r="L1645" s="6" t="inlineStr"/>
      <c r="M1645" s="5" t="inlineStr"/>
      <c r="N1645" s="5" t="inlineStr"/>
      <c r="O1645" s="6" t="inlineStr"/>
      <c r="P1645" s="6" t="inlineStr"/>
      <c r="Q1645" s="5" t="inlineStr"/>
      <c r="R1645" s="5" t="inlineStr"/>
      <c r="S1645" s="5" t="inlineStr"/>
      <c r="T1645" s="5" t="inlineStr"/>
      <c r="U1645" s="5" t="inlineStr">
        <is>
          <t>-hat-cete, -hat-dolandirici, -hat-girisimci, -hat-goc, -hat-hekim, -hat-polis, -hat-politika, -hat-sohret, -hat-usta, -hat-yargi, -meslek-beyazyaka, -meslek-memur, -meslek-serbest, hat-koy, meslek-esnaf</t>
        </is>
      </c>
      <c r="V1645" s="5" t="inlineStr"/>
      <c r="W1645" s="5" t="inlineStr"/>
      <c r="X1645" s="5" t="inlineStr"/>
      <c r="Y1645" s="5" t="inlineStr"/>
      <c r="Z1645" s="6" t="inlineStr"/>
      <c r="AA1645" s="5" t="inlineStr"/>
      <c r="AB1645" s="5" t="inlineStr"/>
      <c r="AC1645" s="5" t="inlineStr"/>
      <c r="AD1645" s="5" t="inlineStr"/>
      <c r="AE1645" s="5" t="inlineStr"/>
      <c r="AF1645" s="5" t="n">
        <v>1</v>
      </c>
      <c r="AG1645" s="5" t="inlineStr"/>
      <c r="AH1645" s="5" t="inlineStr"/>
      <c r="AI1645" s="5" t="inlineStr"/>
      <c r="AJ1645" s="5" t="inlineStr"/>
    </row>
    <row r="1646">
      <c r="A1646" s="5" t="inlineStr">
        <is>
          <t>k10-politika</t>
        </is>
      </c>
      <c r="B1646" s="5" t="n">
        <v>1</v>
      </c>
      <c r="C1646" s="6" t="inlineStr">
        <is>
          <t>Kazanmak için son mitingi yap</t>
        </is>
      </c>
      <c r="D1646" s="5" t="inlineStr">
        <is>
          <t>Çene</t>
        </is>
      </c>
      <c r="E1646" s="5" t="inlineStr">
        <is>
          <t>Zor</t>
        </is>
      </c>
      <c r="F1646" s="5" t="inlineStr"/>
      <c r="G1646" s="6" t="inlineStr"/>
      <c r="H1646" s="6" t="inlineStr">
        <is>
          <t>Son miting meydanı doldurdu; çay yetmedi, oylar yetti. Seçim gecesi sonuç geldi: Makarya Meclisi'ndesin.</t>
        </is>
      </c>
      <c r="I1646" s="6" t="inlineStr">
        <is>
          <t>Öyle konuştun ki rakip bile videonu paylaştı. Rekor oyla seçildin; seçim otobüsü müzeye kaldırıldı.</t>
        </is>
      </c>
      <c r="J1646" s="6" t="inlineStr">
        <is>
          <t>Miting güzeldi, sonuç değil. Ertesi gün bir kanal aradı; artık her akşam ekrandasın. Adının altındaki yazı hiç değişmiyor: “Eski aday.”</t>
        </is>
      </c>
      <c r="K1646" s="6" t="inlineStr">
        <is>
          <t>Mikrofon rakip mitingin hoparlörüne bağlanmış; bütün konuşman karşı meydanda çaldı. Rakip kazandı, sana teşekkür plaketi yolladı. Kanallar seni yine yorumcu olarak çağırıyor; her yayın “O mikrofon…” sorusuyla açılıyor.</t>
        </is>
      </c>
      <c r="L1646" s="6" t="inlineStr"/>
      <c r="M1646" s="5" t="inlineStr"/>
      <c r="N1646" s="5" t="inlineStr"/>
      <c r="O1646" s="6" t="inlineStr"/>
      <c r="P1646" s="6" t="inlineStr"/>
      <c r="Q1646" s="5" t="inlineStr"/>
      <c r="R1646" s="5" t="inlineStr"/>
      <c r="S1646" s="5" t="inlineStr"/>
      <c r="T1646" s="5" t="inlineStr"/>
      <c r="U1646" s="5" t="inlineStr"/>
      <c r="V1646" s="5" t="inlineStr">
        <is>
          <t>secim-kazandi</t>
        </is>
      </c>
      <c r="W1646" s="5" t="inlineStr"/>
      <c r="X1646" s="5" t="inlineStr"/>
      <c r="Y1646" s="5" t="inlineStr"/>
      <c r="Z1646" s="6" t="inlineStr"/>
      <c r="AA1646" s="5" t="inlineStr"/>
      <c r="AB1646" s="5" t="inlineStr">
        <is>
          <t>-hat-cete, -hat-dolandirici, -hat-girisimci, -hat-goc, -hat-hekim, -hat-koy, -hat-polis, -hat-politika, -hat-usta, -hat-yargi, -meslek-beyazyaka, -meslek-esnaf, -meslek-memur, hat-sohret, meslek-serbest</t>
        </is>
      </c>
      <c r="AC1646" s="5" t="inlineStr"/>
      <c r="AD1646" s="5" t="inlineStr">
        <is>
          <t>Rahat</t>
        </is>
      </c>
      <c r="AE1646" s="5" t="inlineStr"/>
      <c r="AF1646" s="5" t="inlineStr"/>
      <c r="AG1646" s="5" t="inlineStr"/>
      <c r="AH1646" s="5" t="inlineStr"/>
      <c r="AI1646" s="5" t="inlineStr"/>
      <c r="AJ1646" s="5" t="inlineStr"/>
    </row>
    <row r="1647">
      <c r="A1647" s="5" t="inlineStr">
        <is>
          <t>k10-politika</t>
        </is>
      </c>
      <c r="B1647" s="5" t="n">
        <v>2</v>
      </c>
      <c r="C1647" s="6" t="inlineStr">
        <is>
          <t>İhale teklifini kabul et</t>
        </is>
      </c>
      <c r="D1647" s="5" t="inlineStr">
        <is>
          <t>Kurnazlık</t>
        </is>
      </c>
      <c r="E1647" s="5" t="inlineStr">
        <is>
          <t>Zor</t>
        </is>
      </c>
      <c r="F1647" s="5" t="inlineStr"/>
      <c r="G1647" s="6" t="inlineStr"/>
      <c r="H1647" s="6" t="inlineStr">
        <is>
          <t>Müteahhitle bir çay içtin; kâğıtlar tertemiz göründü. Seçimi kaybetsen de hesabın kazandı. Bayramda telefonun hiç susmadı; arayanların hiçbiri aileden değildi.</t>
        </is>
      </c>
      <c r="I1647" s="6" t="inlineStr">
        <is>
          <t>İhale öyle sessiz kapandı ki kimse bir şey sormadı. Müteahhit teşekkür için bir köprü açtı, kurdelesini sen kestin. Ailen izlemedi.</t>
        </is>
      </c>
      <c r="J1647" s="6" t="inlineStr">
        <is>
          <t>Çay içtiğiniz masanın altında bir mikrofon varmış; kaşık sesleri bile kayıtta. Seçim gecesini karakolda, sonrasını içeride geçirdin.</t>
        </is>
      </c>
      <c r="K1647" s="6" t="inlineStr">
        <is>
          <t>İhale dosyasını yanlışlıkla parti grubuna gönderdin. Sonuçlardan önce savcılık geldi; seçim gecesini içeride izledin.</t>
        </is>
      </c>
      <c r="L1647" s="6" t="inlineStr"/>
      <c r="M1647" s="5" t="inlineStr"/>
      <c r="N1647" s="5" t="inlineStr"/>
      <c r="O1647" s="6" t="inlineStr"/>
      <c r="P1647" s="6" t="inlineStr"/>
      <c r="Q1647" s="5" t="inlineStr"/>
      <c r="R1647" s="5" t="inlineStr"/>
      <c r="S1647" s="5" t="inlineStr"/>
      <c r="T1647" s="5" t="inlineStr"/>
      <c r="U1647" s="5" t="inlineStr"/>
      <c r="V1647" s="5" t="inlineStr">
        <is>
          <t>ihaleci</t>
        </is>
      </c>
      <c r="W1647" s="5" t="inlineStr"/>
      <c r="X1647" s="5" t="inlineStr"/>
      <c r="Y1647" s="5" t="inlineStr"/>
      <c r="Z1647" s="6" t="inlineStr"/>
      <c r="AA1647" s="5" t="inlineStr">
        <is>
          <t>hepsi -1</t>
        </is>
      </c>
      <c r="AB1647" s="5" t="inlineStr">
        <is>
          <t>hapis</t>
        </is>
      </c>
      <c r="AC1647" s="5" t="inlineStr"/>
      <c r="AD1647" s="5" t="inlineStr">
        <is>
          <t>Zengin</t>
        </is>
      </c>
      <c r="AE1647" s="5" t="inlineStr"/>
      <c r="AF1647" s="5" t="inlineStr"/>
      <c r="AG1647" s="5" t="inlineStr"/>
      <c r="AH1647" s="5" t="inlineStr"/>
      <c r="AI1647" s="5" t="inlineStr"/>
      <c r="AJ1647" s="5" t="inlineStr"/>
    </row>
    <row r="1648">
      <c r="A1648" s="5" t="inlineStr">
        <is>
          <t>k10-politika</t>
        </is>
      </c>
      <c r="B1648" s="5" t="n">
        <v>3</v>
      </c>
      <c r="C1648" s="6" t="inlineStr">
        <is>
          <t>Adaylıktan çekil, danışman ol</t>
        </is>
      </c>
      <c r="D1648" s="5" t="inlineStr"/>
      <c r="E1648" s="5" t="inlineStr"/>
      <c r="F1648" s="5" t="inlineStr">
        <is>
          <t>Akıl +1, Sosyal Radar +1</t>
        </is>
      </c>
      <c r="G1648" s="6" t="inlineStr">
        <is>
          <t>Adaylıktan çekildin, kazanan adayın danışmanı oldun. Meclis'e her gün giriyorsun; oy vermiyorsun, tost yiyorsun.</t>
        </is>
      </c>
      <c r="H1648" s="6" t="inlineStr"/>
      <c r="I1648" s="6" t="inlineStr"/>
      <c r="J1648" s="6" t="inlineStr"/>
      <c r="K1648" s="6" t="inlineStr"/>
      <c r="L1648" s="6" t="inlineStr"/>
      <c r="M1648" s="5" t="inlineStr"/>
      <c r="N1648" s="5" t="inlineStr"/>
      <c r="O1648" s="6" t="inlineStr"/>
      <c r="P1648" s="6" t="inlineStr"/>
      <c r="Q1648" s="5" t="inlineStr"/>
      <c r="R1648" s="5" t="inlineStr"/>
      <c r="S1648" s="5" t="inlineStr"/>
      <c r="T1648" s="5" t="inlineStr"/>
      <c r="U1648" s="5" t="inlineStr"/>
      <c r="V1648" s="5" t="inlineStr"/>
      <c r="W1648" s="5" t="inlineStr"/>
      <c r="X1648" s="5" t="inlineStr"/>
      <c r="Y1648" s="5" t="inlineStr"/>
      <c r="Z1648" s="6" t="inlineStr"/>
      <c r="AA1648" s="5" t="inlineStr"/>
      <c r="AB1648" s="5" t="inlineStr"/>
      <c r="AC1648" s="5" t="inlineStr"/>
      <c r="AD1648" s="5" t="inlineStr"/>
      <c r="AE1648" s="5" t="inlineStr"/>
      <c r="AF1648" s="5" t="inlineStr"/>
      <c r="AG1648" s="5" t="inlineStr"/>
      <c r="AH1648" s="5" t="inlineStr"/>
      <c r="AI1648" s="5" t="inlineStr"/>
      <c r="AJ1648" s="5" t="inlineStr"/>
    </row>
    <row r="1649">
      <c r="A1649" s="5" t="inlineStr">
        <is>
          <t>k10-politika</t>
        </is>
      </c>
      <c r="B1649" s="5" t="n">
        <v>4</v>
      </c>
      <c r="C1649" s="6" t="inlineStr">
        <is>
          <t>Mahallenin adayı ol</t>
        </is>
      </c>
      <c r="D1649" s="5" t="inlineStr">
        <is>
          <t>İtibar</t>
        </is>
      </c>
      <c r="E1649" s="5" t="inlineStr">
        <is>
          <t>Zor</t>
        </is>
      </c>
      <c r="F1649" s="5" t="inlineStr"/>
      <c r="G1649" s="6" t="inlineStr"/>
      <c r="H1649" s="6" t="inlineStr">
        <is>
          <t>Afişe gerek kalmadı; mahalle seni zaten tanıyordu. Seçim gecesi kahvede sayım yapıldı, sonuç sokakta kutlandı.</t>
        </is>
      </c>
      <c r="I1649" s="6" t="inlineStr">
        <is>
          <t>Rakip parti bile seni tebrik etti; “Sizin mahallede bizim adayımız da size oy verdi” dediler.</t>
        </is>
      </c>
      <c r="J1649" s="6" t="inlineStr">
        <is>
          <t>Mahalle sana oy verdi, ilçe vermedi. Kaybettin ama ertesi sabah kapına üç tencere yemek geldi.</t>
        </is>
      </c>
      <c r="K1649" s="6" t="inlineStr">
        <is>
          <t>Seçim gecesi mahalle sana o kadar güvendi ki kimse sandığa gitmedi: “Nasılsa kazanır.” Kaybettin.</t>
        </is>
      </c>
      <c r="L1649" s="6" t="inlineStr"/>
      <c r="M1649" s="5" t="inlineStr"/>
      <c r="N1649" s="5" t="inlineStr"/>
      <c r="O1649" s="6" t="inlineStr"/>
      <c r="P1649" s="6" t="inlineStr"/>
      <c r="Q1649" s="5" t="inlineStr"/>
      <c r="R1649" s="5" t="inlineStr"/>
      <c r="S1649" s="5" t="inlineStr"/>
      <c r="T1649" s="5" t="inlineStr"/>
      <c r="U1649" s="5" t="inlineStr"/>
      <c r="V1649" s="5" t="inlineStr">
        <is>
          <t>secim-kazandi</t>
        </is>
      </c>
      <c r="W1649" s="5" t="inlineStr"/>
      <c r="X1649" s="5" t="inlineStr"/>
      <c r="Y1649" s="5" t="inlineStr"/>
      <c r="Z1649" s="6" t="inlineStr"/>
      <c r="AA1649" s="5" t="inlineStr"/>
      <c r="AB1649" s="5" t="inlineStr"/>
      <c r="AC1649" s="5" t="inlineStr"/>
      <c r="AD1649" s="5" t="inlineStr">
        <is>
          <t>Rahat</t>
        </is>
      </c>
      <c r="AE1649" s="5" t="inlineStr"/>
      <c r="AF1649" s="5" t="inlineStr"/>
      <c r="AG1649" s="5" t="inlineStr"/>
      <c r="AH1649" s="5" t="inlineStr">
        <is>
          <t>İtibar 37</t>
        </is>
      </c>
      <c r="AI1649" s="5" t="inlineStr"/>
      <c r="AJ1649" s="5" t="inlineStr"/>
    </row>
    <row r="1650">
      <c r="A1650" s="5" t="inlineStr">
        <is>
          <t>b7-goc-oturma-izni</t>
        </is>
      </c>
      <c r="B1650" s="5" t="n">
        <v>1</v>
      </c>
      <c r="C1650" s="6" t="inlineStr">
        <is>
          <t>Sabah beşte kapıda sıraya gir</t>
        </is>
      </c>
      <c r="D1650" s="5" t="inlineStr"/>
      <c r="E1650" s="5" t="inlineStr"/>
      <c r="F1650" s="5" t="inlineStr">
        <is>
          <t>Dayanıklılık +1</t>
        </is>
      </c>
      <c r="G1650" s="6" t="inlineStr">
        <is>
          <t>Sabah beşte kapıdaydın; önünde on bir kişi vardı, üçü Makaryalı. Sırada termos çay döndü. Randevusuz içeri girdin; çay sayesinde değil ama çay da iyiydi.</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b7-goc-oturma-izni</t>
        </is>
      </c>
      <c r="B1651" s="5" t="n">
        <v>2</v>
      </c>
      <c r="C1651" s="6" t="inlineStr">
        <is>
          <t>Babana ikinci bir ad bul, formu eksiksiz doldur</t>
        </is>
      </c>
      <c r="D1651" s="5" t="inlineStr">
        <is>
          <t>Akıl</t>
        </is>
      </c>
      <c r="E1651" s="5" t="inlineStr">
        <is>
          <t>Orta</t>
        </is>
      </c>
      <c r="F1651" s="5" t="inlineStr"/>
      <c r="G1651" s="6" t="inlineStr"/>
      <c r="H1651" s="6" t="inlineStr">
        <is>
          <t>Dedesinin adını yazdın, nüfus belgesiyle destekledin. İzin iki yıl uzadı. Baban telefonda yeni adını sordu; beğendi.</t>
        </is>
      </c>
      <c r="I1651" s="6" t="inlineStr">
        <is>
          <t>Formu öyle düzgün doldurdun ki memur onu “örnek dosya” diye panoya astı. İzin beş yıl uzadı; senin dosyan artık duvarda.</t>
        </is>
      </c>
      <c r="J1651" s="6" t="inlineStr">
        <is>
          <t>Babanın ikinci adını yazdın ama nüfus kaydında yok. Dosya “eksik” damgası yedi; damga iki dilliydi.</t>
        </is>
      </c>
      <c r="K1651" s="6" t="inlineStr">
        <is>
          <t>Kutuya babanın mahalledeki lakabını yazdın. Dosyan “Babanızın adı: Kasap” diye işlendi. Düzeltme randevusu dört ay sonra.</t>
        </is>
      </c>
      <c r="L1651" s="6" t="inlineStr"/>
      <c r="M1651" s="5" t="inlineStr"/>
      <c r="N1651" s="5" t="inlineStr"/>
      <c r="O1651" s="6" t="inlineStr"/>
      <c r="P1651" s="6" t="inlineStr"/>
      <c r="Q1651" s="5" t="inlineStr"/>
      <c r="R1651" s="5" t="inlineStr"/>
      <c r="S1651" s="5" t="inlineStr"/>
      <c r="T1651" s="5" t="inlineStr"/>
      <c r="U1651" s="5" t="inlineStr"/>
      <c r="V1651" s="5" t="inlineStr"/>
      <c r="W1651" s="5" t="inlineStr"/>
      <c r="X1651" s="5" t="inlineStr"/>
      <c r="Y1651" s="5" t="inlineStr"/>
      <c r="Z1651" s="6" t="inlineStr"/>
      <c r="AA1651" s="5" t="inlineStr"/>
      <c r="AB1651" s="5" t="inlineStr"/>
      <c r="AC1651" s="5" t="inlineStr"/>
      <c r="AD1651" s="5" t="inlineStr"/>
      <c r="AE1651" s="5" t="inlineStr"/>
      <c r="AF1651" s="5" t="inlineStr"/>
      <c r="AG1651" s="5" t="inlineStr"/>
      <c r="AH1651" s="5" t="inlineStr"/>
      <c r="AI1651" s="5" t="inlineStr"/>
      <c r="AJ1651" s="5" t="inlineStr"/>
    </row>
    <row r="1652">
      <c r="A1652" s="5" t="inlineStr">
        <is>
          <t>b7-goc-oturma-izni</t>
        </is>
      </c>
      <c r="B1652" s="5" t="n">
        <v>3</v>
      </c>
      <c r="C1652" s="6" t="inlineStr">
        <is>
          <t>Memura kutunun gereksiz olduğunu anlat</t>
        </is>
      </c>
      <c r="D1652" s="5" t="inlineStr">
        <is>
          <t>Çene</t>
        </is>
      </c>
      <c r="E1652" s="5" t="inlineStr">
        <is>
          <t>Zor</t>
        </is>
      </c>
      <c r="F1652" s="5" t="inlineStr"/>
      <c r="G1652" s="6" t="inlineStr"/>
      <c r="H1652" s="6" t="inlineStr">
        <is>
          <t>Yönetmeliğin kendi dipnotunu gösterdin: kutu isteğe bağlıymış. Memur dipnotu okudu, iç çekti, damgayı bastı.</t>
        </is>
      </c>
      <c r="I1652" s="6" t="inlineStr">
        <is>
          <t>Memur seni amirine götürdü, amir not aldı. Yedinci kutu gelecek yıl formdan kalkıyor; kimse senin sayende olduğunu bilmeyecek.</t>
        </is>
      </c>
      <c r="J1652" s="6" t="inlineStr">
        <is>
          <t>Anlattın; memur dinledi ve “Kutu kutudur” dedi. Bu cümle iki dilde de aynı çalışıyor.</t>
        </is>
      </c>
      <c r="K1652" s="6" t="inlineStr">
        <is>
          <t>Tartışma uzadı, sıran geçti, memur pencereyi kapattı. Arkandaki Makaryalı amca memleket diliyle söylendi: “Bir kutu için iki saat yaktı bizi.” Memur başını kaldırdı: “Haklısınız amca.” Makaryaca biliyormuş.</t>
        </is>
      </c>
      <c r="L1652" s="6" t="inlineStr"/>
      <c r="M1652" s="5" t="inlineStr"/>
      <c r="N1652" s="5" t="inlineStr"/>
      <c r="O1652" s="6" t="inlineStr"/>
      <c r="P1652" s="6" t="inlineStr"/>
      <c r="Q1652" s="5" t="inlineStr"/>
      <c r="R1652" s="5" t="inlineStr"/>
      <c r="S1652" s="5" t="inlineStr"/>
      <c r="T1652" s="5" t="inlineStr">
        <is>
          <t>Mevzuat Kalkanı</t>
        </is>
      </c>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b7-goc-akrabalar</t>
        </is>
      </c>
      <c r="B1653" s="5" t="n">
        <v>1</v>
      </c>
      <c r="C1653" s="6" t="inlineStr">
        <is>
          <t>Valizdeki çikolataları eşit dağıt</t>
        </is>
      </c>
      <c r="D1653" s="5" t="inlineStr"/>
      <c r="E1653" s="5" t="inlineStr"/>
      <c r="F1653" s="5" t="inlineStr">
        <is>
          <t>İtibar +1, Sosyal Radar +1</t>
        </is>
      </c>
      <c r="G1653" s="6" t="inlineStr">
        <is>
          <t>Her akrabaya bir kutu çikolata verdin. Sayılar tuttu, kutular tutmadı: teyzeninki büyüktü. Bayrama kadar bu konuşulacak.</t>
        </is>
      </c>
      <c r="H1653" s="6" t="inlineStr"/>
      <c r="I1653" s="6" t="inlineStr"/>
      <c r="J1653" s="6" t="inlineStr"/>
      <c r="K1653" s="6" t="inlineStr"/>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b7-goc-akrabalar</t>
        </is>
      </c>
      <c r="B1654" s="5" t="n">
        <v>2</v>
      </c>
      <c r="C1654" s="6" t="inlineStr">
        <is>
          <t>Maaşını kira ve faturalarla birlikte anlat</t>
        </is>
      </c>
      <c r="D1654" s="5" t="inlineStr">
        <is>
          <t>Akıl</t>
        </is>
      </c>
      <c r="E1654" s="5" t="inlineStr">
        <is>
          <t>Orta</t>
        </is>
      </c>
      <c r="F1654" s="5" t="inlineStr"/>
      <c r="G1654" s="6" t="inlineStr"/>
      <c r="H1654" s="6" t="inlineStr">
        <is>
          <t>Kirayı, vergiyi, kışın ısınma faturasını hesapladın. Sofra sustu. Amcan “Burada kalsaydın ya” dedi; ilk kez merak ederek.</t>
        </is>
      </c>
      <c r="I1654" s="6" t="inlineStr">
        <is>
          <t>Öyle iyi anlattın ki kuzen iş fikrinden vazgeçti, teyzen sana harçlık uzattı. Almadın; cebine kendisi koydu.</t>
        </is>
      </c>
      <c r="J1654" s="6" t="inlineStr">
        <is>
          <t>Hesapları anlattın, kimse inanmadı. “Alçakgönüllülük yapıyor” dendi. Üstüne bir de takdir aldın.</t>
        </is>
      </c>
      <c r="K1654" s="6" t="inlineStr">
        <is>
          <t>Maaşını anlatırken kuzen telefonda memleket parasına çevirip yüksek sesle okudu. Sofra sustu. Ertesi sabah kapıda üç akraba vardı: biri düğün, biri dükkân, biri “öylesine” borç istiyordu.</t>
        </is>
      </c>
      <c r="L1654" s="6" t="inlineStr"/>
      <c r="M1654" s="5" t="inlineStr"/>
      <c r="N1654" s="5" t="inlineStr"/>
      <c r="O1654" s="6" t="inlineStr"/>
      <c r="P1654" s="6" t="inlineStr"/>
      <c r="Q1654" s="5" t="inlineStr"/>
      <c r="R1654" s="5" t="inlineStr"/>
      <c r="S1654" s="5" t="inlineStr"/>
      <c r="T1654" s="5" t="inlineStr"/>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3</v>
      </c>
      <c r="C1655" s="6" t="inlineStr">
        <is>
          <t>Memlekette küçük bir ev al</t>
        </is>
      </c>
      <c r="D1655" s="5" t="inlineStr">
        <is>
          <t>Kurnazlık</t>
        </is>
      </c>
      <c r="E1655" s="5" t="inlineStr">
        <is>
          <t>Zor</t>
        </is>
      </c>
      <c r="F1655" s="5" t="inlineStr"/>
      <c r="G1655" s="6" t="inlineStr"/>
      <c r="H1655" s="6" t="inlineStr">
        <is>
          <t>Deniz görmeyen ama dağ gören bir ev buldun, pazarlıkla aldın. Anahtar annende; her hafta perdeleri açıp kapatıyor.</t>
        </is>
      </c>
      <c r="I1655" s="6" t="inlineStr">
        <is>
          <t>Ev sahibi eski sınıf arkadaşının babası çıktı; fiyat düştü, bahçedeki erik ağacı da pazarlığa girdi. Komşu teyze ilk gün çitin üstünden seslendi: “Erikler olunca bize de getirirsin, değil mi? Eskiden hep bizimdi.”</t>
        </is>
      </c>
      <c r="J1655" s="6" t="inlineStr">
        <is>
          <t>Evi gezdin, fiyat her gezişte arttı. Emlakçı “gurbetçi fiyatı” demedi; gözleri dedi.</t>
        </is>
      </c>
      <c r="K1655" s="6" t="inlineStr">
        <is>
          <t>Kaparoyu verdin; ertesi gün ev sahibi evi başka bir gurbetçiye, daha pahalıya sattı. Kaparo eksik döndü; emlakçı farkı “masraf” diye anlattı. Akşam teyzen teselli etti: “Üzülme, orada herkes zengin.”</t>
        </is>
      </c>
      <c r="L1655" s="6" t="inlineStr">
        <is>
          <t>Fiyatı biraz indirdin. Ev senin ama bahçedeki erik ağacı “ayrıca konuşulacak”.</t>
        </is>
      </c>
      <c r="M1655" s="5" t="inlineStr">
        <is>
          <t>duel</t>
        </is>
      </c>
      <c r="N1655" s="5" t="inlineStr">
        <is>
          <t>Gurbetçi Fiyatı</t>
        </is>
      </c>
      <c r="O1655" s="6" t="inlineStr">
        <is>
          <t>Karşındakinin sabrı bitmeden en iyi cevabı seç.</t>
        </is>
      </c>
      <c r="P1655" s="6" t="inlineStr">
        <is>
          <t>{"who": "Emlakçı", "item": "memlekette ev", "mode": "buy"}</t>
        </is>
      </c>
      <c r="Q1655" s="5" t="inlineStr"/>
      <c r="R1655" s="5" t="inlineStr"/>
      <c r="S1655" s="5" t="inlineStr"/>
      <c r="T1655" s="5" t="inlineStr">
        <is>
          <t>Pazarlık Duayeni</t>
        </is>
      </c>
      <c r="U1655" s="5" t="inlineStr"/>
      <c r="V1655" s="5" t="inlineStr">
        <is>
          <t>memlekette-ev</t>
        </is>
      </c>
      <c r="W1655" s="5" t="inlineStr"/>
      <c r="X1655" s="5" t="inlineStr"/>
      <c r="Y1655" s="5" t="inlineStr"/>
      <c r="Z1655" s="6" t="inlineStr"/>
      <c r="AA1655" s="5" t="inlineStr"/>
      <c r="AB1655" s="5" t="inlineStr"/>
      <c r="AC1655" s="5" t="inlineStr">
        <is>
          <t>Rahat</t>
        </is>
      </c>
      <c r="AD1655" s="5" t="inlineStr"/>
      <c r="AE1655" s="5" t="inlineStr"/>
      <c r="AF1655" s="5" t="n">
        <v>1</v>
      </c>
      <c r="AG1655" s="5" t="inlineStr"/>
      <c r="AH1655" s="5" t="inlineStr"/>
      <c r="AI1655" s="5" t="inlineStr"/>
      <c r="AJ1655" s="5" t="inlineStr"/>
    </row>
    <row r="1656">
      <c r="A1656" s="5" t="inlineStr">
        <is>
          <t>b7-goc-bayram-sofrasi</t>
        </is>
      </c>
      <c r="B1656" s="5" t="n">
        <v>1</v>
      </c>
      <c r="C1656" s="6" t="inlineStr">
        <is>
          <t>Telefonu sofranın başına koy</t>
        </is>
      </c>
      <c r="D1656" s="5" t="inlineStr"/>
      <c r="E1656" s="5" t="inlineStr"/>
      <c r="F1656" s="5" t="inlineStr">
        <is>
          <t>Dayanıklılık +1, Gönül +1</t>
        </is>
      </c>
      <c r="G1656" s="6" t="inlineStr">
        <is>
          <t>Telefonu şekerliğe yasladın. Annen bütün sofrayı yönetti: kim ne yiyecek, komşu neden az yiyor. Komşu ikinci tabağı annenden çekindiği için aldı.</t>
        </is>
      </c>
      <c r="H1656" s="6" t="inlineStr"/>
      <c r="I1656" s="6" t="inlineStr"/>
      <c r="J1656" s="6" t="inlineStr"/>
      <c r="K1656" s="6" t="inlineStr"/>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b7-goc-bayram-sofrasi</t>
        </is>
      </c>
      <c r="B1657" s="5" t="n">
        <v>2</v>
      </c>
      <c r="C1657" s="6" t="inlineStr">
        <is>
          <t>Komşulara bayramı iki dilde anlat</t>
        </is>
      </c>
      <c r="D1657" s="5" t="inlineStr">
        <is>
          <t>Akıl</t>
        </is>
      </c>
      <c r="E1657" s="5" t="inlineStr">
        <is>
          <t>Orta</t>
        </is>
      </c>
      <c r="F1657" s="5" t="inlineStr"/>
      <c r="G1657" s="6" t="inlineStr"/>
      <c r="H1657" s="6" t="inlineStr">
        <is>
          <t>El öpmeyi, harçlığı, kolonyayı anlattın. Komşunun çocuğu hemen elini öpmek istedi; harçlık kısmını daha iyi anlamıştı.</t>
        </is>
      </c>
      <c r="I1657" s="6" t="inlineStr">
        <is>
          <t>Öyle sevildi ki apartman gelecek bayramı ortak kutlamaya karar verdi. Yönetim bütçeye bir kalem ekledi: kolonya.</t>
        </is>
      </c>
      <c r="J1657" s="6" t="inlineStr">
        <is>
          <t>“Bayram” kelimesinin karşılığı yok. Üç kelime denedin; komşular sonunda bunu bir çeşit doğum günü sandı.</t>
        </is>
      </c>
      <c r="K1657" s="6" t="inlineStr">
        <is>
          <t>Kolonyayı gösterirken şişe elinden kaydı, komşunun halısına döküldü. Halı üç gün bayram koktu; komşu şikâyet formu doldurdu.</t>
        </is>
      </c>
      <c r="L1657" s="6" t="inlineStr"/>
      <c r="M1657" s="5" t="inlineStr"/>
      <c r="N1657" s="5" t="inlineStr"/>
      <c r="O1657" s="6" t="inlineStr"/>
      <c r="P1657" s="6" t="inlineStr"/>
      <c r="Q1657" s="5" t="inlineStr"/>
      <c r="R1657" s="5" t="inlineStr"/>
      <c r="S1657" s="5" t="inlineStr"/>
      <c r="T1657" s="5" t="inlineStr"/>
      <c r="U1657" s="5" t="inlineStr"/>
      <c r="V1657" s="5" t="inlineStr"/>
      <c r="W1657" s="5" t="inlineStr"/>
      <c r="X1657" s="5" t="inlineStr"/>
      <c r="Y1657" s="5" t="inlineStr"/>
      <c r="Z1657" s="6" t="inlineStr"/>
      <c r="AA1657" s="5" t="inlineStr"/>
      <c r="AB1657" s="5" t="inlineStr"/>
      <c r="AC1657" s="5" t="inlineStr"/>
      <c r="AD1657" s="5" t="inlineStr"/>
      <c r="AE1657" s="5" t="inlineStr"/>
      <c r="AF1657" s="5" t="inlineStr"/>
      <c r="AG1657" s="5" t="inlineStr"/>
      <c r="AH1657" s="5" t="inlineStr"/>
      <c r="AI1657" s="5" t="inlineStr"/>
      <c r="AJ1657" s="5" t="inlineStr"/>
    </row>
    <row r="1658">
      <c r="A1658" s="5" t="inlineStr">
        <is>
          <t>b7-goc-bayram-sofrasi</t>
        </is>
      </c>
      <c r="B1658" s="5" t="n">
        <v>3</v>
      </c>
      <c r="C1658" s="6" t="inlineStr">
        <is>
          <t>Dükkânda gurbetçilere bayram tatlısı sat</t>
        </is>
      </c>
      <c r="D1658" s="5" t="inlineStr">
        <is>
          <t>Kurnazlık</t>
        </is>
      </c>
      <c r="E1658" s="5" t="inlineStr">
        <is>
          <t>Orta</t>
        </is>
      </c>
      <c r="F1658" s="5" t="inlineStr"/>
      <c r="G1658" s="6" t="inlineStr"/>
      <c r="H1658" s="6" t="inlineStr">
        <is>
          <t>Dükkânın önünde kuyruk oluştu. Baklavayı tanesiyle sattın; Makaryalılar pahalı buldu, yine de ikişer kutu aldı.</t>
        </is>
      </c>
      <c r="I1658" s="6" t="inlineStr">
        <is>
          <t>Öte Diyarlılar da kuyruğa girdi; biri baklavayı çatal bıçakla kesmeye kalktı, arkadaki teyze elinden alıp gösterdi. Yerel gazete o fotoğrafı bastı: “Bayram tatlısı böyle yenir.”</t>
        </is>
      </c>
      <c r="J1658" s="6" t="inlineStr">
        <is>
          <t>Tatlıları hazırladın ama bayram bu yıl hafta içine denk geldi. Herkes işteydi; baklavaları sen yedin.</t>
        </is>
      </c>
      <c r="K1658" s="6" t="inlineStr">
        <is>
          <t>Şerbet ayarını tutturamadın; baklavalar kutuda yüzdü. Müşteriler kaşıkla yiyip yorum yazdı: “Çorba güzeldi.”</t>
        </is>
      </c>
      <c r="L1658" s="6" t="inlineStr"/>
      <c r="M1658" s="5" t="inlineStr"/>
      <c r="N1658" s="5" t="inlineStr"/>
      <c r="O1658" s="6" t="inlineStr"/>
      <c r="P1658" s="6" t="inlineStr"/>
      <c r="Q1658" s="5" t="inlineStr"/>
      <c r="R1658" s="5" t="inlineStr">
        <is>
          <t>ote-diyar-dukkani</t>
        </is>
      </c>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is>
          <t>Rahat</t>
        </is>
      </c>
      <c r="AE1658" s="5" t="inlineStr"/>
      <c r="AF1658" s="5" t="inlineStr"/>
      <c r="AG1658" s="5" t="inlineStr"/>
      <c r="AH1658" s="5" t="inlineStr"/>
      <c r="AI1658" s="5" t="inlineStr"/>
      <c r="AJ1658" s="5" t="inlineStr"/>
    </row>
    <row r="1659">
      <c r="A1659" s="5" t="inlineStr">
        <is>
          <t>b7-goc-bayram-sofrasi</t>
        </is>
      </c>
      <c r="B1659" s="5" t="n">
        <v>4</v>
      </c>
      <c r="C1659" s="6" t="inlineStr">
        <is>
          <t>Gece uçağıyla memlekete uç, sürpriz yap</t>
        </is>
      </c>
      <c r="D1659" s="5" t="inlineStr">
        <is>
          <t>Dayanıklılık</t>
        </is>
      </c>
      <c r="E1659" s="5" t="inlineStr">
        <is>
          <t>Orta</t>
        </is>
      </c>
      <c r="F1659" s="5" t="inlineStr"/>
      <c r="G1659" s="6" t="inlineStr"/>
      <c r="H1659" s="6" t="inlineStr">
        <is>
          <t>Aktarmalı on sekiz saat. Kapıyı çaldığında annen önce ekrana baktı, sonra kapıya. İkisinde de sen vardın; ekranı kapattı.</t>
        </is>
      </c>
      <c r="I1659" s="6" t="inlineStr">
        <is>
          <t>Uçakta yanındaki amca aynı mahalleden çıktı, seni kapına kadar bıraktı. Sonra kendi kapısını unuttu; bayramı sizde geçirdi.</t>
        </is>
      </c>
      <c r="J1659" s="6" t="inlineStr">
        <is>
          <t>Uçuş ertelendi. Bayramı havalimanında başka bir ülkenin gurbetçileriyle kutladın. Onların da baklavası vardı.</t>
        </is>
      </c>
      <c r="K1659" s="6" t="inlineStr">
        <is>
          <t>Aktarmada uyuyakaldın. Uyandığında uçak da bayram da gitmişti; geriye annenin sesli mesajı kaldı: dokuz dakika.</t>
        </is>
      </c>
      <c r="L1659" s="6" t="inlineStr">
        <is>
          <t>Uçağa son anda yetiştin, valizin yetişmedi. Bayramı babanın pijamasıyla geçirdin; annen bundan memnun.</t>
        </is>
      </c>
      <c r="M1659" s="5" t="inlineStr">
        <is>
          <t>fight</t>
        </is>
      </c>
      <c r="N1659" s="5" t="inlineStr">
        <is>
          <t>Aktarma Koşusu</t>
        </is>
      </c>
      <c r="O1659" s="6" t="inlineStr">
        <is>
          <t>Engelin olmadığı şeride geç.</t>
        </is>
      </c>
      <c r="P1659" s="6" t="inlineStr">
        <is>
          <t>{"mode": "dodge", "obstacles": ["🧳", "🛒", "🚶", "🧹"]}</t>
        </is>
      </c>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k10-goc</t>
        </is>
      </c>
      <c r="B1660" s="5" t="n">
        <v>1</v>
      </c>
      <c r="C1660" s="6" t="inlineStr">
        <is>
          <t>Vatandaşlığa başvur, kal</t>
        </is>
      </c>
      <c r="D1660" s="5" t="inlineStr">
        <is>
          <t>Akıl</t>
        </is>
      </c>
      <c r="E1660" s="5" t="inlineStr">
        <is>
          <t>Zor</t>
        </is>
      </c>
      <c r="F1660" s="5" t="inlineStr"/>
      <c r="G1660" s="6" t="inlineStr"/>
      <c r="H1660" s="6" t="inlineStr">
        <is>
          <t>Kırk iki sayfa, bir dil sınavı, Öte Diyar tarihinden otuz soru. Hepsini geçtin. Törende sana bir fidan verdiler; balkonda, mangalın yasak olduğu yerde büyüyor.</t>
        </is>
      </c>
      <c r="I1660" s="6" t="inlineStr">
        <is>
          <t>Tarih sorularını yerlilerden iyi yaptın; memur sonucu iki kez kontrol etti. Pasaportun geldi; fotoğrafta gülüyorsun, kurallara aykırıymış.</t>
        </is>
      </c>
      <c r="J1660" s="6" t="inlineStr">
        <is>
          <t>Başvuru “eksik belge” diye döndü; eksik belge, bir önceki eksik belgenin tercümesiydi. İznin uzadı; kalıyorsun ama misafir olarak.</t>
        </is>
      </c>
      <c r="K1660" s="6" t="inlineStr">
        <is>
          <t>Sınava yanlış günde gittin; o gün ehliyet sınavı vardı. Ehliyet sınavını geçtin. Vatandaşlık başvurun bir yıl ertelendi.</t>
        </is>
      </c>
      <c r="L1660" s="6" t="inlineStr"/>
      <c r="M1660" s="5" t="inlineStr"/>
      <c r="N1660" s="5" t="inlineStr"/>
      <c r="O1660" s="6" t="inlineStr"/>
      <c r="P1660" s="6" t="inlineStr"/>
      <c r="Q1660" s="5" t="inlineStr"/>
      <c r="R1660" s="5" t="inlineStr"/>
      <c r="S1660" s="5" t="inlineStr"/>
      <c r="T1660" s="5" t="inlineStr"/>
      <c r="U1660" s="5" t="inlineStr"/>
      <c r="V1660" s="5" t="inlineStr">
        <is>
          <t>ote-diyar-vatandasi</t>
        </is>
      </c>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k10-goc</t>
        </is>
      </c>
      <c r="B1661" s="5" t="n">
        <v>2</v>
      </c>
      <c r="C1661" s="6" t="inlineStr">
        <is>
          <t>Dön, memlekette plazaya gir</t>
        </is>
      </c>
      <c r="D1661" s="5" t="inlineStr">
        <is>
          <t>Çene</t>
        </is>
      </c>
      <c r="E1661" s="5" t="inlineStr">
        <is>
          <t>Orta</t>
        </is>
      </c>
      <c r="F1661" s="5" t="inlineStr"/>
      <c r="G1661" s="6" t="inlineStr"/>
      <c r="H1661" s="6" t="inlineStr">
        <is>
          <t>Tek yön bilet aldın. Havalimanında annen pankart tutuyordu; adını Öte Diyar harfleriyle, doğru yazmış. İki hafta sonra bir plazada “Öte Diyar görmüş” diye anılmaya başladın.</t>
        </is>
      </c>
      <c r="I1661" s="6" t="inlineStr">
        <is>
          <t>Havalimanında on dört akraba ve bir kutu lokum seni bekliyordu. Plazada ilk ay her toplantıya “Öte Diyar'da biz…” diye başladın. İkinci ay müdür seni ekip başı yaptı: “Orada nasıl yapıyorlarsa burada da sen yap.”</t>
        </is>
      </c>
      <c r="J1661" s="6" t="inlineStr">
        <is>
          <t>Bilet aldın, valizi hazırladın; memlekette seni bekleyen iş son anda başkasına verildi. Öte Diyar'da kaldın; bilet çerçevede.</t>
        </is>
      </c>
      <c r="K1661" s="6" t="inlineStr">
        <is>
          <t>Döndün ve iki hafta işsiz kaldın; sonra geri uçtun. Annen seni iki kez uğurladı, bir kez karşıladı, sayıyı tutuyor.</t>
        </is>
      </c>
      <c r="L1661" s="6" t="inlineStr"/>
      <c r="M1661" s="5" t="inlineStr"/>
      <c r="N1661" s="5" t="inlineStr"/>
      <c r="O1661" s="6" t="inlineStr"/>
      <c r="P1661" s="6" t="inlineStr"/>
      <c r="Q1661" s="5" t="inlineStr"/>
      <c r="R1661" s="5" t="inlineStr"/>
      <c r="S1661" s="5" t="inlineStr"/>
      <c r="T1661" s="5" t="inlineStr"/>
      <c r="U1661" s="5" t="inlineStr"/>
      <c r="V1661" s="5" t="inlineStr">
        <is>
          <t>-hat-cete, -hat-dolandirici, -hat-girisimci, -hat-goc, -hat-hekim, -hat-koy, -hat-polis, -hat-politika, -hat-sohret, -hat-usta, -hat-yargi, -meslek-esnaf, -meslek-memur, -meslek-serbest, meslek-beyazyaka, yurtdan-dondu</t>
        </is>
      </c>
      <c r="W1661" s="5" t="inlineStr"/>
      <c r="X1661" s="5" t="inlineStr"/>
      <c r="Y1661" s="5" t="inlineStr"/>
      <c r="Z1661" s="6" t="inlineStr"/>
      <c r="AA1661" s="5" t="inlineStr">
        <is>
          <t>hepsi +1</t>
        </is>
      </c>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3</v>
      </c>
      <c r="C1662" s="6" t="inlineStr">
        <is>
          <t>Öte Diyar'da kendi dükkânını aç</t>
        </is>
      </c>
      <c r="D1662" s="5" t="inlineStr">
        <is>
          <t>Kurnazlık</t>
        </is>
      </c>
      <c r="E1662" s="5" t="inlineStr">
        <is>
          <t>Zor</t>
        </is>
      </c>
      <c r="F1662" s="5" t="inlineStr"/>
      <c r="G1662" s="6" t="inlineStr"/>
      <c r="H1662" s="6" t="inlineStr">
        <is>
          <t>Arkadaşının dükkânını devraldın, tabelaya iki dilde ad yazdın. Yerliler çay için, Makaryalılar sohbet için geliyor. Kasa ikisinden de doluyor.</t>
        </is>
      </c>
      <c r="I1662" s="6" t="inlineStr">
        <is>
          <t>Dükkân açıldığı ay mahallenin “en iyi yeni işletmesi” seçildi. Belediye plaket yolladı; adın yanlış yazılmış, yine de çerçeveledin.</t>
        </is>
      </c>
      <c r="J1662" s="6" t="inlineStr">
        <is>
          <t>İzin başvurusu yaptın; izin dairesi seni başka bir izin dairesine yolladı. Plazadaki masana döndün; dükkân fikri çekmecede.</t>
        </is>
      </c>
      <c r="K1662" s="6" t="inlineStr">
        <is>
          <t>Kaporayı verdin, dükkân sahibi fikrini değiştirdi. Sözleşme iki dilliydi: senin okuduğun dilde “iade edilir”, onun okuduğu dilde “edilmez” yazıyordu.</t>
        </is>
      </c>
      <c r="L1662" s="6" t="inlineStr"/>
      <c r="M1662" s="5" t="inlineStr"/>
      <c r="N1662" s="5" t="inlineStr"/>
      <c r="O1662" s="6" t="inlineStr"/>
      <c r="P1662" s="6" t="inlineStr"/>
      <c r="Q1662" s="5" t="inlineStr"/>
      <c r="R1662" s="5" t="inlineStr"/>
      <c r="S1662" s="5" t="inlineStr"/>
      <c r="T1662" s="5" t="inlineStr"/>
      <c r="U1662" s="5" t="inlineStr"/>
      <c r="V1662" s="5" t="inlineStr">
        <is>
          <t>ote-diyar-dukkani</t>
        </is>
      </c>
      <c r="W1662" s="5" t="inlineStr"/>
      <c r="X1662" s="5" t="inlineStr"/>
      <c r="Y1662" s="5" t="inlineStr"/>
      <c r="Z1662" s="6" t="inlineStr"/>
      <c r="AA1662" s="5" t="inlineStr"/>
      <c r="AB1662" s="5" t="inlineStr"/>
      <c r="AC1662" s="5" t="inlineStr">
        <is>
          <t>Orta</t>
        </is>
      </c>
      <c r="AD1662" s="5" t="inlineStr">
        <is>
          <t>Rahat</t>
        </is>
      </c>
      <c r="AE1662" s="5" t="inlineStr"/>
      <c r="AF1662" s="5" t="inlineStr"/>
      <c r="AG1662" s="5" t="inlineStr"/>
      <c r="AH1662" s="5" t="inlineStr"/>
      <c r="AI1662" s="5" t="inlineStr"/>
      <c r="AJ1662" s="5" t="inlineStr"/>
    </row>
    <row r="1663">
      <c r="A1663" s="5" t="inlineStr">
        <is>
          <t>b8-goc-dil-okulu</t>
        </is>
      </c>
      <c r="B1663" s="5" t="n">
        <v>1</v>
      </c>
      <c r="C1663" s="6" t="inlineStr">
        <is>
          <t>Tahtaya memleketten fotoğraflar as</t>
        </is>
      </c>
      <c r="D1663" s="5" t="inlineStr"/>
      <c r="E1663" s="5" t="inlineStr"/>
      <c r="F1663" s="5" t="inlineStr">
        <is>
          <t>İtibar +1, Sosyal Radar +1</t>
        </is>
      </c>
      <c r="G1663" s="6" t="inlineStr">
        <is>
          <t>Dedenin kahvesini, mahalle fırınını, bir de dolmuşu astın. Çocuklar en çok dolmuşu sordu: “Neden herkes parayı öne uzatıyor?”</t>
        </is>
      </c>
      <c r="H1663" s="6" t="inlineStr"/>
      <c r="I1663" s="6" t="inlineStr"/>
      <c r="J1663" s="6" t="inlineStr"/>
      <c r="K1663" s="6" t="inlineStr"/>
      <c r="L1663" s="6" t="inlineStr"/>
      <c r="M1663" s="5" t="inlineStr"/>
      <c r="N1663" s="5" t="inlineStr"/>
      <c r="O1663" s="6" t="inlineStr"/>
      <c r="P1663" s="6" t="inlineStr"/>
      <c r="Q1663" s="5" t="inlineStr"/>
      <c r="R1663" s="5" t="inlineStr"/>
      <c r="S1663" s="5" t="inlineStr"/>
      <c r="T1663" s="5" t="inlineStr"/>
      <c r="U1663" s="5" t="inlineStr"/>
      <c r="V1663" s="5" t="inlineStr"/>
      <c r="W1663" s="5" t="inlineStr"/>
      <c r="X1663" s="5" t="inlineStr"/>
      <c r="Y1663" s="5" t="inlineStr"/>
      <c r="Z1663" s="6" t="inlineStr"/>
      <c r="AA1663" s="5" t="inlineStr"/>
      <c r="AB1663" s="5" t="inlineStr"/>
      <c r="AC1663" s="5" t="inlineStr"/>
      <c r="AD1663" s="5" t="inlineStr"/>
      <c r="AE1663" s="5" t="inlineStr"/>
      <c r="AF1663" s="5" t="inlineStr"/>
      <c r="AG1663" s="5" t="inlineStr"/>
      <c r="AH1663" s="5" t="inlineStr"/>
      <c r="AI1663" s="5" t="inlineStr"/>
      <c r="AJ1663" s="5" t="inlineStr"/>
    </row>
    <row r="1664">
      <c r="A1664" s="5" t="inlineStr">
        <is>
          <t>b8-goc-dil-okulu</t>
        </is>
      </c>
      <c r="B1664" s="5" t="n">
        <v>2</v>
      </c>
      <c r="C1664" s="6" t="inlineStr">
        <is>
          <t>Dersi dilbilgisiyle, sırayla anlat</t>
        </is>
      </c>
      <c r="D1664" s="5" t="inlineStr">
        <is>
          <t>Akıl</t>
        </is>
      </c>
      <c r="E1664" s="5" t="inlineStr">
        <is>
          <t>Orta</t>
        </is>
      </c>
      <c r="F1664" s="5" t="inlineStr"/>
      <c r="G1664" s="6" t="inlineStr"/>
      <c r="H1664" s="6" t="inlineStr">
        <is>
          <t>Üç ayda çocuklar ekleri öğrendi. Biri annesine “Geliyorumdumuş” diye mesaj attı; yanlış ama çok Makaryalı.</t>
        </is>
      </c>
      <c r="I1664" s="6" t="inlineStr">
        <is>
          <t>Dönem sonunda çocuklar memleketteki büyükannelerine mektup yazdı. Büyükanneler teşekkür için derneğe üç kilo pestil yolladı.</t>
        </is>
      </c>
      <c r="J1664" s="6" t="inlineStr">
        <is>
          <t>Ekleri anlattın, çocuklar saydı: kırk yedi. Biri ağladı, biri “Ben bir daha gelmiyorum” deyip annesini aradı.</t>
        </is>
      </c>
      <c r="K1664" s="6" t="inlineStr">
        <is>
          <t>Dersin ortasında “kaşık” kelimesini hatırlayamadın ve Öte Diyar dilinde söyledin. En küçük öğrenci parmak kaldırdı: “Öğretmenim, siz de mi evde çevirtiyorsunuz?”</t>
        </is>
      </c>
      <c r="L1664" s="6" t="inlineStr"/>
      <c r="M1664" s="5" t="inlineStr"/>
      <c r="N1664" s="5" t="inlineStr"/>
      <c r="O1664" s="6" t="inlineStr"/>
      <c r="P1664" s="6" t="inlineStr"/>
      <c r="Q1664" s="5" t="inlineStr"/>
      <c r="R1664" s="5" t="inlineStr"/>
      <c r="S1664" s="5" t="inlineStr"/>
      <c r="T1664" s="5" t="inlineStr"/>
      <c r="U1664" s="5" t="inlineStr"/>
      <c r="V1664" s="5" t="inlineStr">
        <is>
          <t>gurbet-ogretmeni</t>
        </is>
      </c>
      <c r="W1664" s="5" t="inlineStr"/>
      <c r="X1664" s="5" t="inlineStr"/>
      <c r="Y1664" s="5" t="inlineStr"/>
      <c r="Z1664" s="6" t="inlineStr"/>
      <c r="AA1664" s="5" t="inlineStr"/>
      <c r="AB1664" s="5" t="inlineStr"/>
      <c r="AC1664" s="5" t="inlineStr"/>
      <c r="AD1664" s="5" t="inlineStr"/>
      <c r="AE1664" s="5" t="inlineStr"/>
      <c r="AF1664" s="5" t="inlineStr"/>
      <c r="AG1664" s="5" t="inlineStr"/>
      <c r="AH1664" s="5" t="inlineStr"/>
      <c r="AI1664" s="5" t="inlineStr"/>
      <c r="AJ1664" s="5" t="inlineStr"/>
    </row>
    <row r="1665">
      <c r="A1665" s="5" t="inlineStr">
        <is>
          <t>b8-goc-dil-okulu</t>
        </is>
      </c>
      <c r="B1665" s="5" t="n">
        <v>3</v>
      </c>
      <c r="C1665" s="6" t="inlineStr">
        <is>
          <t>Her ders sonunda çocuklarla memleket yemeği yap</t>
        </is>
      </c>
      <c r="D1665" s="5" t="inlineStr">
        <is>
          <t>Dayanıklılık</t>
        </is>
      </c>
      <c r="E1665" s="5" t="inlineStr">
        <is>
          <t>Zor</t>
        </is>
      </c>
      <c r="F1665" s="5" t="inlineStr"/>
      <c r="G1665" s="6" t="inlineStr"/>
      <c r="H1665" s="6" t="inlineStr">
        <is>
          <t>Mantı günü: dokuz çocuk, dokuz yüz mantı. Un bodrumdan merdivene taştı. Çocuklar “hamur” kelimesini hiç unutmayacak.</t>
        </is>
      </c>
      <c r="I1665" s="6" t="inlineStr">
        <is>
          <t>Bütün aileler geldi, bodrum bayram yerine döndü. Dernek okulun adını değiştirdi: “Mantı Okulu.” İtiraz eden olmadı.</t>
        </is>
      </c>
      <c r="J1665" s="6" t="inlineStr">
        <is>
          <t>Yemek güzeldi ama derse vakit kalmadı. Çocuklar dört ayda tek kelime öğrendi: “Doydum.”</t>
        </is>
      </c>
      <c r="K1665" s="6" t="inlineStr">
        <is>
          <t>Börek fırında yandı, yangın alarmı çaldı, itfaiye geldi. Dokuz çocuk itfaiyecilere bildikleri tek memleket kelimesini öğretti: “Yandık!” Dernek mutfağın anahtarını senden geri aldı.</t>
        </is>
      </c>
      <c r="L1665" s="6" t="inlineStr"/>
      <c r="M1665" s="5" t="inlineStr"/>
      <c r="N1665" s="5" t="inlineStr"/>
      <c r="O1665" s="6" t="inlineStr"/>
      <c r="P1665" s="6" t="inlineStr"/>
      <c r="Q1665" s="5" t="inlineStr"/>
      <c r="R1665" s="5" t="inlineStr"/>
      <c r="S1665" s="5" t="inlineStr"/>
      <c r="T1665" s="5" t="inlineStr">
        <is>
          <t>İki Dilli Rüya</t>
        </is>
      </c>
      <c r="U1665" s="5" t="inlineStr"/>
      <c r="V1665" s="5" t="inlineStr">
        <is>
          <t>gurbet-ogretmeni</t>
        </is>
      </c>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b8-goc-donsem-mi</t>
        </is>
      </c>
      <c r="B1666" s="5" t="n">
        <v>1</v>
      </c>
      <c r="C1666" s="6" t="inlineStr">
        <is>
          <t>Her yaz bir ay git, soruyu ertele</t>
        </is>
      </c>
      <c r="D1666" s="5" t="inlineStr"/>
      <c r="E1666" s="5" t="inlineStr"/>
      <c r="F1666" s="5" t="inlineStr">
        <is>
          <t>Dayanıklılık +1, Gönül +1</t>
        </is>
      </c>
      <c r="G1666" s="6" t="inlineStr">
        <is>
          <t>Bu yıl da bir ay gittin, döndün. Gidişte valizde çikolata, dönüşte annenin salçası ve bir kavanoz tarhana; havalimanında ikisinde de ağladın. Hangi tarafın gurbet olduğu artık mevsime bağlı.</t>
        </is>
      </c>
      <c r="H1666" s="6" t="inlineStr"/>
      <c r="I1666" s="6" t="inlineStr"/>
      <c r="J1666" s="6" t="inlineStr"/>
      <c r="K1666" s="6" t="inlineStr"/>
      <c r="L1666" s="6" t="inlineStr"/>
      <c r="M1666" s="5" t="inlineStr"/>
      <c r="N1666" s="5" t="inlineStr"/>
      <c r="O1666" s="6" t="inlineStr"/>
      <c r="P1666" s="6" t="inlineStr"/>
      <c r="Q1666" s="5" t="inlineStr"/>
      <c r="R1666" s="5" t="inlineStr"/>
      <c r="S1666" s="5" t="inlineStr"/>
      <c r="T1666" s="5" t="inlineStr"/>
      <c r="U1666" s="5" t="inlineStr"/>
      <c r="V1666" s="5" t="inlineStr"/>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b8-goc-donsem-mi</t>
        </is>
      </c>
      <c r="B1667" s="5" t="n">
        <v>2</v>
      </c>
      <c r="C1667" s="6" t="inlineStr">
        <is>
          <t>Artıları ve eksileri iki dilde tabloya dök</t>
        </is>
      </c>
      <c r="D1667" s="5" t="inlineStr">
        <is>
          <t>Akıl</t>
        </is>
      </c>
      <c r="E1667" s="5" t="inlineStr">
        <is>
          <t>Orta</t>
        </is>
      </c>
      <c r="F1667" s="5" t="inlineStr"/>
      <c r="G1667" s="6" t="inlineStr"/>
      <c r="H1667" s="6" t="inlineStr">
        <is>
          <t>Tablo bitti: iki sütun, eşit uzunlukta. Bir satır ekledin: “Fırın kokusu.” Tablo tek satırla memleketten yana döndü.</t>
        </is>
      </c>
      <c r="I1667" s="6" t="inlineStr">
        <is>
          <t>Tabloyu gören herkes kendi tablosunu istedi. Dernekte “Dönsem mi?” danışmanlığı yapıyorsun; ücretsiz, çay onlardan.</t>
        </is>
      </c>
      <c r="J1667" s="6" t="inlineStr">
        <is>
          <t>Tablo o kadar uzadı ki yazıcının kâğıdı bitti. Karar yine kışa kaldı.</t>
        </is>
      </c>
      <c r="K1667" s="6" t="inlineStr">
        <is>
          <t>Tabloyu yanlışlıkla aile grubuna attın. Annen “Eksiler” sütununu okudu; iki gündür telefonu açmıyor.</t>
        </is>
      </c>
      <c r="L1667" s="6" t="inlineStr"/>
      <c r="M1667" s="5" t="inlineStr"/>
      <c r="N1667" s="5" t="inlineStr"/>
      <c r="O1667" s="6" t="inlineStr"/>
      <c r="P1667" s="6" t="inlineStr"/>
      <c r="Q1667" s="5" t="inlineStr"/>
      <c r="R1667" s="5" t="inlineStr"/>
      <c r="S1667" s="5" t="inlineStr"/>
      <c r="T1667" s="5" t="inlineStr"/>
      <c r="U1667" s="5" t="inlineStr"/>
      <c r="V1667" s="5" t="inlineStr"/>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3</v>
      </c>
      <c r="C1668" s="6" t="inlineStr">
        <is>
          <t>Memleketteki evi onart, dönüşe hazırla</t>
        </is>
      </c>
      <c r="D1668" s="5" t="inlineStr">
        <is>
          <t>Dayanıklılık</t>
        </is>
      </c>
      <c r="E1668" s="5" t="inlineStr">
        <is>
          <t>Zor</t>
        </is>
      </c>
      <c r="F1668" s="5" t="inlineStr"/>
      <c r="G1668" s="6" t="inlineStr"/>
      <c r="H1668" s="6" t="inlineStr">
        <is>
          <t>Uzaktan usta tuttun, görüntülü aramayla boyattın. Duvarlar senin seçtiğin renk, fayanslar ustanın. Ev hazır; sen yarı hazırsın.</t>
        </is>
      </c>
      <c r="I1668" s="6" t="inlineStr">
        <is>
          <t>Ev yenilendi; erik ağacı budandı ve o yaz ilk kez meyve verdi. Annen ilk eriklerden bir kutu kargoladı. Öte Diyar'a varana kadar ezilmişlerdi; hepsini yine de yedin.</t>
        </is>
      </c>
      <c r="J1668" s="6" t="inlineStr">
        <is>
          <t>Tamir başladı, sonra usta kayboldu. Duvarların yarısı boyalı; annen “Bu da moda” diyor.</t>
        </is>
      </c>
      <c r="K1668" s="6" t="inlineStr">
        <is>
          <t>Görüntülü aramada yanlış duvarı gösterdin; usta komşunun bahçe duvarını yıktı. Komşu annene “Gurbetçi parası duvar yıkar” dedi. Annen bir hafta pazara çıkamadı.</t>
        </is>
      </c>
      <c r="L1668" s="6" t="inlineStr"/>
      <c r="M1668" s="5" t="inlineStr"/>
      <c r="N1668" s="5" t="inlineStr"/>
      <c r="O1668" s="6" t="inlineStr"/>
      <c r="P1668" s="6" t="inlineStr"/>
      <c r="Q1668" s="5" t="inlineStr"/>
      <c r="R1668" s="5" t="inlineStr">
        <is>
          <t>memlekette-ev</t>
        </is>
      </c>
      <c r="S1668" s="5" t="inlineStr"/>
      <c r="T1668" s="5" t="inlineStr"/>
      <c r="U1668" s="5" t="inlineStr"/>
      <c r="V1668" s="5" t="inlineStr">
        <is>
          <t>donuse-hazir</t>
        </is>
      </c>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4</v>
      </c>
      <c r="C1669" s="6" t="inlineStr">
        <is>
          <t>Memlekettekileri arayıp nabız yokla</t>
        </is>
      </c>
      <c r="D1669" s="5" t="inlineStr">
        <is>
          <t>Sosyal Radar</t>
        </is>
      </c>
      <c r="E1669" s="5" t="inlineStr">
        <is>
          <t>Orta</t>
        </is>
      </c>
      <c r="F1669" s="5" t="inlineStr"/>
      <c r="G1669" s="6" t="inlineStr"/>
      <c r="H1669" s="6" t="inlineStr">
        <is>
          <t>Beş arkadaşını aradın. Üçü “Gel” dedi, ikisi “Sakın gelme”, biri de senden iş istedi. Hepsi telefonu aynı soruyla kapattı: “Annen nasıl?”</t>
        </is>
      </c>
      <c r="I1669" s="6" t="inlineStr">
        <is>
          <t>Arkadaşların karşılama komitesi bile kurdu. Dönmesen de gelecek yıl havalimanına gelecekler; tatbikat için.</t>
        </is>
      </c>
      <c r="J1669" s="6" t="inlineStr">
        <is>
          <t>Aradığın herkes sana Öte Diyar'da iş sordu. Biri özgeçmişini bile yolladı; vesikalığı düğününden kesilmişti.</t>
        </is>
      </c>
      <c r="K1669" s="6" t="inlineStr">
        <is>
          <t>Nabız yoklarken teyzene “Belki dönerim” dedin. Akşam bütün memleket biliyordu: annen perdeleri yıkamış, komşular hoş geldine gelmiş. Şimdi dönmemek için bir sebep bulman gerekiyor.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b9-goc-iki-dilde-emeklilik</t>
        </is>
      </c>
      <c r="B1670" s="5" t="n">
        <v>1</v>
      </c>
      <c r="C1670" s="6" t="inlineStr">
        <is>
          <t>İki kurumu aynı anda ara, iki hatta bekle</t>
        </is>
      </c>
      <c r="D1670" s="5" t="inlineStr"/>
      <c r="E1670" s="5" t="inlineStr"/>
      <c r="F1670" s="5" t="inlineStr">
        <is>
          <t>Dayanıklılık +1</t>
        </is>
      </c>
      <c r="G1670" s="6" t="inlineStr">
        <is>
          <t>Bir kulakta Öte Diyar'ın bekleme müziği, öbüründe Makarya'nınki. Dört saat sonra iki müzik aynı notaya geldi. Dosya yürümedi ama sen bir şarkı besteledin.</t>
        </is>
      </c>
      <c r="H1670" s="6" t="inlineStr"/>
      <c r="I1670" s="6" t="inlineStr"/>
      <c r="J1670" s="6" t="inlineStr"/>
      <c r="K1670" s="6" t="inlineStr"/>
      <c r="L1670" s="6" t="inlineStr"/>
      <c r="M1670" s="5" t="inlineStr"/>
      <c r="N1670" s="5" t="inlineStr"/>
      <c r="O1670" s="6" t="inlineStr"/>
      <c r="P1670" s="6" t="inlineStr"/>
      <c r="Q1670" s="5" t="inlineStr"/>
      <c r="R1670" s="5" t="inlineStr"/>
      <c r="S1670" s="5" t="inlineStr"/>
      <c r="T1670" s="5" t="inlineStr"/>
      <c r="U1670" s="5" t="inlineStr"/>
      <c r="V1670" s="5" t="inlineStr"/>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b9-goc-iki-dilde-emeklilik</t>
        </is>
      </c>
      <c r="B1671" s="5" t="n">
        <v>2</v>
      </c>
      <c r="C1671" s="6" t="inlineStr">
        <is>
          <t>Yazıları iki dilde kendin hazırla</t>
        </is>
      </c>
      <c r="D1671" s="5" t="inlineStr">
        <is>
          <t>Akıl</t>
        </is>
      </c>
      <c r="E1671" s="5" t="inlineStr">
        <is>
          <t>Orta</t>
        </is>
      </c>
      <c r="F1671" s="5" t="inlineStr"/>
      <c r="G1671" s="6" t="inlineStr"/>
      <c r="H1671" s="6" t="inlineStr">
        <is>
          <t>Dosyayı iki dilde, iki nüsha, iki mühürle götürdün. Emekli maaşın iki ayrı günde, iki ayrı kurla yatıyor. Hangisi fazla, hesaplamayı bıraktın.</t>
        </is>
      </c>
      <c r="I1671" s="6" t="inlineStr">
        <is>
          <t>Dosyan öyle düzgündü ki iki kurumda da memurlar fotokopisini çekip çekmecesine koydu. Senden sonra gelen gurbetçilere aynı cümleyi kuruyorlar: 'Şu dosya gibi getirin.'</t>
        </is>
      </c>
      <c r="J1671" s="6" t="inlineStr">
        <is>
          <t>Yazıları götürdün; birinde gün ile ay yer değiştirmiş. Emekliliğin kâğıt üzerinde bir ay ileri gitti.</t>
        </is>
      </c>
      <c r="K1671" s="6" t="inlineStr">
        <is>
          <t>Kopyaları karıştırdın. Makarya'daki kurum seni Öte Diyarlı sanıyor, Öte Diyar'daki Makaryalı. İkisi de haklı.</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3</v>
      </c>
      <c r="C1672" s="6" t="inlineStr">
        <is>
          <t>Memleketteki eve yerleş, emekliliği oradan kovala</t>
        </is>
      </c>
      <c r="D1672" s="5" t="inlineStr">
        <is>
          <t>Cesaret</t>
        </is>
      </c>
      <c r="E1672" s="5" t="inlineStr">
        <is>
          <t>Orta</t>
        </is>
      </c>
      <c r="F1672" s="5" t="inlineStr"/>
      <c r="G1672" s="6" t="inlineStr"/>
      <c r="H1672" s="6" t="inlineStr">
        <is>
          <t>Yaz başında memleketteki eve yerleştin. Sabahları fırına gidiyorsun; kokusu hatırladığın gibi. Fırıncı değişmiş, seni o hatırlıyor.</t>
        </is>
      </c>
      <c r="I1672" s="6" t="inlineStr">
        <is>
          <t>Mahallede adın artık 'Öte Diyarlı'. Bahçede erik, balkonda mangal; burada yasak değil. Otuz yıldır ilk kez mangal yakıyorsun; duman bütün sokağa döndüğünü haber veriyor.</t>
        </is>
      </c>
      <c r="J1672" s="6" t="inlineStr">
        <is>
          <t>Eşyaları topladın, kargo kırk koli istedi. Yarısı geldi; hangi yarının gerekli olduğu tartışmalı.</t>
        </is>
      </c>
      <c r="K1672" s="6" t="inlineStr">
        <is>
          <t>Eve vardığında içeride yeğenin oturuyordu, nişanlısıyla. Sana misafir odasını verdiler; kendi evinde.</t>
        </is>
      </c>
      <c r="L1672" s="6" t="inlineStr"/>
      <c r="M1672" s="5" t="inlineStr"/>
      <c r="N1672" s="5" t="inlineStr"/>
      <c r="O1672" s="6" t="inlineStr"/>
      <c r="P1672" s="6" t="inlineStr"/>
      <c r="Q1672" s="5" t="inlineStr"/>
      <c r="R1672" s="5" t="inlineStr">
        <is>
          <t>memlekette-ev</t>
        </is>
      </c>
      <c r="S1672" s="5" t="inlineStr"/>
      <c r="T1672" s="5" t="inlineStr"/>
      <c r="U1672" s="5" t="inlineStr"/>
      <c r="V1672" s="5" t="inlineStr">
        <is>
          <t>yazliga-dondu</t>
        </is>
      </c>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4</v>
      </c>
      <c r="C1673" s="6" t="inlineStr">
        <is>
          <t>Kışı orada, yazı burada geçir</t>
        </is>
      </c>
      <c r="D1673" s="5" t="inlineStr">
        <is>
          <t>Sosyal Radar</t>
        </is>
      </c>
      <c r="E1673" s="5" t="inlineStr">
        <is>
          <t>Zor</t>
        </is>
      </c>
      <c r="F1673" s="5" t="inlineStr"/>
      <c r="G1673" s="6" t="inlineStr"/>
      <c r="H1673" s="6" t="inlineStr">
        <is>
          <t>Kasımda Öte Diyar'a, mayısta memlekete. İki yerde de “Yine mi geldin?” diyorlar; ikisinde de sevinerek.</t>
        </is>
      </c>
      <c r="I1673" s="6" t="inlineStr">
        <is>
          <t>İki mahallede de çayın ısmarlanıyor. Öte Diyar'daki komşular dönüşünü takvime işaretliyor, bahçelerini sana emanet ediyor; buradakiler de evlerinin anahtarını.</t>
        </is>
      </c>
      <c r="J1673" s="6" t="inlineStr">
        <is>
          <t>İki memleket arasında gidip gelirken iki tarafın faturası birikiyor. Posta kutuların iki ülkede birden dolu.</t>
        </is>
      </c>
      <c r="K1673" s="6" t="inlineStr">
        <is>
          <t>Biletleri karıştırdın; kışı memlekette, yazı Öte Diyar'da geçirdin. İki yerde de üşüdün.</t>
        </is>
      </c>
      <c r="L1673" s="6" t="inlineStr"/>
      <c r="M1673" s="5" t="inlineStr"/>
      <c r="N1673" s="5" t="inlineStr"/>
      <c r="O1673" s="6" t="inlineStr"/>
      <c r="P1673" s="6" t="inlineStr"/>
      <c r="Q1673" s="5" t="inlineStr"/>
      <c r="R1673" s="5" t="inlineStr"/>
      <c r="S1673" s="5" t="inlineStr"/>
      <c r="T1673" s="5" t="inlineStr">
        <is>
          <t>Odayı Okur</t>
        </is>
      </c>
      <c r="U1673" s="5" t="inlineStr"/>
      <c r="V1673" s="5" t="inlineStr">
        <is>
          <t>iki-memleketli</t>
        </is>
      </c>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b7-koy-keciler</t>
        </is>
      </c>
      <c r="B1674" s="5" t="n">
        <v>1</v>
      </c>
      <c r="C1674" s="6" t="inlineStr">
        <is>
          <t>Komşuya lahananın parasını öde</t>
        </is>
      </c>
      <c r="D1674" s="5" t="inlineStr"/>
      <c r="E1674" s="5" t="inlineStr"/>
      <c r="F1674" s="5" t="inlineStr">
        <is>
          <t>İtibar +2</t>
        </is>
      </c>
      <c r="G1674" s="6" t="inlineStr">
        <is>
          <t>Lahananın parasını uzattın, bir de özür. Komşu parayı almadı, özrü aldı. Akşam kapına bir tabak dolma bıraktı; lahanasız.</t>
        </is>
      </c>
      <c r="H1674" s="6" t="inlineStr"/>
      <c r="I1674" s="6" t="inlineStr"/>
      <c r="J1674" s="6" t="inlineStr"/>
      <c r="K1674" s="6" t="inlineStr"/>
      <c r="L1674" s="6" t="inlineStr"/>
      <c r="M1674" s="5" t="inlineStr"/>
      <c r="N1674" s="5" t="inlineStr"/>
      <c r="O1674" s="6" t="inlineStr"/>
      <c r="P1674" s="6" t="inlineStr"/>
      <c r="Q1674" s="5" t="inlineStr"/>
      <c r="R1674" s="5" t="inlineStr"/>
      <c r="S1674" s="5" t="inlineStr"/>
      <c r="T1674" s="5" t="inlineStr"/>
      <c r="U1674" s="5" t="inlineStr"/>
      <c r="V1674" s="5" t="inlineStr"/>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b7-koy-keciler</t>
        </is>
      </c>
      <c r="B1675" s="5" t="n">
        <v>2</v>
      </c>
      <c r="C1675" s="6" t="inlineStr">
        <is>
          <t>Sürünün liderini bul, onu ikna et</t>
        </is>
      </c>
      <c r="D1675" s="5" t="inlineStr">
        <is>
          <t>Sosyal Radar</t>
        </is>
      </c>
      <c r="E1675" s="5" t="inlineStr">
        <is>
          <t>Orta</t>
        </is>
      </c>
      <c r="F1675" s="5" t="inlineStr"/>
      <c r="G1675" s="6" t="inlineStr"/>
      <c r="H1675" s="6" t="inlineStr">
        <is>
          <t>Lider, sakallı yaşlı bir dişiymiş. Ona bir avuç arpa verdin; sürü eve döndü. Artık seni o yönetiyor, sen de itiraz etmiyorsun.</t>
        </is>
      </c>
      <c r="I1675" s="6" t="inlineStr">
        <is>
          <t>Lider keçiyle anlaştınız; sürüyü sabah o çıkarıyor, akşam o getiriyor. Köyde artık adın “Keçi Muhtarı”. Asıl muhtar bundan hoşlanmadı.</t>
        </is>
      </c>
      <c r="J1675" s="6" t="inlineStr">
        <is>
          <t>Lider sandığın keçi sürünün en çekingeniymiş. Sen onu ikna ettin; o da kimseyi. Akşama kadar ikiniz bahçe kapısında oturup sürüyü izlediniz.</t>
        </is>
      </c>
      <c r="K1675" s="6" t="inlineStr">
        <is>
          <t>Lider keçi göz temasını meydan okuma saydı; seni popo üstü lahana tarhına oturttu. Komşu elindeki lahanayı unuttu. Akşam kahvede anlatırken gülmekten iskemleden düştü.</t>
        </is>
      </c>
      <c r="L1675" s="6" t="inlineStr"/>
      <c r="M1675" s="5" t="inlineStr"/>
      <c r="N1675" s="5" t="inlineStr"/>
      <c r="O1675" s="6" t="inlineStr"/>
      <c r="P1675" s="6" t="inlineStr"/>
      <c r="Q1675" s="5" t="inlineStr"/>
      <c r="R1675" s="5" t="inlineStr"/>
      <c r="S1675" s="5" t="inlineStr"/>
      <c r="T1675" s="5" t="inlineStr"/>
      <c r="U1675" s="5" t="inlineStr"/>
      <c r="V1675" s="5" t="inlineStr">
        <is>
          <t>keci-dostu</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3</v>
      </c>
      <c r="C1676" s="6" t="inlineStr">
        <is>
          <t>Bahçeye keçi geçirmez çit kur</t>
        </is>
      </c>
      <c r="D1676" s="5" t="inlineStr">
        <is>
          <t>Dayanıklılık</t>
        </is>
      </c>
      <c r="E1676" s="5" t="inlineStr">
        <is>
          <t>Zor</t>
        </is>
      </c>
      <c r="F1676" s="5" t="inlineStr"/>
      <c r="G1676" s="6" t="inlineStr"/>
      <c r="H1676" s="6" t="inlineStr">
        <is>
          <t>Üç gün, iki rulo tel, bir sürü kazık. Çit bitti. Keçiler bir gün çiti inceledi, sonra yan bahçeden vazgeçti; şimdilik.</t>
        </is>
      </c>
      <c r="I1676" s="6" t="inlineStr">
        <is>
          <t>Çitin öyle sağlam çıktı ki köyde herkes seni kendi bahçesi için çağırdı. Keçiler de gelip izledi; not alıyor gibiydiler.</t>
        </is>
      </c>
      <c r="J1676" s="6" t="inlineStr">
        <is>
          <t>Çiti kurdun; keçiler üstünden atlamadı, kapısını açtı. Mandalı sen takmıştın.</t>
        </is>
      </c>
      <c r="K1676" s="6" t="inlineStr">
        <is>
          <t>Çiti yanlış tarafa kurdun; keçiler bahçede, sen dışarıdasın. Komşu lahanaları çitin içinden sana uzatıyor.</t>
        </is>
      </c>
      <c r="L1676" s="6" t="inlineStr"/>
      <c r="M1676" s="5" t="inlineStr"/>
      <c r="N1676" s="5" t="inlineStr"/>
      <c r="O1676" s="6" t="inlineStr"/>
      <c r="P1676" s="6" t="inlineStr"/>
      <c r="Q1676" s="5" t="inlineStr"/>
      <c r="R1676" s="5" t="inlineStr"/>
      <c r="S1676" s="5" t="inlineStr"/>
      <c r="T1676" s="5" t="inlineStr">
        <is>
          <t>Bahçe Filozofu</t>
        </is>
      </c>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b7-koy-kooperatif</t>
        </is>
      </c>
      <c r="B1677" s="5" t="n">
        <v>1</v>
      </c>
      <c r="C1677" s="6" t="inlineStr">
        <is>
          <t>Söz alma, çayını iç, dinle</t>
        </is>
      </c>
      <c r="D1677" s="5" t="inlineStr"/>
      <c r="E1677" s="5" t="inlineStr"/>
      <c r="F1677" s="5" t="inlineStr">
        <is>
          <t>Sosyal Radar +1, Dayanıklılık +1</t>
        </is>
      </c>
      <c r="G1677" s="6" t="inlineStr">
        <is>
          <t>Üç saat dinledin. Tank hakkında bir şey öğrenmedin; kimin kime küs olduğunu, kimin kızının nereye gelin gittiğini öğrendin. Asıl gündem buydu.</t>
        </is>
      </c>
      <c r="H1677" s="6" t="inlineStr"/>
      <c r="I1677" s="6" t="inlineStr"/>
      <c r="J1677" s="6" t="inlineStr"/>
      <c r="K1677" s="6" t="inlineStr"/>
      <c r="L1677" s="6" t="inlineStr"/>
      <c r="M1677" s="5" t="inlineStr"/>
      <c r="N1677" s="5" t="inlineStr"/>
      <c r="O1677" s="6" t="inlineStr"/>
      <c r="P1677" s="6" t="inlineStr"/>
      <c r="Q1677" s="5" t="inlineStr"/>
      <c r="R1677" s="5" t="inlineStr"/>
      <c r="S1677" s="5" t="inlineStr"/>
      <c r="T1677" s="5" t="inlineStr"/>
      <c r="U1677" s="5" t="inlineStr"/>
      <c r="V1677" s="5" t="inlineStr"/>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b7-koy-kooperatif</t>
        </is>
      </c>
      <c r="B1678" s="5" t="n">
        <v>2</v>
      </c>
      <c r="C1678" s="6" t="inlineStr">
        <is>
          <t>Tankın hesabını çıkar, masaya koy</t>
        </is>
      </c>
      <c r="D1678" s="5" t="inlineStr">
        <is>
          <t>Akıl</t>
        </is>
      </c>
      <c r="E1678" s="5" t="inlineStr">
        <is>
          <t>Orta</t>
        </is>
      </c>
      <c r="F1678" s="5" t="inlineStr"/>
      <c r="G1678" s="6" t="inlineStr"/>
      <c r="H1678" s="6" t="inlineStr">
        <is>
          <t>Tankın kendini kaç yılda ödeyeceğini kâğıda döktün. Kâğıt elden ele dolaştı, Hüsnü Emmi'de kaldı. Tank onaylandı; kâğıt hâlâ Hüsnü Emmi'de.</t>
        </is>
      </c>
      <c r="I1678" s="6" t="inlineStr">
        <is>
          <t>Hesabın öyle netti ki kooperatif defteri sana verdi. Her ayın ilk pazartesi hesap sende; çay da.</t>
        </is>
      </c>
      <c r="J1678" s="6" t="inlineStr">
        <is>
          <t>Hesabı anlattın, biri “Okumuş çocuk” dedi. Kimse karşı çıkmadı, kimse el kaldırmadı. Karar bir sonraki toplantıya kaldı.</t>
        </is>
      </c>
      <c r="K1678" s="6" t="inlineStr">
        <is>
          <t>Hesapta bir sıfır kaçırdın. Kâğıda göre tank kendini üç yüz yılda ödüyor. Hüsnü Emmi kâğıdı çerçeveletti.</t>
        </is>
      </c>
      <c r="L1678" s="6" t="inlineStr"/>
      <c r="M1678" s="5" t="inlineStr"/>
      <c r="N1678" s="5" t="inlineStr"/>
      <c r="O1678" s="6" t="inlineStr"/>
      <c r="P1678" s="6" t="inlineStr"/>
      <c r="Q1678" s="5" t="inlineStr"/>
      <c r="R1678" s="5" t="inlineStr"/>
      <c r="S1678" s="5" t="inlineStr"/>
      <c r="T1678" s="5" t="inlineStr"/>
      <c r="U1678" s="5" t="inlineStr"/>
      <c r="V1678" s="5" t="inlineStr">
        <is>
          <t>kooperatif-defteri</t>
        </is>
      </c>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3</v>
      </c>
      <c r="C1679" s="6" t="inlineStr">
        <is>
          <t>Küs iki üyeyi aynı masada barıştır</t>
        </is>
      </c>
      <c r="D1679" s="5" t="inlineStr">
        <is>
          <t>İtibar</t>
        </is>
      </c>
      <c r="E1679" s="5" t="inlineStr">
        <is>
          <t>Zor</t>
        </is>
      </c>
      <c r="F1679" s="5" t="inlineStr"/>
      <c r="G1679" s="6" t="inlineStr"/>
      <c r="H1679" s="6" t="inlineStr">
        <is>
          <t>Otuz yıllık bir tarla sınırı kavgasıydı. İki çay koydun, iki şeker; onlar da iki kelime etti. Tank oylamasında aynı eli kaldırdılar.</t>
        </is>
      </c>
      <c r="I1679" s="6" t="inlineStr">
        <is>
          <t>Barıştılar, üstüne çocuklarını evlendirmeye karar verdiler. Toplantı nişan hazırlığına döndü; tank da onaylandı.</t>
        </is>
      </c>
      <c r="J1679" s="6" t="inlineStr">
        <is>
          <t>İkisini aynı masaya oturttun; ikisi de sana küstü. Köyde artık üç kişilik bir küslük var.</t>
        </is>
      </c>
      <c r="K1679" s="6" t="inlineStr">
        <is>
          <t>Sınırı çözmek için tarlaya gittiniz. Tapuyu okurken ikisi birden sustu, sonra aynı anda sana döndü: “Asıl senin dedenin çiti bizim tarlada.” Akşam kahvede iki küs barışmıştı; sana karşı.</t>
        </is>
      </c>
      <c r="L1679" s="6" t="inlineStr"/>
      <c r="M1679" s="5" t="inlineStr"/>
      <c r="N1679" s="5" t="inlineStr"/>
      <c r="O1679" s="6" t="inlineStr"/>
      <c r="P1679" s="6" t="inlineStr"/>
      <c r="Q1679" s="5" t="inlineStr"/>
      <c r="R1679" s="5" t="inlineStr"/>
      <c r="S1679" s="5" t="inlineStr"/>
      <c r="T1679" s="5" t="inlineStr">
        <is>
          <t>Odayı Okur</t>
        </is>
      </c>
      <c r="U1679" s="5" t="inlineStr"/>
      <c r="V1679" s="5" t="inlineStr">
        <is>
          <t>kahvede-sozu-var</t>
        </is>
      </c>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b7-koy-sehirliler</t>
        </is>
      </c>
      <c r="B1680" s="5" t="n">
        <v>1</v>
      </c>
      <c r="C1680" s="6" t="inlineStr">
        <is>
          <t>Çifte bir koli yumurta götür, tanış</t>
        </is>
      </c>
      <c r="D1680" s="5" t="inlineStr"/>
      <c r="E1680" s="5" t="inlineStr"/>
      <c r="F1680" s="5" t="inlineStr">
        <is>
          <t>İtibar +1, Sosyal Radar +1</t>
        </is>
      </c>
      <c r="G1680" s="6" t="inlineStr">
        <is>
          <t>Yumurtaları götürdün, çay içtiniz. Horozun neden saat beşte öttüğünü sordular. “Beş olduğu için” dedin. İkna oldular; kulak tıkacı da aldılar.</t>
        </is>
      </c>
      <c r="H1680" s="6" t="inlineStr"/>
      <c r="I1680" s="6" t="inlineStr"/>
      <c r="J1680" s="6" t="inlineStr"/>
      <c r="K1680" s="6" t="inlineStr"/>
      <c r="L1680" s="6" t="inlineStr"/>
      <c r="M1680" s="5" t="inlineStr"/>
      <c r="N1680" s="5" t="inlineStr"/>
      <c r="O1680" s="6" t="inlineStr"/>
      <c r="P1680" s="6" t="inlineStr"/>
      <c r="Q1680" s="5" t="inlineStr"/>
      <c r="R1680" s="5" t="inlineStr"/>
      <c r="S1680" s="5" t="inlineStr"/>
      <c r="T1680" s="5" t="inlineStr"/>
      <c r="U1680" s="5" t="inlineStr"/>
      <c r="V1680" s="5" t="inlineStr"/>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b7-koy-sehirliler</t>
        </is>
      </c>
      <c r="B1681" s="5" t="n">
        <v>2</v>
      </c>
      <c r="C1681" s="6" t="inlineStr">
        <is>
          <t>Horozla şehirlileri uzlaştır</t>
        </is>
      </c>
      <c r="D1681" s="5" t="inlineStr">
        <is>
          <t>Sosyal Radar</t>
        </is>
      </c>
      <c r="E1681" s="5" t="inlineStr">
        <is>
          <t>Orta</t>
        </is>
      </c>
      <c r="F1681" s="5" t="inlineStr"/>
      <c r="G1681" s="6" t="inlineStr"/>
      <c r="H1681" s="6" t="inlineStr">
        <is>
          <t>Kümesi köyün öbür ucuna taşıdın. Şehirliler teşekkür etti; öbür uçtaki Nazmi Dayı etmedi.</t>
        </is>
      </c>
      <c r="I1681" s="6" t="inlineStr">
        <is>
          <t>Şehirliler horozu o kadar sevdi ki ona ad koyup fotoğrafını çerçevelediler. Horoz artık saat altıda ötüyor; saygıdan.</t>
        </is>
      </c>
      <c r="J1681" s="6" t="inlineStr">
        <is>
          <t>Uzlaşma toplantısı yaptın; horoz katılmadı. Şikâyet sürüyor.</t>
        </is>
      </c>
      <c r="K1681" s="6" t="inlineStr">
        <is>
          <t>Toplantının ortasında horoz öttü, çiftin köpeği masaya fırladı. Toplantı bir çay bardağı eksik dağıldı.</t>
        </is>
      </c>
      <c r="L1681" s="6" t="inlineStr"/>
      <c r="M1681" s="5" t="inlineStr"/>
      <c r="N1681" s="5" t="inlineStr"/>
      <c r="O1681" s="6" t="inlineStr"/>
      <c r="P1681" s="6" t="inlineStr"/>
      <c r="Q1681" s="5" t="inlineStr"/>
      <c r="R1681" s="5" t="inlineStr"/>
      <c r="S1681" s="5" t="inlineStr"/>
      <c r="T1681" s="5" t="inlineStr"/>
      <c r="U1681" s="5" t="inlineStr"/>
      <c r="V1681" s="5" t="inlineStr"/>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3</v>
      </c>
      <c r="C1682" s="6" t="inlineStr">
        <is>
          <t>Onlara köy hayatını ücretli tanıt</t>
        </is>
      </c>
      <c r="D1682" s="5" t="inlineStr">
        <is>
          <t>Kurnazlık</t>
        </is>
      </c>
      <c r="E1682" s="5" t="inlineStr">
        <is>
          <t>Orta</t>
        </is>
      </c>
      <c r="F1682" s="5" t="inlineStr"/>
      <c r="G1682" s="6" t="inlineStr"/>
      <c r="H1682" s="6" t="inlineStr">
        <is>
          <t>“Köyde Bir Gün” paketi hazırladın: keçi sağma, tandır ekmeği, horozla tanışma. Şehirliler arkadaşlarını getirdi; pakete kahvaltı eklendi.</t>
        </is>
      </c>
      <c r="I1682" s="6" t="inlineStr">
        <is>
          <t>Paket şehirde duyuldu, hafta sonları köyün girişinde otopark sıkıntısı var. Köy ilk kez bir sorundan memnun.</t>
        </is>
      </c>
      <c r="J1682" s="6" t="inlineStr">
        <is>
          <t>Paketi anlattın; şehirliler “Biz bunu zaten yaşıyoruz” dedi. Haklılar, horoz ücretsiz.</t>
        </is>
      </c>
      <c r="K1682" s="6" t="inlineStr">
        <is>
          <t>Sağma etkinliğinde keçi kova yerine şehirlinin ayakkabısını seçti. Paketin puanı iki yıldız; biri keçiye verilmiş.</t>
        </is>
      </c>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is>
          <t>Orta</t>
        </is>
      </c>
      <c r="AE1682" s="5" t="inlineStr"/>
      <c r="AF1682" s="5" t="inlineStr"/>
      <c r="AG1682" s="5" t="inlineStr"/>
      <c r="AH1682" s="5" t="inlineStr"/>
      <c r="AI1682" s="5" t="inlineStr"/>
      <c r="AJ1682" s="5" t="inlineStr"/>
    </row>
    <row r="1683">
      <c r="A1683" s="5" t="inlineStr">
        <is>
          <t>b7-koy-sehirliler</t>
        </is>
      </c>
      <c r="B1683" s="5" t="n">
        <v>4</v>
      </c>
      <c r="C1683" s="6" t="inlineStr">
        <is>
          <t>Muhtar olarak ortak bir köy kuralı yaz</t>
        </is>
      </c>
      <c r="D1683" s="5" t="inlineStr">
        <is>
          <t>İtibar</t>
        </is>
      </c>
      <c r="E1683" s="5" t="inlineStr">
        <is>
          <t>Orta</t>
        </is>
      </c>
      <c r="F1683" s="5" t="inlineStr"/>
      <c r="G1683" s="6" t="inlineStr"/>
      <c r="H1683" s="6" t="inlineStr">
        <is>
          <t>Kuralı yazdın: “Horoz beşten önce ötmez, şehirli beşten önce şikâyet etmez.” İki taraf imzaladı; horoz adına sen.</t>
        </is>
      </c>
      <c r="I1683" s="6" t="inlineStr">
        <is>
          <t>Komşu köyün muhtarı kuralın bir kopyasını istedi. Fotokopide “horoz” yazan yere kendi horozunun adını yazdı, altına kendi mührünü bastı.</t>
        </is>
      </c>
      <c r="J1683" s="6" t="inlineStr">
        <is>
          <t>Kuralı astın; ertesi gün şehirliler bir ek madde yazdı, köylüler bir tane daha. Kural şimdi üç sayfa.</t>
        </is>
      </c>
      <c r="K1683" s="6" t="inlineStr">
        <is>
          <t>Mühürlü kuralı kümesin kapısına astın. Horoz kâğıdı yedi. Şehirliler “Kural geçersiz” dedi, köy “Horoz okudu” dedi.</t>
        </is>
      </c>
      <c r="L1683" s="6" t="inlineStr"/>
      <c r="M1683" s="5" t="inlineStr"/>
      <c r="N1683" s="5" t="inlineStr"/>
      <c r="O1683" s="6" t="inlineStr"/>
      <c r="P1683" s="6" t="inlineStr"/>
      <c r="Q1683" s="5" t="inlineStr"/>
      <c r="R1683" s="5" t="inlineStr">
        <is>
          <t>muhtar</t>
        </is>
      </c>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k10-koy</t>
        </is>
      </c>
      <c r="B1684" s="5" t="n">
        <v>1</v>
      </c>
      <c r="C1684" s="6" t="inlineStr">
        <is>
          <t>Muhtarlığa aday ol</t>
        </is>
      </c>
      <c r="D1684" s="5" t="inlineStr">
        <is>
          <t>İtibar</t>
        </is>
      </c>
      <c r="E1684" s="5" t="inlineStr">
        <is>
          <t>Zor</t>
        </is>
      </c>
      <c r="F1684" s="5" t="inlineStr"/>
      <c r="G1684" s="6" t="inlineStr"/>
      <c r="H1684" s="6" t="inlineStr">
        <is>
          <t>Tek vaadin vardı: “Kahveye ikinci soba.” Dört oyla kazandın. Mühür eline geçince ilk işin kahveyi ısıtmak oldu.</t>
        </is>
      </c>
      <c r="I1684" s="6" t="inlineStr">
        <is>
          <t>Rakibin sana oy verdiğini itiraf etti; kendine vermemiş. Mühür eski muhtardan sana bir poşet cevizle devredildi.</t>
        </is>
      </c>
      <c r="J1684" s="6" t="inlineStr">
        <is>
          <t>Yedi oyla kaybettin. Yeni muhtar ilk iş seni azaya aldı: “Senin çenen lazım.”</t>
        </is>
      </c>
      <c r="K1684" s="6" t="inlineStr">
        <is>
          <t>Seçim konuşmasında köyün adını iki kez yanlış söyledin. Sandıktan üç oy çıktı; ailen dört kişi. Dördüncüyü kimin vermediğini sofrada kimse sormuyor.</t>
        </is>
      </c>
      <c r="L1684" s="6" t="inlineStr"/>
      <c r="M1684" s="5" t="inlineStr"/>
      <c r="N1684" s="5" t="inlineStr"/>
      <c r="O1684" s="6" t="inlineStr"/>
      <c r="P1684" s="6" t="inlineStr"/>
      <c r="Q1684" s="5" t="inlineStr"/>
      <c r="R1684" s="5" t="inlineStr"/>
      <c r="S1684" s="5" t="inlineStr"/>
      <c r="T1684" s="5" t="inlineStr"/>
      <c r="U1684" s="5" t="inlineStr"/>
      <c r="V1684" s="5" t="inlineStr">
        <is>
          <t>muhtar</t>
        </is>
      </c>
      <c r="W1684" s="5" t="inlineStr"/>
      <c r="X1684" s="5" t="inlineStr"/>
      <c r="Y1684" s="5" t="inlineStr"/>
      <c r="Z1684" s="6" t="inlineStr"/>
      <c r="AA1684" s="5" t="inlineStr"/>
      <c r="AB1684" s="5" t="inlineStr"/>
      <c r="AC1684" s="5" t="inlineStr"/>
      <c r="AD1684" s="5" t="inlineStr"/>
      <c r="AE1684" s="5" t="inlineStr"/>
      <c r="AF1684" s="5" t="inlineStr"/>
      <c r="AG1684" s="5" t="inlineStr"/>
      <c r="AH1684" s="5" t="inlineStr"/>
      <c r="AI1684" s="5" t="inlineStr"/>
      <c r="AJ1684" s="5" t="inlineStr"/>
    </row>
    <row r="1685">
      <c r="A1685" s="5" t="inlineStr">
        <is>
          <t>k10-koy</t>
        </is>
      </c>
      <c r="B1685" s="5" t="n">
        <v>2</v>
      </c>
      <c r="C1685" s="6" t="inlineStr">
        <is>
          <t>Kooperatif kur</t>
        </is>
      </c>
      <c r="D1685" s="5" t="inlineStr">
        <is>
          <t>Sosyal Radar</t>
        </is>
      </c>
      <c r="E1685" s="5" t="inlineStr">
        <is>
          <t>Orta</t>
        </is>
      </c>
      <c r="F1685" s="5" t="inlineStr"/>
      <c r="G1685" s="6" t="inlineStr"/>
      <c r="H1685" s="6" t="inlineStr">
        <is>
          <t>Yirmi üç üye, bir süt tankı, bir peynir kazanı. İlk teneke peynir şehre gitti, karşılığı geri döndü. Toplantılar hâlâ uzun ama artık kâr payı da var.</t>
        </is>
      </c>
      <c r="I1685" s="6" t="inlineStr">
        <is>
          <t>Peynirin şehirde ödül aldı. Köyün gençlerinden ikisi şehirden geri döndü; peynir için.</t>
        </is>
      </c>
      <c r="J1685" s="6" t="inlineStr">
        <is>
          <t>Kuruluş toplantısına yirmi üç kişi geldi; imzaya üç kişi kaldı. Biri Nazmi Dayı'ydı, o da gözlüğünü evde unutmuştu. Kooperatifi bir bahara bıraktın.</t>
        </is>
      </c>
      <c r="K1685" s="6" t="inlineStr">
        <is>
          <t>Kuruluş toplantısı iki köyün sınır tartışmasına döndü. Kooperatif kurulmadı; arada yeni bir tabela var: “Burası bizim.”</t>
        </is>
      </c>
      <c r="L1685" s="6" t="inlineStr"/>
      <c r="M1685" s="5" t="inlineStr"/>
      <c r="N1685" s="5" t="inlineStr"/>
      <c r="O1685" s="6" t="inlineStr"/>
      <c r="P1685" s="6" t="inlineStr"/>
      <c r="Q1685" s="5" t="inlineStr"/>
      <c r="R1685" s="5" t="inlineStr"/>
      <c r="S1685" s="5" t="inlineStr"/>
      <c r="T1685" s="5" t="inlineStr"/>
      <c r="U1685" s="5" t="inlineStr"/>
      <c r="V1685" s="5" t="inlineStr">
        <is>
          <t>kooperatif</t>
        </is>
      </c>
      <c r="W1685" s="5" t="inlineStr"/>
      <c r="X1685" s="5" t="inlineStr"/>
      <c r="Y1685" s="5" t="inlineStr"/>
      <c r="Z1685" s="6" t="inlineStr"/>
      <c r="AA1685" s="5" t="inlineStr"/>
      <c r="AB1685" s="5" t="inlineStr"/>
      <c r="AC1685" s="5" t="inlineStr"/>
      <c r="AD1685" s="5" t="inlineStr">
        <is>
          <t>Orta</t>
        </is>
      </c>
      <c r="AE1685" s="5" t="inlineStr"/>
      <c r="AF1685" s="5" t="inlineStr"/>
      <c r="AG1685" s="5" t="inlineStr"/>
      <c r="AH1685" s="5" t="inlineStr"/>
      <c r="AI1685" s="5" t="inlineStr"/>
      <c r="AJ1685" s="5" t="inlineStr"/>
    </row>
    <row r="1686">
      <c r="A1686" s="5" t="inlineStr">
        <is>
          <t>k10-koy</t>
        </is>
      </c>
      <c r="B1686" s="5" t="n">
        <v>3</v>
      </c>
      <c r="C1686" s="6" t="inlineStr">
        <is>
          <t>Köy fenomeni ol</t>
        </is>
      </c>
      <c r="D1686" s="5" t="inlineStr">
        <is>
          <t>Pişkinlik</t>
        </is>
      </c>
      <c r="E1686" s="5" t="inlineStr">
        <is>
          <t>Zor</t>
        </is>
      </c>
      <c r="F1686" s="5" t="inlineStr"/>
      <c r="G1686" s="6" t="inlineStr"/>
      <c r="H1686" s="6" t="inlineStr">
        <is>
          <t>Keçilerle sabah videoları çektin. Keçilerin takipçisi on binleri geçti; birine reklam teklifi geldi. Pazarlığı sen yapıyorsun.</t>
        </is>
      </c>
      <c r="I1686" s="6" t="inlineStr">
        <is>
          <t>Bir videon ülke çapında yayıldı: keçi, sen ve bir traktör. Şehirden turist geliyor; kahve fiyat listesi bastırdı.</t>
        </is>
      </c>
      <c r="J1686" s="6" t="inlineStr">
        <is>
          <t>Videolar çektin, izleyenler köydekilerdi. Kahvede birbirlerine gösteriyorlar; beğeni yerine el sallıyorlar.</t>
        </is>
      </c>
      <c r="K1686" s="6" t="inlineStr">
        <is>
          <t>Canlı yayında keçi telefonu yedi. Yayın dört dakika keçinin içinden sürdü. En çok izlenen videon bu; telefonun yok.</t>
        </is>
      </c>
      <c r="L1686" s="6" t="inlineStr"/>
      <c r="M1686" s="5" t="inlineStr"/>
      <c r="N1686" s="5" t="inlineStr"/>
      <c r="O1686" s="6" t="inlineStr"/>
      <c r="P1686" s="6" t="inlineStr"/>
      <c r="Q1686" s="5" t="inlineStr"/>
      <c r="R1686" s="5" t="inlineStr"/>
      <c r="S1686" s="5" t="inlineStr"/>
      <c r="T1686" s="5" t="inlineStr"/>
      <c r="U1686" s="5" t="inlineStr"/>
      <c r="V1686" s="5" t="inlineStr">
        <is>
          <t>koy-fenomeni</t>
        </is>
      </c>
      <c r="W1686" s="5" t="inlineStr"/>
      <c r="X1686" s="5" t="inlineStr"/>
      <c r="Y1686" s="5" t="inlineStr"/>
      <c r="Z1686" s="6" t="inlineStr"/>
      <c r="AA1686" s="5" t="inlineStr"/>
      <c r="AB1686" s="5" t="inlineStr"/>
      <c r="AC1686" s="5" t="inlineStr"/>
      <c r="AD1686" s="5" t="inlineStr">
        <is>
          <t>Orta</t>
        </is>
      </c>
      <c r="AE1686" s="5" t="inlineStr"/>
      <c r="AF1686" s="5" t="inlineStr"/>
      <c r="AG1686" s="5" t="inlineStr"/>
      <c r="AH1686" s="5" t="inlineStr"/>
      <c r="AI1686" s="5" t="inlineStr"/>
      <c r="AJ1686" s="5" t="inlineStr"/>
    </row>
    <row r="1687">
      <c r="A1687" s="5" t="inlineStr">
        <is>
          <t>k10-koy</t>
        </is>
      </c>
      <c r="B1687" s="5" t="n">
        <v>4</v>
      </c>
      <c r="C1687" s="6" t="inlineStr">
        <is>
          <t>Şehre geri dön</t>
        </is>
      </c>
      <c r="D1687" s="5" t="inlineStr">
        <is>
          <t>Kurnazlık</t>
        </is>
      </c>
      <c r="E1687" s="5" t="inlineStr">
        <is>
          <t>Orta</t>
        </is>
      </c>
      <c r="F1687" s="5" t="inlineStr"/>
      <c r="G1687" s="6" t="inlineStr"/>
      <c r="H1687" s="6" t="inlineStr">
        <is>
          <t>Traktörü komşuya, keçileri akrabaya bıraktın. Şehirde bir dükkân kiraladın; tezgâhta köyden gelen peynir satıyorsun. Köyde adın hâlâ “döndü, gidecek.”</t>
        </is>
      </c>
      <c r="I1687" s="6" t="inlineStr">
        <is>
          <t>Şehirdeki dükkânın ilk haftasında kuyruk oldu; köyün peyniri şehirde “yöresel” diye iki kat fiyatla satılıyor.</t>
        </is>
      </c>
      <c r="J1687" s="6" t="inlineStr">
        <is>
          <t>Şehirde dükkân baktın; kiralar köydeki tarlanın yıllık gelirinden fazlaydı. Köye döndün; keçiler seni hiç özlememiş gibi yaptı.</t>
        </is>
      </c>
      <c r="K1687" s="6" t="inlineStr">
        <is>
          <t>Dükkânı tuttun, açılış günü köyden gelen peynir yolda ekşidi. Kepengi kapattın, köye döndün; kahvede kimse bir şey sormadı, herkes biliyordu.</t>
        </is>
      </c>
      <c r="L1687" s="6" t="inlineStr"/>
      <c r="M1687" s="5" t="inlineStr"/>
      <c r="N1687" s="5" t="inlineStr"/>
      <c r="O1687" s="6" t="inlineStr"/>
      <c r="P1687" s="6" t="inlineStr"/>
      <c r="Q1687" s="5" t="inlineStr"/>
      <c r="R1687" s="5" t="inlineStr"/>
      <c r="S1687" s="5" t="inlineStr"/>
      <c r="T1687" s="5" t="inlineStr"/>
      <c r="U1687" s="5" t="inlineStr"/>
      <c r="V1687" s="5" t="inlineStr">
        <is>
          <t>-hat-cete, -hat-dolandirici, -hat-girisimci, -hat-goc, -hat-hekim, -hat-koy, -hat-polis, -hat-politika, -hat-sohret, -hat-usta, -hat-yargi, -meslek-beyazyaka, -meslek-memur, -meslek-serbest, meslek-esnaf</t>
        </is>
      </c>
      <c r="W1687" s="5" t="inlineStr"/>
      <c r="X1687" s="5" t="inlineStr"/>
      <c r="Y1687" s="5" t="inlineStr"/>
      <c r="Z1687" s="6" t="inlineStr"/>
      <c r="AA1687" s="5" t="inlineStr"/>
      <c r="AB1687" s="5" t="inlineStr"/>
      <c r="AC1687" s="5" t="inlineStr"/>
      <c r="AD1687" s="5" t="inlineStr"/>
      <c r="AE1687" s="5" t="inlineStr"/>
      <c r="AF1687" s="5" t="inlineStr"/>
      <c r="AG1687" s="5" t="inlineStr"/>
      <c r="AH1687" s="5" t="inlineStr"/>
      <c r="AI1687" s="5" t="inlineStr"/>
      <c r="AJ1687" s="5" t="inlineStr"/>
    </row>
    <row r="1688">
      <c r="A1688" s="5" t="inlineStr">
        <is>
          <t>b8-koy-muhtarlik-secimi</t>
        </is>
      </c>
      <c r="B1688" s="5" t="n">
        <v>1</v>
      </c>
      <c r="C1688" s="6" t="inlineStr">
        <is>
          <t>Adaylıktan çekil, kuzenini destekle</t>
        </is>
      </c>
      <c r="D1688" s="5" t="inlineStr"/>
      <c r="E1688" s="5" t="inlineStr"/>
      <c r="F1688" s="5" t="inlineStr">
        <is>
          <t>İtibar +1, Sosyal Radar +1</t>
        </is>
      </c>
      <c r="G1688" s="6" t="inlineStr">
        <is>
          <t>Çekildin; kuzen kazandı, ilk icraatı hoparlörden sana teşekkür oldu. Köyde herkes muhtarın sen olduğunu sanıyor; mühür sadece onda.</t>
        </is>
      </c>
      <c r="H1688" s="6" t="inlineStr"/>
      <c r="I1688" s="6" t="inlineStr"/>
      <c r="J1688" s="6" t="inlineStr"/>
      <c r="K1688" s="6" t="inlineStr"/>
      <c r="L1688" s="6" t="inlineStr"/>
      <c r="M1688" s="5" t="inlineStr"/>
      <c r="N1688" s="5" t="inlineStr"/>
      <c r="O1688" s="6" t="inlineStr"/>
      <c r="P1688" s="6" t="inlineStr"/>
      <c r="Q1688" s="5" t="inlineStr"/>
      <c r="R1688" s="5" t="inlineStr"/>
      <c r="S1688" s="5" t="inlineStr"/>
      <c r="T1688" s="5" t="inlineStr"/>
      <c r="U1688" s="5" t="inlineStr"/>
      <c r="V1688" s="5" t="inlineStr"/>
      <c r="W1688" s="5" t="inlineStr"/>
      <c r="X1688" s="5" t="inlineStr"/>
      <c r="Y1688" s="5" t="inlineStr"/>
      <c r="Z1688" s="6" t="inlineStr"/>
      <c r="AA1688" s="5" t="inlineStr"/>
      <c r="AB1688" s="5" t="inlineStr"/>
      <c r="AC1688" s="5" t="inlineStr"/>
      <c r="AD1688" s="5" t="inlineStr"/>
      <c r="AE1688" s="5" t="inlineStr"/>
      <c r="AF1688" s="5" t="inlineStr"/>
      <c r="AG1688" s="5" t="inlineStr"/>
      <c r="AH1688" s="5" t="inlineStr"/>
      <c r="AI1688" s="5" t="inlineStr"/>
      <c r="AJ1688" s="5" t="inlineStr"/>
    </row>
    <row r="1689">
      <c r="A1689" s="5" t="inlineStr">
        <is>
          <t>b8-koy-muhtarlik-secimi</t>
        </is>
      </c>
      <c r="B1689" s="5" t="n">
        <v>2</v>
      </c>
      <c r="C1689" s="6" t="inlineStr">
        <is>
          <t>Kapı kapı dolaş, her evde çay iç</t>
        </is>
      </c>
      <c r="D1689" s="5" t="inlineStr">
        <is>
          <t>Sosyal Radar</t>
        </is>
      </c>
      <c r="E1689" s="5" t="inlineStr">
        <is>
          <t>Zor</t>
        </is>
      </c>
      <c r="F1689" s="5" t="inlineStr"/>
      <c r="G1689" s="6" t="inlineStr"/>
      <c r="H1689" s="6" t="inlineStr">
        <is>
          <t>Kırk iki ev, kırk iki çay, dokuz oy farkı. Mühür geldi; o gece uyuyamadın, çaydan.</t>
        </is>
      </c>
      <c r="I1689" s="6" t="inlineStr">
        <is>
          <t>Rakibin evine de gittin; sana çay ikram etti, sonra da oyunu. Sonuçlar okununca kahvedeki iki masa birleşti.</t>
        </is>
      </c>
      <c r="J1689" s="6" t="inlineStr">
        <is>
          <t>Her evde çay içtin, her evde söz aldın. Sandıktaki sözler çaylardan azdı. Kuzen kazandı; sana sandalye ayırdı.</t>
        </is>
      </c>
      <c r="K1689" s="6" t="inlineStr">
        <is>
          <t>Kuzeninin evine yanlışlıkla iki kez gittin. İkincisinde teyzen seni kapıda karşıladı. Oy vermedi; çay da vermedi.</t>
        </is>
      </c>
      <c r="L1689" s="6" t="inlineStr"/>
      <c r="M1689" s="5" t="inlineStr"/>
      <c r="N1689" s="5" t="inlineStr"/>
      <c r="O1689" s="6" t="inlineStr"/>
      <c r="P1689" s="6" t="inlineStr"/>
      <c r="Q1689" s="5" t="inlineStr"/>
      <c r="R1689" s="5" t="inlineStr"/>
      <c r="S1689" s="5" t="inlineStr"/>
      <c r="T1689" s="5" t="inlineStr">
        <is>
          <t>Odayı Okur</t>
        </is>
      </c>
      <c r="U1689" s="5" t="inlineStr"/>
      <c r="V1689" s="5" t="inlineStr">
        <is>
          <t>muhtar</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3</v>
      </c>
      <c r="C1690" s="6" t="inlineStr">
        <is>
          <t>Kahvede herkesin önünde vaatlerini anlat</t>
        </is>
      </c>
      <c r="D1690" s="5" t="inlineStr">
        <is>
          <t>İtibar</t>
        </is>
      </c>
      <c r="E1690" s="5" t="inlineStr">
        <is>
          <t>Orta</t>
        </is>
      </c>
      <c r="F1690" s="5" t="inlineStr"/>
      <c r="G1690" s="6" t="inlineStr"/>
      <c r="H1690" s="6" t="inlineStr">
        <is>
          <t>Yol, su, ikinci soba. Alkışı en çok soba aldı. Sandık açıldı, üç oyla kazandın; mühür sende, soba hâlâ sırada.</t>
        </is>
      </c>
      <c r="I1690" s="6" t="inlineStr">
        <is>
          <t>Konuşmanın sonunda rakibin, yani kuzenin, ayağa kalktı: “Ben de ona veriyorum.” Teyzen arkadan seslendi: “Ben vermiyorum!” Yine de kazandın.</t>
        </is>
      </c>
      <c r="J1690" s="6" t="inlineStr">
        <is>
          <t>Konuşurken elektrik kesildi. İkinci yarıyı karanlıkta anlattın; oylar da karanlıkta kaldı. Kuzen kazandı.</t>
        </is>
      </c>
      <c r="K1690" s="6" t="inlineStr">
        <is>
          <t>Vaatlerini okurken kâğıdı çevirdin; arkasında kuzeninin vaatleri yazılıymış. Kahve güldü. Sandık da.</t>
        </is>
      </c>
      <c r="L1690" s="6" t="inlineStr"/>
      <c r="M1690" s="5" t="inlineStr"/>
      <c r="N1690" s="5" t="inlineStr"/>
      <c r="O1690" s="6" t="inlineStr"/>
      <c r="P1690" s="6" t="inlineStr"/>
      <c r="Q1690" s="5" t="inlineStr"/>
      <c r="R1690" s="5" t="inlineStr"/>
      <c r="S1690" s="5" t="inlineStr"/>
      <c r="T1690" s="5" t="inlineStr"/>
      <c r="U1690" s="5" t="inlineStr"/>
      <c r="V1690" s="5" t="inlineStr">
        <is>
          <t>muhtar</t>
        </is>
      </c>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b8-koy-unlu-koylu</t>
        </is>
      </c>
      <c r="B1691" s="5" t="n">
        <v>1</v>
      </c>
      <c r="C1691" s="6" t="inlineStr">
        <is>
          <t>Köylüleri öne çıkar, kendin arkada dur</t>
        </is>
      </c>
      <c r="D1691" s="5" t="inlineStr"/>
      <c r="E1691" s="5" t="inlineStr"/>
      <c r="F1691" s="5" t="inlineStr">
        <is>
          <t>İtibar +1, Sosyal Radar +1</t>
        </is>
      </c>
      <c r="G1691" s="6" t="inlineStr">
        <is>
          <t>Kamerayı Fatma Nine'nin tandırına çevirdin. Belgesel yayınlanınca köy nineyi izledi; nine de kendini, ekmek pişirirken yorum yaparak.</t>
        </is>
      </c>
      <c r="H1691" s="6" t="inlineStr"/>
      <c r="I1691" s="6" t="inlineStr"/>
      <c r="J1691" s="6" t="inlineStr"/>
      <c r="K1691" s="6" t="inlineStr"/>
      <c r="L1691" s="6" t="inlineStr"/>
      <c r="M1691" s="5" t="inlineStr"/>
      <c r="N1691" s="5" t="inlineStr"/>
      <c r="O1691" s="6" t="inlineStr"/>
      <c r="P1691" s="6" t="inlineStr"/>
      <c r="Q1691" s="5" t="inlineStr"/>
      <c r="R1691" s="5" t="inlineStr"/>
      <c r="S1691" s="5" t="inlineStr"/>
      <c r="T1691" s="5" t="inlineStr"/>
      <c r="U1691" s="5" t="inlineStr"/>
      <c r="V1691" s="5" t="inlineStr"/>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b8-koy-unlu-koylu</t>
        </is>
      </c>
      <c r="B1692" s="5" t="n">
        <v>2</v>
      </c>
      <c r="C1692" s="6" t="inlineStr">
        <is>
          <t>Kameraya köyü sen anlat</t>
        </is>
      </c>
      <c r="D1692" s="5" t="inlineStr">
        <is>
          <t>Pişkinlik</t>
        </is>
      </c>
      <c r="E1692" s="5" t="inlineStr">
        <is>
          <t>Orta</t>
        </is>
      </c>
      <c r="F1692" s="5" t="inlineStr"/>
      <c r="G1692" s="6" t="inlineStr"/>
      <c r="H1692" s="6" t="inlineStr">
        <is>
          <t>Kuyuyu, çınarı, kahvedeki iki masayı anlattın. Belgesel yayınlandı; pazarda “Belgeselde konuşan bu mu?” diye seni soruyorlar, domatesi de.</t>
        </is>
      </c>
      <c r="I1692" s="6" t="inlineStr">
        <is>
          <t>Yönetmen seni sunucu yaptı. Belgesel ikinci sezon aldı: “Kaybolan Tatlar: Köy Kahvesi.” Kahveci ücret istiyor.</t>
        </is>
      </c>
      <c r="J1692" s="6" t="inlineStr">
        <is>
          <t>Anlattın ama kurguda sadece keçiler kaldı. Afişte sen yoksun, lider keçi var.</t>
        </is>
      </c>
      <c r="K1692" s="6" t="inlineStr">
        <is>
          <t>“Burada yağmur yağmaz” derken sağanak başladı. Belgeselin fragmanı o an.</t>
        </is>
      </c>
      <c r="L1692" s="6" t="inlineStr"/>
      <c r="M1692" s="5" t="inlineStr"/>
      <c r="N1692" s="5" t="inlineStr"/>
      <c r="O1692" s="6" t="inlineStr"/>
      <c r="P1692" s="6" t="inlineStr"/>
      <c r="Q1692" s="5" t="inlineStr"/>
      <c r="R1692" s="5" t="inlineStr"/>
      <c r="S1692" s="5" t="inlineStr"/>
      <c r="T1692" s="5" t="inlineStr"/>
      <c r="U1692" s="5" t="inlineStr"/>
      <c r="V1692" s="5" t="inlineStr">
        <is>
          <t>unlu-koylu</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3</v>
      </c>
      <c r="C1693" s="6" t="inlineStr">
        <is>
          <t>Kooperatifin peynirini kadraja sok</t>
        </is>
      </c>
      <c r="D1693" s="5" t="inlineStr">
        <is>
          <t>Kurnazlık</t>
        </is>
      </c>
      <c r="E1693" s="5" t="inlineStr">
        <is>
          <t>Orta</t>
        </is>
      </c>
      <c r="F1693" s="5" t="inlineStr"/>
      <c r="G1693" s="6" t="inlineStr"/>
      <c r="H1693" s="6" t="inlineStr">
        <is>
          <t>Peynir her sahnede bir köşede durdu. Belgeselden sonra siparişler yağdı; tank yetmedi, ikincisi alındı.</t>
        </is>
      </c>
      <c r="I1693" s="6" t="inlineStr">
        <is>
          <t>Peynir belgeselin gizli yıldızı oldu. Şehirde bir lokanta menüsüne köyün adını yazdı; ilk kez doğru yazılmış.</t>
        </is>
      </c>
      <c r="J1693" s="6" t="inlineStr">
        <is>
          <t>Kurgucu peyniri çıkardı: “Reklam olmaz.” Peynir belgeselde yok, ekibin sofrasında var.</t>
        </is>
      </c>
      <c r="K1693" s="6" t="inlineStr">
        <is>
          <t>Peynir sıcakta eridi, masadan akıp kameranın ayağına ulaştı. Belgeselin adı değişti: “Kaybolan Peynir.”</t>
        </is>
      </c>
      <c r="L1693" s="6" t="inlineStr"/>
      <c r="M1693" s="5" t="inlineStr"/>
      <c r="N1693" s="5" t="inlineStr"/>
      <c r="O1693" s="6" t="inlineStr"/>
      <c r="P1693" s="6" t="inlineStr"/>
      <c r="Q1693" s="5" t="inlineStr"/>
      <c r="R1693" s="5" t="inlineStr">
        <is>
          <t>kooperatif</t>
        </is>
      </c>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is>
          <t>Rahat</t>
        </is>
      </c>
      <c r="AE1693" s="5" t="inlineStr"/>
      <c r="AF1693" s="5" t="inlineStr"/>
      <c r="AG1693" s="5" t="inlineStr"/>
      <c r="AH1693" s="5" t="inlineStr"/>
      <c r="AI1693" s="5" t="inlineStr"/>
      <c r="AJ1693" s="5" t="inlineStr"/>
    </row>
    <row r="1694">
      <c r="A1694" s="5" t="inlineStr">
        <is>
          <t>b8-koy-unlu-koylu</t>
        </is>
      </c>
      <c r="B1694" s="5" t="n">
        <v>4</v>
      </c>
      <c r="C1694" s="6" t="inlineStr">
        <is>
          <t>Yönetmeni kahveye götür, tavla oynat</t>
        </is>
      </c>
      <c r="D1694" s="5" t="inlineStr">
        <is>
          <t>Sosyal Radar</t>
        </is>
      </c>
      <c r="E1694" s="5" t="inlineStr">
        <is>
          <t>Zor</t>
        </is>
      </c>
      <c r="F1694" s="5" t="inlineStr"/>
      <c r="G1694" s="6" t="inlineStr"/>
      <c r="H1694" s="6" t="inlineStr">
        <is>
          <t>Yönetmen üç el kaybetti, dördüncüde senaryoyu değiştirdi: belgesel artık kahvede geçiyor. Her karede zar atan sensin.</t>
        </is>
      </c>
      <c r="I1694" s="6" t="inlineStr">
        <is>
          <t>Yönetmen köye vuruldu, yazlık için arsa sordu. Çekimler bir yıl sürdü; bir bölümün anlatıcısı sensin.</t>
        </is>
      </c>
      <c r="J1694" s="6" t="inlineStr">
        <is>
          <t>Yönetmen tavlayı bilmiyordu; iki saat kuralları anlattın. Işık kaçtı, çekim ertelendi.</t>
        </is>
      </c>
      <c r="K1694" s="6" t="inlineStr">
        <is>
          <t>Yönetmen tavlayı ilk kez oynuyordu; seni kahvenin önünde mars etti. Belgeselin açılış sahnesi bu. Kahvede artık sana adınla seslenen yok.</t>
        </is>
      </c>
      <c r="L1694" s="6" t="inlineStr"/>
      <c r="M1694" s="5" t="inlineStr"/>
      <c r="N1694" s="5" t="inlineStr"/>
      <c r="O1694" s="6" t="inlineStr"/>
      <c r="P1694" s="6" t="inlineStr"/>
      <c r="Q1694" s="5" t="inlineStr"/>
      <c r="R1694" s="5" t="inlineStr"/>
      <c r="S1694" s="5" t="inlineStr"/>
      <c r="T1694" s="5" t="inlineStr">
        <is>
          <t>Tavla Kurdu</t>
        </is>
      </c>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is>
          <t>Mars</t>
        </is>
      </c>
      <c r="AJ1694" s="5" t="inlineStr"/>
    </row>
    <row r="1695">
      <c r="A1695" s="5" t="inlineStr">
        <is>
          <t>b9-koy-cinarin-alti</t>
        </is>
      </c>
      <c r="B1695" s="5" t="n">
        <v>1</v>
      </c>
      <c r="C1695" s="6" t="inlineStr">
        <is>
          <t>Genci dinle, kararı ona bırak</t>
        </is>
      </c>
      <c r="D1695" s="5" t="inlineStr"/>
      <c r="E1695" s="5" t="inlineStr"/>
      <c r="F1695" s="5" t="inlineStr">
        <is>
          <t>İtibar +1, Sosyal Radar +1</t>
        </is>
      </c>
      <c r="G1695" s="6" t="inlineStr">
        <is>
          <t>Bir saat dinledin, bir cümle söyledin: “Sen bilirsin.” Genç şehre gitti, beş yıl sonra döndü; ilk iş senin sandalyenin yanına bir sandalye daha koydu.</t>
        </is>
      </c>
      <c r="H1695" s="6" t="inlineStr"/>
      <c r="I1695" s="6" t="inlineStr"/>
      <c r="J1695" s="6" t="inlineStr"/>
      <c r="K1695" s="6" t="inlineStr"/>
      <c r="L1695" s="6" t="inlineStr"/>
      <c r="M1695" s="5" t="inlineStr"/>
      <c r="N1695" s="5" t="inlineStr"/>
      <c r="O1695" s="6" t="inlineStr"/>
      <c r="P1695" s="6" t="inlineStr"/>
      <c r="Q1695" s="5" t="inlineStr"/>
      <c r="R1695" s="5" t="inlineStr"/>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c r="AE1695" s="5" t="inlineStr"/>
      <c r="AF1695" s="5" t="inlineStr"/>
      <c r="AG1695" s="5" t="inlineStr"/>
      <c r="AH1695" s="5" t="inlineStr"/>
      <c r="AI1695" s="5" t="inlineStr"/>
      <c r="AJ1695" s="5" t="inlineStr"/>
    </row>
    <row r="1696">
      <c r="A1696" s="5" t="inlineStr">
        <is>
          <t>b9-koy-cinarin-alti</t>
        </is>
      </c>
      <c r="B1696" s="5" t="n">
        <v>2</v>
      </c>
      <c r="C1696" s="6" t="inlineStr">
        <is>
          <t>Köyün hikâyesini yaz, gençlere bırak</t>
        </is>
      </c>
      <c r="D1696" s="5" t="inlineStr">
        <is>
          <t>Akıl</t>
        </is>
      </c>
      <c r="E1696" s="5" t="inlineStr">
        <is>
          <t>Orta</t>
        </is>
      </c>
      <c r="F1696" s="5" t="inlineStr"/>
      <c r="G1696" s="6" t="inlineStr"/>
      <c r="H1696" s="6" t="inlineStr">
        <is>
          <t>Kış boyu yazdın: kuyu, kooperatif, keçilerin bütün adları. Defter köy okulunun rafına kondu; en çok keçi kısmı okunuyor.</t>
        </is>
      </c>
      <c r="I1696" s="6" t="inlineStr">
        <is>
          <t>Defterin kitap oldu. İl kütüphanesinde bir rafın var; yanında dedenin traktörünün fotoğrafı.</t>
        </is>
      </c>
      <c r="J1696" s="6" t="inlineStr">
        <is>
          <t>Yazdın, ama her hikâyenin sonundan başka bir hikâye çıktı. Defter bitmedi, kış bitti.</t>
        </is>
      </c>
      <c r="K1696" s="6" t="inlineStr">
        <is>
          <t>Defteri çınarın altında unuttun, keçiler buldu. Köyün tarihi şimdi keçilerin içinde; yine de köyde.</t>
        </is>
      </c>
      <c r="L1696" s="6" t="inlineStr"/>
      <c r="M1696" s="5" t="inlineStr"/>
      <c r="N1696" s="5" t="inlineStr"/>
      <c r="O1696" s="6" t="inlineStr"/>
      <c r="P1696" s="6" t="inlineStr"/>
      <c r="Q1696" s="5" t="inlineStr"/>
      <c r="R1696" s="5" t="inlineStr"/>
      <c r="S1696" s="5" t="inlineStr"/>
      <c r="T1696" s="5" t="inlineStr"/>
      <c r="U1696" s="5" t="inlineStr"/>
      <c r="V1696" s="5" t="inlineStr">
        <is>
          <t>koy-hafizasi</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c r="AJ1696" s="5" t="inlineStr"/>
    </row>
    <row r="1697">
      <c r="A1697" s="5" t="inlineStr">
        <is>
          <t>b9-koy-cinarin-alti</t>
        </is>
      </c>
      <c r="B1697" s="5" t="n">
        <v>3</v>
      </c>
      <c r="C1697" s="6" t="inlineStr">
        <is>
          <t>Kahvede gençlere tavla turnuvası düzenle</t>
        </is>
      </c>
      <c r="D1697" s="5" t="inlineStr">
        <is>
          <t>Sosyal Radar</t>
        </is>
      </c>
      <c r="E1697" s="5" t="inlineStr">
        <is>
          <t>Orta</t>
        </is>
      </c>
      <c r="F1697" s="5" t="inlineStr"/>
      <c r="G1697" s="6" t="inlineStr"/>
      <c r="H1697" s="6" t="inlineStr">
        <is>
          <t>Turnuvaya on bir genç geldi, ikisi şehirden. Final gece yarısı bitti. Kazanan köyde kalmaya karar verdi; kaybeden de, rövanş için.</t>
        </is>
      </c>
      <c r="I1697" s="6" t="inlineStr">
        <is>
          <t>Turnuva her yaz yapılıyor; şehirdeki köylüler iznini turnuvaya göre alıyor. Kahvenin önü bayram yeri.</t>
        </is>
      </c>
      <c r="J1697" s="6" t="inlineStr">
        <is>
          <t>Gençler gelmedi, emekliler geldi. Final seninle Nazmi Dayı arasındaydı; kaybettin.</t>
        </is>
      </c>
      <c r="K1697" s="6" t="inlineStr">
        <is>
          <t>Finalde zarlar kayboldu. Herkes keçilere baktı. Zarlar senin ceketinin cebinden çıktı; köyde kırk yıldır sana kimse bu gözle bakmamıştı.</t>
        </is>
      </c>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b7-usta-ilk-cirak</t>
        </is>
      </c>
      <c r="B1698" s="5" t="n">
        <v>1</v>
      </c>
      <c r="C1698" s="6" t="inlineStr">
        <is>
          <t>İlk hafta sadece süpürt, çay demlet</t>
        </is>
      </c>
      <c r="D1698" s="5" t="inlineStr"/>
      <c r="E1698" s="5" t="inlineStr"/>
      <c r="F1698" s="5" t="inlineStr">
        <is>
          <t>Dayanıklılık +1, İtibar +1</t>
        </is>
      </c>
      <c r="G1698" s="6" t="inlineStr">
        <is>
          <t>Bir hafta süpürdü, çay demledi. Çayı berbattı ama süpürmesi iyiydi. Ustalığın yarısı yere bakmaktır; çırak şimdilik yere bakıyor, telefona da.</t>
        </is>
      </c>
      <c r="H1698" s="6" t="inlineStr"/>
      <c r="I1698" s="6" t="inlineStr"/>
      <c r="J1698" s="6" t="inlineStr"/>
      <c r="K1698" s="6" t="inlineStr"/>
      <c r="L1698" s="6" t="inlineStr"/>
      <c r="M1698" s="5" t="inlineStr"/>
      <c r="N1698" s="5" t="inlineStr"/>
      <c r="O1698" s="6" t="inlineStr"/>
      <c r="P1698" s="6" t="inlineStr"/>
      <c r="Q1698" s="5" t="inlineStr"/>
      <c r="R1698" s="5" t="inlineStr"/>
      <c r="S1698" s="5" t="inlineStr"/>
      <c r="T1698" s="5" t="inlineStr"/>
      <c r="U1698" s="5" t="inlineStr"/>
      <c r="V1698" s="5" t="inlineStr"/>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b7-usta-ilk-cirak</t>
        </is>
      </c>
      <c r="B1699" s="5" t="n">
        <v>2</v>
      </c>
      <c r="C1699" s="6" t="inlineStr">
        <is>
          <t>Ona sesle arıza bulmayı öğret</t>
        </is>
      </c>
      <c r="D1699" s="5" t="inlineStr">
        <is>
          <t>Akıl</t>
        </is>
      </c>
      <c r="E1699" s="5" t="inlineStr">
        <is>
          <t>Orta</t>
        </is>
      </c>
      <c r="F1699" s="5" t="inlineStr"/>
      <c r="G1699" s="6" t="inlineStr"/>
      <c r="H1699" s="6" t="inlineStr">
        <is>
          <t>Kaputu açtın, dinledin, “Duydun mu?” dedin. Üçüncü gün duydu. Artık telefonuyla değil, kulağıyla geliyor.</t>
        </is>
      </c>
      <c r="I1699" s="6" t="inlineStr">
        <is>
          <t>Bir hafta sonra sen yokken bir arızayı sesinden buldu. Müşteri aradı: “Çırağın usta olmuş.” Biraz kıskandın.</t>
        </is>
      </c>
      <c r="J1699" s="6" t="inlineStr">
        <is>
          <t>Sesi dinledi, “Bu bir şarkıya benziyor” dedi. Arızayı bulamadı ama şarkıyı buldu.</t>
        </is>
      </c>
      <c r="K1699" s="6" t="inlineStr">
        <is>
          <t>Motoru dinlesin diye kaputu açtın. O, sesi kaydedip üstüne müzik koydu ve paylaştı. Video tuttu; yorumlar “Bu ses rot balansı” diyor. Müşteri videoyu görünce arabasını karşı dükkâna götürdü.</t>
        </is>
      </c>
      <c r="L1699" s="6" t="inlineStr"/>
      <c r="M1699" s="5" t="inlineStr"/>
      <c r="N1699" s="5" t="inlineStr"/>
      <c r="O1699" s="6" t="inlineStr"/>
      <c r="P1699" s="6" t="inlineStr"/>
      <c r="Q1699" s="5" t="inlineStr"/>
      <c r="R1699" s="5" t="inlineStr"/>
      <c r="S1699" s="5" t="inlineStr"/>
      <c r="T1699" s="5" t="inlineStr"/>
      <c r="U1699" s="5" t="inlineStr"/>
      <c r="V1699" s="5" t="inlineStr">
        <is>
          <t>usta-ciragi-var</t>
        </is>
      </c>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3</v>
      </c>
      <c r="C1700" s="6" t="inlineStr">
        <is>
          <t>Videolarını dükkânın reklamına çevir</t>
        </is>
      </c>
      <c r="D1700" s="5" t="inlineStr">
        <is>
          <t>Kurnazlık</t>
        </is>
      </c>
      <c r="E1700" s="5" t="inlineStr">
        <is>
          <t>Zor</t>
        </is>
      </c>
      <c r="F1700" s="5" t="inlineStr"/>
      <c r="G1700" s="6" t="inlineStr"/>
      <c r="H1700" s="6" t="inlineStr">
        <is>
          <t>Çırak tamir videoları çekti, sen anlattın. Sanayiye gençler gelmeye başladı; kimi arabasıyla, kimi sadece izlemeye.</t>
        </is>
      </c>
      <c r="I1700" s="6" t="inlineStr">
        <is>
          <t>Videon yayıldı: “Sesinden arıza bulan usta.” Kapında arabasız bir kuyruk var; sesleri telefonla getiriyorlar.</t>
        </is>
      </c>
      <c r="J1700" s="6" t="inlineStr">
        <is>
          <t>Video çektiniz; izleyenler arızayı değil, arkadaki takvimi sordu. Takvim dört yıl eski.</t>
        </is>
      </c>
      <c r="K1700" s="6" t="inlineStr">
        <is>
          <t>Videoda yanlış parçayı yanlış yere taktın; yorumlara sanayinin yarısı yazdı: “Usta, o parça orada durmaz.” Çırak videoyu silmedi; telefonunun kilit ekranı yaptı.</t>
        </is>
      </c>
      <c r="L1700" s="6" t="inlineStr"/>
      <c r="M1700" s="5" t="inlineStr"/>
      <c r="N1700" s="5" t="inlineStr"/>
      <c r="O1700" s="6" t="inlineStr"/>
      <c r="P1700" s="6" t="inlineStr"/>
      <c r="Q1700" s="5" t="inlineStr"/>
      <c r="R1700" s="5" t="inlineStr"/>
      <c r="S1700" s="5" t="inlineStr"/>
      <c r="T1700" s="5" t="inlineStr">
        <is>
          <t>Kendine Gülebilir</t>
        </is>
      </c>
      <c r="U1700" s="5" t="inlineStr"/>
      <c r="V1700" s="5" t="inlineStr">
        <is>
          <t>usta-ciragi-var</t>
        </is>
      </c>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b7-usta-karsi-dukkan</t>
        </is>
      </c>
      <c r="B1701" s="5" t="n">
        <v>1</v>
      </c>
      <c r="C1701" s="6" t="inlineStr">
        <is>
          <t>Ortak çalışın: cihaz ondan, el senden</t>
        </is>
      </c>
      <c r="D1701" s="5" t="inlineStr"/>
      <c r="E1701" s="5" t="inlineStr"/>
      <c r="F1701" s="5" t="inlineStr">
        <is>
          <t>Sosyal Radar +1, Akıl +1</t>
        </is>
      </c>
      <c r="G1701" s="6" t="inlineStr">
        <is>
          <t>Anlaştınız: arızayı cihaz söylüyor, sen düzeltiyorsun. Cihaz yanıldığında da sen söylüyorsun. Cihaz sık yanılıyor; ortaklık uzun sürecek.</t>
        </is>
      </c>
      <c r="H1701" s="6" t="inlineStr"/>
      <c r="I1701" s="6" t="inlineStr"/>
      <c r="J1701" s="6" t="inlineStr"/>
      <c r="K1701" s="6" t="inlineStr"/>
      <c r="L1701" s="6" t="inlineStr"/>
      <c r="M1701" s="5" t="inlineStr"/>
      <c r="N1701" s="5" t="inlineStr"/>
      <c r="O1701" s="6" t="inlineStr"/>
      <c r="P1701" s="6" t="inlineStr"/>
      <c r="Q1701" s="5" t="inlineStr"/>
      <c r="R1701" s="5" t="inlineStr"/>
      <c r="S1701" s="5" t="inlineStr"/>
      <c r="T1701" s="5" t="inlineStr"/>
      <c r="U1701" s="5" t="inlineStr"/>
      <c r="V1701" s="5" t="inlineStr"/>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b7-usta-karsi-dukkan</t>
        </is>
      </c>
      <c r="B1702" s="5" t="n">
        <v>2</v>
      </c>
      <c r="C1702" s="6" t="inlineStr">
        <is>
          <t>Cihazla yarış: sesle daha hızlı bul</t>
        </is>
      </c>
      <c r="D1702" s="5" t="inlineStr">
        <is>
          <t>Akıl</t>
        </is>
      </c>
      <c r="E1702" s="5" t="inlineStr">
        <is>
          <t>Zor</t>
        </is>
      </c>
      <c r="F1702" s="5" t="inlineStr"/>
      <c r="G1702" s="6" t="inlineStr"/>
      <c r="H1702" s="6" t="inlineStr">
        <is>
          <t>Müşterinin önünde yarıştınız. Cihaz açılırken sen arızayı söyledin. Cihaz yüklendiğinde aynı şeyi söyledi; geç.</t>
        </is>
      </c>
      <c r="I1702" s="6" t="inlineStr">
        <is>
          <t>Üç araba, üç arıza, üç galibiyet. Karşının ustası cihazı sana sattı; artık cihaz da senin, kulak da.</t>
        </is>
      </c>
      <c r="J1702" s="6" t="inlineStr">
        <is>
          <t>Cihaz bir arıza buldu, sen başka bir arıza. İkisi de doğruymuş. Müşteri ikisini de ödemek istemedi.</t>
        </is>
      </c>
      <c r="K1702" s="6" t="inlineStr">
        <is>
          <t>Sesle teşhis koydun, cihaz başka dedi. Cihaz haklıydı. Sanayide bu yarış hâlâ anlatılıyor; adın geçmiyor ama herkes biliyor.</t>
        </is>
      </c>
      <c r="L1702" s="6" t="inlineStr">
        <is>
          <t>Cihazla aynı anda söylediniz. Müşteri kime ödeyeceğini bilemedi; ikinize de çay ısmarladı.</t>
        </is>
      </c>
      <c r="M1702" s="5" t="inlineStr">
        <is>
          <t>hidden</t>
        </is>
      </c>
      <c r="N1702" s="5" t="inlineStr">
        <is>
          <t>Arıza Avı</t>
        </is>
      </c>
      <c r="O1702" s="6" t="inlineStr">
        <is>
          <t>Motorun içinde arızanın kaynağını (🔧) bul.</t>
        </is>
      </c>
      <c r="P1702" s="6" t="inlineStr">
        <is>
          <t>{"target": "🔧", "decoys": ["⚙️", "🔩", "🔌", "🔋", "💡"]}</t>
        </is>
      </c>
      <c r="Q1702" s="5" t="inlineStr"/>
      <c r="R1702" s="5" t="inlineStr"/>
      <c r="S1702" s="5" t="inlineStr"/>
      <c r="T1702" s="5" t="inlineStr">
        <is>
          <t>Ukala Ama Haklı</t>
        </is>
      </c>
      <c r="U1702" s="5" t="inlineStr"/>
      <c r="V1702" s="5" t="inlineStr"/>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3</v>
      </c>
      <c r="C1703" s="6" t="inlineStr">
        <is>
          <t>Kışla arkadaşlarının taksilerini sana yönlendir</t>
        </is>
      </c>
      <c r="D1703" s="5" t="inlineStr">
        <is>
          <t>Çene</t>
        </is>
      </c>
      <c r="E1703" s="5" t="inlineStr">
        <is>
          <t>Orta</t>
        </is>
      </c>
      <c r="F1703" s="5" t="inlineStr"/>
      <c r="G1703" s="6" t="inlineStr"/>
      <c r="H1703" s="6" t="inlineStr">
        <is>
          <t>Üç kışla arkadaşın taksici olmuş; bütün durağı sana getirdiler. Karşıdaki cihaz boşta dönüyor.</t>
        </is>
      </c>
      <c r="I1703" s="6" t="inlineStr">
        <is>
          <t>Taksiciler dükkânını durağa çevirdi; çay senden, sohbet onlardan. Karşının ustası da çaya geliyor.</t>
        </is>
      </c>
      <c r="J1703" s="6" t="inlineStr">
        <is>
          <t>Arkadaşların geldi ama arabaları yeni; arıza yok. Üç gün üst üste çay içip gittiler.</t>
        </is>
      </c>
      <c r="K1703" s="6" t="inlineStr">
        <is>
          <t>Taksileri getirdiler; sen heyecandan üçüncü taksiye birincinin parçasını taktın. Taksi duraktan çıkar çıkmaz durdu. Kışla arkadaşın camı indirdi: “Komutan bile bize bunu yapmamıştı.”</t>
        </is>
      </c>
      <c r="L1703" s="6" t="inlineStr"/>
      <c r="M1703" s="5" t="inlineStr"/>
      <c r="N1703" s="5" t="inlineStr"/>
      <c r="O1703" s="6" t="inlineStr"/>
      <c r="P1703" s="6" t="inlineStr"/>
      <c r="Q1703" s="5" t="inlineStr"/>
      <c r="R1703" s="5" t="inlineStr">
        <is>
          <t>kisla-kankasi</t>
        </is>
      </c>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4</v>
      </c>
      <c r="C1704" s="6" t="inlineStr">
        <is>
          <t>İşçiliği indir, müşteriyi geri çek</t>
        </is>
      </c>
      <c r="D1704" s="5" t="inlineStr">
        <is>
          <t>Kurnazlık</t>
        </is>
      </c>
      <c r="E1704" s="5" t="inlineStr">
        <is>
          <t>Orta</t>
        </is>
      </c>
      <c r="F1704" s="5" t="inlineStr"/>
      <c r="G1704" s="6" t="inlineStr"/>
      <c r="H1704" s="6" t="inlineStr">
        <is>
          <t>İşçiliği biraz indirdin, çayı ücretsiz yaptın. Müşteriler döndü; çayı sevdiler, işçilik zaten iyiydi.</t>
        </is>
      </c>
      <c r="I1704" s="6" t="inlineStr">
        <is>
          <t>İndirim pankartın sanayide moda oldu. Karşı dükkân da astı; seninkinden kopyalamış, yazım hatasıyla.</t>
        </is>
      </c>
      <c r="J1704" s="6" t="inlineStr">
        <is>
          <t>Fiyatları kırdın, karşı da kırdı. Ay sonunda iki dükkân da kalabalıktı; ikisi de zarardaydı.</t>
        </is>
      </c>
      <c r="K1704" s="6" t="inlineStr">
        <is>
          <t>Fiyatı öyle kırdın ki karşının ustası da arabasını sana getirdi. Tamir ettin, zarar ettin, teşekkür aldın.</t>
        </is>
      </c>
      <c r="L1704" s="6" t="inlineStr"/>
      <c r="M1704" s="5" t="inlineStr"/>
      <c r="N1704" s="5" t="inlineStr"/>
      <c r="O1704" s="6" t="inlineStr"/>
      <c r="P1704" s="6" t="inlineStr"/>
      <c r="Q1704" s="5" t="inlineStr"/>
      <c r="R1704" s="5" t="inlineStr"/>
      <c r="S1704" s="5" t="inlineStr"/>
      <c r="T1704" s="5" t="inlineStr"/>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c r="AL1704" t="n">
        <v>1</v>
      </c>
    </row>
    <row r="1705">
      <c r="A1705" s="5" t="inlineStr">
        <is>
          <t>b7-usta-sanayi-hakemi</t>
        </is>
      </c>
      <c r="B1705" s="5" t="n">
        <v>1</v>
      </c>
      <c r="C1705" s="6" t="inlineStr">
        <is>
          <t>Park yerini sırayla kullanmalarını söyle</t>
        </is>
      </c>
      <c r="D1705" s="5" t="inlineStr"/>
      <c r="E1705" s="5" t="inlineStr"/>
      <c r="F1705" s="5" t="inlineStr">
        <is>
          <t>İtibar +1, Akıl +1</t>
        </is>
      </c>
      <c r="G1705" s="6" t="inlineStr">
        <is>
          <t>Tek günler kaportacı, çift günler boyacı. İkisi de kabul etti. Ayın otuz birinde yeniden küstüler.</t>
        </is>
      </c>
      <c r="H1705" s="6" t="inlineStr"/>
      <c r="I1705" s="6" t="inlineStr"/>
      <c r="J1705" s="6" t="inlineStr"/>
      <c r="K1705" s="6" t="inlineStr"/>
      <c r="L1705" s="6" t="inlineStr"/>
      <c r="M1705" s="5" t="inlineStr"/>
      <c r="N1705" s="5" t="inlineStr"/>
      <c r="O1705" s="6" t="inlineStr"/>
      <c r="P1705" s="6" t="inlineStr"/>
      <c r="Q1705" s="5" t="inlineStr"/>
      <c r="R1705" s="5" t="inlineStr"/>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b7-usta-sanayi-hakemi</t>
        </is>
      </c>
      <c r="B1706" s="5" t="n">
        <v>2</v>
      </c>
      <c r="C1706" s="6" t="inlineStr">
        <is>
          <t>İkisini çay ocağında konuştur</t>
        </is>
      </c>
      <c r="D1706" s="5" t="inlineStr">
        <is>
          <t>Sosyal Radar</t>
        </is>
      </c>
      <c r="E1706" s="5" t="inlineStr">
        <is>
          <t>Orta</t>
        </is>
      </c>
      <c r="F1706" s="5" t="inlineStr"/>
      <c r="G1706" s="6" t="inlineStr"/>
      <c r="H1706" s="6" t="inlineStr">
        <is>
          <t>Üç çay, iki şeker, bir sessizlik. Sonra biri öbürünün boyasını övdü. Park kavgası “kim daha iyi boyar” kavgasına döndü; o daha keyifli.</t>
        </is>
      </c>
      <c r="I1706" s="6" t="inlineStr">
        <is>
          <t>Barıştılar, ortak dükkân açtılar: “Kaporta ve Boya.” Tabelanın rengine hâlâ karar veremediler; sana soracaklar.</t>
        </is>
      </c>
      <c r="J1706" s="6" t="inlineStr">
        <is>
          <t>Çay ocağında konuştular; sesleri ocaktan taştı, bütün sanayi dinledi. Sorun çözülmedi, yayıldı.</t>
        </is>
      </c>
      <c r="K1706" s="6" t="inlineStr">
        <is>
          <t>İkisini barıştırdın; sonra ikisi birlikte sana döndü: “Bu meseleyi sen büyüttün.” Şimdi ikisi dost, sen küssün; park yerine de senin araban sığmıyor.</t>
        </is>
      </c>
      <c r="L1706" s="6" t="inlineStr"/>
      <c r="M1706" s="5" t="inlineStr"/>
      <c r="N1706" s="5" t="inlineStr"/>
      <c r="O1706" s="6" t="inlineStr"/>
      <c r="P1706" s="6" t="inlineStr"/>
      <c r="Q1706" s="5" t="inlineStr"/>
      <c r="R1706" s="5" t="inlineStr"/>
      <c r="S1706" s="5" t="inlineStr"/>
      <c r="T1706" s="5" t="inlineStr"/>
      <c r="U1706" s="5" t="inlineStr"/>
      <c r="V1706" s="5" t="inlineStr">
        <is>
          <t>sanayi-hakemi</t>
        </is>
      </c>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row>
    <row r="1707">
      <c r="A1707" s="5" t="inlineStr">
        <is>
          <t>b7-usta-sanayi-hakemi</t>
        </is>
      </c>
      <c r="B1707" s="5" t="n">
        <v>3</v>
      </c>
      <c r="C1707" s="6" t="inlineStr">
        <is>
          <t>Park yerine ikinci kat yap, kendi elinle</t>
        </is>
      </c>
      <c r="D1707" s="5" t="inlineStr">
        <is>
          <t>Dayanıklılık</t>
        </is>
      </c>
      <c r="E1707" s="5" t="inlineStr">
        <is>
          <t>Zor</t>
        </is>
      </c>
      <c r="F1707" s="5" t="inlineStr"/>
      <c r="G1707" s="6" t="inlineStr"/>
      <c r="H1707" s="6" t="inlineStr">
        <is>
          <t>Hafta sonu demir kaynak, pazartesi sabahı iki katlı park yeri. Site yönetimi ne diyeceğini bilemedi; o yüzden onayladı.</t>
        </is>
      </c>
      <c r="I1707" s="6" t="inlineStr">
        <is>
          <t>Rampa öyle iyi çıktı ki bütün sanayi ikinci kat istedi. Toplantılarda adın “mühendis” diye geçiyor; diploma soran yok.</t>
        </is>
      </c>
      <c r="J1707" s="6" t="inlineStr">
        <is>
          <t>İskeleti kurdun ama rampa yetmedi. Park yerinin üstünde şimdi bir çardak var; iki usta orada çay içiyor.</t>
        </is>
      </c>
      <c r="K1707" s="6" t="inlineStr">
        <is>
          <t>Rampa ilk arabada biraz eğildi, sonra durdu. Araba havada kaldı, neyse ki boştu. Sanayide yeni bir anıt var.</t>
        </is>
      </c>
      <c r="L1707" s="6" t="inlineStr"/>
      <c r="M1707" s="5" t="inlineStr"/>
      <c r="N1707" s="5" t="inlineStr"/>
      <c r="O1707" s="6" t="inlineStr"/>
      <c r="P1707" s="6" t="inlineStr"/>
      <c r="Q1707" s="5" t="inlineStr"/>
      <c r="R1707" s="5" t="inlineStr"/>
      <c r="S1707" s="5" t="inlineStr"/>
      <c r="T1707" s="5" t="inlineStr">
        <is>
          <t>Gözüne Uyku Girmez</t>
        </is>
      </c>
      <c r="U1707" s="5" t="inlineStr"/>
      <c r="V1707" s="5" t="inlineStr">
        <is>
          <t>sanayi-hakemi</t>
        </is>
      </c>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k10-usta</t>
        </is>
      </c>
      <c r="B1708" s="5" t="n">
        <v>1</v>
      </c>
      <c r="C1708" s="6" t="inlineStr">
        <is>
          <t>Yeni siteye taşın, büyü</t>
        </is>
      </c>
      <c r="D1708" s="5" t="inlineStr">
        <is>
          <t>Dayanıklılık</t>
        </is>
      </c>
      <c r="E1708" s="5" t="inlineStr">
        <is>
          <t>Orta</t>
        </is>
      </c>
      <c r="F1708" s="5" t="inlineStr"/>
      <c r="G1708" s="6" t="inlineStr"/>
      <c r="H1708" s="6" t="inlineStr">
        <is>
          <t>İki katlı dükkân, üç lift, iki kalfa. Eski müşterilerin gerçekten geldi; adresi sorarak.</t>
        </is>
      </c>
      <c r="I1708" s="6" t="inlineStr">
        <is>
          <t>İlk ay sitenin en kalabalık dükkânı oldun. Yönetim girişe tabela astı: “Sesinden bulan usta burada.”</t>
        </is>
      </c>
      <c r="J1708" s="6" t="inlineStr">
        <is>
          <t>Taşındın ama müşteriler eski sanayiye gitmeye devam etti; orası artık otopark. Sitenin en küçük dükkânını aldın; yine senin.</t>
        </is>
      </c>
      <c r="K1708" s="6" t="inlineStr">
        <is>
          <t>Taşınırken takımların yarısı başka bir dükkâna gitti. O dükkânın ustası senin takımlarla çalışıyor; iyi de çalışıyor.</t>
        </is>
      </c>
      <c r="L1708" s="6" t="inlineStr"/>
      <c r="M1708" s="5" t="inlineStr"/>
      <c r="N1708" s="5" t="inlineStr"/>
      <c r="O1708" s="6" t="inlineStr"/>
      <c r="P1708" s="6" t="inlineStr"/>
      <c r="Q1708" s="5" t="inlineStr"/>
      <c r="R1708" s="5" t="inlineStr"/>
      <c r="S1708" s="5" t="inlineStr"/>
      <c r="T1708" s="5" t="inlineStr"/>
      <c r="U1708" s="5" t="inlineStr"/>
      <c r="V1708" s="5" t="inlineStr">
        <is>
          <t>usta-buyudu</t>
        </is>
      </c>
      <c r="W1708" s="5" t="inlineStr"/>
      <c r="X1708" s="5" t="inlineStr"/>
      <c r="Y1708" s="5" t="inlineStr"/>
      <c r="Z1708" s="6" t="inlineStr"/>
      <c r="AA1708" s="5" t="inlineStr"/>
      <c r="AB1708" s="5" t="inlineStr"/>
      <c r="AC1708" s="5" t="inlineStr"/>
      <c r="AD1708" s="5" t="inlineStr">
        <is>
          <t>Rahat</t>
        </is>
      </c>
      <c r="AE1708" s="5" t="inlineStr"/>
      <c r="AF1708" s="5" t="inlineStr"/>
      <c r="AG1708" s="5" t="inlineStr"/>
      <c r="AH1708" s="5" t="inlineStr"/>
      <c r="AI1708" s="5" t="inlineStr"/>
      <c r="AJ1708" s="5" t="inlineStr"/>
    </row>
    <row r="1709">
      <c r="A1709" s="5" t="inlineStr">
        <is>
          <t>k10-usta</t>
        </is>
      </c>
      <c r="B1709" s="5" t="n">
        <v>2</v>
      </c>
      <c r="C1709" s="6" t="inlineStr">
        <is>
          <t>Fabrikada usta başı ol</t>
        </is>
      </c>
      <c r="D1709" s="5" t="inlineStr">
        <is>
          <t>Akıl</t>
        </is>
      </c>
      <c r="E1709" s="5" t="inlineStr">
        <is>
          <t>Orta</t>
        </is>
      </c>
      <c r="F1709" s="5" t="inlineStr"/>
      <c r="G1709" s="6" t="inlineStr"/>
      <c r="H1709" s="6" t="inlineStr">
        <is>
          <t>Kepengi son kez indirdin. Fabrikada beyaz önlük, kartlı giriş, öğlen tabldot. Sesle arıza bulunca mühendisler not alıyor; maaş her ayın on beşinde.</t>
        </is>
      </c>
      <c r="I1709" s="6" t="inlineStr">
        <is>
          <t>Fabrikada ilk hafta üç arızayı sesinden buldun. Mühendisler cihazlarını bırakıp senin kulağını izlemeye başladı. Cuma günü genel müdür yanına geldi, alçak sesle: “Benim arabada da bir tıkırtı var, bir bakar mısın?”</t>
        </is>
      </c>
      <c r="J1709" s="6" t="inlineStr">
        <is>
          <t>Fabrikanın mülakatında makine yerine kâğıt sınav verdiler; motorun sesini kâğıda yazamadın. Yeni siteye taşındın, kendi tezgâhına.</t>
        </is>
      </c>
      <c r="K1709" s="6" t="inlineStr">
        <is>
          <t>İlk gün kartlı girişte kartını ters okuttun, turnike seni içeri almadı. Üç gün böyle geçti; dördüncü gün yeni sanayi sitesinde kendi kepengini açıyordun.</t>
        </is>
      </c>
      <c r="L1709" s="6" t="inlineStr"/>
      <c r="M1709" s="5" t="inlineStr"/>
      <c r="N1709" s="5" t="inlineStr"/>
      <c r="O1709" s="6" t="inlineStr"/>
      <c r="P1709" s="6" t="inlineStr"/>
      <c r="Q1709" s="5" t="inlineStr"/>
      <c r="R1709" s="5" t="inlineStr"/>
      <c r="S1709" s="5" t="inlineStr"/>
      <c r="T1709" s="5" t="inlineStr"/>
      <c r="U1709" s="5" t="inlineStr"/>
      <c r="V1709" s="5" t="inlineStr">
        <is>
          <t>-hat-cete, -hat-dolandirici, -hat-girisimci, -hat-goc, -hat-hekim, -hat-koy, -hat-polis, -hat-politika, -hat-sohret, -hat-usta, -hat-yargi, -meslek-esnaf, -meslek-memur, -meslek-serbest, meslek-beyazyaka</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3</v>
      </c>
      <c r="C1710" s="6" t="inlineStr">
        <is>
          <t>Kendi atölye markanı kur</t>
        </is>
      </c>
      <c r="D1710" s="5" t="inlineStr">
        <is>
          <t>Cesaret</t>
        </is>
      </c>
      <c r="E1710" s="5" t="inlineStr">
        <is>
          <t>Zor</t>
        </is>
      </c>
      <c r="F1710" s="5" t="inlineStr"/>
      <c r="G1710" s="6" t="inlineStr"/>
      <c r="H1710" s="6" t="inlineStr">
        <is>
          <t>Atölyene bir ad, bir logo, tulumlara işleme. Şehirde üç şubelik bir plan yaptın; ilk şube açıldı, planın ikinci sayfası bankada.</t>
        </is>
      </c>
      <c r="I1710" s="6" t="inlineStr">
        <is>
          <t>Markan tuttu: kendi filtren, kendi takım çantan, kendi tulumun. Sanayide artık seninle değil, markanla pazarlık ediyorlar.</t>
        </is>
      </c>
      <c r="J1710" s="6" t="inlineStr">
        <is>
          <t>Tabelayı yaptırdın, sonra hesabı yaptın. Tabelayı yeni sitedeki dükkânına astın; marka orada, sen yine tezgâhın başında.</t>
        </is>
      </c>
      <c r="K1710" s="6" t="inlineStr">
        <is>
          <t>Adı tescile götürdün; biri bir hafta önce almış. Tabela depoda, sen yine tezgâhtasın; kira da iki katı.</t>
        </is>
      </c>
      <c r="L1710" s="6" t="inlineStr"/>
      <c r="M1710" s="5" t="inlineStr"/>
      <c r="N1710" s="5" t="inlineStr"/>
      <c r="O1710" s="6" t="inlineStr"/>
      <c r="P1710" s="6" t="inlineStr"/>
      <c r="Q1710" s="5" t="inlineStr"/>
      <c r="R1710" s="5" t="inlineStr"/>
      <c r="S1710" s="5" t="inlineStr"/>
      <c r="T1710" s="5" t="inlineStr"/>
      <c r="U1710" s="5" t="inlineStr"/>
      <c r="V1710" s="5" t="inlineStr">
        <is>
          <t>-hat-cete, -hat-dolandirici, -hat-goc, -hat-hekim, -hat-koy, -hat-polis, -hat-politika, -hat-sohret, -hat-usta, -hat-yargi, -meslek-beyazyaka, -meslek-esnaf, -meslek-memur, hat-girisimci, meslek-serbest</t>
        </is>
      </c>
      <c r="W1710" s="5" t="inlineStr"/>
      <c r="X1710" s="5" t="inlineStr"/>
      <c r="Y1710" s="5" t="inlineStr"/>
      <c r="Z1710" s="6" t="inlineStr"/>
      <c r="AA1710" s="5" t="inlineStr"/>
      <c r="AB1710" s="5" t="inlineStr"/>
      <c r="AC1710" s="5" t="inlineStr"/>
      <c r="AD1710" s="5" t="inlineStr"/>
      <c r="AE1710" s="5" t="inlineStr"/>
      <c r="AF1710" s="5" t="inlineStr"/>
      <c r="AG1710" s="5" t="inlineStr"/>
      <c r="AH1710" s="5" t="inlineStr"/>
      <c r="AI1710" s="5" t="inlineStr"/>
      <c r="AJ1710" s="5" t="inlineStr"/>
    </row>
    <row r="1711">
      <c r="A1711" s="5" t="inlineStr">
        <is>
          <t>b8-usta-sessiz-motor</t>
        </is>
      </c>
      <c r="B1711" s="5" t="n">
        <v>1</v>
      </c>
      <c r="C1711" s="6" t="inlineStr">
        <is>
          <t>Kalfaya bırak, kenardan izle</t>
        </is>
      </c>
      <c r="D1711" s="5" t="inlineStr"/>
      <c r="E1711" s="5" t="inlineStr"/>
      <c r="F1711" s="5" t="inlineStr">
        <is>
          <t>İtibar +1, Akıl +1</t>
        </is>
      </c>
      <c r="G1711" s="6" t="inlineStr">
        <is>
          <t>Kalfa tabletle arızayı buldu. Sen kenardan “Vidayı sağa çevir” dedin; doğruydu. Kalfa bunu kimseye söylemedi, sana da.</t>
        </is>
      </c>
      <c r="H1711" s="6" t="inlineStr"/>
      <c r="I1711" s="6" t="inlineStr"/>
      <c r="J1711" s="6" t="inlineStr"/>
      <c r="K1711" s="6" t="inlineStr"/>
      <c r="L1711" s="6" t="inlineStr"/>
      <c r="M1711" s="5" t="inlineStr"/>
      <c r="N1711" s="5" t="inlineStr"/>
      <c r="O1711" s="6" t="inlineStr"/>
      <c r="P1711" s="6" t="inlineStr"/>
      <c r="Q1711" s="5" t="inlineStr"/>
      <c r="R1711" s="5" t="inlineStr"/>
      <c r="S1711" s="5" t="inlineStr"/>
      <c r="T1711" s="5" t="inlineStr"/>
      <c r="U1711" s="5" t="inlineStr"/>
      <c r="V1711" s="5" t="inlineStr"/>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b8-usta-sessiz-motor</t>
        </is>
      </c>
      <c r="B1712" s="5" t="n">
        <v>2</v>
      </c>
      <c r="C1712" s="6" t="inlineStr">
        <is>
          <t>Kursa yazıl, akşamları öğren</t>
        </is>
      </c>
      <c r="D1712" s="5" t="inlineStr">
        <is>
          <t>Akıl</t>
        </is>
      </c>
      <c r="E1712" s="5" t="inlineStr">
        <is>
          <t>Zor</t>
        </is>
      </c>
      <c r="F1712" s="5" t="inlineStr"/>
      <c r="G1712" s="6" t="inlineStr"/>
      <c r="H1712" s="6" t="inlineStr">
        <is>
          <t>Altı ay boyunca akşamları gençlerle aynı sırada oturdun. Sertifikayı dükkâna astın, gözlüğünle. Sessiz arabalar da artık seninle konuşuyor.</t>
        </is>
      </c>
      <c r="I1712" s="6" t="inlineStr">
        <is>
          <t>Hocanın cevaplayamadığı soruyu sen cevapladın: “Sessiz de olsa titrer.” Kurs seni eğitmen yaptı.</t>
        </is>
      </c>
      <c r="J1712" s="6" t="inlineStr">
        <is>
          <t>Derslerin yarısı bilgisayardaydı; şifreni unuttun. Kalan yarısını dinledin. Sertifika seneye.</t>
        </is>
      </c>
      <c r="K1712" s="6" t="inlineStr">
        <is>
          <t>Sınavda motoru dinlemek için kulağını dayadın. Gözetmen bunu kopya sandı. Yeniden kayıt: bir dönem sonra.</t>
        </is>
      </c>
      <c r="L1712" s="6" t="inlineStr"/>
      <c r="M1712" s="5" t="inlineStr"/>
      <c r="N1712" s="5" t="inlineStr"/>
      <c r="O1712" s="6" t="inlineStr"/>
      <c r="P1712" s="6" t="inlineStr"/>
      <c r="Q1712" s="5" t="inlineStr"/>
      <c r="R1712" s="5" t="inlineStr"/>
      <c r="S1712" s="5" t="inlineStr"/>
      <c r="T1712" s="5" t="inlineStr">
        <is>
          <t>Nöbet Disiplini</t>
        </is>
      </c>
      <c r="U1712" s="5" t="inlineStr"/>
      <c r="V1712" s="5" t="inlineStr">
        <is>
          <t>yeni-motor-ustasi</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3</v>
      </c>
      <c r="C1713" s="6" t="inlineStr">
        <is>
          <t>Tık sesini kendin bul</t>
        </is>
      </c>
      <c r="D1713" s="5" t="inlineStr">
        <is>
          <t>Dayanıklılık</t>
        </is>
      </c>
      <c r="E1713" s="5" t="inlineStr">
        <is>
          <t>Orta</t>
        </is>
      </c>
      <c r="F1713" s="5" t="inlineStr"/>
      <c r="G1713" s="6" t="inlineStr"/>
      <c r="H1713" s="6" t="inlineStr">
        <is>
          <t>Arabanın altında iki saat yattın. Tıkı buldun: torpidoda bir anahtarlık. Sahibi utandı, sen işçiliği yazdın.</t>
        </is>
      </c>
      <c r="I1713" s="6" t="inlineStr">
        <is>
          <t>Tıkı buldun, bir de gerçek arızayı: fren hortumu. Sahibi seni bütün elektrikli araç grubuna önerdi. Sessiz arabalar sessizce sırada.</t>
        </is>
      </c>
      <c r="J1713" s="6" t="inlineStr">
        <is>
          <t>Üç saat aradın, tık gelmedi. Sahibi arabayı aldı; kapıdan çıkarken tık etti.</t>
        </is>
      </c>
      <c r="K1713" s="6" t="inlineStr">
        <is>
          <t>Arabanın altındayken sırtın tutuldu. Arabayı sahibi, seni kalfa çıkardı. Kalfa bunu hâlâ anlatıyor.</t>
        </is>
      </c>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b8-usta-ustalarin-ustasi</t>
        </is>
      </c>
      <c r="B1714" s="5" t="n">
        <v>1</v>
      </c>
      <c r="C1714" s="6" t="inlineStr">
        <is>
          <t>Kurdeleyi kes, kısa konuş</t>
        </is>
      </c>
      <c r="D1714" s="5" t="inlineStr"/>
      <c r="E1714" s="5" t="inlineStr"/>
      <c r="F1714" s="5" t="inlineStr">
        <is>
          <t>İtibar +1, Sosyal Radar +1</t>
        </is>
      </c>
      <c r="G1714" s="6" t="inlineStr">
        <is>
          <t>Kurdeleyi kestin, tek cümle söyledin: “Bol kazançlar; önce dükkânın önünü süpür.” Alkış aldın. Ertesi sabah kapının önünü süpürürken çektiği fotoğrafı sana yolladı.</t>
        </is>
      </c>
      <c r="H1714" s="6" t="inlineStr"/>
      <c r="I1714" s="6" t="inlineStr"/>
      <c r="J1714" s="6" t="inlineStr"/>
      <c r="K1714" s="6" t="inlineStr"/>
      <c r="L1714" s="6" t="inlineStr"/>
      <c r="M1714" s="5" t="inlineStr"/>
      <c r="N1714" s="5" t="inlineStr"/>
      <c r="O1714" s="6" t="inlineStr"/>
      <c r="P1714" s="6" t="inlineStr"/>
      <c r="Q1714" s="5" t="inlineStr"/>
      <c r="R1714" s="5" t="inlineStr"/>
      <c r="S1714" s="5" t="inlineStr"/>
      <c r="T1714" s="5" t="inlineStr"/>
      <c r="U1714" s="5" t="inlineStr"/>
      <c r="V1714" s="5" t="inlineStr"/>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b8-usta-ustalarin-ustasi</t>
        </is>
      </c>
      <c r="B1715" s="5" t="n">
        <v>2</v>
      </c>
      <c r="C1715" s="6" t="inlineStr">
        <is>
          <t>İlk müşterinin arabasını birlikte tamir edin</t>
        </is>
      </c>
      <c r="D1715" s="5" t="inlineStr">
        <is>
          <t>Akıl</t>
        </is>
      </c>
      <c r="E1715" s="5" t="inlineStr">
        <is>
          <t>Orta</t>
        </is>
      </c>
      <c r="F1715" s="5" t="inlineStr"/>
      <c r="G1715" s="6" t="inlineStr"/>
      <c r="H1715" s="6" t="inlineStr">
        <is>
          <t>Kaputu birlikte açtınız, aynı anda “Triger” dediniz. Çırak siftah parasını öpüp alnına koydu, sonra yarısını sana uzattı: “Senin hakkın, usta.”</t>
        </is>
      </c>
      <c r="I1715" s="6" t="inlineStr">
        <is>
          <t>Tamiri birlikte yaptınız; sanayi toplanıp izledi. Akşama doğru bir genç geldi, önce çırağa, sonra sana baktı: “Ustanın ustası sen misin?” Çırak olmak istiyor; makasını da kendi getirmiş.</t>
        </is>
      </c>
      <c r="J1715" s="6" t="inlineStr">
        <is>
          <t>Kaputu birlikte açtınız, farklı şeyler dediniz. İkiniz de haklıydınız; müşteri ikinize de kızdı.</t>
        </is>
      </c>
      <c r="K1715" s="6" t="inlineStr">
        <is>
          <t>Tamirin ortasında tezgâhta kendi makasını gördün: “Bu benim değil mi?” Çırak kızardı, müşteri kaputun altından başını çıkardı. Açılış günü bütün sanayi makasın kimin olduğunu tartıştı; araba akşama kadar açık kaldı.</t>
        </is>
      </c>
      <c r="L1715" s="6" t="inlineStr"/>
      <c r="M1715" s="5" t="inlineStr"/>
      <c r="N1715" s="5" t="inlineStr"/>
      <c r="O1715" s="6" t="inlineStr"/>
      <c r="P1715" s="6" t="inlineStr"/>
      <c r="Q1715" s="5" t="inlineStr"/>
      <c r="R1715" s="5" t="inlineStr"/>
      <c r="S1715" s="5" t="inlineStr"/>
      <c r="T1715" s="5" t="inlineStr"/>
      <c r="U1715" s="5" t="inlineStr"/>
      <c r="V1715" s="5" t="inlineStr">
        <is>
          <t>ustalarin-ustasi</t>
        </is>
      </c>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3</v>
      </c>
      <c r="C1716" s="6" t="inlineStr">
        <is>
          <t>Sanayide çıraklar için okul kur</t>
        </is>
      </c>
      <c r="D1716" s="5" t="inlineStr">
        <is>
          <t>Dayanıklılık</t>
        </is>
      </c>
      <c r="E1716" s="5" t="inlineStr">
        <is>
          <t>Zor</t>
        </is>
      </c>
      <c r="F1716" s="5" t="inlineStr"/>
      <c r="G1716" s="6" t="inlineStr"/>
      <c r="H1716" s="6" t="inlineStr">
        <is>
          <t>Boş bir dükkânı sınıfa çevirdin. Her cumartesi on iki çırak, bir motor, bir çaydanlık. Gençler ilk kez telefonlarını kapıda bırakıyor.</t>
        </is>
      </c>
      <c r="I1716" s="6" t="inlineStr">
        <is>
          <t>Belediye okulu tanıdı, kapıya tabela astı: “Usta Okulu.” Mezuniyette her çırağa bir anahtar takımı verdin. İçlerinden biri takımı göğsüne bastırdı: “Babam bile bana alet vermemişti.”</t>
        </is>
      </c>
      <c r="J1716" s="6" t="inlineStr">
        <is>
          <t>Okulu açtın, çıraklar geldi, ustalar gelmedi. Bütün dersleri sen verdin; cumartesi akşamı sesin kısıldı.</t>
        </is>
      </c>
      <c r="K1716" s="6" t="inlineStr">
        <is>
          <t>İlk derste motoru çalıştırdın; motor öksürdü, sonra sınıfı dumana boğdu. İtfaiye geldi. Çıraklar okulun ilk dersini itfaiyeciden aldı: yangın tüpü nasıl kullanılır.</t>
        </is>
      </c>
      <c r="L1716" s="6" t="inlineStr"/>
      <c r="M1716" s="5" t="inlineStr"/>
      <c r="N1716" s="5" t="inlineStr"/>
      <c r="O1716" s="6" t="inlineStr"/>
      <c r="P1716" s="6" t="inlineStr"/>
      <c r="Q1716" s="5" t="inlineStr"/>
      <c r="R1716" s="5" t="inlineStr"/>
      <c r="S1716" s="5" t="inlineStr"/>
      <c r="T1716" s="5" t="inlineStr">
        <is>
          <t>Selamı Var</t>
        </is>
      </c>
      <c r="U1716" s="5" t="inlineStr"/>
      <c r="V1716" s="5" t="inlineStr">
        <is>
          <t>ustalarin-ustasi</t>
        </is>
      </c>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b9-usta-son-kepenk</t>
        </is>
      </c>
      <c r="B1717" s="5" t="n">
        <v>1</v>
      </c>
      <c r="C1717" s="6" t="inlineStr">
        <is>
          <t>Dükkânı kalfana devret, anahtarı ver</t>
        </is>
      </c>
      <c r="D1717" s="5" t="inlineStr"/>
      <c r="E1717" s="5" t="inlineStr"/>
      <c r="F1717" s="5" t="inlineStr">
        <is>
          <t>İtibar +1</t>
        </is>
      </c>
      <c r="G1717" s="6" t="inlineStr">
        <is>
          <t>Anahtarı verdin, tabelayı bıraktın. Kalfa altına küçük bir satır ekledi: “Kurucusu her salı gelir.” Her salı gidiyorsun; perşembeleri de.</t>
        </is>
      </c>
      <c r="H1717" s="6" t="inlineStr"/>
      <c r="I1717" s="6" t="inlineStr"/>
      <c r="J1717" s="6" t="inlineStr"/>
      <c r="K1717" s="6" t="inlineStr"/>
      <c r="L1717" s="6" t="inlineStr"/>
      <c r="M1717" s="5" t="inlineStr"/>
      <c r="N1717" s="5" t="inlineStr"/>
      <c r="O1717" s="6" t="inlineStr"/>
      <c r="P1717" s="6" t="inlineStr"/>
      <c r="Q1717" s="5" t="inlineStr"/>
      <c r="R1717" s="5" t="inlineStr"/>
      <c r="S1717" s="5" t="inlineStr"/>
      <c r="T1717" s="5" t="inlineStr"/>
      <c r="U1717" s="5" t="inlineStr"/>
      <c r="V1717" s="5" t="inlineStr"/>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b9-usta-son-kepenk</t>
        </is>
      </c>
      <c r="B1718" s="5" t="n">
        <v>2</v>
      </c>
      <c r="C1718" s="6" t="inlineStr">
        <is>
          <t>Telefonda teşhise devam et, ücretini iste</t>
        </is>
      </c>
      <c r="D1718" s="5" t="inlineStr">
        <is>
          <t>Kurnazlık</t>
        </is>
      </c>
      <c r="E1718" s="5" t="inlineStr">
        <is>
          <t>Orta</t>
        </is>
      </c>
      <c r="F1718" s="5" t="inlineStr"/>
      <c r="G1718" s="6" t="inlineStr"/>
      <c r="H1718" s="6" t="inlineStr">
        <is>
          <t>Arama başına küçük bir ücret koydun. Arayanlar azalmadı; havale açıklamasına sesi yazıyorlar: “Tık tık vıyyy.”</t>
        </is>
      </c>
      <c r="I1718" s="6" t="inlineStr">
        <is>
          <t>Genç ustalar zor vakaları sana telefonla bağlıyor; sanayide 'Bir de büyük ustaya soralım' lafı çıktı. Emekli maaşından fazla kazanıyorsun; terlikle, balkonda.</t>
        </is>
      </c>
      <c r="J1718" s="6" t="inlineStr">
        <is>
          <t>Ücret koydun; arayanlar kalfayı aramaya başladı. Kalfa da seni arıyor; ücretsiz.</t>
        </is>
      </c>
      <c r="K1718" s="6" t="inlineStr">
        <is>
          <t>Telefondaki sese 'Şanzıman' dedin. Müşteri arabayı çekiciyle sanayiye getirdi; ses torpidodaki şarj aletiymiş. Sanayi bu olayı bir yıl, senin sesini taklit ederek anlattı.</t>
        </is>
      </c>
      <c r="L1718" s="6" t="inlineStr"/>
      <c r="M1718" s="5" t="inlineStr"/>
      <c r="N1718" s="5" t="inlineStr"/>
      <c r="O1718" s="6" t="inlineStr"/>
      <c r="P1718" s="6" t="inlineStr"/>
      <c r="Q1718" s="5" t="inlineStr"/>
      <c r="R1718" s="5" t="inlineStr"/>
      <c r="S1718" s="5" t="inlineStr"/>
      <c r="T1718" s="5" t="inlineStr"/>
      <c r="U1718" s="5" t="inlineStr"/>
      <c r="V1718" s="5" t="inlineStr"/>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3</v>
      </c>
      <c r="C1719" s="6" t="inlineStr">
        <is>
          <t>Son bir motoru baştan sona kendin topla</t>
        </is>
      </c>
      <c r="D1719" s="5" t="inlineStr">
        <is>
          <t>Dayanıklılık</t>
        </is>
      </c>
      <c r="E1719" s="5" t="inlineStr">
        <is>
          <t>Zor</t>
        </is>
      </c>
      <c r="F1719" s="5" t="inlineStr"/>
      <c r="G1719" s="6" t="inlineStr"/>
      <c r="H1719" s="6" t="inlineStr">
        <is>
          <t>Otuz yıllık bir motoru kış boyu parça parça topladın. İlk marşta çalıştı. Sanayi kepenklerini açıp dinledi; kimse konuşmadı.</t>
        </is>
      </c>
      <c r="I1719" s="6" t="inlineStr">
        <is>
          <t>Motor çalıştığında eski çırakların hepsi oradaydı. Motoru sanayi sitesinin girişine koydular; altına adını yazdılar, yanına da iki kelime: “Tık yok.”</t>
        </is>
      </c>
      <c r="J1719" s="6" t="inlineStr">
        <is>
          <t>Motoru topladın, bir vida arttı. Motor çalışıyor ama vida seni rahatsız ediyor. Vidayı cebinde taşıyorsun.</t>
        </is>
      </c>
      <c r="K1719" s="6" t="inlineStr">
        <is>
          <t>Motor ilk marşta çalıştı, ikincide dükkânın sigortasını attırdı, üçüncüde bütün sitenin. Sanayi seni emekliliğe karanlıkta uğurladı.</t>
        </is>
      </c>
      <c r="L1719" s="6" t="inlineStr"/>
      <c r="M1719" s="5" t="inlineStr"/>
      <c r="N1719" s="5" t="inlineStr"/>
      <c r="O1719" s="6" t="inlineStr"/>
      <c r="P1719" s="6" t="inlineStr"/>
      <c r="Q1719" s="5" t="inlineStr"/>
      <c r="R1719" s="5" t="inlineStr"/>
      <c r="S1719" s="5" t="inlineStr"/>
      <c r="T1719" s="5" t="inlineStr"/>
      <c r="U1719" s="5" t="inlineStr"/>
      <c r="V1719" s="5" t="inlineStr">
        <is>
          <t>son-motor</t>
        </is>
      </c>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b7-kiz-isteme</t>
        </is>
      </c>
      <c r="B1720" s="5" t="n">
        <v>1</v>
      </c>
      <c r="C1720" s="6" t="inlineStr">
        <is>
          <t>Tuzlu kahveyi iç, gülümse</t>
        </is>
      </c>
      <c r="D1720" s="5" t="inlineStr"/>
      <c r="E1720" s="5" t="inlineStr"/>
      <c r="F1720" s="5" t="inlineStr">
        <is>
          <t>Dayanıklılık +1, Gönül +1</t>
        </is>
      </c>
      <c r="G1720" s="6" t="inlineStr">
        <is>
          <t>Kahveyi son yudumuna kadar içtin ve gülümsedin. Kayınpederin “Bu çocuk dayanır” dedi. Dilin iki gün tuz tattı.</t>
        </is>
      </c>
      <c r="H1720" s="6" t="inlineStr"/>
      <c r="I1720" s="6" t="inlineStr"/>
      <c r="J1720" s="6" t="inlineStr"/>
      <c r="K1720" s="6" t="inlineStr"/>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b7-kiz-isteme</t>
        </is>
      </c>
      <c r="B1721" s="5" t="n">
        <v>2</v>
      </c>
      <c r="C1721" s="6" t="inlineStr">
        <is>
          <t>Kahveyi “Tam kıvamında” diye öv</t>
        </is>
      </c>
      <c r="D1721" s="5" t="inlineStr">
        <is>
          <t>Pişkinlik</t>
        </is>
      </c>
      <c r="E1721" s="5" t="inlineStr">
        <is>
          <t>Orta</t>
        </is>
      </c>
      <c r="F1721" s="5" t="inlineStr"/>
      <c r="G1721" s="6" t="inlineStr"/>
      <c r="H1721" s="6" t="inlineStr">
        <is>
          <t>“Tam kıvamında” dedin ve bir yudum daha aldın. Salon güldü, müstakbel eşin utandı, kayınvalide not aldı: “Yalan söylerken gözünü kırpmıyor.”</t>
        </is>
      </c>
      <c r="I1721" s="6" t="inlineStr">
        <is>
          <t>Kahveyi öyle övdün ki kayınvalide tarifini istedi. Tarif tek kelimeydi: tuz. İki aile ilk kez aynı anda güldü.</t>
        </is>
      </c>
      <c r="J1721" s="6" t="inlineStr">
        <is>
          <t>“Tam kıvamında” derken yüzün başka bir şey söyledi. Herkes yüzüne inandı.</t>
        </is>
      </c>
      <c r="K1721" s="6" t="inlineStr">
        <is>
          <t>Övgünün ortasında öksürdün; kahve halıya fıskiye gibi püskürdü. Halı çeyizdi. Leke çıktı, ad çıkmadı.</t>
        </is>
      </c>
      <c r="L1721" s="6" t="inlineStr">
        <is>
          <t>“Tam kıvamında” dedin; sol kaşın bir an kalktı. Kayınvalide kaşı gördü, kimseye söylemedi; şimdilik.</t>
        </is>
      </c>
      <c r="M1721" s="5" t="inlineStr">
        <is>
          <t>duel</t>
        </is>
      </c>
      <c r="N1721" s="5" t="inlineStr">
        <is>
          <t>Tuzlu Kahve</t>
        </is>
      </c>
      <c r="O1721" s="6" t="inlineStr">
        <is>
          <t>Karşındakinin sabrı bitmeden en iyi cevabı seç.</t>
        </is>
      </c>
      <c r="P1721" s="6" t="inlineStr">
        <is>
          <t>{"who": "Büyükler", "rounds": [{"q": "Kahve nasıl olmuş?", "o": [{"t": "Tam kıvamında; elinize sağlık.", "s": 1}, {"t": "Biraz tuzlu galiba.", "s": 0.2}, {"t": "Çok güzel (yüzünü buruştur).", "s": 0.5}]}, {"q": "İkinci fincan?", "o": [{"t": "Memnuniyetle, bu seferki daha da güzel olur.", "s": 1}, {"t": "Şeker olsun belki.", "s": 0.4}, {"t": "Teşekkürler, yeterli.", "s": 0.35}]}, {"q": "Peki, ne kadar sürer evlenmeniz?", "o": [{"t": "Siz izin verirseniz bir an önce.", "s": 1}, {"t": "Bilmiyorum.", "s": 0.3}, {"t": "Kahveden sonra düşünürüz.", "s": 0.5}]}]}</t>
        </is>
      </c>
      <c r="Q1721" s="5" t="inlineStr"/>
      <c r="R1721" s="5" t="inlineStr"/>
      <c r="S1721" s="5" t="inlineStr"/>
      <c r="T1721" s="5" t="inlineStr"/>
      <c r="U1721" s="5" t="inlineStr"/>
      <c r="V1721" s="5" t="inlineStr"/>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is>
          <t>Fıskiye</t>
        </is>
      </c>
      <c r="AJ1721" s="5" t="inlineStr"/>
    </row>
    <row r="1722">
      <c r="A1722" s="5" t="inlineStr">
        <is>
          <t>b7-kiz-isteme</t>
        </is>
      </c>
      <c r="B1722" s="5" t="n">
        <v>3</v>
      </c>
      <c r="C1722" s="6" t="inlineStr">
        <is>
          <t>Konuşmayı sen yap, babanı kurtar</t>
        </is>
      </c>
      <c r="D1722" s="5" t="inlineStr">
        <is>
          <t>Çene</t>
        </is>
      </c>
      <c r="E1722" s="5" t="inlineStr">
        <is>
          <t>Orta</t>
        </is>
      </c>
      <c r="F1722" s="5" t="inlineStr"/>
      <c r="G1722" s="6" t="inlineStr"/>
      <c r="H1722" s="6" t="inlineStr">
        <is>
          <t>Baban cümleye başlarken tıkandı; sen tamamladın. Geleneksel kısmı ona bıraktın, gerisini sen söyledin. “Verdik” dediler; baban “Ben de onu diyecektim” dedi.</t>
        </is>
      </c>
      <c r="I1722" s="6" t="inlineStr">
        <is>
          <t>Konuşman o kadar iyiydi ki kayınpeder söz kesmeyi hemen oracıkta yapmak istedi. Yüzükler cebindeydi; annen her ihtimale karşı getirmiş.</t>
        </is>
      </c>
      <c r="J1722" s="6" t="inlineStr">
        <is>
          <t>Konuşmaya başladın, baban da başladı; ikiniz aynı anda sustunuz. Kayınpeder “Siz bir karar verin, sonra gelin” dedi.</t>
        </is>
      </c>
      <c r="K1722" s="6" t="inlineStr">
        <is>
          <t>Heyecandan konuşmayı iş görüşmesine çevirdin: “Beş yıl sonra kendimi bu ailenin içinde görüyorum.” Kayınpeder “Maaş beklentin?” diye sordu. Baban cevap verdi; daha kötüsü, rakam söyledi.</t>
        </is>
      </c>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b7-gorucu-kahve</t>
        </is>
      </c>
      <c r="B1723" s="5" t="n">
        <v>1</v>
      </c>
      <c r="C1723" s="6" t="inlineStr">
        <is>
          <t>Havadan sudan konuş</t>
        </is>
      </c>
      <c r="D1723" s="5" t="inlineStr"/>
      <c r="E1723" s="5" t="inlineStr"/>
      <c r="F1723" s="5" t="inlineStr">
        <is>
          <t>Sosyal Radar +1, Gönül +1</t>
        </is>
      </c>
      <c r="G1723" s="6" t="inlineStr">
        <is>
          <t>Kira fiyatlarından başladınız, ikinizin annesinde buluştunuz. Kahve soğudu, muhabbet soğumadı; garson iki kez “Başka bir şey?” diye geldi, ikisinde de “Biraz daha” dediniz.</t>
        </is>
      </c>
      <c r="H1723" s="6" t="inlineStr"/>
      <c r="I1723" s="6" t="inlineStr"/>
      <c r="J1723" s="6" t="inlineStr"/>
      <c r="K1723" s="6" t="inlineStr"/>
      <c r="L1723" s="6" t="inlineStr"/>
      <c r="M1723" s="5" t="inlineStr"/>
      <c r="N1723" s="5" t="inlineStr"/>
      <c r="O1723" s="6" t="inlineStr"/>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c r="AJ1723" s="5" t="inlineStr"/>
    </row>
    <row r="1724">
      <c r="A1724" s="5" t="inlineStr">
        <is>
          <t>b7-gorucu-kahve</t>
        </is>
      </c>
      <c r="B1724" s="5" t="n">
        <v>2</v>
      </c>
      <c r="C1724" s="6" t="inlineStr">
        <is>
          <t>Annelere el salla</t>
        </is>
      </c>
      <c r="D1724" s="5" t="inlineStr">
        <is>
          <t>Pişkinlik</t>
        </is>
      </c>
      <c r="E1724" s="5" t="inlineStr">
        <is>
          <t>Kolay</t>
        </is>
      </c>
      <c r="F1724" s="5" t="inlineStr"/>
      <c r="G1724" s="6" t="inlineStr"/>
      <c r="H1724" s="6" t="inlineStr">
        <is>
          <t>Döndün, iki anneye el salladın. Anneler gazeteyi indirdi, kıkırdadı, sonra yine kaldırdı; bu sefer düz. Karşındaki ilk kez gerçekten güldü.</t>
        </is>
      </c>
      <c r="I1724" s="6" t="inlineStr">
        <is>
          <t>Anneleri masanıza davet ettin. Dört kişilik bir kahve oldu; ikinci buluşmayı anneler ayarladı, üçüncüyü siz.</t>
        </is>
      </c>
      <c r="J1724" s="6" t="inlineStr">
        <is>
          <t>El salladın; anneler görmezden geldi. Gazetenin arkasından “Otur yerine” fısıltısı duyuldu.</t>
        </is>
      </c>
      <c r="K1724" s="6" t="inlineStr">
        <is>
          <t>El sallarken fincanı devirdin; kahve karşındakinin açık renk gömleğine gitti. İki anne gazeteyi atıp peçeteyle koştu. Akşam telefonda anlaştılar: “Leke çıkar, kısmet kaçmaz.” İkinci kahveyi onlar ayarladı, sana sormadılar.</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3</v>
      </c>
      <c r="C1725" s="6" t="inlineStr">
        <is>
          <t>Dürüstçe “Ben de istemeden geldim” de</t>
        </is>
      </c>
      <c r="D1725" s="5" t="inlineStr">
        <is>
          <t>Cesaret</t>
        </is>
      </c>
      <c r="E1725" s="5" t="inlineStr">
        <is>
          <t>Orta</t>
        </is>
      </c>
      <c r="F1725" s="5" t="inlineStr"/>
      <c r="G1725" s="6" t="inlineStr"/>
      <c r="H1725" s="6" t="inlineStr">
        <is>
          <t>“Ben de” dedi. İkiniz de istemeden gelmişsiniz; ikiniz de şimdi istemeden kalmak istiyorsunuz.</t>
        </is>
      </c>
      <c r="I1725" s="6" t="inlineStr">
        <is>
          <t>Dürüstlüğün öyle iyi geldi ki sohbet üç saat sürdü. Anneler sıkılıp eve gitti; siz fark etmediniz.</t>
        </is>
      </c>
      <c r="J1725" s="6" t="inlineStr">
        <is>
          <t>“Ben istemeden gelmedim” dedi. Kahvenin geri kalanı çok uzun sürdü.</t>
        </is>
      </c>
      <c r="K1725" s="6" t="inlineStr">
        <is>
          <t>Cümleyi söylediğin an iki anne aynı anda arkanda belirdi. Gazete ellerindeydi; düz tutuyorlardı.</t>
        </is>
      </c>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b7-capkin-rezervasyon</t>
        </is>
      </c>
      <c r="B1726" s="5" t="n">
        <v>1</v>
      </c>
      <c r="C1726" s="6" t="inlineStr">
        <is>
          <t>Hepsine dürüst ol, tek tek bitir</t>
        </is>
      </c>
      <c r="D1726" s="5" t="inlineStr"/>
      <c r="E1726" s="5" t="inlineStr"/>
      <c r="F1726" s="5" t="inlineStr">
        <is>
          <t>İtibar +2</t>
        </is>
      </c>
      <c r="G1726" s="6" t="inlineStr">
        <is>
          <t>Üç ayrı kahve, üç ayrı veda. İkisi rahatladı, biri tebrik etti. Garson sana ücretsiz tatlı getirdi: “Bu kahramanlık.”</t>
        </is>
      </c>
      <c r="H1726" s="6" t="inlineStr"/>
      <c r="I1726" s="6" t="inlineStr"/>
      <c r="J1726" s="6" t="inlineStr"/>
      <c r="K1726" s="6" t="inlineStr"/>
      <c r="L1726" s="6" t="inlineStr"/>
      <c r="M1726" s="5" t="inlineStr"/>
      <c r="N1726" s="5" t="inlineStr"/>
      <c r="O1726" s="6" t="inlineStr"/>
      <c r="P1726" s="6" t="inlineStr"/>
      <c r="Q1726" s="5" t="inlineStr"/>
      <c r="R1726" s="5" t="inlineStr"/>
      <c r="S1726" s="5" t="inlineStr"/>
      <c r="T1726" s="5" t="inlineStr"/>
      <c r="U1726" s="5" t="inlineStr">
        <is>
          <t>-capkin, bekar</t>
        </is>
      </c>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b7-capkin-rezervasyon</t>
        </is>
      </c>
      <c r="B1727" s="5" t="n">
        <v>2</v>
      </c>
      <c r="C1727" s="6" t="inlineStr">
        <is>
          <t>Masayı çabucak değiştir</t>
        </is>
      </c>
      <c r="D1727" s="5" t="inlineStr">
        <is>
          <t>Kurnazlık</t>
        </is>
      </c>
      <c r="E1727" s="5" t="inlineStr">
        <is>
          <t>Zor</t>
        </is>
      </c>
      <c r="F1727" s="5" t="inlineStr"/>
      <c r="G1727" s="6" t="inlineStr"/>
      <c r="H1727" s="6" t="inlineStr">
        <is>
          <t>Garsonla göz göze geldiniz; masa iki saniyede değişti, mum yeniden yandı, menü yeniden geldi. Kimse bir şey anlamadı; garson bahşişi anladı.</t>
        </is>
      </c>
      <c r="I1727" s="6" t="inlineStr">
        <is>
          <t>Öyle ustaca geçtin ki ikinci akşamın kişisi de aynı restorana başkasıyla gelmişti; iki masa arasında iki saat idare ettin.</t>
        </is>
      </c>
      <c r="J1727" s="6" t="inlineStr">
        <is>
          <t>Masa değişti ama ceket eski masada kaldı. Ceketin cebinde bir fatura var; faturada iki tatlı yazıyor.</t>
        </is>
      </c>
      <c r="K1727" s="6" t="inlineStr">
        <is>
          <t>Masayı değiştirirken iki masadaki kişiler tanıştı. Şimdi arkadaşlar; tek ortak konuları sen.</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is>
          <t>capkin-ifsa</t>
        </is>
      </c>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3</v>
      </c>
      <c r="C1728" s="6" t="inlineStr">
        <is>
          <t>Erken geleni bara al, oyala</t>
        </is>
      </c>
      <c r="D1728" s="5" t="inlineStr">
        <is>
          <t>Çene</t>
        </is>
      </c>
      <c r="E1728" s="5" t="inlineStr">
        <is>
          <t>Orta</t>
        </is>
      </c>
      <c r="F1728" s="5" t="inlineStr"/>
      <c r="G1728" s="6" t="inlineStr"/>
      <c r="H1728" s="6" t="inlineStr">
        <is>
          <t>Erken geleni bara aldın: “Masa hazırlanıyor.” Öbür masaya gidip “Acil bir işim çıktı” dedin, geri döndün. Akşam tek kişiyle devam etti; garson hesabı getirirken yalnızca “Kolay gelsin” dedi.</t>
        </is>
      </c>
      <c r="I1728" s="6" t="inlineStr">
        <is>
          <t>Erken geleni bara aldın; sohbet öyle aktı ki öbür masaya gitmeyi unuttun. Bir saat sonra garson fısıldadı: “Öbür masa gitti.” “İyi” dedin; ilk kez gerçekten öyle düşünerek.</t>
        </is>
      </c>
      <c r="J1728" s="6" t="inlineStr">
        <is>
          <t>Barda konuşurken diğer masadaki kişi seni gördü ve sana el salladı. Sen de salladın; alışkanlık.</t>
        </is>
      </c>
      <c r="K1728" s="6" t="inlineStr">
        <is>
          <t>Bardaki kişi, diğer masadakinin kuzeni çıktı. Aile grubunda bir fotoğraf dolaşıyor; iyi çıkmışsın.</t>
        </is>
      </c>
      <c r="L1728" s="6" t="inlineStr"/>
      <c r="M1728" s="5" t="inlineStr"/>
      <c r="N1728" s="5" t="inlineStr"/>
      <c r="O1728" s="6" t="inlineStr"/>
      <c r="P1728" s="6" t="inlineStr"/>
      <c r="Q1728" s="5" t="inlineStr"/>
      <c r="R1728" s="5" t="inlineStr"/>
      <c r="S1728" s="5" t="inlineStr"/>
      <c r="T1728" s="5" t="inlineStr"/>
      <c r="U1728" s="5" t="inlineStr"/>
      <c r="V1728" s="5" t="inlineStr"/>
      <c r="W1728" s="5" t="inlineStr">
        <is>
          <t>capkin-ifsa</t>
        </is>
      </c>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b8-capkin-orta-yas</t>
        </is>
      </c>
      <c r="B1729" s="5" t="n">
        <v>1</v>
      </c>
      <c r="C1729" s="6" t="inlineStr">
        <is>
          <t>Hesabı öde, kalk, eve git</t>
        </is>
      </c>
      <c r="D1729" s="5" t="inlineStr"/>
      <c r="E1729" s="5" t="inlineStr"/>
      <c r="F1729" s="5" t="inlineStr">
        <is>
          <t>İtibar +1, Dayanıklılık +1</t>
        </is>
      </c>
      <c r="G1729" s="6" t="inlineStr">
        <is>
          <t>Kalktın, hesabı ödedin, eve yürüdün. Yolda ilk kez bir restoranın önünden içeri bakmadan geçtin.</t>
        </is>
      </c>
      <c r="H1729" s="6" t="inlineStr"/>
      <c r="I1729" s="6" t="inlineStr"/>
      <c r="J1729" s="6" t="inlineStr"/>
      <c r="K1729" s="6" t="inlineStr"/>
      <c r="L1729" s="6" t="inlineStr"/>
      <c r="M1729" s="5" t="inlineStr"/>
      <c r="N1729" s="5" t="inlineStr"/>
      <c r="O1729" s="6" t="inlineStr"/>
      <c r="P1729" s="6" t="inlineStr"/>
      <c r="Q1729" s="5" t="inlineStr"/>
      <c r="R1729" s="5" t="inlineStr"/>
      <c r="S1729" s="5" t="inlineStr"/>
      <c r="T1729" s="5" t="inlineStr"/>
      <c r="U1729" s="5" t="inlineStr"/>
      <c r="V1729" s="5" t="inlineStr"/>
      <c r="W1729" s="5" t="inlineStr"/>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b8-capkin-orta-yas</t>
        </is>
      </c>
      <c r="B1730" s="5" t="n">
        <v>2</v>
      </c>
      <c r="C1730" s="6" t="inlineStr">
        <is>
          <t>Durulmayı dene: tek birine teklif et</t>
        </is>
      </c>
      <c r="D1730" s="5" t="inlineStr">
        <is>
          <t>Gönül</t>
        </is>
      </c>
      <c r="E1730" s="5" t="inlineStr">
        <is>
          <t>Zor</t>
        </is>
      </c>
      <c r="F1730" s="5" t="inlineStr"/>
      <c r="G1730" s="6" t="inlineStr"/>
      <c r="H1730" s="6" t="inlineStr">
        <is>
          <t>Kırk dört yaşında ilk kez tek birine “Gel, bir ömür deneyelim” dedin. “Nihayet” dedi; bekliyormuş.</t>
        </is>
      </c>
      <c r="I1730" s="6" t="inlineStr">
        <is>
          <t>Teklifin öyle samimiydi ki düğüne eski buluşmalarının yarısı geldi. Hepsi aynı masaya düştü; takı sırasında birbirlerine “Sen de mi?” diye fısıldadılar ve kendi aralarında bir mesaj grubu kurdular.</t>
        </is>
      </c>
      <c r="J1730" s="6" t="inlineStr">
        <is>
          <t>Teklif ettin; “Seni tanıyorum” dedi. Bu cümle hem bir cevap hem bir özetti.</t>
        </is>
      </c>
      <c r="K1730" s="6" t="inlineStr">
        <is>
          <t>Tam “Bir ömür deneyelim” dedin ki yan masadan bir ses geldi: “Bana da aynı cümleyi kurmuştun.” Eski bir buluşman. Karşındaki kişi peçetesini katladı, kalktı, hesabı sana bıraktı.</t>
        </is>
      </c>
      <c r="L1730" s="6" t="inlineStr"/>
      <c r="M1730" s="5" t="inlineStr"/>
      <c r="N1730" s="5" t="inlineStr"/>
      <c r="O1730" s="6" t="inlineStr"/>
      <c r="P1730" s="6" t="inlineStr"/>
      <c r="Q1730" s="5" t="inlineStr"/>
      <c r="R1730" s="5" t="inlineStr"/>
      <c r="S1730" s="5" t="inlineStr"/>
      <c r="T1730" s="5" t="inlineStr"/>
      <c r="U1730" s="5" t="inlineStr"/>
      <c r="V1730" s="5" t="inlineStr">
        <is>
          <t>evli, -capkin</t>
        </is>
      </c>
      <c r="W1730" s="5" t="inlineStr"/>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3</v>
      </c>
      <c r="C1731" s="6" t="inlineStr">
        <is>
          <t>Genç garsona usta dersi ver</t>
        </is>
      </c>
      <c r="D1731" s="5" t="inlineStr">
        <is>
          <t>Pişkinlik</t>
        </is>
      </c>
      <c r="E1731" s="5" t="inlineStr">
        <is>
          <t>Orta</t>
        </is>
      </c>
      <c r="F1731" s="5" t="inlineStr"/>
      <c r="G1731" s="6" t="inlineStr"/>
      <c r="H1731" s="6" t="inlineStr">
        <is>
          <t>Garsona masa değiştirmenin inceliklerini anlattın. Not aldı. Bir efsane böyle devrediliyor.</t>
        </is>
      </c>
      <c r="I1731" s="6" t="inlineStr">
        <is>
          <t>Garson o kadar etkilendi ki restoran masanın üstüne küçük bir plaket astı. Adın yok; tarih var.</t>
        </is>
      </c>
      <c r="J1731" s="6" t="inlineStr">
        <is>
          <t>Garson seni dinledi, sonra kibarca “Sizin zamanınızda kolaymış” dedi. Kırk dört yaşın o “sizin” kelimesinde.</t>
        </is>
      </c>
      <c r="K1731" s="6" t="inlineStr">
        <is>
          <t>Garsona ders verirken arkandan bir ses geldi: “Bu masada bana da aynısını anlatmıştın.” Eski bir buluşman. Garson defterini kapattı: “Tamam, bu kısmı anladım.”</t>
        </is>
      </c>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b7-evin-oglu</t>
        </is>
      </c>
      <c r="B1732" s="5" t="n">
        <v>1</v>
      </c>
      <c r="C1732" s="6" t="inlineStr">
        <is>
          <t>Durumu kabullen, annenin sofrasına otur</t>
        </is>
      </c>
      <c r="D1732" s="5" t="inlineStr"/>
      <c r="E1732" s="5" t="inlineStr"/>
      <c r="F1732" s="5" t="inlineStr">
        <is>
          <t>Dayanıklılık +1, Gönül +1</t>
        </is>
      </c>
      <c r="G1732" s="6" t="inlineStr">
        <is>
          <t>Sofraya oturdun. Annen sana hâlâ “Üşüme” diyor; kırk derecede. Ev sıcak, yemek sıcak, soru yok. Soru bayramda geliyor, halandan: “Bu hâlâ burada mı?”</t>
        </is>
      </c>
      <c r="H1732" s="6" t="inlineStr"/>
      <c r="I1732" s="6" t="inlineStr"/>
      <c r="J1732" s="6" t="inlineStr"/>
      <c r="K1732" s="6" t="inlineStr"/>
      <c r="L1732" s="6" t="inlineStr"/>
      <c r="M1732" s="5" t="inlineStr"/>
      <c r="N1732" s="5" t="inlineStr"/>
      <c r="O1732" s="6" t="inlineStr"/>
      <c r="P1732" s="6" t="inlineStr"/>
      <c r="Q1732" s="5" t="inlineStr"/>
      <c r="R1732" s="5" t="inlineStr"/>
      <c r="S1732" s="5" t="inlineStr"/>
      <c r="T1732" s="5" t="inlineStr"/>
      <c r="U1732" s="5" t="inlineStr">
        <is>
          <t>evin-oglu</t>
        </is>
      </c>
      <c r="V1732" s="5" t="inlineStr"/>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b7-evin-oglu</t>
        </is>
      </c>
      <c r="B1733" s="5" t="n">
        <v>2</v>
      </c>
      <c r="C1733" s="6" t="inlineStr">
        <is>
          <t>Annenle yetişkin sözleşmesi yap</t>
        </is>
      </c>
      <c r="D1733" s="5" t="inlineStr">
        <is>
          <t>Çene</t>
        </is>
      </c>
      <c r="E1733" s="5" t="inlineStr">
        <is>
          <t>Orta</t>
        </is>
      </c>
      <c r="F1733" s="5" t="inlineStr"/>
      <c r="G1733" s="6" t="inlineStr"/>
      <c r="H1733" s="6" t="inlineStr">
        <is>
          <t>Mutfak masasında bir sözleşme imzaladınız: çamaşır senin, yemek onun, soru saat dokuzdan sonra yok. Annen sözleşmeyi buzdolabına astı.</t>
        </is>
      </c>
      <c r="I1733" s="6" t="inlineStr">
        <is>
          <t>Sözleşme öyle adil oldu ki baban da imzalamak istedi. Evde ilk kez kimse kimseye “Nereye?” demiyor.</t>
        </is>
      </c>
      <c r="J1733" s="6" t="inlineStr">
        <is>
          <t>Sözleşmeyi okudu, “Güzel yazmışsın” dedi ve çekmeceye koydu. Çekmecede senin ilkokul karnen de var.</t>
        </is>
      </c>
      <c r="K1733" s="6" t="inlineStr">
        <is>
          <t>İlk maddeyi okudun: “Odama kapı çalınarak girilir.” Annen kapıyı çaldı, girdi, “Oldu mu?” dedi, kirli çamaşırlarını alıp çıktı. Sözleşme o akşam sarmanın altına serildi.</t>
        </is>
      </c>
      <c r="L1733" s="6" t="inlineStr"/>
      <c r="M1733" s="5" t="inlineStr"/>
      <c r="N1733" s="5" t="inlineStr"/>
      <c r="O1733" s="6" t="inlineStr"/>
      <c r="P1733" s="6" t="inlineStr"/>
      <c r="Q1733" s="5" t="inlineStr"/>
      <c r="R1733" s="5" t="inlineStr"/>
      <c r="S1733" s="5" t="inlineStr"/>
      <c r="T1733" s="5" t="inlineStr"/>
      <c r="U1733" s="5" t="inlineStr">
        <is>
          <t>evin-oglu</t>
        </is>
      </c>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3</v>
      </c>
      <c r="C1734" s="6" t="inlineStr">
        <is>
          <t>Sonunda kendi evine taşın</t>
        </is>
      </c>
      <c r="D1734" s="5" t="inlineStr">
        <is>
          <t>Cesaret</t>
        </is>
      </c>
      <c r="E1734" s="5" t="inlineStr">
        <is>
          <t>Zor</t>
        </is>
      </c>
      <c r="F1734" s="5" t="inlineStr"/>
      <c r="G1734" s="6" t="inlineStr"/>
      <c r="H1734" s="6" t="inlineStr">
        <is>
          <t>Otuz beşinde kendi anahtarın var. Annen ilk hafta her gün yemek getirdi, ikinci hafta gün aşırı. Üçüncü hafta kendi yemeğini yaptın; yandı ama senindi.</t>
        </is>
      </c>
      <c r="I1734" s="6" t="inlineStr">
        <is>
          <t>Taşındığın ev annenin evine tam iki sokak uzak. Uzaklık tam kıvamında: yemek sıcak gelir, soru soğuk.</t>
        </is>
      </c>
      <c r="J1734" s="6" t="inlineStr">
        <is>
          <t>Ev baktın, kira baktın, annene baktın. Annen “Neyin eksik?” dedi. Cevap veremedin; kaldın.</t>
        </is>
      </c>
      <c r="K1734" s="6" t="inlineStr">
        <is>
          <t>Taşındın, ilk gece su borusu patladı. Annenin evine döndün; odan hâlâ hazırdı, sanki biliyormuş.</t>
        </is>
      </c>
      <c r="L1734" s="6" t="inlineStr"/>
      <c r="M1734" s="5" t="inlineStr"/>
      <c r="N1734" s="5" t="inlineStr"/>
      <c r="O1734" s="6" t="inlineStr"/>
      <c r="P1734" s="6" t="inlineStr"/>
      <c r="Q1734" s="5" t="inlineStr"/>
      <c r="R1734" s="5" t="inlineStr"/>
      <c r="S1734" s="5" t="inlineStr"/>
      <c r="T1734" s="5" t="inlineStr"/>
      <c r="U1734" s="5" t="inlineStr"/>
      <c r="V1734" s="5" t="inlineStr">
        <is>
          <t>kiraci, -evde-kaldi</t>
        </is>
      </c>
      <c r="W1734" s="5" t="inlineStr"/>
      <c r="X1734" s="5" t="inlineStr"/>
      <c r="Y1734" s="5" t="inlineStr"/>
      <c r="Z1734" s="6" t="inlineStr"/>
      <c r="AA1734" s="5" t="inlineStr"/>
      <c r="AB1734" s="5" t="inlineStr">
        <is>
          <t>evin-oglu</t>
        </is>
      </c>
      <c r="AC1734" s="5" t="inlineStr"/>
      <c r="AD1734" s="5" t="inlineStr"/>
      <c r="AE1734" s="5" t="inlineStr"/>
      <c r="AF1734" s="5" t="inlineStr"/>
      <c r="AG1734" s="5" t="inlineStr"/>
      <c r="AH1734" s="5" t="inlineStr"/>
      <c r="AI1734" s="5" t="inlineStr"/>
      <c r="AJ1734" s="5" t="inlineStr"/>
    </row>
    <row r="1735">
      <c r="A1735" s="5" t="inlineStr">
        <is>
          <t>b8-evin-oglu-orta</t>
        </is>
      </c>
      <c r="B1735" s="5" t="n">
        <v>1</v>
      </c>
      <c r="C1735" s="6" t="inlineStr">
        <is>
          <t>Takvime uy</t>
        </is>
      </c>
      <c r="D1735" s="5" t="inlineStr"/>
      <c r="E1735" s="5" t="inlineStr"/>
      <c r="F1735" s="5" t="inlineStr">
        <is>
          <t>Gönül +1</t>
        </is>
      </c>
      <c r="G1735" s="6" t="inlineStr">
        <is>
          <t>Pazartesi mercimek, salı fasulye. Hayatının en düzenli yılları annenin tencere takviminde geçiyor. Kimse itiraz edemiyor; tencereye itiraz edilmez.</t>
        </is>
      </c>
      <c r="H1735" s="6" t="inlineStr"/>
      <c r="I1735" s="6" t="inlineStr"/>
      <c r="J1735" s="6" t="inlineStr"/>
      <c r="K1735" s="6" t="inlineStr"/>
      <c r="L1735" s="6" t="inlineStr"/>
      <c r="M1735" s="5" t="inlineStr"/>
      <c r="N1735" s="5" t="inlineStr"/>
      <c r="O1735" s="6" t="inlineStr"/>
      <c r="P1735" s="6" t="inlineStr"/>
      <c r="Q1735" s="5" t="inlineStr"/>
      <c r="R1735" s="5" t="inlineStr"/>
      <c r="S1735" s="5" t="inlineStr"/>
      <c r="T1735" s="5" t="inlineStr"/>
      <c r="U1735" s="5" t="inlineStr"/>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b8-evin-oglu-orta</t>
        </is>
      </c>
      <c r="B1736" s="5" t="n">
        <v>2</v>
      </c>
      <c r="C1736" s="6" t="inlineStr">
        <is>
          <t>Bu sefer yemeği sen yap</t>
        </is>
      </c>
      <c r="D1736" s="5" t="inlineStr">
        <is>
          <t>Akıl</t>
        </is>
      </c>
      <c r="E1736" s="5" t="inlineStr">
        <is>
          <t>Orta</t>
        </is>
      </c>
      <c r="F1736" s="5" t="inlineStr"/>
      <c r="G1736" s="6" t="inlineStr"/>
      <c r="H1736" s="6" t="inlineStr">
        <is>
          <t>Salı günü fasulyeyi sen yaptın. Annen bir kaşık aldı, uzun sustu, sonra “Tuzu biraz az” dedi. Ertesi hafta kendi fasulyesine de az tuz attı.</t>
        </is>
      </c>
      <c r="I1736" s="6" t="inlineStr">
        <is>
          <t>Yemeğin öyle güzel oldu ki annen komşulara tabak tabak dağıttı: “Evladım yaptı.” Ertesi gün kendi fasulyesini yaptı, onu da dağıttı; karşılaştırsınlar diye.</t>
        </is>
      </c>
      <c r="J1736" s="6" t="inlineStr">
        <is>
          <t>Fasulyeyi yaptın; annen tadına baktı, üstüne biraz tuz, biraz salça, biraz daha ekledi. Sonunda kendi fasulyesi oldu.</t>
        </is>
      </c>
      <c r="K1736" s="6" t="inlineStr">
        <is>
          <t>Fasulyeyi yaktın; annenin çeyizinden kalan tencereyle birlikte. Annen tencereyi balkona koydu, bir saat başında bekledi. Akşam yine mercimek pişti; salı olduğu hâlde.</t>
        </is>
      </c>
      <c r="L1736" s="6" t="inlineStr"/>
      <c r="M1736" s="5" t="inlineStr"/>
      <c r="N1736" s="5" t="inlineStr"/>
      <c r="O1736" s="6" t="inlineStr"/>
      <c r="P1736" s="6" t="inlineStr"/>
      <c r="Q1736" s="5" t="inlineStr"/>
      <c r="R1736" s="5" t="inlineStr"/>
      <c r="S1736" s="5" t="inlineStr"/>
      <c r="T1736" s="5" t="inlineStr"/>
      <c r="U1736" s="5" t="inlineStr"/>
      <c r="V1736" s="5" t="inlineStr"/>
      <c r="W1736" s="5" t="inlineStr"/>
      <c r="X1736" s="5" t="inlineStr"/>
      <c r="Y1736" s="5" t="inlineStr"/>
      <c r="Z1736" s="6" t="inlineStr"/>
      <c r="AA1736" s="5" t="inlineStr"/>
      <c r="AB1736" s="5" t="inlineStr"/>
      <c r="AC1736" s="5" t="inlineStr"/>
      <c r="AD1736" s="5" t="inlineStr"/>
      <c r="AE1736" s="5" t="inlineStr"/>
      <c r="AF1736" s="5" t="inlineStr"/>
      <c r="AG1736" s="5" t="inlineStr"/>
      <c r="AH1736" s="5" t="inlineStr"/>
      <c r="AI1736" s="5" t="inlineStr"/>
      <c r="AJ1736" s="5" t="inlineStr"/>
    </row>
    <row r="1737">
      <c r="A1737" s="5" t="inlineStr">
        <is>
          <t>b8-evin-oglu-orta</t>
        </is>
      </c>
      <c r="B1737" s="5" t="n">
        <v>3</v>
      </c>
      <c r="C1737" s="6" t="inlineStr">
        <is>
          <t>Annene de bir hayat öner: kurs, gezi, arkadaş</t>
        </is>
      </c>
      <c r="D1737" s="5" t="inlineStr">
        <is>
          <t>Sosyal Radar</t>
        </is>
      </c>
      <c r="E1737" s="5" t="inlineStr">
        <is>
          <t>Zor</t>
        </is>
      </c>
      <c r="F1737" s="5" t="inlineStr"/>
      <c r="G1737" s="6" t="inlineStr"/>
      <c r="H1737" s="6" t="inlineStr">
        <is>
          <t>Annene bir resim kursu buldun. Artık salı akşamları fasulye yok; resim var. İkiniz de yeni bir şey öğreniyorsunuz: yalnız kalmayı.</t>
        </is>
      </c>
      <c r="I1737" s="6" t="inlineStr">
        <is>
          <t>Annen kurstan bir arkadaş grubu edindi. Artık senden izin istemeden geziye gidiyor; sen de ilk kez evde tek başına yemek yiyorsun.</t>
        </is>
      </c>
      <c r="J1737" s="6" t="inlineStr">
        <is>
          <t>Annen kursa bir kez gitti, döndü: “Orada kimse tencere konuşmuyor.”</t>
        </is>
      </c>
      <c r="K1737" s="6" t="inlineStr">
        <is>
          <t>Önerini duyunca annen seni evlendirmeye karar verdi. Kursun yerini görücü kahveleri aldı.</t>
        </is>
      </c>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kriz-7</t>
        </is>
      </c>
      <c r="B1738" s="5" t="n">
        <v>1</v>
      </c>
      <c r="C1738" s="6" t="inlineStr">
        <is>
          <t>Dişini sık, dayan</t>
        </is>
      </c>
      <c r="D1738" s="5" t="inlineStr"/>
      <c r="E1738" s="5" t="inlineStr"/>
      <c r="F1738" s="5" t="inlineStr">
        <is>
          <t>Dayanıklılık +1, Gönül +1</t>
        </is>
      </c>
      <c r="G1738" s="6" t="inlineStr">
        <is>
          <t>Dişini sıktın, birikim eridi. Bir akşam annen bileziğini çıkarıp masaya, “Şimdi?” yazan kâğıdın yanına koydu. Almadın; ama o gece ilk kez rahat uyudun.</t>
        </is>
      </c>
      <c r="H1738" s="6" t="inlineStr"/>
      <c r="I1738" s="6" t="inlineStr"/>
      <c r="J1738" s="6" t="inlineStr"/>
      <c r="K1738" s="6" t="inlineStr"/>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n">
        <v>1</v>
      </c>
      <c r="AG1738" s="5" t="inlineStr"/>
      <c r="AH1738" s="5" t="inlineStr"/>
      <c r="AI1738" s="5" t="inlineStr"/>
      <c r="AJ1738" s="5" t="inlineStr"/>
    </row>
    <row r="1739">
      <c r="A1739" s="5" t="inlineStr">
        <is>
          <t>kriz-7</t>
        </is>
      </c>
      <c r="B1739" s="5" t="n">
        <v>2</v>
      </c>
      <c r="C1739" s="6" t="inlineStr">
        <is>
          <t>Mahalleden borç iste</t>
        </is>
      </c>
      <c r="D1739" s="5" t="inlineStr"/>
      <c r="E1739" s="5" t="inlineStr"/>
      <c r="F1739" s="5" t="inlineStr">
        <is>
          <t>İtibar +1, Dayanıklılık +1</t>
        </is>
      </c>
      <c r="G1739" s="6" t="inlineStr">
        <is>
          <t>Kahvede bir cümle kurdun, akşama kadar üç zarf geldi; hiçbirinde senet yok. Birikimin yerinde kaldı; borcun mahalleye. Ödeyeceğin gün herkes ayrı ayrı “Ne gerek vardı” diyecek.</t>
        </is>
      </c>
      <c r="H1739" s="6" t="inlineStr"/>
      <c r="I1739" s="6" t="inlineStr"/>
      <c r="J1739" s="6" t="inlineStr"/>
      <c r="K1739" s="6" t="inlineStr"/>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is>
          <t>İtibar 37</t>
        </is>
      </c>
      <c r="AI1739" s="5" t="inlineStr"/>
      <c r="AJ1739" s="5" t="inlineStr"/>
    </row>
    <row r="1740">
      <c r="A1740" s="5" t="inlineStr">
        <is>
          <t>kriz-7</t>
        </is>
      </c>
      <c r="B1740" s="5" t="n">
        <v>3</v>
      </c>
      <c r="C1740" s="6" t="inlineStr">
        <is>
          <t>Tezgâh aç, esnaflığa geç</t>
        </is>
      </c>
      <c r="D1740" s="5" t="inlineStr">
        <is>
          <t>Kurnazlık</t>
        </is>
      </c>
      <c r="E1740" s="5" t="inlineStr">
        <is>
          <t>Zor</t>
        </is>
      </c>
      <c r="F1740" s="5" t="inlineStr"/>
      <c r="G1740" s="6" t="inlineStr"/>
      <c r="H1740" s="6" t="inlineStr">
        <is>
          <t>Elindeki son birikimle küçük bir dükkân tuttun. Tabelayı astığın gün annen gelip kapıya nazar boncuğu astı; ilk alışverişi de o yaptı: bir paket çay, “Üstü kalsın.”</t>
        </is>
      </c>
      <c r="I1740" s="6" t="inlineStr">
        <is>
          <t>Dükkân ilk ay kirayı çıkardı. Annen herkese “Bizim çocuğun dükkânı” diyor; müşterilerin yarısı annenin telefon rehberi.</t>
        </is>
      </c>
      <c r="J1740" s="6" t="inlineStr">
        <is>
          <t>Dükkân tutmaya gittin; kira cebindekinin iki katıydı. Eski işine, eski yorgunluğuna döndün.</t>
        </is>
      </c>
      <c r="K1740" s="6" t="inlineStr">
        <is>
          <t>Dükkânı açtın, açılış günü sokak kazıldı. Üç ay kimse kapına ulaşamadı; sen de kapattın, eski işine döndün.</t>
        </is>
      </c>
      <c r="L1740" s="6" t="inlineStr"/>
      <c r="M1740" s="5" t="inlineStr"/>
      <c r="N1740" s="5" t="inlineStr"/>
      <c r="O1740" s="6" t="inlineStr"/>
      <c r="P1740" s="6" t="inlineStr"/>
      <c r="Q1740" s="5" t="inlineStr"/>
      <c r="R1740" s="5" t="inlineStr"/>
      <c r="S1740" s="5" t="inlineStr"/>
      <c r="T1740" s="5" t="inlineStr"/>
      <c r="U1740" s="5" t="inlineStr"/>
      <c r="V1740" s="5" t="inlineStr">
        <is>
          <t>-hat-cete, -hat-dolandirici, -hat-girisimci, -hat-goc, -hat-hekim, -hat-koy, -hat-polis, -hat-politika, -hat-sohret, -hat-usta, -hat-yargi, -meslek-beyazyaka, -meslek-memur, -meslek-serbest, meslek-esnaf</t>
        </is>
      </c>
      <c r="W1740" s="5" t="inlineStr"/>
      <c r="X1740" s="5" t="inlineStr"/>
      <c r="Y1740" s="5" t="inlineStr"/>
      <c r="Z1740" s="6" t="inlineStr"/>
      <c r="AA1740" s="5" t="inlineStr"/>
      <c r="AB1740" s="5" t="inlineStr"/>
      <c r="AC1740" s="5" t="inlineStr"/>
      <c r="AD1740" s="5" t="inlineStr"/>
      <c r="AE1740" s="5" t="inlineStr"/>
      <c r="AF1740" s="5" t="inlineStr"/>
      <c r="AG1740" s="5" t="inlineStr">
        <is>
          <t>meslek-esnaf</t>
        </is>
      </c>
      <c r="AH1740" s="5" t="inlineStr"/>
      <c r="AI1740" s="5" t="inlineStr"/>
      <c r="AJ1740" s="5" t="inlineStr"/>
    </row>
    <row r="1741">
      <c r="A1741" s="5" t="inlineStr">
        <is>
          <t>kriz-7</t>
        </is>
      </c>
      <c r="B1741" s="5" t="n">
        <v>4</v>
      </c>
      <c r="C1741" s="6" t="inlineStr">
        <is>
          <t>Kendi girişimini kur</t>
        </is>
      </c>
      <c r="D1741" s="5" t="inlineStr">
        <is>
          <t>Cesaret</t>
        </is>
      </c>
      <c r="E1741" s="5" t="inlineStr">
        <is>
          <t>Zor</t>
        </is>
      </c>
      <c r="F1741" s="5" t="inlineStr"/>
      <c r="G1741" s="6" t="inlineStr"/>
      <c r="H1741" s="6" t="inlineStr">
        <is>
          <t>Bir fikir, bir sunum, bir kafe masası. Şirketin kuruldu. Annen komşulara hâlâ “Bilgisayarla ilgili bir şey” diye anlatıyor.</t>
        </is>
      </c>
      <c r="I1741" s="6" t="inlineStr">
        <is>
          <t>İlk sunumda yatırımcı dosyana baktı, sonra sana: “Batıp çıkmış birini arıyorduk.” Mutfak masasındaki “Şimdi?” kâğıdını çerçeveletip yeni ofisin duvarına astın.</t>
        </is>
      </c>
      <c r="J1741" s="6" t="inlineStr">
        <is>
          <t>Fikrin güzeldi, zamanlaman değil. Eski işine döndün; fikir çekmecede bekliyor.</t>
        </is>
      </c>
      <c r="K1741" s="6" t="inlineStr">
        <is>
          <t>Şirketi kurdun, ilk hafta ortağın fikrinle birlikte ortadan kayboldu. Eski işine döndün; bir de avukatın var artık.</t>
        </is>
      </c>
      <c r="L1741" s="6" t="inlineStr"/>
      <c r="M1741" s="5" t="inlineStr"/>
      <c r="N1741" s="5" t="inlineStr"/>
      <c r="O1741" s="6" t="inlineStr"/>
      <c r="P1741" s="6" t="inlineStr"/>
      <c r="Q1741" s="5" t="inlineStr"/>
      <c r="R1741" s="5" t="inlineStr"/>
      <c r="S1741" s="5" t="inlineStr"/>
      <c r="T1741" s="5" t="inlineStr"/>
      <c r="U1741" s="5" t="inlineStr"/>
      <c r="V1741" s="5" t="inlineStr">
        <is>
          <t>-hat-cete, -hat-dolandirici, -hat-goc, -hat-hekim, -hat-koy, -hat-polis, -hat-politika, -hat-sohret, -hat-usta, -hat-yargi, -meslek-beyazyaka, -meslek-esnaf, -meslek-memur, hat-girisimci, meslek-serbest</t>
        </is>
      </c>
      <c r="W1741" s="5" t="inlineStr"/>
      <c r="X1741" s="5" t="inlineStr"/>
      <c r="Y1741" s="5" t="inlineStr"/>
      <c r="Z1741" s="6" t="inlineStr"/>
      <c r="AA1741" s="5" t="inlineStr"/>
      <c r="AB1741" s="5" t="inlineStr"/>
      <c r="AC1741" s="5" t="inlineStr"/>
      <c r="AD1741" s="5" t="inlineStr"/>
      <c r="AE1741" s="5" t="inlineStr"/>
      <c r="AF1741" s="5" t="inlineStr"/>
      <c r="AG1741" s="5" t="inlineStr">
        <is>
          <t>hat-girisimci</t>
        </is>
      </c>
      <c r="AH1741" s="5" t="inlineStr"/>
      <c r="AI1741" s="5" t="inlineStr"/>
      <c r="AJ1741" s="5" t="inlineStr"/>
    </row>
    <row r="1742">
      <c r="A1742" s="5" t="inlineStr">
        <is>
          <t>kriz-7</t>
        </is>
      </c>
      <c r="B1742" s="5" t="n">
        <v>5</v>
      </c>
      <c r="C1742" s="6" t="inlineStr">
        <is>
          <t>Abinin eski adamlarını ara</t>
        </is>
      </c>
      <c r="D1742" s="5" t="inlineStr">
        <is>
          <t>Cesaret</t>
        </is>
      </c>
      <c r="E1742" s="5" t="inlineStr">
        <is>
          <t>Zor</t>
        </is>
      </c>
      <c r="F1742" s="5" t="inlineStr"/>
      <c r="G1742" s="6" t="inlineStr"/>
      <c r="H1742" s="6" t="inlineStr">
        <is>
          <t>Bir telefon açtın, ertesi gün bir dükkânın başındaydın. Kasa hep dolu; nereden dolduğunu sormamak da işin parçası.</t>
        </is>
      </c>
      <c r="I1742" s="6" t="inlineStr">
        <is>
          <t>Yeni işinde hızla yükseldin; herkes sana “abi” demeye başladı. Bu kelimenin ağırlığını ilk kez omzunda hissettin.</t>
        </is>
      </c>
      <c r="J1742" s="6" t="inlineStr">
        <is>
          <t>Telefonu açtılar ama “Sen bu işlerin adamı değilsin” dediler. Belki de haklıydılar; eski işine döndün.</t>
        </is>
      </c>
      <c r="K1742" s="6" t="inlineStr">
        <is>
          <t>Telefonu yanlış kişiye açtın; komiser çıktı. Bir sohbet oldu, bir tutanak oldu. Eski işine döndün; bir dosyan var artık.</t>
        </is>
      </c>
      <c r="L1742" s="6" t="inlineStr"/>
      <c r="M1742" s="5" t="inlineStr"/>
      <c r="N1742" s="5" t="inlineStr"/>
      <c r="O1742" s="6" t="inlineStr"/>
      <c r="P1742" s="6" t="inlineStr"/>
      <c r="Q1742" s="5" t="inlineStr"/>
      <c r="R1742" s="5" t="inlineStr"/>
      <c r="S1742" s="5" t="inlineStr"/>
      <c r="T1742" s="5" t="inlineStr"/>
      <c r="U1742" s="5" t="inlineStr"/>
      <c r="V1742" s="5" t="inlineStr">
        <is>
          <t>-hat-dolandirici, -hat-girisimci, -hat-goc, -hat-hekim, -hat-koy, -hat-polis, -hat-politika, -hat-sohret, -hat-usta, -hat-yargi, -meslek-beyazyaka, -meslek-memur, -meslek-serbest, hat-cete, meslek-esnaf</t>
        </is>
      </c>
      <c r="W1742" s="5" t="inlineStr"/>
      <c r="X1742" s="5" t="inlineStr"/>
      <c r="Y1742" s="5" t="inlineStr"/>
      <c r="Z1742" s="6" t="inlineStr"/>
      <c r="AA1742" s="5" t="inlineStr">
        <is>
          <t>hepsi -1</t>
        </is>
      </c>
      <c r="AB1742" s="5" t="inlineStr"/>
      <c r="AC1742" s="5" t="inlineStr"/>
      <c r="AD1742" s="5" t="inlineStr"/>
      <c r="AE1742" s="5" t="inlineStr"/>
      <c r="AF1742" s="5" t="inlineStr"/>
      <c r="AG1742" s="5" t="inlineStr">
        <is>
          <t>hat-cete</t>
        </is>
      </c>
      <c r="AH1742" s="5" t="inlineStr"/>
      <c r="AI1742" s="5" t="inlineStr"/>
      <c r="AJ1742" s="5" t="inlineStr"/>
    </row>
    <row r="1743">
      <c r="A1743" s="5" t="inlineStr">
        <is>
          <t>kriz-7</t>
        </is>
      </c>
      <c r="B1743" s="5" t="n">
        <v>6</v>
      </c>
      <c r="C1743" s="6" t="inlineStr">
        <is>
          <t>Kolay para ilanına cevap ver</t>
        </is>
      </c>
      <c r="D1743" s="5" t="inlineStr">
        <is>
          <t>Kurnazlık</t>
        </is>
      </c>
      <c r="E1743" s="5" t="inlineStr">
        <is>
          <t>Zor</t>
        </is>
      </c>
      <c r="F1743" s="5" t="inlineStr"/>
      <c r="G1743" s="6" t="inlineStr"/>
      <c r="H1743" s="6" t="inlineStr">
        <is>
          <t>Bir ilan, üç telefon, bir sunum. Para geldi; nereden geldiğini sormamaya karar verdin. Vicdanın da sormadı; şimdilik.</t>
        </is>
      </c>
      <c r="I1743" s="6" t="inlineStr">
        <is>
          <t>Öyle hızlı büyüdün ki bir ay içinde kendi seminerini veriyordun. Salon doluydu; arka sırada vicdanın oturuyordu.</t>
        </is>
      </c>
      <c r="J1743" s="6" t="inlineStr">
        <is>
          <t>İlanın ilk cevabını veren kişi bir dolandırıcıydı. Seni dolandırmaya çalıştı; ikiniz de vazgeçtiniz.</t>
        </is>
      </c>
      <c r="K1743" s="6" t="inlineStr">
        <is>
          <t>İlk “fırsatı” yakından inceleyince kendini bir tüketici programında buldun. Adın yok, sesin var.</t>
        </is>
      </c>
      <c r="L1743" s="6" t="inlineStr"/>
      <c r="M1743" s="5" t="inlineStr"/>
      <c r="N1743" s="5" t="inlineStr"/>
      <c r="O1743" s="6" t="inlineStr"/>
      <c r="P1743" s="6" t="inlineStr"/>
      <c r="Q1743" s="5" t="inlineStr"/>
      <c r="R1743" s="5" t="inlineStr"/>
      <c r="S1743" s="5" t="inlineStr"/>
      <c r="T1743" s="5" t="inlineStr"/>
      <c r="U1743" s="5" t="inlineStr"/>
      <c r="V1743" s="5" t="inlineStr">
        <is>
          <t>-hat-cete, -hat-girisimci, -hat-goc, -hat-hekim, -hat-koy, -hat-polis, -hat-politika, -hat-sohret, -hat-usta, -hat-yargi, -meslek-beyazyaka, -meslek-esnaf, -meslek-memur, hat-dolandirici, meslek-serbest</t>
        </is>
      </c>
      <c r="W1743" s="5" t="inlineStr"/>
      <c r="X1743" s="5" t="inlineStr"/>
      <c r="Y1743" s="5" t="inlineStr"/>
      <c r="Z1743" s="6" t="inlineStr"/>
      <c r="AA1743" s="5" t="inlineStr">
        <is>
          <t>hepsi -1</t>
        </is>
      </c>
      <c r="AB1743" s="5" t="inlineStr"/>
      <c r="AC1743" s="5" t="inlineStr"/>
      <c r="AD1743" s="5" t="inlineStr"/>
      <c r="AE1743" s="5" t="inlineStr"/>
      <c r="AF1743" s="5" t="inlineStr"/>
      <c r="AG1743" s="5" t="inlineStr">
        <is>
          <t>hat-dolandirici</t>
        </is>
      </c>
      <c r="AH1743" s="5" t="inlineStr"/>
      <c r="AI1743" s="5" t="inlineStr"/>
      <c r="AJ1743" s="5" t="inlineStr"/>
    </row>
    <row r="1744">
      <c r="A1744" s="5" t="inlineStr">
        <is>
          <t>kriz-8</t>
        </is>
      </c>
      <c r="B1744" s="5" t="n">
        <v>1</v>
      </c>
      <c r="C1744" s="6" t="inlineStr">
        <is>
          <t>Dişini sık, dayan</t>
        </is>
      </c>
      <c r="D1744" s="5" t="inlineStr"/>
      <c r="E1744" s="5" t="inlineStr"/>
      <c r="F1744" s="5" t="inlineStr">
        <is>
          <t>Dayanıklılık +2</t>
        </is>
      </c>
      <c r="G1744" s="6" t="inlineStr">
        <is>
          <t>Dişini sıktın. Birikim eridi, ama yerinde durdun. Annen her akşam aradı: “Sen bir şey yedin mi?”</t>
        </is>
      </c>
      <c r="H1744" s="6" t="inlineStr"/>
      <c r="I1744" s="6" t="inlineStr"/>
      <c r="J1744" s="6" t="inlineStr"/>
      <c r="K1744" s="6" t="inlineStr"/>
      <c r="L1744" s="6" t="inlineStr"/>
      <c r="M1744" s="5" t="inlineStr"/>
      <c r="N1744" s="5" t="inlineStr"/>
      <c r="O1744" s="6" t="inlineStr"/>
      <c r="P1744" s="6" t="inlineStr"/>
      <c r="Q1744" s="5" t="inlineStr"/>
      <c r="R1744" s="5" t="inlineStr"/>
      <c r="S1744" s="5" t="inlineStr"/>
      <c r="T1744" s="5" t="inlineStr"/>
      <c r="U1744" s="5" t="inlineStr"/>
      <c r="V1744" s="5" t="inlineStr"/>
      <c r="W1744" s="5" t="inlineStr"/>
      <c r="X1744" s="5" t="inlineStr"/>
      <c r="Y1744" s="5" t="inlineStr"/>
      <c r="Z1744" s="6" t="inlineStr"/>
      <c r="AA1744" s="5" t="inlineStr"/>
      <c r="AB1744" s="5" t="inlineStr"/>
      <c r="AC1744" s="5" t="inlineStr"/>
      <c r="AD1744" s="5" t="inlineStr"/>
      <c r="AE1744" s="5" t="inlineStr"/>
      <c r="AF1744" s="5" t="n">
        <v>1</v>
      </c>
      <c r="AG1744" s="5" t="inlineStr"/>
      <c r="AH1744" s="5" t="inlineStr"/>
      <c r="AI1744" s="5" t="inlineStr"/>
      <c r="AJ1744" s="5" t="inlineStr"/>
    </row>
    <row r="1745">
      <c r="A1745" s="5" t="inlineStr">
        <is>
          <t>kriz-8</t>
        </is>
      </c>
      <c r="B1745" s="5" t="n">
        <v>2</v>
      </c>
      <c r="C1745" s="6" t="inlineStr">
        <is>
          <t>Mahalleden borç iste</t>
        </is>
      </c>
      <c r="D1745" s="5" t="inlineStr"/>
      <c r="E1745" s="5" t="inlineStr"/>
      <c r="F1745" s="5" t="inlineStr">
        <is>
          <t>İtibar +1, Dayanıklılık +1</t>
        </is>
      </c>
      <c r="G1745" s="6" t="inlineStr">
        <is>
          <t>Bakkala, kasaba ve alt kattaki teyzeye birer cümle kurdun; akşama kadar kapına üç zarf bırakıldı, hiçbirinde senet yok. Birikimin yerinde kaldı; borcun mahalleye. Ödeyeceğin gün herkes ayrı ayrı “Ne gerek vardı” diyecek.</t>
        </is>
      </c>
      <c r="H1745" s="6" t="inlineStr"/>
      <c r="I1745" s="6" t="inlineStr"/>
      <c r="J1745" s="6" t="inlineStr"/>
      <c r="K1745" s="6" t="inlineStr"/>
      <c r="L1745" s="6" t="inlineStr"/>
      <c r="M1745" s="5" t="inlineStr"/>
      <c r="N1745" s="5" t="inlineStr"/>
      <c r="O1745" s="6" t="inlineStr"/>
      <c r="P1745" s="6" t="inlineStr"/>
      <c r="Q1745" s="5" t="inlineStr"/>
      <c r="R1745" s="5" t="inlineStr"/>
      <c r="S1745" s="5" t="inlineStr"/>
      <c r="T1745" s="5" t="inlineStr"/>
      <c r="U1745" s="5" t="inlineStr"/>
      <c r="V1745" s="5" t="inlineStr"/>
      <c r="W1745" s="5" t="inlineStr"/>
      <c r="X1745" s="5" t="inlineStr"/>
      <c r="Y1745" s="5" t="inlineStr"/>
      <c r="Z1745" s="6" t="inlineStr"/>
      <c r="AA1745" s="5" t="inlineStr"/>
      <c r="AB1745" s="5" t="inlineStr"/>
      <c r="AC1745" s="5" t="inlineStr"/>
      <c r="AD1745" s="5" t="inlineStr"/>
      <c r="AE1745" s="5" t="inlineStr"/>
      <c r="AF1745" s="5" t="inlineStr"/>
      <c r="AG1745" s="5" t="inlineStr"/>
      <c r="AH1745" s="5" t="inlineStr">
        <is>
          <t>İtibar 37</t>
        </is>
      </c>
      <c r="AI1745" s="5" t="inlineStr"/>
      <c r="AJ1745" s="5" t="inlineStr"/>
    </row>
    <row r="1746">
      <c r="A1746" s="5" t="inlineStr">
        <is>
          <t>kriz-8</t>
        </is>
      </c>
      <c r="B1746" s="5" t="n">
        <v>3</v>
      </c>
      <c r="C1746" s="6" t="inlineStr">
        <is>
          <t>Tezgâh aç, esnaflığa geç</t>
        </is>
      </c>
      <c r="D1746" s="5" t="inlineStr">
        <is>
          <t>Kurnazlık</t>
        </is>
      </c>
      <c r="E1746" s="5" t="inlineStr">
        <is>
          <t>Zor</t>
        </is>
      </c>
      <c r="F1746" s="5" t="inlineStr"/>
      <c r="G1746" s="6" t="inlineStr"/>
      <c r="H1746" s="6" t="inlineStr">
        <is>
          <t>Elindeki son birikimle küçük bir dükkân tuttun. Tabela senin, kira senin, veresiye defteri de senin. Defterin ilk sayfasına annenin adı yazıldı: yarım ekmek.</t>
        </is>
      </c>
      <c r="I1746" s="6" t="inlineStr">
        <is>
          <t>Dükkân ilk ayında kira çıkardı, ikinci ayında seni. Mahallede artık “Yeni esnaf” diye biliniyorsun; yeni ama ağzı laf yapan.</t>
        </is>
      </c>
      <c r="J1746" s="6" t="inlineStr">
        <is>
          <t>Dükkân tutmaya gittin; kira cebindekinin iki katıydı. Eski işine, eski yorgunluğuna döndün.</t>
        </is>
      </c>
      <c r="K1746" s="6" t="inlineStr">
        <is>
          <t>Dükkânı açtın, açılış günü sokak kazıldı. Üç ay kimse kapına ulaşamadı; sen de kapattın, eski işine döndün.</t>
        </is>
      </c>
      <c r="L1746" s="6" t="inlineStr"/>
      <c r="M1746" s="5" t="inlineStr"/>
      <c r="N1746" s="5" t="inlineStr"/>
      <c r="O1746" s="6" t="inlineStr"/>
      <c r="P1746" s="6" t="inlineStr"/>
      <c r="Q1746" s="5" t="inlineStr"/>
      <c r="R1746" s="5" t="inlineStr"/>
      <c r="S1746" s="5" t="inlineStr"/>
      <c r="T1746" s="5" t="inlineStr"/>
      <c r="U1746" s="5" t="inlineStr"/>
      <c r="V1746" s="5" t="inlineStr">
        <is>
          <t>-hat-cete, -hat-dolandirici, -hat-girisimci, -hat-goc, -hat-hekim, -hat-koy, -hat-polis, -hat-politika, -hat-sohret, -hat-usta, -hat-yargi, -meslek-beyazyaka, -meslek-memur, -meslek-serbest, meslek-esnaf</t>
        </is>
      </c>
      <c r="W1746" s="5" t="inlineStr"/>
      <c r="X1746" s="5" t="inlineStr"/>
      <c r="Y1746" s="5" t="inlineStr"/>
      <c r="Z1746" s="6" t="inlineStr"/>
      <c r="AA1746" s="5" t="inlineStr"/>
      <c r="AB1746" s="5" t="inlineStr"/>
      <c r="AC1746" s="5" t="inlineStr"/>
      <c r="AD1746" s="5" t="inlineStr"/>
      <c r="AE1746" s="5" t="inlineStr"/>
      <c r="AF1746" s="5" t="inlineStr"/>
      <c r="AG1746" s="5" t="inlineStr">
        <is>
          <t>meslek-esnaf</t>
        </is>
      </c>
      <c r="AH1746" s="5" t="inlineStr"/>
      <c r="AI1746" s="5" t="inlineStr"/>
      <c r="AJ1746" s="5" t="inlineStr"/>
    </row>
    <row r="1747">
      <c r="A1747" s="5" t="inlineStr">
        <is>
          <t>kriz-8</t>
        </is>
      </c>
      <c r="B1747" s="5" t="n">
        <v>4</v>
      </c>
      <c r="C1747" s="6" t="inlineStr">
        <is>
          <t>Kendi girişimini kur</t>
        </is>
      </c>
      <c r="D1747" s="5" t="inlineStr">
        <is>
          <t>Cesaret</t>
        </is>
      </c>
      <c r="E1747" s="5" t="inlineStr">
        <is>
          <t>Zor</t>
        </is>
      </c>
      <c r="F1747" s="5" t="inlineStr"/>
      <c r="G1747" s="6" t="inlineStr"/>
      <c r="H1747" s="6" t="inlineStr">
        <is>
          <t>Bir fikir, bir sunum, bir kafe masası. Şirketin kuruldu. Yaşın kimseyi ilgilendirmedi; tecrüben herkesi ilgilendirdi.</t>
        </is>
      </c>
      <c r="I1747" s="6" t="inlineStr">
        <is>
          <t>İlk sunumda yatırımcı özgeçmişine baktı: “Bu kadar batıp çıkan birini arıyorduk.” Kırk yedi yaşında ilk kez biri krizini alkışladı.</t>
        </is>
      </c>
      <c r="J1747" s="6" t="inlineStr">
        <is>
          <t>Fikrin güzeldi, zamanlaman değil. Eski işine döndün; fikir çekmecede bekliyor.</t>
        </is>
      </c>
      <c r="K1747" s="6" t="inlineStr">
        <is>
          <t>Şirketi kurdun, ilk hafta ortağın fikrinle birlikte ortadan kayboldu. Eski işine döndün; bir de avukatın var artık.</t>
        </is>
      </c>
      <c r="L1747" s="6" t="inlineStr"/>
      <c r="M1747" s="5" t="inlineStr"/>
      <c r="N1747" s="5" t="inlineStr"/>
      <c r="O1747" s="6" t="inlineStr"/>
      <c r="P1747" s="6" t="inlineStr"/>
      <c r="Q1747" s="5" t="inlineStr"/>
      <c r="R1747" s="5" t="inlineStr"/>
      <c r="S1747" s="5" t="inlineStr"/>
      <c r="T1747" s="5" t="inlineStr"/>
      <c r="U1747" s="5" t="inlineStr"/>
      <c r="V1747" s="5" t="inlineStr">
        <is>
          <t>-hat-cete, -hat-dolandirici, -hat-goc, -hat-hekim, -hat-koy, -hat-polis, -hat-politika, -hat-sohret, -hat-usta, -hat-yargi, -meslek-beyazyaka, -meslek-esnaf, -meslek-memur, hat-girisimci, meslek-serbest</t>
        </is>
      </c>
      <c r="W1747" s="5" t="inlineStr"/>
      <c r="X1747" s="5" t="inlineStr"/>
      <c r="Y1747" s="5" t="inlineStr"/>
      <c r="Z1747" s="6" t="inlineStr"/>
      <c r="AA1747" s="5" t="inlineStr"/>
      <c r="AB1747" s="5" t="inlineStr"/>
      <c r="AC1747" s="5" t="inlineStr"/>
      <c r="AD1747" s="5" t="inlineStr"/>
      <c r="AE1747" s="5" t="inlineStr"/>
      <c r="AF1747" s="5" t="inlineStr"/>
      <c r="AG1747" s="5" t="inlineStr">
        <is>
          <t>hat-girisimci</t>
        </is>
      </c>
      <c r="AH1747" s="5" t="inlineStr"/>
      <c r="AI1747" s="5" t="inlineStr"/>
      <c r="AJ1747" s="5" t="inlineStr"/>
    </row>
    <row r="1748">
      <c r="A1748" s="5" t="inlineStr">
        <is>
          <t>kriz-8</t>
        </is>
      </c>
      <c r="B1748" s="5" t="n">
        <v>5</v>
      </c>
      <c r="C1748" s="6" t="inlineStr">
        <is>
          <t>Mahallenin eski abisine uğra</t>
        </is>
      </c>
      <c r="D1748" s="5" t="inlineStr">
        <is>
          <t>Cesaret</t>
        </is>
      </c>
      <c r="E1748" s="5" t="inlineStr">
        <is>
          <t>Zor</t>
        </is>
      </c>
      <c r="F1748" s="5" t="inlineStr"/>
      <c r="G1748" s="6" t="inlineStr"/>
      <c r="H1748" s="6" t="inlineStr">
        <is>
          <t>Bir telefon açtın, ertesi gün bir dükkânın başındaydın. Kasa hep dolu; nereden dolduğunu sormamak da işin parçası.</t>
        </is>
      </c>
      <c r="I1748" s="6" t="inlineStr">
        <is>
          <t>Yeni işinde hızla yükseldin; kahveye girince masalar ayağa kalkmaya başladı. Annen bir gün sordu: “Bu insanlar sana neden çay koyuyor?” Cevap veremedin.</t>
        </is>
      </c>
      <c r="J1748" s="6" t="inlineStr">
        <is>
          <t>Telefonu açtılar ama “Sen bu işlere göre değilsin” dediler. Belki de haklıydılar; eski işine döndün.</t>
        </is>
      </c>
      <c r="K1748" s="6" t="inlineStr">
        <is>
          <t>Telefonu yanlış kişiye açtın; komiser çıktı. Bir sohbet oldu, bir tutanak oldu. Eski işine döndün; bir dosyan var artık.</t>
        </is>
      </c>
      <c r="L1748" s="6" t="inlineStr"/>
      <c r="M1748" s="5" t="inlineStr"/>
      <c r="N1748" s="5" t="inlineStr"/>
      <c r="O1748" s="6" t="inlineStr"/>
      <c r="P1748" s="6" t="inlineStr"/>
      <c r="Q1748" s="5" t="inlineStr"/>
      <c r="R1748" s="5" t="inlineStr"/>
      <c r="S1748" s="5" t="inlineStr"/>
      <c r="T1748" s="5" t="inlineStr"/>
      <c r="U1748" s="5" t="inlineStr"/>
      <c r="V1748" s="5" t="inlineStr">
        <is>
          <t>-hat-dolandirici, -hat-girisimci, -hat-goc, -hat-hekim, -hat-koy, -hat-polis, -hat-politika, -hat-sohret, -hat-usta, -hat-yargi, -meslek-beyazyaka, -meslek-memur, -meslek-serbest, hat-cete, meslek-esnaf</t>
        </is>
      </c>
      <c r="W1748" s="5" t="inlineStr"/>
      <c r="X1748" s="5" t="inlineStr"/>
      <c r="Y1748" s="5" t="inlineStr"/>
      <c r="Z1748" s="6" t="inlineStr"/>
      <c r="AA1748" s="5" t="inlineStr">
        <is>
          <t>hepsi -1</t>
        </is>
      </c>
      <c r="AB1748" s="5" t="inlineStr"/>
      <c r="AC1748" s="5" t="inlineStr"/>
      <c r="AD1748" s="5" t="inlineStr"/>
      <c r="AE1748" s="5" t="inlineStr"/>
      <c r="AF1748" s="5" t="inlineStr"/>
      <c r="AG1748" s="5" t="inlineStr">
        <is>
          <t>hat-cete</t>
        </is>
      </c>
      <c r="AH1748" s="5" t="inlineStr"/>
      <c r="AI1748" s="5" t="inlineStr"/>
      <c r="AJ1748" s="5" t="inlineStr"/>
    </row>
    <row r="1749">
      <c r="A1749" s="5" t="inlineStr">
        <is>
          <t>kriz-8</t>
        </is>
      </c>
      <c r="B1749" s="5" t="n">
        <v>6</v>
      </c>
      <c r="C1749" s="6" t="inlineStr">
        <is>
          <t>Emeklilik birikimini “fırsata” yatır</t>
        </is>
      </c>
      <c r="D1749" s="5" t="inlineStr">
        <is>
          <t>Kurnazlık</t>
        </is>
      </c>
      <c r="E1749" s="5" t="inlineStr">
        <is>
          <t>Zor</t>
        </is>
      </c>
      <c r="F1749" s="5" t="inlineStr"/>
      <c r="G1749" s="6" t="inlineStr"/>
      <c r="H1749" s="6" t="inlineStr">
        <is>
          <t>Bir ilan, üç telefon, bir sunum. Para geldi; nereden geldiğini sormamaya karar verdin. Vicdanın da sormadı; şimdilik.</t>
        </is>
      </c>
      <c r="I1749" s="6" t="inlineStr">
        <is>
          <t>Öyle hızlı büyüdün ki bir ay içinde kendi seminerini veriyordun. Salon doluydu; arka sırada vicdanın oturuyordu.</t>
        </is>
      </c>
      <c r="J1749" s="6" t="inlineStr">
        <is>
          <t>İlanın ilk cevabını veren kişi bir dolandırıcıydı. Seni dolandırmaya çalıştı; ikiniz de vazgeçtiniz.</t>
        </is>
      </c>
      <c r="K1749" s="6" t="inlineStr">
        <is>
          <t>İlk “fırsat” bir saadet zinciriymiş; birikimin bir haftada gitti. Akşam haberlerinde sesi değiştirilmiş bir mağdur konuştu. Kimse tanımadı. Annen tanıdı.</t>
        </is>
      </c>
      <c r="L1749" s="6" t="inlineStr"/>
      <c r="M1749" s="5" t="inlineStr"/>
      <c r="N1749" s="5" t="inlineStr"/>
      <c r="O1749" s="6" t="inlineStr"/>
      <c r="P1749" s="6" t="inlineStr"/>
      <c r="Q1749" s="5" t="inlineStr"/>
      <c r="R1749" s="5" t="inlineStr"/>
      <c r="S1749" s="5" t="inlineStr"/>
      <c r="T1749" s="5" t="inlineStr"/>
      <c r="U1749" s="5" t="inlineStr"/>
      <c r="V1749" s="5" t="inlineStr">
        <is>
          <t>-hat-cete, -hat-girisimci, -hat-goc, -hat-hekim, -hat-koy, -hat-polis, -hat-politika, -hat-sohret, -hat-usta, -hat-yargi, -meslek-beyazyaka, -meslek-esnaf, -meslek-memur, hat-dolandirici, meslek-serbest</t>
        </is>
      </c>
      <c r="W1749" s="5" t="inlineStr"/>
      <c r="X1749" s="5" t="inlineStr"/>
      <c r="Y1749" s="5" t="inlineStr"/>
      <c r="Z1749" s="6" t="inlineStr"/>
      <c r="AA1749" s="5" t="inlineStr">
        <is>
          <t>hepsi -1</t>
        </is>
      </c>
      <c r="AB1749" s="5" t="inlineStr"/>
      <c r="AC1749" s="5" t="inlineStr"/>
      <c r="AD1749" s="5" t="inlineStr"/>
      <c r="AE1749" s="5" t="inlineStr"/>
      <c r="AF1749" s="5" t="inlineStr"/>
      <c r="AG1749" s="5" t="inlineStr">
        <is>
          <t>hat-dolandirici</t>
        </is>
      </c>
      <c r="AH1749" s="5" t="inlineStr"/>
      <c r="AI1749" s="5" t="inlineStr"/>
      <c r="AJ1749" s="5" t="inlineStr"/>
    </row>
    <row r="1750">
      <c r="A1750" s="5" t="inlineStr">
        <is>
          <t>kriz-9</t>
        </is>
      </c>
      <c r="B1750" s="5" t="n">
        <v>1</v>
      </c>
      <c r="C1750" s="6" t="inlineStr">
        <is>
          <t>Dişini sık, dayan</t>
        </is>
      </c>
      <c r="D1750" s="5" t="inlineStr"/>
      <c r="E1750" s="5" t="inlineStr"/>
      <c r="F1750" s="5" t="inlineStr">
        <is>
          <t>Dayanıklılık +2</t>
        </is>
      </c>
      <c r="G1750" s="6" t="inlineStr">
        <is>
          <t>Dişini sıktın. Kahveyi evde içmeye, pazara kapanışta gitmeye başladın. Kimseye bir şey söylemedin; bakkal anladı, ekmeği deftere yazmadan uzattı.</t>
        </is>
      </c>
      <c r="H1750" s="6" t="inlineStr"/>
      <c r="I1750" s="6" t="inlineStr"/>
      <c r="J1750" s="6" t="inlineStr"/>
      <c r="K1750" s="6" t="inlineStr"/>
      <c r="L1750" s="6" t="inlineStr"/>
      <c r="M1750" s="5" t="inlineStr"/>
      <c r="N1750" s="5" t="inlineStr"/>
      <c r="O1750" s="6" t="inlineStr"/>
      <c r="P1750" s="6" t="inlineStr"/>
      <c r="Q1750" s="5" t="inlineStr"/>
      <c r="R1750" s="5" t="inlineStr"/>
      <c r="S1750" s="5" t="inlineStr"/>
      <c r="T1750" s="5" t="inlineStr"/>
      <c r="U1750" s="5" t="inlineStr"/>
      <c r="V1750" s="5" t="inlineStr"/>
      <c r="W1750" s="5" t="inlineStr"/>
      <c r="X1750" s="5" t="inlineStr"/>
      <c r="Y1750" s="5" t="inlineStr"/>
      <c r="Z1750" s="6" t="inlineStr"/>
      <c r="AA1750" s="5" t="inlineStr"/>
      <c r="AB1750" s="5" t="inlineStr"/>
      <c r="AC1750" s="5" t="inlineStr"/>
      <c r="AD1750" s="5" t="inlineStr"/>
      <c r="AE1750" s="5" t="inlineStr"/>
      <c r="AF1750" s="5" t="n">
        <v>1</v>
      </c>
      <c r="AG1750" s="5" t="inlineStr"/>
      <c r="AH1750" s="5" t="inlineStr"/>
      <c r="AI1750" s="5" t="inlineStr"/>
      <c r="AJ1750" s="5" t="inlineStr"/>
    </row>
    <row r="1751">
      <c r="A1751" s="5" t="inlineStr">
        <is>
          <t>kriz-9</t>
        </is>
      </c>
      <c r="B1751" s="5" t="n">
        <v>2</v>
      </c>
      <c r="C1751" s="6" t="inlineStr">
        <is>
          <t>Mahalleden borç iste</t>
        </is>
      </c>
      <c r="D1751" s="5" t="inlineStr"/>
      <c r="E1751" s="5" t="inlineStr"/>
      <c r="F1751" s="5" t="inlineStr">
        <is>
          <t>İtibar +1, Dayanıklılık +1</t>
        </is>
      </c>
      <c r="G1751" s="6" t="inlineStr">
        <is>
          <t>Kahvede bir cümle kurdun, akşama kadar üç zarf geldi; hiçbirinde senet yok. Birikimin yerinde kaldı; borcun mahalleye. Ödeyeceğin gün herkes ayrı ayrı “Ne gerek vardı” diyecek.</t>
        </is>
      </c>
      <c r="H1751" s="6" t="inlineStr"/>
      <c r="I1751" s="6" t="inlineStr"/>
      <c r="J1751" s="6" t="inlineStr"/>
      <c r="K1751" s="6" t="inlineStr"/>
      <c r="L1751" s="6" t="inlineStr"/>
      <c r="M1751" s="5" t="inlineStr"/>
      <c r="N1751" s="5" t="inlineStr"/>
      <c r="O1751" s="6" t="inlineStr"/>
      <c r="P1751" s="6" t="inlineStr"/>
      <c r="Q1751" s="5" t="inlineStr"/>
      <c r="R1751" s="5" t="inlineStr"/>
      <c r="S1751" s="5" t="inlineStr"/>
      <c r="T1751" s="5" t="inlineStr"/>
      <c r="U1751" s="5" t="inlineStr"/>
      <c r="V1751" s="5" t="inlineStr"/>
      <c r="W1751" s="5" t="inlineStr"/>
      <c r="X1751" s="5" t="inlineStr"/>
      <c r="Y1751" s="5" t="inlineStr"/>
      <c r="Z1751" s="6" t="inlineStr"/>
      <c r="AA1751" s="5" t="inlineStr"/>
      <c r="AB1751" s="5" t="inlineStr"/>
      <c r="AC1751" s="5" t="inlineStr"/>
      <c r="AD1751" s="5" t="inlineStr"/>
      <c r="AE1751" s="5" t="inlineStr"/>
      <c r="AF1751" s="5" t="inlineStr"/>
      <c r="AG1751" s="5" t="inlineStr"/>
      <c r="AH1751" s="5" t="inlineStr">
        <is>
          <t>İtibar 38</t>
        </is>
      </c>
      <c r="AI1751" s="5" t="inlineStr"/>
      <c r="AJ1751" s="5" t="inlineStr"/>
    </row>
    <row r="1752">
      <c r="A1752" s="5" t="inlineStr">
        <is>
          <t>kriz-9</t>
        </is>
      </c>
      <c r="B1752" s="5" t="n">
        <v>3</v>
      </c>
      <c r="C1752" s="6" t="inlineStr">
        <is>
          <t>Tezgâh aç, esnaflığa geç</t>
        </is>
      </c>
      <c r="D1752" s="5" t="inlineStr">
        <is>
          <t>Kurnazlık</t>
        </is>
      </c>
      <c r="E1752" s="5" t="inlineStr">
        <is>
          <t>Zor</t>
        </is>
      </c>
      <c r="F1752" s="5" t="inlineStr"/>
      <c r="G1752" s="6" t="inlineStr"/>
      <c r="H1752" s="6" t="inlineStr">
        <is>
          <t>Elindeki son birikimle küçük bir dükkân tuttun. Tabela senin, kira senin, veresiye defteri de senin. Hayat yeniden bir ritim buldu.</t>
        </is>
      </c>
      <c r="I1752" s="6" t="inlineStr">
        <is>
          <t>Dükkân ilk ayında kira çıkardı, ikinci ayında seni. Mahallede artık “Yeni esnaf” diye biliniyorsun; yeni ama ağzı laf yapan.</t>
        </is>
      </c>
      <c r="J1752" s="6" t="inlineStr">
        <is>
          <t>Dükkân tutmaya gittin; kira cebindekinin iki katıydı. Eski işine, eski yorgunluğuna döndün.</t>
        </is>
      </c>
      <c r="K1752" s="6" t="inlineStr">
        <is>
          <t>Dükkânı açtın, açılış günü sokak kazıldı. Üç ay kimse kapına ulaşamadı; sen de kapattın, eski işine döndün.</t>
        </is>
      </c>
      <c r="L1752" s="6" t="inlineStr"/>
      <c r="M1752" s="5" t="inlineStr"/>
      <c r="N1752" s="5" t="inlineStr"/>
      <c r="O1752" s="6" t="inlineStr"/>
      <c r="P1752" s="6" t="inlineStr"/>
      <c r="Q1752" s="5" t="inlineStr"/>
      <c r="R1752" s="5" t="inlineStr"/>
      <c r="S1752" s="5" t="inlineStr"/>
      <c r="T1752" s="5" t="inlineStr"/>
      <c r="U1752" s="5" t="inlineStr"/>
      <c r="V1752" s="5" t="inlineStr">
        <is>
          <t>-hat-cete, -hat-dolandirici, -hat-girisimci, -hat-goc, -hat-hekim, -hat-koy, -hat-polis, -hat-politika, -hat-sohret, -hat-usta, -hat-yargi, -meslek-beyazyaka, -meslek-memur, -meslek-serbest, meslek-esnaf</t>
        </is>
      </c>
      <c r="W1752" s="5" t="inlineStr"/>
      <c r="X1752" s="5" t="inlineStr"/>
      <c r="Y1752" s="5" t="inlineStr"/>
      <c r="Z1752" s="6" t="inlineStr"/>
      <c r="AA1752" s="5" t="inlineStr"/>
      <c r="AB1752" s="5" t="inlineStr"/>
      <c r="AC1752" s="5" t="inlineStr"/>
      <c r="AD1752" s="5" t="inlineStr"/>
      <c r="AE1752" s="5" t="inlineStr"/>
      <c r="AF1752" s="5" t="inlineStr"/>
      <c r="AG1752" s="5" t="inlineStr">
        <is>
          <t>meslek-esnaf</t>
        </is>
      </c>
      <c r="AH1752" s="5" t="inlineStr"/>
      <c r="AI1752" s="5" t="inlineStr"/>
      <c r="AJ1752" s="5" t="inlineStr"/>
    </row>
    <row r="1753">
      <c r="A1753" s="5" t="inlineStr">
        <is>
          <t>kriz-9</t>
        </is>
      </c>
      <c r="B1753" s="5" t="n">
        <v>4</v>
      </c>
      <c r="C1753" s="6" t="inlineStr">
        <is>
          <t>Kendi girişimini kur</t>
        </is>
      </c>
      <c r="D1753" s="5" t="inlineStr">
        <is>
          <t>Cesaret</t>
        </is>
      </c>
      <c r="E1753" s="5" t="inlineStr">
        <is>
          <t>Zor</t>
        </is>
      </c>
      <c r="F1753" s="5" t="inlineStr"/>
      <c r="G1753" s="6" t="inlineStr"/>
      <c r="H1753" s="6" t="inlineStr">
        <is>
          <t>Bir fikir, bir sunum, bir kafe masası. Şirketin kuruldu. Yaşın kimseyi ilgilendirmedi; tecrüben herkesi ilgilendirdi.</t>
        </is>
      </c>
      <c r="I1753" s="6" t="inlineStr">
        <is>
          <t>İlk sunumda bir yatırımcı “Sizin gibi tecrübeli birini arıyorduk” dedi. Kriz, özgeçmişinin en iyi satırı oldu.</t>
        </is>
      </c>
      <c r="J1753" s="6" t="inlineStr">
        <is>
          <t>Fikrin güzeldi, zamanlaman değil. Eski işine döndün; fikir çekmecede bekliyor.</t>
        </is>
      </c>
      <c r="K1753" s="6" t="inlineStr">
        <is>
          <t>Şirketi kurdun, ilk hafta ortağın fikrinle birlikte ortadan kayboldu. Eski işine döndün; bir de avukatın var artık.</t>
        </is>
      </c>
      <c r="L1753" s="6" t="inlineStr"/>
      <c r="M1753" s="5" t="inlineStr"/>
      <c r="N1753" s="5" t="inlineStr"/>
      <c r="O1753" s="6" t="inlineStr"/>
      <c r="P1753" s="6" t="inlineStr"/>
      <c r="Q1753" s="5" t="inlineStr"/>
      <c r="R1753" s="5" t="inlineStr"/>
      <c r="S1753" s="5" t="inlineStr"/>
      <c r="T1753" s="5" t="inlineStr"/>
      <c r="U1753" s="5" t="inlineStr"/>
      <c r="V1753" s="5" t="inlineStr">
        <is>
          <t>-hat-cete, -hat-dolandirici, -hat-goc, -hat-hekim, -hat-koy, -hat-polis, -hat-politika, -hat-sohret, -hat-usta, -hat-yargi, -meslek-beyazyaka, -meslek-esnaf, -meslek-memur, hat-girisimci, meslek-serbest</t>
        </is>
      </c>
      <c r="W1753" s="5" t="inlineStr"/>
      <c r="X1753" s="5" t="inlineStr"/>
      <c r="Y1753" s="5" t="inlineStr"/>
      <c r="Z1753" s="6" t="inlineStr"/>
      <c r="AA1753" s="5" t="inlineStr"/>
      <c r="AB1753" s="5" t="inlineStr"/>
      <c r="AC1753" s="5" t="inlineStr"/>
      <c r="AD1753" s="5" t="inlineStr"/>
      <c r="AE1753" s="5" t="inlineStr"/>
      <c r="AF1753" s="5" t="inlineStr"/>
      <c r="AG1753" s="5" t="inlineStr">
        <is>
          <t>hat-girisimci</t>
        </is>
      </c>
      <c r="AH1753" s="5" t="inlineStr"/>
      <c r="AI1753" s="5" t="inlineStr"/>
      <c r="AJ1753" s="5" t="inlineStr"/>
    </row>
    <row r="1754">
      <c r="A1754" s="5" t="inlineStr">
        <is>
          <t>kriz-9</t>
        </is>
      </c>
      <c r="B1754" s="5" t="n">
        <v>5</v>
      </c>
      <c r="C1754" s="6" t="inlineStr">
        <is>
          <t>Eski bir tanıdığın “ufak işine” gir</t>
        </is>
      </c>
      <c r="D1754" s="5" t="inlineStr">
        <is>
          <t>Cesaret</t>
        </is>
      </c>
      <c r="E1754" s="5" t="inlineStr">
        <is>
          <t>Zor</t>
        </is>
      </c>
      <c r="F1754" s="5" t="inlineStr"/>
      <c r="G1754" s="6" t="inlineStr"/>
      <c r="H1754" s="6" t="inlineStr">
        <is>
          <t>Bir telefon açtın, ertesi gün bir dükkânın başındaydın. Kasa hep dolu; nereden dolduğunu sormamak da işin parçası.</t>
        </is>
      </c>
      <c r="I1754" s="6" t="inlineStr">
        <is>
          <t>Yeni işinde hızla yükseldin. Çay ocağındaki genç çayını sormadan getiriyor, kapıdakiler sen girince ayağa kalkıyor. Bu saygının ağırlığını ilk kez omzunda hissettin.</t>
        </is>
      </c>
      <c r="J1754" s="6" t="inlineStr">
        <is>
          <t>Telefonu açtılar ama 'Sen bu işlere göre değilsin' dediler. Belki de haklıydılar; eski işine döndün.</t>
        </is>
      </c>
      <c r="K1754" s="6" t="inlineStr">
        <is>
          <t>Telefonu yanlış kişiye açtın; komiser çıktı. Bir sohbet oldu, bir tutanak oldu. Eski işine döndün; bir dosyan var artık.</t>
        </is>
      </c>
      <c r="L1754" s="6" t="inlineStr"/>
      <c r="M1754" s="5" t="inlineStr"/>
      <c r="N1754" s="5" t="inlineStr"/>
      <c r="O1754" s="6" t="inlineStr"/>
      <c r="P1754" s="6" t="inlineStr"/>
      <c r="Q1754" s="5" t="inlineStr"/>
      <c r="R1754" s="5" t="inlineStr"/>
      <c r="S1754" s="5" t="inlineStr"/>
      <c r="T1754" s="5" t="inlineStr"/>
      <c r="U1754" s="5" t="inlineStr"/>
      <c r="V1754" s="5" t="inlineStr">
        <is>
          <t>-hat-dolandirici, -hat-girisimci, -hat-goc, -hat-hekim, -hat-koy, -hat-polis, -hat-politika, -hat-sohret, -hat-usta, -hat-yargi, -meslek-beyazyaka, -meslek-memur, -meslek-serbest, hat-cete, meslek-esnaf</t>
        </is>
      </c>
      <c r="W1754" s="5" t="inlineStr"/>
      <c r="X1754" s="5" t="inlineStr"/>
      <c r="Y1754" s="5" t="inlineStr"/>
      <c r="Z1754" s="6" t="inlineStr"/>
      <c r="AA1754" s="5" t="inlineStr">
        <is>
          <t>hepsi -1</t>
        </is>
      </c>
      <c r="AB1754" s="5" t="inlineStr"/>
      <c r="AC1754" s="5" t="inlineStr"/>
      <c r="AD1754" s="5" t="inlineStr"/>
      <c r="AE1754" s="5" t="inlineStr"/>
      <c r="AF1754" s="5" t="inlineStr"/>
      <c r="AG1754" s="5" t="inlineStr">
        <is>
          <t>hat-cete</t>
        </is>
      </c>
      <c r="AH1754" s="5" t="inlineStr"/>
      <c r="AI1754" s="5" t="inlineStr"/>
      <c r="AJ1754" s="5" t="inlineStr"/>
    </row>
    <row r="1755">
      <c r="A1755" s="5" t="inlineStr">
        <is>
          <t>kriz-9</t>
        </is>
      </c>
      <c r="B1755" s="5" t="n">
        <v>6</v>
      </c>
      <c r="C1755" s="6" t="inlineStr">
        <is>
          <t>Emekli yatırım kulübüne üye topla</t>
        </is>
      </c>
      <c r="D1755" s="5" t="inlineStr">
        <is>
          <t>Kurnazlık</t>
        </is>
      </c>
      <c r="E1755" s="5" t="inlineStr">
        <is>
          <t>Zor</t>
        </is>
      </c>
      <c r="F1755" s="5" t="inlineStr"/>
      <c r="G1755" s="6" t="inlineStr"/>
      <c r="H1755" s="6" t="inlineStr">
        <is>
          <t>Bir ilan, üç telefon, bir sunum. Para geldi; nereden geldiğini sormamaya karar verdin. Vicdanın da sormadı; şimdilik.</t>
        </is>
      </c>
      <c r="I1755" s="6" t="inlineStr">
        <is>
          <t>Öyle hızlı büyüdün ki bir ay içinde kendi seminerini veriyordun. Salon doluydu; arka sırada vicdanın oturuyordu.</t>
        </is>
      </c>
      <c r="J1755" s="6" t="inlineStr">
        <is>
          <t>İlanın ilk cevabını veren kişi bir dolandırıcıydı. Seni dolandırmaya çalıştı; ikiniz de vazgeçtiniz.</t>
        </is>
      </c>
      <c r="K1755" s="6" t="inlineStr">
        <is>
          <t>İlk “fırsatı” yakından inceleyince kendini bir tüketici programında buldun. Adın yok, sesin var.</t>
        </is>
      </c>
      <c r="L1755" s="6" t="inlineStr"/>
      <c r="M1755" s="5" t="inlineStr"/>
      <c r="N1755" s="5" t="inlineStr"/>
      <c r="O1755" s="6" t="inlineStr"/>
      <c r="P1755" s="6" t="inlineStr"/>
      <c r="Q1755" s="5" t="inlineStr"/>
      <c r="R1755" s="5" t="inlineStr"/>
      <c r="S1755" s="5" t="inlineStr"/>
      <c r="T1755" s="5" t="inlineStr"/>
      <c r="U1755" s="5" t="inlineStr"/>
      <c r="V1755" s="5" t="inlineStr">
        <is>
          <t>-hat-cete, -hat-girisimci, -hat-goc, -hat-hekim, -hat-koy, -hat-polis, -hat-politika, -hat-sohret, -hat-usta, -hat-yargi, -meslek-beyazyaka, -meslek-esnaf, -meslek-memur, hat-dolandirici, meslek-serbest</t>
        </is>
      </c>
      <c r="W1755" s="5" t="inlineStr"/>
      <c r="X1755" s="5" t="inlineStr"/>
      <c r="Y1755" s="5" t="inlineStr"/>
      <c r="Z1755" s="6" t="inlineStr"/>
      <c r="AA1755" s="5" t="inlineStr">
        <is>
          <t>hepsi -1</t>
        </is>
      </c>
      <c r="AB1755" s="5" t="inlineStr"/>
      <c r="AC1755" s="5" t="inlineStr"/>
      <c r="AD1755" s="5" t="inlineStr"/>
      <c r="AE1755" s="5" t="inlineStr"/>
      <c r="AF1755" s="5" t="inlineStr"/>
      <c r="AG1755" s="5" t="inlineStr">
        <is>
          <t>hat-dolandirici</t>
        </is>
      </c>
      <c r="AH1755" s="5" t="inlineStr"/>
      <c r="AI1755" s="5" t="inlineStr"/>
      <c r="AJ1755" s="5" t="inlineStr"/>
    </row>
    <row r="1756">
      <c r="A1756" s="5" t="inlineStr">
        <is>
          <t>b8-orta-yas</t>
        </is>
      </c>
      <c r="B1756" s="5" t="n">
        <v>1</v>
      </c>
      <c r="C1756" s="6" t="inlineStr">
        <is>
          <t>Hiçbir şey olmamış gibi devam et</t>
        </is>
      </c>
      <c r="D1756" s="5" t="inlineStr"/>
      <c r="E1756" s="5" t="inlineStr"/>
      <c r="F1756" s="5" t="inlineStr">
        <is>
          <t>Dayanıklılık +1</t>
        </is>
      </c>
      <c r="G1756" s="6" t="inlineStr">
        <is>
          <t>Orta yaş krizini sessizce atlattın. Sadece bir kez, markette, indirimli portakalların önünde ağladın.</t>
        </is>
      </c>
      <c r="H1756" s="6" t="inlineStr"/>
      <c r="I1756" s="6" t="inlineStr"/>
      <c r="J1756" s="6" t="inlineStr"/>
      <c r="K1756" s="6" t="inlineStr"/>
      <c r="L1756" s="6" t="inlineStr"/>
      <c r="M1756" s="5" t="inlineStr"/>
      <c r="N1756" s="5" t="inlineStr"/>
      <c r="O1756" s="6" t="inlineStr"/>
      <c r="P1756" s="6" t="inlineStr"/>
      <c r="Q1756" s="5" t="inlineStr"/>
      <c r="R1756" s="5" t="inlineStr"/>
      <c r="S1756" s="5" t="inlineStr"/>
      <c r="T1756" s="5" t="inlineStr"/>
      <c r="U1756" s="5" t="inlineStr"/>
      <c r="V1756" s="5" t="inlineStr"/>
      <c r="W1756" s="5" t="inlineStr"/>
      <c r="X1756" s="5" t="inlineStr"/>
      <c r="Y1756" s="5" t="inlineStr"/>
      <c r="Z1756" s="6" t="inlineStr"/>
      <c r="AA1756" s="5" t="inlineStr"/>
      <c r="AB1756" s="5" t="inlineStr"/>
      <c r="AC1756" s="5" t="inlineStr"/>
      <c r="AD1756" s="5" t="inlineStr"/>
      <c r="AE1756" s="5" t="inlineStr"/>
      <c r="AF1756" s="5" t="inlineStr"/>
      <c r="AG1756" s="5" t="inlineStr"/>
      <c r="AH1756" s="5" t="inlineStr"/>
      <c r="AI1756" s="5" t="inlineStr"/>
      <c r="AJ1756" s="5" t="inlineStr"/>
    </row>
    <row r="1757">
      <c r="A1757" s="5" t="inlineStr">
        <is>
          <t>b8-orta-yas</t>
        </is>
      </c>
      <c r="B1757" s="5" t="n">
        <v>2</v>
      </c>
      <c r="C1757" s="6" t="inlineStr">
        <is>
          <t>Her şeyi bırak, köye dön</t>
        </is>
      </c>
      <c r="D1757" s="5" t="inlineStr">
        <is>
          <t>Cesaret</t>
        </is>
      </c>
      <c r="E1757" s="5" t="inlineStr">
        <is>
          <t>Zor</t>
        </is>
      </c>
      <c r="F1757" s="5" t="inlineStr"/>
      <c r="G1757" s="6" t="inlineStr"/>
      <c r="H1757" s="6" t="inlineStr">
        <is>
          <t>Kırk dördünde köye taşındın. İlk hafta bir keçi seni kovaladı; köylülere göre bu bir kabul töreniydi.</t>
        </is>
      </c>
      <c r="I1757" s="6" t="inlineStr">
        <is>
          <t>Köye taşındığın hafta muhtar seni kahveye çağırdı, ikinci hafta kooperatife. Köy seni şehirden daha çabuk sevdi.</t>
        </is>
      </c>
      <c r="J1757" s="6" t="inlineStr">
        <is>
          <t>Valizleri topladın, otogara kadar gittin, bilet kuyruğunda bir saat bekledin. Sonra eve döndün; valizler hâlâ kapının önünde.</t>
        </is>
      </c>
      <c r="K1757" s="6" t="inlineStr">
        <is>
          <t>Köye gittin; dedenin evinin çatısı yoktu, tarlası da başkasınındı. Bir hafta sonra şehre, eski işine döndün; biraz güneşlenmiş olarak.</t>
        </is>
      </c>
      <c r="L1757" s="6" t="inlineStr"/>
      <c r="M1757" s="5" t="inlineStr"/>
      <c r="N1757" s="5" t="inlineStr"/>
      <c r="O1757" s="6" t="inlineStr"/>
      <c r="P1757" s="6" t="inlineStr"/>
      <c r="Q1757" s="5" t="inlineStr"/>
      <c r="R1757" s="5" t="inlineStr"/>
      <c r="S1757" s="5" t="inlineStr"/>
      <c r="T1757" s="5" t="inlineStr"/>
      <c r="U1757" s="5" t="inlineStr"/>
      <c r="V1757" s="5" t="inlineStr">
        <is>
          <t>-hat-cete, -hat-dolandirici, -hat-girisimci, -hat-goc, -hat-hekim, -hat-polis, -hat-politika, -hat-sohret, -hat-usta, -hat-yargi, -meslek-beyazyaka, -meslek-memur, -meslek-serbest, hat-koy, meslek-esnaf</t>
        </is>
      </c>
      <c r="W1757" s="5" t="inlineStr"/>
      <c r="X1757" s="5" t="inlineStr"/>
      <c r="Y1757" s="5" t="inlineStr"/>
      <c r="Z1757" s="6" t="inlineStr"/>
      <c r="AA1757" s="5" t="inlineStr">
        <is>
          <t>Yalçın +1, Şen +1, Tan -1, Varlı -1</t>
        </is>
      </c>
      <c r="AB1757" s="5" t="inlineStr"/>
      <c r="AC1757" s="5" t="inlineStr"/>
      <c r="AD1757" s="5" t="inlineStr"/>
      <c r="AE1757" s="5" t="inlineStr"/>
      <c r="AF1757" s="5" t="inlineStr"/>
      <c r="AG1757" s="5" t="inlineStr">
        <is>
          <t>hat-koy</t>
        </is>
      </c>
      <c r="AH1757" s="5" t="inlineStr"/>
      <c r="AI1757" s="5" t="inlineStr"/>
      <c r="AJ1757" s="5" t="inlineStr"/>
    </row>
    <row r="1758">
      <c r="A1758" s="5" t="inlineStr">
        <is>
          <t>b8-orta-yas</t>
        </is>
      </c>
      <c r="B1758" s="5" t="n">
        <v>3</v>
      </c>
      <c r="C1758" s="6" t="inlineStr">
        <is>
          <t>Motosiklet al, saçını uzat</t>
        </is>
      </c>
      <c r="D1758" s="5" t="inlineStr"/>
      <c r="E1758" s="5" t="inlineStr"/>
      <c r="F1758" s="5" t="inlineStr">
        <is>
          <t>Cesaret +1, Pişkinlik +1</t>
        </is>
      </c>
      <c r="G1758" s="6" t="inlineStr">
        <is>
          <t>Motosikleti aldın, saçını uzatmaya karar verdin. Motosiklet geldi; saç gelmedi. Kaskın altında kimse fark etmiyor.</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is>
          <t>motosikletli</t>
        </is>
      </c>
      <c r="V1758" s="5" t="inlineStr"/>
      <c r="W1758" s="5" t="inlineStr"/>
      <c r="X1758" s="5" t="inlineStr"/>
      <c r="Y1758" s="5" t="inlineStr"/>
      <c r="Z1758" s="6" t="inlineStr"/>
      <c r="AA1758" s="5" t="inlineStr"/>
      <c r="AB1758" s="5" t="inlineStr"/>
      <c r="AC1758" s="5" t="inlineStr">
        <is>
          <t>Orta</t>
        </is>
      </c>
      <c r="AD1758" s="5" t="inlineStr"/>
      <c r="AE1758" s="5" t="inlineStr"/>
      <c r="AF1758" s="5" t="inlineStr"/>
      <c r="AG1758" s="5" t="inlineStr">
        <is>
          <t>evli</t>
        </is>
      </c>
      <c r="AH1758" s="5" t="inlineStr"/>
      <c r="AI1758" s="5" t="inlineStr"/>
      <c r="AJ1758" s="5" t="inlineStr"/>
    </row>
    <row r="1759">
      <c r="A1759" s="5" t="inlineStr">
        <is>
          <t>b8-orta-yas</t>
        </is>
      </c>
      <c r="B1759" s="5" t="n">
        <v>4</v>
      </c>
      <c r="C1759" s="6" t="inlineStr">
        <is>
          <t>Motosiklet al, eşine sonra söyle</t>
        </is>
      </c>
      <c r="D1759" s="5" t="inlineStr">
        <is>
          <t>Pişkinlik</t>
        </is>
      </c>
      <c r="E1759" s="5" t="inlineStr">
        <is>
          <t>Zor</t>
        </is>
      </c>
      <c r="F1759" s="5" t="inlineStr"/>
      <c r="G1759" s="6" t="inlineStr"/>
      <c r="H1759" s="6" t="inlineStr">
        <is>
          <t>Motosikleti eve getirdin. Eşin önce güldü, sonra kaskı aldı, sonra arkana bindi. Pazar sabahları artık sahil yolundasınız.</t>
        </is>
      </c>
      <c r="I1759" s="6" t="inlineStr">
        <is>
          <t>Eşin motosikleti öyle sevdi ki ehliyet kursuna yazıldı. Şimdi iki motosikletiniz var; biri onun, daha büyüğü.</t>
        </is>
      </c>
      <c r="J1759" s="6" t="inlineStr">
        <is>
          <t>Eşin motosikleti gördü ve hiçbir şey demedi. İki hafta boyunca hiçbir şey demedi. Motosikleti sattın.</t>
        </is>
      </c>
      <c r="K1759" s="6" t="inlineStr">
        <is>
          <t>Eşin motosikleti gördü, sonra seni, sonra bir avukatı aradı. Motosiklet sende kaldı; ev onda.</t>
        </is>
      </c>
      <c r="L1759" s="6" t="inlineStr"/>
      <c r="M1759" s="5" t="inlineStr"/>
      <c r="N1759" s="5" t="inlineStr"/>
      <c r="O1759" s="6" t="inlineStr"/>
      <c r="P1759" s="6" t="inlineStr"/>
      <c r="Q1759" s="5" t="inlineStr"/>
      <c r="R1759" s="5" t="inlineStr">
        <is>
          <t>evli</t>
        </is>
      </c>
      <c r="S1759" s="5" t="inlineStr"/>
      <c r="T1759" s="5" t="inlineStr"/>
      <c r="U1759" s="5" t="inlineStr"/>
      <c r="V1759" s="5" t="inlineStr">
        <is>
          <t>motosikletli</t>
        </is>
      </c>
      <c r="W1759" s="5" t="inlineStr">
        <is>
          <t>-evli, bosandi</t>
        </is>
      </c>
      <c r="X1759" s="5" t="inlineStr"/>
      <c r="Y1759" s="5" t="n">
        <v>3</v>
      </c>
      <c r="Z1759" s="6" t="inlineStr">
        <is>
          <t>Motosikletle çıkan ilk gece turunun ilk virajında. Eşi “Ben söylemiştim” diyemedi; telefon hâlâ sessizde.</t>
        </is>
      </c>
      <c r="AA1759" s="5" t="inlineStr"/>
      <c r="AB1759" s="5" t="inlineStr"/>
      <c r="AC1759" s="5" t="inlineStr">
        <is>
          <t>Orta</t>
        </is>
      </c>
      <c r="AD1759" s="5" t="inlineStr"/>
      <c r="AE1759" s="5" t="inlineStr"/>
      <c r="AF1759" s="5" t="inlineStr"/>
      <c r="AG1759" s="5" t="inlineStr"/>
      <c r="AH1759" s="5" t="inlineStr"/>
      <c r="AI1759" s="5" t="inlineStr"/>
      <c r="AJ1759" s="5" t="inlineStr"/>
    </row>
    <row r="1760">
      <c r="A1760" s="5" t="inlineStr">
        <is>
          <t>b8-orta-yas</t>
        </is>
      </c>
      <c r="B1760" s="5" t="n">
        <v>5</v>
      </c>
      <c r="C1760" s="6" t="inlineStr">
        <is>
          <t>Müdürlüğe son bir kez oyna</t>
        </is>
      </c>
      <c r="D1760" s="5" t="inlineStr">
        <is>
          <t>Dayanıklılık</t>
        </is>
      </c>
      <c r="E1760" s="5" t="inlineStr">
        <is>
          <t>Zor</t>
        </is>
      </c>
      <c r="F1760" s="5" t="inlineStr"/>
      <c r="G1760" s="6" t="inlineStr"/>
      <c r="H1760" s="6" t="inlineStr">
        <is>
          <t>Müdür oldun. Kapına “Lütfen kapıyı çalınız” yazısı asıldı; ilk çalan, eski müdürün.</t>
        </is>
      </c>
      <c r="I1760" s="6" t="inlineStr">
        <is>
          <t>Genel müdürlüğe çağrıldın. Yeni masanda üç telefon var; biri hiç çalmıyor, sadece duruyor.</t>
        </is>
      </c>
      <c r="J1760" s="6" t="inlineStr">
        <is>
          <t>Müdürlük mülakatında yirmi yıllık tecrüben tek bir çoktan seçmeli soruya sığmadı. Masan yerinde kaldı; çayın da.</t>
        </is>
      </c>
      <c r="K1760" s="6" t="inlineStr">
        <is>
          <t>Terfi dilekçeni yanlış birime verdin. Üç ay sonra dilekçe sana geri geldi, üstünde “Gereği için” yazıyordu. Kendi terfini kendin reddettin; mevzuat öyle diyor.</t>
        </is>
      </c>
      <c r="L1760" s="6" t="inlineStr"/>
      <c r="M1760" s="5" t="inlineStr"/>
      <c r="N1760" s="5" t="inlineStr"/>
      <c r="O1760" s="6" t="inlineStr"/>
      <c r="P1760" s="6" t="inlineStr"/>
      <c r="Q1760" s="5" t="inlineStr"/>
      <c r="R1760" s="5" t="inlineStr">
        <is>
          <t>meslek-memur</t>
        </is>
      </c>
      <c r="S1760" s="5" t="inlineStr"/>
      <c r="T1760" s="5" t="inlineStr"/>
      <c r="U1760" s="5" t="inlineStr"/>
      <c r="V1760" s="5" t="inlineStr">
        <is>
          <t>zirve</t>
        </is>
      </c>
      <c r="W1760" s="5" t="inlineStr"/>
      <c r="X1760" s="5" t="inlineStr"/>
      <c r="Y1760" s="5" t="inlineStr"/>
      <c r="Z1760" s="6" t="inlineStr"/>
      <c r="AA1760" s="5" t="inlineStr"/>
      <c r="AB1760" s="5" t="inlineStr"/>
      <c r="AC1760" s="5" t="inlineStr"/>
      <c r="AD1760" s="5" t="inlineStr">
        <is>
          <t>Rahat</t>
        </is>
      </c>
      <c r="AE1760" s="5" t="inlineStr"/>
      <c r="AF1760" s="5" t="inlineStr"/>
      <c r="AG1760" s="5" t="inlineStr">
        <is>
          <t>hat-polis, hat-yargi, hat-hekim, memur-terfi</t>
        </is>
      </c>
      <c r="AH1760" s="5" t="inlineStr"/>
      <c r="AI1760" s="5" t="inlineStr"/>
      <c r="AJ1760" s="5" t="inlineStr"/>
    </row>
    <row r="1761">
      <c r="A1761" s="5" t="inlineStr">
        <is>
          <t>b8-orta-yas</t>
        </is>
      </c>
      <c r="B1761" s="5" t="n">
        <v>6</v>
      </c>
      <c r="C1761" s="6" t="inlineStr">
        <is>
          <t>Direktörlüğe son bir kez oyna</t>
        </is>
      </c>
      <c r="D1761" s="5" t="inlineStr">
        <is>
          <t>Akıl</t>
        </is>
      </c>
      <c r="E1761" s="5" t="inlineStr">
        <is>
          <t>Zor</t>
        </is>
      </c>
      <c r="F1761" s="5" t="inlineStr"/>
      <c r="G1761" s="6" t="inlineStr"/>
      <c r="H1761" s="6" t="inlineStr">
        <is>
          <t>Direktör oldun. Takviminde tek boş saat kendi doğum günün; o da “belki” olarak işaretli.</t>
        </is>
      </c>
      <c r="I1761" s="6" t="inlineStr">
        <is>
          <t>Yönetim kuruluna girdin. Kartvizitini annene verdin; çerçeveletip vitrinde kristal şekerliğin yanına koydu.</t>
        </is>
      </c>
      <c r="J1761" s="6" t="inlineStr">
        <is>
          <t>Direktörlük otuz yaşındaki bir “yetenek”e gitti. Sen ona sunum yapmayı öğretiyorsun.</t>
        </is>
      </c>
      <c r="K1761" s="6" t="inlineStr">
        <is>
          <t>Terfi sunumunu bitirdin, “Sorusu olan?” dedin. Genel müdür elini kaldırdı: “Siz hangi birimdeydiniz?” Yirmi iki yıldır aynı kattasın.</t>
        </is>
      </c>
      <c r="L1761" s="6" t="inlineStr"/>
      <c r="M1761" s="5" t="inlineStr"/>
      <c r="N1761" s="5" t="inlineStr"/>
      <c r="O1761" s="6" t="inlineStr"/>
      <c r="P1761" s="6" t="inlineStr"/>
      <c r="Q1761" s="5" t="inlineStr"/>
      <c r="R1761" s="5" t="inlineStr">
        <is>
          <t>meslek-beyazyaka</t>
        </is>
      </c>
      <c r="S1761" s="5" t="inlineStr"/>
      <c r="T1761" s="5" t="inlineStr"/>
      <c r="U1761" s="5" t="inlineStr"/>
      <c r="V1761" s="5" t="inlineStr">
        <is>
          <t>zirve</t>
        </is>
      </c>
      <c r="W1761" s="5" t="inlineStr"/>
      <c r="X1761" s="5" t="inlineStr"/>
      <c r="Y1761" s="5" t="inlineStr"/>
      <c r="Z1761" s="6" t="inlineStr"/>
      <c r="AA1761" s="5" t="inlineStr"/>
      <c r="AB1761" s="5" t="inlineStr"/>
      <c r="AC1761" s="5" t="inlineStr"/>
      <c r="AD1761" s="5" t="inlineStr">
        <is>
          <t>Rahat</t>
        </is>
      </c>
      <c r="AE1761" s="5" t="inlineStr"/>
      <c r="AF1761" s="5" t="inlineStr"/>
      <c r="AG1761" s="5" t="inlineStr">
        <is>
          <t>hat-goc</t>
        </is>
      </c>
      <c r="AH1761" s="5" t="inlineStr"/>
      <c r="AI1761" s="5" t="inlineStr"/>
      <c r="AJ1761" s="5" t="inlineStr"/>
      <c r="AL1761" t="n">
        <v>1</v>
      </c>
    </row>
    <row r="1762">
      <c r="A1762" s="5" t="inlineStr">
        <is>
          <t>b8-orta-yas</t>
        </is>
      </c>
      <c r="B1762" s="5" t="n">
        <v>7</v>
      </c>
      <c r="C1762" s="6" t="inlineStr">
        <is>
          <t>Çarşı başkanlığına oyna</t>
        </is>
      </c>
      <c r="D1762" s="5" t="inlineStr">
        <is>
          <t>Çene</t>
        </is>
      </c>
      <c r="E1762" s="5" t="inlineStr">
        <is>
          <t>Zor</t>
        </is>
      </c>
      <c r="F1762" s="5" t="inlineStr"/>
      <c r="G1762" s="6" t="inlineStr"/>
      <c r="H1762" s="6" t="inlineStr">
        <is>
          <t>Çarşı derneği başkanı oldun. Senin onayın olmadan kimse tabela asamıyor.</t>
        </is>
      </c>
      <c r="I1762" s="6" t="inlineStr">
        <is>
          <t>Çarşı gayriresmî olarak senin adınla anılıyor. Belediye tabelayı değiştirmeyi ciddi ciddi düşünüyor.</t>
        </is>
      </c>
      <c r="J1762" s="6" t="inlineStr">
        <is>
          <t>Dernek seçimini karşı dükkân bir oy farkla kazandı. O oy, senin çırağınındı.</t>
        </is>
      </c>
      <c r="K1762" s="6" t="inlineStr">
        <is>
          <t>Seçim günü kepenk kapandı, içeride kaldın, oy kullanamadın. Fark bir oydu.</t>
        </is>
      </c>
      <c r="L1762" s="6" t="inlineStr"/>
      <c r="M1762" s="5" t="inlineStr"/>
      <c r="N1762" s="5" t="inlineStr"/>
      <c r="O1762" s="6" t="inlineStr"/>
      <c r="P1762" s="6" t="inlineStr"/>
      <c r="Q1762" s="5" t="inlineStr"/>
      <c r="R1762" s="5" t="inlineStr">
        <is>
          <t>meslek-esnaf</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hat-cete, hat-koy, hat-usta, esnaf-dernek-baskani</t>
        </is>
      </c>
      <c r="AH1762" s="5" t="inlineStr"/>
      <c r="AI1762" s="5" t="inlineStr"/>
      <c r="AJ1762" s="5" t="inlineStr"/>
    </row>
    <row r="1763">
      <c r="A1763" s="5" t="inlineStr">
        <is>
          <t>b8-orta-yas</t>
        </is>
      </c>
      <c r="B1763" s="5" t="n">
        <v>8</v>
      </c>
      <c r="C1763" s="6" t="inlineStr">
        <is>
          <t>Kendi ajansını kur</t>
        </is>
      </c>
      <c r="D1763" s="5" t="inlineStr">
        <is>
          <t>Pişkinlik</t>
        </is>
      </c>
      <c r="E1763" s="5" t="inlineStr">
        <is>
          <t>Zor</t>
        </is>
      </c>
      <c r="F1763" s="5" t="inlineStr"/>
      <c r="G1763" s="6" t="inlineStr"/>
      <c r="H1763" s="6" t="inlineStr">
        <is>
          <t>Kendi ajansını kurdun. Artık gece yarısı “Küçük bir revizyon” mesajını sen atıyorsun.</t>
        </is>
      </c>
      <c r="I1763" s="6" t="inlineStr">
        <is>
          <t>Ajansın büyüdü; eski müşterilerin artık seni kovalıyor, fatura için değil, randevu için.</t>
        </is>
      </c>
      <c r="J1763" s="6" t="inlineStr">
        <is>
          <t>Ajans planın bir sunumda kaldı. Sunum güzeldi; faturası hâlâ ödenmedi.</t>
        </is>
      </c>
      <c r="K1763" s="6" t="inlineStr">
        <is>
          <t>Ortağın müşterileri alıp gitti. Sana ajansın logosu kaldı; o da senin tasarımındı.</t>
        </is>
      </c>
      <c r="L1763" s="6" t="inlineStr"/>
      <c r="M1763" s="5" t="inlineStr"/>
      <c r="N1763" s="5" t="inlineStr"/>
      <c r="O1763" s="6" t="inlineStr"/>
      <c r="P1763" s="6" t="inlineStr"/>
      <c r="Q1763" s="5" t="inlineStr"/>
      <c r="R1763" s="5" t="inlineStr">
        <is>
          <t>meslek-serbest</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hat-sohret, hat-dolandirici, hat-girisimci</t>
        </is>
      </c>
      <c r="AH1763" s="5" t="inlineStr"/>
      <c r="AI1763" s="5" t="inlineStr"/>
      <c r="AJ1763" s="5" t="inlineStr"/>
      <c r="AL1763" t="n">
        <v>1</v>
      </c>
    </row>
    <row r="1764">
      <c r="A1764" s="5" t="inlineStr">
        <is>
          <t>b8-orta-yas</t>
        </is>
      </c>
      <c r="B1764" s="5" t="n">
        <v>9</v>
      </c>
      <c r="C1764" s="6" t="inlineStr">
        <is>
          <t>Emniyet müdürlüğüne oyna</t>
        </is>
      </c>
      <c r="D1764" s="5" t="inlineStr">
        <is>
          <t>Cesaret</t>
        </is>
      </c>
      <c r="E1764" s="5" t="inlineStr">
        <is>
          <t>Zor</t>
        </is>
      </c>
      <c r="F1764" s="5" t="inlineStr"/>
      <c r="G1764" s="6" t="inlineStr"/>
      <c r="H1764" s="6" t="inlineStr">
        <is>
          <t>Emniyet müdürü oldun. İlk gün eski devriye arkadaşların kapıyı çalmadan girdi: “Müdürüm, çay var mı?” Vardı; sen koydun.</t>
        </is>
      </c>
      <c r="I1764" s="6" t="inlineStr">
        <is>
          <t>İlk gününde yirmi yıllık bir dosyayı kapattın: karakolun kayıp çaydanlığı. Bulundu; müdürün odasındaydı.</t>
        </is>
      </c>
      <c r="J1764" s="6" t="inlineStr">
        <is>
          <t>Müdürlük başka birine gitti. Masanda kalan tek terfi, yeni bir mühür.</t>
        </is>
      </c>
      <c r="K1764" s="6" t="inlineStr">
        <is>
          <t>Tören provasında selamı ters verdin; video herkese ulaştı. Terfi başka bahara.</t>
        </is>
      </c>
      <c r="L1764" s="6" t="inlineStr"/>
      <c r="M1764" s="5" t="inlineStr"/>
      <c r="N1764" s="5" t="inlineStr"/>
      <c r="O1764" s="6" t="inlineStr"/>
      <c r="P1764" s="6" t="inlineStr"/>
      <c r="Q1764" s="5" t="inlineStr"/>
      <c r="R1764" s="5" t="inlineStr">
        <is>
          <t>hat-polis</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polis-mudur</t>
        </is>
      </c>
      <c r="AH1764" s="5" t="inlineStr"/>
      <c r="AI1764" s="5" t="inlineStr"/>
      <c r="AJ1764" s="5" t="inlineStr"/>
    </row>
    <row r="1765">
      <c r="A1765" s="5" t="inlineStr">
        <is>
          <t>b8-orta-yas</t>
        </is>
      </c>
      <c r="B1765" s="5" t="n">
        <v>10</v>
      </c>
      <c r="C1765" s="6" t="inlineStr">
        <is>
          <t>Yüksek mahkemeye oyna</t>
        </is>
      </c>
      <c r="D1765" s="5" t="inlineStr">
        <is>
          <t>Akıl</t>
        </is>
      </c>
      <c r="E1765" s="5" t="inlineStr">
        <is>
          <t>Zor</t>
        </is>
      </c>
      <c r="F1765" s="5" t="inlineStr"/>
      <c r="G1765" s="6" t="inlineStr"/>
      <c r="H1765" s="6" t="inlineStr">
        <is>
          <t>Yüksek mahkemeye seçildin. Cübben artık tam oturuyor; terzi haklıymış.</t>
        </is>
      </c>
      <c r="I1765" s="6" t="inlineStr">
        <is>
          <t>Yazdığın bir karar ders kitaplarına girdi. Öğrenciler senin cümlelerinle sınava giriyor; seni hâlâ tanımıyorlar.</t>
        </is>
      </c>
      <c r="J1765" s="6" t="inlineStr">
        <is>
          <t>Listede adın vardı, sonra yoktu. Kimse nedenini açıklamadı; gerekçeli karar da gelmedi.</t>
        </is>
      </c>
      <c r="K1765" s="6" t="inlineStr">
        <is>
          <t>Mülakatta farkında olmadan kendi eski kararını eleştirdin. Kurul çok güldü; seçmedi.</t>
        </is>
      </c>
      <c r="L1765" s="6" t="inlineStr"/>
      <c r="M1765" s="5" t="inlineStr"/>
      <c r="N1765" s="5" t="inlineStr"/>
      <c r="O1765" s="6" t="inlineStr"/>
      <c r="P1765" s="6" t="inlineStr"/>
      <c r="Q1765" s="5" t="inlineStr"/>
      <c r="R1765" s="5" t="inlineStr">
        <is>
          <t>hat-yargi</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yargi-yuksek</t>
        </is>
      </c>
      <c r="AH1765" s="5" t="inlineStr"/>
      <c r="AI1765" s="5" t="inlineStr"/>
      <c r="AJ1765" s="5" t="inlineStr"/>
    </row>
    <row r="1766">
      <c r="A1766" s="5" t="inlineStr">
        <is>
          <t>b8-orta-yas</t>
        </is>
      </c>
      <c r="B1766" s="5" t="n">
        <v>11</v>
      </c>
      <c r="C1766" s="6" t="inlineStr">
        <is>
          <t>Profesörlüğe oyna</t>
        </is>
      </c>
      <c r="D1766" s="5" t="inlineStr">
        <is>
          <t>Akıl</t>
        </is>
      </c>
      <c r="E1766" s="5" t="inlineStr">
        <is>
          <t>Zor</t>
        </is>
      </c>
      <c r="F1766" s="5" t="inlineStr"/>
      <c r="G1766" s="6" t="inlineStr"/>
      <c r="H1766" s="6" t="inlineStr">
        <is>
          <t>Profesör oldun. Aile grubundaki teyzen artık seni “Hocam” diye etiketliyor; semptomlarla birlikte.</t>
        </is>
      </c>
      <c r="I1766" s="6" t="inlineStr">
        <is>
          <t>Adını taşıyan bir ameliyat tekniği var. Kimse doğru telaffuz edemiyor; herkes uyguluyor.</t>
        </is>
      </c>
      <c r="J1766" s="6" t="inlineStr">
        <is>
          <t>Profesörlük jürisi dosyanı bir yıl erteledi. Sen de bir yıl daha nöbet tuttun.</t>
        </is>
      </c>
      <c r="K1766" s="6" t="inlineStr">
        <is>
          <t>Jüri sunumunda slaytların yerine tatil fotoğrafların açıldı. Jüri denizi beğendi, dosyayı beğenmedi.</t>
        </is>
      </c>
      <c r="L1766" s="6" t="inlineStr"/>
      <c r="M1766" s="5" t="inlineStr"/>
      <c r="N1766" s="5" t="inlineStr"/>
      <c r="O1766" s="6" t="inlineStr"/>
      <c r="P1766" s="6" t="inlineStr"/>
      <c r="Q1766" s="5" t="inlineStr"/>
      <c r="R1766" s="5" t="inlineStr">
        <is>
          <t>hat-hekim</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hekim-profesor</t>
        </is>
      </c>
      <c r="AH1766" s="5" t="inlineStr"/>
      <c r="AI1766" s="5" t="inlineStr"/>
      <c r="AJ1766" s="5" t="inlineStr"/>
    </row>
    <row r="1767">
      <c r="A1767" s="5" t="inlineStr">
        <is>
          <t>b8-orta-yas</t>
        </is>
      </c>
      <c r="B1767" s="5" t="n">
        <v>12</v>
      </c>
      <c r="C1767" s="6" t="inlineStr">
        <is>
          <t>Meclise girmeye oyna</t>
        </is>
      </c>
      <c r="D1767" s="5" t="inlineStr">
        <is>
          <t>Çene</t>
        </is>
      </c>
      <c r="E1767" s="5" t="inlineStr">
        <is>
          <t>Zor</t>
        </is>
      </c>
      <c r="F1767" s="5" t="inlineStr"/>
      <c r="G1767" s="6" t="inlineStr"/>
      <c r="H1767" s="6" t="inlineStr">
        <is>
          <t>Makarya Meclisi'ne girdin. İlk konuşmanda mikrofon kapalıydı; yine de alkış aldın.</t>
        </is>
      </c>
      <c r="I1767" s="6" t="inlineStr">
        <is>
          <t>İlk konuşman öyle yankı yaptı ki iki parti seni transfer etmek istedi. Birinin adını hâlâ bilmiyorsun.</t>
        </is>
      </c>
      <c r="J1767" s="6" t="inlineStr">
        <is>
          <t>Listede bir sıra aşağıdaydın. Bir oy fark etti; o oy senin de değildi, sandığa geç kaldın.</t>
        </is>
      </c>
      <c r="K1767" s="6" t="inlineStr">
        <is>
          <t>Mitingde rakibin sloganını söyledin. Kalabalık coştu; rakibin kazandı.</t>
        </is>
      </c>
      <c r="L1767" s="6" t="inlineStr"/>
      <c r="M1767" s="5" t="inlineStr"/>
      <c r="N1767" s="5" t="inlineStr"/>
      <c r="O1767" s="6" t="inlineStr"/>
      <c r="P1767" s="6" t="inlineStr"/>
      <c r="Q1767" s="5" t="inlineStr"/>
      <c r="R1767" s="5" t="inlineStr">
        <is>
          <t>hat-politika</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c r="AH1767" s="5" t="inlineStr"/>
      <c r="AI1767" s="5" t="inlineStr"/>
      <c r="AJ1767" s="5" t="inlineStr"/>
    </row>
    <row r="1768">
      <c r="A1768" s="5" t="inlineStr">
        <is>
          <t>b8-orta-yas</t>
        </is>
      </c>
      <c r="B1768" s="5" t="n">
        <v>13</v>
      </c>
      <c r="C1768" s="6" t="inlineStr">
        <is>
          <t>Semtin büyük masasına oyna</t>
        </is>
      </c>
      <c r="D1768" s="5" t="inlineStr">
        <is>
          <t>Cesaret</t>
        </is>
      </c>
      <c r="E1768" s="5" t="inlineStr">
        <is>
          <t>Zor</t>
        </is>
      </c>
      <c r="F1768" s="5" t="inlineStr"/>
      <c r="G1768" s="6" t="inlineStr"/>
      <c r="H1768" s="6" t="inlineStr">
        <is>
          <t>Semtin bütün kahveleri seni tanıyor. Düğünlerde takı sırası artık senden başlıyor.</t>
        </is>
      </c>
      <c r="I1768" s="6" t="inlineStr">
        <is>
          <t>Üç mahalle sana bağlandı. Belediye bile bir çukuru kapatmadan önce kahveye uğruyor.</t>
        </is>
      </c>
      <c r="J1768" s="6" t="inlineStr">
        <is>
          <t>Semtin büyük masası yaşlı bir abiye kaldı. Sen yine yanındasın; çayı sen koyuyorsun.</t>
        </is>
      </c>
      <c r="K1768" s="6" t="inlineStr">
        <is>
          <t>Toplantıda yanlış masaya oturdun: rakip abinin masasına. Üç ay kimse selamını almadı.</t>
        </is>
      </c>
      <c r="L1768" s="6" t="inlineStr"/>
      <c r="M1768" s="5" t="inlineStr"/>
      <c r="N1768" s="5" t="inlineStr"/>
      <c r="O1768" s="6" t="inlineStr"/>
      <c r="P1768" s="6" t="inlineStr"/>
      <c r="Q1768" s="5" t="inlineStr"/>
      <c r="R1768" s="5" t="inlineStr">
        <is>
          <t>hat-cete</t>
        </is>
      </c>
      <c r="S1768" s="5" t="inlineStr"/>
      <c r="T1768" s="5" t="inlineStr"/>
      <c r="U1768" s="5" t="inlineStr"/>
      <c r="V1768" s="5" t="inlineStr">
        <is>
          <t>zirve</t>
        </is>
      </c>
      <c r="W1768" s="5" t="inlineStr">
        <is>
          <t>hapis</t>
        </is>
      </c>
      <c r="X1768" s="5" t="inlineStr"/>
      <c r="Y1768" s="5" t="inlineStr"/>
      <c r="Z1768" s="6" t="inlineStr"/>
      <c r="AA1768" s="5" t="inlineStr"/>
      <c r="AB1768" s="5" t="inlineStr"/>
      <c r="AC1768" s="5" t="inlineStr"/>
      <c r="AD1768" s="5" t="inlineStr">
        <is>
          <t>Zengin</t>
        </is>
      </c>
      <c r="AE1768" s="5" t="inlineStr"/>
      <c r="AF1768" s="5" t="inlineStr"/>
      <c r="AG1768" s="5" t="inlineStr"/>
      <c r="AH1768" s="5" t="inlineStr"/>
      <c r="AI1768" s="5" t="inlineStr"/>
      <c r="AJ1768" s="5" t="inlineStr"/>
      <c r="AL1768" t="n">
        <v>1</v>
      </c>
    </row>
    <row r="1769">
      <c r="A1769" s="5" t="inlineStr">
        <is>
          <t>b8-orta-yas</t>
        </is>
      </c>
      <c r="B1769" s="5" t="n">
        <v>14</v>
      </c>
      <c r="C1769" s="6" t="inlineStr">
        <is>
          <t>Stadyum seminerine oyna</t>
        </is>
      </c>
      <c r="D1769" s="5" t="inlineStr">
        <is>
          <t>Kurnazlık</t>
        </is>
      </c>
      <c r="E1769" s="5" t="inlineStr">
        <is>
          <t>Zor</t>
        </is>
      </c>
      <c r="F1769" s="5" t="inlineStr"/>
      <c r="G1769" s="6" t="inlineStr"/>
      <c r="H1769" s="6" t="inlineStr">
        <is>
          <t>Yatırım kulübünün üye sayısı on bini geçti. Hiçbiri ne sattığını bilmiyor; sen de.</t>
        </is>
      </c>
      <c r="I1769" s="6" t="inlineStr">
        <is>
          <t>Seminerlerin artık stadyumda. Kapıda satılan kitabının adı “Kolay Para Yoktur.” En çok satan kitap.</t>
        </is>
      </c>
      <c r="J1769" s="6" t="inlineStr">
        <is>
          <t>Büyük seminer için tuttuğun salon boş kaldı. Katılan tek kişi iade istedi; hayatında ilk kez iade ettin.</t>
        </is>
      </c>
      <c r="K1769" s="6" t="inlineStr">
        <is>
          <t>Ön sırada oturan izleyici bir müfettişti. Sunumun ilk slaytında sohbet, ikincisinde tutanak başladı.</t>
        </is>
      </c>
      <c r="L1769" s="6" t="inlineStr"/>
      <c r="M1769" s="5" t="inlineStr"/>
      <c r="N1769" s="5" t="inlineStr"/>
      <c r="O1769" s="6" t="inlineStr"/>
      <c r="P1769" s="6" t="inlineStr"/>
      <c r="Q1769" s="5" t="inlineStr"/>
      <c r="R1769" s="5" t="inlineStr">
        <is>
          <t>hat-dolandirici</t>
        </is>
      </c>
      <c r="S1769" s="5" t="inlineStr"/>
      <c r="T1769" s="5" t="inlineStr"/>
      <c r="U1769" s="5" t="inlineStr"/>
      <c r="V1769" s="5" t="inlineStr">
        <is>
          <t>zirve</t>
        </is>
      </c>
      <c r="W1769" s="5" t="inlineStr">
        <is>
          <t>hapis</t>
        </is>
      </c>
      <c r="X1769" s="5" t="inlineStr"/>
      <c r="Y1769" s="5" t="inlineStr"/>
      <c r="Z1769" s="6" t="inlineStr"/>
      <c r="AA1769" s="5" t="inlineStr"/>
      <c r="AB1769" s="5" t="inlineStr"/>
      <c r="AC1769" s="5" t="inlineStr"/>
      <c r="AD1769" s="5" t="inlineStr">
        <is>
          <t>Zengin</t>
        </is>
      </c>
      <c r="AE1769" s="5" t="inlineStr"/>
      <c r="AF1769" s="5" t="inlineStr"/>
      <c r="AG1769" s="5" t="inlineStr"/>
      <c r="AH1769" s="5" t="inlineStr"/>
      <c r="AI1769" s="5" t="inlineStr"/>
      <c r="AJ1769" s="5" t="inlineStr"/>
      <c r="AL1769" t="n">
        <v>1</v>
      </c>
    </row>
    <row r="1770">
      <c r="A1770" s="5" t="inlineStr">
        <is>
          <t>b8-orta-yas</t>
        </is>
      </c>
      <c r="B1770" s="5" t="n">
        <v>15</v>
      </c>
      <c r="C1770" s="6" t="inlineStr">
        <is>
          <t>Yılın yüzü olmaya oyna</t>
        </is>
      </c>
      <c r="D1770" s="5" t="inlineStr">
        <is>
          <t>Pişkinlik</t>
        </is>
      </c>
      <c r="E1770" s="5" t="inlineStr">
        <is>
          <t>Zor</t>
        </is>
      </c>
      <c r="F1770" s="5" t="inlineStr"/>
      <c r="G1770" s="6" t="inlineStr"/>
      <c r="H1770" s="6" t="inlineStr">
        <is>
          <t>Yılın yüzü seçildin. Teşekkür listen annenden başlayıp kuaförünle bitti.</t>
        </is>
      </c>
      <c r="I1770" s="6" t="inlineStr">
        <is>
          <t>Bir balmumu heykelin yapıldı. Heykel senden genç duruyor; biraz kıskanıyorsun.</t>
        </is>
      </c>
      <c r="J1770" s="6" t="inlineStr">
        <is>
          <t>Ödül rakibine gitti. Sen alkışlarken kamera sana döndü; alkışın biraz kısa kaldı.</t>
        </is>
      </c>
      <c r="K1770" s="6" t="inlineStr">
        <is>
          <t>Ödül töreninde eski menajerine teşekkür ettin, yanlışlıkla. Menajer ertesi gün aradı; barıştınız, işin yok.</t>
        </is>
      </c>
      <c r="L1770" s="6" t="inlineStr"/>
      <c r="M1770" s="5" t="inlineStr"/>
      <c r="N1770" s="5" t="inlineStr"/>
      <c r="O1770" s="6" t="inlineStr"/>
      <c r="P1770" s="6" t="inlineStr"/>
      <c r="Q1770" s="5" t="inlineStr"/>
      <c r="R1770" s="5" t="inlineStr">
        <is>
          <t>hat-sohret</t>
        </is>
      </c>
      <c r="S1770" s="5" t="inlineStr"/>
      <c r="T1770" s="5" t="inlineStr"/>
      <c r="U1770" s="5" t="inlineStr"/>
      <c r="V1770" s="5" t="inlineStr">
        <is>
          <t>zirve</t>
        </is>
      </c>
      <c r="W1770" s="5" t="inlineStr"/>
      <c r="X1770" s="5" t="inlineStr"/>
      <c r="Y1770" s="5" t="inlineStr"/>
      <c r="Z1770" s="6" t="inlineStr"/>
      <c r="AA1770" s="5" t="inlineStr"/>
      <c r="AB1770" s="5" t="inlineStr"/>
      <c r="AC1770" s="5" t="inlineStr"/>
      <c r="AD1770" s="5" t="inlineStr">
        <is>
          <t>Zengin</t>
        </is>
      </c>
      <c r="AE1770" s="5" t="inlineStr"/>
      <c r="AF1770" s="5" t="inlineStr"/>
      <c r="AG1770" s="5" t="inlineStr"/>
      <c r="AH1770" s="5" t="inlineStr"/>
      <c r="AI1770" s="5" t="inlineStr"/>
      <c r="AJ1770" s="5" t="inlineStr"/>
    </row>
    <row r="1771">
      <c r="A1771" s="5" t="inlineStr">
        <is>
          <t>b8-orta-yas</t>
        </is>
      </c>
      <c r="B1771" s="5" t="n">
        <v>16</v>
      </c>
      <c r="C1771" s="6" t="inlineStr">
        <is>
          <t>Şirketi büyütmeye oyna</t>
        </is>
      </c>
      <c r="D1771" s="5" t="inlineStr">
        <is>
          <t>Akıl</t>
        </is>
      </c>
      <c r="E1771" s="5" t="inlineStr">
        <is>
          <t>Zor</t>
        </is>
      </c>
      <c r="F1771" s="5" t="inlineStr"/>
      <c r="G1771" s="6" t="inlineStr"/>
      <c r="H1771" s="6" t="inlineStr">
        <is>
          <t>Şirketin sektörünün en büyüğü oldu. Logoyu değiştirmek için üç ay toplantı yaptınız.</t>
        </is>
      </c>
      <c r="I1771" s="6" t="inlineStr">
        <is>
          <t>Şirketin halka açıldı. Annen hisse aldı; her sabah fiyatı sana soruyor.</t>
        </is>
      </c>
      <c r="J1771" s="6" t="inlineStr">
        <is>
          <t>Büyüme turu kapanmadı. Şirketin küçük ve kârlı kaldı; bu cümleyi yatırımcılara hâlâ anlatamıyorsun.</t>
        </is>
      </c>
      <c r="K1771" s="6" t="inlineStr">
        <is>
          <t>Büyük anlaşmanın imza gününde kalemi unuttun. Karşı taraf “Bu bir işaret” dedi ve kalktı.</t>
        </is>
      </c>
      <c r="L1771" s="6" t="inlineStr"/>
      <c r="M1771" s="5" t="inlineStr"/>
      <c r="N1771" s="5" t="inlineStr"/>
      <c r="O1771" s="6" t="inlineStr"/>
      <c r="P1771" s="6" t="inlineStr"/>
      <c r="Q1771" s="5" t="inlineStr"/>
      <c r="R1771" s="5" t="inlineStr">
        <is>
          <t>hat-girisimci</t>
        </is>
      </c>
      <c r="S1771" s="5" t="inlineStr"/>
      <c r="T1771" s="5" t="inlineStr"/>
      <c r="U1771" s="5" t="inlineStr"/>
      <c r="V1771" s="5" t="inlineStr">
        <is>
          <t>zirve</t>
        </is>
      </c>
      <c r="W1771" s="5" t="inlineStr"/>
      <c r="X1771" s="5" t="inlineStr"/>
      <c r="Y1771" s="5" t="inlineStr"/>
      <c r="Z1771" s="6" t="inlineStr"/>
      <c r="AA1771" s="5" t="inlineStr"/>
      <c r="AB1771" s="5" t="inlineStr"/>
      <c r="AC1771" s="5" t="inlineStr"/>
      <c r="AD1771" s="5" t="inlineStr">
        <is>
          <t>Zengin</t>
        </is>
      </c>
      <c r="AE1771" s="5" t="inlineStr"/>
      <c r="AF1771" s="5" t="inlineStr"/>
      <c r="AG1771" s="5" t="inlineStr"/>
      <c r="AH1771" s="5" t="inlineStr"/>
      <c r="AI1771" s="5" t="inlineStr"/>
      <c r="AJ1771" s="5" t="inlineStr"/>
      <c r="AL1771" t="n">
        <v>1</v>
      </c>
    </row>
    <row r="1772">
      <c r="A1772" s="5" t="inlineStr">
        <is>
          <t>b8-orta-yas</t>
        </is>
      </c>
      <c r="B1772" s="5" t="n">
        <v>17</v>
      </c>
      <c r="C1772" s="6" t="inlineStr">
        <is>
          <t>Öte Diyar'da kendi dükkânını aç</t>
        </is>
      </c>
      <c r="D1772" s="5" t="inlineStr">
        <is>
          <t>Dayanıklılık</t>
        </is>
      </c>
      <c r="E1772" s="5" t="inlineStr">
        <is>
          <t>Zor</t>
        </is>
      </c>
      <c r="F1772" s="5" t="inlineStr"/>
      <c r="G1772" s="6" t="inlineStr"/>
      <c r="H1772" s="6" t="inlineStr">
        <is>
          <t>Öte Diyar'da kendi dükkânını açtın; tabelada adın ilk kez doğru yazılmış.</t>
        </is>
      </c>
      <c r="I1772" s="6" t="inlineStr">
        <is>
          <t>Öte Diyar'ın bir gazetesi seni “yılın göçmeni” seçti. Memlekette haberin başlığını “Bizim çocuk” diye çevirdiler.</t>
        </is>
      </c>
      <c r="J1772" s="6" t="inlineStr">
        <is>
          <t>Dükkân başvurusunun bir sayfası iki dilde de eksik çıktı. Başkasının tezgâhında devam ediyorsun; tabelada yine başkasının adı var.</t>
        </is>
      </c>
      <c r="K1772" s="6" t="inlineStr">
        <is>
          <t>Açılış günü kurdeleyi kestin, içeri bir müfettiş girdi. İzin belgen başka bir dükkânınmış. Açılış ve kapanış aynı fotoğrafta.</t>
        </is>
      </c>
      <c r="L1772" s="6" t="inlineStr"/>
      <c r="M1772" s="5" t="inlineStr"/>
      <c r="N1772" s="5" t="inlineStr"/>
      <c r="O1772" s="6" t="inlineStr"/>
      <c r="P1772" s="6" t="inlineStr"/>
      <c r="Q1772" s="5" t="inlineStr"/>
      <c r="R1772" s="5" t="inlineStr">
        <is>
          <t>hat-goc</t>
        </is>
      </c>
      <c r="S1772" s="5" t="inlineStr"/>
      <c r="T1772" s="5" t="inlineStr"/>
      <c r="U1772" s="5" t="inlineStr"/>
      <c r="V1772" s="5" t="inlineStr">
        <is>
          <t>zirve</t>
        </is>
      </c>
      <c r="W1772" s="5" t="inlineStr"/>
      <c r="X1772" s="5" t="inlineStr"/>
      <c r="Y1772" s="5" t="inlineStr"/>
      <c r="Z1772" s="6" t="inlineStr"/>
      <c r="AA1772" s="5" t="inlineStr"/>
      <c r="AB1772" s="5" t="inlineStr"/>
      <c r="AC1772" s="5" t="inlineStr">
        <is>
          <t>Orta</t>
        </is>
      </c>
      <c r="AD1772" s="5" t="inlineStr">
        <is>
          <t>Rahat</t>
        </is>
      </c>
      <c r="AE1772" s="5" t="inlineStr"/>
      <c r="AF1772" s="5" t="inlineStr"/>
      <c r="AG1772" s="5" t="inlineStr">
        <is>
          <t>ote-diyar-dukkani</t>
        </is>
      </c>
      <c r="AH1772" s="5" t="inlineStr"/>
      <c r="AI1772" s="5" t="inlineStr"/>
      <c r="AJ1772" s="5" t="inlineStr"/>
      <c r="AL1772" t="n">
        <v>1</v>
      </c>
    </row>
    <row r="1773">
      <c r="A1773" s="5" t="inlineStr">
        <is>
          <t>b8-orta-yas</t>
        </is>
      </c>
      <c r="B1773" s="5" t="n">
        <v>18</v>
      </c>
      <c r="C1773" s="6" t="inlineStr">
        <is>
          <t>Muhtarlığa aday ol</t>
        </is>
      </c>
      <c r="D1773" s="5" t="inlineStr">
        <is>
          <t>Sosyal Radar</t>
        </is>
      </c>
      <c r="E1773" s="5" t="inlineStr">
        <is>
          <t>Zor</t>
        </is>
      </c>
      <c r="F1773" s="5" t="inlineStr"/>
      <c r="G1773" s="6" t="inlineStr"/>
      <c r="H1773" s="6" t="inlineStr">
        <is>
          <t>Köyün muhtarı seçildin. İlk icraatın keçiler için hız sınırı.</t>
        </is>
      </c>
      <c r="I1773" s="6" t="inlineStr">
        <is>
          <t>Köyün ünlü oldu; şehirden tur otobüsleri geliyor. Keçilerle fotoğraf ücretli.</t>
        </is>
      </c>
      <c r="J1773" s="6" t="inlineStr">
        <is>
          <t>Muhtarlık seçimini yirmi yıllık muhtara kaybettin. Seni kahvede yardımcısı ilan etti; maaşsız.</t>
        </is>
      </c>
      <c r="K1773" s="6" t="inlineStr">
        <is>
          <t>Seçim günü keçiler sandığı devirdi. Oylar yeniden sayıldı; keçiler karşı tarafı destekliyormuş.</t>
        </is>
      </c>
      <c r="L1773" s="6" t="inlineStr"/>
      <c r="M1773" s="5" t="inlineStr"/>
      <c r="N1773" s="5" t="inlineStr"/>
      <c r="O1773" s="6" t="inlineStr"/>
      <c r="P1773" s="6" t="inlineStr"/>
      <c r="Q1773" s="5" t="inlineStr"/>
      <c r="R1773" s="5" t="inlineStr">
        <is>
          <t>hat-koy</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Orta</t>
        </is>
      </c>
      <c r="AE1773" s="5" t="inlineStr"/>
      <c r="AF1773" s="5" t="inlineStr"/>
      <c r="AG1773" s="5" t="inlineStr">
        <is>
          <t>muhtar</t>
        </is>
      </c>
      <c r="AH1773" s="5" t="inlineStr"/>
      <c r="AI1773" s="5" t="inlineStr"/>
      <c r="AJ1773" s="5" t="inlineStr"/>
    </row>
    <row r="1774">
      <c r="A1774" s="5" t="inlineStr">
        <is>
          <t>b8-orta-yas</t>
        </is>
      </c>
      <c r="B1774" s="5" t="n">
        <v>19</v>
      </c>
      <c r="C1774" s="6" t="inlineStr">
        <is>
          <t>Ustaların ustası olmaya oyna</t>
        </is>
      </c>
      <c r="D1774" s="5" t="inlineStr">
        <is>
          <t>Akıl</t>
        </is>
      </c>
      <c r="E1774" s="5" t="inlineStr">
        <is>
          <t>Zor</t>
        </is>
      </c>
      <c r="F1774" s="5" t="inlineStr"/>
      <c r="G1774" s="6" t="inlineStr"/>
      <c r="H1774" s="6" t="inlineStr">
        <is>
          <t>Sanayinin “ustaların ustası” oldun. Çözülemeyen arıza sana gelir; ya çözülür ya efsane olur.</t>
        </is>
      </c>
      <c r="I1774" s="6" t="inlineStr">
        <is>
          <t>Yetiştirdiğin çıraklar üç sanayide dükkân açtı. Hepsinin duvarında senin fotoğrafın var; biraz gençken çekilmiş.</t>
        </is>
      </c>
      <c r="J1774" s="6" t="inlineStr">
        <is>
          <t>Sanayi ustaları çözülemeyen bir arızayı sana getirdi; çözemedin. Genç bir çırak çözdü: seninki.</t>
        </is>
      </c>
      <c r="K1774" s="6" t="inlineStr">
        <is>
          <t>Ustalık gösterisinde motoru ters taktın. Motor çalıştı; ters yöne.</t>
        </is>
      </c>
      <c r="L1774" s="6" t="inlineStr"/>
      <c r="M1774" s="5" t="inlineStr"/>
      <c r="N1774" s="5" t="inlineStr"/>
      <c r="O1774" s="6" t="inlineStr"/>
      <c r="P1774" s="6" t="inlineStr"/>
      <c r="Q1774" s="5" t="inlineStr"/>
      <c r="R1774" s="5" t="inlineStr">
        <is>
          <t>hat-usta</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ustalarin-ustasi</t>
        </is>
      </c>
      <c r="AH1774" s="5" t="inlineStr"/>
      <c r="AI1774" s="5" t="inlineStr"/>
      <c r="AJ1774" s="5" t="inlineStr"/>
    </row>
    <row r="1775">
      <c r="A1775" s="5" t="inlineStr">
        <is>
          <t>b8-buyuk-firsat</t>
        </is>
      </c>
      <c r="B1775" s="5" t="n">
        <v>1</v>
      </c>
      <c r="C1775" s="6" t="inlineStr">
        <is>
          <t>Üçünü de kibarca geri çevir</t>
        </is>
      </c>
      <c r="D1775" s="5" t="inlineStr"/>
      <c r="E1775" s="5" t="inlineStr"/>
      <c r="F1775" s="5" t="inlineStr">
        <is>
          <t>İtibar +1, Dayanıklılık +1</t>
        </is>
      </c>
      <c r="G1775" s="6" t="inlineStr">
        <is>
          <t>Üç telefonu da kibarca kapattın. Akşam pastanın başında annen sordu: “Kimdi o arayanlar?” “Yanlış numara” dedin. Mumları üflerken bir dilek tuttun; üçünden biri olabilirdi.</t>
        </is>
      </c>
      <c r="H1775" s="6" t="inlineStr"/>
      <c r="I1775" s="6" t="inlineStr"/>
      <c r="J1775" s="6" t="inlineStr"/>
      <c r="K1775" s="6" t="inlineStr"/>
      <c r="L1775" s="6" t="inlineStr"/>
      <c r="M1775" s="5" t="inlineStr"/>
      <c r="N1775" s="5" t="inlineStr"/>
      <c r="O1775" s="6" t="inlineStr"/>
      <c r="P1775" s="6" t="inlineStr"/>
      <c r="Q1775" s="5" t="inlineStr"/>
      <c r="R1775" s="5" t="inlineStr"/>
      <c r="S1775" s="5" t="inlineStr"/>
      <c r="T1775" s="5" t="inlineStr"/>
      <c r="U1775" s="5" t="inlineStr"/>
      <c r="V1775" s="5" t="inlineStr"/>
      <c r="W1775" s="5" t="inlineStr"/>
      <c r="X1775" s="5" t="inlineStr"/>
      <c r="Y1775" s="5" t="inlineStr"/>
      <c r="Z1775" s="6" t="inlineStr"/>
      <c r="AA1775" s="5" t="inlineStr"/>
      <c r="AB1775" s="5" t="inlineStr"/>
      <c r="AC1775" s="5" t="inlineStr"/>
      <c r="AD1775" s="5" t="inlineStr"/>
      <c r="AE1775" s="5" t="inlineStr"/>
      <c r="AF1775" s="5" t="inlineStr"/>
      <c r="AG1775" s="5" t="inlineStr"/>
      <c r="AH1775" s="5" t="inlineStr"/>
      <c r="AI1775" s="5" t="inlineStr"/>
      <c r="AJ1775" s="5" t="inlineStr"/>
    </row>
    <row r="1776">
      <c r="A1776" s="5" t="inlineStr">
        <is>
          <t>b8-buyuk-firsat</t>
        </is>
      </c>
      <c r="B1776" s="5" t="n">
        <v>2</v>
      </c>
      <c r="C1776" s="6" t="inlineStr">
        <is>
          <t>Adaylık teklifini kabul et</t>
        </is>
      </c>
      <c r="D1776" s="5" t="inlineStr">
        <is>
          <t>Çene</t>
        </is>
      </c>
      <c r="E1776" s="5" t="inlineStr">
        <is>
          <t>Zor</t>
        </is>
      </c>
      <c r="F1776" s="5" t="inlineStr"/>
      <c r="G1776" s="6" t="inlineStr"/>
      <c r="H1776" s="6" t="inlineStr">
        <is>
          <t>İl başkanı seni listenin üst sırasına koydu. Afişin ertesi hafta basıldı; fotoğrafın yirmi yıl önceden, sloganın dünden.</t>
        </is>
      </c>
      <c r="I1776" s="6" t="inlineStr">
        <is>
          <t>Adaylığın açıklandığı gün mahallede kendiliğinden bir miting oldu. Kürsü bir çay ocağıydı, kalabalık gerçekti.</t>
        </is>
      </c>
      <c r="J1776" s="6" t="inlineStr">
        <is>
          <t>İl başkanı seni dinledi, sonra listeyi dinledi. Liste senden kalabalıktı; adın yedek sıraya yazıldı.</t>
        </is>
      </c>
      <c r="K1776" s="6" t="inlineStr">
        <is>
          <t>Tanışma toplantısında kürsüye çıktın, heyecanla bağırdın: “Yaşasın…” Ağzından rakip partinin adı çıktı. Salon aynı anda öksürdü. İl başkanı numaranı gözünün önünde rehberden sildi.</t>
        </is>
      </c>
      <c r="L1776" s="6" t="inlineStr"/>
      <c r="M1776" s="5" t="inlineStr"/>
      <c r="N1776" s="5" t="inlineStr"/>
      <c r="O1776" s="6" t="inlineStr"/>
      <c r="P1776" s="6" t="inlineStr"/>
      <c r="Q1776" s="5" t="inlineStr"/>
      <c r="R1776" s="5" t="inlineStr"/>
      <c r="S1776" s="5" t="inlineStr"/>
      <c r="T1776" s="5" t="inlineStr"/>
      <c r="U1776" s="5" t="inlineStr"/>
      <c r="V1776" s="5" t="inlineStr">
        <is>
          <t>-hat-cete, -hat-dolandirici, -hat-girisimci, -hat-goc, -hat-hekim, -hat-koy, -hat-polis, -hat-sohret, -hat-usta, -hat-yargi, -meslek-beyazyaka, -meslek-esnaf, -meslek-memur, -meslek-serbest, hat-politika</t>
        </is>
      </c>
      <c r="W1776" s="5" t="inlineStr"/>
      <c r="X1776" s="5" t="inlineStr"/>
      <c r="Y1776" s="5" t="inlineStr"/>
      <c r="Z1776" s="6" t="inlineStr"/>
      <c r="AA1776" s="5" t="inlineStr"/>
      <c r="AB1776" s="5" t="inlineStr"/>
      <c r="AC1776" s="5" t="inlineStr"/>
      <c r="AD1776" s="5" t="inlineStr"/>
      <c r="AE1776" s="5" t="inlineStr"/>
      <c r="AF1776" s="5" t="inlineStr"/>
      <c r="AG1776" s="5" t="inlineStr">
        <is>
          <t>hat-politika</t>
        </is>
      </c>
      <c r="AH1776" s="5" t="inlineStr">
        <is>
          <t>Çene 41</t>
        </is>
      </c>
      <c r="AI1776" s="5" t="inlineStr"/>
      <c r="AJ1776" s="5" t="inlineStr"/>
    </row>
    <row r="1777">
      <c r="A1777" s="5" t="inlineStr">
        <is>
          <t>b8-buyuk-firsat</t>
        </is>
      </c>
      <c r="B1777" s="5" t="n">
        <v>3</v>
      </c>
      <c r="C1777" s="6" t="inlineStr">
        <is>
          <t>Öte Diyar'daki teklife evet de</t>
        </is>
      </c>
      <c r="D1777" s="5" t="inlineStr">
        <is>
          <t>Akıl</t>
        </is>
      </c>
      <c r="E1777" s="5" t="inlineStr">
        <is>
          <t>Zor</t>
        </is>
      </c>
      <c r="F1777" s="5" t="inlineStr"/>
      <c r="G1777" s="6" t="inlineStr"/>
      <c r="H1777" s="6" t="inlineStr">
        <is>
          <t>Elli yaşında valiz topladın. Valizin köşesinden annenin sıkıştırdığı bir dizi kuru biber çıktı. Öte Diyar'daki ilk sabah kahveni tek başına içtin; biberleri mutfağa astın.</t>
        </is>
      </c>
      <c r="I1777" s="6" t="inlineStr">
        <is>
          <t>Şirket seni bir bölüm müdürü olarak aldı; memlekette herkes seni zengin sanıyor. Yarı haklılar.</t>
        </is>
      </c>
      <c r="J1777" s="6" t="inlineStr">
        <is>
          <t>Mülakatın dil bölümünde takıldın. Şirket “Bir sonraki sefere” dedi; sonraki sefer yaşına bağlı.</t>
        </is>
      </c>
      <c r="K1777" s="6" t="inlineStr">
        <is>
          <t>Vize görüşmesinde memuru eski bir komşuya benzetip camın üstünden sarılmaya çalıştın. Komşu değildi. Vize reddedildi; gerekçe kutusunda tek kelime: “Sarıldı.”</t>
        </is>
      </c>
      <c r="L1777" s="6" t="inlineStr"/>
      <c r="M1777" s="5" t="inlineStr"/>
      <c r="N1777" s="5" t="inlineStr"/>
      <c r="O1777" s="6" t="inlineStr"/>
      <c r="P1777" s="6" t="inlineStr"/>
      <c r="Q1777" s="5" t="inlineStr"/>
      <c r="R1777" s="5" t="inlineStr"/>
      <c r="S1777" s="5" t="inlineStr"/>
      <c r="T1777" s="5" t="inlineStr"/>
      <c r="U1777" s="5" t="inlineStr"/>
      <c r="V1777" s="5" t="inlineStr">
        <is>
          <t>-hat-cete, -hat-dolandirici, -hat-girisimci, -hat-hekim, -hat-koy, -hat-polis, -hat-politika, -hat-sohret, -hat-usta, -hat-yargi, -meslek-esnaf, -meslek-memur, -meslek-serbest, hat-goc, meslek-beyazyaka</t>
        </is>
      </c>
      <c r="W1777" s="5" t="inlineStr"/>
      <c r="X1777" s="5" t="inlineStr"/>
      <c r="Y1777" s="5" t="inlineStr"/>
      <c r="Z1777" s="6" t="inlineStr"/>
      <c r="AA1777" s="5" t="inlineStr"/>
      <c r="AB1777" s="5" t="inlineStr"/>
      <c r="AC1777" s="5" t="inlineStr"/>
      <c r="AD1777" s="5" t="inlineStr">
        <is>
          <t>Rahat</t>
        </is>
      </c>
      <c r="AE1777" s="5" t="inlineStr"/>
      <c r="AF1777" s="5" t="inlineStr"/>
      <c r="AG1777" s="5" t="inlineStr">
        <is>
          <t>hat-goc</t>
        </is>
      </c>
      <c r="AH1777" s="5" t="inlineStr">
        <is>
          <t>Akıl 36</t>
        </is>
      </c>
      <c r="AI1777" s="5" t="inlineStr"/>
      <c r="AJ1777" s="5" t="inlineStr"/>
    </row>
    <row r="1778">
      <c r="A1778" s="5" t="inlineStr">
        <is>
          <t>b8-buyuk-firsat</t>
        </is>
      </c>
      <c r="B1778" s="5" t="n">
        <v>4</v>
      </c>
      <c r="C1778" s="6" t="inlineStr">
        <is>
          <t>Yarışma programına katıl</t>
        </is>
      </c>
      <c r="D1778" s="5" t="inlineStr">
        <is>
          <t>Pişkinlik</t>
        </is>
      </c>
      <c r="E1778" s="5" t="inlineStr">
        <is>
          <t>Zor</t>
        </is>
      </c>
      <c r="F1778" s="5" t="inlineStr"/>
      <c r="G1778" s="6" t="inlineStr"/>
      <c r="H1778" s="6" t="inlineStr">
        <is>
          <t>Programda son üçe kaldın; ülke seni sevdi. Ertesi hafta bir dizide “bilge komşu” rolün var.</t>
        </is>
      </c>
      <c r="I1778" s="6" t="inlineStr">
        <is>
          <t>Programı kazandın. Ödül ikinci planda kaldı; asıl ödül, pazarda seninle fotoğraf çekmek isteyen teyzeler.</t>
        </is>
      </c>
      <c r="J1778" s="6" t="inlineStr">
        <is>
          <t>İlk turda elendin. Ama elendiğin bölüm çok izlendi; eleniş videon hâlâ dolaşıyor.</t>
        </is>
      </c>
      <c r="K1778" s="6" t="inlineStr">
        <is>
          <t>Son soruda telefon jokerini kullanıp anneni aradın. Annen yanlış cevap verdi, sonra canlı yayında sordu: “Yavrum, yemeğini yedin mi?” Elendin; o an her yılbaşı yeniden yayında.</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-hat-politika, -hat-usta, -hat-yargi, -meslek-beyazyaka, -meslek-esnaf, -meslek-memur, hat-sohret, meslek-serbest</t>
        </is>
      </c>
      <c r="W1778" s="5" t="inlineStr"/>
      <c r="X1778" s="5" t="inlineStr"/>
      <c r="Y1778" s="5" t="inlineStr"/>
      <c r="Z1778" s="6" t="inlineStr"/>
      <c r="AA1778" s="5" t="inlineStr"/>
      <c r="AB1778" s="5" t="inlineStr"/>
      <c r="AC1778" s="5" t="inlineStr"/>
      <c r="AD1778" s="5" t="inlineStr"/>
      <c r="AE1778" s="5" t="inlineStr"/>
      <c r="AF1778" s="5" t="inlineStr"/>
      <c r="AG1778" s="5" t="inlineStr">
        <is>
          <t>hat-sohret</t>
        </is>
      </c>
      <c r="AH1778" s="5" t="inlineStr"/>
      <c r="AI1778" s="5" t="inlineStr"/>
      <c r="AJ1778" s="5" t="inlineStr"/>
    </row>
    <row r="1779">
      <c r="A1779" s="5" t="inlineStr">
        <is>
          <t>b8-buyuk-firsat</t>
        </is>
      </c>
      <c r="B1779" s="5" t="n">
        <v>5</v>
      </c>
      <c r="C1779" s="6" t="inlineStr">
        <is>
          <t>Mahallenin önerisiyle aday ol</t>
        </is>
      </c>
      <c r="D1779" s="5" t="inlineStr">
        <is>
          <t>İtibar</t>
        </is>
      </c>
      <c r="E1779" s="5" t="inlineStr">
        <is>
          <t>Zor</t>
        </is>
      </c>
      <c r="F1779" s="5" t="inlineStr"/>
      <c r="G1779" s="6" t="inlineStr"/>
      <c r="H1779" s="6" t="inlineStr">
        <is>
          <t>Telefon açan il başkanı değil, mahallenin kendisiydi: kahveciler, esnaf, öğretmenler. Adaylığın bir dilekçeyle başladı, iki yüz imzayla.</t>
        </is>
      </c>
      <c r="I1779" s="6" t="inlineStr">
        <is>
          <t>İmza listesi uzadıkça kahveci masaları birleştirdi, bakkal kalemini verdi. Partiye iki dosyayla gittin; il başkanı dosyaları eliyle tarttı ve adını listenin başına yazdı.</t>
        </is>
      </c>
      <c r="J1779" s="6" t="inlineStr">
        <is>
          <t>Dilekçe partinin il binasına ulaştı ve bir çekmeceye girdi. Çekmece hâlâ kapalı.</t>
        </is>
      </c>
      <c r="K1779" s="6" t="inlineStr">
        <is>
          <t>İmza listesinde mahallenin kedisinin adı da vardı. Parti bunu ciddiyetsizlik saydı; kedi sana küstü.</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-hat-goc, -hat-hekim, -hat-koy, -hat-polis, -hat-sohret, -hat-usta, -hat-yargi, -meslek-beyazyaka, -meslek-esnaf, -meslek-memur, -meslek-serbest, hat-politika</t>
        </is>
      </c>
      <c r="W1779" s="5" t="inlineStr"/>
      <c r="X1779" s="5" t="inlineStr"/>
      <c r="Y1779" s="5" t="inlineStr"/>
      <c r="Z1779" s="6" t="inlineStr"/>
      <c r="AA1779" s="5" t="inlineStr"/>
      <c r="AB1779" s="5" t="inlineStr"/>
      <c r="AC1779" s="5" t="inlineStr"/>
      <c r="AD1779" s="5" t="inlineStr"/>
      <c r="AE1779" s="5" t="inlineStr"/>
      <c r="AF1779" s="5" t="inlineStr"/>
      <c r="AG1779" s="5" t="inlineStr">
        <is>
          <t>hat-politika</t>
        </is>
      </c>
      <c r="AH1779" s="5" t="inlineStr">
        <is>
          <t>İtibar 37</t>
        </is>
      </c>
      <c r="AI1779" s="5" t="inlineStr"/>
      <c r="AJ1779" s="5" t="inlineStr"/>
    </row>
    <row r="1780">
      <c r="A1780" s="5" t="inlineStr">
        <is>
          <t>b7-erken-tahliye</t>
        </is>
      </c>
      <c r="B1780" s="5" t="n">
        <v>1</v>
      </c>
      <c r="C1780" s="6" t="inlineStr">
        <is>
          <t>Islah kursundan esnaflığa geç</t>
        </is>
      </c>
      <c r="D1780" s="5" t="inlineStr"/>
      <c r="E1780" s="5" t="inlineStr"/>
      <c r="F1780" s="5" t="inlineStr">
        <is>
          <t>Dayanıklılık +1, İtibar +1</t>
        </is>
      </c>
      <c r="G1780" s="6" t="inlineStr">
        <is>
          <t>Mahallede küçük bir dükkân kiraladın; tabelaya “Kursta öğrendim” yazdırdın. İlk müşterin koğuşun çaycısıydı; senden önce çıkmış.</t>
        </is>
      </c>
      <c r="H1780" s="6" t="inlineStr"/>
      <c r="I1780" s="6" t="inlineStr"/>
      <c r="J1780" s="6" t="inlineStr"/>
      <c r="K1780" s="6" t="inlineStr"/>
      <c r="L1780" s="6" t="inlineStr"/>
      <c r="M1780" s="5" t="inlineStr"/>
      <c r="N1780" s="5" t="inlineStr"/>
      <c r="O1780" s="6" t="inlineStr"/>
      <c r="P1780" s="6" t="inlineStr"/>
      <c r="Q1780" s="5" t="inlineStr"/>
      <c r="R1780" s="5" t="inlineStr"/>
      <c r="S1780" s="5" t="inlineStr"/>
      <c r="T1780" s="5" t="inlineStr"/>
      <c r="U1780" s="5" t="inlineStr">
        <is>
          <t>-hat-cete, -hat-dolandirici, -hat-girisimci, -hat-goc, -hat-hekim, -hat-koy, -hat-polis, -hat-politika, -hat-sohret, -hat-usta, -hat-yargi, -meslek-beyazyaka, -meslek-memur, -meslek-serbest, meslek-esnaf, -hapis, eski-hukumlu, -ceza-indirimi</t>
        </is>
      </c>
      <c r="V1780" s="5" t="inlineStr"/>
      <c r="W1780" s="5" t="inlineStr"/>
      <c r="X1780" s="5" t="inlineStr"/>
      <c r="Y1780" s="5" t="inlineStr"/>
      <c r="Z1780" s="6" t="inlineStr"/>
      <c r="AA1780" s="5" t="inlineStr"/>
      <c r="AB1780" s="5" t="inlineStr"/>
      <c r="AC1780" s="5" t="inlineStr"/>
      <c r="AD1780" s="5" t="inlineStr">
        <is>
          <t>Fakir</t>
        </is>
      </c>
      <c r="AE1780" s="5" t="inlineStr"/>
      <c r="AF1780" s="5" t="inlineStr"/>
      <c r="AG1780" s="5" t="inlineStr"/>
      <c r="AH1780" s="5" t="inlineStr"/>
      <c r="AI1780" s="5" t="inlineStr"/>
      <c r="AJ1780" s="5" t="inlineStr"/>
    </row>
    <row r="1781">
      <c r="A1781" s="5" t="inlineStr">
        <is>
          <t>b7-erken-tahliye</t>
        </is>
      </c>
      <c r="B1781" s="5" t="n">
        <v>2</v>
      </c>
      <c r="C1781" s="6" t="inlineStr">
        <is>
          <t>Eski işine dön</t>
        </is>
      </c>
      <c r="D1781" s="5" t="inlineStr"/>
      <c r="E1781" s="5" t="inlineStr"/>
      <c r="F1781" s="5" t="inlineStr">
        <is>
          <t>Pişkinlik +1, Cesaret +1</t>
        </is>
      </c>
      <c r="G1781" s="6" t="inlineStr">
        <is>
          <t>Eski telefonunu açtın: kırk iki cevapsız arama. Hiçbiri seni özlememiş, hepsi işi soruyor. Kaldığın yerden devam; biraz daha dikkatli.</t>
        </is>
      </c>
      <c r="H1781" s="6" t="inlineStr"/>
      <c r="I1781" s="6" t="inlineStr"/>
      <c r="J1781" s="6" t="inlineStr"/>
      <c r="K1781" s="6" t="inlineStr"/>
      <c r="L1781" s="6" t="inlineStr"/>
      <c r="M1781" s="5" t="inlineStr"/>
      <c r="N1781" s="5" t="inlineStr"/>
      <c r="O1781" s="6" t="inlineStr"/>
      <c r="P1781" s="6" t="inlineStr"/>
      <c r="Q1781" s="5" t="inlineStr"/>
      <c r="R1781" s="5" t="inlineStr"/>
      <c r="S1781" s="5" t="inlineStr"/>
      <c r="T1781" s="5" t="inlineStr"/>
      <c r="U1781" s="5" t="inlineStr">
        <is>
          <t>-hapis, eski-hukumlu, -ceza-indirimi</t>
        </is>
      </c>
      <c r="V1781" s="5" t="inlineStr"/>
      <c r="W1781" s="5" t="inlineStr"/>
      <c r="X1781" s="5" t="inlineStr"/>
      <c r="Y1781" s="5" t="inlineStr"/>
      <c r="Z1781" s="6" t="inlineStr"/>
      <c r="AA1781" s="5" t="inlineStr"/>
      <c r="AB1781" s="5" t="inlineStr"/>
      <c r="AC1781" s="5" t="inlineStr"/>
      <c r="AD1781" s="5" t="inlineStr"/>
      <c r="AE1781" s="5" t="inlineStr"/>
      <c r="AF1781" s="5" t="inlineStr"/>
      <c r="AG1781" s="5" t="inlineStr"/>
      <c r="AH1781" s="5" t="inlineStr"/>
      <c r="AI1781" s="5" t="inlineStr"/>
      <c r="AJ1781" s="5" t="inlineStr"/>
    </row>
    <row r="1782">
      <c r="A1782" s="5" t="inlineStr">
        <is>
          <t>b7-erken-tahliye</t>
        </is>
      </c>
      <c r="B1782" s="5" t="n">
        <v>3</v>
      </c>
      <c r="C1782" s="6" t="inlineStr">
        <is>
          <t>Koğuş anılarını kitap yap</t>
        </is>
      </c>
      <c r="D1782" s="5" t="inlineStr">
        <is>
          <t>Çene</t>
        </is>
      </c>
      <c r="E1782" s="5" t="inlineStr">
        <is>
          <t>Zor</t>
        </is>
      </c>
      <c r="F1782" s="5" t="inlineStr"/>
      <c r="G1782" s="6" t="inlineStr"/>
      <c r="H1782" s="6" t="inlineStr">
        <is>
          <t>“Koğuşta Çay Nasıl Demlenir” çıktı. İlk imza gününe çaycı da geldi; kitaba bakmadan “Şekeri az yazmışsın” dedi.</t>
        </is>
      </c>
      <c r="I1782" s="6" t="inlineStr">
        <is>
          <t>Kitap çok satanlar rafında. Bir yapımcı dizisini çekmek istiyor; sen kendi rolünü oynamak istedin, kabul etti.</t>
        </is>
      </c>
      <c r="J1782" s="6" t="inlineStr">
        <is>
          <t>Kitabı yazdın, yayınevi “Bu fazla gerçekçi” dedi. Taslak çekmecede; sen eski hayatına dönüyorsun.</t>
        </is>
      </c>
      <c r="K1782" s="6" t="inlineStr">
        <is>
          <t>Kitaba bütün koğuşun lakaplarını yazdın. Basılmadı ama koğuşta okundu; kırk mektup geldi, hepsi düzeltme istiyor.</t>
        </is>
      </c>
      <c r="L1782" s="6" t="inlineStr"/>
      <c r="M1782" s="5" t="inlineStr"/>
      <c r="N1782" s="5" t="inlineStr"/>
      <c r="O1782" s="6" t="inlineStr"/>
      <c r="P1782" s="6" t="inlineStr"/>
      <c r="Q1782" s="5" t="inlineStr"/>
      <c r="R1782" s="5" t="inlineStr"/>
      <c r="S1782" s="5" t="inlineStr"/>
      <c r="T1782" s="5" t="inlineStr"/>
      <c r="U1782" s="5" t="inlineStr"/>
      <c r="V1782" s="5" t="inlineStr">
        <is>
          <t>-hat-cete, -hat-dolandirici, -hat-girisimci, -hat-goc, -hat-hekim, -hat-koy, -hat-polis, -hat-politika, -hat-usta, -hat-yargi, -meslek-beyazyaka, -meslek-esnaf, -meslek-memur, hat-sohret, meslek-serbest, -hapis, eski-hukumlu, -ceza-indirimi</t>
        </is>
      </c>
      <c r="W1782" s="5" t="inlineStr">
        <is>
          <t>-hapis, eski-hukumlu, -ceza-indirimi</t>
        </is>
      </c>
      <c r="X1782" s="5" t="inlineStr"/>
      <c r="Y1782" s="5" t="inlineStr"/>
      <c r="Z1782" s="6" t="inlineStr"/>
      <c r="AA1782" s="5" t="inlineStr"/>
      <c r="AB1782" s="5" t="inlineStr">
        <is>
          <t>-hapis, eski-hukumlu, -ceza-indirimi</t>
        </is>
      </c>
      <c r="AC1782" s="5" t="inlineStr"/>
      <c r="AD1782" s="5" t="inlineStr"/>
      <c r="AE1782" s="5" t="inlineStr"/>
      <c r="AF1782" s="5" t="inlineStr"/>
      <c r="AG1782" s="5" t="inlineStr"/>
      <c r="AH1782" s="5" t="inlineStr"/>
      <c r="AI1782" s="5" t="inlineStr"/>
      <c r="AJ1782" s="5" t="inlineStr"/>
    </row>
    <row r="1783">
      <c r="A1783" s="5" t="inlineStr">
        <is>
          <t>b7-erken-tahliye</t>
        </is>
      </c>
      <c r="B1783" s="5" t="n">
        <v>4</v>
      </c>
      <c r="C1783" s="6" t="inlineStr">
        <is>
          <t>“Sistemi içeriden tanıyorum” diye siyasete gir</t>
        </is>
      </c>
      <c r="D1783" s="5" t="inlineStr">
        <is>
          <t>Pişkinlik</t>
        </is>
      </c>
      <c r="E1783" s="5" t="inlineStr">
        <is>
          <t>Zor</t>
        </is>
      </c>
      <c r="F1783" s="5" t="inlineStr"/>
      <c r="G1783" s="6" t="inlineStr"/>
      <c r="H1783" s="6" t="inlineStr">
        <is>
          <t>Slogan tuttu. Bir partinin ilçe teşkilatı seni kapıda karşıladı; ilk mitingde en önde koğuştan çıkmış arkadaşların alkışlıyordu.</t>
        </is>
      </c>
      <c r="I1783" s="6" t="inlineStr">
        <is>
          <t>Sloganın afişlere basıldı. Rakiplerinin geçmişi sorulunca “Benimki belli” diyorsun; salon ayağa kalkıyor.</t>
        </is>
      </c>
      <c r="J1783" s="6" t="inlineStr">
        <is>
          <t>Parti binasında sloganını söyledin. Kapıdaki görevli başını salladı: “Bu hafta üçüncü geliyor bu slogan. Öbürleri de içeriden.” Eski hayatına döndün.</t>
        </is>
      </c>
      <c r="K1783" s="6" t="inlineStr">
        <is>
          <t>Eski hayatına döndün; ama önce parti binasının kapısında görevli “Buyurun” dedi ve sen alışkanlıkla ellerini kaldırdın.</t>
        </is>
      </c>
      <c r="L1783" s="6" t="inlineStr"/>
      <c r="M1783" s="5" t="inlineStr"/>
      <c r="N1783" s="5" t="inlineStr"/>
      <c r="O1783" s="6" t="inlineStr"/>
      <c r="P1783" s="6" t="inlineStr"/>
      <c r="Q1783" s="5" t="inlineStr"/>
      <c r="R1783" s="5" t="inlineStr"/>
      <c r="S1783" s="5" t="inlineStr"/>
      <c r="T1783" s="5" t="inlineStr"/>
      <c r="U1783" s="5" t="inlineStr"/>
      <c r="V1783" s="5" t="inlineStr">
        <is>
          <t>-hat-cete, -hat-dolandirici, -hat-girisimci, -hat-goc, -hat-hekim, -hat-koy, -hat-polis, -hat-sohret, -hat-usta, -hat-yargi, -meslek-beyazyaka, -meslek-esnaf, -meslek-memur, -meslek-serbest, hat-politika, -hapis, eski-hukumlu, -ceza-indirimi</t>
        </is>
      </c>
      <c r="W1783" s="5" t="inlineStr">
        <is>
          <t>-hapis, eski-hukumlu, -ceza-indirimi</t>
        </is>
      </c>
      <c r="X1783" s="5" t="inlineStr"/>
      <c r="Y1783" s="5" t="inlineStr"/>
      <c r="Z1783" s="6" t="inlineStr"/>
      <c r="AA1783" s="5" t="inlineStr"/>
      <c r="AB1783" s="5" t="inlineStr">
        <is>
          <t>-hapis, eski-hukumlu, -ceza-indirimi</t>
        </is>
      </c>
      <c r="AC1783" s="5" t="inlineStr"/>
      <c r="AD1783" s="5" t="inlineStr"/>
      <c r="AE1783" s="5" t="inlineStr"/>
      <c r="AF1783" s="5" t="inlineStr"/>
      <c r="AG1783" s="5" t="inlineStr"/>
      <c r="AH1783" s="5" t="inlineStr"/>
      <c r="AI1783" s="5" t="inlineStr"/>
      <c r="AJ1783" s="5" t="inlineStr"/>
    </row>
    <row r="1784">
      <c r="A1784" s="5" t="inlineStr">
        <is>
          <t>b7-erken-tahliye</t>
        </is>
      </c>
      <c r="B1784" s="5" t="n">
        <v>5</v>
      </c>
      <c r="C1784" s="6" t="inlineStr">
        <is>
          <t>Mahallenin kefaletiyle iş bul</t>
        </is>
      </c>
      <c r="D1784" s="5" t="inlineStr"/>
      <c r="E1784" s="5" t="inlineStr"/>
      <c r="F1784" s="5" t="inlineStr">
        <is>
          <t>İtibar +1, Dayanıklılık +1</t>
        </is>
      </c>
      <c r="G1784" s="6" t="inlineStr">
        <is>
          <t>Kapıda seni çarşının en eski esnafı bekliyordu: “Senin için söz verdim, dükkânın arka tarafı senin.” Mahallede kimse geçmişini sormadı; sordurmadılar.</t>
        </is>
      </c>
      <c r="H1784" s="6" t="inlineStr"/>
      <c r="I1784" s="6" t="inlineStr"/>
      <c r="J1784" s="6" t="inlineStr"/>
      <c r="K1784" s="6" t="inlineStr"/>
      <c r="L1784" s="6" t="inlineStr"/>
      <c r="M1784" s="5" t="inlineStr"/>
      <c r="N1784" s="5" t="inlineStr"/>
      <c r="O1784" s="6" t="inlineStr"/>
      <c r="P1784" s="6" t="inlineStr"/>
      <c r="Q1784" s="5" t="inlineStr"/>
      <c r="R1784" s="5" t="inlineStr"/>
      <c r="S1784" s="5" t="inlineStr"/>
      <c r="T1784" s="5" t="inlineStr"/>
      <c r="U1784" s="5" t="inlineStr">
        <is>
          <t>-hat-cete, -hat-dolandirici, -hat-girisimci, -hat-goc, -hat-hekim, -hat-koy, -hat-polis, -hat-politika, -hat-sohret, -hat-usta, -hat-yargi, -meslek-beyazyaka, -meslek-memur, -meslek-serbest, meslek-esnaf, -hapis, eski-hukumlu, -ceza-indirimi</t>
        </is>
      </c>
      <c r="V1784" s="5" t="inlineStr"/>
      <c r="W1784" s="5" t="inlineStr"/>
      <c r="X1784" s="5" t="inlineStr"/>
      <c r="Y1784" s="5" t="inlineStr"/>
      <c r="Z1784" s="6" t="inlineStr"/>
      <c r="AA1784" s="5" t="inlineStr"/>
      <c r="AB1784" s="5" t="inlineStr"/>
      <c r="AC1784" s="5" t="inlineStr"/>
      <c r="AD1784" s="5" t="inlineStr">
        <is>
          <t>Fakir</t>
        </is>
      </c>
      <c r="AE1784" s="5" t="inlineStr"/>
      <c r="AF1784" s="5" t="inlineStr"/>
      <c r="AG1784" s="5" t="inlineStr"/>
      <c r="AH1784" s="5" t="inlineStr">
        <is>
          <t>İtibar 37</t>
        </is>
      </c>
      <c r="AI1784" s="5" t="inlineStr"/>
      <c r="AJ1784" s="5" t="inlineStr"/>
    </row>
    <row r="1785">
      <c r="A1785" s="5" t="inlineStr">
        <is>
          <t>b8-erken-tahliye</t>
        </is>
      </c>
      <c r="B1785" s="5" t="n">
        <v>1</v>
      </c>
      <c r="C1785" s="6" t="inlineStr">
        <is>
          <t>Kursta öğrendiğinle esnaf ol</t>
        </is>
      </c>
      <c r="D1785" s="5" t="inlineStr"/>
      <c r="E1785" s="5" t="inlineStr"/>
      <c r="F1785" s="5" t="inlineStr">
        <is>
          <t>Dayanıklılık +1, Akıl +1</t>
        </is>
      </c>
      <c r="G1785" s="6" t="inlineStr">
        <is>
          <t>Sanayinin ucunda küçük bir dükkân tuttun: sabun, kaşık, bir de tavla tamiri. Müşterilerin yarısı eski koğuş arkadaşların; hepsi pazarlık ediyor, hepsi kaybediyor.</t>
        </is>
      </c>
      <c r="H1785" s="6" t="inlineStr"/>
      <c r="I1785" s="6" t="inlineStr"/>
      <c r="J1785" s="6" t="inlineStr"/>
      <c r="K1785" s="6" t="inlineStr"/>
      <c r="L1785" s="6" t="inlineStr"/>
      <c r="M1785" s="5" t="inlineStr"/>
      <c r="N1785" s="5" t="inlineStr"/>
      <c r="O1785" s="6" t="inlineStr"/>
      <c r="P1785" s="6" t="inlineStr"/>
      <c r="Q1785" s="5" t="inlineStr"/>
      <c r="R1785" s="5" t="inlineStr"/>
      <c r="S1785" s="5" t="inlineStr"/>
      <c r="T1785" s="5" t="inlineStr"/>
      <c r="U1785" s="5" t="inlineStr">
        <is>
          <t>-hat-cete, -hat-dolandirici, -hat-girisimci, -hat-goc, -hat-hekim, -hat-koy, -hat-polis, -hat-politika, -hat-sohret, -hat-usta, -hat-yargi, -meslek-beyazyaka, -meslek-memur, -meslek-serbest, meslek-esnaf, -hapis, eski-hukumlu, -ceza-indirimi</t>
        </is>
      </c>
      <c r="V1785" s="5" t="inlineStr"/>
      <c r="W1785" s="5" t="inlineStr"/>
      <c r="X1785" s="5" t="inlineStr"/>
      <c r="Y1785" s="5" t="inlineStr"/>
      <c r="Z1785" s="6" t="inlineStr"/>
      <c r="AA1785" s="5" t="inlineStr"/>
      <c r="AB1785" s="5" t="inlineStr"/>
      <c r="AC1785" s="5" t="inlineStr"/>
      <c r="AD1785" s="5" t="inlineStr">
        <is>
          <t>Fakir</t>
        </is>
      </c>
      <c r="AE1785" s="5" t="inlineStr"/>
      <c r="AF1785" s="5" t="inlineStr"/>
      <c r="AG1785" s="5" t="inlineStr"/>
      <c r="AH1785" s="5" t="inlineStr"/>
      <c r="AI1785" s="5" t="inlineStr"/>
      <c r="AJ1785" s="5" t="inlineStr"/>
    </row>
    <row r="1786">
      <c r="A1786" s="5" t="inlineStr">
        <is>
          <t>b8-erken-tahliye</t>
        </is>
      </c>
      <c r="B1786" s="5" t="n">
        <v>2</v>
      </c>
      <c r="C1786" s="6" t="inlineStr">
        <is>
          <t>Eski işine dön</t>
        </is>
      </c>
      <c r="D1786" s="5" t="inlineStr"/>
      <c r="E1786" s="5" t="inlineStr"/>
      <c r="F1786" s="5" t="inlineStr">
        <is>
          <t>Pişkinlik +1, Kurnazlık +1</t>
        </is>
      </c>
      <c r="G1786" s="6" t="inlineStr">
        <is>
          <t>Eski defterini açtın; isimlerin yarısı emekli, yarısı taşınmış. Kalanlarla devam ediyorsun; masan eskisinden küçük, gözlüğün kalın.</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-hapis, eski-hukumlu, -ceza-indirimi</t>
        </is>
      </c>
      <c r="V1786" s="5" t="inlineStr"/>
      <c r="W1786" s="5" t="inlineStr"/>
      <c r="X1786" s="5" t="inlineStr"/>
      <c r="Y1786" s="5" t="inlineStr"/>
      <c r="Z1786" s="6" t="inlineStr"/>
      <c r="AA1786" s="5" t="inlineStr"/>
      <c r="AB1786" s="5" t="inlineStr"/>
      <c r="AC1786" s="5" t="inlineStr"/>
      <c r="AD1786" s="5" t="inlineStr"/>
      <c r="AE1786" s="5" t="inlineStr"/>
      <c r="AF1786" s="5" t="inlineStr"/>
      <c r="AG1786" s="5" t="inlineStr"/>
      <c r="AH1786" s="5" t="inlineStr"/>
      <c r="AI1786" s="5" t="inlineStr"/>
      <c r="AJ1786" s="5" t="inlineStr"/>
    </row>
    <row r="1787">
      <c r="A1787" s="5" t="inlineStr">
        <is>
          <t>b8-erken-tahliye</t>
        </is>
      </c>
      <c r="B1787" s="5" t="n">
        <v>3</v>
      </c>
      <c r="C1787" s="6" t="inlineStr">
        <is>
          <t>Uzun yılları kitap yap</t>
        </is>
      </c>
      <c r="D1787" s="5" t="inlineStr">
        <is>
          <t>Çene</t>
        </is>
      </c>
      <c r="E1787" s="5" t="inlineStr">
        <is>
          <t>Zor</t>
        </is>
      </c>
      <c r="F1787" s="5" t="inlineStr"/>
      <c r="G1787" s="6" t="inlineStr"/>
      <c r="H1787" s="6" t="inlineStr">
        <is>
          <t>Kitabın adı “Kısa Kesilen Ceza” oldu; teşekkür bölümü otuz sayfa. İmza gününde kuyrukta muhtar, bakkal ve kefil olan herkes vardı; her biri kendi sayfasını açtırıp imzalattı.</t>
        </is>
      </c>
      <c r="I1787" s="6" t="inlineStr">
        <is>
          <t>Kitap her yerde konuşuluyor; söyleşilerin biletleri tükeniyor. Koğuşa imzalı bir kutu kitap yolladın; en çok çaycı okudu.</t>
        </is>
      </c>
      <c r="J1787" s="6" t="inlineStr">
        <is>
          <t>Eski yoluna döndün. Yayınevi taslağı geri yollamıştı, kenarına tek not düşerek: “Anılar uzun, okur kısa.”</t>
        </is>
      </c>
      <c r="K1787" s="6" t="inlineStr">
        <is>
          <t>Kitabın çıktı; bir öykü yarışmasında “kurgu” dalında mansiyon aldı. Jüri notu: “Bu kadarı da olmaz.” Hepsi gerçekti. Kimse inanmayınca eski yoluna döndün.</t>
        </is>
      </c>
      <c r="L1787" s="6" t="inlineStr"/>
      <c r="M1787" s="5" t="inlineStr"/>
      <c r="N1787" s="5" t="inlineStr"/>
      <c r="O1787" s="6" t="inlineStr"/>
      <c r="P1787" s="6" t="inlineStr"/>
      <c r="Q1787" s="5" t="inlineStr"/>
      <c r="R1787" s="5" t="inlineStr"/>
      <c r="S1787" s="5" t="inlineStr"/>
      <c r="T1787" s="5" t="inlineStr"/>
      <c r="U1787" s="5" t="inlineStr"/>
      <c r="V1787" s="5" t="inlineStr">
        <is>
          <t>-hat-cete, -hat-dolandirici, -hat-girisimci, -hat-goc, -hat-hekim, -hat-koy, -hat-polis, -hat-politika, -hat-usta, -hat-yargi, -meslek-beyazyaka, -meslek-esnaf, -meslek-memur, hat-sohret, meslek-serbest, -hapis, eski-hukumlu, -ceza-indirimi</t>
        </is>
      </c>
      <c r="W1787" s="5" t="inlineStr">
        <is>
          <t>-hapis, eski-hukumlu, -ceza-indirimi</t>
        </is>
      </c>
      <c r="X1787" s="5" t="inlineStr"/>
      <c r="Y1787" s="5" t="inlineStr"/>
      <c r="Z1787" s="6" t="inlineStr"/>
      <c r="AA1787" s="5" t="inlineStr"/>
      <c r="AB1787" s="5" t="inlineStr">
        <is>
          <t>-hapis, eski-hukumlu, -ceza-indirimi</t>
        </is>
      </c>
      <c r="AC1787" s="5" t="inlineStr"/>
      <c r="AD1787" s="5" t="inlineStr"/>
      <c r="AE1787" s="5" t="inlineStr"/>
      <c r="AF1787" s="5" t="inlineStr"/>
      <c r="AG1787" s="5" t="inlineStr"/>
      <c r="AH1787" s="5" t="inlineStr"/>
      <c r="AI1787" s="5" t="inlineStr"/>
      <c r="AJ1787" s="5" t="inlineStr"/>
    </row>
    <row r="1788">
      <c r="A1788" s="5" t="inlineStr">
        <is>
          <t>b8-erken-tahliye</t>
        </is>
      </c>
      <c r="B1788" s="5" t="n">
        <v>4</v>
      </c>
      <c r="C1788" s="6" t="inlineStr">
        <is>
          <t>“İçeriyi ben gördüm” de, siyasete gir</t>
        </is>
      </c>
      <c r="D1788" s="5" t="inlineStr">
        <is>
          <t>Pişkinlik</t>
        </is>
      </c>
      <c r="E1788" s="5" t="inlineStr">
        <is>
          <t>Zor</t>
        </is>
      </c>
      <c r="F1788" s="5" t="inlineStr"/>
      <c r="G1788" s="6" t="inlineStr"/>
      <c r="H1788" s="6" t="inlineStr">
        <is>
          <t>Afişindeki cümle kısaydı: “Ben içeriyi gördüm.” Mahalle seni meclis yolunda destekliyor; koğuş da, mektupla.</t>
        </is>
      </c>
      <c r="I1788" s="6" t="inlineStr">
        <is>
          <t>Parti seni cezaevleri komisyonuna önerdi. İlk ziyaretinde eski koğuşuna gittin; koğuş ayağa kalktı, çaycı en iyi bardağı çıkardı. Müdür yanına oturmadan önce izin istedi.</t>
        </is>
      </c>
      <c r="J1788" s="6" t="inlineStr">
        <is>
          <t>Eski yoluna döndün. Başvuru formunda “Son on yılınızı anlatınız” diye bir kutu vardı; kutu iki satırlıktı.</t>
        </is>
      </c>
      <c r="K1788" s="6" t="inlineStr">
        <is>
          <t>Eski yoluna döndün; ilk konuşmanı koğuş diliyle yaptıktan sonra. Salonda bir tek eski bir gardiyan anladı; o da alkışlamadı.</t>
        </is>
      </c>
      <c r="L1788" s="6" t="inlineStr"/>
      <c r="M1788" s="5" t="inlineStr"/>
      <c r="N1788" s="5" t="inlineStr"/>
      <c r="O1788" s="6" t="inlineStr"/>
      <c r="P1788" s="6" t="inlineStr"/>
      <c r="Q1788" s="5" t="inlineStr"/>
      <c r="R1788" s="5" t="inlineStr"/>
      <c r="S1788" s="5" t="inlineStr"/>
      <c r="T1788" s="5" t="inlineStr"/>
      <c r="U1788" s="5" t="inlineStr"/>
      <c r="V1788" s="5" t="inlineStr">
        <is>
          <t>-hat-cete, -hat-dolandirici, -hat-girisimci, -hat-goc, -hat-hekim, -hat-koy, -hat-polis, -hat-sohret, -hat-usta, -hat-yargi, -meslek-beyazyaka, -meslek-esnaf, -meslek-memur, -meslek-serbest, hat-politika, -hapis, eski-hukumlu, -ceza-indirimi</t>
        </is>
      </c>
      <c r="W1788" s="5" t="inlineStr">
        <is>
          <t>-hapis, eski-hukumlu, -ceza-indirimi</t>
        </is>
      </c>
      <c r="X1788" s="5" t="inlineStr"/>
      <c r="Y1788" s="5" t="inlineStr"/>
      <c r="Z1788" s="6" t="inlineStr"/>
      <c r="AA1788" s="5" t="inlineStr"/>
      <c r="AB1788" s="5" t="inlineStr">
        <is>
          <t>-hapis, eski-hukumlu, -ceza-indirimi</t>
        </is>
      </c>
      <c r="AC1788" s="5" t="inlineStr"/>
      <c r="AD1788" s="5" t="inlineStr"/>
      <c r="AE1788" s="5" t="inlineStr"/>
      <c r="AF1788" s="5" t="inlineStr"/>
      <c r="AG1788" s="5" t="inlineStr"/>
      <c r="AH1788" s="5" t="inlineStr"/>
      <c r="AI1788" s="5" t="inlineStr"/>
      <c r="AJ1788" s="5" t="inlineStr"/>
    </row>
    <row r="1789">
      <c r="A1789" s="5" t="inlineStr">
        <is>
          <t>b8-erken-tahliye</t>
        </is>
      </c>
      <c r="B1789" s="5" t="n">
        <v>5</v>
      </c>
      <c r="C1789" s="6" t="inlineStr">
        <is>
          <t>Mahallenin kefaletiyle iş bul</t>
        </is>
      </c>
      <c r="D1789" s="5" t="inlineStr"/>
      <c r="E1789" s="5" t="inlineStr"/>
      <c r="F1789" s="5" t="inlineStr">
        <is>
          <t>İtibar +1, Dayanıklılık +1</t>
        </is>
      </c>
      <c r="G1789" s="6" t="inlineStr">
        <is>
          <t>Kapıda seni çarşının en eski esnafı bekliyordu: “Senin için söz verdim, dükkânın arka tarafı senin.” Mahallede kimse geçmişini sormadı; sordurmadılar.</t>
        </is>
      </c>
      <c r="H1789" s="6" t="inlineStr"/>
      <c r="I1789" s="6" t="inlineStr"/>
      <c r="J1789" s="6" t="inlineStr"/>
      <c r="K1789" s="6" t="inlineStr"/>
      <c r="L1789" s="6" t="inlineStr"/>
      <c r="M1789" s="5" t="inlineStr"/>
      <c r="N1789" s="5" t="inlineStr"/>
      <c r="O1789" s="6" t="inlineStr"/>
      <c r="P1789" s="6" t="inlineStr"/>
      <c r="Q1789" s="5" t="inlineStr"/>
      <c r="R1789" s="5" t="inlineStr"/>
      <c r="S1789" s="5" t="inlineStr"/>
      <c r="T1789" s="5" t="inlineStr"/>
      <c r="U1789" s="5" t="inlineStr">
        <is>
          <t>-hat-cete, -hat-dolandirici, -hat-girisimci, -hat-goc, -hat-hekim, -hat-koy, -hat-polis, -hat-politika, -hat-sohret, -hat-usta, -hat-yargi, -meslek-beyazyaka, -meslek-memur, -meslek-serbest, meslek-esnaf, -hapis, eski-hukumlu, -ceza-indirimi</t>
        </is>
      </c>
      <c r="V1789" s="5" t="inlineStr"/>
      <c r="W1789" s="5" t="inlineStr"/>
      <c r="X1789" s="5" t="inlineStr"/>
      <c r="Y1789" s="5" t="inlineStr"/>
      <c r="Z1789" s="6" t="inlineStr"/>
      <c r="AA1789" s="5" t="inlineStr"/>
      <c r="AB1789" s="5" t="inlineStr"/>
      <c r="AC1789" s="5" t="inlineStr"/>
      <c r="AD1789" s="5" t="inlineStr">
        <is>
          <t>Fakir</t>
        </is>
      </c>
      <c r="AE1789" s="5" t="inlineStr"/>
      <c r="AF1789" s="5" t="inlineStr"/>
      <c r="AG1789" s="5" t="inlineStr"/>
      <c r="AH1789" s="5" t="inlineStr">
        <is>
          <t>İtibar 37</t>
        </is>
      </c>
      <c r="AI1789" s="5" t="inlineStr"/>
      <c r="AJ1789" s="5" t="inlineStr"/>
    </row>
    <row r="1790">
      <c r="A1790" s="5" t="inlineStr">
        <is>
          <t>b1-misafir-geldi</t>
        </is>
      </c>
      <c r="B1790" s="5" t="n">
        <v>1</v>
      </c>
      <c r="C1790" s="6" t="inlineStr">
        <is>
          <t>Tekerleme oku</t>
        </is>
      </c>
      <c r="D1790" s="5" t="inlineStr"/>
      <c r="E1790" s="5" t="inlineStr"/>
      <c r="F1790" s="5" t="inlineStr">
        <is>
          <t>Pişkinlik +1</t>
        </is>
      </c>
      <c r="G1790" s="6" t="inlineStr">
        <is>
          <t>Tek bildiğin tekerlemeyi okudun; yarısını uydurdun. Teyze alkışladı, annen gururlandı. Çikolata vitrinden inmedi.</t>
        </is>
      </c>
      <c r="H1790" s="6" t="inlineStr"/>
      <c r="I1790" s="6" t="inlineStr"/>
      <c r="J1790" s="6" t="inlineStr"/>
      <c r="K1790" s="6" t="inlineStr"/>
      <c r="L1790" s="6" t="inlineStr"/>
      <c r="M1790" s="5" t="inlineStr"/>
      <c r="N1790" s="5" t="inlineStr"/>
      <c r="O1790" s="6" t="inlineStr"/>
      <c r="P1790" s="6" t="inlineStr"/>
      <c r="Q1790" s="5" t="inlineStr"/>
      <c r="R1790" s="5" t="inlineStr"/>
      <c r="S1790" s="5" t="inlineStr"/>
      <c r="T1790" s="5" t="inlineStr"/>
      <c r="U1790" s="5" t="inlineStr"/>
      <c r="V1790" s="5" t="inlineStr"/>
      <c r="W1790" s="5" t="inlineStr"/>
      <c r="X1790" s="5" t="inlineStr"/>
      <c r="Y1790" s="5" t="inlineStr"/>
      <c r="Z1790" s="6" t="inlineStr"/>
      <c r="AA1790" s="5" t="inlineStr"/>
      <c r="AB1790" s="5" t="inlineStr"/>
      <c r="AC1790" s="5" t="inlineStr"/>
      <c r="AD1790" s="5" t="inlineStr"/>
      <c r="AE1790" s="5" t="inlineStr"/>
      <c r="AF1790" s="5" t="inlineStr"/>
      <c r="AG1790" s="5" t="inlineStr"/>
      <c r="AH1790" s="5" t="inlineStr"/>
      <c r="AI1790" s="5" t="inlineStr"/>
      <c r="AJ1790" s="5" t="inlineStr"/>
    </row>
    <row r="1791">
      <c r="A1791" s="5" t="inlineStr">
        <is>
          <t>b1-misafir-geldi</t>
        </is>
      </c>
      <c r="B1791" s="5" t="n">
        <v>2</v>
      </c>
      <c r="C1791" s="6" t="inlineStr">
        <is>
          <t>Vitrindeki çikolataya git</t>
        </is>
      </c>
      <c r="D1791" s="5" t="inlineStr">
        <is>
          <t>Kurnazlık</t>
        </is>
      </c>
      <c r="E1791" s="5" t="inlineStr">
        <is>
          <t>Orta</t>
        </is>
      </c>
      <c r="F1791" s="5" t="inlineStr"/>
      <c r="G1791" s="6" t="inlineStr"/>
      <c r="H1791" s="6" t="inlineStr">
        <is>
          <t>Vitrine yanaştın, teyzeye baktın, teyze annene baktı. Eline bir çikolata geldi; “Son” dendi.</t>
        </is>
      </c>
      <c r="I1791" s="6" t="inlineStr">
        <is>
          <t>Vitrine bakıp iç çektin. Teyze “Aman, versene çocuğa” dedi; annen mecbur kaldı. Kutu açıldı, ilk sen aldın.</t>
        </is>
      </c>
      <c r="J1791" s="6" t="inlineStr">
        <is>
          <t>Vitrine gittin. Annen gözüyle “Otur” dedi. Oturdun. Kutu bir sonraki misafire kaldı.</t>
        </is>
      </c>
      <c r="K1791" s="6" t="inlineStr">
        <is>
          <t>Vitrinin kapağını çektin; kapak elinde kaldı. Teyze “Olur böyle şeyler” dedi. Annen gülümsedi; gözleri gülümsemedi.</t>
        </is>
      </c>
      <c r="L1791" s="6" t="inlineStr"/>
      <c r="M1791" s="5" t="inlineStr"/>
      <c r="N1791" s="5" t="inlineStr"/>
      <c r="O1791" s="6" t="inlineStr"/>
      <c r="P1791" s="6" t="inlineStr"/>
      <c r="Q1791" s="5" t="inlineStr"/>
      <c r="R1791" s="5" t="inlineStr"/>
      <c r="S1791" s="5" t="inlineStr"/>
      <c r="T1791" s="5" t="inlineStr"/>
      <c r="U1791" s="5" t="inlineStr"/>
      <c r="V1791" s="5" t="inlineStr"/>
      <c r="W1791" s="5" t="inlineStr"/>
      <c r="X1791" s="5" t="inlineStr"/>
      <c r="Y1791" s="5" t="inlineStr"/>
      <c r="Z1791" s="6" t="inlineStr"/>
      <c r="AA1791" s="5" t="inlineStr"/>
      <c r="AB1791" s="5" t="inlineStr"/>
      <c r="AC1791" s="5" t="inlineStr"/>
      <c r="AD1791" s="5" t="inlineStr"/>
      <c r="AE1791" s="5" t="inlineStr"/>
      <c r="AF1791" s="5" t="inlineStr"/>
      <c r="AG1791" s="5" t="inlineStr"/>
      <c r="AH1791" s="5" t="inlineStr"/>
      <c r="AI1791" s="5" t="inlineStr"/>
      <c r="AJ1791" s="5" t="inlineStr"/>
    </row>
    <row r="1792">
      <c r="A1792" s="5" t="inlineStr">
        <is>
          <t>b1-misafir-geldi</t>
        </is>
      </c>
      <c r="B1792" s="5" t="n">
        <v>3</v>
      </c>
      <c r="C1792" s="6" t="inlineStr">
        <is>
          <t>Teyzenin kucağına çık</t>
        </is>
      </c>
      <c r="D1792" s="5" t="inlineStr">
        <is>
          <t>Gönül</t>
        </is>
      </c>
      <c r="E1792" s="5" t="inlineStr">
        <is>
          <t>Kolay</t>
        </is>
      </c>
      <c r="F1792" s="5" t="inlineStr"/>
      <c r="G1792" s="6" t="inlineStr"/>
      <c r="H1792" s="6" t="inlineStr">
        <is>
          <t>Kucağına çıktın. Teyze yanağını sıktı, annen rahatladı. Sohbet iki saat sürdü; sen kucakta uyudun.</t>
        </is>
      </c>
      <c r="I1792" s="6" t="inlineStr">
        <is>
          <t>Boynuna sarıldın. Teyze “Bunu ben alıyorum” dedi. Ertesi hafta elinde bir hediyeyle geldi; sana.</t>
        </is>
      </c>
      <c r="J1792" s="6" t="inlineStr">
        <is>
          <t>Kucağına uzandın; teyze tam o an çayını aldı. Kucak doluydu. Halıya oturup bekledin; çay bitmedi.</t>
        </is>
      </c>
      <c r="K1792" s="6" t="inlineStr">
        <is>
          <t>Kucağına çıktın ve orada kaldın. Teyze gitmek istedi, bırakmadın; bir saat daha kaldı. Annen o bir saati sana bakışıyla anlattı.</t>
        </is>
      </c>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4</v>
      </c>
      <c r="C1793" s="6" t="inlineStr">
        <is>
          <t>Odana kaç</t>
        </is>
      </c>
      <c r="D1793" s="5" t="inlineStr"/>
      <c r="E1793" s="5" t="inlineStr"/>
      <c r="F1793" s="5" t="inlineStr">
        <is>
          <t>Dayanıklılık +1</t>
        </is>
      </c>
      <c r="G1793" s="6" t="inlineStr">
        <is>
          <t>Odana kaçtın. Teyze “Utangaç” dedi, annen “Yorgun” dedi. Sen çikolatanın nerede olduğunu düşündün.</t>
        </is>
      </c>
      <c r="H1793" s="6" t="inlineStr"/>
      <c r="I1793" s="6" t="inlineStr"/>
      <c r="J1793" s="6" t="inlineStr"/>
      <c r="K1793" s="6" t="inlineStr"/>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b2-kardes-geldi</t>
        </is>
      </c>
      <c r="B1794" s="5" t="n">
        <v>1</v>
      </c>
      <c r="C1794" s="6" t="inlineStr">
        <is>
          <t>Kucağına al</t>
        </is>
      </c>
      <c r="D1794" s="5" t="inlineStr">
        <is>
          <t>Gönül</t>
        </is>
      </c>
      <c r="E1794" s="5" t="inlineStr">
        <is>
          <t>Orta</t>
        </is>
      </c>
      <c r="F1794" s="5" t="inlineStr"/>
      <c r="G1794" s="6" t="inlineStr"/>
      <c r="H1794" s="6" t="inlineStr">
        <is>
          <t>Annen bebeği kucağına koydu; nefesini tuttun, kıpırdamadın. Bebek uyudu, sen bir saat heykel oldun.</t>
        </is>
      </c>
      <c r="I1794" s="6" t="inlineStr">
        <is>
          <t>Kucağına aldın; ağlamayı kesti. Babaannen annene “Bu çocuk onu senden iyi tutuyor” dedi. O fotoğraf her bayram çıkıyor.</t>
        </is>
      </c>
      <c r="J1794" s="6" t="inlineStr">
        <is>
          <t>Kucağına almak istedin. Annen “Biraz büyüsün” dedi. Bebeğin büyümesini bekleyeceksin; uzun iş.</t>
        </is>
      </c>
      <c r="K1794" s="6" t="inlineStr">
        <is>
          <t>Kucağına aldın, yüzüne baktın ve sordun: “Geri verelim mi?” Babaannen bunu otuz yıl anlattı.</t>
        </is>
      </c>
      <c r="L1794" s="6" t="inlineStr"/>
      <c r="M1794" s="5" t="inlineStr"/>
      <c r="N1794" s="5" t="inlineStr"/>
      <c r="O1794" s="6" t="inlineStr"/>
      <c r="P1794" s="6" t="inlineStr"/>
      <c r="Q1794" s="5" t="inlineStr"/>
      <c r="R1794" s="5" t="inlineStr"/>
      <c r="S1794" s="5" t="inlineStr"/>
      <c r="T1794" s="5" t="inlineStr"/>
      <c r="U1794" s="5" t="inlineStr">
        <is>
          <t>kardesli</t>
        </is>
      </c>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b2-kardes-geldi</t>
        </is>
      </c>
      <c r="B1795" s="5" t="n">
        <v>2</v>
      </c>
      <c r="C1795" s="6" t="inlineStr">
        <is>
          <t>Bebek gibi davran, emzik iste</t>
        </is>
      </c>
      <c r="D1795" s="5" t="inlineStr">
        <is>
          <t>Pişkinlik</t>
        </is>
      </c>
      <c r="E1795" s="5" t="inlineStr">
        <is>
          <t>Kolay</t>
        </is>
      </c>
      <c r="F1795" s="5" t="inlineStr"/>
      <c r="G1795" s="6" t="inlineStr"/>
      <c r="H1795" s="6" t="inlineStr">
        <is>
          <t>Emzik istedin. Annen güldü, seni de kucağına aldı. Bir kolda o, bir kolda sen.</t>
        </is>
      </c>
      <c r="I1795" s="6" t="inlineStr">
        <is>
          <t>Emziği aldın, beşiğin yanına kıvrıldın, “Ingaa” dedin. Salon güldü; o akşam seni de beşiğin yanında uyuttular. İki bebekli ev.</t>
        </is>
      </c>
      <c r="J1795" s="6" t="inlineStr">
        <is>
          <t>Emzik istedin. Baban “Sen büyüdün artık” dedi. Büyümek bu kadar kötü bir haber olmamalıydı.</t>
        </is>
      </c>
      <c r="K1795" s="6" t="inlineStr">
        <is>
          <t>Bebeğin emziğini kaptın, kendi ağzına taktın, vermedin. Bebek ağladı, sen emdin; misafirler bir bebeğe bir sana baktı. Babaannen “Biri büyüdü dedik, öbürü küçüldü” dedi; o akşamki bütün fotoğraflarda emzikli olan sensin.</t>
        </is>
      </c>
      <c r="L1795" s="6" t="inlineStr"/>
      <c r="M1795" s="5" t="inlineStr"/>
      <c r="N1795" s="5" t="inlineStr"/>
      <c r="O1795" s="6" t="inlineStr"/>
      <c r="P1795" s="6" t="inlineStr"/>
      <c r="Q1795" s="5" t="inlineStr"/>
      <c r="R1795" s="5" t="inlineStr"/>
      <c r="S1795" s="5" t="inlineStr"/>
      <c r="T1795" s="5" t="inlineStr"/>
      <c r="U1795" s="5" t="inlineStr">
        <is>
          <t>kardesli</t>
        </is>
      </c>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is>
          <t>Emzikli</t>
        </is>
      </c>
      <c r="AJ1795" s="5" t="inlineStr"/>
    </row>
    <row r="1796">
      <c r="A1796" s="5" t="inlineStr">
        <is>
          <t>b2-kardes-geldi</t>
        </is>
      </c>
      <c r="B1796" s="5" t="n">
        <v>3</v>
      </c>
      <c r="C1796" s="6" t="inlineStr">
        <is>
          <t>Hediyeleri say: kaç onun, kaç senin</t>
        </is>
      </c>
      <c r="D1796" s="5" t="inlineStr">
        <is>
          <t>Kurnazlık</t>
        </is>
      </c>
      <c r="E1796" s="5" t="inlineStr">
        <is>
          <t>Orta</t>
        </is>
      </c>
      <c r="F1796" s="5" t="inlineStr"/>
      <c r="G1796" s="6" t="inlineStr"/>
      <c r="H1796" s="6" t="inlineStr">
        <is>
          <t>Saydın, itiraz ettin, bir hediyeyi “Ona daha erken” diyerek kendine aldın. Bebek itiraz etmedi.</t>
        </is>
      </c>
      <c r="I1796" s="6" t="inlineStr">
        <is>
          <t>Saydın: on bir ona, bir sana. Bunu herkese yüksek sesle duyurdun. Ertesi gün gelen herkes iki hediye getirdi.</t>
        </is>
      </c>
      <c r="J1796" s="6" t="inlineStr">
        <is>
          <t>Saymaya başladın; ona kadar sayabiliyordun, hediyeler on ikiydi. Hesap tutmadı.</t>
        </is>
      </c>
      <c r="K1796" s="6" t="inlineStr">
        <is>
          <t>Teyzenin getirdiği paketi “Bu bana!” diye açtın. İçinden bebek patiği çıktı. Teyze o patiği hâlâ anlatıyor.</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4</v>
      </c>
      <c r="C1797" s="6" t="inlineStr">
        <is>
          <t>Kenardan izle</t>
        </is>
      </c>
      <c r="D1797" s="5" t="inlineStr"/>
      <c r="E1797" s="5" t="inlineStr"/>
      <c r="F1797" s="5" t="inlineStr">
        <is>
          <t>Sosyal Radar +1</t>
        </is>
      </c>
      <c r="G1797" s="6" t="inlineStr">
        <is>
          <t>Kenardan izledin. Herkes bebeğe bakarken deden sana baktı, cebinden bir şeker çıkardı: “Sen de hâlâ benimsin.”</t>
        </is>
      </c>
      <c r="H1797" s="6" t="inlineStr"/>
      <c r="I1797" s="6" t="inlineStr"/>
      <c r="J1797" s="6" t="inlineStr"/>
      <c r="K1797" s="6" t="inlineStr"/>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c r="AJ1797" s="5" t="inlineStr"/>
    </row>
    <row r="1798">
      <c r="A1798" s="5" t="inlineStr">
        <is>
          <t>b2-bayram-sabahi</t>
        </is>
      </c>
      <c r="B1798" s="5" t="n">
        <v>1</v>
      </c>
      <c r="C1798" s="6" t="inlineStr">
        <is>
          <t>Sırayla el öp</t>
        </is>
      </c>
      <c r="D1798" s="5" t="inlineStr"/>
      <c r="E1798" s="5" t="inlineStr"/>
      <c r="F1798" s="5" t="inlineStr">
        <is>
          <t>İtibar +1</t>
        </is>
      </c>
      <c r="G1798" s="6" t="inlineStr">
        <is>
          <t>Bütün elleri öptün, bütün yanaklar sıkıldı. Cebin doldu, yanakların kızardı. Değdi.</t>
        </is>
      </c>
      <c r="H1798" s="6" t="inlineStr"/>
      <c r="I1798" s="6" t="inlineStr"/>
      <c r="J1798" s="6" t="inlineStr"/>
      <c r="K1798" s="6" t="inlineStr"/>
      <c r="L1798" s="6" t="inlineStr"/>
      <c r="M1798" s="5" t="inlineStr"/>
      <c r="N1798" s="5" t="inlineStr"/>
      <c r="O1798" s="6" t="inlineStr"/>
      <c r="P1798" s="6" t="inlineStr"/>
      <c r="Q1798" s="5" t="inlineStr"/>
      <c r="R1798" s="5" t="inlineStr"/>
      <c r="S1798" s="5" t="inlineStr"/>
      <c r="T1798" s="5" t="inlineStr"/>
      <c r="U1798" s="5" t="inlineStr"/>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b2-bayram-sabahi</t>
        </is>
      </c>
      <c r="B1799" s="5" t="n">
        <v>2</v>
      </c>
      <c r="C1799" s="6" t="inlineStr">
        <is>
          <t>Elini öpüp cebe bak</t>
        </is>
      </c>
      <c r="D1799" s="5" t="inlineStr">
        <is>
          <t>Pişkinlik</t>
        </is>
      </c>
      <c r="E1799" s="5" t="inlineStr">
        <is>
          <t>Kolay</t>
        </is>
      </c>
      <c r="F1799" s="5" t="inlineStr"/>
      <c r="G1799" s="6" t="inlineStr"/>
      <c r="H1799" s="6" t="inlineStr">
        <is>
          <t>Elini öptün, gözün cepte kaldı. Halan gördü, güldü, verdi.</t>
        </is>
      </c>
      <c r="I1799" s="6" t="inlineStr">
        <is>
          <t>Dedenin cebine baktın. Deden güldü, “Yakaladı beni” dedi, iki kat verdi. Salon sana güldü, sen cebine.</t>
        </is>
      </c>
      <c r="J1799" s="6" t="inlineStr">
        <is>
          <t>Cebe baktın. Amca “Önce el öpülür” dedi. Öptün; cep açılmadı.</t>
        </is>
      </c>
      <c r="K1799" s="6" t="inlineStr">
        <is>
          <t>Elini öpmeden “Harçlık?” dedin. Salon sustu, annen kulağına eğildi. O gün cebine tek bozukluk girmedi; akşam yemeğinde hâlâ konuşuluyordu.</t>
        </is>
      </c>
      <c r="L1799" s="6" t="inlineStr"/>
      <c r="M1799" s="5" t="inlineStr"/>
      <c r="N1799" s="5" t="inlineStr"/>
      <c r="O1799" s="6" t="inlineStr"/>
      <c r="P1799" s="6" t="inlineStr"/>
      <c r="Q1799" s="5" t="inlineStr"/>
      <c r="R1799" s="5" t="inlineStr"/>
      <c r="S1799" s="5" t="inlineStr"/>
      <c r="T1799" s="5" t="inlineStr"/>
      <c r="U1799" s="5" t="inlineStr"/>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3</v>
      </c>
      <c r="C1800" s="6" t="inlineStr">
        <is>
          <t>Kolonyayı sen dök</t>
        </is>
      </c>
      <c r="D1800" s="5" t="inlineStr">
        <is>
          <t>Dayanıklılık</t>
        </is>
      </c>
      <c r="E1800" s="5" t="inlineStr">
        <is>
          <t>Kolay</t>
        </is>
      </c>
      <c r="F1800" s="5" t="inlineStr"/>
      <c r="G1800" s="6" t="inlineStr"/>
      <c r="H1800" s="6" t="inlineStr">
        <is>
          <t>Hepsine döktün; iki avuca biraz fazla, halıya biraz. Kimse bir şey demedi; bayramdı.</t>
        </is>
      </c>
      <c r="I1800" s="6" t="inlineStr">
        <is>
          <t>On iki avuç, on iki ölçü, sıfır halı. Babaannen “Bu çocuk bayram için doğmuş” dedi; harçlıklar iki kat geldi.</t>
        </is>
      </c>
      <c r="J1800" s="6" t="inlineStr">
        <is>
          <t>Şişeyi ters tuttun. Kolonya sana döküldü. Bütün bayram senden limon koktu.</t>
        </is>
      </c>
      <c r="K1800" s="6" t="inlineStr">
        <is>
          <t>Şişeyle sallandın: halı, koltuk, kedi ve halanın çantası kolonyalandı. Çantadaki harçlık zarfı da. Harçlık yine geldi; ıslak ve geç.</t>
        </is>
      </c>
      <c r="L1800" s="6" t="inlineStr">
        <is>
          <t>Yarıya kadar iyi gitti; sonra şişe kaydı, dayın ıslandı. Dayın güldü; dayın hep güler.</t>
        </is>
      </c>
      <c r="M1800" s="5" t="inlineStr">
        <is>
          <t>timing</t>
        </is>
      </c>
      <c r="N1800" s="5" t="inlineStr">
        <is>
          <t>Kolonya Ölçüsü</t>
        </is>
      </c>
      <c r="O1800" s="6" t="inlineStr">
        <is>
          <t>İbre yeşil alandayken DURDUR'a bas. Art arda tutturdukça kombo kazanırsın.</t>
        </is>
      </c>
      <c r="P1800" s="6" t="n"/>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4</v>
      </c>
      <c r="C1801" s="6" t="inlineStr">
        <is>
          <t>Harçlık gelmeden kolonya yok</t>
        </is>
      </c>
      <c r="D1801" s="5" t="inlineStr">
        <is>
          <t>Çene</t>
        </is>
      </c>
      <c r="E1801" s="5" t="inlineStr">
        <is>
          <t>Orta</t>
        </is>
      </c>
      <c r="F1801" s="5" t="inlineStr"/>
      <c r="G1801" s="6" t="inlineStr"/>
      <c r="H1801" s="6" t="inlineStr">
        <is>
          <t>Halan güldü, harçlığı verdi, sonra avucunu uzattı. Arkasındaki amca cüzdanını çoktan çıkarmıştı. Babaannen “Bu çocuk kime çekmiş?” dedi; herkes dedene baktı.</t>
        </is>
      </c>
      <c r="I1801" s="6" t="inlineStr">
        <is>
          <t>Şişeyi tuttun, öbür elini uzattın, bekledin. Herkes anladı, herkes güldü, herkes verdi. Kolonya sonra geldi; harçlık önce.</t>
        </is>
      </c>
      <c r="J1801" s="6" t="inlineStr">
        <is>
          <t>“Önce harçlık” dedin. Annen seni mutfağa çağırdı. Kolonyayı kuzenin döktü, harçlığı da o topladı.</t>
        </is>
      </c>
      <c r="K1801" s="6" t="inlineStr">
        <is>
          <t>“Önce harçlık” dedin; dayın “Hadi bakalım” deyip cebinden boş elini çıkardı. Salon güldü. Harçlık gelmedi, şişe de elinden alındı.</t>
        </is>
      </c>
      <c r="L1801" s="6" t="inlineStr"/>
      <c r="M1801" s="5" t="inlineStr"/>
      <c r="N1801" s="5" t="inlineStr"/>
      <c r="O1801" s="6" t="inlineStr"/>
      <c r="P1801" s="6" t="inlineStr"/>
      <c r="Q1801" s="5" t="inlineStr"/>
      <c r="R1801" s="5" t="inlineStr"/>
      <c r="S1801" s="5" t="inlineStr"/>
      <c r="T1801" s="5" t="inlineStr">
        <is>
          <t>Küçük Tüccar</t>
        </is>
      </c>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b3-okuma-bayrami</t>
        </is>
      </c>
      <c r="B1802" s="5" t="n">
        <v>1</v>
      </c>
      <c r="C1802" s="6" t="inlineStr">
        <is>
          <t>Hece hece, yavaş oku</t>
        </is>
      </c>
      <c r="D1802" s="5" t="inlineStr"/>
      <c r="E1802" s="5" t="inlineStr"/>
      <c r="F1802" s="5" t="inlineStr">
        <is>
          <t>Dayanıklılık +1</t>
        </is>
      </c>
      <c r="G1802" s="6" t="inlineStr">
        <is>
          <t>Hece hece okudun; cümle iki dakika sürdü. Kurdele yakana takıldı. Babaannen eve gelince kurdeleyi vitrine, kristal şekerliğin yanına koydu.</t>
        </is>
      </c>
      <c r="H1802" s="6" t="inlineStr"/>
      <c r="I1802" s="6" t="inlineStr"/>
      <c r="J1802" s="6" t="inlineStr"/>
      <c r="K1802" s="6" t="inlineStr"/>
      <c r="L1802" s="6" t="inlineStr"/>
      <c r="M1802" s="5" t="inlineStr"/>
      <c r="N1802" s="5" t="inlineStr"/>
      <c r="O1802" s="6" t="inlineStr"/>
      <c r="P1802" s="6" t="inlineStr"/>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b3-okuma-bayrami</t>
        </is>
      </c>
      <c r="B1803" s="5" t="n">
        <v>2</v>
      </c>
      <c r="C1803" s="6" t="inlineStr">
        <is>
          <t>Öndekileri dinle, ezberden oku</t>
        </is>
      </c>
      <c r="D1803" s="5" t="inlineStr">
        <is>
          <t>Kurnazlık</t>
        </is>
      </c>
      <c r="E1803" s="5" t="inlineStr">
        <is>
          <t>Orta</t>
        </is>
      </c>
      <c r="F1803" s="5" t="inlineStr"/>
      <c r="G1803" s="6" t="inlineStr"/>
      <c r="H1803" s="6" t="inlineStr">
        <is>
          <t>Cümleyi ezberden söyledin, parmağını da kelimelerin üstünde gezdirdin. Kimse fark etmedi; kurdele senin.</t>
        </is>
      </c>
      <c r="I1803" s="6" t="inlineStr">
        <is>
          <t>Öndeki üç çocuğu dinleyip cümleyi ezberledin, kitaba bakmadan okudun. Öğretmen “Bu çocuk kitaba bakmıyor bile” dedi. Bakmıyordun, çünkü okuyamıyordun.</t>
        </is>
      </c>
      <c r="J1803" s="6" t="inlineStr">
        <is>
          <t>Ezber üçüncü kelimede bitti. Kitaba baktın ama nerede olduğunu bilmiyordun. Öğretmen gelip parmağıyla gösterdi.</t>
        </is>
      </c>
      <c r="K1803" s="6" t="inlineStr">
        <is>
          <t>Ezberledin ama kitabı ters tuttun. Ön sıradan deden “Ters tutuyor!” diye bağırdı. Videoda en net duyulan cümle o oldu.</t>
        </is>
      </c>
      <c r="L1803" s="6" t="inlineStr"/>
      <c r="M1803" s="5" t="inlineStr"/>
      <c r="N1803" s="5" t="inlineStr"/>
      <c r="O1803" s="6" t="inlineStr"/>
      <c r="P1803" s="6" t="inlineStr"/>
      <c r="Q1803" s="5" t="inlineStr"/>
      <c r="R1803" s="5" t="inlineStr"/>
      <c r="S1803" s="5" t="inlineStr"/>
      <c r="T1803" s="5" t="inlineStr"/>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3</v>
      </c>
      <c r="C1804" s="6" t="inlineStr">
        <is>
          <t>Kocaman sesle oku</t>
        </is>
      </c>
      <c r="D1804" s="5" t="inlineStr">
        <is>
          <t>Cesaret</t>
        </is>
      </c>
      <c r="E1804" s="5" t="inlineStr">
        <is>
          <t>Orta</t>
        </is>
      </c>
      <c r="F1804" s="5" t="inlineStr"/>
      <c r="G1804" s="6" t="inlineStr"/>
      <c r="H1804" s="6" t="inlineStr">
        <is>
          <t>Sesin salonu doldurdu. Annen ağladı; babaannen “Bizim taraftan çekmiş” dedi.</t>
        </is>
      </c>
      <c r="I1804" s="6" t="inlineStr">
        <is>
          <t>Öyle gür okudun ki arka sıradaki deden ayağa kalkıp alkışladı. Müdür kurdeleni kendi eliyle taktı.</t>
        </is>
      </c>
      <c r="J1804" s="6" t="inlineStr">
        <is>
          <t>Mikrofona fazla yaklaştın; hoparlör ötmeye başladı. Cümleyi kimse duymadı ama kurdele takıldı.</t>
        </is>
      </c>
      <c r="K1804" s="6" t="inlineStr">
        <is>
          <t>Heyecandan “Ali topu at” yerine “Ali topu ye” okudun. Salon kahkahaya boğuldu. O günden sonra sana top atan herkes “Ye!” diye bağırdı.</t>
        </is>
      </c>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4</v>
      </c>
      <c r="C1805" s="6" t="inlineStr">
        <is>
          <t>Takılan sıra arkadaşına fısılda</t>
        </is>
      </c>
      <c r="D1805" s="5" t="inlineStr">
        <is>
          <t>Sosyal Radar</t>
        </is>
      </c>
      <c r="E1805" s="5" t="inlineStr">
        <is>
          <t>Orta</t>
        </is>
      </c>
      <c r="F1805" s="5" t="inlineStr"/>
      <c r="G1805" s="6" t="inlineStr"/>
      <c r="H1805" s="6" t="inlineStr">
        <is>
          <t>Arkadaşın takıldı, sen fısıldadın, cümle tamamlandı. Öğretmen sana göz kırptı.</t>
        </is>
      </c>
      <c r="I1805" s="6" t="inlineStr">
        <is>
          <t>Sıra arkadaşın donup kaldı; kulağına fısıldadın, okudu. Alkışın yarısı ona, yarısı sana; annesi çıkışta seni öptü.</t>
        </is>
      </c>
      <c r="J1805" s="6" t="inlineStr">
        <is>
          <t>Fısıldadın ama yanlış satırı. Arkadaşın senin cümleni okudu; sana okuyacak cümle kalmadı.</t>
        </is>
      </c>
      <c r="K1805"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b5-kuzenin-dugunu</t>
        </is>
      </c>
      <c r="B1806" s="5" t="n">
        <v>1</v>
      </c>
      <c r="C1806" s="6" t="inlineStr">
        <is>
          <t>Masada otur, çerezi bitir</t>
        </is>
      </c>
      <c r="D1806" s="5" t="inlineStr"/>
      <c r="E1806" s="5" t="inlineStr"/>
      <c r="F1806" s="5" t="inlineStr">
        <is>
          <t>Dayanıklılık +1</t>
        </is>
      </c>
      <c r="G1806" s="6" t="inlineStr">
        <is>
          <t>Bütün gece masada oturdun. Çerez tabağı üç kez doldu, üç kez boşaldı. Halan her geçişte “Kalk be” dedi; kalkmadın.</t>
        </is>
      </c>
      <c r="H1806" s="6" t="inlineStr"/>
      <c r="I1806" s="6" t="inlineStr"/>
      <c r="J1806" s="6" t="inlineStr"/>
      <c r="K1806" s="6" t="inlineStr"/>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b5-kuzenin-dugunu</t>
        </is>
      </c>
      <c r="B1807" s="5" t="n">
        <v>2</v>
      </c>
      <c r="C1807" s="6" t="inlineStr">
        <is>
          <t>Halayın başına geç</t>
        </is>
      </c>
      <c r="D1807" s="5" t="inlineStr">
        <is>
          <t>Pişkinlik</t>
        </is>
      </c>
      <c r="E1807" s="5" t="inlineStr">
        <is>
          <t>Orta</t>
        </is>
      </c>
      <c r="F1807" s="5" t="inlineStr"/>
      <c r="G1807" s="6" t="inlineStr"/>
      <c r="H1807" s="6" t="inlineStr">
        <is>
          <t>Halayı başlattın, ritmi tuttun. Dayın arkadan “Bizimki!” diye bağırdı; video bir saat içinde aile grubundaydı.</t>
        </is>
      </c>
      <c r="I1807" s="6" t="inlineStr">
        <is>
          <t>Mendili öyle savurdun ki davulcu sana göre çalmaya başladı. Halay salondan taştı, otoparka kadar uzadı. Amcan davulcunun bahşişini senin adınla verdi.</t>
        </is>
      </c>
      <c r="J1807" s="6" t="inlineStr">
        <is>
          <t>Halayın başına geçtin. İki adım sonra dayın mendili elinden kibarca aldı. Sona geçtin.</t>
        </is>
      </c>
      <c r="K1807" s="6" t="inlineStr">
        <is>
          <t>Mendili havaya attın; gelinin duvağına takıldı. Duvak bütün halay boyunca senin elinde dolaştı. Düğün videosunun en çok izlenen yeri burası.</t>
        </is>
      </c>
      <c r="L1807" s="6" t="inlineStr">
        <is>
          <t>Ritmi tuttun ama halayı yanlış yöne çektin. Yarısı seninle, yarısı kuzenle gitti; ortada gelin kaldı.</t>
        </is>
      </c>
      <c r="M1807" s="5" t="inlineStr">
        <is>
          <t>simon</t>
        </is>
      </c>
      <c r="N1807" s="5" t="inlineStr">
        <is>
          <t>Halay Başı</t>
        </is>
      </c>
      <c r="O1807" s="6" t="inlineStr">
        <is>
          <t>Sırayı dinle, aynı sırayla tekrar et.</t>
        </is>
      </c>
      <c r="P1807" s="6" t="inlineStr">
        <is>
          <t>{"items": ["👣", "👏", "🪘", "🕺"]}</t>
        </is>
      </c>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3</v>
      </c>
      <c r="C1808" s="6" t="inlineStr">
        <is>
          <t>Takı anonsunu sen yap</t>
        </is>
      </c>
      <c r="D1808" s="5" t="inlineStr">
        <is>
          <t>Çene</t>
        </is>
      </c>
      <c r="E1808" s="5" t="inlineStr">
        <is>
          <t>Orta</t>
        </is>
      </c>
      <c r="F1808" s="5" t="inlineStr"/>
      <c r="G1808" s="6" t="inlineStr"/>
      <c r="H1808" s="6" t="inlineStr">
        <is>
          <t>Mikrofonu aldın, takıları tek tek okudun. Her “çeyrek”ten önce bir es verdin; salon nefesini tuttu. Ertesi gün mahalle rakamları senin sesinle konuşuyordu.</t>
        </is>
      </c>
      <c r="I1808" s="6" t="inlineStr">
        <is>
          <t>Anonsları öyle yaptın ki her takıdan sonra salon alkışladı. İki teyze bileziğini çıkarıp yeniden taktı; adı bir kez daha okunsun diye.</t>
        </is>
      </c>
      <c r="J1808" s="6" t="inlineStr">
        <is>
          <t>Mikrofonu aldın ama davul susmadı. Anonsun yarısı salona “ııı… çeyrek” diye ulaştı.</t>
        </is>
      </c>
      <c r="K1808" s="6" t="inlineStr">
        <is>
          <t>Bir teyzenin taktığı tek bileziği “Bir bilezik… o kadar” diye anons ettin. Salon sustu. O teyze artık bayramlarda gelmiyor.</t>
        </is>
      </c>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4</v>
      </c>
      <c r="C1809" s="6" t="inlineStr">
        <is>
          <t>Gelin çıkarken kapıyı tut</t>
        </is>
      </c>
      <c r="D1809" s="5" t="inlineStr">
        <is>
          <t>Kurnazlık</t>
        </is>
      </c>
      <c r="E1809" s="5" t="inlineStr">
        <is>
          <t>Orta</t>
        </is>
      </c>
      <c r="F1809" s="5" t="inlineStr"/>
      <c r="G1809" s="6" t="inlineStr"/>
      <c r="H1809" s="6" t="inlineStr">
        <is>
          <t>Kapıyı tuttun, pazarlık ettin, bir zarf aldın. Damat tarafı seni “zor kuzen” diye andı.</t>
        </is>
      </c>
      <c r="I1809" s="6" t="inlineStr">
        <is>
          <t>Gelin evden çıkarken kapıyı tuttun; damadın babası üç kez cebine uzandı. Toplanan para bütün bayram harçlıklarını geçti.</t>
        </is>
      </c>
      <c r="J1809" s="6" t="inlineStr">
        <is>
          <t>Kapıyı tuttun. Damat tarafından biri kapıyı senden sıkı tuttu. Zarf yok, selam var.</t>
        </is>
      </c>
      <c r="K1809" s="6" t="inlineStr">
        <is>
          <t>Kapıyı o kadar uzun tuttun ki konvoy korna çalmaya başladı, bütün sokak balkona çıktı. Annen zarfı damadın babasına özür dileyerek geri verdi.</t>
        </is>
      </c>
      <c r="L1809" s="6" t="inlineStr"/>
      <c r="M1809" s="5" t="inlineStr"/>
      <c r="N1809" s="5" t="inlineStr"/>
      <c r="O1809" s="6" t="inlineStr"/>
      <c r="P1809" s="6" t="inlineStr"/>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b6-anneannenin-sandalyesi</t>
        </is>
      </c>
      <c r="B1810" s="5" t="n">
        <v>1</v>
      </c>
      <c r="C1810" s="6" t="inlineStr">
        <is>
          <t>Kapıda dur, ayakkabıları diz</t>
        </is>
      </c>
      <c r="D1810" s="5" t="inlineStr"/>
      <c r="E1810" s="5" t="inlineStr"/>
      <c r="F1810" s="5" t="inlineStr">
        <is>
          <t>Dayanıklılık +1, İtibar +1</t>
        </is>
      </c>
      <c r="G1810" s="6" t="inlineStr">
        <is>
          <t>Üç gün kapıda durdun, iki yüz çift ayakkabı dizdin; birini bile karıştırmadın. Son gece herkes gidince annen tepsiyi elinden aldı: “Otur artık.” Oturdun; o zaman ağladın.</t>
        </is>
      </c>
      <c r="H1810" s="6" t="inlineStr"/>
      <c r="I1810" s="6" t="inlineStr"/>
      <c r="J1810" s="6" t="inlineStr"/>
      <c r="K1810" s="6" t="inlineStr"/>
      <c r="L1810" s="6" t="inlineStr"/>
      <c r="M1810" s="5" t="inlineStr"/>
      <c r="N1810" s="5" t="inlineStr"/>
      <c r="O1810" s="6" t="inlineStr"/>
      <c r="P1810" s="6" t="inlineStr"/>
      <c r="Q1810" s="5" t="inlineStr"/>
      <c r="R1810" s="5" t="inlineStr"/>
      <c r="S1810" s="5" t="inlineStr"/>
      <c r="T1810" s="5" t="inlineStr"/>
      <c r="U1810" s="5" t="inlineStr">
        <is>
          <t>anneanne-ugurladi</t>
        </is>
      </c>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b6-anneannenin-sandalyesi</t>
        </is>
      </c>
      <c r="B1811" s="5" t="n">
        <v>2</v>
      </c>
      <c r="C1811" s="6" t="inlineStr">
        <is>
          <t>Annenin yanına otur, sus</t>
        </is>
      </c>
      <c r="D1811" s="5" t="inlineStr">
        <is>
          <t>Gönül</t>
        </is>
      </c>
      <c r="E1811" s="5" t="inlineStr">
        <is>
          <t>Orta</t>
        </is>
      </c>
      <c r="F1811" s="5" t="inlineStr"/>
      <c r="G1811" s="6" t="inlineStr"/>
      <c r="H1811" s="6" t="inlineStr">
        <is>
          <t>Yanına oturdun. Annen çayını sana uzattı, sonra bir dakikalığına başını omzuna yasladı. Ertesi sabah anneannenin yüzüğünü avucuna koydu: “Bu sende dursun.”</t>
        </is>
      </c>
      <c r="I1811" s="6" t="inlineStr">
        <is>
          <t>Yanına oturdun, bir şey demedin. Gece yarısı annen anneannenin gençliğini anlatmaya başladı: bir düğünde, damadın üstüne ayran döken utangaç bir kız. Sabaha kadar sürdü; bir ara ikiniz de güldünüz.</t>
        </is>
      </c>
      <c r="J1811" s="6" t="inlineStr">
        <is>
          <t>“En azından uzun yaşadı” dedin. Annen “Bana kısa geldi” dedi ve kalkıp mutfağa gitti. Bir daha teselli cümlesi kurmadın.</t>
        </is>
      </c>
      <c r="K1811" s="6" t="inlineStr">
        <is>
          <t>Yanına oturdun, telefonun çaldı. Zil sesi, anneannenin sana öğrettiği oyun havasıydı. Bütün oda dondu. Sonra annen gülmeye başladı, sonra ağlamaya.</t>
        </is>
      </c>
      <c r="L1811" s="6" t="inlineStr"/>
      <c r="M1811" s="5" t="inlineStr"/>
      <c r="N1811" s="5" t="inlineStr"/>
      <c r="O1811" s="6" t="inlineStr"/>
      <c r="P1811" s="6" t="inlineStr"/>
      <c r="Q1811" s="5" t="inlineStr"/>
      <c r="R1811" s="5" t="inlineStr"/>
      <c r="S1811" s="5" t="inlineStr"/>
      <c r="T1811" s="5" t="inlineStr"/>
      <c r="U1811" s="5" t="inlineStr">
        <is>
          <t>anneanne-ugurladi</t>
        </is>
      </c>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3</v>
      </c>
      <c r="C1812" s="6" t="inlineStr">
        <is>
          <t>“Ev kimde kalacak?” lafını kes</t>
        </is>
      </c>
      <c r="D1812" s="5" t="inlineStr">
        <is>
          <t>Sosyal Radar</t>
        </is>
      </c>
      <c r="E1812" s="5" t="inlineStr">
        <is>
          <t>Zor</t>
        </is>
      </c>
      <c r="F1812" s="5" t="inlineStr"/>
      <c r="G1812" s="6" t="inlineStr"/>
      <c r="H1812" s="6" t="inlineStr">
        <is>
          <t>Konuyu anneannenin bahçedeki erik ağacına çevirdin. Herkesin bir erik anısı çıktı; ev o akşam unutuldu.</t>
        </is>
      </c>
      <c r="I1812" s="6" t="inlineStr">
        <is>
          <t>Lafı tam zamanında kestin: “Anneannem bu masada kavga istemezdi.” Dayınla teyzen aynı anda sustu, sonra aynı anda sana çay koydu. Ev konusu bir yıl ertelendi; bu ailede bu, barış demek.</t>
        </is>
      </c>
      <c r="J1812" s="6" t="inlineStr">
        <is>
          <t>Araya girdin; kimse duymadı. Ev konuşması mutfağa taşındı. Annen salonda, sesler duyulmasın diye bardakları daha sesli topladı.</t>
        </is>
      </c>
      <c r="K1812" s="6" t="inlineStr">
        <is>
          <t>“Satın evi, olsun bitsin” dedin. Bütün salon sana döndü. Annen o akşam sana çay koymadı; ilk kez.</t>
        </is>
      </c>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b7-bebegin-adi</t>
        </is>
      </c>
      <c r="B1813" s="5" t="n">
        <v>1</v>
      </c>
      <c r="C1813" s="6" t="inlineStr">
        <is>
          <t>Bebeğe bak, adı eşin koysun</t>
        </is>
      </c>
      <c r="D1813" s="5" t="inlineStr"/>
      <c r="E1813" s="5" t="inlineStr"/>
      <c r="F1813" s="5" t="inlineStr">
        <is>
          <t>Gönül +1</t>
        </is>
      </c>
      <c r="G1813" s="6" t="inlineStr">
        <is>
          <t>Bebeğe baktın, sonra eşine: “Sen koy.” Eşin listedeki ilk adı söyledi. Babaanne bir an sustu, sonra torununu öptü ve konuyu bir daha hiç açmadı.</t>
        </is>
      </c>
      <c r="H1813" s="6" t="inlineStr"/>
      <c r="I1813" s="6" t="inlineStr"/>
      <c r="J1813" s="6" t="inlineStr"/>
      <c r="K1813" s="6" t="inlineStr"/>
      <c r="L1813" s="6" t="inlineStr"/>
      <c r="M1813" s="5" t="inlineStr"/>
      <c r="N1813" s="5" t="inlineStr"/>
      <c r="O1813" s="6" t="inlineStr"/>
      <c r="P1813" s="6" t="inlineStr"/>
      <c r="Q1813" s="5" t="inlineStr"/>
      <c r="R1813" s="5" t="inlineStr"/>
      <c r="S1813" s="5" t="inlineStr"/>
      <c r="T1813" s="5" t="inlineStr"/>
      <c r="U1813" s="5" t="inlineStr"/>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b7-bebegin-adi</t>
        </is>
      </c>
      <c r="B1814" s="5" t="n">
        <v>2</v>
      </c>
      <c r="C1814" s="6" t="inlineStr">
        <is>
          <t>İki büyüğün adını birleştir</t>
        </is>
      </c>
      <c r="D1814" s="5" t="inlineStr">
        <is>
          <t>Sosyal Radar</t>
        </is>
      </c>
      <c r="E1814" s="5" t="inlineStr">
        <is>
          <t>Orta</t>
        </is>
      </c>
      <c r="F1814" s="5" t="inlineStr"/>
      <c r="G1814" s="6" t="inlineStr"/>
      <c r="H1814" s="6" t="inlineStr">
        <is>
          <t>Biri ad, biri göbek adı oldu. Babaanne de anneanne de kendi koyduğu adı önce söylüyor; bebek ikisinin kucağında da uyuyor.</t>
        </is>
      </c>
      <c r="I1814" s="6" t="inlineStr">
        <is>
          <t>İki adı birleştirdin; babaanne de anneanne de aynı anda ağladı. İkisi de torununa adının yarısını kendisinin koyduğunu anlatıyor. İkisi de haklı.</t>
        </is>
      </c>
      <c r="J1814" s="6" t="inlineStr">
        <is>
          <t>İki adı yan yana koydun; kulağa bir ilaç adı gibi geldi. Eşin listeyi yeniden açtı.</t>
        </is>
      </c>
      <c r="K1814" s="6" t="inlineStr">
        <is>
          <t>Heyecandan nüfus kâğıdını sen doldurdun, iki adın harflerini birbirine kattın. Kimlikte kimsenin tanımadığı bir ad yazıyor. Babaanne torununa üç yıl yalnızca “Kuzum” dedi; başka çaresi yoktu.</t>
        </is>
      </c>
      <c r="L1814" s="6" t="inlineStr"/>
      <c r="M1814" s="5" t="inlineStr"/>
      <c r="N1814" s="5" t="inlineStr"/>
      <c r="O1814" s="6" t="inlineStr"/>
      <c r="P1814" s="6" t="inlineStr"/>
      <c r="Q1814" s="5" t="inlineStr"/>
      <c r="R1814" s="5" t="inlineStr"/>
      <c r="S1814" s="5" t="inlineStr"/>
      <c r="T1814" s="5" t="inlineStr"/>
      <c r="U1814" s="5" t="inlineStr"/>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3</v>
      </c>
      <c r="C1815" s="6" t="inlineStr">
        <is>
          <t>Kırk gün kapıyı kimseye açma</t>
        </is>
      </c>
      <c r="D1815" s="5" t="inlineStr">
        <is>
          <t>Cesaret</t>
        </is>
      </c>
      <c r="E1815" s="5" t="inlineStr">
        <is>
          <t>Zor</t>
        </is>
      </c>
      <c r="F1815" s="5" t="inlineStr"/>
      <c r="G1815" s="6" t="inlineStr"/>
      <c r="H1815" s="6" t="inlineStr">
        <is>
          <t>Kırk gün kapıyı yalnızca anneanneye açtın. Ev sessiz, bebek uykulu; eşin ilk kez dinlendi. Teyzeler bunu konuştu ama kapının dışında.</t>
        </is>
      </c>
      <c r="I1815" s="6" t="inlineStr">
        <is>
          <t>Kapıya bir not astın: “Kırkımız çıksın, sonra gelin.” Kırk gün kimse gelmedi. Kırk birinci gün bütün akrabalar aynı saatte geldi; ellerinde börek ve altın.</t>
        </is>
      </c>
      <c r="J1815" s="6" t="inlineStr">
        <is>
          <t>Üçüncü gün kayınvalide bir sürahi lohusa şerbetiyle geldi: “Ben misafir değilim.” Beşinci gün “Biz de misafir değiliz” diyen on iki kişi daha geldi.</t>
        </is>
      </c>
      <c r="K1815" s="6" t="inlineStr">
        <is>
          <t>Halanı kapıdan çevirdin. Halan altını kapının koluna bağlayıp merdivenlerden indi. Her bayram anlatıyor: “Yeğenimin bebeğini kapı kolundan sevdim.”</t>
        </is>
      </c>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is>
          <t>Cesaret 28</t>
        </is>
      </c>
      <c r="AI1815" s="5" t="inlineStr"/>
      <c r="AJ1815" s="5" t="inlineStr"/>
    </row>
    <row r="1816">
      <c r="A1816" s="5" t="inlineStr">
        <is>
          <t>b7-okulun-ilk-gunu</t>
        </is>
      </c>
      <c r="B1816" s="5" t="n">
        <v>1</v>
      </c>
      <c r="C1816" s="6" t="inlineStr">
        <is>
          <t>Kapıda el salla, arkana bakmadan yürü</t>
        </is>
      </c>
      <c r="D1816" s="5" t="inlineStr"/>
      <c r="E1816" s="5" t="inlineStr"/>
      <c r="F1816" s="5" t="inlineStr">
        <is>
          <t>Dayanıklılık +1</t>
        </is>
      </c>
      <c r="G1816" s="6" t="inlineStr">
        <is>
          <t>El salladın, yürüdün, köşeyi dönünce durdun. On dakika duvarın arkasından bahçeyi izledin. Çocuğun hiç ağlamadı; sen ağladın.</t>
        </is>
      </c>
      <c r="H1816" s="6" t="inlineStr"/>
      <c r="I1816" s="6" t="inlineStr"/>
      <c r="J1816" s="6" t="inlineStr"/>
      <c r="K1816" s="6" t="inlineStr"/>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b7-okulun-ilk-gunu</t>
        </is>
      </c>
      <c r="B1817" s="5" t="n">
        <v>2</v>
      </c>
      <c r="C1817" s="6" t="inlineStr">
        <is>
          <t>Beslenme çantasına gizli bir not koy</t>
        </is>
      </c>
      <c r="D1817" s="5" t="inlineStr">
        <is>
          <t>Gönül</t>
        </is>
      </c>
      <c r="E1817" s="5" t="inlineStr">
        <is>
          <t>Kolay</t>
        </is>
      </c>
      <c r="F1817" s="5" t="inlineStr"/>
      <c r="G1817" s="6" t="inlineStr"/>
      <c r="H1817" s="6" t="inlineStr">
        <is>
          <t>Elmaların arasına bir kalp çizip koydun. Akşam çanta boş döndü; not dörde katlanmış, önlüğün cebinde. Hâlâ duruyor.</t>
        </is>
      </c>
      <c r="I1817" s="6" t="inlineStr">
        <is>
          <t>Notu teneffüste buldu, bütün sınıfa gösterdi. Ertesi gün sınıfın yarısının çantasında not vardı; veliler sana “Fikir kimden?” diye yazdı.</t>
        </is>
      </c>
      <c r="J1817" s="6" t="inlineStr">
        <is>
          <t>Notu koydun; çocuk okumayı daha bilmiyormuş. Kalbi domates sandı, sıra arkadaşına verdi.</t>
        </is>
      </c>
      <c r="K1817"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c r="AI1817" s="5" t="inlineStr"/>
      <c r="AJ1817" s="5" t="inlineStr"/>
    </row>
    <row r="1818">
      <c r="A1818" s="5" t="inlineStr">
        <is>
          <t>b7-okulun-ilk-gunu</t>
        </is>
      </c>
      <c r="B1818" s="5" t="n">
        <v>3</v>
      </c>
      <c r="C1818" s="6" t="inlineStr">
        <is>
          <t>Teneffüse kadar bahçe parmaklığında bekle</t>
        </is>
      </c>
      <c r="D1818" s="5" t="inlineStr">
        <is>
          <t>Dayanıklılık</t>
        </is>
      </c>
      <c r="E1818" s="5" t="inlineStr">
        <is>
          <t>Orta</t>
        </is>
      </c>
      <c r="F1818" s="5" t="inlineStr"/>
      <c r="G1818" s="6" t="inlineStr"/>
      <c r="H1818" s="6" t="inlineStr">
        <is>
          <t>İki ders boyunca parmaklıkta durdun. Teneffüste çocuğun seni gördü, gülümsedi ve yanına hiç gelmedi. İkiniz de doğrusunu yaptınız.</t>
        </is>
      </c>
      <c r="I1818" s="6" t="inlineStr">
        <is>
          <t>Teneffüste çocuğun koşarak geldi, parmaklıktan yarım bir kurabiye uzattı, sonra arkadaşlarına döndü. Yarısını sana ayırmıştı.</t>
        </is>
      </c>
      <c r="J1818" s="6" t="inlineStr">
        <is>
          <t>Parmaklıkta yalnız değildin; kırk veli daha vardı. Müdür megafonla çıktı: “Velilerimiz, çocuklar sizi gördükçe ağlıyor, lütfen evinize.” Kırk veli aynı anda, ağlayarak yürüdü.</t>
        </is>
      </c>
      <c r="K1818" s="6" t="inlineStr">
        <is>
          <t>Parmaklıktan adını seslendin. Çocuğun seni görünce ağladı, sonra bütün sınıf ağladı. Öğretmen seni de sınıfa aldı; çocuklar susana kadar birinci sınıftaydın.</t>
        </is>
      </c>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4</v>
      </c>
      <c r="C1819" s="6" t="inlineStr">
        <is>
          <t>Öğretmenle hemen tanış, çocuğunu anlat</t>
        </is>
      </c>
      <c r="D1819" s="5" t="inlineStr">
        <is>
          <t>Çene</t>
        </is>
      </c>
      <c r="E1819" s="5" t="inlineStr">
        <is>
          <t>Orta</t>
        </is>
      </c>
      <c r="F1819" s="5" t="inlineStr"/>
      <c r="G1819" s="6" t="inlineStr"/>
      <c r="H1819" s="6" t="inlineStr">
        <is>
          <t>Çocuğunun neyi sevip neden korktuğunu üç cümlede anlattın. Öğretmen gülümsedi: “Merak etmeyin, bende otuz tane var.”</t>
        </is>
      </c>
      <c r="I1819" s="6" t="inlineStr">
        <is>
          <t>Öğretmen seni dinledi, not aldı, çocuğunu ön sıraya oturttu. Akşam çocuğun eve girer girmez “Öğretmenim seni sevdi” dedi; kendinden önce.</t>
        </is>
      </c>
      <c r="J1819" s="6" t="inlineStr">
        <is>
          <t>Anlatmaya başladın; arkanda on veli sıraya girdi. Öğretmen “Veli toplantısında konuşalım” dedi. Toplantı ekimde.</t>
        </is>
      </c>
      <c r="K1819" s="6" t="inlineStr">
        <is>
          <t>Anlatırken telefondan fotoğrafını gösterdin; ekranda kuzeninin çocuğu vardı. Öğretmen bir ay boyunca çocuğuna kuzeninin adıyla seslendi.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b8-taki-sirasi</t>
        </is>
      </c>
      <c r="B1820" s="5" t="n">
        <v>1</v>
      </c>
      <c r="C1820" s="6" t="inlineStr">
        <is>
          <t>Çeyreği tak, geç</t>
        </is>
      </c>
      <c r="D1820" s="5" t="inlineStr"/>
      <c r="E1820" s="5" t="inlineStr"/>
      <c r="F1820" s="5" t="inlineStr">
        <is>
          <t>İtibar +1</t>
        </is>
      </c>
      <c r="G1820" s="6" t="inlineStr">
        <is>
          <t>Çeyreği damadın yakasına iğneledin. Amca mikrofona “Bir çeyrek!” dedi; kimse kaşını kaldırmadı. Annen arkadan fısıldadı: “Tamam, yeterli.”</t>
        </is>
      </c>
      <c r="H1820" s="6" t="inlineStr"/>
      <c r="I1820" s="6" t="inlineStr"/>
      <c r="J1820" s="6" t="inlineStr"/>
      <c r="K1820" s="6" t="inlineStr"/>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b8-taki-sirasi</t>
        </is>
      </c>
      <c r="B1821" s="5" t="n">
        <v>2</v>
      </c>
      <c r="C1821" s="6" t="inlineStr">
        <is>
          <t>Zarfı ver, anons ettirme</t>
        </is>
      </c>
      <c r="D1821" s="5" t="inlineStr">
        <is>
          <t>Kurnazlık</t>
        </is>
      </c>
      <c r="E1821" s="5" t="inlineStr">
        <is>
          <t>Kolay</t>
        </is>
      </c>
      <c r="F1821" s="5" t="inlineStr"/>
      <c r="G1821" s="6" t="inlineStr"/>
      <c r="H1821" s="6" t="inlineStr">
        <is>
          <t>Zarfı verdin, amcaya göz kırptın; amca “Bir zarf!” deyip geçti. Kimse saymadı, sen de söylemedin.</t>
        </is>
      </c>
      <c r="I1821" s="6" t="inlineStr">
        <is>
          <t>Zarfı damadın cebine sessizce koydun. Amca anons edemedi; bütün salon zarfın kalınlığını konuştu. Düğünün en cömerdi sen oldun, kimse emin olmadan.</t>
        </is>
      </c>
      <c r="J1821" s="6" t="inlineStr">
        <is>
          <t>Zarfı verdin; amca zarfı mikrofona yaklaştırıp “Bir zarf, ince!” dedi. Salon güldü.</t>
        </is>
      </c>
      <c r="K1821" s="6" t="inlineStr">
        <is>
          <t>Zarfı verdin; damadın annesi oracıkta açtı. İçinden düğün davetiyesi çıktı. Paranın olduğu zarf hâlâ ceketinin cebinde.</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3</v>
      </c>
      <c r="C1822" s="6" t="inlineStr">
        <is>
          <t>Mikrofonu al, büyük tak</t>
        </is>
      </c>
      <c r="D1822" s="5" t="inlineStr">
        <is>
          <t>Pişkinlik</t>
        </is>
      </c>
      <c r="E1822" s="5" t="inlineStr">
        <is>
          <t>Orta</t>
        </is>
      </c>
      <c r="F1822" s="5" t="inlineStr"/>
      <c r="G1822" s="6" t="inlineStr"/>
      <c r="H1822" s="6" t="inlineStr">
        <is>
          <t>“Bizden iki bilezik!” dedin, salon alkışladı. Teyzen ertesi gün herkese anlattı; bileziklerin sayısı her anlatışta arttı.</t>
        </is>
      </c>
      <c r="I1822" s="6" t="inlineStr">
        <is>
          <t>Mikrofonu alıp “Bizden de bir tam altın!” dedin. Salon ayağa kalktı, davul iki kez vurdu. Gelin gelip elini öptü.</t>
        </is>
      </c>
      <c r="J1822" s="6" t="inlineStr">
        <is>
          <t>Mikrofonu aldın, cızırdadı. Kimse ne taktığını duymadı; amca “Bir şey!” diye anons etti.</t>
        </is>
      </c>
      <c r="K1822" s="6" t="inlineStr">
        <is>
          <t>Mikrofona “Bizden bir bilezik!” dedin; bileziği evde unutmuşsun. Salon bekledi, davul bekledi. Sonunda kolundaki saati çıkarıp taktın.</t>
        </is>
      </c>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is>
          <t>Rahat</t>
        </is>
      </c>
      <c r="AD1822" s="5" t="inlineStr"/>
      <c r="AE1822" s="5" t="inlineStr"/>
      <c r="AF1822" s="5" t="inlineStr"/>
      <c r="AG1822" s="5" t="inlineStr"/>
      <c r="AH1822" s="5" t="inlineStr"/>
      <c r="AI1822" s="5" t="inlineStr"/>
      <c r="AJ1822" s="5" t="inlineStr"/>
    </row>
    <row r="1823">
      <c r="A1823" s="5" t="inlineStr">
        <is>
          <t>b8-taki-sirasi</t>
        </is>
      </c>
      <c r="B1823" s="5" t="n">
        <v>4</v>
      </c>
      <c r="C1823" s="6" t="inlineStr">
        <is>
          <t>Takı defterini aç, ne geldiyse onu tak</t>
        </is>
      </c>
      <c r="D1823" s="5" t="inlineStr">
        <is>
          <t>Akıl</t>
        </is>
      </c>
      <c r="E1823" s="5" t="inlineStr">
        <is>
          <t>Kolay</t>
        </is>
      </c>
      <c r="F1823" s="5" t="inlineStr"/>
      <c r="G1823" s="6" t="inlineStr"/>
      <c r="H1823" s="6" t="inlineStr">
        <is>
          <t>Defterine baktın: kuzenin senin düğününde bir çeyrek takmış. Bir çeyrek taktın. Hesap kapandı, kimse kırılmadı.</t>
        </is>
      </c>
      <c r="I1823" s="6" t="inlineStr">
        <is>
          <t>Defterde kuzeninin senin düğününe bilezik taktığını gördün; sen de bilezik taktın. Masada “Bunlar hesap biliyor” diye bir saygı oluştu.</t>
        </is>
      </c>
      <c r="J1823" s="6" t="inlineStr">
        <is>
          <t>Defteri evde unuttun, ezbere bir çeyrek taktın. Akşam defteri açtın: kuzenin senin düğününde bilezik takmış. Gece kuzenine “Bir şey unuttuk” diye yazdın; cevap gelmedi, “görüldü” geldi.</t>
        </is>
      </c>
      <c r="K1823" s="6" t="inlineStr">
        <is>
          <t>Defteri düğüne getirip masada açtın. Kuzenin gördü: “Bizi de mi yazdın?” Bütün masa kendi sayfasını sordu.</t>
        </is>
      </c>
      <c r="L1823" s="6" t="inlineStr"/>
      <c r="M1823" s="5" t="inlineStr"/>
      <c r="N1823" s="5" t="inlineStr"/>
      <c r="O1823" s="6" t="inlineStr"/>
      <c r="P1823" s="6" t="inlineStr"/>
      <c r="Q1823" s="5" t="inlineStr"/>
      <c r="R1823" s="5" t="inlineStr">
        <is>
          <t>taki-defteri</t>
        </is>
      </c>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b8-babanin-evi</t>
        </is>
      </c>
      <c r="B1824" s="5" t="n">
        <v>1</v>
      </c>
      <c r="C1824" s="6" t="inlineStr">
        <is>
          <t>Ceketi al, gerisini kardeşlere bırak</t>
        </is>
      </c>
      <c r="D1824" s="5" t="inlineStr"/>
      <c r="E1824" s="5" t="inlineStr"/>
      <c r="F1824" s="5" t="inlineStr">
        <is>
          <t>Gönül +1, İtibar +1</t>
        </is>
      </c>
      <c r="G1824" s="6" t="inlineStr">
        <is>
          <t>Ceketi giydin; kolları kısa, omuzları geniş. Kardeşin “Tıpkı o” dedi. İkiniz de mutfağa kaçıp ağladınız; annen duymamış gibi yaptı.</t>
        </is>
      </c>
      <c r="H1824" s="6" t="inlineStr"/>
      <c r="I1824" s="6" t="inlineStr"/>
      <c r="J1824" s="6" t="inlineStr"/>
      <c r="K1824" s="6" t="inlineStr"/>
      <c r="L1824" s="6" t="inlineStr"/>
      <c r="M1824" s="5" t="inlineStr"/>
      <c r="N1824" s="5" t="inlineStr"/>
      <c r="O1824" s="6" t="inlineStr"/>
      <c r="P1824" s="6" t="inlineStr"/>
      <c r="Q1824" s="5" t="inlineStr"/>
      <c r="R1824" s="5" t="inlineStr"/>
      <c r="S1824" s="5" t="inlineStr"/>
      <c r="T1824" s="5" t="inlineStr"/>
      <c r="U1824" s="5" t="inlineStr">
        <is>
          <t>babanin-ceketi</t>
        </is>
      </c>
      <c r="V1824" s="5" t="inlineStr"/>
      <c r="W1824" s="5" t="inlineStr"/>
      <c r="X1824" s="5" t="inlineStr"/>
      <c r="Y1824" s="5" t="inlineStr"/>
      <c r="Z1824" s="6" t="inlineStr"/>
      <c r="AA1824" s="5" t="inlineStr"/>
      <c r="AB1824" s="5" t="inlineStr"/>
      <c r="AC1824" s="5" t="inlineStr"/>
      <c r="AD1824" s="5" t="inlineStr"/>
      <c r="AE1824" s="5" t="inlineStr"/>
      <c r="AF1824" s="5" t="inlineStr"/>
      <c r="AG1824" s="5" t="inlineStr"/>
      <c r="AH1824" s="5" t="inlineStr"/>
      <c r="AI1824" s="5" t="inlineStr"/>
      <c r="AJ1824" s="5" t="inlineStr"/>
    </row>
    <row r="1825">
      <c r="A1825" s="5" t="inlineStr">
        <is>
          <t>b8-babanin-evi</t>
        </is>
      </c>
      <c r="B1825" s="5" t="n">
        <v>2</v>
      </c>
      <c r="C1825" s="6" t="inlineStr">
        <is>
          <t>Eşyaları adil paylaştır</t>
        </is>
      </c>
      <c r="D1825" s="5" t="inlineStr">
        <is>
          <t>Sosyal Radar</t>
        </is>
      </c>
      <c r="E1825" s="5" t="inlineStr">
        <is>
          <t>Orta</t>
        </is>
      </c>
      <c r="F1825" s="5" t="inlineStr"/>
      <c r="G1825" s="6" t="inlineStr"/>
      <c r="H1825" s="6" t="inlineStr">
        <is>
          <t>Saat birine, radyo ötekine, ceket sana. Liste uzun sürdü ama bitti; kimse kapıyı çarpıp çıkmadı.</t>
        </is>
      </c>
      <c r="I1825" s="6" t="inlineStr">
        <is>
          <t>Herkes istediğini aldı, kimse kimseye kırılmadı. Akşam boş odada yere oturup babanın sevdiği türküyü açtınız; ilk kez hep birlikte güldünüz.</t>
        </is>
      </c>
      <c r="J1825" s="6" t="inlineStr">
        <is>
          <t>Paylaştırdın; herkes başkasının aldığını istedi. Dolap yine kapandı; kimse dokunmuyor.</t>
        </is>
      </c>
      <c r="K1825" s="6" t="inlineStr">
        <is>
          <t>“Bu da bende kalsın” deyip kristal şekerliği kaldırdın; elinden kaydı, kırıldı. O sırada halan içeri girdi: “O şekerliği baban bana söz vermişti.” Kırk yıllık bir küslük o gün başladı.</t>
        </is>
      </c>
      <c r="L1825" s="6" t="inlineStr"/>
      <c r="M1825" s="5" t="inlineStr"/>
      <c r="N1825" s="5" t="inlineStr"/>
      <c r="O1825" s="6" t="inlineStr"/>
      <c r="P1825" s="6" t="inlineStr"/>
      <c r="Q1825" s="5" t="inlineStr"/>
      <c r="R1825" s="5" t="inlineStr"/>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3</v>
      </c>
      <c r="C1826" s="6" t="inlineStr">
        <is>
          <t>Telefonundaki sesli mesajları dinle</t>
        </is>
      </c>
      <c r="D1826" s="5" t="inlineStr"/>
      <c r="E1826" s="5" t="inlineStr"/>
      <c r="F1826" s="5" t="inlineStr">
        <is>
          <t>Dayanıklılık +1</t>
        </is>
      </c>
      <c r="G1826" s="6" t="inlineStr">
        <is>
          <t>Telefonunda babandan dört sesli mesaj var; dördünde de “Arayınca açsana” diyor. Hepsini dinledin. Sonuncusunu silemedin.</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4</v>
      </c>
      <c r="C1827" s="6" t="inlineStr">
        <is>
          <t>Kardeşlere babanın hikâyelerini anlat</t>
        </is>
      </c>
      <c r="D1827" s="5" t="inlineStr">
        <is>
          <t>Çene</t>
        </is>
      </c>
      <c r="E1827" s="5" t="inlineStr">
        <is>
          <t>Orta</t>
        </is>
      </c>
      <c r="F1827" s="5" t="inlineStr"/>
      <c r="G1827" s="6" t="inlineStr"/>
      <c r="H1827" s="6" t="inlineStr">
        <is>
          <t>Babanın askerde kaybettiği katırın hikâyesini anlattın. Üç kuşak aynı anda güldü; annen salondan seslendi: “Katır değil, eşekti.”</t>
        </is>
      </c>
      <c r="I1827" s="6" t="inlineStr">
        <is>
          <t>Gece yarısına kadar anlattın; yeğenler telefonlarını bıraktı. Ertesi gün en küçükleri elinde defterle geldi: “Dedemin hikâyelerini baştan anlatır mısın? Yazacağım.”</t>
        </is>
      </c>
      <c r="J1827" s="6" t="inlineStr">
        <is>
          <t>Anlatmaya başladın; sonunu hatırlamadın. Annen salondan tamamladı, başka türlü.</t>
        </is>
      </c>
      <c r="K1827" s="6" t="inlineStr">
        <is>
          <t>Babanın “Kimseye söyleme” dediği kısma geldin. Söyledin. Annen o akşam sana çay koymadı.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b9-dunurler</t>
        </is>
      </c>
      <c r="B1828" s="5" t="n">
        <v>1</v>
      </c>
      <c r="C1828" s="6" t="inlineStr">
        <is>
          <t>Lafı dünüre bırak, çayları tazele</t>
        </is>
      </c>
      <c r="D1828" s="5" t="inlineStr"/>
      <c r="E1828" s="5" t="inlineStr"/>
      <c r="F1828" s="5" t="inlineStr">
        <is>
          <t>Sosyal Radar +1</t>
        </is>
      </c>
      <c r="G1828" s="6" t="inlineStr">
        <is>
          <t>Lafı dünürün açtı; sen çayları tazeledin, yedi kez. Kapıda yarım saat vedalaştınız. Dünür elini bırakmadan söyledi: 'Çaylarınız çok güzeldi.' Gecenin tek yorumu buydu; yetti.</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b9-dunurler</t>
        </is>
      </c>
      <c r="B1829" s="5" t="n">
        <v>2</v>
      </c>
      <c r="C1829" s="6" t="inlineStr">
        <is>
          <t>İlk lafı sen aç</t>
        </is>
      </c>
      <c r="D1829" s="5" t="inlineStr">
        <is>
          <t>Çene</t>
        </is>
      </c>
      <c r="E1829" s="5" t="inlineStr">
        <is>
          <t>Orta</t>
        </is>
      </c>
      <c r="F1829" s="5" t="inlineStr"/>
      <c r="G1829" s="6" t="inlineStr"/>
      <c r="H1829" s="6" t="inlineStr">
        <is>
          <t>Hava, yol, sonra konu. 'Büyüklerin izniyle' dedin; dünürün başını salladı. Çay ikinci kez demlendi.</t>
        </is>
      </c>
      <c r="I1829" s="6" t="inlineStr">
        <is>
          <t>'Gençler anlaşmış, bize tatlı yemek kalır' dedin. Salon güldü; söz o akşam takıldı, kurdeleyi sen kestin.</t>
        </is>
      </c>
      <c r="J1829" s="6" t="inlineStr">
        <is>
          <t>Lafa hava durumuyla girdin. Yirmi dakika yağmur konuşuldu; asıl konu bir sonraki ziyarete kaldı.</t>
        </is>
      </c>
      <c r="K1829" s="6" t="inlineStr">
        <is>
          <t>Lafı açarken dünürünün adını yanlış söyledin, üç kez. Üçüncüde dünürün adını düzeltmekten vazgeçti. Düğünde de o adla anıldı.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3</v>
      </c>
      <c r="C1830" s="6" t="inlineStr">
        <is>
          <t>Düğün masrafını ilk akşamdan konuş</t>
        </is>
      </c>
      <c r="D1830" s="5" t="inlineStr">
        <is>
          <t>Kurnazlık</t>
        </is>
      </c>
      <c r="E1830" s="5" t="inlineStr">
        <is>
          <t>Zor</t>
        </is>
      </c>
      <c r="F1830" s="5" t="inlineStr"/>
      <c r="G1830" s="6" t="inlineStr"/>
      <c r="H1830" s="6" t="inlineStr">
        <is>
          <t>Konuyu açtın. İki taraf da 'Biz bir şey istemeyiz' dedi ve üç saat boyunca bir şeyler istedi. Sonunda yarı yarıya anlaştınız.</t>
        </is>
      </c>
      <c r="I1830" s="6" t="inlineStr">
        <is>
          <t>Masrafı ilk akşam paylaştınız: salon sizden, takı onlardan, yemek yarı yarıya. Düğüne kadar tek kavga çıkmadı. Mahallede bir ilk.</t>
        </is>
      </c>
      <c r="J1830" s="6" t="inlineStr">
        <is>
          <t>Masraf lafı açılınca salon serinledi. Kahveler bitti, ikinci kahve gelmedi.</t>
        </is>
      </c>
      <c r="K1830" s="6" t="inlineStr">
        <is>
          <t>'Bizde düğün üç gün olur' dedin. Dünür 'Bizde bir akşam' dedi. Düğün iki akşam olacak; ikisinin de faturası sende.</t>
        </is>
      </c>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4</v>
      </c>
      <c r="C1831" s="6" t="inlineStr">
        <is>
          <t>Dünürün huyunu oku</t>
        </is>
      </c>
      <c r="D1831" s="5" t="inlineStr">
        <is>
          <t>Sosyal Radar</t>
        </is>
      </c>
      <c r="E1831" s="5" t="inlineStr">
        <is>
          <t>Orta</t>
        </is>
      </c>
      <c r="F1831" s="5" t="inlineStr"/>
      <c r="G1831" s="6" t="inlineStr"/>
      <c r="H1831" s="6" t="inlineStr">
        <is>
          <t>Dünür az şekerli içiyor, memleket lafı açılınca yumuşuyor. İkinci çaydan sonra ortak bir tanıdık bulundu; gerisi kendiliğinden geldi.</t>
        </is>
      </c>
      <c r="I1831" s="6" t="inlineStr">
        <is>
          <t>Dünürün kristale düşkün olduğunu vitrine bakışından anladın ve şekerliği hediye ettin. Düğüne kadar bir kez bile tartışmadınız.</t>
        </is>
      </c>
      <c r="J1831" s="6" t="inlineStr">
        <is>
          <t>Sessiz sandın, utangaçmış. Utangaç sandın, yorgunmuş. Akşamın sonunda ne düşündüğünü hâlâ bilmiyorsun.</t>
        </is>
      </c>
      <c r="K1831" s="6" t="inlineStr">
        <is>
          <t>Dünürü sessiz sanıp rahatladın, kendi aileni anlatmaya başladın; halanın boşanmasını bile. Dünür sessiz değilmiş, dinliyormuş.</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b10-tek-fincan</t>
        </is>
      </c>
      <c r="B1832" s="5" t="n">
        <v>1</v>
      </c>
      <c r="C1832" s="6" t="inlineStr">
        <is>
          <t>Onun gibi demle</t>
        </is>
      </c>
      <c r="D1832" s="5" t="inlineStr"/>
      <c r="E1832" s="5" t="inlineStr"/>
      <c r="F1832" s="5" t="inlineStr">
        <is>
          <t>Gönül +1</t>
        </is>
      </c>
      <c r="G1832" s="6" t="inlineStr">
        <is>
          <t>Dört kaşık koydun, fazla geldi. Yine de iki fincan doldurdun, birini karşına koydun. Soğuyana kadar kalkmadın.</t>
        </is>
      </c>
      <c r="H1832" s="6" t="inlineStr"/>
      <c r="I1832" s="6" t="inlineStr"/>
      <c r="J1832" s="6" t="inlineStr"/>
      <c r="K1832" s="6" t="inlineStr"/>
      <c r="L1832" s="6" t="inlineStr"/>
      <c r="M1832" s="5" t="inlineStr"/>
      <c r="N1832" s="5" t="inlineStr"/>
      <c r="O1832" s="6" t="inlineStr"/>
      <c r="P1832" s="6" t="inlineStr"/>
      <c r="Q1832" s="5" t="inlineStr"/>
      <c r="R1832" s="5" t="inlineStr"/>
      <c r="S1832" s="5" t="inlineStr"/>
      <c r="T1832" s="5" t="inlineStr"/>
      <c r="U1832" s="5" t="inlineStr">
        <is>
          <t>dul, -evli</t>
        </is>
      </c>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b10-tek-fincan</t>
        </is>
      </c>
      <c r="B1833" s="5" t="n">
        <v>2</v>
      </c>
      <c r="C1833" s="6" t="inlineStr">
        <is>
          <t>Tabakları komşuya geri götür</t>
        </is>
      </c>
      <c r="D1833" s="5" t="inlineStr">
        <is>
          <t>Sosyal Radar</t>
        </is>
      </c>
      <c r="E1833" s="5" t="inlineStr">
        <is>
          <t>Kolay</t>
        </is>
      </c>
      <c r="F1833" s="5" t="inlineStr"/>
      <c r="G1833" s="6" t="inlineStr"/>
      <c r="H1833" s="6" t="inlineStr">
        <is>
          <t>Kapıda on dakika konuştunuz. Akşam kapında yine bir tabak vardı, yanında bir not: 'Yarın bizde.'</t>
        </is>
      </c>
      <c r="I1833" s="6" t="inlineStr">
        <is>
          <t>Komşu seni içeri aldı, çay koydu. 'Her sabah sen uyurken balkondan bana el sallardı' dedi. İkiniz de güldünüz; üç aydır ilk kez.</t>
        </is>
      </c>
      <c r="J1833" s="6" t="inlineStr">
        <is>
          <t>Kapıya kadar gittin, zile basamadın. Tabakları paspasın üstüne bırakıp döndün.</t>
        </is>
      </c>
      <c r="K1833" s="6" t="inlineStr">
        <is>
          <t>Komşu kapıyı açıp 'Nasılsın?' dedi. 'İyiyim' diyecektin, ağladın. Merdivende yarım saat ağladınız; apartman grubuna 'Üçüncü katta ses var' diye mesaj düştü.</t>
        </is>
      </c>
      <c r="L1833" s="6" t="inlineStr"/>
      <c r="M1833" s="5" t="inlineStr"/>
      <c r="N1833" s="5" t="inlineStr"/>
      <c r="O1833" s="6" t="inlineStr"/>
      <c r="P1833" s="6" t="inlineStr"/>
      <c r="Q1833" s="5" t="inlineStr"/>
      <c r="R1833" s="5" t="inlineStr"/>
      <c r="S1833" s="5" t="inlineStr"/>
      <c r="T1833" s="5" t="inlineStr"/>
      <c r="U1833" s="5" t="inlineStr">
        <is>
          <t>dul, -evli</t>
        </is>
      </c>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3</v>
      </c>
      <c r="C1834" s="6" t="inlineStr">
        <is>
          <t>Çocuğunun yanına taşın</t>
        </is>
      </c>
      <c r="D1834" s="5" t="inlineStr">
        <is>
          <t>Gönül</t>
        </is>
      </c>
      <c r="E1834" s="5" t="inlineStr">
        <is>
          <t>Orta</t>
        </is>
      </c>
      <c r="F1834" s="5" t="inlineStr"/>
      <c r="G1834" s="6" t="inlineStr"/>
      <c r="H1834" s="6" t="inlineStr">
        <is>
          <t>Valizini çocuğunun evine taşıdın. Sana en güneşli odayı verdiler; kumanda sende değil ama demlik sende.</t>
        </is>
      </c>
      <c r="I1834" s="6" t="inlineStr">
        <is>
          <t>Torununla aynı odayı paylaştın. Bir ayda sen ona tavla, o sana dizi öğretti; çocuğunun eşi aile grubuna 'Ev böyle daha güzel' yazdı.</t>
        </is>
      </c>
      <c r="J1834" s="6" t="inlineStr">
        <is>
          <t>İki hafta kaldın, sonra kendi evine döndün. 'Çiçeklerim susuz kaldı' dedin. Çiçekler plastikti.</t>
        </is>
      </c>
      <c r="K1834" s="6" t="inlineStr">
        <is>
          <t>Taşındığın ilk gece mutfağı kendi düzenine soktun. Sabah kimse çay bardaklarını bulamadı; çocuğunun eşi seni bir hafta komşulara 'misafirimiz' diye tanıttı.</t>
        </is>
      </c>
      <c r="L1834" s="6" t="inlineStr"/>
      <c r="M1834" s="5" t="inlineStr"/>
      <c r="N1834" s="5" t="inlineStr"/>
      <c r="O1834" s="6" t="inlineStr"/>
      <c r="P1834" s="6" t="inlineStr"/>
      <c r="Q1834" s="5" t="inlineStr"/>
      <c r="R1834" s="5" t="inlineStr">
        <is>
          <t>cocuklu</t>
        </is>
      </c>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4</v>
      </c>
      <c r="C1835" s="6" t="inlineStr">
        <is>
          <t>Eşinin dolabını topla</t>
        </is>
      </c>
      <c r="D1835" s="5" t="inlineStr">
        <is>
          <t>Dayanıklılık</t>
        </is>
      </c>
      <c r="E1835" s="5" t="inlineStr">
        <is>
          <t>Zor</t>
        </is>
      </c>
      <c r="F1835" s="5" t="inlineStr"/>
      <c r="G1835" s="6" t="inlineStr"/>
      <c r="H1835" s="6" t="inlineStr">
        <is>
          <t>Giysileri katlayıp ihtiyacı olanlara gönderdin. Bir hırkayı ayırdın; o dolapta kalacak.</t>
        </is>
      </c>
      <c r="I1835" s="6" t="inlineStr">
        <is>
          <t>Her şeyi tek tek katladın. Ceketinin cebinden kırk yıllık bir not çıktı, senin el yazınla: 'Akşam erken gel.' Notu cüzdanına koydun, kalanını gönül rahatlığıyla verdin.</t>
        </is>
      </c>
      <c r="J1835" s="6" t="inlineStr">
        <is>
          <t>Dolabı açtın, kokusu yüzüne çarptı. Kapağı kapattın. Belki gelecek ay.</t>
        </is>
      </c>
      <c r="K1835" s="6" t="inlineStr">
        <is>
          <t>Her şeyi bir günde koli koli verdin. Akşam onun terliğini aradın; o da gitmişti. Ertesi sabah derneğin kapısında, kolilerin arasında terlik arıyordun.</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b7-isteme-kahvesi</t>
        </is>
      </c>
      <c r="B1836" s="5" t="n">
        <v>1</v>
      </c>
      <c r="C1836" s="6" t="inlineStr">
        <is>
          <t>Kahveyi düzgün pişir, sade sun</t>
        </is>
      </c>
      <c r="D1836" s="5" t="inlineStr"/>
      <c r="E1836" s="5" t="inlineStr"/>
      <c r="F1836" s="5" t="inlineStr">
        <is>
          <t>Gönül +1</t>
        </is>
      </c>
      <c r="G1836" s="6" t="inlineStr">
        <is>
          <t>Kahveler köpüklü, fincanlar titremeden geldi. Müstakbel kayınvalide fincanı çevirip dibine baktı: “Eli lezzetli.” Annen mutfağa dönünce sana göz kırptı; tuzluk dolapta kaldı.</t>
        </is>
      </c>
      <c r="H1836" s="6" t="inlineStr"/>
      <c r="I1836" s="6" t="inlineStr"/>
      <c r="J1836" s="6" t="inlineStr"/>
      <c r="K1836" s="6" t="inlineStr"/>
      <c r="L1836" s="6" t="inlineStr"/>
      <c r="M1836" s="5" t="inlineStr"/>
      <c r="N1836" s="5" t="inlineStr"/>
      <c r="O1836" s="6" t="inlineStr"/>
      <c r="P1836" s="6" t="inlineStr"/>
      <c r="Q1836" s="5" t="inlineStr"/>
      <c r="R1836" s="5" t="inlineStr"/>
      <c r="S1836" s="5" t="inlineStr"/>
      <c r="T1836" s="5" t="inlineStr"/>
      <c r="U1836" s="5" t="inlineStr"/>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b7-isteme-kahvesi</t>
        </is>
      </c>
      <c r="B1837" s="5" t="n">
        <v>2</v>
      </c>
      <c r="C1837" s="6" t="inlineStr">
        <is>
          <t>Damadın kahvesine iki kaşık tuz koy</t>
        </is>
      </c>
      <c r="D1837" s="5" t="inlineStr">
        <is>
          <t>Pişkinlik</t>
        </is>
      </c>
      <c r="E1837" s="5" t="inlineStr">
        <is>
          <t>Orta</t>
        </is>
      </c>
      <c r="F1837" s="5" t="inlineStr"/>
      <c r="G1837" s="6" t="inlineStr"/>
      <c r="H1837" s="6" t="inlineStr">
        <is>
          <t>Damat ilk yudumda durdu, sonra gülümseyip son yudumuna kadar içti. Baban kulağına eğildi: “Bu çocuk dayanır.” Tuzluğu önlüğünün cebine sakladın.</t>
        </is>
      </c>
      <c r="I1837" s="6" t="inlineStr">
        <is>
          <t>Damat kahveyi bitirdi, fincanı uzattı: “Bir tane daha olur mu?” Salon kahkahaya boğuldu; kayınvalide seninle ilk kez aynı anda güldü.</t>
        </is>
      </c>
      <c r="J1837" s="6" t="inlineStr">
        <is>
          <t>Tuz azdı; damat fark etmedi bile. Baban kendi fincanını kaldırıp hayal kırıklığıyla sordu: “Bunun neresi tuzlu?”</t>
        </is>
      </c>
      <c r="K1837" s="6" t="inlineStr">
        <is>
          <t>Fincanları karıştırdın; tuzlu kahve kayınpedere gitti. Bir yudum aldı, gözleri doldu, bıyığını sildi: “Kızım, beni mi istiyorsun?” Salon on dakika kendine gelemedi.</t>
        </is>
      </c>
      <c r="L1837" s="6" t="inlineStr"/>
      <c r="M1837" s="5" t="inlineStr"/>
      <c r="N1837" s="5" t="inlineStr"/>
      <c r="O1837" s="6" t="inlineStr"/>
      <c r="P1837" s="6" t="inlineStr"/>
      <c r="Q1837" s="5" t="inlineStr"/>
      <c r="R1837" s="5" t="inlineStr"/>
      <c r="S1837" s="5" t="inlineStr"/>
      <c r="T1837" s="5" t="inlineStr"/>
      <c r="U1837" s="5" t="inlineStr"/>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3</v>
      </c>
      <c r="C1838" s="6" t="inlineStr">
        <is>
          <t>Konuşmayı sen yap, babanı kurtar</t>
        </is>
      </c>
      <c r="D1838" s="5" t="inlineStr">
        <is>
          <t>Çene</t>
        </is>
      </c>
      <c r="E1838" s="5" t="inlineStr">
        <is>
          <t>Orta</t>
        </is>
      </c>
      <c r="F1838" s="5" t="inlineStr"/>
      <c r="G1838" s="6" t="inlineStr"/>
      <c r="H1838" s="6" t="inlineStr">
        <is>
          <t>Baban cümleye başlarken tıkandı; tepsiyi bırakıp sen tamamladın. “Verdik” dendi; baban “Ben de onu diyecektim” dedi.</t>
        </is>
      </c>
      <c r="I1838" s="6" t="inlineStr">
        <is>
          <t>Öyle konuştun ki söz kesme oracıkta yapıldı. Yüzükler kayınvalidenin çantasındaymış; kurdeleyi annen dişiyle kesti.</t>
        </is>
      </c>
      <c r="J1838" s="6" t="inlineStr">
        <is>
          <t>Sen konuşmaya başladın, baban da başladı; ikiniz aynı anda sustunuz. Kayınpeder “Biz bir çay daha içelim, siz karar verin” dedi.</t>
        </is>
      </c>
      <c r="K1838" s="6" t="inlineStr">
        <is>
          <t>Heyecandan konuşmayı iş görüşmesine çevirdin: “Beş yıl sonra kendimi bu ailenin içinde görüyorum.” Damat “Ben de!” dedi. Annen tepsiyi mutfağa kaçırdı.</t>
        </is>
      </c>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t="inlineStr">
        <is>
          <t>b6-meslek-secimi</t>
        </is>
      </c>
      <c r="B1839" t="n">
        <v>9</v>
      </c>
      <c r="C1839" t="inlineStr">
        <is>
          <t>Avukatlık stajına başla: bir büroya gir</t>
        </is>
      </c>
      <c r="D1839" t="inlineStr">
        <is>
          <t>Çene</t>
        </is>
      </c>
      <c r="E1839" t="inlineStr">
        <is>
          <t>Orta</t>
        </is>
      </c>
      <c r="H1839" t="inlineStr">
        <is>
          <t>Bir büro seni stajyer aldı. İlk görevin dosya taşımak, ikincisi taşıdığın dosyayı okumak. Üçüncüsü hâlâ gelmedi.</t>
        </is>
      </c>
      <c r="I1839" t="inlineStr">
        <is>
          <t>Kıdemli ortak seni duruşmaya götürdü. Kürsüye tek kelime etmedin ama dosyaları doğru sırayla taşıdın. Ortak “Bu çocuk yürür” dedi.</t>
        </is>
      </c>
      <c r="J1839" t="inlineStr">
        <is>
          <t>Bürolardan “kadro yok” cevabı geldi. Bir şirketin hukuk birimi seni sözleşme yazmaya aldı: avukatsın, duruşman yok.</t>
        </is>
      </c>
      <c r="K1839" t="inlineStr">
        <is>
          <t>Mülakatta “En büyük zaafın?” sorusuna müvekkil sırlarını anlattın. Büro etik sormuştu, sen iyi niyetliydin. Bir plaza seni aldı; orada sır yok.</t>
        </is>
      </c>
      <c r="R1839" t="inlineStr">
        <is>
          <t>bolum-hukuk</t>
        </is>
      </c>
      <c r="V1839" t="inlineStr">
        <is>
          <t>hat-avukat, meslek-beyazyaka</t>
        </is>
      </c>
      <c r="AB1839" t="inlineStr">
        <is>
          <t>meslek-beyazyaka</t>
        </is>
      </c>
      <c r="AD1839" t="inlineStr">
        <is>
          <t>Orta</t>
        </is>
      </c>
    </row>
    <row r="1840">
      <c r="A1840" t="inlineStr">
        <is>
          <t>b6-meslek-secimi</t>
        </is>
      </c>
      <c r="B1840" t="n">
        <v>10</v>
      </c>
      <c r="C1840" t="inlineStr">
        <is>
          <t>Şantiyeye ya da fabrikaya mühendis olarak başla</t>
        </is>
      </c>
      <c r="D1840" t="inlineStr">
        <is>
          <t>Akıl</t>
        </is>
      </c>
      <c r="E1840" t="inlineStr">
        <is>
          <t>Orta</t>
        </is>
      </c>
      <c r="H1840" t="inlineStr">
        <is>
          <t>Bir firma seni saha mühendisi aldı. İlk gün baret verdiler, ikinci gün baretin kimin olduğunu sordular.</t>
        </is>
      </c>
      <c r="I1840" t="inlineStr">
        <is>
          <t>Projenin hesabındaki hatayı sen buldun. Şantiye şefi çay ısmarladı; çayı kendi içmeyip sana uzattı.</t>
        </is>
      </c>
      <c r="J1840" t="inlineStr">
        <is>
          <t>Firmalar “deneyim” istedi; deneyim için de işe girmek gerekiyormuş. Bir ofiste çizim yapmaya başladın; baretin yok.</t>
        </is>
      </c>
      <c r="K1840" t="inlineStr">
        <is>
          <t>Mülakatta “En büyük zaafın?” sorusuna “Tolerans” dedin. İnşaat müdürü güldü. Dönüşte baret yerine bir ofis masası aldın.</t>
        </is>
      </c>
      <c r="R1840" t="inlineStr">
        <is>
          <t>bolum-muhendislik</t>
        </is>
      </c>
      <c r="V1840" t="inlineStr">
        <is>
          <t>hat-muhendis, meslek-beyazyaka</t>
        </is>
      </c>
      <c r="AB1840" t="inlineStr">
        <is>
          <t>meslek-beyazyaka</t>
        </is>
      </c>
      <c r="AD1840" t="inlineStr">
        <is>
          <t>Orta</t>
        </is>
      </c>
    </row>
    <row r="1841">
      <c r="A1841" t="inlineStr">
        <is>
          <t>b6-degisim-programi</t>
        </is>
      </c>
      <c r="B1841" t="n">
        <v>4</v>
      </c>
      <c r="C1841" t="inlineStr">
        <is>
          <t>Eski niyet mektubunu çıkar</t>
        </is>
      </c>
      <c r="D1841" t="inlineStr">
        <is>
          <t>Akıl</t>
        </is>
      </c>
      <c r="E1841" t="inlineStr">
        <is>
          <t>Kolay</t>
        </is>
      </c>
      <c r="H1841" t="inlineStr">
        <is>
          <t>Mektup aylardır hazırdı; formun yarısı o gece doldu. Programa kabul edildin, mektubun ikinci hayatı başladı.</t>
        </is>
      </c>
      <c r="I1841" t="inlineStr">
        <is>
          <t>Mektubu okuyan komisyon üyesi başını salladı: “Bunu yıllardır bekliyorduk.” Kabul geldi, burs da yanında.</t>
        </is>
      </c>
      <c r="J1841" t="inlineStr">
        <is>
          <t>Mektup eskiydi: yazdığın okul programdan çıkmış. Formu baştan doldurmaya vaktin kalmadı.</t>
        </is>
      </c>
      <c r="K1841" t="inlineStr">
        <is>
          <t>Mektubu yanlış dosyaya eklemişsin: komisyon, başka bir öğrencinin Öte Diyar hayalini okudu. Hayali güzeldi, o öğrenci kabul edildi.</t>
        </is>
      </c>
      <c r="R1841" t="inlineStr">
        <is>
          <t>yurt-disi-hayali</t>
        </is>
      </c>
      <c r="V1841" t="inlineStr">
        <is>
          <t>yurtdisi-gordu</t>
        </is>
      </c>
    </row>
    <row r="1842">
      <c r="A1842" t="inlineStr">
        <is>
          <t>b6-staj-hukuk</t>
        </is>
      </c>
      <c r="B1842" t="n">
        <v>1</v>
      </c>
      <c r="C1842" t="inlineStr">
        <is>
          <t>Dosya dolabını tarihe göre sırala</t>
        </is>
      </c>
      <c r="F1842" t="inlineStr">
        <is>
          <t>Dayanıklılık +1, Akıl +1</t>
        </is>
      </c>
      <c r="G1842" t="inlineStr">
        <is>
          <t>Yirmi yıllık dosyayı tarihe dizdin. Ortak, kayıp bir davayı bulduğunu söyledi; dava zaten kapanmıştı ama dosya artık yerinde.</t>
        </is>
      </c>
    </row>
    <row r="1843">
      <c r="A1843" t="inlineStr">
        <is>
          <t>b6-staj-hukuk</t>
        </is>
      </c>
      <c r="B1843" t="n">
        <v>2</v>
      </c>
      <c r="C1843" t="inlineStr">
        <is>
          <t>Duruşma kâtibiyle sohbet et</t>
        </is>
      </c>
      <c r="D1843" t="inlineStr">
        <is>
          <t>Sosyal Radar</t>
        </is>
      </c>
      <c r="E1843" t="inlineStr">
        <is>
          <t>Zor</t>
        </is>
      </c>
      <c r="H1843" t="inlineStr">
        <is>
          <t>Kâtip seni bir sonraki duruşmanın salonuna aldı. Notları sen tuttun, salon senden sorulur oldu.</t>
        </is>
      </c>
      <c r="I1843" t="inlineStr">
        <is>
          <t>Kâtip, hâkimin sevdiği çayın markasını söyledi. Ertesi duruşmaya o çayla girdin; ortak neden güldüğünü anlamadı.</t>
        </is>
      </c>
      <c r="J1843" t="inlineStr">
        <is>
          <t>Kâtip emekliliğine dört ay kaldığını anlattı. Dört ay boyunca.</t>
        </is>
      </c>
      <c r="K1843" t="inlineStr">
        <is>
          <t>Kâtibe hâkimin kararlarını yorumladın. Kâtip sustu, hâkim kapıda duruyordu.</t>
        </is>
      </c>
      <c r="T1843" t="inlineStr">
        <is>
          <t>Selamı Var</t>
        </is>
      </c>
    </row>
    <row r="1844">
      <c r="A1844" t="inlineStr">
        <is>
          <t>b6-staj-hukuk</t>
        </is>
      </c>
      <c r="B1844" t="n">
        <v>3</v>
      </c>
      <c r="C1844" t="inlineStr">
        <is>
          <t>Büronun en eski dosyasını çöz</t>
        </is>
      </c>
      <c r="D1844" t="inlineStr">
        <is>
          <t>Akıl</t>
        </is>
      </c>
      <c r="E1844" t="inlineStr">
        <is>
          <t>Orta</t>
        </is>
      </c>
      <c r="H1844" t="inlineStr">
        <is>
          <t>Dosyanın arkasındaki bir imzayı fark ettin. Dava on yıl sonra yeniden açılıyor; sen sadece okumuştun.</t>
        </is>
      </c>
      <c r="I1844" t="inlineStr">
        <is>
          <t>Sen bulduğun tutanakla müvekkil davayı kazandı. Ortak sana “Bu tutanak nereden çıktı?” diye sordu; dolabın arkasından.</t>
        </is>
      </c>
      <c r="J1844" t="inlineStr">
        <is>
          <t>Dosya çözüldü ama özet yazman gerekti. Özeti kimse okumadı, dosya yine dolaba girdi.</t>
        </is>
      </c>
      <c r="K1844" t="inlineStr">
        <is>
          <t>Dosyayı çözerken sayfaların sırasını bozdun. Ortak üç gece sıralayacak; sen çay getirdin.</t>
        </is>
      </c>
    </row>
    <row r="1845">
      <c r="A1845" t="inlineStr">
        <is>
          <t>b6-staj-hukuk</t>
        </is>
      </c>
      <c r="B1845" t="n">
        <v>4</v>
      </c>
      <c r="C1845" t="inlineStr">
        <is>
          <t>Müvekkil görüşmesinde söz iste</t>
        </is>
      </c>
      <c r="D1845" t="inlineStr">
        <is>
          <t>Pişkinlik</t>
        </is>
      </c>
      <c r="E1845" t="inlineStr">
        <is>
          <t>Zor</t>
        </is>
      </c>
      <c r="H1845" t="inlineStr">
        <is>
          <t>Bir soru sordun; müvekkil “İyi soru” dedi. Ortak “Bunu ben sormayı düşünüyordum” dedi, notu sen aldın.</t>
        </is>
      </c>
      <c r="I1845" t="inlineStr">
        <is>
          <t>Sorun görüşmenin yönünü değiştirdi. Müvekkil seni özel olarak aradı; ortak telefonu duydu.</t>
        </is>
      </c>
      <c r="J1845" t="inlineStr">
        <is>
          <t>Söz istedin, görüşme bitti. Elin havada kaldı, müvekkil el sallıyor sandı.</t>
        </is>
      </c>
      <c r="K1845" t="inlineStr">
        <is>
          <t>Müvekkile “Dava sizin lehinize” dedin. Ortak odada değildi; sonradan bir saat toparladı.</t>
        </is>
      </c>
    </row>
    <row r="1846">
      <c r="A1846" t="inlineStr">
        <is>
          <t>b7-faiz-ay-donumu</t>
        </is>
      </c>
      <c r="B1846" t="n">
        <v>1</v>
      </c>
      <c r="C1846" t="inlineStr">
        <is>
          <t>Hepsini kapat</t>
        </is>
      </c>
      <c r="F1846" t="inlineStr">
        <is>
          <t>İtibar +1, Akıl +1</t>
        </is>
      </c>
      <c r="G1846" t="inlineStr">
        <is>
          <t>Ekstrenin tamamını ödedin. Banka seni “Sevgili müşterimiz” yerine “Müşterimiz” diye anmaya başladı; sevgi de faizle birlikte bitti.</t>
        </is>
      </c>
      <c r="X1846" t="inlineStr">
        <is>
          <t>kart-borclu, borclu</t>
        </is>
      </c>
      <c r="AC1846" t="inlineStr">
        <is>
          <t>Orta</t>
        </is>
      </c>
      <c r="AF1846" t="n">
        <v>1</v>
      </c>
    </row>
    <row r="1847">
      <c r="A1847" t="inlineStr">
        <is>
          <t>b7-faiz-ay-donumu</t>
        </is>
      </c>
      <c r="B1847" t="n">
        <v>2</v>
      </c>
      <c r="C1847" t="inlineStr">
        <is>
          <t>Bankayla yeniden yapılandır</t>
        </is>
      </c>
      <c r="D1847" t="inlineStr">
        <is>
          <t>Çene</t>
        </is>
      </c>
      <c r="E1847" t="inlineStr">
        <is>
          <t>Orta</t>
        </is>
      </c>
      <c r="H1847" t="inlineStr">
        <is>
          <t>Banka taksit planı çıkardı. Faiz yarıya indi; sen imzayı atarken temsilci kalemi ucuza vermiş gibi bakıyordu.</t>
        </is>
      </c>
      <c r="I1847" t="inlineStr">
        <is>
          <t>Temsilci “Sizin için bir istisna” dedi. Borç taksitlendi, faiz silindi. İstisna kelimesini bankada ilk kez duydun.</t>
        </is>
      </c>
      <c r="J1847" t="inlineStr">
        <is>
          <t>Temsilci “Sistem izin vermiyor” dedi. Sistem hep izin vermiyor; sen de her seferinde ilk kez duyuyormuş gibi dinliyorsun.</t>
        </is>
      </c>
      <c r="K1847" t="inlineStr">
        <is>
          <t>Görüşmeyi telefonda kaydettiğini söyledin. Temsilci “Kayıt altındasınız” dedi, ikiniz de kaydın nereye gittiğini bilmiyordunuz.</t>
        </is>
      </c>
      <c r="V1847" t="inlineStr">
        <is>
          <t>-kart-borclu</t>
        </is>
      </c>
      <c r="AB1847" t="inlineStr">
        <is>
          <t>borclu</t>
        </is>
      </c>
      <c r="AK1847" t="inlineStr">
        <is>
          <t>-borclu</t>
        </is>
      </c>
      <c r="AL1847" t="n">
        <v>1</v>
      </c>
    </row>
    <row r="1848">
      <c r="A1848" t="inlineStr">
        <is>
          <t>b7-faiz-ay-donumu</t>
        </is>
      </c>
      <c r="B1848" t="n">
        <v>3</v>
      </c>
      <c r="C1848" t="inlineStr">
        <is>
          <t>Yeni karta geç</t>
        </is>
      </c>
      <c r="D1848" t="inlineStr">
        <is>
          <t>Kurnazlık</t>
        </is>
      </c>
      <c r="E1848" t="inlineStr">
        <is>
          <t>Zor</t>
        </is>
      </c>
      <c r="H1848" t="inlineStr">
        <is>
          <t>Borcu yeni kartın limitine kaydırdın. Bu ay rahat, gelecek ay ağlak.</t>
        </is>
      </c>
      <c r="I1848" t="inlineStr">
        <is>
          <t>Yeni kart sıfır faizle borcu devraldı. Ay sonunda telefona gelen mesaj bile bir an sana güldü.</t>
        </is>
      </c>
      <c r="J1848" t="inlineStr">
        <is>
          <t>Yeni kart başvurun reddedildi, eskisine bir faiz zammı geldi. Borç artık iki kapıda duruyor.</t>
        </is>
      </c>
      <c r="K1848" t="inlineStr">
        <is>
          <t>Başvuruda iki kartı da yazdın; banka ikisini birleştirdi ve icraya havale etti. Adın artık bir dosya numarası.</t>
        </is>
      </c>
      <c r="V1848" t="inlineStr">
        <is>
          <t>kart-borclu</t>
        </is>
      </c>
      <c r="W1848" t="inlineStr">
        <is>
          <t>icra-dosyasi</t>
        </is>
      </c>
      <c r="AB1848" t="inlineStr">
        <is>
          <t>borclu, kart-borclu</t>
        </is>
      </c>
      <c r="AL1848" t="n">
        <v>1</v>
      </c>
    </row>
    <row r="1849">
      <c r="A1849" t="inlineStr">
        <is>
          <t>b8-kefil-mektubu</t>
        </is>
      </c>
      <c r="B1849" t="n">
        <v>1</v>
      </c>
      <c r="C1849" t="inlineStr">
        <is>
          <t>Kefil olduğun kişiyi bul</t>
        </is>
      </c>
      <c r="F1849" t="inlineStr">
        <is>
          <t>Sosyal Radar +1, İtibar +1</t>
        </is>
      </c>
      <c r="G1849" t="inlineStr">
        <is>
          <t>Adamı üç mahalle ötede buldun. Borcu kendi ödedi; “Unutmuştum” dedi. Sen unutmamıştın, ama bunu söylemedin.</t>
        </is>
      </c>
      <c r="X1849" t="inlineStr">
        <is>
          <t>kefil-borclu</t>
        </is>
      </c>
    </row>
    <row r="1850">
      <c r="A1850" t="inlineStr">
        <is>
          <t>b8-kefil-mektubu</t>
        </is>
      </c>
      <c r="B1850" t="n">
        <v>2</v>
      </c>
      <c r="C1850" t="inlineStr">
        <is>
          <t>Borcu üstlen</t>
        </is>
      </c>
      <c r="F1850" t="inlineStr">
        <is>
          <t>Gönül +1, Dayanıklılık +1</t>
        </is>
      </c>
      <c r="G1850" t="inlineStr">
        <is>
          <t>Borcu kendi cebinden kapattın. Bankanın yazısı “Teşekkür ederiz” diye bitiyordu; sen de içinden aynısını söyledin, başka bir tonda.</t>
        </is>
      </c>
      <c r="X1850" t="inlineStr">
        <is>
          <t>kefil-borclu</t>
        </is>
      </c>
      <c r="AF1850" t="n">
        <v>1</v>
      </c>
    </row>
    <row r="1851">
      <c r="A1851" t="inlineStr">
        <is>
          <t>b8-kefil-mektubu</t>
        </is>
      </c>
      <c r="B1851" t="n">
        <v>3</v>
      </c>
      <c r="C1851" t="inlineStr">
        <is>
          <t>Zamana oyna</t>
        </is>
      </c>
      <c r="D1851" t="inlineStr">
        <is>
          <t>Kurnazlık</t>
        </is>
      </c>
      <c r="E1851" t="inlineStr">
        <is>
          <t>Zor</t>
        </is>
      </c>
      <c r="H1851" t="inlineStr">
        <is>
          <t>Banka tebligatı yanlış adrese göndermiş. Dosya bir yıl sonra yeniden açıldı; kefil bu arada kendi borcunu kapatmış.</t>
        </is>
      </c>
      <c r="I1851" t="inlineStr">
        <is>
          <t>Tebligat bir apartman yöneticisinin çekmecesinde kaldı. Kefil ortaya çıktı, borç ödendi; yönetici hâlâ çekmeceyi açmıyor.</t>
        </is>
      </c>
      <c r="J1851" t="inlineStr">
        <is>
          <t>Banka bu sefer elden teslim ettirdi. Zarfı alırken komşular perde arkasındaydı; çay o akşam yarım kaldı.</t>
        </is>
      </c>
      <c r="K1851" t="inlineStr">
        <is>
          <t>Tebligat gelince evde olmadığını söyledin. Memur “Kapıyı açan sizdiniz” dedi. Dosya icraya gitti.</t>
        </is>
      </c>
      <c r="V1851" t="inlineStr">
        <is>
          <t>-kefil-borclu</t>
        </is>
      </c>
      <c r="W1851" t="inlineStr">
        <is>
          <t>icra-dosyasi</t>
        </is>
      </c>
      <c r="AB1851" t="inlineStr">
        <is>
          <t>borclu</t>
        </is>
      </c>
      <c r="AL1851" t="n">
        <v>1</v>
      </c>
    </row>
    <row r="1852">
      <c r="A1852" t="inlineStr">
        <is>
          <t>b8-icra-zarfi</t>
        </is>
      </c>
      <c r="B1852" t="n">
        <v>1</v>
      </c>
      <c r="C1852" t="inlineStr">
        <is>
          <t>Ödeme planı iste</t>
        </is>
      </c>
      <c r="D1852" t="inlineStr">
        <is>
          <t>Çene</t>
        </is>
      </c>
      <c r="E1852" t="inlineStr">
        <is>
          <t>Orta</t>
        </is>
      </c>
      <c r="H1852" t="inlineStr">
        <is>
          <t>Memur plan yaptı: ayda bir, yıllarca. Borç küçüldü, sen büyüdün; yıllık ayrılık yazısı da hâlâ geliyor.</t>
        </is>
      </c>
      <c r="I1852" t="inlineStr">
        <is>
          <t>Alacaklı faizi sildi, plan kısaldı. Memur “Bunu ilk kez görüyorum” dedi; sen de ilk kez çaylı bir icra dairesi gördün.</t>
        </is>
      </c>
      <c r="J1852" t="inlineStr">
        <is>
          <t>Plan reddedildi. Maaşın üzerine haciz kondu; çay bile artık kendi bardağında içiliyor.</t>
        </is>
      </c>
      <c r="K1852" t="inlineStr">
        <is>
          <t>Planı yazarken mal varlığını fazla gösterdin. Memur “O halde haciz” dedi, evdeki halıyı bile tarttı.</t>
        </is>
      </c>
      <c r="V1852" t="inlineStr">
        <is>
          <t>-borclu</t>
        </is>
      </c>
      <c r="AB1852" t="inlineStr">
        <is>
          <t>icra-dosyasi</t>
        </is>
      </c>
      <c r="AL1852" t="n">
        <v>1</v>
      </c>
    </row>
    <row r="1853">
      <c r="A1853" t="inlineStr">
        <is>
          <t>b8-icra-zarfi</t>
        </is>
      </c>
      <c r="B1853" t="n">
        <v>2</v>
      </c>
      <c r="C1853" t="inlineStr">
        <is>
          <t>Aileye git, durumu anlat</t>
        </is>
      </c>
      <c r="D1853" t="inlineStr">
        <is>
          <t>Gönül</t>
        </is>
      </c>
      <c r="E1853" t="inlineStr">
        <is>
          <t>Kolay</t>
        </is>
      </c>
      <c r="H1853" t="inlineStr">
        <is>
          <t>Aile sofraya oturdu, tabloyu masaya koydular. Bir kısmını onlar kapattı; kalanını bir yıl çayda anlatacaklar.</t>
        </is>
      </c>
      <c r="I1853" t="inlineStr">
        <is>
          <t>Baban zarfı alıp “Ben bakarım” dedi. Borç kapandı, utanç kapanmadı; ama o artık ortak.</t>
        </is>
      </c>
      <c r="J1853" t="inlineStr">
        <is>
          <t>Aile durumu duydu, sofra sustu. Yardım gelmedi, nasihat geldi; nasihat bedava.</t>
        </is>
      </c>
      <c r="K1853" t="inlineStr">
        <is>
          <t>Aile toplantısında borcun tutarını yanlış söyledin; gerçek rakam duyulunca annen bardağı bıraktı.</t>
        </is>
      </c>
      <c r="V1853" t="inlineStr">
        <is>
          <t>-borclu</t>
        </is>
      </c>
      <c r="AB1853" t="inlineStr">
        <is>
          <t>icra-dosyasi</t>
        </is>
      </c>
      <c r="AE1853" t="inlineStr">
        <is>
          <t>Mesafeli</t>
        </is>
      </c>
    </row>
    <row r="1854">
      <c r="A1854" t="inlineStr">
        <is>
          <t>b8-icra-zarfi</t>
        </is>
      </c>
      <c r="B1854" t="n">
        <v>3</v>
      </c>
      <c r="C1854" t="inlineStr">
        <is>
          <t>Mahalleden iste</t>
        </is>
      </c>
      <c r="D1854" t="inlineStr">
        <is>
          <t>İtibar</t>
        </is>
      </c>
      <c r="E1854" t="inlineStr">
        <is>
          <t>Orta</t>
        </is>
      </c>
      <c r="H1854" t="inlineStr">
        <is>
          <t>Mahalle bir torba para topladı; bakkal da bir defter açtı. Borç kapandı, defter hâlâ açık.</t>
        </is>
      </c>
      <c r="I1854" t="inlineStr">
        <is>
          <t>Berber, bakkal ve muhtar üç farklı zarfla geldi. Borç kapandı; kimse kimin kimden fazla verdiğini sormadı, herkes biliyordu.</t>
        </is>
      </c>
      <c r="J1854" t="inlineStr">
        <is>
          <t>Mahalle yarısını topladı, yarısını söyledi. Söylenenler daha uzun sürdü.</t>
        </is>
      </c>
      <c r="K1854" t="inlineStr">
        <is>
          <t>Para isterken dedikoduyu başlatan senin ağzından çıktı. Mahalle sustu; susmak da bir cevaptır.</t>
        </is>
      </c>
      <c r="V1854" t="inlineStr">
        <is>
          <t>-borclu</t>
        </is>
      </c>
      <c r="AB1854" t="inlineStr">
        <is>
          <t>icra-dosyasi</t>
        </is>
      </c>
      <c r="AH1854" t="inlineStr">
        <is>
          <t>İtibar 30</t>
        </is>
      </c>
    </row>
    <row r="1855">
      <c r="A1855" t="inlineStr">
        <is>
          <t>b5-tercih-listesi</t>
        </is>
      </c>
      <c r="B1855" t="n">
        <v>7</v>
      </c>
      <c r="C1855" t="inlineStr">
        <is>
          <t>Eğitim fakültesi</t>
        </is>
      </c>
      <c r="F1855" t="inlineStr">
        <is>
          <t>Çene +1, Gönül +1</t>
        </is>
      </c>
      <c r="G1855" t="inlineStr">
        <is>
          <t>Eğitim fakültesini yazdın. Babaannen “Öğretmen olacak” dedi, bakkal ise “Matematik mi?” diye sordu. Cevabı bilmiyordun.</t>
        </is>
      </c>
      <c r="U1855" t="inlineStr">
        <is>
          <t>bolum-egitim</t>
        </is>
      </c>
      <c r="AA1855" t="inlineStr">
        <is>
          <t>Erdem +1</t>
        </is>
      </c>
    </row>
    <row r="1856">
      <c r="A1856" t="inlineStr">
        <is>
          <t>b6-ikinci-tercih</t>
        </is>
      </c>
      <c r="B1856" t="n">
        <v>7</v>
      </c>
      <c r="C1856" t="inlineStr">
        <is>
          <t>Eğitim fakültesi</t>
        </is>
      </c>
      <c r="F1856" t="inlineStr">
        <is>
          <t>Çene +1, Gönül +1</t>
        </is>
      </c>
      <c r="G1856" t="inlineStr">
        <is>
          <t>Eğitim fakültesini yazdın. Babaannen “Öğretmen olacak” dedi, bakkal ise “Matematik mi?” diye sordu. Cevabı bilmiyordun.</t>
        </is>
      </c>
      <c r="U1856" t="inlineStr">
        <is>
          <t>bolum-egitim</t>
        </is>
      </c>
      <c r="AA1856" t="inlineStr">
        <is>
          <t>Erdem +1</t>
        </is>
      </c>
    </row>
    <row r="1857">
      <c r="A1857" t="inlineStr">
        <is>
          <t>b6-meslek-secimi</t>
        </is>
      </c>
      <c r="B1857" t="n">
        <v>11</v>
      </c>
      <c r="C1857" t="inlineStr">
        <is>
          <t>Öğretmen ol: okula atama için başvur</t>
        </is>
      </c>
      <c r="D1857" t="inlineStr">
        <is>
          <t>Çene</t>
        </is>
      </c>
      <c r="E1857" t="inlineStr">
        <is>
          <t>Orta</t>
        </is>
      </c>
      <c r="H1857" t="inlineStr">
        <is>
          <t>Atama listesi açıklandı, adın ilçe okulunda çıktı. İlk gün tahta kalemini bulamadın, sınıf seni buldu.</t>
        </is>
      </c>
      <c r="I1857" t="inlineStr">
        <is>
          <t>Şehir okuluna atandın. Müdür seni karşılarken tahta kalemini elinle teslim etti: “Bu kutsal bir görev, ama kalem bitmez.”</t>
        </is>
      </c>
      <c r="J1857" t="inlineStr">
        <is>
          <t>Atama bu dönem çıkmadı. Bir özel dershane “Ders anlatır mısın?” diye aradı. Anlatırsın.</t>
        </is>
      </c>
      <c r="K1857" t="inlineStr">
        <is>
          <t>Mülakatta “Çocuklar için en önemli şey?” sorusuna “Uyku” dedin. Komisyon güldü, sen haklıydın. Dershane seni aldı.</t>
        </is>
      </c>
      <c r="R1857" t="inlineStr">
        <is>
          <t>bolum-egitim</t>
        </is>
      </c>
      <c r="V1857" t="inlineStr">
        <is>
          <t>hat-ogretmen, meslek-memur</t>
        </is>
      </c>
      <c r="AB1857" t="inlineStr">
        <is>
          <t>meslek-beyazyaka</t>
        </is>
      </c>
      <c r="AD1857" t="inlineStr">
        <is>
          <t>Orta</t>
        </is>
      </c>
      <c r="AH1857" t="inlineStr">
        <is>
          <t>Çene 27</t>
        </is>
      </c>
    </row>
    <row r="1858">
      <c r="A1858" t="inlineStr">
        <is>
          <t>b7-avukat-ilk-muvekkil</t>
        </is>
      </c>
      <c r="B1858" t="n">
        <v>1</v>
      </c>
      <c r="C1858" t="inlineStr">
        <is>
          <t>Klasörü baştan sona oku</t>
        </is>
      </c>
      <c r="F1858" t="inlineStr">
        <is>
          <t>Akıl +1, Dayanıklılık +1</t>
        </is>
      </c>
      <c r="G1858" t="inlineStr">
        <is>
          <t>Doksan sayfayı okudun. Seksen dokuzu komşunun fotoğrafıydı. Birinde balkon da vardı.</t>
        </is>
      </c>
    </row>
    <row r="1859">
      <c r="A1859" t="inlineStr">
        <is>
          <t>b7-avukat-ilk-muvekkil</t>
        </is>
      </c>
      <c r="B1859" t="n">
        <v>2</v>
      </c>
      <c r="C1859" t="inlineStr">
        <is>
          <t>Komşuyla uzlaşma masası kur</t>
        </is>
      </c>
      <c r="D1859" t="inlineStr">
        <is>
          <t>Çene</t>
        </is>
      </c>
      <c r="E1859" t="inlineStr">
        <is>
          <t>Orta</t>
        </is>
      </c>
      <c r="H1859" t="inlineStr">
        <is>
          <t>Komşuyu çaya çağırdın. Balkon kırk santim geri çekildi. Müvekkil teşekkür etti, çay hesabını da sana bıraktı.</t>
        </is>
      </c>
      <c r="I1859" t="inlineStr">
        <is>
          <t>İki taraf da imza attı, komşu balkona çiçek koydu. Müvekkil çiçeklerin bir tarafını sana verdi: “Bunlar bizim.”</t>
        </is>
      </c>
      <c r="J1859" t="inlineStr">
        <is>
          <t>Komşu çayı içti, balkonu bırakmadı. Müvekkil “Ben dava istedim” dedi. Sen çayı hesapladın.</t>
        </is>
      </c>
      <c r="K1859" t="inlineStr">
        <is>
          <t>Uzlaşma masasında müvekkil komşuya balkondan seslendi. Toplantı iptal oldu. Balkon ayakta kaldı.</t>
        </is>
      </c>
    </row>
    <row r="1860">
      <c r="A1860" t="inlineStr">
        <is>
          <t>b7-avukat-ilk-muvekkil</t>
        </is>
      </c>
      <c r="B1860" t="n">
        <v>3</v>
      </c>
      <c r="C1860" t="inlineStr">
        <is>
          <t>Dava dilekçesini hemen yaz</t>
        </is>
      </c>
      <c r="D1860" t="inlineStr">
        <is>
          <t>Kurnazlık</t>
        </is>
      </c>
      <c r="E1860" t="inlineStr">
        <is>
          <t>Kolay</t>
        </is>
      </c>
      <c r="H1860" t="inlineStr">
        <is>
          <t>Dilekçe iki sayfa, kaşesi üç. Mahkeme dosyayı kabul etti. Müvekkil sana “Hâkim bey” dedi.</t>
        </is>
      </c>
      <c r="I1860" t="inlineStr">
        <is>
          <t>Dilekçeni okuyan kalem, kenarına “İyi yazılmış” diye not düştü. Bu not da dosyaya girdi.</t>
        </is>
      </c>
      <c r="J1860" t="inlineStr">
        <is>
          <t>Dilekçede balkonun adresi yanlış yazılmıştı. Mahkeme komşunun balkonunu bile bulamadı.</t>
        </is>
      </c>
      <c r="K1860" t="inlineStr">
        <is>
          <t>Dilekçeyi komşunun adına yazdın. Müvekkil evrak üzerinde davalı oldu. Kendi balkonuna dava açtı.</t>
        </is>
      </c>
      <c r="T1860" t="inlineStr">
        <is>
          <t>Sözünü Geçirir</t>
        </is>
      </c>
    </row>
    <row r="1861">
      <c r="A1861" t="inlineStr">
        <is>
          <t>b7-avukat-durusma</t>
        </is>
      </c>
      <c r="B1861" t="n">
        <v>1</v>
      </c>
      <c r="C1861" t="inlineStr">
        <is>
          <t>Dosyayı sırala, sakin kal</t>
        </is>
      </c>
      <c r="F1861" t="inlineStr">
        <is>
          <t>Dayanıklılık +1, Akıl +1</t>
        </is>
      </c>
      <c r="G1861" t="inlineStr">
        <is>
          <t>Dosyayı sıraladın, sıradan sonra nefesini de. Duruşma kırk dakika sürdü. Kolideki dosyanın yarısı hiç açılmadı.</t>
        </is>
      </c>
    </row>
    <row r="1862">
      <c r="A1862" t="inlineStr">
        <is>
          <t>b7-avukat-durusma</t>
        </is>
      </c>
      <c r="B1862" t="n">
        <v>2</v>
      </c>
      <c r="C1862" t="inlineStr">
        <is>
          <t>Hâkime kısa ve net anlat</t>
        </is>
      </c>
      <c r="D1862" t="inlineStr">
        <is>
          <t>Çene</t>
        </is>
      </c>
      <c r="E1862" t="inlineStr">
        <is>
          <t>Zor</t>
        </is>
      </c>
      <c r="H1862" t="inlineStr">
        <is>
          <t>Beş cümlede özetledin. Hâkim kalemini bıraktı, “Anlaşıldı” dedi. Bu duruşmada ilk kez biri anlaşıldı.</t>
        </is>
      </c>
      <c r="I1862" t="inlineStr">
        <is>
          <t>Hâkim kararı oturduğu yerden okudu. Karşı vekil kâğıdı cebine koydu. Cebi bir an ağırlaştı.</t>
        </is>
      </c>
      <c r="J1862" t="inlineStr">
        <is>
          <t>Beş cümleyi on beşe uzattın. Hâkim sorusunu üçüncü kez sordu. Cevap yine dördüncü cümledeydi.</t>
        </is>
      </c>
      <c r="K1862" t="inlineStr">
        <is>
          <t>Hâkime müvekkilin adını yanlış söyledin. Salondaki herkes kendi adını kontrol etti.</t>
        </is>
      </c>
    </row>
    <row r="1863">
      <c r="A1863" t="inlineStr">
        <is>
          <t>b7-avukat-durusma</t>
        </is>
      </c>
      <c r="B1863" t="n">
        <v>3</v>
      </c>
      <c r="C1863" t="inlineStr">
        <is>
          <t>Karşı vekilin kâğıdına itiraz et</t>
        </is>
      </c>
      <c r="D1863" t="inlineStr">
        <is>
          <t>Kurnazlık</t>
        </is>
      </c>
      <c r="E1863" t="inlineStr">
        <is>
          <t>Orta</t>
        </is>
      </c>
      <c r="H1863" t="inlineStr">
        <is>
          <t>Kâğıdın tarihi eksikti. Hâkim kâğıdı geri çevirdi. Karşı vekil kâğıdı sana baktı, sen kâğıda baktın.</t>
        </is>
      </c>
      <c r="I1863" t="inlineStr">
        <is>
          <t>İtirazın kayda geçti, kâğıt dosyadan çıkarıldı. Karşı vekil kapıdan “Bunu hatırlarım” dedi. Sen de hatırlarsın.</t>
        </is>
      </c>
      <c r="J1863" t="inlineStr">
        <is>
          <t>İtiraz ettin ama süre geçmişti. Hâkim “Zamanında deseydiniz” dedi. Zaman, mesleğin en ucuz silahı.</t>
        </is>
      </c>
      <c r="K1863" t="inlineStr">
        <is>
          <t>İtirazı yüksek sesle yaptın, hâkimin kalemi masadan düştü. Hâkim kalemi aldı, sana uyarı yazdı.</t>
        </is>
      </c>
      <c r="T1863" t="inlineStr">
        <is>
          <t>Kuralı Koyan</t>
        </is>
      </c>
    </row>
    <row r="1864">
      <c r="A1864" t="inlineStr">
        <is>
          <t>b7-avukat-tahsilat</t>
        </is>
      </c>
      <c r="B1864" t="n">
        <v>1</v>
      </c>
      <c r="C1864" t="inlineStr">
        <is>
          <t>Nazik bir hatırlatma yaz</t>
        </is>
      </c>
      <c r="F1864" t="inlineStr">
        <is>
          <t>Gönül +1, Çene +1</t>
        </is>
      </c>
      <c r="G1864" t="inlineStr">
        <is>
          <t>Mektubu üç kere yeniden yazdın, “Ücretiniz” kelimesini iki kez sildin. Müvekkil pastayı bir daha getirdi.</t>
        </is>
      </c>
    </row>
    <row r="1865">
      <c r="A1865" t="inlineStr">
        <is>
          <t>b7-avukat-tahsilat</t>
        </is>
      </c>
      <c r="B1865" t="n">
        <v>2</v>
      </c>
      <c r="C1865" t="inlineStr">
        <is>
          <t>Müvekkille yüz yüze konuş</t>
        </is>
      </c>
      <c r="D1865" t="inlineStr">
        <is>
          <t>Gönül</t>
        </is>
      </c>
      <c r="E1865" t="inlineStr">
        <is>
          <t>Orta</t>
        </is>
      </c>
      <c r="H1865" t="inlineStr">
        <is>
          <t>Müvekkil yüzünü buruşturdu, çekmeceden bir zarf çıkardı. İçinde nakit değil, ödeme takvimi vardı.</t>
        </is>
      </c>
      <c r="I1865" t="inlineStr">
        <is>
          <t>Müvekkil “Siz olmasanız…” dedi ve peşin ödedi. Pastayı yine bıraktı, ama bu kez fazlası vardı.</t>
        </is>
      </c>
      <c r="J1865" t="inlineStr">
        <is>
          <t>Müvekkil “Haftaya” dedi. Hafta geldi, müvekkil de haftaya demeye başladı.</t>
        </is>
      </c>
      <c r="K1865" t="inlineStr">
        <is>
          <t>Konuşmayı pastanın üstünde yaptın. Müvekkil pastaya baktı, “Ücret mi istiyorsunuz?” dedi.</t>
        </is>
      </c>
    </row>
    <row r="1866">
      <c r="A1866" t="inlineStr">
        <is>
          <t>b7-avukat-tahsilat</t>
        </is>
      </c>
      <c r="B1866" t="n">
        <v>3</v>
      </c>
      <c r="C1866" t="inlineStr">
        <is>
          <t>Ücreti ihtarla iste</t>
        </is>
      </c>
      <c r="D1866" t="inlineStr">
        <is>
          <t>Cesaret</t>
        </is>
      </c>
      <c r="E1866" t="inlineStr">
        <is>
          <t>Zor</t>
        </is>
      </c>
      <c r="H1866" t="inlineStr">
        <is>
          <t>İhtar gitti. Müvekkil ertesi sabah büroya geldi, ücretle birlikte, bir de özürle. Pasta olmadı.</t>
        </is>
      </c>
      <c r="I1866" t="inlineStr">
        <is>
          <t>İhtar ulaşınca müvekkil arayıp “Ben sizi unutmuşum” dedi. Ödeme aynı gün geldi, faiziyle.</t>
        </is>
      </c>
      <c r="J1866" t="inlineStr">
        <is>
          <t>İhtar ulaştı ama müvekkil taşınmıştı. Bir sonraki dava onun mahalle muhtarına açıldı.</t>
        </is>
      </c>
      <c r="K1866" t="inlineStr">
        <is>
          <t>İhtarı yanlış müvekkile gönderdin. Karşı taraf ücreti ödedi, ne için ödediğini hâlâ merak ediyor.</t>
        </is>
      </c>
      <c r="AL1866" t="n">
        <v>1</v>
      </c>
    </row>
    <row r="1867">
      <c r="A1867" t="inlineStr">
        <is>
          <t>b8-avukat-ortaklik</t>
        </is>
      </c>
      <c r="B1867" t="n">
        <v>1</v>
      </c>
      <c r="C1867" t="inlineStr">
        <is>
          <t>Teşekkür et, yoluna devam et</t>
        </is>
      </c>
      <c r="F1867" t="inlineStr">
        <is>
          <t>İtibar +1, Dayanıklılık +1</t>
        </is>
      </c>
      <c r="G1867" t="inlineStr">
        <is>
          <t>Teklifi nazikçe reddettin. Ortak anahtarı cebine koydu, tabelayı sana bıraktı. Tabela hâlâ duvarda, sen de.</t>
        </is>
      </c>
    </row>
    <row r="1868">
      <c r="A1868" t="inlineStr">
        <is>
          <t>b8-avukat-ortaklik</t>
        </is>
      </c>
      <c r="B1868" t="n">
        <v>2</v>
      </c>
      <c r="C1868" t="inlineStr">
        <is>
          <t>Ortaklığı kabul et, adı koru</t>
        </is>
      </c>
      <c r="D1868" t="inlineStr">
        <is>
          <t>Akıl</t>
        </is>
      </c>
      <c r="E1868" t="inlineStr">
        <is>
          <t>Zor</t>
        </is>
      </c>
      <c r="H1868" t="inlineStr">
        <is>
          <t>İmzayı attın. Tabelaya senin adın da eklendi. Eski müvekkiller telefonla “Hâlâ siz misiniz?” diye soruyor.</t>
        </is>
      </c>
      <c r="I1868" t="inlineStr">
        <is>
          <t>Ortaklık sözleşmesi tek sayfada bitti. Kıdemli ortak imzayı atınca senin eline sarıldı. Gözleri doldu, tabela da.</t>
        </is>
      </c>
      <c r="J1868" t="inlineStr">
        <is>
          <t>Sözleşmedeki borç maddesini geç okudun. Büronun kirası ilk ay senin hesabına yazıldı.</t>
        </is>
      </c>
      <c r="K1868" t="inlineStr">
        <is>
          <t>Tabelayı astırırken eski ortağın adını yanlış yazdırdın. Müvekkiller büronun sahibi ölmüş sandı.</t>
        </is>
      </c>
      <c r="V1868" t="inlineStr">
        <is>
          <t>avukat-ortak</t>
        </is>
      </c>
      <c r="AD1868" t="inlineStr">
        <is>
          <t>Rahat</t>
        </is>
      </c>
      <c r="AL1868" t="n">
        <v>1</v>
      </c>
    </row>
    <row r="1869">
      <c r="A1869" t="inlineStr">
        <is>
          <t>b8-avukat-ortaklik</t>
        </is>
      </c>
      <c r="B1869" t="n">
        <v>3</v>
      </c>
      <c r="C1869" t="inlineStr">
        <is>
          <t>Kendi büronu aç</t>
        </is>
      </c>
      <c r="D1869" t="inlineStr">
        <is>
          <t>Cesaret</t>
        </is>
      </c>
      <c r="E1869" t="inlineStr">
        <is>
          <t>Zor</t>
        </is>
      </c>
      <c r="H1869" t="inlineStr">
        <is>
          <t>Küçük bir daire, bir masa, bir tabela. İlk gün telefon hiç çalmadı. İkinci gün yanlış numara aradı. Üçüncü gün müvekkil.</t>
        </is>
      </c>
      <c r="I1869" t="inlineStr">
        <is>
          <t>Eski müvekkillerin yarısı seninle geldi. Kıdemli ortak kapı eşiğinde durdu: “Bana da bir randevu verir misin?”</t>
        </is>
      </c>
      <c r="J1869" t="inlineStr">
        <is>
          <t>Kira ilk ay gelmedi, ikinci ay müvekkil gelmedi. Daireyi kapatıp eski büroya döndün, tabelayı yanına aldın.</t>
        </is>
      </c>
      <c r="K1869" t="inlineStr">
        <is>
          <t>Tabelayı balkona astın. Komşu şikâyet etti. Müvekkil gelmeden önce kapıyı belediye çaldı.</t>
        </is>
      </c>
      <c r="AC1869" t="inlineStr">
        <is>
          <t>Orta</t>
        </is>
      </c>
      <c r="AD1869" t="inlineStr">
        <is>
          <t>Rahat</t>
        </is>
      </c>
      <c r="AL1869" t="n">
        <v>1</v>
      </c>
    </row>
    <row r="1870">
      <c r="A1870" t="inlineStr">
        <is>
          <t>b8-avukat-baro</t>
        </is>
      </c>
      <c r="B1870" t="n">
        <v>1</v>
      </c>
      <c r="C1870" t="inlineStr">
        <is>
          <t>Oyunu kullan, evine dön</t>
        </is>
      </c>
      <c r="F1870" t="inlineStr">
        <is>
          <t>Dayanıklılık +1</t>
        </is>
      </c>
      <c r="G1870" t="inlineStr">
        <is>
          <t>Oyunu kullandın. Sandıkta kazanan senin adayın değildi. Büroda ertesi gün kimse yenilginin adını anmadı.</t>
        </is>
      </c>
    </row>
    <row r="1871">
      <c r="A1871" t="inlineStr">
        <is>
          <t>b8-avukat-baro</t>
        </is>
      </c>
      <c r="B1871" t="n">
        <v>2</v>
      </c>
      <c r="C1871" t="inlineStr">
        <is>
          <t>Aday ol</t>
        </is>
      </c>
      <c r="D1871" t="inlineStr">
        <is>
          <t>İtibar</t>
        </is>
      </c>
      <c r="E1871" t="inlineStr">
        <is>
          <t>Zor</t>
        </is>
      </c>
      <c r="H1871" t="inlineStr">
        <is>
          <t>Aday oldun, bildirini üç gecede yazdın. Seçim akşamı adın bir listede çıktı. Bu da bir başlangıç.</t>
        </is>
      </c>
      <c r="I1871" t="inlineStr">
        <is>
          <t>Sandık açıldı, kâğıtlar saydı, adın ilk sırada. Meslektaşların alkışında bir tanesi telefonuyla oyalanıyordu.</t>
        </is>
      </c>
      <c r="J1871" t="inlineStr">
        <is>
          <t>Oy kazanamadın. Rakibin bildirisinden bir cümle çalmıştın. Rakip bunu fark etti, çaldığın cümle kazandı.</t>
        </is>
      </c>
      <c r="K1871" t="inlineStr">
        <is>
          <t>Konuşma sırasında mikrofonu kapatmayı unuttun. Meslektaşların yarısı sizin dedikoduyu da dinledi.</t>
        </is>
      </c>
      <c r="V1871" t="inlineStr">
        <is>
          <t>avukat-baro</t>
        </is>
      </c>
      <c r="AH1871" t="inlineStr">
        <is>
          <t>İtibar 33</t>
        </is>
      </c>
    </row>
    <row r="1872">
      <c r="A1872" t="inlineStr">
        <is>
          <t>b8-avukat-baro</t>
        </is>
      </c>
      <c r="B1872" t="n">
        <v>3</v>
      </c>
      <c r="C1872" t="inlineStr">
        <is>
          <t>Adayın bildirisini yaz</t>
        </is>
      </c>
      <c r="D1872" t="inlineStr">
        <is>
          <t>Çene</t>
        </is>
      </c>
      <c r="E1872" t="inlineStr">
        <is>
          <t>Orta</t>
        </is>
      </c>
      <c r="H1872" t="inlineStr">
        <is>
          <t>Bildiriyi yazdın. Aday seçildi. Teşekkür mesajında “Sizin yazdığınız cümleler” diye bir not vardı. Not sende kaldı.</t>
        </is>
      </c>
      <c r="I1872" t="inlineStr">
        <is>
          <t>Bildiri öyle okundu ki aday seçimden önce kazanmış sayıldı. Aday sana “Bir öğle yemeği borcum var” dedi. Borç hâlâ duruyor.</t>
        </is>
      </c>
      <c r="J1872" t="inlineStr">
        <is>
          <t>Bildiri çok uzundu. Aday ikinci sayfada başka bir yere baktı, seçmen de.</t>
        </is>
      </c>
      <c r="K1872" t="inlineStr">
        <is>
          <t>Bildirideki “sesi olacağız” cümlesini üç kez yazmışsın. Aday üçünü de okudu, salon güldü.</t>
        </is>
      </c>
    </row>
    <row r="1873">
      <c r="A1873" t="inlineStr">
        <is>
          <t>b9-avukat-son-dava</t>
        </is>
      </c>
      <c r="B1873" t="n">
        <v>1</v>
      </c>
      <c r="C1873" t="inlineStr">
        <is>
          <t>Davayı dürüstçe bitir</t>
        </is>
      </c>
      <c r="F1873" t="inlineStr">
        <is>
          <t>İtibar +1, Gönül +1</t>
        </is>
      </c>
      <c r="G1873" t="inlineStr">
        <is>
          <t>Davayı sadece olanla savundun. Hâkim kararı okurken gözlüğünü çıkardı. Otuz yıl önceki kararı hatırladı.</t>
        </is>
      </c>
    </row>
    <row r="1874">
      <c r="A1874" t="inlineStr">
        <is>
          <t>b9-avukat-son-dava</t>
        </is>
      </c>
      <c r="B1874" t="n">
        <v>2</v>
      </c>
      <c r="C1874" t="inlineStr">
        <is>
          <t>Son savunmanı yap</t>
        </is>
      </c>
      <c r="D1874" t="inlineStr">
        <is>
          <t>Çene</t>
        </is>
      </c>
      <c r="E1874" t="inlineStr">
        <is>
          <t>Zor</t>
        </is>
      </c>
      <c r="H1874" t="inlineStr">
        <is>
          <t>Son savunmanı yaptın. Salonda genç avukatlar not tuttu. Notlar bu kez dosyaya değil, hayata gitti.</t>
        </is>
      </c>
      <c r="I1874" t="inlineStr">
        <is>
          <t>Savunma bitince salon alkışladı. Hâkim “Duruşma düzenini bozmayın” dedi, kendisi de bozdu.</t>
        </is>
      </c>
      <c r="J1874" t="inlineStr">
        <is>
          <t>Savunmayı yarıda bıraktın. Müvekkil cevizi çıkardı, hâkime uzattı: “Biraz sakinleşsin.”</t>
        </is>
      </c>
      <c r="K1874" t="inlineStr">
        <is>
          <t>Savunmayı önceki davanın dosyasından okudun. Hâkim “Bu dava geçen yıl bitmişti” dedi. Sen de oturdun.</t>
        </is>
      </c>
    </row>
    <row r="1875">
      <c r="A1875" t="inlineStr">
        <is>
          <t>b9-avukat-son-dava</t>
        </is>
      </c>
      <c r="B1875" t="n">
        <v>3</v>
      </c>
      <c r="C1875" t="inlineStr">
        <is>
          <t>Davayı genç meslektaşa devret</t>
        </is>
      </c>
      <c r="D1875" t="inlineStr">
        <is>
          <t>Gönül</t>
        </is>
      </c>
      <c r="E1875" t="inlineStr">
        <is>
          <t>Kolay</t>
        </is>
      </c>
      <c r="H1875" t="inlineStr">
        <is>
          <t>Dosyayı genç avukata verdin. Genç, kolinin ağırlığını fark etmedi. İlk yıl böyledir.</t>
        </is>
      </c>
      <c r="I1875" t="inlineStr">
        <is>
          <t>Genç avukat davayı kazandı, arkasını dönüp sana baktı. Sen koridorda çoktan bastonunu bulmuştun.</t>
        </is>
      </c>
      <c r="J1875" t="inlineStr">
        <is>
          <t>Genç avukat dosyayı yanlış kolide bıraktı. Sen dosyayı tek başına buldun. Emeklilik iki hafta ertelendi.</t>
        </is>
      </c>
      <c r="K1875" t="inlineStr">
        <is>
          <t>Dosyayı devrederken müvekkilin cevizini de genç avukata verdin. Genç avukat cevizi yedi.</t>
        </is>
      </c>
    </row>
    <row r="1876">
      <c r="A1876" t="inlineStr">
        <is>
          <t>k10-avukat</t>
        </is>
      </c>
      <c r="B1876" t="n">
        <v>1</v>
      </c>
      <c r="C1876" t="inlineStr">
        <is>
          <t>Davayı sonuna kadar götür</t>
        </is>
      </c>
      <c r="F1876" t="inlineStr">
        <is>
          <t>Akıl +1, İtibar +1</t>
        </is>
      </c>
      <c r="G1876" t="inlineStr">
        <is>
          <t>Davayı sonuna kadar götürdün. Şirket kararı temyize taşıdı. Büro iki yıl daha aynı duvarda kaldı, sen de aynı koltukta.</t>
        </is>
      </c>
    </row>
    <row r="1877">
      <c r="A1877" t="inlineStr">
        <is>
          <t>k10-avukat</t>
        </is>
      </c>
      <c r="B1877" t="n">
        <v>2</v>
      </c>
      <c r="C1877" t="inlineStr">
        <is>
          <t>Anlaşmayı kabul et, büro büyüsün</t>
        </is>
      </c>
      <c r="D1877" t="inlineStr">
        <is>
          <t>Kurnazlık</t>
        </is>
      </c>
      <c r="E1877" t="inlineStr">
        <is>
          <t>Zor</t>
        </is>
      </c>
      <c r="H1877" t="inlineStr">
        <is>
          <t>Anlaşma imzalandı. Büro bir kat büyüdü, tabela da. Müvekkil ücreti ödedi, ama bu davayı birkaç yıl anlatamayacaksın.</t>
        </is>
      </c>
      <c r="I1877" t="inlineStr">
        <is>
          <t>Şirket seni sürekli danışman yaptı. Büro yeni katına taşındı, eski masa hâlâ dolapta duruyor.</t>
        </is>
      </c>
      <c r="J1877" t="inlineStr">
        <is>
          <t>Anlaşma maddelerinden biri sana ters çıktı. Şirket “Bu madde sizin için” dedi, sen de gülümsedin.</t>
        </is>
      </c>
      <c r="K1877" t="inlineStr">
        <is>
          <t>Teklif sayfasını yanlış kişiye imzalattın. Şirket seni basına “Anlaşma isteyen avukat” diye verdi.</t>
        </is>
      </c>
      <c r="V1877" t="inlineStr">
        <is>
          <t>avukat-ortak</t>
        </is>
      </c>
      <c r="AD1877" t="inlineStr">
        <is>
          <t>Rahat</t>
        </is>
      </c>
      <c r="AL1877" t="n">
        <v>1</v>
      </c>
    </row>
    <row r="1878">
      <c r="A1878" t="inlineStr">
        <is>
          <t>k10-avukat</t>
        </is>
      </c>
      <c r="B1878" t="n">
        <v>3</v>
      </c>
      <c r="C1878" t="inlineStr">
        <is>
          <t>Şirketin hukuk müşavirliğine geç</t>
        </is>
      </c>
      <c r="D1878" t="inlineStr">
        <is>
          <t>Çene</t>
        </is>
      </c>
      <c r="E1878" t="inlineStr">
        <is>
          <t>Orta</t>
        </is>
      </c>
      <c r="H1878" t="inlineStr">
        <is>
          <t>Şirket seni kadrosuna aldı. Masan geniş, dosyaların büyük. Duruşman yok ama maaşın var.</t>
        </is>
      </c>
      <c r="I1878" t="inlineStr">
        <is>
          <t>Genel müdür seni odasına çağırdı: “Hukuk müşaviri yok, siz varsınız.” Tabela değişti, maaş da.</t>
        </is>
      </c>
      <c r="J1878" t="inlineStr">
        <is>
          <t>Şirket teklifi geri çekti. Büroya döndün, tabela hâlâ asılıydı. Üzerinde biraz toz.</t>
        </is>
      </c>
      <c r="K1878" t="inlineStr">
        <is>
          <t>Mülakatta şirketin aleyhine bir dava hatırlattın. Genel müdür “O da bizdik” dedi. Teklif kalktı.</t>
        </is>
      </c>
      <c r="V1878" t="inlineStr">
        <is>
          <t>-hat-cete, -hat-dolandirici, -hat-girisimci, -hat-goc, -hat-hekim, -hat-koy, -hat-polis, -hat-politika, -hat-sohret, -hat-usta, -hat-yargi, -hat-avukat, -hat-muhendis, -hat-ogretmen, -meslek-esnaf, -meslek-memur, -meslek-serbest, meslek-beyazyaka</t>
        </is>
      </c>
      <c r="AD1878" t="inlineStr">
        <is>
          <t>Rahat</t>
        </is>
      </c>
    </row>
    <row r="1879">
      <c r="A1879" t="inlineStr">
        <is>
          <t>k10-avukat</t>
        </is>
      </c>
      <c r="B1879" t="n">
        <v>4</v>
      </c>
      <c r="C1879" t="inlineStr">
        <is>
          <t>Siyasete atıl</t>
        </is>
      </c>
      <c r="D1879" t="inlineStr">
        <is>
          <t>Çene</t>
        </is>
      </c>
      <c r="E1879" t="inlineStr">
        <is>
          <t>Zor</t>
        </is>
      </c>
      <c r="H1879" t="inlineStr">
        <is>
          <t>Davadan sonra bir parti seni aradı. Listenin sonuna yazılmıştın, ama sonlar da liste.</t>
        </is>
      </c>
      <c r="I1879" t="inlineStr">
        <is>
          <t>Dava seni ünlü yaptı. Parti listenin başına yazdı. Büro tabelası dolapta, naftalinle.</t>
        </is>
      </c>
      <c r="J1879" t="inlineStr">
        <is>
          <t>Parti seni aday yapmayı düşündü, bir anket yaptı, düşünmekten vazgeçti. Büro yerinde.</t>
        </is>
      </c>
      <c r="K1879" t="inlineStr">
        <is>
          <t>Adaylık konuşmanı adliye merdivenlerinde yaptın. Baro disiplin kurulu da dinledi. İki ay yasak.</t>
        </is>
      </c>
      <c r="V1879" t="inlineStr">
        <is>
          <t>-hat-cete, -hat-dolandirici, -hat-girisimci, -hat-goc, -hat-hekim, -hat-koy, -hat-polis, -hat-sohret, -hat-usta, -hat-yargi, -hat-avukat, -hat-muhendis, -hat-ogretmen, -meslek-esnaf, -meslek-serbest, -meslek-beyazyaka, hat-politika, meslek-memur</t>
        </is>
      </c>
      <c r="AH1879" t="inlineStr">
        <is>
          <t>Çene 42</t>
        </is>
      </c>
    </row>
    <row r="1880">
      <c r="A1880" t="inlineStr">
        <is>
          <t>b7-muhendis-saha</t>
        </is>
      </c>
      <c r="B1880" t="n">
        <v>1</v>
      </c>
      <c r="C1880" t="inlineStr">
        <is>
          <t>Ölçüleri baştan al</t>
        </is>
      </c>
      <c r="F1880" t="inlineStr">
        <is>
          <t>Akıl +1, Dayanıklılık +1</t>
        </is>
      </c>
      <c r="G1880" t="inlineStr">
        <is>
          <t>Ölçüleri yeniden aldın. Kolon çizimde doğruydu, sahada yanlış yere dökülmüş. Şef kolona baktı, kolon şefe baktı.</t>
        </is>
      </c>
    </row>
    <row r="1881">
      <c r="A1881" t="inlineStr">
        <is>
          <t>b7-muhendis-saha</t>
        </is>
      </c>
      <c r="B1881" t="n">
        <v>2</v>
      </c>
      <c r="C1881" t="inlineStr">
        <is>
          <t>Çizimi sahaya uydur</t>
        </is>
      </c>
      <c r="D1881" t="inlineStr">
        <is>
          <t>Akıl</t>
        </is>
      </c>
      <c r="E1881" t="inlineStr">
        <is>
          <t>Orta</t>
        </is>
      </c>
      <c r="H1881" t="inlineStr">
        <is>
          <t>Çizimi sahaya göre revize ettin. Kolon yeni yerinde durdu, çizim yeni yerinde durdu. Şef başını salladı.</t>
        </is>
      </c>
      <c r="I1881" t="inlineStr">
        <is>
          <t>Revizyon o kadar temiz çıktı ki müfettiş çizimin sahaya uyduğunu değil, sahanın çizime uyduğunu sandı.</t>
        </is>
      </c>
      <c r="J1881" t="inlineStr">
        <is>
          <t>Revizyon sahaya yetişmedi. Kolon yerinde, çizim hâlâ eski, şef ikisinin arasında.</t>
        </is>
      </c>
      <c r="K1881" t="inlineStr">
        <is>
          <t>Revizyonda kolonu çizimden sildin. Şantiye bir hafta kolonsuz çalıştı. Kimse fark etmedi, bina da.</t>
        </is>
      </c>
    </row>
    <row r="1882">
      <c r="A1882" t="inlineStr">
        <is>
          <t>b7-muhendis-saha</t>
        </is>
      </c>
      <c r="B1882" t="n">
        <v>3</v>
      </c>
      <c r="C1882" t="inlineStr">
        <is>
          <t>Şefle birlikte yeniden planla</t>
        </is>
      </c>
      <c r="D1882" t="inlineStr">
        <is>
          <t>Çene</t>
        </is>
      </c>
      <c r="E1882" t="inlineStr">
        <is>
          <t>Orta</t>
        </is>
      </c>
      <c r="H1882" t="inlineStr">
        <is>
          <t>Şefin çayını içtin, planı birlikte çizdiniz. Şef plana “Bizim plan” diye imza attı. Sen de imza attın.</t>
        </is>
      </c>
      <c r="I1882" t="inlineStr">
        <is>
          <t>Şef seni ekip toplantısında tanıttı: “Bu çocuk sahayı dinliyor.” Saha, bir an, gerçekten dinledi.</t>
        </is>
      </c>
      <c r="J1882" t="inlineStr">
        <is>
          <t>Şef planı beğenmedi, “Bizim zamanımızda böyle olmazdı” dedi. Zamanları kimse çizmemişti.</t>
        </is>
      </c>
      <c r="K1882" t="inlineStr">
        <is>
          <t>Planı anlatırken şefin çayını devirdin. Çizim çaya, çay çizime bulandı. Şef çizimi çerçeveletti.</t>
        </is>
      </c>
    </row>
    <row r="1883">
      <c r="A1883" t="inlineStr">
        <is>
          <t>b7-muhendis-hakedis</t>
        </is>
      </c>
      <c r="B1883" t="n">
        <v>1</v>
      </c>
      <c r="C1883" t="inlineStr">
        <is>
          <t>Raporu iki kez kontrol et</t>
        </is>
      </c>
      <c r="F1883" t="inlineStr">
        <is>
          <t>Akıl +1, Dayanıklılık +1</t>
        </is>
      </c>
      <c r="G1883" t="inlineStr">
        <is>
          <t>Raporu iki kez okudun. İkincisinde hata çıkmadı, üçüncüsünde müteahhit odaya girdi.</t>
        </is>
      </c>
    </row>
    <row r="1884">
      <c r="A1884" t="inlineStr">
        <is>
          <t>b7-muhendis-hakedis</t>
        </is>
      </c>
      <c r="B1884" t="n">
        <v>2</v>
      </c>
      <c r="C1884" t="inlineStr">
        <is>
          <t>Müteahhitle pazarlık et</t>
        </is>
      </c>
      <c r="D1884" t="inlineStr">
        <is>
          <t>Çene</t>
        </is>
      </c>
      <c r="E1884" t="inlineStr">
        <is>
          <t>Zor</t>
        </is>
      </c>
      <c r="H1884" t="inlineStr">
        <is>
          <t>Müteahhit iki kalemi çıkarmayı kabul etti. Pazarlık bitince çayı o ısmarladı. Çay da hesaba girdi.</t>
        </is>
      </c>
      <c r="I1884" t="inlineStr">
        <is>
          <t>Müteahhit rakamı kendi indirdi: “Sizinle çalışmak güzel.” Ertesi hafta davetiye geldi, yazlığa.</t>
        </is>
      </c>
      <c r="J1884" t="inlineStr">
        <is>
          <t>Pazarlıkta müteahhit rakamı yükseltti. Sen düşürdün, o yükseltti. Ay sonu ortada bir yerde kaldı.</t>
        </is>
      </c>
      <c r="K1884" t="inlineStr">
        <is>
          <t>Pazarlıkta fazla sert çıktın. Müteahhit işi bıraktı. Şantiye bir hafta hakedişsiz, bir hafta kepçesiz.</t>
        </is>
      </c>
    </row>
    <row r="1885">
      <c r="A1885" t="inlineStr">
        <is>
          <t>b7-muhendis-hakedis</t>
        </is>
      </c>
      <c r="B1885" t="n">
        <v>3</v>
      </c>
      <c r="C1885" t="inlineStr">
        <is>
          <t>Hatalı kalemi yakala</t>
        </is>
      </c>
      <c r="D1885" t="inlineStr">
        <is>
          <t>Akıl</t>
        </is>
      </c>
      <c r="E1885" t="inlineStr">
        <is>
          <t>Orta</t>
        </is>
      </c>
      <c r="H1885" t="inlineStr">
        <is>
          <t>Beton miktarı iki kez yazılmıştı. Müteahhit kalemi geri çekti. İkiniz de yüzünüze bakmadınız.</t>
        </is>
      </c>
      <c r="I1885" t="inlineStr">
        <is>
          <t>Hatalı kalemi yakaladığında rapor üç sayfa kısaldı. Şef raporu çerçevelettirmek istedi, sen izin vermedin.</t>
        </is>
      </c>
      <c r="J1885" t="inlineStr">
        <is>
          <t>Hatayı buldun ama kalem zaten ödenmişti. Müteahhit “Elimde makbuz var” dedi. Makbuz doğruydu.</t>
        </is>
      </c>
      <c r="K1885" t="inlineStr">
        <is>
          <t>Yanlış kalemi yakaladın. Doğru kalem de yanlış yazılmıştı. Rapor tamamen yeniden yazıldı.</t>
        </is>
      </c>
    </row>
    <row r="1886">
      <c r="A1886" t="inlineStr">
        <is>
          <t>b7-muhendis-teslim-gecesi</t>
        </is>
      </c>
      <c r="B1886" t="n">
        <v>1</v>
      </c>
      <c r="C1886" t="inlineStr">
        <is>
          <t>Pazartesiyi iste</t>
        </is>
      </c>
      <c r="F1886" t="inlineStr">
        <is>
          <t>Gönül +1, Dayanıklılık +1</t>
        </is>
      </c>
      <c r="G1886" t="inlineStr">
        <is>
          <t>Müşteriden bir gün istedin. Müşteri “Tamam” dedi, ardından sana ayrıca bir gün ekledi. Bu, bu işte nadir olan türden bir tamamdır.</t>
        </is>
      </c>
    </row>
    <row r="1887">
      <c r="A1887" t="inlineStr">
        <is>
          <t>b7-muhendis-teslim-gecesi</t>
        </is>
      </c>
      <c r="B1887" t="n">
        <v>2</v>
      </c>
      <c r="C1887" t="inlineStr">
        <is>
          <t>Ekibi motive et</t>
        </is>
      </c>
      <c r="D1887" t="inlineStr">
        <is>
          <t>Sosyal Radar</t>
        </is>
      </c>
      <c r="E1887" t="inlineStr">
        <is>
          <t>Orta</t>
        </is>
      </c>
      <c r="H1887" t="inlineStr">
        <is>
          <t>Pizza söyledin, sandalyeleri sıraladın. Gece dörtte projenin son sayfası çıktı. Pizza kutuları çizimin yanında dizili duruyor.</t>
        </is>
      </c>
      <c r="I1887" t="inlineStr">
        <is>
          <t>Ekip sabaha kadar seninle kaldı. Teslim saatinde sen uyudun, onlar uyandırdı. Proje, sen uyurken kabul edildi.</t>
        </is>
      </c>
      <c r="J1887" t="inlineStr">
        <is>
          <t>Motivasyon konuşmanı yaptın. Ekip dinledi, bitirdi, eve gitti. Proje masada kaldı.</t>
        </is>
      </c>
      <c r="K1887" t="inlineStr">
        <is>
          <t>Motivasyon için yüksek sesle müzik açtın. Müdür katta, haber verdi. Gece sessizce bitti.</t>
        </is>
      </c>
    </row>
    <row r="1888">
      <c r="A1888" t="inlineStr">
        <is>
          <t>b7-muhendis-teslim-gecesi</t>
        </is>
      </c>
      <c r="B1888" t="n">
        <v>3</v>
      </c>
      <c r="C1888" t="inlineStr">
        <is>
          <t>Son gece değişikliğini reddet</t>
        </is>
      </c>
      <c r="D1888" t="inlineStr">
        <is>
          <t>Cesaret</t>
        </is>
      </c>
      <c r="E1888" t="inlineStr">
        <is>
          <t>Zor</t>
        </is>
      </c>
      <c r="H1888" t="inlineStr">
        <is>
          <t>Müşteri son anda yeni bir pencere istedi. Hayır dedin. Müşteri hayranlıkla başını salladı. Pencere gelecek ay.</t>
        </is>
      </c>
      <c r="I1888" t="inlineStr">
        <is>
          <t>“Hayır” dediğin için müşteri sana ödül verdi: “Bu işin sorumlusu olan insana ihtiyacımız vardı.” Ödül bir saatti.</t>
        </is>
      </c>
      <c r="J1888" t="inlineStr">
        <is>
          <t>Hayır dedin. Müşteri müdürü aradı. Müdür seni aradı. Pencere eklendi.</t>
        </is>
      </c>
      <c r="K1888" t="inlineStr">
        <is>
          <t>Pencereyi reddederken “Mimar mısınız siz?” dedin. Müşteri mimar çıktı.</t>
        </is>
      </c>
    </row>
    <row r="1889">
      <c r="A1889" t="inlineStr">
        <is>
          <t>b8-muhendis-revizyon</t>
        </is>
      </c>
      <c r="B1889" t="n">
        <v>1</v>
      </c>
      <c r="C1889" t="inlineStr">
        <is>
          <t>Revizyonu kabul et</t>
        </is>
      </c>
      <c r="F1889" t="inlineStr">
        <is>
          <t>Dayanıklılık +1</t>
        </is>
      </c>
      <c r="G1889" t="inlineStr">
        <is>
          <t>Revizyonu kabul ettin. Çizimde bir asansör, sahada bir kuyu ve aradaki fark senin sabrın.</t>
        </is>
      </c>
    </row>
    <row r="1890">
      <c r="A1890" t="inlineStr">
        <is>
          <t>b8-muhendis-revizyon</t>
        </is>
      </c>
      <c r="B1890" t="n">
        <v>2</v>
      </c>
      <c r="C1890" t="inlineStr">
        <is>
          <t>Müşteriyi ikna et</t>
        </is>
      </c>
      <c r="D1890" t="inlineStr">
        <is>
          <t>Çene</t>
        </is>
      </c>
      <c r="E1890" t="inlineStr">
        <is>
          <t>Zor</t>
        </is>
      </c>
      <c r="H1890" t="inlineStr">
        <is>
          <t>Müşteriyi maket başına aldın, merdiveni gösterdin. Müşteri “Bu da güzel” dedi. Revizyon on dörtte kaldı.</t>
        </is>
      </c>
      <c r="I1890" t="inlineStr">
        <is>
          <t>Müşteri merdivene çıktı, dönüşte “Asansör gerekmiyormuş” dedi. Merdivenin süs olarak kalması kabul edildi.</t>
        </is>
      </c>
      <c r="J1890" t="inlineStr">
        <is>
          <t>Müşteri ikna olmadı, asansör ısrarını sürdürdü. Sen kuyuyu tarif ettin, o göz kırptı.</t>
        </is>
      </c>
      <c r="K1890" t="inlineStr">
        <is>
          <t>Müşteriye “Kuyu kazılamıyor” dedin. Müşteri “Kazın o zaman” dedi. Kuyu kazıldı, bütçe battı.</t>
        </is>
      </c>
      <c r="AL1890" t="n">
        <v>1</v>
      </c>
    </row>
    <row r="1891">
      <c r="A1891" t="inlineStr">
        <is>
          <t>b8-muhendis-revizyon</t>
        </is>
      </c>
      <c r="B1891" t="n">
        <v>3</v>
      </c>
      <c r="C1891" t="inlineStr">
        <is>
          <t>Tasarıma kilit koy</t>
        </is>
      </c>
      <c r="D1891" t="inlineStr">
        <is>
          <t>Kurnazlık</t>
        </is>
      </c>
      <c r="E1891" t="inlineStr">
        <is>
          <t>Orta</t>
        </is>
      </c>
      <c r="H1891" t="inlineStr">
        <is>
          <t>Tasarım dosyasını kilitledin, değişiklikler imza istedi. Müşteri imza atmaya üşendi, revizyon kendi kendine bitti.</t>
        </is>
      </c>
      <c r="I1891" t="inlineStr">
        <is>
          <t>Kilit öyle çalıştı ki müşteri yeni revizyonu e-posta yerine mektupla gönderdi. Mektup postada kayboldu.</t>
        </is>
      </c>
      <c r="J1891" t="inlineStr">
        <is>
          <t>Kilidi koydun ama şifreyi dosyanın adına yazdın. Müşteri kilidi bir dakikada açtı.</t>
        </is>
      </c>
      <c r="K1891" t="inlineStr">
        <is>
          <t>Kilidi koyarken kendi şifreni unuttun. Tasarım iki gün kimse tarafından açılamadı.</t>
        </is>
      </c>
    </row>
    <row r="1892">
      <c r="A1892" t="inlineStr">
        <is>
          <t>b8-muhendis-mudur</t>
        </is>
      </c>
      <c r="B1892" t="n">
        <v>1</v>
      </c>
      <c r="C1892" t="inlineStr">
        <is>
          <t>Sahada kalmayı seç</t>
        </is>
      </c>
      <c r="F1892" t="inlineStr">
        <is>
          <t>Dayanıklılık +1, İtibar +1</t>
        </is>
      </c>
      <c r="G1892" t="inlineStr">
        <is>
          <t>Müdürlüğü reddettin. Sahip anahtarı geri aldı, kartı sana bıraktı. Kartın üstünde “Saha mühendisi” yazıyor. Dürüst bir kart.</t>
        </is>
      </c>
    </row>
    <row r="1893">
      <c r="A1893" t="inlineStr">
        <is>
          <t>b8-muhendis-mudur</t>
        </is>
      </c>
      <c r="B1893" t="n">
        <v>2</v>
      </c>
      <c r="C1893" t="inlineStr">
        <is>
          <t>Müdürlüğü kabul et</t>
        </is>
      </c>
      <c r="D1893" t="inlineStr">
        <is>
          <t>Akıl</t>
        </is>
      </c>
      <c r="E1893" t="inlineStr">
        <is>
          <t>Orta</t>
        </is>
      </c>
      <c r="H1893" t="inlineStr">
        <is>
          <t>Müdürlüğü aldın. Odan geniş, toplantın çok, şantiye uzakta. Telefon gece kapanmadı.</t>
        </is>
      </c>
      <c r="I1893" t="inlineStr">
        <is>
          <t>Müdürlüğünün ilk ayında üç projeyi birden teslim ettin. Sahip anahtarı ikinci kez uzattı: bu kez araba anahtarıydı.</t>
        </is>
      </c>
      <c r="J1893" t="inlineStr">
        <is>
          <t>Müdürlük çıktı ama ekip seni tanımadı. Eski arkadaşların “Müdür bey” dedi, sen çay ısmarladın.</t>
        </is>
      </c>
      <c r="K1893" t="inlineStr">
        <is>
          <t>Müdürlüğe ilk kararın yanlış projeyi onaylamak oldu. Sahip “Bu da bir karar” dedi. İkincisini daha uzun bekledi.</t>
        </is>
      </c>
      <c r="V1893" t="inlineStr">
        <is>
          <t>muhendis-mudur</t>
        </is>
      </c>
      <c r="AD1893" t="inlineStr">
        <is>
          <t>Rahat</t>
        </is>
      </c>
    </row>
    <row r="1894">
      <c r="A1894" t="inlineStr">
        <is>
          <t>b8-muhendis-mudur</t>
        </is>
      </c>
      <c r="B1894" t="n">
        <v>3</v>
      </c>
      <c r="C1894" t="inlineStr">
        <is>
          <t>Kendi firmanı kur</t>
        </is>
      </c>
      <c r="D1894" t="inlineStr">
        <is>
          <t>Cesaret</t>
        </is>
      </c>
      <c r="E1894" t="inlineStr">
        <is>
          <t>Zor</t>
        </is>
      </c>
      <c r="H1894" t="inlineStr">
        <is>
          <t>Küçük bir ofis, üç çizim masası, bir tabela. İlk iş bir bahçe duvarı. Duvar sağlam, gurur daha sağlam.</t>
        </is>
      </c>
      <c r="I1894" t="inlineStr">
        <is>
          <t>Firma ilk yıl kâr etti. Eski firmanın sahibi tebrik arayıp “Bana da proje var mı?” diye sordu.</t>
        </is>
      </c>
      <c r="J1894" t="inlineStr">
        <is>
          <t>Firma kuruldu ama proje gelmedi. Ofisin kirası geldi. Tabela duvarda, sen sandalyede.</t>
        </is>
      </c>
      <c r="K1894" t="inlineStr">
        <is>
          <t>Firmanın adını yanlış tescil ettirdin. Tabela, kartvizit ve kaşe hepsi yeniden yapıldı. Bütçe yeniden yapılmadı.</t>
        </is>
      </c>
      <c r="V1894" t="inlineStr">
        <is>
          <t>muhendis-firma</t>
        </is>
      </c>
      <c r="AC1894" t="inlineStr">
        <is>
          <t>Orta</t>
        </is>
      </c>
      <c r="AD1894" t="inlineStr">
        <is>
          <t>Rahat</t>
        </is>
      </c>
      <c r="AL1894" t="n">
        <v>1</v>
      </c>
    </row>
    <row r="1895">
      <c r="A1895" t="inlineStr">
        <is>
          <t>b9-muhendis-son-proje</t>
        </is>
      </c>
      <c r="B1895" t="n">
        <v>1</v>
      </c>
      <c r="C1895" t="inlineStr">
        <is>
          <t>Köprüyü eski haliyle onar</t>
        </is>
      </c>
      <c r="F1895" t="inlineStr">
        <is>
          <t>Gönül +1, İtibar +1</t>
        </is>
      </c>
      <c r="G1895" t="inlineStr">
        <is>
          <t>Köprüyü eski haliyle onardın. Mahalleli tören yaptı, sen arkadan baktın. Köprünün altından geçen dere de başını eğdi.</t>
        </is>
      </c>
    </row>
    <row r="1896">
      <c r="A1896" t="inlineStr">
        <is>
          <t>b9-muhendis-son-proje</t>
        </is>
      </c>
      <c r="B1896" t="n">
        <v>2</v>
      </c>
      <c r="C1896" t="inlineStr">
        <is>
          <t>Ölçü defterini projeye kat</t>
        </is>
      </c>
      <c r="D1896" t="inlineStr">
        <is>
          <t>Akıl</t>
        </is>
      </c>
      <c r="E1896" t="inlineStr">
        <is>
          <t>Orta</t>
        </is>
      </c>
      <c r="H1896" t="inlineStr">
        <is>
          <t>Defterdeki otuz yıllık ölçüler tuttu. Genç mühendisler hayretle baktı, defter bir ders kitabına çıktı.</t>
        </is>
      </c>
      <c r="I1896" t="inlineStr">
        <is>
          <t>Defter ödül aldı. Ödülü sen almadın, defter aldı. Defter bu işin kahramanı oldu.</t>
        </is>
      </c>
      <c r="J1896" t="inlineStr">
        <is>
          <t>Defterdeki ölçüler artık tutmuyordu. Köprü kayıp, defter kayıp, sen de bir dakika kayıp.</t>
        </is>
      </c>
      <c r="K1896" t="inlineStr">
        <is>
          <t>Defteri projeye eklerken sayfalar dağıldı. Genç mühendisler sayfaları toplarken otuz yılı sırayla bulmaya çalıştı.</t>
        </is>
      </c>
    </row>
    <row r="1897">
      <c r="A1897" t="inlineStr">
        <is>
          <t>b9-muhendis-son-proje</t>
        </is>
      </c>
      <c r="B1897" t="n">
        <v>3</v>
      </c>
      <c r="C1897" t="inlineStr">
        <is>
          <t>Genç mühendise bırak</t>
        </is>
      </c>
      <c r="D1897" t="inlineStr">
        <is>
          <t>Gönül</t>
        </is>
      </c>
      <c r="E1897" t="inlineStr">
        <is>
          <t>Kolay</t>
        </is>
      </c>
      <c r="H1897" t="inlineStr">
        <is>
          <t>Projeyi genç mühendise verdin. Genç mühendis köprüyü başka açıdan çizdi. Sen güldün, çünkü açı doğruydu.</t>
        </is>
      </c>
      <c r="I1897" t="inlineStr">
        <is>
          <t>Genç mühendis köprüyü bitirince ilk adımı seninle attı. Köprü sallanmadı, sen sallandın.</t>
        </is>
      </c>
      <c r="J1897" t="inlineStr">
        <is>
          <t>Genç mühendis hata yaptı, sen düzelttin. İkiniz de hatayı ilk siz bulduğunuzu söylediniz.</t>
        </is>
      </c>
      <c r="K1897" t="inlineStr">
        <is>
          <t>Genç mühendis projeyi senin adınla sundu. Tören sırasında herkes sana teşekkür etti. Sen de ona.</t>
        </is>
      </c>
    </row>
    <row r="1898">
      <c r="A1898" t="inlineStr">
        <is>
          <t>k10-muhendis</t>
        </is>
      </c>
      <c r="B1898" t="n">
        <v>1</v>
      </c>
      <c r="C1898" t="inlineStr">
        <is>
          <t>Hatayı bildir, teslimi ertele</t>
        </is>
      </c>
      <c r="F1898" t="inlineStr">
        <is>
          <t>Akıl +1, İtibar +1</t>
        </is>
      </c>
      <c r="G1898" t="inlineStr">
        <is>
          <t>Hatayı bildirdin. Teslim iki hafta ertelendi, sahip öfkelendi, sonra teşekkür etti. İkisi aynı akşam oldu.</t>
        </is>
      </c>
    </row>
    <row r="1899">
      <c r="A1899" t="inlineStr">
        <is>
          <t>k10-muhendis</t>
        </is>
      </c>
      <c r="B1899" t="n">
        <v>2</v>
      </c>
      <c r="C1899" t="inlineStr">
        <is>
          <t>Hatayı sessizce düzelt</t>
        </is>
      </c>
      <c r="D1899" t="inlineStr">
        <is>
          <t>Kurnazlık</t>
        </is>
      </c>
      <c r="E1899" t="inlineStr">
        <is>
          <t>Zor</t>
        </is>
      </c>
      <c r="H1899" t="inlineStr">
        <is>
          <t>Hatayı gece düzelttin. Teslim zamanında yapıldı. Kimse bir şey öğrenmedi, bina bile.</t>
        </is>
      </c>
      <c r="I1899" t="inlineStr">
        <is>
          <t>Hata düzeldi, teslim erken bitti. Sahip sana ikramiye verdi: neden verdiğini sormadan.</t>
        </is>
      </c>
      <c r="J1899" t="inlineStr">
        <is>
          <t>Düzeltme eksik kaldı. Teslimden sonra bir denetçi aynı yerde durup uzun uzun baktı.</t>
        </is>
      </c>
      <c r="K1899" t="inlineStr">
        <is>
          <t>Düzeltmeyi yaparken hatayı çoğalttın. Denetçi raporunu üç sayfaya çıkardı. Soruşturma açıldı.</t>
        </is>
      </c>
      <c r="V1899" t="inlineStr">
        <is>
          <t>muhendis-mudur</t>
        </is>
      </c>
      <c r="AB1899" t="inlineStr">
        <is>
          <t>hapis</t>
        </is>
      </c>
      <c r="AD1899" t="inlineStr">
        <is>
          <t>Rahat</t>
        </is>
      </c>
    </row>
    <row r="1900">
      <c r="A1900" t="inlineStr">
        <is>
          <t>k10-muhendis</t>
        </is>
      </c>
      <c r="B1900" t="n">
        <v>3</v>
      </c>
      <c r="C1900" t="inlineStr">
        <is>
          <t>Kendi firmanı kur</t>
        </is>
      </c>
      <c r="D1900" t="inlineStr">
        <is>
          <t>Cesaret</t>
        </is>
      </c>
      <c r="E1900" t="inlineStr">
        <is>
          <t>Zor</t>
        </is>
      </c>
      <c r="H1900" t="inlineStr">
        <is>
          <t>Projeyi bitirip istifa ettin. Kendi firmanı kurdun. İlk müşteri bir bahçe duvarı istedi. Duvar sağlam.</t>
        </is>
      </c>
      <c r="I1900" t="inlineStr">
        <is>
          <t>Eski sahibin ilk müşterin oldu: “Bu işi sana bırakıyorum.” Firma ilk yıl iki katına çıktı.</t>
        </is>
      </c>
      <c r="J1900" t="inlineStr">
        <is>
          <t>Firmayı kurdun ama iş gelmedi. Kira geldi. Eski firma seni geri aldı, tabela dolapta.</t>
        </is>
      </c>
      <c r="K1900" t="inlineStr">
        <is>
          <t>Firmayı bir ayda kapattın. Bina kapısındaki tabela hâlâ asılı, firma değil.</t>
        </is>
      </c>
      <c r="V1900" t="inlineStr">
        <is>
          <t>-hat-cete, -hat-dolandirici, -hat-goc, -hat-hekim, -hat-koy, -hat-polis, -hat-politika, -hat-sohret, -hat-usta, -hat-yargi, -hat-avukat, -hat-muhendis, -hat-ogretmen, -meslek-esnaf, -meslek-memur, -meslek-beyazyaka, hat-girisimci, meslek-serbest</t>
        </is>
      </c>
      <c r="AC1900" t="inlineStr">
        <is>
          <t>Orta</t>
        </is>
      </c>
      <c r="AL1900" t="n">
        <v>1</v>
      </c>
    </row>
    <row r="1901">
      <c r="A1901" t="inlineStr">
        <is>
          <t>k10-muhendis</t>
        </is>
      </c>
      <c r="B1901" t="n">
        <v>4</v>
      </c>
      <c r="C1901" t="inlineStr">
        <is>
          <t>Yurt dışındaki projeye git</t>
        </is>
      </c>
      <c r="D1901" t="inlineStr">
        <is>
          <t>Akıl</t>
        </is>
      </c>
      <c r="E1901" t="inlineStr">
        <is>
          <t>Zor</t>
        </is>
      </c>
      <c r="H1901" t="inlineStr">
        <is>
          <t>Öte Diyar'daki bir projeye çağrıldın. Dil sınavı, vize, bavul. Bir yıl sonra yeni şehirde aynı çizim masasındasın.</t>
        </is>
      </c>
      <c r="I1901" t="inlineStr">
        <is>
          <t>Öte Diyar'daki firma seni ortak yaptı. İlk gün şehir seni tanımadı, ikinci gün çarşı tanıdı.</t>
        </is>
      </c>
      <c r="J1901" t="inlineStr">
        <is>
          <t>Vize çıkmadı. Proje başka birine gitti. Bavul açılmadan eve döndü.</t>
        </is>
      </c>
      <c r="K1901" t="inlineStr">
        <is>
          <t>Belgeleri yanlış ülkeye gönderdin. Başvuru komşu ülkenin projesine kayıt oldu.</t>
        </is>
      </c>
      <c r="V1901" t="inlineStr">
        <is>
          <t>-hat-cete, -hat-dolandirici, -hat-girisimci, -hat-hekim, -hat-koy, -hat-polis, -hat-politika, -hat-sohret, -hat-usta, -hat-yargi, -hat-avukat, -hat-muhendis, -hat-ogretmen, -meslek-esnaf, -meslek-memur, -meslek-serbest, hat-goc, meslek-beyazyaka</t>
        </is>
      </c>
    </row>
    <row r="1902">
      <c r="A1902" t="inlineStr">
        <is>
          <t>b7-ogretmen-ilk-sinif</t>
        </is>
      </c>
      <c r="B1902" t="n">
        <v>1</v>
      </c>
      <c r="C1902" t="inlineStr">
        <is>
          <t>Kuralları tahtaya yaz</t>
        </is>
      </c>
      <c r="F1902" t="inlineStr">
        <is>
          <t>Akıl +1, Dayanıklılık +1</t>
        </is>
      </c>
      <c r="G1902" t="inlineStr">
        <is>
          <t>Kuralları tahtaya yazdın. İlk kuralı ilk çocuk bozdu. İkincisi tahtadan düşüp silgiye karıştı.</t>
        </is>
      </c>
    </row>
    <row r="1903">
      <c r="A1903" t="inlineStr">
        <is>
          <t>b7-ogretmen-ilk-sinif</t>
        </is>
      </c>
      <c r="B1903" t="n">
        <v>2</v>
      </c>
      <c r="C1903" t="inlineStr">
        <is>
          <t>Sınıfı oyunla topla</t>
        </is>
      </c>
      <c r="D1903" t="inlineStr">
        <is>
          <t>Çene</t>
        </is>
      </c>
      <c r="E1903" t="inlineStr">
        <is>
          <t>Orta</t>
        </is>
      </c>
      <c r="H1903" t="inlineStr">
        <is>
          <t>Sınıfı bir oyunla topladın. Otuz çocuk aynı anda aynı cümleyi söyledi. Müdür kapıdan baktı, gülümsedi.</t>
        </is>
      </c>
      <c r="I1903" t="inlineStr">
        <is>
          <t>Oyun öyle tuttu ki öğrenciler teneffüsü oyunla sürdürmek istedi. Müdür “Bir ders daha” dedi, sen kabul etmedin.</t>
        </is>
      </c>
      <c r="J1903" t="inlineStr">
        <is>
          <t>Oyun başladı, çocuklar kurallardan çok oyuna kıvrıldı. Zil çaldığında kimse oyunun bittiğini fark etmedi.</t>
        </is>
      </c>
      <c r="K1903" t="inlineStr">
        <is>
          <t>Oyunun sonunda bir öğrenci sandalyeden düştü. Müdür eğilip kaldırdı, sen de ilk ders raporunu yazdın.</t>
        </is>
      </c>
    </row>
    <row r="1904">
      <c r="A1904" t="inlineStr">
        <is>
          <t>b7-ogretmen-ilk-sinif</t>
        </is>
      </c>
      <c r="B1904" t="n">
        <v>3</v>
      </c>
      <c r="C1904" t="inlineStr">
        <is>
          <t>Sessiz kalıp bekle</t>
        </is>
      </c>
      <c r="D1904" t="inlineStr">
        <is>
          <t>Pişkinlik</t>
        </is>
      </c>
      <c r="E1904" t="inlineStr">
        <is>
          <t>Zor</t>
        </is>
      </c>
      <c r="H1904" t="inlineStr">
        <is>
          <t>Sustun, bekledin, bakışını sabit tuttun. Otuz çocuk teker teker sustu. Sessizlik evrensel bir dildir.</t>
        </is>
      </c>
      <c r="I1904" t="inlineStr">
        <is>
          <t>Sessizlik sınıfı o kadar sardı ki müdür koridordan “Boş mu bu sınıf?” diye baktı. Sınıf dolu, sakin ve biraz korkmuştu.</t>
        </is>
      </c>
      <c r="J1904" t="inlineStr">
        <is>
          <t>Sustun ama çocuklar daha çok konuştu. Sessizlik bu sınıfta henüz tanınmıyor.</t>
        </is>
      </c>
      <c r="K1904" t="inlineStr">
        <is>
          <t>Sessiz kalırken kalemini yutacak gibi baktın. Bir öğrenci “Öğretmenim, iyi misiniz?” diye sordu. Hayır.</t>
        </is>
      </c>
    </row>
    <row r="1905">
      <c r="A1905" t="inlineStr">
        <is>
          <t>b7-ogretmen-veli-toplantisi</t>
        </is>
      </c>
      <c r="B1905" t="n">
        <v>1</v>
      </c>
      <c r="C1905" t="inlineStr">
        <is>
          <t>Herkesin sorusunu sırayla dinle</t>
        </is>
      </c>
      <c r="F1905" t="inlineStr">
        <is>
          <t>Gönül +1, Sosyal Radar +1</t>
        </is>
      </c>
      <c r="G1905" t="inlineStr">
        <is>
          <t>Otuz veliyi sırayla dinledin. Soru otuzdu, cevap üç tane. Üç cevap otuz soruyu kapattı.</t>
        </is>
      </c>
    </row>
    <row r="1906">
      <c r="A1906" t="inlineStr">
        <is>
          <t>b7-ogretmen-veli-toplantisi</t>
        </is>
      </c>
      <c r="B1906" t="n">
        <v>2</v>
      </c>
      <c r="C1906" t="inlineStr">
        <is>
          <t>Sessiz öğrenciyi anlat</t>
        </is>
      </c>
      <c r="D1906" t="inlineStr">
        <is>
          <t>Gönül</t>
        </is>
      </c>
      <c r="E1906" t="inlineStr">
        <is>
          <t>Orta</t>
        </is>
      </c>
      <c r="H1906" t="inlineStr">
        <is>
          <t>Sessiz öğrencinin yazdıklarını okudun. Baba başını eğdi: “Evde bunu hiç söylemedi.” Kahve o akşam yarım kaldı.</t>
        </is>
      </c>
      <c r="I1906" t="inlineStr">
        <is>
          <t>Baba sınıftan çıkarken oğlunun sırasına oturdu. Öğrencinin yazısına uzun uzun baktı. Sonra ağladı, kimse bakmadı.</t>
        </is>
      </c>
      <c r="J1906" t="inlineStr">
        <is>
          <t>Sessiz öğrenciyi anlatırken veliler başka şeye geçti. Toplantı yarıda bitti. Kahve soğudu.</t>
        </is>
      </c>
      <c r="K1906" t="inlineStr">
        <is>
          <t>Sessiz öğrencinin adını yanlış söyledin. Baba “Bizim oğlan o değil” dedi. Haklıydı.</t>
        </is>
      </c>
    </row>
    <row r="1907">
      <c r="A1907" t="inlineStr">
        <is>
          <t>b7-ogretmen-veli-toplantisi</t>
        </is>
      </c>
      <c r="B1907" t="n">
        <v>3</v>
      </c>
      <c r="C1907" t="inlineStr">
        <is>
          <t>Velilerin kavgasını durdur</t>
        </is>
      </c>
      <c r="D1907" t="inlineStr">
        <is>
          <t>Cesaret</t>
        </is>
      </c>
      <c r="E1907" t="inlineStr">
        <is>
          <t>Zor</t>
        </is>
      </c>
      <c r="H1907" t="inlineStr">
        <is>
          <t>İki veli not tartışmasında sesini yükseltti. Araya girdin, ikisi de sustu. Sonra ikisi birden sana kızdı.</t>
        </is>
      </c>
      <c r="I1907" t="inlineStr">
        <is>
          <t>Kavgayı bir cümleyle bitirdin: “Çocuklar dinliyor.” Velilerin ikisi de çocuklarına baktı. Çocuklar çoktan eve gitmişti.</t>
        </is>
      </c>
      <c r="J1907" t="inlineStr">
        <is>
          <t>Kavga büyüdü, müdür geldi. Müdür “Sınıf düzenini sağlayın” dedi. Sınıf düzeni bu toplantıda ilk kez sağlandı.</t>
        </is>
      </c>
      <c r="K1907" t="inlineStr">
        <is>
          <t>Araya girerken tahta silgisini düşürdün. Silgi bir velinin ayakkabısına çarptı. Kavga ayakkabı davasına döndü.</t>
        </is>
      </c>
    </row>
    <row r="1908">
      <c r="A1908" t="inlineStr">
        <is>
          <t>b7-ogretmen-karne</t>
        </is>
      </c>
      <c r="B1908" t="n">
        <v>1</v>
      </c>
      <c r="C1908" t="inlineStr">
        <is>
          <t>Karneleri dikkatle yaz</t>
        </is>
      </c>
      <c r="F1908" t="inlineStr">
        <is>
          <t>Akıl +1, Dayanıklılık +1</t>
        </is>
      </c>
      <c r="G1908" t="inlineStr">
        <is>
          <t>Karneleri bir gecede yazdın. Sabah yazılarına bakınca iki öğrencinin adı yer değiştirmişti. Düzelttin, kimse görmeden.</t>
        </is>
      </c>
    </row>
    <row r="1909">
      <c r="A1909" t="inlineStr">
        <is>
          <t>b7-ogretmen-karne</t>
        </is>
      </c>
      <c r="B1909" t="n">
        <v>2</v>
      </c>
      <c r="C1909" t="inlineStr">
        <is>
          <t>Zayıf öğrenciyle konuş</t>
        </is>
      </c>
      <c r="D1909" t="inlineStr">
        <is>
          <t>Gönül</t>
        </is>
      </c>
      <c r="E1909" t="inlineStr">
        <is>
          <t>Orta</t>
        </is>
      </c>
      <c r="H1909" t="inlineStr">
        <is>
          <t>Çocukla teneffüste konuştun. Çocuk “Bir de bana bakmayın” dedi. Baktın. Karne sonunda bir not yükseldi.</t>
        </is>
      </c>
      <c r="I1909" t="inlineStr">
        <is>
          <t>Çocuk sınıfın en çok geliştiği öğrencisi oldu. Karnede bunu yazamadın, sınıfta söyledin. O daha çok sevindi.</t>
        </is>
      </c>
      <c r="J1909" t="inlineStr">
        <is>
          <t>Çocuk konuşmak istemedi. Teneffüsü ikiniz de pencereye bakarak geçirdiniz.</t>
        </is>
      </c>
      <c r="K1909" t="inlineStr">
        <is>
          <t>Çocuğa moral vermek için başka bir öğrencinin notunu örnek gösterdin. Çocuk “O da kötü” dedi. Moral bitti.</t>
        </is>
      </c>
    </row>
    <row r="1910">
      <c r="A1910" t="inlineStr">
        <is>
          <t>b7-ogretmen-karne</t>
        </is>
      </c>
      <c r="B1910" t="n">
        <v>3</v>
      </c>
      <c r="C1910" t="inlineStr">
        <is>
          <t>Veliye zor haberi ver</t>
        </is>
      </c>
      <c r="D1910" t="inlineStr">
        <is>
          <t>Çene</t>
        </is>
      </c>
      <c r="E1910" t="inlineStr">
        <is>
          <t>Zor</t>
        </is>
      </c>
      <c r="H1910" t="inlineStr">
        <is>
          <t>Veliye karneyi nazikçe anlattın. Veli “Öğretmenim, siz haklısınız” dedi. Bu cümle meslekte nadir duyulur.</t>
        </is>
      </c>
      <c r="I1910" t="inlineStr">
        <is>
          <t>Veli sana teşekkür etti, karneyi çerçeveletmek istedi. Notlar iyi değildi ama çerçeve gerçekti.</t>
        </is>
      </c>
      <c r="J1910" t="inlineStr">
        <is>
          <t>Veli karneyi alıp kapıyı çarptı. Öğrenci kapıda kaldı, sen de.</t>
        </is>
      </c>
      <c r="K1910" t="inlineStr">
        <is>
          <t>Haberi verirken öğrencinin adını başkasıyla karıştırdın. Veli yanlış öğrenci için ağladı.</t>
        </is>
      </c>
    </row>
    <row r="1911">
      <c r="A1911" t="inlineStr">
        <is>
          <t>b8-ogretmen-mudur</t>
        </is>
      </c>
      <c r="B1911" t="n">
        <v>1</v>
      </c>
      <c r="C1911" t="inlineStr">
        <is>
          <t>Sınıfta kalmayı seç</t>
        </is>
      </c>
      <c r="F1911" t="inlineStr">
        <is>
          <t>Dayanıklılık +1, Gönül +1</t>
        </is>
      </c>
      <c r="G1911" t="inlineStr">
        <is>
          <t>Teklifi reddettin. Müdür koltuğa baktı, sonra sana: “Haklısın, benim de bırakasım var.” Koltuk kaldı.</t>
        </is>
      </c>
    </row>
    <row r="1912">
      <c r="A1912" t="inlineStr">
        <is>
          <t>b8-ogretmen-mudur</t>
        </is>
      </c>
      <c r="B1912" t="n">
        <v>2</v>
      </c>
      <c r="C1912" t="inlineStr">
        <is>
          <t>Teklifi kabul et</t>
        </is>
      </c>
      <c r="D1912" t="inlineStr">
        <is>
          <t>Akıl</t>
        </is>
      </c>
      <c r="E1912" t="inlineStr">
        <is>
          <t>Orta</t>
        </is>
      </c>
      <c r="H1912" t="inlineStr">
        <is>
          <t>Müdür yardımcısı oldun. Ders sayın yarıya indi, evrak sayın iki katına çıktı. Tahta kalemi çekmecede.</t>
        </is>
      </c>
      <c r="I1912" t="inlineStr">
        <is>
          <t>Okulun ilk yılında not ortalaması yükseldi. Müdür “Senin sayende” dedi. Sen çekmeceyi açıp tahta kalemine baktın.</t>
        </is>
      </c>
      <c r="J1912" t="inlineStr">
        <is>
          <t>Yardımcı oldun ama evrak seni yedi. Sınıfa gittiğinde öğrenciler tanımadı.</t>
        </is>
      </c>
      <c r="K1912" t="inlineStr">
        <is>
          <t>İlk toplantıda müdürün koltuğuna oturdun. Müdür içeri girince oturmaya devam ettin. İkisi de çayı soğuttu.</t>
        </is>
      </c>
      <c r="V1912" t="inlineStr">
        <is>
          <t>ogretmen-mudur</t>
        </is>
      </c>
      <c r="AD1912" t="inlineStr">
        <is>
          <t>Orta</t>
        </is>
      </c>
    </row>
    <row r="1913">
      <c r="A1913" t="inlineStr">
        <is>
          <t>b8-ogretmen-mudur</t>
        </is>
      </c>
      <c r="B1913" t="n">
        <v>3</v>
      </c>
      <c r="C1913" t="inlineStr">
        <is>
          <t>Okulun kütüphanesini kur</t>
        </is>
      </c>
      <c r="D1913" t="inlineStr">
        <is>
          <t>Gönül</t>
        </is>
      </c>
      <c r="E1913" t="inlineStr">
        <is>
          <t>Zor</t>
        </is>
      </c>
      <c r="H1913" t="inlineStr">
        <is>
          <t>Kütüphaneyi bir köşede kurdun. Bağışlar gelmeye başladı, öğrenciler ilk gün tahtaya kitap çizdi.</t>
        </is>
      </c>
      <c r="I1913" t="inlineStr">
        <is>
          <t>Kütüphane o kadar tuttu ki mahalleli kitap bağışladı. Okulun duvarında ilk kez “Sessiz olun” yazılı bir levha asıldı.</t>
        </is>
      </c>
      <c r="J1913" t="inlineStr">
        <is>
          <t>Kütüphaneyi kurdun ama raflar eksikti. Çocuklar kitapları yere dizdi. Yer, ilk raf oldu.</t>
        </is>
      </c>
      <c r="K1913" t="inlineStr">
        <is>
          <t>Kitapların yarısı yanlış sınıfa gitti. Kütüphane haftanın ortasında iki kez taşındı.</t>
        </is>
      </c>
      <c r="AL1913" t="n">
        <v>1</v>
      </c>
    </row>
    <row r="1914">
      <c r="A1914" t="inlineStr">
        <is>
          <t>b8-ogretmen-eski-ogrenci</t>
        </is>
      </c>
      <c r="B1914" t="n">
        <v>1</v>
      </c>
      <c r="C1914" t="inlineStr">
        <is>
          <t>Teşekkür et, yoluna devam et</t>
        </is>
      </c>
      <c r="F1914" t="inlineStr">
        <is>
          <t>Gönül +1, İtibar +1</t>
        </is>
      </c>
      <c r="G1914" t="inlineStr">
        <is>
          <t>Teşekkür ettin, el sıkıştın. Öğrenci “Tahta kalemini hâlâ hatırlıyorum” dedi. Sen o kalemi hatırlamıyordun.</t>
        </is>
      </c>
    </row>
    <row r="1915">
      <c r="A1915" t="inlineStr">
        <is>
          <t>b8-ogretmen-eski-ogrenci</t>
        </is>
      </c>
      <c r="B1915" t="n">
        <v>2</v>
      </c>
      <c r="C1915" t="inlineStr">
        <is>
          <t>Kahve içmeye git</t>
        </is>
      </c>
      <c r="D1915" t="inlineStr">
        <is>
          <t>Sosyal Radar</t>
        </is>
      </c>
      <c r="E1915" t="inlineStr">
        <is>
          <t>Kolay</t>
        </is>
      </c>
      <c r="H1915" t="inlineStr">
        <is>
          <t>Kahve içtiniz. Öğrenci tahtanın başındaki sen gibi anlatıyordu, sen de ilk sıradaki o gibi dinledin.</t>
        </is>
      </c>
      <c r="I1915" t="inlineStr">
        <is>
          <t>Öğrenci okulunuza burs bağışlamak istedi. Bursun adı “İlk Sınıf” olacak. Kahve ikinci tura döndü.</t>
        </is>
      </c>
      <c r="J1915" t="inlineStr">
        <is>
          <t>Öğrenci acele etti, kahveyi yarım bıraktı. Telefon bir daha çaldı. İlk sınıf bu kadar sürer.</t>
        </is>
      </c>
      <c r="K1915" t="inlineStr">
        <is>
          <t>Öğrencinin adını hatırlayamadın. O da senin adını hatırlayamadı. Garson ikinize de güldü.</t>
        </is>
      </c>
    </row>
    <row r="1916">
      <c r="A1916" t="inlineStr">
        <is>
          <t>b8-ogretmen-eski-ogrenci</t>
        </is>
      </c>
      <c r="B1916" t="n">
        <v>3</v>
      </c>
      <c r="C1916" t="inlineStr">
        <is>
          <t>Bir iyilik iste</t>
        </is>
      </c>
      <c r="D1916" t="inlineStr">
        <is>
          <t>Pişkinlik</t>
        </is>
      </c>
      <c r="E1916" t="inlineStr">
        <is>
          <t>Orta</t>
        </is>
      </c>
      <c r="H1916" t="inlineStr">
        <is>
          <t>Okulun çatısı için destek istedin. Öğrenci “Elbette” dedi, ertesi hafta bir ekip geldi. Çatı yeniden örtüldü.</t>
        </is>
      </c>
      <c r="I1916" t="inlineStr">
        <is>
          <t>Öğrenci okulun bütün çatısını bağışladı. Basın geldi, öğrenci sizi “Öğretmenim” diye tanıttı. Sen çatıya baktın.</t>
        </is>
      </c>
      <c r="J1916" t="inlineStr">
        <is>
          <t>İyilik istedin ama öğrenci iş yoğunluğundan başka bir güne attı. O gün hâlâ gelmedi.</t>
        </is>
      </c>
      <c r="K1916" t="inlineStr">
        <is>
          <t>İyilik isterken eski karneden bahsettin. Öğrenci “Ben aslında matematiği sevmezdim” dedi. Çatı ertelendi.</t>
        </is>
      </c>
    </row>
    <row r="1917">
      <c r="A1917" t="inlineStr">
        <is>
          <t>b9-ogretmen-son-ders</t>
        </is>
      </c>
      <c r="B1917" t="n">
        <v>1</v>
      </c>
      <c r="C1917" t="inlineStr">
        <is>
          <t>Dersi her zamanki gibi anlat</t>
        </is>
      </c>
      <c r="F1917" t="inlineStr">
        <is>
          <t>Dayanıklılık +1, Gönül +1</t>
        </is>
      </c>
      <c r="G1917" t="inlineStr">
        <is>
          <t>Dersi her zamanki gibi anlattın. Zil çalınca kimse kalkmadı. Sen kalemi bıraktın, sınıf çiçeği.</t>
        </is>
      </c>
    </row>
    <row r="1918">
      <c r="A1918" t="inlineStr">
        <is>
          <t>b9-ogretmen-son-ders</t>
        </is>
      </c>
      <c r="B1918" t="n">
        <v>2</v>
      </c>
      <c r="C1918" t="inlineStr">
        <is>
          <t>Öğrencilere bir mektup yaz</t>
        </is>
      </c>
      <c r="D1918" t="inlineStr">
        <is>
          <t>Gönül</t>
        </is>
      </c>
      <c r="E1918" t="inlineStr">
        <is>
          <t>Orta</t>
        </is>
      </c>
      <c r="H1918" t="inlineStr">
        <is>
          <t>Mektubu tahtaya yazdın. Çocuklar defterlerine geçirdi. Biri mektubu kalbine geçirdi, sen fark ettin.</t>
        </is>
      </c>
      <c r="I1918" t="inlineStr">
        <is>
          <t>Mektubu bitirince sınıf ayağa kalktı. Kimse “Teşekkürler” demedi. Hepsi sustu, bu daha büyüktü.</t>
        </is>
      </c>
      <c r="J1918" t="inlineStr">
        <is>
          <t>Mektuba başladın ama tahta doldu. Yazının yarısı tahtada, yarısı yürekte kaldı.</t>
        </is>
      </c>
      <c r="K1918" t="inlineStr">
        <is>
          <t>Mektuba öğrencilerin adını yazarken yanlış sırayla saydın. Sınıf kendi adını arayarak güldü, sen de onlarla.</t>
        </is>
      </c>
    </row>
    <row r="1919">
      <c r="A1919" t="inlineStr">
        <is>
          <t>b9-ogretmen-son-ders</t>
        </is>
      </c>
      <c r="B1919" t="n">
        <v>3</v>
      </c>
      <c r="C1919" t="inlineStr">
        <is>
          <t>Tahta kalemini hatıra olarak ver</t>
        </is>
      </c>
      <c r="D1919" t="inlineStr">
        <is>
          <t>Çene</t>
        </is>
      </c>
      <c r="E1919" t="inlineStr">
        <is>
          <t>Kolay</t>
        </is>
      </c>
      <c r="H1919" t="inlineStr">
        <is>
          <t>Kalemi bir öğrenciye verdin. Öğrenci kalemi aldı, ilk kez tahtaya yazı yazdı. Çıkan harf bir A'ydı.</t>
        </is>
      </c>
      <c r="I1919" t="inlineStr">
        <is>
          <t>Kalemi müdüre verdin. Müdür kalemi çerçeveletti. Okulun koridorunda şimdi kalem, altında senin adın duruyor.</t>
        </is>
      </c>
      <c r="J1919" t="inlineStr">
        <is>
          <t>Kalemi verecektin, kalem çekmeceye yapışmıştı. Çekmece de tahta kalemi gibi emekliye ayrıldı.</t>
        </is>
      </c>
      <c r="K1919" t="inlineStr">
        <is>
          <t>Kalemi verirken öğrenciye yanlış kalemi uzattın. Öğrenci kırmızı kalemle “Eksik” yazdı. Sen güldün.</t>
        </is>
      </c>
    </row>
    <row r="1920">
      <c r="A1920" t="inlineStr">
        <is>
          <t>k10-ogretmen</t>
        </is>
      </c>
      <c r="B1920" t="n">
        <v>1</v>
      </c>
      <c r="C1920" t="inlineStr">
        <is>
          <t>Okulda kal, dersi sürdür</t>
        </is>
      </c>
      <c r="F1920" t="inlineStr">
        <is>
          <t>Dayanıklılık +1, Gönül +1</t>
        </is>
      </c>
      <c r="G1920" t="inlineStr">
        <is>
          <t>Okul bir yıl daha sürdü. Yirmi sekiz öğrencin hâlâ sınıfta. Pencereden bakınca kalabalık hissediyorlar.</t>
        </is>
      </c>
    </row>
    <row r="1921">
      <c r="A1921" t="inlineStr">
        <is>
          <t>k10-ogretmen</t>
        </is>
      </c>
      <c r="B1921" t="n">
        <v>2</v>
      </c>
      <c r="C1921" t="inlineStr">
        <is>
          <t>Velileri topla, okulu kurtar</t>
        </is>
      </c>
      <c r="D1921" t="inlineStr">
        <is>
          <t>Çene</t>
        </is>
      </c>
      <c r="E1921" t="inlineStr">
        <is>
          <t>Zor</t>
        </is>
      </c>
      <c r="H1921" t="inlineStr">
        <is>
          <t>Velileri bir akşam topladın. Hepsi aynı cümleyi söyledi: “Bu okul kapanmasın.” Okul açık kaldı, müdür sevindi.</t>
        </is>
      </c>
      <c r="I1921" t="inlineStr">
        <is>
          <t>Mahalle okula tek yürek oldu. Belediye karar değiştirdi. Müdür seni tahtanın önünde alkışladı.</t>
        </is>
      </c>
      <c r="J1921" t="inlineStr">
        <is>
          <t>Veliler toplantıya geldi ama kimse imza atmadı. Okul listede kaldı.</t>
        </is>
      </c>
      <c r="K1921" t="inlineStr">
        <is>
          <t>Toplantıda öğrenci sayısını yanlış söyledin. Müfettiş kapıda duruyordu.</t>
        </is>
      </c>
      <c r="V1921" t="inlineStr">
        <is>
          <t>ogretmen-okul-kurtardi</t>
        </is>
      </c>
    </row>
    <row r="1922">
      <c r="A1922" t="inlineStr">
        <is>
          <t>k10-ogretmen</t>
        </is>
      </c>
      <c r="B1922" t="n">
        <v>3</v>
      </c>
      <c r="C1922" t="inlineStr">
        <is>
          <t>Özel ders merkezi aç</t>
        </is>
      </c>
      <c r="D1922" t="inlineStr">
        <is>
          <t>Cesaret</t>
        </is>
      </c>
      <c r="E1922" t="inlineStr">
        <is>
          <t>Zor</t>
        </is>
      </c>
      <c r="H1922" t="inlineStr">
        <is>
          <t>Küçük bir salon kiraladın, sıralar topladın. İlk gün on iki çocuk geldi, ikinci gün on dört. Tahta kalemi yine ortada.</t>
        </is>
      </c>
      <c r="I1922" t="inlineStr">
        <is>
          <t>Merkez kısa sürede doldu. Eski okulunun öğrencileri de gelmeye başladı. Müdür arayıp “Bize de ders verir misin?” dedi.</t>
        </is>
      </c>
      <c r="J1922" t="inlineStr">
        <is>
          <t>Merkez kuruldu ama çocuk gelmedi. Kira geldi, sıralar sessiz kaldı.</t>
        </is>
      </c>
      <c r="K1922" t="inlineStr">
        <is>
          <t>Merkez tabelasını yanlış asarken eski okula bağladın. Müdür aradı: “Rakip miyiz?”</t>
        </is>
      </c>
      <c r="V1922" t="inlineStr">
        <is>
          <t>-hat-cete, -hat-dolandirici, -hat-goc, -hat-hekim, -hat-koy, -hat-polis, -hat-politika, -hat-sohret, -hat-usta, -hat-yargi, -hat-avukat, -hat-muhendis, -hat-ogretmen, -meslek-esnaf, -meslek-memur, -meslek-beyazyaka, hat-girisimci, meslek-serbest</t>
        </is>
      </c>
      <c r="AC1922" t="inlineStr">
        <is>
          <t>Orta</t>
        </is>
      </c>
      <c r="AL1922" t="n">
        <v>1</v>
      </c>
    </row>
    <row r="1923">
      <c r="A1923" t="inlineStr">
        <is>
          <t>k10-ogretmen</t>
        </is>
      </c>
      <c r="B1923" t="n">
        <v>4</v>
      </c>
      <c r="C1923" t="inlineStr">
        <is>
          <t>Bakanlık kadrosuna başvur</t>
        </is>
      </c>
      <c r="D1923" t="inlineStr">
        <is>
          <t>Akıl</t>
        </is>
      </c>
      <c r="E1923" t="inlineStr">
        <is>
          <t>Zor</t>
        </is>
      </c>
      <c r="H1923" t="inlineStr">
        <is>
          <t>Başvurun kabul edildi. Artık sınıfta değil, masada. Masadaki kâğıtlar sınıftaki çocuklar kadar gürültülü.</t>
        </is>
      </c>
      <c r="I1923" t="inlineStr">
        <is>
          <t>Kadro sana teşekkür mektubu yazdı. Mektup sınıf sayısı kadar uzundu.</t>
        </is>
      </c>
      <c r="J1923" t="inlineStr">
        <is>
          <t>Başvurun bekleme listesine alındı. Liste bekleme odasından uzun.</t>
        </is>
      </c>
      <c r="K1923" t="inlineStr">
        <is>
          <t>Başvuru formuna doğum tarihini yanlış yazdın. Bakanlık seni dört yıl daha genç sandı, işe alınmadın.</t>
        </is>
      </c>
      <c r="V1923" t="inlineStr">
        <is>
          <t>-hat-cete, -hat-dolandirici, -hat-girisimci, -hat-goc, -hat-hekim, -hat-koy, -hat-polis, -hat-politika, -hat-sohret, -hat-usta, -hat-yargi, -hat-avukat, -hat-muhendis, -hat-ogretmen, -meslek-esnaf, -meslek-serbest, -meslek-beyazyaka, meslek-memur</t>
        </is>
      </c>
    </row>
    <row r="1924">
      <c r="A1924" t="inlineStr">
        <is>
          <t>yol-dar-sokaklar</t>
        </is>
      </c>
      <c r="B1924" t="n">
        <v>1</v>
      </c>
      <c r="C1924" t="inlineStr">
        <is>
          <t>Avansı al, dükkâna gir</t>
        </is>
      </c>
      <c r="F1924" t="inlineStr">
        <is>
          <t>Kurnazlık +1</t>
        </is>
      </c>
      <c r="G1924" t="inlineStr">
        <is>
          <t>Zarftaki para yeni, borcun eskiydi. “Kimse sormaz” dediler. İlk gün kimse sormadı, ikinci gün sen sordun.</t>
        </is>
      </c>
      <c r="U1924" t="inlineStr">
        <is>
          <t>-hat-dolandirici, -hat-girisimci, -hat-goc, -hat-hekim, -hat-koy, -hat-polis, -hat-politika, -hat-sohret, -hat-usta, -hat-yargi, -hat-avukat, -hat-muhendis, -hat-ogretmen, -meslek-esnaf, -meslek-memur, -meslek-beyazyaka, hat-cete, meslek-serbest, yol-sokak</t>
        </is>
      </c>
      <c r="AD1924" t="inlineStr">
        <is>
          <t>Orta</t>
        </is>
      </c>
    </row>
    <row r="1925">
      <c r="A1925" t="inlineStr">
        <is>
          <t>yol-dar-sokaklar</t>
        </is>
      </c>
      <c r="B1925" t="n">
        <v>2</v>
      </c>
      <c r="C1925" t="inlineStr">
        <is>
          <t>Reddet, gece vardiyasında yük indir</t>
        </is>
      </c>
      <c r="D1925" t="inlineStr">
        <is>
          <t>Dayanıklılık</t>
        </is>
      </c>
      <c r="E1925" t="inlineStr">
        <is>
          <t>Orta</t>
        </is>
      </c>
      <c r="H1925" t="inlineStr">
        <is>
          <t>Sırtın sevmedi ama kasa seni sevdi. Üç ay sonra borç küçüldü, belin büyüdü.</t>
        </is>
      </c>
      <c r="I1925" t="inlineStr">
        <is>
          <t>Depo müdürü seni sabit kadroya aldı. Ödenmeyen mesai de bir kıdemdir.</t>
        </is>
      </c>
      <c r="J1925" t="inlineStr">
        <is>
          <t>Belini incittin. Üç gün yattın; arayan tek kişi ev sahibiydi, o da nasılsın demeye değil.</t>
        </is>
      </c>
      <c r="K1925" t="inlineStr">
        <is>
          <t>Forklift seni tanımadı. Sağlık raporundaki vesikalık fotoğraf bile ağlıyordu.</t>
        </is>
      </c>
      <c r="AD1925" t="inlineStr">
        <is>
          <t>Fakir</t>
        </is>
      </c>
    </row>
    <row r="1926">
      <c r="A1926" t="inlineStr">
        <is>
          <t>yol-dar-sokaklar</t>
        </is>
      </c>
      <c r="B1926" t="n">
        <v>3</v>
      </c>
      <c r="C1926" t="inlineStr">
        <is>
          <t>Muhtara git, “mahalle çocuğuyum” de</t>
        </is>
      </c>
      <c r="D1926" t="inlineStr">
        <is>
          <t>İtibar</t>
        </is>
      </c>
      <c r="E1926" t="inlineStr">
        <is>
          <t>Orta</t>
        </is>
      </c>
      <c r="H1926" t="inlineStr">
        <is>
          <t>Muhtar bir kâğıt imzaladı, bir telefon açtı. Ertesi gün belediyede adın yazılıydı.</t>
        </is>
      </c>
      <c r="I1926" t="inlineStr">
        <is>
          <t>Muhtar seni toplantıda “bizim çocuk” diye tanıttı. İş de geldi, tanıdık da.</t>
        </is>
      </c>
      <c r="J1926" t="inlineStr">
        <is>
          <t>Muhtar “Bir bakalım” dedi. Bakılan şey sen değildin, takvimdi.</t>
        </is>
      </c>
      <c r="K1926" t="inlineStr">
        <is>
          <t>Muhtar yanında telefon açtı; karşı taraf “Kim?” diye sordu. Sen de bir an düşündün.</t>
        </is>
      </c>
      <c r="AD1926" t="inlineStr">
        <is>
          <t>Fakir</t>
        </is>
      </c>
    </row>
    <row r="1927">
      <c r="A1927" t="inlineStr">
        <is>
          <t>yol-park-banki</t>
        </is>
      </c>
      <c r="B1927" t="n">
        <v>1</v>
      </c>
      <c r="C1927" t="inlineStr">
        <is>
          <t>Gazeteyi ser, sabahı bekle</t>
        </is>
      </c>
      <c r="F1927" t="inlineStr">
        <is>
          <t>Dayanıklılık +1, Gönül +1</t>
        </is>
      </c>
      <c r="G1927" t="inlineStr">
        <is>
          <t>Sabaha kadar bekledin. Süpürgeci seni kovdu, çay da verdi; ikisi aynı sabahtı. Hayatla ilgili o gece öğrendiklerini kimseye anlatamazsın, çünkü dinleyecek tek kişi yaşlı adamdı ve o da uyuyordu.</t>
        </is>
      </c>
      <c r="U1927" t="inlineStr">
        <is>
          <t>yol-parkbanki</t>
        </is>
      </c>
    </row>
    <row r="1928">
      <c r="A1928" t="inlineStr">
        <is>
          <t>yol-park-banki</t>
        </is>
      </c>
      <c r="B1928" t="n">
        <v>2</v>
      </c>
      <c r="C1928" t="inlineStr">
        <is>
          <t>Eski dostu ara</t>
        </is>
      </c>
      <c r="D1928" t="inlineStr">
        <is>
          <t>Çene</t>
        </is>
      </c>
      <c r="E1928" t="inlineStr">
        <is>
          <t>Orta</t>
        </is>
      </c>
      <c r="H1928" t="inlineStr">
        <is>
          <t>Telefonun ucunda önce sessizlik, sonra “Bir yatak var.” O gece tavan gördün; tavan şükür demek.</t>
        </is>
      </c>
      <c r="I1928" t="inlineStr">
        <is>
          <t>Eski dost yalnız yatak vermedi, iş de buldu. Ertesi sabah başlıyordu.</t>
        </is>
      </c>
      <c r="J1928" t="inlineStr">
        <is>
          <t>Dost “Şimdi pek müsait değiliz” dedi. “Şimdi” dediği bütün hayattı.</t>
        </is>
      </c>
      <c r="K1928" t="inlineStr">
        <is>
          <t>Telefonu eşi aldı. İki cümle konuştu. Sen de yeni bir kelime öğrendin: “Maalesef”.</t>
        </is>
      </c>
      <c r="U1928" t="inlineStr">
        <is>
          <t>yol-parkbanki</t>
        </is>
      </c>
      <c r="AD1928" t="inlineStr">
        <is>
          <t>Fakir</t>
        </is>
      </c>
    </row>
    <row r="1929">
      <c r="A1929" t="inlineStr">
        <is>
          <t>yol-park-banki</t>
        </is>
      </c>
      <c r="B1929" t="n">
        <v>3</v>
      </c>
      <c r="C1929" t="inlineStr">
        <is>
          <t>Aileye git, kapıyı çal</t>
        </is>
      </c>
      <c r="F1929" t="inlineStr">
        <is>
          <t>Gönül +1</t>
        </is>
      </c>
      <c r="G1929" t="inlineStr">
        <is>
          <t>Kapıyı annenin terliği açtı, kendisi sonra geldi. Sofrada eskiden olmayan bir tabak vardı; kimse açıklamadı, sen de sormadın.</t>
        </is>
      </c>
      <c r="U1929" t="inlineStr">
        <is>
          <t>yol-parkbanki</t>
        </is>
      </c>
      <c r="AD1929" t="inlineStr">
        <is>
          <t>Fakir</t>
        </is>
      </c>
      <c r="AE1929" t="inlineStr">
        <is>
          <t>Tam</t>
        </is>
      </c>
    </row>
    <row r="1930">
      <c r="A1930" t="inlineStr">
        <is>
          <t>yol-kefil-koyu</t>
        </is>
      </c>
      <c r="B1930" t="n">
        <v>1</v>
      </c>
      <c r="C1930" t="inlineStr">
        <is>
          <t>Köye taşın, evi sahiplen</t>
        </is>
      </c>
      <c r="F1930" t="inlineStr">
        <is>
          <t>Dayanıklılık +1, İtibar +1</t>
        </is>
      </c>
      <c r="G1930" t="inlineStr">
        <is>
          <t>Evin çatısı ilk yağmurda ağladı, sen de. Komşular domates fidesi getirdi; borç büyümedi ama küçülmedi de. Köyde bunun adı “gelecek”.</t>
        </is>
      </c>
      <c r="U1930" t="inlineStr">
        <is>
          <t>-hat-cete, -hat-dolandirici, -hat-girisimci, -hat-goc, -hat-hekim, -hat-polis, -hat-politika, -hat-sohret, -hat-usta, -hat-yargi, -hat-avukat, -hat-muhendis, -hat-ogretmen, -meslek-memur, -meslek-serbest, -meslek-beyazyaka, hat-koy, meslek-esnaf, yol-kefilkoyu, -kefil-borclu</t>
        </is>
      </c>
      <c r="AD1930" t="inlineStr">
        <is>
          <t>Fakir</t>
        </is>
      </c>
    </row>
    <row r="1931">
      <c r="A1931" t="inlineStr">
        <is>
          <t>yol-kefil-koyu</t>
        </is>
      </c>
      <c r="B1931" t="n">
        <v>2</v>
      </c>
      <c r="C1931" t="inlineStr">
        <is>
          <t>Adamın peşine düş</t>
        </is>
      </c>
      <c r="D1931" t="inlineStr">
        <is>
          <t>Sosyal Radar</t>
        </is>
      </c>
      <c r="E1931" t="inlineStr">
        <is>
          <t>Zor</t>
        </is>
      </c>
      <c r="H1931" t="inlineStr">
        <is>
          <t>Üç şehirde sordun, dördüncüde buldun. Çay ısmarladı, borcu da kabul etti. Senet bir peçeteye yazıldı.</t>
        </is>
      </c>
      <c r="I1931" t="inlineStr">
        <is>
          <t>Adamı bir düğünde yakaladın, mecbur kalınca bütün mal varlığını sundu. Borç kapandı, düğün hâlâ devam ediyordu.</t>
        </is>
      </c>
      <c r="J1931" t="inlineStr">
        <is>
          <t>Adam başka bir isimle başka bir şehirde dükkân açmıştı. Seni görünce kasaya inip gitti; kasayı kapatmayı unuttu, sen de şaşırdın.</t>
        </is>
      </c>
      <c r="K1931" t="inlineStr">
        <is>
          <t>Adamın yeni ortakları seni dolandırıcı sandı. Karakolda ifadeni verirken borç aklına bile gelmedi.</t>
        </is>
      </c>
      <c r="V1931" t="inlineStr">
        <is>
          <t>-kefil-borclu</t>
        </is>
      </c>
      <c r="AD1931" t="inlineStr">
        <is>
          <t>Fakir</t>
        </is>
      </c>
    </row>
    <row r="1932">
      <c r="A1932" t="inlineStr">
        <is>
          <t>yol-kefil-koyu</t>
        </is>
      </c>
      <c r="B1932" t="n">
        <v>3</v>
      </c>
      <c r="C1932" t="inlineStr">
        <is>
          <t>Taksite bağla, şehirde kal</t>
        </is>
      </c>
      <c r="F1932" t="inlineStr">
        <is>
          <t>Akıl +1</t>
        </is>
      </c>
      <c r="G1932" t="inlineStr">
        <is>
          <t>Banka taksit yaptı: yirmi dört ay, faiz dahil. Hesap makinesi “Bunu ben yapmadım” dedi.</t>
        </is>
      </c>
    </row>
    <row r="1933">
      <c r="A1933" t="inlineStr">
        <is>
          <t>yol-mahalle-efsanesi</t>
        </is>
      </c>
      <c r="B1933" t="n">
        <v>1</v>
      </c>
      <c r="C1933" t="inlineStr">
        <is>
          <t>Defteri devral, mahallenin bakkalı ol</t>
        </is>
      </c>
      <c r="F1933" t="inlineStr">
        <is>
          <t>İtibar +1, Sosyal Radar +1</t>
        </is>
      </c>
      <c r="G1933" t="inlineStr">
        <is>
          <t>Defteri açtın; ilk sayfada kendi adın vardı, yıllar önce yazılmış. Üstü çizilmemişti. Silip yeni bir sayfa açtın.</t>
        </is>
      </c>
      <c r="U1933" t="inlineStr">
        <is>
          <t>-hat-cete, -hat-dolandirici, -hat-girisimci, -hat-goc, -hat-hekim, -hat-koy, -hat-polis, -hat-politika, -hat-sohret, -hat-yargi, -hat-avukat, -hat-muhendis, -hat-ogretmen, -meslek-memur, -meslek-serbest, -meslek-beyazyaka, hat-usta, meslek-esnaf, yol-efsane</t>
        </is>
      </c>
      <c r="AD1933" t="inlineStr">
        <is>
          <t>Fakir</t>
        </is>
      </c>
    </row>
    <row r="1934">
      <c r="A1934" t="inlineStr">
        <is>
          <t>yol-mahalle-efsanesi</t>
        </is>
      </c>
      <c r="B1934" t="n">
        <v>2</v>
      </c>
      <c r="C1934" t="inlineStr">
        <is>
          <t>Defteri kapat, herkesin borcunu sil</t>
        </is>
      </c>
      <c r="D1934" t="inlineStr">
        <is>
          <t>Gönül</t>
        </is>
      </c>
      <c r="E1934" t="inlineStr">
        <is>
          <t>Orta</t>
        </is>
      </c>
      <c r="H1934" t="inlineStr">
        <is>
          <t>Sildin. Mahalle bir ay boyunca kapına çorba, yoğurt, tuzlu ceviz getirdi. Cebin hâlâ boş ama buzdolabın değil.</t>
        </is>
      </c>
      <c r="I1934" t="inlineStr">
        <is>
          <t>Mahalle muhtara şikâyetçi oldu: “Bu adam bizi utandırıyor.” Ertesi hafta herkes ödedi, bir de bahşiş bıraktı.</t>
        </is>
      </c>
      <c r="J1934" t="inlineStr">
        <is>
          <t>Silinen borçlar silinmedi, çünkü kimse silindiğini kabul etmedi. Sen de borç peşinde kaldın.</t>
        </is>
      </c>
      <c r="K1934" t="inlineStr">
        <is>
          <t>Defteri yakarken alev kepenge sıçradı. İtfaiye geldi, mahalleli seyretti, sigorta sormadı.</t>
        </is>
      </c>
      <c r="AD1934" t="inlineStr">
        <is>
          <t>Fakir</t>
        </is>
      </c>
    </row>
    <row r="1935">
      <c r="A1935" t="inlineStr">
        <is>
          <t>yol-mahalle-efsanesi</t>
        </is>
      </c>
      <c r="B1935" t="n">
        <v>3</v>
      </c>
      <c r="C1935" t="inlineStr">
        <is>
          <t>Teşekkür et, çay içip git</t>
        </is>
      </c>
      <c r="F1935" t="inlineStr">
        <is>
          <t>Dayanıklılık +1</t>
        </is>
      </c>
      <c r="G1935" t="inlineStr">
        <is>
          <t>Çay içtin, hesap sormadın, iki nane aldın. Dönerken arkandan kimse bir şey demedi; bu mahallede sessizlik de bir tür saygıdır.</t>
        </is>
      </c>
    </row>
    <row r="1936">
      <c r="A1936" t="inlineStr">
        <is>
          <t>yol-tek-basina</t>
        </is>
      </c>
      <c r="B1936" t="n">
        <v>1</v>
      </c>
      <c r="C1936" t="inlineStr">
        <is>
          <t>En uzak durağı seç, bilet al</t>
        </is>
      </c>
      <c r="F1936" t="inlineStr">
        <is>
          <t>Cesaret +1, Dayanıklılık +1</t>
        </is>
      </c>
      <c r="G1936" t="inlineStr">
        <is>
          <t>Yirmi saat sonra bir kasabada indin, kimse seni tanımıyordu. Bu kez bu iyi bir şeydi. Çay ocağı bir bardak çayı iki bardak yaptı.</t>
        </is>
      </c>
      <c r="U1936" t="inlineStr">
        <is>
          <t>yol-gezgin</t>
        </is>
      </c>
      <c r="AD1936" t="inlineStr">
        <is>
          <t>Fakir</t>
        </is>
      </c>
    </row>
    <row r="1937">
      <c r="A1937" t="inlineStr">
        <is>
          <t>yol-tek-basina</t>
        </is>
      </c>
      <c r="B1937" t="n">
        <v>2</v>
      </c>
      <c r="C1937" t="inlineStr">
        <is>
          <t>Gittiğin yerde iş bul</t>
        </is>
      </c>
      <c r="D1937" t="inlineStr">
        <is>
          <t>Çene</t>
        </is>
      </c>
      <c r="E1937" t="inlineStr">
        <is>
          <t>Orta</t>
        </is>
      </c>
      <c r="H1937" t="inlineStr">
        <is>
          <t>Bir pansiyoncu “Sabahları ekmek al, bir oda yeter” dedi. Hayatındaki en kısa iş görüşmesiydi.</t>
        </is>
      </c>
      <c r="I1937" t="inlineStr">
        <is>
          <t>Pansiyoncu hesabı sana bıraktı; otuz yıllık bir iş bir akşamda devredildi.</t>
        </is>
      </c>
      <c r="J1937" t="inlineStr">
        <is>
          <t>İş yoktu, ama bir oda vardı. Çıkarken kapıyı kilitlemeyi unuttun; kimse içeri girmedi.</t>
        </is>
      </c>
      <c r="K1937" t="inlineStr">
        <is>
          <t>Şehir seni uyardı: “Sezon bitti.” Sen anlamadın, otelci anladı.</t>
        </is>
      </c>
      <c r="U1937" t="inlineStr">
        <is>
          <t>yol-gezgin</t>
        </is>
      </c>
      <c r="AD1937" t="inlineStr">
        <is>
          <t>Fakir</t>
        </is>
      </c>
    </row>
    <row r="1938">
      <c r="A1938" t="inlineStr">
        <is>
          <t>yol-tek-basina</t>
        </is>
      </c>
      <c r="B1938" t="n">
        <v>3</v>
      </c>
      <c r="C1938" t="inlineStr">
        <is>
          <t>Biletini iptal et, eve dön</t>
        </is>
      </c>
      <c r="F1938" t="inlineStr">
        <is>
          <t>Gönül +1</t>
        </is>
      </c>
      <c r="G1938" t="inlineStr">
        <is>
          <t>Terminalde biletini iade ettin, gişedeki kadın hiçbir şey demedi. Eve dönerken yağmur yağıyordu. Kimse beklemiyordu, ama ışık yanıktı.</t>
        </is>
      </c>
    </row>
    <row r="1939">
      <c r="A1939" t="inlineStr">
        <is>
          <t>yol-bosanma-sureci</t>
        </is>
      </c>
      <c r="B1939" t="n">
        <v>1</v>
      </c>
      <c r="C1939" t="inlineStr">
        <is>
          <t>Anlaşmalı boşan, evi bırak</t>
        </is>
      </c>
      <c r="F1939" t="inlineStr">
        <is>
          <t>Gönül +1, Dayanıklılık +1</t>
        </is>
      </c>
      <c r="G1939" t="inlineStr">
        <is>
          <t>Anlaşmalı oldu; ev onda, borç sende. Çıkışta “Çocuklara iyi bak” dedin, “Sen de” dedi. Kimse kimseye kızmadı, ki bu en pahalısıydı.</t>
        </is>
      </c>
      <c r="U1939" t="inlineStr">
        <is>
          <t>bosandi, -evli, yol-bosanma</t>
        </is>
      </c>
      <c r="AD1939" t="inlineStr">
        <is>
          <t>Fakir</t>
        </is>
      </c>
    </row>
    <row r="1940">
      <c r="A1940" t="inlineStr">
        <is>
          <t>yol-bosanma-sureci</t>
        </is>
      </c>
      <c r="B1940" t="n">
        <v>2</v>
      </c>
      <c r="C1940" t="inlineStr">
        <is>
          <t>Mücadele et, evi savun</t>
        </is>
      </c>
      <c r="D1940" t="inlineStr">
        <is>
          <t>Çene</t>
        </is>
      </c>
      <c r="E1940" t="inlineStr">
        <is>
          <t>Zor</t>
        </is>
      </c>
      <c r="H1940" t="inlineStr">
        <is>
          <t>Duruşmada anılarını anlattın; hâkim not almadı ama başını salladı. Ev yarı yarıya senin kaldı, borç da yarı yarıya onun.</t>
        </is>
      </c>
      <c r="I1940" t="inlineStr">
        <is>
          <t>Hâkim “İkiniz de bu eve katkı sağlamışsınız” dedi. Dava kapandı, kapı kapanmadı; kilitleri sen değiştirdin.</t>
        </is>
      </c>
      <c r="J1940" t="inlineStr">
        <is>
          <t>Dava iki yıl sürdü. Ev satıldı, avukat parasını aldı; sen elinde makbuzla kaldın.</t>
        </is>
      </c>
      <c r="K1940" t="inlineStr">
        <is>
          <t>Duruşmada ağlamaya başladın; yanlış kişiye sarıldın. Hâkim de ağladı, tutanak da.</t>
        </is>
      </c>
      <c r="V1940" t="inlineStr">
        <is>
          <t>yol-bosanma</t>
        </is>
      </c>
      <c r="AB1940" t="inlineStr">
        <is>
          <t>bosandi, -evli, yol-bosanma</t>
        </is>
      </c>
    </row>
    <row r="1941">
      <c r="A1941" t="inlineStr">
        <is>
          <t>yol-bosanma-sureci</t>
        </is>
      </c>
      <c r="B1941" t="n">
        <v>3</v>
      </c>
      <c r="C1941" t="inlineStr">
        <is>
          <t>Danışmanlığa git, barışmayı dene</t>
        </is>
      </c>
      <c r="F1941" t="inlineStr">
        <is>
          <t>Gönül +1</t>
        </is>
      </c>
      <c r="G1941" t="inlineStr">
        <is>
          <t>Danışman dinledi, sormadı, not aldı. Üçüncü seans bittiğinde ikiniz de aynı anda kapıyı gösterdiniz. O gün gülümsediniz; belki hâlâ bir şey vardır.</t>
        </is>
      </c>
      <c r="AE1941" t="inlineStr">
        <is>
          <t>Mesafeli</t>
        </is>
      </c>
    </row>
    <row r="1942">
      <c r="A1942" t="inlineStr">
        <is>
          <t>yol-saglik-faturasi</t>
        </is>
      </c>
      <c r="B1942" t="n">
        <v>1</v>
      </c>
      <c r="C1942" t="inlineStr">
        <is>
          <t>Taksite bağla, yavaş yavaş öde</t>
        </is>
      </c>
      <c r="F1942" t="inlineStr">
        <is>
          <t>Dayanıklılık +1</t>
        </is>
      </c>
      <c r="G1942" t="inlineStr">
        <is>
          <t>Kasadaki kadın bir taksit tablosu çıkardı; tablonun son satırında tarih yoktu. “Siz yaşadıkça uzar” dedi, gülümsedi. Gülümsemesi samimiydi, bu da korkunçtu.</t>
        </is>
      </c>
      <c r="U1942" t="inlineStr">
        <is>
          <t>yol-saglik, borclu</t>
        </is>
      </c>
    </row>
    <row r="1943">
      <c r="A1943" t="inlineStr">
        <is>
          <t>yol-saglik-faturasi</t>
        </is>
      </c>
      <c r="B1943" t="n">
        <v>2</v>
      </c>
      <c r="C1943" t="inlineStr">
        <is>
          <t>Hastane müdürüne çık, durumu anlat</t>
        </is>
      </c>
      <c r="D1943" t="inlineStr">
        <is>
          <t>İtibar</t>
        </is>
      </c>
      <c r="E1943" t="inlineStr">
        <is>
          <t>Orta</t>
        </is>
      </c>
      <c r="H1943" t="inlineStr">
        <is>
          <t>Müdür baktı, imzaladı, tutarın yarısını sildi. “Bir daha gelmeyin” demedi, “Gelirseniz haber verin” dedi.</t>
        </is>
      </c>
      <c r="I1943" t="inlineStr">
        <is>
          <t>Müdür seni “dürüstlüğün sembolü” diye bülten yaptı; fatura sıfırlandı, fotoğrafın broşüre girdi.</t>
        </is>
      </c>
      <c r="J1943" t="inlineStr">
        <is>
          <t>Müdür “Kurallar kural” dedi. Kural, senden büyüktü.</t>
        </is>
      </c>
      <c r="K1943" t="inlineStr">
        <is>
          <t>Müdürün odasında bayıldın. Hastane bunu da faturalandırdı.</t>
        </is>
      </c>
      <c r="U1943" t="inlineStr">
        <is>
          <t>yol-saglik</t>
        </is>
      </c>
      <c r="AD1943" t="inlineStr">
        <is>
          <t>Fakir</t>
        </is>
      </c>
    </row>
    <row r="1944">
      <c r="A1944" t="inlineStr">
        <is>
          <t>yol-saglik-faturasi</t>
        </is>
      </c>
      <c r="B1944" t="n">
        <v>3</v>
      </c>
      <c r="C1944" t="inlineStr">
        <is>
          <t>Aileden yardım iste</t>
        </is>
      </c>
      <c r="F1944" t="inlineStr">
        <is>
          <t>Gönül +1</t>
        </is>
      </c>
      <c r="G1944" t="inlineStr">
        <is>
          <t>Aile toplandı, rakam konuşuldu, sessizlik uzadı. Sonunda herkes bir parça verdi; kimse nasıl yapıldığını anlatmadı, sen de sormadın.</t>
        </is>
      </c>
      <c r="U1944" t="inlineStr">
        <is>
          <t>yol-saglik</t>
        </is>
      </c>
      <c r="AD1944" t="inlineStr">
        <is>
          <t>Fakir</t>
        </is>
      </c>
      <c r="AE1944" t="inlineStr">
        <is>
          <t>Mesafeli</t>
        </is>
      </c>
    </row>
    <row r="1945">
      <c r="A1945" t="inlineStr">
        <is>
          <t>yol-yeniden-basla</t>
        </is>
      </c>
      <c r="B1945" t="n">
        <v>1</v>
      </c>
      <c r="C1945" t="inlineStr">
        <is>
          <t>Listedeki tek satırı yap</t>
        </is>
      </c>
      <c r="F1945" t="inlineStr">
        <is>
          <t>Dayanıklılık +1, Akıl +1</t>
        </is>
      </c>
      <c r="G1945" t="inlineStr">
        <is>
          <t>Tek satır: “Ayağa kalk.” Kalktın. Dizin “Hâlâ burada mıyız?” diye sordu. Evet, buradaydınız.</t>
        </is>
      </c>
      <c r="U1945" t="inlineStr">
        <is>
          <t>yol-yeniden</t>
        </is>
      </c>
      <c r="AD1945" t="inlineStr">
        <is>
          <t>Fakir</t>
        </is>
      </c>
    </row>
    <row r="1946">
      <c r="A1946" t="inlineStr">
        <is>
          <t>yol-yeniden-basla</t>
        </is>
      </c>
      <c r="B1946" t="n">
        <v>2</v>
      </c>
      <c r="C1946" t="inlineStr">
        <is>
          <t>Eski mesleğinin kapısını çal</t>
        </is>
      </c>
      <c r="D1946" t="inlineStr">
        <is>
          <t>Pişkinlik</t>
        </is>
      </c>
      <c r="E1946" t="inlineStr">
        <is>
          <t>Orta</t>
        </is>
      </c>
      <c r="H1946" t="inlineStr">
        <is>
          <t>Kapıyı açan çırağın kendisiydi, patronun anısı hâlâ duvarda. “Kalfa lazım” dedin, “Yer var” dediler.</t>
        </is>
      </c>
      <c r="I1946" t="inlineStr">
        <is>
          <t>Eski patron seni görünce ayağa kalktı, çay söyledi, “Kapının altından bakıyordum” dedi. İş ertesi gün başladı.</t>
        </is>
      </c>
      <c r="J1946" t="inlineStr">
        <is>
          <t>Patronun yerinde yeni birisi vardı. Seni tanımadı, ama biriktirdiğin dosya klasörleri tanıdı.</t>
        </is>
      </c>
      <c r="K1946" t="inlineStr">
        <is>
          <t>Eski mesleğinin standartları değişmişti. Sen de değişmiştin, ama yanlış yöne.</t>
        </is>
      </c>
      <c r="AD1946" t="inlineStr">
        <is>
          <t>Orta</t>
        </is>
      </c>
    </row>
    <row r="1947">
      <c r="A1947" t="inlineStr">
        <is>
          <t>yol-yeniden-basla</t>
        </is>
      </c>
      <c r="B1947" t="n">
        <v>3</v>
      </c>
      <c r="C1947" t="inlineStr">
        <is>
          <t>Yeni bir şey öğren, ilan ver</t>
        </is>
      </c>
      <c r="F1947" t="inlineStr">
        <is>
          <t>Akıl +1, Sosyal Radar +1</t>
        </is>
      </c>
      <c r="G1947" t="inlineStr">
        <is>
          <t>İlana “Her işe talibim” yazdın. İlk arayan şiirlerini okuyan bir amcaydı. İkinci arayan işin gerçek sahibiydi.</t>
        </is>
      </c>
      <c r="U1947" t="inlineStr">
        <is>
          <t>yol-yeniden</t>
        </is>
      </c>
      <c r="AD1947" t="inlineStr">
        <is>
          <t>Fakir</t>
        </is>
      </c>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e-posta. Yüzü “Bilgilerinize”, yüzü “Hatırlatma”, geri kalanı da ikisinin hatırlatması. Sırayla.</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Evladım, buzdolabını kendin açarsan buna bağımsızlık derler. Annen açarsa adı yalnızlık oluyor.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Eşin dün gün içinde bir şey anlattı. Başını salladın. Neyi onayladığını ikiniz de bilmiyorsunuz.</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Otuz yıllık dükkânın anahtarı üç tane: biri sende, biri çekmecede, biri kapının üstündeki pervazda. Pervazdakini herkes biliyor.</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Unuttuğun akraba bayramda en erken gelir, en geç gider.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Buradayım! Diz gitti, ses yarım; ama duvardan komşu hâlâ vuruyor. Demek ki duyuluyorum.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row r="422">
      <c r="A422" t="inlineStr">
        <is>
          <t>b5-tercih-listesi</t>
        </is>
      </c>
      <c r="B422" t="inlineStr">
        <is>
          <t>sinav-iyi</t>
        </is>
      </c>
      <c r="C422" t="inlineStr">
        <is>
          <t>Sınavda derece yaptın; tercih listesinde hiçbir satır sana kapalı değil.</t>
        </is>
      </c>
    </row>
    <row r="423">
      <c r="A423" t="inlineStr">
        <is>
          <t>b5-tercih-listesi</t>
        </is>
      </c>
      <c r="B423" t="inlineStr">
        <is>
          <t>sinav-orta</t>
        </is>
      </c>
      <c r="C423" t="inlineStr">
        <is>
          <t>Sınavı geçtin ama puanın ortalarda; listedeki bazı satırlar bu puanla açılmıyor.</t>
        </is>
      </c>
    </row>
    <row r="424">
      <c r="A424" t="inlineStr">
        <is>
          <t>b6-ikinci-tercih</t>
        </is>
      </c>
      <c r="B424" t="inlineStr">
        <is>
          <t>sinav-iyi</t>
        </is>
      </c>
      <c r="C424" t="inlineStr">
        <is>
          <t>Bu sefer derece yaptın; liste baştan sona açık.</t>
        </is>
      </c>
    </row>
    <row r="425">
      <c r="A425" t="inlineStr">
        <is>
          <t>b6-ikinci-tercih</t>
        </is>
      </c>
      <c r="B425" t="inlineStr">
        <is>
          <t>sinav-orta</t>
        </is>
      </c>
      <c r="C425" t="inlineStr">
        <is>
          <t>Bu sefer geçtin ama puanın ortalarda; listedeki bazı satırlar bu puanla açılmıyor.</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görevde kaldı.</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is>
          <t>“O sokaktan bir daha geçmedi; okul yolu dört dakika uzadı, hâlâ da nedenini anlatmaz.”</t>
        </is>
      </c>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is>
          <t>“Yanardağ yapmadan birinci oldu; jüri hâlâ nasıl olduğunu soruyor.”</t>
        </is>
      </c>
    </row>
    <row r="27">
      <c r="A27" s="5" t="inlineStr">
        <is>
          <t>takim-oyuncusu</t>
        </is>
      </c>
      <c r="B27" s="6" t="inlineStr">
        <is>
          <t>Okul takımının seçmelerini geçti; forma büyük geldi.</t>
        </is>
      </c>
      <c r="C27" s="6" t="inlineStr"/>
      <c r="D27" s="6" t="inlineStr">
        <is>
          <t>“Forma ona büyük geldi; sonra forma küçüldü, o büyüdü.”</t>
        </is>
      </c>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is>
          <t>“Kırkından sonra mesleğini değiştirdi, bir daha dönüp bakmadı.”</t>
        </is>
      </c>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is>
          <t>“Kazandığını her sofrada anlattı, kaybettiğini hiçbirinde.”</t>
        </is>
      </c>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is>
          <t>“Sabah yürüyüşünün tempo sorumlusu; kimse görevlendirmedi, kimse itiraz etmedi.”</t>
        </is>
      </c>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is>
          <t>“Memlekete döndü; balkondan mangal dumanı hâlâ görünüyor.”</t>
        </is>
      </c>
    </row>
    <row r="176">
      <c r="A176" s="5" t="inlineStr">
        <is>
          <t>iki-memleketli</t>
        </is>
      </c>
      <c r="B176" s="6" t="inlineStr">
        <is>
          <t>Kışları Öte Diyar'da, yazları memlekette geçirdi; iki mahallede de beklendi.</t>
        </is>
      </c>
      <c r="C176" s="6" t="inlineStr"/>
      <c r="D176" s="6" t="inlineStr">
        <is>
          <t>“Kışı burada, yazı orada geçirdi; iki mahalle de onu bekledi.”</t>
        </is>
      </c>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is>
          <t>“Köyün hikâyesini deftere yazdı; defter köyden büyük çıktı.”</t>
        </is>
      </c>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is>
          <t>“Son motorunu kendi elleriyle sanayinin girişine bıraktı.”</t>
        </is>
      </c>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is>
          <t>“Ev almadı, kirada kaldı; ev sahibi bayramda onu arar.”</t>
        </is>
      </c>
    </row>
    <row r="193">
      <c r="A193" s="5" t="inlineStr">
        <is>
          <t>aile-yardimi-ev</t>
        </is>
      </c>
      <c r="B193" s="6" t="inlineStr">
        <is>
          <t>Ailesinin yardımıyla ev sahibi oldu; anahtarın yedeği annesinde.</t>
        </is>
      </c>
      <c r="C193" s="6" t="inlineStr"/>
      <c r="D193" s="6" t="inlineStr">
        <is>
          <t>“Ev onun, anahtarın yedeği bende.”</t>
        </is>
      </c>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is>
          <t>“Aile grubunda ifşa oldu; grup bir hafta sessiz kaldı.”</t>
        </is>
      </c>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is>
          <t>“Anneannesini erken uğurladı; sandalyesi hâlâ aynı yerde duruyor.”</t>
        </is>
      </c>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row r="211">
      <c r="A211" t="inlineStr">
        <is>
          <t>karne-iyi</t>
        </is>
      </c>
      <c r="B211" t="inlineStr">
        <is>
          <t>Karnesi iyiydi.</t>
        </is>
      </c>
      <c r="D211" t="inlineStr">
        <is>
          <t>“Karnesini kapıda gururla açtı; balkondan komşuya salladık.”</t>
        </is>
      </c>
    </row>
    <row r="212">
      <c r="A212" t="inlineStr">
        <is>
          <t>karne-orta</t>
        </is>
      </c>
      <c r="B212" t="inlineStr">
        <is>
          <t>Karnesi ortaydı.</t>
        </is>
      </c>
      <c r="D212" t="inlineStr">
        <is>
          <t>“Karnesi ne iyi ne kötüydü; imza sorunsuz geçti.”</t>
        </is>
      </c>
    </row>
    <row r="213">
      <c r="A213" t="inlineStr">
        <is>
          <t>karne-kotu</t>
        </is>
      </c>
      <c r="B213" t="inlineStr">
        <is>
          <t>Karnesi kötüydü.</t>
        </is>
      </c>
      <c r="D213" t="inlineStr">
        <is>
          <t>“Karnesini önce çantasında yaşattı, sonra babasına teslim etti.”</t>
        </is>
      </c>
    </row>
    <row r="214">
      <c r="A214" t="inlineStr">
        <is>
          <t>sinav-iyi</t>
        </is>
      </c>
      <c r="B214" t="inlineStr">
        <is>
          <t>Üniversite sınavında derece yaptı.</t>
        </is>
      </c>
    </row>
    <row r="215">
      <c r="A215" t="inlineStr">
        <is>
          <t>sinav-orta</t>
        </is>
      </c>
      <c r="B215" t="inlineStr">
        <is>
          <t>Üniversite sınavını geçti; puanı ortalardaydı.</t>
        </is>
      </c>
    </row>
    <row r="216">
      <c r="A216" t="inlineStr">
        <is>
          <t>sinav-kotu</t>
        </is>
      </c>
      <c r="B216" t="inlineStr">
        <is>
          <t>Üniversite sınavında puanı yetmedi.</t>
        </is>
      </c>
    </row>
    <row r="217">
      <c r="A217" t="inlineStr">
        <is>
          <t>yd-aile-ok</t>
        </is>
      </c>
      <c r="B217" t="inlineStr">
        <is>
          <t>Ailesi Öte Diyar'a “önce burada kazan” şartıyla evet dedi.</t>
        </is>
      </c>
    </row>
    <row r="218">
      <c r="A218" t="inlineStr">
        <is>
          <t>yd-reddedildi</t>
        </is>
      </c>
      <c r="B218" t="inlineStr">
        <is>
          <t>Öte Diyar'daki üniversiteden ret aldı.</t>
        </is>
      </c>
    </row>
    <row r="219">
      <c r="A219" t="inlineStr">
        <is>
          <t>avukat</t>
        </is>
      </c>
      <c r="B219" t="inlineStr">
        <is>
          <t>Hukuk bürosunda avukat olarak başladı.</t>
        </is>
      </c>
    </row>
    <row r="220">
      <c r="A220" t="inlineStr">
        <is>
          <t>muhendis</t>
        </is>
      </c>
      <c r="B220" t="inlineStr">
        <is>
          <t>Mühendis olarak sahaya çıktı.</t>
        </is>
      </c>
    </row>
    <row r="221">
      <c r="A221" t="inlineStr">
        <is>
          <t>kart-borclu</t>
        </is>
      </c>
      <c r="B221" t="inlineStr">
        <is>
          <t>Kredi kartının asgarisini ödedi; faiz işliyor.</t>
        </is>
      </c>
    </row>
    <row r="222">
      <c r="A222" t="inlineStr">
        <is>
          <t>kefil-borclu</t>
        </is>
      </c>
      <c r="B222" t="inlineStr">
        <is>
          <t>Birinin kredisine kefil oldu.</t>
        </is>
      </c>
    </row>
    <row r="223">
      <c r="A223" t="inlineStr">
        <is>
          <t>icra-dosyasi</t>
        </is>
      </c>
      <c r="B223" t="inlineStr">
        <is>
          <t>Hakkında icra dosyası açıldı.</t>
        </is>
      </c>
    </row>
    <row r="224">
      <c r="A224" t="inlineStr">
        <is>
          <t>hat-avukat</t>
        </is>
      </c>
      <c r="B224" t="inlineStr">
        <is>
          <t>Avukat oldu.</t>
        </is>
      </c>
      <c r="C224" t="inlineStr">
        <is>
          <t>Avukatlık: duruşmalar, ücret tahsili ve koridorda bekleyen müvekkiller.</t>
        </is>
      </c>
      <c r="D224" t="inlineStr">
        <is>
          <t>“Avukat oldu; akrabalar artık bütün komşu davalarını bizim yemek masamızda açıyor.”</t>
        </is>
      </c>
    </row>
    <row r="225">
      <c r="A225" t="inlineStr">
        <is>
          <t>hat-muhendis</t>
        </is>
      </c>
      <c r="B225" t="inlineStr">
        <is>
          <t>Mühendis oldu.</t>
        </is>
      </c>
      <c r="C225" t="inlineStr">
        <is>
          <t>Mühendislik: şantiye, revizyonlar ve evde bozulan her şeyin senden sorulduğu yıllar.</t>
        </is>
      </c>
      <c r="D225" t="inlineStr">
        <is>
          <t>“Mühendis oldu; evdeki prizin tamirini hâlâ sırada bekliyoruz.”</t>
        </is>
      </c>
    </row>
    <row r="226">
      <c r="A226" t="inlineStr">
        <is>
          <t>hat-ogretmen</t>
        </is>
      </c>
      <c r="B226" t="inlineStr">
        <is>
          <t>Öğretmen oldu.</t>
        </is>
      </c>
      <c r="C226" t="inlineStr">
        <is>
          <t>Öğretmenlik: karneler, veli toplantıları ve bir türlü bitmeyen tahta kalemleri.</t>
        </is>
      </c>
      <c r="D226" t="inlineStr">
        <is>
          <t>“Öğretmen oldu; eski öğrencileri onu sokakta görünce hâlâ ayağa kalkıyor.”</t>
        </is>
      </c>
    </row>
    <row r="227">
      <c r="A227" t="inlineStr">
        <is>
          <t>bolum-egitim</t>
        </is>
      </c>
      <c r="B227" t="inlineStr">
        <is>
          <t>Eğitim fakültesini okudu.</t>
        </is>
      </c>
      <c r="C227" t="inlineStr">
        <is>
          <t>Eğitim fakültesi: staj okulları, ders planları ve sınıfın sonuna kadar uzayan koridorlar.</t>
        </is>
      </c>
    </row>
    <row r="228">
      <c r="A228" t="inlineStr">
        <is>
          <t>avukat-ortak</t>
        </is>
      </c>
      <c r="B228" t="inlineStr">
        <is>
          <t>Büroda ortaklığa yükseldi.</t>
        </is>
      </c>
    </row>
    <row r="229">
      <c r="A229" t="inlineStr">
        <is>
          <t>avukat-baro</t>
        </is>
      </c>
      <c r="B229" t="inlineStr">
        <is>
          <t>Baro seçiminde aday oldu.</t>
        </is>
      </c>
    </row>
    <row r="230">
      <c r="A230" t="inlineStr">
        <is>
          <t>muhendis-firma</t>
        </is>
      </c>
      <c r="B230" t="inlineStr">
        <is>
          <t>Kendi mühendislik firmasını kurdu.</t>
        </is>
      </c>
    </row>
    <row r="231">
      <c r="A231" t="inlineStr">
        <is>
          <t>muhendis-mudur</t>
        </is>
      </c>
      <c r="B231" t="inlineStr">
        <is>
          <t>Proje müdürü oldu.</t>
        </is>
      </c>
    </row>
    <row r="232">
      <c r="A232" t="inlineStr">
        <is>
          <t>ogretmen-mudur</t>
        </is>
      </c>
      <c r="B232" t="inlineStr">
        <is>
          <t>Okulda müdür yardımcısı oldu.</t>
        </is>
      </c>
    </row>
    <row r="233">
      <c r="A233" t="inlineStr">
        <is>
          <t>ogretmen-okul-kurtardi</t>
        </is>
      </c>
      <c r="B233" t="inlineStr">
        <is>
          <t>Okulun kapanmasını önledi.</t>
        </is>
      </c>
    </row>
    <row r="234">
      <c r="A234" t="inlineStr">
        <is>
          <t>yol-sokak</t>
        </is>
      </c>
      <c r="B234" t="inlineStr">
        <is>
          <t>Dar sokakların adamı oldu.</t>
        </is>
      </c>
      <c r="C234" t="inlineStr">
        <is>
          <t>Dar sokaklar: borcu kapatmak için kapanmayan bir kapıdan girdi.</t>
        </is>
      </c>
    </row>
    <row r="235">
      <c r="A235" t="inlineStr">
        <is>
          <t>yol-parkbanki</t>
        </is>
      </c>
      <c r="B235" t="inlineStr">
        <is>
          <t>Bir kış park bankında sabahladı.</t>
        </is>
      </c>
      <c r="C235" t="inlineStr">
        <is>
          <t>Park bankı: o geceden sonra hiçbir tezgâhı küçümsemedi.</t>
        </is>
      </c>
    </row>
    <row r="236">
      <c r="A236" t="inlineStr">
        <is>
          <t>yol-kefilkoyu</t>
        </is>
      </c>
      <c r="B236" t="inlineStr">
        <is>
          <t>Kefil olduğu köye taşındı.</t>
        </is>
      </c>
      <c r="C236" t="inlineStr">
        <is>
          <t>Kefil köyü: borcu toprağıyla birlikte devraldı.</t>
        </is>
      </c>
    </row>
    <row r="237">
      <c r="A237" t="inlineStr">
        <is>
          <t>yol-efsane</t>
        </is>
      </c>
      <c r="B237" t="inlineStr">
        <is>
          <t>Mahallenin efsanesi oldu.</t>
        </is>
      </c>
      <c r="C237" t="inlineStr">
        <is>
          <t>Mahalle efsanesi: veresiye defteri ona emanet.</t>
        </is>
      </c>
    </row>
    <row r="238">
      <c r="A238" t="inlineStr">
        <is>
          <t>yol-gezgin</t>
        </is>
      </c>
      <c r="B238" t="inlineStr">
        <is>
          <t>Sırt çantasıyla yollara düştü.</t>
        </is>
      </c>
      <c r="C238" t="inlineStr">
        <is>
          <t>Gezgin: bir ceket, bir harita, adreste kimse yok.</t>
        </is>
      </c>
    </row>
    <row r="239">
      <c r="A239" t="inlineStr">
        <is>
          <t>yol-bosanma</t>
        </is>
      </c>
      <c r="B239" t="inlineStr">
        <is>
          <t>Boşanma sürecinde evden ayrıldı.</t>
        </is>
      </c>
      <c r="C239" t="inlineStr">
        <is>
          <t>Boşanma: ev ikiye, borç üçe bölündü.</t>
        </is>
      </c>
    </row>
    <row r="240">
      <c r="A240" t="inlineStr">
        <is>
          <t>yol-saglik</t>
        </is>
      </c>
      <c r="B240" t="inlineStr">
        <is>
          <t>Sağlık faturasıyla yüzleşti.</t>
        </is>
      </c>
      <c r="C240" t="inlineStr">
        <is>
          <t>Sağlık faturası: hastane koridorunda ilk kez rakam okudu.</t>
        </is>
      </c>
    </row>
    <row r="241">
      <c r="A241" t="inlineStr">
        <is>
          <t>yol-yeniden</t>
        </is>
      </c>
      <c r="B241" t="inlineStr">
        <is>
          <t>Sıfırdan yeniden başladı.</t>
        </is>
      </c>
      <c r="C241" t="inlineStr">
        <is>
          <t>Yeniden başlamak: cebi boş, planı dolu.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90" customWidth="1" min="3" max="3"/>
    <col width="18" customWidth="1" min="4" max="4"/>
    <col width="14" customWidth="1" min="5" max="5"/>
  </cols>
  <sheetData>
    <row r="1" ht="32" customHeight="1">
      <c r="A1" s="4" t="inlineStr">
        <is>
          <t>Asgari yaş</t>
        </is>
      </c>
      <c r="B1" s="4" t="inlineStr">
        <is>
          <t>Azami yaş</t>
        </is>
      </c>
      <c r="C1" s="4" t="inlineStr">
        <is>
          <t>Mezar taşı metni</t>
        </is>
      </c>
      <c r="D1" s="4" t="inlineStr">
        <is>
          <t>Gereken hafıza</t>
        </is>
      </c>
      <c r="E1" s="4" t="inlineStr">
        <is>
          <t>Mekân grubu</t>
        </is>
      </c>
    </row>
    <row r="2">
      <c r="A2" s="5" t="n">
        <v>18</v>
      </c>
      <c r="B2" s="5" t="n">
        <v>40</v>
      </c>
      <c r="C2" s="6" t="inlineStr">
        <is>
          <t>Kira sözleşmesinin ek maddelerini okurken. Madde 14 hâlâ açıklığa kavuşmadı.</t>
        </is>
      </c>
      <c r="D2" s="5" t="inlineStr"/>
      <c r="E2" s="5" t="inlineStr">
        <is>
          <t>ev</t>
        </is>
      </c>
    </row>
    <row r="3">
      <c r="A3" s="5" t="n">
        <v>18</v>
      </c>
      <c r="B3" s="5" t="n">
        <v>40</v>
      </c>
      <c r="C3" s="6" t="inlineStr">
        <is>
          <t>Kargo takip ekranında 'dağıtıma çıktı' yazısını beklerken. Kargo ertesi gün teslim edildi.</t>
        </is>
      </c>
      <c r="D3" s="5" t="inlineStr"/>
      <c r="E3" s="5" t="inlineStr">
        <is>
          <t>ev</t>
        </is>
      </c>
    </row>
    <row r="4">
      <c r="A4" s="5" t="n">
        <v>18</v>
      </c>
      <c r="B4" s="5" t="n">
        <v>40</v>
      </c>
      <c r="C4" s="6" t="inlineStr">
        <is>
          <t>Ev arkadaşıyla bulaşık nöbeti tartışmasının dördüncü turunda. Bulaşıklar hâlâ lavaboda.</t>
        </is>
      </c>
      <c r="D4" s="5" t="inlineStr"/>
      <c r="E4" s="5" t="inlineStr">
        <is>
          <t>ev</t>
        </is>
      </c>
    </row>
    <row r="5">
      <c r="A5" s="5" t="n">
        <v>18</v>
      </c>
      <c r="B5" s="5" t="n">
        <v>40</v>
      </c>
      <c r="C5" s="6" t="inlineStr">
        <is>
          <t>Staj başvurusunun on yedinci formunu doldururken. Başvuru alındı.</t>
        </is>
      </c>
      <c r="D5" s="5" t="inlineStr"/>
      <c r="E5" s="5" t="inlineStr">
        <is>
          <t>is</t>
        </is>
      </c>
    </row>
    <row r="6">
      <c r="A6" s="5" t="n">
        <v>18</v>
      </c>
      <c r="B6" s="5" t="n">
        <v>40</v>
      </c>
      <c r="C6" s="6" t="inlineStr">
        <is>
          <t>Yeni işinin ilk gününde, asansörde kimseyle göz teması kurmamaya çalışırken.</t>
        </is>
      </c>
      <c r="D6" s="5" t="inlineStr"/>
      <c r="E6" s="5" t="inlineStr">
        <is>
          <t>is</t>
        </is>
      </c>
    </row>
    <row r="7">
      <c r="A7" s="5" t="n">
        <v>18</v>
      </c>
      <c r="B7" s="5" t="n">
        <v>40</v>
      </c>
      <c r="C7" s="6" t="inlineStr">
        <is>
          <t>Kısa video uygulaması için aynı dansın kırk birinci çekiminde. Kırkıncısı zaten yüklenmişti.</t>
        </is>
      </c>
      <c r="D7" s="5" t="inlineStr">
        <is>
          <t>fenomen</t>
        </is>
      </c>
      <c r="E7" s="5" t="inlineStr">
        <is>
          <t>ev</t>
        </is>
      </c>
    </row>
    <row r="8">
      <c r="A8" s="5" t="n">
        <v>18</v>
      </c>
      <c r="B8" s="5" t="n">
        <v>40</v>
      </c>
      <c r="C8" s="6" t="inlineStr">
        <is>
          <t>Sabah koşusunun son turunda, saatin adım sayısını kontrol ederken. Hedef tamamlanmıştı.</t>
        </is>
      </c>
      <c r="D8" s="5" t="inlineStr">
        <is>
          <t>sporcu</t>
        </is>
      </c>
      <c r="E8" s="5" t="inlineStr">
        <is>
          <t>yol</t>
        </is>
      </c>
    </row>
    <row r="9">
      <c r="A9" s="5" t="n">
        <v>18</v>
      </c>
      <c r="B9" s="5" t="n">
        <v>40</v>
      </c>
      <c r="C9" s="6" t="inlineStr">
        <is>
          <t>Taksit planını yeniden yapılandırmak için bankayı ararken. Sıradaki müşteri temsilcisi hâlâ hatta.</t>
        </is>
      </c>
      <c r="D9" s="5" t="inlineStr">
        <is>
          <t>borclu</t>
        </is>
      </c>
      <c r="E9" s="5" t="inlineStr">
        <is>
          <t>ev</t>
        </is>
      </c>
    </row>
    <row r="10">
      <c r="A10" s="5" t="n">
        <v>40</v>
      </c>
      <c r="B10" s="5" t="n">
        <v>60</v>
      </c>
      <c r="C10" s="6" t="inlineStr">
        <is>
          <t>Site yönetimine itiraz dilekçesini teslim ederken. Dilekçe hâlâ değerlendiriliyor.</t>
        </is>
      </c>
      <c r="D10" s="5" t="inlineStr"/>
      <c r="E10" s="5" t="inlineStr">
        <is>
          <t>ev</t>
        </is>
      </c>
    </row>
    <row r="11">
      <c r="A11" s="5" t="n">
        <v>40</v>
      </c>
      <c r="B11" s="5" t="n">
        <v>60</v>
      </c>
      <c r="C11" s="6" t="inlineStr">
        <is>
          <t>Kombi tamircisini beklerken. Tamirci ertesi gün geldi.</t>
        </is>
      </c>
      <c r="D11" s="5" t="inlineStr"/>
      <c r="E11" s="5" t="inlineStr">
        <is>
          <t>ev</t>
        </is>
      </c>
    </row>
    <row r="12">
      <c r="A12" s="5" t="n">
        <v>40</v>
      </c>
      <c r="B12" s="5" t="n">
        <v>60</v>
      </c>
      <c r="C12" s="6" t="inlineStr">
        <is>
          <t>Performans değerlendirme toplantısında 'beklentileri karşılıyor' ifadesini duyduğu anda.</t>
        </is>
      </c>
      <c r="D12" s="5" t="inlineStr">
        <is>
          <t>meslek-beyazyaka</t>
        </is>
      </c>
      <c r="E12" s="5" t="inlineStr">
        <is>
          <t>is</t>
        </is>
      </c>
    </row>
    <row r="13">
      <c r="A13" s="5" t="n">
        <v>40</v>
      </c>
      <c r="B13" s="5" t="n">
        <v>60</v>
      </c>
      <c r="C13" s="6" t="inlineStr">
        <is>
          <t>Dükkânın kepengini indirirken, günün son müşterisinin 'Bir şey soracaktım' demesiyle.</t>
        </is>
      </c>
      <c r="D13" s="5" t="inlineStr">
        <is>
          <t>meslek-esnaf</t>
        </is>
      </c>
      <c r="E13" s="5" t="inlineStr">
        <is>
          <t>is</t>
        </is>
      </c>
    </row>
    <row r="14">
      <c r="A14" s="5" t="n">
        <v>40</v>
      </c>
      <c r="B14" s="5" t="n">
        <v>60</v>
      </c>
      <c r="C14" s="6" t="inlineStr">
        <is>
          <t>Mesai bitimine üç dakika kala gelen evrakı imzalarken. Evrak işleme alındı.</t>
        </is>
      </c>
      <c r="D14" s="5" t="inlineStr">
        <is>
          <t>meslek-memur</t>
        </is>
      </c>
      <c r="E14" s="5" t="inlineStr">
        <is>
          <t>is</t>
        </is>
      </c>
    </row>
    <row r="15">
      <c r="A15" s="5" t="n">
        <v>40</v>
      </c>
      <c r="B15" s="5" t="n">
        <v>60</v>
      </c>
      <c r="C15" s="6" t="inlineStr">
        <is>
          <t>Müşteriden gelen 'Ufak bir revizyon' mesajını açarken. Revizyon hâlâ sürüyor.</t>
        </is>
      </c>
      <c r="D15" s="5" t="inlineStr">
        <is>
          <t>meslek-serbest</t>
        </is>
      </c>
      <c r="E15" s="5" t="inlineStr">
        <is>
          <t>is</t>
        </is>
      </c>
    </row>
    <row r="16">
      <c r="A16" s="5" t="n">
        <v>40</v>
      </c>
      <c r="B16" s="5" t="n">
        <v>60</v>
      </c>
      <c r="C16" s="6" t="inlineStr">
        <is>
          <t>Veli toplantısında söz alma sırası kendisine geldiği anda.</t>
        </is>
      </c>
      <c r="D16" s="5" t="inlineStr">
        <is>
          <t>cocuklu</t>
        </is>
      </c>
      <c r="E16" s="5" t="inlineStr">
        <is>
          <t>kurum</t>
        </is>
      </c>
    </row>
    <row r="17">
      <c r="A17" s="5" t="n">
        <v>40</v>
      </c>
      <c r="B17" s="5" t="n">
        <v>60</v>
      </c>
      <c r="C17" s="6" t="inlineStr">
        <is>
          <t>Aile grubundaki uzun bir sesli mesajı ikinci kez dinlerken.</t>
        </is>
      </c>
      <c r="D17" s="5" t="inlineStr"/>
      <c r="E17" s="5" t="inlineStr">
        <is>
          <t>ev</t>
        </is>
      </c>
    </row>
    <row r="18">
      <c r="A18" s="5" t="n">
        <v>40</v>
      </c>
      <c r="B18" s="5" t="n">
        <v>60</v>
      </c>
      <c r="C18" s="6" t="inlineStr">
        <is>
          <t>Evlilik yıldönümü hediyesini son dakikada paketlerken. Kurdele bağlandı.</t>
        </is>
      </c>
      <c r="D18" s="5" t="inlineStr">
        <is>
          <t>evli</t>
        </is>
      </c>
      <c r="E18" s="5" t="inlineStr">
        <is>
          <t>ev</t>
        </is>
      </c>
    </row>
    <row r="19">
      <c r="A19" s="5" t="n">
        <v>40</v>
      </c>
      <c r="B19" s="5" t="n">
        <v>60</v>
      </c>
      <c r="C19" s="6" t="inlineStr">
        <is>
          <t>Bir sigarayı daha son sigara ilan ederken. Bu sefer gerçekten son oldu.</t>
        </is>
      </c>
      <c r="D19" s="5" t="inlineStr">
        <is>
          <t>sigara</t>
        </is>
      </c>
      <c r="E19" s="5" t="inlineStr">
        <is>
          <t>ev</t>
        </is>
      </c>
    </row>
    <row r="20">
      <c r="A20" s="5" t="n">
        <v>60</v>
      </c>
      <c r="B20" s="5" t="n">
        <v>75</v>
      </c>
      <c r="C20" s="6" t="inlineStr">
        <is>
          <t>Emeklilik dilekçesinin onayını beklerken. Onay ertesi hafta geldi.</t>
        </is>
      </c>
      <c r="D20" s="5" t="inlineStr"/>
      <c r="E20" s="5" t="inlineStr">
        <is>
          <t>kurum</t>
        </is>
      </c>
    </row>
    <row r="21">
      <c r="A21" s="5" t="n">
        <v>60</v>
      </c>
      <c r="B21" s="5" t="n">
        <v>75</v>
      </c>
      <c r="C21" s="6" t="inlineStr">
        <is>
          <t>Emekli ikramiyesiyle aldığı motosikletle ilk virajda. Viraj kazandı.</t>
        </is>
      </c>
      <c r="D21" s="5" t="inlineStr">
        <is>
          <t>emekli</t>
        </is>
      </c>
      <c r="E21" s="5" t="inlineStr">
        <is>
          <t>yol</t>
        </is>
      </c>
    </row>
    <row r="22">
      <c r="A22" s="5" t="n">
        <v>60</v>
      </c>
      <c r="B22" s="5" t="n">
        <v>75</v>
      </c>
      <c r="C22" s="6" t="inlineStr">
        <is>
          <t>Pazarın kapanışında son kasa domatesi pazarlık ederken. Domatesler yarı fiyatına alındı.</t>
        </is>
      </c>
      <c r="D22" s="5" t="inlineStr"/>
      <c r="E22" s="5" t="inlineStr">
        <is>
          <t>yol</t>
        </is>
      </c>
    </row>
    <row r="23">
      <c r="A23" s="5" t="n">
        <v>60</v>
      </c>
      <c r="B23" s="5" t="n">
        <v>75</v>
      </c>
      <c r="C23" s="6" t="inlineStr">
        <is>
          <t>Torunuyla saklambaç oynarken, en iyi saklanma yerini bulduğu anda. Oyunu kazandı.</t>
        </is>
      </c>
      <c r="D23" s="5" t="inlineStr">
        <is>
          <t>torunlu</t>
        </is>
      </c>
      <c r="E23" s="5" t="inlineStr">
        <is>
          <t>ev</t>
        </is>
      </c>
    </row>
    <row r="24">
      <c r="A24" s="5" t="n">
        <v>60</v>
      </c>
      <c r="B24" s="5" t="n">
        <v>75</v>
      </c>
      <c r="C24" s="6" t="inlineStr">
        <is>
          <t>Apartman toplantısında asansör bakım ücretinin paylaştırılmasını oylarken.</t>
        </is>
      </c>
      <c r="D24" s="5" t="inlineStr"/>
      <c r="E24" s="5" t="inlineStr">
        <is>
          <t>ev</t>
        </is>
      </c>
    </row>
    <row r="25">
      <c r="A25" s="5" t="n">
        <v>60</v>
      </c>
      <c r="B25" s="5" t="n">
        <v>75</v>
      </c>
      <c r="C25" s="6" t="inlineStr">
        <is>
          <t>Mahalle kahvesinde, bir tavla partisinin son zarında. Zar çift geldi.</t>
        </is>
      </c>
      <c r="D25" s="5" t="inlineStr"/>
      <c r="E25" s="5" t="inlineStr">
        <is>
          <t>sosyal</t>
        </is>
      </c>
    </row>
    <row r="26">
      <c r="A26" s="5" t="n">
        <v>60</v>
      </c>
      <c r="B26" s="5" t="n">
        <v>75</v>
      </c>
      <c r="C26" s="6" t="inlineStr">
        <is>
          <t>Bahçede domates fidesine konuşurken. Fide büyümeye devam etti.</t>
        </is>
      </c>
      <c r="D26" s="5" t="inlineStr"/>
      <c r="E26" s="5" t="inlineStr">
        <is>
          <t>ev</t>
        </is>
      </c>
    </row>
    <row r="27">
      <c r="A27" s="5" t="n">
        <v>60</v>
      </c>
      <c r="B27" s="5" t="n">
        <v>75</v>
      </c>
      <c r="C27" s="6" t="inlineStr">
        <is>
          <t>Kedisinin mamasını son indirimli paketten alırken. Kedi durumu kabullenmedi.</t>
        </is>
      </c>
      <c r="D27" s="5" t="inlineStr">
        <is>
          <t>kediGeldi</t>
        </is>
      </c>
      <c r="E27" s="5" t="inlineStr">
        <is>
          <t>yol</t>
        </is>
      </c>
    </row>
    <row r="28">
      <c r="A28" s="5" t="n">
        <v>60</v>
      </c>
      <c r="B28" s="5" t="n">
        <v>75</v>
      </c>
      <c r="C28" s="6" t="inlineStr">
        <is>
          <t>Eski takipçilerinden birinin 'Siz ölmediniz mi?' yorumuna cevap yazarken. Cevap gönderilmedi.</t>
        </is>
      </c>
      <c r="D28" s="5" t="inlineStr">
        <is>
          <t>fenomen</t>
        </is>
      </c>
      <c r="E28" s="5" t="inlineStr">
        <is>
          <t>ev</t>
        </is>
      </c>
    </row>
    <row r="29">
      <c r="A29" s="5" t="n">
        <v>60</v>
      </c>
      <c r="B29" s="5" t="n">
        <v>75</v>
      </c>
      <c r="C29" s="6" t="inlineStr">
        <is>
          <t>Sabah yürüyüşünde, ilk kez kimsenin geçemediği yokuşu geçtiği anda. Yokuş belediyeye bildirildi.</t>
        </is>
      </c>
      <c r="D29" s="5" t="inlineStr">
        <is>
          <t>sporcu</t>
        </is>
      </c>
      <c r="E29" s="5" t="inlineStr">
        <is>
          <t>yol</t>
        </is>
      </c>
    </row>
    <row r="30">
      <c r="A30" s="5" t="n">
        <v>75</v>
      </c>
      <c r="B30" s="5" t="n">
        <v>90</v>
      </c>
      <c r="C30" s="6" t="inlineStr">
        <is>
          <t>Uykusunda, huzur içinde. Alarmı kurmayı unutmamıştı.</t>
        </is>
      </c>
      <c r="D30" s="5" t="inlineStr"/>
      <c r="E30" s="5" t="inlineStr">
        <is>
          <t>ev</t>
        </is>
      </c>
    </row>
    <row r="31">
      <c r="A31" s="5" t="n">
        <v>75</v>
      </c>
      <c r="B31" s="5" t="n">
        <v>90</v>
      </c>
      <c r="C31" s="6" t="inlineStr">
        <is>
          <t>Öğleden sonra şekerlemesinde, huzur içinde. Şekerleme uzadı.</t>
        </is>
      </c>
      <c r="D31" s="5" t="inlineStr"/>
      <c r="E31" s="5" t="inlineStr">
        <is>
          <t>ev</t>
        </is>
      </c>
    </row>
    <row r="32">
      <c r="A32" s="5" t="n">
        <v>75</v>
      </c>
      <c r="B32" s="5" t="n">
        <v>90</v>
      </c>
      <c r="C32" s="6" t="inlineStr">
        <is>
          <t>Balkonda, sokağın akşam raporunu tamamladıktan sonra. Rapor eksiksizdi.</t>
        </is>
      </c>
      <c r="D32" s="5" t="inlineStr"/>
      <c r="E32" s="5" t="inlineStr">
        <is>
          <t>ev</t>
        </is>
      </c>
    </row>
    <row r="33">
      <c r="A33" s="5" t="n">
        <v>75</v>
      </c>
      <c r="B33" s="5" t="n">
        <v>90</v>
      </c>
      <c r="C33" s="6" t="inlineStr">
        <is>
          <t>Uykusunda, huzur içinde. Yanındaki kedi uyanmadı.</t>
        </is>
      </c>
      <c r="D33" s="5" t="inlineStr">
        <is>
          <t>kediGeldi</t>
        </is>
      </c>
      <c r="E33" s="5" t="inlineStr">
        <is>
          <t>ev</t>
        </is>
      </c>
    </row>
    <row r="34">
      <c r="A34" s="5" t="n">
        <v>75</v>
      </c>
      <c r="B34" s="5" t="n">
        <v>90</v>
      </c>
      <c r="C34" s="6" t="inlineStr">
        <is>
          <t>Emekli maaşını çekip bayram zarflarını hazırlarken. Zarflar dağıtıldı.</t>
        </is>
      </c>
      <c r="D34" s="5" t="inlineStr">
        <is>
          <t>emekli</t>
        </is>
      </c>
      <c r="E34" s="5" t="inlineStr">
        <is>
          <t>is</t>
        </is>
      </c>
    </row>
    <row r="35">
      <c r="A35" s="5" t="n">
        <v>75</v>
      </c>
      <c r="B35" s="5" t="n">
        <v>90</v>
      </c>
      <c r="C35" s="6" t="inlineStr">
        <is>
          <t>Torunlarına aynı hikâyeyi yedinci kez anlatırken. Sonunu bu sefer herkes birlikte söyledi.</t>
        </is>
      </c>
      <c r="D35" s="5" t="inlineStr">
        <is>
          <t>torunlu</t>
        </is>
      </c>
      <c r="E35" s="5" t="inlineStr">
        <is>
          <t>ev</t>
        </is>
      </c>
    </row>
    <row r="36">
      <c r="A36" s="5" t="n">
        <v>75</v>
      </c>
      <c r="B36" s="5" t="n">
        <v>90</v>
      </c>
      <c r="C36" s="6" t="inlineStr">
        <is>
          <t>Eşiyle akşam çayında, bardaklar tam tazelendiği anda. Çay soğumadı.</t>
        </is>
      </c>
      <c r="D36" s="5" t="inlineStr">
        <is>
          <t>evli</t>
        </is>
      </c>
      <c r="E36" s="5" t="inlineStr">
        <is>
          <t>ev</t>
        </is>
      </c>
    </row>
    <row r="37">
      <c r="A37" s="5" t="n">
        <v>75</v>
      </c>
      <c r="B37" s="5" t="n">
        <v>90</v>
      </c>
      <c r="C37" s="6" t="inlineStr">
        <is>
          <t>Koltukta, kumanda elinde, huzur içinde. Dizinin sonunu sonraki bölüm açıkladı.</t>
        </is>
      </c>
      <c r="D37" s="5" t="inlineStr"/>
      <c r="E37" s="5" t="inlineStr">
        <is>
          <t>ev</t>
        </is>
      </c>
    </row>
    <row r="38">
      <c r="A38" s="5" t="n">
        <v>75</v>
      </c>
      <c r="B38" s="5" t="n">
        <v>90</v>
      </c>
      <c r="C38" s="6" t="inlineStr">
        <is>
          <t>Eski iş arkadaşlarının yıllık buluşmasında, kendi eski masasına oturduğu anda.</t>
        </is>
      </c>
      <c r="D38" s="5" t="inlineStr">
        <is>
          <t>meslek-memur</t>
        </is>
      </c>
      <c r="E38" s="5" t="inlineStr">
        <is>
          <t>sosyal</t>
        </is>
      </c>
    </row>
    <row r="39">
      <c r="A39" s="5" t="n">
        <v>75</v>
      </c>
      <c r="B39" s="5" t="n">
        <v>90</v>
      </c>
      <c r="C39" s="6" t="inlineStr">
        <is>
          <t>Pazar kahvaltısında, bütün ailesi masadayken. Yumurta tam kıvamındaydı.</t>
        </is>
      </c>
      <c r="D39" s="5" t="inlineStr">
        <is>
          <t>cocuklu</t>
        </is>
      </c>
      <c r="E39" s="5" t="inlineStr">
        <is>
          <t>ev</t>
        </is>
      </c>
    </row>
    <row r="40">
      <c r="A40" s="5" t="n">
        <v>90</v>
      </c>
      <c r="B40" s="5" t="n">
        <v>110</v>
      </c>
      <c r="C40" s="6" t="inlineStr">
        <is>
          <t>Uykusunda, huzur içinde. Sabahın ilk çayı demlenmişti.</t>
        </is>
      </c>
      <c r="D40" s="5" t="inlineStr"/>
      <c r="E40" s="5" t="inlineStr">
        <is>
          <t>ev</t>
        </is>
      </c>
    </row>
    <row r="41">
      <c r="A41" s="5" t="n">
        <v>90</v>
      </c>
      <c r="B41" s="5" t="n">
        <v>110</v>
      </c>
      <c r="C41" s="6" t="inlineStr">
        <is>
          <t>Pencere kenarında, güneşin tam kendi sandalyesine vurduğu anda. Sandalye hâlâ orada.</t>
        </is>
      </c>
      <c r="D41" s="5" t="inlineStr"/>
      <c r="E41" s="5" t="inlineStr">
        <is>
          <t>ev</t>
        </is>
      </c>
    </row>
    <row r="42">
      <c r="A42" s="5" t="n">
        <v>90</v>
      </c>
      <c r="B42" s="5" t="n">
        <v>110</v>
      </c>
      <c r="C42" s="6" t="inlineStr">
        <is>
          <t>Uykusunda, huzur içinde. Rüyasında kiminle tartıştığı açıklanmadı.</t>
        </is>
      </c>
      <c r="D42" s="5" t="inlineStr"/>
      <c r="E42" s="5" t="inlineStr">
        <is>
          <t>ev</t>
        </is>
      </c>
    </row>
    <row r="43">
      <c r="A43" s="5" t="n">
        <v>90</v>
      </c>
      <c r="B43" s="5" t="n">
        <v>110</v>
      </c>
      <c r="C43" s="6" t="inlineStr">
        <is>
          <t>Mahallenin en yaşlı sakini unvanını bir yıl daha koruduktan sonra. Unvan boşta kaldı.</t>
        </is>
      </c>
      <c r="D43" s="5" t="inlineStr"/>
      <c r="E43" s="5" t="inlineStr">
        <is>
          <t>yol</t>
        </is>
      </c>
    </row>
    <row r="44">
      <c r="A44" s="5" t="n">
        <v>90</v>
      </c>
      <c r="B44" s="5" t="n">
        <v>110</v>
      </c>
      <c r="C44" s="6" t="inlineStr">
        <is>
          <t>Torununun torununa ilk kez adını söyletmeyi başardığı gün, huzur içinde.</t>
        </is>
      </c>
      <c r="D44" s="5" t="inlineStr">
        <is>
          <t>torunlu</t>
        </is>
      </c>
      <c r="E44" s="5" t="inlineStr">
        <is>
          <t>ev</t>
        </is>
      </c>
    </row>
    <row r="45">
      <c r="A45" s="5" t="n">
        <v>90</v>
      </c>
      <c r="B45" s="5" t="n">
        <v>110</v>
      </c>
      <c r="C45" s="6" t="inlineStr">
        <is>
          <t>Öğleden sonra şekerlemesinde, yanında açık bir fotoğraf albümüyle. Albüm doğru sayfadaydı.</t>
        </is>
      </c>
      <c r="D45" s="5" t="inlineStr"/>
      <c r="E45" s="5" t="inlineStr">
        <is>
          <t>ev</t>
        </is>
      </c>
    </row>
    <row r="46">
      <c r="A46" s="5" t="n">
        <v>90</v>
      </c>
      <c r="B46" s="5" t="n">
        <v>110</v>
      </c>
      <c r="C46" s="6" t="inlineStr">
        <is>
          <t>Uykusunda, huzur içinde. Dükkânın anahtarı hâlâ cebindeydi.</t>
        </is>
      </c>
      <c r="D46" s="5" t="inlineStr">
        <is>
          <t>meslek-esnaf</t>
        </is>
      </c>
      <c r="E46" s="5" t="inlineStr">
        <is>
          <t>ev</t>
        </is>
      </c>
    </row>
    <row r="47">
      <c r="A47" s="5" t="n">
        <v>18</v>
      </c>
      <c r="B47" s="5" t="n">
        <v>40</v>
      </c>
      <c r="C47" s="6" t="inlineStr">
        <is>
          <t>Yaya geçidinde, ışığın yeşile dönmesini beklerken. Kırmızıyı kaçıran kamyonet olayı sonradan “Görmedim” diye özetledi.</t>
        </is>
      </c>
      <c r="D47" s="5" t="inlineStr"/>
      <c r="E47" s="5" t="inlineStr">
        <is>
          <t>yol</t>
        </is>
      </c>
    </row>
    <row r="48">
      <c r="A48" s="5" t="n">
        <v>18</v>
      </c>
      <c r="B48" s="5" t="n">
        <v>40</v>
      </c>
      <c r="C48" s="6" t="inlineStr">
        <is>
          <t>Otobüse yetişmek için son sprintte, kaldırımın kenarına takılırken. Otobüs onu durakta beklemişti.</t>
        </is>
      </c>
      <c r="D48" s="5" t="inlineStr"/>
      <c r="E48" s="5" t="inlineStr">
        <is>
          <t>yol</t>
        </is>
      </c>
    </row>
    <row r="49">
      <c r="A49" s="5" t="n">
        <v>18</v>
      </c>
      <c r="B49" s="5" t="n">
        <v>40</v>
      </c>
      <c r="C49" s="6" t="inlineStr">
        <is>
          <t>Yolun karşısındaki arkadaşına el sallarken, yaklaşan aracı görmeden. Arkadaş el sallamaya devam etti.</t>
        </is>
      </c>
      <c r="D49" s="5" t="inlineStr"/>
      <c r="E49" s="5" t="inlineStr">
        <is>
          <t>yol</t>
        </is>
      </c>
    </row>
    <row r="50">
      <c r="A50" s="5" t="n">
        <v>40</v>
      </c>
      <c r="B50" s="5" t="n">
        <v>60</v>
      </c>
      <c r="C50" s="6" t="inlineStr">
        <is>
          <t>Karşıdan karşıya geçerken, telefona “Yoldayım” yazdığı anda. Mesaj iletildi.</t>
        </is>
      </c>
      <c r="D50" s="5" t="inlineStr"/>
      <c r="E50" s="5" t="inlineStr">
        <is>
          <t>yol</t>
        </is>
      </c>
    </row>
    <row r="51">
      <c r="A51" s="5" t="n">
        <v>40</v>
      </c>
      <c r="B51" s="5" t="n">
        <v>60</v>
      </c>
      <c r="C51" s="6" t="inlineStr">
        <is>
          <t>Sahil yolunda yürüyüşte, bisiklet yoluna girdiği anda. Bisikletli özür diledi; zili hâlâ çalıyor.</t>
        </is>
      </c>
      <c r="D51" s="5" t="inlineStr"/>
      <c r="E51" s="5" t="inlineStr">
        <is>
          <t>yol</t>
        </is>
      </c>
    </row>
    <row r="52">
      <c r="A52" s="5" t="n">
        <v>40</v>
      </c>
      <c r="B52" s="5" t="n">
        <v>60</v>
      </c>
      <c r="C52" s="6" t="inlineStr">
        <is>
          <t>Trafikte kornaya basan kişiye “Sakin ol” demek için araçtan inerken. Trafik o sırada açıldı.</t>
        </is>
      </c>
      <c r="D52" s="5" t="inlineStr"/>
      <c r="E52" s="5" t="inlineStr">
        <is>
          <t>yol</t>
        </is>
      </c>
    </row>
    <row r="53">
      <c r="A53" s="5" t="n">
        <v>60</v>
      </c>
      <c r="B53" s="5" t="n">
        <v>75</v>
      </c>
      <c r="C53" s="6" t="inlineStr">
        <is>
          <t>Yaya geçidinde, sürücünün “Siz geçin” işaretini yanlış anladığı anda. Sürücü işaretini düzeltmedi.</t>
        </is>
      </c>
      <c r="D53" s="5" t="inlineStr"/>
      <c r="E53" s="5" t="inlineStr">
        <is>
          <t>yol</t>
        </is>
      </c>
    </row>
    <row r="54">
      <c r="A54" s="5" t="n">
        <v>60</v>
      </c>
      <c r="B54" s="5" t="n">
        <v>75</v>
      </c>
      <c r="C54" s="6" t="inlineStr">
        <is>
          <t>Pazar yolunda, kaldırımdaki en son ‘kolay’ yokuşta. Yokuş belediyeye bildirildi.</t>
        </is>
      </c>
      <c r="D54" s="5" t="inlineStr"/>
      <c r="E54" s="5" t="inlineStr">
        <is>
          <t>yol</t>
        </is>
      </c>
    </row>
    <row r="55">
      <c r="A55" s="5" t="n">
        <v>75</v>
      </c>
      <c r="B55" s="5" t="n">
        <v>90</v>
      </c>
      <c r="C55" s="6" t="inlineStr">
        <is>
          <t>Parkta, bankta, güvercinlere simit ufalarken, huzur içinde. Güvercinler simidi bitirdi.</t>
        </is>
      </c>
      <c r="D55" s="5" t="inlineStr"/>
      <c r="E55" s="5" t="inlineStr">
        <is>
          <t>yol</t>
        </is>
      </c>
    </row>
    <row r="56">
      <c r="A56" s="5" t="n">
        <v>18</v>
      </c>
      <c r="B56" s="5" t="n">
        <v>40</v>
      </c>
      <c r="C56" s="6" t="inlineStr">
        <is>
          <t>İş görüşmesinde “Beş yıl sonra kendinizi nerede görüyorsunuz?” sorusunu yanıtlarken. Cevap değerlendirme formuna geçti.</t>
        </is>
      </c>
      <c r="D56" s="5" t="inlineStr"/>
      <c r="E56" s="5" t="inlineStr">
        <is>
          <t>is</t>
        </is>
      </c>
    </row>
    <row r="57">
      <c r="A57" s="5" t="n">
        <v>18</v>
      </c>
      <c r="B57" s="5" t="n">
        <v>40</v>
      </c>
      <c r="C57" s="6" t="inlineStr">
        <is>
          <t>Fotokopi makinesinin sıkışan kâğıdını çıkarmak için ‘sadece bir kez’ kapağı açarken. Makine servis çağırdı.</t>
        </is>
      </c>
      <c r="D57" s="5" t="inlineStr"/>
      <c r="E57" s="5" t="inlineStr">
        <is>
          <t>is</t>
        </is>
      </c>
    </row>
    <row r="58">
      <c r="A58" s="5" t="n">
        <v>18</v>
      </c>
      <c r="B58" s="5" t="n">
        <v>40</v>
      </c>
      <c r="C58" s="6" t="inlineStr">
        <is>
          <t>Mesai sonunda, son e-postayı “Gönder”e basmadan önce bir kez daha okurken. E-posta taslakta kaldı.</t>
        </is>
      </c>
      <c r="D58" s="5" t="inlineStr"/>
      <c r="E58" s="5" t="inlineStr">
        <is>
          <t>is</t>
        </is>
      </c>
    </row>
    <row r="59">
      <c r="A59" s="5" t="n">
        <v>40</v>
      </c>
      <c r="B59" s="5" t="n">
        <v>60</v>
      </c>
      <c r="C59" s="6" t="inlineStr">
        <is>
          <t>Yıllık toplantıda sunumun on dokuzuncu slaytında. Slayt hiç değişmedi.</t>
        </is>
      </c>
      <c r="D59" s="5" t="inlineStr"/>
      <c r="E59" s="5" t="inlineStr">
        <is>
          <t>is</t>
        </is>
      </c>
    </row>
    <row r="60">
      <c r="A60" s="5" t="n">
        <v>40</v>
      </c>
      <c r="B60" s="5" t="n">
        <v>60</v>
      </c>
      <c r="C60" s="6" t="inlineStr">
        <is>
          <t>Kasadaki fiyat etiketini düzeltmek için rafa uzanırken. Etiket doğruydu.</t>
        </is>
      </c>
      <c r="D60" s="5" t="inlineStr"/>
      <c r="E60" s="5" t="inlineStr">
        <is>
          <t>is</t>
        </is>
      </c>
    </row>
    <row r="61">
      <c r="A61" s="5" t="n">
        <v>40</v>
      </c>
      <c r="B61" s="5" t="n">
        <v>60</v>
      </c>
      <c r="C61" s="6" t="inlineStr">
        <is>
          <t>Dairede ‘fotokopisi eksik’ evrak için sıraya üçüncü kez girerken. Sıra numarası hâlâ geçerli.</t>
        </is>
      </c>
      <c r="D61" s="5" t="inlineStr"/>
      <c r="E61" s="5" t="inlineStr">
        <is>
          <t>is</t>
        </is>
      </c>
    </row>
    <row r="62">
      <c r="A62" s="5" t="n">
        <v>60</v>
      </c>
      <c r="B62" s="5" t="n">
        <v>75</v>
      </c>
      <c r="C62" s="6" t="inlineStr">
        <is>
          <t>Eski dükkânına son bir uğrayışta, kepengi kendi elleriyle indirirken. Kepenk son kez sorunsuz indi.</t>
        </is>
      </c>
      <c r="D62" s="5" t="inlineStr"/>
      <c r="E62" s="5" t="inlineStr">
        <is>
          <t>is</t>
        </is>
      </c>
    </row>
    <row r="63">
      <c r="A63" s="5" t="n">
        <v>60</v>
      </c>
      <c r="B63" s="5" t="n">
        <v>75</v>
      </c>
      <c r="C63" s="6" t="inlineStr">
        <is>
          <t>Bankada emekli maaşı sırasında, numaratörün ‘Sıra sizde’ dediği an. Memur ‘Öğle arası’ dedi.</t>
        </is>
      </c>
      <c r="D63" s="5" t="inlineStr"/>
      <c r="E63" s="5" t="inlineStr">
        <is>
          <t>is</t>
        </is>
      </c>
    </row>
    <row r="64">
      <c r="A64" s="5" t="n">
        <v>18</v>
      </c>
      <c r="B64" s="5" t="n">
        <v>40</v>
      </c>
      <c r="C64" s="6" t="inlineStr">
        <is>
          <t>Hastanede ‘rutin kontrol’ için bekleme salonunda, sıra numarasını okurken. Numara kendisine ulaşmadı.</t>
        </is>
      </c>
      <c r="D64" s="5" t="inlineStr"/>
      <c r="E64" s="5" t="inlineStr">
        <is>
          <t>saglik</t>
        </is>
      </c>
    </row>
    <row r="65">
      <c r="A65" s="5" t="n">
        <v>40</v>
      </c>
      <c r="B65" s="5" t="n">
        <v>60</v>
      </c>
      <c r="C65" s="6" t="inlineStr">
        <is>
          <t>Hastane otoparkında, boş yer kovalarken. Boş yer sonunda çıktı.</t>
        </is>
      </c>
      <c r="D65" s="5" t="inlineStr"/>
      <c r="E65" s="5" t="inlineStr">
        <is>
          <t>saglik</t>
        </is>
      </c>
    </row>
    <row r="66">
      <c r="A66" s="5" t="n">
        <v>40</v>
      </c>
      <c r="B66" s="5" t="n">
        <v>60</v>
      </c>
      <c r="C66" s="6" t="inlineStr">
        <is>
          <t>Doktorun ‘Biraz kilo vermelisiniz’ cümlesini ikinci kez duyduğu anda. Reçeteye çorba yazıldı.</t>
        </is>
      </c>
      <c r="D66" s="5" t="inlineStr"/>
      <c r="E66" s="5" t="inlineStr">
        <is>
          <t>saglik</t>
        </is>
      </c>
    </row>
    <row r="67">
      <c r="A67" s="5" t="n">
        <v>60</v>
      </c>
      <c r="B67" s="5" t="n">
        <v>75</v>
      </c>
      <c r="C67" s="6" t="inlineStr">
        <is>
          <t>Poliklinik koridorunda, randevusunu üç ay sonraya aldığı anda. Randevu hâlâ geçerli.</t>
        </is>
      </c>
      <c r="D67" s="5" t="inlineStr"/>
      <c r="E67" s="5" t="inlineStr">
        <is>
          <t>saglik</t>
        </is>
      </c>
    </row>
    <row r="68">
      <c r="A68" s="5" t="n">
        <v>75</v>
      </c>
      <c r="B68" s="5" t="n">
        <v>90</v>
      </c>
      <c r="C68" s="6" t="inlineStr">
        <is>
          <t>Hastane odasında, tüm ailesi etrafındayken, huzur içinde. Oda bir süre kalabalık kaldı.</t>
        </is>
      </c>
      <c r="D68" s="5" t="inlineStr"/>
      <c r="E68" s="5" t="inlineStr">
        <is>
          <t>saglik</t>
        </is>
      </c>
    </row>
    <row r="69">
      <c r="A69" s="5" t="n">
        <v>18</v>
      </c>
      <c r="B69" s="5" t="n">
        <v>40</v>
      </c>
      <c r="C69" s="6" t="inlineStr">
        <is>
          <t>Düğünde pastayı kesme sırasında, tam objektife dönerken. Pasta kesildi, fotoğraf çıktı.</t>
        </is>
      </c>
      <c r="D69" s="5" t="inlineStr"/>
      <c r="E69" s="5" t="inlineStr">
        <is>
          <t>sosyal</t>
        </is>
      </c>
    </row>
    <row r="70">
      <c r="A70" s="5" t="n">
        <v>18</v>
      </c>
      <c r="B70" s="5" t="n">
        <v>40</v>
      </c>
      <c r="C70" s="6" t="inlineStr">
        <is>
          <t>Kafede ‘Bir çay daha’ dediği anda. Çay geldi, kimse içmedi.</t>
        </is>
      </c>
      <c r="D70" s="5" t="inlineStr"/>
      <c r="E70" s="5" t="inlineStr">
        <is>
          <t>sosyal</t>
        </is>
      </c>
    </row>
    <row r="71">
      <c r="A71" s="5" t="n">
        <v>40</v>
      </c>
      <c r="B71" s="5" t="n">
        <v>60</v>
      </c>
      <c r="C71" s="6" t="inlineStr">
        <is>
          <t>Düğün salonunda, davul çalarken ‘Bir halay da ben’ diyerek ortaya çıktığı an. Halay devam etti.</t>
        </is>
      </c>
      <c r="D71" s="5" t="inlineStr"/>
      <c r="E71" s="5" t="inlineStr">
        <is>
          <t>sosyal</t>
        </is>
      </c>
    </row>
    <row r="72">
      <c r="A72" s="5" t="n">
        <v>40</v>
      </c>
      <c r="B72" s="5" t="n">
        <v>60</v>
      </c>
      <c r="C72" s="6" t="inlineStr">
        <is>
          <t>Mahalle maçında, ‘Ben kaleye geçeyim’ dediği anda. Maç berabere bitti.</t>
        </is>
      </c>
      <c r="D72" s="5" t="inlineStr"/>
      <c r="E72" s="5" t="inlineStr">
        <is>
          <t>sosyal</t>
        </is>
      </c>
    </row>
    <row r="73">
      <c r="A73" s="5" t="n">
        <v>60</v>
      </c>
      <c r="B73" s="5" t="n">
        <v>75</v>
      </c>
      <c r="C73" s="6" t="inlineStr">
        <is>
          <t>Kahvede, tavlada ‘şeş-beş’ attığı anda. Rakip itiraz etmedi.</t>
        </is>
      </c>
      <c r="D73" s="5" t="inlineStr"/>
      <c r="E73" s="5" t="inlineStr">
        <is>
          <t>sosyal</t>
        </is>
      </c>
    </row>
    <row r="74">
      <c r="A74" s="5" t="n">
        <v>75</v>
      </c>
      <c r="B74" s="5" t="n">
        <v>90</v>
      </c>
      <c r="C74" s="6" t="inlineStr">
        <is>
          <t>Düğün sofrasında, torununun ilk dansını izlerken, huzur içinde. Müzik durmadı.</t>
        </is>
      </c>
      <c r="D74" s="5" t="inlineStr"/>
      <c r="E74" s="5" t="inlineStr">
        <is>
          <t>sosyal</t>
        </is>
      </c>
    </row>
    <row r="75">
      <c r="A75" s="5" t="n">
        <v>18</v>
      </c>
      <c r="B75" s="5" t="n">
        <v>40</v>
      </c>
      <c r="C75" s="6" t="inlineStr">
        <is>
          <t>Sınav salonunda, son soruyu cevaplarken. Süre dolmuştu; cevap doğruydu.</t>
        </is>
      </c>
      <c r="D75" s="5" t="inlineStr"/>
      <c r="E75" s="5" t="inlineStr">
        <is>
          <t>kurum</t>
        </is>
      </c>
    </row>
    <row r="76">
      <c r="A76" s="5" t="n">
        <v>18</v>
      </c>
      <c r="B76" s="5" t="n">
        <v>40</v>
      </c>
      <c r="C76" s="6" t="inlineStr">
        <is>
          <t>Üniversitenin kantininde, uzun kuyruğun en önünde. Tost bitti.</t>
        </is>
      </c>
      <c r="D76" s="5" t="inlineStr"/>
      <c r="E76" s="5" t="inlineStr">
        <is>
          <t>kurum</t>
        </is>
      </c>
    </row>
    <row r="77">
      <c r="A77" s="5" t="n">
        <v>40</v>
      </c>
      <c r="B77" s="5" t="n">
        <v>60</v>
      </c>
      <c r="C77" s="6" t="inlineStr">
        <is>
          <t>Veli toplantısında, ‘Çocuğunuz çok yaratıcı’ cümlesini duyarken. Cümle devam etti.</t>
        </is>
      </c>
      <c r="D77" s="5" t="inlineStr"/>
      <c r="E77" s="5" t="inlineStr">
        <is>
          <t>kurum</t>
        </is>
      </c>
    </row>
    <row r="78">
      <c r="A78" s="5" t="n">
        <v>40</v>
      </c>
      <c r="B78" s="5" t="n">
        <v>60</v>
      </c>
      <c r="C78" s="6" t="inlineStr">
        <is>
          <t>Mahkeme koridorunda, ‘Dosyanız hazır’ cümlesini beklerken. Dosya başka koridordaydı.</t>
        </is>
      </c>
      <c r="D78" s="5" t="inlineStr"/>
      <c r="E78" s="5" t="inlineStr">
        <is>
          <t>kurum</t>
        </is>
      </c>
    </row>
    <row r="79">
      <c r="A79" s="5" t="n">
        <v>60</v>
      </c>
      <c r="B79" s="5" t="n">
        <v>75</v>
      </c>
      <c r="C79" s="6" t="inlineStr">
        <is>
          <t>Köy meydanında, muhtarın ‘Kimsenin itirazı yoksa’ dediği anda. İtiraz eden çıkmadı.</t>
        </is>
      </c>
      <c r="D79" s="5" t="inlineStr"/>
      <c r="E79" s="5" t="inlineStr">
        <is>
          <t>kurum</t>
        </is>
      </c>
    </row>
    <row r="80">
      <c r="A80" s="5" t="n">
        <v>75</v>
      </c>
      <c r="B80" s="5" t="n">
        <v>90</v>
      </c>
      <c r="C80" s="6" t="inlineStr">
        <is>
          <t>Huzurevinin bahçesinde, sabah güneşinde, huzur içinde. Güneş batana kadar kimse rahatsız etmedi.</t>
        </is>
      </c>
      <c r="D80" s="5" t="inlineStr"/>
      <c r="E80" s="5" t="inlineStr">
        <is>
          <t>kurum</t>
        </is>
      </c>
    </row>
  </sheetData>
  <autoFilter ref="A1:E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22" customWidth="1" min="1" max="1"/>
    <col width="20" customWidth="1" min="2" max="2"/>
    <col width="22" customWidth="1" min="3" max="3"/>
    <col width="60" customWidth="1" min="4" max="4"/>
    <col width="9" customWidth="1" min="5" max="5"/>
    <col width="34" customWidth="1" min="6" max="6"/>
    <col width="60" customWidth="1" min="7" max="7"/>
    <col width="60" customWidth="1" min="8" max="8"/>
    <col width="60" customWidth="1" min="9" max="9"/>
    <col width="60" customWidth="1" min="10" max="10"/>
    <col width="60" customWidth="1" min="11" max="11"/>
  </cols>
  <sheetData>
    <row r="1">
      <c r="A1" t="inlineStr">
        <is>
          <t>Olay ID</t>
        </is>
      </c>
      <c r="B1" t="inlineStr">
        <is>
          <t>Gereken hafıza</t>
        </is>
      </c>
      <c r="C1" t="inlineStr">
        <is>
          <t>Başlık</t>
        </is>
      </c>
      <c r="D1" t="inlineStr">
        <is>
          <t>Olay metni</t>
        </is>
      </c>
      <c r="E1" t="inlineStr">
        <is>
          <t>Seçim no</t>
        </is>
      </c>
      <c r="F1" t="inlineStr">
        <is>
          <t>Seçim metni</t>
        </is>
      </c>
      <c r="G1" t="inlineStr">
        <is>
          <t>Kesin sonuç metni</t>
        </is>
      </c>
      <c r="H1" t="inlineStr">
        <is>
          <t>Başarı</t>
        </is>
      </c>
      <c r="I1" t="inlineStr">
        <is>
          <t>Kritik başarı</t>
        </is>
      </c>
      <c r="J1" t="inlineStr">
        <is>
          <t>Başarısız</t>
        </is>
      </c>
      <c r="K1" t="inlineStr">
        <is>
          <t>Kritik hata</t>
        </is>
      </c>
    </row>
    <row r="2">
      <c r="A2" t="inlineStr">
        <is>
          <t>b6-staj</t>
        </is>
      </c>
      <c r="B2" t="inlineStr">
        <is>
          <t>bolum-muhendislik</t>
        </is>
      </c>
      <c r="D2" t="inlineStr">
        <is>
          <t>Staj başladı. İlk gün bir baret, bir çizim masası ve “Şimdilik sahayı izle” talimatı verildi. Şimdilik üç hafta sürdü.</t>
        </is>
      </c>
    </row>
    <row r="3">
      <c r="A3" t="inlineStr">
        <is>
          <t>b6-staj</t>
        </is>
      </c>
      <c r="B3" t="inlineStr">
        <is>
          <t>bolum-muhendislik</t>
        </is>
      </c>
      <c r="E3" t="n">
        <v>3</v>
      </c>
      <c r="F3" t="inlineStr">
        <is>
          <t>Teslim çizelgesindeki hatayı bul</t>
        </is>
      </c>
      <c r="H3" t="inlineStr">
        <is>
          <t>Çizelgede iki günün çift sayıldığını buldun. Proje bir hafta öne çekildi; şantiye şefi baretini sana uzattı, bu bir ödül.</t>
        </is>
      </c>
      <c r="I3" t="inlineStr">
        <is>
          <t>Çizelgeyi baştan kurdun. Teslim iki hafta öne geldi; şef “Bu çocuk nereden çıktı?” dedi, ofis “Stajyer” dedi.</t>
        </is>
      </c>
      <c r="J3" t="inlineStr">
        <is>
          <t>Hatayı buldun ama çizelge zaten teslim edilmişti. Şef “Bir dahaki projede” dedi; bir dahaki proje üç yıl sonra.</t>
        </is>
      </c>
      <c r="K3" t="inlineStr">
        <is>
          <t>Düzeltirken tüm teslim tarihlerini bir ay kaydırdın. Şantiye şefi sessizce çıktı; akşama kadar telefonda kaldı.</t>
        </is>
      </c>
    </row>
    <row r="4">
      <c r="A4" t="inlineStr">
        <is>
          <t>b6-staj</t>
        </is>
      </c>
      <c r="B4" t="inlineStr">
        <is>
          <t>bolum-muhendislik</t>
        </is>
      </c>
      <c r="E4" t="n">
        <v>4</v>
      </c>
      <c r="F4" t="inlineStr">
        <is>
          <t>Toplantıda söz iste</t>
        </is>
      </c>
    </row>
    <row r="5">
      <c r="A5" t="inlineStr">
        <is>
          <t>mb-ilk-gun-karti</t>
        </is>
      </c>
      <c r="B5" t="inlineStr">
        <is>
          <t>bolum-hukuk</t>
        </is>
      </c>
      <c r="D5" t="inlineStr">
        <is>
          <t>İlk iş günün. Büronun kapı kartın henüz yazılmadı; sekreter seni müvekkil sandı. Kıdemli ortak seni henüz tanımıyor, müvekkiller de.</t>
        </is>
      </c>
    </row>
    <row r="6">
      <c r="A6" t="inlineStr">
        <is>
          <t>mb-ilk-gun-karti</t>
        </is>
      </c>
      <c r="B6" t="inlineStr">
        <is>
          <t>bolum-muhendislik</t>
        </is>
      </c>
      <c r="D6" t="inlineStr">
        <is>
          <t>İlk iş günün. Baretin henüz çıkmadı; şantiye kapısındaki güvenlik seni tanımıyor. Şef “Yeni mühendis sen misin?” diye üç kez sordu.</t>
        </is>
      </c>
    </row>
    <row r="7">
      <c r="A7" t="inlineStr">
        <is>
          <t>mb-acik-ofis</t>
        </is>
      </c>
      <c r="B7" t="inlineStr">
        <is>
          <t>bolum-hukuk</t>
        </is>
      </c>
      <c r="D7" t="inlineStr">
        <is>
          <t>İletişim güçlensin diye büronun duvarları kaldırıldı. Müvekkil görüşmeleri artık koridorda; gizlilik, bitkinin arkasında.</t>
        </is>
      </c>
    </row>
    <row r="8">
      <c r="A8" t="inlineStr">
        <is>
          <t>mb-acik-ofis</t>
        </is>
      </c>
      <c r="B8" t="inlineStr">
        <is>
          <t>bolum-muhendislik</t>
        </is>
      </c>
      <c r="D8" t="inlineStr">
        <is>
          <t>İletişim güçlensin diye ofisteki bölmeler kaldırıldı. Artık herkes herkesin projesini, bir de herkesin kahve saatini görüyor.</t>
        </is>
      </c>
    </row>
    <row r="9">
      <c r="A9" t="inlineStr">
        <is>
          <t>mb-performans-karti</t>
        </is>
      </c>
      <c r="B9" t="inlineStr">
        <is>
          <t>bolum-hukuk</t>
        </is>
      </c>
      <c r="D9" t="inlineStr">
        <is>
          <t>Yıllık değerlendirme. Hedef kartında “Faturalanabilir saati artırmak” yazıyor. Gün yirmi dört saat, hedef değişmiyor.</t>
        </is>
      </c>
    </row>
    <row r="10">
      <c r="A10" t="inlineStr">
        <is>
          <t>mb-performans-karti</t>
        </is>
      </c>
      <c r="B10" t="inlineStr">
        <is>
          <t>bolum-muhendislik</t>
        </is>
      </c>
      <c r="D10" t="inlineStr">
        <is>
          <t>Yıllık değerlendirme. Hedef kartında “Şantiye teslimini müşteri memnuniyetiyle ölçeklendirmek” yazıyor. Şantiye ölçeklendi, memnuniyet hâlâ yolda.</t>
        </is>
      </c>
    </row>
    <row r="11">
      <c r="A11" t="inlineStr">
        <is>
          <t>mb-terfi-yarisi</t>
        </is>
      </c>
      <c r="B11" t="inlineStr">
        <is>
          <t>bolum-hukuk</t>
        </is>
      </c>
      <c r="D11" t="inlineStr">
        <is>
          <t>Ortaklık kadrosunda bir yer açıldı. İki aday var: sen ve her öğle yemeğinde kıdemli ortakla aynı masaya oturan kişi.</t>
        </is>
      </c>
      <c r="E11" t="n">
        <v>1</v>
      </c>
      <c r="F11" t="inlineStr">
        <is>
          <t>Ortaklara dosya sunumu yap</t>
        </is>
      </c>
    </row>
    <row r="12">
      <c r="A12" t="inlineStr">
        <is>
          <t>mb-terfi-yarisi</t>
        </is>
      </c>
      <c r="B12" t="inlineStr">
        <is>
          <t>bolum-muhendislik</t>
        </is>
      </c>
      <c r="D12" t="inlineStr">
        <is>
          <t>Proje yöneticiliği kadrosu açıldı. İki aday var: sen ve her saha ziyaretinde müdürle aynı araca binen kişi.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2026-10-09T10:45:35Z</dcterms:created>
  <dcterms:modified xmlns:dcterms="http://purl.org/dc/terms/" xmlns:xsi="http://www.w3.org/2001/XMLSchema-instance" xsi:type="dcterms:W3CDTF">2026-10-19T08:25:03Z</dcterms:modified>
</cp:coreProperties>
</file>