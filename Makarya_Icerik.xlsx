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c r="F2" t="inlineStr"/>
      <c r="G2" t="inlineStr"/>
    </row>
    <row r="3">
      <c r="A3" t="n">
        <v>2</v>
      </c>
      <c r="B3">
        <f>COUNTIF(Olaylar!B:B,2)</f>
        <v/>
      </c>
      <c r="C3">
        <f>COUNTIFS(Olaylar!B:B,2,Olaylar!I:I,"E")</f>
        <v/>
      </c>
      <c r="D3">
        <f>VLOOKUP(2,Bölümler!A:C,3,FALSE)</f>
        <v/>
      </c>
      <c r="E3">
        <f>SUMPRODUCT((COUNTIFS(Seçimler!A:A,Olaylar!A$2:A$486)&gt;0)*(Olaylar!B$2:B$486=2)*COUNTIFS(Seçimler!A:A,Olaylar!A$2:A$486))</f>
        <v/>
      </c>
      <c r="F3" t="inlineStr"/>
      <c r="G3" t="inlineStr"/>
    </row>
    <row r="4">
      <c r="A4" t="n">
        <v>3</v>
      </c>
      <c r="B4">
        <f>COUNTIF(Olaylar!B:B,3)</f>
        <v/>
      </c>
      <c r="C4">
        <f>COUNTIFS(Olaylar!B:B,3,Olaylar!I:I,"E")</f>
        <v/>
      </c>
      <c r="D4">
        <f>VLOOKUP(3,Bölümler!A:C,3,FALSE)</f>
        <v/>
      </c>
      <c r="E4">
        <f>SUMPRODUCT((COUNTIFS(Seçimler!A:A,Olaylar!A$2:A$486)&gt;0)*(Olaylar!B$2:B$486=3)*COUNTIFS(Seçimler!A:A,Olaylar!A$2:A$486))</f>
        <v/>
      </c>
      <c r="F4" t="inlineStr"/>
      <c r="G4" t="inlineStr"/>
    </row>
    <row r="5">
      <c r="A5" t="n">
        <v>4</v>
      </c>
      <c r="B5">
        <f>COUNTIF(Olaylar!B:B,4)</f>
        <v/>
      </c>
      <c r="C5">
        <f>COUNTIFS(Olaylar!B:B,4,Olaylar!I:I,"E")</f>
        <v/>
      </c>
      <c r="D5">
        <f>VLOOKUP(4,Bölümler!A:C,3,FALSE)</f>
        <v/>
      </c>
      <c r="E5">
        <f>SUMPRODUCT((COUNTIFS(Seçimler!A:A,Olaylar!A$2:A$486)&gt;0)*(Olaylar!B$2:B$486=4)*COUNTIFS(Seçimler!A:A,Olaylar!A$2:A$486))</f>
        <v/>
      </c>
      <c r="F5" t="inlineStr"/>
      <c r="G5" t="inlineStr"/>
    </row>
    <row r="6">
      <c r="A6" t="n">
        <v>5</v>
      </c>
      <c r="B6">
        <f>COUNTIF(Olaylar!B:B,5)</f>
        <v/>
      </c>
      <c r="C6">
        <f>COUNTIFS(Olaylar!B:B,5,Olaylar!I:I,"E")</f>
        <v/>
      </c>
      <c r="D6">
        <f>VLOOKUP(5,Bölümler!A:C,3,FALSE)</f>
        <v/>
      </c>
      <c r="E6">
        <f>SUMPRODUCT((COUNTIFS(Seçimler!A:A,Olaylar!A$2:A$486)&gt;0)*(Olaylar!B$2:B$486=5)*COUNTIFS(Seçimler!A:A,Olaylar!A$2:A$486))</f>
        <v/>
      </c>
      <c r="F6" t="inlineStr"/>
      <c r="G6" t="inlineStr"/>
    </row>
    <row r="7">
      <c r="A7" t="n">
        <v>6</v>
      </c>
      <c r="B7">
        <f>COUNTIF(Olaylar!B:B,6)</f>
        <v/>
      </c>
      <c r="C7">
        <f>COUNTIFS(Olaylar!B:B,6,Olaylar!I:I,"E")</f>
        <v/>
      </c>
      <c r="D7">
        <f>VLOOKUP(6,Bölümler!A:C,3,FALSE)</f>
        <v/>
      </c>
      <c r="E7">
        <f>SUMPRODUCT((COUNTIFS(Seçimler!A:A,Olaylar!A$2:A$486)&gt;0)*(Olaylar!B$2:B$486=6)*COUNTIFS(Seçimler!A:A,Olaylar!A$2:A$486))</f>
        <v/>
      </c>
      <c r="F7" t="inlineStr"/>
      <c r="G7" t="inlineStr"/>
    </row>
    <row r="8">
      <c r="A8" t="n">
        <v>7</v>
      </c>
      <c r="B8">
        <f>COUNTIF(Olaylar!B:B,7)</f>
        <v/>
      </c>
      <c r="C8">
        <f>COUNTIFS(Olaylar!B:B,7,Olaylar!I:I,"E")</f>
        <v/>
      </c>
      <c r="D8">
        <f>VLOOKUP(7,Bölümler!A:C,3,FALSE)</f>
        <v/>
      </c>
      <c r="E8">
        <f>SUMPRODUCT((COUNTIFS(Seçimler!A:A,Olaylar!A$2:A$486)&gt;0)*(Olaylar!B$2:B$486=7)*COUNTIFS(Seçimler!A:A,Olaylar!A$2:A$486))</f>
        <v/>
      </c>
      <c r="F8" t="inlineStr"/>
      <c r="G8" t="inlineStr"/>
    </row>
    <row r="9">
      <c r="A9" t="n">
        <v>8</v>
      </c>
      <c r="B9">
        <f>COUNTIF(Olaylar!B:B,8)</f>
        <v/>
      </c>
      <c r="C9">
        <f>COUNTIFS(Olaylar!B:B,8,Olaylar!I:I,"E")</f>
        <v/>
      </c>
      <c r="D9">
        <f>VLOOKUP(8,Bölümler!A:C,3,FALSE)</f>
        <v/>
      </c>
      <c r="E9">
        <f>SUMPRODUCT((COUNTIFS(Seçimler!A:A,Olaylar!A$2:A$486)&gt;0)*(Olaylar!B$2:B$486=8)*COUNTIFS(Seçimler!A:A,Olaylar!A$2:A$486))</f>
        <v/>
      </c>
      <c r="F9" t="inlineStr"/>
      <c r="G9" t="inlineStr"/>
    </row>
    <row r="10">
      <c r="A10" t="n">
        <v>9</v>
      </c>
      <c r="B10">
        <f>COUNTIF(Olaylar!B:B,9)</f>
        <v/>
      </c>
      <c r="C10">
        <f>COUNTIFS(Olaylar!B:B,9,Olaylar!I:I,"E")</f>
        <v/>
      </c>
      <c r="D10">
        <f>VLOOKUP(9,Bölümler!A:C,3,FALSE)</f>
        <v/>
      </c>
      <c r="E10">
        <f>SUMPRODUCT((COUNTIFS(Seçimler!A:A,Olaylar!A$2:A$486)&gt;0)*(Olaylar!B$2:B$486=9)*COUNTIFS(Seçimler!A:A,Olaylar!A$2:A$486))</f>
        <v/>
      </c>
      <c r="F10" t="inlineStr"/>
      <c r="G10" t="inlineStr"/>
    </row>
    <row r="11">
      <c r="A11" t="n">
        <v>10</v>
      </c>
      <c r="B11">
        <f>COUNTIF(Olaylar!B:B,10)</f>
        <v/>
      </c>
      <c r="C11">
        <f>COUNTIFS(Olaylar!B:B,10,Olaylar!I:I,"E")</f>
        <v/>
      </c>
      <c r="D11">
        <f>VLOOKUP(10,Bölümler!A:C,3,FALSE)</f>
        <v/>
      </c>
      <c r="E11">
        <f>SUMPRODUCT((COUNTIFS(Seçimler!A:A,Olaylar!A$2:A$486)&gt;0)*(Olaylar!B$2:B$486=10)*COUNTIFS(Seçimler!A:A,Olaylar!A$2:A$486))</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1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poker</t>
        </is>
      </c>
      <c r="N86" s="5" t="inlineStr">
        <is>
          <t>Poker Yüzü</t>
        </is>
      </c>
      <c r="O86" s="6" t="inlineStr">
        <is>
          <t>Parmağını daireye koy ve 5 saniye boyunca dairenin içinde tut. Kıpırdama. Göz kırpma.</t>
        </is>
      </c>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memory</t>
        </is>
      </c>
      <c r="N97" s="5" t="inlineStr">
        <is>
          <t>Takımı Oku</t>
        </is>
      </c>
      <c r="O97" s="6" t="inlineStr">
        <is>
          <t>Çocukları kısa süre göreceksin. En iyi top kontrolü olanı hatırla.</t>
        </is>
      </c>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doors</t>
        </is>
      </c>
      <c r="N129" s="5" t="inlineStr">
        <is>
          <t>Doğru Sınıfı Bul</t>
        </is>
      </c>
      <c r="O129" s="6" t="inlineStr">
        <is>
          <t>Sınıfının işaretini aklında tut. Birazdan kaybolacak.</t>
        </is>
      </c>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on kuruş. Söyledin. Teyze bozukluğu geri aldı,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Pişkinlik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açtın. Annen seni öptü; baban karneyi kapıp balkondan alt komşuya salladı: “Bizimki!”</t>
        </is>
      </c>
      <c r="I179" s="6" t="inlineStr">
        <is>
          <t>Karneyi kapıda açtın. Annen fotoğrafını çekip aile grubuna attı; on dakikada otuz kalp ve babaannenin bir sesli mesajı geldi: “Bu bizim taraftan.”</t>
        </is>
      </c>
      <c r="J179" s="6" t="inlineStr">
        <is>
          <t>Karneyi gösterdin; tek zayıf not da görüldü.</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kötü haber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zayıf not dahil.</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rhythm</t>
        </is>
      </c>
      <c r="N196" s="5" t="inlineStr">
        <is>
          <t>Flüt Ritmi</t>
        </is>
      </c>
      <c r="O196" s="6" t="inlineStr">
        <is>
          <t>Işık yanınca notaya bas. Kaçırırsan alt kat süpürge sapıyla tavana vurur.</t>
        </is>
      </c>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swipe</t>
        </is>
      </c>
      <c r="N200" s="5" t="inlineStr">
        <is>
          <t>Gönder ya da Sil</t>
        </is>
      </c>
      <c r="O200" s="6" t="inlineStr">
        <is>
          <t>Kartları hızla ayır: işe yarayanı gönder, pişman olacağını sil.</t>
        </is>
      </c>
      <c r="P200"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lanes</t>
        </is>
      </c>
      <c r="N216" s="5" t="inlineStr">
        <is>
          <t>Köşeden Kaç</t>
        </is>
      </c>
      <c r="O216" s="6" t="inlineStr">
        <is>
          <t>Sağa sola kayarak engellere çarpmadan eve ulaş.</t>
        </is>
      </c>
      <c r="P216" s="6" t="inlineStr">
        <is>
          <t>{"obstacles":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Pişkinlik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hold</t>
        </is>
      </c>
      <c r="N226" s="5" t="inlineStr">
        <is>
          <t>Sesini Sabit Tut</t>
        </is>
      </c>
      <c r="O226" s="6" t="inlineStr">
        <is>
          <t>Basılı tut, çubuk yeşildeyken bırak. Az kalırsa fısıltı, fazla kaçarsa kanarya.</t>
        </is>
      </c>
      <c r="P226" s="6" t="inlineStr"/>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poker</t>
        </is>
      </c>
      <c r="N254" s="5" t="inlineStr">
        <is>
          <t>Akşam Yemeği Sorgusu</t>
        </is>
      </c>
      <c r="O254" s="6" t="inlineStr">
        <is>
          <t>Parmağını daireye koy ve kıpırdatma. Sorular üstüne gelecek.</t>
        </is>
      </c>
      <c r="P254" s="6" t="inlineStr">
        <is>
          <t>{"questions": ["Okul nasıl?", "Sınavlar ne zaman?", "Neden bu kadar sessizsin?", "Çantanda ne var?", "Bana bak bakayım."]}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bargain</t>
        </is>
      </c>
      <c r="N305" s="5" t="inlineStr">
        <is>
          <t>Son Fiyat?</t>
        </is>
      </c>
      <c r="O305" s="6" t="inlineStr">
        <is>
          <t>Alıcının sabrı bitmeden doğru fiyatı bul. Fazla inersen annen duyar.</t>
        </is>
      </c>
      <c r="P305" s="6" t="inlineStr">
        <is>
          <t>{"item":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balance</t>
        </is>
      </c>
      <c r="N309" s="5" t="inlineStr">
        <is>
          <t>Tek Ayak Sinyal</t>
        </is>
      </c>
      <c r="O309" s="6" t="inlineStr">
        <is>
          <t>Kayan sinyal çizgisinin altında telefonu tut. Tek ayak üstündesin, unutma.</t>
        </is>
      </c>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bargain</t>
        </is>
      </c>
      <c r="N334" s="5" t="inlineStr">
        <is>
          <t>Kayıt Masası Pazarlığı</t>
        </is>
      </c>
      <c r="O334" s="6" t="inlineStr">
        <is>
          <t>Danışmanın sabrı bitmeden doğru indirimi kopar; kalem hediyesine razı olma.</t>
        </is>
      </c>
      <c r="P334" s="6" t="inlineStr">
        <is>
          <t>{"item":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race</t>
        </is>
      </c>
      <c r="N353" s="5" t="inlineStr">
        <is>
          <t>Bildirimden Önce</t>
        </is>
      </c>
      <c r="O353" s="6" t="inlineStr">
        <is>
          <t>Hızlı dokun; eve bildirimden önce var.</t>
        </is>
      </c>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balance</t>
        </is>
      </c>
      <c r="N375" s="5" t="inlineStr">
        <is>
          <t>Çay Tepsisi</t>
        </is>
      </c>
      <c r="O375" s="6" t="inlineStr">
        <is>
          <t>Tepsiyi parmağınla dengede tut; on iki bardak da masaya ulaşsın.</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breath</t>
        </is>
      </c>
      <c r="N394" s="5" t="inlineStr">
        <is>
          <t>Sınav Nefesi</t>
        </is>
      </c>
      <c r="O394" s="6" t="inlineStr">
        <is>
          <t>Daire büyürken nefes al, küçülürken ver. Sorular bekleyebilir.</t>
        </is>
      </c>
      <c r="P394" s="6" t="inlineStr"/>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Mektubu yazdın; bir okuldan “bekleme listesi” cevabı geldi. Annen çıktısını alıp vitrine koydu. Komşulara “Bizimkini bekliyorlar” diyor.</t>
        </is>
      </c>
      <c r="I403" s="6" t="inlineStr">
        <is>
          <t>Kısmi burs geldi. Ailen hesap makinesini çıkardı. Hesap makinesi hâlâ düşünüyor.</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Ailen “Önce buradaki sınavı kazan” dedi. Baban yine de videoyu bir kez daha izledi.</t>
        </is>
      </c>
      <c r="I404" s="6" t="inlineStr">
        <is>
          <t>Sunumun sonunda ailen buzdolabının üstüne bir “Öte Diyar kumbarası” koydu. İlk katkı: senin bayram harçlıkların.</t>
        </is>
      </c>
      <c r="J404" s="6" t="inlineStr">
        <is>
          <t>Ailen ücreti yüksek sesle okudu. Sonra bir daha okudu.</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Uçak bileti ailede.</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lanes</t>
        </is>
      </c>
      <c r="N413" s="5" t="inlineStr">
        <is>
          <t>Teslimat Yolu</t>
        </is>
      </c>
      <c r="O413" s="6" t="inlineStr">
        <is>
          <t>Sağa sola kay; çukurlardan, barikatlardan ve aniden açılan araba kapılarından kaç.</t>
        </is>
      </c>
      <c r="P413" s="6" t="inlineStr">
        <is>
          <t>{"obstacles":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poker</t>
        </is>
      </c>
      <c r="N424" s="5" t="inlineStr">
        <is>
          <t>Gece Yarısı Mutfak</t>
        </is>
      </c>
      <c r="O424" s="6" t="inlineStr">
        <is>
          <t>Parmağını dairenin içinde tut; ses çıkarma, ekmek poşetine dokunma.</t>
        </is>
      </c>
      <c r="P424" s="6" t="inlineStr"/>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is>
          <t>Bilgili Sıfır</t>
        </is>
      </c>
      <c r="AJ425" s="5" t="inlineStr"/>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c r="AJ426" s="5" t="inlineStr"/>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c r="AJ427" s="5" t="inlineStr"/>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t>
        </is>
      </c>
      <c r="W428" s="5" t="inlineStr"/>
      <c r="X428" s="5" t="inlineStr"/>
      <c r="Y428" s="5" t="inlineStr"/>
      <c r="Z428" s="6" t="inlineStr"/>
      <c r="AA428" s="5" t="inlineStr"/>
      <c r="AB428" s="5" t="inlineStr"/>
      <c r="AC428" s="5" t="inlineStr"/>
      <c r="AD428" s="5" t="inlineStr"/>
      <c r="AE428" s="5" t="inlineStr"/>
      <c r="AF428" s="5" t="inlineStr"/>
      <c r="AG428" s="5" t="inlineStr"/>
      <c r="AH428" s="5" t="inlineStr"/>
      <c r="AI428" s="5" t="inlineStr"/>
      <c r="AJ428" s="5" t="inlineStr"/>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c r="AC430" s="5" t="inlineStr"/>
      <c r="AD430" s="5" t="inlineStr"/>
      <c r="AE430" s="5" t="inlineStr"/>
      <c r="AF430" s="5" t="inlineStr"/>
      <c r="AG430" s="5" t="inlineStr"/>
      <c r="AH430" s="5" t="inlineStr"/>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rhythm</t>
        </is>
      </c>
      <c r="N432" s="5" t="inlineStr">
        <is>
          <t>İlk Dans</t>
        </is>
      </c>
      <c r="O432" s="6" t="inlineStr">
        <is>
          <t>Işık parladığında adım at; ritmi kaçırırsan pist seni izler.</t>
        </is>
      </c>
      <c r="P432" s="6" t="inlineStr"/>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hold</t>
        </is>
      </c>
      <c r="N461" s="5" t="inlineStr">
        <is>
          <t>Yokuş Kalkışı</t>
        </is>
      </c>
      <c r="O461" s="6" t="inlineStr">
        <is>
          <t>Debriyajı yavaşça bırak: çubuk yeşil aralığa girince parmağını kaldır. Erken bırakırsan stop, geç bırakırsan geri kayarsın.</t>
        </is>
      </c>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bargain</t>
        </is>
      </c>
      <c r="N493" s="5" t="inlineStr">
        <is>
          <t>Kira Pazarlığı</t>
        </is>
      </c>
      <c r="O493" s="6" t="inlineStr">
        <is>
          <t>Ev sahibinin sabrı bitmeden kirayı aşağı kaydır ve makul yerde anlaş.</t>
        </is>
      </c>
      <c r="P493" s="6" t="inlineStr">
        <is>
          <t>{"item":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balance</t>
        </is>
      </c>
      <c r="N496" s="5" t="inlineStr">
        <is>
          <t>Dördüncü Kat</t>
        </is>
      </c>
      <c r="O496" s="6" t="inlineStr">
        <is>
          <t>Buzdolabını merdivende sağa sola devirmeden dengede tut.</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40</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balance</t>
        </is>
      </c>
      <c r="N543" s="5" t="inlineStr">
        <is>
          <t>Vitrin Düzeni</t>
        </is>
      </c>
      <c r="O543" s="6" t="inlineStr">
        <is>
          <t>Üst üste dizilmiş kutuları devirmeden dengede tut. Vitrin dükkânın yüzüdür; yüzün şu an titriyor.</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bargain</t>
        </is>
      </c>
      <c r="N550" s="5" t="inlineStr">
        <is>
          <t>İlk Teklif</t>
        </is>
      </c>
      <c r="O550" s="6" t="inlineStr">
        <is>
          <t>Müşterinin sabrı tükenmeden ücreti olabildiğince yukarıda tut.</t>
        </is>
      </c>
      <c r="P550" s="6" t="inlineStr">
        <is>
          <t>{"item":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Pişkinlik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poker</t>
        </is>
      </c>
      <c r="N554" s="5" t="inlineStr">
        <is>
          <t>Poker Suratı</t>
        </is>
      </c>
      <c r="O554" s="6" t="inlineStr">
        <is>
          <t>Parmağını kaçan dairenin içinde tut. Sorular üstüne geldikçe bırakma.</t>
        </is>
      </c>
      <c r="P554" s="6" t="inlineStr">
        <is>
          <t>{"questions": ["Beş yıl sonra neredesiniz?", "En büyük zayıflığınız?", "Neden ayrıldınız?", "Maaş beklentiniz?", "Neden sizi seçelim?"]}</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rhythm</t>
        </is>
      </c>
      <c r="N561" s="5" t="inlineStr">
        <is>
          <t>Halay Başı</t>
        </is>
      </c>
      <c r="O561" s="6" t="inlineStr">
        <is>
          <t>Davul vurduğu an dokun. Ritmi kaçırırsan halay kopar; mendili düşürme.</t>
        </is>
      </c>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swipe</t>
        </is>
      </c>
      <c r="N572" s="5" t="inlineStr">
        <is>
          <t>İmzala ya da İade Et</t>
        </is>
      </c>
      <c r="O572" s="6" t="inlineStr">
        <is>
          <t>Eksiksiz evrakı imzaya, eksik olanı iadeye kaydır. Kararsız kalırsan ikisi de seni bekler.</t>
        </is>
      </c>
      <c r="P572"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bargain</t>
        </is>
      </c>
      <c r="N596" s="5" t="inlineStr">
        <is>
          <t>Toptancı Pazarlığı</t>
        </is>
      </c>
      <c r="O596" s="6" t="inlineStr">
        <is>
          <t>Toptancının sabrı bitmeden fiyatı aşağı çek. Çay ikram ediyorsa henüz umut var.</t>
        </is>
      </c>
      <c r="P596" s="6" t="inlineStr">
        <is>
          <t>{"item":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c r="AJ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lanes</t>
        </is>
      </c>
      <c r="N610" s="5" t="inlineStr">
        <is>
          <t>Terlikle Takip</t>
        </is>
      </c>
      <c r="O610" s="6" t="inlineStr">
        <is>
          <t>Kaldırımda şerit değiştirerek kuryeye yetiş; pazar arabaları ve bakkal kasaları yolda.</t>
        </is>
      </c>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swipe</t>
        </is>
      </c>
      <c r="N631" s="5" t="inlineStr">
        <is>
          <t>Arşivle / Yanıtla</t>
        </is>
      </c>
      <c r="O631" s="6" t="inlineStr">
        <is>
          <t>Gereksizleri sola arşivle, gerçekten önemli olanları sağa yanıtla.</t>
        </is>
      </c>
      <c r="P631"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beş kuruş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Sevdiğin kişiye evlenme teklif et</t>
        </is>
      </c>
      <c r="D660" s="5" t="inlineStr">
        <is>
          <t>Gönül</t>
        </is>
      </c>
      <c r="E660" s="5" t="inlineStr">
        <is>
          <t>Orta</t>
        </is>
      </c>
      <c r="F660" s="5" t="inlineStr"/>
      <c r="G660" s="6" t="inlineStr"/>
      <c r="H660" s="6" t="inlineStr">
        <is>
          <t>Yüzüğü tatlının içine sakladın; neyse ki önce sen fark ettin. “Evet” dedi. İki ay sonra, bir misafir salonunda, tuzlu bir kahve seni bekliyor.</t>
        </is>
      </c>
      <c r="I660" s="6" t="inlineStr">
        <is>
          <t>Teklifi öyle bir kurdun ki garsonlar ağladı, yan masa alkışladı, “Evet” cevabı alkışların arasında kayboldu. Tekrar sordun; yine evet.</t>
        </is>
      </c>
      <c r="J660" s="6" t="inlineStr">
        <is>
          <t>Teklifi prova ettin, cesaretin provada kaldı. Tatlı geldi, yendi, yüzük cebinde eve döndü. Yüzük çekmeceye girdi; sen de uzun bir bekârlığa.</t>
        </is>
      </c>
      <c r="K660" s="6" t="inlineStr">
        <is>
          <t>Diz çöktüğün anda yüzük elinden kaydı, kaldırım ızgarasından kanala düştü. İkiniz telefon feneriyle ızgaraya eğildiniz; bir saat sonra o doğruldu ve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rhythm</t>
        </is>
      </c>
      <c r="N707" s="5" t="inlineStr">
        <is>
          <t>Canlı Performans</t>
        </is>
      </c>
      <c r="O707" s="6" t="inlineStr">
        <is>
          <t>Işık parladığı anda dokun. İki milyon kişi izliyor. Belki.</t>
        </is>
      </c>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breath</t>
        </is>
      </c>
      <c r="N723" s="5" t="inlineStr">
        <is>
          <t>Sunum Nefesi</t>
        </is>
      </c>
      <c r="O723" s="6" t="inlineStr">
        <is>
          <t>Daire büyürken bas, küçülürken bırak. Slaytlar değil, nefes geçer.</t>
        </is>
      </c>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breath</t>
        </is>
      </c>
      <c r="N735" s="5" t="inlineStr">
        <is>
          <t>Ninni Nefesi</t>
        </is>
      </c>
      <c r="O735" s="6" t="inlineStr">
        <is>
          <t>Daire büyürken bas, küçülürken bırak. Bebeğin nefesiyle aynı ritmi tut.</t>
        </is>
      </c>
      <c r="P735" s="6" t="inlineStr"/>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bargain</t>
        </is>
      </c>
      <c r="N766" s="5" t="inlineStr">
        <is>
          <t>Ev Pazarlığı</t>
        </is>
      </c>
      <c r="O766" s="6" t="inlineStr">
        <is>
          <t>Satıcının sabrı bitmeden fiyatı aşağı çek. Çok sıkıştırırsan masadan kalkar.</t>
        </is>
      </c>
      <c r="P766" s="6" t="inlineStr">
        <is>
          <t>{"item":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43</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balance</t>
        </is>
      </c>
      <c r="N789" s="5" t="inlineStr">
        <is>
          <t>Uyuyan Yük</t>
        </is>
      </c>
      <c r="O789" s="6" t="inlineStr">
        <is>
          <t>Uyuyan çocuğu dengede tut. Sallanırsa uyanır.</t>
        </is>
      </c>
      <c r="P789" s="6" t="inlineStr">
        <is>
          <t>{"item": "👶"}</t>
        </is>
      </c>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bargain</t>
        </is>
      </c>
      <c r="N806" s="5" t="inlineStr">
        <is>
          <t>Sezon Sonu Pazarlığı</t>
        </is>
      </c>
      <c r="O806" s="6" t="inlineStr">
        <is>
          <t>Müşterinin sabrı bitmeden fiyatı olabildiğince yukarıda tut. 'Son fiyat' en az üç kez söylenir.</t>
        </is>
      </c>
      <c r="P806" s="6" t="inlineStr">
        <is>
          <t>{"item":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race</t>
        </is>
      </c>
      <c r="N818" s="5" t="inlineStr">
        <is>
          <t>Halat Çekme Finali</t>
        </is>
      </c>
      <c r="O818" s="6" t="inlineStr">
        <is>
          <t>Beş saniye hızlı dokun; karşı takımı çizgiye çek. Müdür karşı tarafta.</t>
        </is>
      </c>
      <c r="P818" s="6" t="inlineStr"/>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bargain</t>
        </is>
      </c>
      <c r="N857" s="5" t="inlineStr">
        <is>
          <t>Not Pazarlığı</t>
        </is>
      </c>
      <c r="O857" s="6" t="inlineStr">
        <is>
          <t>Müdürün sabrı bitmeden notunu “Orta”dan yukarı it. Kırmızı kalem masada bekliyor.</t>
        </is>
      </c>
      <c r="P857" s="6" t="inlineStr">
        <is>
          <t>{"item": "not", "mode": "sell"}</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Pişkinlik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poker</t>
        </is>
      </c>
      <c r="N864" s="5" t="inlineStr">
        <is>
          <t>Miras Sorusu</t>
        </is>
      </c>
      <c r="O864" s="6" t="inlineStr">
        <is>
          <t>Sorular üstüne gelirken parmağını dairede tut. Yüz ifaden kayıt altında.</t>
        </is>
      </c>
      <c r="P864" s="6" t="inlineStr">
        <is>
          <t>{"questions": ["Tarlaya kim bakacak?", "Sen zaten şehirdesin, değil mi?", "Tapu kimde?", "Bu sofrayı kim kurdu?", "Baban tam olarak ne demişti?"]}</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poker</t>
        </is>
      </c>
      <c r="N888" s="5" t="inlineStr">
        <is>
          <t>Kısa Görüşme</t>
        </is>
      </c>
      <c r="O888" s="6" t="inlineStr">
        <is>
          <t>Parmağını dairede tut. Sorular üstüne gelecek. Kıpırdama.</t>
        </is>
      </c>
      <c r="P888" s="6" t="inlineStr">
        <is>
          <t>{"questions": ["Şirkette kendini nasıl görüyorsun?", "Değişime açık mısın?", "Aile nasıl, iyi mi?", "Kartını yanına aldın mı?", "Şu formu bir okur musun?"]}</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balance</t>
        </is>
      </c>
      <c r="N910" s="5" t="inlineStr">
        <is>
          <t>Mutfak Dansı</t>
        </is>
      </c>
      <c r="O910" s="6" t="inlineStr">
        <is>
          <t>Dans ederken tezgâhtan kayan tabağı tepsinin üstünde tut. Müzik hızlanıyor.</t>
        </is>
      </c>
      <c r="P910" s="6" t="inlineStr">
        <is>
          <t>{"item":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bargain</t>
        </is>
      </c>
      <c r="N916" s="5" t="inlineStr">
        <is>
          <t>Özlem Fiyatı</t>
        </is>
      </c>
      <c r="O916" s="6" t="inlineStr">
        <is>
          <t>Karşı tarafın sabrı bitmeden ücreti yukarı it. Özlemin bir fiyatı var.</t>
        </is>
      </c>
      <c r="P916" s="6" t="inlineStr">
        <is>
          <t>{"item":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swipe</t>
        </is>
      </c>
      <c r="N923" s="5" t="inlineStr">
        <is>
          <t>Doğru mu, Sahte mi?</t>
        </is>
      </c>
      <c r="O923" s="6" t="inlineStr">
        <is>
          <t>Haberler akıyor; sahteyi sola, doğruyu sağa at. Amca senden hızlı iletiyor.</t>
        </is>
      </c>
      <c r="P923"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race</t>
        </is>
      </c>
      <c r="N943" s="5" t="inlineStr">
        <is>
          <t>Son Kilometre</t>
        </is>
      </c>
      <c r="O943" s="6" t="inlineStr">
        <is>
          <t>Beş saniye. Ekrana hızla dokun; sponsor standına değil, finişe koş.</t>
        </is>
      </c>
      <c r="P943" s="6" t="inlineStr"/>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bargain</t>
        </is>
      </c>
      <c r="N950" s="5" t="inlineStr">
        <is>
          <t>Emlakçı Pazarlığı</t>
        </is>
      </c>
      <c r="O950" s="6" t="inlineStr">
        <is>
          <t>Emlakçının sabrı bitmeden doğru fiyatı bul. “Bu fiyata bir daha bulamazsınız” cümlesine kanma.</t>
        </is>
      </c>
      <c r="P950" s="6" t="inlineStr">
        <is>
          <t>{"item":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breath</t>
        </is>
      </c>
      <c r="N975" s="5" t="inlineStr">
        <is>
          <t>İlk Buluşma Nefesi</t>
        </is>
      </c>
      <c r="O975" s="6" t="inlineStr">
        <is>
          <t>Daire büyürken nefes al, küçülürken bırak. Sakin kalırsan sohbet kendiliğinden akar.</t>
        </is>
      </c>
      <c r="P975" s="6" t="inlineStr"/>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race</t>
        </is>
      </c>
      <c r="N1012" s="5" t="inlineStr">
        <is>
          <t>Tempo Yarışı</t>
        </is>
      </c>
      <c r="O1012" s="6" t="inlineStr">
        <is>
          <t>Grubun en önüne geçmek için hızlı dokun. Ama unutma, bu resmî olarak bir yarış değil.</t>
        </is>
      </c>
      <c r="P1012" s="6" t="inlineStr"/>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bargain</t>
        </is>
      </c>
      <c r="N1088" s="5" t="inlineStr">
        <is>
          <t>Kapanış Pazarlığı</t>
        </is>
      </c>
      <c r="O1088" s="6" t="inlineStr">
        <is>
          <t>Pazarcının sabrı bitmeden kasanın fiyatını aşağı çek. Kapanışa yarım saat var; onun da evi var.</t>
        </is>
      </c>
      <c r="P1088" s="6" t="inlineStr">
        <is>
          <t>{"item":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balance</t>
        </is>
      </c>
      <c r="N1135" s="5" t="inlineStr">
        <is>
          <t>Kabak Arabası</t>
        </is>
      </c>
      <c r="O1135" s="6" t="inlineStr">
        <is>
          <t>El arabasındaki kabağı dengede tut; bahçe kapısına kadar düşürme. Belin de seninle.</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hold</t>
        </is>
      </c>
      <c r="N1139" s="5" t="inlineStr">
        <is>
          <t>Son Kepenk</t>
        </is>
      </c>
      <c r="O1139" s="6" t="inlineStr">
        <is>
          <t>Kepengi indirmek için basılı tut; çubuğu tam yerinde bırak, yoksa ortada takılır.</t>
        </is>
      </c>
      <c r="P1139" s="6" t="inlineStr"/>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hold</t>
        </is>
      </c>
      <c r="N1173" s="5" t="inlineStr">
        <is>
          <t>Bas, Konuş</t>
        </is>
      </c>
      <c r="O1173" s="6" t="inlineStr">
        <is>
          <t>Kayıt tuşuna basılı tut; mesaj bitince doğru anda bırak.</t>
        </is>
      </c>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memory</t>
        </is>
      </c>
      <c r="N1187" s="5" t="inlineStr">
        <is>
          <t>Kapıdaki Yüzler</t>
        </is>
      </c>
      <c r="O1187" s="6" t="inlineStr">
        <is>
          <t>Sıradaki çocukların yüzlerini ezberle; ikinci kez geleni seç.</t>
        </is>
      </c>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swipe</t>
        </is>
      </c>
      <c r="N1191" s="5" t="inlineStr">
        <is>
          <t>Fotoğraf Ayıkla</t>
        </is>
      </c>
      <c r="O1191" s="6" t="inlineStr">
        <is>
          <t>Gözünün açık olduğu fotoğrafları sağa, kapalı olanları sola kaydır.</t>
        </is>
      </c>
      <c r="P1191"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bargain</t>
        </is>
      </c>
      <c r="N1194" s="5" t="inlineStr">
        <is>
          <t>Parsel Pazarlığı</t>
        </is>
      </c>
      <c r="O1194" s="6" t="inlineStr">
        <is>
          <t>Görevlinin sabrı bitmeden doğru fiyatı bul.</t>
        </is>
      </c>
      <c r="P1194" s="6" t="inlineStr">
        <is>
          <t>{"item":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breath</t>
        </is>
      </c>
      <c r="N1205" s="5" t="inlineStr">
        <is>
          <t>Mumları Söndür</t>
        </is>
      </c>
      <c r="O1205" s="6" t="inlineStr">
        <is>
          <t>Daire büyürken bas, küçülürken bırak. Nefesini doğru anda boşalt.</t>
        </is>
      </c>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Pişkinlik</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beş kuruş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breath</t>
        </is>
      </c>
      <c r="N1353" s="5" t="inlineStr">
        <is>
          <t>Derin Nefes</t>
        </is>
      </c>
      <c r="O1353" s="6" t="inlineStr">
        <is>
          <t>Daire büyürken nefes al, küçülürken ver. Ritmi kaçırırsan yer ayağının altından kayar.</t>
        </is>
      </c>
      <c r="P1353" s="6" t="inlineStr"/>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40</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poker</t>
        </is>
      </c>
      <c r="N1410" s="5" t="inlineStr">
        <is>
          <t>Sorgu Yüzü</t>
        </is>
      </c>
      <c r="O1410" s="6" t="inlineStr">
        <is>
          <t>“Pastacı her şeyi anlattı” de ve gözünü kırpma. Parmağını dairenin içinde tut; üç şüpheli yüzünü okuyor.</t>
        </is>
      </c>
      <c r="P1410" s="6" t="inlineStr"/>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c r="AJ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poker</t>
        </is>
      </c>
      <c r="N1543" s="5" t="inlineStr">
        <is>
          <t>Görüş Camı</t>
        </is>
      </c>
      <c r="O1543" s="6" t="inlineStr">
        <is>
          <t>Parmağını dairenin içinde tut. Annen camın öbür tarafından yüzüne bakıyor; kıpırdarsan anlar.</t>
        </is>
      </c>
      <c r="P1543" s="6" t="inlineStr">
        <is>
          <t>{"questions": ["Yemek veriyorlar mı?", "Üşüyor musun?", "Neden zayıfladın?", "Arkadaşların iyi mi?", "Bana bak bakayım."]}</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43</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hold</t>
        </is>
      </c>
      <c r="N1564" s="5" t="inlineStr">
        <is>
          <t>Tavşan Kanı</t>
        </is>
      </c>
      <c r="O1564" s="6" t="inlineStr">
        <is>
          <t>Basılı tut; çay tavşan kanına dönünce bırak. Erken bırakırsan açık, geç kalırsan kömür.</t>
        </is>
      </c>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43</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45</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c r="AI1613" s="5" t="inlineStr"/>
      <c r="AJ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hold</t>
        </is>
      </c>
      <c r="N1620" s="5" t="inlineStr">
        <is>
          <t>Semaver Demi</t>
        </is>
      </c>
      <c r="O1620" s="6" t="inlineStr">
        <is>
          <t>Basılı tut; çay tavşan kanına dönünce bırak. Erken bırakırsan açık, geç kalırsan semaver taşar.</t>
        </is>
      </c>
      <c r="P1620" s="6" t="inlineStr"/>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race</t>
        </is>
      </c>
      <c r="N1630" s="5" t="inlineStr">
        <is>
          <t>Zil Kapışması</t>
        </is>
      </c>
      <c r="O1630" s="6" t="inlineStr">
        <is>
          <t>Beş saniye. Sunucudan hızlı dokun; zil kimdeyse söz onda.</t>
        </is>
      </c>
      <c r="P1630" s="6" t="inlineStr"/>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c r="AJ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43</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bargain</t>
        </is>
      </c>
      <c r="N1657" s="5" t="inlineStr">
        <is>
          <t>Gurbetçi Fiyatı</t>
        </is>
      </c>
      <c r="O1657" s="6" t="inlineStr">
        <is>
          <t>Emlakçının sabrı bitmeden makul fiyatı bul. Plakanı görünce fiyat zaten bir kez arttı.</t>
        </is>
      </c>
      <c r="P1657" s="6" t="inlineStr">
        <is>
          <t>{"item":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lanes</t>
        </is>
      </c>
      <c r="N1661" s="5" t="inlineStr">
        <is>
          <t>Aktarma Koşusu</t>
        </is>
      </c>
      <c r="O1661" s="6" t="inlineStr">
        <is>
          <t>Sağa sola kay; valizlere, kuyruklara ve temizlik arabasına çarpmadan kapıya yetiş.</t>
        </is>
      </c>
      <c r="P1661" s="6" t="inlineStr">
        <is>
          <t>{"obstacles":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race</t>
        </is>
      </c>
      <c r="N1704" s="5" t="inlineStr">
        <is>
          <t>Cihazla Yarış</t>
        </is>
      </c>
      <c r="O1704" s="6" t="inlineStr">
        <is>
          <t>Cihaz açılmadan arızayı bul. Hızlı dokun; kulağın cihazdan önce davransın.</t>
        </is>
      </c>
      <c r="P1704" s="6" t="inlineStr"/>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poker</t>
        </is>
      </c>
      <c r="N1723" s="5" t="inlineStr">
        <is>
          <t>Tuzlu Yüz</t>
        </is>
      </c>
      <c r="O1723" s="6" t="inlineStr">
        <is>
          <t>Kahve tuzlu, salon sana bakıyor. Parmağını dairenin içinde tut; yüzün kıpırdamasın.</t>
        </is>
      </c>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43</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43</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45</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c r="AJ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c r="AJ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c r="AJ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43</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43</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43</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hold</t>
        </is>
      </c>
      <c r="N1802" s="5" t="inlineStr">
        <is>
          <t>Kolonya Ölçüsü</t>
        </is>
      </c>
      <c r="O1802" s="6" t="inlineStr">
        <is>
          <t>Basılı tut; çubuk yeşil alandayken bırak. Az olursa teyze bakar, çok olursa halı.</t>
        </is>
      </c>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rhythm</t>
        </is>
      </c>
      <c r="N1809" s="5" t="inlineStr">
        <is>
          <t>Halay Başı</t>
        </is>
      </c>
      <c r="O1809" s="6" t="inlineStr">
        <is>
          <t>Davul vurduğunda dokun; mendil ritimden düşmesin.</t>
        </is>
      </c>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2026-10-09T10:45:39Z</dcterms:modified>
</cp:coreProperties>
</file>