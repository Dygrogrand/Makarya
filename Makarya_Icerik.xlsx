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'Olaylar'!$A$1:$V$485</definedName>
    <definedName name="_xlnm._FilterDatabase" localSheetId="3" hidden="1">'Seçimler'!$A$1:$AI$1836</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0">
      <c r="A30" t="inlineStr"/>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8">
      <c r="A38" t="inlineStr"/>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SUMPRODUCT((COUNTIFS(Seçimler!A:A,Olaylar!A$2:A$485)&gt;0)*(Olaylar!B$2:B$485=1)*COUNTIFS(Seçimler!A:A,Olaylar!A$2:A$485))</f>
        <v/>
      </c>
      <c r="F2" t="inlineStr"/>
      <c r="G2" t="inlineStr"/>
    </row>
    <row r="3">
      <c r="A3" t="n">
        <v>2</v>
      </c>
      <c r="B3">
        <f>COUNTIF(Olaylar!B:B,2)</f>
        <v/>
      </c>
      <c r="C3">
        <f>COUNTIFS(Olaylar!B:B,2,Olaylar!I:I,"E")</f>
        <v/>
      </c>
      <c r="D3">
        <f>VLOOKUP(2,Bölümler!A:C,3,FALSE)</f>
        <v/>
      </c>
      <c r="E3">
        <f>SUMPRODUCT((COUNTIFS(Seçimler!A:A,Olaylar!A$2:A$485)&gt;0)*(Olaylar!B$2:B$485=2)*COUNTIFS(Seçimler!A:A,Olaylar!A$2:A$485))</f>
        <v/>
      </c>
      <c r="F3" t="inlineStr"/>
      <c r="G3" t="inlineStr"/>
    </row>
    <row r="4">
      <c r="A4" t="n">
        <v>3</v>
      </c>
      <c r="B4">
        <f>COUNTIF(Olaylar!B:B,3)</f>
        <v/>
      </c>
      <c r="C4">
        <f>COUNTIFS(Olaylar!B:B,3,Olaylar!I:I,"E")</f>
        <v/>
      </c>
      <c r="D4">
        <f>VLOOKUP(3,Bölümler!A:C,3,FALSE)</f>
        <v/>
      </c>
      <c r="E4">
        <f>SUMPRODUCT((COUNTIFS(Seçimler!A:A,Olaylar!A$2:A$485)&gt;0)*(Olaylar!B$2:B$485=3)*COUNTIFS(Seçimler!A:A,Olaylar!A$2:A$485))</f>
        <v/>
      </c>
      <c r="F4" t="inlineStr"/>
      <c r="G4" t="inlineStr"/>
    </row>
    <row r="5">
      <c r="A5" t="n">
        <v>4</v>
      </c>
      <c r="B5">
        <f>COUNTIF(Olaylar!B:B,4)</f>
        <v/>
      </c>
      <c r="C5">
        <f>COUNTIFS(Olaylar!B:B,4,Olaylar!I:I,"E")</f>
        <v/>
      </c>
      <c r="D5">
        <f>VLOOKUP(4,Bölümler!A:C,3,FALSE)</f>
        <v/>
      </c>
      <c r="E5">
        <f>SUMPRODUCT((COUNTIFS(Seçimler!A:A,Olaylar!A$2:A$485)&gt;0)*(Olaylar!B$2:B$485=4)*COUNTIFS(Seçimler!A:A,Olaylar!A$2:A$485))</f>
        <v/>
      </c>
      <c r="F5" t="inlineStr"/>
      <c r="G5" t="inlineStr"/>
    </row>
    <row r="6">
      <c r="A6" t="n">
        <v>5</v>
      </c>
      <c r="B6">
        <f>COUNTIF(Olaylar!B:B,5)</f>
        <v/>
      </c>
      <c r="C6">
        <f>COUNTIFS(Olaylar!B:B,5,Olaylar!I:I,"E")</f>
        <v/>
      </c>
      <c r="D6">
        <f>VLOOKUP(5,Bölümler!A:C,3,FALSE)</f>
        <v/>
      </c>
      <c r="E6">
        <f>SUMPRODUCT((COUNTIFS(Seçimler!A:A,Olaylar!A$2:A$485)&gt;0)*(Olaylar!B$2:B$485=5)*COUNTIFS(Seçimler!A:A,Olaylar!A$2:A$485))</f>
        <v/>
      </c>
      <c r="F6" t="inlineStr"/>
      <c r="G6" t="inlineStr"/>
    </row>
    <row r="7">
      <c r="A7" t="n">
        <v>6</v>
      </c>
      <c r="B7">
        <f>COUNTIF(Olaylar!B:B,6)</f>
        <v/>
      </c>
      <c r="C7">
        <f>COUNTIFS(Olaylar!B:B,6,Olaylar!I:I,"E")</f>
        <v/>
      </c>
      <c r="D7">
        <f>VLOOKUP(6,Bölümler!A:C,3,FALSE)</f>
        <v/>
      </c>
      <c r="E7">
        <f>SUMPRODUCT((COUNTIFS(Seçimler!A:A,Olaylar!A$2:A$485)&gt;0)*(Olaylar!B$2:B$485=6)*COUNTIFS(Seçimler!A:A,Olaylar!A$2:A$485))</f>
        <v/>
      </c>
      <c r="F7" t="inlineStr"/>
      <c r="G7" t="inlineStr"/>
    </row>
    <row r="8">
      <c r="A8" t="n">
        <v>7</v>
      </c>
      <c r="B8">
        <f>COUNTIF(Olaylar!B:B,7)</f>
        <v/>
      </c>
      <c r="C8">
        <f>COUNTIFS(Olaylar!B:B,7,Olaylar!I:I,"E")</f>
        <v/>
      </c>
      <c r="D8">
        <f>VLOOKUP(7,Bölümler!A:C,3,FALSE)</f>
        <v/>
      </c>
      <c r="E8">
        <f>SUMPRODUCT((COUNTIFS(Seçimler!A:A,Olaylar!A$2:A$485)&gt;0)*(Olaylar!B$2:B$485=7)*COUNTIFS(Seçimler!A:A,Olaylar!A$2:A$485))</f>
        <v/>
      </c>
      <c r="F8" t="inlineStr"/>
      <c r="G8" t="inlineStr"/>
    </row>
    <row r="9">
      <c r="A9" t="n">
        <v>8</v>
      </c>
      <c r="B9">
        <f>COUNTIF(Olaylar!B:B,8)</f>
        <v/>
      </c>
      <c r="C9">
        <f>COUNTIFS(Olaylar!B:B,8,Olaylar!I:I,"E")</f>
        <v/>
      </c>
      <c r="D9">
        <f>VLOOKUP(8,Bölümler!A:C,3,FALSE)</f>
        <v/>
      </c>
      <c r="E9">
        <f>SUMPRODUCT((COUNTIFS(Seçimler!A:A,Olaylar!A$2:A$485)&gt;0)*(Olaylar!B$2:B$485=8)*COUNTIFS(Seçimler!A:A,Olaylar!A$2:A$485))</f>
        <v/>
      </c>
      <c r="F9" t="inlineStr"/>
      <c r="G9" t="inlineStr"/>
    </row>
    <row r="10">
      <c r="A10" t="n">
        <v>9</v>
      </c>
      <c r="B10">
        <f>COUNTIF(Olaylar!B:B,9)</f>
        <v/>
      </c>
      <c r="C10">
        <f>COUNTIFS(Olaylar!B:B,9,Olaylar!I:I,"E")</f>
        <v/>
      </c>
      <c r="D10">
        <f>VLOOKUP(9,Bölümler!A:C,3,FALSE)</f>
        <v/>
      </c>
      <c r="E10">
        <f>SUMPRODUCT((COUNTIFS(Seçimler!A:A,Olaylar!A$2:A$485)&gt;0)*(Olaylar!B$2:B$485=9)*COUNTIFS(Seçimler!A:A,Olaylar!A$2:A$485))</f>
        <v/>
      </c>
      <c r="F10" t="inlineStr"/>
      <c r="G10" t="inlineStr"/>
    </row>
    <row r="11">
      <c r="A11" t="n">
        <v>10</v>
      </c>
      <c r="B11">
        <f>COUNTIF(Olaylar!B:B,10)</f>
        <v/>
      </c>
      <c r="C11">
        <f>COUNTIFS(Olaylar!B:B,10,Olaylar!I:I,"E")</f>
        <v/>
      </c>
      <c r="D11">
        <f>VLOOKUP(10,Bölümler!A:C,3,FALSE)</f>
        <v/>
      </c>
      <c r="E11">
        <f>SUMPRODUCT((COUNTIFS(Seçimler!A:A,Olaylar!A$2:A$485)&gt;0)*(Olaylar!B$2:B$485=10)*COUNTIFS(Seçimler!A:A,Olaylar!A$2:A$485))</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Yanında bir çocuk var. İkiniz de ne yapacağınızı tam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senden büyük biri alanı sahiplenmiş görünüyor.</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Kasada göz hizanda şekerler var. Bu tesadüf olamayacak kadar iyi tasarlanmış.</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Pasta onun. Hediyeler onun. İlgi de teoride onun.</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Odada herkesin baktığı tek oyuncak var.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 kez ne olduğunu biliyorsun. Karşındaki yetişkin de bildiğini düşünüyor.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Yerde bir bozuk para var. Sahibi görünmüyor. Annen de görünmüyor. Bu iki bilgi birbiriyle konuşuyor.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Bir şey söyledin. Birkaç çocuk güldü. Neye güldükleri tam belli değil.</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Bir arkadaşın sana bir şey söyledi ve kimseye söylememen gerektiğini ekledi.</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Yetişkinler çocuklardan konuşuyor ama aslında birbirleriyle yarışıyorlar.</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Oyuncak kırıldı. Sen dokundun. Ama 'dokunmak' geniş bir kavram.</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Çocuklar yarış hazırlığında. Kurallar henüz tam belli değil.</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Sana bir miktar söylendi. Sen miktarların konuşulabilir olduğunu yeni öğrendin.</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iki ay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 çok sayıda kural. Üstünde yepyeni bir önlük, kapıda ağlayan veliler. Ağlayanlar sizinkiler. Bölüm III kapıda.</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Öğretmen 'Kim okumayı biliyor?' diye sordu. Sınıfta 28 el ya havada ya cepte.</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10 dakika. Kuyruk 12 dakika. Matematik kantinde başlıyor.</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Ödev defteri evde değil, çantada değil. Belki de hiç yapılmadı.</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Ailen okulda. Sen kapının önündesin. İçeriden arada bir adın duyuluyor.</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Ekran koruyucu takılmadan önce ebeveyn denetim uygulaması kuruldu.</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hediye için para toplanıyor. Bir veli 'Herkes eşit katılsın' dedi, bir diğeri 'Gönüllülük esastır' diye cevap verdi.</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Bilimsel olarak bu bir şey anlamına geliyor olabilir.</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Ailen dershane broşürü getirdi. Broşürde gülümseyen öğrenciler var. Fiyat kısmı küçük puntolu.</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Eski haraççılar bir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Yazışma dördüncü haftasında.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sınavı sonuçları panoya asıldı. Adın listede. Nerede olduğu ise bir mesafe meselesi.</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cüzdana bakarak konuşuyor.</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Kısa video uygulamasına yüklediğin on beş saniyelik video bir gecede izlenmeye başladı. Sayı her yenilemede artıyor.</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9 ay</t>
        </is>
      </c>
      <c r="D111" s="5" t="inlineStr">
        <is>
          <t>📵</t>
        </is>
      </c>
      <c r="E111" s="6" t="inlineStr">
        <is>
          <t>Telefon Emanette</t>
        </is>
      </c>
      <c r="F111" s="6" t="inlineStr">
        <is>
          <t>Sınava iki ay kala aile kararı: telefonun emanete alındı. Gerekçe: odak. Teslim tutanağı: yok.</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havaya atılacak. Kimsenin kendi kepini geri bulamayacağı resmî olarak bilinen bir gerçek.</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Değişim programı ilanı çıktı: bir dönem Öte Diyar'da. Başvuru formu sekiz sayfa; burs, oradaki kiranın yarısı. Annen ilanı görünce önce “Orada ne yiyeceksin?” diye sordu.</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Yıllık Üyelik</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32 yaş 3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doğum günündesin. Tek çocuksuz yetişkin sensin. Bir çocuk sana 'Senin çocuğun hangisi?' diye soruyor.</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Kreşin müdürü sorular soruyor: 'Çocuğunuzun sosyal becerileri nasıl?' Sonra: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Mahalle kapıda, pazarlık havada, sezonun son malı en üst rafta.</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beş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Berber aynayı arkana tuttu. Tepede, haritalarda 'açık alan' diye geçen bir bölge oluşmuş.</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resmî bir zarf çıktı: Yıllardır prim yatmamış. Emeklilik takvimin daha başlamamış bile.</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kırk iki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“Babam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 zorunlu tuttu.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günün gündemini belirler.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sordun. Ekrandaki tarihi okudun, gözlüğünü sildin, yine okudun. Değişmedi.</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57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Yaşıtların emekliliğini hesaplıyor. Sen ay sonunu hesaplıyorsun. Serbest çalışanlar için emeklilik, anlatılan bir efsane.</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iş hayatını anlatıyor. Senin bu konuda otuz yıllık bir tecrübe dosyan var. Kimse dosya istemedi.</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Bütçeye göre her domatesin maliyeti bir market poşeti dolusu domatese eşit.</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bakkal, berber ve kapıcı birbirini iki kez aradı.</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yedi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artışı, asansör, çatı ve 'yönetici seçimi'. Herkes sana bakıyor, çünkü evde olan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Bekleme salonu bayram sofrası kadar gergin.</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çeyiz takımını sordu.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Sokak artık denetim altında.</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yeni parsel satışı açtı. Görevli haritayı açtı: 'Bu taraf manzaralı, o taraf otoparka bakıyor.'</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bütün mumlar dikildi. Güvenlik gerekçesiyle kapı açık bırakıldı. Herkes telefonlarını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gün aynı kedi geliyor. Oturuyor, bakıyor, gidiyor. Bir denetim yapıyor olabilir.</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Plaket için bir tören ve kısa bir konuşma bekleniyor.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ayrı teselli mesajı, bir de halanın oğlunun yerleştiği bölümün fotoğrafı. Şimdi ne olacak?</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Kimi burada disiplin bulur, kimi komutanın köpeğiyle dost olur, kimi de bir ömürlük arkadaş. Dönüşte kim olacağın bu aylarda şekillenir.</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 yazamadığın liste bu yıl masada. Kuzen yine fikir veriyor. Bu sefer kuzen de tercih yapmış; bölümüne sormuyorsun.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otuz yıllık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Uzmanlığının beşinci yılı.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sen gelmediğin günlerde de kimse oturmuyor. Mahallenin gençleri eski hikâyeleri soruyor. Anlattıkça köpük makinesi büyüyor, abi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Koğuşta on dört yatak, bir çay ocağı ve bir tavla var. Ocağın başındaki adam kimin çayı kaç şekerli içtiğini ezbere biliyor. Sana da sordu;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yirmilik bir delikanlı annesine, yaşlı bir adam eski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Erol'a mı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markette domates seçerken söylediğin tek bir cümle.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yıllardır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yedide başlayacaktı; sekizde çay geldi, dokuzda gündeme geçildi. Gündem: yeni süt tankı. İlk kırk dakika eski tankın neden bozulduğu, sonraki kırk dakika hava durumu konuşuldu.</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köyün gençlerinden biri danışmaya geldi.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Son Kepenk</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taksit gelmedi,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Sadece biri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Herkesin eli öpülecek;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sheetData>
  <autoFilter ref="A1:V485"/>
  <dataValidations count="6">
    <dataValidation sqref="B2:B884" showDropDown="0" showInputMessage="0" showErrorMessage="1" allowBlank="1" errorTitle="Geçersiz değer" error="Listeden bir değer seçin." type="list">
      <formula1>"1,2,3,4,5,6,7,8,9,10"</formula1>
    </dataValidation>
    <dataValidation sqref="G2:G884"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4" showDropDown="0" showInputMessage="0" showErrorMessage="1" allowBlank="1" errorTitle="Geçersiz değer" error="Listeden bir değer seçin." type="list">
      <formula1>"ev,para,sosyal,okul-iş"</formula1>
    </dataValidation>
    <dataValidation sqref="I2:I884" showDropDown="0" showInputMessage="0" showErrorMessage="1" allowBlank="1" errorTitle="Geçersiz değer" error="Listeden bir değer seçin." type="list">
      <formula1>"E"</formula1>
    </dataValidation>
    <dataValidation sqref="N2:N884" showDropDown="0" showInputMessage="0" showErrorMessage="1" allowBlank="1" errorTitle="Geçersiz değer" error="Listeden bir değer seçin." type="list">
      <formula1>"erkek,kız"</formula1>
    </dataValidation>
    <dataValidation sqref="Q2:Q884"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8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balance</t>
        </is>
      </c>
      <c r="N20" s="5" t="inlineStr">
        <is>
          <t>Dengede Kal</t>
        </is>
      </c>
      <c r="O20" s="6" t="inlineStr">
        <is>
          <t>Sallanan ayaklarının altında dur; düşmeden beş adım.</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breath</t>
        </is>
      </c>
      <c r="N28" s="5" t="inlineStr">
        <is>
          <t>Mumu Üfle</t>
        </is>
      </c>
      <c r="O28" s="6" t="inlineStr">
        <is>
          <t>Daire büyürken nefes al (bas), küçülürken üfle (bırak).</t>
        </is>
      </c>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Sordun; oyuncağın kendisine ait olduğunu yüksek sesle ilan etti.</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Sessizlik garip değildi. Bu iyi işaret.</t>
        </is>
      </c>
      <c r="I61" s="6" t="inlineStr">
        <is>
          <t>Hiç konuşmadınız. Ertesi gün aynı yerde buluştunuz. Gerçek dostluk.</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Öyle bir savunma yaptın ki oyuncağı özür dileyerek geri verdi.</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row>
    <row r="64">
      <c r="A64" s="5" t="inlineStr">
        <is>
          <t>oyuncagimi-aldi</t>
        </is>
      </c>
      <c r="B64" s="5" t="n">
        <v>2</v>
      </c>
      <c r="C64" s="6" t="inlineStr">
        <is>
          <t>Elinden al</t>
        </is>
      </c>
      <c r="D64" s="5" t="inlineStr">
        <is>
          <t>Cesaret</t>
        </is>
      </c>
      <c r="E64" s="5" t="inlineStr">
        <is>
          <t>Orta</t>
        </is>
      </c>
      <c r="F64" s="5" t="inlineStr"/>
      <c r="G64" s="6" t="inlineStr"/>
      <c r="H64" s="6" t="inlineStr">
        <is>
          <t>Hızlı çözüm, uzun bakışmalar.</t>
        </is>
      </c>
      <c r="I64" s="6" t="inlineStr">
        <is>
          <t>Aldın. Karşı taraf bir daha bu konuyu açmadı.</t>
        </is>
      </c>
      <c r="J64" s="6" t="inlineStr">
        <is>
          <t>Aldın, geri aldı. Oyun berabere.</t>
        </is>
      </c>
      <c r="K64" s="6" t="inlineStr">
        <is>
          <t>Almaya çalışırken öğretmen tam o an döndü. Sadece seni gördü.</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oyuncağın sahibi başka bir çocuk çıktı.</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Anlattın ama ağlamaklı ses tonu mesajın önüne geçti.</t>
        </is>
      </c>
      <c r="K67" s="6" t="inlineStr">
        <is>
          <t>Anlatırken olayı daha da karıştırdın. Artık sen de ne olduğunu bilmiyorsun.</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gerçeği kendisi fark etti ve özür diledi. Bu nadir görülür.</t>
        </is>
      </c>
      <c r="J68" s="6" t="inlineStr">
        <is>
          <t>Sakin kaldın ama içinden kaynıyordun. Yüzüne yansıdı.</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otuz yıl sonra da hatırlayacaksın.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Ayrıntıları öyle sıraladın ki öğretmen seni sınıfın dedektifi ilan etti.</t>
        </is>
      </c>
      <c r="J70" s="6" t="inlineStr">
        <is>
          <t>Ayrıntıyı hatırladın ama kimse inanmadı.</t>
        </is>
      </c>
      <c r="K70" s="6" t="inlineStr">
        <is>
          <t>Yanlış ayrıntıyı hatırladın. Kolunu gösterdiğin çocuk o gün kreşe hiç gelmemişti.</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Konuşmanı bitirdiğinde parktaki tüm küçük çocuklar arkandaydı. Kaydırak halka açıldı.</t>
        </is>
      </c>
      <c r="J72" s="6" t="inlineStr">
        <is>
          <t>Söyledin. Büyük çocuk güldü. Biraz daha büyüyünce tekrar denersin.</t>
        </is>
      </c>
      <c r="K72" s="6" t="inlineStr">
        <is>
          <t>Söyledin. Büyük çocuk kaydıraktan kaydı ve tam önüne indi. Sessizlik.</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row>
    <row r="73">
      <c r="A73" s="5" t="inlineStr">
        <is>
          <t>parkin-buyuk-cocugu</t>
        </is>
      </c>
      <c r="B73" s="5" t="n">
        <v>3</v>
      </c>
      <c r="C73" s="6" t="inlineStr">
        <is>
          <t>Diğer çocukları ölç</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Çocukları ölçtün; hepsi senden de küçüktü.</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Kasiyer gördü, ailen gördü.</t>
        </is>
      </c>
      <c r="K76" s="6" t="inlineStr">
        <is>
          <t>Dokunmamaya çalışırken tüm şeker standını devirdin.</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row>
    <row r="77">
      <c r="A77" s="5" t="inlineStr">
        <is>
          <t>baskasinin-dogum-gunu</t>
        </is>
      </c>
      <c r="B77" s="5" t="n">
        <v>1</v>
      </c>
      <c r="C77" s="6" t="inlineStr">
        <is>
          <t>Alkışla</t>
        </is>
      </c>
      <c r="D77" s="5" t="inlineStr"/>
      <c r="E77" s="5" t="inlineStr"/>
      <c r="F77" s="5" t="inlineStr">
        <is>
          <t>İtibar +1</t>
        </is>
      </c>
      <c r="G77" s="6" t="inlineStr">
        <is>
          <t>Alkışladın, şarkıyı herkesten yüksek söyledin; sözleri yanlış. Doğum günü çocuğunun annesi “Ne tatlı” deyip seni videoya aldı.</t>
        </is>
      </c>
      <c r="H77" s="6" t="inlineStr"/>
      <c r="I77" s="6" t="inlineStr"/>
      <c r="J77" s="6" t="inlineStr"/>
      <c r="K77" s="6" t="inlineStr"/>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row>
    <row r="78">
      <c r="A78" s="5" t="inlineStr">
        <is>
          <t>baskasinin-dogum-gunu</t>
        </is>
      </c>
      <c r="B78" s="5" t="n">
        <v>2</v>
      </c>
      <c r="C78" s="6" t="inlineStr">
        <is>
          <t>İlgi çek</t>
        </is>
      </c>
      <c r="D78" s="5" t="inlineStr">
        <is>
          <t>Pişkinlik</t>
        </is>
      </c>
      <c r="E78" s="5" t="inlineStr">
        <is>
          <t>Orta</t>
        </is>
      </c>
      <c r="F78" s="5" t="inlineStr"/>
      <c r="G78" s="6" t="inlineStr"/>
      <c r="H78" s="6" t="inlineStr">
        <is>
          <t>Spot ışığı kısa süreliğine yön değiştirdi.</t>
        </is>
      </c>
      <c r="I78" s="6" t="inlineStr">
        <is>
          <t>Sahneye çıktın, şarkıyı sen söyledin, fotoğraflarda ortadasın.</t>
        </is>
      </c>
      <c r="J78" s="6" t="inlineStr">
        <is>
          <t>İlgi çekmeye çalıştın; palyaço daha iyiydi.</t>
        </is>
      </c>
      <c r="K78" s="6" t="inlineStr">
        <is>
          <t>İlgi çekerken bir hediyeyi açtın. Senin değildi.</t>
        </is>
      </c>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row>
    <row r="79">
      <c r="A79" s="5" t="inlineStr">
        <is>
          <t>baskasinin-dogum-gunu</t>
        </is>
      </c>
      <c r="B79" s="5" t="n">
        <v>3</v>
      </c>
      <c r="C79" s="6" t="inlineStr">
        <is>
          <t>Pastaya odaklan</t>
        </is>
      </c>
      <c r="D79" s="5" t="inlineStr"/>
      <c r="E79" s="5" t="inlineStr"/>
      <c r="F79" s="5" t="inlineStr">
        <is>
          <t>Dayanıklılık +1</t>
        </is>
      </c>
      <c r="G79" s="6" t="inlineStr">
        <is>
          <t>Pastaya baktın. Dilim geldi, yedin, ikinciyi istedin. Doğum günü kimin, hâlâ bilmiyorsun.</t>
        </is>
      </c>
      <c r="H79" s="6" t="inlineStr"/>
      <c r="I79" s="6" t="inlineStr"/>
      <c r="J79" s="6" t="inlineStr"/>
      <c r="K79" s="6" t="inlineStr"/>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row>
    <row r="80">
      <c r="A80" s="5" t="inlineStr">
        <is>
          <t>baskasinin-dogum-gunu</t>
        </is>
      </c>
      <c r="B80" s="5" t="n">
        <v>4</v>
      </c>
      <c r="C80" s="6" t="inlineStr">
        <is>
          <t>Doğum günü çocuğunun elini tut, şarkıyı beraber söyle</t>
        </is>
      </c>
      <c r="D80" s="5" t="inlineStr">
        <is>
          <t>Gönül</t>
        </is>
      </c>
      <c r="E80" s="5" t="inlineStr">
        <is>
          <t>Kolay</t>
        </is>
      </c>
      <c r="F80" s="5" t="inlineStr"/>
      <c r="G80" s="6" t="inlineStr"/>
      <c r="H80" s="6" t="inlineStr">
        <is>
          <t>Elini tuttun; utandı, sonra güldü. Pasta kesilirken ilk dilim ona, ikincisi sana geldi. Sıra böyle değildi.</t>
        </is>
      </c>
      <c r="I80" s="6" t="inlineStr">
        <is>
          <t>Elini tuttun, şarkıyı beraber söylediniz. Fotoğrafta ikiniz varsınız; annesi o fotoğrafı çerçeveletti. Sen artık “o çocuk”sun.</t>
        </is>
      </c>
      <c r="J80" s="6" t="inlineStr">
        <is>
          <t>Elini tutmak istedin; elinde pasta vardı. Sana krema bulaştı, şarkı bitti.</t>
        </is>
      </c>
      <c r="K80" s="6" t="inlineStr">
        <is>
          <t>Elini tuttun, bırakmadın. Mumları üfleyemedi, ağladı. Fotoğrafta ikiniz varsınız: biri ağlıyor, biri tutuyor.</t>
        </is>
      </c>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row>
    <row r="81">
      <c r="A81" s="5" t="inlineStr">
        <is>
          <t>en-guzel-oyuncak</t>
        </is>
      </c>
      <c r="B81" s="5" t="n">
        <v>1</v>
      </c>
      <c r="C81" s="6" t="inlineStr">
        <is>
          <t>İste</t>
        </is>
      </c>
      <c r="D81" s="5" t="inlineStr">
        <is>
          <t>Cesaret</t>
        </is>
      </c>
      <c r="E81" s="5" t="inlineStr">
        <is>
          <t>Kolay</t>
        </is>
      </c>
      <c r="F81" s="5" t="inlineStr"/>
      <c r="G81" s="6" t="inlineStr"/>
      <c r="H81" s="6" t="inlineStr">
        <is>
          <t>“Bir bakabilir miyim?” dedin. Verdi. Beş dakika; ama senin beş dakikan.</t>
        </is>
      </c>
      <c r="I81" s="6" t="inlineStr">
        <is>
          <t>İstedin; sahibi 'sen oyna' dedi ve bir de nasıl çalıştığını anlattı.</t>
        </is>
      </c>
      <c r="J81" s="6" t="inlineStr">
        <is>
          <t>İstedin; sıraya alındın. Sıra hiç gelmedi.</t>
        </is>
      </c>
      <c r="K81" s="6" t="inlineStr">
        <is>
          <t>İstedin, sahibi ağladı. Oyuncak dolaba kilitlendi.</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row>
    <row r="82">
      <c r="A82" s="5" t="inlineStr">
        <is>
          <t>en-guzel-oyuncak</t>
        </is>
      </c>
      <c r="B82" s="5" t="n">
        <v>2</v>
      </c>
      <c r="C82" s="6" t="inlineStr">
        <is>
          <t>Takas öner</t>
        </is>
      </c>
      <c r="D82" s="5" t="inlineStr">
        <is>
          <t>Kurnazlık</t>
        </is>
      </c>
      <c r="E82" s="5" t="inlineStr">
        <is>
          <t>Kolay</t>
        </is>
      </c>
      <c r="F82" s="5" t="inlineStr"/>
      <c r="G82" s="6" t="inlineStr"/>
      <c r="H82" s="6" t="inlineStr">
        <is>
          <t>Eski kamyonunu verdin, parlak oyuncağı aldın. O kamyona bayıldı. Sen parlak oyuncağın hiçbir şey yapmadığını öğrendin.</t>
        </is>
      </c>
      <c r="I82" s="6" t="inlineStr">
        <is>
          <t>Sıradan bir kalemi 'nadir koleksiyon parçası' olarak sundun. Takas gerçekleşti.</t>
        </is>
      </c>
      <c r="J82" s="6" t="inlineStr">
        <is>
          <t>Teklifin kimseyi etkilemedi.</t>
        </is>
      </c>
      <c r="K82" s="6" t="inlineStr">
        <is>
          <t>Takas ettin; oyuncağın pili yokmuş.</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row>
    <row r="83">
      <c r="A83" s="5" t="inlineStr">
        <is>
          <t>en-guzel-oyuncak</t>
        </is>
      </c>
      <c r="B83" s="5" t="n">
        <v>3</v>
      </c>
      <c r="C83" s="6" t="inlineStr">
        <is>
          <t>Kendi oyuncağınla devam et</t>
        </is>
      </c>
      <c r="D83" s="5" t="inlineStr"/>
      <c r="E83" s="5" t="inlineStr"/>
      <c r="F83" s="5" t="inlineStr">
        <is>
          <t>Dayanıklılık +1</t>
        </is>
      </c>
      <c r="G83" s="6" t="inlineStr">
        <is>
          <t>Kendi oyuncağınla devam ettin. Bir süre sonra herkes seninkine bakıyordu. Eski oyuncak, yeni ilgi.</t>
        </is>
      </c>
      <c r="H83" s="6" t="inlineStr"/>
      <c r="I83" s="6" t="inlineStr"/>
      <c r="J83" s="6" t="inlineStr"/>
      <c r="K83" s="6" t="inlineStr"/>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row>
    <row r="84">
      <c r="A84" s="5" t="inlineStr">
        <is>
          <t>ilk-gercek-yalan</t>
        </is>
      </c>
      <c r="B84" s="5" t="n">
        <v>1</v>
      </c>
      <c r="C84" s="6" t="inlineStr">
        <is>
          <t>İtiraf et</t>
        </is>
      </c>
      <c r="D84" s="5" t="inlineStr"/>
      <c r="E84" s="5" t="inlineStr"/>
      <c r="F84" s="5" t="inlineStr">
        <is>
          <t>İtibar +2</t>
        </is>
      </c>
      <c r="G84" s="6" t="inlineStr">
        <is>
          <t>“Ben yaptım” dedin. Karşındaki yetişkin bir şey demedi; başını okşadı. Ceza yoktu. Bu, cezadan daha uzun sürdü.</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row>
    <row r="85">
      <c r="A85" s="5" t="inlineStr">
        <is>
          <t>ilk-gercek-yalan</t>
        </is>
      </c>
      <c r="B85" s="5" t="n">
        <v>2</v>
      </c>
      <c r="C85" s="6" t="inlineStr">
        <is>
          <t>'Hayır' de</t>
        </is>
      </c>
      <c r="D85" s="5" t="inlineStr">
        <is>
          <t>Çene</t>
        </is>
      </c>
      <c r="E85" s="5" t="inlineStr">
        <is>
          <t>Zor</t>
        </is>
      </c>
      <c r="F85" s="5" t="inlineStr"/>
      <c r="G85" s="6" t="inlineStr"/>
      <c r="H85" s="6" t="inlineStr">
        <is>
          <t>Ses tonun gerçeğin yerine geçti.</t>
        </is>
      </c>
      <c r="I85" s="6" t="inlineStr">
        <is>
          <t>'Hayır' dedin; o kadar samimiydin ki karşındaki yetişkin kendisinden şüphelenmeye başladı.</t>
        </is>
      </c>
      <c r="J85" s="6" t="inlineStr">
        <is>
          <t>'Hayır' dedin, kulakların kızardı. Kulaklar yalan söylemiyor.</t>
        </is>
      </c>
      <c r="K85" s="6" t="inlineStr">
        <is>
          <t>'Hayır' dedin, sonra 'evet' dedin, sonra ağladın. Dosya kapanmadı, genişledi.</t>
        </is>
      </c>
      <c r="L85" s="6" t="inlineStr">
        <is>
          <t>Yüzün yarı yarıya ikna ediciydi. Yetişkin konuyu şimdilik kapattı ama dosyayı değil.</t>
        </is>
      </c>
      <c r="M85" s="5" t="inlineStr">
        <is>
          <t>poker</t>
        </is>
      </c>
      <c r="N85" s="5" t="inlineStr">
        <is>
          <t>Poker Yüzü</t>
        </is>
      </c>
      <c r="O85" s="6" t="inlineStr">
        <is>
          <t>Parmağını daireye koy ve 5 saniye boyunca dairenin içinde tut. Kıpırdama. Göz kırpma.</t>
        </is>
      </c>
      <c r="P85" s="6" t="inlineStr"/>
      <c r="Q85" s="5" t="inlineStr"/>
      <c r="R85" s="5" t="inlineStr"/>
      <c r="S85" s="5" t="inlineStr"/>
      <c r="T85" s="5" t="inlineStr"/>
      <c r="U85" s="5" t="inlineStr">
        <is>
          <t>yalanci</t>
        </is>
      </c>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row>
    <row r="86">
      <c r="A86" s="5" t="inlineStr">
        <is>
          <t>ilk-gercek-yalan</t>
        </is>
      </c>
      <c r="B86" s="5" t="n">
        <v>3</v>
      </c>
      <c r="C86" s="6" t="inlineStr">
        <is>
          <t>'O kendi oldu' de</t>
        </is>
      </c>
      <c r="D86" s="5" t="inlineStr">
        <is>
          <t>Pişkinlik</t>
        </is>
      </c>
      <c r="E86" s="5" t="inlineStr">
        <is>
          <t>Çok Zor</t>
        </is>
      </c>
      <c r="F86" s="5" t="inlineStr"/>
      <c r="G86" s="6" t="inlineStr"/>
      <c r="H86" s="6" t="inlineStr">
        <is>
          <t>“Kendi oldu” dedin. Yetişkin “Olur öyle” dedi. İkiniz de inanmadınız; ikiniz de kabul ettiniz.</t>
        </is>
      </c>
      <c r="I86" s="6" t="inlineStr">
        <is>
          <t>Fizik kurallarını yeniden yazdın. Yetişkin bir an kendi kendine olabileceğine inandı.</t>
        </is>
      </c>
      <c r="J86" s="6" t="inlineStr">
        <is>
          <t>'Kendi oldu' dedin. Kimse gülmedi. Bir kişi gülmek üzereydi.</t>
        </is>
      </c>
      <c r="K86" s="6" t="inlineStr">
        <is>
          <t>'Kendi oldu' dedin; tam o sırada yine 'kendi oldu'. Elin hâlâ üstündeydi.</t>
        </is>
      </c>
      <c r="L86" s="6" t="inlineStr"/>
      <c r="M86" s="5" t="inlineStr"/>
      <c r="N86" s="5" t="inlineStr"/>
      <c r="O86" s="6" t="inlineStr"/>
      <c r="P86" s="6" t="inlineStr"/>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row>
    <row r="87">
      <c r="A87" s="5" t="inlineStr">
        <is>
          <t>mahalle-bakkali</t>
        </is>
      </c>
      <c r="B87" s="5" t="n">
        <v>1</v>
      </c>
      <c r="C87" s="6" t="inlineStr">
        <is>
          <t>Listeyi ver</t>
        </is>
      </c>
      <c r="D87" s="5" t="inlineStr"/>
      <c r="E87" s="5" t="inlineStr"/>
      <c r="F87" s="5" t="inlineStr">
        <is>
          <t>Dayanıklılık +1</t>
        </is>
      </c>
      <c r="G87" s="6" t="inlineStr">
        <is>
          <t>Listeyi verdin. Bakkal okudu, “Annenin yazısı” dedi, poşeti doldurdu, üstüne bir sakız koydu. Sakız listede yoktu.</t>
        </is>
      </c>
      <c r="H87" s="6" t="inlineStr"/>
      <c r="I87" s="6" t="inlineStr"/>
      <c r="J87" s="6" t="inlineStr"/>
      <c r="K87" s="6" t="inlineStr"/>
      <c r="L87" s="6" t="inlineStr"/>
      <c r="M87" s="5" t="inlineStr"/>
      <c r="N87" s="5" t="inlineStr"/>
      <c r="O87" s="6" t="inlineStr"/>
      <c r="P87" s="6" t="inlineStr"/>
      <c r="Q87" s="5" t="inlineStr"/>
      <c r="R87" s="5" t="inlineStr"/>
      <c r="S87" s="5" t="inlineStr"/>
      <c r="T87" s="5" t="inlineStr"/>
      <c r="U87" s="5" t="inlineStr"/>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row>
    <row r="88">
      <c r="A88" s="5" t="inlineStr">
        <is>
          <t>mahalle-bakkali</t>
        </is>
      </c>
      <c r="B88" s="5" t="n">
        <v>2</v>
      </c>
      <c r="C88" s="6" t="inlineStr">
        <is>
          <t>Fiyat sor</t>
        </is>
      </c>
      <c r="D88" s="5" t="inlineStr">
        <is>
          <t>Çene</t>
        </is>
      </c>
      <c r="E88" s="5" t="inlineStr">
        <is>
          <t>Kolay</t>
        </is>
      </c>
      <c r="F88" s="5" t="inlineStr"/>
      <c r="G88" s="6" t="inlineStr"/>
      <c r="H88" s="6" t="inlineStr">
        <is>
          <t>Fiyat sordun. Bakkal söyledi. “Geçen hafta daha ucuzdu” dedin. Bakkal güldü: “Geçen hafta hepimiz daha ucuzduk.”</t>
        </is>
      </c>
      <c r="I88" s="6" t="inlineStr">
        <is>
          <t>Fiyat sordun, bakkal indirim yaptı. Nedenini kendisi de bilmiyor.</t>
        </is>
      </c>
      <c r="J88" s="6" t="inlineStr">
        <is>
          <t>Sordun, bakkal duymadı. Radyo açıktı.</t>
        </is>
      </c>
      <c r="K88" s="6" t="inlineStr">
        <is>
          <t>Fiyat sordun; bakkal yüksek sesle “Paran yetmez” dedi. Dükkândaki üç komşu duydu. Akşam annen üçünden ayrı ayrı öğrendi.</t>
        </is>
      </c>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row>
    <row r="89">
      <c r="A89" s="5" t="inlineStr">
        <is>
          <t>mahalle-bakkali</t>
        </is>
      </c>
      <c r="B89" s="5" t="n">
        <v>3</v>
      </c>
      <c r="C89" s="6" t="inlineStr">
        <is>
          <t>Para üstünü kontrol et</t>
        </is>
      </c>
      <c r="D89" s="5" t="inlineStr">
        <is>
          <t>Kurnazlık</t>
        </is>
      </c>
      <c r="E89" s="5" t="inlineStr">
        <is>
          <t>Zor</t>
        </is>
      </c>
      <c r="F89" s="5" t="inlineStr"/>
      <c r="G89" s="6" t="inlineStr"/>
      <c r="H89" s="6" t="inlineStr">
        <is>
          <t>Para üstünü saydın: bir eksik. Bakkal “Hay aksi” dedi, tamamladı. Annen balkondan alkışladı.</t>
        </is>
      </c>
      <c r="I89" s="6" t="inlineStr">
        <is>
          <t>Eksik para üstünü buldun. Bakkal seni gelecekteki muhasebecisi ilan etti.</t>
        </is>
      </c>
      <c r="J89" s="6" t="inlineStr">
        <is>
          <t>Saydın, bir daha saydın. Sonuç her seferinde farklı.</t>
        </is>
      </c>
      <c r="K89" s="6" t="inlineStr">
        <is>
          <t>Kontrol ederken paraları yere düşürdün. Bir tanesi rafın altına gitti.</t>
        </is>
      </c>
      <c r="L89" s="6" t="inlineStr"/>
      <c r="M89" s="5" t="inlineStr"/>
      <c r="N89" s="5" t="inlineStr"/>
      <c r="O89" s="6" t="inlineStr"/>
      <c r="P89" s="6" t="inlineStr"/>
      <c r="Q89" s="5" t="inlineStr"/>
      <c r="R89" s="5" t="inlineStr"/>
      <c r="S89" s="5" t="inlineStr"/>
      <c r="T89" s="5" t="inlineStr">
        <is>
          <t>Para Üstü Radarı</t>
        </is>
      </c>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row>
    <row r="90">
      <c r="A90" s="5" t="inlineStr">
        <is>
          <t>mahalle-bakkali</t>
        </is>
      </c>
      <c r="B90" s="5" t="n">
        <v>4</v>
      </c>
      <c r="C90" s="6" t="inlineStr">
        <is>
          <t>Veresiye defterine yazdır</t>
        </is>
      </c>
      <c r="D90" s="5" t="inlineStr">
        <is>
          <t>Çene</t>
        </is>
      </c>
      <c r="E90" s="5" t="inlineStr">
        <is>
          <t>Kolay</t>
        </is>
      </c>
      <c r="F90" s="5" t="inlineStr"/>
      <c r="G90" s="6" t="inlineStr"/>
      <c r="H90" s="6" t="inlineStr">
        <is>
          <t>Adın veresiye defterine girdi; babanın adının hemen altına.</t>
        </is>
      </c>
      <c r="I90" s="6" t="inlineStr">
        <is>
          <t>Bakkal defterine yazdı ve sana bir de sakız ikram etti. Seçkin müşteri.</t>
        </is>
      </c>
      <c r="J90" s="6" t="inlineStr">
        <is>
          <t>Bakkal defteri kapattı: 'Önce annen gelsin.'</t>
        </is>
      </c>
      <c r="K90" s="6" t="inlineStr">
        <is>
          <t>Defter açıldı; ailenin önceki borçları da yüksek sesle okundu. Ortam gerildi.</t>
        </is>
      </c>
      <c r="L90" s="6" t="inlineStr"/>
      <c r="M90" s="5" t="inlineStr"/>
      <c r="N90" s="5" t="inlineStr"/>
      <c r="O90" s="6" t="inlineStr"/>
      <c r="P90" s="6" t="inlineStr"/>
      <c r="Q90" s="5" t="inlineStr">
        <is>
          <t>Küçük Tüccar</t>
        </is>
      </c>
      <c r="R90" s="5" t="inlineStr"/>
      <c r="S90" s="5" t="inlineStr"/>
      <c r="T90" s="5" t="inlineStr"/>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row>
    <row r="91">
      <c r="A91" s="5" t="inlineStr">
        <is>
          <t>kaybolan-bozuk-para</t>
        </is>
      </c>
      <c r="B91" s="5" t="n">
        <v>1</v>
      </c>
      <c r="C91" s="6" t="inlineStr">
        <is>
          <t>Yetişkine ver</t>
        </is>
      </c>
      <c r="D91" s="5" t="inlineStr"/>
      <c r="E91" s="5" t="inlineStr"/>
      <c r="F91" s="5" t="inlineStr">
        <is>
          <t>İtibar +1</t>
        </is>
      </c>
      <c r="G91" s="6" t="inlineStr">
        <is>
          <t>Parayı yanındaki teyzeye verdin. Teyze “Senin olsun” dedi. Şimdi hem para sende hem “aferin”.</t>
        </is>
      </c>
      <c r="H91" s="6" t="inlineStr"/>
      <c r="I91" s="6" t="inlineStr"/>
      <c r="J91" s="6" t="inlineStr"/>
      <c r="K91" s="6" t="inlineStr"/>
      <c r="L91" s="6" t="inlineStr"/>
      <c r="M91" s="5" t="inlineStr"/>
      <c r="N91" s="5" t="inlineStr"/>
      <c r="O91" s="6" t="inlineStr"/>
      <c r="P91" s="6" t="inlineStr"/>
      <c r="Q91" s="5" t="inlineStr"/>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row>
    <row r="92">
      <c r="A92" s="5" t="inlineStr">
        <is>
          <t>kaybolan-bozuk-para</t>
        </is>
      </c>
      <c r="B92" s="5" t="n">
        <v>2</v>
      </c>
      <c r="C92" s="6" t="inlineStr">
        <is>
          <t>Cebe koy</t>
        </is>
      </c>
      <c r="D92" s="5" t="inlineStr">
        <is>
          <t>Kurnazlık</t>
        </is>
      </c>
      <c r="E92" s="5" t="inlineStr">
        <is>
          <t>Kolay</t>
        </is>
      </c>
      <c r="F92" s="5" t="inlineStr"/>
      <c r="G92" s="6" t="inlineStr"/>
      <c r="H92" s="6" t="inlineStr">
        <is>
          <t>Parayı aldın, cebine koydun. Cebin bir bozukluk ağırlaştı, vicdanın biraz daha.</t>
        </is>
      </c>
      <c r="I92" s="6" t="inlineStr">
        <is>
          <t>Kimse bakmazken eğildin, aldın, doğruldun. Bozukluk cebinde, yüzünde melek ifadesi.</t>
        </is>
      </c>
      <c r="J92" s="6" t="inlineStr">
        <is>
          <t>Uzandın; başka bir çocuk senden önce kaptı. Teşekkür bile etmedi.</t>
        </is>
      </c>
      <c r="K92" s="6" t="inlineStr">
        <is>
          <t>Tam uzandığında herkes aynı anda döndü. Para yerde, sen çömelmiş hâlde. “Bağcığımı bağlıyordum” dedin; ayakkabın cırt cırtlıydı.</t>
        </is>
      </c>
      <c r="L92" s="6" t="inlineStr">
        <is>
          <t>Parayı aldın; tam o anda bir teyze döndü: “Yerden mi aldın?” Cevap vermedin.</t>
        </is>
      </c>
      <c r="M92" s="5" t="inlineStr">
        <is>
          <t>timing</t>
        </is>
      </c>
      <c r="N92" s="5" t="inlineStr">
        <is>
          <t>Kimse Bakmazken</t>
        </is>
      </c>
      <c r="O92" s="6" t="inlineStr">
        <is>
          <t>Büyükler başka yere baktığında işaret yeşile girer. O an dokun.</t>
        </is>
      </c>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row>
    <row r="93">
      <c r="A93" s="5" t="inlineStr">
        <is>
          <t>kaybolan-bozuk-para</t>
        </is>
      </c>
      <c r="B93" s="5" t="n">
        <v>3</v>
      </c>
      <c r="C93" s="6" t="inlineStr">
        <is>
          <t>Olduğu yerde bırak</t>
        </is>
      </c>
      <c r="D93" s="5" t="inlineStr"/>
      <c r="E93" s="5" t="inlineStr"/>
      <c r="F93" s="5" t="inlineStr">
        <is>
          <t>İtibar +1</t>
        </is>
      </c>
      <c r="G93" s="6" t="inlineStr">
        <is>
          <t>Bıraktın, yürüdün. Üç adım sonra döndün; başkası almıştı.</t>
        </is>
      </c>
      <c r="H93" s="6" t="inlineStr"/>
      <c r="I93" s="6" t="inlineStr"/>
      <c r="J93" s="6" t="inlineStr"/>
      <c r="K93" s="6" t="inlineStr"/>
      <c r="L93" s="6" t="inlineStr"/>
      <c r="M93" s="5" t="inlineStr"/>
      <c r="N93" s="5" t="inlineStr"/>
      <c r="O93" s="6" t="inlineStr"/>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row>
    <row r="94">
      <c r="A94" s="5" t="inlineStr">
        <is>
          <t>takim-seciliyor</t>
        </is>
      </c>
      <c r="B94" s="5" t="n">
        <v>1</v>
      </c>
      <c r="C94" s="6" t="inlineStr">
        <is>
          <t>Bekle</t>
        </is>
      </c>
      <c r="D94" s="5" t="inlineStr">
        <is>
          <t>Dayanıklılık</t>
        </is>
      </c>
      <c r="E94" s="5" t="inlineStr">
        <is>
          <t>Kolay</t>
        </is>
      </c>
      <c r="F94" s="5" t="inlineStr"/>
      <c r="G94" s="6" t="inlineStr"/>
      <c r="H94" s="6" t="inlineStr">
        <is>
          <t>Seçilme sırası karakter testi oldu; testi geçtin.</t>
        </is>
      </c>
      <c r="I94" s="6" t="inlineStr">
        <is>
          <t>Beklerken kaptanlardan biri seni ilk seçti. Sabır ödüllendi.</t>
        </is>
      </c>
      <c r="J94" s="6" t="inlineStr">
        <is>
          <t>Son seçilen oldun. Takıma kaleci olarak katıldın.</t>
        </is>
      </c>
      <c r="K94" s="6" t="inlineStr">
        <is>
          <t>Hiç seçilmedin. Top senindi. “Top benim, oynamıyorum!” dedin, topu koltuğunun altına alıp eve gittin. Ertesi gün mahalle başka bir topla oynadı; seni çağırmadılar.</t>
        </is>
      </c>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row>
    <row r="95">
      <c r="A95" s="5" t="inlineStr">
        <is>
          <t>takim-seciliyor</t>
        </is>
      </c>
      <c r="B95" s="5" t="n">
        <v>2</v>
      </c>
      <c r="C95" s="6" t="inlineStr">
        <is>
          <t>'Beni al' de</t>
        </is>
      </c>
      <c r="D95" s="5" t="inlineStr">
        <is>
          <t>Cesaret</t>
        </is>
      </c>
      <c r="E95" s="5" t="inlineStr">
        <is>
          <t>Kolay</t>
        </is>
      </c>
      <c r="F95" s="5" t="inlineStr"/>
      <c r="G95" s="6" t="inlineStr"/>
      <c r="H95" s="6" t="inlineStr">
        <is>
          <t>“Beni al, hızlıyım!” dedin. Kaptan aldı. Hızlı değildin; ilk yarıda kimse anlamadı.</t>
        </is>
      </c>
      <c r="I95" s="6" t="inlineStr">
        <is>
          <t>Öyle bir tanıtım yaptın ki iki kaptan seni almak için tartıştı.</t>
        </is>
      </c>
      <c r="J95" s="6" t="inlineStr">
        <is>
          <t>'Beni al' dedin. Kaptan 'bakarız' dedi.</t>
        </is>
      </c>
      <c r="K95" s="6" t="inlineStr">
        <is>
          <t>'Beni al' dedin, karşı takım kaptanı aldı. Kendi takımın bunu fark etmedi bile.</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row>
    <row r="96">
      <c r="A96" s="5" t="inlineStr">
        <is>
          <t>takim-seciliyor</t>
        </is>
      </c>
      <c r="B96" s="5" t="n">
        <v>3</v>
      </c>
      <c r="C96" s="6" t="inlineStr">
        <is>
          <t>İyi oynayan çocuğa git</t>
        </is>
      </c>
      <c r="D96" s="5" t="inlineStr">
        <is>
          <t>Sosyal Radar</t>
        </is>
      </c>
      <c r="E96" s="5" t="inlineStr">
        <is>
          <t>Orta</t>
        </is>
      </c>
      <c r="F96" s="5" t="inlineStr"/>
      <c r="G96" s="6" t="inlineStr"/>
      <c r="H96" s="6" t="inlineStr">
        <is>
          <t>En iyi oynayanın yanına gittin; o seçilince seni de gösterdi: “O benimle.” Yetti.</t>
        </is>
      </c>
      <c r="I96" s="6" t="inlineStr">
        <is>
          <t>Bir bakışta en güçlü oyuncuyu seçtin.</t>
        </is>
      </c>
      <c r="J96" s="6" t="inlineStr">
        <is>
          <t>Yanlış oyuncuyu seçtin.</t>
        </is>
      </c>
      <c r="K96" s="6" t="inlineStr">
        <is>
          <t>“En iyi o oynar” diye yanına gittiğin çocuk ilk vuruşta kendi kalesine attı. Bütün takım sana döndü.</t>
        </is>
      </c>
      <c r="L96" s="6" t="inlineStr">
        <is>
          <t>Fena değildi ama en iyisi değildi.</t>
        </is>
      </c>
      <c r="M96" s="5" t="inlineStr">
        <is>
          <t>memory</t>
        </is>
      </c>
      <c r="N96" s="5" t="inlineStr">
        <is>
          <t>Takımı Oku</t>
        </is>
      </c>
      <c r="O96" s="6" t="inlineStr">
        <is>
          <t>Çocukları kısa süre göreceksin. En iyi top kontrolü olanı hatırla.</t>
        </is>
      </c>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row>
    <row r="97">
      <c r="A97" s="5" t="inlineStr">
        <is>
          <t>sana-guluyorlar</t>
        </is>
      </c>
      <c r="B97" s="5" t="n">
        <v>1</v>
      </c>
      <c r="C97" s="6" t="inlineStr">
        <is>
          <t>Sus</t>
        </is>
      </c>
      <c r="D97" s="5" t="inlineStr"/>
      <c r="E97" s="5" t="inlineStr"/>
      <c r="F97" s="5" t="inlineStr">
        <is>
          <t>Dayanıklılık +1</t>
        </is>
      </c>
      <c r="G97" s="6" t="inlineStr">
        <is>
          <t>Sustun. Gülme üç saniye sürdü, sonra top geldi, unutuldu. Sen unutmadın.</t>
        </is>
      </c>
      <c r="H97" s="6" t="inlineStr"/>
      <c r="I97" s="6" t="inlineStr"/>
      <c r="J97" s="6" t="inlineStr"/>
      <c r="K97" s="6" t="inlineStr"/>
      <c r="L97" s="6" t="inlineStr"/>
      <c r="M97" s="5" t="inlineStr"/>
      <c r="N97" s="5" t="inlineStr"/>
      <c r="O97" s="6" t="inlineStr"/>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row>
    <row r="98">
      <c r="A98" s="5" t="inlineStr">
        <is>
          <t>sana-guluyorlar</t>
        </is>
      </c>
      <c r="B98" s="5" t="n">
        <v>2</v>
      </c>
      <c r="C98" s="6" t="inlineStr">
        <is>
          <t>Kendine de gül</t>
        </is>
      </c>
      <c r="D98" s="5" t="inlineStr">
        <is>
          <t>Pişkinlik</t>
        </is>
      </c>
      <c r="E98" s="5" t="inlineStr">
        <is>
          <t>Zor</t>
        </is>
      </c>
      <c r="F98" s="5" t="inlineStr"/>
      <c r="G98" s="6" t="inlineStr"/>
      <c r="H98" s="6" t="inlineStr">
        <is>
          <t>Sen de güldün, hem de en yüksek sesle. Gülme şakadan oyuna döndü; artık herkes seninle gülüyor.</t>
        </is>
      </c>
      <c r="I98" s="6" t="inlineStr">
        <is>
          <t>Kendine güldün, herkes seninle güldü; bir saat sonra aynı espriyi onlar tekrar ediyordu.</t>
        </is>
      </c>
      <c r="J98" s="6" t="inlineStr">
        <is>
          <t>Güldün ama biraz geç. Kahkahalar çoktan bitmişti.</t>
        </is>
      </c>
      <c r="K98" s="6" t="inlineStr">
        <is>
          <t>Güldün, burnundan süt geldi. İkinci bir gülme dalgası başladı.</t>
        </is>
      </c>
      <c r="L98" s="6" t="inlineStr"/>
      <c r="M98" s="5" t="inlineStr"/>
      <c r="N98" s="5" t="inlineStr"/>
      <c r="O98" s="6" t="inlineStr"/>
      <c r="P98" s="6" t="inlineStr"/>
      <c r="Q98" s="5" t="inlineStr"/>
      <c r="R98" s="5" t="inlineStr"/>
      <c r="S98" s="5" t="inlineStr"/>
      <c r="T98" s="5" t="inlineStr">
        <is>
          <t>Kendine Gülebilir</t>
        </is>
      </c>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row>
    <row r="99">
      <c r="A99" s="5" t="inlineStr">
        <is>
          <t>sana-guluyorlar</t>
        </is>
      </c>
      <c r="B99" s="5" t="n">
        <v>3</v>
      </c>
      <c r="C99" s="6" t="inlineStr">
        <is>
          <t>Laf yetiştir</t>
        </is>
      </c>
      <c r="D99" s="5" t="inlineStr">
        <is>
          <t>Çene</t>
        </is>
      </c>
      <c r="E99" s="5" t="inlineStr">
        <is>
          <t>Zor</t>
        </is>
      </c>
      <c r="F99" s="5" t="inlineStr"/>
      <c r="G99" s="6" t="inlineStr"/>
      <c r="H99" s="6" t="inlineStr">
        <is>
          <t>“Sen de burnunu karıştırıyordun” dedin. Doğruydu. Gülme yön değiştirdi.</t>
        </is>
      </c>
      <c r="I99" s="6" t="inlineStr">
        <is>
          <t>Tek cümlelik cevabın kreşin bahçesinde efsaneye dönüştü; öğretmenler bile birbirine anlattı.</t>
        </is>
      </c>
      <c r="J99" s="6" t="inlineStr">
        <is>
          <t>Cevabı buldun; eve gidince.</t>
        </is>
      </c>
      <c r="K99" s="6" t="inlineStr">
        <is>
          <t>Laf yetiştirdin, sonra kelimeleri karıştırdın. Gülme ikiye katlandı.</t>
        </is>
      </c>
      <c r="L99" s="6" t="inlineStr"/>
      <c r="M99" s="5" t="inlineStr"/>
      <c r="N99" s="5" t="inlineStr"/>
      <c r="O99" s="6" t="inlineStr"/>
      <c r="P99" s="6" t="inlineStr"/>
      <c r="Q99" s="5" t="inlineStr"/>
      <c r="R99" s="5" t="inlineStr"/>
      <c r="S99" s="5" t="inlineStr"/>
      <c r="T99" s="5" t="inlineStr"/>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row>
    <row r="100">
      <c r="A100" s="5" t="inlineStr">
        <is>
          <t>sana-guluyorlar</t>
        </is>
      </c>
      <c r="B100" s="5" t="n">
        <v>4</v>
      </c>
      <c r="C100" s="6" t="inlineStr">
        <is>
          <t>Sahneyi devral</t>
        </is>
      </c>
      <c r="D100" s="5" t="inlineStr">
        <is>
          <t>Pişkinlik</t>
        </is>
      </c>
      <c r="E100" s="5" t="inlineStr">
        <is>
          <t>Kolay</t>
        </is>
      </c>
      <c r="F100" s="5" t="inlineStr"/>
      <c r="G100" s="6" t="inlineStr"/>
      <c r="H100" s="6" t="inlineStr">
        <is>
          <t>Gülüşmeleri alkışa çevirdin. Artık gösterinin sahibisin.</t>
        </is>
      </c>
      <c r="I100" s="6" t="inlineStr">
        <is>
          <t>Doğaçlama bir şov yaptın. Ertesi gün tekrar istendi.</t>
        </is>
      </c>
      <c r="J100" s="6" t="inlineStr">
        <is>
          <t>Sahneyi devraldın; seyirci dağıldı.</t>
        </is>
      </c>
      <c r="K100" s="6" t="inlineStr">
        <is>
          <t>Sahneyi devraldın ve takıldın. Artık gerçekten gülüyorlar.</t>
        </is>
      </c>
      <c r="L100" s="6" t="inlineStr"/>
      <c r="M100" s="5" t="inlineStr"/>
      <c r="N100" s="5" t="inlineStr"/>
      <c r="O100" s="6" t="inlineStr"/>
      <c r="P100" s="6" t="inlineStr"/>
      <c r="Q100" s="5" t="inlineStr">
        <is>
          <t>Sahne Sever</t>
        </is>
      </c>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row>
    <row r="101">
      <c r="A101" s="5" t="inlineStr">
        <is>
          <t>ilk-kucuk-sir</t>
        </is>
      </c>
      <c r="B101" s="5" t="n">
        <v>1</v>
      </c>
      <c r="C101" s="6" t="inlineStr">
        <is>
          <t>Sırrı tut</t>
        </is>
      </c>
      <c r="D101" s="5" t="inlineStr">
        <is>
          <t>İtibar</t>
        </is>
      </c>
      <c r="E101" s="5" t="inlineStr">
        <is>
          <t>Kolay</t>
        </is>
      </c>
      <c r="F101" s="5" t="inlineStr"/>
      <c r="G101" s="6" t="inlineStr"/>
      <c r="H101" s="6" t="inlineStr">
        <is>
          <t>Sırrı tuttun. Annen “Ne konuştunuz?” diye sordu; “Hiç” dedin. Arkadaşın uzaktan göz kırptı.</t>
        </is>
      </c>
      <c r="I101" s="6" t="inlineStr">
        <is>
          <t>Sırrı tuttun. Arkadaşın ertesi gün daha büyük bir sır verdi. Artık sır saklayan çocuksun; kreşte bu bir makam.</t>
        </is>
      </c>
      <c r="J101" s="6" t="inlineStr">
        <is>
          <t>Sırrı tuttun ama ağzından yarım kelime kaçtı.</t>
        </is>
      </c>
      <c r="K101" s="6" t="inlineStr">
        <is>
          <t>Sırrı tutmaya o kadar odaklandın ki uykunda söyledin.</t>
        </is>
      </c>
      <c r="L101" s="6" t="inlineStr"/>
      <c r="M101" s="5" t="inlineStr"/>
      <c r="N101" s="5" t="inlineStr"/>
      <c r="O101" s="6" t="inlineStr"/>
      <c r="P101" s="6" t="inlineStr"/>
      <c r="Q101" s="5" t="inlineStr"/>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row>
    <row r="102">
      <c r="A102" s="5" t="inlineStr">
        <is>
          <t>ilk-kucuk-sir</t>
        </is>
      </c>
      <c r="B102" s="5" t="n">
        <v>2</v>
      </c>
      <c r="C102" s="6" t="inlineStr">
        <is>
          <t>Başkasına anlat</t>
        </is>
      </c>
      <c r="D102" s="5" t="inlineStr">
        <is>
          <t>Çene</t>
        </is>
      </c>
      <c r="E102" s="5" t="inlineStr">
        <is>
          <t>Orta</t>
        </is>
      </c>
      <c r="F102" s="5" t="inlineStr"/>
      <c r="G102" s="6" t="inlineStr"/>
      <c r="H102" s="6" t="inlineStr">
        <is>
          <t>Bir kişiye anlattın. Öğlene kadar bütün kreş biliyordu. Öğle yemeğinde üç kişi yanına oturdu; arkadaşın oturmadı.</t>
        </is>
      </c>
      <c r="I102" s="6" t="inlineStr">
        <is>
          <t>Sırrı öyle anlattın ki kimse kaynağın sen olduğunu bilmiyor. Profesyonel.</t>
        </is>
      </c>
      <c r="J102" s="6" t="inlineStr">
        <is>
          <t>Anlattın; dinleyen zaten biliyormuş.</t>
        </is>
      </c>
      <c r="K102" s="6" t="inlineStr">
        <is>
          <t>Anlattığın kişi, sırrın sahibinin en yakın arkadaşıydı.</t>
        </is>
      </c>
      <c r="L102" s="6" t="inlineStr"/>
      <c r="M102" s="5" t="inlineStr"/>
      <c r="N102" s="5" t="inlineStr"/>
      <c r="O102" s="6" t="inlineStr"/>
      <c r="P102" s="6" t="inlineStr"/>
      <c r="Q102" s="5" t="inlineStr"/>
      <c r="R102" s="5" t="inlineStr"/>
      <c r="S102" s="5" t="inlineStr"/>
      <c r="T102" s="5" t="inlineStr"/>
      <c r="U102" s="5" t="inlineStr">
        <is>
          <t>sirVerdi</t>
        </is>
      </c>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row>
    <row r="103">
      <c r="A103" s="5" t="inlineStr">
        <is>
          <t>ilk-kucuk-sir</t>
        </is>
      </c>
      <c r="B103" s="5" t="n">
        <v>3</v>
      </c>
      <c r="C103" s="6" t="inlineStr">
        <is>
          <t>Önemini değerlendir</t>
        </is>
      </c>
      <c r="D103" s="5" t="inlineStr">
        <is>
          <t>Sosyal Radar</t>
        </is>
      </c>
      <c r="E103" s="5" t="inlineStr">
        <is>
          <t>Kolay</t>
        </is>
      </c>
      <c r="F103" s="5" t="inlineStr"/>
      <c r="G103" s="6" t="inlineStr"/>
      <c r="H103" s="6" t="inlineStr">
        <is>
          <t>Her sırrın aynı ağırlıkta olmadığını fark ettin.</t>
        </is>
      </c>
      <c r="I103" s="6" t="inlineStr">
        <is>
          <t>Sırrın aslında sır bile olmadığını fark ettin. Herkes biliyordu.</t>
        </is>
      </c>
      <c r="J103" s="6" t="inlineStr">
        <is>
          <t>Değerlendirmeye çalıştın; sır çok karışıktı.</t>
        </is>
      </c>
      <c r="K103" s="6" t="inlineStr">
        <is>
          <t>“Bu sır mı şimdi?” diye yüksek sesle düşündün. Sırrın sahibi arkandaydı. Artık sır da yok, arkadaş da.</t>
        </is>
      </c>
      <c r="L103" s="6" t="inlineStr"/>
      <c r="M103" s="5" t="inlineStr"/>
      <c r="N103" s="5" t="inlineStr"/>
      <c r="O103" s="6" t="inlineStr"/>
      <c r="P103" s="6" t="inlineStr"/>
      <c r="Q103" s="5" t="inlineStr"/>
      <c r="R103" s="5" t="inlineStr"/>
      <c r="S103" s="5" t="inlineStr"/>
      <c r="T103" s="5" t="inlineStr"/>
      <c r="U103" s="5" t="inlineStr"/>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row>
    <row r="104">
      <c r="A104" s="5" t="inlineStr">
        <is>
          <t>aileler-kiyasliyor</t>
        </is>
      </c>
      <c r="B104" s="5" t="n">
        <v>1</v>
      </c>
      <c r="C104" s="6" t="inlineStr">
        <is>
          <t>Görmezden gel</t>
        </is>
      </c>
      <c r="D104" s="5" t="inlineStr">
        <is>
          <t>Dayanıklılık</t>
        </is>
      </c>
      <c r="E104" s="5" t="inlineStr">
        <is>
          <t>Kolay</t>
        </is>
      </c>
      <c r="F104" s="5" t="inlineStr"/>
      <c r="G104" s="6" t="inlineStr"/>
      <c r="H104" s="6" t="inlineStr">
        <is>
          <t>Yetişkin olimpiyatlarından çekildin.</t>
        </is>
      </c>
      <c r="I104" s="6" t="inlineStr">
        <is>
          <t>Görmezden geldin; yetişkinler senin olgunluğunu kıyaslamaya başladı. Kazandın.</t>
        </is>
      </c>
      <c r="J104" s="6" t="inlineStr">
        <is>
          <t>Görmezden gelmeye çalıştın; adın on kez geçti.</t>
        </is>
      </c>
      <c r="K104" s="6" t="inlineStr">
        <is>
          <t>Görmezden gelirken 'Bizimki okumayı söktü' cümlesini duydun. Sen sökmemiştin.</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row>
    <row r="105">
      <c r="A105" s="5" t="inlineStr">
        <is>
          <t>aileler-kiyasliyor</t>
        </is>
      </c>
      <c r="B105" s="5" t="n">
        <v>2</v>
      </c>
      <c r="C105" s="6" t="inlineStr">
        <is>
          <t>Bildiğini göster</t>
        </is>
      </c>
      <c r="D105" s="5" t="inlineStr">
        <is>
          <t>Pişkinlik</t>
        </is>
      </c>
      <c r="E105" s="5" t="inlineStr">
        <is>
          <t>Orta</t>
        </is>
      </c>
      <c r="F105" s="5" t="inlineStr"/>
      <c r="G105" s="6" t="inlineStr"/>
      <c r="H105" s="6" t="inlineStr">
        <is>
          <t>Rekabetin ortasına gönüllü girdin ve puan aldın.</t>
        </is>
      </c>
      <c r="I105" s="6" t="inlineStr">
        <is>
          <t>Alfabeyi tersten okudun. Karşı aile çocuğunu hemen kursa yazdırdı.</t>
        </is>
      </c>
      <c r="J105" s="6" t="inlineStr">
        <is>
          <t>Göstermeye çalıştın; heyecandan unuttun.</t>
        </is>
      </c>
      <c r="K105" s="6" t="inlineStr">
        <is>
          <t>Alfabeyi okudun; “Ş”den “Z”ye atladın. Karşı anne düzeltti, karşı annenin çocuğu da. Annen çayını hızlı bitirdi.</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row>
    <row r="106">
      <c r="A106" s="5" t="inlineStr">
        <is>
          <t>aileler-kiyasliyor</t>
        </is>
      </c>
      <c r="B106" s="5" t="n">
        <v>3</v>
      </c>
      <c r="C106" s="6" t="inlineStr">
        <is>
          <t>Yetişkinleri gözlemle</t>
        </is>
      </c>
      <c r="D106" s="5" t="inlineStr">
        <is>
          <t>Sosyal Radar</t>
        </is>
      </c>
      <c r="E106" s="5" t="inlineStr">
        <is>
          <t>Orta</t>
        </is>
      </c>
      <c r="F106" s="5" t="inlineStr"/>
      <c r="G106" s="6" t="inlineStr"/>
      <c r="H106" s="6" t="inlineStr">
        <is>
          <t>Bunun aslında çocuklarla ilgili olmadığını fark ettin.</t>
        </is>
      </c>
      <c r="I106" s="6" t="inlineStr">
        <is>
          <t>Kimin kiminle neden yarıştığını çözdün. Aile sosyolojisinde ilk makale.</t>
        </is>
      </c>
      <c r="J106" s="6" t="inlineStr">
        <is>
          <t>Gözlemledin. Sonuç: yetişkinler garip.</t>
        </is>
      </c>
      <c r="K106" s="6" t="inlineStr">
        <is>
          <t>Gözlemlerini yüksek sesle paylaştın. Misafirler erken kalktı.</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row>
    <row r="107">
      <c r="A107" s="5" t="inlineStr">
        <is>
          <t>kirilan-oyuncak</t>
        </is>
      </c>
      <c r="B107" s="5" t="n">
        <v>1</v>
      </c>
      <c r="C107" s="6" t="inlineStr">
        <is>
          <t>Hemen söyle</t>
        </is>
      </c>
      <c r="D107" s="5" t="inlineStr"/>
      <c r="E107" s="5" t="inlineStr"/>
      <c r="F107" s="5" t="inlineStr">
        <is>
          <t>İtibar +2</t>
        </is>
      </c>
      <c r="G107" s="6" t="inlineStr">
        <is>
          <t>Kırık oyuncağı götürüp “Ben kırdım” dedin. Annen baktı, iç çekti, “Neyse” dedi. Sonra ekledi: “Ama bir daha olmaz.” Oldu.</t>
        </is>
      </c>
      <c r="H107" s="6" t="inlineStr"/>
      <c r="I107" s="6" t="inlineStr"/>
      <c r="J107" s="6" t="inlineStr"/>
      <c r="K107" s="6" t="inlineStr"/>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row>
    <row r="108">
      <c r="A108" s="5" t="inlineStr">
        <is>
          <t>kirilan-oyuncak</t>
        </is>
      </c>
      <c r="B108" s="5" t="n">
        <v>2</v>
      </c>
      <c r="C108" s="6" t="inlineStr">
        <is>
          <t>Yerine koy, uzaklaş</t>
        </is>
      </c>
      <c r="D108" s="5" t="inlineStr">
        <is>
          <t>Kurnazlık</t>
        </is>
      </c>
      <c r="E108" s="5" t="inlineStr">
        <is>
          <t>Zor</t>
        </is>
      </c>
      <c r="F108" s="5" t="inlineStr"/>
      <c r="G108" s="6" t="inlineStr"/>
      <c r="H108" s="6" t="inlineStr">
        <is>
          <t>Yerine koydun, uzaklaştın. Üç gün kimse fark etmedi. Üç gün her sese irkildin.</t>
        </is>
      </c>
      <c r="I108" s="6" t="inlineStr">
        <is>
          <t>Oyuncağı öyle yerleştirdin ki kırık, bir hafta sonra başkasının elinde ortaya çıktı.</t>
        </is>
      </c>
      <c r="J108" s="6" t="inlineStr">
        <is>
          <t>Yerine koydun; tam o sırada bir parça düştü.</t>
        </is>
      </c>
      <c r="K108" s="6" t="inlineStr">
        <is>
          <t>Uzaklaşırken çağrıldın: 'Bu ne?'</t>
        </is>
      </c>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row>
    <row r="109">
      <c r="A109" s="5" t="inlineStr">
        <is>
          <t>kirilan-oyuncak</t>
        </is>
      </c>
      <c r="B109" s="5" t="n">
        <v>3</v>
      </c>
      <c r="C109" s="6" t="inlineStr">
        <is>
          <t>Tamir etmeye çalış</t>
        </is>
      </c>
      <c r="D109" s="5" t="inlineStr">
        <is>
          <t>Akıl</t>
        </is>
      </c>
      <c r="E109" s="5" t="inlineStr">
        <is>
          <t>Orta</t>
        </is>
      </c>
      <c r="F109" s="5" t="inlineStr"/>
      <c r="G109" s="6" t="inlineStr"/>
      <c r="H109" s="6" t="inlineStr">
        <is>
          <t>Bantla sardın. Oyuncak çalışıyor: biraz eğri, biraz yapışkan, ama çalışıyor. Baban “Aferin” dedi ve bant rulosunu geri istedi.</t>
        </is>
      </c>
      <c r="I109" s="6" t="inlineStr">
        <is>
          <t>Tamir ettin; oyuncak eskisinden iyi çalışıyor. Üstelik artık ışığı da yanıyor.</t>
        </is>
      </c>
      <c r="J109" s="6" t="inlineStr">
        <is>
          <t>Tamir ettin; bir parça arttı.</t>
        </is>
      </c>
      <c r="K109" s="6" t="inlineStr">
        <is>
          <t>Tamir ederken ikinci oyuncağı da söktün.</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row>
    <row r="110">
      <c r="A110" s="5" t="inlineStr">
        <is>
          <t>mahalle-turnuvasi</t>
        </is>
      </c>
      <c r="B110" s="5" t="n">
        <v>1</v>
      </c>
      <c r="C110" s="6" t="inlineStr">
        <is>
          <t>Yarış</t>
        </is>
      </c>
      <c r="D110" s="5" t="inlineStr">
        <is>
          <t>Dayanıklılık</t>
        </is>
      </c>
      <c r="E110" s="5" t="inlineStr">
        <is>
          <t>Orta</t>
        </is>
      </c>
      <c r="F110" s="5" t="inlineStr"/>
      <c r="G110" s="6" t="inlineStr"/>
      <c r="H110" s="6" t="inlineStr">
        <is>
          <t>Burun farkıyla öndesin. Zafer yine zaferdir.</t>
        </is>
      </c>
      <c r="I110" s="6" t="inlineStr">
        <is>
          <t>Bitiş çizgisine vardığında rakibin hâlâ yarı yoldaydı.</t>
        </is>
      </c>
      <c r="J110" s="6" t="inlineStr">
        <is>
          <t>Rakibin biraz daha hızlıydı.</t>
        </is>
      </c>
      <c r="K110" s="6" t="inlineStr">
        <is>
          <t>Başlangıçta tökezledin; herkes yanından geçti. Sonuncu geldin ama en çok alkışı sen aldın: acıma alkışı.</t>
        </is>
      </c>
      <c r="L110" s="6" t="inlineStr">
        <is>
          <t>Neredeyse aynı anda vardınız.</t>
        </is>
      </c>
      <c r="M110" s="5" t="inlineStr">
        <is>
          <t>timing</t>
        </is>
      </c>
      <c r="N110" s="5" t="inlineStr">
        <is>
          <t>Düdük!</t>
        </is>
      </c>
      <c r="O110" s="6" t="inlineStr">
        <is>
          <t>İbre yeşile girdiği an dokun; tam düdükle fırla.</t>
        </is>
      </c>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row>
    <row r="111">
      <c r="A111" s="5" t="inlineStr">
        <is>
          <t>mahalle-turnuvasi</t>
        </is>
      </c>
      <c r="B111" s="5" t="n">
        <v>2</v>
      </c>
      <c r="C111" s="6" t="inlineStr">
        <is>
          <t>Başlangıç avantajı bul</t>
        </is>
      </c>
      <c r="D111" s="5" t="inlineStr">
        <is>
          <t>Kurnazlık</t>
        </is>
      </c>
      <c r="E111" s="5" t="inlineStr">
        <is>
          <t>Zor</t>
        </is>
      </c>
      <c r="F111" s="5" t="inlineStr"/>
      <c r="G111" s="6" t="inlineStr"/>
      <c r="H111" s="6" t="inlineStr">
        <is>
          <t>Kural “Kim ‘Başla’ derse o başlar”dı. “Başla” dedin. Başladın.</t>
        </is>
      </c>
      <c r="I111" s="6" t="inlineStr">
        <is>
          <t>Boşluğu buldun, kullandın; kural kitabına senin adın eklendi.</t>
        </is>
      </c>
      <c r="J111" s="6" t="inlineStr">
        <is>
          <t>Boşluk bulamadın. Kurallar sıkıymış.</t>
        </is>
      </c>
      <c r="K111" s="6" t="inlineStr">
        <is>
          <t>Erken çıktın, diskalifiye edildin. Hakem mahalle bakkalıydı.</t>
        </is>
      </c>
      <c r="L111" s="6" t="inlineStr"/>
      <c r="M111" s="5" t="inlineStr"/>
      <c r="N111" s="5" t="inlineStr"/>
      <c r="O111" s="6" t="inlineStr"/>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row>
    <row r="112">
      <c r="A112" s="5" t="inlineStr">
        <is>
          <t>mahalle-turnuvasi</t>
        </is>
      </c>
      <c r="B112" s="5" t="n">
        <v>3</v>
      </c>
      <c r="C112" s="6" t="inlineStr">
        <is>
          <t>Hakem olmaya çalış</t>
        </is>
      </c>
      <c r="D112" s="5" t="inlineStr">
        <is>
          <t>İtibar</t>
        </is>
      </c>
      <c r="E112" s="5" t="inlineStr">
        <is>
          <t>Zor</t>
        </is>
      </c>
      <c r="F112" s="5" t="inlineStr"/>
      <c r="G112" s="6" t="inlineStr"/>
      <c r="H112" s="6" t="inlineStr">
        <is>
          <t>Yarışmadın. Yarışın kurallarına karar verdin.</t>
        </is>
      </c>
      <c r="I112" s="6" t="inlineStr">
        <is>
          <t>Hakem oldun, ödül töreni düzenledin, madalyaları kendin dağıttın.</t>
        </is>
      </c>
      <c r="J112" s="6" t="inlineStr">
        <is>
          <t>Hakemlik başvurun reddedildi. Yarışçı olarak kaydedildin.</t>
        </is>
      </c>
      <c r="K112" s="6" t="inlineStr">
        <is>
          <t>Hakem oldun ama iki taraf da sana itiraz etti. Turnuva iptal.</t>
        </is>
      </c>
      <c r="L112" s="6" t="inlineStr"/>
      <c r="M112" s="5" t="inlineStr"/>
      <c r="N112" s="5" t="inlineStr"/>
      <c r="O112" s="6" t="inlineStr"/>
      <c r="P112" s="6" t="inlineStr"/>
      <c r="Q112" s="5" t="inlineStr"/>
      <c r="R112" s="5" t="inlineStr"/>
      <c r="S112" s="5" t="inlineStr"/>
      <c r="T112" s="5" t="inlineStr">
        <is>
          <t>Kuralı Koyan</t>
        </is>
      </c>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row>
    <row r="113">
      <c r="A113" s="5" t="inlineStr">
        <is>
          <t>mahalle-turnuvasi</t>
        </is>
      </c>
      <c r="B113" s="5" t="n">
        <v>4</v>
      </c>
      <c r="C113" s="6" t="inlineStr">
        <is>
          <t>Mahallenin kestirmesini kullan</t>
        </is>
      </c>
      <c r="D113" s="5" t="inlineStr">
        <is>
          <t>Kurnazlık</t>
        </is>
      </c>
      <c r="E113" s="5" t="inlineStr">
        <is>
          <t>Orta</t>
        </is>
      </c>
      <c r="F113" s="5" t="inlineStr"/>
      <c r="G113" s="6" t="inlineStr"/>
      <c r="H113" s="6" t="inlineStr">
        <is>
          <t>Yarışın ortasında bahçe duvarının arkasından çıktın. Kurallarda bununla ilgili bir madde yoktu.</t>
        </is>
      </c>
      <c r="I113" s="6" t="inlineStr">
        <is>
          <t>Kestirmeyi kullandın, birinci geldin. Hakem de mahalleden olduğu için itiraz eden çıkmadı.</t>
        </is>
      </c>
      <c r="J113" s="6" t="inlineStr">
        <is>
          <t>Kestirmeye saptın; duvarın arkasında komşunun köpeği vardı. Yarışın sonunu duvarın üstünden izledin.</t>
        </is>
      </c>
      <c r="K113" s="6" t="inlineStr">
        <is>
          <t>Kestirmeden çıktığında yarış bitmişti. Birinci sen değildin ama en çok çamura bulanan sendin.</t>
        </is>
      </c>
      <c r="L113" s="6" t="inlineStr"/>
      <c r="M113" s="5" t="inlineStr"/>
      <c r="N113" s="5" t="inlineStr"/>
      <c r="O113" s="6" t="inlineStr"/>
      <c r="P113" s="6" t="inlineStr"/>
      <c r="Q113" s="5" t="inlineStr"/>
      <c r="R113" s="5" t="inlineStr">
        <is>
          <t>mahalle-cocugu</t>
        </is>
      </c>
      <c r="S113" s="5" t="inlineStr"/>
      <c r="T113" s="5" t="inlineStr"/>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row>
    <row r="114">
      <c r="A114" s="5" t="inlineStr">
        <is>
          <t>harclik-pazarligi</t>
        </is>
      </c>
      <c r="B114" s="5" t="n">
        <v>1</v>
      </c>
      <c r="C114" s="6" t="inlineStr">
        <is>
          <t>Kabul et</t>
        </is>
      </c>
      <c r="D114" s="5" t="inlineStr"/>
      <c r="E114" s="5" t="inlineStr"/>
      <c r="F114" s="5" t="inlineStr">
        <is>
          <t>İtibar +1</t>
        </is>
      </c>
      <c r="G114" s="6" t="inlineStr">
        <is>
          <t>Kabul ettin. Annen “Aferin, kanaatkâr çocuk” dedi. Kanaatkâr, harçlığı az olan demek.</t>
        </is>
      </c>
      <c r="H114" s="6" t="inlineStr"/>
      <c r="I114" s="6" t="inlineStr"/>
      <c r="J114" s="6" t="inlineStr"/>
      <c r="K114" s="6" t="inlineStr"/>
      <c r="L114" s="6" t="inlineStr"/>
      <c r="M114" s="5" t="inlineStr"/>
      <c r="N114" s="5" t="inlineStr"/>
      <c r="O114" s="6" t="inlineStr"/>
      <c r="P114" s="6" t="inlineStr"/>
      <c r="Q114" s="5" t="inlineStr"/>
      <c r="R114" s="5" t="inlineStr"/>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row>
    <row r="115">
      <c r="A115" s="5" t="inlineStr">
        <is>
          <t>harclik-pazarligi</t>
        </is>
      </c>
      <c r="B115" s="5" t="n">
        <v>2</v>
      </c>
      <c r="C115" s="6" t="inlineStr">
        <is>
          <t>Biraz daha iste</t>
        </is>
      </c>
      <c r="D115" s="5" t="inlineStr">
        <is>
          <t>Çene</t>
        </is>
      </c>
      <c r="E115" s="5" t="inlineStr">
        <is>
          <t>Zor</t>
        </is>
      </c>
      <c r="F115" s="5" t="inlineStr"/>
      <c r="G115" s="6" t="inlineStr"/>
      <c r="H115" s="6" t="inlineStr">
        <is>
          <t>“Biraz daha” dedin. Baban annene baktı, annen omuz silkti. Bir bozukluk daha. Omuz silkmenin fiyatı bu.</t>
        </is>
      </c>
      <c r="I115" s="6" t="inlineStr">
        <is>
          <t>Yüzde elli zam aldın. Aile bütçesi yeniden düzenlendi.</t>
        </is>
      </c>
      <c r="J115" s="6" t="inlineStr">
        <is>
          <t>İstedin; 'büyüyünce' denildi.</t>
        </is>
      </c>
      <c r="K115" s="6" t="inlineStr">
        <is>
          <t>“Biraz daha” dedin. Baban harçlığı geri aldı: “Önce kıymetini öğren.” Bu hafta sıfır. Konuşma yirmi dakika sürdü ve “Biz sizin yaşınızdayken” diye başladı.</t>
        </is>
      </c>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row>
    <row r="116">
      <c r="A116" s="5" t="inlineStr">
        <is>
          <t>harclik-pazarligi</t>
        </is>
      </c>
      <c r="B116" s="5" t="n">
        <v>3</v>
      </c>
      <c r="C116" s="6" t="inlineStr">
        <is>
          <t>Ev işi karşılığı teklif et</t>
        </is>
      </c>
      <c r="D116" s="5" t="inlineStr">
        <is>
          <t>Kurnazlık</t>
        </is>
      </c>
      <c r="E116" s="5" t="inlineStr">
        <is>
          <t>Zor</t>
        </is>
      </c>
      <c r="F116" s="5" t="inlineStr"/>
      <c r="G116" s="6" t="inlineStr"/>
      <c r="H116" s="6" t="inlineStr">
        <is>
          <t>“Sofrayı kurarsam fazla verir misin?” dedin. Baban annene baktı; annen “Zaten kuracaktı” dedi. Yine de verdiler.</t>
        </is>
      </c>
      <c r="I116" s="6" t="inlineStr">
        <is>
          <t>Sofra kurmak için tarife açıkladın, bulaşık için ek paket. Ailen kabul etti.</t>
        </is>
      </c>
      <c r="J116" s="6" t="inlineStr">
        <is>
          <t>Teklifin kabul edildi; parasız. “Evin işi parayla mı olur?” dendi.</t>
        </is>
      </c>
      <c r="K116" s="6" t="inlineStr">
        <is>
          <t>Ev işi teklif ettin; tüm ev işleri sana verildi, ücret konusu ertelendi.</t>
        </is>
      </c>
      <c r="L116" s="6" t="inlineStr"/>
      <c r="M116" s="5" t="inlineStr"/>
      <c r="N116" s="5" t="inlineStr"/>
      <c r="O116" s="6" t="inlineStr"/>
      <c r="P116" s="6" t="inlineStr"/>
      <c r="Q116" s="5" t="inlineStr"/>
      <c r="R116" s="5" t="inlineStr"/>
      <c r="S116" s="5" t="inlineStr"/>
      <c r="T116" s="5" t="inlineStr">
        <is>
          <t>Sofra Müteahhidi</t>
        </is>
      </c>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row>
    <row r="117">
      <c r="A117" s="5" t="inlineStr">
        <is>
          <t>harclik-pazarligi</t>
        </is>
      </c>
      <c r="B117" s="5" t="n">
        <v>4</v>
      </c>
      <c r="C117" s="6" t="inlineStr">
        <is>
          <t>Enflasyon farkı talep et</t>
        </is>
      </c>
      <c r="D117" s="5" t="inlineStr">
        <is>
          <t>Akıl</t>
        </is>
      </c>
      <c r="E117" s="5" t="inlineStr">
        <is>
          <t>Orta</t>
        </is>
      </c>
      <c r="F117" s="5" t="inlineStr"/>
      <c r="G117" s="6" t="inlineStr"/>
      <c r="H117" s="6" t="inlineStr">
        <is>
          <t>Enflasyon farkı talep ettin. Ailen şaşkınlıkla kabul etti.</t>
        </is>
      </c>
      <c r="I117" s="6" t="inlineStr">
        <is>
          <t>Farkı hesapladın, geriye dönük talep ettin, tahsil ettin.</t>
        </is>
      </c>
      <c r="J117" s="6" t="inlineStr">
        <is>
          <t>'Enflasyon' kelimesini doğru söyleyemedin. Dava düştü.</t>
        </is>
      </c>
      <c r="K117" s="6" t="inlineStr">
        <is>
          <t>Enflasyon farkı istedin; babanın maaş konuşması başladı. Kimse mutlu değil.</t>
        </is>
      </c>
      <c r="L117" s="6" t="inlineStr"/>
      <c r="M117" s="5" t="inlineStr"/>
      <c r="N117" s="5" t="inlineStr"/>
      <c r="O117" s="6" t="inlineStr"/>
      <c r="P117" s="6" t="inlineStr"/>
      <c r="Q117" s="5" t="inlineStr">
        <is>
          <t>Kumbara Çocuğu</t>
        </is>
      </c>
      <c r="R117" s="5" t="inlineStr"/>
      <c r="S117" s="5" t="inlineStr"/>
      <c r="T117" s="5" t="inlineStr"/>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row>
    <row r="118">
      <c r="A118" s="5" t="inlineStr">
        <is>
          <t>okul-hazirligi</t>
        </is>
      </c>
      <c r="B118" s="5" t="n">
        <v>1</v>
      </c>
      <c r="C118" s="6" t="inlineStr">
        <is>
          <t>Harflerle ilgilen</t>
        </is>
      </c>
      <c r="D118" s="5" t="inlineStr">
        <is>
          <t>Akıl</t>
        </is>
      </c>
      <c r="E118" s="5" t="inlineStr">
        <is>
          <t>Kolay</t>
        </is>
      </c>
      <c r="F118" s="5" t="inlineStr"/>
      <c r="G118" s="6" t="inlineStr"/>
      <c r="H118" s="6" t="inlineStr">
        <is>
          <t>M oldu, A oldu. Annen kâğıdı buzdolabına astı. Buzdolabı artık senin sergin.</t>
        </is>
      </c>
      <c r="I118" s="6" t="inlineStr">
        <is>
          <t>Harfleri öğrendin ve markette etiketleri okumaya başladın. Fiyatlar seni endişelendirdi.</t>
        </is>
      </c>
      <c r="J118" s="6" t="inlineStr">
        <is>
          <t>Harflerle ilgilendin; harfler seninle ilgilenmedi.</t>
        </is>
      </c>
      <c r="K118" s="6" t="inlineStr">
        <is>
          <t>B ile D'yi karıştırdın. Hâlâ karıştırıyorsun.</t>
        </is>
      </c>
      <c r="L118" s="6" t="inlineStr">
        <is>
          <t>Harf oldu ama biraz yamuk. Öğretmen yine de yıldız verdi.</t>
        </is>
      </c>
      <c r="M118" s="5" t="inlineStr">
        <is>
          <t>trace</t>
        </is>
      </c>
      <c r="N118" s="5" t="inlineStr">
        <is>
          <t>İlk Harf</t>
        </is>
      </c>
      <c r="O118" s="6" t="inlineStr">
        <is>
          <t>Parmağını kaldırmadan kesikli çizginin üstünden M harfini çiz.</t>
        </is>
      </c>
      <c r="P118" s="6" t="inlineStr"/>
      <c r="Q118" s="5" t="inlineStr"/>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row>
    <row r="119">
      <c r="A119" s="5" t="inlineStr">
        <is>
          <t>okul-hazirligi</t>
        </is>
      </c>
      <c r="B119" s="5" t="n">
        <v>2</v>
      </c>
      <c r="C119" s="6" t="inlineStr">
        <is>
          <t>Çantayı kendin hazırla</t>
        </is>
      </c>
      <c r="D119" s="5" t="inlineStr">
        <is>
          <t>Dayanıklılık</t>
        </is>
      </c>
      <c r="E119" s="5" t="inlineStr">
        <is>
          <t>Kolay</t>
        </is>
      </c>
      <c r="F119" s="5" t="inlineStr"/>
      <c r="G119" s="6" t="inlineStr"/>
      <c r="H119" s="6" t="inlineStr">
        <is>
          <t>Çantayı kendin hazırladın. Annen gece gizlice açıp bir yedek beslenme koydu. İkiniz de bilmiyormuş gibi yaptınız.</t>
        </is>
      </c>
      <c r="I119" s="6" t="inlineStr">
        <is>
          <t>Beslenme, kalem, yedek çorap. Ailen sana kendi çantasını da verdi.</t>
        </is>
      </c>
      <c r="J119" s="6" t="inlineStr">
        <is>
          <t>Çantayı hazırladın; içinde sadece oyuncak var.</t>
        </is>
      </c>
      <c r="K119" s="6" t="inlineStr">
        <is>
          <t>Çantayı öyle doldurdun ki kaldıramadın.</t>
        </is>
      </c>
      <c r="L119" s="6" t="inlineStr"/>
      <c r="M119" s="5" t="inlineStr"/>
      <c r="N119" s="5" t="inlineStr"/>
      <c r="O119" s="6" t="inlineStr"/>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row>
    <row r="120">
      <c r="A120" s="5" t="inlineStr">
        <is>
          <t>okul-hazirligi</t>
        </is>
      </c>
      <c r="B120" s="5" t="n">
        <v>3</v>
      </c>
      <c r="C120" s="6" t="inlineStr">
        <is>
          <t>Aileye bırak</t>
        </is>
      </c>
      <c r="D120" s="5" t="inlineStr"/>
      <c r="E120" s="5" t="inlineStr"/>
      <c r="F120" s="5" t="inlineStr">
        <is>
          <t>Sosyal Radar +1</t>
        </is>
      </c>
      <c r="G120" s="6" t="inlineStr">
        <is>
          <t>Çantayı annen hazırladı. İçinde ne olduğunu ilk derste öğrendin: peçete, peçete, ıslak mendil. Kalem yoktu.</t>
        </is>
      </c>
      <c r="H120" s="6" t="inlineStr"/>
      <c r="I120" s="6" t="inlineStr"/>
      <c r="J120" s="6" t="inlineStr"/>
      <c r="K120" s="6" t="inlineStr"/>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row>
    <row r="121">
      <c r="A121" s="5" t="inlineStr">
        <is>
          <t>okul-hazirligi</t>
        </is>
      </c>
      <c r="B121" s="5" t="n">
        <v>4</v>
      </c>
      <c r="C121" s="6" t="inlineStr">
        <is>
          <t>Harfleri tabletten bildiğini göster</t>
        </is>
      </c>
      <c r="D121" s="5" t="inlineStr">
        <is>
          <t>Akıl</t>
        </is>
      </c>
      <c r="E121" s="5" t="inlineStr">
        <is>
          <t>Orta</t>
        </is>
      </c>
      <c r="F121" s="5" t="inlineStr"/>
      <c r="G121" s="6" t="inlineStr"/>
      <c r="H121" s="6" t="inlineStr">
        <is>
          <t>Harfleri tabletteki bir oyundan öğrenmiştin. Öğretmen “Bunu kim öğretti?” diye sordu; “Bir uygulama” dedin.</t>
        </is>
      </c>
      <c r="I121" s="6" t="inlineStr">
        <is>
          <t>Harfleri sayıp döktün, sonra hepsini sıraya dizdin. Öğretmen defterine “tablet çocuğu” diye not düştü.</t>
        </is>
      </c>
      <c r="J121" s="6" t="inlineStr">
        <is>
          <t>Harfleri biliyordun ama sadece dokunmatik ekranda. Kâğıt dokunuşuna tepki vermedi.</t>
        </is>
      </c>
      <c r="K121" s="6" t="inlineStr">
        <is>
          <t>Deftere harf yazmak yerine sayfayı kaydırmaya çalıştın. Defter yırtıldı, harfler dağıldı.</t>
        </is>
      </c>
      <c r="L121" s="6" t="inlineStr"/>
      <c r="M121" s="5" t="inlineStr"/>
      <c r="N121" s="5" t="inlineStr"/>
      <c r="O121" s="6" t="inlineStr"/>
      <c r="P121" s="6" t="inlineStr"/>
      <c r="Q121" s="5" t="inlineStr"/>
      <c r="R121" s="5" t="inlineStr">
        <is>
          <t>ekran-cocugu</t>
        </is>
      </c>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row>
    <row r="122">
      <c r="A122" s="5" t="inlineStr">
        <is>
          <t>tepsiyle-kayak</t>
        </is>
      </c>
      <c r="B122" s="5" t="n">
        <v>1</v>
      </c>
      <c r="C122" s="6" t="inlineStr">
        <is>
          <t>Pencereden izle</t>
        </is>
      </c>
      <c r="D122" s="5" t="inlineStr"/>
      <c r="E122" s="5" t="inlineStr"/>
      <c r="F122" s="5" t="inlineStr">
        <is>
          <t>Akıl +1</t>
        </is>
      </c>
      <c r="G122" s="6" t="inlineStr">
        <is>
          <t>Kar fiziğini güvenli bir mesafeden inceledin. Bilim böyle ilerler.</t>
        </is>
      </c>
      <c r="H122" s="6" t="inlineStr"/>
      <c r="I122" s="6" t="inlineStr"/>
      <c r="J122" s="6" t="inlineStr"/>
      <c r="K122" s="6" t="inlineStr"/>
      <c r="L122" s="6" t="inlineStr"/>
      <c r="M122" s="5" t="inlineStr"/>
      <c r="N122" s="5" t="inlineStr"/>
      <c r="O122" s="6" t="inlineStr"/>
      <c r="P122" s="6" t="inlineStr"/>
      <c r="Q122" s="5" t="inlineStr"/>
      <c r="R122" s="5" t="inlineStr"/>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row>
    <row r="123">
      <c r="A123" s="5" t="inlineStr">
        <is>
          <t>tepsiyle-kayak</t>
        </is>
      </c>
      <c r="B123" s="5" t="n">
        <v>2</v>
      </c>
      <c r="C123" s="6" t="inlineStr">
        <is>
          <t>Tepsiyle kay</t>
        </is>
      </c>
      <c r="D123" s="5" t="inlineStr">
        <is>
          <t>Cesaret</t>
        </is>
      </c>
      <c r="E123" s="5" t="inlineStr">
        <is>
          <t>Orta</t>
        </is>
      </c>
      <c r="F123" s="5" t="inlineStr"/>
      <c r="G123" s="6" t="inlineStr"/>
      <c r="H123" s="6" t="inlineStr">
        <is>
          <t>Yokuşu baştan sona kaydın. Mahalle seni alkışladı, annen seni aradı.</t>
        </is>
      </c>
      <c r="I123" s="6" t="inlineStr">
        <is>
          <t>Öyle bir kaydın ki yokuşun sonunda bir tur daha attın. Efsane doğdu.</t>
        </is>
      </c>
      <c r="J123" s="6" t="inlineStr">
        <is>
          <t>Tepsi döndü, sen döndün, yokuş dönmedi. Kar dolu bir kafayla eve vardın.</t>
        </is>
      </c>
      <c r="K123" s="6" t="inlineStr">
        <is>
          <t>Tepsi bir yöne, sen öbür yöne. Kolun alçıya alındı; alçının üstü mahallenin imza defterine döndü.</t>
        </is>
      </c>
      <c r="L123" s="6" t="inlineStr"/>
      <c r="M123" s="5" t="inlineStr"/>
      <c r="N123" s="5" t="inlineStr"/>
      <c r="O123" s="6" t="inlineStr"/>
      <c r="P123" s="6" t="inlineStr"/>
      <c r="Q123" s="5" t="inlineStr"/>
      <c r="R123" s="5" t="inlineStr"/>
      <c r="S123" s="5" t="inlineStr"/>
      <c r="T123" s="5" t="inlineStr"/>
      <c r="U123" s="5" t="inlineStr"/>
      <c r="V123" s="5" t="inlineStr"/>
      <c r="W123" s="5" t="inlineStr">
        <is>
          <t>alcili-kol</t>
        </is>
      </c>
      <c r="X123" s="5" t="inlineStr"/>
      <c r="Y123" s="5" t="inlineStr"/>
      <c r="Z123" s="6" t="inlineStr"/>
      <c r="AA123" s="5" t="inlineStr"/>
      <c r="AB123" s="5" t="inlineStr"/>
      <c r="AC123" s="5" t="inlineStr"/>
      <c r="AD123" s="5" t="inlineStr"/>
      <c r="AE123" s="5" t="inlineStr"/>
      <c r="AF123" s="5" t="inlineStr"/>
      <c r="AG123" s="5" t="inlineStr"/>
      <c r="AH123" s="5" t="inlineStr"/>
      <c r="AI123" s="5" t="inlineStr">
        <is>
          <t>Alçılı Kol</t>
        </is>
      </c>
    </row>
    <row r="124">
      <c r="A124" s="5" t="inlineStr">
        <is>
          <t>tepsiyle-kayak</t>
        </is>
      </c>
      <c r="B124" s="5" t="n">
        <v>3</v>
      </c>
      <c r="C124" s="6" t="inlineStr">
        <is>
          <t>Tepsi kiralama işi kur</t>
        </is>
      </c>
      <c r="D124" s="5" t="inlineStr">
        <is>
          <t>Kurnazlık</t>
        </is>
      </c>
      <c r="E124" s="5" t="inlineStr">
        <is>
          <t>Orta</t>
        </is>
      </c>
      <c r="F124" s="5" t="inlineStr"/>
      <c r="G124" s="6" t="inlineStr"/>
      <c r="H124" s="6" t="inlineStr">
        <is>
          <t>Evden üç tepsi getirdin, tur başına bir şeker. Kış ekonomisi canlandı.</t>
        </is>
      </c>
      <c r="I124" s="6" t="inlineStr">
        <is>
          <t>Öğlene kadar tüm mahallenin tepsileri sende toplandı. Kar tekeli.</t>
        </is>
      </c>
      <c r="J124" s="6" t="inlineStr">
        <is>
          <t>Tepsileri kiraladın; kimse geri getirmedi.</t>
        </is>
      </c>
      <c r="K124" s="6" t="inlineStr">
        <is>
          <t>Kiraladığın tepsilerden biri annenin baklava tepsisiydi.</t>
        </is>
      </c>
      <c r="L124" s="6" t="inlineStr"/>
      <c r="M124" s="5" t="inlineStr"/>
      <c r="N124" s="5" t="inlineStr"/>
      <c r="O124" s="6" t="inlineStr"/>
      <c r="P124" s="6" t="inlineStr"/>
      <c r="Q124" s="5" t="inlineStr"/>
      <c r="R124" s="5" t="inlineStr"/>
      <c r="S124" s="5" t="inlineStr"/>
      <c r="T124" s="5" t="inlineStr"/>
      <c r="U124" s="5" t="inlineStr">
        <is>
          <t>tepsiTekeli</t>
        </is>
      </c>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is>
          <t>Baklava Tepsisi</t>
        </is>
      </c>
    </row>
    <row r="125">
      <c r="A125" s="5" t="inlineStr">
        <is>
          <t>tepsiyle-kayak</t>
        </is>
      </c>
      <c r="B125" s="5" t="n">
        <v>4</v>
      </c>
      <c r="C125" s="6" t="inlineStr">
        <is>
          <t>Kardan adam yap</t>
        </is>
      </c>
      <c r="D125" s="5" t="inlineStr">
        <is>
          <t>Dayanıklılık</t>
        </is>
      </c>
      <c r="E125" s="5" t="inlineStr">
        <is>
          <t>Kolay</t>
        </is>
      </c>
      <c r="F125" s="5" t="inlineStr"/>
      <c r="G125" s="6" t="inlineStr"/>
      <c r="H125" s="6" t="inlineStr">
        <is>
          <t>Sağlam bir kardan adam yaptın. Havuçlu, düğmeli, vakur.</t>
        </is>
      </c>
      <c r="I125" s="6" t="inlineStr">
        <is>
          <t>Kardan adamın o kadar iyi oldu ki mahalle muhtarı fotoğrafını çekti.</t>
        </is>
      </c>
      <c r="J125" s="6" t="inlineStr">
        <is>
          <t>Kardan adam yarıda eridi. Tam bir kardan yarım adam.</t>
        </is>
      </c>
      <c r="K125" s="6" t="inlineStr">
        <is>
          <t>Kardan adamın kafası düştü. Çocuklar bunu bir işaret olarak yorumladı.</t>
        </is>
      </c>
      <c r="L125" s="6" t="inlineStr"/>
      <c r="M125" s="5" t="inlineStr"/>
      <c r="N125" s="5" t="inlineStr"/>
      <c r="O125" s="6" t="inlineStr"/>
      <c r="P125" s="6" t="inlineStr"/>
      <c r="Q125" s="5" t="inlineStr"/>
      <c r="R125" s="5" t="inlineStr"/>
      <c r="S125" s="5" t="inlineStr"/>
      <c r="T125" s="5" t="inlineStr"/>
      <c r="U125" s="5" t="inlineStr"/>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row>
    <row r="126">
      <c r="A126" s="5" t="inlineStr">
        <is>
          <t>ilkokul-kapisi</t>
        </is>
      </c>
      <c r="B126" s="5" t="n">
        <v>1</v>
      </c>
      <c r="C126" s="6" t="inlineStr">
        <is>
          <t>Cesurca gir</t>
        </is>
      </c>
      <c r="D126" s="5" t="inlineStr">
        <is>
          <t>Cesaret</t>
        </is>
      </c>
      <c r="E126" s="5" t="inlineStr">
        <is>
          <t>Orta</t>
        </is>
      </c>
      <c r="F126" s="5" t="inlineStr"/>
      <c r="G126" s="6" t="inlineStr"/>
      <c r="H126" s="6" t="inlineStr">
        <is>
          <t>İçeri girdin, boş bir sıra buldun, oturdun. Arkandan annen el salladı; sen görmedin, o gördü.</t>
        </is>
      </c>
      <c r="I126" s="6" t="inlineStr">
        <is>
          <t>İçeri girdin, öğretmene 'Günaydın' dedin, en öndeki sırayı aldın.</t>
        </is>
      </c>
      <c r="J126" s="6" t="inlineStr">
        <is>
          <t>Kapıda bir an durdun. Arkadaki kalabalık seni içeri itti.</t>
        </is>
      </c>
      <c r="K126" s="6" t="inlineStr">
        <is>
          <t>Cesurca girdin; tuvalete.</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row>
    <row r="127">
      <c r="A127" s="5" t="inlineStr">
        <is>
          <t>ilkokul-kapisi</t>
        </is>
      </c>
      <c r="B127" s="5" t="n">
        <v>2</v>
      </c>
      <c r="C127" s="6" t="inlineStr">
        <is>
          <t>Önce ortamı oku</t>
        </is>
      </c>
      <c r="D127" s="5" t="inlineStr">
        <is>
          <t>Sosyal Radar</t>
        </is>
      </c>
      <c r="E127" s="5" t="inlineStr">
        <is>
          <t>Orta</t>
        </is>
      </c>
      <c r="F127" s="5" t="inlineStr"/>
      <c r="G127" s="6" t="inlineStr"/>
      <c r="H127" s="6" t="inlineStr">
        <is>
          <t>Sınıfın görünmeyen haritasını çıkarmaya başladın.</t>
        </is>
      </c>
      <c r="I127" s="6" t="inlineStr">
        <is>
          <t>Kimin lider, kimin sessiz dahi, kimin kantincinin yeğeni olduğunu ilk gün öğrendin.</t>
        </is>
      </c>
      <c r="J127" s="6" t="inlineStr">
        <is>
          <t>Ortamı okudun; ortam seni okumadı.</t>
        </is>
      </c>
      <c r="K127" s="6" t="inlineStr">
        <is>
          <t>Ortamı okurken zil çaldı ve kapı kapandı.</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row>
    <row r="128">
      <c r="A128" s="5" t="inlineStr">
        <is>
          <t>ilkokul-kapisi</t>
        </is>
      </c>
      <c r="B128" s="5" t="n">
        <v>3</v>
      </c>
      <c r="C128" s="6" t="inlineStr">
        <is>
          <t>Sınıfı kendin bul</t>
        </is>
      </c>
      <c r="D128" s="5" t="inlineStr">
        <is>
          <t>Akıl</t>
        </is>
      </c>
      <c r="E128" s="5" t="inlineStr">
        <is>
          <t>Kolay</t>
        </is>
      </c>
      <c r="F128" s="5" t="inlineStr"/>
      <c r="G128" s="6" t="inlineStr"/>
      <c r="H128" s="6" t="inlineStr">
        <is>
          <t>Kapıdaki resmi hatırladın: kırmızı balon. İçeri girdin; öğretmen “İlk gelen sensin” dedi.</t>
        </is>
      </c>
      <c r="I128" s="6" t="inlineStr">
        <is>
          <t>İpucunu tek bakışta çözdün. Doğru sınıf, ilk sıra.</t>
        </is>
      </c>
      <c r="J128" s="6" t="inlineStr">
        <is>
          <t>Yanlış sınıfa girdin, sonra doğrusunu buldun.</t>
        </is>
      </c>
      <c r="K128" s="6" t="inlineStr">
        <is>
          <t>Yanlış sınıfa girdin. Herkes sana baktı. Dördüncü sınıftı.</t>
        </is>
      </c>
      <c r="L128" s="6" t="inlineStr">
        <is>
          <t>Doğru koridor, yanlış kapı; ama öğretmen seni yönlendirdi.</t>
        </is>
      </c>
      <c r="M128" s="5" t="inlineStr">
        <is>
          <t>doors</t>
        </is>
      </c>
      <c r="N128" s="5" t="inlineStr">
        <is>
          <t>Doğru Sınıfı Bul</t>
        </is>
      </c>
      <c r="O128" s="6" t="inlineStr">
        <is>
          <t>Sınıfının işaretini aklında tut. Birazdan kaybolacak.</t>
        </is>
      </c>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row>
    <row r="129">
      <c r="A129" s="5" t="inlineStr">
        <is>
          <t>ilk-ders</t>
        </is>
      </c>
      <c r="B129" s="5" t="n">
        <v>1</v>
      </c>
      <c r="C129" s="6" t="inlineStr">
        <is>
          <t>El kaldır</t>
        </is>
      </c>
      <c r="D129" s="5" t="inlineStr">
        <is>
          <t>Cesaret</t>
        </is>
      </c>
      <c r="E129" s="5" t="inlineStr">
        <is>
          <t>Kolay</t>
        </is>
      </c>
      <c r="F129" s="5" t="inlineStr"/>
      <c r="G129" s="6" t="inlineStr"/>
      <c r="H129" s="6" t="inlineStr">
        <is>
          <t>Tahtaya kalktın, adını kocaman yazdın. Öğretmen “Aferin” dedi. Akşam annene üç kez anlattın.</t>
        </is>
      </c>
      <c r="I129" s="6" t="inlineStr">
        <is>
          <t>Tahtaya çıktın ve koca bir cümle yazdın. Öğretmen defterine yıldız koydu.</t>
        </is>
      </c>
      <c r="J129" s="6" t="inlineStr">
        <is>
          <t>El kaldırdın; öğretmen başkasını seçti.</t>
        </is>
      </c>
      <c r="K129" s="6" t="inlineStr">
        <is>
          <t>Tahtaya kalktın, adını yazdın; harflerin yarısı ters. Arka sıradan biri yazdığını yüksek sesle okudu. Sınıf güldü, öğretmen de biraz.</t>
        </is>
      </c>
      <c r="L129" s="6" t="inlineStr"/>
      <c r="M129" s="5" t="inlineStr"/>
      <c r="N129" s="5" t="inlineStr"/>
      <c r="O129" s="6" t="inlineStr"/>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row>
    <row r="130">
      <c r="A130" s="5" t="inlineStr">
        <is>
          <t>ilk-ders</t>
        </is>
      </c>
      <c r="B130" s="5" t="n">
        <v>2</v>
      </c>
      <c r="C130" s="6" t="inlineStr">
        <is>
          <t>Sessizce defterine yaz</t>
        </is>
      </c>
      <c r="D130" s="5" t="inlineStr">
        <is>
          <t>Akıl</t>
        </is>
      </c>
      <c r="E130" s="5" t="inlineStr">
        <is>
          <t>Kolay</t>
        </is>
      </c>
      <c r="F130" s="5" t="inlineStr"/>
      <c r="G130" s="6" t="inlineStr"/>
      <c r="H130" s="6" t="inlineStr">
        <is>
          <t>Sessizce yaptın. Öğretmen defterini görünce kaşlarını kaldırdı.</t>
        </is>
      </c>
      <c r="I130" s="6" t="inlineStr">
        <is>
          <t>Defterin sınıfa örnek olarak gösterildi.</t>
        </is>
      </c>
      <c r="J130" s="6" t="inlineStr">
        <is>
          <t>Yazdın, sildin, yine yazdın. Sayfada harf kalmadı, delik kaldı.</t>
        </is>
      </c>
      <c r="K130" s="6" t="inlineStr">
        <is>
          <t>Deftere değil sıraya yazdın.</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row>
    <row r="131">
      <c r="A131" s="5" t="inlineStr">
        <is>
          <t>ilk-ders</t>
        </is>
      </c>
      <c r="B131" s="5" t="n">
        <v>3</v>
      </c>
      <c r="C131" s="6" t="inlineStr">
        <is>
          <t>Yanındakine yardım et</t>
        </is>
      </c>
      <c r="D131" s="5" t="inlineStr"/>
      <c r="E131" s="5" t="inlineStr"/>
      <c r="F131" s="5" t="inlineStr">
        <is>
          <t>Sosyal Radar +1, Gönül +1</t>
        </is>
      </c>
      <c r="G131" s="6" t="inlineStr">
        <is>
          <t>Yanındaki çocuğun ters yazdığı “a”yı düzelttin. Teneffüste simidinin yarısını sana uzattı. İlk arkadaşın oldu.</t>
        </is>
      </c>
      <c r="H131" s="6" t="inlineStr"/>
      <c r="I131" s="6" t="inlineStr"/>
      <c r="J131" s="6" t="inlineStr"/>
      <c r="K131" s="6" t="inlineStr"/>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row>
    <row r="132">
      <c r="A132" s="5" t="inlineStr">
        <is>
          <t>ilk-ders</t>
        </is>
      </c>
      <c r="B132" s="5" t="n">
        <v>4</v>
      </c>
      <c r="C132" s="6" t="inlineStr">
        <is>
          <t>Tabletten öğrendiklerini göster</t>
        </is>
      </c>
      <c r="D132" s="5" t="inlineStr">
        <is>
          <t>Akıl</t>
        </is>
      </c>
      <c r="E132" s="5" t="inlineStr">
        <is>
          <t>Kolay</t>
        </is>
      </c>
      <c r="F132" s="5" t="inlineStr"/>
      <c r="G132" s="6" t="inlineStr"/>
      <c r="H132" s="6" t="inlineStr">
        <is>
          <t>Harfleri bir oyundan öğrendiğini anlattın. Öğretmen not aldı.</t>
        </is>
      </c>
      <c r="I132" s="6" t="inlineStr">
        <is>
          <t>Sınıfa harf oyunu tanıttın. Öğretmen dersin yarısını sana bıraktı.</t>
        </is>
      </c>
      <c r="J132" s="6" t="inlineStr">
        <is>
          <t>Anlatırken oyunun adını hatırlayamadın.</t>
        </is>
      </c>
      <c r="K132" s="6" t="inlineStr">
        <is>
          <t>Tabletten öğrendiğin şeyin reklam şarkısı olduğu anlaşıldı.</t>
        </is>
      </c>
      <c r="L132" s="6" t="inlineStr"/>
      <c r="M132" s="5" t="inlineStr"/>
      <c r="N132" s="5" t="inlineStr"/>
      <c r="O132" s="6" t="inlineStr"/>
      <c r="P132" s="6" t="inlineStr"/>
      <c r="Q132" s="5" t="inlineStr">
        <is>
          <t>Şifreyi Bilen</t>
        </is>
      </c>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row>
    <row r="133">
      <c r="A133" s="5" t="inlineStr">
        <is>
          <t>sira-arkadasi</t>
        </is>
      </c>
      <c r="B133" s="5" t="n">
        <v>1</v>
      </c>
      <c r="C133" s="6" t="inlineStr">
        <is>
          <t>Kendini tanıt</t>
        </is>
      </c>
      <c r="D133" s="5" t="inlineStr">
        <is>
          <t>Çene</t>
        </is>
      </c>
      <c r="E133" s="5" t="inlineStr">
        <is>
          <t>Kolay</t>
        </is>
      </c>
      <c r="F133" s="5" t="inlineStr"/>
      <c r="G133" s="6" t="inlineStr"/>
      <c r="H133" s="6" t="inlineStr">
        <is>
          <t>Adını söyledin, o da söyledi. Teneffüste senin kalemlerini de saymana izin verdi. Onun için büyük bir adım.</t>
        </is>
      </c>
      <c r="I133" s="6" t="inlineStr">
        <is>
          <t>Tanıştınız, güldünüz, ortak düşman olarak matematiği seçtiniz. Ömürlük dostluk.</t>
        </is>
      </c>
      <c r="J133" s="6" t="inlineStr">
        <is>
          <t>Tanıttın; o kalem saymaya devam etti.</t>
        </is>
      </c>
      <c r="K133" s="6" t="inlineStr">
        <is>
          <t>Heyecandan evdeki adını söyledin: “Ben Pamuk.” Öğretmen bile güldü. Bütün yıl Pamuk diye çağrıldın.</t>
        </is>
      </c>
      <c r="L133" s="6" t="inlineStr"/>
      <c r="M133" s="5" t="inlineStr"/>
      <c r="N133" s="5" t="inlineStr"/>
      <c r="O133" s="6" t="inlineStr"/>
      <c r="P133" s="6" t="inlineStr"/>
      <c r="Q133" s="5" t="inlineStr"/>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is>
          <t>Pamuk</t>
        </is>
      </c>
    </row>
    <row r="134">
      <c r="A134" s="5" t="inlineStr">
        <is>
          <t>sira-arkadasi</t>
        </is>
      </c>
      <c r="B134" s="5" t="n">
        <v>2</v>
      </c>
      <c r="C134" s="6" t="inlineStr">
        <is>
          <t>Kalemlerini paylaş</t>
        </is>
      </c>
      <c r="D134" s="5" t="inlineStr"/>
      <c r="E134" s="5" t="inlineStr"/>
      <c r="F134" s="5" t="inlineStr">
        <is>
          <t>Gönül +1</t>
        </is>
      </c>
      <c r="G134" s="6" t="inlineStr">
        <is>
          <t>Kalemlerini ortaya koydun. İki kez saydı, sonra en sevdiğin yeşili aldı. Akşam annene “Arkadaşım oldu” dedin; yeşilden bahsetmedin.</t>
        </is>
      </c>
      <c r="H134" s="6" t="inlineStr"/>
      <c r="I134" s="6" t="inlineStr"/>
      <c r="J134" s="6" t="inlineStr"/>
      <c r="K134" s="6" t="inlineStr"/>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row>
    <row r="135">
      <c r="A135" s="5" t="inlineStr">
        <is>
          <t>sira-arkadasi</t>
        </is>
      </c>
      <c r="B135" s="5" t="n">
        <v>3</v>
      </c>
      <c r="C135" s="6" t="inlineStr">
        <is>
          <t>Sıraya sınır çiz</t>
        </is>
      </c>
      <c r="D135" s="5" t="inlineStr">
        <is>
          <t>Cesaret</t>
        </is>
      </c>
      <c r="E135" s="5" t="inlineStr">
        <is>
          <t>Orta</t>
        </is>
      </c>
      <c r="F135" s="5" t="inlineStr"/>
      <c r="G135" s="6" t="inlineStr"/>
      <c r="H135" s="6" t="inlineStr">
        <is>
          <t>Sıranın ortasına görünmez bir sınır çektin. İki taraf da saygı duydu.</t>
        </is>
      </c>
      <c r="I135" s="6" t="inlineStr">
        <is>
          <t>Sıranın ortasına cetvelle bir çizgi çektin. O da çizginin üstüne küçük bir kapı çizdi. Silgi o kapıdan gidip geliyor.</t>
        </is>
      </c>
      <c r="J135" s="6" t="inlineStr">
        <is>
          <t>Sınırı çizdin; dirseği her gün sınırı ihlal etti.</t>
        </is>
      </c>
      <c r="K135" s="6" t="inlineStr">
        <is>
          <t>Sınırı kalemle sıraya çizdin, hem de kalın kalın. Öğretmen gördü; teneffüste sırayı ıslak bezle sen sildin. Sıra arkadaşın izledi.</t>
        </is>
      </c>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row>
    <row r="136">
      <c r="A136" s="5" t="inlineStr">
        <is>
          <t>sira-arkadasi</t>
        </is>
      </c>
      <c r="B136" s="5" t="n">
        <v>4</v>
      </c>
      <c r="C136" s="6" t="inlineStr">
        <is>
          <t>Espriyle buzları kır</t>
        </is>
      </c>
      <c r="D136" s="5" t="inlineStr">
        <is>
          <t>Pişkinlik</t>
        </is>
      </c>
      <c r="E136" s="5" t="inlineStr">
        <is>
          <t>Kolay</t>
        </is>
      </c>
      <c r="F136" s="5" t="inlineStr"/>
      <c r="G136" s="6" t="inlineStr"/>
      <c r="H136" s="6" t="inlineStr">
        <is>
          <t>Bir espri yaptın, o güldü. Sıra artık ortak bölge.</t>
        </is>
      </c>
      <c r="I136" s="6" t="inlineStr">
        <is>
          <t>Espriyi o kadar beğendi ki teneffüste başkalarına anlattı. Kaynak olarak seni gösterdi.</t>
        </is>
      </c>
      <c r="J136" s="6" t="inlineStr">
        <is>
          <t>Espri havada kaldı. Kalem saymaya devam edildi.</t>
        </is>
      </c>
      <c r="K136" s="6" t="inlineStr">
        <is>
          <t>Espri yaparken sandalyeden düştün. Sıra arkadaşın güldü, sınıf güldü, öğretmen güldü. Espriyi hâlâ kimse bilmiyor.</t>
        </is>
      </c>
      <c r="L136" s="6" t="inlineStr"/>
      <c r="M136" s="5" t="inlineStr"/>
      <c r="N136" s="5" t="inlineStr"/>
      <c r="O136" s="6" t="inlineStr"/>
      <c r="P136" s="6" t="inlineStr"/>
      <c r="Q136" s="5" t="inlineStr">
        <is>
          <t>Kendine Gülebilir</t>
        </is>
      </c>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row>
    <row r="137">
      <c r="A137" s="5" t="inlineStr">
        <is>
          <t>teneffus-kantini</t>
        </is>
      </c>
      <c r="B137" s="5" t="n">
        <v>1</v>
      </c>
      <c r="C137" s="6" t="inlineStr">
        <is>
          <t>Sırada bekle</t>
        </is>
      </c>
      <c r="D137" s="5" t="inlineStr"/>
      <c r="E137" s="5" t="inlineStr"/>
      <c r="F137" s="5" t="inlineStr">
        <is>
          <t>Dayanıklılık +1, İtibar +1</t>
        </is>
      </c>
      <c r="G137" s="6" t="inlineStr">
        <is>
          <t>Tost soğuktu ama vicdanın sıcak.</t>
        </is>
      </c>
      <c r="H137" s="6" t="inlineStr"/>
      <c r="I137" s="6" t="inlineStr"/>
      <c r="J137" s="6" t="inlineStr"/>
      <c r="K137" s="6" t="inlineStr"/>
      <c r="L137" s="6" t="inlineStr"/>
      <c r="M137" s="5" t="inlineStr"/>
      <c r="N137" s="5" t="inlineStr"/>
      <c r="O137" s="6" t="inlineStr"/>
      <c r="P137" s="6" t="inlineStr"/>
      <c r="Q137" s="5" t="inlineStr"/>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row>
    <row r="138">
      <c r="A138" s="5" t="inlineStr">
        <is>
          <t>teneffus-kantini</t>
        </is>
      </c>
      <c r="B138" s="5" t="n">
        <v>2</v>
      </c>
      <c r="C138" s="6" t="inlineStr">
        <is>
          <t>Öndeki arkadaşına sipariş verdir</t>
        </is>
      </c>
      <c r="D138" s="5" t="inlineStr">
        <is>
          <t>Çene</t>
        </is>
      </c>
      <c r="E138" s="5" t="inlineStr">
        <is>
          <t>Orta</t>
        </is>
      </c>
      <c r="F138" s="5" t="inlineStr"/>
      <c r="G138" s="6" t="inlineStr"/>
      <c r="H138" s="6" t="inlineStr">
        <is>
          <t>Sipariş zincirini kurdun, tost sana ulaştı.</t>
        </is>
      </c>
      <c r="I138" s="6" t="inlineStr">
        <is>
          <t>Üç arkadaşının siparişini birleştirip toplu indirim aldın.</t>
        </is>
      </c>
      <c r="J138" s="6" t="inlineStr">
        <is>
          <t>Arkadaşın siparişi unuttu. Kendi tostunu yedi.</t>
        </is>
      </c>
      <c r="K138" s="6" t="inlineStr">
        <is>
          <t>Sipariş verdirdin; kantinci ikinizi de sıranın sonuna gönderdi.</t>
        </is>
      </c>
      <c r="L138" s="6" t="inlineStr">
        <is>
          <t>Siparişin yarısı doğru geldi. Tost geldi, ayran yerine su geldi.</t>
        </is>
      </c>
      <c r="M138" s="5" t="inlineStr">
        <is>
          <t>simon</t>
        </is>
      </c>
      <c r="N138" s="5" t="inlineStr">
        <is>
          <t>Siparişi Ezberle</t>
        </is>
      </c>
      <c r="O138" s="6" t="inlineStr">
        <is>
          <t>Arkadaşın siparişi bir kez söyleyecek. Aynı sırayla tekrar et.</t>
        </is>
      </c>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row>
    <row r="139">
      <c r="A139" s="5" t="inlineStr">
        <is>
          <t>teneffus-kantini</t>
        </is>
      </c>
      <c r="B139" s="5" t="n">
        <v>3</v>
      </c>
      <c r="C139" s="6" t="inlineStr">
        <is>
          <t>Kantinciye yardım et</t>
        </is>
      </c>
      <c r="D139" s="5" t="inlineStr">
        <is>
          <t>Dayanıklılık</t>
        </is>
      </c>
      <c r="E139" s="5" t="inlineStr">
        <is>
          <t>Orta</t>
        </is>
      </c>
      <c r="F139" s="5" t="inlineStr"/>
      <c r="G139" s="6" t="inlineStr"/>
      <c r="H139" s="6" t="inlineStr">
        <is>
          <t>Dökülen bozuklukları topladın. Kantinci seni sıranın önüne aldı.</t>
        </is>
      </c>
      <c r="I139" s="6" t="inlineStr">
        <is>
          <t>Kantinci sana ömür boyu 'ekstra kaşar' hakkı tanıdı.</t>
        </is>
      </c>
      <c r="J139" s="6" t="inlineStr">
        <is>
          <t>Topladın ama zil çaldı. Yardım ettin, aç kaldın.</t>
        </is>
      </c>
      <c r="K139" s="6" t="inlineStr">
        <is>
          <t>Yardım ederken peynir kasesini devirdin. Kantin geçici olarak kapandı.</t>
        </is>
      </c>
      <c r="L139" s="6" t="inlineStr">
        <is>
          <t>Çoğunu topladın; kantinci teşekkür etti ama sıra aynı.</t>
        </is>
      </c>
      <c r="M139" s="5" t="inlineStr">
        <is>
          <t>collect</t>
        </is>
      </c>
      <c r="N139" s="5" t="inlineStr">
        <is>
          <t>Bozuklukları Topla</t>
        </is>
      </c>
      <c r="O139" s="6" t="inlineStr">
        <is>
          <t>Yere saçılan paraları zil çalmadan topla.</t>
        </is>
      </c>
      <c r="P139" s="6" t="inlineStr">
        <is>
          <t>{"piece": "🪙"}</t>
        </is>
      </c>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row>
    <row r="140">
      <c r="A140" s="5" t="inlineStr">
        <is>
          <t>teneffus-kantini</t>
        </is>
      </c>
      <c r="B140" s="5" t="n">
        <v>4</v>
      </c>
      <c r="C140" s="6" t="inlineStr">
        <is>
          <t>Kantincinin hesap hatasını düzelt</t>
        </is>
      </c>
      <c r="D140" s="5" t="inlineStr">
        <is>
          <t>Kurnazlık</t>
        </is>
      </c>
      <c r="E140" s="5" t="inlineStr">
        <is>
          <t>Kolay</t>
        </is>
      </c>
      <c r="F140" s="5" t="inlineStr"/>
      <c r="G140" s="6" t="inlineStr"/>
      <c r="H140" s="6" t="inlineStr">
        <is>
          <t>Kantincinin hesabındaki hatayı buldun. Sana 'Muhasebeci' lakabı takıldı.</t>
        </is>
      </c>
      <c r="I140" s="6" t="inlineStr">
        <is>
          <t>Hatayı buldun, kantinci ödül olarak sana çikolata verdi. Hata aslında senin lehineydi.</t>
        </is>
      </c>
      <c r="J140" s="6" t="inlineStr">
        <is>
          <t>Hatayı söyledin; kantinci 'Sen önce toplama öğren' dedi.</t>
        </is>
      </c>
      <c r="K140" s="6" t="inlineStr">
        <is>
          <t>Hatayı söyledin; hata yokmuş. Kuyruk seni izledi.</t>
        </is>
      </c>
      <c r="L140" s="6" t="inlineStr"/>
      <c r="M140" s="5" t="inlineStr"/>
      <c r="N140" s="5" t="inlineStr"/>
      <c r="O140" s="6" t="inlineStr"/>
      <c r="P140" s="6" t="inlineStr"/>
      <c r="Q140" s="5" t="inlineStr">
        <is>
          <t>Para Üstü Radarı</t>
        </is>
      </c>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row>
    <row r="141">
      <c r="A141" s="5" t="inlineStr">
        <is>
          <t>teneffus-kantini</t>
        </is>
      </c>
      <c r="B141" s="5" t="n">
        <v>5</v>
      </c>
      <c r="C141" s="6" t="inlineStr">
        <is>
          <t>Bir paket sakız al, sınıfta tek tek sat</t>
        </is>
      </c>
      <c r="D141" s="5" t="inlineStr">
        <is>
          <t>Kurnazlık</t>
        </is>
      </c>
      <c r="E141" s="5" t="inlineStr">
        <is>
          <t>Orta</t>
        </is>
      </c>
      <c r="F141" s="5" t="inlineStr"/>
      <c r="G141" s="6" t="inlineStr"/>
      <c r="H141" s="6" t="inlineStr">
        <is>
          <t>Bir paket sakız aldın, teneffüs bitmeden tanesini bir çıkartmaya sattın. Akşam çantandan yirmi çıkartma çıktı; annen nereden geldiklerini hâlâ soruyor.</t>
        </is>
      </c>
      <c r="I141" s="6" t="inlineStr">
        <is>
          <t>Sakızlar ilk teneffüste bitti, ertesi gün yan sınıftan sipariş geldi. Kantinci seni görünce “Küçük rakip geldi” diye gülüyor.</t>
        </is>
      </c>
      <c r="J141" s="6" t="inlineStr">
        <is>
          <t>Sakızları aldın; sınıfta herkesin cebinde zaten sakız vardı. Akşama kadar on sakız çiğnedin. Çenen ağrıdı.</t>
        </is>
      </c>
      <c r="K141" s="6" t="inlineStr">
        <is>
          <t>Kantinci öğretmene “Benim müşterimi elimden alıyor” dedi. Öğretmen sakızları topladı ve sınıfa dağıttı. Bedava.</t>
        </is>
      </c>
      <c r="L141" s="6" t="inlineStr"/>
      <c r="M141" s="5" t="inlineStr"/>
      <c r="N141" s="5" t="inlineStr"/>
      <c r="O141" s="6" t="inlineStr"/>
      <c r="P141" s="6" t="inlineStr"/>
      <c r="Q141" s="5" t="inlineStr"/>
      <c r="R141" s="5" t="inlineStr"/>
      <c r="S141" s="5" t="inlineStr"/>
      <c r="T141" s="5" t="inlineStr"/>
      <c r="U141" s="5" t="inlineStr">
        <is>
          <t>teneffus-tuccari</t>
        </is>
      </c>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row>
    <row r="142">
      <c r="A142" s="5" t="inlineStr">
        <is>
          <t>odev-nerede</t>
        </is>
      </c>
      <c r="B142" s="5" t="n">
        <v>1</v>
      </c>
      <c r="C142" s="6" t="inlineStr">
        <is>
          <t>Doğruyu söyle</t>
        </is>
      </c>
      <c r="D142" s="5" t="inlineStr"/>
      <c r="E142" s="5" t="inlineStr"/>
      <c r="F142" s="5" t="inlineStr">
        <is>
          <t>İtibar +2</t>
        </is>
      </c>
      <c r="G142" s="6" t="inlineStr">
        <is>
          <t>Öğretmen dürüstlüğünü not etti. Ödevi de not etti.</t>
        </is>
      </c>
      <c r="H142" s="6" t="inlineStr"/>
      <c r="I142" s="6" t="inlineStr"/>
      <c r="J142" s="6" t="inlineStr"/>
      <c r="K142" s="6" t="inlineStr"/>
      <c r="L142" s="6" t="inlineStr"/>
      <c r="M142" s="5" t="inlineStr"/>
      <c r="N142" s="5" t="inlineStr"/>
      <c r="O142" s="6" t="inlineStr"/>
      <c r="P142" s="6" t="inlineStr"/>
      <c r="Q142" s="5" t="inlineStr"/>
      <c r="R142" s="5" t="inlineStr"/>
      <c r="S142" s="5" t="inlineStr"/>
      <c r="T142" s="5" t="inlineStr"/>
      <c r="U142" s="5" t="inlineStr"/>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row>
    <row r="143">
      <c r="A143" s="5" t="inlineStr">
        <is>
          <t>odev-nerede</t>
        </is>
      </c>
      <c r="B143" s="5" t="n">
        <v>2</v>
      </c>
      <c r="C143" s="6" t="inlineStr">
        <is>
          <t>Teneffüste yetiştir</t>
        </is>
      </c>
      <c r="D143" s="5" t="inlineStr">
        <is>
          <t>Akıl</t>
        </is>
      </c>
      <c r="E143" s="5" t="inlineStr">
        <is>
          <t>Orta</t>
        </is>
      </c>
      <c r="F143" s="5" t="inlineStr"/>
      <c r="G143" s="6" t="inlineStr"/>
      <c r="H143" s="6" t="inlineStr">
        <is>
          <t>On dakikada iki sayfa. Kalite tartışılır, teslim kesin.</t>
        </is>
      </c>
      <c r="I143" s="6" t="inlineStr">
        <is>
          <t>Teneffüste bitirdin; öğretmen 'En temiz ödev bu' dedi. Kimse sormadı.</t>
        </is>
      </c>
      <c r="J143" s="6" t="inlineStr">
        <is>
          <t>Yetiştiremedin; yarım ödev teslim edildi.</t>
        </is>
      </c>
      <c r="K143" s="6" t="inlineStr">
        <is>
          <t>Teneffüs boyunca yazdın, zil çaldı. Son satıra “Devamı yarın” yazdın. Öğretmen altına kırmızıyla ekledi: “Annen de yarın gelsin.”</t>
        </is>
      </c>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row>
    <row r="144">
      <c r="A144" s="5" t="inlineStr">
        <is>
          <t>odev-nerede</t>
        </is>
      </c>
      <c r="B144" s="5" t="n">
        <v>3</v>
      </c>
      <c r="C144" s="6" t="inlineStr">
        <is>
          <t>'Köpek yedi' de</t>
        </is>
      </c>
      <c r="D144" s="5" t="inlineStr">
        <is>
          <t>Pişkinlik</t>
        </is>
      </c>
      <c r="E144" s="5" t="inlineStr">
        <is>
          <t>Zor</t>
        </is>
      </c>
      <c r="F144" s="5" t="inlineStr"/>
      <c r="G144" s="6" t="inlineStr"/>
      <c r="H144" s="6" t="inlineStr">
        <is>
          <t>Öğretmen güldü ve bir gün ek süre verdi.</t>
        </is>
      </c>
      <c r="I144" s="6" t="inlineStr">
        <is>
          <t>Öyle anlattın ki öğretmen köpeğin sağlığını sordu. Ek süre ve geçmiş olsun dileği.</t>
        </is>
      </c>
      <c r="J144" s="6" t="inlineStr">
        <is>
          <t>'Sizin köpeğiniz yok ki' dedi öğretmen.</t>
        </is>
      </c>
      <c r="K144" s="6" t="inlineStr">
        <is>
          <t>Köpeğin adını bile uydurdun: Karabaş. Öğretmen akşam anneni arayıp Karabaş'ın sağlığını sordu. Annen “Hangi Karabaş?” dedi. Ertesi sabah okula iki ödevle gittin: biri seninki, biri Karabaş'ınki.</t>
        </is>
      </c>
      <c r="L144" s="6" t="inlineStr"/>
      <c r="M144" s="5" t="inlineStr"/>
      <c r="N144" s="5" t="inlineStr"/>
      <c r="O144" s="6" t="inlineStr"/>
      <c r="P144" s="6" t="inlineStr"/>
      <c r="Q144" s="5" t="inlineStr"/>
      <c r="R144" s="5" t="inlineStr"/>
      <c r="S144" s="5" t="inlineStr"/>
      <c r="T144" s="5" t="inlineStr"/>
      <c r="U144" s="5" t="inlineStr">
        <is>
          <t>yalanci</t>
        </is>
      </c>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row>
    <row r="145">
      <c r="A145" s="5" t="inlineStr">
        <is>
          <t>sinif-baskani</t>
        </is>
      </c>
      <c r="B145" s="5" t="n">
        <v>1</v>
      </c>
      <c r="C145" s="6" t="inlineStr">
        <is>
          <t>Aday ol</t>
        </is>
      </c>
      <c r="D145" s="5" t="inlineStr">
        <is>
          <t>Cesaret</t>
        </is>
      </c>
      <c r="E145" s="5" t="inlineStr">
        <is>
          <t>Zor</t>
        </is>
      </c>
      <c r="F145" s="5" t="inlineStr"/>
      <c r="G145" s="6" t="inlineStr"/>
      <c r="H145" s="6" t="inlineStr">
        <is>
          <t>Seçildin. Öğretmen çıkınca tahtaya konuşanları yazma yetkisi artık sende. Sınıf hiç bu kadar sessiz olmamıştı.</t>
        </is>
      </c>
      <c r="I145" s="6" t="inlineStr">
        <is>
          <t>Oyların çoğunu aldın. Rakibin tebrik etti, sonra yardımcın oldu.</t>
        </is>
      </c>
      <c r="J145" s="6" t="inlineStr">
        <is>
          <t>Aday oldun; iki oy aldın. Biri senin, biri sıra arkadaşının.</t>
        </is>
      </c>
      <c r="K145" s="6" t="inlineStr">
        <is>
          <t>Seçim konuşmasında 'Herkese dondurma' dedin. Öğretmen adaylığını iptal etti.</t>
        </is>
      </c>
      <c r="L145" s="6" t="inlineStr"/>
      <c r="M145" s="5" t="inlineStr"/>
      <c r="N145" s="5" t="inlineStr"/>
      <c r="O145" s="6" t="inlineStr"/>
      <c r="P145" s="6" t="inlineStr"/>
      <c r="Q145" s="5" t="inlineStr"/>
      <c r="R145" s="5" t="inlineStr"/>
      <c r="S145" s="5" t="inlineStr"/>
      <c r="T145" s="5" t="inlineStr">
        <is>
          <t>Teneffüs Başkanı</t>
        </is>
      </c>
      <c r="U145" s="5" t="inlineStr"/>
      <c r="V145" s="5" t="inlineStr">
        <is>
          <t>baskan</t>
        </is>
      </c>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row>
    <row r="146">
      <c r="A146" s="5" t="inlineStr">
        <is>
          <t>sinif-baskani</t>
        </is>
      </c>
      <c r="B146" s="5" t="n">
        <v>2</v>
      </c>
      <c r="C146" s="6" t="inlineStr">
        <is>
          <t>Arkadaşının kampanyasını yönet</t>
        </is>
      </c>
      <c r="D146" s="5" t="inlineStr">
        <is>
          <t>Sosyal Radar</t>
        </is>
      </c>
      <c r="E146" s="5" t="inlineStr">
        <is>
          <t>Orta</t>
        </is>
      </c>
      <c r="F146" s="5" t="inlineStr"/>
      <c r="G146" s="6" t="inlineStr"/>
      <c r="H146" s="6" t="inlineStr">
        <is>
          <t>Adayın kazandı. Sen gölge başkansın.</t>
        </is>
      </c>
      <c r="I146" s="6" t="inlineStr">
        <is>
          <t>Adayın açık farkla kazandı. Tüm kararlar önce sana danışılıyor.</t>
        </is>
      </c>
      <c r="J146" s="6" t="inlineStr">
        <is>
          <t>Adayın kaybetti. Teneffüste ikiniz merdivene oturup oyları yeniden saydınız. Yine kaybetmişti.</t>
        </is>
      </c>
      <c r="K146" s="6" t="inlineStr">
        <is>
          <t>Adayın kaybetti ve ağlayarak öğretmene koştu: “Afişleri o yazdı!” Afişlerde “Başkan” yerine “Başkam” yazıyordu. Hepsini sen yazmıştın.</t>
        </is>
      </c>
      <c r="L146" s="6" t="inlineStr"/>
      <c r="M146" s="5" t="inlineStr"/>
      <c r="N146" s="5" t="inlineStr"/>
      <c r="O146" s="6" t="inlineStr"/>
      <c r="P146" s="6" t="inlineStr"/>
      <c r="Q146" s="5" t="inlineStr"/>
      <c r="R146" s="5" t="inlineStr"/>
      <c r="S146" s="5" t="inlineStr"/>
      <c r="T146" s="5" t="inlineStr"/>
      <c r="U146" s="5" t="inlineStr"/>
      <c r="V146" s="5" t="inlineStr"/>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row>
    <row r="147">
      <c r="A147" s="5" t="inlineStr">
        <is>
          <t>sinif-baskani</t>
        </is>
      </c>
      <c r="B147" s="5" t="n">
        <v>3</v>
      </c>
      <c r="C147" s="6" t="inlineStr">
        <is>
          <t>Oy ver, geç</t>
        </is>
      </c>
      <c r="D147" s="5" t="inlineStr"/>
      <c r="E147" s="5" t="inlineStr"/>
      <c r="F147" s="5" t="inlineStr">
        <is>
          <t>İtibar +1</t>
        </is>
      </c>
      <c r="G147" s="6" t="inlineStr">
        <is>
          <t>Demokrasiye katkıda bulundun. Akvaryum gelmedi.</t>
        </is>
      </c>
      <c r="H147" s="6" t="inlineStr"/>
      <c r="I147" s="6" t="inlineStr"/>
      <c r="J147" s="6" t="inlineStr"/>
      <c r="K147" s="6" t="inlineStr"/>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row>
    <row r="148">
      <c r="A148" s="5" t="inlineStr">
        <is>
          <t>sinif-baskani</t>
        </is>
      </c>
      <c r="B148" s="5" t="n">
        <v>4</v>
      </c>
      <c r="C148" s="6" t="inlineStr">
        <is>
          <t>Seçim kurulunu kur</t>
        </is>
      </c>
      <c r="D148" s="5" t="inlineStr">
        <is>
          <t>İtibar</t>
        </is>
      </c>
      <c r="E148" s="5" t="inlineStr">
        <is>
          <t>Kolay</t>
        </is>
      </c>
      <c r="F148" s="5" t="inlineStr"/>
      <c r="G148" s="6" t="inlineStr"/>
      <c r="H148" s="6" t="inlineStr">
        <is>
          <t>Seçim kurulu başkanı oldun. Aday olmadan kazanmanın yolu.</t>
        </is>
      </c>
      <c r="I148" s="6" t="inlineStr">
        <is>
          <t>Sandığı sen tasarladın, oyları sen saydın, sonucu sen açıkladın. Tam yetki.</t>
        </is>
      </c>
      <c r="J148" s="6" t="inlineStr">
        <is>
          <t>Kurul kuruldu; kimse seni dinlemedi.</t>
        </is>
      </c>
      <c r="K148" s="6" t="inlineStr">
        <is>
          <t>Oyları sayarken iki kez saydın. Seçim yenilendi.</t>
        </is>
      </c>
      <c r="L148" s="6" t="inlineStr"/>
      <c r="M148" s="5" t="inlineStr"/>
      <c r="N148" s="5" t="inlineStr"/>
      <c r="O148" s="6" t="inlineStr"/>
      <c r="P148" s="6" t="inlineStr"/>
      <c r="Q148" s="5" t="inlineStr">
        <is>
          <t>Kuralı Koyan</t>
        </is>
      </c>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row>
    <row r="149">
      <c r="A149" s="5" t="inlineStr">
        <is>
          <t>sinif-baskani</t>
        </is>
      </c>
      <c r="B149" s="5" t="n">
        <v>5</v>
      </c>
      <c r="C149" s="6" t="inlineStr">
        <is>
          <t>Seçim konuşması yap</t>
        </is>
      </c>
      <c r="D149" s="5" t="inlineStr">
        <is>
          <t>Pişkinlik</t>
        </is>
      </c>
      <c r="E149" s="5" t="inlineStr">
        <is>
          <t>Orta</t>
        </is>
      </c>
      <c r="F149" s="5" t="inlineStr"/>
      <c r="G149" s="6" t="inlineStr"/>
      <c r="H149" s="6" t="inlineStr">
        <is>
          <t>Konuşmanı yaptın; sınıf ayakta alkışladı.</t>
        </is>
      </c>
      <c r="I149" s="6" t="inlineStr">
        <is>
          <t>Konuşman o kadar etkiliydi ki diğer adaylar çekildi.</t>
        </is>
      </c>
      <c r="J149" s="6" t="inlineStr">
        <is>
          <t>Konuşman uzun sürdü; teneffüs zili yarıda kesti.</t>
        </is>
      </c>
      <c r="K149" s="6" t="inlineStr">
        <is>
          <t>Konuşmanın ortasında ne diyeceğini unuttun. Sessizlik 40 saniye sürdü.</t>
        </is>
      </c>
      <c r="L149" s="6" t="inlineStr"/>
      <c r="M149" s="5" t="inlineStr"/>
      <c r="N149" s="5" t="inlineStr"/>
      <c r="O149" s="6" t="inlineStr"/>
      <c r="P149" s="6" t="inlineStr"/>
      <c r="Q149" s="5" t="inlineStr">
        <is>
          <t>Sahne Sever</t>
        </is>
      </c>
      <c r="R149" s="5" t="inlineStr"/>
      <c r="S149" s="5" t="inlineStr"/>
      <c r="T149" s="5" t="inlineStr"/>
      <c r="U149" s="5" t="inlineStr"/>
      <c r="V149" s="5" t="inlineStr">
        <is>
          <t>baskan</t>
        </is>
      </c>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row>
    <row r="150">
      <c r="A150" s="5" t="inlineStr">
        <is>
          <t>davetiyeler</t>
        </is>
      </c>
      <c r="B150" s="5" t="n">
        <v>1</v>
      </c>
      <c r="C150" s="6" t="inlineStr">
        <is>
          <t>Umursama</t>
        </is>
      </c>
      <c r="D150" s="5" t="inlineStr"/>
      <c r="E150" s="5" t="inlineStr"/>
      <c r="F150" s="5" t="inlineStr">
        <is>
          <t>Dayanıklılık +1</t>
        </is>
      </c>
      <c r="G150" s="6" t="inlineStr">
        <is>
          <t>Umursamadın. En azından öyle görünmeye çalıştın. Akşam annen hiçbir şey sormadan kek yaptı.</t>
        </is>
      </c>
      <c r="H150" s="6" t="inlineStr"/>
      <c r="I150" s="6" t="inlineStr"/>
      <c r="J150" s="6" t="inlineStr"/>
      <c r="K150" s="6" t="inlineStr"/>
      <c r="L150" s="6" t="inlineStr"/>
      <c r="M150" s="5" t="inlineStr"/>
      <c r="N150" s="5" t="inlineStr"/>
      <c r="O150" s="6" t="inlineStr"/>
      <c r="P150" s="6" t="inlineStr"/>
      <c r="Q150" s="5" t="inlineStr"/>
      <c r="R150" s="5" t="inlineStr"/>
      <c r="S150" s="5" t="inlineStr"/>
      <c r="T150" s="5" t="inlineStr"/>
      <c r="U150" s="5" t="inlineStr"/>
      <c r="V150" s="5" t="inlineStr"/>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row>
    <row r="151">
      <c r="A151" s="5" t="inlineStr">
        <is>
          <t>davetiyeler</t>
        </is>
      </c>
      <c r="B151" s="5" t="n">
        <v>2</v>
      </c>
      <c r="C151" s="6" t="inlineStr">
        <is>
          <t>Nedenini sor</t>
        </is>
      </c>
      <c r="D151" s="5" t="inlineStr">
        <is>
          <t>Cesaret</t>
        </is>
      </c>
      <c r="E151" s="5" t="inlineStr">
        <is>
          <t>Orta</t>
        </is>
      </c>
      <c r="F151" s="5" t="inlineStr"/>
      <c r="G151" s="6" t="inlineStr"/>
      <c r="H151" s="6" t="inlineStr">
        <is>
          <t>Sordun; davetiyen çantada unutulmuş.</t>
        </is>
      </c>
      <c r="I151" s="6" t="inlineStr">
        <is>
          <t>Sordun; sen 'onur konuğu' listesindeymişsin. Ayrı davetiye basılıyormuş.</t>
        </is>
      </c>
      <c r="J151" s="6" t="inlineStr">
        <is>
          <t>Sordun; cevap 'yer kalmadı' oldu.</t>
        </is>
      </c>
      <c r="K151" s="6" t="inlineStr">
        <is>
          <t>Heyecandan “Benim davetiyem nerede?” yerine “Benim doğum günüm nerede?” dedin. Bütün sınıf sana doğum günü şarkısı söyledi. Doğum günün martta.</t>
        </is>
      </c>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row>
    <row r="152">
      <c r="A152" s="5" t="inlineStr">
        <is>
          <t>davetiyeler</t>
        </is>
      </c>
      <c r="B152" s="5" t="n">
        <v>3</v>
      </c>
      <c r="C152" s="6" t="inlineStr">
        <is>
          <t>Aynı gün kendi partini planla</t>
        </is>
      </c>
      <c r="D152" s="5" t="inlineStr">
        <is>
          <t>Kurnazlık</t>
        </is>
      </c>
      <c r="E152" s="5" t="inlineStr">
        <is>
          <t>Orta</t>
        </is>
      </c>
      <c r="F152" s="5" t="inlineStr"/>
      <c r="G152" s="6" t="inlineStr"/>
      <c r="H152" s="6" t="inlineStr">
        <is>
          <t>Aynı gün kendi partini ilan ettin. Katılım oranı yüzde elli.</t>
        </is>
      </c>
      <c r="I152" s="6" t="inlineStr">
        <is>
          <t>Partine dayının palyaço olarak geleceğini duyurdun. Öbür partinin yarısı sana kaydı. Dayın geldi; kostüm küçüktü ama çocuklar bayıldı.</t>
        </is>
      </c>
      <c r="J152" s="6" t="inlineStr">
        <is>
          <t>Parti planladın; kimse gelmedi, çünkü herkes öbür partideydi.</t>
        </is>
      </c>
      <c r="K152" s="6" t="inlineStr">
        <is>
          <t>Sınıfa “Cumartesi bizde parti” dedin; annenin haberi yoktu. Cumartesi on iki çocuk kapıya geldi. Annen kapıyı bornozla açtı; evde bir paket bisküvi vardı.</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row>
    <row r="153">
      <c r="A153" s="5" t="inlineStr">
        <is>
          <t>davetiyeler</t>
        </is>
      </c>
      <c r="B153" s="5" t="n">
        <v>4</v>
      </c>
      <c r="C153" s="6" t="inlineStr">
        <is>
          <t>Kimin gerçekten gideceğini tahmin et</t>
        </is>
      </c>
      <c r="D153" s="5" t="inlineStr">
        <is>
          <t>Sosyal Radar</t>
        </is>
      </c>
      <c r="E153" s="5" t="inlineStr">
        <is>
          <t>Kolay</t>
        </is>
      </c>
      <c r="F153" s="5" t="inlineStr"/>
      <c r="G153" s="6" t="inlineStr"/>
      <c r="H153" s="6" t="inlineStr">
        <is>
          <t>Partiye yarısının gitmeyeceğini tahmin ettin. Haklıydın.</t>
        </is>
      </c>
      <c r="I153" s="6" t="inlineStr">
        <is>
          <t>Tahminin o kadar isabetliydi ki parti sahibi davetiye listesini sana danıştı.</t>
        </is>
      </c>
      <c r="J153" s="6" t="inlineStr">
        <is>
          <t>Tahmin ettin; yanıldın. Herkes gitti.</t>
        </is>
      </c>
      <c r="K153" s="6" t="inlineStr">
        <is>
          <t>Tahminini yüksek sesle söyledin. Parti sahibi duydu.</t>
        </is>
      </c>
      <c r="L153" s="6" t="inlineStr"/>
      <c r="M153" s="5" t="inlineStr"/>
      <c r="N153" s="5" t="inlineStr"/>
      <c r="O153" s="6" t="inlineStr"/>
      <c r="P153" s="6" t="inlineStr"/>
      <c r="Q153" s="5" t="inlineStr">
        <is>
          <t>Odayı Okur</t>
        </is>
      </c>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row>
    <row r="154">
      <c r="A154" s="5" t="inlineStr">
        <is>
          <t>bayram-harcligi</t>
        </is>
      </c>
      <c r="B154" s="5" t="n">
        <v>1</v>
      </c>
      <c r="C154" s="6" t="inlineStr">
        <is>
          <t>Ailene teslim et</t>
        </is>
      </c>
      <c r="D154" s="5" t="inlineStr"/>
      <c r="E154" s="5" t="inlineStr"/>
      <c r="F154" s="5" t="inlineStr">
        <is>
          <t>İtibar +1</t>
        </is>
      </c>
      <c r="G154" s="6" t="inlineStr">
        <is>
          <t>Zarfları annene verdin. Annen “Ben senin için saklıyorum” dedi. Bu cümleyi yıllar sonra kendi çocuğuna söyleyeceksin.</t>
        </is>
      </c>
      <c r="H154" s="6" t="inlineStr"/>
      <c r="I154" s="6" t="inlineStr"/>
      <c r="J154" s="6" t="inlineStr"/>
      <c r="K154" s="6" t="inlineStr"/>
      <c r="L154" s="6" t="inlineStr"/>
      <c r="M154" s="5" t="inlineStr"/>
      <c r="N154" s="5" t="inlineStr"/>
      <c r="O154" s="6" t="inlineStr"/>
      <c r="P154" s="6" t="inlineStr"/>
      <c r="Q154" s="5" t="inlineStr"/>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row>
    <row r="155">
      <c r="A155" s="5" t="inlineStr">
        <is>
          <t>bayram-harcligi</t>
        </is>
      </c>
      <c r="B155" s="5" t="n">
        <v>2</v>
      </c>
      <c r="C155" s="6" t="inlineStr">
        <is>
          <t>Hepsini harca</t>
        </is>
      </c>
      <c r="D155" s="5" t="inlineStr">
        <is>
          <t>Pişkinlik</t>
        </is>
      </c>
      <c r="E155" s="5" t="inlineStr">
        <is>
          <t>Kolay</t>
        </is>
      </c>
      <c r="F155" s="5" t="inlineStr"/>
      <c r="G155" s="6" t="inlineStr"/>
      <c r="H155" s="6" t="inlineStr">
        <is>
          <t>Bayram yerine koştun: iki tur atlıkarınca, bir pamuk şeker, bir de sallanan gemi. Cebin boş, yüzün pembe.</t>
        </is>
      </c>
      <c r="I155" s="6" t="inlineStr">
        <is>
          <t>Bakkal, oyuncakçı ve simitçi aynı gün rekor kırdı. Sana teşekkür kartı gönderildi.</t>
        </is>
      </c>
      <c r="J155" s="6" t="inlineStr">
        <is>
          <t>Harcadın; aldıklarının yarısı ertesi gün bozuldu.</t>
        </is>
      </c>
      <c r="K155" s="6" t="inlineStr">
        <is>
          <t>Hepsini tek bir oyuncağa harcadın. Oyuncak ilk gün kırıldı.</t>
        </is>
      </c>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row>
    <row r="156">
      <c r="A156" s="5" t="inlineStr">
        <is>
          <t>bayram-harcligi</t>
        </is>
      </c>
      <c r="B156" s="5" t="n">
        <v>3</v>
      </c>
      <c r="C156" s="6" t="inlineStr">
        <is>
          <t>Akrabalarla ikinci tur yap</t>
        </is>
      </c>
      <c r="D156" s="5" t="inlineStr">
        <is>
          <t>Çene</t>
        </is>
      </c>
      <c r="E156" s="5" t="inlineStr">
        <is>
          <t>Orta</t>
        </is>
      </c>
      <c r="F156" s="5" t="inlineStr"/>
      <c r="G156" s="6" t="inlineStr"/>
      <c r="H156" s="6" t="inlineStr">
        <is>
          <t>İkinci el öpme turuyla bütçeyi ikiye katladın.</t>
        </is>
      </c>
      <c r="I156" s="6" t="inlineStr">
        <is>
          <t>Uzak akrabaları da ziyaret listesine ekledin. Babanın teyzesinin kayınbiraderi bile zarf verdi; kim olduğunu hâlâ bilmiyorsun.</t>
        </is>
      </c>
      <c r="J156" s="6" t="inlineStr">
        <is>
          <t>İkinci turda 'Sen gelmiştin ya' dediler.</t>
        </is>
      </c>
      <c r="K156" s="6" t="inlineStr">
        <is>
          <t>İkinci turda aynı amcanın elini ikinci kez öptün. Amca zarfı uzatırken durdu: “Sen az önce de öpmüştün.” Zarf cebine geri girdi, hikâye bütün bayram anlatıldı.</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row>
    <row r="157">
      <c r="A157" s="5" t="inlineStr">
        <is>
          <t>bayram-harcligi</t>
        </is>
      </c>
      <c r="B157" s="5" t="n">
        <v>4</v>
      </c>
      <c r="C157" s="6" t="inlineStr">
        <is>
          <t>Kumbaraya at, kimseye söyleme</t>
        </is>
      </c>
      <c r="D157" s="5" t="inlineStr">
        <is>
          <t>Kurnazlık</t>
        </is>
      </c>
      <c r="E157" s="5" t="inlineStr">
        <is>
          <t>Kolay</t>
        </is>
      </c>
      <c r="F157" s="5" t="inlineStr"/>
      <c r="G157" s="6" t="inlineStr"/>
      <c r="H157" s="6" t="inlineStr">
        <is>
          <t>Kumbara ağırlaştı. Kimse bilmiyor.</t>
        </is>
      </c>
      <c r="I157" s="6" t="inlineStr">
        <is>
          <t>Kumbara o kadar doldu ki ikinci kumbara açıldı. Yastık altı büyüyor.</t>
        </is>
      </c>
      <c r="J157" s="6" t="inlineStr">
        <is>
          <t>Kumbarayı açmak için çekiç gerekti.</t>
        </is>
      </c>
      <c r="K157" s="6" t="inlineStr">
        <is>
          <t>Kumbarayı sakladığın yeri kuzenin buldu.</t>
        </is>
      </c>
      <c r="L157" s="6" t="inlineStr"/>
      <c r="M157" s="5" t="inlineStr"/>
      <c r="N157" s="5" t="inlineStr"/>
      <c r="O157" s="6" t="inlineStr"/>
      <c r="P157" s="6" t="inlineStr"/>
      <c r="Q157" s="5" t="inlineStr">
        <is>
          <t>Yastık Altı Ekonomisti</t>
        </is>
      </c>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row>
    <row r="158">
      <c r="A158" s="5" t="inlineStr">
        <is>
          <t>bayram-harcligi</t>
        </is>
      </c>
      <c r="B158" s="5" t="n">
        <v>5</v>
      </c>
      <c r="C158" s="6" t="inlineStr">
        <is>
          <t>Harçlıkla çekirdek al, mahalle maçında sat</t>
        </is>
      </c>
      <c r="D158" s="5" t="inlineStr">
        <is>
          <t>Kurnazlık</t>
        </is>
      </c>
      <c r="E158" s="5" t="inlineStr">
        <is>
          <t>Zor</t>
        </is>
      </c>
      <c r="F158" s="5" t="inlineStr"/>
      <c r="G158" s="6" t="inlineStr"/>
      <c r="H158" s="6" t="inlineStr">
        <is>
          <t>Kuruyemişçiden bir kilo çekirdek aldın, gazeteden külah külah sardın, maçta sattın. Bayram parası ikiye katlandı.</t>
        </is>
      </c>
      <c r="I158" s="6" t="inlineStr">
        <is>
          <t>Maçta çekirdek bitince herkes seni çağırdı. Ertesi hafta karşı mahallenin maçından da sipariş geldi. İki sahada tezgâhın var.</t>
        </is>
      </c>
      <c r="J158" s="6" t="inlineStr">
        <is>
          <t>Çekirdekler satılmadı. Devre arasında hepsini kendin çitledin; dilin üç gün tuzlu kaldı.</t>
        </is>
      </c>
      <c r="K158" s="6" t="inlineStr">
        <is>
          <t>Bütün harçlığı çekirdeğe yatırdın; maç yağmurdan iptal oldu. Bir kilo ıslak çekirdekle eve döndün. Babaannen kış boyu balkonda kurutup sana geri sattı.</t>
        </is>
      </c>
      <c r="L158" s="6" t="inlineStr"/>
      <c r="M158" s="5" t="inlineStr"/>
      <c r="N158" s="5" t="inlineStr"/>
      <c r="O158" s="6" t="inlineStr"/>
      <c r="P158" s="6" t="inlineStr"/>
      <c r="Q158" s="5" t="inlineStr">
        <is>
          <t>Sofra Müteahhidi</t>
        </is>
      </c>
      <c r="R158" s="5" t="inlineStr"/>
      <c r="S158" s="5" t="inlineStr"/>
      <c r="T158" s="5" t="inlineStr">
        <is>
          <t>Çekirdek Baronu</t>
        </is>
      </c>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row>
    <row r="159">
      <c r="A159" s="5" t="inlineStr">
        <is>
          <t>balkondaki-ucurtma</t>
        </is>
      </c>
      <c r="B159" s="5" t="n">
        <v>1</v>
      </c>
      <c r="C159" s="6" t="inlineStr">
        <is>
          <t>Vazgeç, yenisini iste</t>
        </is>
      </c>
      <c r="D159" s="5" t="inlineStr"/>
      <c r="E159" s="5" t="inlineStr"/>
      <c r="F159" s="5" t="inlineStr">
        <is>
          <t>Çene +1</t>
        </is>
      </c>
      <c r="G159" s="6" t="inlineStr">
        <is>
          <t>Yeni uçurtma istedin. Baban “Maaş yatsın, bakarız” dedi. Maaş üç kez yattı.</t>
        </is>
      </c>
      <c r="H159" s="6" t="inlineStr"/>
      <c r="I159" s="6" t="inlineStr"/>
      <c r="J159" s="6" t="inlineStr"/>
      <c r="K159" s="6" t="inlineStr"/>
      <c r="L159" s="6" t="inlineStr"/>
      <c r="M159" s="5" t="inlineStr"/>
      <c r="N159" s="5" t="inlineStr"/>
      <c r="O159" s="6" t="inlineStr"/>
      <c r="P159" s="6" t="inlineStr"/>
      <c r="Q159" s="5" t="inlineStr"/>
      <c r="R159" s="5" t="inlineStr"/>
      <c r="S159" s="5" t="inlineStr"/>
      <c r="T159" s="5" t="inlineStr"/>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row>
    <row r="160">
      <c r="A160" s="5" t="inlineStr">
        <is>
          <t>balkondaki-ucurtma</t>
        </is>
      </c>
      <c r="B160" s="5" t="n">
        <v>2</v>
      </c>
      <c r="C160" s="6" t="inlineStr">
        <is>
          <t>Süpürge sapıyla kurtar</t>
        </is>
      </c>
      <c r="D160" s="5" t="inlineStr">
        <is>
          <t>Akıl</t>
        </is>
      </c>
      <c r="E160" s="5" t="inlineStr">
        <is>
          <t>Orta</t>
        </is>
      </c>
      <c r="F160" s="5" t="inlineStr"/>
      <c r="G160" s="6" t="inlineStr"/>
      <c r="H160" s="6" t="inlineStr">
        <is>
          <t>Süpürge, sandalye ve bir bant rulosuyla mühendislik harikası kurdun. Uçurtma kurtuldu.</t>
        </is>
      </c>
      <c r="I160" s="6" t="inlineStr">
        <is>
          <t>Uçurtmayı kurtardın; üstüne komşunun balkonundan düşen bir top da geldi. Bonus.</t>
        </is>
      </c>
      <c r="J160" s="6" t="inlineStr">
        <is>
          <t>Süpürge kısa geldi. Sandalye de. Sen de.</t>
        </is>
      </c>
      <c r="K160" s="6" t="inlineStr">
        <is>
          <t>Süpürge sapı balkona takıldı. Artık orada bir uçurtma ve bir süpürge var.</t>
        </is>
      </c>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row>
    <row r="161">
      <c r="A161" s="5" t="inlineStr">
        <is>
          <t>balkondaki-ucurtma</t>
        </is>
      </c>
      <c r="B161" s="5" t="n">
        <v>3</v>
      </c>
      <c r="C161" s="6" t="inlineStr">
        <is>
          <t>Kapıcıyı ikna et</t>
        </is>
      </c>
      <c r="D161" s="5" t="inlineStr">
        <is>
          <t>Çene</t>
        </is>
      </c>
      <c r="E161" s="5" t="inlineStr">
        <is>
          <t>Kolay</t>
        </is>
      </c>
      <c r="F161" s="5" t="inlineStr"/>
      <c r="G161" s="6" t="inlineStr"/>
      <c r="H161" s="6" t="inlineStr">
        <is>
          <t>Kapıcı yedek anahtarla çıktı ve uçurtmayı indirdi. Karşılığında bir hafta onun ekmeğini sen taşıdın.</t>
        </is>
      </c>
      <c r="I161" s="6" t="inlineStr">
        <is>
          <t>Kapıcı uçurtmayı indirdi, üstüne bir de nasıl daha iyi uçurulacağını gösterdi.</t>
        </is>
      </c>
      <c r="J161" s="6" t="inlineStr">
        <is>
          <t>Kapıcı 'Sahibi gelsin' dedi. Sahibi üç hafta sonra geliyor.</t>
        </is>
      </c>
      <c r="K161" s="6" t="inlineStr">
        <is>
          <t>Kapıcıyı ikna ettin, yedek anahtarla balkona çıktınız. Tam uçurtmayı alırken teyze memleketten döndü. Sen, kapıcı ve uçurtma, onun salonunda yakalandınız.</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row>
    <row r="162">
      <c r="A162" s="5" t="inlineStr">
        <is>
          <t>balkondaki-ucurtma</t>
        </is>
      </c>
      <c r="B162" s="5" t="n">
        <v>4</v>
      </c>
      <c r="C162" s="6" t="inlineStr">
        <is>
          <t>Dut ağacına tırman</t>
        </is>
      </c>
      <c r="D162" s="5" t="inlineStr">
        <is>
          <t>Cesaret</t>
        </is>
      </c>
      <c r="E162" s="5" t="inlineStr">
        <is>
          <t>Zor</t>
        </is>
      </c>
      <c r="F162" s="5" t="inlineStr"/>
      <c r="G162" s="6" t="inlineStr"/>
      <c r="H162" s="6" t="inlineStr">
        <is>
          <t>Tırmandın, uzandın, aldın. Aşağıdakiler nefeslerini ancak sen inince bıraktı.</t>
        </is>
      </c>
      <c r="I162" s="6" t="inlineStr">
        <is>
          <t>Dala çıktın, uçurtmayı aldın, inerken ceplerini dutla doldurdun. Babaannen dutları yıkayıp komşulara “Torunum topladı” diye dağıttı.</t>
        </is>
      </c>
      <c r="J162" s="6" t="inlineStr">
        <is>
          <t>Yarıya kadar tırmandın, sonra aşağı baktın. Aşağı bakmak hataydı.</t>
        </is>
      </c>
      <c r="K162" s="6" t="inlineStr">
        <is>
          <t>Dala çıktın, uzandın, uçurtmayı aldın; dal çıt dedi. Altı hafta alçı. Alçına bütün sınıf imza attı, üstüne dut lekesi de bulaştı.</t>
        </is>
      </c>
      <c r="L162" s="6" t="inlineStr"/>
      <c r="M162" s="5" t="inlineStr"/>
      <c r="N162" s="5" t="inlineStr"/>
      <c r="O162" s="6" t="inlineStr"/>
      <c r="P162" s="6" t="inlineStr"/>
      <c r="Q162" s="5" t="inlineStr"/>
      <c r="R162" s="5" t="inlineStr"/>
      <c r="S162" s="5" t="inlineStr"/>
      <c r="T162" s="5" t="inlineStr"/>
      <c r="U162" s="5" t="inlineStr"/>
      <c r="V162" s="5" t="inlineStr"/>
      <c r="W162" s="5" t="inlineStr">
        <is>
          <t>alcili-kol</t>
        </is>
      </c>
      <c r="X162" s="5" t="inlineStr"/>
      <c r="Y162" s="5" t="inlineStr"/>
      <c r="Z162" s="6" t="inlineStr"/>
      <c r="AA162" s="5" t="inlineStr"/>
      <c r="AB162" s="5" t="inlineStr"/>
      <c r="AC162" s="5" t="inlineStr"/>
      <c r="AD162" s="5" t="inlineStr"/>
      <c r="AE162" s="5" t="inlineStr"/>
      <c r="AF162" s="5" t="inlineStr"/>
      <c r="AG162" s="5" t="inlineStr"/>
      <c r="AH162" s="5" t="inlineStr"/>
      <c r="AI162" s="5" t="inlineStr"/>
    </row>
    <row r="163">
      <c r="A163" s="5" t="inlineStr">
        <is>
          <t>mahalle-maci</t>
        </is>
      </c>
      <c r="B163" s="5" t="n">
        <v>1</v>
      </c>
      <c r="C163" s="6" t="inlineStr">
        <is>
          <t>Şut çek</t>
        </is>
      </c>
      <c r="D163" s="5" t="inlineStr">
        <is>
          <t>Cesaret</t>
        </is>
      </c>
      <c r="E163" s="5" t="inlineStr">
        <is>
          <t>Orta</t>
        </is>
      </c>
      <c r="F163" s="5" t="inlineStr"/>
      <c r="G163" s="6" t="inlineStr"/>
      <c r="H163" s="6" t="inlineStr">
        <is>
          <t>Gol! Cam sağlam. Mahalle sallandı.</t>
        </is>
      </c>
      <c r="I163" s="6" t="inlineStr">
        <is>
          <t>Köşeye gol. Komşu bile balkondan alkışladı.</t>
        </is>
      </c>
      <c r="J163" s="6" t="inlineStr">
        <is>
          <t>Top kaleciye gitti. Maç berabere bitti.</t>
        </is>
      </c>
      <c r="K163" s="6" t="inlineStr">
        <is>
          <t>Var gücünle vurdun; top kaleyi değil, komşunun camını buldu. Camı kırdın. Alt kattaki amca topu aldı, balkondan herkese gösterdi ve ekmek bıçağıyla ikiye kesti.</t>
        </is>
      </c>
      <c r="L163" s="6" t="inlineStr">
        <is>
          <t>Direk! Cam sağlam, skor aynı.</t>
        </is>
      </c>
      <c r="M163" s="5" t="inlineStr">
        <is>
          <t>timing</t>
        </is>
      </c>
      <c r="N163" s="5" t="inlineStr">
        <is>
          <t>Şut Çek!</t>
        </is>
      </c>
      <c r="O163" s="6" t="inlineStr">
        <is>
          <t>Kırmızı işareti yeşil alanda durdur.</t>
        </is>
      </c>
      <c r="P163" s="6" t="inlineStr"/>
      <c r="Q163" s="5" t="inlineStr"/>
      <c r="R163" s="5" t="inlineStr"/>
      <c r="S163" s="5" t="inlineStr"/>
      <c r="T163" s="5" t="inlineStr"/>
      <c r="U163" s="5" t="inlineStr"/>
      <c r="V163" s="5" t="inlineStr"/>
      <c r="W163" s="5" t="inlineStr">
        <is>
          <t>camKirildi</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row>
    <row r="164">
      <c r="A164" s="5" t="inlineStr">
        <is>
          <t>mahalle-maci</t>
        </is>
      </c>
      <c r="B164" s="5" t="n">
        <v>2</v>
      </c>
      <c r="C164" s="6" t="inlineStr">
        <is>
          <t>Pas ver</t>
        </is>
      </c>
      <c r="D164" s="5" t="inlineStr">
        <is>
          <t>Sosyal Radar</t>
        </is>
      </c>
      <c r="E164" s="5" t="inlineStr">
        <is>
          <t>Zor</t>
        </is>
      </c>
      <c r="F164" s="5" t="inlineStr"/>
      <c r="G164" s="6" t="inlineStr"/>
      <c r="H164" s="6" t="inlineStr">
        <is>
          <t>Pas verdin, arkadaşın attı. Asist de bir sanattır.</t>
        </is>
      </c>
      <c r="I164" s="6" t="inlineStr">
        <is>
          <t>Öyle bir pas verdin ki arkadaşın boş kaleye attı. Herkes seni kucakladı.</t>
        </is>
      </c>
      <c r="J164" s="6" t="inlineStr">
        <is>
          <t>Pas verdin; top karşı takıma gitti.</t>
        </is>
      </c>
      <c r="K164" s="6" t="inlineStr">
        <is>
          <t>Pas verdin; arkadaşın gelişine vurdu, top komşunun camını kırdı. Arkadaşın seni gösterdi: “Pası o verdi.” Komşu onu değil, seni hatırladı.</t>
        </is>
      </c>
      <c r="L164" s="6" t="inlineStr"/>
      <c r="M164" s="5" t="inlineStr"/>
      <c r="N164" s="5" t="inlineStr"/>
      <c r="O164" s="6" t="inlineStr"/>
      <c r="P164" s="6" t="inlineStr"/>
      <c r="Q164" s="5" t="inlineStr"/>
      <c r="R164" s="5" t="inlineStr"/>
      <c r="S164" s="5" t="inlineStr"/>
      <c r="T164" s="5" t="inlineStr">
        <is>
          <t>Asist Ustası</t>
        </is>
      </c>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row>
    <row r="165">
      <c r="A165" s="5" t="inlineStr">
        <is>
          <t>mahalle-maci</t>
        </is>
      </c>
      <c r="B165" s="5" t="n">
        <v>3</v>
      </c>
      <c r="C165" s="6" t="inlineStr">
        <is>
          <t>Camı düşün, yavaş vur</t>
        </is>
      </c>
      <c r="D165" s="5" t="inlineStr"/>
      <c r="E165" s="5" t="inlineStr"/>
      <c r="F165" s="5" t="inlineStr">
        <is>
          <t>İtibar +1, Dayanıklılık +1</t>
        </is>
      </c>
      <c r="G165" s="6" t="inlineStr">
        <is>
          <t>Top kaleye yavaşça yuvarlandı. Kaleci aldı. Cam teşekkür etti.</t>
        </is>
      </c>
      <c r="H165" s="6" t="inlineStr"/>
      <c r="I165" s="6" t="inlineStr"/>
      <c r="J165" s="6" t="inlineStr"/>
      <c r="K165" s="6" t="inlineStr"/>
      <c r="L165" s="6" t="inlineStr"/>
      <c r="M165" s="5" t="inlineStr"/>
      <c r="N165" s="5" t="inlineStr"/>
      <c r="O165" s="6" t="inlineStr"/>
      <c r="P165" s="6" t="inlineStr"/>
      <c r="Q165" s="5" t="inlineStr"/>
      <c r="R165" s="5" t="inlineStr"/>
      <c r="S165" s="5" t="inlineStr"/>
      <c r="T165" s="5" t="inlineStr"/>
      <c r="U165" s="5" t="inlineStr"/>
      <c r="V165" s="5" t="inlineStr"/>
      <c r="W165" s="5" t="inlineStr"/>
      <c r="X165" s="5" t="inlineStr"/>
      <c r="Y165" s="5" t="inlineStr"/>
      <c r="Z165" s="6" t="inlineStr"/>
      <c r="AA165" s="5" t="inlineStr"/>
      <c r="AB165" s="5" t="inlineStr"/>
      <c r="AC165" s="5" t="inlineStr"/>
      <c r="AD165" s="5" t="inlineStr"/>
      <c r="AE165" s="5" t="inlineStr"/>
      <c r="AF165" s="5" t="inlineStr"/>
      <c r="AG165" s="5" t="inlineStr"/>
      <c r="AH165" s="5" t="inlineStr"/>
      <c r="AI165" s="5" t="inlineStr"/>
    </row>
    <row r="166">
      <c r="A166" s="5" t="inlineStr">
        <is>
          <t>kedi-istiyoruz</t>
        </is>
      </c>
      <c r="B166" s="5" t="n">
        <v>1</v>
      </c>
      <c r="C166" s="6" t="inlineStr">
        <is>
          <t>Duygusal konuşma yap</t>
        </is>
      </c>
      <c r="D166" s="5" t="inlineStr">
        <is>
          <t>Çene</t>
        </is>
      </c>
      <c r="E166" s="5" t="inlineStr">
        <is>
          <t>Orta</t>
        </is>
      </c>
      <c r="F166" s="5" t="inlineStr"/>
      <c r="G166" s="6" t="inlineStr"/>
      <c r="H166" s="6" t="inlineStr">
        <is>
          <t>Gözlerin doldu, sesin titredi. Kedi onaylandı.</t>
        </is>
      </c>
      <c r="I166" s="6" t="inlineStr">
        <is>
          <t>Konuşma sırasında babaannen ağladı. Bir değil iki kedi onaylandı.</t>
        </is>
      </c>
      <c r="J166" s="6" t="inlineStr">
        <is>
          <t>Konuşman etkileyiciydi ama karar 'yazın bakarız'.</t>
        </is>
      </c>
      <c r="K166" s="6" t="inlineStr">
        <is>
          <t>Konuşmanın sonunda “Kedi gelmezse yemek yemem” dedin. Kedi gelmedi. Akşam yemeği köfteydi; ilk tabağı sen istedin, herkes gördü.</t>
        </is>
      </c>
      <c r="L166" s="6" t="inlineStr"/>
      <c r="M166" s="5" t="inlineStr"/>
      <c r="N166" s="5" t="inlineStr"/>
      <c r="O166" s="6" t="inlineStr"/>
      <c r="P166" s="6" t="inlineStr"/>
      <c r="Q166" s="5" t="inlineStr"/>
      <c r="R166" s="5" t="inlineStr"/>
      <c r="S166" s="5" t="inlineStr"/>
      <c r="T166" s="5" t="inlineStr"/>
      <c r="U166" s="5" t="inlineStr"/>
      <c r="V166" s="5" t="inlineStr">
        <is>
          <t>kediGeldi</t>
        </is>
      </c>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row>
    <row r="167">
      <c r="A167" s="5" t="inlineStr">
        <is>
          <t>kedi-istiyoruz</t>
        </is>
      </c>
      <c r="B167" s="5" t="n">
        <v>2</v>
      </c>
      <c r="C167" s="6" t="inlineStr">
        <is>
          <t>Sorumluluk planı sun</t>
        </is>
      </c>
      <c r="D167" s="5" t="inlineStr">
        <is>
          <t>Akıl</t>
        </is>
      </c>
      <c r="E167" s="5" t="inlineStr">
        <is>
          <t>Orta</t>
        </is>
      </c>
      <c r="F167" s="5" t="inlineStr"/>
      <c r="G167" s="6" t="inlineStr"/>
      <c r="H167" s="6" t="inlineStr">
        <is>
          <t>Mama, kum, veteriner: üç maddelik plan sundun. Kedi onaylandı.</t>
        </is>
      </c>
      <c r="I167" s="6" t="inlineStr">
        <is>
          <t>Mama ve kum için kumbarandan pay ayırdın. Baban “Bu çocuk benden düzenli” dedi; iki yavru birden onaylandı.</t>
        </is>
      </c>
      <c r="J167" s="6" t="inlineStr">
        <is>
          <t>Plan iyiydi ama bütçe onaylanmadı.</t>
        </is>
      </c>
      <c r="K167" s="6" t="inlineStr">
        <is>
          <t>Planın ilk maddesi: “Kumu babam temizler.” Baban çatalı bıraktı. Konu kapandı.</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row>
    <row r="168">
      <c r="A168" s="5" t="inlineStr">
        <is>
          <t>kedi-istiyoruz</t>
        </is>
      </c>
      <c r="B168" s="5" t="n">
        <v>3</v>
      </c>
      <c r="C168" s="6" t="inlineStr">
        <is>
          <t>Babaanneni ikna et</t>
        </is>
      </c>
      <c r="D168" s="5" t="inlineStr">
        <is>
          <t>Sosyal Radar</t>
        </is>
      </c>
      <c r="E168" s="5" t="inlineStr">
        <is>
          <t>Orta</t>
        </is>
      </c>
      <c r="F168" s="5" t="inlineStr"/>
      <c r="G168" s="6" t="inlineStr"/>
      <c r="H168" s="6" t="inlineStr">
        <is>
          <t>Babaanneni yanına çektin. Yemekte “Çocuk istiyor işte” dedi. Kimse babaanneye itiraz etmedi.</t>
        </is>
      </c>
      <c r="I168" s="6" t="inlineStr">
        <is>
          <t>Babaannen ertesi sabah elinde sepetle geldi: “Yavruların en tombulunu ben seçtim.” Tartışma bile olmadı.</t>
        </is>
      </c>
      <c r="J168" s="6" t="inlineStr">
        <is>
          <t>Babaannen kuş istiyormuş.</t>
        </is>
      </c>
      <c r="K168" s="6" t="inlineStr">
        <is>
          <t>Babaannen ikna oldu ve yavruyu kendi evine aldı. Artık bayramlarda kediyi ziyarete gidiyorsun.</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row>
    <row r="169">
      <c r="A169" s="5" t="inlineStr">
        <is>
          <t>kedi-istiyoruz</t>
        </is>
      </c>
      <c r="B169" s="5" t="n">
        <v>4</v>
      </c>
      <c r="C169" s="6" t="inlineStr">
        <is>
          <t>Vazo için kediden resmen özür dile</t>
        </is>
      </c>
      <c r="D169" s="5" t="inlineStr"/>
      <c r="E169" s="5" t="inlineStr"/>
      <c r="F169" s="5" t="inlineStr">
        <is>
          <t>Gönül +2</t>
        </is>
      </c>
      <c r="G169" s="6" t="inlineStr">
        <is>
          <t>Evin kedisinin önüne çömeldin: “Vazoyu ben kırdım, özür dilerim.” Babaannen gözlerini sildi, baban burnunu çekti. Yavru o akşam kabul edildi; kedi ise hâlâ düşünüyor.</t>
        </is>
      </c>
      <c r="H169" s="6" t="inlineStr"/>
      <c r="I169" s="6" t="inlineStr"/>
      <c r="J169" s="6" t="inlineStr"/>
      <c r="K169" s="6" t="inlineStr"/>
      <c r="L169" s="6" t="inlineStr"/>
      <c r="M169" s="5" t="inlineStr"/>
      <c r="N169" s="5" t="inlineStr"/>
      <c r="O169" s="6" t="inlineStr"/>
      <c r="P169" s="6" t="inlineStr"/>
      <c r="Q169" s="5" t="inlineStr"/>
      <c r="R169" s="5" t="inlineStr">
        <is>
          <t>kediSuclu</t>
        </is>
      </c>
      <c r="S169" s="5" t="inlineStr"/>
      <c r="T169" s="5" t="inlineStr"/>
      <c r="U169" s="5" t="inlineStr">
        <is>
          <t>kediGeldi</t>
        </is>
      </c>
      <c r="V169" s="5" t="inlineStr"/>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row>
    <row r="170">
      <c r="A170" s="5" t="inlineStr">
        <is>
          <t>tablet-saati</t>
        </is>
      </c>
      <c r="B170" s="5" t="n">
        <v>1</v>
      </c>
      <c r="C170" s="6" t="inlineStr">
        <is>
          <t>Süreye uy</t>
        </is>
      </c>
      <c r="D170" s="5" t="inlineStr"/>
      <c r="E170" s="5" t="inlineStr"/>
      <c r="F170" s="5" t="inlineStr">
        <is>
          <t>İtibar +1, Dayanıklılık +1</t>
        </is>
      </c>
      <c r="G170" s="6" t="inlineStr">
        <is>
          <t>Canavar yarına kaldı. İrade bugün kazandı.</t>
        </is>
      </c>
      <c r="H170" s="6" t="inlineStr"/>
      <c r="I170" s="6" t="inlineStr"/>
      <c r="J170" s="6" t="inlineStr"/>
      <c r="K170" s="6" t="inlineStr"/>
      <c r="L170" s="6" t="inlineStr"/>
      <c r="M170" s="5" t="inlineStr"/>
      <c r="N170" s="5" t="inlineStr"/>
      <c r="O170" s="6" t="inlineStr"/>
      <c r="P170" s="6" t="inlineStr"/>
      <c r="Q170" s="5" t="inlineStr"/>
      <c r="R170" s="5" t="inlineStr"/>
      <c r="S170" s="5" t="inlineStr"/>
      <c r="T170" s="5" t="inlineStr"/>
      <c r="U170" s="5" t="inlineStr"/>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row>
    <row r="171">
      <c r="A171" s="5" t="inlineStr">
        <is>
          <t>tablet-saati</t>
        </is>
      </c>
      <c r="B171" s="5" t="n">
        <v>2</v>
      </c>
      <c r="C171" s="6" t="inlineStr">
        <is>
          <t>Beş dakika daha iste</t>
        </is>
      </c>
      <c r="D171" s="5" t="inlineStr">
        <is>
          <t>Çene</t>
        </is>
      </c>
      <c r="E171" s="5" t="inlineStr">
        <is>
          <t>Kolay</t>
        </is>
      </c>
      <c r="F171" s="5" t="inlineStr"/>
      <c r="G171" s="6" t="inlineStr"/>
      <c r="H171" s="6" t="inlineStr">
        <is>
          <t>Beş dakika aldın, canavarı yendin.</t>
        </is>
      </c>
      <c r="I171" s="6" t="inlineStr">
        <is>
          <t>Beş dakika istedin, on beş aldın. Pazarlık dersi.</t>
        </is>
      </c>
      <c r="J171" s="6" t="inlineStr">
        <is>
          <t>Beş dakika istedin; 'Yarın' dendi.</t>
        </is>
      </c>
      <c r="K171" s="6" t="inlineStr">
        <is>
          <t>Beş dakika istedin; ertesi günün süresi de kesildi.</t>
        </is>
      </c>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row>
    <row r="172">
      <c r="A172" s="5" t="inlineStr">
        <is>
          <t>tablet-saati</t>
        </is>
      </c>
      <c r="B172" s="5" t="n">
        <v>3</v>
      </c>
      <c r="C172" s="6" t="inlineStr">
        <is>
          <t>Saati gizlice geri al</t>
        </is>
      </c>
      <c r="D172" s="5" t="inlineStr">
        <is>
          <t>Kurnazlık</t>
        </is>
      </c>
      <c r="E172" s="5" t="inlineStr">
        <is>
          <t>Zor</t>
        </is>
      </c>
      <c r="F172" s="5" t="inlineStr"/>
      <c r="G172" s="6" t="inlineStr"/>
      <c r="H172" s="6" t="inlineStr">
        <is>
          <t>Tabletin saati bir saat geri gitti. Canavar yenildi.</t>
        </is>
      </c>
      <c r="I172" s="6" t="inlineStr">
        <is>
          <t>Saati geri aldın, canavarı yendin, saati yine ileri aldın. Annen akşam “Bugün ne uslusun” dedi.</t>
        </is>
      </c>
      <c r="J172" s="6" t="inlineStr">
        <is>
          <t>Saati geri aldın; alarm çaldı.</t>
        </is>
      </c>
      <c r="K172" s="6" t="inlineStr">
        <is>
          <t>Saati geri aldın; tablet tarihi de geri aldı. Oyun kaydın üç gün önceye döndü. Canavar yine 61. dakikada seni bekliyor.</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row>
    <row r="173">
      <c r="A173" s="5" t="inlineStr">
        <is>
          <t>tablet-saati</t>
        </is>
      </c>
      <c r="B173" s="5" t="n">
        <v>4</v>
      </c>
      <c r="C173" s="6" t="inlineStr">
        <is>
          <t>Ebeveyn kilidini çöz</t>
        </is>
      </c>
      <c r="D173" s="5" t="inlineStr">
        <is>
          <t>Akıl</t>
        </is>
      </c>
      <c r="E173" s="5" t="inlineStr">
        <is>
          <t>Zor</t>
        </is>
      </c>
      <c r="F173" s="5" t="inlineStr"/>
      <c r="G173" s="6" t="inlineStr"/>
      <c r="H173" s="6" t="inlineStr">
        <is>
          <t>Kilidi çözdün. Sınırsız ekran, sınırsız sorumluluk.</t>
        </is>
      </c>
      <c r="I173" s="6" t="inlineStr">
        <is>
          <t>Kilidi çözdün ve ailenin telefonuna ekran süresi koydun.</t>
        </is>
      </c>
      <c r="J173" s="6" t="inlineStr">
        <is>
          <t>Kilit çözülmedi; tablet 10 dakika kilitlendi.</t>
        </is>
      </c>
      <c r="K173" s="6" t="inlineStr">
        <is>
          <t>Kilidi çözmeye çalışırken tableti fabrika ayarlarına döndürdün.</t>
        </is>
      </c>
      <c r="L173" s="6" t="inlineStr"/>
      <c r="M173" s="5" t="inlineStr"/>
      <c r="N173" s="5" t="inlineStr"/>
      <c r="O173" s="6" t="inlineStr"/>
      <c r="P173" s="6" t="inlineStr"/>
      <c r="Q173" s="5" t="inlineStr">
        <is>
          <t>Şifreyi Bilen</t>
        </is>
      </c>
      <c r="R173" s="5" t="inlineStr"/>
      <c r="S173" s="5" t="inlineStr"/>
      <c r="T173" s="5" t="inlineStr">
        <is>
          <t>Kilit Kırıcı</t>
        </is>
      </c>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row>
    <row r="174">
      <c r="A174" s="5" t="inlineStr">
        <is>
          <t>veli-toplantisi</t>
        </is>
      </c>
      <c r="B174" s="5" t="n">
        <v>1</v>
      </c>
      <c r="C174" s="6" t="inlineStr">
        <is>
          <t>Kapıyı dinle</t>
        </is>
      </c>
      <c r="D174" s="5" t="inlineStr">
        <is>
          <t>Sosyal Radar</t>
        </is>
      </c>
      <c r="E174" s="5" t="inlineStr">
        <is>
          <t>Orta</t>
        </is>
      </c>
      <c r="F174" s="5" t="inlineStr"/>
      <c r="G174" s="6" t="inlineStr"/>
      <c r="H174" s="6" t="inlineStr">
        <is>
          <t>Kilit cümleleri duydun: 'zeki' ve 'biraz konuşkan'. Hazırlıklısın.</t>
        </is>
      </c>
      <c r="I174" s="6" t="inlineStr">
        <is>
          <t>Her şeyi duydun ve ailen çıkmadan savunmanı hazırladın.</t>
        </is>
      </c>
      <c r="J174" s="6" t="inlineStr">
        <is>
          <t>Hiçbir şey duyamadın. Kapı çok kalınmış.</t>
        </is>
      </c>
      <c r="K174" s="6" t="inlineStr">
        <is>
          <t>Kapıya yaslandın, kapı açıldı. İçeri düştün.</t>
        </is>
      </c>
      <c r="L174" s="6" t="inlineStr"/>
      <c r="M174" s="5" t="inlineStr"/>
      <c r="N174" s="5" t="inlineStr"/>
      <c r="O174" s="6" t="inlineStr"/>
      <c r="P174" s="6" t="inlineStr"/>
      <c r="Q174" s="5" t="inlineStr"/>
      <c r="R174" s="5" t="inlineStr"/>
      <c r="S174" s="5" t="inlineStr"/>
      <c r="T174" s="5" t="inlineStr"/>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row>
    <row r="175">
      <c r="A175" s="5" t="inlineStr">
        <is>
          <t>veli-toplantisi</t>
        </is>
      </c>
      <c r="B175" s="5" t="n">
        <v>2</v>
      </c>
      <c r="C175" s="6" t="inlineStr">
        <is>
          <t>Öğretmene önceden çiçek götür</t>
        </is>
      </c>
      <c r="D175" s="5" t="inlineStr">
        <is>
          <t>Pişkinlik</t>
        </is>
      </c>
      <c r="E175" s="5" t="inlineStr">
        <is>
          <t>Orta</t>
        </is>
      </c>
      <c r="F175" s="5" t="inlineStr"/>
      <c r="G175" s="6" t="inlineStr"/>
      <c r="H175" s="6" t="inlineStr">
        <is>
          <t>Çiçek kabul edildi. Öğretmen “zayıf” diyecekken “gelişiyor” dedi.</t>
        </is>
      </c>
      <c r="I175" s="6" t="inlineStr">
        <is>
          <t>Öğretmen çiçeği vazoya koydu ve annene ilk cümle olarak “Ne kadar kibar bir çocuk” dedi. Annen o cümleyi akşam üç kişiye anlattı.</t>
        </is>
      </c>
      <c r="J175" s="6" t="inlineStr">
        <is>
          <t>Çiçeği verdin; öğretmen alerjikmiş.</t>
        </is>
      </c>
      <c r="K175" s="6" t="inlineStr">
        <is>
          <t>Çiçeği okul bahçesinden kopardın. Öğretmen çiçeği hemen tanıdı: kendi diktiği sardunyaydı.</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row>
    <row r="176">
      <c r="A176" s="5" t="inlineStr">
        <is>
          <t>veli-toplantisi</t>
        </is>
      </c>
      <c r="B176" s="5" t="n">
        <v>3</v>
      </c>
      <c r="C176" s="6" t="inlineStr">
        <is>
          <t>Sonucu bekle</t>
        </is>
      </c>
      <c r="D176" s="5" t="inlineStr"/>
      <c r="E176" s="5" t="inlineStr"/>
      <c r="F176" s="5" t="inlineStr">
        <is>
          <t>Dayanıklılık +1</t>
        </is>
      </c>
      <c r="G176" s="6" t="inlineStr">
        <is>
          <t>Kapının önünde yirmi dakika bekledin, ayakkabı bağcığını üç kez bağladın. Annen çıktı, saçını okşadı, “Hadi eve” dedi. Ne konuşulduğunu yolda da söylemedi.</t>
        </is>
      </c>
      <c r="H176" s="6" t="inlineStr"/>
      <c r="I176" s="6" t="inlineStr"/>
      <c r="J176" s="6" t="inlineStr"/>
      <c r="K176" s="6" t="inlineStr"/>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row>
    <row r="177">
      <c r="A177" s="5" t="inlineStr">
        <is>
          <t>veli-toplantisi</t>
        </is>
      </c>
      <c r="B177" s="5" t="n">
        <v>4</v>
      </c>
      <c r="C177" s="6" t="inlineStr">
        <is>
          <t>Ailenin yüzünden sonucu oku</t>
        </is>
      </c>
      <c r="D177" s="5" t="inlineStr">
        <is>
          <t>Sosyal Radar</t>
        </is>
      </c>
      <c r="E177" s="5" t="inlineStr">
        <is>
          <t>Kolay</t>
        </is>
      </c>
      <c r="F177" s="5" t="inlineStr"/>
      <c r="G177" s="6" t="inlineStr"/>
      <c r="H177" s="6" t="inlineStr">
        <is>
          <t>Kapıdan çıkarken yüzlerine baktın. Sonuç iyi. Rahatladın.</t>
        </is>
      </c>
      <c r="I177" s="6" t="inlineStr">
        <is>
          <t>Yüz ifadesinden sadece sonucu değil, akşam yemeğini de tahmin ettin.</t>
        </is>
      </c>
      <c r="J177" s="6" t="inlineStr">
        <is>
          <t>Yüzleri hiçbir şey söylemiyordu.</t>
        </is>
      </c>
      <c r="K177" s="6" t="inlineStr">
        <is>
          <t>'İyi geçti' diye sevinçle koştun. İyi geçmemişti.</t>
        </is>
      </c>
      <c r="L177" s="6" t="inlineStr"/>
      <c r="M177" s="5" t="inlineStr"/>
      <c r="N177" s="5" t="inlineStr"/>
      <c r="O177" s="6" t="inlineStr"/>
      <c r="P177" s="6" t="inlineStr"/>
      <c r="Q177" s="5" t="inlineStr">
        <is>
          <t>Odayı Okur</t>
        </is>
      </c>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row>
    <row r="178">
      <c r="A178" s="5" t="inlineStr">
        <is>
          <t>karne-gunu</t>
        </is>
      </c>
      <c r="B178" s="5" t="n">
        <v>1</v>
      </c>
      <c r="C178" s="6" t="inlineStr">
        <is>
          <t>Karneyi gururla göster</t>
        </is>
      </c>
      <c r="D178" s="5" t="inlineStr">
        <is>
          <t>Pişkinlik</t>
        </is>
      </c>
      <c r="E178" s="5" t="inlineStr">
        <is>
          <t>Kolay</t>
        </is>
      </c>
      <c r="F178" s="5" t="inlineStr"/>
      <c r="G178" s="6" t="inlineStr"/>
      <c r="H178" s="6" t="inlineStr">
        <is>
          <t>Karneyi kapıda açtın. Alkış geldi.</t>
        </is>
      </c>
      <c r="I178" s="6" t="inlineStr">
        <is>
          <t>Karneyi gösterdin; ailen fotoğrafını çekip aile grubuna gönderdi.</t>
        </is>
      </c>
      <c r="J178" s="6" t="inlineStr">
        <is>
          <t>Karneyi gösterdin; tek zayıf not da görüldü.</t>
        </is>
      </c>
      <c r="K178" s="6" t="inlineStr">
        <is>
          <t>Karneyi kapıda gururla açtın; rüzgâr kaptı, alt komşunun balkonuna attı. Komşu teyze notları annenden önce okudu. Merdivenden, yüksek sesle.</t>
        </is>
      </c>
      <c r="L178" s="6" t="inlineStr"/>
      <c r="M178" s="5" t="inlineStr"/>
      <c r="N178" s="5" t="inlineStr"/>
      <c r="O178" s="6" t="inlineStr"/>
      <c r="P178" s="6" t="inlineStr"/>
      <c r="Q178" s="5" t="inlineStr"/>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row>
    <row r="179">
      <c r="A179" s="5" t="inlineStr">
        <is>
          <t>karne-gunu</t>
        </is>
      </c>
      <c r="B179" s="5" t="n">
        <v>2</v>
      </c>
      <c r="C179" s="6" t="inlineStr">
        <is>
          <t>Önce iyi haberleri anlat</t>
        </is>
      </c>
      <c r="D179" s="5" t="inlineStr">
        <is>
          <t>Çene</t>
        </is>
      </c>
      <c r="E179" s="5" t="inlineStr">
        <is>
          <t>Orta</t>
        </is>
      </c>
      <c r="F179" s="5" t="inlineStr"/>
      <c r="G179" s="6" t="inlineStr"/>
      <c r="H179" s="6" t="inlineStr">
        <is>
          <t>İyi haberlerle başladın; kötü haber gölgede kaldı.</t>
        </is>
      </c>
      <c r="I179" s="6" t="inlineStr">
        <is>
          <t>Sunumun o kadar iyiydi ki karneyi açmalarına gerek kalmadı.</t>
        </is>
      </c>
      <c r="J179" s="6" t="inlineStr">
        <is>
          <t>İyi haberleri anlattın; karne yine de açıldı.</t>
        </is>
      </c>
      <c r="K179" s="6" t="inlineStr">
        <is>
          <t>İyi haberle başladın: “Beden eğitiminden pekiyi aldım.” Baban “Başka?” dedi. Başka yoktu. Akşam yemeğinde tuzluğu bile işaretle istediniz.</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row>
    <row r="180">
      <c r="A180" s="5" t="inlineStr">
        <is>
          <t>karne-gunu</t>
        </is>
      </c>
      <c r="B180" s="5" t="n">
        <v>3</v>
      </c>
      <c r="C180" s="6" t="inlineStr">
        <is>
          <t>İmzayı yarına ertele</t>
        </is>
      </c>
      <c r="D180" s="5" t="inlineStr">
        <is>
          <t>Kurnazlık</t>
        </is>
      </c>
      <c r="E180" s="5" t="inlineStr">
        <is>
          <t>Zor</t>
        </is>
      </c>
      <c r="F180" s="5" t="inlineStr"/>
      <c r="G180" s="6" t="inlineStr"/>
      <c r="H180" s="6" t="inlineStr">
        <is>
          <t>İmza bir gün ertelendi. Bu bir günü iyi kullandın.</t>
        </is>
      </c>
      <c r="I180" s="6" t="inlineStr">
        <is>
          <t>Karne tatil boyunca 'kayıp' kaldı ve ilk gün imzalı bulundu. Kimse nasıl olduğunu sormadı.</t>
        </is>
      </c>
      <c r="J180" s="6" t="inlineStr">
        <is>
          <t>Ertelemeye çalıştın; öğretmen aradı.</t>
        </is>
      </c>
      <c r="K180" s="6" t="inlineStr">
        <is>
          <t>Ertelemeye çalıştın; karne çantadan çıktı ve herkesin önünde açıldı.</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row>
    <row r="181">
      <c r="A181" s="5" t="inlineStr">
        <is>
          <t>karne-gunu</t>
        </is>
      </c>
      <c r="B181" s="5" t="n">
        <v>4</v>
      </c>
      <c r="C181" s="6" t="inlineStr">
        <is>
          <t>Olduğu gibi ver</t>
        </is>
      </c>
      <c r="D181" s="5" t="inlineStr"/>
      <c r="E181" s="5" t="inlineStr"/>
      <c r="F181" s="5" t="inlineStr">
        <is>
          <t>İtibar +1</t>
        </is>
      </c>
      <c r="G181" s="6" t="inlineStr">
        <is>
          <t>Karneyi olduğu gibi verdin. Baban gözlüğünü taktı, annen çayı demledi. Karne buzdolabına asıldı; zayıf not dahil.</t>
        </is>
      </c>
      <c r="H181" s="6" t="inlineStr"/>
      <c r="I181" s="6" t="inlineStr"/>
      <c r="J181" s="6" t="inlineStr"/>
      <c r="K181" s="6" t="inlineStr"/>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row>
    <row r="182">
      <c r="A182" s="5" t="inlineStr">
        <is>
          <t>karne-gunu</t>
        </is>
      </c>
      <c r="B182" s="5" t="n">
        <v>5</v>
      </c>
      <c r="C182" s="6" t="inlineStr">
        <is>
          <t>Karne hediyesini pazarlıkla büyüt</t>
        </is>
      </c>
      <c r="D182" s="5" t="inlineStr">
        <is>
          <t>Çene</t>
        </is>
      </c>
      <c r="E182" s="5" t="inlineStr">
        <is>
          <t>Orta</t>
        </is>
      </c>
      <c r="F182" s="5" t="inlineStr"/>
      <c r="G182" s="6" t="inlineStr"/>
      <c r="H182" s="6" t="inlineStr">
        <is>
          <t>Hediye pazarlığına oturdun: iki pekiyiye bir oyuncak, bir takdire iki. Babanın hesap makinesi çıktı.</t>
        </is>
      </c>
      <c r="I182" s="6" t="inlineStr">
        <is>
          <t>Karneden önce ailene bir sözleşme imzalatmıştın. Madde üç: her pekiyiye bir dondurma. Temmuz ortasında dondurmalık tükendi.</t>
        </is>
      </c>
      <c r="J182" s="6" t="inlineStr">
        <is>
          <t>Pazarlığa başladın; annen karneye baktı ve pazarlığı kapattı.</t>
        </is>
      </c>
      <c r="K182" s="6" t="inlineStr">
        <is>
          <t>Karneyi pazarlık kozu yaptın ama içinden bir “geliştirilmeli” çıktı. Baban hesap makinesini kapattı: “Hediye yok. Yaz okulu var.”</t>
        </is>
      </c>
      <c r="L182" s="6" t="inlineStr"/>
      <c r="M182" s="5" t="inlineStr"/>
      <c r="N182" s="5" t="inlineStr"/>
      <c r="O182" s="6" t="inlineStr"/>
      <c r="P182" s="6" t="inlineStr"/>
      <c r="Q182" s="5" t="inlineStr"/>
      <c r="R182" s="5" t="inlineStr">
        <is>
          <t>teneffus-tuccari</t>
        </is>
      </c>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row>
    <row r="183">
      <c r="A183" s="5" t="inlineStr">
        <is>
          <t>b4-ilk-telefon</t>
        </is>
      </c>
      <c r="B183" s="5" t="n">
        <v>1</v>
      </c>
      <c r="C183" s="6" t="inlineStr">
        <is>
          <t>Kurallara uy</t>
        </is>
      </c>
      <c r="D183" s="5" t="inlineStr"/>
      <c r="E183" s="5" t="inlineStr"/>
      <c r="F183" s="5" t="inlineStr">
        <is>
          <t>İtibar +1</t>
        </is>
      </c>
      <c r="G183" s="6" t="inlineStr">
        <is>
          <t>Kullanım koşullarını okumadan kabul ettin. Hayatının geri kalanı için iyi bir antrenman.</t>
        </is>
      </c>
      <c r="H183" s="6" t="inlineStr"/>
      <c r="I183" s="6" t="inlineStr"/>
      <c r="J183" s="6" t="inlineStr"/>
      <c r="K183" s="6" t="inlineStr"/>
      <c r="L183" s="6" t="inlineStr"/>
      <c r="M183" s="5" t="inlineStr"/>
      <c r="N183" s="5" t="inlineStr"/>
      <c r="O183" s="6" t="inlineStr"/>
      <c r="P183" s="6" t="inlineStr"/>
      <c r="Q183" s="5" t="inlineStr"/>
      <c r="R183" s="5" t="inlineStr"/>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row>
    <row r="184">
      <c r="A184" s="5" t="inlineStr">
        <is>
          <t>b4-ilk-telefon</t>
        </is>
      </c>
      <c r="B184" s="5" t="n">
        <v>2</v>
      </c>
      <c r="C184" s="6" t="inlineStr">
        <is>
          <t>Ekran süresini pazarlık et</t>
        </is>
      </c>
      <c r="D184" s="5" t="inlineStr">
        <is>
          <t>Çene</t>
        </is>
      </c>
      <c r="E184" s="5" t="inlineStr">
        <is>
          <t>Orta</t>
        </is>
      </c>
      <c r="F184" s="5" t="inlineStr"/>
      <c r="G184" s="6" t="inlineStr"/>
      <c r="H184" s="6" t="inlineStr">
        <is>
          <t>Günlük süre bir buçuk saate çıktı. Baban şartları bir kâğıda yazıp buzdolabına astı; altında iki imza var.</t>
        </is>
      </c>
      <c r="I184" s="6" t="inlineStr">
        <is>
          <t>Hafta içi iki saat, hafta sonu serbest, bayramlarda genel af. Ailen metni okumadan onayladı.</t>
        </is>
      </c>
      <c r="J184" s="6" t="inlineStr">
        <is>
          <t>'Hafta sonu bakarız' denildi. Hafta sonu bakılmadı.</t>
        </is>
      </c>
      <c r="K184" s="6" t="inlineStr">
        <is>
          <t>Pazarlık uzadı; telefon 'soğuma süresi' adıyla bir haftalığına dolaba kaldırıldı. Dolap kilitli.</t>
        </is>
      </c>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row>
    <row r="185">
      <c r="A185" s="5" t="inlineStr">
        <is>
          <t>b4-ilk-telefon</t>
        </is>
      </c>
      <c r="B185" s="5" t="n">
        <v>3</v>
      </c>
      <c r="C185" s="6" t="inlineStr">
        <is>
          <t>Denetim şifresini çöz</t>
        </is>
      </c>
      <c r="D185" s="5" t="inlineStr">
        <is>
          <t>Kurnazlık</t>
        </is>
      </c>
      <c r="E185" s="5" t="inlineStr">
        <is>
          <t>Zor</t>
        </is>
      </c>
      <c r="F185" s="5" t="inlineStr"/>
      <c r="G185" s="6" t="inlineStr"/>
      <c r="H185" s="6" t="inlineStr">
        <is>
          <t>Denetim uygulaması hâlâ çalışıyor. Sadece artık senin için çalışıyor.</t>
        </is>
      </c>
      <c r="I185" s="6" t="inlineStr">
        <is>
          <t>Ailene her akşam 'Bugün 3 saat kitap okundu' raporu gidiyor. Ailen seninle gurur duyuyor. Evde kitap yok.</t>
        </is>
      </c>
      <c r="J185" s="6" t="inlineStr">
        <is>
          <t>Üç yanlış deneme. Telefon 'Bir yetişkinden izin iste' ekranında donup kaldı.</t>
        </is>
      </c>
      <c r="K185" s="6" t="inlineStr">
        <is>
          <t>Yanlış şifreyi o kadar çok denedin ki bütün aile cihazlarına 'Çocuğunuz denetimi aşmaya çalışıyor' bildirimi gitti. Babaanneninkine de.</t>
        </is>
      </c>
      <c r="L185" s="6" t="inlineStr"/>
      <c r="M185" s="5" t="inlineStr"/>
      <c r="N185" s="5" t="inlineStr"/>
      <c r="O185" s="6" t="inlineStr"/>
      <c r="P185" s="6" t="inlineStr"/>
      <c r="Q185" s="5" t="inlineStr"/>
      <c r="R185" s="5" t="inlineStr"/>
      <c r="S185" s="5" t="inlineStr">
        <is>
          <t>Kurnazlık</t>
        </is>
      </c>
      <c r="T185" s="5" t="inlineStr">
        <is>
          <t>Ekran Yerlisi</t>
        </is>
      </c>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row>
    <row r="186">
      <c r="A186" s="5" t="inlineStr">
        <is>
          <t>b4-ilk-telefon</t>
        </is>
      </c>
      <c r="B186" s="5" t="n">
        <v>4</v>
      </c>
      <c r="C186" s="6" t="inlineStr">
        <is>
          <t>Dedenin telefonunu da kur</t>
        </is>
      </c>
      <c r="D186" s="5" t="inlineStr">
        <is>
          <t>Akıl</t>
        </is>
      </c>
      <c r="E186" s="5" t="inlineStr">
        <is>
          <t>Kolay</t>
        </is>
      </c>
      <c r="F186" s="5" t="inlineStr"/>
      <c r="G186" s="6" t="inlineStr"/>
      <c r="H186" s="6" t="inlineStr">
        <is>
          <t>Dedenin telefonunu da kurdun. Dede herkese “Torunum yaptı” diye gösteriyor. Artık bütün akrabalar telefonu bozulunca seni arıyor.</t>
        </is>
      </c>
      <c r="I186" s="6" t="inlineStr">
        <is>
          <t>Dedeye yazıyı büyütmeyi öğrettin. Dedenin ilk mesajı sana geldi: “GÖRÜYORUM.” Ertesi gün kapıda elinde harçlıkla seni bekliyordu.</t>
        </is>
      </c>
      <c r="J186" s="6" t="inlineStr">
        <is>
          <t>Dedenin telefonunda her şeyi ayarladın. Dede ertesi sabah hepsini sildi.</t>
        </is>
      </c>
      <c r="K186" s="6" t="inlineStr">
        <is>
          <t>Yanlış bir yere bastın; dede artık her mesajı sesli gönderiyor. Her birini. Sabah altıda.</t>
        </is>
      </c>
      <c r="L186" s="6" t="inlineStr"/>
      <c r="M186" s="5" t="inlineStr"/>
      <c r="N186" s="5" t="inlineStr"/>
      <c r="O186" s="6" t="inlineStr"/>
      <c r="P186" s="6" t="inlineStr"/>
      <c r="Q186" s="5" t="inlineStr">
        <is>
          <t>Şifreyi Bilen</t>
        </is>
      </c>
      <c r="R186" s="5" t="inlineStr"/>
      <c r="S186" s="5" t="inlineStr"/>
      <c r="T186" s="5" t="inlineStr"/>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row>
    <row r="187">
      <c r="A187" s="5" t="inlineStr">
        <is>
          <t>b4-aile-grubu</t>
        </is>
      </c>
      <c r="B187" s="5" t="n">
        <v>1</v>
      </c>
      <c r="C187" s="6" t="inlineStr">
        <is>
          <t>Grubu sessize al</t>
        </is>
      </c>
      <c r="D187" s="5" t="inlineStr"/>
      <c r="E187" s="5" t="inlineStr"/>
      <c r="F187" s="5" t="inlineStr">
        <is>
          <t>Kurnazlık +1</t>
        </is>
      </c>
      <c r="G187" s="6" t="inlineStr">
        <is>
          <t>Grubu bir yıllığına sessize aldın. Grup bunu fark etmedi. Sen de grubun ne dediğini.</t>
        </is>
      </c>
      <c r="H187" s="6" t="inlineStr"/>
      <c r="I187" s="6" t="inlineStr"/>
      <c r="J187" s="6" t="inlineStr"/>
      <c r="K187" s="6" t="inlineStr"/>
      <c r="L187" s="6" t="inlineStr"/>
      <c r="M187" s="5" t="inlineStr"/>
      <c r="N187" s="5" t="inlineStr"/>
      <c r="O187" s="6" t="inlineStr"/>
      <c r="P187" s="6" t="inlineStr"/>
      <c r="Q187" s="5" t="inlineStr"/>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row>
    <row r="188">
      <c r="A188" s="5" t="inlineStr">
        <is>
          <t>b4-aile-grubu</t>
        </is>
      </c>
      <c r="B188" s="5" t="n">
        <v>2</v>
      </c>
      <c r="C188" s="6" t="inlineStr">
        <is>
          <t>Herkese günaydın yaz</t>
        </is>
      </c>
      <c r="D188" s="5" t="inlineStr">
        <is>
          <t>Çene</t>
        </is>
      </c>
      <c r="E188" s="5" t="inlineStr">
        <is>
          <t>Kolay</t>
        </is>
      </c>
      <c r="F188" s="5" t="inlineStr"/>
      <c r="G188" s="6" t="inlineStr"/>
      <c r="H188" s="6" t="inlineStr">
        <is>
          <t>Günaydın yazdın. Dokuz teyze kalp bıraktı. Aile içi onay oranın tavan.</t>
        </is>
      </c>
      <c r="I188" s="6" t="inlineStr">
        <is>
          <t>Günaydını çiçekli görselle attın; babaanne onu alıp başka bir aile grubuna iletti. Artık iki grupta ünlüsün.</t>
        </is>
      </c>
      <c r="J188" s="6" t="inlineStr">
        <is>
          <t>Günaydın yazdın. Saat 11.40'tı. Grup bunu not etti.</t>
        </is>
      </c>
      <c r="K188" s="6" t="inlineStr">
        <is>
          <t>Otomatik düzeltme 'Günaydın'ı 'Gün bitti' yaptı. Üç akraba seni ayrı ayrı aradı.</t>
        </is>
      </c>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row>
    <row r="189">
      <c r="A189" s="5" t="inlineStr">
        <is>
          <t>b4-aile-grubu</t>
        </is>
      </c>
      <c r="B189" s="5" t="n">
        <v>3</v>
      </c>
      <c r="C189" s="6" t="inlineStr">
        <is>
          <t>Grubun adını değiştir</t>
        </is>
      </c>
      <c r="D189" s="5" t="inlineStr">
        <is>
          <t>Pişkinlik</t>
        </is>
      </c>
      <c r="E189" s="5" t="inlineStr">
        <is>
          <t>Orta</t>
        </is>
      </c>
      <c r="F189" s="5" t="inlineStr"/>
      <c r="G189" s="6" t="inlineStr"/>
      <c r="H189" s="6" t="inlineStr">
        <is>
          <t>Grubun adı artık 'Aile Meclisi'. Kimse geri değiştiremiyor, çünkü kimse nasıl yapıldığını bilmiyor.</t>
        </is>
      </c>
      <c r="I189" s="6" t="inlineStr">
        <is>
          <t>Adı değiştirdin, kendini de yönetici yaptın. Babaannen fark etmedi; halan fark etti ama nasıl geri alınacağını bilmiyor.</t>
        </is>
      </c>
      <c r="J189" s="6" t="inlineStr">
        <is>
          <t>Halan on dakika içinde eski adı geri getirdi ve 'Bu kimin işi?' yazdı.</t>
        </is>
      </c>
      <c r="K189" s="6" t="inlineStr">
        <is>
          <t>Adı değiştirecekken gruptan çıktın. “… ayrıldı” yazısını 34 kişi gördü. On dakika içinde babaannen annene telefon açtı: “Çocuk bize küsmüş.”</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row>
    <row r="190">
      <c r="A190" s="5" t="inlineStr">
        <is>
          <t>b4-oyun-faturasi</t>
        </is>
      </c>
      <c r="B190" s="5" t="n">
        <v>1</v>
      </c>
      <c r="C190" s="6" t="inlineStr">
        <is>
          <t>Kılıçsız devam et</t>
        </is>
      </c>
      <c r="D190" s="5" t="inlineStr"/>
      <c r="E190" s="5" t="inlineStr"/>
      <c r="F190" s="5" t="inlineStr">
        <is>
          <t>Dayanıklılık +1</t>
        </is>
      </c>
      <c r="G190" s="6" t="inlineStr">
        <is>
          <t>Kılıçsız savaştın. Oyun seni 'ücretsiz oyuncu' olarak etiketledi. Toplum da ileride aynısını yapacak.</t>
        </is>
      </c>
      <c r="H190" s="6" t="inlineStr"/>
      <c r="I190" s="6" t="inlineStr"/>
      <c r="J190" s="6" t="inlineStr"/>
      <c r="K190" s="6" t="inlineStr"/>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row>
    <row r="191">
      <c r="A191" s="5" t="inlineStr">
        <is>
          <t>b4-oyun-faturasi</t>
        </is>
      </c>
      <c r="B191" s="5" t="n">
        <v>2</v>
      </c>
      <c r="C191" s="6" t="inlineStr">
        <is>
          <t>Ailenden izin iste</t>
        </is>
      </c>
      <c r="D191" s="5" t="inlineStr">
        <is>
          <t>Çene</t>
        </is>
      </c>
      <c r="E191" s="5" t="inlineStr">
        <is>
          <t>Orta</t>
        </is>
      </c>
      <c r="F191" s="5" t="inlineStr"/>
      <c r="G191" s="6" t="inlineStr"/>
      <c r="H191" s="6" t="inlineStr">
        <is>
          <t>'Tek seferlik' diye sunum yaptın. İzin çıktı.</t>
        </is>
      </c>
      <c r="I191" s="6" t="inlineStr">
        <is>
          <t>Kılıcın 'eğitim amaçlı' olduğunu anlattın. Kılıçla birlikte bir kalkan da onaylandı.</t>
        </is>
      </c>
      <c r="J191" s="6" t="inlineStr">
        <is>
          <t>'Gerçek bir kılıç mı?' diye sordu annen. Konu teknik açıklamada boğuldu.</t>
        </is>
      </c>
      <c r="K191" s="6" t="inlineStr">
        <is>
          <t>İzin istedin; annen hesap dökümünü açtı ve önceki üç 'küçük' alımı buldu. Sen de şaşırdın.</t>
        </is>
      </c>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row>
    <row r="192">
      <c r="A192" s="5" t="inlineStr">
        <is>
          <t>b4-oyun-faturasi</t>
        </is>
      </c>
      <c r="B192" s="5" t="n">
        <v>3</v>
      </c>
      <c r="C192" s="6" t="inlineStr">
        <is>
          <t>Harçlıktan öde</t>
        </is>
      </c>
      <c r="D192" s="5" t="inlineStr">
        <is>
          <t>Akıl</t>
        </is>
      </c>
      <c r="E192" s="5" t="inlineStr">
        <is>
          <t>Kolay</t>
        </is>
      </c>
      <c r="F192" s="5" t="inlineStr"/>
      <c r="G192" s="6" t="inlineStr"/>
      <c r="H192" s="6" t="inlineStr">
        <is>
          <t>Yastık altı fonundan ödedin. İlk dijital varlık yatırımın.</t>
        </is>
      </c>
      <c r="I192" s="6" t="inlineStr">
        <is>
          <t>Kılıcı aldın, bir hafta sonra oyun içi pazarda iki katına sattın. Yastık altı dijitalleşti.</t>
        </is>
      </c>
      <c r="J192" s="6" t="inlineStr">
        <is>
          <t>Kılıcı aldın. Ertesi gün güncellemeyle kılıçlar bedava oldu.</t>
        </is>
      </c>
      <c r="K192" s="6" t="inlineStr">
        <is>
          <t>'Otomatik yenile'yi işaretlemişsin. Kılıç her ay yeniden satın alınıyor. Hâlâ.</t>
        </is>
      </c>
      <c r="L192" s="6" t="inlineStr"/>
      <c r="M192" s="5" t="inlineStr"/>
      <c r="N192" s="5" t="inlineStr"/>
      <c r="O192" s="6" t="inlineStr"/>
      <c r="P192" s="6" t="inlineStr"/>
      <c r="Q192" s="5" t="inlineStr">
        <is>
          <t>Yastık Altı Ekonomisti</t>
        </is>
      </c>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row>
    <row r="193">
      <c r="A193" s="5" t="inlineStr">
        <is>
          <t>b4-oyun-faturasi</t>
        </is>
      </c>
      <c r="B193" s="5" t="n">
        <v>4</v>
      </c>
      <c r="C193" s="6" t="inlineStr">
        <is>
          <t>Annen uyurken parmağını kullan</t>
        </is>
      </c>
      <c r="D193" s="5" t="inlineStr">
        <is>
          <t>Kurnazlık</t>
        </is>
      </c>
      <c r="E193" s="5" t="inlineStr">
        <is>
          <t>Zor</t>
        </is>
      </c>
      <c r="F193" s="5" t="inlineStr"/>
      <c r="G193" s="6" t="inlineStr"/>
      <c r="H193" s="6" t="inlineStr">
        <is>
          <t>Ödeme onaylandı. Annen uykusunda gülümsedi. Kılıç parlıyor.</t>
        </is>
      </c>
      <c r="I193" s="6" t="inlineStr">
        <is>
          <t>Kılıç, kalkan ve bir ejderha. Annen hâlâ uyuyor. Ekstrenin gelmesine yirmi sekiz gün var.</t>
        </is>
      </c>
      <c r="J193" s="6" t="inlineStr">
        <is>
          <t>Annen uyandı. Parmağı da.</t>
        </is>
      </c>
      <c r="K193" s="6" t="inlineStr">
        <is>
          <t>Annenin parmağıyla bir değil, yedi kez bastın. Ay sonunda baban ekstreyi mutfakta sesli okudu: “Ejderha… Ejderha… Ejderha…” Annen o gece parmağını yorganın altında sakladı.</t>
        </is>
      </c>
      <c r="L193" s="6" t="inlineStr"/>
      <c r="M193" s="5" t="inlineStr"/>
      <c r="N193" s="5" t="inlineStr"/>
      <c r="O193" s="6" t="inlineStr"/>
      <c r="P193" s="6" t="inlineStr"/>
      <c r="Q193" s="5" t="inlineStr"/>
      <c r="R193" s="5" t="inlineStr"/>
      <c r="S193" s="5" t="inlineStr">
        <is>
          <t>Kurnazlık</t>
        </is>
      </c>
      <c r="T193" s="5" t="inlineStr"/>
      <c r="U193" s="5" t="inlineStr"/>
      <c r="V193" s="5" t="inlineStr"/>
      <c r="W193" s="5" t="inlineStr">
        <is>
          <t>oyun-faturasi</t>
        </is>
      </c>
      <c r="X193" s="5" t="inlineStr"/>
      <c r="Y193" s="5" t="inlineStr"/>
      <c r="Z193" s="6" t="inlineStr"/>
      <c r="AA193" s="5" t="inlineStr"/>
      <c r="AB193" s="5" t="inlineStr"/>
      <c r="AC193" s="5" t="inlineStr"/>
      <c r="AD193" s="5" t="inlineStr"/>
      <c r="AE193" s="5" t="inlineStr"/>
      <c r="AF193" s="5" t="inlineStr"/>
      <c r="AG193" s="5" t="inlineStr"/>
      <c r="AH193" s="5" t="inlineStr"/>
      <c r="AI193" s="5" t="inlineStr"/>
    </row>
    <row r="194">
      <c r="A194" s="5" t="inlineStr">
        <is>
          <t>b4-flut</t>
        </is>
      </c>
      <c r="B194" s="5" t="n">
        <v>1</v>
      </c>
      <c r="C194" s="6" t="inlineStr">
        <is>
          <t>Yalnızca derste çal</t>
        </is>
      </c>
      <c r="D194" s="5" t="inlineStr"/>
      <c r="E194" s="5" t="inlineStr"/>
      <c r="F194" s="5" t="inlineStr">
        <is>
          <t>İtibar +1</t>
        </is>
      </c>
      <c r="G194" s="6" t="inlineStr">
        <is>
          <t>Flüt yalnızca derste çalındı. Evde ömür boyu müzikal bir ateşkes ilan edildi.</t>
        </is>
      </c>
      <c r="H194" s="6" t="inlineStr"/>
      <c r="I194" s="6" t="inlineStr"/>
      <c r="J194" s="6" t="inlineStr"/>
      <c r="K194" s="6" t="inlineStr"/>
      <c r="L194" s="6" t="inlineStr"/>
      <c r="M194" s="5" t="inlineStr"/>
      <c r="N194" s="5" t="inlineStr"/>
      <c r="O194" s="6" t="inlineStr"/>
      <c r="P194" s="6" t="inlineStr"/>
      <c r="Q194" s="5" t="inlineStr"/>
      <c r="R194" s="5" t="inlineStr"/>
      <c r="S194" s="5" t="inlineStr"/>
      <c r="T194" s="5" t="inlineStr"/>
      <c r="U194" s="5" t="inlineStr"/>
      <c r="V194" s="5" t="inlineStr"/>
      <c r="W194" s="5" t="inlineStr"/>
      <c r="X194" s="5" t="inlineStr"/>
      <c r="Y194" s="5" t="inlineStr"/>
      <c r="Z194" s="6" t="inlineStr"/>
      <c r="AA194" s="5" t="inlineStr"/>
      <c r="AB194" s="5" t="inlineStr"/>
      <c r="AC194" s="5" t="inlineStr"/>
      <c r="AD194" s="5" t="inlineStr"/>
      <c r="AE194" s="5" t="inlineStr"/>
      <c r="AF194" s="5" t="inlineStr"/>
      <c r="AG194" s="5" t="inlineStr"/>
      <c r="AH194" s="5" t="inlineStr"/>
      <c r="AI194" s="5" t="inlineStr"/>
    </row>
    <row r="195">
      <c r="A195" s="5" t="inlineStr">
        <is>
          <t>b4-flut</t>
        </is>
      </c>
      <c r="B195" s="5" t="n">
        <v>2</v>
      </c>
      <c r="C195" s="6" t="inlineStr">
        <is>
          <t>Her akşam çalış</t>
        </is>
      </c>
      <c r="D195" s="5" t="inlineStr">
        <is>
          <t>Dayanıklılık</t>
        </is>
      </c>
      <c r="E195" s="5" t="inlineStr">
        <is>
          <t>Orta</t>
        </is>
      </c>
      <c r="F195" s="5" t="inlineStr"/>
      <c r="G195" s="6" t="inlineStr"/>
      <c r="H195" s="6" t="inlineStr">
        <is>
          <t>Üç ayın sonunda bir şarkıyı baştan sona çalabiliyorsun. Komşular da biliyor. Hepsi.</t>
        </is>
      </c>
      <c r="I195" s="6" t="inlineStr">
        <is>
          <t>Okul konserinde solo verdin. Annen ağladı. Sevinçten, büyük ihtimalle.</t>
        </is>
      </c>
      <c r="J195" s="6" t="inlineStr">
        <is>
          <t>Her akşam çaldın; apartman grubunda 'Kaynağı belirsiz ıslık' konulu bir başlık açıldı.</t>
        </is>
      </c>
      <c r="K195" s="6" t="inlineStr">
        <is>
          <t>Her akşam çaldın. Kedi evi terk etmeyi düşündü. Komşu kapıya kulak tıkacı bıraktı. İmzasız.</t>
        </is>
      </c>
      <c r="L195" s="6" t="inlineStr">
        <is>
          <t>Şarkının yarısını çaldın; diğer yarısını alt kattaki teyze tahmin etti.</t>
        </is>
      </c>
      <c r="M195" s="5" t="inlineStr">
        <is>
          <t>rhythm</t>
        </is>
      </c>
      <c r="N195" s="5" t="inlineStr">
        <is>
          <t>Flüt Ritmi</t>
        </is>
      </c>
      <c r="O195" s="6" t="inlineStr">
        <is>
          <t>Işık yanınca notaya bas. Kaçırırsan alt kat süpürge sapıyla tavana vurur.</t>
        </is>
      </c>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row>
    <row r="196">
      <c r="A196" s="5" t="inlineStr">
        <is>
          <t>b4-flut</t>
        </is>
      </c>
      <c r="B196" s="5" t="n">
        <v>3</v>
      </c>
      <c r="C196" s="6" t="inlineStr">
        <is>
          <t>Flütü 'kaybet'</t>
        </is>
      </c>
      <c r="D196" s="5" t="inlineStr">
        <is>
          <t>Kurnazlık</t>
        </is>
      </c>
      <c r="E196" s="5" t="inlineStr">
        <is>
          <t>Orta</t>
        </is>
      </c>
      <c r="F196" s="5" t="inlineStr"/>
      <c r="G196" s="6" t="inlineStr"/>
      <c r="H196" s="6" t="inlineStr">
        <is>
          <t>Flüt kayboldu. Öğretmen sana ritim tahtası verdi. Daha kötü müydü, emin değilsin.</t>
        </is>
      </c>
      <c r="I196" s="6" t="inlineStr">
        <is>
          <t>Flüt kayboldu, yenisi alınamadı, sen derste nota yazımından tam not aldın. Kayıp, fırsata dönüştü.</t>
        </is>
      </c>
      <c r="J196" s="6" t="inlineStr">
        <is>
          <t>Flüt kayboldu. Babaanne yenisini aldı. İki flütün var.</t>
        </is>
      </c>
      <c r="K196" s="6" t="inlineStr">
        <is>
          <t>Flütü kaybettin; babaanne kanepenin altından buldu ve öğretmene 'Bunu mu arıyordunuz?' diye getirdi.</t>
        </is>
      </c>
      <c r="L196" s="6" t="inlineStr"/>
      <c r="M196" s="5" t="inlineStr"/>
      <c r="N196" s="5" t="inlineStr"/>
      <c r="O196" s="6" t="inlineStr"/>
      <c r="P196" s="6" t="inlineStr"/>
      <c r="Q196" s="5" t="inlineStr"/>
      <c r="R196" s="5" t="inlineStr"/>
      <c r="S196" s="5" t="inlineStr"/>
      <c r="T196" s="5" t="inlineStr"/>
      <c r="U196" s="5" t="inlineStr"/>
      <c r="V196" s="5" t="inlineStr"/>
      <c r="W196" s="5" t="inlineStr">
        <is>
          <t>yalanci</t>
        </is>
      </c>
      <c r="X196" s="5" t="inlineStr"/>
      <c r="Y196" s="5" t="inlineStr"/>
      <c r="Z196" s="6" t="inlineStr"/>
      <c r="AA196" s="5" t="inlineStr"/>
      <c r="AB196" s="5" t="inlineStr"/>
      <c r="AC196" s="5" t="inlineStr"/>
      <c r="AD196" s="5" t="inlineStr"/>
      <c r="AE196" s="5" t="inlineStr"/>
      <c r="AF196" s="5" t="inlineStr"/>
      <c r="AG196" s="5" t="inlineStr"/>
      <c r="AH196" s="5" t="inlineStr"/>
      <c r="AI196" s="5" t="inlineStr"/>
    </row>
    <row r="197">
      <c r="A197" s="5" t="inlineStr">
        <is>
          <t>b4-flut</t>
        </is>
      </c>
      <c r="B197" s="5" t="n">
        <v>4</v>
      </c>
      <c r="C197" s="6" t="inlineStr">
        <is>
          <t>Okul gösterisinde solo iste</t>
        </is>
      </c>
      <c r="D197" s="5" t="inlineStr">
        <is>
          <t>Pişkinlik</t>
        </is>
      </c>
      <c r="E197" s="5" t="inlineStr">
        <is>
          <t>Zor</t>
        </is>
      </c>
      <c r="F197" s="5" t="inlineStr"/>
      <c r="G197" s="6" t="inlineStr"/>
      <c r="H197" s="6" t="inlineStr">
        <is>
          <t>Solo verildi. Sahnede üç nota, üç alkış. Oran bire bir.</t>
        </is>
      </c>
      <c r="I197" s="6" t="inlineStr">
        <is>
          <t>Solon o kadar iyi geçti ki okulun bütün törenleri artık seninle açılıyor.</t>
        </is>
      </c>
      <c r="J197" s="6" t="inlineStr">
        <is>
          <t>Solo istedin; öğretmen seni 'ikinci flüt' yaptı. İkinci flüt yok. Sensin.</t>
        </is>
      </c>
      <c r="K197" s="6" t="inlineStr">
        <is>
          <t>Solonun ortasında flütten nota değil hıçkırık çıktı. Salon güldü, sonra alkışladı. Okulda adın artık “Hıçkıran Flüt”.</t>
        </is>
      </c>
      <c r="L197" s="6" t="inlineStr"/>
      <c r="M197" s="5" t="inlineStr"/>
      <c r="N197" s="5" t="inlineStr"/>
      <c r="O197" s="6" t="inlineStr"/>
      <c r="P197" s="6" t="inlineStr"/>
      <c r="Q197" s="5" t="inlineStr">
        <is>
          <t>Sahne Sever</t>
        </is>
      </c>
      <c r="R197" s="5" t="inlineStr"/>
      <c r="S197" s="5" t="inlineStr"/>
      <c r="T197" s="5" t="inlineStr"/>
      <c r="U197" s="5" t="inlineStr"/>
      <c r="V197" s="5" t="inlineStr"/>
      <c r="W197" s="5" t="inlineStr">
        <is>
          <t>lakapli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is>
          <t>Hıçkıran Flüt</t>
        </is>
      </c>
    </row>
    <row r="198">
      <c r="A198" s="5" t="inlineStr">
        <is>
          <t>b4-sinif-grubu</t>
        </is>
      </c>
      <c r="B198" s="5" t="n">
        <v>1</v>
      </c>
      <c r="C198" s="6" t="inlineStr">
        <is>
          <t>Hiçbir şey yazma</t>
        </is>
      </c>
      <c r="D198" s="5" t="inlineStr"/>
      <c r="E198" s="5" t="inlineStr"/>
      <c r="F198" s="5" t="inlineStr">
        <is>
          <t>Sosyal Radar +1</t>
        </is>
      </c>
      <c r="G198" s="6" t="inlineStr">
        <is>
          <t>Okudun, yazmadın. Ertesi gün üç kişi ayrı ayrı “Sen bir şey yazmadın, değil mi?” diye sordu. Bütün sırlar artık sende.</t>
        </is>
      </c>
      <c r="H198" s="6" t="inlineStr"/>
      <c r="I198" s="6" t="inlineStr"/>
      <c r="J198" s="6" t="inlineStr"/>
      <c r="K198" s="6" t="inlineStr"/>
      <c r="L198" s="6" t="inlineStr"/>
      <c r="M198" s="5" t="inlineStr"/>
      <c r="N198" s="5" t="inlineStr"/>
      <c r="O198" s="6" t="inlineStr"/>
      <c r="P198" s="6" t="inlineStr"/>
      <c r="Q198" s="5" t="inlineStr"/>
      <c r="R198" s="5" t="inlineStr"/>
      <c r="S198" s="5" t="inlineStr"/>
      <c r="T198" s="5" t="inlineStr"/>
      <c r="U198" s="5" t="inlineStr"/>
      <c r="V198" s="5" t="inlineStr"/>
      <c r="W198" s="5" t="inlineStr"/>
      <c r="X198" s="5" t="inlineStr"/>
      <c r="Y198" s="5" t="inlineStr"/>
      <c r="Z198" s="6" t="inlineStr"/>
      <c r="AA198" s="5" t="inlineStr"/>
      <c r="AB198" s="5" t="inlineStr"/>
      <c r="AC198" s="5" t="inlineStr"/>
      <c r="AD198" s="5" t="inlineStr"/>
      <c r="AE198" s="5" t="inlineStr"/>
      <c r="AF198" s="5" t="inlineStr"/>
      <c r="AG198" s="5" t="inlineStr"/>
      <c r="AH198" s="5" t="inlineStr"/>
      <c r="AI198" s="5" t="inlineStr"/>
    </row>
    <row r="199">
      <c r="A199" s="5" t="inlineStr">
        <is>
          <t>b4-sinif-grubu</t>
        </is>
      </c>
      <c r="B199" s="5" t="n">
        <v>2</v>
      </c>
      <c r="C199" s="6" t="inlineStr">
        <is>
          <t>Mesajları süz</t>
        </is>
      </c>
      <c r="D199" s="5" t="inlineStr">
        <is>
          <t>Sosyal Radar</t>
        </is>
      </c>
      <c r="E199" s="5" t="inlineStr">
        <is>
          <t>Zor</t>
        </is>
      </c>
      <c r="F199" s="5" t="inlineStr"/>
      <c r="G199" s="6" t="inlineStr"/>
      <c r="H199" s="6" t="inlineStr">
        <is>
          <t>Gönderdiğin her şey işe yaradı, sildiğin her şey silinmeyi hak etti. Grup seni yönetici sanıyor.</t>
        </is>
      </c>
      <c r="I199" s="6" t="inlineStr">
        <is>
          <t>Gecenin tek faydalı mesajlarını sen attın. Öğretmen ertesi gün grubu 'örnek iletişim' diye sınıfa okuttu.</t>
        </is>
      </c>
      <c r="J199" s="6" t="inlineStr">
        <is>
          <t>Doğru mesajları gönderdin, bir tane yanlışı da. Hangisi olduğunu herkes biliyor.</t>
        </is>
      </c>
      <c r="K199" s="6" t="inlineStr">
        <is>
          <t>Öğretmenin hırkası hakkındaki mesaj gitti. Ertesi gün öğretmen o hırkayla derse girdi ve sadece sana baktı.</t>
        </is>
      </c>
      <c r="L199" s="6" t="inlineStr">
        <is>
          <t>Çoğunu doğru ayırdın. Bir mesaj 'Bu mesaj silindi' olarak kaldı; en çok o konuşuldu.</t>
        </is>
      </c>
      <c r="M199" s="5" t="inlineStr">
        <is>
          <t>swipe</t>
        </is>
      </c>
      <c r="N199" s="5" t="inlineStr">
        <is>
          <t>Gönder ya da Sil</t>
        </is>
      </c>
      <c r="O199" s="6" t="inlineStr">
        <is>
          <t>Kartları hızla ayır: işe yarayanı gönder, pişman olacağını sil.</t>
        </is>
      </c>
      <c r="P199"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199" s="5" t="inlineStr"/>
      <c r="R199" s="5" t="inlineStr"/>
      <c r="S199" s="5" t="inlineStr"/>
      <c r="T199" s="5" t="inlineStr">
        <is>
          <t>Grup Diplomatı</t>
        </is>
      </c>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row>
    <row r="200">
      <c r="A200" s="5" t="inlineStr">
        <is>
          <t>b4-sinif-grubu</t>
        </is>
      </c>
      <c r="B200" s="5" t="n">
        <v>3</v>
      </c>
      <c r="C200" s="6" t="inlineStr">
        <is>
          <t>Dram başlat</t>
        </is>
      </c>
      <c r="D200" s="5" t="inlineStr">
        <is>
          <t>Pişkinlik</t>
        </is>
      </c>
      <c r="E200" s="5" t="inlineStr">
        <is>
          <t>Orta</t>
        </is>
      </c>
      <c r="F200" s="5" t="inlineStr"/>
      <c r="G200" s="6" t="inlineStr"/>
      <c r="H200" s="6" t="inlineStr">
        <is>
          <t>'Burada konuşulanlar dışarı taşınıyor' yazdın. Grup iki saat boyunca kendini denetledi.</t>
        </is>
      </c>
      <c r="I200" s="6" t="inlineStr">
        <is>
          <t>Taraflar oluştu, iki taraf da sana yazdı. Gece boyunca iki ayrı özel mesajda iki ayrı arkadaş oldun. Ertesi gün ikisi de yanına oturdu.</t>
        </is>
      </c>
      <c r="J200" s="6" t="inlineStr">
        <is>
          <t>Dram başlattın; kimse katılmadı. Mesajın okundu ve orada öylece kaldı.</t>
        </is>
      </c>
      <c r="K200" s="6" t="inlineStr">
        <is>
          <t>Bütün grup sana döndü. Ertesi gün 'Asıl Sınıf Grubu' diye yeni bir grup kuruldu. Sen yoksun.</t>
        </is>
      </c>
      <c r="L200" s="6" t="inlineStr"/>
      <c r="M200" s="5" t="inlineStr"/>
      <c r="N200" s="5" t="inlineStr"/>
      <c r="O200" s="6" t="inlineStr"/>
      <c r="P200" s="6" t="inlineStr"/>
      <c r="Q200" s="5" t="inlineStr"/>
      <c r="R200" s="5" t="inlineStr"/>
      <c r="S200" s="5" t="inlineStr"/>
      <c r="T200" s="5" t="inlineStr"/>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row>
    <row r="201">
      <c r="A201" s="5" t="inlineStr">
        <is>
          <t>b4-sinif-grubu</t>
        </is>
      </c>
      <c r="B201" s="5" t="n">
        <v>4</v>
      </c>
      <c r="C201" s="6" t="inlineStr">
        <is>
          <t>Öğretmenin kızını özelden uyar</t>
        </is>
      </c>
      <c r="D201" s="5" t="inlineStr">
        <is>
          <t>Sosyal Radar</t>
        </is>
      </c>
      <c r="E201" s="5" t="inlineStr">
        <is>
          <t>Kolay</t>
        </is>
      </c>
      <c r="F201" s="5" t="inlineStr"/>
      <c r="G201" s="6" t="inlineStr"/>
      <c r="H201" s="6" t="inlineStr">
        <is>
          <t>Özelden 'Bu grubu annene gösterme lütfen' yazdın. Anlaşma sağlandı.</t>
        </is>
      </c>
      <c r="I201" s="6" t="inlineStr">
        <is>
          <t>Gizli bir ateşkes imzaladınız. Karşılığında ödev defterine erişim kazandın.</t>
        </is>
      </c>
      <c r="J201" s="6" t="inlineStr">
        <is>
          <t>Uyardın; o da ekran görüntüsünü annesine 'Bak, uyardılar' diye attı.</t>
        </is>
      </c>
      <c r="K201" s="6" t="inlineStr">
        <is>
          <t>Özelden yazacaktın, gruba yazdın: 'Öğretmenin kızı bu grupta mı?' Otuz sekiz kişi okudu, bir kişi annesine iletti.</t>
        </is>
      </c>
      <c r="L201" s="6" t="inlineStr"/>
      <c r="M201" s="5" t="inlineStr"/>
      <c r="N201" s="5" t="inlineStr"/>
      <c r="O201" s="6" t="inlineStr"/>
      <c r="P201" s="6" t="inlineStr"/>
      <c r="Q201" s="5" t="inlineStr"/>
      <c r="R201" s="5" t="inlineStr"/>
      <c r="S201" s="5" t="inlineStr">
        <is>
          <t>Sosyal Radar</t>
        </is>
      </c>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row>
    <row r="202">
      <c r="A202" s="5" t="inlineStr">
        <is>
          <t>b4-kisa-video</t>
        </is>
      </c>
      <c r="B202" s="5" t="n">
        <v>1</v>
      </c>
      <c r="C202" s="6" t="inlineStr">
        <is>
          <t>İzle, beğen, geç</t>
        </is>
      </c>
      <c r="D202" s="5" t="inlineStr"/>
      <c r="E202" s="5" t="inlineStr"/>
      <c r="F202" s="5" t="inlineStr">
        <is>
          <t>Akıl +1</t>
        </is>
      </c>
      <c r="G202" s="6" t="inlineStr">
        <is>
          <t>Üç saat video izledin. Hiçbirini hatırlamıyorsun. Çağın ruhunu yakaladın.</t>
        </is>
      </c>
      <c r="H202" s="6" t="inlineStr"/>
      <c r="I202" s="6" t="inlineStr"/>
      <c r="J202" s="6" t="inlineStr"/>
      <c r="K202" s="6" t="inlineStr"/>
      <c r="L202" s="6" t="inlineStr"/>
      <c r="M202" s="5" t="inlineStr"/>
      <c r="N202" s="5" t="inlineStr"/>
      <c r="O202" s="6" t="inlineStr"/>
      <c r="P202" s="6" t="inlineStr"/>
      <c r="Q202" s="5" t="inlineStr"/>
      <c r="R202" s="5" t="inlineStr"/>
      <c r="S202" s="5" t="inlineStr"/>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row>
    <row r="203">
      <c r="A203" s="5" t="inlineStr">
        <is>
          <t>b4-kisa-video</t>
        </is>
      </c>
      <c r="B203" s="5" t="n">
        <v>2</v>
      </c>
      <c r="C203" s="6" t="inlineStr">
        <is>
          <t>Dansı çek</t>
        </is>
      </c>
      <c r="D203" s="5" t="inlineStr">
        <is>
          <t>Pişkinlik</t>
        </is>
      </c>
      <c r="E203" s="5" t="inlineStr">
        <is>
          <t>Orta</t>
        </is>
      </c>
      <c r="F203" s="5" t="inlineStr"/>
      <c r="G203" s="6" t="inlineStr"/>
      <c r="H203" s="6" t="inlineStr">
        <is>
          <t>Video 400 kez izlendi. 380'i annen.</t>
        </is>
      </c>
      <c r="I203" s="6" t="inlineStr">
        <is>
          <t>Video başka bir şehre ulaştı; orada bir çocuk seni taklit etti. Artık bir trendin var.</t>
        </is>
      </c>
      <c r="J203" s="6" t="inlineStr">
        <is>
          <t>Dansın ortasında babaannen kadraja girdi, elinde çay. Video onun videosu oldu.</t>
        </is>
      </c>
      <c r="K203" s="6" t="inlineStr">
        <is>
          <t>“Yalnızca ben” diye paylaştığını sandın; “Herkes” diye paylaşmışsın. Ertesi gün okul dansı teneffüste sana geri yaptı. Yeni adın: “Yalnızca Ben”.</t>
        </is>
      </c>
      <c r="L203" s="6" t="inlineStr"/>
      <c r="M203" s="5" t="inlineStr"/>
      <c r="N203" s="5" t="inlineStr"/>
      <c r="O203" s="6" t="inlineStr"/>
      <c r="P203" s="6" t="inlineStr"/>
      <c r="Q203" s="5" t="inlineStr"/>
      <c r="R203" s="5" t="inlineStr"/>
      <c r="S203" s="5" t="inlineStr"/>
      <c r="T203" s="5" t="inlineStr"/>
      <c r="U203" s="5" t="inlineStr"/>
      <c r="V203" s="5" t="inlineStr"/>
      <c r="W203" s="5" t="inlineStr">
        <is>
          <t>lakapli</t>
        </is>
      </c>
      <c r="X203" s="5" t="inlineStr"/>
      <c r="Y203" s="5" t="inlineStr"/>
      <c r="Z203" s="6" t="inlineStr"/>
      <c r="AA203" s="5" t="inlineStr"/>
      <c r="AB203" s="5" t="inlineStr"/>
      <c r="AC203" s="5" t="inlineStr"/>
      <c r="AD203" s="5" t="inlineStr"/>
      <c r="AE203" s="5" t="inlineStr"/>
      <c r="AF203" s="5" t="inlineStr"/>
      <c r="AG203" s="5" t="inlineStr"/>
      <c r="AH203" s="5" t="inlineStr"/>
      <c r="AI203" s="5" t="inlineStr"/>
    </row>
    <row r="204">
      <c r="A204" s="5" t="inlineStr">
        <is>
          <t>b4-kisa-video</t>
        </is>
      </c>
      <c r="B204" s="5" t="n">
        <v>3</v>
      </c>
      <c r="C204" s="6" t="inlineStr">
        <is>
          <t>Trendin parodisini çek</t>
        </is>
      </c>
      <c r="D204" s="5" t="inlineStr">
        <is>
          <t>Kurnazlık</t>
        </is>
      </c>
      <c r="E204" s="5" t="inlineStr">
        <is>
          <t>Orta</t>
        </is>
      </c>
      <c r="F204" s="5" t="inlineStr"/>
      <c r="G204" s="6" t="inlineStr"/>
      <c r="H204" s="6" t="inlineStr">
        <is>
          <t>Dansı kravatla, rapor sunar gibi yaptın. Yorumlar: 'Bu çocuk büyüyünce müdür olur.'</t>
        </is>
      </c>
      <c r="I204" s="6" t="inlineStr">
        <is>
          <t>Parodin asıl trendden çok izlendi. Trendi başlatan çocuk sana özelden 'Neden?' yazdı.</t>
        </is>
      </c>
      <c r="J204" s="6" t="inlineStr">
        <is>
          <t>Parodi anlaşılmadı. Yorumlar: 'Dans güzel ama biraz sert.'</t>
        </is>
      </c>
      <c r="K204" s="6" t="inlineStr">
        <is>
          <t>Parodinin parodisi yapıldı, onun da parodisi. Zincirin en altında, en az izlenen sensin.</t>
        </is>
      </c>
      <c r="L204" s="6" t="inlineStr"/>
      <c r="M204" s="5" t="inlineStr"/>
      <c r="N204" s="5" t="inlineStr"/>
      <c r="O204" s="6" t="inlineStr"/>
      <c r="P204" s="6" t="inlineStr"/>
      <c r="Q204" s="5" t="inlineStr"/>
      <c r="R204" s="5" t="inlineStr"/>
      <c r="S204" s="5" t="inlineStr"/>
      <c r="T204" s="5" t="inlineStr"/>
      <c r="U204" s="5" t="inlineStr"/>
      <c r="V204" s="5" t="inlineStr"/>
      <c r="W204" s="5" t="inlineStr"/>
      <c r="X204" s="5" t="inlineStr"/>
      <c r="Y204" s="5" t="inlineStr"/>
      <c r="Z204" s="6" t="inlineStr"/>
      <c r="AA204" s="5" t="inlineStr"/>
      <c r="AB204" s="5" t="inlineStr"/>
      <c r="AC204" s="5" t="inlineStr"/>
      <c r="AD204" s="5" t="inlineStr"/>
      <c r="AE204" s="5" t="inlineStr"/>
      <c r="AF204" s="5" t="inlineStr"/>
      <c r="AG204" s="5" t="inlineStr"/>
      <c r="AH204" s="5" t="inlineStr"/>
      <c r="AI204" s="5" t="inlineStr"/>
    </row>
    <row r="205">
      <c r="A205" s="5" t="inlineStr">
        <is>
          <t>b4-kisa-video</t>
        </is>
      </c>
      <c r="B205" s="5" t="n">
        <v>4</v>
      </c>
      <c r="C205" s="6" t="inlineStr">
        <is>
          <t>Babaanneyi de çek</t>
        </is>
      </c>
      <c r="D205" s="5" t="inlineStr">
        <is>
          <t>Çene</t>
        </is>
      </c>
      <c r="E205" s="5" t="inlineStr">
        <is>
          <t>Kolay</t>
        </is>
      </c>
      <c r="F205" s="5" t="inlineStr"/>
      <c r="G205" s="6" t="inlineStr"/>
      <c r="H205" s="6" t="inlineStr">
        <is>
          <t>Babaanneye dansı öğrettin. Video ondan çok izlendi; sen menajer oldun.</t>
        </is>
      </c>
      <c r="I205" s="6" t="inlineStr">
        <is>
          <t>Babaannenin videosu bütün aile gruplarında dolaştı. Babaannenin artık hayranları var, senin yüzde onun.</t>
        </is>
      </c>
      <c r="J205" s="6" t="inlineStr">
        <is>
          <t>Babaanne adımları öğrendi ama çekime girmedi. 'Ben bunu akşam dizisinde gördüm' dedi, konu kapandı.</t>
        </is>
      </c>
      <c r="K205" s="6" t="inlineStr">
        <is>
          <t>Babaanne dansı kusursuz yaptı, sen arkada yere düştün. Video o düşüşle ünlendi.</t>
        </is>
      </c>
      <c r="L205" s="6" t="inlineStr"/>
      <c r="M205" s="5" t="inlineStr"/>
      <c r="N205" s="5" t="inlineStr"/>
      <c r="O205" s="6" t="inlineStr"/>
      <c r="P205" s="6" t="inlineStr"/>
      <c r="Q205" s="5" t="inlineStr">
        <is>
          <t>Sahne Sever</t>
        </is>
      </c>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row>
    <row r="206">
      <c r="A206" s="5" t="inlineStr">
        <is>
          <t>b4-kuzen-kiyaslama</t>
        </is>
      </c>
      <c r="B206" s="5" t="n">
        <v>1</v>
      </c>
      <c r="C206" s="6" t="inlineStr">
        <is>
          <t>Kuzenini tebrik et</t>
        </is>
      </c>
      <c r="D206" s="5" t="inlineStr"/>
      <c r="E206" s="5" t="inlineStr"/>
      <c r="F206" s="5" t="inlineStr">
        <is>
          <t>Gönül +1</t>
        </is>
      </c>
      <c r="G206" s="6" t="inlineStr">
        <is>
          <t>Kuzenini tebrik ettin. Kuzen şaşırdı; bunu ona ilk söyleyen aile üyesi sendin.</t>
        </is>
      </c>
      <c r="H206" s="6" t="inlineStr"/>
      <c r="I206" s="6" t="inlineStr"/>
      <c r="J206" s="6" t="inlineStr"/>
      <c r="K206" s="6" t="inlineStr"/>
      <c r="L206" s="6" t="inlineStr"/>
      <c r="M206" s="5" t="inlineStr"/>
      <c r="N206" s="5" t="inlineStr"/>
      <c r="O206" s="6" t="inlineStr"/>
      <c r="P206" s="6" t="inlineStr"/>
      <c r="Q206" s="5" t="inlineStr"/>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row>
    <row r="207">
      <c r="A207" s="5" t="inlineStr">
        <is>
          <t>b4-kuzen-kiyaslama</t>
        </is>
      </c>
      <c r="B207" s="5" t="n">
        <v>2</v>
      </c>
      <c r="C207" s="6" t="inlineStr">
        <is>
          <t>Karşı hamle yap</t>
        </is>
      </c>
      <c r="D207" s="5" t="inlineStr">
        <is>
          <t>Çene</t>
        </is>
      </c>
      <c r="E207" s="5" t="inlineStr">
        <is>
          <t>Orta</t>
        </is>
      </c>
      <c r="F207" s="5" t="inlineStr"/>
      <c r="G207" s="6" t="inlineStr"/>
      <c r="H207" s="6" t="inlineStr">
        <is>
          <t>'Ben de bilim fuarına hazırlanıyorum' dedin. Sofranın ekseni sana döndü.</t>
        </is>
      </c>
      <c r="I207" s="6" t="inlineStr">
        <is>
          <t>Başarılarını öyle sundun ki teyzen konuyu değiştirdi ve 'Çay isteyen?' diye kalktı.</t>
        </is>
      </c>
      <c r="J207" s="6" t="inlineStr">
        <is>
          <t>Başarılarını saydın. Bitince teyzen 'Ha, bir de yüzmede ikinci oldu' dedi.</t>
        </is>
      </c>
      <c r="K207" s="6" t="inlineStr">
        <is>
          <t>Karşı hamle olarak piyano çaldığını söyledin. Salonda piyano vardı.</t>
        </is>
      </c>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row>
    <row r="208">
      <c r="A208" s="5" t="inlineStr">
        <is>
          <t>b4-kuzen-kiyaslama</t>
        </is>
      </c>
      <c r="B208" s="5" t="n">
        <v>3</v>
      </c>
      <c r="C208" s="6" t="inlineStr">
        <is>
          <t>Kuzenle ittifak kur</t>
        </is>
      </c>
      <c r="D208" s="5" t="inlineStr">
        <is>
          <t>Sosyal Radar</t>
        </is>
      </c>
      <c r="E208" s="5" t="inlineStr">
        <is>
          <t>Zor</t>
        </is>
      </c>
      <c r="F208" s="5" t="inlineStr"/>
      <c r="G208" s="6" t="inlineStr"/>
      <c r="H208" s="6" t="inlineStr">
        <is>
          <t>Balkonda anlaştınız: kimse kimseyi geçmeyecek. Gizli barış imzalandı.</t>
        </is>
      </c>
      <c r="I208" s="6" t="inlineStr">
        <is>
          <t>Ortak açıklama yaptınız: 'İkimiz de ortalama olmak istiyoruz.' Anneler uzun süre konuşmadı.</t>
        </is>
      </c>
      <c r="J208" s="6" t="inlineStr">
        <is>
          <t>İttifak teklif ettin; kuzen bunu da annesine anlattı.</t>
        </is>
      </c>
      <c r="K208" s="6" t="inlineStr">
        <is>
          <t>İttifak kurdunuz; ertesi yıl kuzen yine birinci oldu. Ortalamada yalnız kaldın.</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row>
    <row r="209">
      <c r="A209" s="5" t="inlineStr">
        <is>
          <t>b4-kuzen-kiyaslama</t>
        </is>
      </c>
      <c r="B209" s="5" t="n">
        <v>4</v>
      </c>
      <c r="C209" s="6" t="inlineStr">
        <is>
          <t>Başkanlık dönemini hatırlat</t>
        </is>
      </c>
      <c r="D209" s="5" t="inlineStr">
        <is>
          <t>Pişkinlik</t>
        </is>
      </c>
      <c r="E209" s="5" t="inlineStr">
        <is>
          <t>Kolay</t>
        </is>
      </c>
      <c r="F209" s="5" t="inlineStr"/>
      <c r="G209" s="6" t="inlineStr"/>
      <c r="H209" s="6" t="inlineStr">
        <is>
          <t>'Ben seçilmiş bir yöneticiydim' dedin. Sofrada ağır bir sessizlik oldu. Puan sende.</t>
        </is>
      </c>
      <c r="I209" s="6" t="inlineStr">
        <is>
          <t>Başkanlık icraatlarını madde madde saydın. Teyzen kuzenine 'Sen neden aday olmadın?' diye sordu. Taraf değiştirdin.</t>
        </is>
      </c>
      <c r="J209" s="6" t="inlineStr">
        <is>
          <t>Başkanlık dönemini anlattın. Teyzen 'Akvaryum geldi mi?' diye sordu. Gelmemişti.</t>
        </is>
      </c>
      <c r="K209" s="6" t="inlineStr">
        <is>
          <t>Başkanlığını anlatırken kuzenin araya girdi: “Ben o yıl aday olsaydım...” Aynı okulda bile değildiniz. Sofra yine de ona inandı.</t>
        </is>
      </c>
      <c r="L209" s="6" t="inlineStr"/>
      <c r="M209" s="5" t="inlineStr"/>
      <c r="N209" s="5" t="inlineStr"/>
      <c r="O209" s="6" t="inlineStr"/>
      <c r="P209" s="6" t="inlineStr"/>
      <c r="Q209" s="5" t="inlineStr"/>
      <c r="R209" s="5" t="inlineStr">
        <is>
          <t>baskan</t>
        </is>
      </c>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row>
    <row r="210">
      <c r="A210" s="5" t="inlineStr">
        <is>
          <t>b4-ekran-suresi</t>
        </is>
      </c>
      <c r="B210" s="5" t="n">
        <v>1</v>
      </c>
      <c r="C210" s="6" t="inlineStr">
        <is>
          <t>İtiraf et</t>
        </is>
      </c>
      <c r="D210" s="5" t="inlineStr"/>
      <c r="E210" s="5" t="inlineStr"/>
      <c r="F210" s="5" t="inlineStr">
        <is>
          <t>İtibar +2</t>
        </is>
      </c>
      <c r="G210" s="6" t="inlineStr">
        <is>
          <t>Hesap makinesinin içinde gizli bir oyun olduğunu itiraf ettin. Ailen etkilendi ve biraz korktu.</t>
        </is>
      </c>
      <c r="H210" s="6" t="inlineStr"/>
      <c r="I210" s="6" t="inlineStr"/>
      <c r="J210" s="6" t="inlineStr"/>
      <c r="K210" s="6" t="inlineStr"/>
      <c r="L210" s="6" t="inlineStr"/>
      <c r="M210" s="5" t="inlineStr"/>
      <c r="N210" s="5" t="inlineStr"/>
      <c r="O210" s="6" t="inlineStr"/>
      <c r="P210" s="6" t="inlineStr"/>
      <c r="Q210" s="5" t="inlineStr"/>
      <c r="R210" s="5" t="inlineStr"/>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row>
    <row r="211">
      <c r="A211" s="5" t="inlineStr">
        <is>
          <t>b4-ekran-suresi</t>
        </is>
      </c>
      <c r="B211" s="5" t="n">
        <v>2</v>
      </c>
      <c r="C211" s="6" t="inlineStr">
        <is>
          <t>Matematik çalıştığını söyle</t>
        </is>
      </c>
      <c r="D211" s="5" t="inlineStr">
        <is>
          <t>Pişkinlik</t>
        </is>
      </c>
      <c r="E211" s="5" t="inlineStr">
        <is>
          <t>Zor</t>
        </is>
      </c>
      <c r="F211" s="5" t="inlineStr"/>
      <c r="G211" s="6" t="inlineStr"/>
      <c r="H211" s="6" t="inlineStr">
        <is>
          <t>'Çarpım tablosu' dedin. Ailen raporu gururla aile grubuna attı.</t>
        </is>
      </c>
      <c r="I211" s="6" t="inlineStr">
        <is>
          <t>Ailen seni ödüllendirdi: ek ekran süresi. Hesap makinesi için.</t>
        </is>
      </c>
      <c r="J211" s="6" t="inlineStr">
        <is>
          <t>Baban hesap makinesini açtı. Karşısına bir uzay gemisi çıktı.</t>
        </is>
      </c>
      <c r="K211" s="6" t="inlineStr">
        <is>
          <t>Baban hesap makinesinde iki artı iki yaptı. Ekranda 'Seviye 47' yazdı.</t>
        </is>
      </c>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row>
    <row r="212">
      <c r="A212" s="5" t="inlineStr">
        <is>
          <t>b4-ekran-suresi</t>
        </is>
      </c>
      <c r="B212" s="5" t="n">
        <v>3</v>
      </c>
      <c r="C212" s="6" t="inlineStr">
        <is>
          <t>Raporu ayarlardan düzelt</t>
        </is>
      </c>
      <c r="D212" s="5" t="inlineStr">
        <is>
          <t>Kurnazlık</t>
        </is>
      </c>
      <c r="E212" s="5" t="inlineStr">
        <is>
          <t>Orta</t>
        </is>
      </c>
      <c r="F212" s="5" t="inlineStr"/>
      <c r="G212" s="6" t="inlineStr"/>
      <c r="H212" s="6" t="inlineStr">
        <is>
          <t>Rapor artık “Kitap: 4 saat” diyor. Evdeki tek kitaplar vitrindeki ansiklopedi takımı; naylonu hâlâ üstünde.</t>
        </is>
      </c>
      <c r="I212" s="6" t="inlineStr">
        <is>
          <t>Raporu düzelttin, babanın raporunu da açtın: günde on bir saat. Baban telefonunu yavaşça cebine koydu. O akşam ekran süresinden kimse bahsetmedi.</t>
        </is>
      </c>
      <c r="J212" s="6" t="inlineStr">
        <is>
          <t>Ayarları kurcaladın; telefonun dili değişti. Rapor artık kimsenin okuyamadığı bir alfabede. Babaannen “Bu çocuk yabancı dil öğrenmiş” diye herkese anlatıyor.</t>
        </is>
      </c>
      <c r="K212" s="6" t="inlineStr">
        <is>
          <t>Telefon fabrika ayarlarına döndü. Fotoğraflar, yazışmalar ve üç yıllık oyun kaydı devlet sırrı gibi yok oldu.</t>
        </is>
      </c>
      <c r="L212" s="6" t="inlineStr"/>
      <c r="M212" s="5" t="inlineStr"/>
      <c r="N212" s="5" t="inlineStr"/>
      <c r="O212" s="6" t="inlineStr"/>
      <c r="P212" s="6" t="inlineStr"/>
      <c r="Q212" s="5" t="inlineStr">
        <is>
          <t>Ekran Yerlisi</t>
        </is>
      </c>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row>
    <row r="213">
      <c r="A213" s="5" t="inlineStr">
        <is>
          <t>b4-ekran-suresi</t>
        </is>
      </c>
      <c r="B213" s="5" t="n">
        <v>4</v>
      </c>
      <c r="C213" s="6" t="inlineStr">
        <is>
          <t>Gizli oyunu babana da kur</t>
        </is>
      </c>
      <c r="D213" s="5" t="inlineStr">
        <is>
          <t>Çene</t>
        </is>
      </c>
      <c r="E213" s="5" t="inlineStr">
        <is>
          <t>Kolay</t>
        </is>
      </c>
      <c r="F213" s="5" t="inlineStr"/>
      <c r="G213" s="6" t="inlineStr"/>
      <c r="H213" s="6" t="inlineStr">
        <is>
          <t>Babana da kurdun. Artık ikiniz de 'matematik çalışıyorsunuz'. Ortak bir sır, ortak bir skor tablosu.</t>
        </is>
      </c>
      <c r="I213" s="6" t="inlineStr">
        <is>
          <t>Baban oyuna öyle daldı ki ekran süresi kuralını unuttu. Evde yeni bir denetim boşluğu doğdu.</t>
        </is>
      </c>
      <c r="J213" s="6" t="inlineStr">
        <is>
          <t>Babana kurdun; baban 'Bu ne saçmalık' dedi ve üç saat oynadı. Kural yine sana uygulandı.</t>
        </is>
      </c>
      <c r="K213" s="6" t="inlineStr">
        <is>
          <t>Baban seviyeni geçti ve ekran görüntüsünü aile grubuna attı. Hesap makinesinin sırrı artık 34 kişide.</t>
        </is>
      </c>
      <c r="L213" s="6" t="inlineStr"/>
      <c r="M213" s="5" t="inlineStr"/>
      <c r="N213" s="5" t="inlineStr"/>
      <c r="O213" s="6" t="inlineStr"/>
      <c r="P213" s="6" t="inlineStr"/>
      <c r="Q213" s="5" t="inlineStr"/>
      <c r="R213" s="5" t="inlineStr"/>
      <c r="S213" s="5" t="inlineStr">
        <is>
          <t>Kurnazlık</t>
        </is>
      </c>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row>
    <row r="214">
      <c r="A214" s="5" t="inlineStr">
        <is>
          <t>b4-mahalle-haraccilari</t>
        </is>
      </c>
      <c r="B214" s="5" t="n">
        <v>1</v>
      </c>
      <c r="C214" s="6" t="inlineStr">
        <is>
          <t>Harçlığı ver, yanlarına otur</t>
        </is>
      </c>
      <c r="D214" s="5" t="inlineStr"/>
      <c r="E214" s="5" t="inlineStr"/>
      <c r="F214" s="5" t="inlineStr">
        <is>
          <t>Pişkinlik +1</t>
        </is>
      </c>
      <c r="G214" s="6" t="inlineStr">
        <is>
          <t>Harçlığı verdin ve yanlarına oturdun. Ortadaki “Sen akıllı çocuksun” dedi, avucuna çekirdek döktü. Akşama kadar onlarla oturdun; eve geldiğinde annen kapıda bekliyordu.</t>
        </is>
      </c>
      <c r="H214" s="6" t="inlineStr"/>
      <c r="I214" s="6" t="inlineStr"/>
      <c r="J214" s="6" t="inlineStr"/>
      <c r="K214" s="6" t="inlineStr"/>
      <c r="L214" s="6" t="inlineStr"/>
      <c r="M214" s="5" t="inlineStr"/>
      <c r="N214" s="5" t="inlineStr"/>
      <c r="O214" s="6" t="inlineStr"/>
      <c r="P214" s="6" t="inlineStr"/>
      <c r="Q214" s="5" t="inlineStr"/>
      <c r="R214" s="5" t="inlineStr"/>
      <c r="S214" s="5" t="inlineStr"/>
      <c r="T214" s="5" t="inlineStr"/>
      <c r="U214" s="5" t="inlineStr">
        <is>
          <t>mahalle-abileri</t>
        </is>
      </c>
      <c r="V214" s="5" t="inlineStr"/>
      <c r="W214" s="5" t="inlineStr"/>
      <c r="X214" s="5" t="inlineStr"/>
      <c r="Y214" s="5" t="inlineStr"/>
      <c r="Z214" s="6" t="inlineStr"/>
      <c r="AA214" s="5" t="inlineStr">
        <is>
          <t>hepsi -1</t>
        </is>
      </c>
      <c r="AB214" s="5" t="inlineStr"/>
      <c r="AC214" s="5" t="inlineStr"/>
      <c r="AD214" s="5" t="inlineStr"/>
      <c r="AE214" s="5" t="inlineStr"/>
      <c r="AF214" s="5" t="inlineStr"/>
      <c r="AG214" s="5" t="inlineStr"/>
      <c r="AH214" s="5" t="inlineStr"/>
      <c r="AI214" s="5" t="inlineStr"/>
    </row>
    <row r="215">
      <c r="A215" s="5" t="inlineStr">
        <is>
          <t>b4-mahalle-haraccilari</t>
        </is>
      </c>
      <c r="B215" s="5" t="n">
        <v>2</v>
      </c>
      <c r="C215" s="6" t="inlineStr">
        <is>
          <t>Kaç</t>
        </is>
      </c>
      <c r="D215" s="5" t="inlineStr">
        <is>
          <t>Dayanıklılık</t>
        </is>
      </c>
      <c r="E215" s="5" t="inlineStr">
        <is>
          <t>Orta</t>
        </is>
      </c>
      <c r="F215" s="5" t="inlineStr"/>
      <c r="G215" s="6" t="inlineStr"/>
      <c r="H215" s="6" t="inlineStr">
        <is>
          <t>Kaçtın. Harçlık cepte, telefon elde. Ama o köşe artık sana kapalı.</t>
        </is>
      </c>
      <c r="I215" s="6" t="inlineStr">
        <is>
          <t>Öyle kaçtın ki arkandan alkışladılar. Mahallede adın 'Rüzgâr'. Köşe yine de kapalı.</t>
        </is>
      </c>
      <c r="J215" s="6" t="inlineStr">
        <is>
          <t>Kaçtın ama cebinden bozukluk döküldü. Harçlığının yarısı yol boyunca vergilendirildi.</t>
        </is>
      </c>
      <c r="K215" s="6" t="inlineStr">
        <is>
          <t>Yanlış sokağa saptın; çıkmaz sokaktı. Üçü harçlığını aldı, giderken ayakkabı bağcıklarını birbirine bağladı. Eve sekerek döndün; bütün apartman balkondaydı.</t>
        </is>
      </c>
      <c r="L215" s="6" t="inlineStr">
        <is>
          <t>Yakalanmadın ama tam da kurtulmadın. Harçlığın yarısı ve saygınlığın çeyreği gitti.</t>
        </is>
      </c>
      <c r="M215" s="5" t="inlineStr">
        <is>
          <t>lanes</t>
        </is>
      </c>
      <c r="N215" s="5" t="inlineStr">
        <is>
          <t>Köşeden Kaç</t>
        </is>
      </c>
      <c r="O215" s="6" t="inlineStr">
        <is>
          <t>Sağa sola kayarak engellere çarpmadan eve ulaş.</t>
        </is>
      </c>
      <c r="P215" s="6" t="inlineStr">
        <is>
          <t>{"obstacles": ["🛴", "🐕", "🗑️", "📦", "🛒"]}</t>
        </is>
      </c>
      <c r="Q215" s="5" t="inlineStr"/>
      <c r="R215" s="5" t="inlineStr"/>
      <c r="S215" s="5" t="inlineStr"/>
      <c r="T215" s="5" t="inlineStr"/>
      <c r="U215" s="5" t="inlineStr">
        <is>
          <t>haracci-dusmani</t>
        </is>
      </c>
      <c r="V215" s="5" t="inlineStr"/>
      <c r="W215" s="5" t="inlineStr">
        <is>
          <t>sokak-yasagi</t>
        </is>
      </c>
      <c r="X215" s="5" t="inlineStr"/>
      <c r="Y215" s="5" t="inlineStr"/>
      <c r="Z215" s="6" t="inlineStr"/>
      <c r="AA215" s="5" t="inlineStr"/>
      <c r="AB215" s="5" t="inlineStr"/>
      <c r="AC215" s="5" t="inlineStr"/>
      <c r="AD215" s="5" t="inlineStr"/>
      <c r="AE215" s="5" t="inlineStr"/>
      <c r="AF215" s="5" t="inlineStr"/>
      <c r="AG215" s="5" t="inlineStr"/>
      <c r="AH215" s="5" t="inlineStr"/>
      <c r="AI215" s="5" t="inlineStr"/>
    </row>
    <row r="216">
      <c r="A216" s="5" t="inlineStr">
        <is>
          <t>b4-mahalle-haraccilari</t>
        </is>
      </c>
      <c r="B216" s="5" t="n">
        <v>3</v>
      </c>
      <c r="C216" s="6" t="inlineStr">
        <is>
          <t>Pazarlık et</t>
        </is>
      </c>
      <c r="D216" s="5" t="inlineStr">
        <is>
          <t>Cesaret</t>
        </is>
      </c>
      <c r="E216" s="5" t="inlineStr">
        <is>
          <t>Zor</t>
        </is>
      </c>
      <c r="F216" s="5" t="inlineStr"/>
      <c r="G216" s="6" t="inlineStr"/>
      <c r="H216" s="6" t="inlineStr">
        <is>
          <t>Harçlığın yarısında anlaştınız; telefon cebinde kaldı. Ortadaki “Haftaya yine konuşuruz” dedi. Artık haftalık müşterisin.</t>
        </is>
      </c>
      <c r="I216" s="6" t="inlineStr">
        <is>
          <t>Onlara ödev yapmayı teklif ettin. Artık para vermiyorsun, para alıyorsun.</t>
        </is>
      </c>
      <c r="J216" s="6" t="inlineStr">
        <is>
          <t>Pazarlık ettin; borcun faize bağlandı.</t>
        </is>
      </c>
      <c r="K216" s="6" t="inlineStr">
        <is>
          <t>Pazarlık uzadıkça fiyat arttı. Harçlığı, şarj aletini ve yeni bir lakabı teslim ettin: 'Taksit'.</t>
        </is>
      </c>
      <c r="L216" s="6" t="inlineStr"/>
      <c r="M216" s="5" t="inlineStr"/>
      <c r="N216" s="5" t="inlineStr"/>
      <c r="O216" s="6" t="inlineStr"/>
      <c r="P216" s="6" t="inlineStr"/>
      <c r="Q216" s="5" t="inlineStr"/>
      <c r="R216" s="5" t="inlineStr"/>
      <c r="S216" s="5" t="inlineStr"/>
      <c r="T216" s="5" t="inlineStr"/>
      <c r="U216" s="5" t="inlineStr"/>
      <c r="V216" s="5" t="inlineStr"/>
      <c r="W216" s="5" t="inlineStr">
        <is>
          <t>lakapli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is>
          <t>Taksit</t>
        </is>
      </c>
    </row>
    <row r="217">
      <c r="A217" s="5" t="inlineStr">
        <is>
          <t>b4-mahalle-haraccilari</t>
        </is>
      </c>
      <c r="B217" s="5" t="n">
        <v>4</v>
      </c>
      <c r="C217" s="6" t="inlineStr">
        <is>
          <t>'Bakkal amca annemin sınıf arkadaşı' de</t>
        </is>
      </c>
      <c r="D217" s="5" t="inlineStr">
        <is>
          <t>Sosyal Radar</t>
        </is>
      </c>
      <c r="E217" s="5" t="inlineStr">
        <is>
          <t>Kolay</t>
        </is>
      </c>
      <c r="F217" s="5" t="inlineStr"/>
      <c r="G217" s="6" t="inlineStr"/>
      <c r="H217" s="6" t="inlineStr">
        <is>
          <t>Ortadaki çocuk sessizce geri çekildi. Ertesi gün bakkal sana fazladan bir sakız verdi: “Annene selam.”</t>
        </is>
      </c>
      <c r="I217" s="6" t="inlineStr">
        <is>
          <t>Ortadaki çocuk o akşam kapına bir çikolata bıraktı. Yanında el yazısı bir özür.</t>
        </is>
      </c>
      <c r="J217" s="6" t="inlineStr">
        <is>
          <t>“Bakkal bizi zaten sevmez” dediler ve gülüştüler. Harçlık gitti; bakkal da hiçbir şey görmedi.</t>
        </is>
      </c>
      <c r="K217" s="6" t="inlineStr">
        <is>
          <t>Tam o sırada bakkal dükkândan çıkıp 'Ne oluyor?' dedi. Üçü birden seni gösterdi.</t>
        </is>
      </c>
      <c r="L217" s="6" t="inlineStr"/>
      <c r="M217" s="5" t="inlineStr"/>
      <c r="N217" s="5" t="inlineStr"/>
      <c r="O217" s="6" t="inlineStr"/>
      <c r="P217" s="6" t="inlineStr"/>
      <c r="Q217" s="5" t="inlineStr"/>
      <c r="R217" s="5" t="inlineStr"/>
      <c r="S217" s="5" t="inlineStr">
        <is>
          <t>Sosyal Radar</t>
        </is>
      </c>
      <c r="T217" s="5" t="inlineStr"/>
      <c r="U217" s="5" t="inlineStr"/>
      <c r="V217" s="5" t="inlineStr"/>
      <c r="W217" s="5" t="inlineStr">
        <is>
          <t>haracci-dusmani</t>
        </is>
      </c>
      <c r="X217" s="5" t="inlineStr"/>
      <c r="Y217" s="5" t="inlineStr"/>
      <c r="Z217" s="6" t="inlineStr"/>
      <c r="AA217" s="5" t="inlineStr"/>
      <c r="AB217" s="5" t="inlineStr"/>
      <c r="AC217" s="5" t="inlineStr"/>
      <c r="AD217" s="5" t="inlineStr"/>
      <c r="AE217" s="5" t="inlineStr"/>
      <c r="AF217" s="5" t="inlineStr"/>
      <c r="AG217" s="5" t="inlineStr"/>
      <c r="AH217" s="5" t="inlineStr"/>
      <c r="AI217" s="5" t="inlineStr"/>
    </row>
    <row r="218">
      <c r="A218" s="5" t="inlineStr">
        <is>
          <t>b4-mahalle-haraccilari</t>
        </is>
      </c>
      <c r="B218" s="5" t="n">
        <v>5</v>
      </c>
      <c r="C218" s="6" t="inlineStr">
        <is>
          <t>Ortadakine tek başına meydan oku</t>
        </is>
      </c>
      <c r="D218" s="5" t="inlineStr">
        <is>
          <t>Cesaret</t>
        </is>
      </c>
      <c r="E218" s="5" t="inlineStr">
        <is>
          <t>Zor</t>
        </is>
      </c>
      <c r="F218" s="5" t="inlineStr"/>
      <c r="G218" s="6" t="inlineStr"/>
      <c r="H218" s="6" t="inlineStr">
        <is>
          <t>'Yalnızken de böyle misin?' dedin. Değildi. Grup dağıldı.</t>
        </is>
      </c>
      <c r="I218" s="6" t="inlineStr">
        <is>
          <t>Meydan okudun; ortadaki çocuk ertesi gün başka mahalleye taşındıklarını söyledi. Tesadüf olabilir.</t>
        </is>
      </c>
      <c r="J218" s="6" t="inlineStr">
        <is>
          <t>Meydan okudun. Telefonunu aldılar; ertesi gün bakkala bıraktılar. Mesaj alındı.</t>
        </is>
      </c>
      <c r="K218" s="6" t="inlineStr">
        <is>
          <t>Meydan okudun. Ortadaki güldü, telefonunu aldı ve bakkalın tentesinin üstüne attı. Bakkal merdiven getirene kadar bütün mahalle seyretti. O günden beri adın “Kahraman”; kimse ciddi söylemiyor.</t>
        </is>
      </c>
      <c r="L218" s="6" t="inlineStr"/>
      <c r="M218" s="5" t="inlineStr"/>
      <c r="N218" s="5" t="inlineStr"/>
      <c r="O218" s="6" t="inlineStr"/>
      <c r="P218" s="6" t="inlineStr"/>
      <c r="Q218" s="5" t="inlineStr"/>
      <c r="R218" s="5" t="inlineStr">
        <is>
          <t>cesurPark</t>
        </is>
      </c>
      <c r="S218" s="5" t="inlineStr"/>
      <c r="T218" s="5" t="inlineStr"/>
      <c r="U218" s="5" t="inlineStr">
        <is>
          <t>haracci-dusmani</t>
        </is>
      </c>
      <c r="V218" s="5" t="inlineStr"/>
      <c r="W218" s="5" t="inlineStr"/>
      <c r="X218" s="5" t="inlineStr"/>
      <c r="Y218" s="5" t="inlineStr"/>
      <c r="Z218" s="6" t="inlineStr"/>
      <c r="AA218" s="5" t="inlineStr"/>
      <c r="AB218" s="5" t="inlineStr"/>
      <c r="AC218" s="5" t="inlineStr"/>
      <c r="AD218" s="5" t="inlineStr"/>
      <c r="AE218" s="5" t="inlineStr"/>
      <c r="AF218" s="5" t="inlineStr"/>
      <c r="AG218" s="5" t="inlineStr"/>
      <c r="AH218" s="5" t="inlineStr"/>
      <c r="AI218" s="5" t="inlineStr"/>
    </row>
    <row r="219">
      <c r="A219" s="5" t="inlineStr">
        <is>
          <t>b4-mahalle-haraccilari</t>
        </is>
      </c>
      <c r="B219" s="5" t="n">
        <v>6</v>
      </c>
      <c r="C219" s="6" t="inlineStr">
        <is>
          <t>Eve dön, kitaplara göm</t>
        </is>
      </c>
      <c r="D219" s="5" t="inlineStr">
        <is>
          <t>Akıl</t>
        </is>
      </c>
      <c r="E219" s="5" t="inlineStr">
        <is>
          <t>Orta</t>
        </is>
      </c>
      <c r="F219" s="5" t="inlineStr"/>
      <c r="G219" s="6" t="inlineStr"/>
      <c r="H219" s="6" t="inlineStr">
        <is>
          <t>Köşeyi dolaşmak yerine kütüphaneye giden yolu keşfettin. Yol daha uzun ama kimse harçlık sormuyor.</t>
        </is>
      </c>
      <c r="I219" s="6" t="inlineStr">
        <is>
          <t>O yıl kütüphanenin en sadık üyesiydin. Kütüphaneci sana kendi anahtarının yedeğini verdi.</t>
        </is>
      </c>
      <c r="J219" s="6" t="inlineStr">
        <is>
          <t>Eve döndün ama kitap açılmadı; köşedekiler aklından çıkmadı.</t>
        </is>
      </c>
      <c r="K219" s="6" t="inlineStr">
        <is>
          <t>Kitaplara öyle gömüldün ki kütüphane kapandı, sen içeride kaldın. Kapıcı seni akşam dokuzda bir ansiklopedinin üstünde uyurken buldu. Bütün mahalle seni aramaya çıkmıştı.</t>
        </is>
      </c>
      <c r="L219" s="6" t="inlineStr"/>
      <c r="M219" s="5" t="inlineStr"/>
      <c r="N219" s="5" t="inlineStr"/>
      <c r="O219" s="6" t="inlineStr"/>
      <c r="P219" s="6" t="inlineStr"/>
      <c r="Q219" s="5" t="inlineStr"/>
      <c r="R219" s="5" t="inlineStr"/>
      <c r="S219" s="5" t="inlineStr"/>
      <c r="T219" s="5" t="inlineStr">
        <is>
          <t>Kitap Kurdu</t>
        </is>
      </c>
      <c r="U219" s="5" t="inlineStr"/>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row>
    <row r="220">
      <c r="A220" s="5" t="inlineStr">
        <is>
          <t>b4-sivilce</t>
        </is>
      </c>
      <c r="B220" s="5" t="n">
        <v>1</v>
      </c>
      <c r="C220" s="6" t="inlineStr">
        <is>
          <t>Olduğu gibi git</t>
        </is>
      </c>
      <c r="D220" s="5" t="inlineStr"/>
      <c r="E220" s="5" t="inlineStr"/>
      <c r="F220" s="5" t="inlineStr">
        <is>
          <t>Dayanıklılık +1</t>
        </is>
      </c>
      <c r="G220" s="6" t="inlineStr">
        <is>
          <t>Fotoğraf çekildi. Sivilce de. Yıllığa ikiniz birlikte girdiniz.</t>
        </is>
      </c>
      <c r="H220" s="6" t="inlineStr"/>
      <c r="I220" s="6" t="inlineStr"/>
      <c r="J220" s="6" t="inlineStr"/>
      <c r="K220" s="6" t="inlineStr"/>
      <c r="L220" s="6" t="inlineStr"/>
      <c r="M220" s="5" t="inlineStr"/>
      <c r="N220" s="5" t="inlineStr"/>
      <c r="O220" s="6" t="inlineStr"/>
      <c r="P220" s="6" t="inlineStr"/>
      <c r="Q220" s="5" t="inlineStr"/>
      <c r="R220" s="5" t="inlineStr"/>
      <c r="S220" s="5" t="inlineStr"/>
      <c r="T220" s="5" t="inlineStr"/>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row>
    <row r="221">
      <c r="A221" s="5" t="inlineStr">
        <is>
          <t>b4-sivilce</t>
        </is>
      </c>
      <c r="B221" s="5" t="n">
        <v>2</v>
      </c>
      <c r="C221" s="6" t="inlineStr">
        <is>
          <t>Annenin kapatıcısını kullan</t>
        </is>
      </c>
      <c r="D221" s="5" t="inlineStr">
        <is>
          <t>Kurnazlık</t>
        </is>
      </c>
      <c r="E221" s="5" t="inlineStr">
        <is>
          <t>Orta</t>
        </is>
      </c>
      <c r="F221" s="5" t="inlineStr"/>
      <c r="G221" s="6" t="inlineStr"/>
      <c r="H221" s="6" t="inlineStr">
        <is>
          <t>Sivilce görünmüyor. Sadece alnında hafif bir ton farkı var.</t>
        </is>
      </c>
      <c r="I221" s="6" t="inlineStr">
        <is>
          <t>Kusursuz uyguladın. Fotoğrafçı 'Ne güzel cilt' dedi. Annen kapatıcının azaldığını hâlâ bilmiyor.</t>
        </is>
      </c>
      <c r="J221" s="6" t="inlineStr">
        <is>
          <t>Yanlış tonu seçtin. Alnında bej bir ada oluştu.</t>
        </is>
      </c>
      <c r="K221" s="6" t="inlineStr">
        <is>
          <t>Kapatıcı sandığın şey annenin göz farıymış. Yıllıkta alnında parlak mor bir yıldız var. Sonsuza dek.</t>
        </is>
      </c>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row>
    <row r="222">
      <c r="A222" s="5" t="inlineStr">
        <is>
          <t>b4-sivilce</t>
        </is>
      </c>
      <c r="B222" s="5" t="n">
        <v>3</v>
      </c>
      <c r="C222" s="6" t="inlineStr">
        <is>
          <t>Bere tak</t>
        </is>
      </c>
      <c r="D222" s="5" t="inlineStr">
        <is>
          <t>Pişkinlik</t>
        </is>
      </c>
      <c r="E222" s="5" t="inlineStr">
        <is>
          <t>Kolay</t>
        </is>
      </c>
      <c r="F222" s="5" t="inlineStr"/>
      <c r="G222" s="6" t="inlineStr"/>
      <c r="H222" s="6" t="inlineStr">
        <is>
          <t>Bereyle poz verdin. Tarz sanıldı.</t>
        </is>
      </c>
      <c r="I222" s="6" t="inlineStr">
        <is>
          <t>Ertesi hafta sınıfın yarısı bereyle geldi. Trendi bir sivilce başlattı.</t>
        </is>
      </c>
      <c r="J222" s="6" t="inlineStr">
        <is>
          <t>Fotoğrafçı bereni çıkarttı.</t>
        </is>
      </c>
      <c r="K222" s="6" t="inlineStr">
        <is>
          <t>Fotoğrafçı bereni çıkarttı; statik elektrikten saçların dikildi. Sivilce ikinci planda kaldı. Saçların birinci.</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row>
    <row r="223">
      <c r="A223" s="5" t="inlineStr">
        <is>
          <t>b4-sivilce</t>
        </is>
      </c>
      <c r="B223" s="5" t="n">
        <v>4</v>
      </c>
      <c r="C223" s="6" t="inlineStr">
        <is>
          <t>Sivilceye isim ver</t>
        </is>
      </c>
      <c r="D223" s="5" t="inlineStr">
        <is>
          <t>Çene</t>
        </is>
      </c>
      <c r="E223" s="5" t="inlineStr">
        <is>
          <t>Kolay</t>
        </is>
      </c>
      <c r="F223" s="5" t="inlineStr"/>
      <c r="G223" s="6" t="inlineStr"/>
      <c r="H223" s="6" t="inlineStr">
        <is>
          <t>Sivilceye 'Müdür Bey' dedin. Sınıf gün boyu ona selam verdi. Kimse seninle dalga geçemedi, çünkü önce sen geçtin.</t>
        </is>
      </c>
      <c r="I223" s="6" t="inlineStr">
        <is>
          <t>Müdür Bey'in resmî bir veda töreni yapıldı. Sınıf alkışladı. Başka hiçbir sivilce bu kadar sevilmedi.</t>
        </is>
      </c>
      <c r="J223" s="6" t="inlineStr">
        <is>
          <t>İsmi koydun; ertesi gün Müdür Bey'in bir yardımcısı çıktı.</t>
        </is>
      </c>
      <c r="K223" s="6" t="inlineStr">
        <is>
          <t>Sivilceye verdiğin isim sana geçti. Artık sen 'Müdür Bey'sin.</t>
        </is>
      </c>
      <c r="L223" s="6" t="inlineStr"/>
      <c r="M223" s="5" t="inlineStr"/>
      <c r="N223" s="5" t="inlineStr"/>
      <c r="O223" s="6" t="inlineStr"/>
      <c r="P223" s="6" t="inlineStr"/>
      <c r="Q223" s="5" t="inlineStr">
        <is>
          <t>Kendine Gülebilir</t>
        </is>
      </c>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is>
          <t>Müdür Bey</t>
        </is>
      </c>
    </row>
    <row r="224">
      <c r="A224" s="5" t="inlineStr">
        <is>
          <t>b4-ses-catlamasi</t>
        </is>
      </c>
      <c r="B224" s="5" t="n">
        <v>1</v>
      </c>
      <c r="C224" s="6" t="inlineStr">
        <is>
          <t>Fısıltıyla oku</t>
        </is>
      </c>
      <c r="D224" s="5" t="inlineStr"/>
      <c r="E224" s="5" t="inlineStr"/>
      <c r="F224" s="5" t="inlineStr">
        <is>
          <t>Kurnazlık +1</t>
        </is>
      </c>
      <c r="G224" s="6" t="inlineStr">
        <is>
          <t>Fısıltıyla okudun. Öğretmen 'Daha yüksek' dedi. Yüksek okudun. Ses çatladı. Plan kısmen işledi.</t>
        </is>
      </c>
      <c r="H224" s="6" t="inlineStr"/>
      <c r="I224" s="6" t="inlineStr"/>
      <c r="J224" s="6" t="inlineStr"/>
      <c r="K224" s="6" t="inlineStr"/>
      <c r="L224" s="6" t="inlineStr"/>
      <c r="M224" s="5" t="inlineStr"/>
      <c r="N224" s="5" t="inlineStr"/>
      <c r="O224" s="6" t="inlineStr"/>
      <c r="P224" s="6" t="inlineStr"/>
      <c r="Q224" s="5" t="inlineStr"/>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row>
    <row r="225">
      <c r="A225" s="5" t="inlineStr">
        <is>
          <t>b4-ses-catlamasi</t>
        </is>
      </c>
      <c r="B225" s="5" t="n">
        <v>2</v>
      </c>
      <c r="C225" s="6" t="inlineStr">
        <is>
          <t>Normal oku</t>
        </is>
      </c>
      <c r="D225" s="5" t="inlineStr">
        <is>
          <t>Dayanıklılık</t>
        </is>
      </c>
      <c r="E225" s="5" t="inlineStr">
        <is>
          <t>Orta</t>
        </is>
      </c>
      <c r="F225" s="5" t="inlineStr"/>
      <c r="G225" s="6" t="inlineStr"/>
      <c r="H225" s="6" t="inlineStr">
        <is>
          <t>Ses çatlamadı. Paragraf bitti. Sınıf kayıtsız. Bu yaşta en büyük başarı.</t>
        </is>
      </c>
      <c r="I225" s="6" t="inlineStr">
        <is>
          <t>Paragrafı pürüzsüz okudun; öğretmen 'Ne güzel tok bir ses' dedi. Sınıf ilk kez seni dinledi.</t>
        </is>
      </c>
      <c r="J225" s="6" t="inlineStr">
        <is>
          <t>“Makarya'nın başlıca ürünleri…” derken sesin inceldi. Arka sıradan biri kıkırdadı; öğretmen bakınca sustu.</t>
        </is>
      </c>
      <c r="K225" s="6" t="inlineStr">
        <is>
          <t>Ses çatladı, sen durdun, sınıf durdu, öğretmen devam etmeni istedi. Lakabın o günden beri 'Kanarya'.</t>
        </is>
      </c>
      <c r="L225" s="6" t="inlineStr">
        <is>
          <t>Paragrafın çoğunu tok okudun; son kelimede ses bir an kaçtı. Sadece arka sıra duydu.</t>
        </is>
      </c>
      <c r="M225" s="5" t="inlineStr">
        <is>
          <t>hold</t>
        </is>
      </c>
      <c r="N225" s="5" t="inlineStr">
        <is>
          <t>Sesini Sabit Tut</t>
        </is>
      </c>
      <c r="O225" s="6" t="inlineStr">
        <is>
          <t>Basılı tut, çubuk yeşildeyken bırak. Az kalırsa fısıltı, fazla kaçarsa kanarya.</t>
        </is>
      </c>
      <c r="P225" s="6" t="inlineStr"/>
      <c r="Q225" s="5" t="inlineStr"/>
      <c r="R225" s="5" t="inlineStr"/>
      <c r="S225" s="5" t="inlineStr"/>
      <c r="T225" s="5" t="inlineStr"/>
      <c r="U225" s="5" t="inlineStr"/>
      <c r="V225" s="5" t="inlineStr"/>
      <c r="W225" s="5" t="inlineStr">
        <is>
          <t>lakapli</t>
        </is>
      </c>
      <c r="X225" s="5" t="inlineStr"/>
      <c r="Y225" s="5" t="inlineStr"/>
      <c r="Z225" s="6" t="inlineStr"/>
      <c r="AA225" s="5" t="inlineStr"/>
      <c r="AB225" s="5" t="inlineStr"/>
      <c r="AC225" s="5" t="inlineStr"/>
      <c r="AD225" s="5" t="inlineStr"/>
      <c r="AE225" s="5" t="inlineStr"/>
      <c r="AF225" s="5" t="inlineStr"/>
      <c r="AG225" s="5" t="inlineStr"/>
      <c r="AH225" s="5" t="inlineStr"/>
      <c r="AI225" s="5" t="inlineStr">
        <is>
          <t>Kanarya</t>
        </is>
      </c>
    </row>
    <row r="226">
      <c r="A226" s="5" t="inlineStr">
        <is>
          <t>b4-ses-catlamasi</t>
        </is>
      </c>
      <c r="B226" s="5" t="n">
        <v>3</v>
      </c>
      <c r="C226" s="6" t="inlineStr">
        <is>
          <t>Bas sesle oku</t>
        </is>
      </c>
      <c r="D226" s="5" t="inlineStr">
        <is>
          <t>Pişkinlik</t>
        </is>
      </c>
      <c r="E226" s="5" t="inlineStr">
        <is>
          <t>Zor</t>
        </is>
      </c>
      <c r="F226" s="5" t="inlineStr"/>
      <c r="G226" s="6" t="inlineStr"/>
      <c r="H226" s="6" t="inlineStr">
        <is>
          <t>Haber spikeri tonunda okudun. Öğretmen seni tören sunucusu yaptı.</t>
        </is>
      </c>
      <c r="I226" s="6" t="inlineStr">
        <is>
          <t>O kadar tok okudun ki müdür yardımcısı sınıfa girip anonsu senin yapmanı istedi. Okulun resmî sesisin.</t>
        </is>
      </c>
      <c r="J226" s="6" t="inlineStr">
        <is>
          <t>Bas başladın, tiz bitirdin. Tek cümlede iki kişi konuştu.</t>
        </is>
      </c>
      <c r="K226" s="6" t="inlineStr">
        <is>
          <t>Bas başladın, öksürdün, soprano devam ettin. Müzik öğretmeni seni koroya yazdı. En ön sıraya.</t>
        </is>
      </c>
      <c r="L226" s="6" t="inlineStr"/>
      <c r="M226" s="5" t="inlineStr"/>
      <c r="N226" s="5" t="inlineStr"/>
      <c r="O226" s="6" t="inlineStr"/>
      <c r="P226" s="6" t="inlineStr"/>
      <c r="Q226" s="5" t="inlineStr"/>
      <c r="R226" s="5" t="inlineStr"/>
      <c r="S226" s="5" t="inlineStr"/>
      <c r="T226" s="5" t="inlineStr"/>
      <c r="U226" s="5" t="inlineStr"/>
      <c r="V226" s="5" t="inlineStr"/>
      <c r="W226" s="5" t="inlineStr"/>
      <c r="X226" s="5" t="inlineStr"/>
      <c r="Y226" s="5" t="inlineStr"/>
      <c r="Z226" s="6" t="inlineStr"/>
      <c r="AA226" s="5" t="inlineStr"/>
      <c r="AB226" s="5" t="inlineStr"/>
      <c r="AC226" s="5" t="inlineStr"/>
      <c r="AD226" s="5" t="inlineStr"/>
      <c r="AE226" s="5" t="inlineStr"/>
      <c r="AF226" s="5" t="inlineStr"/>
      <c r="AG226" s="5" t="inlineStr"/>
      <c r="AH226" s="5" t="inlineStr"/>
      <c r="AI226" s="5" t="inlineStr"/>
    </row>
    <row r="227">
      <c r="A227" s="5" t="inlineStr">
        <is>
          <t>b4-ses-catlamasi</t>
        </is>
      </c>
      <c r="B227" s="5" t="n">
        <v>4</v>
      </c>
      <c r="C227" s="6" t="inlineStr">
        <is>
          <t>Çatlamayı şova çevir</t>
        </is>
      </c>
      <c r="D227" s="5" t="inlineStr">
        <is>
          <t>Pişkinlik</t>
        </is>
      </c>
      <c r="E227" s="5" t="inlineStr">
        <is>
          <t>Kolay</t>
        </is>
      </c>
      <c r="F227" s="5" t="inlineStr"/>
      <c r="G227" s="6" t="inlineStr"/>
      <c r="H227" s="6" t="inlineStr">
        <is>
          <t>Ses çatlayınca eğilip selam verdin. Sınıf alkışladı; öğretmen gülmemek için tahtaya döndü.</t>
        </is>
      </c>
      <c r="I227" s="6" t="inlineStr">
        <is>
          <t>Her çatlamada farklı bir karakterin sesini yaptın. Paragraf bir radyo tiyatrosuna döndü.</t>
        </is>
      </c>
      <c r="J227" s="6" t="inlineStr">
        <is>
          <t>Şova çevirdin; öğretmen 'Tekrar baştan' dedi. Gösteri iki kez oynandı, ikincisi daha kötü.</t>
        </is>
      </c>
      <c r="K227" s="6" t="inlineStr">
        <is>
          <t>Şova çevirdin, sınıf coştu. Tam o sırada müdür kapıdan başını uzattı. Gösteri müdürün odasında, tek seyirciyle devam etti.</t>
        </is>
      </c>
      <c r="L227" s="6" t="inlineStr"/>
      <c r="M227" s="5" t="inlineStr"/>
      <c r="N227" s="5" t="inlineStr"/>
      <c r="O227" s="6" t="inlineStr"/>
      <c r="P227" s="6" t="inlineStr"/>
      <c r="Q227" s="5" t="inlineStr">
        <is>
          <t>Sahne Sever</t>
        </is>
      </c>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row>
    <row r="228">
      <c r="A228" s="5" t="inlineStr">
        <is>
          <t>b4-ogretmenler-gunu</t>
        </is>
      </c>
      <c r="B228" s="5" t="n">
        <v>1</v>
      </c>
      <c r="C228" s="6" t="inlineStr">
        <is>
          <t>Elle kart yaz</t>
        </is>
      </c>
      <c r="D228" s="5" t="inlineStr"/>
      <c r="E228" s="5" t="inlineStr"/>
      <c r="F228" s="5" t="inlineStr">
        <is>
          <t>İtibar +1</t>
        </is>
      </c>
      <c r="G228" s="6" t="inlineStr">
        <is>
          <t>El yazısıyla bir kart verdin. Öğretmen çantasına koydu. Yıllar sonra da orada olacak.</t>
        </is>
      </c>
      <c r="H228" s="6" t="inlineStr"/>
      <c r="I228" s="6" t="inlineStr"/>
      <c r="J228" s="6" t="inlineStr"/>
      <c r="K228" s="6" t="inlineStr"/>
      <c r="L228" s="6" t="inlineStr"/>
      <c r="M228" s="5" t="inlineStr"/>
      <c r="N228" s="5" t="inlineStr"/>
      <c r="O228" s="6" t="inlineStr"/>
      <c r="P228" s="6" t="inlineStr"/>
      <c r="Q228" s="5" t="inlineStr"/>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row>
    <row r="229">
      <c r="A229" s="5" t="inlineStr">
        <is>
          <t>b4-ogretmenler-gunu</t>
        </is>
      </c>
      <c r="B229" s="5" t="n">
        <v>2</v>
      </c>
      <c r="C229" s="6" t="inlineStr">
        <is>
          <t>Hediyeyi sen seç</t>
        </is>
      </c>
      <c r="D229" s="5" t="inlineStr">
        <is>
          <t>Sosyal Radar</t>
        </is>
      </c>
      <c r="E229" s="5" t="inlineStr">
        <is>
          <t>Orta</t>
        </is>
      </c>
      <c r="F229" s="5" t="inlineStr"/>
      <c r="G229" s="6" t="inlineStr"/>
      <c r="H229" s="6" t="inlineStr">
        <is>
          <t>Öğretmenin sevdiği çiçeği buldun. Masada tek canlı hediye sizinkiydi.</t>
        </is>
      </c>
      <c r="I229" s="6" t="inlineStr">
        <is>
          <t>Öğretmen hediyeyi açınca gözleri doldu ve 'Bunu nereden bildiniz?' dedi. Kimse sana sormadı ama herkes biliyor.</t>
        </is>
      </c>
      <c r="J229" s="6" t="inlineStr">
        <is>
          <t>Kupa aldınız. Öğretmenin masasında o yıl dokuz kupa vardı.</t>
        </is>
      </c>
      <c r="K229" s="6" t="inlineStr">
        <is>
          <t>Evdeki “yeni gibi” kupayı hediye diye paketledin. Öğretmen paketi sınıfta açtı ve kupayı tanıdı: geçen yıl annene kendisi vermişti.</t>
        </is>
      </c>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row>
    <row r="230">
      <c r="A230" s="5" t="inlineStr">
        <is>
          <t>b4-ogretmenler-gunu</t>
        </is>
      </c>
      <c r="B230" s="5" t="n">
        <v>3</v>
      </c>
      <c r="C230" s="6" t="inlineStr">
        <is>
          <t>Para toplamayı üstlen</t>
        </is>
      </c>
      <c r="D230" s="5" t="inlineStr">
        <is>
          <t>İtibar</t>
        </is>
      </c>
      <c r="E230" s="5" t="inlineStr">
        <is>
          <t>Orta</t>
        </is>
      </c>
      <c r="F230" s="5" t="inlineStr"/>
      <c r="G230" s="6" t="inlineStr"/>
      <c r="H230" s="6" t="inlineStr">
        <is>
          <t>Paraları topladın, deftere yazdın, üstünü iade ettin. Veliler seni muhasebeci ilan etti.</t>
        </is>
      </c>
      <c r="I230" s="6" t="inlineStr">
        <is>
          <t>Toplamı hedefin üstüne çıkardın ve kalan parayla sınıfa pasta aldın. Veli grubu ilk kez hemfikir.</t>
        </is>
      </c>
      <c r="J230" s="6" t="inlineStr">
        <is>
          <t>Üç kişi 'Sonra veririm' dedi. Sonra gelmedi.</t>
        </is>
      </c>
      <c r="K230" s="6" t="inlineStr">
        <is>
          <t>Toplanan parayı cebinde unuttun. Pantolon yıkandı. Para temiz ama sayısı belirsiz.</t>
        </is>
      </c>
      <c r="L230" s="6" t="inlineStr"/>
      <c r="M230" s="5" t="inlineStr"/>
      <c r="N230" s="5" t="inlineStr"/>
      <c r="O230" s="6" t="inlineStr"/>
      <c r="P230" s="6" t="inlineStr"/>
      <c r="Q230" s="5" t="inlineStr">
        <is>
          <t>Kuralı Koyan</t>
        </is>
      </c>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row>
    <row r="231">
      <c r="A231" s="5" t="inlineStr">
        <is>
          <t>b4-ogretmenler-gunu</t>
        </is>
      </c>
      <c r="B231" s="5" t="n">
        <v>4</v>
      </c>
      <c r="C231" s="6" t="inlineStr">
        <is>
          <t>Veli grubunu yatıştır</t>
        </is>
      </c>
      <c r="D231" s="5" t="inlineStr">
        <is>
          <t>İtibar</t>
        </is>
      </c>
      <c r="E231" s="5" t="inlineStr">
        <is>
          <t>Zor</t>
        </is>
      </c>
      <c r="F231" s="5" t="inlineStr"/>
      <c r="G231" s="6" t="inlineStr"/>
      <c r="H231" s="6" t="inlineStr">
        <is>
          <t>Annene 'Katılmak isteyen katılsın, isteyen kart yazsın' yazdırdın. Grup sakinleşti.</t>
        </is>
      </c>
      <c r="I231" s="6" t="inlineStr">
        <is>
          <t>Önerin kabul edildi ve grubun adı 'Yapıcı Veliler' oldu. Arka planda sen varsın.</t>
        </is>
      </c>
      <c r="J231" s="6" t="inlineStr">
        <is>
          <t>Annene yazdırdın; bir veli 'Çocuk mu yazıyor bunları?' diye sordu.</t>
        </is>
      </c>
      <c r="K231" s="6" t="inlineStr">
        <is>
          <t>Annen mesajı senin cümlelerinle gönderdi ama sonuna 'Böyle yaz dedi' diye ekledi.</t>
        </is>
      </c>
      <c r="L231" s="6" t="inlineStr"/>
      <c r="M231" s="5" t="inlineStr"/>
      <c r="N231" s="5" t="inlineStr"/>
      <c r="O231" s="6" t="inlineStr"/>
      <c r="P231" s="6" t="inlineStr"/>
      <c r="Q231" s="5" t="inlineStr">
        <is>
          <t>Grup Diplomatı</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row>
    <row r="232">
      <c r="A232" s="5" t="inlineStr">
        <is>
          <t>b4-ilk-hoslanti</t>
        </is>
      </c>
      <c r="B232" s="5" t="n">
        <v>1</v>
      </c>
      <c r="C232" s="6" t="inlineStr">
        <is>
          <t>Hiçbir şey yapma</t>
        </is>
      </c>
      <c r="D232" s="5" t="inlineStr"/>
      <c r="E232" s="5" t="inlineStr"/>
      <c r="F232" s="5" t="inlineStr">
        <is>
          <t>Dayanıklılık +1</t>
        </is>
      </c>
      <c r="G232" s="6" t="inlineStr">
        <is>
          <t>Hiçbir şey yapmadın. Üç ay boyunca o beğeniyi yorumladın. Tez olurdu.</t>
        </is>
      </c>
      <c r="H232" s="6" t="inlineStr"/>
      <c r="I232" s="6" t="inlineStr"/>
      <c r="J232" s="6" t="inlineStr"/>
      <c r="K232" s="6" t="inlineStr"/>
      <c r="L232" s="6" t="inlineStr"/>
      <c r="M232" s="5" t="inlineStr"/>
      <c r="N232" s="5" t="inlineStr"/>
      <c r="O232" s="6" t="inlineStr"/>
      <c r="P232" s="6" t="inlineStr"/>
      <c r="Q232" s="5" t="inlineStr"/>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row>
    <row r="233">
      <c r="A233" s="5" t="inlineStr">
        <is>
          <t>b4-ilk-hoslanti</t>
        </is>
      </c>
      <c r="B233" s="5" t="n">
        <v>2</v>
      </c>
      <c r="C233" s="6" t="inlineStr">
        <is>
          <t>İlk mesajı at</t>
        </is>
      </c>
      <c r="D233" s="5" t="inlineStr">
        <is>
          <t>Gönül</t>
        </is>
      </c>
      <c r="E233" s="5" t="inlineStr">
        <is>
          <t>Zor</t>
        </is>
      </c>
      <c r="F233" s="5" t="inlineStr"/>
      <c r="G233" s="6" t="inlineStr"/>
      <c r="H233" s="6" t="inlineStr">
        <is>
          <t>'Selam' yazdın. 'Selam' geldi. Tarihî bir yazışma başladı.</t>
        </is>
      </c>
      <c r="I233" s="6" t="inlineStr">
        <is>
          <t>Mesaj attın, cevap emojiyle geldi. Ertesi gün koridorda ilk kez yan yana yürüdünüz.</t>
        </is>
      </c>
      <c r="J233" s="6" t="inlineStr">
        <is>
          <t>'Selam' yazdın. Okundu. Üç gündür 'yazıyor...' görünüyor.</t>
        </is>
      </c>
      <c r="K233" s="6" t="inlineStr">
        <is>
          <t>Yazdın, sildin, yazdın. Silinen hâli gitti: 'Seni özlüyorum sanırım.' Hiç konuşmamıştınız.</t>
        </is>
      </c>
      <c r="L233" s="6" t="inlineStr"/>
      <c r="M233" s="5" t="inlineStr"/>
      <c r="N233" s="5" t="inlineStr"/>
      <c r="O233" s="6" t="inlineStr"/>
      <c r="P233" s="6" t="inlineStr"/>
      <c r="Q233" s="5" t="inlineStr"/>
      <c r="R233" s="5" t="inlineStr"/>
      <c r="S233" s="5" t="inlineStr"/>
      <c r="T233" s="5" t="inlineStr"/>
      <c r="U233" s="5" t="inlineStr"/>
      <c r="V233" s="5" t="inlineStr">
        <is>
          <t>ilk-mesaj</t>
        </is>
      </c>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row>
    <row r="234">
      <c r="A234" s="5" t="inlineStr">
        <is>
          <t>b4-ilk-hoslanti</t>
        </is>
      </c>
      <c r="B234" s="5" t="n">
        <v>3</v>
      </c>
      <c r="C234" s="6" t="inlineStr">
        <is>
          <t>Hikâyesine emoji bırak</t>
        </is>
      </c>
      <c r="D234" s="5" t="inlineStr">
        <is>
          <t>Kurnazlık</t>
        </is>
      </c>
      <c r="E234" s="5" t="inlineStr">
        <is>
          <t>Kolay</t>
        </is>
      </c>
      <c r="F234" s="5" t="inlineStr"/>
      <c r="G234" s="6" t="inlineStr"/>
      <c r="H234" s="6" t="inlineStr">
        <is>
          <t>Ateş emojisi bıraktın. Karşılığında kalp geldi. Telefonu yastığın altına koydun; gece üç kez çıkarıp baktın.</t>
        </is>
      </c>
      <c r="I234" s="6" t="inlineStr">
        <is>
          <t>Emojine cevap olarak özel mesaj geldi: 'Sen de mi bu şarkıyı seviyorsun?' Sevmiyordun. Artık seviyorsun.</t>
        </is>
      </c>
      <c r="J234" s="6" t="inlineStr">
        <is>
          <t>Emoji bıraktın. O da herkese aynı emojiyi bırakıyormuş.</t>
        </is>
      </c>
      <c r="K234" s="6" t="inlineStr">
        <is>
          <t>Ateş bırakacaktın, itfaiyeci gitti. Anlamını kimse çözemedi. Sen de.</t>
        </is>
      </c>
      <c r="L234" s="6" t="inlineStr"/>
      <c r="M234" s="5" t="inlineStr"/>
      <c r="N234" s="5" t="inlineStr"/>
      <c r="O234" s="6" t="inlineStr"/>
      <c r="P234" s="6" t="inlineStr"/>
      <c r="Q234" s="5" t="inlineStr"/>
      <c r="R234" s="5" t="inlineStr"/>
      <c r="S234" s="5" t="inlineStr"/>
      <c r="T234" s="5" t="inlineStr"/>
      <c r="U234" s="5" t="inlineStr"/>
      <c r="V234" s="5" t="inlineStr"/>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row>
    <row r="235">
      <c r="A235" s="5" t="inlineStr">
        <is>
          <t>b4-ilk-hoslanti</t>
        </is>
      </c>
      <c r="B235" s="5" t="n">
        <v>4</v>
      </c>
      <c r="C235" s="6" t="inlineStr">
        <is>
          <t>Ortak arkadaşa sor</t>
        </is>
      </c>
      <c r="D235" s="5" t="inlineStr">
        <is>
          <t>Sosyal Radar</t>
        </is>
      </c>
      <c r="E235" s="5" t="inlineStr">
        <is>
          <t>Kolay</t>
        </is>
      </c>
      <c r="F235" s="5" t="inlineStr"/>
      <c r="G235" s="6" t="inlineStr"/>
      <c r="H235" s="6" t="inlineStr">
        <is>
          <t>Ortak arkadaş haber getirdi: “O da senin hikâyeni ilk izleyenlerden.” O gece uyuyamadın.</t>
        </is>
      </c>
      <c r="I235" s="6" t="inlineStr">
        <is>
          <t>Ortak arkadaş ortamı öyle hazırladı ki teneffüste yanınıza iki kişilik boşluk bırakıldı.</t>
        </is>
      </c>
      <c r="J235" s="6" t="inlineStr">
        <is>
          <t>Ortak arkadaş 'Bilmiyorum, sorayım mı?' dedi. Sormamasını rica ettin. Sordu.</t>
        </is>
      </c>
      <c r="K235" s="6" t="inlineStr">
        <is>
          <t>Ortak arkadaş soruyu kendi bildiği gibi iletti: “Biri seni seviyormuş ama söylemememi istedi.” Cevap geldi: “Kim?” Ortak arkadaş senin adını yazdı.</t>
        </is>
      </c>
      <c r="L235" s="6" t="inlineStr"/>
      <c r="M235" s="5" t="inlineStr"/>
      <c r="N235" s="5" t="inlineStr"/>
      <c r="O235" s="6" t="inlineStr"/>
      <c r="P235" s="6" t="inlineStr"/>
      <c r="Q235" s="5" t="inlineStr"/>
      <c r="R235" s="5" t="inlineStr"/>
      <c r="S235" s="5" t="inlineStr">
        <is>
          <t>Sosyal Radar</t>
        </is>
      </c>
      <c r="T235" s="5" t="inlineStr"/>
      <c r="U235" s="5" t="inlineStr"/>
      <c r="V235" s="5" t="inlineStr">
        <is>
          <t>ilk-mesaj</t>
        </is>
      </c>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row>
    <row r="236">
      <c r="A236" s="5" t="inlineStr">
        <is>
          <t>b4-grup-odevi</t>
        </is>
      </c>
      <c r="B236" s="5" t="n">
        <v>1</v>
      </c>
      <c r="C236" s="6" t="inlineStr">
        <is>
          <t>Hepsini sen yap</t>
        </is>
      </c>
      <c r="D236" s="5" t="inlineStr"/>
      <c r="E236" s="5" t="inlineStr"/>
      <c r="F236" s="5" t="inlineStr">
        <is>
          <t>Dayanıklılık +1</t>
        </is>
      </c>
      <c r="G236" s="6" t="inlineStr">
        <is>
          <t>Ödevi tek başına yaptın. Sunumda üç kişi “Biz yaptık” dedi. Annen o gece ışığı söndürürken “Seninki en güzeliydi” dedi; görmemişti bile.</t>
        </is>
      </c>
      <c r="H236" s="6" t="inlineStr"/>
      <c r="I236" s="6" t="inlineStr"/>
      <c r="J236" s="6" t="inlineStr"/>
      <c r="K236" s="6" t="inlineStr"/>
      <c r="L236" s="6" t="inlineStr"/>
      <c r="M236" s="5" t="inlineStr"/>
      <c r="N236" s="5" t="inlineStr"/>
      <c r="O236" s="6" t="inlineStr"/>
      <c r="P236" s="6" t="inlineStr"/>
      <c r="Q236" s="5" t="inlineStr"/>
      <c r="R236" s="5" t="inlineStr"/>
      <c r="S236" s="5" t="inlineStr"/>
      <c r="T236" s="5" t="inlineStr"/>
      <c r="U236" s="5" t="inlineStr"/>
      <c r="V236" s="5" t="inlineStr"/>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row>
    <row r="237">
      <c r="A237" s="5" t="inlineStr">
        <is>
          <t>b4-grup-odevi</t>
        </is>
      </c>
      <c r="B237" s="5" t="n">
        <v>2</v>
      </c>
      <c r="C237" s="6" t="inlineStr">
        <is>
          <t>Görev dağıt</t>
        </is>
      </c>
      <c r="D237" s="5" t="inlineStr">
        <is>
          <t>Çene</t>
        </is>
      </c>
      <c r="E237" s="5" t="inlineStr">
        <is>
          <t>Zor</t>
        </is>
      </c>
      <c r="F237" s="5" t="inlineStr"/>
      <c r="G237" s="6" t="inlineStr"/>
      <c r="H237" s="6" t="inlineStr">
        <is>
          <t>Herkese bir slayt verdin. Üç slayt geldi, biri başka bir ödevdendi ama geldi.</t>
        </is>
      </c>
      <c r="I237" s="6" t="inlineStr">
        <is>
          <t>Görevleri öyle dağıttın ki herkes kendi fikriymiş gibi çalıştı. Ödev bir gün erken bitti; grup bunu sana borçlu olduğunu bilmiyor.</t>
        </is>
      </c>
      <c r="J237" s="6" t="inlineStr">
        <is>
          <t>Görev dağıttın; üç kişi 'Tamam' yazdı ve bir daha hiçbir şey yazmadı.</t>
        </is>
      </c>
      <c r="K237" s="6" t="inlineStr">
        <is>
          <t>Görev dağıttın; biri sana 'Sen de mi öğretmensin?' yazdı. Grup ondan yana çıktı. Ödev yine sende.</t>
        </is>
      </c>
      <c r="L237" s="6" t="inlineStr"/>
      <c r="M237" s="5" t="inlineStr"/>
      <c r="N237" s="5" t="inlineStr"/>
      <c r="O237" s="6" t="inlineStr"/>
      <c r="P237" s="6" t="inlineStr"/>
      <c r="Q237" s="5" t="inlineStr"/>
      <c r="R237" s="5" t="inlineStr"/>
      <c r="S237" s="5" t="inlineStr"/>
      <c r="T237" s="5" t="inlineStr">
        <is>
          <t>Grup Diplomatı</t>
        </is>
      </c>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row>
    <row r="238">
      <c r="A238" s="5" t="inlineStr">
        <is>
          <t>b4-grup-odevi</t>
        </is>
      </c>
      <c r="B238" s="5" t="n">
        <v>3</v>
      </c>
      <c r="C238" s="6" t="inlineStr">
        <is>
          <t>En sessiz olana alan aç</t>
        </is>
      </c>
      <c r="D238" s="5" t="inlineStr">
        <is>
          <t>Sosyal Radar</t>
        </is>
      </c>
      <c r="E238" s="5" t="inlineStr">
        <is>
          <t>Kolay</t>
        </is>
      </c>
      <c r="F238" s="5" t="inlineStr"/>
      <c r="G238" s="6" t="inlineStr"/>
      <c r="H238" s="6" t="inlineStr">
        <is>
          <t>Sessiz arkadaşa 'Sen başlar mısın?' dedin. Ertesi sabah ödev bitmişti. Kusursuz.</t>
        </is>
      </c>
      <c r="I238" s="6" t="inlineStr">
        <is>
          <t>Sessiz arkadaş ödevi bitirdi, sunumu da yaptı. Öğretmen 'Grup çalışması böyle olur' dedi. Hiç yoktu.</t>
        </is>
      </c>
      <c r="J238" s="6" t="inlineStr">
        <is>
          <t>Alan açtın; o da sessizce alanda bekledi.</t>
        </is>
      </c>
      <c r="K238" s="6" t="inlineStr">
        <is>
          <t>Alan açtın, o da ödevi yaptı ve kapağa sadece kendi adını yazdı. Haklıydı da.</t>
        </is>
      </c>
      <c r="L238" s="6" t="inlineStr"/>
      <c r="M238" s="5" t="inlineStr"/>
      <c r="N238" s="5" t="inlineStr"/>
      <c r="O238" s="6" t="inlineStr"/>
      <c r="P238" s="6" t="inlineStr"/>
      <c r="Q238" s="5" t="inlineStr"/>
      <c r="R238" s="5" t="inlineStr"/>
      <c r="S238" s="5" t="inlineStr">
        <is>
          <t>Sosyal Radar</t>
        </is>
      </c>
      <c r="T238" s="5" t="inlineStr"/>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row>
    <row r="239">
      <c r="A239" s="5" t="inlineStr">
        <is>
          <t>b4-grup-odevi</t>
        </is>
      </c>
      <c r="B239" s="5" t="n">
        <v>4</v>
      </c>
      <c r="C239" s="6" t="inlineStr">
        <is>
          <t>Son gece ortaya çık</t>
        </is>
      </c>
      <c r="D239" s="5" t="inlineStr">
        <is>
          <t>Pişkinlik</t>
        </is>
      </c>
      <c r="E239" s="5" t="inlineStr">
        <is>
          <t>Orta</t>
        </is>
      </c>
      <c r="F239" s="5" t="inlineStr"/>
      <c r="G239" s="6" t="inlineStr"/>
      <c r="H239" s="6" t="inlineStr">
        <is>
          <t>Gece yarısı 'Ben kapağı yaparım' yazdın. Kapak güzeldi. Katkın tescillendi.</t>
        </is>
      </c>
      <c r="I239" s="6" t="inlineStr">
        <is>
          <t>Kapağı öyle yaptın ki öğretmen sadece kapağa not verdi. En yüksek notu da sen aldın.</t>
        </is>
      </c>
      <c r="J239" s="6" t="inlineStr">
        <is>
          <t>Gece yarısı geldin; ödev çoktan bitmişti. Grup seni 'Kapak Sorumlusu' olarak kaydetti. Kapak da bitmişti.</t>
        </is>
      </c>
      <c r="K239" s="6" t="inlineStr">
        <is>
          <t>Gece yarısı geldin, yanlış klasörü yükledin. Öğretmen ödevi tahtaya yansıttı: geçen yazki tatil fotoğrafların. Mayolu olanlar dahil.</t>
        </is>
      </c>
      <c r="L239" s="6" t="inlineStr"/>
      <c r="M239" s="5" t="inlineStr"/>
      <c r="N239" s="5" t="inlineStr"/>
      <c r="O239" s="6" t="inlineStr"/>
      <c r="P239" s="6" t="inlineStr"/>
      <c r="Q239" s="5" t="inlineStr"/>
      <c r="R239" s="5" t="inlineStr"/>
      <c r="S239" s="5" t="inlineStr"/>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row>
    <row r="240">
      <c r="A240" s="5" t="inlineStr">
        <is>
          <t>b4-okul-gezisi</t>
        </is>
      </c>
      <c r="B240" s="5" t="n">
        <v>1</v>
      </c>
      <c r="C240" s="6" t="inlineStr">
        <is>
          <t>Öğretmenin yanına otur</t>
        </is>
      </c>
      <c r="D240" s="5" t="inlineStr"/>
      <c r="E240" s="5" t="inlineStr"/>
      <c r="F240" s="5" t="inlineStr">
        <is>
          <t>İtibar +1</t>
        </is>
      </c>
      <c r="G240" s="6" t="inlineStr">
        <is>
          <t>Öğretmenin yanında oturdun. Üç saat boyunca emeklilikte açacağı pansiyonu dinledin. Mola yerinde sana tost ısmarladı, ayranını da.</t>
        </is>
      </c>
      <c r="H240" s="6" t="inlineStr"/>
      <c r="I240" s="6" t="inlineStr"/>
      <c r="J240" s="6" t="inlineStr"/>
      <c r="K240" s="6" t="inlineStr"/>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row>
    <row r="241">
      <c r="A241" s="5" t="inlineStr">
        <is>
          <t>b4-okul-gezisi</t>
        </is>
      </c>
      <c r="B241" s="5" t="n">
        <v>2</v>
      </c>
      <c r="C241" s="6" t="inlineStr">
        <is>
          <t>Arka koltuğu kap</t>
        </is>
      </c>
      <c r="D241" s="5" t="inlineStr">
        <is>
          <t>Kurnazlık</t>
        </is>
      </c>
      <c r="E241" s="5" t="inlineStr">
        <is>
          <t>Orta</t>
        </is>
      </c>
      <c r="F241" s="5" t="inlineStr"/>
      <c r="G241" s="6" t="inlineStr"/>
      <c r="H241" s="6" t="inlineStr">
        <is>
          <t>Arka koltuktasın. Statü onaylandı.</t>
        </is>
      </c>
      <c r="I241" s="6" t="inlineStr">
        <is>
          <t>Arka koltuğun ortasını kaptın; otobüsün gayriresmî başkanı oldun. Şarkıları sen seçiyorsun.</t>
        </is>
      </c>
      <c r="J241" s="6" t="inlineStr">
        <is>
          <t>Arka koltuğa vardığında son yer bir çantaya verilmişti. Çanta daha popülerdi.</t>
        </is>
      </c>
      <c r="K241" s="6" t="inlineStr">
        <is>
          <t>Arka koltuğu kaptın, yol virajlıydı. Gezi fotoğraflarının hepsinde yeşilsin.</t>
        </is>
      </c>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row>
    <row r="242">
      <c r="A242" s="5" t="inlineStr">
        <is>
          <t>b4-okul-gezisi</t>
        </is>
      </c>
      <c r="B242" s="5" t="n">
        <v>3</v>
      </c>
      <c r="C242" s="6" t="inlineStr">
        <is>
          <t>Otobüste şarkı başlat</t>
        </is>
      </c>
      <c r="D242" s="5" t="inlineStr">
        <is>
          <t>Çene</t>
        </is>
      </c>
      <c r="E242" s="5" t="inlineStr">
        <is>
          <t>Orta</t>
        </is>
      </c>
      <c r="F242" s="5" t="inlineStr"/>
      <c r="G242" s="6" t="inlineStr"/>
      <c r="H242" s="6" t="inlineStr">
        <is>
          <t>Başlattığın şarkıyı otobüsün yarısı söyledi. Yarısı çoğunluk sayılır.</t>
        </is>
      </c>
      <c r="I242" s="6" t="inlineStr">
        <is>
          <t>Şarkı dönüş yolunda da söylendi. Şoför bile katıldı.</t>
        </is>
      </c>
      <c r="J242" s="6" t="inlineStr">
        <is>
          <t>Şarkıyı başlattın; iki kişi katıldı. İkisi de sözleri bilmiyordu.</t>
        </is>
      </c>
      <c r="K242" s="6" t="inlineStr">
        <is>
          <t>Şarkıyı başlattın; kimse katılmadı. İki saatlik yolun ilk dört dakikasıydı.</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row>
    <row r="243">
      <c r="A243" s="5" t="inlineStr">
        <is>
          <t>b4-okul-gezisi</t>
        </is>
      </c>
      <c r="B243" s="5" t="n">
        <v>4</v>
      </c>
      <c r="C243" s="6" t="inlineStr">
        <is>
          <t>Sayımı sen yap</t>
        </is>
      </c>
      <c r="D243" s="5" t="inlineStr">
        <is>
          <t>Akıl</t>
        </is>
      </c>
      <c r="E243" s="5" t="inlineStr">
        <is>
          <t>Kolay</t>
        </is>
      </c>
      <c r="F243" s="5" t="inlineStr"/>
      <c r="G243" s="6" t="inlineStr"/>
      <c r="H243" s="6" t="inlineStr">
        <is>
          <t>Sayımı yaptın, bir kişi eksikti. Tuvalette bulundu. Öğretmen seni yardımcı ilan etti.</t>
        </is>
      </c>
      <c r="I243" s="6" t="inlineStr">
        <is>
          <t>Sayımı yaptın, iki kişinin başka okulun otobüsüne bindiğini fark ettin. Uluslararası kriz önlendi.</t>
        </is>
      </c>
      <c r="J243" s="6" t="inlineStr">
        <is>
          <t>Sayımı yaptın, sayı yine tutmadı. Sorun metotta değilmiş.</t>
        </is>
      </c>
      <c r="K243" s="6" t="inlineStr">
        <is>
          <t>Sayımı yaptın, bir kişi eksik çıktı. Kendini saymamıştın.</t>
        </is>
      </c>
      <c r="L243" s="6" t="inlineStr"/>
      <c r="M243" s="5" t="inlineStr"/>
      <c r="N243" s="5" t="inlineStr"/>
      <c r="O243" s="6" t="inlineStr"/>
      <c r="P243" s="6" t="inlineStr"/>
      <c r="Q243" s="5" t="inlineStr">
        <is>
          <t>Kuralı Koyan</t>
        </is>
      </c>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row>
    <row r="244">
      <c r="A244" s="5" t="inlineStr">
        <is>
          <t>b4-ayna</t>
        </is>
      </c>
      <c r="B244" s="5" t="n">
        <v>1</v>
      </c>
      <c r="C244" s="6" t="inlineStr">
        <is>
          <t>Saçı bırak, çık</t>
        </is>
      </c>
      <c r="D244" s="5" t="inlineStr"/>
      <c r="E244" s="5" t="inlineStr"/>
      <c r="F244" s="5" t="inlineStr">
        <is>
          <t>Dayanıklılık +1</t>
        </is>
      </c>
      <c r="G244" s="6" t="inlineStr">
        <is>
          <t>Saçı olduğu gibi bıraktın. Kimse fark etmedi. Bu da bir cevap.</t>
        </is>
      </c>
      <c r="H244" s="6" t="inlineStr"/>
      <c r="I244" s="6" t="inlineStr"/>
      <c r="J244" s="6" t="inlineStr"/>
      <c r="K244" s="6" t="inlineStr"/>
      <c r="L244" s="6" t="inlineStr"/>
      <c r="M244" s="5" t="inlineStr"/>
      <c r="N244" s="5" t="inlineStr"/>
      <c r="O244" s="6" t="inlineStr"/>
      <c r="P244" s="6" t="inlineStr"/>
      <c r="Q244" s="5" t="inlineStr"/>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row>
    <row r="245">
      <c r="A245" s="5" t="inlineStr">
        <is>
          <t>b4-ayna</t>
        </is>
      </c>
      <c r="B245" s="5" t="n">
        <v>2</v>
      </c>
      <c r="C245" s="6" t="inlineStr">
        <is>
          <t>Babanın jölesini kullan</t>
        </is>
      </c>
      <c r="D245" s="5" t="inlineStr">
        <is>
          <t>Kurnazlık</t>
        </is>
      </c>
      <c r="E245" s="5" t="inlineStr">
        <is>
          <t>Orta</t>
        </is>
      </c>
      <c r="F245" s="5" t="inlineStr"/>
      <c r="G245" s="6" t="inlineStr"/>
      <c r="H245" s="6" t="inlineStr">
        <is>
          <t>Saç yerinde, akşama kadar. Rüzgâr bile izin istiyor.</t>
        </is>
      </c>
      <c r="I245" s="6" t="inlineStr">
        <is>
          <t>Saç öyle oturdu ki sınıfta biri 'Nereye yaptırdın?' diye sordu. Cevabın: 'Babama.'</t>
        </is>
      </c>
      <c r="J245" s="6" t="inlineStr">
        <is>
          <t>Jöleyi fazla koydun. Saçın öğle arasına kadar tek parça hâlinde durdu.</t>
        </is>
      </c>
      <c r="K245" s="6" t="inlineStr">
        <is>
          <t>Jöle sandığın şey tıraş köpüğüydü. Okula bulut gibi gittin. 'Bulut' lakabı üç yıl sürdü.</t>
        </is>
      </c>
      <c r="L245" s="6" t="inlineStr"/>
      <c r="M245" s="5" t="inlineStr"/>
      <c r="N245" s="5" t="inlineStr"/>
      <c r="O245" s="6" t="inlineStr"/>
      <c r="P245" s="6" t="inlineStr"/>
      <c r="Q245" s="5" t="inlineStr"/>
      <c r="R245" s="5" t="inlineStr"/>
      <c r="S245" s="5" t="inlineStr"/>
      <c r="T245" s="5" t="inlineStr"/>
      <c r="U245" s="5" t="inlineStr"/>
      <c r="V245" s="5" t="inlineStr"/>
      <c r="W245" s="5" t="inlineStr">
        <is>
          <t>lakapli</t>
        </is>
      </c>
      <c r="X245" s="5" t="inlineStr"/>
      <c r="Y245" s="5" t="inlineStr"/>
      <c r="Z245" s="6" t="inlineStr"/>
      <c r="AA245" s="5" t="inlineStr"/>
      <c r="AB245" s="5" t="inlineStr"/>
      <c r="AC245" s="5" t="inlineStr"/>
      <c r="AD245" s="5" t="inlineStr"/>
      <c r="AE245" s="5" t="inlineStr"/>
      <c r="AF245" s="5" t="inlineStr"/>
      <c r="AG245" s="5" t="inlineStr"/>
      <c r="AH245" s="5" t="inlineStr"/>
      <c r="AI245" s="5" t="inlineStr">
        <is>
          <t>Bulut</t>
        </is>
      </c>
    </row>
    <row r="246">
      <c r="A246" s="5" t="inlineStr">
        <is>
          <t>b4-ayna</t>
        </is>
      </c>
      <c r="B246" s="5" t="n">
        <v>3</v>
      </c>
      <c r="C246" s="6" t="inlineStr">
        <is>
          <t>Kuaförde yeni tarz iste</t>
        </is>
      </c>
      <c r="D246" s="5" t="inlineStr">
        <is>
          <t>Cesaret</t>
        </is>
      </c>
      <c r="E246" s="5" t="inlineStr">
        <is>
          <t>Orta</t>
        </is>
      </c>
      <c r="F246" s="5" t="inlineStr"/>
      <c r="G246" s="6" t="inlineStr"/>
      <c r="H246" s="6" t="inlineStr">
        <is>
          <t>Kuaföre fotoğraf gösterdin. Sonuç fotoğrafa benziyor. Uzaktan.</t>
        </is>
      </c>
      <c r="I246" s="6" t="inlineStr">
        <is>
          <t>Kuaför fotoğraftakinden daha iyisini yaptı. Pazartesi okulun koridoru yavaşladı.</t>
        </is>
      </c>
      <c r="J246" s="6" t="inlineStr">
        <is>
          <t>Kuaför gösterdiğin fotoğrafı yorumladı. Yorumu serbestti.</t>
        </is>
      </c>
      <c r="K246" s="6" t="inlineStr">
        <is>
          <t>Kuaför 'Güven bana' dedi. Güvendin. Sonuç, annenin gençlik fotoğrafındaki saç modeli.</t>
        </is>
      </c>
      <c r="L246" s="6" t="inlineStr"/>
      <c r="M246" s="5" t="inlineStr"/>
      <c r="N246" s="5" t="inlineStr"/>
      <c r="O246" s="6" t="inlineStr"/>
      <c r="P246" s="6" t="inlineStr"/>
      <c r="Q246" s="5" t="inlineStr"/>
      <c r="R246" s="5" t="inlineStr"/>
      <c r="S246" s="5" t="inlineStr"/>
      <c r="T246" s="5" t="inlineStr"/>
      <c r="U246" s="5" t="inlineStr"/>
      <c r="V246" s="5" t="inlineStr"/>
      <c r="W246" s="5" t="inlineStr"/>
      <c r="X246" s="5" t="inlineStr"/>
      <c r="Y246" s="5" t="inlineStr"/>
      <c r="Z246" s="6" t="inlineStr"/>
      <c r="AA246" s="5" t="inlineStr"/>
      <c r="AB246" s="5" t="inlineStr"/>
      <c r="AC246" s="5" t="inlineStr"/>
      <c r="AD246" s="5" t="inlineStr"/>
      <c r="AE246" s="5" t="inlineStr"/>
      <c r="AF246" s="5" t="inlineStr"/>
      <c r="AG246" s="5" t="inlineStr"/>
      <c r="AH246" s="5" t="inlineStr"/>
      <c r="AI246" s="5" t="inlineStr"/>
    </row>
    <row r="247">
      <c r="A247" s="5" t="inlineStr">
        <is>
          <t>b4-ayna</t>
        </is>
      </c>
      <c r="B247" s="5" t="n">
        <v>4</v>
      </c>
      <c r="C247" s="6" t="inlineStr">
        <is>
          <t>Kuzenden ayna süresi satın al</t>
        </is>
      </c>
      <c r="D247" s="5" t="inlineStr">
        <is>
          <t>Çene</t>
        </is>
      </c>
      <c r="E247" s="5" t="inlineStr">
        <is>
          <t>Kolay</t>
        </is>
      </c>
      <c r="F247" s="5" t="inlineStr"/>
      <c r="G247" s="6" t="inlineStr"/>
      <c r="H247" s="6" t="inlineStr">
        <is>
          <t>Sıradaki kuzenine beş dakika için bir çikolata verdin. Ertesi sabah banyo kapısında el yazısıyla bir fiyat listesi vardı.</t>
        </is>
      </c>
      <c r="I247" s="6" t="inlineStr">
        <is>
          <t>Banyo sırasını bütün aileye saatlik olarak kiraladın. Sabahları trafik düzeldi.</t>
        </is>
      </c>
      <c r="J247" s="6" t="inlineStr">
        <is>
          <t>Kuzenin teklifi kabul etti, çikolatayı yedi, sırayı vermedi.</t>
        </is>
      </c>
      <c r="K247" s="6" t="inlineStr">
        <is>
          <t>Kuzenin fiyatı artırdı. Bayram tatili bitene kadar harçlığının yarısı banyo sırasına gitti.</t>
        </is>
      </c>
      <c r="L247" s="6" t="inlineStr"/>
      <c r="M247" s="5" t="inlineStr"/>
      <c r="N247" s="5" t="inlineStr"/>
      <c r="O247" s="6" t="inlineStr"/>
      <c r="P247" s="6" t="inlineStr"/>
      <c r="Q247" s="5" t="inlineStr">
        <is>
          <t>Küçük Tüccar</t>
        </is>
      </c>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row>
    <row r="248">
      <c r="A248" s="5" t="inlineStr">
        <is>
          <t>b4-bilim-fuari</t>
        </is>
      </c>
      <c r="B248" s="5" t="n">
        <v>1</v>
      </c>
      <c r="C248" s="6" t="inlineStr">
        <is>
          <t>Yanardağ yap</t>
        </is>
      </c>
      <c r="D248" s="5" t="inlineStr"/>
      <c r="E248" s="5" t="inlineStr"/>
      <c r="F248" s="5" t="inlineStr">
        <is>
          <t>Akıl +1</t>
        </is>
      </c>
      <c r="G248" s="6" t="inlineStr">
        <is>
          <t>Karbonatlı yanardağı sundun. Jüri on dördüncü kez etkilendi.</t>
        </is>
      </c>
      <c r="H248" s="6" t="inlineStr"/>
      <c r="I248" s="6" t="inlineStr"/>
      <c r="J248" s="6" t="inlineStr"/>
      <c r="K248" s="6" t="inlineStr"/>
      <c r="L248" s="6" t="inlineStr"/>
      <c r="M248" s="5" t="inlineStr"/>
      <c r="N248" s="5" t="inlineStr"/>
      <c r="O248" s="6" t="inlineStr"/>
      <c r="P248" s="6" t="inlineStr"/>
      <c r="Q248" s="5" t="inlineStr"/>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row>
    <row r="249">
      <c r="A249" s="5" t="inlineStr">
        <is>
          <t>b4-bilim-fuari</t>
        </is>
      </c>
      <c r="B249" s="5" t="n">
        <v>2</v>
      </c>
      <c r="C249" s="6" t="inlineStr">
        <is>
          <t>Kendi projeni yap</t>
        </is>
      </c>
      <c r="D249" s="5" t="inlineStr">
        <is>
          <t>Akıl</t>
        </is>
      </c>
      <c r="E249" s="5" t="inlineStr">
        <is>
          <t>Zor</t>
        </is>
      </c>
      <c r="F249" s="5" t="inlineStr"/>
      <c r="G249" s="6" t="inlineStr"/>
      <c r="H249" s="6" t="inlineStr">
        <is>
          <t>Bitkilerin müziğe tepkisini ölçtün. Sonuç: tepki yok. Jüri dürüstlüğünü ödüllendirdi.</t>
        </is>
      </c>
      <c r="I249" s="6" t="inlineStr">
        <is>
          <t>Apartmanın aidat ödeme davranışını grafikledin. Birinci oldun; site yönetimi raporu istedi.</t>
        </is>
      </c>
      <c r="J249" s="6" t="inlineStr">
        <is>
          <t>Proje yetişmedi. Masada yalnızca başlık vardı: 'Hipotez'.</t>
        </is>
      </c>
      <c r="K249" s="6" t="inlineStr">
        <is>
          <t>Posterin bant tutmadı, yan masadaki yanardağın içine düştü. Yanardağ patladı, poster de. Jüri ikisine de puan vermedi.</t>
        </is>
      </c>
      <c r="L249" s="6" t="inlineStr"/>
      <c r="M249" s="5" t="inlineStr"/>
      <c r="N249" s="5" t="inlineStr"/>
      <c r="O249" s="6" t="inlineStr"/>
      <c r="P249" s="6" t="inlineStr"/>
      <c r="Q249" s="5" t="inlineStr"/>
      <c r="R249" s="5" t="inlineStr"/>
      <c r="S249" s="5" t="inlineStr"/>
      <c r="T249" s="5" t="inlineStr"/>
      <c r="U249" s="5" t="inlineStr"/>
      <c r="V249" s="5" t="inlineStr">
        <is>
          <t>fuar-birincisi</t>
        </is>
      </c>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row>
    <row r="250">
      <c r="A250" s="5" t="inlineStr">
        <is>
          <t>b4-bilim-fuari</t>
        </is>
      </c>
      <c r="B250" s="5" t="n">
        <v>3</v>
      </c>
      <c r="C250" s="6" t="inlineStr">
        <is>
          <t>Jüriye soru sor</t>
        </is>
      </c>
      <c r="D250" s="5" t="inlineStr">
        <is>
          <t>Çene</t>
        </is>
      </c>
      <c r="E250" s="5" t="inlineStr">
        <is>
          <t>Kolay</t>
        </is>
      </c>
      <c r="F250" s="5" t="inlineStr"/>
      <c r="G250" s="6" t="inlineStr"/>
      <c r="H250" s="6" t="inlineStr">
        <is>
          <t>'Sizce neden hep yanardağ yapılıyor?' diye sordun. Jüri üyesi yirmi dakika konuştu, sonra sana puan verdi.</t>
        </is>
      </c>
      <c r="I250" s="6" t="inlineStr">
        <is>
          <t>Soru o kadar yerindeydi ki jüri üyesi seni gelecek yılın jürisine yazdı. Sen de birinci oldun.</t>
        </is>
      </c>
      <c r="J250" s="6" t="inlineStr">
        <is>
          <t>Soru sordun; jüri 'Önce senin projeni görelim' dedi. Projen yanardağdı.</t>
        </is>
      </c>
      <c r="K250" s="6" t="inlineStr">
        <is>
          <t>Soruyu sordun; jüri üyesinin kendi çocuğunun yanardağ yaptığı ortaya çıktı. İlişkiler gerildi.</t>
        </is>
      </c>
      <c r="L250" s="6" t="inlineStr"/>
      <c r="M250" s="5" t="inlineStr"/>
      <c r="N250" s="5" t="inlineStr"/>
      <c r="O250" s="6" t="inlineStr"/>
      <c r="P250" s="6" t="inlineStr"/>
      <c r="Q250" s="5" t="inlineStr"/>
      <c r="R250" s="5" t="inlineStr"/>
      <c r="S250" s="5" t="inlineStr">
        <is>
          <t>Akıl</t>
        </is>
      </c>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row>
    <row r="251">
      <c r="A251" s="5" t="inlineStr">
        <is>
          <t>b4-bilim-fuari</t>
        </is>
      </c>
      <c r="B251" s="5" t="n">
        <v>4</v>
      </c>
      <c r="C251" s="6" t="inlineStr">
        <is>
          <t>Başkasının projesine ortak ol</t>
        </is>
      </c>
      <c r="D251" s="5" t="inlineStr">
        <is>
          <t>Sosyal Radar</t>
        </is>
      </c>
      <c r="E251" s="5" t="inlineStr">
        <is>
          <t>Orta</t>
        </is>
      </c>
      <c r="F251" s="5" t="inlineStr"/>
      <c r="G251" s="6" t="inlineStr"/>
      <c r="H251" s="6" t="inlineStr">
        <is>
          <t>Ortaklık kurdun. Posterde adın küçük puntoyla var.</t>
        </is>
      </c>
      <c r="I251" s="6" t="inlineStr">
        <is>
          <t>Ortaklaşa birinci oldunuz. Madalyayı sen taşıdın.</t>
        </is>
      </c>
      <c r="J251" s="6" t="inlineStr">
        <is>
          <t>Ortak olduğun proje de yanardağmış.</t>
        </is>
      </c>
      <c r="K251" s="6" t="inlineStr">
        <is>
          <t>Ortak olduğun projeyi velisi yapmış. Jüri velinin adını sordu. Sen söyledin.</t>
        </is>
      </c>
      <c r="L251" s="6" t="inlineStr"/>
      <c r="M251" s="5" t="inlineStr"/>
      <c r="N251" s="5" t="inlineStr"/>
      <c r="O251" s="6" t="inlineStr"/>
      <c r="P251" s="6" t="inlineStr"/>
      <c r="Q251" s="5" t="inlineStr"/>
      <c r="R251" s="5" t="inlineStr"/>
      <c r="S251" s="5" t="inlineStr"/>
      <c r="T251" s="5" t="inlineStr"/>
      <c r="U251" s="5" t="inlineStr"/>
      <c r="V251" s="5" t="inlineStr"/>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row>
    <row r="252">
      <c r="A252" s="5" t="inlineStr">
        <is>
          <t>b4-kotu-not</t>
        </is>
      </c>
      <c r="B252" s="5" t="n">
        <v>1</v>
      </c>
      <c r="C252" s="6" t="inlineStr">
        <is>
          <t>Kâğıdı masaya koy</t>
        </is>
      </c>
      <c r="D252" s="5" t="inlineStr"/>
      <c r="E252" s="5" t="inlineStr"/>
      <c r="F252" s="5" t="inlineStr">
        <is>
          <t>İtibar +2</t>
        </is>
      </c>
      <c r="G252" s="6" t="inlineStr">
        <is>
          <t>Kâğıdı masaya koydun. Sessizlik oldu. Sonra baban kendi ortaokul notlarından bahsetti; annen “Daha kötüydü” diye ekledi.</t>
        </is>
      </c>
      <c r="H252" s="6" t="inlineStr"/>
      <c r="I252" s="6" t="inlineStr"/>
      <c r="J252" s="6" t="inlineStr"/>
      <c r="K252" s="6" t="inlineStr"/>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row>
    <row r="253">
      <c r="A253" s="5" t="inlineStr">
        <is>
          <t>b4-kotu-not</t>
        </is>
      </c>
      <c r="B253" s="5" t="n">
        <v>2</v>
      </c>
      <c r="C253" s="6" t="inlineStr">
        <is>
          <t>Poker yüzünü tak</t>
        </is>
      </c>
      <c r="D253" s="5" t="inlineStr">
        <is>
          <t>Pişkinlik</t>
        </is>
      </c>
      <c r="E253" s="5" t="inlineStr">
        <is>
          <t>Zor</t>
        </is>
      </c>
      <c r="F253" s="5" t="inlineStr"/>
      <c r="G253" s="6" t="inlineStr"/>
      <c r="H253" s="6" t="inlineStr">
        <is>
          <t>Yemeğin sonuna kadar kıpırdamadın. Kâğıt çantada, sır güvende, pilav bitti.</t>
        </is>
      </c>
      <c r="I253" s="6" t="inlineStr">
        <is>
          <t>O kadar sakindin ki annen 'Bu çocuk bir şey başarmış' dedi ve tatlı çıkardı. Tatlı suçluluk tadındaydı.</t>
        </is>
      </c>
      <c r="J253" s="6" t="inlineStr">
        <is>
          <t>'Çantanda ne var?' sorusunda gözün kaydı. Çanta masaya getirildi.</t>
        </is>
      </c>
      <c r="K253" s="6" t="inlineStr">
        <is>
          <t>'Bana bak bakayım' dendiğinde 'Matematik değil!' dedin. Kimse matematik sormamıştı.</t>
        </is>
      </c>
      <c r="L253" s="6" t="inlineStr">
        <is>
          <t>Yemeği kazasız bitirdin ama annen kalkarken “Yarın konuşuruz” dedi. O gece uyuyamadın.</t>
        </is>
      </c>
      <c r="M253" s="5" t="inlineStr">
        <is>
          <t>poker</t>
        </is>
      </c>
      <c r="N253" s="5" t="inlineStr">
        <is>
          <t>Akşam Yemeği Sorgusu</t>
        </is>
      </c>
      <c r="O253" s="6" t="inlineStr">
        <is>
          <t>Parmağını daireye koy ve kıpırdatma. Sorular üstüne gelecek.</t>
        </is>
      </c>
      <c r="P253" s="6" t="inlineStr">
        <is>
          <t>{"questions": ["Okul nasıl?", "Sınavlar ne zaman?", "Neden bu kadar sessizsin?", "Çantanda ne var?", "Bana bak bakayım."]}</t>
        </is>
      </c>
      <c r="Q253" s="5" t="inlineStr"/>
      <c r="R253" s="5" t="inlineStr"/>
      <c r="S253" s="5" t="inlineStr"/>
      <c r="T253" s="5" t="inlineStr"/>
      <c r="U253" s="5" t="inlineStr"/>
      <c r="V253" s="5" t="inlineStr"/>
      <c r="W253" s="5" t="inlineStr">
        <is>
          <t>yalanci</t>
        </is>
      </c>
      <c r="X253" s="5" t="inlineStr"/>
      <c r="Y253" s="5" t="inlineStr"/>
      <c r="Z253" s="6" t="inlineStr"/>
      <c r="AA253" s="5" t="inlineStr"/>
      <c r="AB253" s="5" t="inlineStr"/>
      <c r="AC253" s="5" t="inlineStr"/>
      <c r="AD253" s="5" t="inlineStr"/>
      <c r="AE253" s="5" t="inlineStr"/>
      <c r="AF253" s="5" t="inlineStr"/>
      <c r="AG253" s="5" t="inlineStr"/>
      <c r="AH253" s="5" t="inlineStr"/>
      <c r="AI253" s="5" t="inlineStr"/>
    </row>
    <row r="254">
      <c r="A254" s="5" t="inlineStr">
        <is>
          <t>b4-kotu-not</t>
        </is>
      </c>
      <c r="B254" s="5" t="n">
        <v>3</v>
      </c>
      <c r="C254" s="6" t="inlineStr">
        <is>
          <t>İmzayı taklit et</t>
        </is>
      </c>
      <c r="D254" s="5" t="inlineStr">
        <is>
          <t>Kurnazlık</t>
        </is>
      </c>
      <c r="E254" s="5" t="inlineStr">
        <is>
          <t>Zor</t>
        </is>
      </c>
      <c r="F254" s="5" t="inlineStr"/>
      <c r="G254" s="6" t="inlineStr"/>
      <c r="H254" s="6" t="inlineStr">
        <is>
          <t>İmza kusursuz. Kâğıt teslim edildi. Kalbin biraz ağır.</t>
        </is>
      </c>
      <c r="I254" s="6" t="inlineStr">
        <is>
          <t>İmza o kadar iyiydi ki annen sonradan bir resmî evrakta seninkini örnek aldı.</t>
        </is>
      </c>
      <c r="J254" s="6" t="inlineStr">
        <is>
          <t>İmza fazla düzgündü. Öğretmen 'Annen hiç böyle imza atmaz' dedi.</t>
        </is>
      </c>
      <c r="K254" s="6" t="inlineStr">
        <is>
          <t>Annenin değil, yanlışlıkla öğretmenin imzasını taklit ettin. Öğretmen kendi imzasını tanıdı ama ikna olmadı.</t>
        </is>
      </c>
      <c r="L254" s="6" t="inlineStr"/>
      <c r="M254" s="5" t="inlineStr"/>
      <c r="N254" s="5" t="inlineStr"/>
      <c r="O254" s="6" t="inlineStr"/>
      <c r="P254" s="6" t="inlineStr"/>
      <c r="Q254" s="5" t="inlineStr">
        <is>
          <t>Açık Bulur</t>
        </is>
      </c>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row>
    <row r="255">
      <c r="A255" s="5" t="inlineStr">
        <is>
          <t>b4-kotu-not</t>
        </is>
      </c>
      <c r="B255" s="5" t="n">
        <v>4</v>
      </c>
      <c r="C255" s="6" t="inlineStr">
        <is>
          <t>Önce babaanneye göster</t>
        </is>
      </c>
      <c r="D255" s="5" t="inlineStr">
        <is>
          <t>Sosyal Radar</t>
        </is>
      </c>
      <c r="E255" s="5" t="inlineStr">
        <is>
          <t>Orta</t>
        </is>
      </c>
      <c r="F255" s="5" t="inlineStr"/>
      <c r="G255" s="6" t="inlineStr"/>
      <c r="H255" s="6" t="inlineStr">
        <is>
          <t>Babaanne kâğıda baktı: 'Babanın notlarını bir bilsen.' Kalkanın hazır.</t>
        </is>
      </c>
      <c r="I255" s="6" t="inlineStr">
        <is>
          <t>Babaannen akşam yemeğinde çantasından babanın ortaokul karnesini çıkardı. Bütün akşam babanın matematiği konuşuldu. Senin kâğıt çantada uyudu.</t>
        </is>
      </c>
      <c r="J255" s="6" t="inlineStr">
        <is>
          <t>Babaanne kâğıdı gördü ve doğrudan annene götürdü. Kalkan değil, kurye çıktı.</t>
        </is>
      </c>
      <c r="K255" s="6" t="inlineStr">
        <is>
          <t>Babaanne o kadar sevindi ki kâğıdı aile grubuna attı. 'Torunum sınava girmiş' notuyla.</t>
        </is>
      </c>
      <c r="L255" s="6" t="inlineStr"/>
      <c r="M255" s="5" t="inlineStr"/>
      <c r="N255" s="5" t="inlineStr"/>
      <c r="O255" s="6" t="inlineStr"/>
      <c r="P255" s="6" t="inlineStr"/>
      <c r="Q255" s="5" t="inlineStr"/>
      <c r="R255" s="5" t="inlineStr"/>
      <c r="S255" s="5" t="inlineStr"/>
      <c r="T255" s="5" t="inlineStr"/>
      <c r="U255" s="5" t="inlineStr"/>
      <c r="V255" s="5" t="inlineStr"/>
      <c r="W255" s="5" t="inlineStr"/>
      <c r="X255" s="5" t="inlineStr"/>
      <c r="Y255" s="5" t="inlineStr"/>
      <c r="Z255" s="6" t="inlineStr"/>
      <c r="AA255" s="5" t="inlineStr"/>
      <c r="AB255" s="5" t="inlineStr"/>
      <c r="AC255" s="5" t="inlineStr"/>
      <c r="AD255" s="5" t="inlineStr"/>
      <c r="AE255" s="5" t="inlineStr"/>
      <c r="AF255" s="5" t="inlineStr"/>
      <c r="AG255" s="5" t="inlineStr"/>
      <c r="AH255" s="5" t="inlineStr"/>
      <c r="AI255" s="5" t="inlineStr"/>
    </row>
    <row r="256">
      <c r="A256" s="5" t="inlineStr">
        <is>
          <t>b4-kedinin-hesabi</t>
        </is>
      </c>
      <c r="B256" s="5" t="n">
        <v>1</v>
      </c>
      <c r="C256" s="6" t="inlineStr">
        <is>
          <t>Kediyi rahat bırak</t>
        </is>
      </c>
      <c r="D256" s="5" t="inlineStr"/>
      <c r="E256" s="5" t="inlineStr"/>
      <c r="F256" s="5" t="inlineStr">
        <is>
          <t>Gönül +1</t>
        </is>
      </c>
      <c r="G256" s="6" t="inlineStr">
        <is>
          <t>Hesabı kapattın. Kedi kariyerini bıraktı ve yeniden kalorifer peteğine döndü. Mutlu görünüyor.</t>
        </is>
      </c>
      <c r="H256" s="6" t="inlineStr"/>
      <c r="I256" s="6" t="inlineStr"/>
      <c r="J256" s="6" t="inlineStr"/>
      <c r="K256" s="6" t="inlineStr"/>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row>
    <row r="257">
      <c r="A257" s="5" t="inlineStr">
        <is>
          <t>b4-kedinin-hesabi</t>
        </is>
      </c>
      <c r="B257" s="5" t="n">
        <v>2</v>
      </c>
      <c r="C257" s="6" t="inlineStr">
        <is>
          <t>Kedinin menajeri ol</t>
        </is>
      </c>
      <c r="D257" s="5" t="inlineStr">
        <is>
          <t>Çene</t>
        </is>
      </c>
      <c r="E257" s="5" t="inlineStr">
        <is>
          <t>Orta</t>
        </is>
      </c>
      <c r="F257" s="5" t="inlineStr"/>
      <c r="G257" s="6" t="inlineStr"/>
      <c r="H257" s="6" t="inlineStr">
        <is>
          <t>Bir mama firması iki koli mama gönderdi. Menajer payın: bir koli. Yemedin.</t>
        </is>
      </c>
      <c r="I257" s="6" t="inlineStr">
        <is>
          <t>Kedinin takvimi dolu. Sabah çekim, öğlen uyku, akşam kutu açılışı. Sen artık kedinin asistanısın.</t>
        </is>
      </c>
      <c r="J257" s="6" t="inlineStr">
        <is>
          <t>Kedi çekimlere gelmedi. Menajer olarak ilk krizin, oyuncunun kanepenin altında olması.</t>
        </is>
      </c>
      <c r="K257" s="6" t="inlineStr">
        <is>
          <t>Kedi çekim sırasında kamerayı masadan itti. Video en çok izlenen videon oldu. Senin telefonun kırıldı.</t>
        </is>
      </c>
      <c r="L257" s="6" t="inlineStr"/>
      <c r="M257" s="5" t="inlineStr"/>
      <c r="N257" s="5" t="inlineStr"/>
      <c r="O257" s="6" t="inlineStr"/>
      <c r="P257" s="6" t="inlineStr"/>
      <c r="Q257" s="5" t="inlineStr"/>
      <c r="R257" s="5" t="inlineStr"/>
      <c r="S257" s="5" t="inlineStr"/>
      <c r="T257" s="5" t="inlineStr"/>
      <c r="U257" s="5" t="inlineStr"/>
      <c r="V257" s="5" t="inlineStr">
        <is>
          <t>fenomen</t>
        </is>
      </c>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row>
    <row r="258">
      <c r="A258" s="5" t="inlineStr">
        <is>
          <t>b4-kedinin-hesabi</t>
        </is>
      </c>
      <c r="B258" s="5" t="n">
        <v>3</v>
      </c>
      <c r="C258" s="6" t="inlineStr">
        <is>
          <t>Kendin de kadraja gir</t>
        </is>
      </c>
      <c r="D258" s="5" t="inlineStr">
        <is>
          <t>Pişkinlik</t>
        </is>
      </c>
      <c r="E258" s="5" t="inlineStr">
        <is>
          <t>Zor</t>
        </is>
      </c>
      <c r="F258" s="5" t="inlineStr"/>
      <c r="G258" s="6" t="inlineStr"/>
      <c r="H258" s="6" t="inlineStr">
        <is>
          <t>Kediyle ortak içerik üretiyorsunuz. Yorumların yarısı sana. Yarısı iyi.</t>
        </is>
      </c>
      <c r="I258" s="6" t="inlineStr">
        <is>
          <t>Kedi ve sen: resmî ikili. Takipçiler ikinize ayrı ayrı doğum günü mesajı atıyor.</t>
        </is>
      </c>
      <c r="J258" s="6" t="inlineStr">
        <is>
          <t>Kadraja girdin; izlenmeler yarıya düştü. Kedi videonun sonunda kalkıp gitti; en çok o kısım izlendi.</t>
        </is>
      </c>
      <c r="K258" s="6" t="inlineStr">
        <is>
          <t>Yorumlar: 'Kediyi göster, arkadaki çocuk çekilsin.' Arkadaki çocuk sensin.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row>
    <row r="259">
      <c r="A259" s="5" t="inlineStr">
        <is>
          <t>b4-dershane</t>
        </is>
      </c>
      <c r="B259" s="5" t="n">
        <v>1</v>
      </c>
      <c r="C259" s="6" t="inlineStr">
        <is>
          <t>Kabul et</t>
        </is>
      </c>
      <c r="D259" s="5" t="inlineStr"/>
      <c r="E259" s="5" t="inlineStr"/>
      <c r="F259" s="5" t="inlineStr">
        <is>
          <t>Dayanıklılık +1</t>
        </is>
      </c>
      <c r="G259" s="6" t="inlineStr">
        <is>
          <t>Kayıt yapıldı. Cumartesi sabahları artık çizgi film yok, servis var. İlk gün annen çantana börek koydu.</t>
        </is>
      </c>
      <c r="H259" s="6" t="inlineStr"/>
      <c r="I259" s="6" t="inlineStr"/>
      <c r="J259" s="6" t="inlineStr"/>
      <c r="K259" s="6" t="inlineStr"/>
      <c r="L259" s="6" t="inlineStr"/>
      <c r="M259" s="5" t="inlineStr"/>
      <c r="N259" s="5" t="inlineStr"/>
      <c r="O259" s="6" t="inlineStr"/>
      <c r="P259" s="6" t="inlineStr"/>
      <c r="Q259" s="5" t="inlineStr"/>
      <c r="R259" s="5" t="inlineStr"/>
      <c r="S259" s="5" t="inlineStr"/>
      <c r="T259" s="5" t="inlineStr"/>
      <c r="U259" s="5" t="inlineStr">
        <is>
          <t>dershaneli</t>
        </is>
      </c>
      <c r="V259" s="5" t="inlineStr"/>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row>
    <row r="260">
      <c r="A260" s="5" t="inlineStr">
        <is>
          <t>b4-dershane</t>
        </is>
      </c>
      <c r="B260" s="5" t="n">
        <v>2</v>
      </c>
      <c r="C260" s="6" t="inlineStr">
        <is>
          <t>Özel öğretmen iste</t>
        </is>
      </c>
      <c r="D260" s="5" t="inlineStr">
        <is>
          <t>Çene</t>
        </is>
      </c>
      <c r="E260" s="5" t="inlineStr">
        <is>
          <t>Orta</t>
        </is>
      </c>
      <c r="F260" s="5" t="inlineStr"/>
      <c r="G260" s="6" t="inlineStr"/>
      <c r="H260" s="6" t="inlineStr">
        <is>
          <t>Özel öğretmen haftada iki gün geliyor ve her seferinde çayı övüyor.</t>
        </is>
      </c>
      <c r="I260" s="6" t="inlineStr">
        <is>
          <t>Özel öğretmen o kadar iyi çıktı ki ailen onu kuzenle paylaşıyor. Maliyet bölündü, prestij sende.</t>
        </is>
      </c>
      <c r="J260" s="6" t="inlineStr">
        <is>
          <t>Özel öğretmen geldi; senden çok babanla konuşuyor.</t>
        </is>
      </c>
      <c r="K260" s="6" t="inlineStr">
        <is>
          <t>Hem dershane hem özel ders geldi. Babanın akşam çayı o günden beri şekersiz. “Tasarruf” diyor, sana bakarak.</t>
        </is>
      </c>
      <c r="L260" s="6" t="inlineStr"/>
      <c r="M260" s="5" t="inlineStr"/>
      <c r="N260" s="5" t="inlineStr"/>
      <c r="O260" s="6" t="inlineStr"/>
      <c r="P260" s="6" t="inlineStr"/>
      <c r="Q260" s="5" t="inlineStr"/>
      <c r="R260" s="5" t="inlineStr"/>
      <c r="S260" s="5" t="inlineStr"/>
      <c r="T260" s="5" t="inlineStr"/>
      <c r="U260" s="5" t="inlineStr"/>
      <c r="V260" s="5" t="inlineStr"/>
      <c r="W260" s="5" t="inlineStr">
        <is>
          <t>dershaneli</t>
        </is>
      </c>
      <c r="X260" s="5" t="inlineStr"/>
      <c r="Y260" s="5" t="inlineStr"/>
      <c r="Z260" s="6" t="inlineStr"/>
      <c r="AA260" s="5" t="inlineStr"/>
      <c r="AB260" s="5" t="inlineStr"/>
      <c r="AC260" s="5" t="inlineStr"/>
      <c r="AD260" s="5" t="inlineStr"/>
      <c r="AE260" s="5" t="inlineStr"/>
      <c r="AF260" s="5" t="inlineStr"/>
      <c r="AG260" s="5" t="inlineStr"/>
      <c r="AH260" s="5" t="inlineStr"/>
      <c r="AI260" s="5" t="inlineStr"/>
    </row>
    <row r="261">
      <c r="A261" s="5" t="inlineStr">
        <is>
          <t>b4-dershane</t>
        </is>
      </c>
      <c r="B261" s="5" t="n">
        <v>3</v>
      </c>
      <c r="C261" s="6" t="inlineStr">
        <is>
          <t>Kendi kendine çalışacağını söyle</t>
        </is>
      </c>
      <c r="D261" s="5" t="inlineStr">
        <is>
          <t>Pişkinlik</t>
        </is>
      </c>
      <c r="E261" s="5" t="inlineStr">
        <is>
          <t>Zor</t>
        </is>
      </c>
      <c r="F261" s="5" t="inlineStr"/>
      <c r="G261" s="6" t="inlineStr"/>
      <c r="H261" s="6" t="inlineStr">
        <is>
          <t>Ailen denemeye razı oldu. Üç ay süren var.</t>
        </is>
      </c>
      <c r="I261" s="6" t="inlineStr">
        <is>
          <t>Plana o kadar inandılar ki dershane parasının bir kısmı 'başarı fonu' olarak ayrıldı.</t>
        </is>
      </c>
      <c r="J261" s="6" t="inlineStr">
        <is>
          <t>Ailen seni takvime bağladı ve oda kapısına 'Açık Kalacak' kuralı getirdi.</t>
        </is>
      </c>
      <c r="K261" s="6" t="inlineStr">
        <is>
          <t>İlk deneme sonucunun ardından ailen dershaneye yıllık kayıt yaptırdı. Peşin.</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row>
    <row r="262">
      <c r="A262" s="5" t="inlineStr">
        <is>
          <t>b4-dershane</t>
        </is>
      </c>
      <c r="B262" s="5" t="n">
        <v>4</v>
      </c>
      <c r="C262" s="6" t="inlineStr">
        <is>
          <t>Kuzen ve komşu indirimi araştır</t>
        </is>
      </c>
      <c r="D262" s="5" t="inlineStr">
        <is>
          <t>Akıl</t>
        </is>
      </c>
      <c r="E262" s="5" t="inlineStr">
        <is>
          <t>Kolay</t>
        </is>
      </c>
      <c r="F262" s="5" t="inlineStr"/>
      <c r="G262" s="6" t="inlineStr"/>
      <c r="H262" s="6" t="inlineStr">
        <is>
          <t>Kuzen, komşu çocuğu ve erken kayıt indirimini birleştirdin. Fiyat üçte bir düştü.</t>
        </is>
      </c>
      <c r="I262" s="6" t="inlineStr">
        <is>
          <t>İndirimleri öyle birleştirdin ki dershane müdürü babana “Bu çocuğu muhasebeye verelim” dedi. Fiyat yarıya indi.</t>
        </is>
      </c>
      <c r="J262" s="6" t="inlineStr">
        <is>
          <t>İndirimler birleşmiyormuş. Küçük puntoda yazıyordu.</t>
        </is>
      </c>
      <c r="K262" s="6" t="inlineStr">
        <is>
          <t>İndirim için kuzenini de kaydettirdin. Kuzen her denemede senden yüksek aldı.</t>
        </is>
      </c>
      <c r="L262" s="6" t="inlineStr"/>
      <c r="M262" s="5" t="inlineStr"/>
      <c r="N262" s="5" t="inlineStr"/>
      <c r="O262" s="6" t="inlineStr"/>
      <c r="P262" s="6" t="inlineStr"/>
      <c r="Q262" s="5" t="inlineStr">
        <is>
          <t>Kumbara Çocuğu</t>
        </is>
      </c>
      <c r="R262" s="5" t="inlineStr"/>
      <c r="S262" s="5" t="inlineStr"/>
      <c r="T262" s="5" t="inlineStr"/>
      <c r="U262" s="5" t="inlineStr">
        <is>
          <t>dershaneli</t>
        </is>
      </c>
      <c r="V262" s="5" t="inlineStr"/>
      <c r="W262" s="5" t="inlineStr"/>
      <c r="X262" s="5" t="inlineStr"/>
      <c r="Y262" s="5" t="inlineStr"/>
      <c r="Z262" s="6" t="inlineStr"/>
      <c r="AA262" s="5" t="inlineStr"/>
      <c r="AB262" s="5" t="inlineStr"/>
      <c r="AC262" s="5" t="inlineStr"/>
      <c r="AD262" s="5" t="inlineStr"/>
      <c r="AE262" s="5" t="inlineStr"/>
      <c r="AF262" s="5" t="inlineStr"/>
      <c r="AG262" s="5" t="inlineStr"/>
      <c r="AH262" s="5" t="inlineStr"/>
      <c r="AI262" s="5" t="inlineStr"/>
    </row>
    <row r="263">
      <c r="A263" s="5" t="inlineStr">
        <is>
          <t>b4-yanlis-grup</t>
        </is>
      </c>
      <c r="B263" s="5" t="n">
        <v>1</v>
      </c>
      <c r="C263" s="6" t="inlineStr">
        <is>
          <t>Telefonu kapat, uyu</t>
        </is>
      </c>
      <c r="D263" s="5" t="inlineStr"/>
      <c r="E263" s="5" t="inlineStr"/>
      <c r="F263" s="5" t="inlineStr">
        <is>
          <t>Dayanıklılık +1</t>
        </is>
      </c>
      <c r="G263" s="6" t="inlineStr">
        <is>
          <t>Telefonu kapatıp uyudun. Sabah grup kararını vermişti: artık yemeği sen seçiyorsun. Her gün.</t>
        </is>
      </c>
      <c r="H263" s="6" t="inlineStr"/>
      <c r="I263" s="6" t="inlineStr"/>
      <c r="J263" s="6" t="inlineStr"/>
      <c r="K263" s="6" t="inlineStr"/>
      <c r="L263" s="6" t="inlineStr"/>
      <c r="M263" s="5" t="inlineStr"/>
      <c r="N263" s="5" t="inlineStr"/>
      <c r="O263" s="6" t="inlineStr"/>
      <c r="P263" s="6" t="inlineStr"/>
      <c r="Q263" s="5" t="inlineStr"/>
      <c r="R263" s="5" t="inlineStr"/>
      <c r="S263" s="5" t="inlineStr"/>
      <c r="T263" s="5" t="inlineStr"/>
      <c r="U263" s="5" t="inlineStr">
        <is>
          <t>yanlis-grup</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row>
    <row r="264">
      <c r="A264" s="5" t="inlineStr">
        <is>
          <t>b4-yanlis-grup</t>
        </is>
      </c>
      <c r="B264" s="5" t="n">
        <v>2</v>
      </c>
      <c r="C264" s="6" t="inlineStr">
        <is>
          <t>Herkesten sil</t>
        </is>
      </c>
      <c r="D264" s="5" t="inlineStr">
        <is>
          <t>Kurnazlık</t>
        </is>
      </c>
      <c r="E264" s="5" t="inlineStr">
        <is>
          <t>Orta</t>
        </is>
      </c>
      <c r="F264" s="5" t="inlineStr"/>
      <c r="G264" s="6" t="inlineStr"/>
      <c r="H264" s="6" t="inlineStr">
        <is>
          <t>Grupta yalnızca 'Bu mesaj silindi' kaldı. Aile üç gün boyunca neyin silindiğini tahmin etti.</t>
        </is>
      </c>
      <c r="I264" s="6" t="inlineStr">
        <is>
          <t>Sildin; kimse görmemişti. Tek iz, halanın 'Ne sildin?' sorusu. O da cevapsız kaldı.</t>
        </is>
      </c>
      <c r="J264" s="6" t="inlineStr">
        <is>
          <t>Sildin ama dayın çoktan ekran görüntüsü alıp altına 'Hahaha' yazmıştı.</t>
        </is>
      </c>
      <c r="K264" s="6" t="inlineStr">
        <is>
          <t>'Herkesten sil' yerine 'Benden sil'e bastın. Mesaj grupta duruyor. Sen artık göremiyorsun.</t>
        </is>
      </c>
      <c r="L264" s="6" t="inlineStr"/>
      <c r="M264" s="5" t="inlineStr"/>
      <c r="N264" s="5" t="inlineStr"/>
      <c r="O264" s="6" t="inlineStr"/>
      <c r="P264" s="6" t="inlineStr"/>
      <c r="Q264" s="5" t="inlineStr"/>
      <c r="R264" s="5" t="inlineStr"/>
      <c r="S264" s="5" t="inlineStr"/>
      <c r="T264" s="5" t="inlineStr"/>
      <c r="U264" s="5" t="inlineStr"/>
      <c r="V264" s="5" t="inlineStr"/>
      <c r="W264" s="5" t="inlineStr">
        <is>
          <t>yanlis-grup</t>
        </is>
      </c>
      <c r="X264" s="5" t="inlineStr"/>
      <c r="Y264" s="5" t="inlineStr"/>
      <c r="Z264" s="6" t="inlineStr"/>
      <c r="AA264" s="5" t="inlineStr"/>
      <c r="AB264" s="5" t="inlineStr"/>
      <c r="AC264" s="5" t="inlineStr"/>
      <c r="AD264" s="5" t="inlineStr"/>
      <c r="AE264" s="5" t="inlineStr"/>
      <c r="AF264" s="5" t="inlineStr"/>
      <c r="AG264" s="5" t="inlineStr"/>
      <c r="AH264" s="5" t="inlineStr"/>
      <c r="AI264" s="5" t="inlineStr"/>
    </row>
    <row r="265">
      <c r="A265" s="5" t="inlineStr">
        <is>
          <t>b4-yanlis-grup</t>
        </is>
      </c>
      <c r="B265" s="5" t="n">
        <v>3</v>
      </c>
      <c r="C265" s="6" t="inlineStr">
        <is>
          <t>Arkasını topla</t>
        </is>
      </c>
      <c r="D265" s="5" t="inlineStr">
        <is>
          <t>Çene</t>
        </is>
      </c>
      <c r="E265" s="5" t="inlineStr">
        <is>
          <t>Orta</t>
        </is>
      </c>
      <c r="F265" s="5" t="inlineStr"/>
      <c r="G265" s="6" t="inlineStr"/>
      <c r="H265" s="6" t="inlineStr">
        <is>
          <t>'…ve çok seviyorum!' diye ekledin. Annen kalp bıraktı. Yemek bir hafta daha tekrarlandı.</t>
        </is>
      </c>
      <c r="I265" s="6" t="inlineStr">
        <is>
          <t>Devamını öyle getirdin ki mesaj annene bir methiye oldu. Annen tarifi gruba paylaştı. Tarif yayıldı.</t>
        </is>
      </c>
      <c r="J265" s="6" t="inlineStr">
        <is>
          <t>'Şaka şaka' yazdın. Kimse gülmedi. Annen 'Görüşürüz' yazdı.</t>
        </is>
      </c>
      <c r="K265" s="6" t="inlineStr">
        <is>
          <t>Toplamaya çalışırken ikinci mesajı da yanlış gruba attın: 'Bizimkiler hiçbir şey anlamaz.'</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row>
    <row r="266">
      <c r="A266" s="5" t="inlineStr">
        <is>
          <t>b4-yanlis-grup</t>
        </is>
      </c>
      <c r="B266" s="5" t="n">
        <v>4</v>
      </c>
      <c r="C266" s="6" t="inlineStr">
        <is>
          <t>Annenin telefonundan da sil</t>
        </is>
      </c>
      <c r="D266" s="5" t="inlineStr">
        <is>
          <t>Kurnazlık</t>
        </is>
      </c>
      <c r="E266" s="5" t="inlineStr">
        <is>
          <t>Kolay</t>
        </is>
      </c>
      <c r="F266" s="5" t="inlineStr"/>
      <c r="G266" s="6" t="inlineStr"/>
      <c r="H266" s="6" t="inlineStr">
        <is>
          <t>Tezgâha süzüldün, telefonu çevirdin, mesajı sildin. Annen soğan doğramaya devam etti.</t>
        </is>
      </c>
      <c r="I266" s="6" t="inlineStr">
        <is>
          <t>Mesajı sildin, bir de annenin sabah attığı çiçekli günaydını beğendin. Annen akşam “Ne tatlı çocuğum var” dedi. Yemek yine aynıydı.</t>
        </is>
      </c>
      <c r="J266" s="6" t="inlineStr">
        <is>
          <t>Telefonu çevirdiğinde annen dönüp 'Ne arıyorsun?' dedi. 'Saat kaç?' dedin. Duvarda saat var.</t>
        </is>
      </c>
      <c r="K266" s="6" t="inlineStr">
        <is>
          <t>Telefonu çevirdin, sesli mesaj kaydı başladı. Annenin 'Ne yapıyorsun?' sorusu ve senin cevabın aile grubuna gitti.</t>
        </is>
      </c>
      <c r="L266" s="6" t="inlineStr"/>
      <c r="M266" s="5" t="inlineStr"/>
      <c r="N266" s="5" t="inlineStr"/>
      <c r="O266" s="6" t="inlineStr"/>
      <c r="P266" s="6" t="inlineStr"/>
      <c r="Q266" s="5" t="inlineStr"/>
      <c r="R266" s="5" t="inlineStr"/>
      <c r="S266" s="5" t="inlineStr">
        <is>
          <t>Kurnazlık</t>
        </is>
      </c>
      <c r="T266" s="5" t="inlineStr"/>
      <c r="U266" s="5" t="inlineStr"/>
      <c r="V266" s="5" t="inlineStr"/>
      <c r="W266" s="5" t="inlineStr"/>
      <c r="X266" s="5" t="inlineStr"/>
      <c r="Y266" s="5" t="inlineStr"/>
      <c r="Z266" s="6" t="inlineStr"/>
      <c r="AA266" s="5" t="inlineStr"/>
      <c r="AB266" s="5" t="inlineStr"/>
      <c r="AC266" s="5" t="inlineStr"/>
      <c r="AD266" s="5" t="inlineStr"/>
      <c r="AE266" s="5" t="inlineStr"/>
      <c r="AF266" s="5" t="inlineStr"/>
      <c r="AG266" s="5" t="inlineStr"/>
      <c r="AH266" s="5" t="inlineStr"/>
      <c r="AI266" s="5" t="inlineStr"/>
    </row>
    <row r="267">
      <c r="A267" s="5" t="inlineStr">
        <is>
          <t>b4-apartman-toplantisi</t>
        </is>
      </c>
      <c r="B267" s="5" t="n">
        <v>1</v>
      </c>
      <c r="C267" s="6" t="inlineStr">
        <is>
          <t>Zarfı ver, makbuzu al, çık</t>
        </is>
      </c>
      <c r="D267" s="5" t="inlineStr"/>
      <c r="E267" s="5" t="inlineStr"/>
      <c r="F267" s="5" t="inlineStr">
        <is>
          <t>İtibar +1</t>
        </is>
      </c>
      <c r="G267" s="6" t="inlineStr">
        <is>
          <t>Zarfı verdin, makbuzu aldın, çıktın. Kapı kapanırken salondan tek bir cümle duydun: “Çocuklar da artık bahçede top oynamasın.”</t>
        </is>
      </c>
      <c r="H267" s="6" t="inlineStr"/>
      <c r="I267" s="6" t="inlineStr"/>
      <c r="J267" s="6" t="inlineStr"/>
      <c r="K267" s="6" t="inlineStr"/>
      <c r="L267" s="6" t="inlineStr"/>
      <c r="M267" s="5" t="inlineStr"/>
      <c r="N267" s="5" t="inlineStr"/>
      <c r="O267" s="6" t="inlineStr"/>
      <c r="P267" s="6" t="inlineStr"/>
      <c r="Q267" s="5" t="inlineStr"/>
      <c r="R267" s="5" t="inlineStr"/>
      <c r="S267" s="5" t="inlineStr"/>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row>
    <row r="268">
      <c r="A268" s="5" t="inlineStr">
        <is>
          <t>b4-apartman-toplantisi</t>
        </is>
      </c>
      <c r="B268" s="5" t="n">
        <v>2</v>
      </c>
      <c r="C268" s="6" t="inlineStr">
        <is>
          <t>Kapıda kulak kabart</t>
        </is>
      </c>
      <c r="D268" s="5" t="inlineStr">
        <is>
          <t>Sosyal Radar</t>
        </is>
      </c>
      <c r="E268" s="5" t="inlineStr">
        <is>
          <t>Kolay</t>
        </is>
      </c>
      <c r="F268" s="5" t="inlineStr"/>
      <c r="G268" s="6" t="inlineStr"/>
      <c r="H268" s="6" t="inlineStr">
        <is>
          <t>Kapıda iki dakika durdun, apartmanın bütün siyasetini öğrendin: aidat artacak, asansör bozuk kalacak, suçlu çocuklar.</t>
        </is>
      </c>
      <c r="I268" s="6" t="inlineStr">
        <is>
          <t>Beş dakikada kimin kime oy vereceğini çözdün. Akşam yemeğinde babana tam rapor verdin; baban seni danışman ilan etti.</t>
        </is>
      </c>
      <c r="J268" s="6" t="inlineStr">
        <is>
          <t>Kulak verdin ama yönetici kapıyı suratına kapattı. Makbuzu almayı da unuttun.</t>
        </is>
      </c>
      <c r="K268" s="6" t="inlineStr">
        <is>
          <t>Dinlerken yakalandın. Yönetici seni “casus” diye tutanağa geçirdi. Adın ilk kez resmî bir belgede.</t>
        </is>
      </c>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row>
    <row r="269">
      <c r="A269" s="5" t="inlineStr">
        <is>
          <t>b4-apartman-toplantisi</t>
        </is>
      </c>
      <c r="B269" s="5" t="n">
        <v>3</v>
      </c>
      <c r="C269" s="6" t="inlineStr">
        <is>
          <t>Top meselesinde çocukları savun</t>
        </is>
      </c>
      <c r="D269" s="5" t="inlineStr">
        <is>
          <t>Pişkinlik</t>
        </is>
      </c>
      <c r="E269" s="5" t="inlineStr">
        <is>
          <t>Orta</t>
        </is>
      </c>
      <c r="F269" s="5" t="inlineStr"/>
      <c r="G269" s="6" t="inlineStr"/>
      <c r="H269" s="6" t="inlineStr">
        <is>
          <t>“Top oynamazsak nerede oynayalım?” dedin. Sekiz yetişkin cevap veremedi. Bahçeye saat sınırıyla izin çıktı.</t>
        </is>
      </c>
      <c r="I269" s="6" t="inlineStr">
        <is>
          <t>Savunman öyle iyiydi ki komşular bahçeye basket potası alınmasına el kaldırarak karar verdi. Üçüncü kattaki teyze bile kaldırdı.</t>
        </is>
      </c>
      <c r="J269" s="6" t="inlineStr">
        <is>
          <t>Savunmaya başladın; üçüncü kattaki teyze telefonundan kırık camın fotoğrafını açtı. Saklamış.</t>
        </is>
      </c>
      <c r="K269" s="6" t="inlineStr">
        <is>
          <t>Savunmanın ortasında aşağıdan top sesi geldi, ardından cam sesi. Sen değildin ama o gün sen oldun.</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row>
    <row r="270">
      <c r="A270" s="5" t="inlineStr">
        <is>
          <t>b4-apartman-toplantisi</t>
        </is>
      </c>
      <c r="B270" s="5" t="n">
        <v>4</v>
      </c>
      <c r="C270" s="6" t="inlineStr">
        <is>
          <t>Zarftan bir miktar kendine ayır</t>
        </is>
      </c>
      <c r="D270" s="5" t="inlineStr">
        <is>
          <t>Kurnazlık</t>
        </is>
      </c>
      <c r="E270" s="5" t="inlineStr">
        <is>
          <t>Zor</t>
        </is>
      </c>
      <c r="F270" s="5" t="inlineStr"/>
      <c r="G270" s="6" t="inlineStr"/>
      <c r="H270" s="6" t="inlineStr">
        <is>
          <t>Makbuzla zarf arasındaki farkı kimse fark etmedi. Aylık bir “kurye ücreti”n oldu.</t>
        </is>
      </c>
      <c r="I270" s="6" t="inlineStr">
        <is>
          <t>Zarftan bir kâğıt para ayırdın. Yönetici saymadan makbuzu kesti, annen makbuza bakmadan buzdolabına astı. Para kumbarada; vicdanın kumbaradan ağır.</t>
        </is>
      </c>
      <c r="J270" s="6" t="inlineStr">
        <is>
          <t>Zarftan ayırdın, yönetici parayı saydı. Makbuzda eksik yazıyor; annen okuyacak.</t>
        </is>
      </c>
      <c r="K270" s="6" t="inlineStr">
        <is>
          <t>Zarftan ayırdın; yönetici annenin iş arkadaşının kocası çıktı. Akşam mutfakta tutanak tutuldu.</t>
        </is>
      </c>
      <c r="L270" s="6" t="inlineStr"/>
      <c r="M270" s="5" t="inlineStr"/>
      <c r="N270" s="5" t="inlineStr"/>
      <c r="O270" s="6" t="inlineStr"/>
      <c r="P270" s="6" t="inlineStr"/>
      <c r="Q270" s="5" t="inlineStr"/>
      <c r="R270" s="5" t="inlineStr"/>
      <c r="S270" s="5" t="inlineStr"/>
      <c r="T270" s="5" t="inlineStr"/>
      <c r="U270" s="5" t="inlineStr"/>
      <c r="V270" s="5" t="inlineStr"/>
      <c r="W270" s="5" t="inlineStr">
        <is>
          <t>yalanci</t>
        </is>
      </c>
      <c r="X270" s="5" t="inlineStr"/>
      <c r="Y270" s="5" t="inlineStr"/>
      <c r="Z270" s="6" t="inlineStr"/>
      <c r="AA270" s="5" t="inlineStr"/>
      <c r="AB270" s="5" t="inlineStr"/>
      <c r="AC270" s="5" t="inlineStr"/>
      <c r="AD270" s="5" t="inlineStr"/>
      <c r="AE270" s="5" t="inlineStr"/>
      <c r="AF270" s="5" t="inlineStr"/>
      <c r="AG270" s="5" t="inlineStr"/>
      <c r="AH270" s="5" t="inlineStr"/>
      <c r="AI270" s="5" t="inlineStr"/>
    </row>
    <row r="271">
      <c r="A271" s="5" t="inlineStr">
        <is>
          <t>b4-yz-odev</t>
        </is>
      </c>
      <c r="B271" s="5" t="n">
        <v>1</v>
      </c>
      <c r="C271" s="6" t="inlineStr">
        <is>
          <t>Kendin yaz</t>
        </is>
      </c>
      <c r="D271" s="5" t="inlineStr"/>
      <c r="E271" s="5" t="inlineStr"/>
      <c r="F271" s="5" t="inlineStr">
        <is>
          <t>İtibar +1, Akıl +1</t>
        </is>
      </c>
      <c r="G271" s="6" t="inlineStr">
        <is>
          <t>Kendin yazdın. İki imla hatası, bir dürüst cümle: 'Tatil kısaydı.' Öğretmen o cümlenin altını çizdi.</t>
        </is>
      </c>
      <c r="H271" s="6" t="inlineStr"/>
      <c r="I271" s="6" t="inlineStr"/>
      <c r="J271" s="6" t="inlineStr"/>
      <c r="K271" s="6" t="inlineStr"/>
      <c r="L271" s="6" t="inlineStr"/>
      <c r="M271" s="5" t="inlineStr"/>
      <c r="N271" s="5" t="inlineStr"/>
      <c r="O271" s="6" t="inlineStr"/>
      <c r="P271" s="6" t="inlineStr"/>
      <c r="Q271" s="5" t="inlineStr"/>
      <c r="R271" s="5" t="inlineStr"/>
      <c r="S271" s="5" t="inlineStr"/>
      <c r="T271" s="5" t="inlineStr"/>
      <c r="U271" s="5" t="inlineStr"/>
      <c r="V271" s="5" t="inlineStr"/>
      <c r="W271" s="5" t="inlineStr"/>
      <c r="X271" s="5" t="inlineStr"/>
      <c r="Y271" s="5" t="inlineStr"/>
      <c r="Z271" s="6" t="inlineStr"/>
      <c r="AA271" s="5" t="inlineStr"/>
      <c r="AB271" s="5" t="inlineStr"/>
      <c r="AC271" s="5" t="inlineStr"/>
      <c r="AD271" s="5" t="inlineStr"/>
      <c r="AE271" s="5" t="inlineStr"/>
      <c r="AF271" s="5" t="inlineStr"/>
      <c r="AG271" s="5" t="inlineStr"/>
      <c r="AH271" s="5" t="inlineStr"/>
      <c r="AI271" s="5" t="inlineStr"/>
    </row>
    <row r="272">
      <c r="A272" s="5" t="inlineStr">
        <is>
          <t>b4-yz-odev</t>
        </is>
      </c>
      <c r="B272" s="5" t="n">
        <v>2</v>
      </c>
      <c r="C272" s="6" t="inlineStr">
        <is>
          <t>Yapay zekâya yazdır</t>
        </is>
      </c>
      <c r="D272" s="5" t="inlineStr">
        <is>
          <t>Kurnazlık</t>
        </is>
      </c>
      <c r="E272" s="5" t="inlineStr">
        <is>
          <t>Orta</t>
        </is>
      </c>
      <c r="F272" s="5" t="inlineStr"/>
      <c r="G272" s="6" t="inlineStr"/>
      <c r="H272" s="6" t="inlineStr">
        <is>
          <t>Metin kusursuz. Öğretmen 'Çok gelişmişsin' dedi. İçinde bir şey sızladı, geçti.</t>
        </is>
      </c>
      <c r="I272" s="6" t="inlineStr">
        <is>
          <t>Yapay zekâya kendi imla hatalarını da ekletmeyi unutmadın. Öğretmen 'Tam senin tarzın' dedi. Tarzının artık bir yazılımı var.</t>
        </is>
      </c>
      <c r="J272" s="6" t="inlineStr">
        <is>
          <t>Metne göre tatilini Öte Diyar'da, üç dil konuşarak geçirmişsin. Öğretmen aileni arayıp tatili tebrik etti. Annen “Hangi tatil?” dedi.</t>
        </is>
      </c>
      <c r="K272" s="6" t="inlineStr">
        <is>
          <t>Metnin son cümlesi: 'Başka bir konuda yardımcı olabilir miyim?' Öğretmen sınıfa sesli okudu.</t>
        </is>
      </c>
      <c r="L272" s="6" t="inlineStr"/>
      <c r="M272" s="5" t="inlineStr"/>
      <c r="N272" s="5" t="inlineStr"/>
      <c r="O272" s="6" t="inlineStr"/>
      <c r="P272" s="6" t="inlineStr"/>
      <c r="Q272" s="5" t="inlineStr"/>
      <c r="R272" s="5" t="inlineStr"/>
      <c r="S272" s="5" t="inlineStr"/>
      <c r="T272" s="5" t="inlineStr"/>
      <c r="U272" s="5" t="inlineStr">
        <is>
          <t>yz-odevci</t>
        </is>
      </c>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row>
    <row r="273">
      <c r="A273" s="5" t="inlineStr">
        <is>
          <t>b4-yz-odev</t>
        </is>
      </c>
      <c r="B273" s="5" t="n">
        <v>3</v>
      </c>
      <c r="C273" s="6" t="inlineStr">
        <is>
          <t>Yazdır, sonra bozarak yeniden yaz</t>
        </is>
      </c>
      <c r="D273" s="5" t="inlineStr">
        <is>
          <t>Akıl</t>
        </is>
      </c>
      <c r="E273" s="5" t="inlineStr">
        <is>
          <t>Kolay</t>
        </is>
      </c>
      <c r="F273" s="5" t="inlineStr"/>
      <c r="G273" s="6" t="inlineStr"/>
      <c r="H273" s="6" t="inlineStr">
        <is>
          <t>'Ayrıca'ları sildin, iki hata ekledin. İnsan yapımı sertifikası aldın.</t>
        </is>
      </c>
      <c r="I273" s="6" t="inlineStr">
        <is>
          <t>Öyle bir yeniden yazdın ki makinenin metninden iyi oldu. Makine bile etkilenirdi.</t>
        </is>
      </c>
      <c r="J273" s="6" t="inlineStr">
        <is>
          <t>Bozarken bozdun. Metin artık ne sen, ne makine.</t>
        </is>
      </c>
      <c r="K273" s="6" t="inlineStr">
        <is>
          <t>'Ayrıca'ları sildin ama 'Bir yapay zekâ olarak ben de tatile gittim' cümlesini unuttun.</t>
        </is>
      </c>
      <c r="L273" s="6" t="inlineStr"/>
      <c r="M273" s="5" t="inlineStr"/>
      <c r="N273" s="5" t="inlineStr"/>
      <c r="O273" s="6" t="inlineStr"/>
      <c r="P273" s="6" t="inlineStr"/>
      <c r="Q273" s="5" t="inlineStr"/>
      <c r="R273" s="5" t="inlineStr"/>
      <c r="S273" s="5" t="inlineStr">
        <is>
          <t>Akıl</t>
        </is>
      </c>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row>
    <row r="274">
      <c r="A274" s="5" t="inlineStr">
        <is>
          <t>b4-yz-odev</t>
        </is>
      </c>
      <c r="B274" s="5" t="n">
        <v>4</v>
      </c>
      <c r="C274" s="6" t="inlineStr">
        <is>
          <t>Kaynak göstererek birlikte yaz</t>
        </is>
      </c>
      <c r="D274" s="5" t="inlineStr">
        <is>
          <t>Akıl</t>
        </is>
      </c>
      <c r="E274" s="5" t="inlineStr">
        <is>
          <t>Orta</t>
        </is>
      </c>
      <c r="F274" s="5" t="inlineStr"/>
      <c r="G274" s="6" t="inlineStr"/>
      <c r="H274" s="6" t="inlineStr">
        <is>
          <t>Altına 'Yapay zekâ ile birlikte hazırlanmıştır' yazdın. Öğretmen ne yapacağını bilemedi, tam not verdi.</t>
        </is>
      </c>
      <c r="I274" s="6" t="inlineStr">
        <is>
          <t>Öğretmen ödevini öğretmenler odasında okuttu. Ertesi gün iki öğretmen gelip “Bunu bana da kurar mısın?” dedi.</t>
        </is>
      </c>
      <c r="J274" s="6" t="inlineStr">
        <is>
          <t>Kaynak gösterdin; öğretmen kaynağı 'kopya' diye okudu.</t>
        </is>
      </c>
      <c r="K274" s="6" t="inlineStr">
        <is>
          <t>Okul yapay zekâ yönetmeliğini senin ödevin üzerinden yazdı. Adın Ek-1'de.</t>
        </is>
      </c>
      <c r="L274" s="6" t="inlineStr"/>
      <c r="M274" s="5" t="inlineStr"/>
      <c r="N274" s="5" t="inlineStr"/>
      <c r="O274" s="6" t="inlineStr"/>
      <c r="P274" s="6" t="inlineStr"/>
      <c r="Q274" s="5" t="inlineStr">
        <is>
          <t>Ekran Yerlisi</t>
        </is>
      </c>
      <c r="R274" s="5" t="inlineStr"/>
      <c r="S274" s="5" t="inlineStr"/>
      <c r="T274" s="5" t="inlineStr"/>
      <c r="U274" s="5" t="inlineStr"/>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row>
    <row r="275">
      <c r="A275" s="5" t="inlineStr">
        <is>
          <t>b4-kisisel-oda</t>
        </is>
      </c>
      <c r="B275" s="5" t="n">
        <v>1</v>
      </c>
      <c r="C275" s="6" t="inlineStr">
        <is>
          <t>Paylaşmaya razı ol</t>
        </is>
      </c>
      <c r="D275" s="5" t="inlineStr"/>
      <c r="E275" s="5" t="inlineStr"/>
      <c r="F275" s="5" t="inlineStr">
        <is>
          <t>İtibar +1</t>
        </is>
      </c>
      <c r="G275" s="6" t="inlineStr">
        <is>
          <t>Odayı koşu bandıyla paylaştın. Kıyafetlerin bantta, sen yataktasın. Bir gece saat üçte bant kendi kendine çalıştı.</t>
        </is>
      </c>
      <c r="H275" s="6" t="inlineStr"/>
      <c r="I275" s="6" t="inlineStr"/>
      <c r="J275" s="6" t="inlineStr"/>
      <c r="K275" s="6" t="inlineStr"/>
      <c r="L275" s="6" t="inlineStr"/>
      <c r="M275" s="5" t="inlineStr"/>
      <c r="N275" s="5" t="inlineStr"/>
      <c r="O275" s="6" t="inlineStr"/>
      <c r="P275" s="6" t="inlineStr"/>
      <c r="Q275" s="5" t="inlineStr"/>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row>
    <row r="276">
      <c r="A276" s="5" t="inlineStr">
        <is>
          <t>b4-kisisel-oda</t>
        </is>
      </c>
      <c r="B276" s="5" t="n">
        <v>2</v>
      </c>
      <c r="C276" s="6" t="inlineStr">
        <is>
          <t>Resmî başvuru yap</t>
        </is>
      </c>
      <c r="D276" s="5" t="inlineStr">
        <is>
          <t>Akıl</t>
        </is>
      </c>
      <c r="E276" s="5" t="inlineStr">
        <is>
          <t>Orta</t>
        </is>
      </c>
      <c r="F276" s="5" t="inlineStr"/>
      <c r="G276" s="6" t="inlineStr"/>
      <c r="H276" s="6" t="inlineStr">
        <is>
          <t>Gerekçeli, imzalı, ekli bir dilekçe verdin. Aile meclisi odayı sana tahsis etti.</t>
        </is>
      </c>
      <c r="I276" s="6" t="inlineStr">
        <is>
          <t>Dilekçene kat planı ekledin. Oda senin; kapıya kilit, sana anahtar verildi.</t>
        </is>
      </c>
      <c r="J276" s="6" t="inlineStr">
        <is>
          <t>Dilekçe değerlendirmeye alındı. Hâlâ değerlendiriliyor.</t>
        </is>
      </c>
      <c r="K276" s="6" t="inlineStr">
        <is>
          <t>Dilekçeyi koşu bandının üstüne bıraktın. Hâlâ orada; kimse bandı kullanmıyor.</t>
        </is>
      </c>
      <c r="L276" s="6" t="inlineStr"/>
      <c r="M276" s="5" t="inlineStr"/>
      <c r="N276" s="5" t="inlineStr"/>
      <c r="O276" s="6" t="inlineStr"/>
      <c r="P276" s="6" t="inlineStr"/>
      <c r="Q276" s="5" t="inlineStr"/>
      <c r="R276" s="5" t="inlineStr"/>
      <c r="S276" s="5" t="inlineStr"/>
      <c r="T276" s="5" t="inlineStr"/>
      <c r="U276" s="5" t="inlineStr"/>
      <c r="V276" s="5" t="inlineStr">
        <is>
          <t>kendi-odasi</t>
        </is>
      </c>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row>
    <row r="277">
      <c r="A277" s="5" t="inlineStr">
        <is>
          <t>b4-kisisel-oda</t>
        </is>
      </c>
      <c r="B277" s="5" t="n">
        <v>3</v>
      </c>
      <c r="C277" s="6" t="inlineStr">
        <is>
          <t>Koşu bandını delil olarak sun</t>
        </is>
      </c>
      <c r="D277" s="5" t="inlineStr">
        <is>
          <t>Çene</t>
        </is>
      </c>
      <c r="E277" s="5" t="inlineStr">
        <is>
          <t>Kolay</t>
        </is>
      </c>
      <c r="F277" s="5" t="inlineStr"/>
      <c r="G277" s="6" t="inlineStr"/>
      <c r="H277" s="6" t="inlineStr">
        <is>
          <t>'Bant iki yıldır askılık' dedin. Baban itiraz edemedi. Bant balkona sürgün edildi.</t>
        </is>
      </c>
      <c r="I277" s="6" t="inlineStr">
        <is>
          <t>Bandın üstündeki kıyafetlerin fotoğrafını aile grubuna attın. Babaannen “Bu çocuğa oda lazım” yazdı; konu orada kapandı.</t>
        </is>
      </c>
      <c r="J277" s="6" t="inlineStr">
        <is>
          <t>Baban o akşam bantta yürüdü. Göstermelik ama yürüdü.</t>
        </is>
      </c>
      <c r="K277" s="6" t="inlineStr">
        <is>
          <t>Baban itiraz etti, sonra spora başladı. Oda artık ev spor salonu ve sen üye değilsin.</t>
        </is>
      </c>
      <c r="L277" s="6" t="inlineStr"/>
      <c r="M277" s="5" t="inlineStr"/>
      <c r="N277" s="5" t="inlineStr"/>
      <c r="O277" s="6" t="inlineStr"/>
      <c r="P277" s="6" t="inlineStr"/>
      <c r="Q277" s="5" t="inlineStr"/>
      <c r="R277" s="5" t="inlineStr"/>
      <c r="S277" s="5" t="inlineStr">
        <is>
          <t>Çene</t>
        </is>
      </c>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row>
    <row r="278">
      <c r="A278" s="5" t="inlineStr">
        <is>
          <t>b4-kisisel-oda</t>
        </is>
      </c>
      <c r="B278" s="5" t="n">
        <v>4</v>
      </c>
      <c r="C278" s="6" t="inlineStr">
        <is>
          <t>Kediyi odaya yerleştir</t>
        </is>
      </c>
      <c r="D278" s="5" t="inlineStr">
        <is>
          <t>Kurnazlık</t>
        </is>
      </c>
      <c r="E278" s="5" t="inlineStr">
        <is>
          <t>Orta</t>
        </is>
      </c>
      <c r="F278" s="5" t="inlineStr"/>
      <c r="G278" s="6" t="inlineStr"/>
      <c r="H278" s="6" t="inlineStr">
        <is>
          <t>Kedi odayı sahiplendi, sen de kediyi. Oda fiilen ikinizin.</t>
        </is>
      </c>
      <c r="I278" s="6" t="inlineStr">
        <is>
          <t>Kedi odadan çıkmayınca ailen odayı ikinize tapuladı. Kediye de bir yastık düştü.</t>
        </is>
      </c>
      <c r="J278" s="6" t="inlineStr">
        <is>
          <t>Kedi odayı beğenmedi, salona döndü. Seni de götürdü.</t>
        </is>
      </c>
      <c r="K278" s="6" t="inlineStr">
        <is>
          <t>Kedi odayı sahiplendi. Yalnızca kedi. Artık kapıyı ondan izin alarak açıyorsun.</t>
        </is>
      </c>
      <c r="L278" s="6" t="inlineStr"/>
      <c r="M278" s="5" t="inlineStr"/>
      <c r="N278" s="5" t="inlineStr"/>
      <c r="O278" s="6" t="inlineStr"/>
      <c r="P278" s="6" t="inlineStr"/>
      <c r="Q278" s="5" t="inlineStr"/>
      <c r="R278" s="5" t="inlineStr">
        <is>
          <t>kediGeldi</t>
        </is>
      </c>
      <c r="S278" s="5" t="inlineStr"/>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row>
    <row r="279">
      <c r="A279" s="5" t="inlineStr">
        <is>
          <t>b4-fenomen-denemesi</t>
        </is>
      </c>
      <c r="B279" s="5" t="n">
        <v>1</v>
      </c>
      <c r="C279" s="6" t="inlineStr">
        <is>
          <t>Hesabı gizliye al</t>
        </is>
      </c>
      <c r="D279" s="5" t="inlineStr"/>
      <c r="E279" s="5" t="inlineStr"/>
      <c r="F279" s="5" t="inlineStr">
        <is>
          <t>Kurnazlık +1</t>
        </is>
      </c>
      <c r="G279" s="6" t="inlineStr">
        <is>
          <t>Hesabı gizliye aldın. 47 takipçi seçkin bir kulübe dönüştü. Üyelik kapalı.</t>
        </is>
      </c>
      <c r="H279" s="6" t="inlineStr"/>
      <c r="I279" s="6" t="inlineStr"/>
      <c r="J279" s="6" t="inlineStr"/>
      <c r="K279" s="6" t="inlineStr"/>
      <c r="L279" s="6" t="inlineStr"/>
      <c r="M279" s="5" t="inlineStr"/>
      <c r="N279" s="5" t="inlineStr"/>
      <c r="O279" s="6" t="inlineStr"/>
      <c r="P279" s="6" t="inlineStr"/>
      <c r="Q279" s="5" t="inlineStr"/>
      <c r="R279" s="5" t="inlineStr"/>
      <c r="S279" s="5" t="inlineStr"/>
      <c r="T279" s="5" t="inlineStr"/>
      <c r="U279" s="5" t="inlineStr"/>
      <c r="V279" s="5" t="inlineStr"/>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row>
    <row r="280">
      <c r="A280" s="5" t="inlineStr">
        <is>
          <t>b4-fenomen-denemesi</t>
        </is>
      </c>
      <c r="B280" s="5" t="n">
        <v>2</v>
      </c>
      <c r="C280" s="6" t="inlineStr">
        <is>
          <t>Her gün video çek</t>
        </is>
      </c>
      <c r="D280" s="5" t="inlineStr">
        <is>
          <t>Dayanıklılık</t>
        </is>
      </c>
      <c r="E280" s="5" t="inlineStr">
        <is>
          <t>Zor</t>
        </is>
      </c>
      <c r="F280" s="5" t="inlineStr"/>
      <c r="G280" s="6" t="inlineStr"/>
      <c r="H280" s="6" t="inlineStr">
        <is>
          <t>Yüz gün aralıksız paylaştın. Takipçi dört haneye çıktı. Okulda imza isteyen oldu.</t>
        </is>
      </c>
      <c r="I280" s="6" t="inlineStr">
        <is>
          <t>Bir videon patladı. Mahalle kafesi sana 'iş birliği' için bedava tost teklif etti. İlk sponsorluğun.</t>
        </is>
      </c>
      <c r="J280" s="6" t="inlineStr">
        <is>
          <t>Kırk gün paylaştın, kırk birinci gün şifreyi unuttun. İnternette şu an iki sen var.</t>
        </is>
      </c>
      <c r="K280" s="6" t="inlineStr">
        <is>
          <t>En çok izlenen videon, annenin arkadan 'Yemek soğudu!' diye bağırdığı video. Takipçiler annenin hesabını istiyor.</t>
        </is>
      </c>
      <c r="L280" s="6" t="inlineStr"/>
      <c r="M280" s="5" t="inlineStr"/>
      <c r="N280" s="5" t="inlineStr"/>
      <c r="O280" s="6" t="inlineStr"/>
      <c r="P280" s="6" t="inlineStr"/>
      <c r="Q280" s="5" t="inlineStr"/>
      <c r="R280" s="5" t="inlineStr"/>
      <c r="S280" s="5" t="inlineStr"/>
      <c r="T280" s="5" t="inlineStr"/>
      <c r="U280" s="5" t="inlineStr"/>
      <c r="V280" s="5" t="inlineStr">
        <is>
          <t>fenomen</t>
        </is>
      </c>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row>
    <row r="281">
      <c r="A281" s="5" t="inlineStr">
        <is>
          <t>b4-fenomen-denemesi</t>
        </is>
      </c>
      <c r="B281" s="5" t="n">
        <v>3</v>
      </c>
      <c r="C281" s="6" t="inlineStr">
        <is>
          <t>Tartışmalı bir görüş paylaş</t>
        </is>
      </c>
      <c r="D281" s="5" t="inlineStr">
        <is>
          <t>Pişkinlik</t>
        </is>
      </c>
      <c r="E281" s="5" t="inlineStr">
        <is>
          <t>Orta</t>
        </is>
      </c>
      <c r="F281" s="5" t="inlineStr"/>
      <c r="G281" s="6" t="inlineStr"/>
      <c r="H281" s="6" t="inlineStr">
        <is>
          <t>'Pilav, makarnanın yanında olmaz' dedin. Yorumlar savaş alanı. Takipçi üç katına çıktı.</t>
        </is>
      </c>
      <c r="I281" s="6" t="inlineStr">
        <is>
          <t>Bir yemek sayfası seni alıntıladı. Artık bir 'duruşun' var.</t>
        </is>
      </c>
      <c r="J281" s="6" t="inlineStr">
        <is>
          <t>Görüşün kimseyi kızdırmadı. Herkes zaten aynı fikirdeymiş.</t>
        </is>
      </c>
      <c r="K281" s="6" t="inlineStr">
        <is>
          <t>Görüşün teyzeni kızdırdı. Aile grubunda üç gün pilav tartışıldı; adın hiç geçmeden.</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row>
    <row r="282">
      <c r="A282" s="5" t="inlineStr">
        <is>
          <t>b4-fenomen-denemesi</t>
        </is>
      </c>
      <c r="B282" s="5" t="n">
        <v>4</v>
      </c>
      <c r="C282" s="6" t="inlineStr">
        <is>
          <t>Canlı yayın aç</t>
        </is>
      </c>
      <c r="D282" s="5" t="inlineStr">
        <is>
          <t>Pişkinlik</t>
        </is>
      </c>
      <c r="E282" s="5" t="inlineStr">
        <is>
          <t>Kolay</t>
        </is>
      </c>
      <c r="F282" s="5" t="inlineStr"/>
      <c r="G282" s="6" t="inlineStr"/>
      <c r="H282" s="6" t="inlineStr">
        <is>
          <t>Canlı yayında 38 kişiyle soru-cevap yaptın. 37'si soru sordu. Bir tanesi babaannendi.</t>
        </is>
      </c>
      <c r="I282" s="6" t="inlineStr">
        <is>
          <t>Canlı yayın okul dışına taştı; sonunda 'Yarın aynı saatte' dedin ve gerçekten 400 kişi geldi.</t>
        </is>
      </c>
      <c r="J282" s="6" t="inlineStr">
        <is>
          <t>Yayın açtın, sinyal gitti. 38 kişi donmuş yüzüne baktı.</t>
        </is>
      </c>
      <c r="K282" s="6" t="inlineStr">
        <is>
          <t>Canlı yayında 'Şu an çok kişi var' dedin; baban içeri girip 'Kimle konuşuyorsun?' diye sordu. Kesit ayrıca yayıldı.</t>
        </is>
      </c>
      <c r="L282" s="6" t="inlineStr"/>
      <c r="M282" s="5" t="inlineStr"/>
      <c r="N282" s="5" t="inlineStr"/>
      <c r="O282" s="6" t="inlineStr"/>
      <c r="P282" s="6" t="inlineStr"/>
      <c r="Q282" s="5" t="inlineStr"/>
      <c r="R282" s="5" t="inlineStr"/>
      <c r="S282" s="5" t="inlineStr">
        <is>
          <t>Pişkinlik</t>
        </is>
      </c>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row>
    <row r="283">
      <c r="A283" s="5" t="inlineStr">
        <is>
          <t>b4-haracci-rovans</t>
        </is>
      </c>
      <c r="B283" s="5" t="n">
        <v>1</v>
      </c>
      <c r="C283" s="6" t="inlineStr">
        <is>
          <t>Yolunu değiştir</t>
        </is>
      </c>
      <c r="D283" s="5" t="inlineStr"/>
      <c r="E283" s="5" t="inlineStr"/>
      <c r="F283" s="5" t="inlineStr">
        <is>
          <t>Dayanıklılık +1</t>
        </is>
      </c>
      <c r="G283" s="6" t="inlineStr">
        <is>
          <t>Başka sokaktan döndün. O sokak artık haritanda gri. Okul yolun ömür boyu dört dakika uzun.</t>
        </is>
      </c>
      <c r="H283" s="6" t="inlineStr"/>
      <c r="I283" s="6" t="inlineStr"/>
      <c r="J283" s="6" t="inlineStr"/>
      <c r="K283" s="6" t="inlineStr"/>
      <c r="L283" s="6" t="inlineStr"/>
      <c r="M283" s="5" t="inlineStr"/>
      <c r="N283" s="5" t="inlineStr"/>
      <c r="O283" s="6" t="inlineStr"/>
      <c r="P283" s="6" t="inlineStr"/>
      <c r="Q283" s="5" t="inlineStr"/>
      <c r="R283" s="5" t="inlineStr"/>
      <c r="S283" s="5" t="inlineStr"/>
      <c r="T283" s="5" t="inlineStr"/>
      <c r="U283" s="5" t="inlineStr">
        <is>
          <t>sokak-yasagi</t>
        </is>
      </c>
      <c r="V283" s="5" t="inlineStr"/>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row>
    <row r="284">
      <c r="A284" s="5" t="inlineStr">
        <is>
          <t>b4-haracci-rovans</t>
        </is>
      </c>
      <c r="B284" s="5" t="n">
        <v>2</v>
      </c>
      <c r="C284" s="6" t="inlineStr">
        <is>
          <t>Maç teklif et</t>
        </is>
      </c>
      <c r="D284" s="5" t="inlineStr">
        <is>
          <t>Cesaret</t>
        </is>
      </c>
      <c r="E284" s="5" t="inlineStr">
        <is>
          <t>Zor</t>
        </is>
      </c>
      <c r="F284" s="5" t="inlineStr"/>
      <c r="G284" s="6" t="inlineStr"/>
      <c r="H284" s="6" t="inlineStr">
        <is>
          <t>Maç yaptınız. Kaybettin ama dik durdun. Ertesi gün selam verdiler. Kısmi barış.</t>
        </is>
      </c>
      <c r="I284" s="6" t="inlineStr">
        <is>
          <t>Maçı kazandın. Seni takıma aldılar. Artık o köşede sen de duruyorsun; sadece harçlık istemiyorsun.</t>
        </is>
      </c>
      <c r="J284" s="6" t="inlineStr">
        <is>
          <t>'Biz iddiasına oynarız' dediler. İddia bütçen yoktu.</t>
        </is>
      </c>
      <c r="K284" s="6" t="inlineStr">
        <is>
          <t>İlk vuruşta topu bakkalın camına gönderdin. Artık yalnızca haraççılar değil, bakkal da seni tanıyor.</t>
        </is>
      </c>
      <c r="L284" s="6" t="inlineStr"/>
      <c r="M284" s="5" t="inlineStr"/>
      <c r="N284" s="5" t="inlineStr"/>
      <c r="O284" s="6" t="inlineStr"/>
      <c r="P284" s="6" t="inlineStr"/>
      <c r="Q284" s="5" t="inlineStr"/>
      <c r="R284" s="5" t="inlineStr"/>
      <c r="S284" s="5" t="inlineStr"/>
      <c r="T284" s="5" t="inlineStr"/>
      <c r="U284" s="5" t="inlineStr"/>
      <c r="V284" s="5" t="inlineStr"/>
      <c r="W284" s="5" t="inlineStr">
        <is>
          <t>sokak-yasagi</t>
        </is>
      </c>
      <c r="X284" s="5" t="inlineStr"/>
      <c r="Y284" s="5" t="inlineStr"/>
      <c r="Z284" s="6" t="inlineStr"/>
      <c r="AA284" s="5" t="inlineStr"/>
      <c r="AB284" s="5" t="inlineStr"/>
      <c r="AC284" s="5" t="inlineStr"/>
      <c r="AD284" s="5" t="inlineStr"/>
      <c r="AE284" s="5" t="inlineStr"/>
      <c r="AF284" s="5" t="inlineStr"/>
      <c r="AG284" s="5" t="inlineStr"/>
      <c r="AH284" s="5" t="inlineStr"/>
      <c r="AI284" s="5" t="inlineStr"/>
    </row>
    <row r="285">
      <c r="A285" s="5" t="inlineStr">
        <is>
          <t>b4-haracci-rovans</t>
        </is>
      </c>
      <c r="B285" s="5" t="n">
        <v>3</v>
      </c>
      <c r="C285" s="6" t="inlineStr">
        <is>
          <t>Karşılarında dik dur</t>
        </is>
      </c>
      <c r="D285" s="5" t="inlineStr">
        <is>
          <t>Cesaret</t>
        </is>
      </c>
      <c r="E285" s="5" t="inlineStr">
        <is>
          <t>Kolay</t>
        </is>
      </c>
      <c r="F285" s="5" t="inlineStr"/>
      <c r="G285" s="6" t="inlineStr"/>
      <c r="H285" s="6" t="inlineStr">
        <is>
          <t>Durdun, baktın. Onlar da baktı. Sonra top oynamaya devam ettiler. Soğuk barış.</t>
        </is>
      </c>
      <c r="I285" s="6" t="inlineStr">
        <is>
          <t>İçlerinden biri 'Bu bizim eski müşteri' dedi, gülüştüler, geçtin. Mezuniyet gibi bir şey.</t>
        </is>
      </c>
      <c r="J285" s="6" t="inlineStr">
        <is>
          <t>Dik durdun; biri 'Ne bakıyorsun?' dedi. Cevabın yoktu. Yürümeye devam ettin, biraz hızlı.</t>
        </is>
      </c>
      <c r="K285" s="6" t="inlineStr">
        <is>
          <t>Dik durdun ama sesin çatladı. O günden beri köşeden geçerken arkandan ıslık çalıyorlar.</t>
        </is>
      </c>
      <c r="L285" s="6" t="inlineStr"/>
      <c r="M285" s="5" t="inlineStr"/>
      <c r="N285" s="5" t="inlineStr"/>
      <c r="O285" s="6" t="inlineStr"/>
      <c r="P285" s="6" t="inlineStr"/>
      <c r="Q285" s="5" t="inlineStr"/>
      <c r="R285" s="5" t="inlineStr"/>
      <c r="S285" s="5" t="inlineStr">
        <is>
          <t>Cesaret</t>
        </is>
      </c>
      <c r="T285" s="5" t="inlineStr"/>
      <c r="U285" s="5" t="inlineStr"/>
      <c r="V285" s="5" t="inlineStr"/>
      <c r="W285" s="5" t="inlineStr"/>
      <c r="X285" s="5" t="inlineStr"/>
      <c r="Y285" s="5" t="inlineStr"/>
      <c r="Z285" s="6" t="inlineStr"/>
      <c r="AA285" s="5" t="inlineStr"/>
      <c r="AB285" s="5" t="inlineStr"/>
      <c r="AC285" s="5" t="inlineStr"/>
      <c r="AD285" s="5" t="inlineStr"/>
      <c r="AE285" s="5" t="inlineStr"/>
      <c r="AF285" s="5" t="inlineStr"/>
      <c r="AG285" s="5" t="inlineStr"/>
      <c r="AH285" s="5" t="inlineStr"/>
      <c r="AI285" s="5" t="inlineStr"/>
    </row>
    <row r="286">
      <c r="A286" s="5" t="inlineStr">
        <is>
          <t>b4-haracci-rovans</t>
        </is>
      </c>
      <c r="B286" s="5" t="n">
        <v>4</v>
      </c>
      <c r="C286" s="6" t="inlineStr">
        <is>
          <t>Onlara iş teklif et</t>
        </is>
      </c>
      <c r="D286" s="5" t="inlineStr">
        <is>
          <t>Cesaret</t>
        </is>
      </c>
      <c r="E286" s="5" t="inlineStr">
        <is>
          <t>Orta</t>
        </is>
      </c>
      <c r="F286" s="5" t="inlineStr"/>
      <c r="G286" s="6" t="inlineStr"/>
      <c r="H286" s="6" t="inlineStr">
        <is>
          <t>Kantin sipariş servisine dağıtıcı olarak aldın. Haraç bitti, maaş başladı.</t>
        </is>
      </c>
      <c r="I286" s="6" t="inlineStr">
        <is>
          <t>Üçü de artık senin için kantin siparişi taşıyor. Ortadaki sana “Patron” diyor. Bakkal bunu duyunca annene telefon açtı.</t>
        </is>
      </c>
      <c r="J286" s="6" t="inlineStr">
        <is>
          <t>'Biz çalışmayız' dediler. Bu, haraç işinin temel prensibiymiş.</t>
        </is>
      </c>
      <c r="K286" s="6" t="inlineStr">
        <is>
          <t>İş teklif ettin; kabul ettiler, ilk gün kasayı alıp gittiler. Tecrübe böyle kazanılır.</t>
        </is>
      </c>
      <c r="L286" s="6" t="inlineStr"/>
      <c r="M286" s="5" t="inlineStr"/>
      <c r="N286" s="5" t="inlineStr"/>
      <c r="O286" s="6" t="inlineStr"/>
      <c r="P286" s="6" t="inlineStr"/>
      <c r="Q286" s="5" t="inlineStr">
        <is>
          <t>Kantin Ekonomisti</t>
        </is>
      </c>
      <c r="R286" s="5" t="inlineStr"/>
      <c r="S286" s="5" t="inlineStr"/>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row>
    <row r="287">
      <c r="A287" s="5" t="inlineStr">
        <is>
          <t>b4-kantin-ekonomisi</t>
        </is>
      </c>
      <c r="B287" s="5" t="n">
        <v>1</v>
      </c>
      <c r="C287" s="6" t="inlineStr">
        <is>
          <t>Sandviçini evden hazırla</t>
        </is>
      </c>
      <c r="D287" s="5" t="inlineStr"/>
      <c r="E287" s="5" t="inlineStr"/>
      <c r="F287" s="5" t="inlineStr">
        <is>
          <t>Dayanıklılık +1</t>
        </is>
      </c>
      <c r="G287" s="6" t="inlineStr">
        <is>
          <t>Evden sandviç getirdin. Kâğıt havluya sarılı, kaşarı dağılmış ama bedava.</t>
        </is>
      </c>
      <c r="H287" s="6" t="inlineStr"/>
      <c r="I287" s="6" t="inlineStr"/>
      <c r="J287" s="6" t="inlineStr"/>
      <c r="K287" s="6" t="inlineStr"/>
      <c r="L287" s="6" t="inlineStr"/>
      <c r="M287" s="5" t="inlineStr"/>
      <c r="N287" s="5" t="inlineStr"/>
      <c r="O287" s="6" t="inlineStr"/>
      <c r="P287" s="6" t="inlineStr"/>
      <c r="Q287" s="5" t="inlineStr"/>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row>
    <row r="288">
      <c r="A288" s="5" t="inlineStr">
        <is>
          <t>b4-kantin-ekonomisi</t>
        </is>
      </c>
      <c r="B288" s="5" t="n">
        <v>2</v>
      </c>
      <c r="C288" s="6" t="inlineStr">
        <is>
          <t>Sipariş servisi kur</t>
        </is>
      </c>
      <c r="D288" s="5" t="inlineStr">
        <is>
          <t>Kurnazlık</t>
        </is>
      </c>
      <c r="E288" s="5" t="inlineStr">
        <is>
          <t>Zor</t>
        </is>
      </c>
      <c r="F288" s="5" t="inlineStr"/>
      <c r="G288" s="6" t="inlineStr"/>
      <c r="H288" s="6" t="inlineStr">
        <is>
          <t>Kuyruğun önündekine toplu sipariş verdin, arkadakilere tost başına bir bozuklukla dağıttın. Teneffüs bitmeden cebin şıngırdıyordu.</t>
        </is>
      </c>
      <c r="I288" s="6" t="inlineStr">
        <is>
          <t>Teneffüs başlamadan siparişler hazır. Kantinci sana ayrı bir tezgâh verdi. Bayilik aldın.</t>
        </is>
      </c>
      <c r="J288" s="6" t="inlineStr">
        <is>
          <t>Tostlar karıştı. Kaşarlı isteyen sucukluyu aldı. Müşteri memnuniyeti sıfır.</t>
        </is>
      </c>
      <c r="K288" s="6" t="inlineStr">
        <is>
          <t>Kantinci servisini fark etti. Tezgâha 'Aracı yasak' yazısı asıldı. Altında senin fotoğrafın.</t>
        </is>
      </c>
      <c r="L288" s="6" t="inlineStr"/>
      <c r="M288" s="5" t="inlineStr"/>
      <c r="N288" s="5" t="inlineStr"/>
      <c r="O288" s="6" t="inlineStr"/>
      <c r="P288" s="6" t="inlineStr"/>
      <c r="Q288" s="5" t="inlineStr"/>
      <c r="R288" s="5" t="inlineStr"/>
      <c r="S288" s="5" t="inlineStr"/>
      <c r="T288" s="5" t="inlineStr">
        <is>
          <t>Kantin Ekonomisti</t>
        </is>
      </c>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row>
    <row r="289">
      <c r="A289" s="5" t="inlineStr">
        <is>
          <t>b4-kantin-ekonomisi</t>
        </is>
      </c>
      <c r="B289" s="5" t="n">
        <v>3</v>
      </c>
      <c r="C289" s="6" t="inlineStr">
        <is>
          <t>Kek yap, teneffüste sat</t>
        </is>
      </c>
      <c r="D289" s="5" t="inlineStr">
        <is>
          <t>Çene</t>
        </is>
      </c>
      <c r="E289" s="5" t="inlineStr">
        <is>
          <t>Orta</t>
        </is>
      </c>
      <c r="F289" s="5" t="inlineStr"/>
      <c r="G289" s="6" t="inlineStr"/>
      <c r="H289" s="6" t="inlineStr">
        <is>
          <t>Kekler ikinci teneffüste bitti. Annenin tarifi ilk kez ticarileşti.</t>
        </is>
      </c>
      <c r="I289" s="6" t="inlineStr">
        <is>
          <t>Kekler ilk teneffüste bitti. Ertesi gün kantinci tost fiyatını indirdi ve sana “Annene selam söyle” dedi.</t>
        </is>
      </c>
      <c r="J289" s="6" t="inlineStr">
        <is>
          <t>Kekleri kimse almadı. Hepsini sen yedin. Kâr yok, kalori var.</t>
        </is>
      </c>
      <c r="K289" s="6" t="inlineStr">
        <is>
          <t>Müdür yardımcısı da bir dilim aldı. Sonra ruhsatını sordu.</t>
        </is>
      </c>
      <c r="L289" s="6" t="inlineStr"/>
      <c r="M289" s="5" t="inlineStr"/>
      <c r="N289" s="5" t="inlineStr"/>
      <c r="O289" s="6" t="inlineStr"/>
      <c r="P289" s="6" t="inlineStr"/>
      <c r="Q289" s="5" t="inlineStr">
        <is>
          <t>Küçük Tüccar</t>
        </is>
      </c>
      <c r="R289" s="5" t="inlineStr"/>
      <c r="S289" s="5" t="inlineStr"/>
      <c r="T289" s="5" t="inlineStr"/>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row>
    <row r="290">
      <c r="A290" s="5" t="inlineStr">
        <is>
          <t>b4-kantin-ekonomisi</t>
        </is>
      </c>
      <c r="B290" s="5" t="n">
        <v>4</v>
      </c>
      <c r="C290" s="6" t="inlineStr">
        <is>
          <t>Kuyrukta yer sat</t>
        </is>
      </c>
      <c r="D290" s="5" t="inlineStr">
        <is>
          <t>Kurnazlık</t>
        </is>
      </c>
      <c r="E290" s="5" t="inlineStr">
        <is>
          <t>Zor</t>
        </is>
      </c>
      <c r="F290" s="5" t="inlineStr"/>
      <c r="G290" s="6" t="inlineStr"/>
      <c r="H290" s="6" t="inlineStr">
        <is>
          <t>Yerini sattın, yeniden girdin, yine sattın. Üç teneffüste bir haftalık harçlık.</t>
        </is>
      </c>
      <c r="I290" s="6" t="inlineStr">
        <is>
          <t>Kuyrukta yer satmak için iki arkadaşını da işe aldın. Zil çalınca kuyruğun ilk üç yeri sizin.</t>
        </is>
      </c>
      <c r="J290" s="6" t="inlineStr">
        <is>
          <t>Yerini sattın; yeniden girdiğinde kantin kapanmıştı.</t>
        </is>
      </c>
      <c r="K290" s="6" t="inlineStr">
        <is>
          <t>Yer satarken zil çaldı; kuyrukta kimse tost alamadı. Nöbetçi öğretmen “Bu işi kim yapıyor?” diye sordu, on iki parmak seni gösterdi.</t>
        </is>
      </c>
      <c r="L290" s="6" t="inlineStr"/>
      <c r="M290" s="5" t="inlineStr"/>
      <c r="N290" s="5" t="inlineStr"/>
      <c r="O290" s="6" t="inlineStr"/>
      <c r="P290" s="6" t="inlineStr"/>
      <c r="Q290" s="5" t="inlineStr"/>
      <c r="R290" s="5" t="inlineStr">
        <is>
          <t>tepsiTekeli</t>
        </is>
      </c>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row>
    <row r="291">
      <c r="A291" s="5" t="inlineStr">
        <is>
          <t>b4-kantin-ekonomisi</t>
        </is>
      </c>
      <c r="B291" s="5" t="n">
        <v>5</v>
      </c>
      <c r="C291" s="6" t="inlineStr">
        <is>
          <t>Kantinciyle kaynaş</t>
        </is>
      </c>
      <c r="D291" s="5" t="inlineStr">
        <is>
          <t>Sosyal Radar</t>
        </is>
      </c>
      <c r="E291" s="5" t="inlineStr">
        <is>
          <t>Kolay</t>
        </is>
      </c>
      <c r="F291" s="5" t="inlineStr"/>
      <c r="G291" s="6" t="inlineStr"/>
      <c r="H291" s="6" t="inlineStr">
        <is>
          <t>Kantinciye adıyla selam verdin. Tostun hep bir tık daha kaşarlı geliyor.</t>
        </is>
      </c>
      <c r="I291" s="6" t="inlineStr">
        <is>
          <t>Kantinci seni kuyruktan önce alıyor. Yalnız sen biliyorsun, herkes seziyor.</t>
        </is>
      </c>
      <c r="J291" s="6" t="inlineStr">
        <is>
          <t>Kantinci selamını aldı, fiyatı aynen aldı.</t>
        </is>
      </c>
      <c r="K291" s="6" t="inlineStr">
        <is>
          <t>Kaynaştın; artık her teneffüs dert anlatıyor. Tostu soğuk yiyorsun.</t>
        </is>
      </c>
      <c r="L291" s="6" t="inlineStr"/>
      <c r="M291" s="5" t="inlineStr"/>
      <c r="N291" s="5" t="inlineStr"/>
      <c r="O291" s="6" t="inlineStr"/>
      <c r="P291" s="6" t="inlineStr"/>
      <c r="Q291" s="5" t="inlineStr"/>
      <c r="R291" s="5" t="inlineStr"/>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row>
    <row r="292">
      <c r="A292" s="5" t="inlineStr">
        <is>
          <t>b4-bayram-yatirim</t>
        </is>
      </c>
      <c r="B292" s="5" t="n">
        <v>1</v>
      </c>
      <c r="C292" s="6" t="inlineStr">
        <is>
          <t>Ailene teslim et</t>
        </is>
      </c>
      <c r="D292" s="5" t="inlineStr"/>
      <c r="E292" s="5" t="inlineStr"/>
      <c r="F292" s="5" t="inlineStr">
        <is>
          <t>İtibar +1</t>
        </is>
      </c>
      <c r="G292" s="6" t="inlineStr">
        <is>
          <t>Para “senin adına” bir yere konuldu. Nereye olduğunu her sorduğunda cevap aynı: “Büyüyünce.”</t>
        </is>
      </c>
      <c r="H292" s="6" t="inlineStr"/>
      <c r="I292" s="6" t="inlineStr"/>
      <c r="J292" s="6" t="inlineStr"/>
      <c r="K292" s="6" t="inlineStr"/>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row>
    <row r="293">
      <c r="A293" s="5" t="inlineStr">
        <is>
          <t>b4-bayram-yatirim</t>
        </is>
      </c>
      <c r="B293" s="5" t="n">
        <v>2</v>
      </c>
      <c r="C293" s="6" t="inlineStr">
        <is>
          <t>Dijital paraya yatır</t>
        </is>
      </c>
      <c r="D293" s="5" t="inlineStr">
        <is>
          <t>Kurnazlık</t>
        </is>
      </c>
      <c r="E293" s="5" t="inlineStr">
        <is>
          <t>Zor</t>
        </is>
      </c>
      <c r="F293" s="5" t="inlineStr"/>
      <c r="G293" s="6" t="inlineStr"/>
      <c r="H293" s="6" t="inlineStr">
        <is>
          <t>İki hafta sonra yüzde otuz kârdaydın ve çıktın. Nadir görülen bir olgunluk.</t>
        </is>
      </c>
      <c r="I293" s="6" t="inlineStr">
        <is>
          <t>Tepede sattın. Arkadaşının abisi sana tavsiye sormaya başladı.</t>
        </is>
      </c>
      <c r="J293" s="6" t="inlineStr">
        <is>
          <t>Değer düştü. Arkadaşının abisinden 'Uzun vadeli düşün' mesajı geldi.</t>
        </is>
      </c>
      <c r="K293" s="6" t="inlineStr">
        <is>
          <t>Dijital paranın adı 'Mahalle Coin'di. Kurucusu arkadaşının abisiydi. Abi yeni bir telefon kullanıyor.</t>
        </is>
      </c>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row>
    <row r="294">
      <c r="A294" s="5" t="inlineStr">
        <is>
          <t>b4-bayram-yatirim</t>
        </is>
      </c>
      <c r="B294" s="5" t="n">
        <v>3</v>
      </c>
      <c r="C294" s="6" t="inlineStr">
        <is>
          <t>Kumbarada tut</t>
        </is>
      </c>
      <c r="D294" s="5" t="inlineStr">
        <is>
          <t>Akıl</t>
        </is>
      </c>
      <c r="E294" s="5" t="inlineStr">
        <is>
          <t>Kolay</t>
        </is>
      </c>
      <c r="F294" s="5" t="inlineStr"/>
      <c r="G294" s="6" t="inlineStr"/>
      <c r="H294" s="6" t="inlineStr">
        <is>
          <t>Kumbara ağırlaştı. Getiri yok ama kayıp da yok. Klasik yastık altı.</t>
        </is>
      </c>
      <c r="I294" s="6" t="inlineStr">
        <is>
          <t>Babaannen seni kuyumcuya götürdü, harçlığa bir çeyrek altın aldınız. Babaannen kuyumcuyla senden iyi pazarlık etti.</t>
        </is>
      </c>
      <c r="J294" s="6" t="inlineStr">
        <is>
          <t>Kumbarada tuttun. Bir yıl sonra aynı para bir tost daha az ediyordu.</t>
        </is>
      </c>
      <c r="K294" s="6" t="inlineStr">
        <is>
          <t>Kumbarayı sakladığın yeri kuzenin yine buldu. Kuzen artık bir dedektif.</t>
        </is>
      </c>
      <c r="L294" s="6" t="inlineStr"/>
      <c r="M294" s="5" t="inlineStr"/>
      <c r="N294" s="5" t="inlineStr"/>
      <c r="O294" s="6" t="inlineStr"/>
      <c r="P294" s="6" t="inlineStr"/>
      <c r="Q294" s="5" t="inlineStr">
        <is>
          <t>Yastık Altı Ekonomisti</t>
        </is>
      </c>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row>
    <row r="295">
      <c r="A295" s="5" t="inlineStr">
        <is>
          <t>b4-bayram-yatirim</t>
        </is>
      </c>
      <c r="B295" s="5" t="n">
        <v>4</v>
      </c>
      <c r="C295" s="6" t="inlineStr">
        <is>
          <t>Ailene faizle borç ver</t>
        </is>
      </c>
      <c r="D295" s="5" t="inlineStr">
        <is>
          <t>Çene</t>
        </is>
      </c>
      <c r="E295" s="5" t="inlineStr">
        <is>
          <t>Orta</t>
        </is>
      </c>
      <c r="F295" s="5" t="inlineStr"/>
      <c r="G295" s="6" t="inlineStr"/>
      <c r="H295" s="6" t="inlineStr">
        <is>
          <t>Baban senet imzaladı, gülerek. Senet dolapta. Sen ciddisin.</t>
        </is>
      </c>
      <c r="I295" s="6" t="inlineStr">
        <is>
          <t>Faiz oranını pazarlıkla belirledin. Ailen her ay taksit ödüyor. Akşam yemeklerinde gergin bir kredi ilişkisi var.</t>
        </is>
      </c>
      <c r="J295" s="6" t="inlineStr">
        <is>
          <t>Geri ödeme 'ileride' olarak planlandı. İleridenin ne zaman olduğu belirtilmedi.</t>
        </is>
      </c>
      <c r="K295" s="6" t="inlineStr">
        <is>
          <t>Ailen parayı dershane taksitine saydı. Kendi eğitimini kredilendirmiş oldun.</t>
        </is>
      </c>
      <c r="L295" s="6" t="inlineStr"/>
      <c r="M295" s="5" t="inlineStr"/>
      <c r="N295" s="5" t="inlineStr"/>
      <c r="O295" s="6" t="inlineStr"/>
      <c r="P295" s="6" t="inlineStr"/>
      <c r="Q295" s="5" t="inlineStr"/>
      <c r="R295" s="5" t="inlineStr">
        <is>
          <t>ilkKelimePara</t>
        </is>
      </c>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row>
    <row r="296">
      <c r="A296" s="5" t="inlineStr">
        <is>
          <t>b4-ilk-bulusma</t>
        </is>
      </c>
      <c r="B296" s="5" t="n">
        <v>1</v>
      </c>
      <c r="C296" s="6" t="inlineStr">
        <is>
          <t>Grupla git</t>
        </is>
      </c>
      <c r="D296" s="5" t="inlineStr"/>
      <c r="E296" s="5" t="inlineStr"/>
      <c r="F296" s="5" t="inlineStr">
        <is>
          <t>Sosyal Radar +1</t>
        </is>
      </c>
      <c r="G296" s="6" t="inlineStr">
        <is>
          <t>Sekiz kişi gittiniz. Yan yana oturmayı başardınız. Sohbet diğer altı kişi arasında geçti.</t>
        </is>
      </c>
      <c r="H296" s="6" t="inlineStr"/>
      <c r="I296" s="6" t="inlineStr"/>
      <c r="J296" s="6" t="inlineStr"/>
      <c r="K296" s="6" t="inlineStr"/>
      <c r="L296" s="6" t="inlineStr"/>
      <c r="M296" s="5" t="inlineStr"/>
      <c r="N296" s="5" t="inlineStr"/>
      <c r="O296" s="6" t="inlineStr"/>
      <c r="P296" s="6" t="inlineStr"/>
      <c r="Q296" s="5" t="inlineStr"/>
      <c r="R296" s="5" t="inlineStr"/>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row>
    <row r="297">
      <c r="A297" s="5" t="inlineStr">
        <is>
          <t>b4-ilk-bulusma</t>
        </is>
      </c>
      <c r="B297" s="5" t="n">
        <v>2</v>
      </c>
      <c r="C297" s="6" t="inlineStr">
        <is>
          <t>Baş başa buluş</t>
        </is>
      </c>
      <c r="D297" s="5" t="inlineStr">
        <is>
          <t>Gönül</t>
        </is>
      </c>
      <c r="E297" s="5" t="inlineStr">
        <is>
          <t>Zor</t>
        </is>
      </c>
      <c r="F297" s="5" t="inlineStr"/>
      <c r="G297" s="6" t="inlineStr"/>
      <c r="H297" s="6" t="inlineStr">
        <is>
          <t>Çarşıda dondurma yediniz. Kırk dakika, üç sessizlik, bir gülüş. Tarih yazıldı.</t>
        </is>
      </c>
      <c r="I297" s="6" t="inlineStr">
        <is>
          <t>El ele tutuştunuz. Üç saniye. Sonra ikiniz de ellerinizi cebe soktunuz ve bu konu bir daha hiç konuşulmadı.</t>
        </is>
      </c>
      <c r="J297" s="6" t="inlineStr">
        <is>
          <t>Buluştunuz. Annen tesadüfen aynı çarşıda alışveriş yapıyordu. Tesadüfen.</t>
        </is>
      </c>
      <c r="K297" s="6" t="inlineStr">
        <is>
          <t>Annen seni arabayla bıraktı, camı indirdi ve buluştuğun kişiye 'Merhaba canım, ne yiyeceksiniz?' diye sordu.</t>
        </is>
      </c>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row>
    <row r="298">
      <c r="A298" s="5" t="inlineStr">
        <is>
          <t>b4-ilk-bulusma</t>
        </is>
      </c>
      <c r="B298" s="5" t="n">
        <v>3</v>
      </c>
      <c r="C298" s="6" t="inlineStr">
        <is>
          <t>Mazeret uydur, ertele</t>
        </is>
      </c>
      <c r="D298" s="5" t="inlineStr">
        <is>
          <t>Kurnazlık</t>
        </is>
      </c>
      <c r="E298" s="5" t="inlineStr">
        <is>
          <t>Kolay</t>
        </is>
      </c>
      <c r="F298" s="5" t="inlineStr"/>
      <c r="G298" s="6" t="inlineStr"/>
      <c r="H298" s="6" t="inlineStr">
        <is>
          <t>'Dershane var' dedin. 'Olsun, sonra' dedi. Randevu korunuyor.</t>
        </is>
      </c>
      <c r="I298" s="6" t="inlineStr">
        <is>
          <t>Ertelediğin buluşmanın yerine daha iyi bir plan önerdin. Kabul edildi. Zaman kazandın, puan kazandın.</t>
        </is>
      </c>
      <c r="J298" s="6" t="inlineStr">
        <is>
          <t>'Dershane var' dedin. O da aynı dershaneye gidiyormuş.</t>
        </is>
      </c>
      <c r="K298" s="6" t="inlineStr">
        <is>
          <t>Mazeret uydurdun; o saatte kısa video uygulamasında canlı yayındaydın. İzleyicilerden biri oydu.</t>
        </is>
      </c>
      <c r="L298" s="6" t="inlineStr"/>
      <c r="M298" s="5" t="inlineStr"/>
      <c r="N298" s="5" t="inlineStr"/>
      <c r="O298" s="6" t="inlineStr"/>
      <c r="P298" s="6" t="inlineStr"/>
      <c r="Q298" s="5" t="inlineStr"/>
      <c r="R298" s="5" t="inlineStr"/>
      <c r="S298" s="5" t="inlineStr"/>
      <c r="T298" s="5" t="inlineStr"/>
      <c r="U298" s="5" t="inlineStr"/>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row>
    <row r="299">
      <c r="A299" s="5" t="inlineStr">
        <is>
          <t>b4-spor-secmeleri</t>
        </is>
      </c>
      <c r="B299" s="5" t="n">
        <v>1</v>
      </c>
      <c r="C299" s="6" t="inlineStr">
        <is>
          <t>Tribünden izle</t>
        </is>
      </c>
      <c r="D299" s="5" t="inlineStr"/>
      <c r="E299" s="5" t="inlineStr"/>
      <c r="F299" s="5" t="inlineStr">
        <is>
          <t>Sosyal Radar +1</t>
        </is>
      </c>
      <c r="G299" s="6" t="inlineStr">
        <is>
          <t>Kimin seçildiğini, kimin ağladığını, kimin annesinin öğretmenle konuştuğunu gördün. Akşam annene anlatınca annen “Kimin annesi?” diye üç kez sordu.</t>
        </is>
      </c>
      <c r="H299" s="6" t="inlineStr"/>
      <c r="I299" s="6" t="inlineStr"/>
      <c r="J299" s="6" t="inlineStr"/>
      <c r="K299" s="6" t="inlineStr"/>
      <c r="L299" s="6" t="inlineStr"/>
      <c r="M299" s="5" t="inlineStr"/>
      <c r="N299" s="5" t="inlineStr"/>
      <c r="O299" s="6" t="inlineStr"/>
      <c r="P299" s="6" t="inlineStr"/>
      <c r="Q299" s="5" t="inlineStr"/>
      <c r="R299" s="5" t="inlineStr"/>
      <c r="S299" s="5" t="inlineStr"/>
      <c r="T299" s="5" t="inlineStr"/>
      <c r="U299" s="5" t="inlineStr"/>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row>
    <row r="300">
      <c r="A300" s="5" t="inlineStr">
        <is>
          <t>b4-spor-secmeleri</t>
        </is>
      </c>
      <c r="B300" s="5" t="n">
        <v>2</v>
      </c>
      <c r="C300" s="6" t="inlineStr">
        <is>
          <t>Seçmelere katıl</t>
        </is>
      </c>
      <c r="D300" s="5" t="inlineStr">
        <is>
          <t>Dayanıklılık</t>
        </is>
      </c>
      <c r="E300" s="5" t="inlineStr">
        <is>
          <t>Zor</t>
        </is>
      </c>
      <c r="F300" s="5" t="inlineStr"/>
      <c r="G300" s="6" t="inlineStr"/>
      <c r="H300" s="6" t="inlineStr">
        <is>
          <t>Seçmeleri geçtin. Forma büyük geldi ama anlamı da büyük.</t>
        </is>
      </c>
      <c r="I300" s="6" t="inlineStr">
        <is>
          <t>İlk on bire seçildin. Öğretmenin yeğeni yedeğe düştü. Ailede kriz çıktı; senin ailende değil.</t>
        </is>
      </c>
      <c r="J300" s="6" t="inlineStr">
        <is>
          <t>Koştun, terledin, listeye giremedin. Öğretmen 'Karakterin iyi' dedi. Karakter takıma alınmıyor.</t>
        </is>
      </c>
      <c r="K300" s="6" t="inlineStr">
        <is>
          <t>Top kafana geldi, sen yere, düdük öğretmenin ağzından. Takıma değil, okulun yıl sonu videosuna seçildin.</t>
        </is>
      </c>
      <c r="L300" s="6" t="inlineStr"/>
      <c r="M300" s="5" t="inlineStr"/>
      <c r="N300" s="5" t="inlineStr"/>
      <c r="O300" s="6" t="inlineStr"/>
      <c r="P300" s="6" t="inlineStr"/>
      <c r="Q300" s="5" t="inlineStr"/>
      <c r="R300" s="5" t="inlineStr"/>
      <c r="S300" s="5" t="inlineStr"/>
      <c r="T300" s="5" t="inlineStr"/>
      <c r="U300" s="5" t="inlineStr"/>
      <c r="V300" s="5" t="inlineStr">
        <is>
          <t>takim-oyuncusu</t>
        </is>
      </c>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row>
    <row r="301">
      <c r="A301" s="5" t="inlineStr">
        <is>
          <t>b4-spor-secmeleri</t>
        </is>
      </c>
      <c r="B301" s="5" t="n">
        <v>3</v>
      </c>
      <c r="C301" s="6" t="inlineStr">
        <is>
          <t>Pas yeteneğini göster</t>
        </is>
      </c>
      <c r="D301" s="5" t="inlineStr">
        <is>
          <t>Sosyal Radar</t>
        </is>
      </c>
      <c r="E301" s="5" t="inlineStr">
        <is>
          <t>Orta</t>
        </is>
      </c>
      <c r="F301" s="5" t="inlineStr"/>
      <c r="G301" s="6" t="inlineStr"/>
      <c r="H301" s="6" t="inlineStr">
        <is>
          <t>Her pasın gol oldu. Öğretmen yeğenine 'Bak, böyle' dedi. Takımdasın.</t>
        </is>
      </c>
      <c r="I301" s="6" t="inlineStr">
        <is>
          <t>Yeğene üç asist yaptın. Öğretmen ikinizi de aldı, seni kaptan yardımcısı yaptı. Yeğen o günden beri topu önce sana atıyor.</t>
        </is>
      </c>
      <c r="J301" s="6" t="inlineStr">
        <is>
          <t>Paslarını kimse değerlendiremedi. İstatistik seni haklı çıkarıyor ama liste çıkarmıyor.</t>
        </is>
      </c>
      <c r="K301" s="6" t="inlineStr">
        <is>
          <t>Asist yaptığın top kaleciye değil, kenarda çay içen öğretmenin bardağına gitti. İnce belli bardak gitti, öğretmenin keyfi de.</t>
        </is>
      </c>
      <c r="L301" s="6" t="inlineStr"/>
      <c r="M301" s="5" t="inlineStr"/>
      <c r="N301" s="5" t="inlineStr"/>
      <c r="O301" s="6" t="inlineStr"/>
      <c r="P301" s="6" t="inlineStr"/>
      <c r="Q301" s="5" t="inlineStr">
        <is>
          <t>Asist Ustası</t>
        </is>
      </c>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row>
    <row r="302">
      <c r="A302" s="5" t="inlineStr">
        <is>
          <t>b4-spor-secmeleri</t>
        </is>
      </c>
      <c r="B302" s="5" t="n">
        <v>4</v>
      </c>
      <c r="C302" s="6" t="inlineStr">
        <is>
          <t>Takım menajeri ol</t>
        </is>
      </c>
      <c r="D302" s="5" t="inlineStr">
        <is>
          <t>Çene</t>
        </is>
      </c>
      <c r="E302" s="5" t="inlineStr">
        <is>
          <t>Kolay</t>
        </is>
      </c>
      <c r="F302" s="5" t="inlineStr"/>
      <c r="G302" s="6" t="inlineStr"/>
      <c r="H302" s="6" t="inlineStr">
        <is>
          <t>Oynamıyorsun ama formaları sen dağıtıyorsun. İktidar bazen malzeme odasındadır.</t>
        </is>
      </c>
      <c r="I302" s="6" t="inlineStr">
        <is>
          <t>Menajerliğin öyle iyi gitti ki öğretmen kadroyu sana danışıyor. Yeğen senin onayından geçti.</t>
        </is>
      </c>
      <c r="J302" s="6" t="inlineStr">
        <is>
          <t>Menajer oldun; kimse ne iş yaptığını bilmiyor. Sen de.</t>
        </is>
      </c>
      <c r="K302" s="6" t="inlineStr">
        <is>
          <t>Menajer oldun. İlk görevin su şişelerini taşımak. Son görevin de.</t>
        </is>
      </c>
      <c r="L302" s="6" t="inlineStr"/>
      <c r="M302" s="5" t="inlineStr"/>
      <c r="N302" s="5" t="inlineStr"/>
      <c r="O302" s="6" t="inlineStr"/>
      <c r="P302" s="6" t="inlineStr"/>
      <c r="Q302" s="5" t="inlineStr"/>
      <c r="R302" s="5" t="inlineStr"/>
      <c r="S302" s="5" t="inlineStr"/>
      <c r="T302" s="5" t="inlineStr"/>
      <c r="U302" s="5" t="inlineStr"/>
      <c r="V302" s="5" t="inlineStr"/>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row>
    <row r="303">
      <c r="A303" s="5" t="inlineStr">
        <is>
          <t>b4-eski-telefon</t>
        </is>
      </c>
      <c r="B303" s="5" t="n">
        <v>1</v>
      </c>
      <c r="C303" s="6" t="inlineStr">
        <is>
          <t>Kuzenine hediye et</t>
        </is>
      </c>
      <c r="D303" s="5" t="inlineStr"/>
      <c r="E303" s="5" t="inlineStr"/>
      <c r="F303" s="5" t="inlineStr">
        <is>
          <t>Gönül +1</t>
        </is>
      </c>
      <c r="G303" s="6" t="inlineStr">
        <is>
          <t>Eski telefonu kuzenine verdin. Kuzen onu senden daha iyi kullanıyor. Bunu kimse söylemedi ama herkes biliyor.</t>
        </is>
      </c>
      <c r="H303" s="6" t="inlineStr"/>
      <c r="I303" s="6" t="inlineStr"/>
      <c r="J303" s="6" t="inlineStr"/>
      <c r="K303" s="6" t="inlineStr"/>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row>
    <row r="304">
      <c r="A304" s="5" t="inlineStr">
        <is>
          <t>b4-eski-telefon</t>
        </is>
      </c>
      <c r="B304" s="5" t="n">
        <v>2</v>
      </c>
      <c r="C304" s="6" t="inlineStr">
        <is>
          <t>Pazarlığa gir</t>
        </is>
      </c>
      <c r="D304" s="5" t="inlineStr">
        <is>
          <t>Çene</t>
        </is>
      </c>
      <c r="E304" s="5" t="inlineStr">
        <is>
          <t>Orta</t>
        </is>
      </c>
      <c r="F304" s="5" t="inlineStr"/>
      <c r="G304" s="6" t="inlineStr"/>
      <c r="H304" s="6" t="inlineStr">
        <is>
          <t>İlan fiyatının biraz altında sattın. Alıcı memnun, sen memnun. Annen yine de “Ucuza verdin” dedi; her zamanki gibi.</t>
        </is>
      </c>
      <c r="I304" s="6" t="inlineStr">
        <is>
          <t>Üç alıcıyı birbirine karşı oynattın. Telefon ilan fiyatının üstünde satıldı.</t>
        </is>
      </c>
      <c r="J304" s="6" t="inlineStr">
        <is>
          <t>'Son fiyat' dedin. Alıcı 'Tamam, düşüneyim' dedi. Hâlâ düşünüyor.</t>
        </is>
      </c>
      <c r="K304" s="6" t="inlineStr">
        <is>
          <t>Alıcı telefonu aldı, ertesi gün aynı telefonu iki katına ilana koydu. Fotoğraflar seninkiler.</t>
        </is>
      </c>
      <c r="L304" s="6" t="inlineStr">
        <is>
          <t>Telefonu sattın ama alıcı son anda kılıfı da istedi, şarj aletini de. Kutu bile gitti.</t>
        </is>
      </c>
      <c r="M304" s="5" t="inlineStr">
        <is>
          <t>bargain</t>
        </is>
      </c>
      <c r="N304" s="5" t="inlineStr">
        <is>
          <t>Son Fiyat?</t>
        </is>
      </c>
      <c r="O304" s="6" t="inlineStr">
        <is>
          <t>Alıcının sabrı bitmeden doğru fiyatı bul. Fazla inersen annen duyar.</t>
        </is>
      </c>
      <c r="P304" s="6" t="inlineStr">
        <is>
          <t>{"item": "eski telefon", "mode": "sell"}</t>
        </is>
      </c>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row>
    <row r="305">
      <c r="A305" s="5" t="inlineStr">
        <is>
          <t>b4-eski-telefon</t>
        </is>
      </c>
      <c r="B305" s="5" t="n">
        <v>3</v>
      </c>
      <c r="C305" s="6" t="inlineStr">
        <is>
          <t>Ekran çiziğini dürüstçe yaz</t>
        </is>
      </c>
      <c r="D305" s="5" t="inlineStr">
        <is>
          <t>İtibar</t>
        </is>
      </c>
      <c r="E305" s="5" t="inlineStr">
        <is>
          <t>Kolay</t>
        </is>
      </c>
      <c r="F305" s="5" t="inlineStr"/>
      <c r="G305" s="6" t="inlineStr"/>
      <c r="H305" s="6" t="inlineStr">
        <is>
          <t>İlana 'Ekranda çizik var' yazdın. Alıcı teşekkür etti ve fiyatı kırmadı.</t>
        </is>
      </c>
      <c r="I305" s="6" t="inlineStr">
        <is>
          <t>Dürüstlüğün alıcıyı öyle etkiledi ki sana kılıf hediye etti. Satıcı puanın tavan.</t>
        </is>
      </c>
      <c r="J305" s="6" t="inlineStr">
        <is>
          <t>Dürüst yazdın; herkes çiziğin fotoğrafını istedi. Kimse telefonun fotoğrafını istemedi.</t>
        </is>
      </c>
      <c r="K305" s="6" t="inlineStr">
        <is>
          <t>Çiziği yazdın. Alıcı 'Başka çizik var mı?' diye sordu. Saydın. Yedi tane çıktı.</t>
        </is>
      </c>
      <c r="L305" s="6" t="inlineStr"/>
      <c r="M305" s="5" t="inlineStr"/>
      <c r="N305" s="5" t="inlineStr"/>
      <c r="O305" s="6" t="inlineStr"/>
      <c r="P305" s="6" t="inlineStr"/>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row>
    <row r="306">
      <c r="A306" s="5" t="inlineStr">
        <is>
          <t>b4-eski-telefon</t>
        </is>
      </c>
      <c r="B306" s="5" t="n">
        <v>4</v>
      </c>
      <c r="C306" s="6" t="inlineStr">
        <is>
          <t>Takas zinciri başlat</t>
        </is>
      </c>
      <c r="D306" s="5" t="inlineStr">
        <is>
          <t>Kurnazlık</t>
        </is>
      </c>
      <c r="E306" s="5" t="inlineStr">
        <is>
          <t>Zor</t>
        </is>
      </c>
      <c r="F306" s="5" t="inlineStr"/>
      <c r="G306" s="6" t="inlineStr"/>
      <c r="H306" s="6" t="inlineStr">
        <is>
          <t>Telefonu bisiklete, bisikleti kaykaya çevirdin. Kaykay güzel.</t>
        </is>
      </c>
      <c r="I306" s="6" t="inlineStr">
        <is>
          <t>Telefon bisiklete, bisiklet kaykaya, kaykay daha iyi bir telefona dönüştü. Zincir kapandı. Ailen sorgulamadı.</t>
        </is>
      </c>
      <c r="J306" s="6" t="inlineStr">
        <is>
          <t>Telefonu bisiklete çevirdin. Bisikletin zinciri yok.</t>
        </is>
      </c>
      <c r="K306" s="6" t="inlineStr">
        <is>
          <t>Zincir tersine döndü: telefonu verdin, eline bir kutu kartpostal geçti. Değeri tartışmalı, duygusal.</t>
        </is>
      </c>
      <c r="L306" s="6" t="inlineStr"/>
      <c r="M306" s="5" t="inlineStr"/>
      <c r="N306" s="5" t="inlineStr"/>
      <c r="O306" s="6" t="inlineStr"/>
      <c r="P306" s="6" t="inlineStr"/>
      <c r="Q306" s="5" t="inlineStr">
        <is>
          <t>Kantin Ekonomisti</t>
        </is>
      </c>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row>
    <row r="307">
      <c r="A307" s="5" t="inlineStr">
        <is>
          <t>b4-yaz-tatili</t>
        </is>
      </c>
      <c r="B307" s="5" t="n">
        <v>1</v>
      </c>
      <c r="C307" s="6" t="inlineStr">
        <is>
          <t>İnternetsiz yaşa</t>
        </is>
      </c>
      <c r="D307" s="5" t="inlineStr"/>
      <c r="E307" s="5" t="inlineStr"/>
      <c r="F307" s="5" t="inlineStr">
        <is>
          <t>Dayanıklılık +1</t>
        </is>
      </c>
      <c r="G307" s="6" t="inlineStr">
        <is>
          <t>On beş gün internetsiz kaldın. Denizi, kumu ve babanın dört farklı mangal tekniğini keşfettin.</t>
        </is>
      </c>
      <c r="H307" s="6" t="inlineStr"/>
      <c r="I307" s="6" t="inlineStr"/>
      <c r="J307" s="6" t="inlineStr"/>
      <c r="K307" s="6" t="inlineStr"/>
      <c r="L307" s="6" t="inlineStr"/>
      <c r="M307" s="5" t="inlineStr"/>
      <c r="N307" s="5" t="inlineStr"/>
      <c r="O307" s="6" t="inlineStr"/>
      <c r="P307" s="6" t="inlineStr"/>
      <c r="Q307" s="5" t="inlineStr"/>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row>
    <row r="308">
      <c r="A308" s="5" t="inlineStr">
        <is>
          <t>b4-yaz-tatili</t>
        </is>
      </c>
      <c r="B308" s="5" t="n">
        <v>2</v>
      </c>
      <c r="C308" s="6" t="inlineStr">
        <is>
          <t>Sinyal noktasını bul</t>
        </is>
      </c>
      <c r="D308" s="5" t="inlineStr">
        <is>
          <t>Kurnazlık</t>
        </is>
      </c>
      <c r="E308" s="5" t="inlineStr">
        <is>
          <t>Orta</t>
        </is>
      </c>
      <c r="F308" s="5" t="inlineStr"/>
      <c r="G308" s="6" t="inlineStr"/>
      <c r="H308" s="6" t="inlineStr">
        <is>
          <t>Merdiven sahanlığının tam ortasında iki çizgi buldun. Tatilin geri kalanı sahanlıkta geçti.</t>
        </is>
      </c>
      <c r="I308" s="6" t="inlineStr">
        <is>
          <t>Sitenin sinyal haritasını çıkardın. Komşu çocuklara nokta başı ücretle kiralıyorsun.</t>
        </is>
      </c>
      <c r="J308" s="6" t="inlineStr">
        <is>
          <t>Sinyali buldun: tek çizgi. Mesajın gittiğinde tatil bitmişti.</t>
        </is>
      </c>
      <c r="K308" s="6" t="inlineStr">
        <is>
          <t>Tam sinyali komşunun modemine yaslanınca buldun. Komşu şifreyi 'SinyalHirsizi' yaptı ve kapıya astı.</t>
        </is>
      </c>
      <c r="L308" s="6" t="inlineStr">
        <is>
          <t>İki çizgiyi yakaladın, mesaj yarım gitti: “Burada internet y”</t>
        </is>
      </c>
      <c r="M308" s="5" t="inlineStr">
        <is>
          <t>balance</t>
        </is>
      </c>
      <c r="N308" s="5" t="inlineStr">
        <is>
          <t>Tek Ayak Sinyal</t>
        </is>
      </c>
      <c r="O308" s="6" t="inlineStr">
        <is>
          <t>Kayan sinyal çizgisinin altında telefonu tut. Tek ayak üstündesin, unutma.</t>
        </is>
      </c>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row>
    <row r="309">
      <c r="A309" s="5" t="inlineStr">
        <is>
          <t>b4-yaz-tatili</t>
        </is>
      </c>
      <c r="B309" s="5" t="n">
        <v>3</v>
      </c>
      <c r="C309" s="6" t="inlineStr">
        <is>
          <t>Yan yazlıkla ittifak kur</t>
        </is>
      </c>
      <c r="D309" s="5" t="inlineStr">
        <is>
          <t>Sosyal Radar</t>
        </is>
      </c>
      <c r="E309" s="5" t="inlineStr">
        <is>
          <t>Kolay</t>
        </is>
      </c>
      <c r="F309" s="5" t="inlineStr"/>
      <c r="G309" s="6" t="inlineStr"/>
      <c r="H309" s="6" t="inlineStr">
        <is>
          <t>Tek ayak üstünde bir yaz arkadaşlığı kurdun. Eylülde koptunuz. Yazlık dostluklarının doğası bu.</t>
        </is>
      </c>
      <c r="I309" s="6" t="inlineStr">
        <is>
          <t>Yan yazlıktakilerle ortak bir sinyal kulesi kurdunuz: balkonlar arası çamaşır ipi ve bir teneke kutu. İşe yaramadı ama efsaneydi.</t>
        </is>
      </c>
      <c r="J309" s="6" t="inlineStr">
        <is>
          <t>Göz göze geldiniz, el salladınız, sinyal gitti. İkiniz de telefona döndünüz.</t>
        </is>
      </c>
      <c r="K309" s="6" t="inlineStr">
        <is>
          <t>İttifak kurdunuz; onların ailesi sizinkini akşam yemeğine çağırdı. Tatilin geri kalanı aileler arası sohbetle geçti.</t>
        </is>
      </c>
      <c r="L309" s="6" t="inlineStr"/>
      <c r="M309" s="5" t="inlineStr"/>
      <c r="N309" s="5" t="inlineStr"/>
      <c r="O309" s="6" t="inlineStr"/>
      <c r="P309" s="6" t="inlineStr"/>
      <c r="Q309" s="5" t="inlineStr"/>
      <c r="R309" s="5" t="inlineStr"/>
      <c r="S309" s="5" t="inlineStr">
        <is>
          <t>Sosyal Radar</t>
        </is>
      </c>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row>
    <row r="310">
      <c r="A310" s="5" t="inlineStr">
        <is>
          <t>b4-yaz-tatili</t>
        </is>
      </c>
      <c r="B310" s="5" t="n">
        <v>4</v>
      </c>
      <c r="C310" s="6" t="inlineStr">
        <is>
          <t>Ailenden kafe internet parası iste</t>
        </is>
      </c>
      <c r="D310" s="5" t="inlineStr">
        <is>
          <t>Çene</t>
        </is>
      </c>
      <c r="E310" s="5" t="inlineStr">
        <is>
          <t>Orta</t>
        </is>
      </c>
      <c r="F310" s="5" t="inlineStr"/>
      <c r="G310" s="6" t="inlineStr"/>
      <c r="H310" s="6" t="inlineStr">
        <is>
          <t>Sahildeki kafenin internetine erişim onaylandı. Günde bir saat, bir gazoz karşılığında.</t>
        </is>
      </c>
      <c r="I310" s="6" t="inlineStr">
        <is>
          <t>Ailen kafeyi o kadar sevdi ki tatilin geri kalanını orada geçirdiniz. Aile yeniden bağlandı. İnternete.</t>
        </is>
      </c>
      <c r="J310" s="6" t="inlineStr">
        <is>
          <t>'Deniz var, kum var' denildi. İkisinde de sinyal yok.</t>
        </is>
      </c>
      <c r="K310" s="6" t="inlineStr">
        <is>
          <t>Kafeye gittin; kafenin şifresi yalnızca aile boyu menü alanlara veriliyordu. Baban menüyü aldı, şifreyi o kullandı.</t>
        </is>
      </c>
      <c r="L310" s="6" t="inlineStr"/>
      <c r="M310" s="5" t="inlineStr"/>
      <c r="N310" s="5" t="inlineStr"/>
      <c r="O310" s="6" t="inlineStr"/>
      <c r="P310" s="6" t="inlineStr"/>
      <c r="Q310" s="5" t="inlineStr"/>
      <c r="R310" s="5" t="inlineStr"/>
      <c r="S310" s="5" t="inlineStr"/>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row>
    <row r="311">
      <c r="A311" s="5" t="inlineStr">
        <is>
          <t>b4-dershane-denemesi</t>
        </is>
      </c>
      <c r="B311" s="5" t="n">
        <v>1</v>
      </c>
      <c r="C311" s="6" t="inlineStr">
        <is>
          <t>Sıranı kabul et</t>
        </is>
      </c>
      <c r="D311" s="5" t="inlineStr"/>
      <c r="E311" s="5" t="inlineStr"/>
      <c r="F311" s="5" t="inlineStr">
        <is>
          <t>Dayanıklılık +1</t>
        </is>
      </c>
      <c r="G311" s="6" t="inlineStr">
        <is>
          <t>Sıranı gördün, not aldın, yürüdün. Bir sonraki deneme bir hafta sonra. Hayat bir deneme serisi.</t>
        </is>
      </c>
      <c r="H311" s="6" t="inlineStr"/>
      <c r="I311" s="6" t="inlineStr"/>
      <c r="J311" s="6" t="inlineStr"/>
      <c r="K311" s="6" t="inlineStr"/>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row>
    <row r="312">
      <c r="A312" s="5" t="inlineStr">
        <is>
          <t>b4-dershane-denemesi</t>
        </is>
      </c>
      <c r="B312" s="5" t="n">
        <v>2</v>
      </c>
      <c r="C312" s="6" t="inlineStr">
        <is>
          <t>Listeyi fotoğrafla, kırp, ailene at</t>
        </is>
      </c>
      <c r="D312" s="5" t="inlineStr">
        <is>
          <t>Kurnazlık</t>
        </is>
      </c>
      <c r="E312" s="5" t="inlineStr">
        <is>
          <t>Orta</t>
        </is>
      </c>
      <c r="F312" s="5" t="inlineStr"/>
      <c r="G312" s="6" t="inlineStr"/>
      <c r="H312" s="6" t="inlineStr">
        <is>
          <t>Fotoğrafı kırptın; üstündeki yirmi kişi kadraj dışında kaldı. Ailen seni ilk sırada sandı.</t>
        </is>
      </c>
      <c r="I312" s="6" t="inlineStr">
        <is>
          <t>Kırptığın fotoğraf aile grubunda dolaştı. Teyzen 'Bizimki de o dershaneye gitsin' dedi. Kuzen artık rakibin.</t>
        </is>
      </c>
      <c r="J312" s="6" t="inlineStr">
        <is>
          <t>Kırptın; üstteki satırdan yarım bir isim göründü. Ailen 'Bu kim?' diye sordu.</t>
        </is>
      </c>
      <c r="K312" s="6" t="inlineStr">
        <is>
          <t>Fazla kırptın. Fotoğrafta yalnızca adın ve altında 'Telafi Programı' yazısı kaldı.</t>
        </is>
      </c>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row>
    <row r="313">
      <c r="A313" s="5" t="inlineStr">
        <is>
          <t>b4-dershane-denemesi</t>
        </is>
      </c>
      <c r="B313" s="5" t="n">
        <v>3</v>
      </c>
      <c r="C313" s="6" t="inlineStr">
        <is>
          <t>Rehber öğretmenle konuş</t>
        </is>
      </c>
      <c r="D313" s="5" t="inlineStr">
        <is>
          <t>Çene</t>
        </is>
      </c>
      <c r="E313" s="5" t="inlineStr">
        <is>
          <t>Kolay</t>
        </is>
      </c>
      <c r="F313" s="5" t="inlineStr"/>
      <c r="G313" s="6" t="inlineStr"/>
      <c r="H313" s="6" t="inlineStr">
        <is>
          <t>Rehber öğretmen eksiklerini listeledi. Liste uzundu ama çizilebilir.</t>
        </is>
      </c>
      <c r="I313" s="6" t="inlineStr">
        <is>
          <t>Rehber öğretmen sana bir çalışma planı yaptı ve ailene 'Potansiyeli var' dedi. Potansiyel, her ailenin sevdiği kelime.</t>
        </is>
      </c>
      <c r="J313" s="6" t="inlineStr">
        <is>
          <t>Rehber öğretmen 'Daha çok çalışmalısın' dedi. Bu, ücretli bir bilgiydi.</t>
        </is>
      </c>
      <c r="K313" s="6" t="inlineStr">
        <is>
          <t>Rehber öğretmen konuşurken 'Hangi okuldan geliyordun?' diye sordu. İki yıldır oradasın.</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row>
    <row r="314">
      <c r="A314" s="5" t="inlineStr">
        <is>
          <t>b4-lise-sinavi</t>
        </is>
      </c>
      <c r="B314" s="5" t="n">
        <v>1</v>
      </c>
      <c r="C314" s="6" t="inlineStr">
        <is>
          <t>Meslek lisesini yaz</t>
        </is>
      </c>
      <c r="D314" s="5" t="inlineStr"/>
      <c r="E314" s="5" t="inlineStr"/>
      <c r="F314" s="5" t="inlineStr">
        <is>
          <t>Dayanıklılık +1, Kurnazlık +1</t>
        </is>
      </c>
      <c r="G314" s="6" t="inlineStr">
        <is>
          <t>Sınav formuna meslek lisesini yazdın. On beşinde priz takabilen, on altısında dükkân açabilen tek kişi olacaksın. Kuzenin “Yazık” dedi; kuzen hâlâ priz takamıyor.</t>
        </is>
      </c>
      <c r="H314" s="6" t="inlineStr"/>
      <c r="I314" s="6" t="inlineStr"/>
      <c r="J314" s="6" t="inlineStr"/>
      <c r="K314" s="6" t="inlineStr"/>
      <c r="L314" s="6" t="inlineStr"/>
      <c r="M314" s="5" t="inlineStr"/>
      <c r="N314" s="5" t="inlineStr"/>
      <c r="O314" s="6" t="inlineStr"/>
      <c r="P314" s="6" t="inlineStr"/>
      <c r="Q314" s="5" t="inlineStr"/>
      <c r="R314" s="5" t="inlineStr"/>
      <c r="S314" s="5" t="inlineStr"/>
      <c r="T314" s="5" t="inlineStr"/>
      <c r="U314" s="5" t="inlineStr">
        <is>
          <t>meslek-lisesi</t>
        </is>
      </c>
      <c r="V314" s="5" t="inlineStr"/>
      <c r="W314" s="5" t="inlineStr"/>
      <c r="X314" s="5" t="inlineStr"/>
      <c r="Y314" s="5" t="inlineStr"/>
      <c r="Z314" s="6" t="inlineStr"/>
      <c r="AA314" s="5" t="inlineStr">
        <is>
          <t>Keskin +1, Yalçın +1, Tan -1, Erdem -1, Varlı -1</t>
        </is>
      </c>
      <c r="AB314" s="5" t="inlineStr"/>
      <c r="AC314" s="5" t="inlineStr"/>
      <c r="AD314" s="5" t="inlineStr"/>
      <c r="AE314" s="5" t="inlineStr"/>
      <c r="AF314" s="5" t="inlineStr"/>
      <c r="AG314" s="5" t="inlineStr"/>
      <c r="AH314" s="5" t="inlineStr"/>
      <c r="AI314" s="5" t="inlineStr"/>
    </row>
    <row r="315">
      <c r="A315" s="5" t="inlineStr">
        <is>
          <t>b4-lise-sinavi</t>
        </is>
      </c>
      <c r="B315" s="5" t="n">
        <v>2</v>
      </c>
      <c r="C315" s="6" t="inlineStr">
        <is>
          <t>Hepsini çözmeye çalış</t>
        </is>
      </c>
      <c r="D315" s="5" t="inlineStr">
        <is>
          <t>Akıl</t>
        </is>
      </c>
      <c r="E315" s="5" t="inlineStr">
        <is>
          <t>Zor</t>
        </is>
      </c>
      <c r="F315" s="5" t="inlineStr"/>
      <c r="G315" s="6" t="inlineStr"/>
      <c r="H315" s="6" t="inlineStr">
        <is>
          <t>Sonuç geldi: iyi bir lise. Ailen sonucu, karne fotoğrafından bile hızlı aile grubuna attı.</t>
        </is>
      </c>
      <c r="I315" s="6" t="inlineStr">
        <is>
          <t>Derece yaptın. Okulun girişine pankartın asıldı; fotoğraf okul fotoğrafı gününden, saçın o gün hiç iyi değildi. Babaannen pankartın fotoğrafını çekip çerçeveletti.</t>
        </is>
      </c>
      <c r="J315" s="6" t="inlineStr">
        <is>
          <t>Son on soruda süre bitti. Mahalle lisesi seni kucakladı. En azından yakın.</t>
        </is>
      </c>
      <c r="K315" s="6" t="inlineStr">
        <is>
          <t>Optik formu bir satır kaydırarak doldurdun. Bütün cevaplar bir aşağıda. Annen sonucu aile grubuna atmadı; bu, her şeyi anlattı.</t>
        </is>
      </c>
      <c r="L315" s="6" t="inlineStr"/>
      <c r="M315" s="5" t="inlineStr"/>
      <c r="N315" s="5" t="inlineStr"/>
      <c r="O315" s="6" t="inlineStr"/>
      <c r="P315" s="6" t="inlineStr"/>
      <c r="Q315" s="5" t="inlineStr"/>
      <c r="R315" s="5" t="inlineStr"/>
      <c r="S315" s="5" t="inlineStr"/>
      <c r="T315" s="5" t="inlineStr"/>
      <c r="U315" s="5" t="inlineStr"/>
      <c r="V315" s="5" t="inlineStr">
        <is>
          <t>iyi-lise</t>
        </is>
      </c>
      <c r="W315" s="5" t="inlineStr"/>
      <c r="X315" s="5" t="inlineStr"/>
      <c r="Y315" s="5" t="inlineStr"/>
      <c r="Z315" s="6" t="inlineStr"/>
      <c r="AA315" s="5" t="inlineStr"/>
      <c r="AB315" s="5" t="inlineStr">
        <is>
          <t>duz-lise</t>
        </is>
      </c>
      <c r="AC315" s="5" t="inlineStr"/>
      <c r="AD315" s="5" t="inlineStr"/>
      <c r="AE315" s="5" t="inlineStr"/>
      <c r="AF315" s="5" t="inlineStr"/>
      <c r="AG315" s="5" t="inlineStr"/>
      <c r="AH315" s="5" t="inlineStr"/>
      <c r="AI315" s="5" t="inlineStr"/>
    </row>
    <row r="316">
      <c r="A316" s="5" t="inlineStr">
        <is>
          <t>b4-lise-sinavi</t>
        </is>
      </c>
      <c r="B316" s="5" t="n">
        <v>3</v>
      </c>
      <c r="C316" s="6" t="inlineStr">
        <is>
          <t>Zorları atla, kolayları topla</t>
        </is>
      </c>
      <c r="D316" s="5" t="inlineStr">
        <is>
          <t>Kurnazlık</t>
        </is>
      </c>
      <c r="E316" s="5" t="inlineStr">
        <is>
          <t>Orta</t>
        </is>
      </c>
      <c r="F316" s="5" t="inlineStr"/>
      <c r="G316" s="6" t="inlineStr"/>
      <c r="H316" s="6" t="inlineStr">
        <is>
          <t>Zorları atladın, kolayları topladın. İyi bir lise geldi. Baban “Akıllıca” dedi, annen “Şanslı”; ikisi de haklı.</t>
        </is>
      </c>
      <c r="I316" s="6" t="inlineStr">
        <is>
          <t>Atladığın sorulara dönmeye vaktin kaldı ve hepsini yaptın. Çıkışta annen termosu açtı; çay hâlâ sıcaktı. Sonuç da öyle geldi: derece.</t>
        </is>
      </c>
      <c r="J316" s="6" t="inlineStr">
        <is>
          <t>Atladığın sorulara dönemedin. Atladıkların kolaymış.</t>
        </is>
      </c>
      <c r="K316" s="6" t="inlineStr">
        <is>
          <t>Kolayların hepsi aynı şık çıkınca şüphelendin ve değiştirdin. Hepsi gerçekten aynı şıktı.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row>
    <row r="317">
      <c r="A317" s="5" t="inlineStr">
        <is>
          <t>b4-lise-sinavi</t>
        </is>
      </c>
      <c r="B317" s="5" t="n">
        <v>4</v>
      </c>
      <c r="C317" s="6" t="inlineStr">
        <is>
          <t>Dershane taktiklerini uygula</t>
        </is>
      </c>
      <c r="D317" s="5" t="inlineStr">
        <is>
          <t>Akıl</t>
        </is>
      </c>
      <c r="E317" s="5" t="inlineStr">
        <is>
          <t>Orta</t>
        </is>
      </c>
      <c r="F317" s="5" t="inlineStr"/>
      <c r="G317" s="6" t="inlineStr"/>
      <c r="H317" s="6" t="inlineStr">
        <is>
          <t>Soru tiplerini tanıdın. Dershanenin cumartesileri karşılığını verdi. İyi bir lise.</t>
        </is>
      </c>
      <c r="I317" s="6" t="inlineStr">
        <is>
          <t>Soruların yarısı dershanede çözdüğün sorulara ikiz çıktı. Derece yaptın; dershane seni broşüre koydu. Küçük puntolu değil.</t>
        </is>
      </c>
      <c r="J317" s="6" t="inlineStr">
        <is>
          <t>Taktikler işledi ama süre yetmedi. Dershane bunu 'bir sonraki paketimiz' olarak değerlendirdi.</t>
        </is>
      </c>
      <c r="K317" s="6" t="inlineStr">
        <is>
          <t>Dershanenin 'Bu tip hiç çıkmaz' dediği soru tipi, sınavın yarısıydı.</t>
        </is>
      </c>
      <c r="L317" s="6" t="inlineStr"/>
      <c r="M317" s="5" t="inlineStr"/>
      <c r="N317" s="5" t="inlineStr"/>
      <c r="O317" s="6" t="inlineStr"/>
      <c r="P317" s="6" t="inlineStr"/>
      <c r="Q317" s="5" t="inlineStr"/>
      <c r="R317" s="5" t="inlineStr">
        <is>
          <t>dershaneli</t>
        </is>
      </c>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row>
    <row r="318">
      <c r="A318" s="5" t="inlineStr">
        <is>
          <t>b4-lise-sinavi</t>
        </is>
      </c>
      <c r="B318" s="5" t="n">
        <v>5</v>
      </c>
      <c r="C318" s="6" t="inlineStr">
        <is>
          <t>Nefes al, sırayla ilerle</t>
        </is>
      </c>
      <c r="D318" s="5" t="inlineStr">
        <is>
          <t>Dayanıklılık</t>
        </is>
      </c>
      <c r="E318" s="5" t="inlineStr">
        <is>
          <t>Orta</t>
        </is>
      </c>
      <c r="F318" s="5" t="inlineStr"/>
      <c r="G318" s="6" t="inlineStr"/>
      <c r="H318" s="6" t="inlineStr">
        <is>
          <t>Paniklemedin. Soru soru ilerledin. İyi bir lise, sakinliğin ödülü.</t>
        </is>
      </c>
      <c r="I318" s="6" t="inlineStr">
        <is>
          <t>Salondaki herkes terlerken sen sakindin. Gözetmen bile sana bakıp rahatladı. Derece geldi.</t>
        </is>
      </c>
      <c r="J318" s="6" t="inlineStr">
        <is>
          <t>Sakindin, ama biraz fazla. Son sayfayı çevirmeye vakit kalmadı.</t>
        </is>
      </c>
      <c r="K318" s="6" t="inlineStr">
        <is>
          <t>Öyle sakindin ki bir ara uyuyakaldın. Gözetmen seni 'Süre bitti' anonsuyla uyandırdı.</t>
        </is>
      </c>
      <c r="L318" s="6" t="inlineStr"/>
      <c r="M318" s="5" t="inlineStr"/>
      <c r="N318" s="5" t="inlineStr"/>
      <c r="O318" s="6" t="inlineStr"/>
      <c r="P318" s="6" t="inlineStr"/>
      <c r="Q318" s="5" t="inlineStr">
        <is>
          <t>Kolay Dağılmaz</t>
        </is>
      </c>
      <c r="R318" s="5" t="inlineStr"/>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row>
    <row r="319">
      <c r="A319" s="5" t="inlineStr">
        <is>
          <t>b4-lise-sinavi</t>
        </is>
      </c>
      <c r="B319" s="5" t="n">
        <v>6</v>
      </c>
      <c r="C319" s="6" t="inlineStr">
        <is>
          <t>Sınava girme, okulu bırak</t>
        </is>
      </c>
      <c r="D319" s="5" t="inlineStr"/>
      <c r="E319" s="5" t="inlineStr"/>
      <c r="F319" s="5" t="inlineStr">
        <is>
          <t>Cesaret +1</t>
        </is>
      </c>
      <c r="G319" s="6" t="inlineStr">
        <is>
          <t>Sınav sabahı köşedeki çay ocağına gittin. Abiler “Asıl okul burası” dedi, önüne çay koydu. Akşam annen sofrayı kurdu, senin tabağını da koydu ve hiç konuşmadı. Baban da.</t>
        </is>
      </c>
      <c r="H319" s="6" t="inlineStr"/>
      <c r="I319" s="6" t="inlineStr"/>
      <c r="J319" s="6" t="inlineStr"/>
      <c r="K319" s="6" t="inlineStr"/>
      <c r="L319" s="6" t="inlineStr"/>
      <c r="M319" s="5" t="inlineStr"/>
      <c r="N319" s="5" t="inlineStr"/>
      <c r="O319" s="6" t="inlineStr"/>
      <c r="P319" s="6" t="inlineStr"/>
      <c r="Q319" s="5" t="inlineStr"/>
      <c r="R319" s="5" t="inlineStr">
        <is>
          <t>mahalle-abileri</t>
        </is>
      </c>
      <c r="S319" s="5" t="inlineStr"/>
      <c r="T319" s="5" t="inlineStr"/>
      <c r="U319" s="5" t="inlineStr">
        <is>
          <t>okulu-birakti</t>
        </is>
      </c>
      <c r="V319" s="5" t="inlineStr"/>
      <c r="W319" s="5" t="inlineStr"/>
      <c r="X319" s="5" t="inlineStr"/>
      <c r="Y319" s="5" t="inlineStr"/>
      <c r="Z319" s="6" t="inlineStr"/>
      <c r="AA319" s="5" t="inlineStr">
        <is>
          <t>hepsi -1</t>
        </is>
      </c>
      <c r="AB319" s="5" t="inlineStr"/>
      <c r="AC319" s="5" t="inlineStr"/>
      <c r="AD319" s="5" t="inlineStr"/>
      <c r="AE319" s="5" t="inlineStr"/>
      <c r="AF319" s="5" t="inlineStr"/>
      <c r="AG319" s="5" t="inlineStr"/>
      <c r="AH319" s="5" t="inlineStr"/>
      <c r="AI319" s="5" t="inlineStr"/>
    </row>
    <row r="320">
      <c r="A320" s="5" t="inlineStr">
        <is>
          <t>b5-lise-ilk-gun</t>
        </is>
      </c>
      <c r="B320" s="5" t="n">
        <v>1</v>
      </c>
      <c r="C320" s="6" t="inlineStr">
        <is>
          <t>Arka sıraya otur</t>
        </is>
      </c>
      <c r="D320" s="5" t="inlineStr"/>
      <c r="E320" s="5" t="inlineStr"/>
      <c r="F320" s="5" t="inlineStr">
        <is>
          <t>Pişkinlik +1</t>
        </is>
      </c>
      <c r="G320" s="6" t="inlineStr">
        <is>
          <t>Arka sıraya yerleştin. Pencere kenarı, kalorifer dibi. Öğretmen adını ancak ikinci dönem öğrendi.</t>
        </is>
      </c>
      <c r="H320" s="6" t="inlineStr"/>
      <c r="I320" s="6" t="inlineStr"/>
      <c r="J320" s="6" t="inlineStr"/>
      <c r="K320" s="6" t="inlineStr"/>
      <c r="L320" s="6" t="inlineStr"/>
      <c r="M320" s="5" t="inlineStr"/>
      <c r="N320" s="5" t="inlineStr"/>
      <c r="O320" s="6" t="inlineStr"/>
      <c r="P320" s="6" t="inlineStr"/>
      <c r="Q320" s="5" t="inlineStr"/>
      <c r="R320" s="5" t="inlineStr"/>
      <c r="S320" s="5" t="inlineStr"/>
      <c r="T320" s="5" t="inlineStr"/>
      <c r="U320" s="5" t="inlineStr"/>
      <c r="V320" s="5" t="inlineStr"/>
      <c r="W320" s="5" t="inlineStr"/>
      <c r="X320" s="5" t="inlineStr"/>
      <c r="Y320" s="5" t="inlineStr"/>
      <c r="Z320" s="6" t="inlineStr"/>
      <c r="AA320" s="5" t="inlineStr"/>
      <c r="AB320" s="5" t="inlineStr"/>
      <c r="AC320" s="5" t="inlineStr"/>
      <c r="AD320" s="5" t="inlineStr"/>
      <c r="AE320" s="5" t="inlineStr"/>
      <c r="AF320" s="5" t="inlineStr"/>
      <c r="AG320" s="5" t="inlineStr"/>
      <c r="AH320" s="5" t="inlineStr"/>
      <c r="AI320" s="5" t="inlineStr"/>
    </row>
    <row r="321">
      <c r="A321" s="5" t="inlineStr">
        <is>
          <t>b5-lise-ilk-gun</t>
        </is>
      </c>
      <c r="B321" s="5" t="n">
        <v>2</v>
      </c>
      <c r="C321" s="6" t="inlineStr">
        <is>
          <t>Ön sıraya otur</t>
        </is>
      </c>
      <c r="D321" s="5" t="inlineStr"/>
      <c r="E321" s="5" t="inlineStr"/>
      <c r="F321" s="5" t="inlineStr">
        <is>
          <t>Akıl +1</t>
        </is>
      </c>
      <c r="G321" s="6" t="inlineStr">
        <is>
          <t>Ön sıraya oturdun. Tahtayı net görüyorsun. Tahta da seni.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row>
    <row r="322">
      <c r="A322" s="5" t="inlineStr">
        <is>
          <t>b5-lise-ilk-gun</t>
        </is>
      </c>
      <c r="B322" s="5" t="n">
        <v>3</v>
      </c>
      <c r="C322" s="6" t="inlineStr">
        <is>
          <t>İlk teneffüste kendini tanıt</t>
        </is>
      </c>
      <c r="D322" s="5" t="inlineStr">
        <is>
          <t>Çene</t>
        </is>
      </c>
      <c r="E322" s="5" t="inlineStr">
        <is>
          <t>Orta</t>
        </is>
      </c>
      <c r="F322" s="5" t="inlineStr"/>
      <c r="G322" s="6" t="inlineStr"/>
      <c r="H322" s="6" t="inlineStr">
        <is>
          <t>Kendini tanıttın. Öğle arasında üç kişinin adını, iki kişinin sırrını biliyordun.</t>
        </is>
      </c>
      <c r="I322" s="6" t="inlineStr">
        <is>
          <t>İkinci gün sınıfın mesaj grubunu sen kurdun. Yöneticilik yetkisi yalnızca sende.</t>
        </is>
      </c>
      <c r="J322" s="6" t="inlineStr">
        <is>
          <t>Kendini tanıttın. Karşındakiler seni rehbere 'şu çok konuşan' diye kaydetti.</t>
        </is>
      </c>
      <c r="K322" s="6" t="inlineStr">
        <is>
          <t>Heyecanla herkese el salladın. Karşılık veren tek kişi müdür yardımcısıydı.</t>
        </is>
      </c>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row>
    <row r="323">
      <c r="A323" s="5" t="inlineStr">
        <is>
          <t>b5-lise-ilk-gun</t>
        </is>
      </c>
      <c r="B323" s="5" t="n">
        <v>4</v>
      </c>
      <c r="C323" s="6" t="inlineStr">
        <is>
          <t>Doğru sıra arkadaşını seç</t>
        </is>
      </c>
      <c r="D323" s="5" t="inlineStr">
        <is>
          <t>Sosyal Radar</t>
        </is>
      </c>
      <c r="E323" s="5" t="inlineStr">
        <is>
          <t>Kolay</t>
        </is>
      </c>
      <c r="F323" s="5" t="inlineStr"/>
      <c r="G323" s="6" t="inlineStr"/>
      <c r="H323" s="6" t="inlineStr">
        <is>
          <t>Doğru kişinin yanına oturdun. Silgi, ödev ve dedikodu artık ortak.</t>
        </is>
      </c>
      <c r="I323" s="6" t="inlineStr">
        <is>
          <t>Sıra arkadaşın ilk teneffüste simidini seninle böldü, ikinci gün ödevini. Hafta bitmeden teneffüsler sizin sıranın etrafında geçiyordu.</t>
        </is>
      </c>
      <c r="J323" s="6" t="inlineStr">
        <is>
          <t>Doğru kişinin yanına oturdun. Ertesi sabah öğretmen herkesi boy sırasına dizdi; arkadaşın öne, sen en arkaya.</t>
        </is>
      </c>
      <c r="K323" s="6" t="inlineStr">
        <is>
          <t>En havalı görünen sırayı seçtin. Yanındaki müdürün oğlu çıktı. Dört yıl boyunca sınıfta kimse onun önünde konuşmadı; senin önünde de.</t>
        </is>
      </c>
      <c r="L323" s="6" t="inlineStr"/>
      <c r="M323" s="5" t="inlineStr"/>
      <c r="N323" s="5" t="inlineStr"/>
      <c r="O323" s="6" t="inlineStr"/>
      <c r="P323" s="6" t="inlineStr"/>
      <c r="Q323" s="5" t="inlineStr"/>
      <c r="R323" s="5" t="inlineStr"/>
      <c r="S323" s="5" t="inlineStr">
        <is>
          <t>Sosyal Radar</t>
        </is>
      </c>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row>
    <row r="324">
      <c r="A324" s="5" t="inlineStr">
        <is>
          <t>b5-sac-devrimi</t>
        </is>
      </c>
      <c r="B324" s="5" t="n">
        <v>1</v>
      </c>
      <c r="C324" s="6" t="inlineStr">
        <is>
          <t>Her zamanki gibi kestir</t>
        </is>
      </c>
      <c r="D324" s="5" t="inlineStr"/>
      <c r="E324" s="5" t="inlineStr"/>
      <c r="F324" s="5" t="inlineStr">
        <is>
          <t>Dayanıklılık +1</t>
        </is>
      </c>
      <c r="G324" s="6" t="inlineStr">
        <is>
          <t>Berber 'her zamanki gibi' dedi ve her zamanki gibi yaptı. Devrim bir dönem daha ertelendi.</t>
        </is>
      </c>
      <c r="H324" s="6" t="inlineStr"/>
      <c r="I324" s="6" t="inlineStr"/>
      <c r="J324" s="6" t="inlineStr"/>
      <c r="K324" s="6" t="inlineStr"/>
      <c r="L324" s="6" t="inlineStr"/>
      <c r="M324" s="5" t="inlineStr"/>
      <c r="N324" s="5" t="inlineStr"/>
      <c r="O324" s="6" t="inlineStr"/>
      <c r="P324" s="6" t="inlineStr"/>
      <c r="Q324" s="5" t="inlineStr"/>
      <c r="R324" s="5" t="inlineStr"/>
      <c r="S324" s="5" t="inlineStr"/>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row>
    <row r="325">
      <c r="A325" s="5" t="inlineStr">
        <is>
          <t>b5-sac-devrimi</t>
        </is>
      </c>
      <c r="B325" s="5" t="n">
        <v>2</v>
      </c>
      <c r="C325" s="6" t="inlineStr">
        <is>
          <t>Fotoğraftakini iste</t>
        </is>
      </c>
      <c r="D325" s="5" t="inlineStr">
        <is>
          <t>Pişkinlik</t>
        </is>
      </c>
      <c r="E325" s="5" t="inlineStr">
        <is>
          <t>Zor</t>
        </is>
      </c>
      <c r="F325" s="5" t="inlineStr"/>
      <c r="G325" s="6" t="inlineStr"/>
      <c r="H325" s="6" t="inlineStr">
        <is>
          <t>Fotoğraftaki olmadı ama yeni bir şey oldu. Okulda iki kişi aynısını istedi.</t>
        </is>
      </c>
      <c r="I325" s="6" t="inlineStr">
        <is>
          <t>Saçın koridorda akım başlattı. Berbere artık 'o öğrencinin saçı' diye sipariş geliyor.</t>
        </is>
      </c>
      <c r="J325" s="6" t="inlineStr">
        <is>
          <t>Sonuç fotoğrafa benzemedi. Babanın gençlik fotoğrafına benzedi.</t>
        </is>
      </c>
      <c r="K325" s="6" t="inlineStr">
        <is>
          <t>Berber “Biraz alalım” dedi ve makineyi açtı. Biraz, sıfır numaraymış. Akşam babaannen seni kapıda “Askere mi gidiyor bu çocuk?” diye karşıladı.</t>
        </is>
      </c>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row>
    <row r="326">
      <c r="A326" s="5" t="inlineStr">
        <is>
          <t>b5-sac-devrimi</t>
        </is>
      </c>
      <c r="B326" s="5" t="n">
        <v>3</v>
      </c>
      <c r="C326" s="6" t="inlineStr">
        <is>
          <t>Evde kendin kes</t>
        </is>
      </c>
      <c r="D326" s="5" t="inlineStr">
        <is>
          <t>Cesaret</t>
        </is>
      </c>
      <c r="E326" s="5" t="inlineStr">
        <is>
          <t>Orta</t>
        </is>
      </c>
      <c r="F326" s="5" t="inlineStr"/>
      <c r="G326" s="6" t="inlineStr"/>
      <c r="H326" s="6" t="inlineStr">
        <is>
          <t>Kendin kestin. Sonuç cesur ve simetrik değil. Ama cesur.</t>
        </is>
      </c>
      <c r="I326" s="6" t="inlineStr">
        <is>
          <t>Kimse berbere gitmediğini anlamadı. Kuzenlerden randevu talebi geliyor.</t>
        </is>
      </c>
      <c r="J326" s="6" t="inlineStr">
        <is>
          <t>Kendin kestin. Sağ taraf, sol taraftan bir hafta ileride.</t>
        </is>
      </c>
      <c r="K326" s="6" t="inlineStr">
        <is>
          <t>Arka tarafı aynasız kestin; ensen merdivene döndü. Annen sabah ilk iş seni berbere götürdü. Berber uzun uzun sustu, sonra makineyi en kısaya aldı.</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row>
    <row r="327">
      <c r="A327" s="5" t="inlineStr">
        <is>
          <t>b5-sac-devrimi</t>
        </is>
      </c>
      <c r="B327" s="5" t="n">
        <v>4</v>
      </c>
      <c r="C327" s="6" t="inlineStr">
        <is>
          <t>Sonucu 'bilerek yaptım' diye sahiplen</t>
        </is>
      </c>
      <c r="D327" s="5" t="inlineStr">
        <is>
          <t>Pişkinlik</t>
        </is>
      </c>
      <c r="E327" s="5" t="inlineStr">
        <is>
          <t>Kolay</t>
        </is>
      </c>
      <c r="F327" s="5" t="inlineStr"/>
      <c r="G327" s="6" t="inlineStr"/>
      <c r="H327" s="6" t="inlineStr">
        <is>
          <t>Saç kötü oldu, sen 'bilerek yaptım' dedin. Herkes inandı.</t>
        </is>
      </c>
      <c r="I327" s="6" t="inlineStr">
        <is>
          <t>'Bu bir tarz' dedin. İkinci hafta gerçekten tarz oldu.</t>
        </is>
      </c>
      <c r="J327" s="6" t="inlineStr">
        <is>
          <t>'Bilerek yaptım' dedin. Kimse sormamıştı.</t>
        </is>
      </c>
      <c r="K327" s="6" t="inlineStr">
        <is>
          <t>'Bilerek yaptım' dedin. Berber yan koltuktan 'Hayır' dedi.</t>
        </is>
      </c>
      <c r="L327" s="6" t="inlineStr"/>
      <c r="M327" s="5" t="inlineStr"/>
      <c r="N327" s="5" t="inlineStr"/>
      <c r="O327" s="6" t="inlineStr"/>
      <c r="P327" s="6" t="inlineStr"/>
      <c r="Q327" s="5" t="inlineStr">
        <is>
          <t>Kendine Gülebilir</t>
        </is>
      </c>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row>
    <row r="328">
      <c r="A328" s="5" t="inlineStr">
        <is>
          <t>b5-kulup-secimi</t>
        </is>
      </c>
      <c r="B328" s="5" t="n">
        <v>1</v>
      </c>
      <c r="C328" s="6" t="inlineStr">
        <is>
          <t>Formu vermeyi unut</t>
        </is>
      </c>
      <c r="D328" s="5" t="inlineStr"/>
      <c r="E328" s="5" t="inlineStr"/>
      <c r="F328" s="5" t="inlineStr">
        <is>
          <t>Dayanıklılık +1</t>
        </is>
      </c>
      <c r="G328" s="6" t="inlineStr">
        <is>
          <t>Formu vermeyi unuttun. Rehber öğretmen boşta kalanları Çevre ve Geri Dönüşüm Kulübü'ne yazdı. Dört yıl teneffüslerde kâğıt topladın; annen evdeki eski gazeteleri artık sana saklıyor.</t>
        </is>
      </c>
      <c r="H328" s="6" t="inlineStr"/>
      <c r="I328" s="6" t="inlineStr"/>
      <c r="J328" s="6" t="inlineStr"/>
      <c r="K328" s="6" t="inlineStr"/>
      <c r="L328" s="6" t="inlineStr"/>
      <c r="M328" s="5" t="inlineStr"/>
      <c r="N328" s="5" t="inlineStr"/>
      <c r="O328" s="6" t="inlineStr"/>
      <c r="P328" s="6" t="inlineStr"/>
      <c r="Q328" s="5" t="inlineStr"/>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row>
    <row r="329">
      <c r="A329" s="5" t="inlineStr">
        <is>
          <t>b5-kulup-secimi</t>
        </is>
      </c>
      <c r="B329" s="5" t="n">
        <v>2</v>
      </c>
      <c r="C329" s="6" t="inlineStr">
        <is>
          <t>Münazaraya yazıl</t>
        </is>
      </c>
      <c r="D329" s="5" t="inlineStr">
        <is>
          <t>Çene</t>
        </is>
      </c>
      <c r="E329" s="5" t="inlineStr">
        <is>
          <t>Orta</t>
        </is>
      </c>
      <c r="F329" s="5" t="inlineStr"/>
      <c r="G329" s="6" t="inlineStr"/>
      <c r="H329" s="6" t="inlineStr">
        <is>
          <t>İlk münazarada rakibini ikna ettin. Rakibin hâlâ neye ikna olduğunu bilmiyor.</t>
        </is>
      </c>
      <c r="I329" s="6" t="inlineStr">
        <is>
          <t>Taraflar kurayla değişti, yine kazandın. Evde de hiçbir tartışmayı kaybetmiyorsun artık.</t>
        </is>
      </c>
      <c r="J329" s="6" t="inlineStr">
        <is>
          <t>İlk münazarada rakibin tek kelime söyledi: 'Kaynak?' Kaynağın yoktu.</t>
        </is>
      </c>
      <c r="K329" s="6" t="inlineStr">
        <is>
          <t>Münazarada heyecandan rakip takımın tezini savundun. Çok ikna ediciydin.</t>
        </is>
      </c>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row>
    <row r="330">
      <c r="A330" s="5" t="inlineStr">
        <is>
          <t>b5-kulup-secimi</t>
        </is>
      </c>
      <c r="B330" s="5" t="n">
        <v>3</v>
      </c>
      <c r="C330" s="6" t="inlineStr">
        <is>
          <t>Tiyatro kulübüne gir</t>
        </is>
      </c>
      <c r="D330" s="5" t="inlineStr">
        <is>
          <t>Pişkinlik</t>
        </is>
      </c>
      <c r="E330" s="5" t="inlineStr">
        <is>
          <t>Kolay</t>
        </is>
      </c>
      <c r="F330" s="5" t="inlineStr"/>
      <c r="G330" s="6" t="inlineStr"/>
      <c r="H330" s="6" t="inlineStr">
        <is>
          <t>Başrolü aldın. Gösteri günü veliler ayağa kalktı; biri sadece çıkmak için.</t>
        </is>
      </c>
      <c r="I330" s="6" t="inlineStr">
        <is>
          <t>Gösteriden sonra bir öğretmen 'Bu öğrenci ileride bir şey olur' dedi. Ne olacağını söylemedi.</t>
        </is>
      </c>
      <c r="J330" s="6" t="inlineStr">
        <is>
          <t>Rolün 'Ağaç 2'. Repliğin yok ama iyi bir ağaçtın.</t>
        </is>
      </c>
      <c r="K330" s="6" t="inlineStr">
        <is>
          <t>Rolün 'Ağaç 2'. Gösterinin en sessiz anında ağaç olarak hapşırdın. Salon hatırlıyor.</t>
        </is>
      </c>
      <c r="L330" s="6" t="inlineStr"/>
      <c r="M330" s="5" t="inlineStr"/>
      <c r="N330" s="5" t="inlineStr"/>
      <c r="O330" s="6" t="inlineStr"/>
      <c r="P330" s="6" t="inlineStr"/>
      <c r="Q330" s="5" t="inlineStr">
        <is>
          <t>Sahne Sever</t>
        </is>
      </c>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is>
          <t>Hapşıran Ağaç</t>
        </is>
      </c>
    </row>
    <row r="331">
      <c r="A331" s="5" t="inlineStr">
        <is>
          <t>b5-kulup-secimi</t>
        </is>
      </c>
      <c r="B331" s="5" t="n">
        <v>4</v>
      </c>
      <c r="C331" s="6" t="inlineStr">
        <is>
          <t>Kendi kulübünü kur</t>
        </is>
      </c>
      <c r="D331" s="5" t="inlineStr">
        <is>
          <t>Çene</t>
        </is>
      </c>
      <c r="E331" s="5" t="inlineStr">
        <is>
          <t>Orta</t>
        </is>
      </c>
      <c r="F331" s="5" t="inlineStr"/>
      <c r="G331" s="6" t="inlineStr"/>
      <c r="H331" s="6" t="inlineStr">
        <is>
          <t>Kantin Ekonomisi Kulübü'nü kurdun. Üç üye, bir başkan, sınırsız tost.</t>
        </is>
      </c>
      <c r="I331" s="6" t="inlineStr">
        <is>
          <t>Kulübün ikinci dönem okulun en kalabalık kulübü oldu. Rehber öğretmen formları sana onaylatıyor.</t>
        </is>
      </c>
      <c r="J331" s="6" t="inlineStr">
        <is>
          <t>Kulübü kurdun. Tek üye sensin. Toplantılar hep oy birliğiyle bitiyor.</t>
        </is>
      </c>
      <c r="K331" s="6" t="inlineStr">
        <is>
          <t>Kulübü kurdun; ilk buluşmada kantinin tost makinesini yaktın. Kantin bir hafta kapalı kaldı. Bütün okul aç ve hepsi seni tanıyor.</t>
        </is>
      </c>
      <c r="L331" s="6" t="inlineStr"/>
      <c r="M331" s="5" t="inlineStr"/>
      <c r="N331" s="5" t="inlineStr"/>
      <c r="O331" s="6" t="inlineStr"/>
      <c r="P331" s="6" t="inlineStr"/>
      <c r="Q331" s="5" t="inlineStr">
        <is>
          <t>Kuralı Koyan</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row>
    <row r="332">
      <c r="A332" s="5" t="inlineStr">
        <is>
          <t>b5-dershane-kaydi</t>
        </is>
      </c>
      <c r="B332" s="5" t="n">
        <v>1</v>
      </c>
      <c r="C332" s="6" t="inlineStr">
        <is>
          <t>Önerilen paketi imzala</t>
        </is>
      </c>
      <c r="D332" s="5" t="inlineStr"/>
      <c r="E332" s="5" t="inlineStr"/>
      <c r="F332" s="5" t="inlineStr">
        <is>
          <t>Akıl +1</t>
        </is>
      </c>
      <c r="G332" s="6" t="inlineStr">
        <is>
          <t>En kapsamlı paket alındı. İçinde deneme sınavları, ek dersler ve dershane logolu bir kalem var.</t>
        </is>
      </c>
      <c r="H332" s="6" t="inlineStr"/>
      <c r="I332" s="6" t="inlineStr"/>
      <c r="J332" s="6" t="inlineStr"/>
      <c r="K332" s="6" t="inlineStr"/>
      <c r="L332" s="6" t="inlineStr"/>
      <c r="M332" s="5" t="inlineStr"/>
      <c r="N332" s="5" t="inlineStr"/>
      <c r="O332" s="6" t="inlineStr"/>
      <c r="P332" s="6" t="inlineStr"/>
      <c r="Q332" s="5" t="inlineStr"/>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row>
    <row r="333">
      <c r="A333" s="5" t="inlineStr">
        <is>
          <t>b5-dershane-kaydi</t>
        </is>
      </c>
      <c r="B333" s="5" t="n">
        <v>2</v>
      </c>
      <c r="C333" s="6" t="inlineStr">
        <is>
          <t>İndirim koparmaya çalış</t>
        </is>
      </c>
      <c r="D333" s="5" t="inlineStr">
        <is>
          <t>Çene</t>
        </is>
      </c>
      <c r="E333" s="5" t="inlineStr">
        <is>
          <t>Orta</t>
        </is>
      </c>
      <c r="F333" s="5" t="inlineStr"/>
      <c r="G333" s="6" t="inlineStr"/>
      <c r="H333" s="6" t="inlineStr">
        <is>
          <t>İndirimi aldın. Danışman müdürü aradı, müdür 'bir kereliğine' dedi. Her kayıtta bir kereliğine diyor.</t>
        </is>
      </c>
      <c r="I333" s="6" t="inlineStr">
        <is>
          <t>Kardeş indirimi, erken kayıt indirimi ve komşu tavsiyesi indirimini birleştirdin. Kardeşin yok.</t>
        </is>
      </c>
      <c r="J333" s="6" t="inlineStr">
        <is>
          <t>İndirim istedin. Danışman 'Kalemi hediye edebiliriz' dedi.</t>
        </is>
      </c>
      <c r="K333" s="6" t="inlineStr">
        <is>
          <t>Pazarlık uzadı. Danışman “Madem bu kadar istekli, hafta sonu grubuna da yazalım” dedi; baban imzaladı. Cumartesilerin gitti.</t>
        </is>
      </c>
      <c r="L333" s="6" t="inlineStr">
        <is>
          <t>Küçük bir indirim kopardın. Karşılığında hediye kalemden vazgeçtin.</t>
        </is>
      </c>
      <c r="M333" s="5" t="inlineStr">
        <is>
          <t>bargain</t>
        </is>
      </c>
      <c r="N333" s="5" t="inlineStr">
        <is>
          <t>Kayıt Masası Pazarlığı</t>
        </is>
      </c>
      <c r="O333" s="6" t="inlineStr">
        <is>
          <t>Danışmanın sabrı bitmeden doğru indirimi kopar; kalem hediyesine razı olma.</t>
        </is>
      </c>
      <c r="P333" s="6" t="inlineStr">
        <is>
          <t>{"item": "dershane kaydı", "mode": "buy"}</t>
        </is>
      </c>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row>
    <row r="334">
      <c r="A334" s="5" t="inlineStr">
        <is>
          <t>b5-dershane-kaydi</t>
        </is>
      </c>
      <c r="B334" s="5" t="n">
        <v>3</v>
      </c>
      <c r="C334" s="6" t="inlineStr">
        <is>
          <t>'Ben evde çalışırım' de</t>
        </is>
      </c>
      <c r="D334" s="5" t="inlineStr">
        <is>
          <t>Pişkinlik</t>
        </is>
      </c>
      <c r="E334" s="5" t="inlineStr">
        <is>
          <t>Zor</t>
        </is>
      </c>
      <c r="F334" s="5" t="inlineStr"/>
      <c r="G334" s="6" t="inlineStr"/>
      <c r="H334" s="6" t="inlineStr">
        <is>
          <t>Aileni ikna ettin. Tasarruf edilen para internet paketine aktarıldı.</t>
        </is>
      </c>
      <c r="I334" s="6" t="inlineStr">
        <is>
          <t>Aileni ikna ettin. Evin en sessiz odası sana verildi, misafir yatağı salona taşındı. Annen yine de iki saatte bir meyve tabağıyla giriyor.</t>
        </is>
      </c>
      <c r="J334" s="6" t="inlineStr">
        <is>
          <t>'Evde çalışırım' dedin. Ailen seni tanıyordu.</t>
        </is>
      </c>
      <c r="K334" s="6" t="inlineStr">
        <is>
          <t>'Evde çalışırım' dedin. Ailen seni hem dershaneye hem de akşam etüdüne yazdırdı.</t>
        </is>
      </c>
      <c r="L334" s="6" t="inlineStr"/>
      <c r="M334" s="5" t="inlineStr"/>
      <c r="N334" s="5" t="inlineStr"/>
      <c r="O334" s="6" t="inlineStr"/>
      <c r="P334" s="6" t="inlineStr"/>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row>
    <row r="335">
      <c r="A335" s="5" t="inlineStr">
        <is>
          <t>b5-dershane-kaydi</t>
        </is>
      </c>
      <c r="B335" s="5" t="n">
        <v>4</v>
      </c>
      <c r="C335" s="6" t="inlineStr">
        <is>
          <t>Maliyet-fayda tablosu sun</t>
        </is>
      </c>
      <c r="D335" s="5" t="inlineStr">
        <is>
          <t>Akıl</t>
        </is>
      </c>
      <c r="E335" s="5" t="inlineStr">
        <is>
          <t>Kolay</t>
        </is>
      </c>
      <c r="F335" s="5" t="inlineStr"/>
      <c r="G335" s="6" t="inlineStr"/>
      <c r="H335" s="6" t="inlineStr">
        <is>
          <t>Tablon ailede takdir topladı. Yine de yazdırıldın ama taksitle.</t>
        </is>
      </c>
      <c r="I335" s="6" t="inlineStr">
        <is>
          <t>Tablon sayesinde çevrim içi kursa geçildi. Artan para senin adına ayrıldı. Hesap annende.</t>
        </is>
      </c>
      <c r="J335" s="6" t="inlineStr">
        <is>
          <t>Tabloyu sofrada açtın. Baban gözlüğünü taktı, okudu, katladı: “Bunları dershanede öğrenirsin.”</t>
        </is>
      </c>
      <c r="K335" s="6" t="inlineStr">
        <is>
          <t>Tablonun son satırında dershane kârlı çıktı. Baban tabloyu buzdolabına astı, altına “Kendi hesabı” yazdı. Kayıt ertesi sabah yapıldı.</t>
        </is>
      </c>
      <c r="L335" s="6" t="inlineStr"/>
      <c r="M335" s="5" t="inlineStr"/>
      <c r="N335" s="5" t="inlineStr"/>
      <c r="O335" s="6" t="inlineStr"/>
      <c r="P335" s="6" t="inlineStr"/>
      <c r="Q335" s="5" t="inlineStr">
        <is>
          <t>Kumbara Çocuğu</t>
        </is>
      </c>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row>
    <row r="336">
      <c r="A336" s="5" t="inlineStr">
        <is>
          <t>b5-sigara-teklifi</t>
        </is>
      </c>
      <c r="B336" s="5" t="n">
        <v>1</v>
      </c>
      <c r="C336" s="6" t="inlineStr">
        <is>
          <t>'Yok' de, yürü</t>
        </is>
      </c>
      <c r="D336" s="5" t="inlineStr"/>
      <c r="E336" s="5" t="inlineStr"/>
      <c r="F336" s="5" t="inlineStr">
        <is>
          <t>Cesaret +1</t>
        </is>
      </c>
      <c r="G336" s="6" t="inlineStr">
        <is>
          <t>'Yok' dedin ve yürüdün. Kimse arkandan bir şey demedi. Ertesi gün kimse hatırlamadı bile.</t>
        </is>
      </c>
      <c r="H336" s="6" t="inlineStr"/>
      <c r="I336" s="6" t="inlineStr"/>
      <c r="J336" s="6" t="inlineStr"/>
      <c r="K336" s="6" t="inlineStr"/>
      <c r="L336" s="6" t="inlineStr"/>
      <c r="M336" s="5" t="inlineStr"/>
      <c r="N336" s="5" t="inlineStr"/>
      <c r="O336" s="6" t="inlineStr"/>
      <c r="P336" s="6" t="inlineStr"/>
      <c r="Q336" s="5" t="inlineStr"/>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row>
    <row r="337">
      <c r="A337" s="5" t="inlineStr">
        <is>
          <t>b5-sigara-teklifi</t>
        </is>
      </c>
      <c r="B337" s="5" t="n">
        <v>2</v>
      </c>
      <c r="C337" s="6" t="inlineStr">
        <is>
          <t>Al</t>
        </is>
      </c>
      <c r="D337" s="5" t="inlineStr"/>
      <c r="E337" s="5" t="inlineStr"/>
      <c r="F337" s="5" t="inlineStr">
        <is>
          <t>Pişkinlik +1</t>
        </is>
      </c>
      <c r="G337" s="6" t="inlineStr">
        <is>
          <t>Aldın ve öksürdün. Herkes görmemiş gibi yaptı. Akşam annen montunu kokladı ve hiçbir şey demedi; o sessizlik öksürükten uzun sürdü.</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is>
          <t>sigara</t>
        </is>
      </c>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row>
    <row r="338">
      <c r="A338" s="5" t="inlineStr">
        <is>
          <t>b5-sigara-teklifi</t>
        </is>
      </c>
      <c r="B338" s="5" t="n">
        <v>3</v>
      </c>
      <c r="C338" s="6" t="inlineStr">
        <is>
          <t>Esprili bir bahane bul</t>
        </is>
      </c>
      <c r="D338" s="5" t="inlineStr">
        <is>
          <t>Çene</t>
        </is>
      </c>
      <c r="E338" s="5" t="inlineStr">
        <is>
          <t>Orta</t>
        </is>
      </c>
      <c r="F338" s="5" t="inlineStr"/>
      <c r="G338" s="6" t="inlineStr"/>
      <c r="H338" s="6" t="inlineStr">
        <is>
          <t>'Nefesimi sınava saklıyorum' dedin. Güldüler, paket cebe geri girdi.</t>
        </is>
      </c>
      <c r="I338" s="6" t="inlineStr">
        <is>
          <t>Bahanen o kadar iyiydi ki gruptan ikisi de bıraktı. Duvarın dibi yarı yarıya boşaldı.</t>
        </is>
      </c>
      <c r="J338" s="6" t="inlineStr">
        <is>
          <t>Bahaneni kimse dinlemedi. Neyse ki kimse ısrar da etmedi.</t>
        </is>
      </c>
      <c r="K338" s="6" t="inlineStr">
        <is>
          <t>“Annem kokuyu alır” dedin. Kimse gülmedi; biri cümleyi gruba yazdı. Ertesi sabah koridorda herkes seni bu cümleyle selamladı.</t>
        </is>
      </c>
      <c r="L338" s="6" t="inlineStr"/>
      <c r="M338" s="5" t="inlineStr"/>
      <c r="N338" s="5" t="inlineStr"/>
      <c r="O338" s="6" t="inlineStr"/>
      <c r="P338" s="6" t="inlineStr"/>
      <c r="Q338" s="5" t="inlineStr"/>
      <c r="R338" s="5" t="inlineStr"/>
      <c r="S338" s="5" t="inlineStr"/>
      <c r="T338" s="5" t="inlineStr"/>
      <c r="U338" s="5" t="inlineStr"/>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is>
          <t>Annem Kokuyu Alır</t>
        </is>
      </c>
    </row>
    <row r="339">
      <c r="A339" s="5" t="inlineStr">
        <is>
          <t>b5-sigara-teklifi</t>
        </is>
      </c>
      <c r="B339" s="5" t="n">
        <v>4</v>
      </c>
      <c r="C339" s="6" t="inlineStr">
        <is>
          <t>Konuyu değiştir</t>
        </is>
      </c>
      <c r="D339" s="5" t="inlineStr">
        <is>
          <t>Sosyal Radar</t>
        </is>
      </c>
      <c r="E339" s="5" t="inlineStr">
        <is>
          <t>Kolay</t>
        </is>
      </c>
      <c r="F339" s="5" t="inlineStr"/>
      <c r="G339" s="6" t="inlineStr"/>
      <c r="H339" s="6" t="inlineStr">
        <is>
          <t>'Dünkü maç kaç kaç bitti?' diye sordun. On dakika tartışıldı, paket unutuldu.</t>
        </is>
      </c>
      <c r="I339" s="6" t="inlineStr">
        <is>
          <t>Konuyu değiştirdin; grup duvar dibinden kantine taşındı. Tost daha iyi bir alışkanlıktı.</t>
        </is>
      </c>
      <c r="J339" s="6" t="inlineStr">
        <is>
          <t>Konuyu değiştirdin. Paket yine sana uzatıldı. Konu değişmedi.</t>
        </is>
      </c>
      <c r="K339" s="6" t="inlineStr">
        <is>
          <t>Konuyu değiştirmek için “Müdür yardımcısı geliyor” dedin. Geldi. Ertesi sabah hepinizin velisi okula çağrıldı; seninki en önde oturuyordu.</t>
        </is>
      </c>
      <c r="L339" s="6" t="inlineStr"/>
      <c r="M339" s="5" t="inlineStr"/>
      <c r="N339" s="5" t="inlineStr"/>
      <c r="O339" s="6" t="inlineStr"/>
      <c r="P339" s="6" t="inlineStr"/>
      <c r="Q339" s="5" t="inlineStr"/>
      <c r="R339" s="5" t="inlineStr"/>
      <c r="S339" s="5" t="inlineStr">
        <is>
          <t>Sosyal Radar</t>
        </is>
      </c>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row>
    <row r="340">
      <c r="A340" s="5" t="inlineStr">
        <is>
          <t>b5-mesaj-grubu</t>
        </is>
      </c>
      <c r="B340" s="5" t="n">
        <v>1</v>
      </c>
      <c r="C340" s="6" t="inlineStr">
        <is>
          <t>Hiçbir şey olmamış gibi davran</t>
        </is>
      </c>
      <c r="D340" s="5" t="inlineStr"/>
      <c r="E340" s="5" t="inlineStr"/>
      <c r="F340" s="5" t="inlineStr">
        <is>
          <t>Dayanıklılık +1</t>
        </is>
      </c>
      <c r="G340" s="6" t="inlineStr">
        <is>
          <t>Hiçbir şey demedin. Bir ay sonra seni asıl gruba eklediler. Aynı gün grubu sen sessize aldın.</t>
        </is>
      </c>
      <c r="H340" s="6" t="inlineStr"/>
      <c r="I340" s="6" t="inlineStr"/>
      <c r="J340" s="6" t="inlineStr"/>
      <c r="K340" s="6" t="inlineStr"/>
      <c r="L340" s="6" t="inlineStr"/>
      <c r="M340" s="5" t="inlineStr"/>
      <c r="N340" s="5" t="inlineStr"/>
      <c r="O340" s="6" t="inlineStr"/>
      <c r="P340" s="6" t="inlineStr"/>
      <c r="Q340" s="5" t="inlineStr"/>
      <c r="R340" s="5" t="inlineStr"/>
      <c r="S340" s="5" t="inlineStr"/>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row>
    <row r="341">
      <c r="A341" s="5" t="inlineStr">
        <is>
          <t>b5-mesaj-grubu</t>
        </is>
      </c>
      <c r="B341" s="5" t="n">
        <v>2</v>
      </c>
      <c r="C341" s="6" t="inlineStr">
        <is>
          <t>Kendi grubunu kur</t>
        </is>
      </c>
      <c r="D341" s="5" t="inlineStr">
        <is>
          <t>Sosyal Radar</t>
        </is>
      </c>
      <c r="E341" s="5" t="inlineStr">
        <is>
          <t>Zor</t>
        </is>
      </c>
      <c r="F341" s="5" t="inlineStr"/>
      <c r="G341" s="6" t="inlineStr"/>
      <c r="H341" s="6" t="inlineStr">
        <is>
          <t>Kendi grubunu kurdun. Asıl grubun yarısı sana geçti.</t>
        </is>
      </c>
      <c r="I341" s="6" t="inlineStr">
        <is>
          <t>Grubun sınıfın yeni asıl grubu oldu. Eskisi artık 'eski grup' olarak anılıyor.</t>
        </is>
      </c>
      <c r="J341" s="6" t="inlineStr">
        <is>
          <t>Grubu kurdun. İki kişi katıldı, biri yanlışlıkla.</t>
        </is>
      </c>
      <c r="K341" s="6" t="inlineStr">
        <is>
          <t>Yeni grubun ilk mesajı asıl gruptaki biri hakkındaydı. Ekran görüntüsü on dakikada asıl gruba ulaştı.</t>
        </is>
      </c>
      <c r="L341" s="6" t="inlineStr"/>
      <c r="M341" s="5" t="inlineStr"/>
      <c r="N341" s="5" t="inlineStr"/>
      <c r="O341" s="6" t="inlineStr"/>
      <c r="P341" s="6" t="inlineStr"/>
      <c r="Q341" s="5" t="inlineStr"/>
      <c r="R341" s="5" t="inlineStr"/>
      <c r="S341" s="5" t="inlineStr"/>
      <c r="T341" s="5" t="inlineStr">
        <is>
          <t>Grup Yöneticisi</t>
        </is>
      </c>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row>
    <row r="342">
      <c r="A342" s="5" t="inlineStr">
        <is>
          <t>b5-mesaj-grubu</t>
        </is>
      </c>
      <c r="B342" s="5" t="n">
        <v>3</v>
      </c>
      <c r="C342" s="6" t="inlineStr">
        <is>
          <t>Birinden ekran görüntüsü iste</t>
        </is>
      </c>
      <c r="D342" s="5" t="inlineStr">
        <is>
          <t>Kurnazlık</t>
        </is>
      </c>
      <c r="E342" s="5" t="inlineStr">
        <is>
          <t>Orta</t>
        </is>
      </c>
      <c r="F342" s="5" t="inlineStr"/>
      <c r="G342" s="6" t="inlineStr"/>
      <c r="H342" s="6" t="inlineStr">
        <is>
          <t>Görüntüleri aldın. Asıl grupta konuşulan tek şey ödevmiş. Hayal kırıklığı.</t>
        </is>
      </c>
      <c r="I342" s="6" t="inlineStr">
        <is>
          <t>Asıl gruptan biri her akşam sana ekran görüntüsü atıyor; karşılığında matematik ödevini istiyor. Asıl gruptakilerden önce sen haberdar oluyorsun.</t>
        </is>
      </c>
      <c r="J342" s="6" t="inlineStr">
        <is>
          <t>Görüntü istediğin kişi 'Hangi grup?' dedi. O da yokmuş.</t>
        </is>
      </c>
      <c r="K342" s="6" t="inlineStr">
        <is>
          <t>Ekran görüntüsü talebini yanlışlıkla asıl grubun kendisine gönderdin. Artık orada konuşuluyorsun.</t>
        </is>
      </c>
      <c r="L342" s="6" t="inlineStr"/>
      <c r="M342" s="5" t="inlineStr"/>
      <c r="N342" s="5" t="inlineStr"/>
      <c r="O342" s="6" t="inlineStr"/>
      <c r="P342" s="6" t="inlineStr"/>
      <c r="Q342" s="5" t="inlineStr"/>
      <c r="R342" s="5" t="inlineStr"/>
      <c r="S342" s="5" t="inlineStr"/>
      <c r="T342" s="5" t="inlineStr"/>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row>
    <row r="343">
      <c r="A343" s="5" t="inlineStr">
        <is>
          <t>b5-mesaj-grubu</t>
        </is>
      </c>
      <c r="B343" s="5" t="n">
        <v>4</v>
      </c>
      <c r="C343" s="6" t="inlineStr">
        <is>
          <t>'Beni de ekleyin' yaz</t>
        </is>
      </c>
      <c r="D343" s="5" t="inlineStr">
        <is>
          <t>Pişkinlik</t>
        </is>
      </c>
      <c r="E343" s="5" t="inlineStr">
        <is>
          <t>Kolay</t>
        </is>
      </c>
      <c r="F343" s="5" t="inlineStr"/>
      <c r="G343" s="6" t="inlineStr"/>
      <c r="H343" s="6" t="inlineStr">
        <is>
          <t>Açıkça istedin, eklediler. Kimse zaten neden eklemediğini hatırlamıyordu.</t>
        </is>
      </c>
      <c r="I343" s="6" t="inlineStr">
        <is>
          <t>Eklendin. Bir hafta sonra yönetici sensin; seni eklemeyenleri şimdi sen ekliyorsun.</t>
        </is>
      </c>
      <c r="J343" s="6" t="inlineStr">
        <is>
          <t>Eklediler. Ertesi gün grubun adı 'Asıl Asıl Grup' oldu.</t>
        </is>
      </c>
      <c r="K343" s="6" t="inlineStr">
        <is>
          <t>'Beni de ekleyin' yazdın. Genel gruba. Bütün sınıf bir asıl grup olduğunu öğrendi.</t>
        </is>
      </c>
      <c r="L343" s="6" t="inlineStr"/>
      <c r="M343" s="5" t="inlineStr"/>
      <c r="N343" s="5" t="inlineStr"/>
      <c r="O343" s="6" t="inlineStr"/>
      <c r="P343" s="6" t="inlineStr"/>
      <c r="Q343" s="5" t="inlineStr"/>
      <c r="R343" s="5" t="inlineStr"/>
      <c r="S343" s="5" t="inlineStr">
        <is>
          <t>Pişkinlik</t>
        </is>
      </c>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row>
    <row r="344">
      <c r="A344" s="5" t="inlineStr">
        <is>
          <t>b5-kantin-vergisi</t>
        </is>
      </c>
      <c r="B344" s="5" t="n">
        <v>1</v>
      </c>
      <c r="C344" s="6" t="inlineStr">
        <is>
          <t>Öde</t>
        </is>
      </c>
      <c r="D344" s="5" t="inlineStr"/>
      <c r="E344" s="5" t="inlineStr"/>
      <c r="F344" s="5" t="inlineStr">
        <is>
          <t>Dayanıklılık +1</t>
        </is>
      </c>
      <c r="G344" s="6" t="inlineStr">
        <is>
          <t>Ödedin. Her pazartesi tost paran kapıda kalıyor. Kantinci “Zayıflamışsın” diyor; doğru.</t>
        </is>
      </c>
      <c r="H344" s="6" t="inlineStr"/>
      <c r="I344" s="6" t="inlineStr"/>
      <c r="J344" s="6" t="inlineStr"/>
      <c r="K344" s="6" t="inlineStr"/>
      <c r="L344" s="6" t="inlineStr"/>
      <c r="M344" s="5" t="inlineStr"/>
      <c r="N344" s="5" t="inlineStr"/>
      <c r="O344" s="6" t="inlineStr"/>
      <c r="P344" s="6" t="inlineStr"/>
      <c r="Q344" s="5" t="inlineStr"/>
      <c r="R344" s="5" t="inlineStr"/>
      <c r="S344" s="5" t="inlineStr"/>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row>
    <row r="345">
      <c r="A345" s="5" t="inlineStr">
        <is>
          <t>b5-kantin-vergisi</t>
        </is>
      </c>
      <c r="B345" s="5" t="n">
        <v>2</v>
      </c>
      <c r="C345" s="6" t="inlineStr">
        <is>
          <t>Arka kapıyı kullan</t>
        </is>
      </c>
      <c r="D345" s="5" t="inlineStr">
        <is>
          <t>Kurnazlık</t>
        </is>
      </c>
      <c r="E345" s="5" t="inlineStr">
        <is>
          <t>Kolay</t>
        </is>
      </c>
      <c r="F345" s="5" t="inlineStr"/>
      <c r="G345" s="6" t="inlineStr"/>
      <c r="H345" s="6" t="inlineStr">
        <is>
          <t>Arka kapıyı keşfettin. Yol iki dakika uzadı, tost bütçen korundu.</t>
        </is>
      </c>
      <c r="I345" s="6" t="inlineStr">
        <is>
          <t>Arka kapıyı keşfettin ve güzergâhı sınıfa açtın. Ön kapının tarifesi bir haftada çöktü.</t>
        </is>
      </c>
      <c r="J345" s="6" t="inlineStr">
        <is>
          <t>Arka kapıyı buldun. Onlar da buldu. Arka kapı tarifesi ön kapıdan pahalı.</t>
        </is>
      </c>
      <c r="K345" s="6" t="inlineStr">
        <is>
          <t>Arka kapı kilitliydi. Ön kapıya döndüğünde tarifeye 'geç kalma bedeli' eklenmişti.</t>
        </is>
      </c>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row>
    <row r="346">
      <c r="A346" s="5" t="inlineStr">
        <is>
          <t>b5-kantin-vergisi</t>
        </is>
      </c>
      <c r="B346" s="5" t="n">
        <v>3</v>
      </c>
      <c r="C346" s="6" t="inlineStr">
        <is>
          <t>Açıkça reddet</t>
        </is>
      </c>
      <c r="D346" s="5" t="inlineStr">
        <is>
          <t>Cesaret</t>
        </is>
      </c>
      <c r="E346" s="5" t="inlineStr">
        <is>
          <t>Zor</t>
        </is>
      </c>
      <c r="F346" s="5" t="inlineStr"/>
      <c r="G346" s="6" t="inlineStr"/>
      <c r="H346" s="6" t="inlineStr">
        <is>
          <t>Reddettin. Birbirlerine baktılar ve 'Bu hafta pas' dediler. Tarifeden muaf tutuldun.</t>
        </is>
      </c>
      <c r="I346" s="6" t="inlineStr">
        <is>
          <t>Sen reddettin, arkandaki beş kişi de reddetti. Üçü altı kişiye baktı ve dağıldı. Ertesi hafta kapıda yalnızca simitçi vardı.</t>
        </is>
      </c>
      <c r="J346" s="6" t="inlineStr">
        <is>
          <t>Reddettin. Hiçbir şey olmadı. Sadece adın bir deftere yazıldı.</t>
        </is>
      </c>
      <c r="K346" s="6" t="inlineStr">
        <is>
          <t>Reddettin. Ertesi sabah bisikletinin selesi yoktu. Bir ay okula ayakta pedal çevirerek geldin; bütün mahalle seni böyle tanıdı.</t>
        </is>
      </c>
      <c r="L346" s="6" t="inlineStr"/>
      <c r="M346" s="5" t="inlineStr"/>
      <c r="N346" s="5" t="inlineStr"/>
      <c r="O346" s="6" t="inlineStr"/>
      <c r="P346" s="6" t="inlineStr"/>
      <c r="Q346" s="5" t="inlineStr"/>
      <c r="R346" s="5" t="inlineStr"/>
      <c r="S346" s="5" t="inlineStr"/>
      <c r="T346" s="5" t="inlineStr"/>
      <c r="U346" s="5" t="inlineStr"/>
      <c r="V346" s="5" t="inlineStr"/>
      <c r="W346" s="5" t="inlineStr">
        <is>
          <t>haracci-dusmani</t>
        </is>
      </c>
      <c r="X346" s="5" t="inlineStr"/>
      <c r="Y346" s="5" t="inlineStr"/>
      <c r="Z346" s="6" t="inlineStr"/>
      <c r="AA346" s="5" t="inlineStr"/>
      <c r="AB346" s="5" t="inlineStr"/>
      <c r="AC346" s="5" t="inlineStr"/>
      <c r="AD346" s="5" t="inlineStr"/>
      <c r="AE346" s="5" t="inlineStr"/>
      <c r="AF346" s="5" t="inlineStr"/>
      <c r="AG346" s="5" t="inlineStr"/>
      <c r="AH346" s="5" t="inlineStr"/>
      <c r="AI346" s="5" t="inlineStr"/>
    </row>
    <row r="347">
      <c r="A347" s="5" t="inlineStr">
        <is>
          <t>b5-kantin-vergisi</t>
        </is>
      </c>
      <c r="B347" s="5" t="n">
        <v>4</v>
      </c>
      <c r="C347" s="6" t="inlineStr">
        <is>
          <t>'Abinizle ben görüşürüm' de</t>
        </is>
      </c>
      <c r="D347" s="5" t="inlineStr">
        <is>
          <t>Pişkinlik</t>
        </is>
      </c>
      <c r="E347" s="5" t="inlineStr">
        <is>
          <t>Orta</t>
        </is>
      </c>
      <c r="F347" s="5" t="inlineStr"/>
      <c r="G347" s="6" t="inlineStr"/>
      <c r="H347" s="6" t="inlineStr">
        <is>
          <t>Abiyi aramak için telefonu çıkardın. Üçü birbirine baktı: “Tamam tamam, geç.” Abinin numarası sende bile yoktu.</t>
        </is>
      </c>
      <c r="I347" s="6" t="inlineStr">
        <is>
          <t>Abiyle görüştün. Abi üçüne tek cümle söyledi: “O bizim mahallenin çocuğu.” O günden beri kapıdan selamla geçiyorsun.</t>
        </is>
      </c>
      <c r="J347" s="6" t="inlineStr">
        <is>
          <t>Abiyi aradın. Abi 'Tarifede indirim yok' dedi.</t>
        </is>
      </c>
      <c r="K347" s="6" t="inlineStr">
        <is>
          <t>Abiyi aradın. Abi seni hatırladı; geçen seferki kafa tutmanı da. Geçiş ücretin iki tost oldu, bir de ayran.</t>
        </is>
      </c>
      <c r="L347" s="6" t="inlineStr"/>
      <c r="M347" s="5" t="inlineStr"/>
      <c r="N347" s="5" t="inlineStr"/>
      <c r="O347" s="6" t="inlineStr"/>
      <c r="P347" s="6" t="inlineStr"/>
      <c r="Q347" s="5" t="inlineStr"/>
      <c r="R347" s="5" t="inlineStr">
        <is>
          <t>haracci-dusmani</t>
        </is>
      </c>
      <c r="S347" s="5" t="inlineStr"/>
      <c r="T347" s="5" t="inlineStr"/>
      <c r="U347" s="5" t="inlineStr"/>
      <c r="V347" s="5" t="inlineStr"/>
      <c r="W347" s="5" t="inlineStr"/>
      <c r="X347" s="5" t="inlineStr"/>
      <c r="Y347" s="5" t="inlineStr"/>
      <c r="Z347" s="6" t="inlineStr"/>
      <c r="AA347" s="5" t="inlineStr"/>
      <c r="AB347" s="5" t="inlineStr"/>
      <c r="AC347" s="5" t="inlineStr"/>
      <c r="AD347" s="5" t="inlineStr"/>
      <c r="AE347" s="5" t="inlineStr"/>
      <c r="AF347" s="5" t="inlineStr"/>
      <c r="AG347" s="5" t="inlineStr"/>
      <c r="AH347" s="5" t="inlineStr"/>
      <c r="AI347" s="5" t="inlineStr"/>
    </row>
    <row r="348">
      <c r="A348" s="5" t="inlineStr">
        <is>
          <t>b5-ilk-sevgili</t>
        </is>
      </c>
      <c r="B348" s="5" t="n">
        <v>1</v>
      </c>
      <c r="C348" s="6" t="inlineStr">
        <is>
          <t>Hava durumundan konuş</t>
        </is>
      </c>
      <c r="D348" s="5" t="inlineStr"/>
      <c r="E348" s="5" t="inlineStr"/>
      <c r="F348" s="5" t="inlineStr">
        <is>
          <t>Çene +1</t>
        </is>
      </c>
      <c r="G348" s="6" t="inlineStr">
        <is>
          <t>Bir saat boyunca hava durumunu konuştunuz. İkiniz de yarın yağmur yağacağını artık çok iyi biliyorsunuz.</t>
        </is>
      </c>
      <c r="H348" s="6" t="inlineStr"/>
      <c r="I348" s="6" t="inlineStr"/>
      <c r="J348" s="6" t="inlineStr"/>
      <c r="K348" s="6" t="inlineStr"/>
      <c r="L348" s="6" t="inlineStr"/>
      <c r="M348" s="5" t="inlineStr"/>
      <c r="N348" s="5" t="inlineStr"/>
      <c r="O348" s="6" t="inlineStr"/>
      <c r="P348" s="6" t="inlineStr"/>
      <c r="Q348" s="5" t="inlineStr"/>
      <c r="R348" s="5" t="inlineStr"/>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row>
    <row r="349">
      <c r="A349" s="5" t="inlineStr">
        <is>
          <t>b5-ilk-sevgili</t>
        </is>
      </c>
      <c r="B349" s="5" t="n">
        <v>2</v>
      </c>
      <c r="C349" s="6" t="inlineStr">
        <is>
          <t>Elini tut</t>
        </is>
      </c>
      <c r="D349" s="5" t="inlineStr">
        <is>
          <t>Gönül</t>
        </is>
      </c>
      <c r="E349" s="5" t="inlineStr">
        <is>
          <t>Zor</t>
        </is>
      </c>
      <c r="F349" s="5" t="inlineStr"/>
      <c r="G349" s="6" t="inlineStr"/>
      <c r="H349" s="6" t="inlineStr">
        <is>
          <t>Elini tuttun. İki avuç da terliydi; ikiniz de bırakmadınız. Eve vardığında annen her şeyi biliyordu: karşı apartmandaki teyze görmüş.</t>
        </is>
      </c>
      <c r="I349" s="6" t="inlineStr">
        <is>
          <t>Elini tuttun ve eve kadar bırakmadınız. Kapının önünde ikiniz de “Önce sen bırak” dediniz. Balkondan annen seslendi: “Hadi artık, çay soğudu!”</t>
        </is>
      </c>
      <c r="J349" s="6" t="inlineStr">
        <is>
          <t>Tam uzanacakken karşındaki ayağa kalkıp dondurma almaya gitti.</t>
        </is>
      </c>
      <c r="K349" s="6" t="inlineStr">
        <is>
          <t>Elini tuttuğunu sandın. Tuttuğun, banktaki poşetmiş. Poşet yandaki teyzeninmiş; teyze “Hırsız var!” diye bağırdı, bütün park döndü baktı.</t>
        </is>
      </c>
      <c r="L349" s="6" t="inlineStr"/>
      <c r="M349" s="5" t="inlineStr"/>
      <c r="N349" s="5" t="inlineStr"/>
      <c r="O349" s="6" t="inlineStr"/>
      <c r="P349" s="6" t="inlineStr"/>
      <c r="Q349" s="5" t="inlineStr"/>
      <c r="R349" s="5" t="inlineStr"/>
      <c r="S349" s="5" t="inlineStr"/>
      <c r="T349" s="5" t="inlineStr"/>
      <c r="U349" s="5" t="inlineStr"/>
      <c r="V349" s="5" t="inlineStr">
        <is>
          <t>ilk-sevgili</t>
        </is>
      </c>
      <c r="W349" s="5" t="inlineStr"/>
      <c r="X349" s="5" t="inlineStr"/>
      <c r="Y349" s="5" t="inlineStr"/>
      <c r="Z349" s="6" t="inlineStr"/>
      <c r="AA349" s="5" t="inlineStr"/>
      <c r="AB349" s="5" t="inlineStr">
        <is>
          <t>utangac</t>
        </is>
      </c>
      <c r="AC349" s="5" t="inlineStr"/>
      <c r="AD349" s="5" t="inlineStr"/>
      <c r="AE349" s="5" t="inlineStr"/>
      <c r="AF349" s="5" t="inlineStr"/>
      <c r="AG349" s="5" t="inlineStr"/>
      <c r="AH349" s="5" t="inlineStr"/>
      <c r="AI349" s="5" t="inlineStr">
        <is>
          <t>Poşet Hırsızı</t>
        </is>
      </c>
    </row>
    <row r="350">
      <c r="A350" s="5" t="inlineStr">
        <is>
          <t>b5-ilk-sevgili</t>
        </is>
      </c>
      <c r="B350" s="5" t="n">
        <v>3</v>
      </c>
      <c r="C350" s="6" t="inlineStr">
        <is>
          <t>'Ben de heyecanlıyım' de</t>
        </is>
      </c>
      <c r="D350" s="5" t="inlineStr">
        <is>
          <t>Gönül</t>
        </is>
      </c>
      <c r="E350" s="5" t="inlineStr">
        <is>
          <t>Kolay</t>
        </is>
      </c>
      <c r="F350" s="5" t="inlineStr"/>
      <c r="G350" s="6" t="inlineStr"/>
      <c r="H350" s="6" t="inlineStr">
        <is>
          <t>Açık sözlülüğün işe yaradı. Karşındaki güldü, rahatladı ve elini uzattı.</t>
        </is>
      </c>
      <c r="I350" s="6" t="inlineStr">
        <is>
          <t>İkiniz aynı anda 'Ben de' dediniz. Film sahnesiydi; tek eksik müzikti.</t>
        </is>
      </c>
      <c r="J350" s="6" t="inlineStr">
        <is>
          <t>'Ben de heyecanlıyım' dedin. 'Neden?' diye sordu. Anlatamadın.</t>
        </is>
      </c>
      <c r="K350" s="6" t="inlineStr">
        <is>
          <t>“Ben de heyecanlıyım” derken sesin çatallandı, horoz gibi öttü. Yan bankta simit yiyen amca güldü. Sonra karşındaki de güldü; seninle değil.</t>
        </is>
      </c>
      <c r="L350" s="6" t="inlineStr"/>
      <c r="M350" s="5" t="inlineStr"/>
      <c r="N350" s="5" t="inlineStr"/>
      <c r="O350" s="6" t="inlineStr"/>
      <c r="P350" s="6" t="inlineStr"/>
      <c r="Q350" s="5" t="inlineStr"/>
      <c r="R350" s="5" t="inlineStr"/>
      <c r="S350" s="5" t="inlineStr">
        <is>
          <t>Sosyal Radar</t>
        </is>
      </c>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row>
    <row r="351">
      <c r="A351" s="5" t="inlineStr">
        <is>
          <t>b5-ilk-sevgili</t>
        </is>
      </c>
      <c r="B351" s="5" t="n">
        <v>4</v>
      </c>
      <c r="C351" s="6" t="inlineStr">
        <is>
          <t>Önceden hazırladığın espriyi yap</t>
        </is>
      </c>
      <c r="D351" s="5" t="inlineStr">
        <is>
          <t>Pişkinlik</t>
        </is>
      </c>
      <c r="E351" s="5" t="inlineStr">
        <is>
          <t>Orta</t>
        </is>
      </c>
      <c r="F351" s="5" t="inlineStr"/>
      <c r="G351" s="6" t="inlineStr"/>
      <c r="H351" s="6" t="inlineStr">
        <is>
          <t>Espri tuttu. Gülerken omzuna yaslandı. Hazırlık karşılığını buldu.</t>
        </is>
      </c>
      <c r="I351" s="6" t="inlineStr">
        <is>
          <t>Espri tuttu, bir tane daha istedi. Üçüncüsünde el ele eve yürüyordunuz.</t>
        </is>
      </c>
      <c r="J351" s="6" t="inlineStr">
        <is>
          <t>Espriyi yaptın; nazikçe güldü. Sonra yine hava durumunu konuştunuz.</t>
        </is>
      </c>
      <c r="K351" s="6" t="inlineStr">
        <is>
          <t>Espriyi yaptın; anlamadı. Açıkladın; yine anlamadı. Üçüncü açıklamada sen de anlamadın. Dondurmalar elinizde eridi.</t>
        </is>
      </c>
      <c r="L351" s="6" t="inlineStr"/>
      <c r="M351" s="5" t="inlineStr"/>
      <c r="N351" s="5" t="inlineStr"/>
      <c r="O351" s="6" t="inlineStr"/>
      <c r="P351" s="6" t="inlineStr"/>
      <c r="Q351" s="5" t="inlineStr"/>
      <c r="R351" s="5" t="inlineStr"/>
      <c r="S351" s="5" t="inlineStr"/>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row>
    <row r="352">
      <c r="A352" s="5" t="inlineStr">
        <is>
          <t>b5-veli-bilgilendirme</t>
        </is>
      </c>
      <c r="B352" s="5" t="n">
        <v>1</v>
      </c>
      <c r="C352" s="6" t="inlineStr">
        <is>
          <t>Bildirimden önce eve yetiş</t>
        </is>
      </c>
      <c r="D352" s="5" t="inlineStr">
        <is>
          <t>Dayanıklılık</t>
        </is>
      </c>
      <c r="E352" s="5" t="inlineStr">
        <is>
          <t>Orta</t>
        </is>
      </c>
      <c r="F352" s="5" t="inlineStr"/>
      <c r="G352" s="6" t="inlineStr"/>
      <c r="H352" s="6" t="inlineStr">
        <is>
          <t>Eve koştun, haberi kendin verdin. Telefon üç saniye sonra titredi. Tarihî bir koşu.</t>
        </is>
      </c>
      <c r="I352" s="6" t="inlineStr">
        <is>
          <t>Eve koştun, haberi kendin verdin, üstüne bir de çay demledin. Bildirim düştüğünde annen telefona bakmadı bile: “Biliyorum, anlattı.”</t>
        </is>
      </c>
      <c r="J352" s="6" t="inlineStr">
        <is>
          <t>Eve vardın. Annen kapıda, telefon elinde bekliyordu.</t>
        </is>
      </c>
      <c r="K352" s="6" t="inlineStr">
        <is>
          <t>Sen yoldayken ikinci not da girildi. Kapıyı baban açtı; elinde telefon, arkasında babaannen. Akşam yemeği tek kelime konuşulmadan yendi.</t>
        </is>
      </c>
      <c r="L352" s="6" t="inlineStr">
        <is>
          <t>Kapıya bildirimle aynı anda vardın. Annen telefona mı, sana mı bakacağını bilemedi.</t>
        </is>
      </c>
      <c r="M352" s="5" t="inlineStr">
        <is>
          <t>race</t>
        </is>
      </c>
      <c r="N352" s="5" t="inlineStr">
        <is>
          <t>Bildirimden Önce</t>
        </is>
      </c>
      <c r="O352" s="6" t="inlineStr">
        <is>
          <t>Hızlı dokun; eve bildirimden önce var.</t>
        </is>
      </c>
      <c r="P352" s="6" t="inlineStr"/>
      <c r="Q352" s="5" t="inlineStr"/>
      <c r="R352" s="5" t="inlineStr"/>
      <c r="S352" s="5" t="inlineStr"/>
      <c r="T352" s="5" t="inlineStr"/>
      <c r="U352" s="5" t="inlineStr"/>
      <c r="V352" s="5" t="inlineStr"/>
      <c r="W352" s="5" t="inlineStr"/>
      <c r="X352" s="5" t="inlineStr"/>
      <c r="Y352" s="5" t="inlineStr"/>
      <c r="Z352" s="6" t="inlineStr"/>
      <c r="AA352" s="5" t="inlineStr"/>
      <c r="AB352" s="5" t="inlineStr"/>
      <c r="AC352" s="5" t="inlineStr"/>
      <c r="AD352" s="5" t="inlineStr"/>
      <c r="AE352" s="5" t="inlineStr"/>
      <c r="AF352" s="5" t="inlineStr"/>
      <c r="AG352" s="5" t="inlineStr"/>
      <c r="AH352" s="5" t="inlineStr"/>
      <c r="AI352" s="5" t="inlineStr"/>
    </row>
    <row r="353">
      <c r="A353" s="5" t="inlineStr">
        <is>
          <t>b5-veli-bilgilendirme</t>
        </is>
      </c>
      <c r="B353" s="5" t="n">
        <v>2</v>
      </c>
      <c r="C353" s="6" t="inlineStr">
        <is>
          <t>Bildirimlere razı ol</t>
        </is>
      </c>
      <c r="D353" s="5" t="inlineStr"/>
      <c r="E353" s="5" t="inlineStr"/>
      <c r="F353" s="5" t="inlineStr">
        <is>
          <t>İtibar +1</t>
        </is>
      </c>
      <c r="G353" s="6" t="inlineStr">
        <is>
          <t>Bildirimlere razı oldun. Annen artık her notu aile grubuna atıyor, altına tek bir soru işareti bırakıyor. Teyzen her seferinde “Ne oldu?” yazıyor.</t>
        </is>
      </c>
      <c r="H353" s="6" t="inlineStr"/>
      <c r="I353" s="6" t="inlineStr"/>
      <c r="J353" s="6" t="inlineStr"/>
      <c r="K353" s="6" t="inlineStr"/>
      <c r="L353" s="6" t="inlineStr"/>
      <c r="M353" s="5" t="inlineStr"/>
      <c r="N353" s="5" t="inlineStr"/>
      <c r="O353" s="6" t="inlineStr"/>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row>
    <row r="354">
      <c r="A354" s="5" t="inlineStr">
        <is>
          <t>b5-veli-bilgilendirme</t>
        </is>
      </c>
      <c r="B354" s="5" t="n">
        <v>3</v>
      </c>
      <c r="C354" s="6" t="inlineStr">
        <is>
          <t>Formdaki numarayı 'güncelle'</t>
        </is>
      </c>
      <c r="D354" s="5" t="inlineStr">
        <is>
          <t>Kurnazlık</t>
        </is>
      </c>
      <c r="E354" s="5" t="inlineStr">
        <is>
          <t>Orta</t>
        </is>
      </c>
      <c r="F354" s="5" t="inlineStr"/>
      <c r="G354" s="6" t="inlineStr"/>
      <c r="H354" s="6" t="inlineStr">
        <is>
          <t>Numara güncellendi. Notlar artık önce sana geliyor. Kötü haberleri annene tatlıdan sonra veriyorsun.</t>
        </is>
      </c>
      <c r="I354" s="6" t="inlineStr">
        <is>
          <t>Ailen artık haftalık bir özet bülten alıyor. Hazırlayan ve yayımlayan: sen.</t>
        </is>
      </c>
      <c r="J354" s="6" t="inlineStr">
        <is>
          <t>Numarayı değiştirdin. Uygulama notu ikinci veliye de gönderiyormuş. Babana.</t>
        </is>
      </c>
      <c r="K354" s="6" t="inlineStr">
        <is>
          <t>Kendi numaranı yazdın ama bir rakamı yanlış. Notların artık bir yabancıya gidiyor. O da seninle gurur duyuyor.</t>
        </is>
      </c>
      <c r="L354" s="6" t="inlineStr"/>
      <c r="M354" s="5" t="inlineStr"/>
      <c r="N354" s="5" t="inlineStr"/>
      <c r="O354" s="6" t="inlineStr"/>
      <c r="P354" s="6" t="inlineStr"/>
      <c r="Q354" s="5" t="inlineStr"/>
      <c r="R354" s="5" t="inlineStr"/>
      <c r="S354" s="5" t="inlineStr">
        <is>
          <t>Kurnazlık</t>
        </is>
      </c>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row>
    <row r="355">
      <c r="A355" s="5" t="inlineStr">
        <is>
          <t>b5-okul-temsilcisi</t>
        </is>
      </c>
      <c r="B355" s="5" t="n">
        <v>1</v>
      </c>
      <c r="C355" s="6" t="inlineStr">
        <is>
          <t>Oy ver, geç</t>
        </is>
      </c>
      <c r="D355" s="5" t="inlineStr"/>
      <c r="E355" s="5" t="inlineStr"/>
      <c r="F355" s="5" t="inlineStr">
        <is>
          <t>İtibar +1</t>
        </is>
      </c>
      <c r="G355" s="6" t="inlineStr">
        <is>
          <t>Oyunu kullandın. Kazanan aday ilk icraat olarak ikinci tost makinesi için bir komisyon kurdu.</t>
        </is>
      </c>
      <c r="H355" s="6" t="inlineStr"/>
      <c r="I355" s="6" t="inlineStr"/>
      <c r="J355" s="6" t="inlineStr"/>
      <c r="K355" s="6" t="inlineStr"/>
      <c r="L355" s="6" t="inlineStr"/>
      <c r="M355" s="5" t="inlineStr"/>
      <c r="N355" s="5" t="inlineStr"/>
      <c r="O355" s="6" t="inlineStr"/>
      <c r="P355" s="6" t="inlineStr"/>
      <c r="Q355" s="5" t="inlineStr"/>
      <c r="R355" s="5" t="inlineStr"/>
      <c r="S355" s="5" t="inlineStr"/>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row>
    <row r="356">
      <c r="A356" s="5" t="inlineStr">
        <is>
          <t>b5-okul-temsilcisi</t>
        </is>
      </c>
      <c r="B356" s="5" t="n">
        <v>2</v>
      </c>
      <c r="C356" s="6" t="inlineStr">
        <is>
          <t>Aday ol</t>
        </is>
      </c>
      <c r="D356" s="5" t="inlineStr">
        <is>
          <t>İtibar</t>
        </is>
      </c>
      <c r="E356" s="5" t="inlineStr">
        <is>
          <t>Zor</t>
        </is>
      </c>
      <c r="F356" s="5" t="inlineStr"/>
      <c r="G356" s="6" t="inlineStr"/>
      <c r="H356" s="6" t="inlineStr">
        <is>
          <t>Seçildin. İlk hafta müdürün odasında çay içtin. İkinci hafta müdür seni koridorda görünce telefonla konuşuyormuş gibi yaptı.</t>
        </is>
      </c>
      <c r="I356" s="6" t="inlineStr">
        <is>
          <t>Açık farkla seçildin; ikinci tost makinesi dönem bitmeden geldi. Adın kantin duvarında.</t>
        </is>
      </c>
      <c r="J356" s="6" t="inlineStr">
        <is>
          <t>Kaybettin. Rakibin tek vaadi 'Derse az girelim'di. Kısa ve net vaat kazandı.</t>
        </is>
      </c>
      <c r="K356" s="6" t="inlineStr">
        <is>
          <t>Konuşmanda “Teneffüsleri uzatacağım” dedin; okul ayağa kalktı. Müdür yardımcısı mikrofonu aldı ve o günün teneffüsünü beş dakika kısalttı. Seni kimse affetmedi.</t>
        </is>
      </c>
      <c r="L356" s="6" t="inlineStr"/>
      <c r="M356" s="5" t="inlineStr"/>
      <c r="N356" s="5" t="inlineStr"/>
      <c r="O356" s="6" t="inlineStr"/>
      <c r="P356" s="6" t="inlineStr"/>
      <c r="Q356" s="5" t="inlineStr"/>
      <c r="R356" s="5" t="inlineStr"/>
      <c r="S356" s="5" t="inlineStr"/>
      <c r="T356" s="5" t="inlineStr"/>
      <c r="U356" s="5" t="inlineStr"/>
      <c r="V356" s="5" t="inlineStr">
        <is>
          <t>okul-temsilcisi</t>
        </is>
      </c>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row>
    <row r="357">
      <c r="A357" s="5" t="inlineStr">
        <is>
          <t>b5-okul-temsilcisi</t>
        </is>
      </c>
      <c r="B357" s="5" t="n">
        <v>3</v>
      </c>
      <c r="C357" s="6" t="inlineStr">
        <is>
          <t>Deneyimini öne çıkar</t>
        </is>
      </c>
      <c r="D357" s="5" t="inlineStr">
        <is>
          <t>Pişkinlik</t>
        </is>
      </c>
      <c r="E357" s="5" t="inlineStr">
        <is>
          <t>Kolay</t>
        </is>
      </c>
      <c r="F357" s="5" t="inlineStr"/>
      <c r="G357" s="6" t="inlineStr"/>
      <c r="H357" s="6" t="inlineStr">
        <is>
          <t>'Daha önce de yönettim' dedin. Kimse neyi yönettiğini sormadı. Seçildin.</t>
        </is>
      </c>
      <c r="I357" s="6" t="inlineStr">
        <is>
          <t>İlkokul başkanlığını özgeçmiş gibi sundun. Seçildin; rakibin de sana danışman oldu.</t>
        </is>
      </c>
      <c r="J357" s="6" t="inlineStr">
        <is>
          <t>Deneyimini anlattın. Biri 'Akvaryum ne oldu?' diye sordu. Kampanya orada bitti.</t>
        </is>
      </c>
      <c r="K357" s="6" t="inlineStr">
        <is>
          <t>İlkokuldan bir sınıf arkadaşın söz aldı ve akvaryum vaadini ayrıntılarıyla anlattı.</t>
        </is>
      </c>
      <c r="L357" s="6" t="inlineStr"/>
      <c r="M357" s="5" t="inlineStr"/>
      <c r="N357" s="5" t="inlineStr"/>
      <c r="O357" s="6" t="inlineStr"/>
      <c r="P357" s="6" t="inlineStr"/>
      <c r="Q357" s="5" t="inlineStr"/>
      <c r="R357" s="5" t="inlineStr">
        <is>
          <t>baskan</t>
        </is>
      </c>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row>
    <row r="358">
      <c r="A358" s="5" t="inlineStr">
        <is>
          <t>b5-okul-temsilcisi</t>
        </is>
      </c>
      <c r="B358" s="5" t="n">
        <v>4</v>
      </c>
      <c r="C358" s="6" t="inlineStr">
        <is>
          <t>Arkadaşının kampanyasını yönet</t>
        </is>
      </c>
      <c r="D358" s="5" t="inlineStr">
        <is>
          <t>Sosyal Radar</t>
        </is>
      </c>
      <c r="E358" s="5" t="inlineStr">
        <is>
          <t>Orta</t>
        </is>
      </c>
      <c r="F358" s="5" t="inlineStr"/>
      <c r="G358" s="6" t="inlineStr"/>
      <c r="H358" s="6" t="inlineStr">
        <is>
          <t>Adayın kazandı. Gölge temsilci olarak bir dönemin daha var.</t>
        </is>
      </c>
      <c r="I358" s="6" t="inlineStr">
        <is>
          <t>Adayın kazandı. Okul yönetimi bir sonraki seçim kurulunun başına seni atadı.</t>
        </is>
      </c>
      <c r="J358" s="6" t="inlineStr">
        <is>
          <t>Kampanya iyiydi. Adayın 'Geçen yıl ne yaptın?' sorusunu cevaplayamadı.</t>
        </is>
      </c>
      <c r="K358" s="6" t="inlineStr">
        <is>
          <t>Afişleri bastırdın. Yüz afiş, yüz kez yanlış yazılmış bir isim.</t>
        </is>
      </c>
      <c r="L358" s="6" t="inlineStr"/>
      <c r="M358" s="5" t="inlineStr"/>
      <c r="N358" s="5" t="inlineStr"/>
      <c r="O358" s="6" t="inlineStr"/>
      <c r="P358" s="6" t="inlineStr"/>
      <c r="Q358" s="5" t="inlineStr">
        <is>
          <t>Teneffüs Başkanı</t>
        </is>
      </c>
      <c r="R358" s="5" t="inlineStr"/>
      <c r="S358" s="5" t="inlineStr"/>
      <c r="T358" s="5" t="inlineStr"/>
      <c r="U358" s="5" t="inlineStr"/>
      <c r="V358" s="5" t="inlineStr"/>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row>
    <row r="359">
      <c r="A359" s="5" t="inlineStr">
        <is>
          <t>b5-yapay-zeka-odev</t>
        </is>
      </c>
      <c r="B359" s="5" t="n">
        <v>1</v>
      </c>
      <c r="C359" s="6" t="inlineStr">
        <is>
          <t>Kendin yaz</t>
        </is>
      </c>
      <c r="D359" s="5" t="inlineStr"/>
      <c r="E359" s="5" t="inlineStr"/>
      <c r="F359" s="5" t="inlineStr">
        <is>
          <t>Akıl +1, İtibar +1</t>
        </is>
      </c>
      <c r="G359" s="6" t="inlineStr">
        <is>
          <t>Kendin yazdın ve ortalama bir not aldın. Sınıfın geri kalanı da aynı notu aynı cümlelerle almıştı.</t>
        </is>
      </c>
      <c r="H359" s="6" t="inlineStr"/>
      <c r="I359" s="6" t="inlineStr"/>
      <c r="J359" s="6" t="inlineStr"/>
      <c r="K359" s="6" t="inlineStr"/>
      <c r="L359" s="6" t="inlineStr"/>
      <c r="M359" s="5" t="inlineStr"/>
      <c r="N359" s="5" t="inlineStr"/>
      <c r="O359" s="6" t="inlineStr"/>
      <c r="P359" s="6" t="inlineStr"/>
      <c r="Q359" s="5" t="inlineStr"/>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row>
    <row r="360">
      <c r="A360" s="5" t="inlineStr">
        <is>
          <t>b5-yapay-zeka-odev</t>
        </is>
      </c>
      <c r="B360" s="5" t="n">
        <v>2</v>
      </c>
      <c r="C360" s="6" t="inlineStr">
        <is>
          <t>Asistana yazdır, biraz boz</t>
        </is>
      </c>
      <c r="D360" s="5" t="inlineStr">
        <is>
          <t>Kurnazlık</t>
        </is>
      </c>
      <c r="E360" s="5" t="inlineStr">
        <is>
          <t>Orta</t>
        </is>
      </c>
      <c r="F360" s="5" t="inlineStr"/>
      <c r="G360" s="6" t="inlineStr"/>
      <c r="H360" s="6" t="inlineStr">
        <is>
          <t>Asistana yazdırdın, üç yazım hatası ekledin. Öğretmen 'Daha özenli ol' dedi. İnsan olduğuna ikna oldu.</t>
        </is>
      </c>
      <c r="I360" s="6" t="inlineStr">
        <is>
          <t>Ödev o kadar insanca bozuldu ki öğretmen örnek ödev olarak sınıfa okudu.</t>
        </is>
      </c>
      <c r="J360" s="6" t="inlineStr">
        <is>
          <t>Öğretmen 'Bu paragrafı bir yerden hatırlıyorum' dedi. Kendi ödevinden.</t>
        </is>
      </c>
      <c r="K360" s="6" t="inlineStr">
        <is>
          <t>Ödevin son cümlesini silmeyi unuttun: 'Başka bir konuda yardımcı olabilir miyim?'</t>
        </is>
      </c>
      <c r="L360" s="6" t="inlineStr"/>
      <c r="M360" s="5" t="inlineStr"/>
      <c r="N360" s="5" t="inlineStr"/>
      <c r="O360" s="6" t="inlineStr"/>
      <c r="P360" s="6" t="inlineStr"/>
      <c r="Q360" s="5" t="inlineStr"/>
      <c r="R360" s="5" t="inlineStr"/>
      <c r="S360" s="5" t="inlineStr"/>
      <c r="T360" s="5" t="inlineStr"/>
      <c r="U360" s="5" t="inlineStr">
        <is>
          <t>ai-kopyaci</t>
        </is>
      </c>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is>
          <t>Yardımcı Olabilir miyim</t>
        </is>
      </c>
    </row>
    <row r="361">
      <c r="A361" s="5" t="inlineStr">
        <is>
          <t>b5-yapay-zeka-odev</t>
        </is>
      </c>
      <c r="B361" s="5" t="n">
        <v>3</v>
      </c>
      <c r="C361" s="6" t="inlineStr">
        <is>
          <t>Yazdır, sözlü savunma hazırla</t>
        </is>
      </c>
      <c r="D361" s="5" t="inlineStr">
        <is>
          <t>Pişkinlik</t>
        </is>
      </c>
      <c r="E361" s="5" t="inlineStr">
        <is>
          <t>Kolay</t>
        </is>
      </c>
      <c r="F361" s="5" t="inlineStr"/>
      <c r="G361" s="6" t="inlineStr"/>
      <c r="H361" s="6" t="inlineStr">
        <is>
          <t>Öğretmen sorguya çekti. Savunman ödevden daha özgündü. Tam not.</t>
        </is>
      </c>
      <c r="I361" s="6" t="inlineStr">
        <is>
          <t>Yirmi dakikalık bir sözlü savunma yaptın. Ödev değil, savunma sınıfa örnek gösterildi.</t>
        </is>
      </c>
      <c r="J361" s="6" t="inlineStr">
        <is>
          <t>Savunman hazırdı. Öğretmen hiçbir şey sormadı. Sadece sıfır verdi.</t>
        </is>
      </c>
      <c r="K361" s="6" t="inlineStr">
        <is>
          <t>Savunmanın ortasında 'Bu harika bir soru!' dedin. Asistanın cümlesiydi. Öğretmen anladı.</t>
        </is>
      </c>
      <c r="L361" s="6" t="inlineStr"/>
      <c r="M361" s="5" t="inlineStr"/>
      <c r="N361" s="5" t="inlineStr"/>
      <c r="O361" s="6" t="inlineStr"/>
      <c r="P361" s="6" t="inlineStr"/>
      <c r="Q361" s="5" t="inlineStr"/>
      <c r="R361" s="5" t="inlineStr">
        <is>
          <t>yalanci</t>
        </is>
      </c>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row>
    <row r="362">
      <c r="A362" s="5" t="inlineStr">
        <is>
          <t>b5-yapay-zeka-odev</t>
        </is>
      </c>
      <c r="B362" s="5" t="n">
        <v>4</v>
      </c>
      <c r="C362" s="6" t="inlineStr">
        <is>
          <t>Asistanla tartışarak birlikte yaz</t>
        </is>
      </c>
      <c r="D362" s="5" t="inlineStr">
        <is>
          <t>Akıl</t>
        </is>
      </c>
      <c r="E362" s="5" t="inlineStr">
        <is>
          <t>Zor</t>
        </is>
      </c>
      <c r="F362" s="5" t="inlineStr"/>
      <c r="G362" s="6" t="inlineStr"/>
      <c r="H362" s="6" t="inlineStr">
        <is>
          <t>Kaynakları tek tek kontrol ettin. Ödev iyi oldu; asistan da senden bir şey öğrendi.</t>
        </is>
      </c>
      <c r="I362" s="6" t="inlineStr">
        <is>
          <t>Asistanın iki yanlış bilgisini yakaladın. Öğretmen ödevini değil, düzeltmelerini puanladı.</t>
        </is>
      </c>
      <c r="J362" s="6" t="inlineStr">
        <is>
          <t>Asistanla tartışırken saat üç oldu. Ödev yok ama asistanla aranız çok iyi.</t>
        </is>
      </c>
      <c r="K362" s="6" t="inlineStr">
        <is>
          <t>Asistanla tartıştın ve ikna oldun. Ödevi yanlış yüzyıl hakkında yazdın.</t>
        </is>
      </c>
      <c r="L362" s="6" t="inlineStr"/>
      <c r="M362" s="5" t="inlineStr"/>
      <c r="N362" s="5" t="inlineStr"/>
      <c r="O362" s="6" t="inlineStr"/>
      <c r="P362" s="6" t="inlineStr"/>
      <c r="Q362" s="5" t="inlineStr"/>
      <c r="R362" s="5" t="inlineStr"/>
      <c r="S362" s="5" t="inlineStr"/>
      <c r="T362" s="5" t="inlineStr">
        <is>
          <t>Şifreyi Bilen</t>
        </is>
      </c>
      <c r="U362" s="5" t="inlineStr"/>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row>
    <row r="363">
      <c r="A363" s="5" t="inlineStr">
        <is>
          <t>b5-akraba-sorgusu</t>
        </is>
      </c>
      <c r="B363" s="5" t="n">
        <v>1</v>
      </c>
      <c r="C363" s="6" t="inlineStr">
        <is>
          <t>'Doktor' de</t>
        </is>
      </c>
      <c r="D363" s="5" t="inlineStr"/>
      <c r="E363" s="5" t="inlineStr"/>
      <c r="F363" s="5" t="inlineStr">
        <is>
          <t>Pişkinlik +1</t>
        </is>
      </c>
      <c r="G363" s="6" t="inlineStr">
        <is>
          <t>'Doktor' dedin. Salon rahatladı. Kimse biyoloji notunu sormadı.</t>
        </is>
      </c>
      <c r="H363" s="6" t="inlineStr"/>
      <c r="I363" s="6" t="inlineStr"/>
      <c r="J363" s="6" t="inlineStr"/>
      <c r="K363" s="6" t="inlineStr"/>
      <c r="L363" s="6" t="inlineStr"/>
      <c r="M363" s="5" t="inlineStr"/>
      <c r="N363" s="5" t="inlineStr"/>
      <c r="O363" s="6" t="inlineStr"/>
      <c r="P363" s="6" t="inlineStr"/>
      <c r="Q363" s="5" t="inlineStr"/>
      <c r="R363" s="5" t="inlineStr"/>
      <c r="S363" s="5" t="inlineStr"/>
      <c r="T363" s="5" t="inlineStr"/>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row>
    <row r="364">
      <c r="A364" s="5" t="inlineStr">
        <is>
          <t>b5-akraba-sorgusu</t>
        </is>
      </c>
      <c r="B364" s="5" t="n">
        <v>2</v>
      </c>
      <c r="C364" s="6" t="inlineStr">
        <is>
          <t>Gerçek hayalini anlat</t>
        </is>
      </c>
      <c r="D364" s="5" t="inlineStr">
        <is>
          <t>Cesaret</t>
        </is>
      </c>
      <c r="E364" s="5" t="inlineStr">
        <is>
          <t>Orta</t>
        </is>
      </c>
      <c r="F364" s="5" t="inlineStr"/>
      <c r="G364" s="6" t="inlineStr"/>
      <c r="H364" s="6" t="inlineStr">
        <is>
          <t>'Oyun tasarımcısı olacağım' dedin. İki akraba anlamadı, bir kuzen alkışladı.</t>
        </is>
      </c>
      <c r="I364" s="6" t="inlineStr">
        <is>
          <t>Hayalini öyle anlattın ki en küçük kuzenin “Ben de onu olacağım” dedi. Teyzen sana ters ters baktı. İlk hayranın dokuz yaşında.</t>
        </is>
      </c>
      <c r="J364" s="6" t="inlineStr">
        <is>
          <t>Hayalini anlattın. Büyük hala 'O iş değil ki' dedi. Konu kapandı.</t>
        </is>
      </c>
      <c r="K364" s="6" t="inlineStr">
        <is>
          <t>Hayalini anlattın. Artık her ziyarette bir akraba 'Nasıl gidiyor o iş?' diye soruyor. İş yok.</t>
        </is>
      </c>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row>
    <row r="365">
      <c r="A365" s="5" t="inlineStr">
        <is>
          <t>b5-akraba-sorgusu</t>
        </is>
      </c>
      <c r="B365" s="5" t="n">
        <v>3</v>
      </c>
      <c r="C365" s="6" t="inlineStr">
        <is>
          <t>'Siz ne olmamı istersiniz?' de</t>
        </is>
      </c>
      <c r="D365" s="5" t="inlineStr">
        <is>
          <t>Çene</t>
        </is>
      </c>
      <c r="E365" s="5" t="inlineStr">
        <is>
          <t>Kolay</t>
        </is>
      </c>
      <c r="F365" s="5" t="inlineStr"/>
      <c r="G365" s="6" t="inlineStr"/>
      <c r="H365" s="6" t="inlineStr">
        <is>
          <t>Soruyu geri attın. On bir akraba kırk dakika tartıştı. Sen kuruyemişi bitirdin.</t>
        </is>
      </c>
      <c r="I365" s="6" t="inlineStr">
        <is>
          <t>Salon tıp ve mühendislik diye ikiye bölündü. Sen oylamayı beklemeden kapıdan çıktın.</t>
        </is>
      </c>
      <c r="J365" s="6" t="inlineStr">
        <is>
          <t>Soruyu geri attın. Büyük hala 'Ben sordum' dedi.</t>
        </is>
      </c>
      <c r="K365" s="6" t="inlineStr">
        <is>
          <t>Soruyu geri attın. On bir akraba aynı anda 'Doktor' dedi. Oy birliği sağlandı.</t>
        </is>
      </c>
      <c r="L365" s="6" t="inlineStr"/>
      <c r="M365" s="5" t="inlineStr"/>
      <c r="N365" s="5" t="inlineStr"/>
      <c r="O365" s="6" t="inlineStr"/>
      <c r="P365" s="6" t="inlineStr"/>
      <c r="Q365" s="5" t="inlineStr"/>
      <c r="R365" s="5" t="inlineStr"/>
      <c r="S365" s="5" t="inlineStr">
        <is>
          <t>Çene</t>
        </is>
      </c>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row>
    <row r="366">
      <c r="A366" s="5" t="inlineStr">
        <is>
          <t>b5-akraba-sorgusu</t>
        </is>
      </c>
      <c r="B366" s="5" t="n">
        <v>4</v>
      </c>
      <c r="C366" s="6" t="inlineStr">
        <is>
          <t>Ağzını hep dolu tut</t>
        </is>
      </c>
      <c r="D366" s="5" t="inlineStr">
        <is>
          <t>Dayanıklılık</t>
        </is>
      </c>
      <c r="E366" s="5" t="inlineStr">
        <is>
          <t>Kolay</t>
        </is>
      </c>
      <c r="F366" s="5" t="inlineStr"/>
      <c r="G366" s="6" t="inlineStr"/>
      <c r="H366" s="6" t="inlineStr">
        <is>
          <t>Ağzın bir saat boyunca doluydu. Soru sonunda başka bir kuzene geçti.</t>
        </is>
      </c>
      <c r="I366" s="6" t="inlineStr">
        <is>
          <t>Tabağın dibini gördün; tabak yenilendi, soru hiç sana dönmedi.</t>
        </is>
      </c>
      <c r="J366" s="6" t="inlineStr">
        <is>
          <t>Ağzın doluyken sordular. Beklediler. Sen yuttun. Hâlâ bekliyorlardı.</t>
        </is>
      </c>
      <c r="K366" s="6" t="inlineStr">
        <is>
          <t>Fıstık yanlış yere kaçtı. Biri su getirdi. Soru bu kez 'Doktor olsan bunu bilirdin' diye geldi.</t>
        </is>
      </c>
      <c r="L366" s="6" t="inlineStr"/>
      <c r="M366" s="5" t="inlineStr"/>
      <c r="N366" s="5" t="inlineStr"/>
      <c r="O366" s="6" t="inlineStr"/>
      <c r="P366" s="6" t="inlineStr"/>
      <c r="Q366" s="5" t="inlineStr"/>
      <c r="R366" s="5" t="inlineStr"/>
      <c r="S366" s="5" t="inlineStr"/>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row>
    <row r="367">
      <c r="A367" s="5" t="inlineStr">
        <is>
          <t>b5-okul-gezisi</t>
        </is>
      </c>
      <c r="B367" s="5" t="n">
        <v>1</v>
      </c>
      <c r="C367" s="6" t="inlineStr">
        <is>
          <t>Öğretmenin yanına otur</t>
        </is>
      </c>
      <c r="D367" s="5" t="inlineStr"/>
      <c r="E367" s="5" t="inlineStr"/>
      <c r="F367" s="5" t="inlineStr">
        <is>
          <t>Akıl +1</t>
        </is>
      </c>
      <c r="G367" s="6" t="inlineStr">
        <is>
          <t>Dört saat boyunca yöre tarihini dinledin. Müzeye vardığında rehberden fazlasını biliyordun.</t>
        </is>
      </c>
      <c r="H367" s="6" t="inlineStr"/>
      <c r="I367" s="6" t="inlineStr"/>
      <c r="J367" s="6" t="inlineStr"/>
      <c r="K367" s="6" t="inlineStr"/>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row>
    <row r="368">
      <c r="A368" s="5" t="inlineStr">
        <is>
          <t>b5-okul-gezisi</t>
        </is>
      </c>
      <c r="B368" s="5" t="n">
        <v>2</v>
      </c>
      <c r="C368" s="6" t="inlineStr">
        <is>
          <t>Arka koltuğa sız</t>
        </is>
      </c>
      <c r="D368" s="5" t="inlineStr">
        <is>
          <t>Pişkinlik</t>
        </is>
      </c>
      <c r="E368" s="5" t="inlineStr">
        <is>
          <t>Zor</t>
        </is>
      </c>
      <c r="F368" s="5" t="inlineStr"/>
      <c r="G368" s="6" t="inlineStr"/>
      <c r="H368" s="6" t="inlineStr">
        <is>
          <t>Arka koltuğa oturdun ve kimse bir şey demedi. Tapuya şerh düşüldü.</t>
        </is>
      </c>
      <c r="I368" s="6" t="inlineStr">
        <is>
          <t>Dönüş yolunda müzik seçimi sana devredildi. Otobüs senin yayın akışında.</t>
        </is>
      </c>
      <c r="J368" s="6" t="inlineStr">
        <is>
          <t>Arka koltuğa oturdun. Sahibi geldi, bir şey demedi, sadece durdu. Sen kalktın.</t>
        </is>
      </c>
      <c r="K368" s="6" t="inlineStr">
        <is>
          <t>İlk virajda koltuktan kayıp ön tarafa kadar geldin. Dönüşte öğretmenin yanı sana ayrıldı.</t>
        </is>
      </c>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row>
    <row r="369">
      <c r="A369" s="5" t="inlineStr">
        <is>
          <t>b5-okul-gezisi</t>
        </is>
      </c>
      <c r="B369" s="5" t="n">
        <v>3</v>
      </c>
      <c r="C369" s="6" t="inlineStr">
        <is>
          <t>Yolculuk listesi hazırla</t>
        </is>
      </c>
      <c r="D369" s="5" t="inlineStr">
        <is>
          <t>Sosyal Radar</t>
        </is>
      </c>
      <c r="E369" s="5" t="inlineStr">
        <is>
          <t>Orta</t>
        </is>
      </c>
      <c r="F369" s="5" t="inlineStr"/>
      <c r="G369" s="6" t="inlineStr"/>
      <c r="H369" s="6" t="inlineStr">
        <is>
          <t>Listen tuttu. Arka koltuk ilk kez ön koltukla aynı şarkıyı söyledi.</t>
        </is>
      </c>
      <c r="I369" s="6" t="inlineStr">
        <is>
          <t>Gezinin asıl anısı listen oldu. Müzeyi kimse hatırlamıyor.</t>
        </is>
      </c>
      <c r="J369" s="6" t="inlineStr">
        <is>
          <t>Listeyi açtın. Şoför kendi radyosunu açtı.</t>
        </is>
      </c>
      <c r="K369" s="6" t="inlineStr">
        <is>
          <t>Listenin ortasına annenin şarkıları karışmış. Bütün otobüs hep bir ağızdan söyledi; sana gülerek.</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row>
    <row r="370">
      <c r="A370" s="5" t="inlineStr">
        <is>
          <t>b5-fenomen-video</t>
        </is>
      </c>
      <c r="B370" s="5" t="n">
        <v>1</v>
      </c>
      <c r="C370" s="6" t="inlineStr">
        <is>
          <t>Telefonu kapat</t>
        </is>
      </c>
      <c r="D370" s="5" t="inlineStr"/>
      <c r="E370" s="5" t="inlineStr"/>
      <c r="F370" s="5" t="inlineStr">
        <is>
          <t>Dayanıklılık +1</t>
        </is>
      </c>
      <c r="G370" s="6" t="inlineStr">
        <is>
          <t>Telefonu kapattın. Ertesi sabah sayı durmuştu; internet başka birine geçmişti. Teyzen yine de videoyu aile grubuna attı.</t>
        </is>
      </c>
      <c r="H370" s="6" t="inlineStr"/>
      <c r="I370" s="6" t="inlineStr"/>
      <c r="J370" s="6" t="inlineStr"/>
      <c r="K370" s="6" t="inlineStr"/>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row>
    <row r="371">
      <c r="A371" s="5" t="inlineStr">
        <is>
          <t>b5-fenomen-video</t>
        </is>
      </c>
      <c r="B371" s="5" t="n">
        <v>2</v>
      </c>
      <c r="C371" s="6" t="inlineStr">
        <is>
          <t>Hemen ikinci videoyu çek</t>
        </is>
      </c>
      <c r="D371" s="5" t="inlineStr">
        <is>
          <t>Pişkinlik</t>
        </is>
      </c>
      <c r="E371" s="5" t="inlineStr">
        <is>
          <t>Zor</t>
        </is>
      </c>
      <c r="F371" s="5" t="inlineStr"/>
      <c r="G371" s="6" t="inlineStr"/>
      <c r="H371" s="6" t="inlineStr">
        <is>
          <t>İkinci video da tuttu. Mahallede sana artık “o video” diye sesleniyorlar; bakkal bile.</t>
        </is>
      </c>
      <c r="I371" s="6" t="inlineStr">
        <is>
          <t>Üçüncü video mahalle dönercisinden sponsorluk getirdi. Ömür boyu yarım porsiyon bedava.</t>
        </is>
      </c>
      <c r="J371" s="6" t="inlineStr">
        <is>
          <t>İkinci video kırk izlenme aldı. Otuz dokuzu sensin.</t>
        </is>
      </c>
      <c r="K371" s="6" t="inlineStr">
        <is>
          <t>İkinci videoda annen de vardı. İlkinden çok izlendi. Fenomen olan annen.</t>
        </is>
      </c>
      <c r="L371" s="6" t="inlineStr"/>
      <c r="M371" s="5" t="inlineStr"/>
      <c r="N371" s="5" t="inlineStr"/>
      <c r="O371" s="6" t="inlineStr"/>
      <c r="P371" s="6" t="inlineStr"/>
      <c r="Q371" s="5" t="inlineStr"/>
      <c r="R371" s="5" t="inlineStr"/>
      <c r="S371" s="5" t="inlineStr"/>
      <c r="T371" s="5" t="inlineStr"/>
      <c r="U371" s="5" t="inlineStr"/>
      <c r="V371" s="5" t="inlineStr">
        <is>
          <t>fenomen</t>
        </is>
      </c>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row>
    <row r="372">
      <c r="A372" s="5" t="inlineStr">
        <is>
          <t>b5-fenomen-video</t>
        </is>
      </c>
      <c r="B372" s="5" t="n">
        <v>3</v>
      </c>
      <c r="C372" s="6" t="inlineStr">
        <is>
          <t>Eski takipçilerine seslen</t>
        </is>
      </c>
      <c r="D372" s="5" t="inlineStr">
        <is>
          <t>Çene</t>
        </is>
      </c>
      <c r="E372" s="5" t="inlineStr">
        <is>
          <t>Kolay</t>
        </is>
      </c>
      <c r="F372" s="5" t="inlineStr"/>
      <c r="G372" s="6" t="inlineStr"/>
      <c r="H372" s="6" t="inlineStr">
        <is>
          <t>Eski takipçilerin geri döndü. 'Geri döndüm' videon başlı başına bir olay.</t>
        </is>
      </c>
      <c r="I372" s="6" t="inlineStr">
        <is>
          <t>Geri dönüşün eski şöhretini ikiye katladı. Bir teyze otobüste seni tanıyıp yer verdi. Kariyer zirvesi.</t>
        </is>
      </c>
      <c r="J372" s="6" t="inlineStr">
        <is>
          <t>Seslendin. Takipçilerin başka birine seslenmekle meşgul.</t>
        </is>
      </c>
      <c r="K372" s="6" t="inlineStr">
        <is>
          <t>Seslenişte kendi adını yanlış söyledin. Yorumlar bir hafta bununla uğraştı.</t>
        </is>
      </c>
      <c r="L372" s="6" t="inlineStr"/>
      <c r="M372" s="5" t="inlineStr"/>
      <c r="N372" s="5" t="inlineStr"/>
      <c r="O372" s="6" t="inlineStr"/>
      <c r="P372" s="6" t="inlineStr"/>
      <c r="Q372" s="5" t="inlineStr"/>
      <c r="R372" s="5" t="inlineStr">
        <is>
          <t>fenomen</t>
        </is>
      </c>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row>
    <row r="373">
      <c r="A373" s="5" t="inlineStr">
        <is>
          <t>b5-fenomen-video</t>
        </is>
      </c>
      <c r="B373" s="5" t="n">
        <v>4</v>
      </c>
      <c r="C373" s="6" t="inlineStr">
        <is>
          <t>Gelen teklifleri değerlendir</t>
        </is>
      </c>
      <c r="D373" s="5" t="inlineStr">
        <is>
          <t>Kurnazlık</t>
        </is>
      </c>
      <c r="E373" s="5" t="inlineStr">
        <is>
          <t>Orta</t>
        </is>
      </c>
      <c r="F373" s="5" t="inlineStr"/>
      <c r="G373" s="6" t="inlineStr"/>
      <c r="H373" s="6" t="inlineStr">
        <is>
          <t>Tek teklifi kabul ettin: mahalle kırtasiyesinin tanıtımı. Karşılığı bir yıllık defter.</t>
        </is>
      </c>
      <c r="I373" s="6" t="inlineStr">
        <is>
          <t>Teklifi pazarlıkla ikiye katladın: iki yıllık defter ve bir hesap makinesi.</t>
        </is>
      </c>
      <c r="J373" s="6" t="inlineStr">
        <is>
          <t>Menajerin olduğunu söyleyen kişi sınıftan biriymiş. Yüzde elli istedi.</t>
        </is>
      </c>
      <c r="K373" s="6" t="inlineStr">
        <is>
          <t>Menajerlik sözleşmesi imzaladın. Menajer kuzenin çıktı. Hâlâ komisyonunu soruyor.</t>
        </is>
      </c>
      <c r="L373" s="6" t="inlineStr"/>
      <c r="M373" s="5" t="inlineStr"/>
      <c r="N373" s="5" t="inlineStr"/>
      <c r="O373" s="6" t="inlineStr"/>
      <c r="P373" s="6" t="inlineStr"/>
      <c r="Q373" s="5" t="inlineStr"/>
      <c r="R373" s="5" t="inlineStr"/>
      <c r="S373" s="5" t="inlineStr"/>
      <c r="T373" s="5" t="inlineStr"/>
      <c r="U373" s="5" t="inlineStr"/>
      <c r="V373" s="5" t="inlineStr"/>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row>
    <row r="374">
      <c r="A374" s="5" t="inlineStr">
        <is>
          <t>b5-yaz-isi-garson</t>
        </is>
      </c>
      <c r="B374" s="5" t="n">
        <v>1</v>
      </c>
      <c r="C374" s="6" t="inlineStr">
        <is>
          <t>Tepsiyi taşı</t>
        </is>
      </c>
      <c r="D374" s="5" t="inlineStr">
        <is>
          <t>Dayanıklılık</t>
        </is>
      </c>
      <c r="E374" s="5" t="inlineStr">
        <is>
          <t>Orta</t>
        </is>
      </c>
      <c r="F374" s="5" t="inlineStr"/>
      <c r="G374" s="6" t="inlineStr"/>
      <c r="H374" s="6" t="inlineStr">
        <is>
          <t>On iki çayı dökmeden taşıdın. Patron başını salladı; ertesi gün tepsine on üçüncü bardağı koydu.</t>
        </is>
      </c>
      <c r="I374" s="6" t="inlineStr">
        <is>
          <t>Tepsiyi tek elle taşırken bir yandan müşteriye laf yetiştirdin. Patron sana 'usta' diyor.</t>
        </is>
      </c>
      <c r="J374" s="6" t="inlineStr">
        <is>
          <t>Bardaklar tabaklara taştı. Müşteriler 'Çay mı bu, çay çorbası mı?' diye soruyor.</t>
        </is>
      </c>
      <c r="K374" s="6" t="inlineStr">
        <is>
          <t>Tepsi masaya ulaştı. Sen ulaşamadın. On iki bardak, bir şekerlik ve sen yerdeydiniz. Kırıklar maaştan kesilecek.</t>
        </is>
      </c>
      <c r="L374" s="6" t="inlineStr">
        <is>
          <t>Çayların çoğu yerine ulaştı. Şekerlik ulaşamadı; martılar memnun.</t>
        </is>
      </c>
      <c r="M374" s="5" t="inlineStr">
        <is>
          <t>balance</t>
        </is>
      </c>
      <c r="N374" s="5" t="inlineStr">
        <is>
          <t>Çay Tepsisi</t>
        </is>
      </c>
      <c r="O374" s="6" t="inlineStr">
        <is>
          <t>Tepsiyi parmağınla dengede tut; on iki bardak da masaya ulaşsın.</t>
        </is>
      </c>
      <c r="P374" s="6" t="inlineStr">
        <is>
          <t>{"item": "🫖"}</t>
        </is>
      </c>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row>
    <row r="375">
      <c r="A375" s="5" t="inlineStr">
        <is>
          <t>b5-yaz-isi-garson</t>
        </is>
      </c>
      <c r="B375" s="5" t="n">
        <v>2</v>
      </c>
      <c r="C375" s="6" t="inlineStr">
        <is>
          <t>Siparişleri akılda tut</t>
        </is>
      </c>
      <c r="D375" s="5" t="inlineStr">
        <is>
          <t>Akıl</t>
        </is>
      </c>
      <c r="E375" s="5" t="inlineStr">
        <is>
          <t>Kolay</t>
        </is>
      </c>
      <c r="F375" s="5" t="inlineStr"/>
      <c r="G375" s="6" t="inlineStr"/>
      <c r="H375" s="6" t="inlineStr">
        <is>
          <t>Deftersiz sipariş aldın, hepsini doğru getirdin. Bahşişler senin masalarına bırakıldı.</t>
        </is>
      </c>
      <c r="I375" s="6" t="inlineStr">
        <is>
          <t>Müdavimlerin siparişini onlar söylemeden getiriyorsun. Bahşiş kavanozu adınla anılıyor.</t>
        </is>
      </c>
      <c r="J375" s="6" t="inlineStr">
        <is>
          <t>Siparişleri hatırladın, masaları karıştırdın. Açık çay isteyen iki şekerli demli içti.</t>
        </is>
      </c>
      <c r="K375" s="6" t="inlineStr">
        <is>
          <t>Bütün siparişleri eksiksiz ve doğru getirdin. Yandaki çay bahçesine.</t>
        </is>
      </c>
      <c r="L375" s="6" t="inlineStr"/>
      <c r="M375" s="5" t="inlineStr"/>
      <c r="N375" s="5" t="inlineStr"/>
      <c r="O375" s="6" t="inlineStr"/>
      <c r="P375" s="6" t="inlineStr"/>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row>
    <row r="376">
      <c r="A376" s="5" t="inlineStr">
        <is>
          <t>b5-yaz-isi-garson</t>
        </is>
      </c>
      <c r="B376" s="5" t="n">
        <v>3</v>
      </c>
      <c r="C376" s="6" t="inlineStr">
        <is>
          <t>Kasaya geç</t>
        </is>
      </c>
      <c r="D376" s="5" t="inlineStr">
        <is>
          <t>Kurnazlık</t>
        </is>
      </c>
      <c r="E376" s="5" t="inlineStr">
        <is>
          <t>Kolay</t>
        </is>
      </c>
      <c r="F376" s="5" t="inlineStr"/>
      <c r="G376" s="6" t="inlineStr"/>
      <c r="H376" s="6" t="inlineStr">
        <is>
          <t>Kasaya geçtin; para üstü hiç şaşmadı. Patron ilk kez kasayı sayarken gülümsedi.</t>
        </is>
      </c>
      <c r="I376" s="6" t="inlineStr">
        <is>
          <t>Kasa bütün yaz kuruşu kuruşuna tuttu. Patron seni gelecek yaz için ortak adayı ilan etti.</t>
        </is>
      </c>
      <c r="J376" s="6" t="inlineStr">
        <is>
          <t>Kasaya geçtin. Herkes kartla ödedi. Bütün gün tek bir para üstü verdin; o da doğruydu.</t>
        </is>
      </c>
      <c r="K376" s="6" t="inlineStr">
        <is>
          <t>Para üstünü o kadar hızlı verdin ki bir müşteriye iki kez verdin. Fark maaşından kesildi.</t>
        </is>
      </c>
      <c r="L376" s="6" t="inlineStr"/>
      <c r="M376" s="5" t="inlineStr"/>
      <c r="N376" s="5" t="inlineStr"/>
      <c r="O376" s="6" t="inlineStr"/>
      <c r="P376" s="6" t="inlineStr"/>
      <c r="Q376" s="5" t="inlineStr">
        <is>
          <t>Para Üstü Radarı</t>
        </is>
      </c>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row>
    <row r="377">
      <c r="A377" s="5" t="inlineStr">
        <is>
          <t>b5-yaz-isi-garson</t>
        </is>
      </c>
      <c r="B377" s="5" t="n">
        <v>4</v>
      </c>
      <c r="C377" s="6" t="inlineStr">
        <is>
          <t>İlk gün istifa et</t>
        </is>
      </c>
      <c r="D377" s="5" t="inlineStr"/>
      <c r="E377" s="5" t="inlineStr"/>
      <c r="F377" s="5" t="inlineStr">
        <is>
          <t>Pişkinlik +1</t>
        </is>
      </c>
      <c r="G377" s="6" t="inlineStr">
        <is>
          <t>İlk gün istifa ettin. Çay bahçesi seni tanımadan kaybetti. İş deneyimi hanesi: yarım gün.</t>
        </is>
      </c>
      <c r="H377" s="6" t="inlineStr"/>
      <c r="I377" s="6" t="inlineStr"/>
      <c r="J377" s="6" t="inlineStr"/>
      <c r="K377" s="6" t="inlineStr"/>
      <c r="L377" s="6" t="inlineStr"/>
      <c r="M377" s="5" t="inlineStr"/>
      <c r="N377" s="5" t="inlineStr"/>
      <c r="O377" s="6" t="inlineStr"/>
      <c r="P377" s="6" t="inlineStr"/>
      <c r="Q377" s="5" t="inlineStr"/>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row>
    <row r="378">
      <c r="A378" s="5" t="inlineStr">
        <is>
          <t>b5-ilk-maas</t>
        </is>
      </c>
      <c r="B378" s="5" t="n">
        <v>1</v>
      </c>
      <c r="C378" s="6" t="inlineStr">
        <is>
          <t>Annene hediye al</t>
        </is>
      </c>
      <c r="D378" s="5" t="inlineStr"/>
      <c r="E378" s="5" t="inlineStr"/>
      <c r="F378" s="5" t="inlineStr">
        <is>
          <t>Gönül +1</t>
        </is>
      </c>
      <c r="G378" s="6" t="inlineStr">
        <is>
          <t>Annene bir fular aldın. Beğenmedi. Dolabın en özel çekmecesinde, etiketiyle duruyor.</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row>
    <row r="379">
      <c r="A379" s="5" t="inlineStr">
        <is>
          <t>b5-ilk-maas</t>
        </is>
      </c>
      <c r="B379" s="5" t="n">
        <v>2</v>
      </c>
      <c r="C379" s="6" t="inlineStr">
        <is>
          <t>Hepsini biriktir</t>
        </is>
      </c>
      <c r="D379" s="5" t="inlineStr">
        <is>
          <t>Dayanıklılık</t>
        </is>
      </c>
      <c r="E379" s="5" t="inlineStr">
        <is>
          <t>Orta</t>
        </is>
      </c>
      <c r="F379" s="5" t="inlineStr"/>
      <c r="G379" s="6" t="inlineStr"/>
      <c r="H379" s="6" t="inlineStr">
        <is>
          <t>Hepsini biriktirdin. Yaz sonunda para hâlâ oradaydı; değeri biraz eksikti.</t>
        </is>
      </c>
      <c r="I379" s="6" t="inlineStr">
        <is>
          <t>Bir yıl boyunca dokunmadın. Ailen ilk kez senden borç istedi.</t>
        </is>
      </c>
      <c r="J379" s="6" t="inlineStr">
        <is>
          <t>İlk hafta sonu küçük bir istisna yaptın. Sonra bir tane daha. Sonra bir tane daha.</t>
        </is>
      </c>
      <c r="K379" s="6" t="inlineStr">
        <is>
          <t>Parayı kışlık botunun içine sakladın. Annen botları eskiciye verdi. Bu kış birinin ayakları çok sıcak, cebi de dolu.</t>
        </is>
      </c>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row>
    <row r="380">
      <c r="A380" s="5" t="inlineStr">
        <is>
          <t>b5-ilk-maas</t>
        </is>
      </c>
      <c r="B380" s="5" t="n">
        <v>3</v>
      </c>
      <c r="C380" s="6" t="inlineStr">
        <is>
          <t>Kuzeninin hesabından dijital paraya yatır</t>
        </is>
      </c>
      <c r="D380" s="5" t="inlineStr">
        <is>
          <t>Kurnazlık</t>
        </is>
      </c>
      <c r="E380" s="5" t="inlineStr">
        <is>
          <t>Orta</t>
        </is>
      </c>
      <c r="F380" s="5" t="inlineStr"/>
      <c r="G380" s="6" t="inlineStr"/>
      <c r="H380" s="6" t="inlineStr">
        <is>
          <t>Bir ay sonra küçük bir kârla çıktın. Sınıfta sana 'yatırımcı' diyorlar.</t>
        </is>
      </c>
      <c r="I380" s="6" t="inlineStr">
        <is>
          <t>İkiye katlanınca sattın; ertesi gün fiyat çöktü. Ekran görüntüsünü aile grubuna attın; dayın hâlâ “Bana da al” yazıyor.</t>
        </is>
      </c>
      <c r="J380" s="6" t="inlineStr">
        <is>
          <t>Değeri düştü. İstemeden 'uzun vadeli yatırımcı' oldun.</t>
        </is>
      </c>
      <c r="K380" s="6" t="inlineStr">
        <is>
          <t>Yatırdığın dijital paranın kurucusu bir hafta sonra 'mola' verdi. Paran da mola verdi.</t>
        </is>
      </c>
      <c r="L380" s="6" t="inlineStr"/>
      <c r="M380" s="5" t="inlineStr"/>
      <c r="N380" s="5" t="inlineStr"/>
      <c r="O380" s="6" t="inlineStr"/>
      <c r="P380" s="6" t="inlineStr"/>
      <c r="Q380" s="5" t="inlineStr"/>
      <c r="R380" s="5" t="inlineStr"/>
      <c r="S380" s="5" t="inlineStr">
        <is>
          <t>Kurnazlık</t>
        </is>
      </c>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row>
    <row r="381">
      <c r="A381" s="5" t="inlineStr">
        <is>
          <t>b5-ilk-maas</t>
        </is>
      </c>
      <c r="B381" s="5" t="n">
        <v>4</v>
      </c>
      <c r="C381" s="6" t="inlineStr">
        <is>
          <t>Patrondan zam iste</t>
        </is>
      </c>
      <c r="D381" s="5" t="inlineStr">
        <is>
          <t>Cesaret</t>
        </is>
      </c>
      <c r="E381" s="5" t="inlineStr">
        <is>
          <t>Zor</t>
        </is>
      </c>
      <c r="F381" s="5" t="inlineStr"/>
      <c r="G381" s="6" t="inlineStr"/>
      <c r="H381" s="6" t="inlineStr">
        <is>
          <t>Zam istedin, aldın. Gelecek yaz için yeni ücret tarifesi imzalandı.</t>
        </is>
      </c>
      <c r="I381" s="6" t="inlineStr">
        <is>
          <t>Zamla birlikte bir de 'sezon primi' icat ettin. Patron hâlâ ne olduğunu anlamadı.</t>
        </is>
      </c>
      <c r="J381" s="6" t="inlineStr">
        <is>
          <t>Zam istedin. Patron “Seneye” dedi. Geçen yazki çırağa da aynısını demiş.</t>
        </is>
      </c>
      <c r="K381" s="6" t="inlineStr">
        <is>
          <t>Zam istedin. Patron maaşını yeniden hesapladı; bu kez geç kaldığın sabahları da saydı. Zarf inceldi.</t>
        </is>
      </c>
      <c r="L381" s="6" t="inlineStr"/>
      <c r="M381" s="5" t="inlineStr"/>
      <c r="N381" s="5" t="inlineStr"/>
      <c r="O381" s="6" t="inlineStr"/>
      <c r="P381" s="6" t="inlineStr"/>
      <c r="Q381" s="5" t="inlineStr"/>
      <c r="R381" s="5" t="inlineStr">
        <is>
          <t>ilkKelimePara</t>
        </is>
      </c>
      <c r="S381" s="5" t="inlineStr"/>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row>
    <row r="382">
      <c r="A382" s="5" t="inlineStr">
        <is>
          <t>b5-ayrilik</t>
        </is>
      </c>
      <c r="B382" s="5" t="n">
        <v>1</v>
      </c>
      <c r="C382" s="6" t="inlineStr">
        <is>
          <t>Olgunca karşıla</t>
        </is>
      </c>
      <c r="D382" s="5" t="inlineStr"/>
      <c r="E382" s="5" t="inlineStr"/>
      <c r="F382" s="5" t="inlineStr">
        <is>
          <t>Dayanıklılık +1, Gönül +1</t>
        </is>
      </c>
      <c r="G382" s="6" t="inlineStr">
        <is>
          <t>Olgunca konuştunuz, iyi dilekler dilediniz. Sonra eve gidip üç saat aynı şarkıyı dinledin.</t>
        </is>
      </c>
      <c r="H382" s="6" t="inlineStr"/>
      <c r="I382" s="6" t="inlineStr"/>
      <c r="J382" s="6" t="inlineStr"/>
      <c r="K382" s="6" t="inlineStr"/>
      <c r="L382" s="6" t="inlineStr"/>
      <c r="M382" s="5" t="inlineStr"/>
      <c r="N382" s="5" t="inlineStr"/>
      <c r="O382" s="6" t="inlineStr"/>
      <c r="P382" s="6" t="inlineStr"/>
      <c r="Q382" s="5" t="inlineStr"/>
      <c r="R382" s="5" t="inlineStr"/>
      <c r="S382" s="5" t="inlineStr"/>
      <c r="T382" s="5" t="inlineStr"/>
      <c r="U382" s="5" t="inlineStr">
        <is>
          <t>ilk-ayrilik</t>
        </is>
      </c>
      <c r="V382" s="5" t="inlineStr"/>
      <c r="W382" s="5" t="inlineStr"/>
      <c r="X382" s="5" t="inlineStr">
        <is>
          <t>ilk-sevgili</t>
        </is>
      </c>
      <c r="Y382" s="5" t="inlineStr"/>
      <c r="Z382" s="6" t="inlineStr"/>
      <c r="AA382" s="5" t="inlineStr"/>
      <c r="AB382" s="5" t="inlineStr"/>
      <c r="AC382" s="5" t="inlineStr"/>
      <c r="AD382" s="5" t="inlineStr"/>
      <c r="AE382" s="5" t="inlineStr"/>
      <c r="AF382" s="5" t="inlineStr"/>
      <c r="AG382" s="5" t="inlineStr"/>
      <c r="AH382" s="5" t="inlineStr"/>
      <c r="AI382" s="5" t="inlineStr"/>
    </row>
    <row r="383">
      <c r="A383" s="5" t="inlineStr">
        <is>
          <t>b5-ayrilik</t>
        </is>
      </c>
      <c r="B383" s="5" t="n">
        <v>2</v>
      </c>
      <c r="C383" s="6" t="inlineStr">
        <is>
          <t>Önce sen yaz</t>
        </is>
      </c>
      <c r="D383" s="5" t="inlineStr">
        <is>
          <t>Kurnazlık</t>
        </is>
      </c>
      <c r="E383" s="5" t="inlineStr">
        <is>
          <t>Zor</t>
        </is>
      </c>
      <c r="F383" s="5" t="inlineStr"/>
      <c r="G383" s="6" t="inlineStr"/>
      <c r="H383" s="6" t="inlineStr">
        <is>
          <t>O yazmadan sen yazdın: “Bence ikimiz de biliyoruz.” Cevap tek kelimeydi: “Evet.” Gururun sağlam kaldı, kalbin kalmadı.</t>
        </is>
      </c>
      <c r="I383" s="6" t="inlineStr">
        <is>
          <t>Mesajın o kadar zarifti ki ekran görüntüsü arkadaş gruplarında örnek metin olarak dolaşıyor.</t>
        </is>
      </c>
      <c r="J383" s="6" t="inlineStr">
        <is>
          <t>Sen yazarken o da yazıyordu. Mesajlar aynı saniyede gitti. Beraberlik.</t>
        </is>
      </c>
      <c r="K383" s="6" t="inlineStr">
        <is>
          <t>Ayrılık mesajını aile grubuna gönderdin. Babaannen 'Kimle?' diye sordu.</t>
        </is>
      </c>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row>
    <row r="384">
      <c r="A384" s="5" t="inlineStr">
        <is>
          <t>b5-ayrilik</t>
        </is>
      </c>
      <c r="B384" s="5" t="n">
        <v>3</v>
      </c>
      <c r="C384" s="6" t="inlineStr">
        <is>
          <t>Kazanmaya çalış</t>
        </is>
      </c>
      <c r="D384" s="5" t="inlineStr">
        <is>
          <t>Gönül</t>
        </is>
      </c>
      <c r="E384" s="5" t="inlineStr">
        <is>
          <t>Orta</t>
        </is>
      </c>
      <c r="F384" s="5" t="inlineStr"/>
      <c r="G384" s="6" t="inlineStr"/>
      <c r="H384" s="6" t="inlineStr">
        <is>
          <t>Konuştunuz ve bir şans daha verildi. İki hafta daha el ele. Sonra yine üç nokta.</t>
        </is>
      </c>
      <c r="I384" s="6" t="inlineStr">
        <is>
          <t>Barıştınız, bir de ortak fotoğraf paylaştınız. Ayrılık resmî olarak ertelendi.</t>
        </is>
      </c>
      <c r="J384" s="6" t="inlineStr">
        <is>
          <t>Uzun bir mesaj yazdın. Cevap: 'Tamam 👍'. Başparmak her şeyi anlattı.</t>
        </is>
      </c>
      <c r="K384" s="6" t="inlineStr">
        <is>
          <t>Bir şarkı söyleyip sesli mesaj olarak gönderdin. O sesli mesaj şu an okul koridorlarında.</t>
        </is>
      </c>
      <c r="L384" s="6" t="inlineStr"/>
      <c r="M384" s="5" t="inlineStr"/>
      <c r="N384" s="5" t="inlineStr"/>
      <c r="O384" s="6" t="inlineStr"/>
      <c r="P384" s="6" t="inlineStr"/>
      <c r="Q384" s="5" t="inlineStr"/>
      <c r="R384" s="5" t="inlineStr"/>
      <c r="S384" s="5" t="inlineStr"/>
      <c r="T384" s="5" t="inlineStr"/>
      <c r="U384" s="5" t="inlineStr"/>
      <c r="V384" s="5" t="inlineStr"/>
      <c r="W384" s="5" t="inlineStr"/>
      <c r="X384" s="5" t="inlineStr"/>
      <c r="Y384" s="5" t="inlineStr"/>
      <c r="Z384" s="6" t="inlineStr"/>
      <c r="AA384" s="5" t="inlineStr"/>
      <c r="AB384" s="5" t="inlineStr"/>
      <c r="AC384" s="5" t="inlineStr"/>
      <c r="AD384" s="5" t="inlineStr"/>
      <c r="AE384" s="5" t="inlineStr"/>
      <c r="AF384" s="5" t="inlineStr"/>
      <c r="AG384" s="5" t="inlineStr"/>
      <c r="AH384" s="5" t="inlineStr"/>
      <c r="AI384" s="5" t="inlineStr"/>
    </row>
    <row r="385">
      <c r="A385" s="5" t="inlineStr">
        <is>
          <t>b5-ayrilik</t>
        </is>
      </c>
      <c r="B385" s="5" t="n">
        <v>4</v>
      </c>
      <c r="C385" s="6" t="inlineStr">
        <is>
          <t>Ayrılığı espriye çevir</t>
        </is>
      </c>
      <c r="D385" s="5" t="inlineStr">
        <is>
          <t>Pişkinlik</t>
        </is>
      </c>
      <c r="E385" s="5" t="inlineStr">
        <is>
          <t>Kolay</t>
        </is>
      </c>
      <c r="F385" s="5" t="inlineStr"/>
      <c r="G385" s="6" t="inlineStr"/>
      <c r="H385" s="6" t="inlineStr">
        <is>
          <t>Ayrılığı arkadaşlarına komik bir hikâye olarak anlattın. İki hafta sonra sen de gülüyordun.</t>
        </is>
      </c>
      <c r="I385" s="6" t="inlineStr">
        <is>
          <t>Hikâyeyi öyle anlattın ki eski sevgilin bile güldü. Gerçekten arkadaş kaldınız.</t>
        </is>
      </c>
      <c r="J385" s="6" t="inlineStr">
        <is>
          <t>Espri yaptın. Kimse gülmedi. Herkes sana acıyarak baktı.</t>
        </is>
      </c>
      <c r="K385" s="6" t="inlineStr">
        <is>
          <t>Esprin eski sevgilinin kulağına gitti. O da senin hakkında bir espri yaptı. Onunki daha iyiydi.</t>
        </is>
      </c>
      <c r="L385" s="6" t="inlineStr"/>
      <c r="M385" s="5" t="inlineStr"/>
      <c r="N385" s="5" t="inlineStr"/>
      <c r="O385" s="6" t="inlineStr"/>
      <c r="P385" s="6" t="inlineStr"/>
      <c r="Q385" s="5" t="inlineStr">
        <is>
          <t>Kendine Gülebilir</t>
        </is>
      </c>
      <c r="R385" s="5" t="inlineStr"/>
      <c r="S385" s="5" t="inlineStr"/>
      <c r="T385" s="5" t="inlineStr"/>
      <c r="U385" s="5" t="inlineStr">
        <is>
          <t>ilk-ayrilik</t>
        </is>
      </c>
      <c r="V385" s="5" t="inlineStr"/>
      <c r="W385" s="5" t="inlineStr"/>
      <c r="X385" s="5" t="inlineStr">
        <is>
          <t>ilk-sevgili</t>
        </is>
      </c>
      <c r="Y385" s="5" t="inlineStr"/>
      <c r="Z385" s="6" t="inlineStr"/>
      <c r="AA385" s="5" t="inlineStr"/>
      <c r="AB385" s="5" t="inlineStr"/>
      <c r="AC385" s="5" t="inlineStr"/>
      <c r="AD385" s="5" t="inlineStr"/>
      <c r="AE385" s="5" t="inlineStr"/>
      <c r="AF385" s="5" t="inlineStr"/>
      <c r="AG385" s="5" t="inlineStr"/>
      <c r="AH385" s="5" t="inlineStr"/>
      <c r="AI385" s="5" t="inlineStr"/>
    </row>
    <row r="386">
      <c r="A386" s="5" t="inlineStr">
        <is>
          <t>b5-beden-dersi</t>
        </is>
      </c>
      <c r="B386" s="5" t="n">
        <v>1</v>
      </c>
      <c r="C386" s="6" t="inlineStr">
        <is>
          <t>Pasör ol</t>
        </is>
      </c>
      <c r="D386" s="5" t="inlineStr">
        <is>
          <t>Dayanıklılık</t>
        </is>
      </c>
      <c r="E386" s="5" t="inlineStr">
        <is>
          <t>Orta</t>
        </is>
      </c>
      <c r="F386" s="5" t="inlineStr"/>
      <c r="G386" s="6" t="inlineStr"/>
      <c r="H386" s="6" t="inlineStr">
        <is>
          <t>Pasör oldun; takımın iki maç kazandı. Asist listesinin başındasın.</t>
        </is>
      </c>
      <c r="I386" s="6" t="inlineStr">
        <is>
          <t>Paslarını gören beden öğretmeni seni okul takımına çağırdı. Adını ilk kez doğru söyledi.</t>
        </is>
      </c>
      <c r="J386" s="6" t="inlineStr">
        <is>
          <t>Pas verdin. Top tavandaki lambaya gitti. Lamba hâlâ sallanıyor.</t>
        </is>
      </c>
      <c r="K386" s="6" t="inlineStr">
        <is>
          <t>Servisi fazla güçlü attın. Top duvarı aşıp komşu bahçeye düştü. Komşu vermedi; turnuva bitti.</t>
        </is>
      </c>
      <c r="L386" s="6" t="inlineStr"/>
      <c r="M386" s="5" t="inlineStr"/>
      <c r="N386" s="5" t="inlineStr"/>
      <c r="O386" s="6" t="inlineStr"/>
      <c r="P386" s="6" t="inlineStr"/>
      <c r="Q386" s="5" t="inlineStr"/>
      <c r="R386" s="5" t="inlineStr"/>
      <c r="S386" s="5" t="inlineStr"/>
      <c r="T386" s="5" t="inlineStr"/>
      <c r="U386" s="5" t="inlineStr"/>
      <c r="V386" s="5" t="inlineStr"/>
      <c r="W386" s="5" t="inlineStr"/>
      <c r="X386" s="5" t="inlineStr"/>
      <c r="Y386" s="5" t="inlineStr"/>
      <c r="Z386" s="6" t="inlineStr"/>
      <c r="AA386" s="5" t="inlineStr"/>
      <c r="AB386" s="5" t="inlineStr"/>
      <c r="AC386" s="5" t="inlineStr"/>
      <c r="AD386" s="5" t="inlineStr"/>
      <c r="AE386" s="5" t="inlineStr"/>
      <c r="AF386" s="5" t="inlineStr"/>
      <c r="AG386" s="5" t="inlineStr"/>
      <c r="AH386" s="5" t="inlineStr"/>
      <c r="AI386" s="5" t="inlineStr"/>
    </row>
    <row r="387">
      <c r="A387" s="5" t="inlineStr">
        <is>
          <t>b5-beden-dersi</t>
        </is>
      </c>
      <c r="B387" s="5" t="n">
        <v>2</v>
      </c>
      <c r="C387" s="6" t="inlineStr">
        <is>
          <t>Kenarda puan tut</t>
        </is>
      </c>
      <c r="D387" s="5" t="inlineStr"/>
      <c r="E387" s="5" t="inlineStr"/>
      <c r="F387" s="5" t="inlineStr">
        <is>
          <t>Akıl +1</t>
        </is>
      </c>
      <c r="G387" s="6" t="inlineStr">
        <is>
          <t>Maç 25-23 bitti. Sen 25-24 yazdın. İtiraz eden olmadı; defter sende.</t>
        </is>
      </c>
      <c r="H387" s="6" t="inlineStr"/>
      <c r="I387" s="6" t="inlineStr"/>
      <c r="J387" s="6" t="inlineStr"/>
      <c r="K387" s="6" t="inlineStr"/>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row>
    <row r="388">
      <c r="A388" s="5" t="inlineStr">
        <is>
          <t>b5-beden-dersi</t>
        </is>
      </c>
      <c r="B388" s="5" t="n">
        <v>3</v>
      </c>
      <c r="C388" s="6" t="inlineStr">
        <is>
          <t>Eski sakatlığını hatırlat</t>
        </is>
      </c>
      <c r="D388" s="5" t="inlineStr">
        <is>
          <t>Pişkinlik</t>
        </is>
      </c>
      <c r="E388" s="5" t="inlineStr">
        <is>
          <t>Kolay</t>
        </is>
      </c>
      <c r="F388" s="5" t="inlineStr"/>
      <c r="G388" s="6" t="inlineStr"/>
      <c r="H388" s="6" t="inlineStr">
        <is>
          <t>'Kolum bir kere kırılmıştı' dedin. Hem kenarda oturdun hem de saygı kazandın.</t>
        </is>
      </c>
      <c r="I388" s="6" t="inlineStr">
        <is>
          <t>Hikâyeyi öyle anlattın ki öğretmen seni bütün dönem hakem ilan etti. Düdük sende.</t>
        </is>
      </c>
      <c r="J388" s="6" t="inlineStr">
        <is>
          <t>'Kolum bir kere kırılmıştı' dedin. Öğretmen 'Diğeri sağlam ama' dedi.</t>
        </is>
      </c>
      <c r="K388" s="6" t="inlineStr">
        <is>
          <t>Sınıftan biri “Sen tepsiyle kayıp kolunu kıran değil miydin?” diye sordu. Bütün sınıf hikâyeyi dinledi. Mezuniyete kadar her servisinde arkandan “Tepsi!” diye bağırdılar.</t>
        </is>
      </c>
      <c r="L388" s="6" t="inlineStr"/>
      <c r="M388" s="5" t="inlineStr"/>
      <c r="N388" s="5" t="inlineStr"/>
      <c r="O388" s="6" t="inlineStr"/>
      <c r="P388" s="6" t="inlineStr"/>
      <c r="Q388" s="5" t="inlineStr"/>
      <c r="R388" s="5" t="inlineStr">
        <is>
          <t>alcili-kol</t>
        </is>
      </c>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is>
          <t>Tepsi</t>
        </is>
      </c>
    </row>
    <row r="389">
      <c r="A389" s="5" t="inlineStr">
        <is>
          <t>b5-beden-dersi</t>
        </is>
      </c>
      <c r="B389" s="5" t="n">
        <v>4</v>
      </c>
      <c r="C389" s="6" t="inlineStr">
        <is>
          <t>Takım kaptanı ol</t>
        </is>
      </c>
      <c r="D389" s="5" t="inlineStr">
        <is>
          <t>Sosyal Radar</t>
        </is>
      </c>
      <c r="E389" s="5" t="inlineStr">
        <is>
          <t>Orta</t>
        </is>
      </c>
      <c r="F389" s="5" t="inlineStr"/>
      <c r="G389" s="6" t="inlineStr"/>
      <c r="H389" s="6" t="inlineStr">
        <is>
          <t>Takımı dengeli kurdun. En son seçilen arkadaşın maçın yıldızı oldu.</t>
        </is>
      </c>
      <c r="I389" s="6" t="inlineStr">
        <is>
          <t>Turnuvayı kazandınız. Kupa yok, ama öğretmen sınıfa beş dakika ekstra teneffüs verdi.</t>
        </is>
      </c>
      <c r="J389" s="6" t="inlineStr">
        <is>
          <t>Herkes kendi arkadaşını istedi. Takım üçe bölündü; maçın ortasında iki kişi küsüp kenara oturdu.</t>
        </is>
      </c>
      <c r="K389" s="6" t="inlineStr">
        <is>
          <t>Takımı kurarken kendini unuttun. Takımın turnuvayı kazandı. Zafer fotoğrafında yoksun; fotoğrafı sen çektin.</t>
        </is>
      </c>
      <c r="L389" s="6" t="inlineStr"/>
      <c r="M389" s="5" t="inlineStr"/>
      <c r="N389" s="5" t="inlineStr"/>
      <c r="O389" s="6" t="inlineStr"/>
      <c r="P389" s="6" t="inlineStr"/>
      <c r="Q389" s="5" t="inlineStr">
        <is>
          <t>Asist Ustası</t>
        </is>
      </c>
      <c r="R389" s="5" t="inlineStr"/>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row>
    <row r="390">
      <c r="A390" s="5" t="inlineStr">
        <is>
          <t>b5-kafede-ders</t>
        </is>
      </c>
      <c r="B390" s="5" t="n">
        <v>1</v>
      </c>
      <c r="C390" s="6" t="inlineStr">
        <is>
          <t>Gerçekten ders çalış</t>
        </is>
      </c>
      <c r="D390" s="5" t="inlineStr">
        <is>
          <t>Akıl</t>
        </is>
      </c>
      <c r="E390" s="5" t="inlineStr">
        <is>
          <t>Zor</t>
        </is>
      </c>
      <c r="F390" s="5" t="inlineStr"/>
      <c r="G390" s="6" t="inlineStr"/>
      <c r="H390" s="6" t="inlineStr">
        <is>
          <t>Kulaklığı taktın ve iki ünite bitirdin. Arkadaşların bunu ihanet olarak değerlendirdi.</t>
        </is>
      </c>
      <c r="I390" s="6" t="inlineStr">
        <is>
          <t>Üç ünite bitirdin, masaya da özet çıkardın. Kafe fiilen etüt merkezine döndü.</t>
        </is>
      </c>
      <c r="J390" s="6" t="inlineStr">
        <is>
          <t>Kitabı açtın. Karşındaki telefonda bir video gösterdi, sonra bir tane daha. Kitabı kapattığında çay da soğumuştu.</t>
        </is>
      </c>
      <c r="K390" s="6" t="inlineStr">
        <is>
          <t>Beş saat boyunca aynı sayfaya baktın. Konuyu değil, sayfa numarasını ezberledin: 48.</t>
        </is>
      </c>
      <c r="L390" s="6" t="inlineStr"/>
      <c r="M390" s="5" t="inlineStr"/>
      <c r="N390" s="5" t="inlineStr"/>
      <c r="O390" s="6" t="inlineStr"/>
      <c r="P390" s="6" t="inlineStr"/>
      <c r="Q390" s="5" t="inlineStr"/>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row>
    <row r="391">
      <c r="A391" s="5" t="inlineStr">
        <is>
          <t>b5-kafede-ders</t>
        </is>
      </c>
      <c r="B391" s="5" t="n">
        <v>2</v>
      </c>
      <c r="C391" s="6" t="inlineStr">
        <is>
          <t>Sohbete katıl</t>
        </is>
      </c>
      <c r="D391" s="5" t="inlineStr"/>
      <c r="E391" s="5" t="inlineStr"/>
      <c r="F391" s="5" t="inlineStr">
        <is>
          <t>Sosyal Radar +1</t>
        </is>
      </c>
      <c r="G391" s="6" t="inlineStr">
        <is>
          <t>Beş saat sohbet ettiniz. Kimin kimden hoşlandığını öğrendin. Sınavda o sorulmayacak.</t>
        </is>
      </c>
      <c r="H391" s="6" t="inlineStr"/>
      <c r="I391" s="6" t="inlineStr"/>
      <c r="J391" s="6" t="inlineStr"/>
      <c r="K391" s="6" t="inlineStr"/>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row>
    <row r="392">
      <c r="A392" s="5" t="inlineStr">
        <is>
          <t>b5-kafede-ders</t>
        </is>
      </c>
      <c r="B392" s="5" t="n">
        <v>3</v>
      </c>
      <c r="C392" s="6" t="inlineStr">
        <is>
          <t>Garsonla arayı düzelt</t>
        </is>
      </c>
      <c r="D392" s="5" t="inlineStr">
        <is>
          <t>Çene</t>
        </is>
      </c>
      <c r="E392" s="5" t="inlineStr">
        <is>
          <t>Kolay</t>
        </is>
      </c>
      <c r="F392" s="5" t="inlineStr"/>
      <c r="G392" s="6" t="inlineStr"/>
      <c r="H392" s="6" t="inlineStr">
        <is>
          <t>Garsonla sohbet ettin; masaya ikram kurabiye geldi. Masa üç saat daha güvende.</t>
        </is>
      </c>
      <c r="I392" s="6" t="inlineStr">
        <is>
          <t>Garson masanıza “Ayrılmıştır” kartı koydu, üstüne birer çay ısmarladı: “Benim de sınavım vardı.”</t>
        </is>
      </c>
      <c r="J392" s="6" t="inlineStr">
        <is>
          <t>Garsona gülümsedin. Hesabı getirdi.</t>
        </is>
      </c>
      <c r="K392" s="6" t="inlineStr">
        <is>
          <t>Garson sınıftan birinin abisi çıktı. Ders çalışmadığınız haberi eve sizden önce ulaştı.</t>
        </is>
      </c>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row>
    <row r="393">
      <c r="A393" s="5" t="inlineStr">
        <is>
          <t>b5-deneme-sinavi</t>
        </is>
      </c>
      <c r="B393" s="5" t="n">
        <v>1</v>
      </c>
      <c r="C393" s="6" t="inlineStr">
        <is>
          <t>Nefesini düzenle, başla</t>
        </is>
      </c>
      <c r="D393" s="5" t="inlineStr">
        <is>
          <t>Dayanıklılık</t>
        </is>
      </c>
      <c r="E393" s="5" t="inlineStr">
        <is>
          <t>Zor</t>
        </is>
      </c>
      <c r="F393" s="5" t="inlineStr"/>
      <c r="G393" s="6" t="inlineStr"/>
      <c r="H393" s="6" t="inlineStr">
        <is>
          <t>Sakince çözdün. Netin geçen denemeden yedi fazla. Adın ilan panosunda.</t>
        </is>
      </c>
      <c r="I393" s="6" t="inlineStr">
        <is>
          <t>Deneme birincisi oldun. Dershane afişine kayıt günü çekilen fotoğrafını bastı; iki yıl önceki saçınla. Annen afişin fotoğrafını aile grubuna attı.</t>
        </is>
      </c>
      <c r="J393" s="6" t="inlineStr">
        <is>
          <t>Sakin başladın ama ilk sayfada yirmi dakika kaldın. Son sayfa kuşbakışı geçildi.</t>
        </is>
      </c>
      <c r="K393" s="6" t="inlineStr">
        <is>
          <t>O kadar rahatladın ki uyudun. Gözetmen zil çalınca uyandırdı. Optik formda yüzünün izi var.</t>
        </is>
      </c>
      <c r="L393" s="6" t="inlineStr">
        <is>
          <t>Nefes tuttu, zaman tutmadı. Son on soruyu aynı şıkla doldurdun; üçü tuttu.</t>
        </is>
      </c>
      <c r="M393" s="5" t="inlineStr">
        <is>
          <t>breath</t>
        </is>
      </c>
      <c r="N393" s="5" t="inlineStr">
        <is>
          <t>Sınav Nefesi</t>
        </is>
      </c>
      <c r="O393" s="6" t="inlineStr">
        <is>
          <t>Daire büyürken nefes al, küçülürken ver. Sorular bekleyebilir.</t>
        </is>
      </c>
      <c r="P393" s="6" t="inlineStr"/>
      <c r="Q393" s="5" t="inlineStr"/>
      <c r="R393" s="5" t="inlineStr"/>
      <c r="S393" s="5" t="inlineStr"/>
      <c r="T393" s="5" t="inlineStr">
        <is>
          <t>Deneme Kurdu</t>
        </is>
      </c>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row>
    <row r="394">
      <c r="A394" s="5" t="inlineStr">
        <is>
          <t>b5-deneme-sinavi</t>
        </is>
      </c>
      <c r="B394" s="5" t="n">
        <v>2</v>
      </c>
      <c r="C394" s="6" t="inlineStr">
        <is>
          <t>Her soruya bir şık işaretle</t>
        </is>
      </c>
      <c r="D394" s="5" t="inlineStr"/>
      <c r="E394" s="5" t="inlineStr"/>
      <c r="F394" s="5" t="inlineStr">
        <is>
          <t>Pişkinlik +1</t>
        </is>
      </c>
      <c r="G394" s="6" t="inlineStr">
        <is>
          <t>Hiçbir soruyu boş bırakmadın. Bilmediklerinde içinden “Portakalı soydum” saydın. Netin, sınıfta gözü kapalı kodlayan çocukla birebir aynı çıktı.</t>
        </is>
      </c>
      <c r="H394" s="6" t="inlineStr"/>
      <c r="I394" s="6" t="inlineStr"/>
      <c r="J394" s="6" t="inlineStr"/>
      <c r="K394" s="6" t="inlineStr"/>
      <c r="L394" s="6" t="inlineStr"/>
      <c r="M394" s="5" t="inlineStr"/>
      <c r="N394" s="5" t="inlineStr"/>
      <c r="O394" s="6" t="inlineStr"/>
      <c r="P394" s="6" t="inlineStr"/>
      <c r="Q394" s="5" t="inlineStr"/>
      <c r="R394" s="5" t="inlineStr"/>
      <c r="S394" s="5" t="inlineStr"/>
      <c r="T394" s="5" t="inlineStr"/>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row>
    <row r="395">
      <c r="A395" s="5" t="inlineStr">
        <is>
          <t>b5-deneme-sinavi</t>
        </is>
      </c>
      <c r="B395" s="5" t="n">
        <v>3</v>
      </c>
      <c r="C395" s="6" t="inlineStr">
        <is>
          <t>Yandakinin kâğıdına bak</t>
        </is>
      </c>
      <c r="D395" s="5" t="inlineStr">
        <is>
          <t>Kurnazlık</t>
        </is>
      </c>
      <c r="E395" s="5" t="inlineStr">
        <is>
          <t>Zor</t>
        </is>
      </c>
      <c r="F395" s="5" t="inlineStr"/>
      <c r="G395" s="6" t="inlineStr"/>
      <c r="H395" s="6" t="inlineStr">
        <is>
          <t>Birkaç cevabı teyit ettin. Yandaki de senin kâğıdına bakıyormuş. Adil takas.</t>
        </is>
      </c>
      <c r="I395" s="6" t="inlineStr">
        <is>
          <t>Yandakinin doğrularını aldın, yanlışlarını atladın. Ondan yüksek aldın.</t>
        </is>
      </c>
      <c r="J395" s="6" t="inlineStr">
        <is>
          <t>Yandakine baktın; o da sana bakıyordu. İkiniz de aynı soruda takılmıştınız.</t>
        </is>
      </c>
      <c r="K395" s="6" t="inlineStr">
        <is>
          <t>Yandakinin kâğıdından birebir aldın. Kitapçık türü farklıymış. Netin eksiye düştü.</t>
        </is>
      </c>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row>
    <row r="396">
      <c r="A396" s="5" t="inlineStr">
        <is>
          <t>b5-deneme-sinavi</t>
        </is>
      </c>
      <c r="B396" s="5" t="n">
        <v>4</v>
      </c>
      <c r="C396" s="6" t="inlineStr">
        <is>
          <t>Soruların örüntüsünü çöz</t>
        </is>
      </c>
      <c r="D396" s="5" t="inlineStr">
        <is>
          <t>Akıl</t>
        </is>
      </c>
      <c r="E396" s="5" t="inlineStr">
        <is>
          <t>Kolay</t>
        </is>
      </c>
      <c r="F396" s="5" t="inlineStr"/>
      <c r="G396" s="6" t="inlineStr"/>
      <c r="H396" s="6" t="inlineStr">
        <is>
          <t>Soruları zorluk sırasına dizdin ve sürenin yarısında bitirdin.</t>
        </is>
      </c>
      <c r="I396" s="6" t="inlineStr">
        <is>
          <t>Soru hazırlayanın mantığını çözdün. Cevap anahtarı çıkmadan netini biliyordun.</t>
        </is>
      </c>
      <c r="J396" s="6" t="inlineStr">
        <is>
          <t>Örüntüyü aradın. Yoktu. Sorular rastgele hazırlanmış.</t>
        </is>
      </c>
      <c r="K396" s="6" t="inlineStr">
        <is>
          <t>Örüntüye o kadar daldın ki soruları çözmeye vakit kalmadı. Ama örüntü şahane.</t>
        </is>
      </c>
      <c r="L396" s="6" t="inlineStr"/>
      <c r="M396" s="5" t="inlineStr"/>
      <c r="N396" s="5" t="inlineStr"/>
      <c r="O396" s="6" t="inlineStr"/>
      <c r="P396" s="6" t="inlineStr"/>
      <c r="Q396" s="5" t="inlineStr">
        <is>
          <t>Ukala Ama Haklı</t>
        </is>
      </c>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row>
    <row r="397">
      <c r="A397" s="5" t="inlineStr">
        <is>
          <t>b5-doktor-ol</t>
        </is>
      </c>
      <c r="B397" s="5" t="n">
        <v>1</v>
      </c>
      <c r="C397" s="6" t="inlineStr">
        <is>
          <t>'Tamam' de</t>
        </is>
      </c>
      <c r="D397" s="5" t="inlineStr"/>
      <c r="E397" s="5" t="inlineStr"/>
      <c r="F397" s="5" t="inlineStr">
        <is>
          <t>İtibar +1</t>
        </is>
      </c>
      <c r="G397" s="6" t="inlineStr">
        <is>
          <t>'Tamam' dedin. Babaannen haberi komşulara verdi. Artık mahallenin müstakbel doktorusun. Biyoloji notun hâlâ gizli.</t>
        </is>
      </c>
      <c r="H397" s="6" t="inlineStr"/>
      <c r="I397" s="6" t="inlineStr"/>
      <c r="J397" s="6" t="inlineStr"/>
      <c r="K397" s="6" t="inlineStr"/>
      <c r="L397" s="6" t="inlineStr"/>
      <c r="M397" s="5" t="inlineStr"/>
      <c r="N397" s="5" t="inlineStr"/>
      <c r="O397" s="6" t="inlineStr"/>
      <c r="P397" s="6" t="inlineStr"/>
      <c r="Q397" s="5" t="inlineStr"/>
      <c r="R397" s="5" t="inlineStr"/>
      <c r="S397" s="5" t="inlineStr"/>
      <c r="T397" s="5" t="inlineStr"/>
      <c r="U397" s="5" t="inlineStr">
        <is>
          <t>doktor-sozu</t>
        </is>
      </c>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row>
    <row r="398">
      <c r="A398" s="5" t="inlineStr">
        <is>
          <t>b5-doktor-ol</t>
        </is>
      </c>
      <c r="B398" s="5" t="n">
        <v>2</v>
      </c>
      <c r="C398" s="6" t="inlineStr">
        <is>
          <t>Kendi hayalini savun</t>
        </is>
      </c>
      <c r="D398" s="5" t="inlineStr">
        <is>
          <t>Cesaret</t>
        </is>
      </c>
      <c r="E398" s="5" t="inlineStr">
        <is>
          <t>Zor</t>
        </is>
      </c>
      <c r="F398" s="5" t="inlineStr"/>
      <c r="G398" s="6" t="inlineStr"/>
      <c r="H398" s="6" t="inlineStr">
        <is>
          <t>Masada sessizlik oldu. Sonra baban 'Peki, bir düşünelim' dedi. Tarihî bir ilk.</t>
        </is>
      </c>
      <c r="I398" s="6" t="inlineStr">
        <is>
          <t>Öyle savundun ki baban kendi yarım kalan hayalini anlattı. Tatlıyı birlikte yediniz.</t>
        </is>
      </c>
      <c r="J398" s="6" t="inlineStr">
        <is>
          <t>Baban 'Önce doktor ol, sonra ne istersen' dedi. Takvim belirsiz.</t>
        </is>
      </c>
      <c r="K398" s="6" t="inlineStr">
        <is>
          <t>Ertesi akşam kuzenin tıbba hazırlandığını açıkladı. Baban artık sofrada ona “doktorum” diyor. Sana “tuzu uzat” diyor.</t>
        </is>
      </c>
      <c r="L398" s="6" t="inlineStr"/>
      <c r="M398" s="5" t="inlineStr"/>
      <c r="N398" s="5" t="inlineStr"/>
      <c r="O398" s="6" t="inlineStr"/>
      <c r="P398" s="6" t="inlineStr"/>
      <c r="Q398" s="5" t="inlineStr"/>
      <c r="R398" s="5" t="inlineStr"/>
      <c r="S398" s="5" t="inlineStr"/>
      <c r="T398" s="5" t="inlineStr"/>
      <c r="U398" s="5" t="inlineStr"/>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row>
    <row r="399">
      <c r="A399" s="5" t="inlineStr">
        <is>
          <t>b5-doktor-ol</t>
        </is>
      </c>
      <c r="B399" s="5" t="n">
        <v>3</v>
      </c>
      <c r="C399" s="6" t="inlineStr">
        <is>
          <t>Masadakileri tek tek ikna et</t>
        </is>
      </c>
      <c r="D399" s="5" t="inlineStr">
        <is>
          <t>Çene</t>
        </is>
      </c>
      <c r="E399" s="5" t="inlineStr">
        <is>
          <t>Orta</t>
        </is>
      </c>
      <c r="F399" s="5" t="inlineStr"/>
      <c r="G399" s="6" t="inlineStr"/>
      <c r="H399" s="6" t="inlineStr">
        <is>
          <t>Önce anneni, sonra babaanneni kazandın. Baban azınlıkta kaldı.</t>
        </is>
      </c>
      <c r="I399" s="6" t="inlineStr">
        <is>
          <t>Aile meclisi toplandı, oylama yapıldı, kazandın. Baban çekimser kaldı.</t>
        </is>
      </c>
      <c r="J399" s="6" t="inlineStr">
        <is>
          <t>Anneni kazandın, babaannen babanın tarafına geçti. Oylar eşit, karar ertelendi.</t>
        </is>
      </c>
      <c r="K399" s="6" t="inlineStr">
        <is>
          <t>İkna turunda 'doktor' kelimesini o kadar çok tekrarladın ki sonunda sen ikna oldun.</t>
        </is>
      </c>
      <c r="L399" s="6" t="inlineStr"/>
      <c r="M399" s="5" t="inlineStr"/>
      <c r="N399" s="5" t="inlineStr"/>
      <c r="O399" s="6" t="inlineStr"/>
      <c r="P399" s="6" t="inlineStr"/>
      <c r="Q399" s="5" t="inlineStr"/>
      <c r="R399" s="5" t="inlineStr"/>
      <c r="S399" s="5" t="inlineStr">
        <is>
          <t>Çene</t>
        </is>
      </c>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row>
    <row r="400">
      <c r="A400" s="5" t="inlineStr">
        <is>
          <t>b5-doktor-ol</t>
        </is>
      </c>
      <c r="B400" s="5" t="n">
        <v>4</v>
      </c>
      <c r="C400" s="6" t="inlineStr">
        <is>
          <t>Sessiz kal, zamana bırak</t>
        </is>
      </c>
      <c r="D400" s="5" t="inlineStr">
        <is>
          <t>Dayanıklılık</t>
        </is>
      </c>
      <c r="E400" s="5" t="inlineStr">
        <is>
          <t>Kolay</t>
        </is>
      </c>
      <c r="F400" s="5" t="inlineStr"/>
      <c r="G400" s="6" t="inlineStr"/>
      <c r="H400" s="6" t="inlineStr">
        <is>
          <t>Sustun. Konu üç hafta içinde kendiliğinden söndü.</t>
        </is>
      </c>
      <c r="I400" s="6" t="inlineStr">
        <is>
          <t>Sen sustun, baban da sustu. Bir ay sonra bir akşam çayını karıştırırken “Sen bilirsin” dedi. Bu evde bundan büyük onay yoktur.</t>
        </is>
      </c>
      <c r="J400" s="6" t="inlineStr">
        <is>
          <t>Sustun. Sessizliğin 'evet' olarak yorumlandı.</t>
        </is>
      </c>
      <c r="K400" s="6" t="inlineStr">
        <is>
          <t>Sustun. Ailen bunu onay saydı ve seni tıp fakültesinin tanıtım gününe kaydettirdi.</t>
        </is>
      </c>
      <c r="L400" s="6" t="inlineStr"/>
      <c r="M400" s="5" t="inlineStr"/>
      <c r="N400" s="5" t="inlineStr"/>
      <c r="O400" s="6" t="inlineStr"/>
      <c r="P400" s="6" t="inlineStr"/>
      <c r="Q400" s="5" t="inlineStr">
        <is>
          <t>Sessiz Gözlemci</t>
        </is>
      </c>
      <c r="R400" s="5" t="inlineStr"/>
      <c r="S400" s="5" t="inlineStr"/>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row>
    <row r="401">
      <c r="A401" s="5" t="inlineStr">
        <is>
          <t>b5-yurt-disi</t>
        </is>
      </c>
      <c r="B401" s="5" t="n">
        <v>1</v>
      </c>
      <c r="C401" s="6" t="inlineStr">
        <is>
          <t>Sekmeyi kapat</t>
        </is>
      </c>
      <c r="D401" s="5" t="inlineStr"/>
      <c r="E401" s="5" t="inlineStr"/>
      <c r="F401" s="5" t="inlineStr">
        <is>
          <t>Dayanıklılık +1</t>
        </is>
      </c>
      <c r="G401" s="6" t="inlineStr">
        <is>
          <t>Sekmeyi kapattın. Hayal, tarayıcı geçmişinde saklı. Her temizlikten sonra yine geri geliyor.</t>
        </is>
      </c>
      <c r="H401" s="6" t="inlineStr"/>
      <c r="I401" s="6" t="inlineStr"/>
      <c r="J401" s="6" t="inlineStr"/>
      <c r="K401" s="6" t="inlineStr"/>
      <c r="L401" s="6" t="inlineStr"/>
      <c r="M401" s="5" t="inlineStr"/>
      <c r="N401" s="5" t="inlineStr"/>
      <c r="O401" s="6" t="inlineStr"/>
      <c r="P401" s="6" t="inlineStr"/>
      <c r="Q401" s="5" t="inlineStr"/>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row>
    <row r="402">
      <c r="A402" s="5" t="inlineStr">
        <is>
          <t>b5-yurt-disi</t>
        </is>
      </c>
      <c r="B402" s="5" t="n">
        <v>2</v>
      </c>
      <c r="C402" s="6" t="inlineStr">
        <is>
          <t>Niyet mektubu yaz</t>
        </is>
      </c>
      <c r="D402" s="5" t="inlineStr">
        <is>
          <t>Akıl</t>
        </is>
      </c>
      <c r="E402" s="5" t="inlineStr">
        <is>
          <t>Zor</t>
        </is>
      </c>
      <c r="F402" s="5" t="inlineStr"/>
      <c r="G402" s="6" t="inlineStr"/>
      <c r="H402" s="6" t="inlineStr">
        <is>
          <t>Mektubu yazdın ve bir okuldan bekleme listesi cevabı aldın. Umut yazılı hâle geldi.</t>
        </is>
      </c>
      <c r="I402" s="6" t="inlineStr">
        <is>
          <t>Kısmi burs geldi. Ailen hesap makinesini çıkardı. Hesap makinesi hâlâ düşünüyor.</t>
        </is>
      </c>
      <c r="J402" s="6" t="inlineStr">
        <is>
          <t>Referans isteyeceğin üç kişiden ikisi 'Ne yazayım?' diye sordu. Üçüncüsü cevap vermedi.</t>
        </is>
      </c>
      <c r="K402" s="6" t="inlineStr">
        <is>
          <t>Mektubu gönderdin. Okulun adını yanlış yazmışsın. Diğer okulun adıyla.</t>
        </is>
      </c>
      <c r="L402" s="6" t="inlineStr"/>
      <c r="M402" s="5" t="inlineStr"/>
      <c r="N402" s="5" t="inlineStr"/>
      <c r="O402" s="6" t="inlineStr"/>
      <c r="P402" s="6" t="inlineStr"/>
      <c r="Q402" s="5" t="inlineStr"/>
      <c r="R402" s="5" t="inlineStr"/>
      <c r="S402" s="5" t="inlineStr"/>
      <c r="T402" s="5" t="inlineStr"/>
      <c r="U402" s="5" t="inlineStr"/>
      <c r="V402" s="5" t="inlineStr">
        <is>
          <t>yurt-disi-hayali</t>
        </is>
      </c>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row>
    <row r="403">
      <c r="A403" s="5" t="inlineStr">
        <is>
          <t>b5-yurt-disi</t>
        </is>
      </c>
      <c r="B403" s="5" t="n">
        <v>3</v>
      </c>
      <c r="C403" s="6" t="inlineStr">
        <is>
          <t>Aileye sunum yap</t>
        </is>
      </c>
      <c r="D403" s="5" t="inlineStr">
        <is>
          <t>Çene</t>
        </is>
      </c>
      <c r="E403" s="5" t="inlineStr">
        <is>
          <t>Orta</t>
        </is>
      </c>
      <c r="F403" s="5" t="inlineStr"/>
      <c r="G403" s="6" t="inlineStr"/>
      <c r="H403" s="6" t="inlineStr">
        <is>
          <t>Ailen 'Önce buradaki sınavı kazan' dedi. Kısmi onay alındı.</t>
        </is>
      </c>
      <c r="I403" s="6" t="inlineStr">
        <is>
          <t>Sunumun sonunda ailen buzdolabının üstüne bir “Öte Diyar kumbarası” koydu. İlk katkı: senin bayram harçlıkların.</t>
        </is>
      </c>
      <c r="J403" s="6" t="inlineStr">
        <is>
          <t>Ailen ücreti yüksek sesle okudu. Sonra bir daha okudu.</t>
        </is>
      </c>
      <c r="K403" s="6" t="inlineStr">
        <is>
          <t>Baban tanıtım videosunu izledi ve kendisi başvurmak istedi.</t>
        </is>
      </c>
      <c r="L403" s="6" t="inlineStr"/>
      <c r="M403" s="5" t="inlineStr"/>
      <c r="N403" s="5" t="inlineStr"/>
      <c r="O403" s="6" t="inlineStr"/>
      <c r="P403" s="6" t="inlineStr"/>
      <c r="Q403" s="5" t="inlineStr"/>
      <c r="R403" s="5" t="inlineStr"/>
      <c r="S403" s="5" t="inlineStr"/>
      <c r="T403" s="5" t="inlineStr"/>
      <c r="U403" s="5" t="inlineStr"/>
      <c r="V403" s="5" t="inlineStr"/>
      <c r="W403" s="5" t="inlineStr"/>
      <c r="X403" s="5" t="inlineStr"/>
      <c r="Y403" s="5" t="inlineStr"/>
      <c r="Z403" s="6" t="inlineStr"/>
      <c r="AA403" s="5" t="inlineStr"/>
      <c r="AB403" s="5" t="inlineStr"/>
      <c r="AC403" s="5" t="inlineStr"/>
      <c r="AD403" s="5" t="inlineStr"/>
      <c r="AE403" s="5" t="inlineStr"/>
      <c r="AF403" s="5" t="inlineStr"/>
      <c r="AG403" s="5" t="inlineStr"/>
      <c r="AH403" s="5" t="inlineStr"/>
      <c r="AI403" s="5" t="inlineStr"/>
    </row>
    <row r="404">
      <c r="A404" s="5" t="inlineStr">
        <is>
          <t>b5-yurt-disi</t>
        </is>
      </c>
      <c r="B404" s="5" t="n">
        <v>4</v>
      </c>
      <c r="C404" s="6" t="inlineStr">
        <is>
          <t>Az bilinen bir burs programı bul</t>
        </is>
      </c>
      <c r="D404" s="5" t="inlineStr">
        <is>
          <t>Kurnazlık</t>
        </is>
      </c>
      <c r="E404" s="5" t="inlineStr">
        <is>
          <t>Kolay</t>
        </is>
      </c>
      <c r="F404" s="5" t="inlineStr"/>
      <c r="G404" s="6" t="inlineStr"/>
      <c r="H404" s="6" t="inlineStr">
        <is>
          <t>Kimsenin bilmediği bir yaz okulu bursu buldun. Başvurun kabul edildi. Uçak bileti ailede.</t>
        </is>
      </c>
      <c r="I404" s="6" t="inlineStr">
        <is>
          <t>Tam burslu bir yaz programı buldun. Ailen hâlâ neyin dolandırıcılık olduğunu anlamaya çalışıyor. Değil.</t>
        </is>
      </c>
      <c r="J404" s="6" t="inlineStr">
        <is>
          <t>Burs programını buldun. Son başvuru tarihi dündü.</t>
        </is>
      </c>
      <c r="K404" s="6" t="inlineStr">
        <is>
          <t>Formu doldurdun, başvuru ücretini ödedin. Program yokmuş. Sitesi ise çok iyi tasarlanmıştı.</t>
        </is>
      </c>
      <c r="L404" s="6" t="inlineStr"/>
      <c r="M404" s="5" t="inlineStr"/>
      <c r="N404" s="5" t="inlineStr"/>
      <c r="O404" s="6" t="inlineStr"/>
      <c r="P404" s="6" t="inlineStr"/>
      <c r="Q404" s="5" t="inlineStr">
        <is>
          <t>Şifreyi Bilen</t>
        </is>
      </c>
      <c r="R404" s="5" t="inlineStr"/>
      <c r="S404" s="5" t="inlineStr"/>
      <c r="T404" s="5" t="inlineStr"/>
      <c r="U404" s="5" t="inlineStr"/>
      <c r="V404" s="5" t="inlineStr">
        <is>
          <t>yurt-disi-hayali</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row>
    <row r="405">
      <c r="A405" s="5" t="inlineStr">
        <is>
          <t>b5-ilk-konser</t>
        </is>
      </c>
      <c r="B405" s="5" t="n">
        <v>1</v>
      </c>
      <c r="C405" s="6" t="inlineStr">
        <is>
          <t>Ön sıraya ilerle</t>
        </is>
      </c>
      <c r="D405" s="5" t="inlineStr">
        <is>
          <t>Cesaret</t>
        </is>
      </c>
      <c r="E405" s="5" t="inlineStr">
        <is>
          <t>Orta</t>
        </is>
      </c>
      <c r="F405" s="5" t="inlineStr"/>
      <c r="G405" s="6" t="inlineStr"/>
      <c r="H405" s="6" t="inlineStr">
        <is>
          <t>Ön sıraya ulaştın. Şarkıcı bir an sana baktı. En azından sen öyle hatırlıyorsun.</t>
        </is>
      </c>
      <c r="I405" s="6" t="inlineStr">
        <is>
          <t>Sahneden atılan su şişesini yakaladın. Hâlâ bir rafta, cam fanusun içinde duruyor.</t>
        </is>
      </c>
      <c r="J405" s="6" t="inlineStr">
        <is>
          <t>Sen ilerledin, önündeki uzun boylu da ilerledi. Konseri onun ensesinden izledin.</t>
        </is>
      </c>
      <c r="K405" s="6" t="inlineStr">
        <is>
          <t>Yerinden bir dakika ayrıldın. Geri dönemedin. Konseri tuvalet kuyruğundan dinledin.</t>
        </is>
      </c>
      <c r="L405" s="6" t="inlineStr"/>
      <c r="M405" s="5" t="inlineStr"/>
      <c r="N405" s="5" t="inlineStr"/>
      <c r="O405" s="6" t="inlineStr"/>
      <c r="P405" s="6" t="inlineStr"/>
      <c r="Q405" s="5" t="inlineStr"/>
      <c r="R405" s="5" t="inlineStr"/>
      <c r="S405" s="5" t="inlineStr"/>
      <c r="T405" s="5" t="inlineStr"/>
      <c r="U405" s="5" t="inlineStr"/>
      <c r="V405" s="5" t="inlineStr"/>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row>
    <row r="406">
      <c r="A406" s="5" t="inlineStr">
        <is>
          <t>b5-ilk-konser</t>
        </is>
      </c>
      <c r="B406" s="5" t="n">
        <v>2</v>
      </c>
      <c r="C406" s="6" t="inlineStr">
        <is>
          <t>Hepsini telefonla kaydet</t>
        </is>
      </c>
      <c r="D406" s="5" t="inlineStr"/>
      <c r="E406" s="5" t="inlineStr"/>
      <c r="F406" s="5" t="inlineStr">
        <is>
          <t>Kurnazlık +1</t>
        </is>
      </c>
      <c r="G406" s="6" t="inlineStr">
        <is>
          <t>Konserin tamamını çektin. Videoları hiç izlemedin. Konseri de izlemedin. Ama arşiv sağlam.</t>
        </is>
      </c>
      <c r="H406" s="6" t="inlineStr"/>
      <c r="I406" s="6" t="inlineStr"/>
      <c r="J406" s="6" t="inlineStr"/>
      <c r="K406" s="6" t="inlineStr"/>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row>
    <row r="407">
      <c r="A407" s="5" t="inlineStr">
        <is>
          <t>b5-ilk-konser</t>
        </is>
      </c>
      <c r="B407" s="5" t="n">
        <v>3</v>
      </c>
      <c r="C407" s="6" t="inlineStr">
        <is>
          <t>Bütün şarkılara eşlik et</t>
        </is>
      </c>
      <c r="D407" s="5" t="inlineStr">
        <is>
          <t>Pişkinlik</t>
        </is>
      </c>
      <c r="E407" s="5" t="inlineStr">
        <is>
          <t>Kolay</t>
        </is>
      </c>
      <c r="F407" s="5" t="inlineStr"/>
      <c r="G407" s="6" t="inlineStr"/>
      <c r="H407" s="6" t="inlineStr">
        <is>
          <t>Bilmediğin sözleri uydurdun. Kimse fark etmedi; herkes uyduruyordu.</t>
        </is>
      </c>
      <c r="I407" s="6" t="inlineStr">
        <is>
          <t>O kadar içten söyledin ki etrafındakiler sana eşlik etti. Senin sözlerine.</t>
        </is>
      </c>
      <c r="J407" s="6" t="inlineStr">
        <is>
          <t>Eşlik ettin. Ertesi gün sesin yoktu. İki gün mimikle anlaştın.</t>
        </is>
      </c>
      <c r="K407" s="6" t="inlineStr">
        <is>
          <t>En sessiz şarkıda, tek başına, yanlış nakaratı bağırdın. Yan sıradakiler hâlâ anlatıyor.</t>
        </is>
      </c>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row>
    <row r="408">
      <c r="A408" s="5" t="inlineStr">
        <is>
          <t>b5-ev-partisi</t>
        </is>
      </c>
      <c r="B408" s="5" t="n">
        <v>1</v>
      </c>
      <c r="C408" s="6" t="inlineStr">
        <is>
          <t>Gitme</t>
        </is>
      </c>
      <c r="D408" s="5" t="inlineStr"/>
      <c r="E408" s="5" t="inlineStr"/>
      <c r="F408" s="5" t="inlineStr">
        <is>
          <t>İtibar +1</t>
        </is>
      </c>
      <c r="G408" s="6" t="inlineStr">
        <is>
          <t>Evde kaldın. Pazartesi herkes aynı geceyi farklı anlattı. Tek güvenilir tanık sensin.</t>
        </is>
      </c>
      <c r="H408" s="6" t="inlineStr"/>
      <c r="I408" s="6" t="inlineStr"/>
      <c r="J408" s="6" t="inlineStr"/>
      <c r="K408" s="6" t="inlineStr"/>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row>
    <row r="409">
      <c r="A409" s="5" t="inlineStr">
        <is>
          <t>b5-ev-partisi</t>
        </is>
      </c>
      <c r="B409" s="5" t="n">
        <v>2</v>
      </c>
      <c r="C409" s="6" t="inlineStr">
        <is>
          <t>Git, kenarda dur</t>
        </is>
      </c>
      <c r="D409" s="5" t="inlineStr">
        <is>
          <t>Sosyal Radar</t>
        </is>
      </c>
      <c r="E409" s="5" t="inlineStr">
        <is>
          <t>Kolay</t>
        </is>
      </c>
      <c r="F409" s="5" t="inlineStr"/>
      <c r="G409" s="6" t="inlineStr"/>
      <c r="H409" s="6" t="inlineStr">
        <is>
          <t>Kimin kimle konuştuğunu not ettin. Pazartesi herkes sana soru soruyor.</t>
        </is>
      </c>
      <c r="I409" s="6" t="inlineStr">
        <is>
          <t>Aile dönmeden evi baştan sona toplattın; halıdaki lekeyi kolonyayla çıkardın. Arkadaşının annesi kapıdan girer girmez sordu: “Bu ev neden bu kadar temiz?”</t>
        </is>
      </c>
      <c r="J409" s="6" t="inlineStr">
        <is>
          <t>Kenarda durdun. Bütün fotoğraflarda arkada, elinde bir tabak cipsle varsın.</t>
        </is>
      </c>
      <c r="K409" s="6" t="inlineStr">
        <is>
          <t>Kapıya site yöneticisi geldiğinde kapıyı açan sen oldun. Tutanakta tek isim var.</t>
        </is>
      </c>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row>
    <row r="410">
      <c r="A410" s="5" t="inlineStr">
        <is>
          <t>b5-ev-partisi</t>
        </is>
      </c>
      <c r="B410" s="5" t="n">
        <v>3</v>
      </c>
      <c r="C410" s="6" t="inlineStr">
        <is>
          <t>Partinin ruhu ol</t>
        </is>
      </c>
      <c r="D410" s="5" t="inlineStr">
        <is>
          <t>Pişkinlik</t>
        </is>
      </c>
      <c r="E410" s="5" t="inlineStr">
        <is>
          <t>Zor</t>
        </is>
      </c>
      <c r="F410" s="5" t="inlineStr"/>
      <c r="G410" s="6" t="inlineStr"/>
      <c r="H410" s="6" t="inlineStr">
        <is>
          <t>Partinin ruhu oldun. Ertesi gün kimse neden bu kadar güldüğünü hatırlamıyordu. Sen dahil.</t>
        </is>
      </c>
      <c r="I410" s="6" t="inlineStr">
        <is>
          <t>Gece efsaneleşti. Mesaj grubunda hâlâ 'o gece' diye anılıyor. Ayrıntılar gizli.</t>
        </is>
      </c>
      <c r="J410" s="6" t="inlineStr">
        <is>
          <t>Ortamı ısıtmak için müziği değiştirdin. Müzik de ortam da soğudu.</t>
        </is>
      </c>
      <c r="K410" s="6" t="inlineStr">
        <is>
          <t>Dans ederken balkondaki saksıyı devirdin. Saksı alt kattaki teyzenin çamaşır sepetine indi. Pazartesi teyze çarşafları annene götürdü.</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row>
    <row r="411">
      <c r="A411" s="5" t="inlineStr">
        <is>
          <t>b5-ev-partisi</t>
        </is>
      </c>
      <c r="B411" s="5" t="n">
        <v>4</v>
      </c>
      <c r="C411" s="6" t="inlineStr">
        <is>
          <t>Komşuların kapısını sen çal</t>
        </is>
      </c>
      <c r="D411" s="5" t="inlineStr">
        <is>
          <t>İtibar</t>
        </is>
      </c>
      <c r="E411" s="5" t="inlineStr">
        <is>
          <t>Orta</t>
        </is>
      </c>
      <c r="F411" s="5" t="inlineStr"/>
      <c r="G411" s="6" t="inlineStr"/>
      <c r="H411" s="6" t="inlineStr">
        <is>
          <t>Komşuların kapısını sen çaldın, özür diledin. Cam vakasından beri bu işin uzmanısın.</t>
        </is>
      </c>
      <c r="I411" s="6" t="inlineStr">
        <is>
          <t>Alt kata bir tabak kurabiye götürdün. Parti bitmeden şikâyet geri çekildi.</t>
        </is>
      </c>
      <c r="J411" s="6" t="inlineStr">
        <is>
          <t>Komşu seni tanıdı: 'Sen o camı kıran değil misin?' Görüşme kısa sürdü.</t>
        </is>
      </c>
      <c r="K411" s="6" t="inlineStr">
        <is>
          <t>Özür dilerken komşunun kapı kolu elinde kaldı. Komşu kolu elinden aldı, sana baktı: “Cam da sendin, değil mi?”</t>
        </is>
      </c>
      <c r="L411" s="6" t="inlineStr"/>
      <c r="M411" s="5" t="inlineStr"/>
      <c r="N411" s="5" t="inlineStr"/>
      <c r="O411" s="6" t="inlineStr"/>
      <c r="P411" s="6" t="inlineStr"/>
      <c r="Q411" s="5" t="inlineStr"/>
      <c r="R411" s="5" t="inlineStr">
        <is>
          <t>camKirildi</t>
        </is>
      </c>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row>
    <row r="412">
      <c r="A412" s="5" t="inlineStr">
        <is>
          <t>b5-kurye-isi</t>
        </is>
      </c>
      <c r="B412" s="5" t="n">
        <v>1</v>
      </c>
      <c r="C412" s="6" t="inlineStr">
        <is>
          <t>Trafiğin arasından kestir</t>
        </is>
      </c>
      <c r="D412" s="5" t="inlineStr">
        <is>
          <t>Kurnazlık</t>
        </is>
      </c>
      <c r="E412" s="5" t="inlineStr">
        <is>
          <t>Zor</t>
        </is>
      </c>
      <c r="F412" s="5" t="inlineStr"/>
      <c r="G412" s="6" t="inlineStr"/>
      <c r="H412" s="6" t="inlineStr">
        <is>
          <t>Siparişi dokuz dakikada teslim ettin. Müşteri beş yıldız verdi, yoruma 'Işık hızı' yazdı.</t>
        </is>
      </c>
      <c r="I412" s="6" t="inlineStr">
        <is>
          <t>Günde yirmi teslimat yaptın. Pideci camına “Kuryemiz bir numara” yazdırdı. Ödülün bir yağmurluk ve her akşam bir kaşarlı.</t>
        </is>
      </c>
      <c r="J412" s="6" t="inlineStr">
        <is>
          <t>Kestirme çıkmaz sokak çıktı. Müşteri yemeğini ısıtarak yedi.</t>
        </is>
      </c>
      <c r="K412" s="6" t="inlineStr">
        <is>
          <t>Adresi karıştırdın. Siparişi yanlış kapıdaki teyze aldı, ödedi, yedi ve seni sofraya davet etti. Asıl müşteri hâlâ bekliyor.</t>
        </is>
      </c>
      <c r="L412" s="6" t="inlineStr">
        <is>
          <t>Zamanında vardın ama çorba ayrı bir yolculuk yaşamış. Müşteri 'Lezzetli ama eksik' yazdı.</t>
        </is>
      </c>
      <c r="M412" s="5" t="inlineStr">
        <is>
          <t>lanes</t>
        </is>
      </c>
      <c r="N412" s="5" t="inlineStr">
        <is>
          <t>Teslimat Yolu</t>
        </is>
      </c>
      <c r="O412" s="6" t="inlineStr">
        <is>
          <t>Sağa sola kay; çukurlardan, barikatlardan ve aniden açılan araba kapılarından kaç.</t>
        </is>
      </c>
      <c r="P412" s="6" t="inlineStr">
        <is>
          <t>{"obstacles": ["🚗", "🕳️", "🚧", "🐕"]}</t>
        </is>
      </c>
      <c r="Q412" s="5" t="inlineStr"/>
      <c r="R412" s="5" t="inlineStr"/>
      <c r="S412" s="5" t="inlineStr"/>
      <c r="T412" s="5" t="inlineStr">
        <is>
          <t>Kestirme Bilir</t>
        </is>
      </c>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row>
    <row r="413">
      <c r="A413" s="5" t="inlineStr">
        <is>
          <t>b5-kurye-isi</t>
        </is>
      </c>
      <c r="B413" s="5" t="n">
        <v>2</v>
      </c>
      <c r="C413" s="6" t="inlineStr">
        <is>
          <t>Kurallara uyarak git</t>
        </is>
      </c>
      <c r="D413" s="5" t="inlineStr"/>
      <c r="E413" s="5" t="inlineStr"/>
      <c r="F413" s="5" t="inlineStr">
        <is>
          <t>İtibar +1</t>
        </is>
      </c>
      <c r="G413" s="6" t="inlineStr">
        <is>
          <t>Her kırmızıda durdun. Sipariş on dakika geç ulaştı. Müşteri iki yıldız verdi, yoruma 'Kurallara uymuş' yazdı.</t>
        </is>
      </c>
      <c r="H413" s="6" t="inlineStr"/>
      <c r="I413" s="6" t="inlineStr"/>
      <c r="J413" s="6" t="inlineStr"/>
      <c r="K413" s="6" t="inlineStr"/>
      <c r="L413" s="6" t="inlineStr"/>
      <c r="M413" s="5" t="inlineStr"/>
      <c r="N413" s="5" t="inlineStr"/>
      <c r="O413" s="6" t="inlineStr"/>
      <c r="P413" s="6" t="inlineStr"/>
      <c r="Q413" s="5" t="inlineStr"/>
      <c r="R413" s="5" t="inlineStr"/>
      <c r="S413" s="5" t="inlineStr"/>
      <c r="T413" s="5" t="inlineStr"/>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row>
    <row r="414">
      <c r="A414" s="5" t="inlineStr">
        <is>
          <t>b5-kurye-isi</t>
        </is>
      </c>
      <c r="B414" s="5" t="n">
        <v>3</v>
      </c>
      <c r="C414" s="6" t="inlineStr">
        <is>
          <t>Kapıda sohbet et, bahşiş kap</t>
        </is>
      </c>
      <c r="D414" s="5" t="inlineStr">
        <is>
          <t>Çene</t>
        </is>
      </c>
      <c r="E414" s="5" t="inlineStr">
        <is>
          <t>Kolay</t>
        </is>
      </c>
      <c r="F414" s="5" t="inlineStr"/>
      <c r="G414" s="6" t="inlineStr"/>
      <c r="H414" s="6" t="inlineStr">
        <is>
          <t>Kapıda iki cümle kurdun, bahşiş geldi. Kurye değil, halkla ilişkiler uzmanısın.</t>
        </is>
      </c>
      <c r="I414" s="6" t="inlineStr">
        <is>
          <t>Bir teyze her akşam aynı saatte sipariş verip seni soruyor. Yemeği değil, seni bekliyor; bahşişin yanına bir de kurabiye koyuyor.</t>
        </is>
      </c>
      <c r="J414" s="6" t="inlineStr">
        <is>
          <t>Sohbet ettin. Müşteri kapıyı kapattı. Bahşişi 'teşekkürler' olarak ödedi.</t>
        </is>
      </c>
      <c r="K414" s="6" t="inlineStr">
        <is>
          <t>Kapıda sohbet uzadı; sıradaki üç sipariş soğudu. Pideci üçünü yeniden yaptı, parasını haftalığından kesti.</t>
        </is>
      </c>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row>
    <row r="415">
      <c r="A415" s="5" t="inlineStr">
        <is>
          <t>b5-ozel-ders</t>
        </is>
      </c>
      <c r="B415" s="5" t="n">
        <v>1</v>
      </c>
      <c r="C415" s="6" t="inlineStr">
        <is>
          <t>Her dakikayı değerlendir</t>
        </is>
      </c>
      <c r="D415" s="5" t="inlineStr">
        <is>
          <t>Akıl</t>
        </is>
      </c>
      <c r="E415" s="5" t="inlineStr">
        <is>
          <t>Orta</t>
        </is>
      </c>
      <c r="F415" s="5" t="inlineStr"/>
      <c r="G415" s="6" t="inlineStr"/>
      <c r="H415" s="6" t="inlineStr">
        <is>
          <t>Her ders dolu geçti. Matematik notun iki basamak arttı. Annenin montu yolda.</t>
        </is>
      </c>
      <c r="I415" s="6" t="inlineStr">
        <is>
          <t>Öğretmen üçüncü derste 'Ben sana artık ne anlatayım?' dedi. Kalan dersler iptal edildi.</t>
        </is>
      </c>
      <c r="J415" s="6" t="inlineStr">
        <is>
          <t>Dersler iyi geçti. Sınavda çalıştığın konudan tek soru gelmedi.</t>
        </is>
      </c>
      <c r="K415" s="6" t="inlineStr">
        <is>
          <t>Bir ay sonra öğretmen yanlış müfredattan anlattığını fark etti. Özür diledi, ücreti almayı ihmal etmedi.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row>
    <row r="416">
      <c r="A416" s="5" t="inlineStr">
        <is>
          <t>b5-ozel-ders</t>
        </is>
      </c>
      <c r="B416" s="5" t="n">
        <v>2</v>
      </c>
      <c r="C416" s="6" t="inlineStr">
        <is>
          <t>Öğretmeni sohbete boğ</t>
        </is>
      </c>
      <c r="D416" s="5" t="inlineStr">
        <is>
          <t>Çene</t>
        </is>
      </c>
      <c r="E416" s="5" t="inlineStr">
        <is>
          <t>Orta</t>
        </is>
      </c>
      <c r="F416" s="5" t="inlineStr"/>
      <c r="G416" s="6" t="inlineStr"/>
      <c r="H416" s="6" t="inlineStr">
        <is>
          <t>Sohbet arasında öğretmen hayatta işe yarayacak üç formül verdi. Hiçbiri sınavda yok.</t>
        </is>
      </c>
      <c r="I416" s="6" t="inlineStr">
        <is>
          <t>O kadar iyi anlaştınız ki üçüncü aydan sonra ücret almadı: 'Sen benim öğrencimsin.'</t>
        </is>
      </c>
      <c r="J416" s="6" t="inlineStr">
        <is>
          <t>Ailen ders sonrası 'Ne öğrendin?' diye sordu. Öğretmenin kedisinin adını söyledin.</t>
        </is>
      </c>
      <c r="K416" s="6" t="inlineStr">
        <is>
          <t>Ders saati öğretmenin tatil fotoğraflarıyla doldu. Çıkarken annene “Çok cevval bir çocuk” dedi; annen dersleri haftada ikiye çıkardı.</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row>
    <row r="417">
      <c r="A417" s="5" t="inlineStr">
        <is>
          <t>b5-ozel-ders</t>
        </is>
      </c>
      <c r="B417" s="5" t="n">
        <v>3</v>
      </c>
      <c r="C417" s="6" t="inlineStr">
        <is>
          <t>Dersleri iptal ettir</t>
        </is>
      </c>
      <c r="D417" s="5" t="inlineStr"/>
      <c r="E417" s="5" t="inlineStr"/>
      <c r="F417" s="5" t="inlineStr">
        <is>
          <t>Pişkinlik +1</t>
        </is>
      </c>
      <c r="G417" s="6" t="inlineStr">
        <is>
          <t>Dersi bırakmak istediğini söyledin. İptal edildi. Tasarruf edilen para ertesi gün başka bir özel derse yatırıldı.</t>
        </is>
      </c>
      <c r="H417" s="6" t="inlineStr"/>
      <c r="I417" s="6" t="inlineStr"/>
      <c r="J417" s="6" t="inlineStr"/>
      <c r="K417" s="6" t="inlineStr"/>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row>
    <row r="418">
      <c r="A418" s="5" t="inlineStr">
        <is>
          <t>b5-rehberlik</t>
        </is>
      </c>
      <c r="B418" s="5" t="n">
        <v>1</v>
      </c>
      <c r="C418" s="6" t="inlineStr">
        <is>
          <t>Sonucu kabul et</t>
        </is>
      </c>
      <c r="D418" s="5" t="inlineStr"/>
      <c r="E418" s="5" t="inlineStr"/>
      <c r="F418" s="5" t="inlineStr">
        <is>
          <t>Dayanıklılık +1</t>
        </is>
      </c>
      <c r="G418" s="6" t="inlineStr">
        <is>
          <t>Sonucu kabul ettin. Rehber öğretmen eline bir denizcilik broşürü tutuşturdu. Yüzme bilip bilmediğini sormadı; sen de söylemedin.</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row>
    <row r="419">
      <c r="A419" s="5" t="inlineStr">
        <is>
          <t>b5-rehberlik</t>
        </is>
      </c>
      <c r="B419" s="5" t="n">
        <v>2</v>
      </c>
      <c r="C419" s="6" t="inlineStr">
        <is>
          <t>Testi yeniden al</t>
        </is>
      </c>
      <c r="D419" s="5" t="inlineStr">
        <is>
          <t>Akıl</t>
        </is>
      </c>
      <c r="E419" s="5" t="inlineStr">
        <is>
          <t>Orta</t>
        </is>
      </c>
      <c r="F419" s="5" t="inlineStr"/>
      <c r="G419" s="6" t="inlineStr"/>
      <c r="H419" s="6" t="inlineStr">
        <is>
          <t>Dikkatle yeniden aldın. Yeni sonuç: mühendis. Ailen sonucu çerçeveletti.</t>
        </is>
      </c>
      <c r="I419" s="6" t="inlineStr">
        <is>
          <t>Sonuç tam hayal ettiğin meslek çıktı. Rehber öğretmen üçüncü kez almanı önermedi.</t>
        </is>
      </c>
      <c r="J419" s="6" t="inlineStr">
        <is>
          <t>Yeniden aldın. Sonuç: deniz feneri bekçisi yardımcısı.</t>
        </is>
      </c>
      <c r="K419" s="6" t="inlineStr">
        <is>
          <t>Testi üçüncü kez aldın. Rehber öğretmen seni “kararsız” diye not etti ve her hafta çağırmaya başladı. Hâlâ gidiyorsun; artık çayını da içiyorsun.</t>
        </is>
      </c>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row>
    <row r="420">
      <c r="A420" s="5" t="inlineStr">
        <is>
          <t>b5-rehberlik</t>
        </is>
      </c>
      <c r="B420" s="5" t="n">
        <v>3</v>
      </c>
      <c r="C420" s="6" t="inlineStr">
        <is>
          <t>Rehber öğretmenle gerçekten konuş</t>
        </is>
      </c>
      <c r="D420" s="5" t="inlineStr">
        <is>
          <t>Sosyal Radar</t>
        </is>
      </c>
      <c r="E420" s="5" t="inlineStr">
        <is>
          <t>Kolay</t>
        </is>
      </c>
      <c r="F420" s="5" t="inlineStr"/>
      <c r="G420" s="6" t="inlineStr"/>
      <c r="H420" s="6" t="inlineStr">
        <is>
          <t>Testi bir kenara bıraktınız. Kırk dakika sonra ilk kez kendi cevabını duydun.</t>
        </is>
      </c>
      <c r="I420" s="6" t="inlineStr">
        <is>
          <t>Öğretmen dosyana 'Ne istediğini biliyor' yazdı. Ailen dosyayı gördü, ilk kez itiraz etmedi.</t>
        </is>
      </c>
      <c r="J420" s="6" t="inlineStr">
        <is>
          <t>Sohbet güzel geçti. Sonunda öğretmen seni testi yeniden almaya ikna etti.</t>
        </is>
      </c>
      <c r="K420" s="6" t="inlineStr">
        <is>
          <t>Sohbet öğretmenin kendi kariyer pişmanlıklarına döndü. Seansın sonunda sen onu teselli ettin.</t>
        </is>
      </c>
      <c r="L420" s="6" t="inlineStr"/>
      <c r="M420" s="5" t="inlineStr"/>
      <c r="N420" s="5" t="inlineStr"/>
      <c r="O420" s="6" t="inlineStr"/>
      <c r="P420" s="6" t="inlineStr"/>
      <c r="Q420" s="5" t="inlineStr">
        <is>
          <t>Odayı Okur</t>
        </is>
      </c>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row>
    <row r="421">
      <c r="A421" s="5" t="inlineStr">
        <is>
          <t>b5-telefon-detoksu</t>
        </is>
      </c>
      <c r="B421" s="5" t="n">
        <v>1</v>
      </c>
      <c r="C421" s="6" t="inlineStr">
        <is>
          <t>Kabul et, çalış</t>
        </is>
      </c>
      <c r="D421" s="5" t="inlineStr"/>
      <c r="E421" s="5" t="inlineStr"/>
      <c r="F421" s="5" t="inlineStr">
        <is>
          <t>Akıl +1, Dayanıklılık +1</t>
        </is>
      </c>
      <c r="G421" s="6" t="inlineStr">
        <is>
          <t>İki ay telefonsuz geçti. Dünyada ne olduğunu bilmiyorsun ama trigonometriyi biliyorsun.</t>
        </is>
      </c>
      <c r="H421" s="6" t="inlineStr"/>
      <c r="I421" s="6" t="inlineStr"/>
      <c r="J421" s="6" t="inlineStr"/>
      <c r="K421" s="6" t="inlineStr"/>
      <c r="L421" s="6" t="inlineStr"/>
      <c r="M421" s="5" t="inlineStr"/>
      <c r="N421" s="5" t="inlineStr"/>
      <c r="O421" s="6" t="inlineStr"/>
      <c r="P421" s="6" t="inlineStr"/>
      <c r="Q421" s="5" t="inlineStr"/>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row>
    <row r="422">
      <c r="A422" s="5" t="inlineStr">
        <is>
          <t>b5-telefon-detoksu</t>
        </is>
      </c>
      <c r="B422" s="5" t="n">
        <v>2</v>
      </c>
      <c r="C422" s="6" t="inlineStr">
        <is>
          <t>Akşamları bir saat için pazarlık et</t>
        </is>
      </c>
      <c r="D422" s="5" t="inlineStr">
        <is>
          <t>Çene</t>
        </is>
      </c>
      <c r="E422" s="5" t="inlineStr">
        <is>
          <t>Orta</t>
        </is>
      </c>
      <c r="F422" s="5" t="inlineStr"/>
      <c r="G422" s="6" t="inlineStr"/>
      <c r="H422" s="6" t="inlineStr">
        <is>
          <t>Akşam bir saat için anlaştınız. Saat dolunca telefon teslim; tutanaksız ama saygılı.</t>
        </is>
      </c>
      <c r="I422" s="6" t="inlineStr">
        <is>
          <t>Sözleşmeye 'hafta sonu tam gün' maddesi ekletmeyi başardın. Aile hukukunda bir ilk.</t>
        </is>
      </c>
      <c r="J422" s="6" t="inlineStr">
        <is>
          <t>Bir saati aldın. Süre bitince alarm çaldı. Alarm babanın telefonuna kurulmuş.</t>
        </is>
      </c>
      <c r="K422" s="6" t="inlineStr">
        <is>
          <t>Pazarlık uzadı. Tablet ve bilgisayar da emanete alındı. Odanda bir masa, bir kitap ve sen kaldınız.</t>
        </is>
      </c>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row>
    <row r="423">
      <c r="A423" s="5" t="inlineStr">
        <is>
          <t>b5-telefon-detoksu</t>
        </is>
      </c>
      <c r="B423" s="5" t="n">
        <v>3</v>
      </c>
      <c r="C423" s="6" t="inlineStr">
        <is>
          <t>Anahtarı bul</t>
        </is>
      </c>
      <c r="D423" s="5" t="inlineStr">
        <is>
          <t>Kurnazlık</t>
        </is>
      </c>
      <c r="E423" s="5" t="inlineStr">
        <is>
          <t>Orta</t>
        </is>
      </c>
      <c r="F423" s="5" t="inlineStr"/>
      <c r="G423" s="6" t="inlineStr"/>
      <c r="H423" s="6" t="inlineStr">
        <is>
          <t>Gece yarısı telefonu aldın, sabahtan önce geri koydun. Ekmek dolabı sırrını korudu.</t>
        </is>
      </c>
      <c r="I423" s="6" t="inlineStr">
        <is>
          <t>İki ay boyunca her gece bir saat telefon, her sabah ders. Kimse fark etmedi. Annen yalnızca ekmeklerin neden hep ezik olduğunu anlamadı.</t>
        </is>
      </c>
      <c r="J423" s="6" t="inlineStr">
        <is>
          <t>Anahtarı buldun. Çekmecede telefon yoktu. Annen bir adım öndeydi.</t>
        </is>
      </c>
      <c r="K423" s="6" t="inlineStr">
        <is>
          <t>Anahtarı alırken ekmek poşetini hışırdattın. Gece üçte bütün aile mutfakta seni bekliyordu.</t>
        </is>
      </c>
      <c r="L423" s="6" t="inlineStr">
        <is>
          <t>Telefonu aldın ama geri koyarken çekmece gıcırdadı. Sabah baban çekmeceyi yağladı; tek kelime etmeden.</t>
        </is>
      </c>
      <c r="M423" s="5" t="inlineStr">
        <is>
          <t>poker</t>
        </is>
      </c>
      <c r="N423" s="5" t="inlineStr">
        <is>
          <t>Gece Yarısı Mutfak</t>
        </is>
      </c>
      <c r="O423" s="6" t="inlineStr">
        <is>
          <t>Parmağını dairenin içinde tut; ses çıkarma, ekmek poşetine dokunma.</t>
        </is>
      </c>
      <c r="P423" s="6" t="inlineStr"/>
      <c r="Q423" s="5" t="inlineStr"/>
      <c r="R423" s="5" t="inlineStr"/>
      <c r="S423" s="5" t="inlineStr">
        <is>
          <t>Kurnazlık</t>
        </is>
      </c>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row>
    <row r="424">
      <c r="A424" s="5" t="inlineStr">
        <is>
          <t>b5-universite-sinavi</t>
        </is>
      </c>
      <c r="B424" s="5" t="n">
        <v>1</v>
      </c>
      <c r="C424" s="6" t="inlineStr">
        <is>
          <t>Soruları sırayla çöz</t>
        </is>
      </c>
      <c r="D424" s="5" t="inlineStr">
        <is>
          <t>Akıl</t>
        </is>
      </c>
      <c r="E424" s="5" t="inlineStr">
        <is>
          <t>Orta</t>
        </is>
      </c>
      <c r="F424" s="5" t="inlineStr"/>
      <c r="G424" s="6" t="inlineStr"/>
      <c r="H424" s="6" t="inlineStr">
        <is>
          <t>Sabırla çözdün. Sonuçlar açıklandı: üniversiteye girdin. Aile grubu üç saat boyunca tebrik yağdırdı.</t>
        </is>
      </c>
      <c r="I424" s="6" t="inlineStr">
        <is>
          <t>Derece yaptın. Dershane seni afişe bastı, okul da bastı. Annen iki afişin de fotoğrafını çekti.</t>
        </is>
      </c>
      <c r="J424" s="6" t="inlineStr">
        <is>
          <t>Puanın hiçbir yere yetmedi. Ailen 'Seneye' dedi. Kelime evde yankılanıyor.</t>
        </is>
      </c>
      <c r="K424" s="6" t="inlineStr">
        <is>
          <t>Optik formu bir satır kaydırarak doldurdun. Cevaplar doğru, kutular yanlış. Tarihin en bilgili sıfırı.</t>
        </is>
      </c>
      <c r="L424" s="6" t="inlineStr"/>
      <c r="M424" s="5" t="inlineStr"/>
      <c r="N424" s="5" t="inlineStr"/>
      <c r="O424" s="6" t="inlineStr"/>
      <c r="P424" s="6" t="inlineStr"/>
      <c r="Q424" s="5" t="inlineStr"/>
      <c r="R424" s="5" t="inlineStr"/>
      <c r="S424" s="5" t="inlineStr"/>
      <c r="T424" s="5" t="inlineStr"/>
      <c r="U424" s="5" t="inlineStr"/>
      <c r="V424" s="5" t="inlineStr">
        <is>
          <t>universiteli</t>
        </is>
      </c>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row>
    <row r="425">
      <c r="A425" s="5" t="inlineStr">
        <is>
          <t>b5-universite-sinavi</t>
        </is>
      </c>
      <c r="B425" s="5" t="n">
        <v>2</v>
      </c>
      <c r="C425" s="6" t="inlineStr">
        <is>
          <t>Eleyerek tahmin et, boş bırakma</t>
        </is>
      </c>
      <c r="D425" s="5" t="inlineStr">
        <is>
          <t>Kurnazlık</t>
        </is>
      </c>
      <c r="E425" s="5" t="inlineStr">
        <is>
          <t>Zor</t>
        </is>
      </c>
      <c r="F425" s="5" t="inlineStr"/>
      <c r="G425" s="6" t="inlineStr"/>
      <c r="H425" s="6" t="inlineStr">
        <is>
          <t>Bilmediklerini eleyerek tahmin ettin. İstatistik lehine çalıştı: üniversitelisin.</t>
        </is>
      </c>
      <c r="I425" s="6" t="inlineStr">
        <is>
          <t>Tahminlerinin çoğu tuttu. Puanın, bir yıl gece gündüz çalışan kuzenininkini geçti. Bu konu bayramlarda açılmayacak.</t>
        </is>
      </c>
      <c r="J425" s="6" t="inlineStr">
        <is>
          <t>Olasılık hesabı bu yıl karşı taraftaydı. Puanın barajın bir tık altında.</t>
        </is>
      </c>
      <c r="K425" s="6" t="inlineStr">
        <is>
          <t>Bütün tahminleri 'C' yaptın. Bu yıl cevap anahtarında en az 'C' vardı.</t>
        </is>
      </c>
      <c r="L425" s="6" t="inlineStr"/>
      <c r="M425" s="5" t="inlineStr"/>
      <c r="N425" s="5" t="inlineStr"/>
      <c r="O425" s="6" t="inlineStr"/>
      <c r="P425" s="6" t="inlineStr"/>
      <c r="Q425" s="5" t="inlineStr"/>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c r="AI425" s="5" t="inlineStr"/>
    </row>
    <row r="426">
      <c r="A426" s="5" t="inlineStr">
        <is>
          <t>b5-universite-sinavi</t>
        </is>
      </c>
      <c r="B426" s="5" t="n">
        <v>3</v>
      </c>
      <c r="C426" s="6" t="inlineStr">
        <is>
          <t>Lisenin birikimine güven</t>
        </is>
      </c>
      <c r="D426" s="5" t="inlineStr">
        <is>
          <t>Akıl</t>
        </is>
      </c>
      <c r="E426" s="5" t="inlineStr">
        <is>
          <t>Kolay</t>
        </is>
      </c>
      <c r="F426" s="5" t="inlineStr"/>
      <c r="G426" s="6" t="inlineStr"/>
      <c r="H426" s="6" t="inlineStr">
        <is>
          <t>İyi bir lisedeki dört yıl boşa gitmemiş. Üniversiteye girdin; sakin ve beklendiği gibi.</t>
        </is>
      </c>
      <c r="I426" s="6" t="inlineStr">
        <is>
          <t>Süre bitmeden çıktın. Kapıda bekleyen annen “Bıraktın mı?” diye ağlamaya başladı. Bırakmamıştın; ilk tercihine yerleştin.</t>
        </is>
      </c>
      <c r="J426" s="6" t="inlineStr">
        <is>
          <t>Birikime güvendin. Birikim dört yıl önce kalmış. Puan yetmedi.</t>
        </is>
      </c>
      <c r="K426" s="6" t="inlineStr">
        <is>
          <t>Fazla rahattın; kimliğini evde unuttun. Annen koşarak getirdiğinde kapılar kapanmıştı.</t>
        </is>
      </c>
      <c r="L426" s="6" t="inlineStr"/>
      <c r="M426" s="5" t="inlineStr"/>
      <c r="N426" s="5" t="inlineStr"/>
      <c r="O426" s="6" t="inlineStr"/>
      <c r="P426" s="6" t="inlineStr"/>
      <c r="Q426" s="5" t="inlineStr"/>
      <c r="R426" s="5" t="inlineStr">
        <is>
          <t>iyi-lise</t>
        </is>
      </c>
      <c r="S426" s="5" t="inlineStr"/>
      <c r="T426" s="5" t="inlineStr"/>
      <c r="U426" s="5" t="inlineStr"/>
      <c r="V426" s="5" t="inlineStr">
        <is>
          <t>universiteli</t>
        </is>
      </c>
      <c r="W426" s="5" t="inlineStr"/>
      <c r="X426" s="5" t="inlineStr"/>
      <c r="Y426" s="5" t="inlineStr"/>
      <c r="Z426" s="6" t="inlineStr"/>
      <c r="AA426" s="5" t="inlineStr"/>
      <c r="AB426" s="5" t="inlineStr"/>
      <c r="AC426" s="5" t="inlineStr"/>
      <c r="AD426" s="5" t="inlineStr"/>
      <c r="AE426" s="5" t="inlineStr"/>
      <c r="AF426" s="5" t="inlineStr"/>
      <c r="AG426" s="5" t="inlineStr"/>
      <c r="AH426" s="5" t="inlineStr"/>
      <c r="AI426" s="5" t="inlineStr"/>
    </row>
    <row r="427">
      <c r="A427" s="5" t="inlineStr">
        <is>
          <t>b5-universite-sinavi</t>
        </is>
      </c>
      <c r="B427" s="5" t="n">
        <v>4</v>
      </c>
      <c r="C427" s="6" t="inlineStr">
        <is>
          <t>Deneme tecrübene yaslan</t>
        </is>
      </c>
      <c r="D427" s="5" t="inlineStr">
        <is>
          <t>Dayanıklılık</t>
        </is>
      </c>
      <c r="E427" s="5" t="inlineStr">
        <is>
          <t>Kolay</t>
        </is>
      </c>
      <c r="F427" s="5" t="inlineStr"/>
      <c r="G427" s="6" t="inlineStr"/>
      <c r="H427" s="6" t="inlineStr">
        <is>
          <t>Yüzlerce denemeden sonra bu sadece bir tane daha. Rahatça çözdün; üniversitelisin.</t>
        </is>
      </c>
      <c r="I427" s="6" t="inlineStr">
        <is>
          <t>Denemelerdeki en yüksek puanını geçtin. Dershane seni broşürüne 'başarı hikâyesi' olarak aldı.</t>
        </is>
      </c>
      <c r="J427" s="6" t="inlineStr">
        <is>
          <t>Denemelerde hep iyiydin. Sınav, deneme olmadığını hatırlattı.</t>
        </is>
      </c>
      <c r="K427" s="6" t="inlineStr">
        <is>
          <t>Denemelerdeki alışkanlıkla son yarım saati kontrole ayırdın. Doğru cevaplarından on ikisini yanlışla değiştirdin. Puan yetmedi.</t>
        </is>
      </c>
      <c r="L427" s="6" t="inlineStr"/>
      <c r="M427" s="5" t="inlineStr"/>
      <c r="N427" s="5" t="inlineStr"/>
      <c r="O427" s="6" t="inlineStr"/>
      <c r="P427" s="6" t="inlineStr"/>
      <c r="Q427" s="5" t="inlineStr">
        <is>
          <t>Deneme Kurdu</t>
        </is>
      </c>
      <c r="R427" s="5" t="inlineStr"/>
      <c r="S427" s="5" t="inlineStr"/>
      <c r="T427" s="5" t="inlineStr"/>
      <c r="U427" s="5" t="inlineStr"/>
      <c r="V427" s="5" t="inlineStr">
        <is>
          <t>universiteli</t>
        </is>
      </c>
      <c r="W427" s="5" t="inlineStr"/>
      <c r="X427" s="5" t="inlineStr"/>
      <c r="Y427" s="5" t="inlineStr"/>
      <c r="Z427" s="6" t="inlineStr"/>
      <c r="AA427" s="5" t="inlineStr"/>
      <c r="AB427" s="5" t="inlineStr"/>
      <c r="AC427" s="5" t="inlineStr"/>
      <c r="AD427" s="5" t="inlineStr"/>
      <c r="AE427" s="5" t="inlineStr"/>
      <c r="AF427" s="5" t="inlineStr"/>
      <c r="AG427" s="5" t="inlineStr"/>
      <c r="AH427" s="5" t="inlineStr"/>
      <c r="AI427" s="5" t="inlineStr"/>
    </row>
    <row r="428">
      <c r="A428" s="5" t="inlineStr">
        <is>
          <t>b5-universite-sinavi</t>
        </is>
      </c>
      <c r="B428" s="5" t="n">
        <v>5</v>
      </c>
      <c r="C428" s="6" t="inlineStr">
        <is>
          <t>Sınava girme, hemen çalışmaya başla</t>
        </is>
      </c>
      <c r="D428" s="5" t="inlineStr"/>
      <c r="E428" s="5" t="inlineStr"/>
      <c r="F428" s="5" t="inlineStr">
        <is>
          <t>Cesaret +1, Dayanıklılık +1</t>
        </is>
      </c>
      <c r="G428" s="6" t="inlineStr">
        <is>
          <t>Sınava girmedin; ertesi sabah bir işe başladın. Ailen buna 'ara yıl' dedi. Sen 'maaş' dedin.</t>
        </is>
      </c>
      <c r="H428" s="6" t="inlineStr"/>
      <c r="I428" s="6" t="inlineStr"/>
      <c r="J428" s="6" t="inlineStr"/>
      <c r="K428" s="6" t="inlineStr"/>
      <c r="L428" s="6" t="inlineStr"/>
      <c r="M428" s="5" t="inlineStr"/>
      <c r="N428" s="5" t="inlineStr"/>
      <c r="O428" s="6" t="inlineStr"/>
      <c r="P428" s="6" t="inlineStr"/>
      <c r="Q428" s="5" t="inlineStr"/>
      <c r="R428" s="5" t="inlineStr"/>
      <c r="S428" s="5" t="inlineStr"/>
      <c r="T428" s="5" t="inlineStr"/>
      <c r="U428" s="5" t="inlineStr">
        <is>
          <t>sinava-girmedi</t>
        </is>
      </c>
      <c r="V428" s="5" t="inlineStr"/>
      <c r="W428" s="5" t="inlineStr"/>
      <c r="X428" s="5" t="inlineStr"/>
      <c r="Y428" s="5" t="inlineStr"/>
      <c r="Z428" s="6" t="inlineStr"/>
      <c r="AA428" s="5" t="inlineStr">
        <is>
          <t>Erdem -1, Tan -1, Keskin +1, Yalçın +1</t>
        </is>
      </c>
      <c r="AB428" s="5" t="inlineStr"/>
      <c r="AC428" s="5" t="inlineStr"/>
      <c r="AD428" s="5" t="inlineStr"/>
      <c r="AE428" s="5" t="inlineStr"/>
      <c r="AF428" s="5" t="inlineStr"/>
      <c r="AG428" s="5" t="inlineStr"/>
      <c r="AH428" s="5" t="inlineStr"/>
      <c r="AI428" s="5" t="inlineStr"/>
    </row>
    <row r="429">
      <c r="A429" s="5" t="inlineStr">
        <is>
          <t>b5-universite-sinavi</t>
        </is>
      </c>
      <c r="B429" s="5" t="n">
        <v>6</v>
      </c>
      <c r="C429" s="6" t="inlineStr">
        <is>
          <t>Öte Diyar'daki üniversiteye başvur</t>
        </is>
      </c>
      <c r="D429" s="5" t="inlineStr">
        <is>
          <t>Akıl</t>
        </is>
      </c>
      <c r="E429" s="5" t="inlineStr">
        <is>
          <t>Zor</t>
        </is>
      </c>
      <c r="F429" s="5" t="inlineStr"/>
      <c r="G429" s="6" t="inlineStr"/>
      <c r="H429" s="6" t="inlineStr">
        <is>
          <t>Öte Diyar'dan kabul mektubu geldi. Aile grubunda üç kişi mektubu tercüme etmeye çalıştı; dördüncüsü sadece “Gözümüz aydın” yazdı.</t>
        </is>
      </c>
      <c r="I429" s="6" t="inlineStr">
        <is>
          <t>Kabulle birlikte burs da geldi. Ailen hesap makinesini kapattı, bavulu açtı.</t>
        </is>
      </c>
      <c r="J429" s="6" t="inlineStr">
        <is>
          <t>Başvurunu gönderdin; cevap Öte Diyar dilinde bir “maalesef” oldu. Tercümeye gerek yoktu.</t>
        </is>
      </c>
      <c r="K429" s="6" t="inlineStr">
        <is>
          <t>Başvuru ücretini ödedin, belgeleri gönderdin. Belgelerin Öte Diyar'a değil, komşu ülkeye gitmiş.</t>
        </is>
      </c>
      <c r="L429" s="6" t="inlineStr"/>
      <c r="M429" s="5" t="inlineStr"/>
      <c r="N429" s="5" t="inlineStr"/>
      <c r="O429" s="6" t="inlineStr"/>
      <c r="P429" s="6" t="inlineStr"/>
      <c r="Q429" s="5" t="inlineStr"/>
      <c r="R429" s="5" t="inlineStr">
        <is>
          <t>yurt-disi-hayali</t>
        </is>
      </c>
      <c r="S429" s="5" t="inlineStr"/>
      <c r="T429" s="5" t="inlineStr"/>
      <c r="U429" s="5" t="inlineStr"/>
      <c r="V429" s="5" t="inlineStr">
        <is>
          <t>yurtdisi-universite</t>
        </is>
      </c>
      <c r="W429" s="5" t="inlineStr"/>
      <c r="X429" s="5" t="inlineStr"/>
      <c r="Y429" s="5" t="inlineStr"/>
      <c r="Z429" s="6" t="inlineStr"/>
      <c r="AA429" s="5" t="inlineStr">
        <is>
          <t>Varlı +1, Şen -1, Yalçın -1</t>
        </is>
      </c>
      <c r="AB429" s="5" t="inlineStr"/>
      <c r="AC429" s="5" t="inlineStr"/>
      <c r="AD429" s="5" t="inlineStr"/>
      <c r="AE429" s="5" t="inlineStr"/>
      <c r="AF429" s="5" t="inlineStr"/>
      <c r="AG429" s="5" t="inlineStr"/>
      <c r="AH429" s="5" t="inlineStr"/>
      <c r="AI429" s="5" t="inlineStr"/>
    </row>
    <row r="430">
      <c r="A430" s="5" t="inlineStr">
        <is>
          <t>b5-mezuniyet-balosu</t>
        </is>
      </c>
      <c r="B430" s="5" t="n">
        <v>1</v>
      </c>
      <c r="C430" s="6" t="inlineStr">
        <is>
          <t>Masada otur, fotoğraflara gülümse</t>
        </is>
      </c>
      <c r="D430" s="5" t="inlineStr"/>
      <c r="E430" s="5" t="inlineStr"/>
      <c r="F430" s="5" t="inlineStr">
        <is>
          <t>Sosyal Radar +1</t>
        </is>
      </c>
      <c r="G430" s="6" t="inlineStr">
        <is>
          <t>Bütün gece masada oturdun. Yıllıktaki fotoğrafların hepsinde karenin kenarında gülümseyen sensin.</t>
        </is>
      </c>
      <c r="H430" s="6" t="inlineStr"/>
      <c r="I430" s="6" t="inlineStr"/>
      <c r="J430" s="6" t="inlineStr"/>
      <c r="K430" s="6" t="inlineStr"/>
      <c r="L430" s="6" t="inlineStr"/>
      <c r="M430" s="5" t="inlineStr"/>
      <c r="N430" s="5" t="inlineStr"/>
      <c r="O430" s="6" t="inlineStr"/>
      <c r="P430" s="6" t="inlineStr"/>
      <c r="Q430" s="5" t="inlineStr"/>
      <c r="R430" s="5" t="inlineStr"/>
      <c r="S430" s="5" t="inlineStr"/>
      <c r="T430" s="5" t="inlineStr"/>
      <c r="U430" s="5" t="inlineStr"/>
      <c r="V430" s="5" t="inlineStr"/>
      <c r="W430" s="5" t="inlineStr"/>
      <c r="X430" s="5" t="inlineStr"/>
      <c r="Y430" s="5" t="inlineStr"/>
      <c r="Z430" s="6" t="inlineStr"/>
      <c r="AA430" s="5" t="inlineStr"/>
      <c r="AB430" s="5" t="inlineStr"/>
      <c r="AC430" s="5" t="inlineStr"/>
      <c r="AD430" s="5" t="inlineStr"/>
      <c r="AE430" s="5" t="inlineStr"/>
      <c r="AF430" s="5" t="inlineStr"/>
      <c r="AG430" s="5" t="inlineStr"/>
      <c r="AH430" s="5" t="inlineStr"/>
      <c r="AI430" s="5" t="inlineStr"/>
    </row>
    <row r="431">
      <c r="A431" s="5" t="inlineStr">
        <is>
          <t>b5-mezuniyet-balosu</t>
        </is>
      </c>
      <c r="B431" s="5" t="n">
        <v>2</v>
      </c>
      <c r="C431" s="6" t="inlineStr">
        <is>
          <t>İlk dansı başlat</t>
        </is>
      </c>
      <c r="D431" s="5" t="inlineStr">
        <is>
          <t>Cesaret</t>
        </is>
      </c>
      <c r="E431" s="5" t="inlineStr">
        <is>
          <t>Zor</t>
        </is>
      </c>
      <c r="F431" s="5" t="inlineStr"/>
      <c r="G431" s="6" t="inlineStr"/>
      <c r="H431" s="6" t="inlineStr">
        <is>
          <t>Piste ilk sen çıktın. Otuz saniye yalnız dans ettin, sonra herkes geldi. O otuz saniyeyi hiç unutmayacaksın.</t>
        </is>
      </c>
      <c r="I431" s="6" t="inlineStr">
        <is>
          <t>Pisti açtın, öğretmenler bile dans etti. Müdür yardımcısının figürleri artık okul efsanesi.</t>
        </is>
      </c>
      <c r="J431" s="6" t="inlineStr">
        <is>
          <t>Piste çıktın, şarkı bitti. Sessizlikte pistin ortasında yalnızdın.</t>
        </is>
      </c>
      <c r="K431" s="6" t="inlineStr">
        <is>
          <t>Piste çıkarken kaydın ve pasta masasına kadar gittin. Balo fotoğraflarının yarısında pastayla birliktesin.</t>
        </is>
      </c>
      <c r="L431" s="6" t="inlineStr">
        <is>
          <t>Ritmi yarıda kaçırdın ama arkadaşların piste çoktan gelmişti. Kimse fark etmedi; sen hariç.</t>
        </is>
      </c>
      <c r="M431" s="5" t="inlineStr">
        <is>
          <t>rhythm</t>
        </is>
      </c>
      <c r="N431" s="5" t="inlineStr">
        <is>
          <t>İlk Dans</t>
        </is>
      </c>
      <c r="O431" s="6" t="inlineStr">
        <is>
          <t>Işık parladığında adım at; ritmi kaçırırsan pist seni izler.</t>
        </is>
      </c>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is>
          <t>Pasta</t>
        </is>
      </c>
    </row>
    <row r="432">
      <c r="A432" s="5" t="inlineStr">
        <is>
          <t>b5-mezuniyet-balosu</t>
        </is>
      </c>
      <c r="B432" s="5" t="n">
        <v>3</v>
      </c>
      <c r="C432" s="6" t="inlineStr">
        <is>
          <t>Mikrofonu al</t>
        </is>
      </c>
      <c r="D432" s="5" t="inlineStr">
        <is>
          <t>Pişkinlik</t>
        </is>
      </c>
      <c r="E432" s="5" t="inlineStr">
        <is>
          <t>Orta</t>
        </is>
      </c>
      <c r="F432" s="5" t="inlineStr"/>
      <c r="G432" s="6" t="inlineStr"/>
      <c r="H432" s="6" t="inlineStr">
        <is>
          <t>Dört yılı üç espriyle özetledin. Salon ayakta alkışladı.</t>
        </is>
      </c>
      <c r="I432" s="6" t="inlineStr">
        <is>
          <t>O kadar güldürdün ki DJ müziği kıstı ve sana bir mikrofon daha uzattı. Gece seninle kapandı.</t>
        </is>
      </c>
      <c r="J432" s="6" t="inlineStr">
        <is>
          <t>Mikrofon kapalıydı. Kimse duymadı ama herkes el salladı.</t>
        </is>
      </c>
      <c r="K432" s="6" t="inlineStr">
        <is>
          <t>Konuşmanda bütün öğretmenlerin lakaplarını saydın. Öğretmenler de salondaydı. Diplomalar henüz verilmemişti.</t>
        </is>
      </c>
      <c r="L432" s="6" t="inlineStr"/>
      <c r="M432" s="5" t="inlineStr"/>
      <c r="N432" s="5" t="inlineStr"/>
      <c r="O432" s="6" t="inlineStr"/>
      <c r="P432" s="6" t="inlineStr"/>
      <c r="Q432" s="5" t="inlineStr"/>
      <c r="R432" s="5" t="inlineStr"/>
      <c r="S432" s="5" t="inlineStr">
        <is>
          <t>Pişkinlik</t>
        </is>
      </c>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row>
    <row r="433">
      <c r="A433" s="5" t="inlineStr">
        <is>
          <t>b5-mezuniyet-balosu</t>
        </is>
      </c>
      <c r="B433" s="5" t="n">
        <v>4</v>
      </c>
      <c r="C433" s="6" t="inlineStr">
        <is>
          <t>Sevgilini dansa kaldır</t>
        </is>
      </c>
      <c r="D433" s="5" t="inlineStr">
        <is>
          <t>Cesaret</t>
        </is>
      </c>
      <c r="E433" s="5" t="inlineStr">
        <is>
          <t>Kolay</t>
        </is>
      </c>
      <c r="F433" s="5" t="inlineStr"/>
      <c r="G433" s="6" t="inlineStr"/>
      <c r="H433" s="6" t="inlineStr">
        <is>
          <t>El ele dans ettiniz. Fotoğrafçı o kareyi vitrine koydu.</t>
        </is>
      </c>
      <c r="I433" s="6" t="inlineStr">
        <is>
          <t>Dans bitince bütün salon ikinizi alkışladı. İki ailenin masası birbirine baktı; teyzelerden biri yüksek sesle sordu: “Ne zaman isteyeceğiz?”</t>
        </is>
      </c>
      <c r="J433" s="6" t="inlineStr">
        <is>
          <t>Şarkı hızlıydı. Siz yavaş dans ettiniz. İkinize de yer açıldı.</t>
        </is>
      </c>
      <c r="K433" s="6" t="inlineStr">
        <is>
          <t>İlk adımda ayağına bastın. Fotoğraflarda gülümsüyor ama topallıyor.</t>
        </is>
      </c>
      <c r="L433" s="6" t="inlineStr"/>
      <c r="M433" s="5" t="inlineStr"/>
      <c r="N433" s="5" t="inlineStr"/>
      <c r="O433" s="6" t="inlineStr"/>
      <c r="P433" s="6" t="inlineStr"/>
      <c r="Q433" s="5" t="inlineStr"/>
      <c r="R433" s="5" t="inlineStr">
        <is>
          <t>ilk-sevgili</t>
        </is>
      </c>
      <c r="S433" s="5" t="inlineStr"/>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is>
          <t>ilk-ayrilik</t>
        </is>
      </c>
      <c r="AH433" s="5" t="inlineStr"/>
      <c r="AI433" s="5" t="inlineStr"/>
    </row>
    <row r="434">
      <c r="A434" s="5" t="inlineStr">
        <is>
          <t>b5-tercih-listesi</t>
        </is>
      </c>
      <c r="B434" s="5" t="n">
        <v>1</v>
      </c>
      <c r="C434" s="6" t="inlineStr">
        <is>
          <t>Hukuk</t>
        </is>
      </c>
      <c r="D434" s="5" t="inlineStr"/>
      <c r="E434" s="5" t="inlineStr"/>
      <c r="F434" s="5" t="inlineStr">
        <is>
          <t>Çene +1, Akıl +1</t>
        </is>
      </c>
      <c r="G434" s="6" t="inlineStr">
        <is>
          <t>Hukuku yazdın. Artık her tartışmayı “hukuken” diye açıyorsun, özellikle annenle.</t>
        </is>
      </c>
      <c r="H434" s="6" t="inlineStr"/>
      <c r="I434" s="6" t="inlineStr"/>
      <c r="J434" s="6" t="inlineStr"/>
      <c r="K434" s="6" t="inlineStr"/>
      <c r="L434" s="6" t="inlineStr"/>
      <c r="M434" s="5" t="inlineStr"/>
      <c r="N434" s="5" t="inlineStr"/>
      <c r="O434" s="6" t="inlineStr"/>
      <c r="P434" s="6" t="inlineStr"/>
      <c r="Q434" s="5" t="inlineStr"/>
      <c r="R434" s="5" t="inlineStr"/>
      <c r="S434" s="5" t="inlineStr"/>
      <c r="T434" s="5" t="inlineStr"/>
      <c r="U434" s="5" t="inlineStr">
        <is>
          <t>bolum-hukuk</t>
        </is>
      </c>
      <c r="V434" s="5" t="inlineStr"/>
      <c r="W434" s="5" t="inlineStr"/>
      <c r="X434" s="5" t="inlineStr"/>
      <c r="Y434" s="5" t="inlineStr"/>
      <c r="Z434" s="6" t="inlineStr"/>
      <c r="AA434" s="5" t="inlineStr">
        <is>
          <t>Erdem +1, Varlı +1</t>
        </is>
      </c>
      <c r="AB434" s="5" t="inlineStr"/>
      <c r="AC434" s="5" t="inlineStr"/>
      <c r="AD434" s="5" t="inlineStr"/>
      <c r="AE434" s="5" t="inlineStr"/>
      <c r="AF434" s="5" t="inlineStr"/>
      <c r="AG434" s="5" t="inlineStr"/>
      <c r="AH434" s="5" t="inlineStr"/>
      <c r="AI434" s="5" t="inlineStr"/>
    </row>
    <row r="435">
      <c r="A435" s="5" t="inlineStr">
        <is>
          <t>b5-tercih-listesi</t>
        </is>
      </c>
      <c r="B435" s="5" t="n">
        <v>2</v>
      </c>
      <c r="C435" s="6" t="inlineStr">
        <is>
          <t>Polis okulu</t>
        </is>
      </c>
      <c r="D435" s="5" t="inlineStr"/>
      <c r="E435" s="5" t="inlineStr"/>
      <c r="F435" s="5" t="inlineStr">
        <is>
          <t>Cesaret +1, İtibar +1</t>
        </is>
      </c>
      <c r="G435" s="6" t="inlineStr">
        <is>
          <t>Polis okulunu yazdın. Annen sonuçlar çıkmadan komşulara “Bizimki komiser olacak” dedi. Sabah altıda kalkmak artık bir kişilik özelliği.</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bolum-emniyet</t>
        </is>
      </c>
      <c r="V435" s="5" t="inlineStr"/>
      <c r="W435" s="5" t="inlineStr"/>
      <c r="X435" s="5" t="inlineStr"/>
      <c r="Y435" s="5" t="inlineStr"/>
      <c r="Z435" s="6" t="inlineStr"/>
      <c r="AA435" s="5" t="inlineStr">
        <is>
          <t>Erdem +1</t>
        </is>
      </c>
      <c r="AB435" s="5" t="inlineStr"/>
      <c r="AC435" s="5" t="inlineStr"/>
      <c r="AD435" s="5" t="inlineStr"/>
      <c r="AE435" s="5" t="inlineStr"/>
      <c r="AF435" s="5" t="inlineStr"/>
      <c r="AG435" s="5" t="inlineStr"/>
      <c r="AH435" s="5" t="inlineStr"/>
      <c r="AI435" s="5" t="inlineStr"/>
    </row>
    <row r="436">
      <c r="A436" s="5" t="inlineStr">
        <is>
          <t>b5-tercih-listesi</t>
        </is>
      </c>
      <c r="B436" s="5" t="n">
        <v>3</v>
      </c>
      <c r="C436" s="6" t="inlineStr">
        <is>
          <t>Mühendislik</t>
        </is>
      </c>
      <c r="D436" s="5" t="inlineStr"/>
      <c r="E436" s="5" t="inlineStr"/>
      <c r="F436" s="5" t="inlineStr">
        <is>
          <t>Akıl +2</t>
        </is>
      </c>
      <c r="G436" s="6" t="inlineStr">
        <is>
          <t>Mühendisliği yazdın. Evde bozulan her şey artık senin sorumluluğunda; bozulmayanlar da.</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bolum-muhendislik</t>
        </is>
      </c>
      <c r="V436" s="5" t="inlineStr"/>
      <c r="W436" s="5" t="inlineStr"/>
      <c r="X436" s="5" t="inlineStr"/>
      <c r="Y436" s="5" t="inlineStr"/>
      <c r="Z436" s="6" t="inlineStr"/>
      <c r="AA436" s="5" t="inlineStr">
        <is>
          <t>Tan +1</t>
        </is>
      </c>
      <c r="AB436" s="5" t="inlineStr"/>
      <c r="AC436" s="5" t="inlineStr"/>
      <c r="AD436" s="5" t="inlineStr"/>
      <c r="AE436" s="5" t="inlineStr"/>
      <c r="AF436" s="5" t="inlineStr"/>
      <c r="AG436" s="5" t="inlineStr"/>
      <c r="AH436" s="5" t="inlineStr"/>
      <c r="AI436" s="5" t="inlineStr"/>
    </row>
    <row r="437">
      <c r="A437" s="5" t="inlineStr">
        <is>
          <t>b5-tercih-listesi</t>
        </is>
      </c>
      <c r="B437" s="5" t="n">
        <v>4</v>
      </c>
      <c r="C437" s="6" t="inlineStr">
        <is>
          <t>İletişim ya da konservatuvar</t>
        </is>
      </c>
      <c r="D437" s="5" t="inlineStr"/>
      <c r="E437" s="5" t="inlineStr"/>
      <c r="F437" s="5" t="inlineStr">
        <is>
          <t>Pişkinlik +1, Çene +1</t>
        </is>
      </c>
      <c r="G437" s="6" t="inlineStr">
        <is>
          <t>İletişimi yazdın, altına da konservatuvarı. Akrabalar hâlâ “İyi de ne iş yapacak?” diye soruyor; sen de.</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bolum-iletisim</t>
        </is>
      </c>
      <c r="V437" s="5" t="inlineStr"/>
      <c r="W437" s="5" t="inlineStr"/>
      <c r="X437" s="5" t="inlineStr"/>
      <c r="Y437" s="5" t="inlineStr"/>
      <c r="Z437" s="6" t="inlineStr"/>
      <c r="AA437" s="5" t="inlineStr">
        <is>
          <t>Erdem -1, Tan -1</t>
        </is>
      </c>
      <c r="AB437" s="5" t="inlineStr"/>
      <c r="AC437" s="5" t="inlineStr"/>
      <c r="AD437" s="5" t="inlineStr"/>
      <c r="AE437" s="5" t="inlineStr"/>
      <c r="AF437" s="5" t="inlineStr"/>
      <c r="AG437" s="5" t="inlineStr"/>
      <c r="AH437" s="5" t="inlineStr"/>
      <c r="AI437" s="5" t="inlineStr"/>
    </row>
    <row r="438">
      <c r="A438" s="5" t="inlineStr">
        <is>
          <t>b5-tercih-listesi</t>
        </is>
      </c>
      <c r="B438" s="5" t="n">
        <v>5</v>
      </c>
      <c r="C438" s="6" t="inlineStr">
        <is>
          <t>İşletme</t>
        </is>
      </c>
      <c r="D438" s="5" t="inlineStr"/>
      <c r="E438" s="5" t="inlineStr"/>
      <c r="F438" s="5" t="inlineStr">
        <is>
          <t>Kurnazlık +1, Akıl +1</t>
        </is>
      </c>
      <c r="G438" s="6" t="inlineStr">
        <is>
          <t>İşletmeyi yazdın. İlk dersinde arzı ve talebi, ikincisinde öğrenci kredisini öğreneceksin.</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bolum-isletme</t>
        </is>
      </c>
      <c r="V438" s="5" t="inlineStr"/>
      <c r="W438" s="5" t="inlineStr"/>
      <c r="X438" s="5" t="inlineStr"/>
      <c r="Y438" s="5" t="inlineStr"/>
      <c r="Z438" s="6" t="inlineStr"/>
      <c r="AA438" s="5" t="inlineStr">
        <is>
          <t>Keskin +1, Varlı +1</t>
        </is>
      </c>
      <c r="AB438" s="5" t="inlineStr"/>
      <c r="AC438" s="5" t="inlineStr"/>
      <c r="AD438" s="5" t="inlineStr"/>
      <c r="AE438" s="5" t="inlineStr"/>
      <c r="AF438" s="5" t="inlineStr"/>
      <c r="AG438" s="5" t="inlineStr"/>
      <c r="AH438" s="5" t="inlineStr"/>
      <c r="AI438" s="5" t="inlineStr"/>
    </row>
    <row r="439">
      <c r="A439" s="5" t="inlineStr">
        <is>
          <t>b5-tercih-listesi</t>
        </is>
      </c>
      <c r="B439" s="5" t="n">
        <v>6</v>
      </c>
      <c r="C439" s="6" t="inlineStr">
        <is>
          <t>Tıbbı zorla</t>
        </is>
      </c>
      <c r="D439" s="5" t="inlineStr">
        <is>
          <t>Akıl</t>
        </is>
      </c>
      <c r="E439" s="5" t="inlineStr">
        <is>
          <t>Zor</t>
        </is>
      </c>
      <c r="F439" s="5" t="inlineStr"/>
      <c r="G439" s="6" t="inlineStr"/>
      <c r="H439" s="6" t="inlineStr">
        <is>
          <t>Tıbbı tutturdun. Aile grubunda herkesin semptomları daha ilk günden sana soruluyor.</t>
        </is>
      </c>
      <c r="I439" s="6" t="inlineStr">
        <is>
          <t>Tıbba ilk tercihinden, bursla girdin. Babaannen seni komşulara “doktor” diye tanıtıyor; henüz anatomi dersine girmedin.</t>
        </is>
      </c>
      <c r="J439" s="6" t="inlineStr">
        <is>
          <t>Puanın tıbba yetmedi; ek tercihlerle biyolojiye yerleştin. Babaannen yine de “doktor” diyor.</t>
        </is>
      </c>
      <c r="K439" s="6" t="inlineStr">
        <is>
          <t>Tıbbı yazdın ama sıralamayı ters girdin. Veterinerliğe yerleştin; ailen kedinin tahlillerini artık sana soruyor.</t>
        </is>
      </c>
      <c r="L439" s="6" t="inlineStr"/>
      <c r="M439" s="5" t="inlineStr"/>
      <c r="N439" s="5" t="inlineStr"/>
      <c r="O439" s="6" t="inlineStr"/>
      <c r="P439" s="6" t="inlineStr"/>
      <c r="Q439" s="5" t="inlineStr"/>
      <c r="R439" s="5" t="inlineStr"/>
      <c r="S439" s="5" t="inlineStr"/>
      <c r="T439" s="5" t="inlineStr"/>
      <c r="U439" s="5" t="inlineStr"/>
      <c r="V439" s="5" t="inlineStr">
        <is>
          <t>bolum-tip</t>
        </is>
      </c>
      <c r="W439" s="5" t="inlineStr"/>
      <c r="X439" s="5" t="inlineStr"/>
      <c r="Y439" s="5" t="inlineStr"/>
      <c r="Z439" s="6" t="inlineStr"/>
      <c r="AA439" s="5" t="inlineStr">
        <is>
          <t>Erdem +1, Tan +1</t>
        </is>
      </c>
      <c r="AB439" s="5" t="inlineStr"/>
      <c r="AC439" s="5" t="inlineStr"/>
      <c r="AD439" s="5" t="inlineStr"/>
      <c r="AE439" s="5" t="inlineStr"/>
      <c r="AF439" s="5" t="inlineStr"/>
      <c r="AG439" s="5" t="inlineStr"/>
      <c r="AH439" s="5" t="inlineStr"/>
      <c r="AI439" s="5" t="inlineStr"/>
    </row>
    <row r="440">
      <c r="A440" s="5" t="inlineStr">
        <is>
          <t>b5-mezuniyet</t>
        </is>
      </c>
      <c r="B440" s="5" t="n">
        <v>1</v>
      </c>
      <c r="C440" s="6" t="inlineStr">
        <is>
          <t>Kepini at</t>
        </is>
      </c>
      <c r="D440" s="5" t="inlineStr"/>
      <c r="E440" s="5" t="inlineStr"/>
      <c r="F440" s="5" t="inlineStr">
        <is>
          <t>Dayanıklılık +1</t>
        </is>
      </c>
      <c r="G440" s="6" t="inlineStr">
        <is>
          <t>Kepini attın; yere başkasınınki düştü. İçinde 'Seni hiç unutmayacağım' yazıyor. İsim yok.</t>
        </is>
      </c>
      <c r="H440" s="6" t="inlineStr"/>
      <c r="I440" s="6" t="inlineStr"/>
      <c r="J440" s="6" t="inlineStr"/>
      <c r="K440" s="6" t="inlineStr"/>
      <c r="L440" s="6" t="inlineStr"/>
      <c r="M440" s="5" t="inlineStr"/>
      <c r="N440" s="5" t="inlineStr"/>
      <c r="O440" s="6" t="inlineStr"/>
      <c r="P440" s="6" t="inlineStr"/>
      <c r="Q440" s="5" t="inlineStr"/>
      <c r="R440" s="5" t="inlineStr"/>
      <c r="S440" s="5" t="inlineStr"/>
      <c r="T440" s="5" t="inlineStr"/>
      <c r="U440" s="5" t="inlineStr"/>
      <c r="V440" s="5" t="inlineStr"/>
      <c r="W440" s="5" t="inlineStr"/>
      <c r="X440" s="5" t="inlineStr"/>
      <c r="Y440" s="5" t="inlineStr"/>
      <c r="Z440" s="6" t="inlineStr"/>
      <c r="AA440" s="5" t="inlineStr"/>
      <c r="AB440" s="5" t="inlineStr"/>
      <c r="AC440" s="5" t="inlineStr"/>
      <c r="AD440" s="5" t="inlineStr"/>
      <c r="AE440" s="5" t="inlineStr"/>
      <c r="AF440" s="5" t="inlineStr"/>
      <c r="AG440" s="5" t="inlineStr"/>
      <c r="AH440" s="5" t="inlineStr"/>
      <c r="AI440" s="5" t="inlineStr"/>
    </row>
    <row r="441">
      <c r="A441" s="5" t="inlineStr">
        <is>
          <t>b5-mezuniyet</t>
        </is>
      </c>
      <c r="B441" s="5" t="n">
        <v>2</v>
      </c>
      <c r="C441" s="6" t="inlineStr">
        <is>
          <t>Veda konuşması yap</t>
        </is>
      </c>
      <c r="D441" s="5" t="inlineStr">
        <is>
          <t>Çene</t>
        </is>
      </c>
      <c r="E441" s="5" t="inlineStr">
        <is>
          <t>Zor</t>
        </is>
      </c>
      <c r="F441" s="5" t="inlineStr"/>
      <c r="G441" s="6" t="inlineStr"/>
      <c r="H441" s="6" t="inlineStr">
        <is>
          <t>Konuşmanda üç kişi ağladı, beş kişi güldü. Biri ikisini birden yaptı: annen.</t>
        </is>
      </c>
      <c r="I441" s="6" t="inlineStr">
        <is>
          <t>Konuşman okulun resmî hesabında paylaşıldı. Yorumlar ağlayan veli emojileriyle dolu.</t>
        </is>
      </c>
      <c r="J441" s="6" t="inlineStr">
        <is>
          <t>Ses sistemi konuşmanın yalnızca 'ııı' kısımlarını salona iletti.</t>
        </is>
      </c>
      <c r="K441" s="6" t="inlineStr">
        <is>
          <t>Bütün öğretmenlere tek tek teşekkür ettin. Birini unuttun. Ön sıradaydı. En çok o alkışladı.</t>
        </is>
      </c>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row>
    <row r="442">
      <c r="A442" s="5" t="inlineStr">
        <is>
          <t>b5-mezuniyet</t>
        </is>
      </c>
      <c r="B442" s="5" t="n">
        <v>3</v>
      </c>
      <c r="C442" s="6" t="inlineStr">
        <is>
          <t>Herkesle fotoğraf çekil</t>
        </is>
      </c>
      <c r="D442" s="5" t="inlineStr">
        <is>
          <t>Sosyal Radar</t>
        </is>
      </c>
      <c r="E442" s="5" t="inlineStr">
        <is>
          <t>Kolay</t>
        </is>
      </c>
      <c r="F442" s="5" t="inlineStr"/>
      <c r="G442" s="6" t="inlineStr"/>
      <c r="H442" s="6" t="inlineStr">
        <is>
          <t>Telefonunda dört yüz fotoğraf var. Hepsi aynı açıdan, hepsi değerli.</t>
        </is>
      </c>
      <c r="I442" s="6" t="inlineStr">
        <is>
          <t>Çektiğin kare yıllığın arka kapağı oldu. Dört yıllık tarih tek karede.</t>
        </is>
      </c>
      <c r="J442" s="6" t="inlineStr">
        <is>
          <t>Bütün fotoğraflarda gözlerin kapalı. En azından tutarlısın.</t>
        </is>
      </c>
      <c r="K442" s="6" t="inlineStr">
        <is>
          <t>Kareye sığmak için bir adım geri attın. Arkada merdiven vardı. Fotoğrafların çoğu gökyüzü.</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row>
    <row r="443">
      <c r="A443" s="5" t="inlineStr">
        <is>
          <t>b5-mezuniyet</t>
        </is>
      </c>
      <c r="B443" s="5" t="n">
        <v>4</v>
      </c>
      <c r="C443" s="6" t="inlineStr">
        <is>
          <t>Temsilci olarak kürsüye çık</t>
        </is>
      </c>
      <c r="D443" s="5" t="inlineStr">
        <is>
          <t>Pişkinlik</t>
        </is>
      </c>
      <c r="E443" s="5" t="inlineStr">
        <is>
          <t>Kolay</t>
        </is>
      </c>
      <c r="F443" s="5" t="inlineStr"/>
      <c r="G443" s="6" t="inlineStr"/>
      <c r="H443" s="6" t="inlineStr">
        <is>
          <t>Dört yılı özetledin, vaatlerinin yarısı için 'süreç devam ediyor' dedin. Salon anlayışla alkışladı.</t>
        </is>
      </c>
      <c r="I443" s="6" t="inlineStr">
        <is>
          <t>Kürsüden inerken müdür sana sarıldı ve kulağına “Tost makinesi geldi” dedi. İki yıllık vaadin mezuniyet günü yerine geldi.</t>
        </is>
      </c>
      <c r="J443" s="6" t="inlineStr">
        <is>
          <t>Kürsüye çıktın, kâğıdın rüzgârla uçtu. Doğaçlama kısa sürdü.</t>
        </is>
      </c>
      <c r="K443" s="6" t="inlineStr">
        <is>
          <t>Teşekkür listesini okurken kendi adını da okudun ve alışkanlıkla “Sağ ol” dedin. Mezuniyet videosunun en çok izlenen saniyesi bu.</t>
        </is>
      </c>
      <c r="L443" s="6" t="inlineStr"/>
      <c r="M443" s="5" t="inlineStr"/>
      <c r="N443" s="5" t="inlineStr"/>
      <c r="O443" s="6" t="inlineStr"/>
      <c r="P443" s="6" t="inlineStr"/>
      <c r="Q443" s="5" t="inlineStr"/>
      <c r="R443" s="5" t="inlineStr">
        <is>
          <t>okul-temsilcisi</t>
        </is>
      </c>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row>
    <row r="444">
      <c r="A444" s="5" t="inlineStr">
        <is>
          <t>b5-ehliyet-kursu</t>
        </is>
      </c>
      <c r="B444" s="5" t="n">
        <v>1</v>
      </c>
      <c r="C444" s="6" t="inlineStr">
        <is>
          <t>Direksiyon sınavına gir</t>
        </is>
      </c>
      <c r="D444" s="5" t="inlineStr">
        <is>
          <t>Cesaret</t>
        </is>
      </c>
      <c r="E444" s="5" t="inlineStr">
        <is>
          <t>Orta</t>
        </is>
      </c>
      <c r="F444" s="5" t="inlineStr"/>
      <c r="G444" s="6" t="inlineStr"/>
      <c r="H444" s="6" t="inlineStr">
        <is>
          <t>İlk seferde geçtin. Ehliyet geldi. Araba gelmedi.</t>
        </is>
      </c>
      <c r="I444" s="6" t="inlineStr">
        <is>
          <t>Görevli 'Bu kadar düzgün park görmedim' dedi. Ailen anahtarı yine vermedi ama umut var.</t>
        </is>
      </c>
      <c r="J444" s="6" t="inlineStr">
        <is>
          <t>Paralel parkta kaldırıma üç kez dokundun. Görevli 'Haftaya' dedi.</t>
        </is>
      </c>
      <c r="K444" s="6" t="inlineStr">
        <is>
          <t>Yokuşta kalkışı başardın, düz yolda stop ettin. Arkadaki kursiyerler alkışladı. Yeni sınav bir ay sonra.</t>
        </is>
      </c>
      <c r="L444" s="6" t="inlineStr"/>
      <c r="M444" s="5" t="inlineStr"/>
      <c r="N444" s="5" t="inlineStr"/>
      <c r="O444" s="6" t="inlineStr"/>
      <c r="P444" s="6" t="inlineStr"/>
      <c r="Q444" s="5" t="inlineStr"/>
      <c r="R444" s="5" t="inlineStr"/>
      <c r="S444" s="5" t="inlineStr"/>
      <c r="T444" s="5" t="inlineStr"/>
      <c r="U444" s="5" t="inlineStr"/>
      <c r="V444" s="5" t="inlineStr">
        <is>
          <t>ehliyetli</t>
        </is>
      </c>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row>
    <row r="445">
      <c r="A445" s="5" t="inlineStr">
        <is>
          <t>b5-ehliyet-kursu</t>
        </is>
      </c>
      <c r="B445" s="5" t="n">
        <v>2</v>
      </c>
      <c r="C445" s="6" t="inlineStr">
        <is>
          <t>Babanla pratik yap</t>
        </is>
      </c>
      <c r="D445" s="5" t="inlineStr">
        <is>
          <t>Dayanıklılık</t>
        </is>
      </c>
      <c r="E445" s="5" t="inlineStr">
        <is>
          <t>Zor</t>
        </is>
      </c>
      <c r="F445" s="5" t="inlineStr"/>
      <c r="G445" s="6" t="inlineStr"/>
      <c r="H445" s="6" t="inlineStr">
        <is>
          <t>Babanla pratik yaptın. Baban zamanın yüzde yetmişinde sustu. Sınavı geçtin.</t>
        </is>
      </c>
      <c r="I445" s="6" t="inlineStr">
        <is>
          <t>İlk kez aynı fikirdeydiniz. Sınavı kusursuz geçtin; baban arabayı ödünç verdi. Bir kere.</t>
        </is>
      </c>
      <c r="J445" s="6" t="inlineStr">
        <is>
          <t>Baban her virajda 'Yavaş!' dedi. Hiç hızlanmamıştın. Ders yarıda kaldı.</t>
        </is>
      </c>
      <c r="K445" s="6" t="inlineStr">
        <is>
          <t>Site otoparkında bir direğe fazla yaklaştın. Direk kıpırdamadı. Ayna kıpırdadı.</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row>
    <row r="446">
      <c r="A446" s="5" t="inlineStr">
        <is>
          <t>b5-ehliyet-kursu</t>
        </is>
      </c>
      <c r="B446" s="5" t="n">
        <v>3</v>
      </c>
      <c r="C446" s="6" t="inlineStr">
        <is>
          <t>Kurye tecrübeni kullan</t>
        </is>
      </c>
      <c r="D446" s="5" t="inlineStr">
        <is>
          <t>Kurnazlık</t>
        </is>
      </c>
      <c r="E446" s="5" t="inlineStr">
        <is>
          <t>Kolay</t>
        </is>
      </c>
      <c r="F446" s="5" t="inlineStr"/>
      <c r="G446" s="6" t="inlineStr"/>
      <c r="H446" s="6" t="inlineStr">
        <is>
          <t>Sınav güzergâhını ezbere biliyordun, her çukuru tanıyordun. İlk seferde geçtin.</t>
        </is>
      </c>
      <c r="I446" s="6" t="inlineStr">
        <is>
          <t>Görevliye daha kısa bir güzergâh önerdin. Kabul etti. Geçtin.</t>
        </is>
      </c>
      <c r="J446" s="6" t="inlineStr">
        <is>
          <t>Güzergâhı biliyordun. Bisiklet yolundan gitmeye çalıştın.</t>
        </is>
      </c>
      <c r="K446" s="6" t="inlineStr">
        <is>
          <t>Alışkanlıkla otoparkın içinden kestirdin. Görevli çok şaşırdı. Sonuç: haftaya.</t>
        </is>
      </c>
      <c r="L446" s="6" t="inlineStr"/>
      <c r="M446" s="5" t="inlineStr"/>
      <c r="N446" s="5" t="inlineStr"/>
      <c r="O446" s="6" t="inlineStr"/>
      <c r="P446" s="6" t="inlineStr"/>
      <c r="Q446" s="5" t="inlineStr">
        <is>
          <t>Kestirme Bilir</t>
        </is>
      </c>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row>
    <row r="447">
      <c r="A447" s="5" t="inlineStr">
        <is>
          <t>b5-ehliyet-kursu</t>
        </is>
      </c>
      <c r="B447" s="5" t="n">
        <v>4</v>
      </c>
      <c r="C447" s="6" t="inlineStr">
        <is>
          <t>Ehliyeti sonraya bırak</t>
        </is>
      </c>
      <c r="D447" s="5" t="inlineStr"/>
      <c r="E447" s="5" t="inlineStr"/>
      <c r="F447" s="5" t="inlineStr">
        <is>
          <t>Dayanıklılık +1</t>
        </is>
      </c>
      <c r="G447" s="6" t="inlineStr">
        <is>
          <t>Kursu yarıda bıraktın. Yatan kurs parası yandı. Baban bunu her bayram sofrasında bir kez hatırlatacak.</t>
        </is>
      </c>
      <c r="H447" s="6" t="inlineStr"/>
      <c r="I447" s="6" t="inlineStr"/>
      <c r="J447" s="6" t="inlineStr"/>
      <c r="K447" s="6" t="inlineStr"/>
      <c r="L447" s="6" t="inlineStr"/>
      <c r="M447" s="5" t="inlineStr"/>
      <c r="N447" s="5" t="inlineStr"/>
      <c r="O447" s="6" t="inlineStr"/>
      <c r="P447" s="6" t="inlineStr"/>
      <c r="Q447" s="5" t="inlineStr"/>
      <c r="R447" s="5" t="inlineStr"/>
      <c r="S447" s="5" t="inlineStr"/>
      <c r="T447" s="5" t="inlineStr"/>
      <c r="U447" s="5" t="inlineStr"/>
      <c r="V447" s="5" t="inlineStr"/>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row>
    <row r="448">
      <c r="A448" s="5" t="inlineStr">
        <is>
          <t>b5-tek-basina-tatil</t>
        </is>
      </c>
      <c r="B448" s="5" t="n">
        <v>1</v>
      </c>
      <c r="C448" s="6" t="inlineStr">
        <is>
          <t>Bütçeyi sen tut</t>
        </is>
      </c>
      <c r="D448" s="5" t="inlineStr">
        <is>
          <t>Akıl</t>
        </is>
      </c>
      <c r="E448" s="5" t="inlineStr">
        <is>
          <t>Orta</t>
        </is>
      </c>
      <c r="F448" s="5" t="inlineStr"/>
      <c r="G448" s="6" t="inlineStr"/>
      <c r="H448" s="6" t="inlineStr">
        <is>
          <t>Bütçeyi tuttun; tatil sonunda para bile arttı. Artık grubun muhasebecisisin.</t>
        </is>
      </c>
      <c r="I448" s="6" t="inlineStr">
        <is>
          <t>Aynı parayla tatili iki gün uzattınız. Hesap tablon grubun ortak mirası oldu.</t>
        </is>
      </c>
      <c r="J448" s="6" t="inlineStr">
        <is>
          <t>Üçüncü gün herkes kendi hesabını ödemeye başladı. Tablo çöktü.</t>
        </is>
      </c>
      <c r="K448" s="6" t="inlineStr">
        <is>
          <t>Tablodaki bir hata yüzünden dönüş biletleri alınmamış. Baban gece otobüsüyle gelip hepinizi topladı. Yol dokuz saat, nasihat dokuz saat.</t>
        </is>
      </c>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row>
    <row r="449">
      <c r="A449" s="5" t="inlineStr">
        <is>
          <t>b5-tek-basina-tatil</t>
        </is>
      </c>
      <c r="B449" s="5" t="n">
        <v>2</v>
      </c>
      <c r="C449" s="6" t="inlineStr">
        <is>
          <t>Aile grubuna saatlik rapor ver</t>
        </is>
      </c>
      <c r="D449" s="5" t="inlineStr"/>
      <c r="E449" s="5" t="inlineStr"/>
      <c r="F449" s="5" t="inlineStr">
        <is>
          <t>Gönül +1</t>
        </is>
      </c>
      <c r="G449" s="6" t="inlineStr">
        <is>
          <t>Her saat bir fotoğraf attın. Annen tatili senden daha ayrıntılı yaşadı. Sen fotoğraf çekmekle meşguldün.</t>
        </is>
      </c>
      <c r="H449" s="6" t="inlineStr"/>
      <c r="I449" s="6" t="inlineStr"/>
      <c r="J449" s="6" t="inlineStr"/>
      <c r="K449" s="6" t="inlineStr"/>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row>
    <row r="450">
      <c r="A450" s="5" t="inlineStr">
        <is>
          <t>b5-tek-basina-tatil</t>
        </is>
      </c>
      <c r="B450" s="5" t="n">
        <v>3</v>
      </c>
      <c r="C450" s="6" t="inlineStr">
        <is>
          <t>Plansız takıl</t>
        </is>
      </c>
      <c r="D450" s="5" t="inlineStr">
        <is>
          <t>Pişkinlik</t>
        </is>
      </c>
      <c r="E450" s="5" t="inlineStr">
        <is>
          <t>Kolay</t>
        </is>
      </c>
      <c r="F450" s="5" t="inlineStr"/>
      <c r="G450" s="6" t="inlineStr"/>
      <c r="H450" s="6" t="inlineStr">
        <is>
          <t>Plansız gezdiniz. Tatilin en iyi anı, kaybolup bulduğunuz bir koy oldu.</t>
        </is>
      </c>
      <c r="I450" s="6" t="inlineStr">
        <is>
          <t>Bulduğunuz koya her yaz dönmeye söz verdiniz. Söz, mesaj grubunda sabitlendi.</t>
        </is>
      </c>
      <c r="J450" s="6" t="inlineStr">
        <is>
          <t>Üç gün boyunca nereye gideceğinizi tartıştınız. Pansiyonun bahçesinden çıkmadınız.</t>
        </is>
      </c>
      <c r="K450" s="6" t="inlineStr">
        <is>
          <t>Pansiyonun adını unuttunuz. Gece bir buçukta kapı kapı sordunuz. Bütün kasaba sizi tanıyor.</t>
        </is>
      </c>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row>
    <row r="451">
      <c r="A451" s="5" t="inlineStr">
        <is>
          <t>b5-tek-basina-tatil</t>
        </is>
      </c>
      <c r="B451" s="5" t="n">
        <v>4</v>
      </c>
      <c r="C451" s="6" t="inlineStr">
        <is>
          <t>Grubu organize et</t>
        </is>
      </c>
      <c r="D451" s="5" t="inlineStr">
        <is>
          <t>Sosyal Radar</t>
        </is>
      </c>
      <c r="E451" s="5" t="inlineStr">
        <is>
          <t>Orta</t>
        </is>
      </c>
      <c r="F451" s="5" t="inlineStr"/>
      <c r="G451" s="6" t="inlineStr"/>
      <c r="H451" s="6" t="inlineStr">
        <is>
          <t>Görevleri dağıttın, tatil pürüzsüz geçti. Kimse teşekkür etmedi; iyi yönetim görünmez.</t>
        </is>
      </c>
      <c r="I451" s="6" t="inlineStr">
        <is>
          <t>Tatil o kadar iyi geçti ki gelecek yıl için başvuru formu açtın. Yedi başvuru geldi.</t>
        </is>
      </c>
      <c r="J451" s="6" t="inlineStr">
        <is>
          <t>Herkes kendi görevini başkasına devretti. Sonunda hepsi sana geldi.</t>
        </is>
      </c>
      <c r="K451" s="6" t="inlineStr">
        <is>
          <t>Görev çizelgesi astın. Arkadaşların seni pansiyon sahibine şikâyet etti. Sahibi sana 'müdür' diyor.</t>
        </is>
      </c>
      <c r="L451" s="6" t="inlineStr"/>
      <c r="M451" s="5" t="inlineStr"/>
      <c r="N451" s="5" t="inlineStr"/>
      <c r="O451" s="6" t="inlineStr"/>
      <c r="P451" s="6" t="inlineStr"/>
      <c r="Q451" s="5" t="inlineStr">
        <is>
          <t>Grup Yöneticisi</t>
        </is>
      </c>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row>
    <row r="452">
      <c r="A452" s="5" t="inlineStr">
        <is>
          <t>b6-yurt-odasi</t>
        </is>
      </c>
      <c r="B452" s="5" t="n">
        <v>1</v>
      </c>
      <c r="C452" s="6" t="inlineStr">
        <is>
          <t>Kalan yatağı al</t>
        </is>
      </c>
      <c r="D452" s="5" t="inlineStr"/>
      <c r="E452" s="5" t="inlineStr"/>
      <c r="F452" s="5" t="inlineStr">
        <is>
          <t>Dayanıklılık +1</t>
        </is>
      </c>
      <c r="G452" s="6" t="inlineStr">
        <is>
          <t>Kapının dibindeki yatağı aldın. Gece geç gelen herkes önce senin ayağına basıyor, sonra “Pardon kanka” diyor. Dönem sonuna kadar her gece.</t>
        </is>
      </c>
      <c r="H452" s="6" t="inlineStr"/>
      <c r="I452" s="6" t="inlineStr"/>
      <c r="J452" s="6" t="inlineStr"/>
      <c r="K452" s="6" t="inlineStr"/>
      <c r="L452" s="6" t="inlineStr"/>
      <c r="M452" s="5" t="inlineStr"/>
      <c r="N452" s="5" t="inlineStr"/>
      <c r="O452" s="6" t="inlineStr"/>
      <c r="P452" s="6" t="inlineStr"/>
      <c r="Q452" s="5" t="inlineStr"/>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row>
    <row r="453">
      <c r="A453" s="5" t="inlineStr">
        <is>
          <t>b6-yurt-odasi</t>
        </is>
      </c>
      <c r="B453" s="5" t="n">
        <v>2</v>
      </c>
      <c r="C453" s="6" t="inlineStr">
        <is>
          <t>Oda kuralları taslağı hazırla</t>
        </is>
      </c>
      <c r="D453" s="5" t="inlineStr">
        <is>
          <t>Akıl</t>
        </is>
      </c>
      <c r="E453" s="5" t="inlineStr">
        <is>
          <t>Zor</t>
        </is>
      </c>
      <c r="F453" s="5" t="inlineStr"/>
      <c r="G453" s="6" t="inlineStr"/>
      <c r="H453" s="6" t="inlineStr">
        <is>
          <t>Beş maddelik kurallar listesi kapıya asıldı. Üçüncü madde ilk gece ihlal edildi.</t>
        </is>
      </c>
      <c r="I453" s="6" t="inlineStr">
        <is>
          <t>Kurallar oy birliğiyle kabul edildi. Kat görevlisi listeyi beğenip öbür odalara da astı. Koridorda adın artık “Odabaşı”; bütün kat sana biraz kızgın.</t>
        </is>
      </c>
      <c r="J453" s="6" t="inlineStr">
        <is>
          <t>Listeyi astın. Ertesi sabah altına biri 'Tamam hocam' yazmıştı.</t>
        </is>
      </c>
      <c r="K453" s="6" t="inlineStr">
        <is>
          <t>Kurallar oylamada üçe bir reddedildi. Ertesi sabah kapıda yeni bir liste vardı, tek maddeli: “Horlayan koridorda yatar.” Dönemin kalanını koridorda geçirdin.</t>
        </is>
      </c>
      <c r="L453" s="6" t="inlineStr"/>
      <c r="M453" s="5" t="inlineStr"/>
      <c r="N453" s="5" t="inlineStr"/>
      <c r="O453" s="6" t="inlineStr"/>
      <c r="P453" s="6" t="inlineStr"/>
      <c r="Q453" s="5" t="inlineStr"/>
      <c r="R453" s="5" t="inlineStr"/>
      <c r="S453" s="5" t="inlineStr"/>
      <c r="T453" s="5" t="inlineStr">
        <is>
          <t>Kuralı Koyan</t>
        </is>
      </c>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row>
    <row r="454">
      <c r="A454" s="5" t="inlineStr">
        <is>
          <t>b6-yurt-odasi</t>
        </is>
      </c>
      <c r="B454" s="5" t="n">
        <v>3</v>
      </c>
      <c r="C454" s="6" t="inlineStr">
        <is>
          <t>Prizli yatağı kap</t>
        </is>
      </c>
      <c r="D454" s="5" t="inlineStr">
        <is>
          <t>Kurnazlık</t>
        </is>
      </c>
      <c r="E454" s="5" t="inlineStr">
        <is>
          <t>Kolay</t>
        </is>
      </c>
      <c r="F454" s="5" t="inlineStr"/>
      <c r="G454" s="6" t="inlineStr"/>
      <c r="H454" s="6" t="inlineStr">
        <is>
          <t>Prizli yatak senin. Oda arkadaşların şarj için sana dilekçe veriyor.</t>
        </is>
      </c>
      <c r="I454" s="6" t="inlineStr">
        <is>
          <t>Prizli yatağı aldın, bir çoklu priz kurdun. Gece yarısı herkes şarj için yanına geliyor; kimin telefonu önce dolacak, sen karar veriyorsun.</t>
        </is>
      </c>
      <c r="J454" s="6" t="inlineStr">
        <is>
          <t>Prizli yatağı aldın. Priz, yurt açıldığından beri çalışmıyormuş.</t>
        </is>
      </c>
      <c r="K454" s="6" t="inlineStr">
        <is>
          <t>Prizli yatak senin oldu. Uzatma kablosuna su ısıtıcısı, tost makinesi ve dört şarj taktın. Bütün katın sigortası attı; karanlık koridorda herkes aynı anda senin kapına baktı.</t>
        </is>
      </c>
      <c r="L454" s="6" t="inlineStr"/>
      <c r="M454" s="5" t="inlineStr"/>
      <c r="N454" s="5" t="inlineStr"/>
      <c r="O454" s="6" t="inlineStr"/>
      <c r="P454" s="6" t="inlineStr"/>
      <c r="Q454" s="5" t="inlineStr"/>
      <c r="R454" s="5" t="inlineStr"/>
      <c r="S454" s="5" t="inlineStr">
        <is>
          <t>Kurnazlık</t>
        </is>
      </c>
      <c r="T454" s="5" t="inlineStr"/>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row>
    <row r="455">
      <c r="A455" s="5" t="inlineStr">
        <is>
          <t>b6-yurt-odasi</t>
        </is>
      </c>
      <c r="B455" s="5" t="n">
        <v>4</v>
      </c>
      <c r="C455" s="6" t="inlineStr">
        <is>
          <t>Üst ranzayla anlaş</t>
        </is>
      </c>
      <c r="D455" s="5" t="inlineStr">
        <is>
          <t>Çene</t>
        </is>
      </c>
      <c r="E455" s="5" t="inlineStr">
        <is>
          <t>Orta</t>
        </is>
      </c>
      <c r="F455" s="5" t="inlineStr"/>
      <c r="G455" s="6" t="inlineStr"/>
      <c r="H455" s="6" t="inlineStr">
        <is>
          <t>Üst ranzayla anlaşma imzaladın: o ışığı kapatacak, sen alarmını.</t>
        </is>
      </c>
      <c r="I455" s="6" t="inlineStr">
        <is>
          <t>Üst ranzanın annesi her hafta koli yolluyor; kolinin yarısı artık senin. Sarmaları annenin sarmasından iyi. Bunu annene hiç söylemeyeceksin.</t>
        </is>
      </c>
      <c r="J455" s="6" t="inlineStr">
        <is>
          <t>Anlaşma yapıldı. İlk gece iki taraf da ihlal etti.</t>
        </is>
      </c>
      <c r="K455" s="6" t="inlineStr">
        <is>
          <t>Konuşmanın ortasında ağzından kaçtı: “Bir de şu tişört…” Üst ranza o gece tişörtü çıkardı, yıkamadı, senin yatağının ucuna astı. Dönem sonuna kadar orada kaldı.</t>
        </is>
      </c>
      <c r="L455" s="6" t="inlineStr"/>
      <c r="M455" s="5" t="inlineStr"/>
      <c r="N455" s="5" t="inlineStr"/>
      <c r="O455" s="6" t="inlineStr"/>
      <c r="P455" s="6" t="inlineStr"/>
      <c r="Q455" s="5" t="inlineStr"/>
      <c r="R455" s="5" t="inlineStr"/>
      <c r="S455" s="5" t="inlineStr"/>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row>
    <row r="456">
      <c r="A456" s="5" t="inlineStr">
        <is>
          <t>b6-ilk-tam-zamanli-is</t>
        </is>
      </c>
      <c r="B456" s="5" t="n">
        <v>1</v>
      </c>
      <c r="C456" s="6" t="inlineStr">
        <is>
          <t>Söyleneni yap</t>
        </is>
      </c>
      <c r="D456" s="5" t="inlineStr"/>
      <c r="E456" s="5" t="inlineStr"/>
      <c r="F456" s="5" t="inlineStr">
        <is>
          <t>Dayanıklılık +1</t>
        </is>
      </c>
      <c r="G456" s="6" t="inlineStr">
        <is>
          <t>İlk ay hiç soru sormadın, söyleneni yaptın. Patron seni gelen geçene “Bunun sesi çıkmaz, altın gibi çocuk” diye tanıtıyor. Zam konusunda da sesin çıkmıyor.</t>
        </is>
      </c>
      <c r="H456" s="6" t="inlineStr"/>
      <c r="I456" s="6" t="inlineStr"/>
      <c r="J456" s="6" t="inlineStr"/>
      <c r="K456" s="6" t="inlineStr"/>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row>
    <row r="457">
      <c r="A457" s="5" t="inlineStr">
        <is>
          <t>b6-ilk-tam-zamanli-is</t>
        </is>
      </c>
      <c r="B457" s="5" t="n">
        <v>2</v>
      </c>
      <c r="C457" s="6" t="inlineStr">
        <is>
          <t>Stoğu ezberle</t>
        </is>
      </c>
      <c r="D457" s="5" t="inlineStr">
        <is>
          <t>Akıl</t>
        </is>
      </c>
      <c r="E457" s="5" t="inlineStr">
        <is>
          <t>Orta</t>
        </is>
      </c>
      <c r="F457" s="5" t="inlineStr"/>
      <c r="G457" s="6" t="inlineStr"/>
      <c r="H457" s="6" t="inlineStr">
        <is>
          <t>Hangi vidanın hangi rafta olduğunu artık biliyorsun. Müşteriler doğrudan sana geliyor.</t>
        </is>
      </c>
      <c r="I457" s="6" t="inlineStr">
        <is>
          <t>Stok defterini ezberledin. Patron sayımı sana bırakıp bir haftalığına tatile gitti.</t>
        </is>
      </c>
      <c r="J457" s="6" t="inlineStr">
        <is>
          <t>Ezberledin. Patron ertesi gün rafları yeniden düzenledi.</t>
        </is>
      </c>
      <c r="K457" s="6" t="inlineStr">
        <is>
          <t>Sayımda bir koli vidayı iki kez saydın. Ay sonunda eksik çıkan vidaları patron maaşından kesti. Zarfı açtığında paranın yanında bir avuç vida vardı.</t>
        </is>
      </c>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row>
    <row r="458">
      <c r="A458" s="5" t="inlineStr">
        <is>
          <t>b6-ilk-tam-zamanli-is</t>
        </is>
      </c>
      <c r="B458" s="5" t="n">
        <v>3</v>
      </c>
      <c r="C458" s="6" t="inlineStr">
        <is>
          <t>Müşteriye fazlasını sat</t>
        </is>
      </c>
      <c r="D458" s="5" t="inlineStr">
        <is>
          <t>Çene</t>
        </is>
      </c>
      <c r="E458" s="5" t="inlineStr">
        <is>
          <t>Orta</t>
        </is>
      </c>
      <c r="F458" s="5" t="inlineStr"/>
      <c r="G458" s="6" t="inlineStr"/>
      <c r="H458" s="6" t="inlineStr">
        <is>
          <t>Vida almaya gelene matkap sattın. Patron seni 'bizim eleman' diye tanıtmaya başladı.</t>
        </is>
      </c>
      <c r="I458" s="6" t="inlineStr">
        <is>
          <t>Vida almaya gelen müşteri dükkandan bir tadilat projesiyle çıktı. Prim yattı.</t>
        </is>
      </c>
      <c r="J458" s="6" t="inlineStr">
        <is>
          <t>Fazlasını satmaya çalıştın. Müşteri vidayı da almadı.</t>
        </is>
      </c>
      <c r="K458" s="6" t="inlineStr">
        <is>
          <t>Müşteriye en pahalısını sattın. Müşteri patronun kayınpederiymiş.</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row>
    <row r="459">
      <c r="A459" s="5" t="inlineStr">
        <is>
          <t>b6-ehliyet</t>
        </is>
      </c>
      <c r="B459" s="5" t="n">
        <v>1</v>
      </c>
      <c r="C459" s="6" t="inlineStr">
        <is>
          <t>Kitabına uygun yap</t>
        </is>
      </c>
      <c r="D459" s="5" t="inlineStr">
        <is>
          <t>Akıl</t>
        </is>
      </c>
      <c r="E459" s="5" t="inlineStr">
        <is>
          <t>Kolay</t>
        </is>
      </c>
      <c r="F459" s="5" t="inlineStr"/>
      <c r="G459" s="6" t="inlineStr"/>
      <c r="H459" s="6" t="inlineStr">
        <is>
          <t>Sinyal, ayna, kalkış. Görevli bir şey yazdı. İyi bir şeymiş.</t>
        </is>
      </c>
      <c r="I459" s="6" t="inlineStr">
        <is>
          <t>Kusursuz sürüş. Görevli otuz yılda ilk kez gülümsedi ve 'Park da yap bakalım' dedi. Yaptın.</t>
        </is>
      </c>
      <c r="J459" s="6" t="inlineStr">
        <is>
          <t>Kitabına uygun yaptın. Kitapta olmayan bir kedi yola çıktı. Kaldın.</t>
        </is>
      </c>
      <c r="K459" s="6" t="inlineStr">
        <is>
          <t>Aynalara o kadar uzun baktın ki öndeki çöp kamyonunu son anda gördün. Ani fren; görevlinin gözlüğü torpidoya uçtu. Not almadı; gerek yoktu.</t>
        </is>
      </c>
      <c r="L459" s="6" t="inlineStr"/>
      <c r="M459" s="5" t="inlineStr"/>
      <c r="N459" s="5" t="inlineStr"/>
      <c r="O459" s="6" t="inlineStr"/>
      <c r="P459" s="6" t="inlineStr"/>
      <c r="Q459" s="5" t="inlineStr"/>
      <c r="R459" s="5" t="inlineStr"/>
      <c r="S459" s="5" t="inlineStr"/>
      <c r="T459" s="5" t="inlineStr"/>
      <c r="U459" s="5" t="inlineStr"/>
      <c r="V459" s="5" t="inlineStr">
        <is>
          <t>ehliyetli</t>
        </is>
      </c>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row>
    <row r="460">
      <c r="A460" s="5" t="inlineStr">
        <is>
          <t>b6-ehliyet</t>
        </is>
      </c>
      <c r="B460" s="5" t="n">
        <v>2</v>
      </c>
      <c r="C460" s="6" t="inlineStr">
        <is>
          <t>Yokuşta el frenine güven</t>
        </is>
      </c>
      <c r="D460" s="5" t="inlineStr">
        <is>
          <t>Dayanıklılık</t>
        </is>
      </c>
      <c r="E460" s="5" t="inlineStr">
        <is>
          <t>Orta</t>
        </is>
      </c>
      <c r="F460" s="5" t="inlineStr"/>
      <c r="G460" s="6" t="inlineStr"/>
      <c r="H460" s="6" t="inlineStr">
        <is>
          <t>El freni, debriyaj, sabır. Araba yokuşu çıktı, sen de sınavı.</t>
        </is>
      </c>
      <c r="I460" s="6" t="inlineStr">
        <is>
          <t>Kalkış o kadar yumuşaktı ki görevli ne zaman kalktığınızı sordu.</t>
        </is>
      </c>
      <c r="J460" s="6" t="inlineStr">
        <is>
          <t>Araba geri kaydı. Arkadaki sınav aracındaki aday da seninle birlikte kaldı.</t>
        </is>
      </c>
      <c r="K460" s="6" t="inlineStr">
        <is>
          <t>Araba stop etti. Sonra bir daha. Sonra görevli indi, yokuşu yürüyerek çıktı.</t>
        </is>
      </c>
      <c r="L460" s="6" t="inlineStr">
        <is>
          <t>Araba bir tık geri kaydı, sonra kalktı. Görevli bir şey yazdı, sonra sildi. Geçtin; zor geçtin.</t>
        </is>
      </c>
      <c r="M460" s="5" t="inlineStr">
        <is>
          <t>hold</t>
        </is>
      </c>
      <c r="N460" s="5" t="inlineStr">
        <is>
          <t>Yokuş Kalkışı</t>
        </is>
      </c>
      <c r="O460" s="6" t="inlineStr">
        <is>
          <t>Debriyajı yavaşça bırak: çubuk yeşil aralığa girince parmağını kaldır. Erken bırakırsan stop, geç bırakırsan geri kayarsın.</t>
        </is>
      </c>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row>
    <row r="461">
      <c r="A461" s="5" t="inlineStr">
        <is>
          <t>b6-ehliyet</t>
        </is>
      </c>
      <c r="B461" s="5" t="n">
        <v>3</v>
      </c>
      <c r="C461" s="6" t="inlineStr">
        <is>
          <t>Görevliyle sohbet aç</t>
        </is>
      </c>
      <c r="D461" s="5" t="inlineStr">
        <is>
          <t>Çene</t>
        </is>
      </c>
      <c r="E461" s="5" t="inlineStr">
        <is>
          <t>Zor</t>
        </is>
      </c>
      <c r="F461" s="5" t="inlineStr"/>
      <c r="G461" s="6" t="inlineStr"/>
      <c r="H461" s="6" t="inlineStr">
        <is>
          <t>Görevli emekli olunca balığa çıkacakmış. Sınav bitti, sen geçtin, konu balıktı.</t>
        </is>
      </c>
      <c r="I461" s="6" t="inlineStr">
        <is>
          <t>Görevli seni oğlunun düğününe davet etti. Ehliyet de posta ile geldi.</t>
        </is>
      </c>
      <c r="J461" s="6" t="inlineStr">
        <is>
          <t>Görevli “Konuşma, sür” dedi. Sustun; o sessizlikte yokuşu da unuttun. Kaldın.</t>
        </is>
      </c>
      <c r="K461" s="6" t="inlineStr">
        <is>
          <t>Sohbete daldın, direksiyonu unuttun, kaldırıma çıktın. Görevlinin çayı kucağına döküldü. Sınav orada bitti; balık hikâyesini hiç duyamadın.</t>
        </is>
      </c>
      <c r="L461" s="6" t="inlineStr"/>
      <c r="M461" s="5" t="inlineStr"/>
      <c r="N461" s="5" t="inlineStr"/>
      <c r="O461" s="6" t="inlineStr"/>
      <c r="P461" s="6" t="inlineStr"/>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row>
    <row r="462">
      <c r="A462" s="5" t="inlineStr">
        <is>
          <t>b6-ehliyet</t>
        </is>
      </c>
      <c r="B462" s="5" t="n">
        <v>4</v>
      </c>
      <c r="C462" s="6" t="inlineStr">
        <is>
          <t>Sınavı ertele</t>
        </is>
      </c>
      <c r="D462" s="5" t="inlineStr"/>
      <c r="E462" s="5" t="inlineStr"/>
      <c r="F462" s="5" t="inlineStr">
        <is>
          <t>Dayanıklılık +1</t>
        </is>
      </c>
      <c r="G462" s="6" t="inlineStr">
        <is>
          <t>Sınavı erteledin. Baban arabanın anahtarını cebine geri koydu; rahatladığını saklamadı. Bir yıl daha her yokuşta “Ben bu yokuşu on sekizimde çıkıyordum” dedi.</t>
        </is>
      </c>
      <c r="H462" s="6" t="inlineStr"/>
      <c r="I462" s="6" t="inlineStr"/>
      <c r="J462" s="6" t="inlineStr"/>
      <c r="K462" s="6" t="inlineStr"/>
      <c r="L462" s="6" t="inlineStr"/>
      <c r="M462" s="5" t="inlineStr"/>
      <c r="N462" s="5" t="inlineStr"/>
      <c r="O462" s="6" t="inlineStr"/>
      <c r="P462" s="6" t="inlineStr"/>
      <c r="Q462" s="5" t="inlineStr"/>
      <c r="R462" s="5" t="inlineStr"/>
      <c r="S462" s="5" t="inlineStr"/>
      <c r="T462" s="5" t="inlineStr"/>
      <c r="U462" s="5" t="inlineStr"/>
      <c r="V462" s="5" t="inlineStr"/>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row>
    <row r="463">
      <c r="A463" s="5" t="inlineStr">
        <is>
          <t>b6-ilk-maas</t>
        </is>
      </c>
      <c r="B463" s="5" t="n">
        <v>1</v>
      </c>
      <c r="C463" s="6" t="inlineStr">
        <is>
          <t>Annene hediye al</t>
        </is>
      </c>
      <c r="D463" s="5" t="inlineStr"/>
      <c r="E463" s="5" t="inlineStr"/>
      <c r="F463" s="5" t="inlineStr">
        <is>
          <t>Gönül +1</t>
        </is>
      </c>
      <c r="G463" s="6" t="inlineStr">
        <is>
          <t>Annene bir şal aldın. Şal naftalinli dolabın en üst rafına kaldırıldı: “Özel günlerde takarım.” Ama gelen her komşuya dolaptan çıkarılıp gösterildi.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row>
    <row r="464">
      <c r="A464" s="5" t="inlineStr">
        <is>
          <t>b6-ilk-maas</t>
        </is>
      </c>
      <c r="B464" s="5" t="n">
        <v>2</v>
      </c>
      <c r="C464" s="6" t="inlineStr">
        <is>
          <t>Hepsini harca</t>
        </is>
      </c>
      <c r="D464" s="5" t="inlineStr"/>
      <c r="E464" s="5" t="inlineStr"/>
      <c r="F464" s="5" t="inlineStr">
        <is>
          <t>Pişkinlik +1, Çene +1</t>
        </is>
      </c>
      <c r="G464" s="6" t="inlineStr">
        <is>
          <t>Maaş üç günde bitti: bir ayakkabı, bir kulaklık, arkadaşlara üç akşam. Kalan yirmi yedi günü annenin buzdolabıyla çıkardın. Annen bir şey demedi; sadece tencereyi biraz daha büyük koydu.</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row>
    <row r="465">
      <c r="A465" s="5" t="inlineStr">
        <is>
          <t>b6-ilk-maas</t>
        </is>
      </c>
      <c r="B465" s="5" t="n">
        <v>3</v>
      </c>
      <c r="C465" s="6" t="inlineStr">
        <is>
          <t>Bütçe tablosu yap</t>
        </is>
      </c>
      <c r="D465" s="5" t="inlineStr">
        <is>
          <t>Akıl</t>
        </is>
      </c>
      <c r="E465" s="5" t="inlineStr">
        <is>
          <t>Zor</t>
        </is>
      </c>
      <c r="F465" s="5" t="inlineStr"/>
      <c r="G465" s="6" t="inlineStr"/>
      <c r="H465" s="6" t="inlineStr">
        <is>
          <t>Tablo hazır. Gelir tek satır, giderler iki sayfa. Ama renkli.</t>
        </is>
      </c>
      <c r="I465" s="6" t="inlineStr">
        <is>
          <t>Tabloyu ay sonuna kadar tuttun ve para arttı. Olay aile tarihine 'mucize' olarak geçti.</t>
        </is>
      </c>
      <c r="J465" s="6" t="inlineStr">
        <is>
          <t>Tablo yaptın. İkinci hafta tabloya bakmayı bıraktın. Tablo sana bakmaya devam etti.</t>
        </is>
      </c>
      <c r="K465" s="6" t="inlineStr">
        <is>
          <t>Formül hatası yüzünden ay sonunda zengin görünüyordun. Harcadın.</t>
        </is>
      </c>
      <c r="L465" s="6" t="inlineStr"/>
      <c r="M465" s="5" t="inlineStr"/>
      <c r="N465" s="5" t="inlineStr"/>
      <c r="O465" s="6" t="inlineStr"/>
      <c r="P465" s="6" t="inlineStr"/>
      <c r="Q465" s="5" t="inlineStr"/>
      <c r="R465" s="5" t="inlineStr"/>
      <c r="S465" s="5" t="inlineStr"/>
      <c r="T465" s="5" t="inlineStr">
        <is>
          <t>Bütçe Tablocusu</t>
        </is>
      </c>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row>
    <row r="466">
      <c r="A466" s="5" t="inlineStr">
        <is>
          <t>b6-ilk-maas</t>
        </is>
      </c>
      <c r="B466" s="5" t="n">
        <v>4</v>
      </c>
      <c r="C466" s="6" t="inlineStr">
        <is>
          <t>Yarısını yastık altına koy</t>
        </is>
      </c>
      <c r="D466" s="5" t="inlineStr">
        <is>
          <t>Kurnazlık</t>
        </is>
      </c>
      <c r="E466" s="5" t="inlineStr">
        <is>
          <t>Kolay</t>
        </is>
      </c>
      <c r="F466" s="5" t="inlineStr"/>
      <c r="G466" s="6" t="inlineStr"/>
      <c r="H466" s="6" t="inlineStr">
        <is>
          <t>Ay sonunda yastığın altından bir hazine çıktı. Kendi hazinen.</t>
        </is>
      </c>
      <c r="I466" s="6" t="inlineStr">
        <is>
          <t>Birikim yastıktan yorgana, oradan dolabın dibine göç etti ve büyüdü. Annen yatağı havalandırırken buldu, saydı, yerine koydu. Akşam babana “Bu çocuk bizden zengin” dedi.</t>
        </is>
      </c>
      <c r="J466" s="6" t="inlineStr">
        <is>
          <t>Sakladın. Yastık kılıfını annen yıkamaya götürdü.</t>
        </is>
      </c>
      <c r="K466" s="6" t="inlineStr">
        <is>
          <t>Sakladın, yerini unuttun. Üç yıl sonra taşınırken bulacaksın. Değeri yarıya inmiş olacak.</t>
        </is>
      </c>
      <c r="L466" s="6" t="inlineStr"/>
      <c r="M466" s="5" t="inlineStr"/>
      <c r="N466" s="5" t="inlineStr"/>
      <c r="O466" s="6" t="inlineStr"/>
      <c r="P466" s="6" t="inlineStr"/>
      <c r="Q466" s="5" t="inlineStr">
        <is>
          <t>Yastık Altı Ekonomisti</t>
        </is>
      </c>
      <c r="R466" s="5" t="inlineStr"/>
      <c r="S466" s="5" t="inlineStr"/>
      <c r="T466" s="5" t="inlineStr"/>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row>
    <row r="467">
      <c r="A467" s="5" t="inlineStr">
        <is>
          <t>b6-usta-cirak</t>
        </is>
      </c>
      <c r="B467" s="5" t="n">
        <v>1</v>
      </c>
      <c r="C467" s="6" t="inlineStr">
        <is>
          <t>Çayı mükemmelleştir</t>
        </is>
      </c>
      <c r="D467" s="5" t="inlineStr"/>
      <c r="E467" s="5" t="inlineStr"/>
      <c r="F467" s="5" t="inlineStr">
        <is>
          <t>İtibar +1, Dayanıklılık +1</t>
        </is>
      </c>
      <c r="G467" s="6" t="inlineStr">
        <is>
          <t>Çayın ustanın ağzına layık oldu. Dükkana gelen herkes çay için kalıyor. İş hâlâ yok.</t>
        </is>
      </c>
      <c r="H467" s="6" t="inlineStr"/>
      <c r="I467" s="6" t="inlineStr"/>
      <c r="J467" s="6" t="inlineStr"/>
      <c r="K467" s="6" t="inlineStr"/>
      <c r="L467" s="6" t="inlineStr"/>
      <c r="M467" s="5" t="inlineStr"/>
      <c r="N467" s="5" t="inlineStr"/>
      <c r="O467" s="6" t="inlineStr"/>
      <c r="P467" s="6" t="inlineStr"/>
      <c r="Q467" s="5" t="inlineStr"/>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row>
    <row r="468">
      <c r="A468" s="5" t="inlineStr">
        <is>
          <t>b6-usta-cirak</t>
        </is>
      </c>
      <c r="B468" s="5" t="n">
        <v>2</v>
      </c>
      <c r="C468" s="6" t="inlineStr">
        <is>
          <t>Ustayı gizlice izle</t>
        </is>
      </c>
      <c r="D468" s="5" t="inlineStr">
        <is>
          <t>Sosyal Radar</t>
        </is>
      </c>
      <c r="E468" s="5" t="inlineStr">
        <is>
          <t>Orta</t>
        </is>
      </c>
      <c r="F468" s="5" t="inlineStr"/>
      <c r="G468" s="6" t="inlineStr"/>
      <c r="H468" s="6" t="inlineStr">
        <is>
          <t>Ustanın ellerini üç ay izledin. Bir sabah o tuhaf sesin nereden geldiğini buldun.</t>
        </is>
      </c>
      <c r="I468" s="6" t="inlineStr">
        <is>
          <t>Usta bir gün 'Sen yap' deyip çıktı. Döndüğünde motor çalışıyordu. Sana ilk kez çayı o koydu.</t>
        </is>
      </c>
      <c r="J468" s="6" t="inlineStr">
        <is>
          <t>İzledin ama usta hep sırtını dönüyordu. Sırtını çok iyi tanıyorsun artık.</t>
        </is>
      </c>
      <c r="K468" s="6" t="inlineStr">
        <is>
          <t>İzlerken sökülen parçaları karıştırdın. Müşterinin arabası şimdi bir ses daha çıkarıyor.</t>
        </is>
      </c>
      <c r="L468" s="6" t="inlineStr"/>
      <c r="M468" s="5" t="inlineStr"/>
      <c r="N468" s="5" t="inlineStr"/>
      <c r="O468" s="6" t="inlineStr"/>
      <c r="P468" s="6" t="inlineStr"/>
      <c r="Q468" s="5" t="inlineStr"/>
      <c r="R468" s="5" t="inlineStr"/>
      <c r="S468" s="5" t="inlineStr"/>
      <c r="T468" s="5" t="inlineStr"/>
      <c r="U468" s="5" t="inlineStr"/>
      <c r="V468" s="5" t="inlineStr">
        <is>
          <t>usta-eli</t>
        </is>
      </c>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row>
    <row r="469">
      <c r="A469" s="5" t="inlineStr">
        <is>
          <t>b6-usta-cirak</t>
        </is>
      </c>
      <c r="B469" s="5" t="n">
        <v>3</v>
      </c>
      <c r="C469" s="6" t="inlineStr">
        <is>
          <t>O özel vidanın yerini bul</t>
        </is>
      </c>
      <c r="D469" s="5" t="inlineStr">
        <is>
          <t>Kurnazlık</t>
        </is>
      </c>
      <c r="E469" s="5" t="inlineStr">
        <is>
          <t>Zor</t>
        </is>
      </c>
      <c r="F469" s="5" t="inlineStr"/>
      <c r="G469" s="6" t="inlineStr"/>
      <c r="H469" s="6" t="inlineStr">
        <is>
          <t>Vidayı buldun. Ustaya söylemedin. Aranızda artık sessiz bir eşitlik var.</t>
        </is>
      </c>
      <c r="I469" s="6" t="inlineStr">
        <is>
          <t>Vidayla birlikte otuz yıllık fiyat defterini de buldun. Ustalık belgesi değil ama yakın.</t>
        </is>
      </c>
      <c r="J469" s="6" t="inlineStr">
        <is>
          <t>Vidayı ararken usta arkandaydı. 'Bir şey mi kaybettin?' dedi.</t>
        </is>
      </c>
      <c r="K469" s="6" t="inlineStr">
        <is>
          <t>Vida yerine çay ocağının altındaki eski kasayı buldun. Usta ertesi gün kilidi değiştirdi.</t>
        </is>
      </c>
      <c r="L469" s="6" t="inlineStr"/>
      <c r="M469" s="5" t="inlineStr"/>
      <c r="N469" s="5" t="inlineStr"/>
      <c r="O469" s="6" t="inlineStr"/>
      <c r="P469" s="6" t="inlineStr"/>
      <c r="Q469" s="5" t="inlineStr"/>
      <c r="R469" s="5" t="inlineStr"/>
      <c r="S469" s="5" t="inlineStr">
        <is>
          <t>Kurnazlık</t>
        </is>
      </c>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row>
    <row r="470">
      <c r="A470" s="5" t="inlineStr">
        <is>
          <t>b6-usta-cirak</t>
        </is>
      </c>
      <c r="B470" s="5" t="n">
        <v>4</v>
      </c>
      <c r="C470" s="6" t="inlineStr">
        <is>
          <t>Kendi yöntemini dene</t>
        </is>
      </c>
      <c r="D470" s="5" t="inlineStr">
        <is>
          <t>Cesaret</t>
        </is>
      </c>
      <c r="E470" s="5" t="inlineStr">
        <is>
          <t>Zor</t>
        </is>
      </c>
      <c r="F470" s="5" t="inlineStr"/>
      <c r="G470" s="6" t="inlineStr"/>
      <c r="H470" s="6" t="inlineStr">
        <is>
          <t>Kendi yönteminle tamir ettin. Usta 'Bu da bir yol' dedi. Övgü sayılıyor.</t>
        </is>
      </c>
      <c r="I470" s="6" t="inlineStr">
        <is>
          <t>Yöntemin ustanınkinden hızlı çıktı. Usta iki gün konuşmadı, üçüncü gün aynısını yaptı.</t>
        </is>
      </c>
      <c r="J470" s="6" t="inlineStr">
        <is>
          <t>Kendi yönteminle başladın, bir parça fazladan söktün. Usta gelip sesini çıkarmadan yerine taktı; sana bakmadı bile. Sonra “Çay koy” dedi.</t>
        </is>
      </c>
      <c r="K470" s="6" t="inlineStr">
        <is>
          <t>Araba çalıştı; ama yalnızca geri geri gidiyor. Müşteri sanayiden geri geri çıktı. Sanayide adın artık “Geri Vites”.</t>
        </is>
      </c>
      <c r="L470" s="6" t="inlineStr"/>
      <c r="M470" s="5" t="inlineStr"/>
      <c r="N470" s="5" t="inlineStr"/>
      <c r="O470" s="6" t="inlineStr"/>
      <c r="P470" s="6" t="inlineStr"/>
      <c r="Q470" s="5" t="inlineStr"/>
      <c r="R470" s="5" t="inlineStr"/>
      <c r="S470" s="5" t="inlineStr"/>
      <c r="T470" s="5" t="inlineStr"/>
      <c r="U470" s="5" t="inlineStr"/>
      <c r="V470" s="5" t="inlineStr"/>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is>
          <t>Geri Vites</t>
        </is>
      </c>
    </row>
    <row r="471">
      <c r="A471" s="5" t="inlineStr">
        <is>
          <t>b6-final-haftasi</t>
        </is>
      </c>
      <c r="B471" s="5" t="n">
        <v>1</v>
      </c>
      <c r="C471" s="6" t="inlineStr">
        <is>
          <t>Sabaha kadar çalış</t>
        </is>
      </c>
      <c r="D471" s="5" t="inlineStr"/>
      <c r="E471" s="5" t="inlineStr"/>
      <c r="F471" s="5" t="inlineStr">
        <is>
          <t>Dayanıklılık +1, Akıl +1</t>
        </is>
      </c>
      <c r="G471" s="6" t="inlineStr">
        <is>
          <t>Sabaha kadar çalıştın. Sınavda her şeyi hatırladın, yalnızca sırasını değil.</t>
        </is>
      </c>
      <c r="H471" s="6" t="inlineStr"/>
      <c r="I471" s="6" t="inlineStr"/>
      <c r="J471" s="6" t="inlineStr"/>
      <c r="K471" s="6" t="inlineStr"/>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row>
    <row r="472">
      <c r="A472" s="5" t="inlineStr">
        <is>
          <t>b6-final-haftasi</t>
        </is>
      </c>
      <c r="B472" s="5" t="n">
        <v>2</v>
      </c>
      <c r="C472" s="6" t="inlineStr">
        <is>
          <t>Geçen yılın sorularını bul</t>
        </is>
      </c>
      <c r="D472" s="5" t="inlineStr">
        <is>
          <t>Kurnazlık</t>
        </is>
      </c>
      <c r="E472" s="5" t="inlineStr">
        <is>
          <t>Kolay</t>
        </is>
      </c>
      <c r="F472" s="5" t="inlineStr"/>
      <c r="G472" s="6" t="inlineStr"/>
      <c r="H472" s="6" t="inlineStr">
        <is>
          <t>Geçen yılın soruları birebir çıktı. Sınıfın yarısı o fotokopiciyi bilmiyordu.</t>
        </is>
      </c>
      <c r="I472" s="6" t="inlineStr">
        <is>
          <t>Son beş yılın soruları elinde. Fotokopici seni ortak yapmayı teklif etti.</t>
        </is>
      </c>
      <c r="J472" s="6" t="inlineStr">
        <is>
          <t>Soruları buldun. Hoca bu yıl emekli olmuş, yerine gelen kendi sorularını getirmiş.</t>
        </is>
      </c>
      <c r="K472" s="6" t="inlineStr">
        <is>
          <t>Bulduğun sorular başka bölümünmüş. Sınavda istatistik bekledin, edebiyat geldi.</t>
        </is>
      </c>
      <c r="L472" s="6" t="inlineStr"/>
      <c r="M472" s="5" t="inlineStr"/>
      <c r="N472" s="5" t="inlineStr"/>
      <c r="O472" s="6" t="inlineStr"/>
      <c r="P472" s="6" t="inlineStr"/>
      <c r="Q472" s="5" t="inlineStr"/>
      <c r="R472" s="5" t="inlineStr"/>
      <c r="S472" s="5" t="inlineStr">
        <is>
          <t>Akıl</t>
        </is>
      </c>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row>
    <row r="473">
      <c r="A473" s="5" t="inlineStr">
        <is>
          <t>b6-final-haftasi</t>
        </is>
      </c>
      <c r="B473" s="5" t="n">
        <v>3</v>
      </c>
      <c r="C473" s="6" t="inlineStr">
        <is>
          <t>Çalışma grubu kur</t>
        </is>
      </c>
      <c r="D473" s="5" t="inlineStr">
        <is>
          <t>Sosyal Radar</t>
        </is>
      </c>
      <c r="E473" s="5" t="inlineStr">
        <is>
          <t>Orta</t>
        </is>
      </c>
      <c r="F473" s="5" t="inlineStr"/>
      <c r="G473" s="6" t="inlineStr"/>
      <c r="H473" s="6" t="inlineStr">
        <is>
          <t>Üç saat çalışıldı, iki saat yemek siparişi tartışıldı. Sınavda yemekle ilgili bir soru çıksa hepiniz tam alırdınız.</t>
        </is>
      </c>
      <c r="I473" s="6" t="inlineStr">
        <is>
          <t>Grubun en iyisi herkese özet çıkardı. Senin katkın grubun adıydı. Yeterli oldu.</t>
        </is>
      </c>
      <c r="J473" s="6" t="inlineStr">
        <is>
          <t>Grup adı üzerinde anlaşılamadı. Sınav geldi.</t>
        </is>
      </c>
      <c r="K473" s="6" t="inlineStr">
        <is>
          <t>Herkes senin notlarına güveniyordu. Senin notun yoktu.</t>
        </is>
      </c>
      <c r="L473" s="6" t="inlineStr"/>
      <c r="M473" s="5" t="inlineStr"/>
      <c r="N473" s="5" t="inlineStr"/>
      <c r="O473" s="6" t="inlineStr"/>
      <c r="P473" s="6" t="inlineStr"/>
      <c r="Q473" s="5" t="inlineStr"/>
      <c r="R473" s="5" t="inlineStr"/>
      <c r="S473" s="5" t="inlineStr"/>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row>
    <row r="474">
      <c r="A474" s="5" t="inlineStr">
        <is>
          <t>b6-final-haftasi</t>
        </is>
      </c>
      <c r="B474" s="5" t="n">
        <v>4</v>
      </c>
      <c r="C474" s="6" t="inlineStr">
        <is>
          <t>Hocaya e-posta at</t>
        </is>
      </c>
      <c r="D474" s="5" t="inlineStr">
        <is>
          <t>Pişkinlik</t>
        </is>
      </c>
      <c r="E474" s="5" t="inlineStr">
        <is>
          <t>Zor</t>
        </is>
      </c>
      <c r="F474" s="5" t="inlineStr"/>
      <c r="G474" s="6" t="inlineStr"/>
      <c r="H474" s="6" t="inlineStr">
        <is>
          <t>'Konu kapsamı' sordun. Cevap: 'Her şey.' Yine de bir bilgi.</t>
        </is>
      </c>
      <c r="I474" s="6" t="inlineStr">
        <is>
          <t>Hoca iki konuyu kapsamdan çıkardı. Bütün bölüm seni tanımadan sevdi.</t>
        </is>
      </c>
      <c r="J474" s="6" t="inlineStr">
        <is>
          <t>E-postan 'Sayın hocam' ile başlayıp 'özeti yok mu' ile bitti. Cevap gelmedi.</t>
        </is>
      </c>
      <c r="K474" s="6" t="inlineStr">
        <is>
          <t>E-postayı “Hocam özet yok mu, yoksa ben mi bulamadım?” diye bitirip bütün bölüm listesine gönderdin. Hoca cevabı da herkese yazdı: “Bulamadınız.”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row>
    <row r="475">
      <c r="A475" s="5" t="inlineStr">
        <is>
          <t>b6-kredi-karti</t>
        </is>
      </c>
      <c r="B475" s="5" t="n">
        <v>1</v>
      </c>
      <c r="C475" s="6" t="inlineStr">
        <is>
          <t>Kartı reddet</t>
        </is>
      </c>
      <c r="D475" s="5" t="inlineStr"/>
      <c r="E475" s="5" t="inlineStr"/>
      <c r="F475" s="5" t="inlineStr">
        <is>
          <t>İtibar +1</t>
        </is>
      </c>
      <c r="G475" s="6" t="inlineStr">
        <is>
          <t>Reddettin. Banka bir hafta sonra yine aradı. Üçüncü aramada temsilci “Bu sefer de mi hayır?” dedi; sesi gerçekten kırgındı.</t>
        </is>
      </c>
      <c r="H475" s="6" t="inlineStr"/>
      <c r="I475" s="6" t="inlineStr"/>
      <c r="J475" s="6" t="inlineStr"/>
      <c r="K475" s="6" t="inlineStr"/>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row>
    <row r="476">
      <c r="A476" s="5" t="inlineStr">
        <is>
          <t>b6-kredi-karti</t>
        </is>
      </c>
      <c r="B476" s="5" t="n">
        <v>2</v>
      </c>
      <c r="C476" s="6" t="inlineStr">
        <is>
          <t>Sadece acil durumlar için al</t>
        </is>
      </c>
      <c r="D476" s="5" t="inlineStr">
        <is>
          <t>Dayanıklılık</t>
        </is>
      </c>
      <c r="E476" s="5" t="inlineStr">
        <is>
          <t>Orta</t>
        </is>
      </c>
      <c r="F476" s="5" t="inlineStr"/>
      <c r="G476" s="6" t="inlineStr"/>
      <c r="H476" s="6" t="inlineStr">
        <is>
          <t>Kart çekmecede durdu. Acil durum bir kez yaşandı: kargo ücreti.</t>
        </is>
      </c>
      <c r="I476" s="6" t="inlineStr">
        <is>
          <t>Kart bir yıl çekmecede bekledi. Banka limiti artırdı, sen harcamayı artırmadın.</t>
        </is>
      </c>
      <c r="J476" s="6" t="inlineStr">
        <is>
          <t>Acil durum tanımın zamanla genişledi. Kahve de acil durum oldu.</t>
        </is>
      </c>
      <c r="K476" s="6" t="inlineStr">
        <is>
          <t>Acil durumlar listesi kırk maddeye ulaştı. Asgari ödeme artık bir yaşam tarzı.</t>
        </is>
      </c>
      <c r="L476" s="6" t="inlineStr"/>
      <c r="M476" s="5" t="inlineStr"/>
      <c r="N476" s="5" t="inlineStr"/>
      <c r="O476" s="6" t="inlineStr"/>
      <c r="P476" s="6" t="inlineStr"/>
      <c r="Q476" s="5" t="inlineStr"/>
      <c r="R476" s="5" t="inlineStr"/>
      <c r="S476" s="5" t="inlineStr"/>
      <c r="T476" s="5" t="inlineStr"/>
      <c r="U476" s="5" t="inlineStr"/>
      <c r="V476" s="5" t="inlineStr"/>
      <c r="W476" s="5" t="inlineStr">
        <is>
          <t>borclu</t>
        </is>
      </c>
      <c r="X476" s="5" t="inlineStr"/>
      <c r="Y476" s="5" t="inlineStr"/>
      <c r="Z476" s="6" t="inlineStr"/>
      <c r="AA476" s="5" t="inlineStr"/>
      <c r="AB476" s="5" t="inlineStr"/>
      <c r="AC476" s="5" t="inlineStr"/>
      <c r="AD476" s="5" t="inlineStr"/>
      <c r="AE476" s="5" t="inlineStr"/>
      <c r="AF476" s="5" t="inlineStr"/>
      <c r="AG476" s="5" t="inlineStr"/>
      <c r="AH476" s="5" t="inlineStr"/>
      <c r="AI476" s="5" t="inlineStr"/>
    </row>
    <row r="477">
      <c r="A477" s="5" t="inlineStr">
        <is>
          <t>b6-kredi-karti</t>
        </is>
      </c>
      <c r="B477" s="5" t="n">
        <v>3</v>
      </c>
      <c r="C477" s="6" t="inlineStr">
        <is>
          <t>Limiti sonuna kadar kullan</t>
        </is>
      </c>
      <c r="D477" s="5" t="inlineStr"/>
      <c r="E477" s="5" t="inlineStr"/>
      <c r="F477" s="5" t="inlineStr">
        <is>
          <t>Pişkinlik +2</t>
        </is>
      </c>
      <c r="G477" s="6" t="inlineStr">
        <is>
          <t>Limiti bir haftada doldurdun. Banka hemen artırdı. Ay sonunda ekstreyi annen senden önce açtı; o akşam sofrada kimse tuzu bile istemedi.</t>
        </is>
      </c>
      <c r="H477" s="6" t="inlineStr"/>
      <c r="I477" s="6" t="inlineStr"/>
      <c r="J477" s="6" t="inlineStr"/>
      <c r="K477" s="6" t="inlineStr"/>
      <c r="L477" s="6" t="inlineStr"/>
      <c r="M477" s="5" t="inlineStr"/>
      <c r="N477" s="5" t="inlineStr"/>
      <c r="O477" s="6" t="inlineStr"/>
      <c r="P477" s="6" t="inlineStr"/>
      <c r="Q477" s="5" t="inlineStr"/>
      <c r="R477" s="5" t="inlineStr"/>
      <c r="S477" s="5" t="inlineStr"/>
      <c r="T477" s="5" t="inlineStr"/>
      <c r="U477" s="5" t="inlineStr">
        <is>
          <t>borclu</t>
        </is>
      </c>
      <c r="V477" s="5" t="inlineStr"/>
      <c r="W477" s="5" t="inlineStr"/>
      <c r="X477" s="5" t="inlineStr"/>
      <c r="Y477" s="5" t="inlineStr"/>
      <c r="Z477" s="6" t="inlineStr"/>
      <c r="AA477" s="5" t="inlineStr"/>
      <c r="AB477" s="5" t="inlineStr"/>
      <c r="AC477" s="5" t="inlineStr"/>
      <c r="AD477" s="5" t="inlineStr"/>
      <c r="AE477" s="5" t="inlineStr"/>
      <c r="AF477" s="5" t="inlineStr"/>
      <c r="AG477" s="5" t="inlineStr"/>
      <c r="AH477" s="5" t="inlineStr"/>
      <c r="AI477" s="5" t="inlineStr"/>
    </row>
    <row r="478">
      <c r="A478" s="5" t="inlineStr">
        <is>
          <t>b6-kredi-karti</t>
        </is>
      </c>
      <c r="B478" s="5" t="n">
        <v>4</v>
      </c>
      <c r="C478" s="6" t="inlineStr">
        <is>
          <t>Faizleri hesapla</t>
        </is>
      </c>
      <c r="D478" s="5" t="inlineStr">
        <is>
          <t>Akıl</t>
        </is>
      </c>
      <c r="E478" s="5" t="inlineStr">
        <is>
          <t>Kolay</t>
        </is>
      </c>
      <c r="F478" s="5" t="inlineStr"/>
      <c r="G478" s="6" t="inlineStr"/>
      <c r="H478" s="6" t="inlineStr">
        <is>
          <t>Faiz tablosunu gördün. Kartı alıp hiç kullanmamaya karar verdin.</t>
        </is>
      </c>
      <c r="I478" s="6" t="inlineStr">
        <is>
          <t>Bankayı arayıp yıllık ücreti iptal ettirdin. Temsilci ilk kez bir müşteriden bir şey öğrendi.</t>
        </is>
      </c>
      <c r="J478" s="6" t="inlineStr">
        <is>
          <t>Hesapladın. Sonuç korkunçtu. Kartı yine de aldın, çünkü tasarımı güzeldi.</t>
        </is>
      </c>
      <c r="K478" s="6" t="inlineStr">
        <is>
          <t>Asgari ödemeyi gelir satırına yazdın. Tablo sana 'Zenginsin' dedi. Tablo yalan söylüyordu.</t>
        </is>
      </c>
      <c r="L478" s="6" t="inlineStr"/>
      <c r="M478" s="5" t="inlineStr"/>
      <c r="N478" s="5" t="inlineStr"/>
      <c r="O478" s="6" t="inlineStr"/>
      <c r="P478" s="6" t="inlineStr"/>
      <c r="Q478" s="5" t="inlineStr">
        <is>
          <t>Bütçe Tablocusu</t>
        </is>
      </c>
      <c r="R478" s="5" t="inlineStr"/>
      <c r="S478" s="5" t="inlineStr"/>
      <c r="T478" s="5" t="inlineStr"/>
      <c r="U478" s="5" t="inlineStr"/>
      <c r="V478" s="5" t="inlineStr"/>
      <c r="W478" s="5" t="inlineStr">
        <is>
          <t>borclu</t>
        </is>
      </c>
      <c r="X478" s="5" t="inlineStr"/>
      <c r="Y478" s="5" t="inlineStr"/>
      <c r="Z478" s="6" t="inlineStr"/>
      <c r="AA478" s="5" t="inlineStr"/>
      <c r="AB478" s="5" t="inlineStr"/>
      <c r="AC478" s="5" t="inlineStr"/>
      <c r="AD478" s="5" t="inlineStr"/>
      <c r="AE478" s="5" t="inlineStr"/>
      <c r="AF478" s="5" t="inlineStr"/>
      <c r="AG478" s="5" t="inlineStr"/>
      <c r="AH478" s="5" t="inlineStr"/>
      <c r="AI478" s="5" t="inlineStr"/>
    </row>
    <row r="479">
      <c r="A479" s="5" t="inlineStr">
        <is>
          <t>b6-ogrenci-kulubu</t>
        </is>
      </c>
      <c r="B479" s="5" t="n">
        <v>1</v>
      </c>
      <c r="C479" s="6" t="inlineStr">
        <is>
          <t>Bir kulübe yazıl, bir daha gitme</t>
        </is>
      </c>
      <c r="D479" s="5" t="inlineStr"/>
      <c r="E479" s="5" t="inlineStr"/>
      <c r="F479" s="5" t="inlineStr">
        <is>
          <t>Kurnazlık +1</t>
        </is>
      </c>
      <c r="G479" s="6" t="inlineStr">
        <is>
          <t>Üye listesinde adın hâlâ duruyor. Aidat hatırlatmaları da.</t>
        </is>
      </c>
      <c r="H479" s="6" t="inlineStr"/>
      <c r="I479" s="6" t="inlineStr"/>
      <c r="J479" s="6" t="inlineStr"/>
      <c r="K479" s="6" t="inlineStr"/>
      <c r="L479" s="6" t="inlineStr"/>
      <c r="M479" s="5" t="inlineStr"/>
      <c r="N479" s="5" t="inlineStr"/>
      <c r="O479" s="6" t="inlineStr"/>
      <c r="P479" s="6" t="inlineStr"/>
      <c r="Q479" s="5" t="inlineStr"/>
      <c r="R479" s="5" t="inlineStr"/>
      <c r="S479" s="5" t="inlineStr"/>
      <c r="T479" s="5" t="inlineStr"/>
      <c r="U479" s="5" t="inlineStr"/>
      <c r="V479" s="5" t="inlineStr"/>
      <c r="W479" s="5" t="inlineStr"/>
      <c r="X479" s="5" t="inlineStr"/>
      <c r="Y479" s="5" t="inlineStr"/>
      <c r="Z479" s="6" t="inlineStr"/>
      <c r="AA479" s="5" t="inlineStr"/>
      <c r="AB479" s="5" t="inlineStr"/>
      <c r="AC479" s="5" t="inlineStr"/>
      <c r="AD479" s="5" t="inlineStr"/>
      <c r="AE479" s="5" t="inlineStr"/>
      <c r="AF479" s="5" t="inlineStr"/>
      <c r="AG479" s="5" t="inlineStr"/>
      <c r="AH479" s="5" t="inlineStr"/>
      <c r="AI479" s="5" t="inlineStr"/>
    </row>
    <row r="480">
      <c r="A480" s="5" t="inlineStr">
        <is>
          <t>b6-ogrenci-kulubu</t>
        </is>
      </c>
      <c r="B480" s="5" t="n">
        <v>2</v>
      </c>
      <c r="C480" s="6" t="inlineStr">
        <is>
          <t>Doğa yürüyüşü kulübüne katıl</t>
        </is>
      </c>
      <c r="D480" s="5" t="inlineStr">
        <is>
          <t>Dayanıklılık</t>
        </is>
      </c>
      <c r="E480" s="5" t="inlineStr">
        <is>
          <t>Orta</t>
        </is>
      </c>
      <c r="F480" s="5" t="inlineStr"/>
      <c r="G480" s="6" t="inlineStr"/>
      <c r="H480" s="6" t="inlineStr">
        <is>
          <t>İlk yürüyüşü bitirdin. Fotoğraflarda hep önde, hep ter içinde.</t>
        </is>
      </c>
      <c r="I480" s="6" t="inlineStr">
        <is>
          <t>Kulübün en hızlı yeni üyesisin. Rota planlaması artık sana soruluyor.</t>
        </is>
      </c>
      <c r="J480" s="6" t="inlineStr">
        <is>
          <t>Otobüste uyudun, döndüğünde 'Harikaydı' dedin.</t>
        </is>
      </c>
      <c r="K480" s="6" t="inlineStr">
        <is>
          <t>Yürüyüşte kayboldun. Kulüp seni dört saat aradı; köy kahvesinde muhtarla tavla oynarken buldular. Sonraki bütün yürüyüşlerde ipin ucu sana bağlı.</t>
        </is>
      </c>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row>
    <row r="481">
      <c r="A481" s="5" t="inlineStr">
        <is>
          <t>b6-ogrenci-kulubu</t>
        </is>
      </c>
      <c r="B481" s="5" t="n">
        <v>3</v>
      </c>
      <c r="C481" s="6" t="inlineStr">
        <is>
          <t>Tiyatro kulübünde rol al</t>
        </is>
      </c>
      <c r="D481" s="5" t="inlineStr">
        <is>
          <t>Pişkinlik</t>
        </is>
      </c>
      <c r="E481" s="5" t="inlineStr">
        <is>
          <t>Orta</t>
        </is>
      </c>
      <c r="F481" s="5" t="inlineStr"/>
      <c r="G481" s="6" t="inlineStr"/>
      <c r="H481" s="6" t="inlineStr">
        <is>
          <t>Sekiz satırlık rolün dördünü söyledin, dördünü doğaçladın. Alkış eşitti.</t>
        </is>
      </c>
      <c r="I481" s="6" t="inlineStr">
        <is>
          <t>Yan rolle başladın; ikinci perdede başrolün sesi kısılınca repliklerini sen söyledin. Annen oyunu üç akşam izledi, her akşam başka bir teyzeyi getirdi. Afişi buzdolabına mıknatısla astı.</t>
        </is>
      </c>
      <c r="J481" s="6" t="inlineStr">
        <is>
          <t>Rolün: 'Ağaç 2'. Ağaç 1 daha çok sahnedeydi.</t>
        </is>
      </c>
      <c r="K481" s="6" t="inlineStr">
        <is>
          <t>Sahneye erken çıktın, perde daha kapalıydı. Perde açıldığında seni dekorun ortasında ayakkabını bağlarken buldu. Salon güldü; oyun dramdı.</t>
        </is>
      </c>
      <c r="L481" s="6" t="inlineStr"/>
      <c r="M481" s="5" t="inlineStr"/>
      <c r="N481" s="5" t="inlineStr"/>
      <c r="O481" s="6" t="inlineStr"/>
      <c r="P481" s="6" t="inlineStr"/>
      <c r="Q481" s="5" t="inlineStr"/>
      <c r="R481" s="5" t="inlineStr"/>
      <c r="S481" s="5" t="inlineStr"/>
      <c r="T481" s="5" t="inlineStr">
        <is>
          <t>Sahne Sever</t>
        </is>
      </c>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row>
    <row r="482">
      <c r="A482" s="5" t="inlineStr">
        <is>
          <t>b6-ogrenci-kulubu</t>
        </is>
      </c>
      <c r="B482" s="5" t="n">
        <v>4</v>
      </c>
      <c r="C482" s="6" t="inlineStr">
        <is>
          <t>Başkanlığa aday ol</t>
        </is>
      </c>
      <c r="D482" s="5" t="inlineStr">
        <is>
          <t>İtibar</t>
        </is>
      </c>
      <c r="E482" s="5" t="inlineStr">
        <is>
          <t>Zor</t>
        </is>
      </c>
      <c r="F482" s="5" t="inlineStr"/>
      <c r="G482" s="6" t="inlineStr"/>
      <c r="H482" s="6" t="inlineStr">
        <is>
          <t>Seçimi kazandın. İlk icraatın bir sonraki toplantıyı ertelemek oldu.</t>
        </is>
      </c>
      <c r="I482" s="6" t="inlineStr">
        <is>
          <t>Oy birliğiyle seçildin. Rakibin sana yardımcı olmak için çekildi. Başkanlık yılları geri döndü.</t>
        </is>
      </c>
      <c r="J482" s="6" t="inlineStr">
        <is>
          <t>Kaybettin. Kazanan senin broşürünü kullanmıştı.</t>
        </is>
      </c>
      <c r="K482" s="6" t="inlineStr">
        <is>
          <t>Seçimde tek oy aldın: kendi oyun. Sayımda o da geçersiz çıktı; pusulaya kendi adını yanlış yazmışsın.</t>
        </is>
      </c>
      <c r="L482" s="6" t="inlineStr"/>
      <c r="M482" s="5" t="inlineStr"/>
      <c r="N482" s="5" t="inlineStr"/>
      <c r="O482" s="6" t="inlineStr"/>
      <c r="P482" s="6" t="inlineStr"/>
      <c r="Q482" s="5" t="inlineStr"/>
      <c r="R482" s="5" t="inlineStr">
        <is>
          <t>baskan</t>
        </is>
      </c>
      <c r="S482" s="5" t="inlineStr"/>
      <c r="T482" s="5" t="inlineStr"/>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row>
    <row r="483">
      <c r="A483" s="5" t="inlineStr">
        <is>
          <t>b6-gece-motor</t>
        </is>
      </c>
      <c r="B483" s="5" t="n">
        <v>1</v>
      </c>
      <c r="C483" s="6" t="inlineStr">
        <is>
          <t>Kaskı tak, yavaş sür</t>
        </is>
      </c>
      <c r="D483" s="5" t="inlineStr"/>
      <c r="E483" s="5" t="inlineStr"/>
      <c r="F483" s="5" t="inlineStr">
        <is>
          <t>İtibar +1, Dayanıklılık +1</t>
        </is>
      </c>
      <c r="G483" s="6" t="inlineStr">
        <is>
          <t>Yarışa girmedin. Sahilde saatte otuzla tur attın. Martılar seni geçti.</t>
        </is>
      </c>
      <c r="H483" s="6" t="inlineStr"/>
      <c r="I483" s="6" t="inlineStr"/>
      <c r="J483" s="6" t="inlineStr"/>
      <c r="K483" s="6" t="inlineStr"/>
      <c r="L483" s="6" t="inlineStr"/>
      <c r="M483" s="5" t="inlineStr"/>
      <c r="N483" s="5" t="inlineStr"/>
      <c r="O483" s="6" t="inlineStr"/>
      <c r="P483" s="6" t="inlineStr"/>
      <c r="Q483" s="5" t="inlineStr"/>
      <c r="R483" s="5" t="inlineStr"/>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row>
    <row r="484">
      <c r="A484" s="5" t="inlineStr">
        <is>
          <t>b6-gece-motor</t>
        </is>
      </c>
      <c r="B484" s="5" t="n">
        <v>2</v>
      </c>
      <c r="C484" s="6" t="inlineStr">
        <is>
          <t>Yarışa katıl</t>
        </is>
      </c>
      <c r="D484" s="5" t="inlineStr">
        <is>
          <t>Cesaret</t>
        </is>
      </c>
      <c r="E484" s="5" t="inlineStr">
        <is>
          <t>Zor</t>
        </is>
      </c>
      <c r="F484" s="5" t="inlineStr"/>
      <c r="G484" s="6" t="inlineStr"/>
      <c r="H484" s="6" t="inlineStr">
        <is>
          <t>Yarışı kazandın. Ödül: sabaha kadar anlatılan bir hikâye ve bir hız cezası.</t>
        </is>
      </c>
      <c r="I484" s="6" t="inlineStr">
        <is>
          <t>Kazandın. Motorun sahibi seni gelecek haftaya davet etti. Motoru geri verip eve gittin.</t>
        </is>
      </c>
      <c r="J484" s="6" t="inlineStr">
        <is>
          <t>Motor son düzlükte stop etti. Onu köprüye kadar ittin.</t>
        </is>
      </c>
      <c r="K484" s="6" t="inlineStr">
        <is>
          <t>Virajı alamadın, kumsala daldın. Motor kuma yarıya kadar gömüldü, sen bir balıkçının oltasının dibine indin; dirseğin sıyrık. Balıkçı “Bugün de bu tuttu” dedi; motorun tamir parası senden.</t>
        </is>
      </c>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n">
        <v>5</v>
      </c>
      <c r="Z484" s="6" t="inlineStr">
        <is>
          <t>Sahil yolundaki gece yarışında, 'Son viraj' dediği virajda.</t>
        </is>
      </c>
      <c r="AA484" s="5" t="inlineStr"/>
      <c r="AB484" s="5" t="inlineStr"/>
      <c r="AC484" s="5" t="inlineStr"/>
      <c r="AD484" s="5" t="inlineStr"/>
      <c r="AE484" s="5" t="inlineStr"/>
      <c r="AF484" s="5" t="inlineStr"/>
      <c r="AG484" s="5" t="inlineStr"/>
      <c r="AH484" s="5" t="inlineStr"/>
      <c r="AI484" s="5" t="inlineStr"/>
    </row>
    <row r="485">
      <c r="A485" s="5" t="inlineStr">
        <is>
          <t>b6-gece-motor</t>
        </is>
      </c>
      <c r="B485" s="5" t="n">
        <v>3</v>
      </c>
      <c r="C485" s="6" t="inlineStr">
        <is>
          <t>Yarışı organize et, sürme</t>
        </is>
      </c>
      <c r="D485" s="5" t="inlineStr">
        <is>
          <t>Kurnazlık</t>
        </is>
      </c>
      <c r="E485" s="5" t="inlineStr">
        <is>
          <t>Orta</t>
        </is>
      </c>
      <c r="F485" s="5" t="inlineStr"/>
      <c r="G485" s="6" t="inlineStr"/>
      <c r="H485" s="6" t="inlineStr">
        <is>
          <t>Başlangıç bayrağını sen salladın. Kimse seni fark etmedi ama hikâyede sen vardın.</t>
        </is>
      </c>
      <c r="I485" s="6" t="inlineStr">
        <is>
          <t>Kazananı önceden bildin. Herkesin gözünde kâhin oldun ve yarış bir daha yapılmadı.</t>
        </is>
      </c>
      <c r="J485" s="6" t="inlineStr">
        <is>
          <t>Bayrak diye salladığın şey birinin montuydu. Mont sahibi yarışı bıraktı.</t>
        </is>
      </c>
      <c r="K485" s="6" t="inlineStr">
        <is>
          <t>Trafik ekibi geldi ve organizatörü sordu. Herkes aynı anda seni gösterdi. Babana ilk kez karakoldan telefon açtın.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inlineStr"/>
      <c r="Z485" s="6" t="inlineStr"/>
      <c r="AA485" s="5" t="inlineStr"/>
      <c r="AB485" s="5" t="inlineStr"/>
      <c r="AC485" s="5" t="inlineStr"/>
      <c r="AD485" s="5" t="inlineStr"/>
      <c r="AE485" s="5" t="inlineStr"/>
      <c r="AF485" s="5" t="inlineStr"/>
      <c r="AG485" s="5" t="inlineStr"/>
      <c r="AH485" s="5" t="inlineStr"/>
      <c r="AI485" s="5" t="inlineStr"/>
    </row>
    <row r="486">
      <c r="A486" s="5" t="inlineStr">
        <is>
          <t>b6-gece-motor</t>
        </is>
      </c>
      <c r="B486" s="5" t="n">
        <v>4</v>
      </c>
      <c r="C486" s="6" t="inlineStr">
        <is>
          <t>Arkadaşını vazgeçir</t>
        </is>
      </c>
      <c r="D486" s="5" t="inlineStr">
        <is>
          <t>Çene</t>
        </is>
      </c>
      <c r="E486" s="5" t="inlineStr">
        <is>
          <t>Orta</t>
        </is>
      </c>
      <c r="F486" s="5" t="inlineStr"/>
      <c r="G486" s="6" t="inlineStr"/>
      <c r="H486" s="6" t="inlineStr">
        <is>
          <t>İkna ettin. Yarış yerine çay içtiniz. O da sonunda rahatladı.</t>
        </is>
      </c>
      <c r="I486" s="6" t="inlineStr">
        <is>
          <t>Arkadaşın motoru sattı, parasıyla ikinize akşam yemeği ısmarladı.</t>
        </is>
      </c>
      <c r="J486" s="6" t="inlineStr">
        <is>
          <t>İkna edemedin. Sahilde bekledin. Döndü, hiçbir şey anlatmadı.</t>
        </is>
      </c>
      <c r="K486" s="6" t="inlineStr">
        <is>
          <t>İkna ederken motora oturdun. Arkadaşın “O zaman sen sür” dedi; herkes alkışladı, kaçış kalmadı. Köprüye en son sen vardın; motorun aynası hiç varamadı.</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row>
    <row r="487">
      <c r="A487" s="5" t="inlineStr">
        <is>
          <t>b6-gece-vardiyasi</t>
        </is>
      </c>
      <c r="B487" s="5" t="n">
        <v>1</v>
      </c>
      <c r="C487" s="6" t="inlineStr">
        <is>
          <t>Raf diz, zamanı öldür</t>
        </is>
      </c>
      <c r="D487" s="5" t="inlineStr"/>
      <c r="E487" s="5" t="inlineStr"/>
      <c r="F487" s="5" t="inlineStr">
        <is>
          <t>Dayanıklılık +1</t>
        </is>
      </c>
      <c r="G487" s="6" t="inlineStr">
        <is>
          <t>Bütün raflar dizildi, etiketler hizalandı. Saat hâlâ üç buçuk.</t>
        </is>
      </c>
      <c r="H487" s="6" t="inlineStr"/>
      <c r="I487" s="6" t="inlineStr"/>
      <c r="J487" s="6" t="inlineStr"/>
      <c r="K487" s="6" t="inlineStr"/>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row>
    <row r="488">
      <c r="A488" s="5" t="inlineStr">
        <is>
          <t>b6-gece-vardiyasi</t>
        </is>
      </c>
      <c r="B488" s="5" t="n">
        <v>2</v>
      </c>
      <c r="C488" s="6" t="inlineStr">
        <is>
          <t>Dörtteki duvarı geç</t>
        </is>
      </c>
      <c r="D488" s="5" t="inlineStr">
        <is>
          <t>Dayanıklılık</t>
        </is>
      </c>
      <c r="E488" s="5" t="inlineStr">
        <is>
          <t>Zor</t>
        </is>
      </c>
      <c r="F488" s="5" t="inlineStr"/>
      <c r="G488" s="6" t="inlineStr"/>
      <c r="H488" s="6" t="inlineStr">
        <is>
          <t>Duvarı geçtin. Sabah altıda güneş doğarken ikinci nefes geldi.</t>
        </is>
      </c>
      <c r="I488" s="6" t="inlineStr">
        <is>
          <t>Dörtteki duvarı geçtin, altıda ikinci nefes geldi, sekizde sabah vardiyasına çay demledin. Müdür ertesi gün seni vardiya sorumlusu yaptı.</t>
        </is>
      </c>
      <c r="J488" s="6" t="inlineStr">
        <is>
          <t>Kasada uyuyakaldın. Müşteri para üstünü kendi aldı, fişini de kendi kesti.</t>
        </is>
      </c>
      <c r="K488" s="6" t="inlineStr">
        <is>
          <t>Saat dörtte rafa yaslanıp uyudun. Sabah vardiyası seni konserve reyonunda, alnında fiyat etiketiyle buldu. Etikette “İndirimli” yazıyordu; fotoğrafı bütün şubeleri dolaştı.</t>
        </is>
      </c>
      <c r="L488" s="6" t="inlineStr"/>
      <c r="M488" s="5" t="inlineStr"/>
      <c r="N488" s="5" t="inlineStr"/>
      <c r="O488" s="6" t="inlineStr"/>
      <c r="P488" s="6" t="inlineStr"/>
      <c r="Q488" s="5" t="inlineStr"/>
      <c r="R488" s="5" t="inlineStr"/>
      <c r="S488" s="5" t="inlineStr">
        <is>
          <t>Dayanıklılık</t>
        </is>
      </c>
      <c r="T488" s="5" t="inlineStr">
        <is>
          <t>Nöbet Disiplini</t>
        </is>
      </c>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row>
    <row r="489">
      <c r="A489" s="5" t="inlineStr">
        <is>
          <t>b6-gece-vardiyasi</t>
        </is>
      </c>
      <c r="B489" s="5" t="n">
        <v>3</v>
      </c>
      <c r="C489" s="6" t="inlineStr">
        <is>
          <t>Gece müşterisiyle sohbet et</t>
        </is>
      </c>
      <c r="D489" s="5" t="inlineStr">
        <is>
          <t>Sosyal Radar</t>
        </is>
      </c>
      <c r="E489" s="5" t="inlineStr">
        <is>
          <t>Kolay</t>
        </is>
      </c>
      <c r="F489" s="5" t="inlineStr"/>
      <c r="G489" s="6" t="inlineStr"/>
      <c r="H489" s="6" t="inlineStr">
        <is>
          <t>Sakız alan müşteri hayatını anlattı, sen de kendininkini. İkiniz de hafifledi.</t>
        </is>
      </c>
      <c r="I489" s="6" t="inlineStr">
        <is>
          <t>Sakızcı bir işletme sahibiymiş. Kartını bıraktı: 'Gündüz çalışmak istersen.'</t>
        </is>
      </c>
      <c r="J489" s="6" t="inlineStr">
        <is>
          <t>Sohbet açtın. Adam sadece sakız istiyordu.</t>
        </is>
      </c>
      <c r="K489" s="6" t="inlineStr">
        <is>
          <t>İki saat bir hayat hikâyesi dinledin; bu arada üç müşteri kasada bekleyip gitti. Müdür kamerayı izledi, sabah tek şey sordu: “Sonu nasıl bitti?” Sonra o iki saati maaşından kesti.</t>
        </is>
      </c>
      <c r="L489" s="6" t="inlineStr"/>
      <c r="M489" s="5" t="inlineStr"/>
      <c r="N489" s="5" t="inlineStr"/>
      <c r="O489" s="6" t="inlineStr"/>
      <c r="P489" s="6" t="inlineStr"/>
      <c r="Q489" s="5" t="inlineStr"/>
      <c r="R489" s="5" t="inlineStr"/>
      <c r="S489" s="5" t="inlineStr"/>
      <c r="T489" s="5" t="inlineStr"/>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c r="AI489" s="5" t="inlineStr"/>
    </row>
    <row r="490">
      <c r="A490" s="5" t="inlineStr">
        <is>
          <t>b6-gece-vardiyasi</t>
        </is>
      </c>
      <c r="B490" s="5" t="n">
        <v>4</v>
      </c>
      <c r="C490" s="6" t="inlineStr">
        <is>
          <t>Gündüz vardiyasına geçmeyi iste</t>
        </is>
      </c>
      <c r="D490" s="5" t="inlineStr">
        <is>
          <t>Cesaret</t>
        </is>
      </c>
      <c r="E490" s="5" t="inlineStr">
        <is>
          <t>Zor</t>
        </is>
      </c>
      <c r="F490" s="5" t="inlineStr"/>
      <c r="G490" s="6" t="inlineStr"/>
      <c r="H490" s="6" t="inlineStr">
        <is>
          <t>Gündüze geçtin. Gün ışığı biraz fazla parlak geldi.</t>
        </is>
      </c>
      <c r="I490" s="6" t="inlineStr">
        <is>
          <t>Gündüze geçtin, hafta sonları da izinlisin. Gece vardiyası artık bir anı.</t>
        </is>
      </c>
      <c r="J490" s="6" t="inlineStr">
        <is>
          <t>Talebin 'değerlendirmeye' alındı. Değerlendirme de gece vardiyasında yapılıyor.</t>
        </is>
      </c>
      <c r="K490" s="6" t="inlineStr">
        <is>
          <t>Müdür seni hafta sonu gece vardiyasına da ekledi. Teşekkür ederek.</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row>
    <row r="491">
      <c r="A491" s="5" t="inlineStr">
        <is>
          <t>b6-kiralik-ev</t>
        </is>
      </c>
      <c r="B491" s="5" t="n">
        <v>1</v>
      </c>
      <c r="C491" s="6" t="inlineStr">
        <is>
          <t>Söylenen fiyata tut</t>
        </is>
      </c>
      <c r="D491" s="5" t="inlineStr"/>
      <c r="E491" s="5" t="inlineStr"/>
      <c r="F491" s="5" t="inlineStr">
        <is>
          <t>Dayanıklılık +1</t>
        </is>
      </c>
      <c r="G491" s="6" t="inlineStr">
        <is>
          <t>Ev sahibi o kadar mutlu oldu ki sana iki anahtar verdi. Biri kilide uymuyor. Hangisi, belirsiz.</t>
        </is>
      </c>
      <c r="H491" s="6" t="inlineStr"/>
      <c r="I491" s="6" t="inlineStr"/>
      <c r="J491" s="6" t="inlineStr"/>
      <c r="K491" s="6" t="inlineStr"/>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row>
    <row r="492">
      <c r="A492" s="5" t="inlineStr">
        <is>
          <t>b6-kiralik-ev</t>
        </is>
      </c>
      <c r="B492" s="5" t="n">
        <v>2</v>
      </c>
      <c r="C492" s="6" t="inlineStr">
        <is>
          <t>Kirayı pazarlık et</t>
        </is>
      </c>
      <c r="D492" s="5" t="inlineStr">
        <is>
          <t>Çene</t>
        </is>
      </c>
      <c r="E492" s="5" t="inlineStr">
        <is>
          <t>Orta</t>
        </is>
      </c>
      <c r="F492" s="5" t="inlineStr"/>
      <c r="G492" s="6" t="inlineStr"/>
      <c r="H492" s="6" t="inlineStr">
        <is>
          <t>Kirayı biraz indirdin. Ev sahibi 'Gençlere güvenirim' dedi. Sen ona güvenmedin.</t>
        </is>
      </c>
      <c r="I492" s="6" t="inlineStr">
        <is>
          <t>Kira indi, depozito yarıya düştü, kombi bakımı ev sahibine yazıldı. Ev sahibi merdivende karısına “Bu çocuk beni soydu” dedi; sesi gururluydu.</t>
        </is>
      </c>
      <c r="J492" s="6" t="inlineStr">
        <is>
          <t>Fiyat aynı kaldı ama ev sahibi seni 'hareketli genç' olarak tanımladı.</t>
        </is>
      </c>
      <c r="K492" s="6" t="inlineStr">
        <is>
          <t>Pazarlık uzadı, ev sahibi daha yüksek teklif veren birini buldu. 'Kusura bakma' dedi. Kusura baktın.</t>
        </is>
      </c>
      <c r="L492" s="6" t="inlineStr">
        <is>
          <t>Kira aynı kaldı ama aidatı ev sahibi ödeyecek. Yarım zafer, tam aidat.</t>
        </is>
      </c>
      <c r="M492" s="5" t="inlineStr">
        <is>
          <t>bargain</t>
        </is>
      </c>
      <c r="N492" s="5" t="inlineStr">
        <is>
          <t>Kira Pazarlığı</t>
        </is>
      </c>
      <c r="O492" s="6" t="inlineStr">
        <is>
          <t>Ev sahibinin sabrı bitmeden kirayı aşağı kaydır ve makul yerde anlaş.</t>
        </is>
      </c>
      <c r="P492" s="6" t="inlineStr">
        <is>
          <t>{"item": "kira", "mode": "buy"}</t>
        </is>
      </c>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row>
    <row r="493">
      <c r="A493" s="5" t="inlineStr">
        <is>
          <t>b6-kiralik-ev</t>
        </is>
      </c>
      <c r="B493" s="5" t="n">
        <v>3</v>
      </c>
      <c r="C493" s="6" t="inlineStr">
        <is>
          <t>Önceki kiracıyı bul</t>
        </is>
      </c>
      <c r="D493" s="5" t="inlineStr">
        <is>
          <t>Sosyal Radar</t>
        </is>
      </c>
      <c r="E493" s="5" t="inlineStr">
        <is>
          <t>Zor</t>
        </is>
      </c>
      <c r="F493" s="5" t="inlineStr"/>
      <c r="G493" s="6" t="inlineStr"/>
      <c r="H493" s="6" t="inlineStr">
        <is>
          <t>Önceki kiracı tek kelime söyledi: 'Kombi.' Sözleşmeye bir madde ekledin.</t>
        </is>
      </c>
      <c r="I493" s="6" t="inlineStr">
        <is>
          <t>Rutubeti, gürültücü komşuyu ve ev sahibinin zayıf noktasını öğrendin. Pazarlık kendiliğinden bitti.</t>
        </is>
      </c>
      <c r="J493" s="6" t="inlineStr">
        <is>
          <t>Önceki kiracı 'Güzel ev' dedi ve telefonu çok hızlı kapattı.</t>
        </is>
      </c>
      <c r="K493" s="6" t="inlineStr">
        <is>
          <t>Yanlışlıkla ev sahibini aradın, önceki kiracıyı sordun. İkisi artık senin hakkında konuşuyor.</t>
        </is>
      </c>
      <c r="L493" s="6" t="inlineStr"/>
      <c r="M493" s="5" t="inlineStr"/>
      <c r="N493" s="5" t="inlineStr"/>
      <c r="O493" s="6" t="inlineStr"/>
      <c r="P493" s="6" t="inlineStr"/>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row>
    <row r="494">
      <c r="A494" s="5" t="inlineStr">
        <is>
          <t>b6-tasinma</t>
        </is>
      </c>
      <c r="B494" s="5" t="n">
        <v>1</v>
      </c>
      <c r="C494" s="6" t="inlineStr">
        <is>
          <t>Nakliyeci çağır</t>
        </is>
      </c>
      <c r="D494" s="5" t="inlineStr"/>
      <c r="E494" s="5" t="inlineStr"/>
      <c r="F494" s="5" t="inlineStr">
        <is>
          <t>Kurnazlık +1</t>
        </is>
      </c>
      <c r="G494" s="6" t="inlineStr">
        <is>
          <t>Nakliyeci eşyaları taşıdı, fatura kiradan yüksek geldi. En azından kolların yerinde.</t>
        </is>
      </c>
      <c r="H494" s="6" t="inlineStr"/>
      <c r="I494" s="6" t="inlineStr"/>
      <c r="J494" s="6" t="inlineStr"/>
      <c r="K494" s="6" t="inlineStr"/>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row>
    <row r="495">
      <c r="A495" s="5" t="inlineStr">
        <is>
          <t>b6-tasinma</t>
        </is>
      </c>
      <c r="B495" s="5" t="n">
        <v>2</v>
      </c>
      <c r="C495" s="6" t="inlineStr">
        <is>
          <t>Buzdolabını merdivenden çıkar</t>
        </is>
      </c>
      <c r="D495" s="5" t="inlineStr">
        <is>
          <t>Dayanıklılık</t>
        </is>
      </c>
      <c r="E495" s="5" t="inlineStr">
        <is>
          <t>Orta</t>
        </is>
      </c>
      <c r="F495" s="5" t="inlineStr"/>
      <c r="G495" s="6" t="inlineStr"/>
      <c r="H495" s="6" t="inlineStr">
        <is>
          <t>Buzdolabı dördüncü kata çıktı. Sen dördüncü katta bir süre yattın.</t>
        </is>
      </c>
      <c r="I495" s="6" t="inlineStr">
        <is>
          <t>Buzdolabını tek başına çıkardın. Komşular balkondan alkışladı, biri video çekti.</t>
        </is>
      </c>
      <c r="J495" s="6" t="inlineStr">
        <is>
          <t>Buzdolabı üçüncü katta kaldı. Üçüncü kattaki komşuyla artık tanışıyorsun.</t>
        </is>
      </c>
      <c r="K495" s="6" t="inlineStr">
        <is>
          <t>Buzdolabı geri kaydı, duvarda bir çizik bıraktı. Depozito da o çizikten içeri kaçtı.</t>
        </is>
      </c>
      <c r="L495" s="6" t="inlineStr">
        <is>
          <t>Buzdolabı yukarıda ama kapısı ters takılı. Artık duvara doğru açılıyor.</t>
        </is>
      </c>
      <c r="M495" s="5" t="inlineStr">
        <is>
          <t>balance</t>
        </is>
      </c>
      <c r="N495" s="5" t="inlineStr">
        <is>
          <t>Dördüncü Kat</t>
        </is>
      </c>
      <c r="O495" s="6" t="inlineStr">
        <is>
          <t>Buzdolabını merdivende sağa sola devirmeden dengede tut.</t>
        </is>
      </c>
      <c r="P495" s="6" t="inlineStr">
        <is>
          <t>{"item": "🧊"}</t>
        </is>
      </c>
      <c r="Q495" s="5" t="inlineStr"/>
      <c r="R495" s="5" t="inlineStr"/>
      <c r="S495" s="5" t="inlineStr"/>
      <c r="T495" s="5" t="inlineStr"/>
      <c r="U495" s="5" t="inlineStr"/>
      <c r="V495" s="5" t="inlineStr"/>
      <c r="W495" s="5" t="inlineStr">
        <is>
          <t>depozito-yandi</t>
        </is>
      </c>
      <c r="X495" s="5" t="inlineStr"/>
      <c r="Y495" s="5" t="inlineStr"/>
      <c r="Z495" s="6" t="inlineStr"/>
      <c r="AA495" s="5" t="inlineStr"/>
      <c r="AB495" s="5" t="inlineStr"/>
      <c r="AC495" s="5" t="inlineStr"/>
      <c r="AD495" s="5" t="inlineStr"/>
      <c r="AE495" s="5" t="inlineStr"/>
      <c r="AF495" s="5" t="inlineStr"/>
      <c r="AG495" s="5" t="inlineStr"/>
      <c r="AH495" s="5" t="inlineStr"/>
      <c r="AI495" s="5" t="inlineStr"/>
    </row>
    <row r="496">
      <c r="A496" s="5" t="inlineStr">
        <is>
          <t>b6-tasinma</t>
        </is>
      </c>
      <c r="B496" s="5" t="n">
        <v>3</v>
      </c>
      <c r="C496" s="6" t="inlineStr">
        <is>
          <t>Arkadaşları pizza sözüyle topla</t>
        </is>
      </c>
      <c r="D496" s="5" t="inlineStr">
        <is>
          <t>Çene</t>
        </is>
      </c>
      <c r="E496" s="5" t="inlineStr">
        <is>
          <t>Kolay</t>
        </is>
      </c>
      <c r="F496" s="5" t="inlineStr"/>
      <c r="G496" s="6" t="inlineStr"/>
      <c r="H496" s="6" t="inlineStr">
        <is>
          <t>Beş kişi geldi. Taşınma üç saat, pizza beş dakika sürdü.</t>
        </is>
      </c>
      <c r="I496" s="6" t="inlineStr">
        <is>
          <t>Arkadaşlar kolileri taşıdı, açtı, perdeleri taktı. Pizzayı da onlar ısmarladı.</t>
        </is>
      </c>
      <c r="J496" s="6" t="inlineStr">
        <is>
          <t>Pizza bitince gittiler. Kanepe merdivende kaldı.</t>
        </is>
      </c>
      <c r="K496" s="6" t="inlineStr">
        <is>
          <t>Kanepe kapıdan girmedi. Ayaklarını söktünüz, girmedi. Kapıyı söktünüz, girdi. Kapı şimdi kanepenin arkasında duruyor; ev sahibi pazartesi geliyor.</t>
        </is>
      </c>
      <c r="L496" s="6" t="inlineStr"/>
      <c r="M496" s="5" t="inlineStr"/>
      <c r="N496" s="5" t="inlineStr"/>
      <c r="O496" s="6" t="inlineStr"/>
      <c r="P496" s="6" t="inlineStr"/>
      <c r="Q496" s="5" t="inlineStr"/>
      <c r="R496" s="5" t="inlineStr"/>
      <c r="S496" s="5" t="inlineStr"/>
      <c r="T496" s="5" t="inlineStr"/>
      <c r="U496" s="5" t="inlineStr"/>
      <c r="V496" s="5" t="inlineStr"/>
      <c r="W496" s="5" t="inlineStr"/>
      <c r="X496" s="5" t="inlineStr"/>
      <c r="Y496" s="5" t="inlineStr"/>
      <c r="Z496" s="6" t="inlineStr"/>
      <c r="AA496" s="5" t="inlineStr"/>
      <c r="AB496" s="5" t="inlineStr"/>
      <c r="AC496" s="5" t="inlineStr"/>
      <c r="AD496" s="5" t="inlineStr"/>
      <c r="AE496" s="5" t="inlineStr"/>
      <c r="AF496" s="5" t="inlineStr"/>
      <c r="AG496" s="5" t="inlineStr"/>
      <c r="AH496" s="5" t="inlineStr"/>
      <c r="AI496" s="5" t="inlineStr"/>
    </row>
    <row r="497">
      <c r="A497" s="5" t="inlineStr">
        <is>
          <t>b6-ev-arkadasi</t>
        </is>
      </c>
      <c r="B497" s="5" t="n">
        <v>1</v>
      </c>
      <c r="C497" s="6" t="inlineStr">
        <is>
          <t>Bulaşığı sen yap</t>
        </is>
      </c>
      <c r="D497" s="5" t="inlineStr"/>
      <c r="E497" s="5" t="inlineStr"/>
      <c r="F497" s="5" t="inlineStr">
        <is>
          <t>İtibar +2</t>
        </is>
      </c>
      <c r="G497" s="6" t="inlineStr">
        <is>
          <t>Bulaşığı yine sen yıkadın. Ev arkadaşın 'Bulaşık kendiliğinden yıkanıyor' teorisini doğruladı.</t>
        </is>
      </c>
      <c r="H497" s="6" t="inlineStr"/>
      <c r="I497" s="6" t="inlineStr"/>
      <c r="J497" s="6" t="inlineStr"/>
      <c r="K497" s="6" t="inlineStr"/>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row>
    <row r="498">
      <c r="A498" s="5" t="inlineStr">
        <is>
          <t>b6-ev-arkadasi</t>
        </is>
      </c>
      <c r="B498" s="5" t="n">
        <v>2</v>
      </c>
      <c r="C498" s="6" t="inlineStr">
        <is>
          <t>Görev çizelgesi as</t>
        </is>
      </c>
      <c r="D498" s="5" t="inlineStr">
        <is>
          <t>Akıl</t>
        </is>
      </c>
      <c r="E498" s="5" t="inlineStr">
        <is>
          <t>Orta</t>
        </is>
      </c>
      <c r="F498" s="5" t="inlineStr"/>
      <c r="G498" s="6" t="inlineStr"/>
      <c r="H498" s="6" t="inlineStr">
        <is>
          <t>Çizelge ilk hafta işledi. İkinci hafta o da bulaşığın altında kaldı.</t>
        </is>
      </c>
      <c r="I498" s="6" t="inlineStr">
        <is>
          <t>Ev arkadaşın her pazar bulaşık yıkıyor ve bunu bir aile geleneği sanıyor.</t>
        </is>
      </c>
      <c r="J498" s="6" t="inlineStr">
        <is>
          <t>Ev arkadaşın çizelgenin altına gülen bir surat çizdi. Bulaşık aynı yerde.</t>
        </is>
      </c>
      <c r="K498" s="6" t="inlineStr">
        <is>
          <t>Ev arkadaşın seninle konuşmayı bıraktı. Bulaşık yıkamayı zaten bırakmıştı.</t>
        </is>
      </c>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row>
    <row r="499">
      <c r="A499" s="5" t="inlineStr">
        <is>
          <t>b6-ev-arkadasi</t>
        </is>
      </c>
      <c r="B499" s="5" t="n">
        <v>3</v>
      </c>
      <c r="C499" s="6" t="inlineStr">
        <is>
          <t>Bütün tabakları sakla</t>
        </is>
      </c>
      <c r="D499" s="5" t="inlineStr">
        <is>
          <t>Kurnazlık</t>
        </is>
      </c>
      <c r="E499" s="5" t="inlineStr">
        <is>
          <t>Kolay</t>
        </is>
      </c>
      <c r="F499" s="5" t="inlineStr"/>
      <c r="G499" s="6" t="inlineStr"/>
      <c r="H499" s="6" t="inlineStr">
        <is>
          <t>İki gün sonra bulaşık yıkandı, çünkü evde tek tabak kalmıştı.</t>
        </is>
      </c>
      <c r="I499" s="6" t="inlineStr">
        <is>
          <t>Ev arkadaşın ilk kez lavabonun dibini gördü: 'Ne güzel lavaboymuş.' Reform başladı.</t>
        </is>
      </c>
      <c r="J499" s="6" t="inlineStr">
        <is>
          <t>Ev arkadaşın tencereden yemeye başladı.</t>
        </is>
      </c>
      <c r="K499" s="6" t="inlineStr">
        <is>
          <t>Ev arkadaşın taşındığını sandı. Odanı kiraya vermek için ilan açtı.</t>
        </is>
      </c>
      <c r="L499" s="6" t="inlineStr"/>
      <c r="M499" s="5" t="inlineStr"/>
      <c r="N499" s="5" t="inlineStr"/>
      <c r="O499" s="6" t="inlineStr"/>
      <c r="P499" s="6" t="inlineStr"/>
      <c r="Q499" s="5" t="inlineStr"/>
      <c r="R499" s="5" t="inlineStr"/>
      <c r="S499" s="5" t="inlineStr">
        <is>
          <t>Sosyal Radar</t>
        </is>
      </c>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row>
    <row r="500">
      <c r="A500" s="5" t="inlineStr">
        <is>
          <t>b6-ev-arkadasi</t>
        </is>
      </c>
      <c r="B500" s="5" t="n">
        <v>4</v>
      </c>
      <c r="C500" s="6" t="inlineStr">
        <is>
          <t>Açık konuş</t>
        </is>
      </c>
      <c r="D500" s="5" t="inlineStr">
        <is>
          <t>Cesaret</t>
        </is>
      </c>
      <c r="E500" s="5" t="inlineStr">
        <is>
          <t>Orta</t>
        </is>
      </c>
      <c r="F500" s="5" t="inlineStr"/>
      <c r="G500" s="6" t="inlineStr"/>
      <c r="H500" s="6" t="inlineStr">
        <is>
          <t>Özür diledi ve üç hafta boyunca yıkadı. Sonra mevsim değişti.</t>
        </is>
      </c>
      <c r="I500" s="6" t="inlineStr">
        <is>
          <t>Açık konuştun. Ev arkadaşının annesi o hafta ziyarete geldi, lavaboyu gördü, sustu. Ertesi hafta kargoyla bir bulaşık makinesi geldi; kutunun üstünde “Kusura bakma evladım” yazıyordu.</t>
        </is>
      </c>
      <c r="J500" s="6" t="inlineStr">
        <is>
          <t>'Haklısın' dedi. Haklılık bulaşık yıkamıyor.</t>
        </is>
      </c>
      <c r="K500" s="6" t="inlineStr">
        <is>
          <t>Konuştun. O da gece üçte çalıştırdığın mikseri, banyoda söylediğin şarkıları ve geri vermediğin şarjı saydı. Onun listesi daha uzun çıktı; bulaşıkları artık sen yıkıyorsun.</t>
        </is>
      </c>
      <c r="L500" s="6" t="inlineStr"/>
      <c r="M500" s="5" t="inlineStr"/>
      <c r="N500" s="5" t="inlineStr"/>
      <c r="O500" s="6" t="inlineStr"/>
      <c r="P500" s="6" t="inlineStr"/>
      <c r="Q500" s="5" t="inlineStr"/>
      <c r="R500" s="5" t="inlineStr"/>
      <c r="S500" s="5" t="inlineStr"/>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row>
    <row r="501">
      <c r="A501" s="5" t="inlineStr">
        <is>
          <t>b6-staj</t>
        </is>
      </c>
      <c r="B501" s="5" t="n">
        <v>1</v>
      </c>
      <c r="C501" s="6" t="inlineStr">
        <is>
          <t>Fotokopi makinesini çöz</t>
        </is>
      </c>
      <c r="D501" s="5" t="inlineStr"/>
      <c r="E501" s="5" t="inlineStr"/>
      <c r="F501" s="5" t="inlineStr">
        <is>
          <t>Dayanıklılık +1, Akıl +1</t>
        </is>
      </c>
      <c r="G501" s="6" t="inlineStr">
        <is>
          <t>Sıkışan kâğıdı sadece sen çıkarabiliyorsun. Katta herkes sana “Fotokopi” diyor; asıl adını henüz bilen yok. Annen komşulara “Şirkette makinelerden bizimki sorumlu” diye anlattı.</t>
        </is>
      </c>
      <c r="H501" s="6" t="inlineStr"/>
      <c r="I501" s="6" t="inlineStr"/>
      <c r="J501" s="6" t="inlineStr"/>
      <c r="K501" s="6" t="inlineStr"/>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row>
    <row r="502">
      <c r="A502" s="5" t="inlineStr">
        <is>
          <t>b6-staj</t>
        </is>
      </c>
      <c r="B502" s="5" t="n">
        <v>2</v>
      </c>
      <c r="C502" s="6" t="inlineStr">
        <is>
          <t>Kahve makinesindeki adamla sohbet et</t>
        </is>
      </c>
      <c r="D502" s="5" t="inlineStr">
        <is>
          <t>Sosyal Radar</t>
        </is>
      </c>
      <c r="E502" s="5" t="inlineStr">
        <is>
          <t>Zor</t>
        </is>
      </c>
      <c r="F502" s="5" t="inlineStr"/>
      <c r="G502" s="6" t="inlineStr"/>
      <c r="H502" s="6" t="inlineStr">
        <is>
          <t>Sohbetin sonunda seni bir toplantıya çağırdı. Not tutacaksın ama odadasın.</t>
        </is>
      </c>
      <c r="I502" s="6" t="inlineStr">
        <is>
          <t>Staj bitiminde imzalı bir referans mektubu aldın. Adını da doğru yazmışlar.</t>
        </is>
      </c>
      <c r="J502" s="6" t="inlineStr">
        <is>
          <t>Adam emekliliğine dört ay kaldığını anlattı. Dört ay boyunca.</t>
        </is>
      </c>
      <c r="K502" s="6" t="inlineStr">
        <is>
          <t>Adamla şirketin dedikodusunu yaptın; en çok da genel müdürünkini. Adam sonuna kadar dinledi, kahvesini aldı, asansöre bindi. En üst kata bastı.</t>
        </is>
      </c>
      <c r="L502" s="6" t="inlineStr"/>
      <c r="M502" s="5" t="inlineStr"/>
      <c r="N502" s="5" t="inlineStr"/>
      <c r="O502" s="6" t="inlineStr"/>
      <c r="P502" s="6" t="inlineStr"/>
      <c r="Q502" s="5" t="inlineStr"/>
      <c r="R502" s="5" t="inlineStr"/>
      <c r="S502" s="5" t="inlineStr">
        <is>
          <t>Sosyal Radar</t>
        </is>
      </c>
      <c r="T502" s="5" t="inlineStr">
        <is>
          <t>Selamı Var</t>
        </is>
      </c>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row>
    <row r="503">
      <c r="A503" s="5" t="inlineStr">
        <is>
          <t>b6-staj</t>
        </is>
      </c>
      <c r="B503" s="5" t="n">
        <v>3</v>
      </c>
      <c r="C503" s="6" t="inlineStr">
        <is>
          <t>Şirketin dev tablosunu düzelt</t>
        </is>
      </c>
      <c r="D503" s="5" t="inlineStr">
        <is>
          <t>Akıl</t>
        </is>
      </c>
      <c r="E503" s="5" t="inlineStr">
        <is>
          <t>Orta</t>
        </is>
      </c>
      <c r="F503" s="5" t="inlineStr"/>
      <c r="G503" s="6" t="inlineStr"/>
      <c r="H503" s="6" t="inlineStr">
        <is>
          <t>Formül hatasını buldun. Şirket geçen yılı zararla kapatmamış.</t>
        </is>
      </c>
      <c r="I503" s="6" t="inlineStr">
        <is>
          <t>Tabloyu otomatikleştirdin. Bir çalışanın haftalık işi üç dakikaya indi. O çalışan seni hiç affetmedi.</t>
        </is>
      </c>
      <c r="J503" s="6" t="inlineStr">
        <is>
          <t>Düzelttin. Kimse fark etmedi, çünkü kimse açmıyormuş.</t>
        </is>
      </c>
      <c r="K503" s="6" t="inlineStr">
        <is>
          <t>Düzeltirken bütün sayfayı sildin. Yedek yokmuş. Muhasebedeki abla üç gece mesaiye kaldı, sen de yanında. Her sabah ona simit aldın; hiçbirini yemedi.</t>
        </is>
      </c>
      <c r="L503" s="6" t="inlineStr"/>
      <c r="M503" s="5" t="inlineStr"/>
      <c r="N503" s="5" t="inlineStr"/>
      <c r="O503" s="6" t="inlineStr"/>
      <c r="P503" s="6" t="inlineStr"/>
      <c r="Q503" s="5" t="inlineStr"/>
      <c r="R503" s="5" t="inlineStr"/>
      <c r="S503" s="5" t="inlineStr"/>
      <c r="T503" s="5" t="inlineStr"/>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row>
    <row r="504">
      <c r="A504" s="5" t="inlineStr">
        <is>
          <t>b6-staj</t>
        </is>
      </c>
      <c r="B504" s="5" t="n">
        <v>4</v>
      </c>
      <c r="C504" s="6" t="inlineStr">
        <is>
          <t>Toplantıda söz iste</t>
        </is>
      </c>
      <c r="D504" s="5" t="inlineStr">
        <is>
          <t>Pişkinlik</t>
        </is>
      </c>
      <c r="E504" s="5" t="inlineStr">
        <is>
          <t>Zor</t>
        </is>
      </c>
      <c r="F504" s="5" t="inlineStr"/>
      <c r="G504" s="6" t="inlineStr"/>
      <c r="H504" s="6" t="inlineStr">
        <is>
          <t>Bir fikir söyledin. Müdür 'Güzel, not alalım' dedi. Not alan sen oldun.</t>
        </is>
      </c>
      <c r="I504" s="6" t="inlineStr">
        <is>
          <t>Fikrin uygulandı. Sunumda başka birinin adıyla, ama uygulandı.</t>
        </is>
      </c>
      <c r="J504" s="6" t="inlineStr">
        <is>
          <t>Söz istedin, toplantı bitti. Elin havada kaldı.</t>
        </is>
      </c>
      <c r="K504" s="6" t="inlineStr">
        <is>
          <t>Söz alıp konuştun, sonra mikrofonu kapattığını sandın. Yarım saat boyunca annene telefonda müdürü anlattığını bütün toplantı dinledi. Müdür sonunda “Annenize selam söyleyin” dedi.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row>
    <row r="505">
      <c r="A505" s="5" t="inlineStr">
        <is>
          <t>b6-spor-salonu</t>
        </is>
      </c>
      <c r="B505" s="5" t="n">
        <v>1</v>
      </c>
      <c r="C505" s="6" t="inlineStr">
        <is>
          <t>Yıllık al, ayda bir git</t>
        </is>
      </c>
      <c r="D505" s="5" t="inlineStr"/>
      <c r="E505" s="5" t="inlineStr"/>
      <c r="F505" s="5" t="inlineStr">
        <is>
          <t>Pişkinlik +1</t>
        </is>
      </c>
      <c r="G505" s="6" t="inlineStr">
        <is>
          <t>Salon her ay “Seni özledik” mesajı atıyor. Yıl sonunda bir kez gittin; turnike kartını tanımadı.</t>
        </is>
      </c>
      <c r="H505" s="6" t="inlineStr"/>
      <c r="I505" s="6" t="inlineStr"/>
      <c r="J505" s="6" t="inlineStr"/>
      <c r="K505" s="6" t="inlineStr"/>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row>
    <row r="506">
      <c r="A506" s="5" t="inlineStr">
        <is>
          <t>b6-spor-salonu</t>
        </is>
      </c>
      <c r="B506" s="5" t="n">
        <v>2</v>
      </c>
      <c r="C506" s="6" t="inlineStr">
        <is>
          <t>Düzenli git</t>
        </is>
      </c>
      <c r="D506" s="5" t="inlineStr">
        <is>
          <t>Dayanıklılık</t>
        </is>
      </c>
      <c r="E506" s="5" t="inlineStr">
        <is>
          <t>Zor</t>
        </is>
      </c>
      <c r="F506" s="5" t="inlineStr"/>
      <c r="G506" s="6" t="inlineStr"/>
      <c r="H506" s="6" t="inlineStr">
        <is>
          <t>Üç ay boyunca haftada üç gün gittin. Merdivenler artık seni değil, sen onları yoruyorsun.</t>
        </is>
      </c>
      <c r="I506" s="6" t="inlineStr">
        <is>
          <t>Bir yıl hiç aksatmadın. Görevli seni yeni üyelere örnek gösteriyor. Adını hâlâ bilmiyor.</t>
        </is>
      </c>
      <c r="J506" s="6" t="inlineStr">
        <is>
          <t>İlk hafta beş gün gittin. İkinci hafta merdiveni tırabzana tutunarak indin; annen “Hasta mısın?” deyip çorba yaptı. Ara verdin; ara hâlâ sürüyor.</t>
        </is>
      </c>
      <c r="K506" s="6" t="inlineStr">
        <is>
          <t>İlk gün en ağır ağırlıkla başladın. Üç gün boyunca merdivenleri geri geri indin.</t>
        </is>
      </c>
      <c r="L506" s="6" t="inlineStr"/>
      <c r="M506" s="5" t="inlineStr"/>
      <c r="N506" s="5" t="inlineStr"/>
      <c r="O506" s="6" t="inlineStr"/>
      <c r="P506" s="6" t="inlineStr"/>
      <c r="Q506" s="5" t="inlineStr"/>
      <c r="R506" s="5" t="inlineStr"/>
      <c r="S506" s="5" t="inlineStr"/>
      <c r="T506" s="5" t="inlineStr"/>
      <c r="U506" s="5" t="inlineStr"/>
      <c r="V506" s="5" t="inlineStr">
        <is>
          <t>sporcu</t>
        </is>
      </c>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row>
    <row r="507">
      <c r="A507" s="5" t="inlineStr">
        <is>
          <t>b6-spor-salonu</t>
        </is>
      </c>
      <c r="B507" s="5" t="n">
        <v>3</v>
      </c>
      <c r="C507" s="6" t="inlineStr">
        <is>
          <t>Antrenörle pazarlık et</t>
        </is>
      </c>
      <c r="D507" s="5" t="inlineStr">
        <is>
          <t>Çene</t>
        </is>
      </c>
      <c r="E507" s="5" t="inlineStr">
        <is>
          <t>Orta</t>
        </is>
      </c>
      <c r="F507" s="5" t="inlineStr"/>
      <c r="G507" s="6" t="inlineStr"/>
      <c r="H507" s="6" t="inlineStr">
        <is>
          <t>Antrenör sana ücretsiz bir program yazdı. Üç kelime: 'Sadece gel, lütfen.'</t>
        </is>
      </c>
      <c r="I507" s="6" t="inlineStr">
        <is>
          <t>Ücretsiz özel ders aldın, sonra antrenör seni koşu grubuna kattı. Hafta sonları koşuyorsun.</t>
        </is>
      </c>
      <c r="J507" s="6" t="inlineStr">
        <is>
          <t>Antrenör paket satmaya çalıştı. Almadın. O da seni görmemeye başladı.</t>
        </is>
      </c>
      <c r="K507" s="6" t="inlineStr">
        <is>
          <t>Pazarlığın sonunda maaşının yarısına bir özel ders paketi aldın. Derslere de gitmedin.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row>
    <row r="508">
      <c r="A508" s="5" t="inlineStr">
        <is>
          <t>b6-spor-salonu</t>
        </is>
      </c>
      <c r="B508" s="5" t="n">
        <v>4</v>
      </c>
      <c r="C508" s="6" t="inlineStr">
        <is>
          <t>Parktaki aletlere geç</t>
        </is>
      </c>
      <c r="D508" s="5" t="inlineStr">
        <is>
          <t>Kurnazlık</t>
        </is>
      </c>
      <c r="E508" s="5" t="inlineStr">
        <is>
          <t>Kolay</t>
        </is>
      </c>
      <c r="F508" s="5" t="inlineStr"/>
      <c r="G508" s="6" t="inlineStr"/>
      <c r="H508" s="6" t="inlineStr">
        <is>
          <t>Ücretsiz, açık hava, rakipler emekli. Formdasın.</t>
        </is>
      </c>
      <c r="I508" s="6" t="inlineStr">
        <is>
          <t>Sabah koşan emekli grubuna katıldın. Senden hızlılar ama sen daha gençsin.</t>
        </is>
      </c>
      <c r="J508" s="6" t="inlineStr">
        <is>
          <t>Bir emekli, aleti yanlış kullandığını yirmi dakika anlattı.</t>
        </is>
      </c>
      <c r="K508" s="6" t="inlineStr">
        <is>
          <t>Dönen alete bindin; alet seni çevirdi, çevirmeye devam etti. Emekliler sırayla tutup indirdi. Ertesi sabah parkta sana “Günaydın Fırıldak” dediler.</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is>
          <t>Fırıldak</t>
        </is>
      </c>
    </row>
    <row r="509">
      <c r="A509" s="5" t="inlineStr">
        <is>
          <t>b6-degisim-programi</t>
        </is>
      </c>
      <c r="B509" s="5" t="n">
        <v>1</v>
      </c>
      <c r="C509" s="6" t="inlineStr">
        <is>
          <t>Başvurma, burada kal</t>
        </is>
      </c>
      <c r="D509" s="5" t="inlineStr"/>
      <c r="E509" s="5" t="inlineStr"/>
      <c r="F509" s="5" t="inlineStr">
        <is>
          <t>İtibar +1</t>
        </is>
      </c>
      <c r="G509" s="6" t="inlineStr">
        <is>
          <t>Kaldın. Gidenlerin hikâyelerini bir yıl dinledin. Hepsinin bir 'O akşam' hikâyesi vardı.</t>
        </is>
      </c>
      <c r="H509" s="6" t="inlineStr"/>
      <c r="I509" s="6" t="inlineStr"/>
      <c r="J509" s="6" t="inlineStr"/>
      <c r="K509" s="6" t="inlineStr"/>
      <c r="L509" s="6" t="inlineStr"/>
      <c r="M509" s="5" t="inlineStr"/>
      <c r="N509" s="5" t="inlineStr"/>
      <c r="O509" s="6" t="inlineStr"/>
      <c r="P509" s="6" t="inlineStr"/>
      <c r="Q509" s="5" t="inlineStr"/>
      <c r="R509" s="5" t="inlineStr"/>
      <c r="S509" s="5" t="inlineStr"/>
      <c r="T509" s="5" t="inlineStr"/>
      <c r="U509" s="5" t="inlineStr"/>
      <c r="V509" s="5" t="inlineStr"/>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row>
    <row r="510">
      <c r="A510" s="5" t="inlineStr">
        <is>
          <t>b6-degisim-programi</t>
        </is>
      </c>
      <c r="B510" s="5" t="n">
        <v>2</v>
      </c>
      <c r="C510" s="6" t="inlineStr">
        <is>
          <t>Başvur</t>
        </is>
      </c>
      <c r="D510" s="5" t="inlineStr">
        <is>
          <t>Akıl</t>
        </is>
      </c>
      <c r="E510" s="5" t="inlineStr">
        <is>
          <t>Orta</t>
        </is>
      </c>
      <c r="F510" s="5" t="inlineStr"/>
      <c r="G510" s="6" t="inlineStr"/>
      <c r="H510" s="6" t="inlineStr">
        <is>
          <t>Kabul edildin. Bir dönem boyunca kahvaltıda düzgün peynir aradın. Bulamadın.</t>
        </is>
      </c>
      <c r="I510" s="6" t="inlineStr">
        <is>
          <t>Kabul edildin, dili söktün. Döndüğünde cümlelerine yabancı kelime sıkıştırıyorsun. Aile şikâyetçi.</t>
        </is>
      </c>
      <c r="J510" s="6" t="inlineStr">
        <is>
          <t>Formun dördüncü sayfası eksikti. Dördüncü sayfanın var olduğunu kimse söylememişti.</t>
        </is>
      </c>
      <c r="K510" s="6" t="inlineStr">
        <is>
          <t>Kabul edildin, vize reddedildi. Dönemi arkadaşlarının görüntülü aramalarından izledin.</t>
        </is>
      </c>
      <c r="L510" s="6" t="inlineStr"/>
      <c r="M510" s="5" t="inlineStr"/>
      <c r="N510" s="5" t="inlineStr"/>
      <c r="O510" s="6" t="inlineStr"/>
      <c r="P510" s="6" t="inlineStr"/>
      <c r="Q510" s="5" t="inlineStr"/>
      <c r="R510" s="5" t="inlineStr"/>
      <c r="S510" s="5" t="inlineStr"/>
      <c r="T510" s="5" t="inlineStr"/>
      <c r="U510" s="5" t="inlineStr"/>
      <c r="V510" s="5" t="inlineStr">
        <is>
          <t>yurtdisi-gordu</t>
        </is>
      </c>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row>
    <row r="511">
      <c r="A511" s="5" t="inlineStr">
        <is>
          <t>b6-degisim-programi</t>
        </is>
      </c>
      <c r="B511" s="5" t="n">
        <v>3</v>
      </c>
      <c r="C511" s="6" t="inlineStr">
        <is>
          <t>Bursu beklemeden aileden destek iste</t>
        </is>
      </c>
      <c r="D511" s="5" t="inlineStr">
        <is>
          <t>Çene</t>
        </is>
      </c>
      <c r="E511" s="5" t="inlineStr">
        <is>
          <t>Zor</t>
        </is>
      </c>
      <c r="F511" s="5" t="inlineStr"/>
      <c r="G511" s="6" t="inlineStr"/>
      <c r="H511" s="6" t="inlineStr">
        <is>
          <t>Akşam yemeğinde, çaylar gelince konuyu açtın. Baban uzun uzun sustu, sonra “Her akşam görüntülü arayacaksın” dedi. Bu evde “evet” böyle söylenir.</t>
        </is>
      </c>
      <c r="I511" s="6" t="inlineStr">
        <is>
          <t>Annen hemen “Git” dedi; baban ertesi sabah bir zarfı sessizce masaya bıraktı. Bavulun yarısı tarhana, salça ve kuru fasulyeyle doldu. Havalimanında bavul fazla kilodan takıldı.</t>
        </is>
      </c>
      <c r="J511" s="6" t="inlineStr">
        <is>
          <t>Baban gözlüğünü çıkardı: “Bir dahaki sefere.” Bir dahaki seferin mezuniyetten sonra olduğu sonradan anlaşıldı.</t>
        </is>
      </c>
      <c r="K511" s="6" t="inlineStr">
        <is>
          <t>Sofrada oradaki kirayı söyledin. Baban çatalını bıraktı, annen “Orada ev mi alıyorsun?” dedi. Konu kapandı; tatlı da gelmedi.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c r="AI511" s="5" t="inlineStr"/>
    </row>
    <row r="512">
      <c r="A512" s="5" t="inlineStr">
        <is>
          <t>b6-askerlik</t>
        </is>
      </c>
      <c r="B512" s="5" t="n">
        <v>1</v>
      </c>
      <c r="C512" s="6" t="inlineStr">
        <is>
          <t>Celbe uy, git</t>
        </is>
      </c>
      <c r="D512" s="5" t="inlineStr"/>
      <c r="E512" s="5" t="inlineStr"/>
      <c r="F512" s="5" t="inlineStr">
        <is>
          <t>İtibar +1, Dayanıklılık +1</t>
        </is>
      </c>
      <c r="G512" s="6" t="inlineStr">
        <is>
          <t>Saçını annen kesti, berber düzeltti, kışla sıfırladı. Gittiğin sabah kapının önünde konvoy kuruldu, kuzenler otobüsün önünde halaya durdu. Annen arkandan bir tas su döktü.</t>
        </is>
      </c>
      <c r="H512" s="6" t="inlineStr"/>
      <c r="I512" s="6" t="inlineStr"/>
      <c r="J512" s="6" t="inlineStr"/>
      <c r="K512" s="6" t="inlineStr"/>
      <c r="L512" s="6" t="inlineStr"/>
      <c r="M512" s="5" t="inlineStr"/>
      <c r="N512" s="5" t="inlineStr"/>
      <c r="O512" s="6" t="inlineStr"/>
      <c r="P512" s="6" t="inlineStr"/>
      <c r="Q512" s="5" t="inlineStr"/>
      <c r="R512" s="5" t="inlineStr"/>
      <c r="S512" s="5" t="inlineStr"/>
      <c r="T512" s="5" t="inlineStr"/>
      <c r="U512" s="5" t="inlineStr">
        <is>
          <t>askerlik-yapti</t>
        </is>
      </c>
      <c r="V512" s="5" t="inlineStr"/>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row>
    <row r="513">
      <c r="A513" s="5" t="inlineStr">
        <is>
          <t>b6-askerlik</t>
        </is>
      </c>
      <c r="B513" s="5" t="n">
        <v>2</v>
      </c>
      <c r="C513" s="6" t="inlineStr">
        <is>
          <t>Bedelli öde</t>
        </is>
      </c>
      <c r="D513" s="5" t="inlineStr"/>
      <c r="E513" s="5" t="inlineStr"/>
      <c r="F513" s="5" t="inlineStr">
        <is>
          <t>Pişkinlik +1</t>
        </is>
      </c>
      <c r="G513" s="6" t="inlineStr">
        <is>
          <t>Parayı bankaya yatırdın, dekontu çerçeveletmedin ama neredeyse. Tek nöbetin banka kuyruğundaydı; tuttun.</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bedelli</t>
        </is>
      </c>
      <c r="V513" s="5" t="inlineStr"/>
      <c r="W513" s="5" t="inlineStr"/>
      <c r="X513" s="5" t="inlineStr"/>
      <c r="Y513" s="5" t="inlineStr"/>
      <c r="Z513" s="6" t="inlineStr"/>
      <c r="AA513" s="5" t="inlineStr">
        <is>
          <t>Yalçın -1, Şen -1</t>
        </is>
      </c>
      <c r="AB513" s="5" t="inlineStr"/>
      <c r="AC513" s="5" t="inlineStr">
        <is>
          <t>Orta</t>
        </is>
      </c>
      <c r="AD513" s="5" t="inlineStr"/>
      <c r="AE513" s="5" t="inlineStr"/>
      <c r="AF513" s="5" t="inlineStr"/>
      <c r="AG513" s="5" t="inlineStr"/>
      <c r="AH513" s="5" t="inlineStr"/>
      <c r="AI513" s="5" t="inlineStr"/>
    </row>
    <row r="514">
      <c r="A514" s="5" t="inlineStr">
        <is>
          <t>b6-askerlik</t>
        </is>
      </c>
      <c r="B514" s="5" t="n">
        <v>3</v>
      </c>
      <c r="C514" s="6" t="inlineStr">
        <is>
          <t>Heyette düztabanlığını anlat</t>
        </is>
      </c>
      <c r="D514" s="5" t="inlineStr">
        <is>
          <t>Kurnazlık</t>
        </is>
      </c>
      <c r="E514" s="5" t="inlineStr">
        <is>
          <t>Zor</t>
        </is>
      </c>
      <c r="F514" s="5" t="inlineStr"/>
      <c r="G514" s="6" t="inlineStr"/>
      <c r="H514" s="6" t="inlineStr">
        <is>
          <t>Heyete öyle bir düztaban hikâyesi anlattın ki doktor kendi ayağına baktı. Rapor çıktı: “Elverişsiz.” Ayakların o günden beri sessiz.</t>
        </is>
      </c>
      <c r="I514" s="6" t="inlineStr">
        <is>
          <t>Hikâyen öyle etkiliydi ki heyetteki bir doktor sana ortopedik tabanlık önerdi, öbürü kartvizit verdi. Rapor elinde, yeni tanıdıkların cebinde.</t>
        </is>
      </c>
      <c r="J514" s="6" t="inlineStr">
        <is>
          <t>Heyet dinledi, not aldı, seni en uzak birliğe yazdı. Düztabanlık orada da konuşuldu; yürüyüşte.</t>
        </is>
      </c>
      <c r="K514" s="6" t="inlineStr">
        <is>
          <t>Anlatırken hangi ayağın düz olduğunu karıştırdın. Heyet gülmedi. Kâğıdına “Acil celp” yazıldı; bir de “gözetim” notu.</t>
        </is>
      </c>
      <c r="L514" s="6" t="inlineStr"/>
      <c r="M514" s="5" t="inlineStr"/>
      <c r="N514" s="5" t="inlineStr"/>
      <c r="O514" s="6" t="inlineStr"/>
      <c r="P514" s="6" t="inlineStr"/>
      <c r="Q514" s="5" t="inlineStr"/>
      <c r="R514" s="5" t="inlineStr">
        <is>
          <t>yalanci</t>
        </is>
      </c>
      <c r="S514" s="5" t="inlineStr"/>
      <c r="T514" s="5" t="inlineStr"/>
      <c r="U514" s="5" t="inlineStr"/>
      <c r="V514" s="5" t="inlineStr">
        <is>
          <t>curuk-rapor</t>
        </is>
      </c>
      <c r="W514" s="5" t="inlineStr"/>
      <c r="X514" s="5" t="inlineStr"/>
      <c r="Y514" s="5" t="inlineStr"/>
      <c r="Z514" s="6" t="inlineStr"/>
      <c r="AA514" s="5" t="inlineStr">
        <is>
          <t>hepsi -1</t>
        </is>
      </c>
      <c r="AB514" s="5" t="inlineStr">
        <is>
          <t>askerlik-yapti</t>
        </is>
      </c>
      <c r="AC514" s="5" t="inlineStr"/>
      <c r="AD514" s="5" t="inlineStr"/>
      <c r="AE514" s="5" t="inlineStr"/>
      <c r="AF514" s="5" t="inlineStr"/>
      <c r="AG514" s="5" t="inlineStr"/>
      <c r="AH514" s="5" t="inlineStr"/>
      <c r="AI514" s="5" t="inlineStr"/>
    </row>
    <row r="515">
      <c r="A515" s="5" t="inlineStr">
        <is>
          <t>b6-okusaydin</t>
        </is>
      </c>
      <c r="B515" s="5" t="n">
        <v>1</v>
      </c>
      <c r="C515" s="6" t="inlineStr">
        <is>
          <t>Gülümse ve tatlı ye</t>
        </is>
      </c>
      <c r="D515" s="5" t="inlineStr"/>
      <c r="E515" s="5" t="inlineStr"/>
      <c r="F515" s="5" t="inlineStr">
        <is>
          <t>Dayanıklılık +1</t>
        </is>
      </c>
      <c r="G515" s="6" t="inlineStr">
        <is>
          <t>Dördüne de gülümsedin. Dört dilim yedin. Bu masada kimse kazanamadı.</t>
        </is>
      </c>
      <c r="H515" s="6" t="inlineStr"/>
      <c r="I515" s="6" t="inlineStr"/>
      <c r="J515" s="6" t="inlineStr"/>
      <c r="K515" s="6" t="inlineStr"/>
      <c r="L515" s="6" t="inlineStr"/>
      <c r="M515" s="5" t="inlineStr"/>
      <c r="N515" s="5" t="inlineStr"/>
      <c r="O515" s="6" t="inlineStr"/>
      <c r="P515" s="6" t="inlineStr"/>
      <c r="Q515" s="5" t="inlineStr"/>
      <c r="R515" s="5" t="inlineStr"/>
      <c r="S515" s="5" t="inlineStr"/>
      <c r="T515" s="5" t="inlineStr"/>
      <c r="U515" s="5" t="inlineStr"/>
      <c r="V515" s="5" t="inlineStr"/>
      <c r="W515" s="5" t="inlineStr"/>
      <c r="X515" s="5" t="inlineStr"/>
      <c r="Y515" s="5" t="inlineStr"/>
      <c r="Z515" s="6" t="inlineStr"/>
      <c r="AA515" s="5" t="inlineStr"/>
      <c r="AB515" s="5" t="inlineStr"/>
      <c r="AC515" s="5" t="inlineStr"/>
      <c r="AD515" s="5" t="inlineStr"/>
      <c r="AE515" s="5" t="inlineStr"/>
      <c r="AF515" s="5" t="inlineStr"/>
      <c r="AG515" s="5" t="inlineStr"/>
      <c r="AH515" s="5" t="inlineStr"/>
      <c r="AI515" s="5" t="inlineStr"/>
    </row>
    <row r="516">
      <c r="A516" s="5" t="inlineStr">
        <is>
          <t>b6-okusaydin</t>
        </is>
      </c>
      <c r="B516" s="5" t="n">
        <v>2</v>
      </c>
      <c r="C516" s="6" t="inlineStr">
        <is>
          <t>Maaşını açıkla</t>
        </is>
      </c>
      <c r="D516" s="5" t="inlineStr">
        <is>
          <t>Pişkinlik</t>
        </is>
      </c>
      <c r="E516" s="5" t="inlineStr">
        <is>
          <t>Orta</t>
        </is>
      </c>
      <c r="F516" s="5" t="inlineStr"/>
      <c r="G516" s="6" t="inlineStr"/>
      <c r="H516" s="6" t="inlineStr">
        <is>
          <t>Kısa bir sessizlik oldu. Konu hava durumuna geçti.</t>
        </is>
      </c>
      <c r="I516" s="6" t="inlineStr">
        <is>
          <t>Teyze, üniversitedeki oğluna senin gibi çalışmasını önerdi. Oğlu duydu.</t>
        </is>
      </c>
      <c r="J516" s="6" t="inlineStr">
        <is>
          <t>'Olsun, okusaydın daha iyisi olurdu' dendi. Matematik kimseyi ikna etmedi.</t>
        </is>
      </c>
      <c r="K516" s="6" t="inlineStr">
        <is>
          <t>Maaşını söyledin. O gece iki akraba senden borç istedi.</t>
        </is>
      </c>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row>
    <row r="517">
      <c r="A517" s="5" t="inlineStr">
        <is>
          <t>b6-okusaydin</t>
        </is>
      </c>
      <c r="B517" s="5" t="n">
        <v>3</v>
      </c>
      <c r="C517" s="6" t="inlineStr">
        <is>
          <t>Teyzenin oğlunu sor</t>
        </is>
      </c>
      <c r="D517" s="5" t="inlineStr">
        <is>
          <t>Sosyal Radar</t>
        </is>
      </c>
      <c r="E517" s="5" t="inlineStr">
        <is>
          <t>Kolay</t>
        </is>
      </c>
      <c r="F517" s="5" t="inlineStr"/>
      <c r="G517" s="6" t="inlineStr"/>
      <c r="H517" s="6" t="inlineStr">
        <is>
          <t>'Oğlunuz ne durumda?' dedin. Teyze konuyu hemen gelinliğe çevirdi.</t>
        </is>
      </c>
      <c r="I517" s="6" t="inlineStr">
        <is>
          <t>Bütün masa teyzeye döndü. Sen sessizce ikinci tatlıyı aldın.</t>
        </is>
      </c>
      <c r="J517" s="6" t="inlineStr">
        <is>
          <t>Oğlu yüksek lisansa başlamış. Yenildin.</t>
        </is>
      </c>
      <c r="K517" s="6" t="inlineStr">
        <is>
          <t>Oğlu yan masadaymış. Duydu, geldi, kendi hikâyesini anlattı. Kırk dakika.</t>
        </is>
      </c>
      <c r="L517" s="6" t="inlineStr"/>
      <c r="M517" s="5" t="inlineStr"/>
      <c r="N517" s="5" t="inlineStr"/>
      <c r="O517" s="6" t="inlineStr"/>
      <c r="P517" s="6" t="inlineStr"/>
      <c r="Q517" s="5" t="inlineStr"/>
      <c r="R517" s="5" t="inlineStr"/>
      <c r="S517" s="5" t="inlineStr">
        <is>
          <t>Sosyal Radar</t>
        </is>
      </c>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row>
    <row r="518">
      <c r="A518" s="5" t="inlineStr">
        <is>
          <t>b6-okusaydin</t>
        </is>
      </c>
      <c r="B518" s="5" t="n">
        <v>4</v>
      </c>
      <c r="C518" s="6" t="inlineStr">
        <is>
          <t>Kendinle dalga geç</t>
        </is>
      </c>
      <c r="D518" s="5" t="inlineStr">
        <is>
          <t>Pişkinlik</t>
        </is>
      </c>
      <c r="E518" s="5" t="inlineStr">
        <is>
          <t>Kolay</t>
        </is>
      </c>
      <c r="F518" s="5" t="inlineStr"/>
      <c r="G518" s="6" t="inlineStr"/>
      <c r="H518" s="6" t="inlineStr">
        <is>
          <t>'Ben okusaydım kim çalışacaktı?' dedin. Masa güldü, konu kapandı.</t>
        </is>
      </c>
      <c r="I518" s="6" t="inlineStr">
        <is>
          <t>Espri bütün düğün boyunca masadan masaya dolaştı. Gelin bile tekrarladı.</t>
        </is>
      </c>
      <c r="J518" s="6" t="inlineStr">
        <is>
          <t>Kimse gülmedi. Teyze başını salladı: 'Okusaydın espri de öğrenirdin.'</t>
        </is>
      </c>
      <c r="K518" s="6" t="inlineStr">
        <is>
          <t>Kendinle dalga geçtin. Akrabalar da katıldı. Hepsi katıldı.</t>
        </is>
      </c>
      <c r="L518" s="6" t="inlineStr"/>
      <c r="M518" s="5" t="inlineStr"/>
      <c r="N518" s="5" t="inlineStr"/>
      <c r="O518" s="6" t="inlineStr"/>
      <c r="P518" s="6" t="inlineStr"/>
      <c r="Q518" s="5" t="inlineStr">
        <is>
          <t>Kendine Gülebilir</t>
        </is>
      </c>
      <c r="R518" s="5" t="inlineStr"/>
      <c r="S518" s="5" t="inlineStr"/>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row>
    <row r="519">
      <c r="A519" s="5" t="inlineStr">
        <is>
          <t>b6-mezuniyet</t>
        </is>
      </c>
      <c r="B519" s="5" t="n">
        <v>1</v>
      </c>
      <c r="C519" s="6" t="inlineStr">
        <is>
          <t>Kepi at, fotoğraf çek</t>
        </is>
      </c>
      <c r="D519" s="5" t="inlineStr"/>
      <c r="E519" s="5" t="inlineStr"/>
      <c r="F519" s="5" t="inlineStr">
        <is>
          <t>Sosyal Radar +1</t>
        </is>
      </c>
      <c r="G519" s="6" t="inlineStr">
        <is>
          <t>Kep havaya uçtu, geri başkasının kepi düştü. Annen fotoğrafları aile grubuna attı; teyzen üç dakika sonra yazdı: “Bu kep senin değil.”</t>
        </is>
      </c>
      <c r="H519" s="6" t="inlineStr"/>
      <c r="I519" s="6" t="inlineStr"/>
      <c r="J519" s="6" t="inlineStr"/>
      <c r="K519" s="6" t="inlineStr"/>
      <c r="L519" s="6" t="inlineStr"/>
      <c r="M519" s="5" t="inlineStr"/>
      <c r="N519" s="5" t="inlineStr"/>
      <c r="O519" s="6" t="inlineStr"/>
      <c r="P519" s="6" t="inlineStr"/>
      <c r="Q519" s="5" t="inlineStr"/>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row>
    <row r="520">
      <c r="A520" s="5" t="inlineStr">
        <is>
          <t>b6-mezuniyet</t>
        </is>
      </c>
      <c r="B520" s="5" t="n">
        <v>2</v>
      </c>
      <c r="C520" s="6" t="inlineStr">
        <is>
          <t>Konuşmayı sen yap</t>
        </is>
      </c>
      <c r="D520" s="5" t="inlineStr">
        <is>
          <t>Çene</t>
        </is>
      </c>
      <c r="E520" s="5" t="inlineStr">
        <is>
          <t>Zor</t>
        </is>
      </c>
      <c r="F520" s="5" t="inlineStr"/>
      <c r="G520" s="6" t="inlineStr"/>
      <c r="H520" s="6" t="inlineStr">
        <is>
          <t>Hocalar gülümsedi, dekan saatine baktı. Annen ön sırada ağladı; ne dediğini duymadı, ağlamak için duymaya gerek yoktu.</t>
        </is>
      </c>
      <c r="I520" s="6" t="inlineStr">
        <is>
          <t>Konuşmanı bir hocanın taklidiyle bitirdin. Hoca ön sırada kahkaha attı, kalkıp sana sarıldı. Video aile grubunda yüz kez paylaşıldı; yüzüncüyü teyzen attı.</t>
        </is>
      </c>
      <c r="J520" s="6" t="inlineStr">
        <is>
          <t>Mikrofon kapalıydı. Dudak okuyanlar beğendi.</t>
        </is>
      </c>
      <c r="K520" s="6" t="inlineStr">
        <is>
          <t>Teşekkür ettiğin hoca, seni üç kez bırakan hocaydı. Salon anladı.</t>
        </is>
      </c>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row>
    <row r="521">
      <c r="A521" s="5" t="inlineStr">
        <is>
          <t>b6-mezuniyet</t>
        </is>
      </c>
      <c r="B521" s="5" t="n">
        <v>3</v>
      </c>
      <c r="C521" s="6" t="inlineStr">
        <is>
          <t>Diplomayı aynı gün almaya çalış</t>
        </is>
      </c>
      <c r="D521" s="5" t="inlineStr">
        <is>
          <t>Kurnazlık</t>
        </is>
      </c>
      <c r="E521" s="5" t="inlineStr">
        <is>
          <t>Orta</t>
        </is>
      </c>
      <c r="F521" s="5" t="inlineStr"/>
      <c r="G521" s="6" t="inlineStr"/>
      <c r="H521" s="6" t="inlineStr">
        <is>
          <t>Öğrenci işlerindeki memurla göz teması kurdun. Diploma aynı gün elinde.</t>
        </is>
      </c>
      <c r="I521" s="6" t="inlineStr">
        <is>
          <t>Diplomayı aldın, üstelik ikinci nüsha da çıktı. Biri çerçeveye, biri zarfa.</t>
        </is>
      </c>
      <c r="J521" s="6" t="inlineStr">
        <is>
          <t>Önünde bütün mezunlar vardı. Arkanda da.</t>
        </is>
      </c>
      <c r="K521" s="6" t="inlineStr">
        <is>
          <t>Adın yanlış yazılmış. Düzeltme için dilekçe, dilekçe için harç, harç için sıra.</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row>
    <row r="522">
      <c r="A522" s="5" t="inlineStr">
        <is>
          <t>b6-mezuniyet</t>
        </is>
      </c>
      <c r="B522" s="5" t="n">
        <v>4</v>
      </c>
      <c r="C522" s="6" t="inlineStr">
        <is>
          <t>Ailenle poz ver</t>
        </is>
      </c>
      <c r="D522" s="5" t="inlineStr"/>
      <c r="E522" s="5" t="inlineStr"/>
      <c r="F522" s="5" t="inlineStr">
        <is>
          <t>Gönül +1</t>
        </is>
      </c>
      <c r="G522" s="6" t="inlineStr">
        <is>
          <t>On yedi açıdan aynı fotoğraf çekildi. Hepsinde birinin gözü kapalı.</t>
        </is>
      </c>
      <c r="H522" s="6" t="inlineStr"/>
      <c r="I522" s="6" t="inlineStr"/>
      <c r="J522" s="6" t="inlineStr"/>
      <c r="K522" s="6" t="inlineStr"/>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row>
    <row r="523">
      <c r="A523" s="5" t="inlineStr">
        <is>
          <t>b6-meslek-secimi</t>
        </is>
      </c>
      <c r="B523" s="5" t="n">
        <v>1</v>
      </c>
      <c r="C523" s="6" t="inlineStr">
        <is>
          <t>Beyaz yaka: özgeçmişini her yere gönder</t>
        </is>
      </c>
      <c r="D523" s="5" t="inlineStr">
        <is>
          <t>Çene</t>
        </is>
      </c>
      <c r="E523" s="5" t="inlineStr">
        <is>
          <t>Orta</t>
        </is>
      </c>
      <c r="F523" s="5" t="inlineStr"/>
      <c r="G523" s="6" t="inlineStr"/>
      <c r="H523" s="6" t="inlineStr">
        <is>
          <t>Yüz on iki başvuru, üç görüşme, bir teklif. Plazada bir masan, bir kartın ve “uyum haftası” denen, kimsenin ne yaptığını bilmediği bir haftan var.</t>
        </is>
      </c>
      <c r="I523" s="6" t="inlineStr">
        <is>
          <t>İki şirket seni istedi; ikisini birbirine karşı oynattın. Kazanan şirketin kartvizitinde unvanın sen istemeden “uzman.”</t>
        </is>
      </c>
      <c r="J523" s="6" t="inlineStr">
        <is>
          <t>Başvurulara cevap gelmedi. Bir ajans seni “proje bazlı” işe aldı. Proje bazlı, maaş da bazlı.</t>
        </is>
      </c>
      <c r="K523" s="6" t="inlineStr">
        <is>
          <t>Özgeçmişinde yazım hatası vardı: “Takım çalışmasına yatkın” yerine “Takım çalışmasına yatık.” Kimse aramadı; bir ajans hariç.</t>
        </is>
      </c>
      <c r="L523" s="6" t="inlineStr"/>
      <c r="M523" s="5" t="inlineStr"/>
      <c r="N523" s="5" t="inlineStr"/>
      <c r="O523" s="6" t="inlineStr"/>
      <c r="P523" s="6" t="inlineStr"/>
      <c r="Q523" s="5" t="inlineStr"/>
      <c r="R523" s="5" t="inlineStr"/>
      <c r="S523" s="5" t="inlineStr"/>
      <c r="T523" s="5" t="inlineStr"/>
      <c r="U523" s="5" t="inlineStr"/>
      <c r="V523" s="5" t="inlineStr">
        <is>
          <t>meslek-beyazyaka</t>
        </is>
      </c>
      <c r="W523" s="5" t="inlineStr"/>
      <c r="X523" s="5" t="inlineStr"/>
      <c r="Y523" s="5" t="inlineStr"/>
      <c r="Z523" s="6" t="inlineStr"/>
      <c r="AA523" s="5" t="inlineStr"/>
      <c r="AB523" s="5" t="inlineStr">
        <is>
          <t>meslek-serbest</t>
        </is>
      </c>
      <c r="AC523" s="5" t="inlineStr"/>
      <c r="AD523" s="5" t="inlineStr">
        <is>
          <t>Orta</t>
        </is>
      </c>
      <c r="AE523" s="5" t="inlineStr"/>
      <c r="AF523" s="5" t="inlineStr"/>
      <c r="AG523" s="5" t="inlineStr"/>
      <c r="AH523" s="5" t="inlineStr"/>
      <c r="AI523" s="5" t="inlineStr"/>
    </row>
    <row r="524">
      <c r="A524" s="5" t="inlineStr">
        <is>
          <t>b6-meslek-secimi</t>
        </is>
      </c>
      <c r="B524" s="5" t="n">
        <v>2</v>
      </c>
      <c r="C524" s="6" t="inlineStr">
        <is>
          <t>Memur ol: devlet kadro sınavına çalış</t>
        </is>
      </c>
      <c r="D524" s="5" t="inlineStr">
        <is>
          <t>Akıl</t>
        </is>
      </c>
      <c r="E524" s="5" t="inlineStr">
        <is>
          <t>Orta</t>
        </is>
      </c>
      <c r="F524" s="5" t="inlineStr"/>
      <c r="G524" s="6" t="inlineStr"/>
      <c r="H524" s="6" t="inlineStr">
        <is>
          <t>Sınavı geçtin. Atama bekliyorsun. Annen komşulara “Devlet kapısı” dedi; kelimeleri tek tek, yavaşça söyledi.</t>
        </is>
      </c>
      <c r="I524" s="6" t="inlineStr">
        <is>
          <t>Derece yaptın. Atama listesinde istediğin şehir bile vardı. Aile grubu ilk kez hiç tartışmadı.</t>
        </is>
      </c>
      <c r="J524" s="6" t="inlineStr">
        <is>
          <t>Puanın bir tık altında kaldı. Seneye diye diye bir özel şirkette “geçici” olarak başladın. Geçici, bu ülkede kalıcının takma adıdır.</t>
        </is>
      </c>
      <c r="K524" s="6" t="inlineStr">
        <is>
          <t>Sınavda kitapçık türünü yanlış işaretledin. Bütün cevaplar başka bir kitapçığa göre değerlendirildi. Bir plaza seni kabul etti; kitapçık sormadı.</t>
        </is>
      </c>
      <c r="L524" s="6" t="inlineStr"/>
      <c r="M524" s="5" t="inlineStr"/>
      <c r="N524" s="5" t="inlineStr"/>
      <c r="O524" s="6" t="inlineStr"/>
      <c r="P524" s="6" t="inlineStr"/>
      <c r="Q524" s="5" t="inlineStr"/>
      <c r="R524" s="5" t="inlineStr"/>
      <c r="S524" s="5" t="inlineStr"/>
      <c r="T524" s="5" t="inlineStr"/>
      <c r="U524" s="5" t="inlineStr"/>
      <c r="V524" s="5" t="inlineStr">
        <is>
          <t>meslek-memur</t>
        </is>
      </c>
      <c r="W524" s="5" t="inlineStr"/>
      <c r="X524" s="5" t="inlineStr"/>
      <c r="Y524" s="5" t="inlineStr"/>
      <c r="Z524" s="6" t="inlineStr"/>
      <c r="AA524" s="5" t="inlineStr">
        <is>
          <t>Erdem +1, Yalçın +1</t>
        </is>
      </c>
      <c r="AB524" s="5" t="inlineStr">
        <is>
          <t>meslek-beyazyaka</t>
        </is>
      </c>
      <c r="AC524" s="5" t="inlineStr"/>
      <c r="AD524" s="5" t="inlineStr">
        <is>
          <t>Orta</t>
        </is>
      </c>
      <c r="AE524" s="5" t="inlineStr"/>
      <c r="AF524" s="5" t="inlineStr"/>
      <c r="AG524" s="5" t="inlineStr"/>
      <c r="AH524" s="5" t="inlineStr"/>
      <c r="AI524" s="5" t="inlineStr"/>
    </row>
    <row r="525">
      <c r="A525" s="5" t="inlineStr">
        <is>
          <t>b6-meslek-secimi</t>
        </is>
      </c>
      <c r="B525" s="5" t="n">
        <v>3</v>
      </c>
      <c r="C525" s="6" t="inlineStr">
        <is>
          <t>Kendi şirketini kur</t>
        </is>
      </c>
      <c r="D525" s="5" t="inlineStr">
        <is>
          <t>Cesaret</t>
        </is>
      </c>
      <c r="E525" s="5" t="inlineStr">
        <is>
          <t>Zor</t>
        </is>
      </c>
      <c r="F525" s="5" t="inlineStr"/>
      <c r="G525" s="6" t="inlineStr"/>
      <c r="H525" s="6" t="inlineStr">
        <is>
          <t>Bir fikir, iki laptop, bir kafe masası. Şirket kuruldu. Logosu fikrinden daha iyi, ama fikir de fena değil.</t>
        </is>
      </c>
      <c r="I525" s="6" t="inlineStr">
        <is>
          <t>İlk ay bir yatırımcı kafeye oturdu, fikrini dinledi, çek defterini çıkardı. Kafe o günden beri senin “ofisin.”</t>
        </is>
      </c>
      <c r="J525" s="6" t="inlineStr">
        <is>
          <t>Şirketi kurdun, üç ayda kapattın. Özgeçmişe “girişimcilik deneyimi” olarak geçti; bir plaza seni bu satır için işe aldı.</t>
        </is>
      </c>
      <c r="K525" s="6" t="inlineStr">
        <is>
          <t>Kuruluş evrakını yanlış doldurdun; şirketin adı resmî olarak bir yazım hatası. Kapatıp bir plazaya girdin; kimse şirketi hatırlamıyor, adı hariç.</t>
        </is>
      </c>
      <c r="L525" s="6" t="inlineStr"/>
      <c r="M525" s="5" t="inlineStr"/>
      <c r="N525" s="5" t="inlineStr"/>
      <c r="O525" s="6" t="inlineStr"/>
      <c r="P525" s="6" t="inlineStr"/>
      <c r="Q525" s="5" t="inlineStr"/>
      <c r="R525" s="5" t="inlineStr"/>
      <c r="S525" s="5" t="inlineStr"/>
      <c r="T525" s="5" t="inlineStr"/>
      <c r="U525" s="5" t="inlineStr"/>
      <c r="V525" s="5" t="inlineStr">
        <is>
          <t>hat-girisimci, meslek-serbest</t>
        </is>
      </c>
      <c r="W525" s="5" t="inlineStr"/>
      <c r="X525" s="5" t="inlineStr"/>
      <c r="Y525" s="5" t="inlineStr"/>
      <c r="Z525" s="6" t="inlineStr"/>
      <c r="AA525" s="5" t="inlineStr">
        <is>
          <t>Keskin +1, Erdem -1</t>
        </is>
      </c>
      <c r="AB525" s="5" t="inlineStr">
        <is>
          <t>meslek-beyazyaka</t>
        </is>
      </c>
      <c r="AC525" s="5" t="inlineStr">
        <is>
          <t>Orta</t>
        </is>
      </c>
      <c r="AD525" s="5" t="inlineStr">
        <is>
          <t>Orta</t>
        </is>
      </c>
      <c r="AE525" s="5" t="inlineStr"/>
      <c r="AF525" s="5" t="inlineStr"/>
      <c r="AG525" s="5" t="inlineStr"/>
      <c r="AH525" s="5" t="inlineStr"/>
      <c r="AI525" s="5" t="inlineStr"/>
    </row>
    <row r="526">
      <c r="A526" s="5" t="inlineStr">
        <is>
          <t>b6-meslek-secimi</t>
        </is>
      </c>
      <c r="B526" s="5" t="n">
        <v>4</v>
      </c>
      <c r="C526" s="6" t="inlineStr">
        <is>
          <t>Üniformayı giy: karakola ata</t>
        </is>
      </c>
      <c r="D526" s="5" t="inlineStr"/>
      <c r="E526" s="5" t="inlineStr"/>
      <c r="F526" s="5" t="inlineStr">
        <is>
          <t>Cesaret +1, İtibar +1</t>
        </is>
      </c>
      <c r="G526" s="6" t="inlineStr">
        <is>
          <t>Akademiden mezun oldun, üniformanı giydin. İlk görev yerin bir ilçe karakolu. Annen fotoğrafını çerçeveletti; çerçeve üniformadan ağır.</t>
        </is>
      </c>
      <c r="H526" s="6" t="inlineStr"/>
      <c r="I526" s="6" t="inlineStr"/>
      <c r="J526" s="6" t="inlineStr"/>
      <c r="K526" s="6" t="inlineStr"/>
      <c r="L526" s="6" t="inlineStr"/>
      <c r="M526" s="5" t="inlineStr"/>
      <c r="N526" s="5" t="inlineStr"/>
      <c r="O526" s="6" t="inlineStr"/>
      <c r="P526" s="6" t="inlineStr"/>
      <c r="Q526" s="5" t="inlineStr"/>
      <c r="R526" s="5" t="inlineStr">
        <is>
          <t>bolum-emniyet</t>
        </is>
      </c>
      <c r="S526" s="5" t="inlineStr"/>
      <c r="T526" s="5" t="inlineStr"/>
      <c r="U526" s="5" t="inlineStr">
        <is>
          <t>hat-polis, meslek-memur</t>
        </is>
      </c>
      <c r="V526" s="5" t="inlineStr"/>
      <c r="W526" s="5" t="inlineStr"/>
      <c r="X526" s="5" t="inlineStr"/>
      <c r="Y526" s="5" t="inlineStr"/>
      <c r="Z526" s="6" t="inlineStr"/>
      <c r="AA526" s="5" t="inlineStr">
        <is>
          <t>Erdem +1, Yalçın +1</t>
        </is>
      </c>
      <c r="AB526" s="5" t="inlineStr"/>
      <c r="AC526" s="5" t="inlineStr"/>
      <c r="AD526" s="5" t="inlineStr">
        <is>
          <t>Orta</t>
        </is>
      </c>
      <c r="AE526" s="5" t="inlineStr"/>
      <c r="AF526" s="5" t="inlineStr"/>
      <c r="AG526" s="5" t="inlineStr"/>
      <c r="AH526" s="5" t="inlineStr"/>
      <c r="AI526" s="5" t="inlineStr"/>
    </row>
    <row r="527">
      <c r="A527" s="5" t="inlineStr">
        <is>
          <t>b6-meslek-secimi</t>
        </is>
      </c>
      <c r="B527" s="5" t="n">
        <v>5</v>
      </c>
      <c r="C527" s="6" t="inlineStr">
        <is>
          <t>Hâkimlik sınavına gir</t>
        </is>
      </c>
      <c r="D527" s="5" t="inlineStr">
        <is>
          <t>Akıl</t>
        </is>
      </c>
      <c r="E527" s="5" t="inlineStr">
        <is>
          <t>Zor</t>
        </is>
      </c>
      <c r="F527" s="5" t="inlineStr"/>
      <c r="G527" s="6" t="inlineStr"/>
      <c r="H527" s="6" t="inlineStr">
        <is>
          <t>Sınavı geçtin. Cübbeyi ilk kez giydiğinde biraz büyük geldi; terzi “Büyürsün” dedi. Kürsüye doğru giden yol açıldı.</t>
        </is>
      </c>
      <c r="I527" s="6" t="inlineStr">
        <is>
          <t>Derece yaptın. Mülakatta kurulun sorduğu soruya, soruyu soranın kendi kitabından cevap verdin. Kurul güldü; sen de hâkim adayısın.</t>
        </is>
      </c>
      <c r="J527" s="6" t="inlineStr">
        <is>
          <t>Sınav olmadı. Bir hukuk bürosunda avukat olarak başladın. Cübben var, kürsün yok.</t>
        </is>
      </c>
      <c r="K527" s="6" t="inlineStr">
        <is>
          <t>Sınav sabahı kimliğini evde unuttun. Salona girmene izin verilmedi. Bir büro seni işe aldı; kimliğini sordular, vardı.</t>
        </is>
      </c>
      <c r="L527" s="6" t="inlineStr"/>
      <c r="M527" s="5" t="inlineStr"/>
      <c r="N527" s="5" t="inlineStr"/>
      <c r="O527" s="6" t="inlineStr"/>
      <c r="P527" s="6" t="inlineStr"/>
      <c r="Q527" s="5" t="inlineStr"/>
      <c r="R527" s="5" t="inlineStr">
        <is>
          <t>bolum-hukuk</t>
        </is>
      </c>
      <c r="S527" s="5" t="inlineStr"/>
      <c r="T527" s="5" t="inlineStr"/>
      <c r="U527" s="5" t="inlineStr"/>
      <c r="V527" s="5" t="inlineStr">
        <is>
          <t>hat-yargi, meslek-memur</t>
        </is>
      </c>
      <c r="W527" s="5" t="inlineStr"/>
      <c r="X527" s="5" t="inlineStr"/>
      <c r="Y527" s="5" t="inlineStr"/>
      <c r="Z527" s="6" t="inlineStr"/>
      <c r="AA527" s="5" t="inlineStr">
        <is>
          <t>Erdem +1, Tan +1</t>
        </is>
      </c>
      <c r="AB527" s="5" t="inlineStr">
        <is>
          <t>meslek-beyazyaka</t>
        </is>
      </c>
      <c r="AC527" s="5" t="inlineStr"/>
      <c r="AD527" s="5" t="inlineStr">
        <is>
          <t>Rahat</t>
        </is>
      </c>
      <c r="AE527" s="5" t="inlineStr"/>
      <c r="AF527" s="5" t="inlineStr"/>
      <c r="AG527" s="5" t="inlineStr"/>
      <c r="AH527" s="5" t="inlineStr"/>
      <c r="AI527" s="5" t="inlineStr"/>
    </row>
    <row r="528">
      <c r="A528" s="5" t="inlineStr">
        <is>
          <t>b6-meslek-secimi</t>
        </is>
      </c>
      <c r="B528" s="5" t="n">
        <v>6</v>
      </c>
      <c r="C528" s="6" t="inlineStr">
        <is>
          <t>Seçmelere git, sahneye çık</t>
        </is>
      </c>
      <c r="D528" s="5" t="inlineStr">
        <is>
          <t>Pişkinlik</t>
        </is>
      </c>
      <c r="E528" s="5" t="inlineStr">
        <is>
          <t>Zor</t>
        </is>
      </c>
      <c r="F528" s="5" t="inlineStr"/>
      <c r="G528" s="6" t="inlineStr"/>
      <c r="H528" s="6" t="inlineStr">
        <is>
          <t>Bir dizinin seçmesinden rolle döndün. Üç sahne, iki repliğin var. Birinde “Evet”, diğerinde “Hayır” diyorsun.</t>
        </is>
      </c>
      <c r="I528" s="6" t="inlineStr">
        <is>
          <t>Yönetmen seni o kadar beğendi ki rolünü büyüttü. Artık dizide bir ismin var; ailen de sokakta bir ismi olan çocuğun ailesi.</t>
        </is>
      </c>
      <c r="J528" s="6" t="inlineStr">
        <is>
          <t>Seçmelerden eli boş döndün. Düğünlerde sunuculuk yapmaya başladın. Sahne sahnedir; pilavlı olsa da.</t>
        </is>
      </c>
      <c r="K528" s="6" t="inlineStr">
        <is>
          <t>Seçmede yönetmene yanlış isimle hitap ettin; rakip dizinin yönetmeninin ismiyle. Düğün sunuculuğu seni bekliyor.</t>
        </is>
      </c>
      <c r="L528" s="6" t="inlineStr"/>
      <c r="M528" s="5" t="inlineStr"/>
      <c r="N528" s="5" t="inlineStr"/>
      <c r="O528" s="6" t="inlineStr"/>
      <c r="P528" s="6" t="inlineStr"/>
      <c r="Q528" s="5" t="inlineStr"/>
      <c r="R528" s="5" t="inlineStr">
        <is>
          <t>bolum-iletisim</t>
        </is>
      </c>
      <c r="S528" s="5" t="inlineStr"/>
      <c r="T528" s="5" t="inlineStr"/>
      <c r="U528" s="5" t="inlineStr"/>
      <c r="V528" s="5" t="inlineStr">
        <is>
          <t>hat-sohret, meslek-serbest</t>
        </is>
      </c>
      <c r="W528" s="5" t="inlineStr"/>
      <c r="X528" s="5" t="inlineStr"/>
      <c r="Y528" s="5" t="inlineStr"/>
      <c r="Z528" s="6" t="inlineStr"/>
      <c r="AA528" s="5" t="inlineStr">
        <is>
          <t>Varlı +1, Erdem -1</t>
        </is>
      </c>
      <c r="AB528" s="5" t="inlineStr">
        <is>
          <t>meslek-serbest</t>
        </is>
      </c>
      <c r="AC528" s="5" t="inlineStr"/>
      <c r="AD528" s="5" t="inlineStr">
        <is>
          <t>Orta</t>
        </is>
      </c>
      <c r="AE528" s="5" t="inlineStr"/>
      <c r="AF528" s="5" t="inlineStr"/>
      <c r="AG528" s="5" t="inlineStr"/>
      <c r="AH528" s="5" t="inlineStr"/>
      <c r="AI528" s="5" t="inlineStr"/>
    </row>
    <row r="529">
      <c r="A529" s="5" t="inlineStr">
        <is>
          <t>b6-meslek-secimi</t>
        </is>
      </c>
      <c r="B529" s="5" t="n">
        <v>7</v>
      </c>
      <c r="C529" s="6" t="inlineStr">
        <is>
          <t>Yatırım gurusu kartviziti bastır</t>
        </is>
      </c>
      <c r="D529" s="5" t="inlineStr">
        <is>
          <t>Kurnazlık</t>
        </is>
      </c>
      <c r="E529" s="5" t="inlineStr">
        <is>
          <t>Zor</t>
        </is>
      </c>
      <c r="F529" s="5" t="inlineStr"/>
      <c r="G529" s="6" t="inlineStr"/>
      <c r="H529" s="6" t="inlineStr">
        <is>
          <t>Kartvizitte “Finansal özgürlük koçu” yazıyor. İlk seminerine kırk kişi geldi. Senin tek yatırımın kartvizitti; geri dönüşü muhteşemdi.</t>
        </is>
      </c>
      <c r="I529" s="6" t="inlineStr">
        <is>
          <t>Seminerin videosu yayıldı. Kiraladığın salon küçük geldi, kiraladığın araba büyük. Nereye gittiğini sorarsan: yukarı; şimdilik.</t>
        </is>
      </c>
      <c r="J529" s="6" t="inlineStr">
        <is>
          <t>Seminere üç kişi geldi; ikisi annenle teyzen. Kartvizitleri bir çağrı merkezine başvururken kullandın.</t>
        </is>
      </c>
      <c r="K529" s="6" t="inlineStr">
        <is>
          <t>Seminere gelenlerden biri gerçek bir finansçıydı. Sorularına cevap veremedin. Bir çağrı merkezi seni aldı; orada sorular yazılı.</t>
        </is>
      </c>
      <c r="L529" s="6" t="inlineStr"/>
      <c r="M529" s="5" t="inlineStr"/>
      <c r="N529" s="5" t="inlineStr"/>
      <c r="O529" s="6" t="inlineStr"/>
      <c r="P529" s="6" t="inlineStr"/>
      <c r="Q529" s="5" t="inlineStr"/>
      <c r="R529" s="5" t="inlineStr">
        <is>
          <t>yalanci</t>
        </is>
      </c>
      <c r="S529" s="5" t="inlineStr"/>
      <c r="T529" s="5" t="inlineStr"/>
      <c r="U529" s="5" t="inlineStr"/>
      <c r="V529" s="5" t="inlineStr">
        <is>
          <t>hat-dolandirici, meslek-serbest</t>
        </is>
      </c>
      <c r="W529" s="5" t="inlineStr"/>
      <c r="X529" s="5" t="inlineStr"/>
      <c r="Y529" s="5" t="inlineStr"/>
      <c r="Z529" s="6" t="inlineStr"/>
      <c r="AA529" s="5" t="inlineStr">
        <is>
          <t>hepsi -1</t>
        </is>
      </c>
      <c r="AB529" s="5" t="inlineStr">
        <is>
          <t>meslek-beyazyaka</t>
        </is>
      </c>
      <c r="AC529" s="5" t="inlineStr"/>
      <c r="AD529" s="5" t="inlineStr">
        <is>
          <t>Orta</t>
        </is>
      </c>
      <c r="AE529" s="5" t="inlineStr"/>
      <c r="AF529" s="5" t="inlineStr"/>
      <c r="AG529" s="5" t="inlineStr"/>
      <c r="AH529" s="5" t="inlineStr"/>
      <c r="AI529" s="5" t="inlineStr"/>
    </row>
    <row r="530">
      <c r="A530" s="5" t="inlineStr">
        <is>
          <t>b6-meslek-secimi</t>
        </is>
      </c>
      <c r="B530" s="5" t="n">
        <v>8</v>
      </c>
      <c r="C530" s="6" t="inlineStr">
        <is>
          <t>Hocanın referans mektubuyla başvur</t>
        </is>
      </c>
      <c r="D530" s="5" t="inlineStr">
        <is>
          <t>İtibar</t>
        </is>
      </c>
      <c r="E530" s="5" t="inlineStr">
        <is>
          <t>Orta</t>
        </is>
      </c>
      <c r="F530" s="5" t="inlineStr"/>
      <c r="G530" s="6" t="inlineStr"/>
      <c r="H530" s="6" t="inlineStr">
        <is>
          <t>Bölüm hocan mektubu bir akşamda yazdı. İlk başvurduğun şirket seni ertesi gün aradı; mektubu okumak için değil, hocayı sormak için.</t>
        </is>
      </c>
      <c r="I530" s="6" t="inlineStr">
        <is>
          <t>Mektup o kadar iyiydi ki şirket seni mülakatsız aldı. Hoca da bir sonraki yıl mektup yazmayı bıraktı: “Seninki son oldu.”</t>
        </is>
      </c>
      <c r="J530" s="6" t="inlineStr">
        <is>
          <t>Mektup geç ulaştı; pozisyon dolmuştu. Bir ajans seni proje bazlı aldı. Mektup bir sonraki sefere.</t>
        </is>
      </c>
      <c r="K530" s="6" t="inlineStr">
        <is>
          <t>Mektupta adın yanlış yazılmıştı; başkasının referansı sanıldı. Bir ajans seni aldı; adını orada da yanlış yazıyorlar.</t>
        </is>
      </c>
      <c r="L530" s="6" t="inlineStr"/>
      <c r="M530" s="5" t="inlineStr"/>
      <c r="N530" s="5" t="inlineStr"/>
      <c r="O530" s="6" t="inlineStr"/>
      <c r="P530" s="6" t="inlineStr"/>
      <c r="Q530" s="5" t="inlineStr"/>
      <c r="R530" s="5" t="inlineStr"/>
      <c r="S530" s="5" t="inlineStr"/>
      <c r="T530" s="5" t="inlineStr"/>
      <c r="U530" s="5" t="inlineStr"/>
      <c r="V530" s="5" t="inlineStr">
        <is>
          <t>meslek-beyazyaka</t>
        </is>
      </c>
      <c r="W530" s="5" t="inlineStr"/>
      <c r="X530" s="5" t="inlineStr"/>
      <c r="Y530" s="5" t="inlineStr"/>
      <c r="Z530" s="6" t="inlineStr"/>
      <c r="AA530" s="5" t="inlineStr"/>
      <c r="AB530" s="5" t="inlineStr">
        <is>
          <t>meslek-serbest</t>
        </is>
      </c>
      <c r="AC530" s="5" t="inlineStr"/>
      <c r="AD530" s="5" t="inlineStr">
        <is>
          <t>Orta</t>
        </is>
      </c>
      <c r="AE530" s="5" t="inlineStr"/>
      <c r="AF530" s="5" t="inlineStr"/>
      <c r="AG530" s="5" t="inlineStr"/>
      <c r="AH530" s="5" t="inlineStr">
        <is>
          <t>İtibar 40</t>
        </is>
      </c>
      <c r="AI530" s="5" t="inlineStr"/>
    </row>
    <row r="531">
      <c r="A531" s="5" t="inlineStr">
        <is>
          <t>b6-flort-uygulamasi</t>
        </is>
      </c>
      <c r="B531" s="5" t="n">
        <v>1</v>
      </c>
      <c r="C531" s="6" t="inlineStr">
        <is>
          <t>Kuzenli fotoğrafı koy</t>
        </is>
      </c>
      <c r="D531" s="5" t="inlineStr"/>
      <c r="E531" s="5" t="inlineStr"/>
      <c r="F531" s="5" t="inlineStr">
        <is>
          <t>Sosyal Radar +1</t>
        </is>
      </c>
      <c r="G531" s="6" t="inlineStr">
        <is>
          <t>Bütün eşleşmeler kuzenine yazdı. Kuzen artık bir ilişkide.</t>
        </is>
      </c>
      <c r="H531" s="6" t="inlineStr"/>
      <c r="I531" s="6" t="inlineStr"/>
      <c r="J531" s="6" t="inlineStr"/>
      <c r="K531" s="6" t="inlineStr"/>
      <c r="L531" s="6" t="inlineStr"/>
      <c r="M531" s="5" t="inlineStr"/>
      <c r="N531" s="5" t="inlineStr"/>
      <c r="O531" s="6" t="inlineStr"/>
      <c r="P531" s="6" t="inlineStr"/>
      <c r="Q531" s="5" t="inlineStr"/>
      <c r="R531" s="5" t="inlineStr"/>
      <c r="S531" s="5" t="inlineStr"/>
      <c r="T531" s="5" t="inlineStr"/>
      <c r="U531" s="5" t="inlineStr"/>
      <c r="V531" s="5" t="inlineStr"/>
      <c r="W531" s="5" t="inlineStr"/>
      <c r="X531" s="5" t="inlineStr"/>
      <c r="Y531" s="5" t="inlineStr"/>
      <c r="Z531" s="6" t="inlineStr"/>
      <c r="AA531" s="5" t="inlineStr"/>
      <c r="AB531" s="5" t="inlineStr"/>
      <c r="AC531" s="5" t="inlineStr"/>
      <c r="AD531" s="5" t="inlineStr"/>
      <c r="AE531" s="5" t="inlineStr"/>
      <c r="AF531" s="5" t="inlineStr"/>
      <c r="AG531" s="5" t="inlineStr"/>
      <c r="AH531" s="5" t="inlineStr"/>
      <c r="AI531" s="5" t="inlineStr"/>
    </row>
    <row r="532">
      <c r="A532" s="5" t="inlineStr">
        <is>
          <t>b6-flort-uygulamasi</t>
        </is>
      </c>
      <c r="B532" s="5" t="n">
        <v>2</v>
      </c>
      <c r="C532" s="6" t="inlineStr">
        <is>
          <t>Çatıda gün batımı fotoğrafı çek</t>
        </is>
      </c>
      <c r="D532" s="5" t="inlineStr">
        <is>
          <t>Cesaret</t>
        </is>
      </c>
      <c r="E532" s="5" t="inlineStr">
        <is>
          <t>Zor</t>
        </is>
      </c>
      <c r="F532" s="5" t="inlineStr"/>
      <c r="G532" s="6" t="inlineStr"/>
      <c r="H532" s="6" t="inlineStr">
        <is>
          <t>Fotoğraf muhteşem. Eşleşmeler geldi. Hepsi 'Bu hangi çatı?' diye soruyor.</t>
        </is>
      </c>
      <c r="I532" s="6" t="inlineStr">
        <is>
          <t>Öyle güzel çıktı ki uygulama reklamda kullandı. Seni kimse tanımadı ama gün batımını herkes tanıdı.</t>
        </is>
      </c>
      <c r="J532" s="6" t="inlineStr">
        <is>
          <t>Güneş çoktan batmıştı. Fotoğrafta karanlıkta parlayan bir yüz var.</t>
        </is>
      </c>
      <c r="K532" s="6" t="inlineStr">
        <is>
          <t>Çatı kapısı arkandan kapandı. Gün batımını, gün doğumunu ve apartman yöneticisini aynı karede gördün.</t>
        </is>
      </c>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n">
        <v>3</v>
      </c>
      <c r="Z532" s="6" t="inlineStr">
        <is>
          <t>Profil fotoğrafı için çatının kenarında, 'Son bir kare daha' derken.</t>
        </is>
      </c>
      <c r="AA532" s="5" t="inlineStr"/>
      <c r="AB532" s="5" t="inlineStr"/>
      <c r="AC532" s="5" t="inlineStr"/>
      <c r="AD532" s="5" t="inlineStr"/>
      <c r="AE532" s="5" t="inlineStr"/>
      <c r="AF532" s="5" t="inlineStr"/>
      <c r="AG532" s="5" t="inlineStr"/>
      <c r="AH532" s="5" t="inlineStr"/>
      <c r="AI532" s="5" t="inlineStr"/>
    </row>
    <row r="533">
      <c r="A533" s="5" t="inlineStr">
        <is>
          <t>b6-flort-uygulamasi</t>
        </is>
      </c>
      <c r="B533" s="5" t="n">
        <v>3</v>
      </c>
      <c r="C533" s="6" t="inlineStr">
        <is>
          <t>İlk mesajı yaz</t>
        </is>
      </c>
      <c r="D533" s="5" t="inlineStr">
        <is>
          <t>Gönül</t>
        </is>
      </c>
      <c r="E533" s="5" t="inlineStr">
        <is>
          <t>Orta</t>
        </is>
      </c>
      <c r="F533" s="5" t="inlineStr"/>
      <c r="G533" s="6" t="inlineStr"/>
      <c r="H533" s="6" t="inlineStr">
        <is>
          <t>'Merhaba' yazdın. 'Merhaba' geldi. Sohbet üç gün sürdü, konusu hâlâ belirsiz.</t>
        </is>
      </c>
      <c r="I533" s="6" t="inlineStr">
        <is>
          <t>Buluşma ayarlandı. Kafede iki saat konuştunuz, kimse telefonuna bakmadı.</t>
        </is>
      </c>
      <c r="J533" s="6" t="inlineStr">
        <is>
          <t>Uzun, düşünülmüş bir mesaj yazdın. Cevap: 'hahaha'.</t>
        </is>
      </c>
      <c r="K533" s="6" t="inlineStr">
        <is>
          <t>Mesajı eşleşmene değil, aile grubuna attın. Teyze 'Kim bu?' diye sordu. Sonra herkes sordu.</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inlineStr"/>
      <c r="Z533" s="6" t="inlineStr"/>
      <c r="AA533" s="5" t="inlineStr"/>
      <c r="AB533" s="5" t="inlineStr"/>
      <c r="AC533" s="5" t="inlineStr"/>
      <c r="AD533" s="5" t="inlineStr"/>
      <c r="AE533" s="5" t="inlineStr"/>
      <c r="AF533" s="5" t="inlineStr"/>
      <c r="AG533" s="5" t="inlineStr"/>
      <c r="AH533" s="5" t="inlineStr"/>
      <c r="AI533" s="5" t="inlineStr"/>
    </row>
    <row r="534">
      <c r="A534" s="5" t="inlineStr">
        <is>
          <t>b6-flort-uygulamasi</t>
        </is>
      </c>
      <c r="B534" s="5" t="n">
        <v>4</v>
      </c>
      <c r="C534" s="6" t="inlineStr">
        <is>
          <t>Videolarını profile koy</t>
        </is>
      </c>
      <c r="D534" s="5" t="inlineStr">
        <is>
          <t>Pişkinlik</t>
        </is>
      </c>
      <c r="E534" s="5" t="inlineStr">
        <is>
          <t>Kolay</t>
        </is>
      </c>
      <c r="F534" s="5" t="inlineStr"/>
      <c r="G534" s="6" t="inlineStr"/>
      <c r="H534" s="6" t="inlineStr">
        <is>
          <t>Eşleşmeler yağdı. Hepsi zaten takipçinmiş.</t>
        </is>
      </c>
      <c r="I534" s="6" t="inlineStr">
        <is>
          <t>Bir takipçin seni kafeye çağırdı. Kamerasız, kendin olarak gittin. Buna şaşırdı, hoşuna gitti.</t>
        </is>
      </c>
      <c r="J534" s="6" t="inlineStr">
        <is>
          <t>Videolarını gören eşleşmen seni takipten çıktı.</t>
        </is>
      </c>
      <c r="K534" s="6" t="inlineStr">
        <is>
          <t>Eşleşmen seni tanıdı: eski bir videonun arka planındaki komşuymuş. Şikâyetçiymiş.</t>
        </is>
      </c>
      <c r="L534" s="6" t="inlineStr"/>
      <c r="M534" s="5" t="inlineStr"/>
      <c r="N534" s="5" t="inlineStr"/>
      <c r="O534" s="6" t="inlineStr"/>
      <c r="P534" s="6" t="inlineStr"/>
      <c r="Q534" s="5" t="inlineStr"/>
      <c r="R534" s="5" t="inlineStr">
        <is>
          <t>fenomen</t>
        </is>
      </c>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row>
    <row r="535">
      <c r="A535" s="5" t="inlineStr">
        <is>
          <t>b6-kamp-atesi</t>
        </is>
      </c>
      <c r="B535" s="5" t="n">
        <v>1</v>
      </c>
      <c r="C535" s="6" t="inlineStr">
        <is>
          <t>Kovayı doldur, yanında bekle</t>
        </is>
      </c>
      <c r="D535" s="5" t="inlineStr"/>
      <c r="E535" s="5" t="inlineStr"/>
      <c r="F535" s="5" t="inlineStr">
        <is>
          <t>İtibar +1, Akıl +1</t>
        </is>
      </c>
      <c r="G535" s="6" t="inlineStr">
        <is>
          <t>Dolu kovayı ateşin yanına koydun. Kimse fark etmedi. Kova gece boyu nöbet tuttu.</t>
        </is>
      </c>
      <c r="H535" s="6" t="inlineStr"/>
      <c r="I535" s="6" t="inlineStr"/>
      <c r="J535" s="6" t="inlineStr"/>
      <c r="K535" s="6" t="inlineStr"/>
      <c r="L535" s="6" t="inlineStr"/>
      <c r="M535" s="5" t="inlineStr"/>
      <c r="N535" s="5" t="inlineStr"/>
      <c r="O535" s="6" t="inlineStr"/>
      <c r="P535" s="6" t="inlineStr"/>
      <c r="Q535" s="5" t="inlineStr"/>
      <c r="R535" s="5" t="inlineStr"/>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row>
    <row r="536">
      <c r="A536" s="5" t="inlineStr">
        <is>
          <t>b6-kamp-atesi</t>
        </is>
      </c>
      <c r="B536" s="5" t="n">
        <v>2</v>
      </c>
      <c r="C536" s="6" t="inlineStr">
        <is>
          <t>Ateşi 'kesin güvenli' arkadaşa bırak</t>
        </is>
      </c>
      <c r="D536" s="5" t="inlineStr">
        <is>
          <t>Sosyal Radar</t>
        </is>
      </c>
      <c r="E536" s="5" t="inlineStr">
        <is>
          <t>Zor</t>
        </is>
      </c>
      <c r="F536" s="5" t="inlineStr"/>
      <c r="G536" s="6" t="inlineStr"/>
      <c r="H536" s="6" t="inlineStr">
        <is>
          <t>Ateş yandı, sadece bir kamp sandalyesi biraz eridi. Gece güzel geçti.</t>
        </is>
      </c>
      <c r="I536" s="6" t="inlineStr">
        <is>
          <t>Arkadaş gerçekten biliyormuş. Harika bir ateş, harika sohbet, tek bir yanık mısır.</t>
        </is>
      </c>
      <c r="J536" s="6" t="inlineStr">
        <is>
          <t>Ateş bir türlü yanmadı. Arkadaş gece boyunca rüzgârı suçladı.</t>
        </is>
      </c>
      <c r="K536" s="6" t="inlineStr">
        <is>
          <t>Ateş biraz fazla yandı. Çadırın yarısı gökyüzüne karıştı. Kalan yarısında dört kişi uyudunuz.</t>
        </is>
      </c>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n">
        <v>2</v>
      </c>
      <c r="Z536" s="6" t="inlineStr">
        <is>
          <t>Arkadaşının 'Kesin güvenli' dediği kamp ateşinin başında. Arkadaş fikrini değiştirmedi.</t>
        </is>
      </c>
      <c r="AA536" s="5" t="inlineStr"/>
      <c r="AB536" s="5" t="inlineStr"/>
      <c r="AC536" s="5" t="inlineStr"/>
      <c r="AD536" s="5" t="inlineStr"/>
      <c r="AE536" s="5" t="inlineStr"/>
      <c r="AF536" s="5" t="inlineStr"/>
      <c r="AG536" s="5" t="inlineStr"/>
      <c r="AH536" s="5" t="inlineStr"/>
      <c r="AI536" s="5" t="inlineStr"/>
    </row>
    <row r="537">
      <c r="A537" s="5" t="inlineStr">
        <is>
          <t>b6-kamp-atesi</t>
        </is>
      </c>
      <c r="B537" s="5" t="n">
        <v>3</v>
      </c>
      <c r="C537" s="6" t="inlineStr">
        <is>
          <t>Ateşi sen yak</t>
        </is>
      </c>
      <c r="D537" s="5" t="inlineStr">
        <is>
          <t>Dayanıklılık</t>
        </is>
      </c>
      <c r="E537" s="5" t="inlineStr">
        <is>
          <t>Orta</t>
        </is>
      </c>
      <c r="F537" s="5" t="inlineStr"/>
      <c r="G537" s="6" t="inlineStr"/>
      <c r="H537" s="6" t="inlineStr">
        <is>
          <t>Tek kibritle yaktın. Gecenin kalanı senin hikâyelerinle geçti.</t>
        </is>
      </c>
      <c r="I537" s="6" t="inlineStr">
        <is>
          <t>Yaktın, kontrol ettin, üstünde çay demledin. Grubun resmî ateş sorumlusu ilan edildin.</t>
        </is>
      </c>
      <c r="J537" s="6" t="inlineStr">
        <is>
          <t>On yedi kibrit yaktın. On sekizincisi kutunun kendisiydi.</t>
        </is>
      </c>
      <c r="K537" s="6" t="inlineStr">
        <is>
          <t>Ateş tutmayınca bütün çakmak gazını odunlara boşalttın. Ateş bir anda parladı; kaşların da gitti. Kampta adın artık “Kaşsız”; o yazın bütün fotoğraflarında şaşkın bakıyorsun.</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inlineStr"/>
      <c r="Z537" s="6" t="inlineStr"/>
      <c r="AA537" s="5" t="inlineStr"/>
      <c r="AB537" s="5" t="inlineStr"/>
      <c r="AC537" s="5" t="inlineStr"/>
      <c r="AD537" s="5" t="inlineStr"/>
      <c r="AE537" s="5" t="inlineStr"/>
      <c r="AF537" s="5" t="inlineStr"/>
      <c r="AG537" s="5" t="inlineStr"/>
      <c r="AH537" s="5" t="inlineStr"/>
      <c r="AI537" s="5" t="inlineStr">
        <is>
          <t>Kaşsız</t>
        </is>
      </c>
    </row>
    <row r="538">
      <c r="A538" s="5" t="inlineStr">
        <is>
          <t>mb-ilk-gun-karti</t>
        </is>
      </c>
      <c r="B538" s="5" t="n">
        <v>1</v>
      </c>
      <c r="C538" s="6" t="inlineStr">
        <is>
          <t>Lobide bekle</t>
        </is>
      </c>
      <c r="D538" s="5" t="inlineStr"/>
      <c r="E538" s="5" t="inlineStr"/>
      <c r="F538" s="5" t="inlineStr">
        <is>
          <t>Dayanıklılık +1</t>
        </is>
      </c>
      <c r="G538" s="6" t="inlineStr">
        <is>
          <t>İlk günün lobide geçti. Yakana 'ZİYARETÇİ' kartı takıldı. Sonraki üç ay kendini de öyle hissettin.</t>
        </is>
      </c>
      <c r="H538" s="6" t="inlineStr"/>
      <c r="I538" s="6" t="inlineStr"/>
      <c r="J538" s="6" t="inlineStr"/>
      <c r="K538" s="6" t="inlineStr"/>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row>
    <row r="539">
      <c r="A539" s="5" t="inlineStr">
        <is>
          <t>mb-ilk-gun-karti</t>
        </is>
      </c>
      <c r="B539" s="5" t="n">
        <v>2</v>
      </c>
      <c r="C539" s="6" t="inlineStr">
        <is>
          <t>İnsan kaynaklarını ara</t>
        </is>
      </c>
      <c r="D539" s="5" t="inlineStr">
        <is>
          <t>Çene</t>
        </is>
      </c>
      <c r="E539" s="5" t="inlineStr">
        <is>
          <t>Kolay</t>
        </is>
      </c>
      <c r="F539" s="5" t="inlineStr"/>
      <c r="G539" s="6" t="inlineStr"/>
      <c r="H539" s="6" t="inlineStr">
        <is>
          <t>Kartın on dakikada tanımlandı. Kurumsal bir mucize, tutanakla kayda geçti.</t>
        </is>
      </c>
      <c r="I539" s="6" t="inlineStr">
        <is>
          <t>Kartın tanımlandı; yanlışlıkla yönetim katına da yetki verildi. Kimseye söylemedin.</t>
        </is>
      </c>
      <c r="J539" s="6" t="inlineStr">
        <is>
          <t>İnsan kaynakları “Sistemde görünmüyorsunuz” dedi. Öğle yemeğini lobide güvenlik görevlisiyle yedin. Annen iki kez arayıp “Patron ne dedi?” diye sordu; patronu henüz görmemiştin.</t>
        </is>
      </c>
      <c r="K539" s="6" t="inlineStr">
        <is>
          <t>Seni işe alan kişinin dün ayrıldığını öğrendin. Kaydın da onunla birlikte ayrılmış.</t>
        </is>
      </c>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row>
    <row r="540">
      <c r="A540" s="5" t="inlineStr">
        <is>
          <t>mb-ilk-gun-karti</t>
        </is>
      </c>
      <c r="B540" s="5" t="n">
        <v>3</v>
      </c>
      <c r="C540" s="6" t="inlineStr">
        <is>
          <t>Kuryenin arkasından geç</t>
        </is>
      </c>
      <c r="D540" s="5" t="inlineStr">
        <is>
          <t>Kurnazlık</t>
        </is>
      </c>
      <c r="E540" s="5" t="inlineStr">
        <is>
          <t>Orta</t>
        </is>
      </c>
      <c r="F540" s="5" t="inlineStr"/>
      <c r="G540" s="6" t="inlineStr"/>
      <c r="H540" s="6" t="inlineStr">
        <is>
          <t>Turnikeden ikişer geçtiniz. Kurumsal hayata arka kapıdan, ama zamanında girdin.</t>
        </is>
      </c>
      <c r="I540" s="6" t="inlineStr">
        <is>
          <t>Kuryeyle geçtin, kurye de sana bir yemek siparişi teslim etti. İlk gün öğle yemeği çözüldü.</t>
        </is>
      </c>
      <c r="J540" s="6" t="inlineStr">
        <is>
          <t>Turnike ikinizi birden sıkıştırdı. Güvenlik kamerası ilk gününü arşivledi.</t>
        </is>
      </c>
      <c r="K540" s="6" t="inlineStr">
        <is>
          <t>Alarm çaldı. Oryantasyon eğitimin güvenlik odasında, ifade vererek başladı.</t>
        </is>
      </c>
      <c r="L540" s="6" t="inlineStr"/>
      <c r="M540" s="5" t="inlineStr"/>
      <c r="N540" s="5" t="inlineStr"/>
      <c r="O540" s="6" t="inlineStr"/>
      <c r="P540" s="6" t="inlineStr"/>
      <c r="Q540" s="5" t="inlineStr"/>
      <c r="R540" s="5" t="inlineStr"/>
      <c r="S540" s="5" t="inlineStr">
        <is>
          <t>Kurnazlık</t>
        </is>
      </c>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row>
    <row r="541">
      <c r="A541" s="5" t="inlineStr">
        <is>
          <t>me-dukkan-acilisi</t>
        </is>
      </c>
      <c r="B541" s="5" t="n">
        <v>1</v>
      </c>
      <c r="C541" s="6" t="inlineStr">
        <is>
          <t>Cama 'Açılışa özel' yaz</t>
        </is>
      </c>
      <c r="D541" s="5" t="inlineStr"/>
      <c r="E541" s="5" t="inlineStr"/>
      <c r="F541" s="5" t="inlineStr">
        <is>
          <t>Çene +1, Kurnazlık +1</t>
        </is>
      </c>
      <c r="G541" s="6" t="inlineStr">
        <is>
          <t>Camına 'Açılışa özel' yazdın. Yazı on yedi yıl orada kalacak.</t>
        </is>
      </c>
      <c r="H541" s="6" t="inlineStr"/>
      <c r="I541" s="6" t="inlineStr"/>
      <c r="J541" s="6" t="inlineStr"/>
      <c r="K541" s="6" t="inlineStr"/>
      <c r="L541" s="6" t="inlineStr"/>
      <c r="M541" s="5" t="inlineStr"/>
      <c r="N541" s="5" t="inlineStr"/>
      <c r="O541" s="6" t="inlineStr"/>
      <c r="P541" s="6" t="inlineStr"/>
      <c r="Q541" s="5" t="inlineStr"/>
      <c r="R541" s="5" t="inlineStr"/>
      <c r="S541" s="5" t="inlineStr"/>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row>
    <row r="542">
      <c r="A542" s="5" t="inlineStr">
        <is>
          <t>me-dukkan-acilisi</t>
        </is>
      </c>
      <c r="B542" s="5" t="n">
        <v>2</v>
      </c>
      <c r="C542" s="6" t="inlineStr">
        <is>
          <t>Vitrini düzenle</t>
        </is>
      </c>
      <c r="D542" s="5" t="inlineStr">
        <is>
          <t>Akıl</t>
        </is>
      </c>
      <c r="E542" s="5" t="inlineStr">
        <is>
          <t>Orta</t>
        </is>
      </c>
      <c r="F542" s="5" t="inlineStr"/>
      <c r="G542" s="6" t="inlineStr"/>
      <c r="H542" s="6" t="inlineStr">
        <is>
          <t>Vitrin kusursuz. Yoldan geçenler durup baktı, sonra yürümeye devam etti. Ama durdular.</t>
        </is>
      </c>
      <c r="I542" s="6" t="inlineStr">
        <is>
          <t>Vitrin o kadar güzel oldu ki karşı dükkânın çırağı gizlice fotoğrafını çekti. Ertesi sabah onların vitrini de aynıydı; sadece kapıda senin kedin yoktu.</t>
        </is>
      </c>
      <c r="J542" s="6" t="inlineStr">
        <is>
          <t>Kutular yamuk durdu. Müşteriler bunu 'samimi bir işletme' olarak yorumladı.</t>
        </is>
      </c>
      <c r="K542" s="6" t="inlineStr">
        <is>
          <t>Vitrin açılıştan on dakika önce çöktü. İlk satış, 'hasarlı ürün' rafından yapıldı.</t>
        </is>
      </c>
      <c r="L542" s="6" t="inlineStr">
        <is>
          <t>Vitrin ayakta ama bir kutu hafif eğik. Her sabah düzelteceksin; her akşam yine eğilecek.</t>
        </is>
      </c>
      <c r="M542" s="5" t="inlineStr">
        <is>
          <t>balance</t>
        </is>
      </c>
      <c r="N542" s="5" t="inlineStr">
        <is>
          <t>Vitrin Düzeni</t>
        </is>
      </c>
      <c r="O542" s="6" t="inlineStr">
        <is>
          <t>Üst üste dizilmiş kutuları devirmeden dengede tut. Vitrin dükkânın yüzüdür; yüzün şu an titriyor.</t>
        </is>
      </c>
      <c r="P542" s="6" t="inlineStr">
        <is>
          <t>{"item": "📦"}</t>
        </is>
      </c>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row>
    <row r="543">
      <c r="A543" s="5" t="inlineStr">
        <is>
          <t>me-dukkan-acilisi</t>
        </is>
      </c>
      <c r="B543" s="5" t="n">
        <v>3</v>
      </c>
      <c r="C543" s="6" t="inlineStr">
        <is>
          <t>Kapıda müşteri çevir</t>
        </is>
      </c>
      <c r="D543" s="5" t="inlineStr">
        <is>
          <t>Çene</t>
        </is>
      </c>
      <c r="E543" s="5" t="inlineStr">
        <is>
          <t>Kolay</t>
        </is>
      </c>
      <c r="F543" s="5" t="inlineStr"/>
      <c r="G543" s="6" t="inlineStr"/>
      <c r="H543" s="6" t="inlineStr">
        <is>
          <t>Geçen üç kişiden ikisini içeri aldın. Biri gerçekten bir şey aldı.</t>
        </is>
      </c>
      <c r="I543" s="6" t="inlineStr">
        <is>
          <t>Sokaktan geçen herkesi içeri aldın. Kira toplamaya gelen dükkân sahibi bile bir şey aldı.</t>
        </is>
      </c>
      <c r="J543" s="6" t="inlineStr">
        <is>
          <t>Seslendin, çağırdın. Sokak seni bir süre izledi, sonra karşı kaldırıma geçti.</t>
        </is>
      </c>
      <c r="K543" s="6" t="inlineStr">
        <is>
          <t>O kadar ısrarcı oldun ki mahallenin mesaj grubunda 'Dikkat, kapıda çeviren dükkân' uyarısı dolaşıma girdi.</t>
        </is>
      </c>
      <c r="L543" s="6" t="inlineStr"/>
      <c r="M543" s="5" t="inlineStr"/>
      <c r="N543" s="5" t="inlineStr"/>
      <c r="O543" s="6" t="inlineStr"/>
      <c r="P543" s="6" t="inlineStr"/>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row>
    <row r="544">
      <c r="A544" s="5" t="inlineStr">
        <is>
          <t>me-dukkan-acilisi</t>
        </is>
      </c>
      <c r="B544" s="5" t="n">
        <v>4</v>
      </c>
      <c r="C544" s="6" t="inlineStr">
        <is>
          <t>Siftahı törenle yap</t>
        </is>
      </c>
      <c r="D544" s="5" t="inlineStr">
        <is>
          <t>Çene</t>
        </is>
      </c>
      <c r="E544" s="5" t="inlineStr">
        <is>
          <t>Kolay</t>
        </is>
      </c>
      <c r="F544" s="5" t="inlineStr"/>
      <c r="G544" s="6" t="inlineStr"/>
      <c r="H544" s="6" t="inlineStr">
        <is>
          <t>İlk müşteriye bereket indirimi yaptın, parayı alnına değdirip kasaya koydun. Karşıdaki yaşlı esnaf uzaktan başını salladı: “Usul biliyor.”</t>
        </is>
      </c>
      <c r="I544" s="6" t="inlineStr">
        <is>
          <t>Siftah parasını çerçeveletip kasanın üstüne astın. Annen dükkâna geldiğinde önce paraya, sonra sana baktı; gözleri doldu. Akşama kadar kapı boş kalmadı.</t>
        </is>
      </c>
      <c r="J544" s="6" t="inlineStr">
        <is>
          <t>Siftah parasını çerçevelemek istedin; o parayla para üstü vermen gerekti. Çerçeve boş kaldı.</t>
        </is>
      </c>
      <c r="K544" s="6" t="inlineStr">
        <is>
          <t>İlk müşteriye bereket indirimi yaptın. Müşteri hesabı kendi yaptı. Siftah zararla açıldı.</t>
        </is>
      </c>
      <c r="L544" s="6" t="inlineStr"/>
      <c r="M544" s="5" t="inlineStr"/>
      <c r="N544" s="5" t="inlineStr"/>
      <c r="O544" s="6" t="inlineStr"/>
      <c r="P544" s="6" t="inlineStr"/>
      <c r="Q544" s="5" t="inlineStr">
        <is>
          <t>Küçük Tüccar</t>
        </is>
      </c>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row>
    <row r="545">
      <c r="A545" s="5" t="inlineStr">
        <is>
          <t>mm-ilk-atama</t>
        </is>
      </c>
      <c r="B545" s="5" t="n">
        <v>1</v>
      </c>
      <c r="C545" s="6" t="inlineStr">
        <is>
          <t>Göreve başlama belgesini imzala</t>
        </is>
      </c>
      <c r="D545" s="5" t="inlineStr">
        <is>
          <t>Dayanıklılık</t>
        </is>
      </c>
      <c r="E545" s="5" t="inlineStr">
        <is>
          <t>Kolay</t>
        </is>
      </c>
      <c r="F545" s="5" t="inlineStr"/>
      <c r="G545" s="6" t="inlineStr"/>
      <c r="H545" s="6" t="inlineStr">
        <is>
          <t>Göreve başlama belgesini imzaladın. İmzan artık bir devlet evrakının resmî parçası.</t>
        </is>
      </c>
      <c r="I545" s="6" t="inlineStr">
        <is>
          <t>İmzan o kadar düzgün çıktı ki şube şefi fotokopisini 'örnek imza' klasörüne koydu.</t>
        </is>
      </c>
      <c r="J545" s="6" t="inlineStr">
        <is>
          <t>İmzan yamuk çıktı. Otuz yıl boyunca her imzayı bu yamuğa sadık atman gerekecek.</t>
        </is>
      </c>
      <c r="K545" s="6" t="inlineStr">
        <is>
          <t>İmzayı yanlış satıra attın. Kayıtlara göre kasabanın yeni temizlik malzemesi sorumlususun.</t>
        </is>
      </c>
      <c r="L545" s="6" t="inlineStr">
        <is>
          <t>İmza tuttu ama biraz titrek. Kurum bunu 'heyecan' olarak dosyaladı.</t>
        </is>
      </c>
      <c r="M545" s="5" t="inlineStr">
        <is>
          <t>trace</t>
        </is>
      </c>
      <c r="N545" s="5" t="inlineStr">
        <is>
          <t>İlk Resmî İmza</t>
        </is>
      </c>
      <c r="O545" s="6" t="inlineStr">
        <is>
          <t>İmzanı çizgiden taşmadan tek hamlede at. Bu imza otuz yıl boyunca her şeyin altında olacak.</t>
        </is>
      </c>
      <c r="P545" s="6" t="inlineStr">
        <is>
          <t>{"shape": "imza"}</t>
        </is>
      </c>
      <c r="Q545" s="5" t="inlineStr"/>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row>
    <row r="546">
      <c r="A546" s="5" t="inlineStr">
        <is>
          <t>mm-ilk-atama</t>
        </is>
      </c>
      <c r="B546" s="5" t="n">
        <v>2</v>
      </c>
      <c r="C546" s="6" t="inlineStr">
        <is>
          <t>İlk gün tayin dilekçesi ver</t>
        </is>
      </c>
      <c r="D546" s="5" t="inlineStr">
        <is>
          <t>Akıl</t>
        </is>
      </c>
      <c r="E546" s="5" t="inlineStr">
        <is>
          <t>Orta</t>
        </is>
      </c>
      <c r="F546" s="5" t="inlineStr"/>
      <c r="G546" s="6" t="inlineStr"/>
      <c r="H546" s="6" t="inlineStr">
        <is>
          <t>Dilekçen kayda girdi, sıra numarası aldı. İki yıl sonra değerlendirilecek. Sen de öyle.</t>
        </is>
      </c>
      <c r="I546" s="6" t="inlineStr">
        <is>
          <t>Dilekçen o kadar iyi yazılmıştı ki müdürlük onu örnek dilekçe olarak arşivledi. Tayinini de iki yıl sonraya.</t>
        </is>
      </c>
      <c r="J546" s="6" t="inlineStr">
        <is>
          <t>Şef 'Yeni gelen herkes verir' dedi ve dilekçeni, yeni gelen herkesin dilekçesinin üstüne koydu.</t>
        </is>
      </c>
      <c r="K546" s="6" t="inlineStr">
        <is>
          <t>Dilekçeyi yanlış birime verdin. Kasabanın içinde, daha da uzak bir mahalleye tayin edildin.</t>
        </is>
      </c>
      <c r="L546" s="6" t="inlineStr"/>
      <c r="M546" s="5" t="inlineStr"/>
      <c r="N546" s="5" t="inlineStr"/>
      <c r="O546" s="6" t="inlineStr"/>
      <c r="P546" s="6" t="inlineStr"/>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row>
    <row r="547">
      <c r="A547" s="5" t="inlineStr">
        <is>
          <t>mm-ilk-atama</t>
        </is>
      </c>
      <c r="B547" s="5" t="n">
        <v>3</v>
      </c>
      <c r="C547" s="6" t="inlineStr">
        <is>
          <t>Fırıncıyla tanış</t>
        </is>
      </c>
      <c r="D547" s="5" t="inlineStr">
        <is>
          <t>Sosyal Radar</t>
        </is>
      </c>
      <c r="E547" s="5" t="inlineStr">
        <is>
          <t>Kolay</t>
        </is>
      </c>
      <c r="F547" s="5" t="inlineStr"/>
      <c r="G547" s="6" t="inlineStr"/>
      <c r="H547" s="6" t="inlineStr">
        <is>
          <t>Fırıncıyla dost oldun. Ekmeğin sıcak, dosyaların hızlı.</t>
        </is>
      </c>
      <c r="I547" s="6" t="inlineStr">
        <is>
          <t>Fırıncı müdürün kayınbiraderi çıktı. Kasabadaki ilk yılın emekliler gibi geçti.</t>
        </is>
      </c>
      <c r="J547" s="6" t="inlineStr">
        <is>
          <t>Fırıncı yeni gelen memurlara ekmeği biraz daha pahalı veriyormuş. Tanışmak da dahil.</t>
        </is>
      </c>
      <c r="K547" s="6" t="inlineStr">
        <is>
          <t>Fırıncıya müdürü çekiştirdin. Kasabada tek fırın var; akşama kadar bütün kasaba, ertesi sabah da müdür biliyordu. Ekmeğin o günden beri bayat geliyor.</t>
        </is>
      </c>
      <c r="L547" s="6" t="inlineStr"/>
      <c r="M547" s="5" t="inlineStr"/>
      <c r="N547" s="5" t="inlineStr"/>
      <c r="O547" s="6" t="inlineStr"/>
      <c r="P547" s="6" t="inlineStr"/>
      <c r="Q547" s="5" t="inlineStr"/>
      <c r="R547" s="5" t="inlineStr"/>
      <c r="S547" s="5" t="inlineStr">
        <is>
          <t>Kurnazlık</t>
        </is>
      </c>
      <c r="T547" s="5" t="inlineStr"/>
      <c r="U547" s="5" t="inlineStr"/>
      <c r="V547" s="5" t="inlineStr"/>
      <c r="W547" s="5" t="inlineStr">
        <is>
          <t>memur-mudur-dusmani</t>
        </is>
      </c>
      <c r="X547" s="5" t="inlineStr"/>
      <c r="Y547" s="5" t="inlineStr"/>
      <c r="Z547" s="6" t="inlineStr"/>
      <c r="AA547" s="5" t="inlineStr"/>
      <c r="AB547" s="5" t="inlineStr"/>
      <c r="AC547" s="5" t="inlineStr"/>
      <c r="AD547" s="5" t="inlineStr"/>
      <c r="AE547" s="5" t="inlineStr"/>
      <c r="AF547" s="5" t="inlineStr"/>
      <c r="AG547" s="5" t="inlineStr"/>
      <c r="AH547" s="5" t="inlineStr"/>
      <c r="AI547" s="5" t="inlineStr"/>
    </row>
    <row r="548">
      <c r="A548" s="5" t="inlineStr">
        <is>
          <t>mm-ilk-atama</t>
        </is>
      </c>
      <c r="B548" s="5" t="n">
        <v>4</v>
      </c>
      <c r="C548" s="6" t="inlineStr">
        <is>
          <t>Lojmana yerleş</t>
        </is>
      </c>
      <c r="D548" s="5" t="inlineStr"/>
      <c r="E548" s="5" t="inlineStr"/>
      <c r="F548" s="5" t="inlineStr">
        <is>
          <t>Dayanıklılık +1, İtibar +1</t>
        </is>
      </c>
      <c r="G548" s="6" t="inlineStr">
        <is>
          <t>Musluktan ilk gün yalnızca ses geldi. Akşam alt kattaki memurun eşi bir bidon suyla bir tabak börek getirdi: “Biz de ilk yıl böyleydik.”</t>
        </is>
      </c>
      <c r="H548" s="6" t="inlineStr"/>
      <c r="I548" s="6" t="inlineStr"/>
      <c r="J548" s="6" t="inlineStr"/>
      <c r="K548" s="6" t="inlineStr"/>
      <c r="L548" s="6" t="inlineStr"/>
      <c r="M548" s="5" t="inlineStr"/>
      <c r="N548" s="5" t="inlineStr"/>
      <c r="O548" s="6" t="inlineStr"/>
      <c r="P548" s="6" t="inlineStr"/>
      <c r="Q548" s="5" t="inlineStr"/>
      <c r="R548" s="5" t="inlineStr"/>
      <c r="S548" s="5" t="inlineStr"/>
      <c r="T548" s="5" t="inlineStr"/>
      <c r="U548" s="5" t="inlineStr"/>
      <c r="V548" s="5" t="inlineStr"/>
      <c r="W548" s="5" t="inlineStr"/>
      <c r="X548" s="5" t="inlineStr"/>
      <c r="Y548" s="5" t="inlineStr"/>
      <c r="Z548" s="6" t="inlineStr"/>
      <c r="AA548" s="5" t="inlineStr"/>
      <c r="AB548" s="5" t="inlineStr"/>
      <c r="AC548" s="5" t="inlineStr"/>
      <c r="AD548" s="5" t="inlineStr"/>
      <c r="AE548" s="5" t="inlineStr"/>
      <c r="AF548" s="5" t="inlineStr"/>
      <c r="AG548" s="5" t="inlineStr"/>
      <c r="AH548" s="5" t="inlineStr"/>
      <c r="AI548" s="5" t="inlineStr"/>
    </row>
    <row r="549">
      <c r="A549" s="5" t="inlineStr">
        <is>
          <t>ms-ilk-musteri</t>
        </is>
      </c>
      <c r="B549" s="5" t="n">
        <v>1</v>
      </c>
      <c r="C549" s="6" t="inlineStr">
        <is>
          <t>Fiyat ver</t>
        </is>
      </c>
      <c r="D549" s="5" t="inlineStr">
        <is>
          <t>Çene</t>
        </is>
      </c>
      <c r="E549" s="5" t="inlineStr">
        <is>
          <t>Orta</t>
        </is>
      </c>
      <c r="F549" s="5" t="inlineStr"/>
      <c r="G549" s="6" t="inlineStr"/>
      <c r="H549" s="6" t="inlineStr">
        <is>
          <t>Makul bir rakamda anlaştınız. Serbest hayatının ilk faturası kesildi.</t>
        </is>
      </c>
      <c r="I549" s="6" t="inlineStr">
        <is>
          <t>Rakamını söyledin, müşteri hiç düşünmeden kabul etti. O an iki katını söylemen gerektiğini anladın. Neyse ki üstüne iki iş daha verdi.</t>
        </is>
      </c>
      <c r="J549" s="6" t="inlineStr">
        <is>
          <t>Anlaştınız. Ücret, kafede içtiğiniz iki kahveyi karşılamadı.</t>
        </is>
      </c>
      <c r="K549" s="6" t="inlineStr">
        <is>
          <t>Pazarlık bittiğinde müşteriye para ödemeyi kabul etmiştin. Kahveleri de sen ödedin.</t>
        </is>
      </c>
      <c r="L549" s="6" t="inlineStr">
        <is>
          <t>Ortada buluştunuz. Senin ortan biraz daha aşağıdaydı.</t>
        </is>
      </c>
      <c r="M549" s="5" t="inlineStr">
        <is>
          <t>bargain</t>
        </is>
      </c>
      <c r="N549" s="5" t="inlineStr">
        <is>
          <t>İlk Teklif</t>
        </is>
      </c>
      <c r="O549" s="6" t="inlineStr">
        <is>
          <t>Müşterinin sabrı tükenmeden ücreti olabildiğince yukarıda tut.</t>
        </is>
      </c>
      <c r="P549" s="6" t="inlineStr">
        <is>
          <t>{"item": "ilk iş", "mode": "sell"}</t>
        </is>
      </c>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row>
    <row r="550">
      <c r="A550" s="5" t="inlineStr">
        <is>
          <t>ms-ilk-musteri</t>
        </is>
      </c>
      <c r="B550" s="5" t="n">
        <v>2</v>
      </c>
      <c r="C550" s="6" t="inlineStr">
        <is>
          <t>Arkadaş fiyatı yap</t>
        </is>
      </c>
      <c r="D550" s="5" t="inlineStr"/>
      <c r="E550" s="5" t="inlineStr"/>
      <c r="F550" s="5" t="inlineStr">
        <is>
          <t>İtibar +1</t>
        </is>
      </c>
      <c r="G550" s="6" t="inlineStr">
        <is>
          <t>Arkadaş fiyatı verdin. Müşteri arkadaşın değildi. Artık onun bütün arkadaşlarına da arkadaş fiyatın var.</t>
        </is>
      </c>
      <c r="H550" s="6" t="inlineStr"/>
      <c r="I550" s="6" t="inlineStr"/>
      <c r="J550" s="6" t="inlineStr"/>
      <c r="K550" s="6" t="inlineStr"/>
      <c r="L550" s="6" t="inlineStr"/>
      <c r="M550" s="5" t="inlineStr"/>
      <c r="N550" s="5" t="inlineStr"/>
      <c r="O550" s="6" t="inlineStr"/>
      <c r="P550" s="6" t="inlineStr"/>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row>
    <row r="551">
      <c r="A551" s="5" t="inlineStr">
        <is>
          <t>ms-ilk-musteri</t>
        </is>
      </c>
      <c r="B551" s="5" t="n">
        <v>3</v>
      </c>
      <c r="C551" s="6" t="inlineStr">
        <is>
          <t>Rakibin rakamının biraz altını söyle</t>
        </is>
      </c>
      <c r="D551" s="5" t="inlineStr">
        <is>
          <t>Kurnazlık</t>
        </is>
      </c>
      <c r="E551" s="5" t="inlineStr">
        <is>
          <t>Kolay</t>
        </is>
      </c>
      <c r="F551" s="5" t="inlineStr"/>
      <c r="G551" s="6" t="inlineStr"/>
      <c r="H551" s="6" t="inlineStr">
        <is>
          <t>Rakibin teklifinin bir tık altına girdin. İş senin, rakip şaşkın.</t>
        </is>
      </c>
      <c r="I551" s="6" t="inlineStr">
        <is>
          <t>Bir tık altına girdin ve daha hızlı teslim sözü verdin. Müşteri seni kalıcı ajansı yaptı.</t>
        </is>
      </c>
      <c r="J551" s="6" t="inlineStr">
        <is>
          <t>Rakibin teklifinin altına girdin; müşteri ikinizi birden bir tık daha aşağıya çekti.</t>
        </is>
      </c>
      <c r="K551" s="6" t="inlineStr">
        <is>
          <t>Ekranda gördüğün rakam aylık değil, saatlikmiş. Kendini aylığa sattın.</t>
        </is>
      </c>
      <c r="L551" s="6" t="inlineStr"/>
      <c r="M551" s="5" t="inlineStr"/>
      <c r="N551" s="5" t="inlineStr"/>
      <c r="O551" s="6" t="inlineStr"/>
      <c r="P551" s="6" t="inlineStr"/>
      <c r="Q551" s="5" t="inlineStr"/>
      <c r="R551" s="5" t="inlineStr"/>
      <c r="S551" s="5" t="inlineStr">
        <is>
          <t>Kurnazlık</t>
        </is>
      </c>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row>
    <row r="552">
      <c r="A552" s="5" t="inlineStr">
        <is>
          <t>b6-is-gorusmesi</t>
        </is>
      </c>
      <c r="B552" s="5" t="n">
        <v>1</v>
      </c>
      <c r="C552" s="6" t="inlineStr">
        <is>
          <t>Dürüst cevap ver</t>
        </is>
      </c>
      <c r="D552" s="5" t="inlineStr"/>
      <c r="E552" s="5" t="inlineStr"/>
      <c r="F552" s="5" t="inlineStr">
        <is>
          <t>İtibar +2</t>
        </is>
      </c>
      <c r="G552" s="6" t="inlineStr">
        <is>
          <t>'Emekliliği planlarken' dedin. Gülüştüler. Başka adayı aldılar ama seni sevdiler.</t>
        </is>
      </c>
      <c r="H552" s="6" t="inlineStr"/>
      <c r="I552" s="6" t="inlineStr"/>
      <c r="J552" s="6" t="inlineStr"/>
      <c r="K552" s="6" t="inlineStr"/>
      <c r="L552" s="6" t="inlineStr"/>
      <c r="M552" s="5" t="inlineStr"/>
      <c r="N552" s="5" t="inlineStr"/>
      <c r="O552" s="6" t="inlineStr"/>
      <c r="P552" s="6" t="inlineStr"/>
      <c r="Q552" s="5" t="inlineStr"/>
      <c r="R552" s="5" t="inlineStr"/>
      <c r="S552" s="5" t="inlineStr"/>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row>
    <row r="553">
      <c r="A553" s="5" t="inlineStr">
        <is>
          <t>b6-is-gorusmesi</t>
        </is>
      </c>
      <c r="B553" s="5" t="n">
        <v>2</v>
      </c>
      <c r="C553" s="6" t="inlineStr">
        <is>
          <t>Soğukkanlılığını koru</t>
        </is>
      </c>
      <c r="D553" s="5" t="inlineStr">
        <is>
          <t>Pişkinlik</t>
        </is>
      </c>
      <c r="E553" s="5" t="inlineStr">
        <is>
          <t>Orta</t>
        </is>
      </c>
      <c r="F553" s="5" t="inlineStr"/>
      <c r="G553" s="6" t="inlineStr"/>
      <c r="H553" s="6" t="inlineStr">
        <is>
          <t>Her soruyu sakin karşıladın. 'Size döneceğiz' dediler. Döndüler de.</t>
        </is>
      </c>
      <c r="I553" s="6" t="inlineStr">
        <is>
          <t>Görüşmenin sonunda seni onlar ikna etmeye çalıştı. Beklediğinden fazlasını teklif ettiler.</t>
        </is>
      </c>
      <c r="J553" s="6" t="inlineStr">
        <is>
          <t>Dördüncü soruda 'Neden bu şirket?' dediler. Şirketin adını unuttun.</t>
        </is>
      </c>
      <c r="K553" s="6" t="inlineStr">
        <is>
          <t>Zayıf yönünü sordular. 'Gerilince terlerim' dedin. Kanıt masadaydı.</t>
        </is>
      </c>
      <c r="L553" s="6" t="inlineStr">
        <is>
          <t>Bir soruda takıldın, sonra toparlandın. 'İkinci görüşmeye çağıracağız' dediler. Takvim belirsiz.</t>
        </is>
      </c>
      <c r="M553" s="5" t="inlineStr">
        <is>
          <t>poker</t>
        </is>
      </c>
      <c r="N553" s="5" t="inlineStr">
        <is>
          <t>Poker Suratı</t>
        </is>
      </c>
      <c r="O553" s="6" t="inlineStr">
        <is>
          <t>Parmağını kaçan dairenin içinde tut. Sorular üstüne geldikçe bırakma.</t>
        </is>
      </c>
      <c r="P553" s="6" t="inlineStr">
        <is>
          <t>{"questions": ["Beş yıl sonra neredesiniz?", "En büyük zayıflığınız?", "Neden ayrıldınız?", "Maaş beklentiniz?", "Neden sizi seçelim?"]}</t>
        </is>
      </c>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row>
    <row r="554">
      <c r="A554" s="5" t="inlineStr">
        <is>
          <t>b6-is-gorusmesi</t>
        </is>
      </c>
      <c r="B554" s="5" t="n">
        <v>3</v>
      </c>
      <c r="C554" s="6" t="inlineStr">
        <is>
          <t>Sessiz olana oyna</t>
        </is>
      </c>
      <c r="D554" s="5" t="inlineStr">
        <is>
          <t>Sosyal Radar</t>
        </is>
      </c>
      <c r="E554" s="5" t="inlineStr">
        <is>
          <t>Kolay</t>
        </is>
      </c>
      <c r="F554" s="5" t="inlineStr"/>
      <c r="G554" s="6" t="inlineStr"/>
      <c r="H554" s="6" t="inlineStr">
        <is>
          <t>Cevaplarını ortadaki sessiz kişiye yönelttin. Görüşme bittiğinde sadece o gülümsüyordu. Yetti.</t>
        </is>
      </c>
      <c r="I554" s="6" t="inlineStr">
        <is>
          <t>Sessiz olan şirketin kurucusuymuş. Ertesi gün aradı: 'Ne zaman başlarsın?'</t>
        </is>
      </c>
      <c r="J554" s="6" t="inlineStr">
        <is>
          <t>Ortadakine baktın, o da sana. Kimse konuşmadı. Görüşme erken bitti.</t>
        </is>
      </c>
      <c r="K554" s="6" t="inlineStr">
        <is>
          <t>Ona öyle dikkatle baktın ki diğer ikisi seni 'rahatsız edici' diye not etti.</t>
        </is>
      </c>
      <c r="L554" s="6" t="inlineStr"/>
      <c r="M554" s="5" t="inlineStr"/>
      <c r="N554" s="5" t="inlineStr"/>
      <c r="O554" s="6" t="inlineStr"/>
      <c r="P554" s="6" t="inlineStr"/>
      <c r="Q554" s="5" t="inlineStr"/>
      <c r="R554" s="5" t="inlineStr"/>
      <c r="S554" s="5" t="inlineStr">
        <is>
          <t>Sosyal Radar</t>
        </is>
      </c>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row>
    <row r="555">
      <c r="A555" s="5" t="inlineStr">
        <is>
          <t>b6-is-gorusmesi</t>
        </is>
      </c>
      <c r="B555" s="5" t="n">
        <v>4</v>
      </c>
      <c r="C555" s="6" t="inlineStr">
        <is>
          <t>Öte Diyar deneyimini anlat</t>
        </is>
      </c>
      <c r="D555" s="5" t="inlineStr">
        <is>
          <t>Çene</t>
        </is>
      </c>
      <c r="E555" s="5" t="inlineStr">
        <is>
          <t>Kolay</t>
        </is>
      </c>
      <c r="F555" s="5" t="inlineStr"/>
      <c r="G555" s="6" t="inlineStr"/>
      <c r="H555" s="6" t="inlineStr">
        <is>
          <t>Bir dönemlik değişim programı, anlattıkça bir yıla uzadı. Etkilendiler.</t>
        </is>
      </c>
      <c r="I555" s="6" t="inlineStr">
        <is>
          <t>Seni Öte Diyar'daki projelere önerdiler. Oradaki peynir hâlâ kötü, maaşsa iyi. Annen “Peynirini ben yollarım” dedi bile.</t>
        </is>
      </c>
      <c r="J555" s="6" t="inlineStr">
        <is>
          <t>Görüşmeci aynı şehirde iki yıl yaşamış. Anlattığın yerlerin hiçbirini tanımadı.</t>
        </is>
      </c>
      <c r="K555" s="6" t="inlineStr">
        <is>
          <t>Görüşmeci senin orada mikrodalgada yumurta patlattığın hikâyeyi zaten duymuş. Dünya küçük.</t>
        </is>
      </c>
      <c r="L555" s="6" t="inlineStr"/>
      <c r="M555" s="5" t="inlineStr"/>
      <c r="N555" s="5" t="inlineStr"/>
      <c r="O555" s="6" t="inlineStr"/>
      <c r="P555" s="6" t="inlineStr"/>
      <c r="Q555" s="5" t="inlineStr"/>
      <c r="R555" s="5" t="inlineStr">
        <is>
          <t>yurtdisi-gordu</t>
        </is>
      </c>
      <c r="S555" s="5" t="inlineStr"/>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row>
    <row r="556">
      <c r="A556" s="5" t="inlineStr">
        <is>
          <t>mb-acik-ofis</t>
        </is>
      </c>
      <c r="B556" s="5" t="n">
        <v>1</v>
      </c>
      <c r="C556" s="6" t="inlineStr">
        <is>
          <t>Kulaklığı tak</t>
        </is>
      </c>
      <c r="D556" s="5" t="inlineStr"/>
      <c r="E556" s="5" t="inlineStr"/>
      <c r="F556" s="5" t="inlineStr">
        <is>
          <t>Dayanıklılık +1</t>
        </is>
      </c>
      <c r="G556" s="6" t="inlineStr">
        <is>
          <t>Kulaklığı taktın; içinde hiçbir şey çalmıyor. Yan masadaki ikisi seni duymuyor sanıp maaşlarını konuştu. İkisininki de seninkinden yüksek.</t>
        </is>
      </c>
      <c r="H556" s="6" t="inlineStr"/>
      <c r="I556" s="6" t="inlineStr"/>
      <c r="J556" s="6" t="inlineStr"/>
      <c r="K556" s="6" t="inlineStr"/>
      <c r="L556" s="6" t="inlineStr"/>
      <c r="M556" s="5" t="inlineStr"/>
      <c r="N556" s="5" t="inlineStr"/>
      <c r="O556" s="6" t="inlineStr"/>
      <c r="P556" s="6" t="inlineStr"/>
      <c r="Q556" s="5" t="inlineStr"/>
      <c r="R556" s="5" t="inlineStr"/>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row>
    <row r="557">
      <c r="A557" s="5" t="inlineStr">
        <is>
          <t>mb-acik-ofis</t>
        </is>
      </c>
      <c r="B557" s="5" t="n">
        <v>2</v>
      </c>
      <c r="C557" s="6" t="inlineStr">
        <is>
          <t>Masaya bitki koy, alan kazan</t>
        </is>
      </c>
      <c r="D557" s="5" t="inlineStr">
        <is>
          <t>Kurnazlık</t>
        </is>
      </c>
      <c r="E557" s="5" t="inlineStr">
        <is>
          <t>Kolay</t>
        </is>
      </c>
      <c r="F557" s="5" t="inlineStr"/>
      <c r="G557" s="6" t="inlineStr"/>
      <c r="H557" s="6" t="inlineStr">
        <is>
          <t>Bitkiyle başladın, dosya dolabıyla devam ettin. Açık ofiste kendi duvarını ördün.</t>
        </is>
      </c>
      <c r="I557" s="6" t="inlineStr">
        <is>
          <t>Masan öyle yeşillendi ki tesis yönetimi orayı 'dinlenme alanı' ilan etti. Tek kişilik.</t>
        </is>
      </c>
      <c r="J557" s="6" t="inlineStr">
        <is>
          <t>Bitki bir haftada kurudu. Klimanın tam altındaymışsın.</t>
        </is>
      </c>
      <c r="K557" s="6" t="inlineStr">
        <is>
          <t>Bitkiyi sularken klavyeye döktün. Katın geri kalanı için artık 'sulu masa' sensin.</t>
        </is>
      </c>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row>
    <row r="558">
      <c r="A558" s="5" t="inlineStr">
        <is>
          <t>mb-acik-ofis</t>
        </is>
      </c>
      <c r="B558" s="5" t="n">
        <v>3</v>
      </c>
      <c r="C558" s="6" t="inlineStr">
        <is>
          <t>Herkesle kaynaş</t>
        </is>
      </c>
      <c r="D558" s="5" t="inlineStr">
        <is>
          <t>Sosyal Radar</t>
        </is>
      </c>
      <c r="E558" s="5" t="inlineStr">
        <is>
          <t>Zor</t>
        </is>
      </c>
      <c r="F558" s="5" t="inlineStr"/>
      <c r="G558" s="6" t="inlineStr"/>
      <c r="H558" s="6" t="inlineStr">
        <is>
          <t>Üç günde katın bütün dedikodu ağına bağlandın. Bilgi artık sende toplanıyor.</t>
        </is>
      </c>
      <c r="I558" s="6" t="inlineStr">
        <is>
          <t>Kimin kime küs olduğunu çözdün. Gerçek organizasyon şeması artık senin kafanda.</t>
        </is>
      </c>
      <c r="J558" s="6" t="inlineStr">
        <is>
          <t>Kaynaşmaya çalıştın; herkes kulaklığını işaret etti.</t>
        </is>
      </c>
      <c r="K558" s="6" t="inlineStr">
        <is>
          <t>Kaynaşırken birini dedikodu yaparken yakaladın. O da seni. Aynı dedikoduyu yapıyordunuz.</t>
        </is>
      </c>
      <c r="L558" s="6" t="inlineStr"/>
      <c r="M558" s="5" t="inlineStr"/>
      <c r="N558" s="5" t="inlineStr"/>
      <c r="O558" s="6" t="inlineStr"/>
      <c r="P558" s="6" t="inlineStr"/>
      <c r="Q558" s="5" t="inlineStr"/>
      <c r="R558" s="5" t="inlineStr"/>
      <c r="S558" s="5" t="inlineStr"/>
      <c r="T558" s="5" t="inlineStr">
        <is>
          <t>Plaza Diplomatı</t>
        </is>
      </c>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row>
    <row r="559">
      <c r="A559" s="5" t="inlineStr">
        <is>
          <t>b6-dugun-yagmuru</t>
        </is>
      </c>
      <c r="B559" s="5" t="n">
        <v>1</v>
      </c>
      <c r="C559" s="6" t="inlineStr">
        <is>
          <t>'Yakında' de ve gülümse</t>
        </is>
      </c>
      <c r="D559" s="5" t="inlineStr"/>
      <c r="E559" s="5" t="inlineStr"/>
      <c r="F559" s="5" t="inlineStr">
        <is>
          <t>Pişkinlik +1</t>
        </is>
      </c>
      <c r="G559" s="6" t="inlineStr">
        <is>
          <t>Teyze 'Yakında'yı bir tarih olarak kaydetti. Takvimde kırmızıyla işaretli.</t>
        </is>
      </c>
      <c r="H559" s="6" t="inlineStr"/>
      <c r="I559" s="6" t="inlineStr"/>
      <c r="J559" s="6" t="inlineStr"/>
      <c r="K559" s="6" t="inlineStr"/>
      <c r="L559" s="6" t="inlineStr"/>
      <c r="M559" s="5" t="inlineStr"/>
      <c r="N559" s="5" t="inlineStr"/>
      <c r="O559" s="6" t="inlineStr"/>
      <c r="P559" s="6" t="inlineStr"/>
      <c r="Q559" s="5" t="inlineStr"/>
      <c r="R559" s="5" t="inlineStr"/>
      <c r="S559" s="5" t="inlineStr"/>
      <c r="T559" s="5" t="inlineStr"/>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row>
    <row r="560">
      <c r="A560" s="5" t="inlineStr">
        <is>
          <t>b6-dugun-yagmuru</t>
        </is>
      </c>
      <c r="B560" s="5" t="n">
        <v>2</v>
      </c>
      <c r="C560" s="6" t="inlineStr">
        <is>
          <t>Halayın başına geç</t>
        </is>
      </c>
      <c r="D560" s="5" t="inlineStr">
        <is>
          <t>Cesaret</t>
        </is>
      </c>
      <c r="E560" s="5" t="inlineStr">
        <is>
          <t>Orta</t>
        </is>
      </c>
      <c r="F560" s="5" t="inlineStr"/>
      <c r="G560" s="6" t="inlineStr"/>
      <c r="H560" s="6" t="inlineStr">
        <is>
          <t>Mendili aldın, halayı başa çektin; dedeler bile kalktı. Halay bitince gelinin teyzesi doğruca annene gidip numaranı istedi.</t>
        </is>
      </c>
      <c r="I560" s="6" t="inlineStr">
        <is>
          <t>Halay o kadar iyi gitti ki gelin damadı bırakıp arkana geçti. Video yayıldı.</t>
        </is>
      </c>
      <c r="J560" s="6" t="inlineStr">
        <is>
          <t>Mendili aldın, adımları unuttun. Halay bir süre yerinde saydı.</t>
        </is>
      </c>
      <c r="K560" s="6" t="inlineStr">
        <is>
          <t>Mendili sallarken orkestranın mikrofonunu devirdin. Düğünün kalanı akustik devam etti.</t>
        </is>
      </c>
      <c r="L560" s="6" t="inlineStr">
        <is>
          <t>Halay iki kez yön değiştirdi ama kopmadı. Arkadaki dayın “Fena değil” dedi; dayından bundan fazlası çıkmaz.</t>
        </is>
      </c>
      <c r="M560" s="5" t="inlineStr">
        <is>
          <t>rhythm</t>
        </is>
      </c>
      <c r="N560" s="5" t="inlineStr">
        <is>
          <t>Halay Başı</t>
        </is>
      </c>
      <c r="O560" s="6" t="inlineStr">
        <is>
          <t>Davul vurduğu an dokun. Ritmi kaçırırsan halay kopar; mendili düşürme.</t>
        </is>
      </c>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row>
    <row r="561">
      <c r="A561" s="5" t="inlineStr">
        <is>
          <t>b6-dugun-yagmuru</t>
        </is>
      </c>
      <c r="B561" s="5" t="n">
        <v>3</v>
      </c>
      <c r="C561" s="6" t="inlineStr">
        <is>
          <t>Teyzelerden kaç</t>
        </is>
      </c>
      <c r="D561" s="5" t="inlineStr">
        <is>
          <t>Kurnazlık</t>
        </is>
      </c>
      <c r="E561" s="5" t="inlineStr">
        <is>
          <t>Orta</t>
        </is>
      </c>
      <c r="F561" s="5" t="inlineStr"/>
      <c r="G561" s="6" t="inlineStr"/>
      <c r="H561" s="6" t="inlineStr">
        <is>
          <t>Tatlı servisinin kalabalığında kayboldun. Döndüğünde teyzeler yeğen fotoğraflarını başka birine gösteriyordu.</t>
        </is>
      </c>
      <c r="I561" s="6" t="inlineStr">
        <is>
          <t>Kaçarken teyzeleri bekâr kuzenine yönlendirdin. Kuzen bu yıl evleniyor. Sana davetiye verdi, teşekkür etmedi.</t>
        </is>
      </c>
      <c r="J561" s="6" t="inlineStr">
        <is>
          <t>Teyzeler seni otoparkta yakaladı. Yanlarında biri vardı. Daha selam vermeden adını, mesleğini ve annesinin memleketini biliyordun.</t>
        </is>
      </c>
      <c r="K561" s="6" t="inlineStr">
        <is>
          <t>Yanlış kapıdan çıktın, damadın odasına girdin. Aile fotoğrafına dahil edildin.</t>
        </is>
      </c>
      <c r="L561" s="6" t="inlineStr"/>
      <c r="M561" s="5" t="inlineStr"/>
      <c r="N561" s="5" t="inlineStr"/>
      <c r="O561" s="6" t="inlineStr"/>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row>
    <row r="562">
      <c r="A562" s="5" t="inlineStr">
        <is>
          <t>b6-dugun-yagmuru</t>
        </is>
      </c>
      <c r="B562" s="5" t="n">
        <v>4</v>
      </c>
      <c r="C562" s="6" t="inlineStr">
        <is>
          <t>Mikrofonu al, şarkı söyle</t>
        </is>
      </c>
      <c r="D562" s="5" t="inlineStr">
        <is>
          <t>Pişkinlik</t>
        </is>
      </c>
      <c r="E562" s="5" t="inlineStr">
        <is>
          <t>Kolay</t>
        </is>
      </c>
      <c r="F562" s="5" t="inlineStr"/>
      <c r="G562" s="6" t="inlineStr"/>
      <c r="H562" s="6" t="inlineStr">
        <is>
          <t>Orkestra sana eşlik etti, salon nakarata katıldı. Gelinin annesi masasından kalkıp seni öptü; çıkarken cebinde iki düğün davetiyesi vardı.</t>
        </is>
      </c>
      <c r="I562" s="6" t="inlineStr">
        <is>
          <t>Üç ayrı düğüne davet edildin. Misafir olarak değil, sanatçı olarak.</t>
        </is>
      </c>
      <c r="J562" s="6" t="inlineStr">
        <is>
          <t>Sözleri unuttun, 'nanana' ile bitirdin. Alkış aldın, merhametten.</t>
        </is>
      </c>
      <c r="K562" s="6" t="inlineStr">
        <is>
          <t>Mikrofonu alıp gelinle damada konuşma yaptın; damadı, gelinin eski nişanlısının adıyla andın. Davul bile sustu. Damadın annesi o geceden beri seni “o arkadaş” diye anıyor.</t>
        </is>
      </c>
      <c r="L562" s="6" t="inlineStr"/>
      <c r="M562" s="5" t="inlineStr"/>
      <c r="N562" s="5" t="inlineStr"/>
      <c r="O562" s="6" t="inlineStr"/>
      <c r="P562" s="6" t="inlineStr"/>
      <c r="Q562" s="5" t="inlineStr">
        <is>
          <t>Sahne Sever</t>
        </is>
      </c>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row>
    <row r="563">
      <c r="A563" s="5" t="inlineStr">
        <is>
          <t>b6-dukkan-anahtari</t>
        </is>
      </c>
      <c r="B563" s="5" t="n">
        <v>1</v>
      </c>
      <c r="C563" s="6" t="inlineStr">
        <is>
          <t>Olduğu gibi işlet</t>
        </is>
      </c>
      <c r="D563" s="5" t="inlineStr"/>
      <c r="E563" s="5" t="inlineStr"/>
      <c r="F563" s="5" t="inlineStr">
        <is>
          <t>İtibar +1</t>
        </is>
      </c>
      <c r="G563" s="6" t="inlineStr">
        <is>
          <t>Bir hafta her şey yolunda gitti. Usta döndü: 'Hiç aramadın.' Hem övgü hem sitem.</t>
        </is>
      </c>
      <c r="H563" s="6" t="inlineStr"/>
      <c r="I563" s="6" t="inlineStr"/>
      <c r="J563" s="6" t="inlineStr"/>
      <c r="K563" s="6" t="inlineStr"/>
      <c r="L563" s="6" t="inlineStr"/>
      <c r="M563" s="5" t="inlineStr"/>
      <c r="N563" s="5" t="inlineStr"/>
      <c r="O563" s="6" t="inlineStr"/>
      <c r="P563" s="6" t="inlineStr"/>
      <c r="Q563" s="5" t="inlineStr"/>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row>
    <row r="564">
      <c r="A564" s="5" t="inlineStr">
        <is>
          <t>b6-dukkan-anahtari</t>
        </is>
      </c>
      <c r="B564" s="5" t="n">
        <v>2</v>
      </c>
      <c r="C564" s="6" t="inlineStr">
        <is>
          <t>Vitrini yeniden düzenle</t>
        </is>
      </c>
      <c r="D564" s="5" t="inlineStr">
        <is>
          <t>Kurnazlık</t>
        </is>
      </c>
      <c r="E564" s="5" t="inlineStr">
        <is>
          <t>Orta</t>
        </is>
      </c>
      <c r="F564" s="5" t="inlineStr"/>
      <c r="G564" s="6" t="inlineStr"/>
      <c r="H564" s="6" t="inlineStr">
        <is>
          <t>Satışlar arttı. Usta döndüğünde vitrine bakıp uzun uzun sustu.</t>
        </is>
      </c>
      <c r="I564" s="6" t="inlineStr">
        <is>
          <t>Vitrin mahallede konuşuldu. Usta 'Bunu kim yaptı?' diye sordu. Sesinde gurur vardı.</t>
        </is>
      </c>
      <c r="J564" s="6" t="inlineStr">
        <is>
          <t>Müşteriler aradıklarını bulamadı. Satış durdu.</t>
        </is>
      </c>
      <c r="K564" s="6" t="inlineStr">
        <is>
          <t>Ustanın otuz yıllık tabelasını düşürdün. Eskiden 'USTA' yazıyordu. Şimdi 'UST'.</t>
        </is>
      </c>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row>
    <row r="565">
      <c r="A565" s="5" t="inlineStr">
        <is>
          <t>b6-dukkan-anahtari</t>
        </is>
      </c>
      <c r="B565" s="5" t="n">
        <v>3</v>
      </c>
      <c r="C565" s="6" t="inlineStr">
        <is>
          <t>Büyük işi tek başına al</t>
        </is>
      </c>
      <c r="D565" s="5" t="inlineStr">
        <is>
          <t>Cesaret</t>
        </is>
      </c>
      <c r="E565" s="5" t="inlineStr">
        <is>
          <t>Zor</t>
        </is>
      </c>
      <c r="F565" s="5" t="inlineStr"/>
      <c r="G565" s="6" t="inlineStr"/>
      <c r="H565" s="6" t="inlineStr">
        <is>
          <t>İşi bitirdin. Usta döndüğünde müşteri seni sordu. Onu değil.</t>
        </is>
      </c>
      <c r="I565" s="6" t="inlineStr">
        <is>
          <t>Zamanından önce bitirdin. Usta tabelanın altına küçük bir tahta ekledi: senin adın.</t>
        </is>
      </c>
      <c r="J565" s="6" t="inlineStr">
        <is>
          <t>İşin yarısında ustayı aradın. Memlekette telefon çekmiyormuş.</t>
        </is>
      </c>
      <c r="K565" s="6" t="inlineStr">
        <is>
          <t>İşi yarıda bıraktın, müşteri ustayı memleketten aradı. Usta yeğeninin düğününden kalkıp otobüse bindi. Döndüğünde sana tek kelime etmedi; üç gün boyunca çayını kendisi koydu.</t>
        </is>
      </c>
      <c r="L565" s="6" t="inlineStr"/>
      <c r="M565" s="5" t="inlineStr"/>
      <c r="N565" s="5" t="inlineStr"/>
      <c r="O565" s="6" t="inlineStr"/>
      <c r="P565" s="6" t="inlineStr"/>
      <c r="Q565" s="5" t="inlineStr"/>
      <c r="R565" s="5" t="inlineStr">
        <is>
          <t>usta-eli</t>
        </is>
      </c>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row>
    <row r="566">
      <c r="A566" s="5" t="inlineStr">
        <is>
          <t>b6-dukkan-anahtari</t>
        </is>
      </c>
      <c r="B566" s="5" t="n">
        <v>4</v>
      </c>
      <c r="C566" s="6" t="inlineStr">
        <is>
          <t>Kendi müşterini bul</t>
        </is>
      </c>
      <c r="D566" s="5" t="inlineStr">
        <is>
          <t>Çene</t>
        </is>
      </c>
      <c r="E566" s="5" t="inlineStr">
        <is>
          <t>Orta</t>
        </is>
      </c>
      <c r="F566" s="5" t="inlineStr"/>
      <c r="G566" s="6" t="inlineStr"/>
      <c r="H566" s="6" t="inlineStr">
        <is>
          <t>Arkadaşlarını müşteri yaptın. Hepsi indirim bekledi, hepsine yaptın.</t>
        </is>
      </c>
      <c r="I566" s="6" t="inlineStr">
        <is>
          <t>Üç yeni müşteri getirdin. Usta seni çıraklıktan kalfalığa terfi ettirdi. Maaş aynı.</t>
        </is>
      </c>
      <c r="J566" s="6" t="inlineStr">
        <is>
          <t>Getirdiğin müşteri ustayı istedi.</t>
        </is>
      </c>
      <c r="K566" s="6" t="inlineStr">
        <is>
          <t>Arkadaşına veresiye yaptın. Defterde yeni bir sayfa açıldı: senin adınla.</t>
        </is>
      </c>
      <c r="L566" s="6" t="inlineStr"/>
      <c r="M566" s="5" t="inlineStr"/>
      <c r="N566" s="5" t="inlineStr"/>
      <c r="O566" s="6" t="inlineStr"/>
      <c r="P566" s="6" t="inlineStr"/>
      <c r="Q566" s="5" t="inlineStr"/>
      <c r="R566" s="5" t="inlineStr"/>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row>
    <row r="567">
      <c r="A567" s="5" t="inlineStr">
        <is>
          <t>me-veresiye-defteri</t>
        </is>
      </c>
      <c r="B567" s="5" t="n">
        <v>1</v>
      </c>
      <c r="C567" s="6" t="inlineStr">
        <is>
          <t>Deftere yaz</t>
        </is>
      </c>
      <c r="D567" s="5" t="inlineStr"/>
      <c r="E567" s="5" t="inlineStr"/>
      <c r="F567" s="5" t="inlineStr">
        <is>
          <t>İtibar +2</t>
        </is>
      </c>
      <c r="G567" s="6" t="inlineStr">
        <is>
          <t>Kırmızı kapaklı bir defter aldın, ilk satırı yazdın. Ay başı geldi, geçti. Defterin ikinci sayfası açıldı; birinci sayfa hâlâ kapanmadı.</t>
        </is>
      </c>
      <c r="H567" s="6" t="inlineStr"/>
      <c r="I567" s="6" t="inlineStr"/>
      <c r="J567" s="6" t="inlineStr"/>
      <c r="K567" s="6" t="inlineStr"/>
      <c r="L567" s="6" t="inlineStr"/>
      <c r="M567" s="5" t="inlineStr"/>
      <c r="N567" s="5" t="inlineStr"/>
      <c r="O567" s="6" t="inlineStr"/>
      <c r="P567" s="6" t="inlineStr"/>
      <c r="Q567" s="5" t="inlineStr"/>
      <c r="R567" s="5" t="inlineStr"/>
      <c r="S567" s="5" t="inlineStr"/>
      <c r="T567" s="5" t="inlineStr"/>
      <c r="U567" s="5" t="inlineStr">
        <is>
          <t>esnaf-veresiye-batagi</t>
        </is>
      </c>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row>
    <row r="568">
      <c r="A568" s="5" t="inlineStr">
        <is>
          <t>me-veresiye-defteri</t>
        </is>
      </c>
      <c r="B568" s="5" t="n">
        <v>2</v>
      </c>
      <c r="C568" s="6" t="inlineStr">
        <is>
          <t>Kibarca reddet</t>
        </is>
      </c>
      <c r="D568" s="5" t="inlineStr">
        <is>
          <t>İtibar</t>
        </is>
      </c>
      <c r="E568" s="5" t="inlineStr">
        <is>
          <t>Orta</t>
        </is>
      </c>
      <c r="F568" s="5" t="inlineStr"/>
      <c r="G568" s="6" t="inlineStr"/>
      <c r="H568" s="6" t="inlineStr">
        <is>
          <t>'Veresiye yok ama indirim var' dedin. Nakit ödedi, indirimi de bütün mahalleye anlattı.</t>
        </is>
      </c>
      <c r="I568" s="6" t="inlineStr">
        <is>
          <t>Öyle kibar reddettin ki müşteri teşekkür edip peşin ödedi, bir de 'Kalsın' dedi.</t>
        </is>
      </c>
      <c r="J568" s="6" t="inlineStr">
        <is>
          <t>Reddettin. Müşteri karşı dükkâna gidip oraya borçlandı. Borç senden gitti, dedikodusu kaldı.</t>
        </is>
      </c>
      <c r="K568" s="6" t="inlineStr">
        <is>
          <t>Reddettin; müşteri mahalle grubuna 'Eskiden esnaf başkaydı' yazdı. Mesaj kırk üç beğeni aldı.</t>
        </is>
      </c>
      <c r="L568" s="6" t="inlineStr"/>
      <c r="M568" s="5" t="inlineStr"/>
      <c r="N568" s="5" t="inlineStr"/>
      <c r="O568" s="6" t="inlineStr"/>
      <c r="P568" s="6" t="inlineStr"/>
      <c r="Q568" s="5" t="inlineStr"/>
      <c r="R568" s="5" t="inlineStr"/>
      <c r="S568" s="5" t="inlineStr"/>
      <c r="T568" s="5" t="inlineStr"/>
      <c r="U568" s="5" t="inlineStr"/>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row>
    <row r="569">
      <c r="A569" s="5" t="inlineStr">
        <is>
          <t>me-veresiye-defteri</t>
        </is>
      </c>
      <c r="B569" s="5" t="n">
        <v>3</v>
      </c>
      <c r="C569" s="6" t="inlineStr">
        <is>
          <t>'Öbür defterler nasıl gidiyor?' diye sor</t>
        </is>
      </c>
      <c r="D569" s="5" t="inlineStr">
        <is>
          <t>Sosyal Radar</t>
        </is>
      </c>
      <c r="E569" s="5" t="inlineStr">
        <is>
          <t>Kolay</t>
        </is>
      </c>
      <c r="F569" s="5" t="inlineStr"/>
      <c r="G569" s="6" t="inlineStr"/>
      <c r="H569" s="6" t="inlineStr">
        <is>
          <t>Sordun. Müşteri cüzdanı çıkardı, peşin ödedi ve bir daha deftere yazdırmayı teklif etmedi.</t>
        </is>
      </c>
      <c r="I569" s="6" t="inlineStr">
        <is>
          <t>Müşteri öyle utandı ki o gün üç dükkândaki borcunu birden kapattı; seninkinden başladı. Köşedeki esnaf sana çay yolladı: “Bunu nasıl yaptın?”</t>
        </is>
      </c>
      <c r="J569" s="6" t="inlineStr">
        <is>
          <t>İma anlaşılmadı. Müşteri 'Evet, herkes bana güvenir' dedi ve deftere adını kendi yazdı.</t>
        </is>
      </c>
      <c r="K569" s="6" t="inlineStr">
        <is>
          <t>Soruyu yüksek sesle sordun. Kasadaki sırada bekleyen iki kişi de aynı defterlerdeydi.</t>
        </is>
      </c>
      <c r="L569" s="6" t="inlineStr"/>
      <c r="M569" s="5" t="inlineStr"/>
      <c r="N569" s="5" t="inlineStr"/>
      <c r="O569" s="6" t="inlineStr"/>
      <c r="P569" s="6" t="inlineStr"/>
      <c r="Q569" s="5" t="inlineStr"/>
      <c r="R569" s="5" t="inlineStr"/>
      <c r="S569" s="5" t="inlineStr">
        <is>
          <t>Sosyal Radar</t>
        </is>
      </c>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row>
    <row r="570">
      <c r="A570" s="5" t="inlineStr">
        <is>
          <t>me-veresiye-defteri</t>
        </is>
      </c>
      <c r="B570" s="5" t="n">
        <v>4</v>
      </c>
      <c r="C570" s="6" t="inlineStr">
        <is>
          <t>Ödeme planı çıkar</t>
        </is>
      </c>
      <c r="D570" s="5" t="inlineStr">
        <is>
          <t>Akıl</t>
        </is>
      </c>
      <c r="E570" s="5" t="inlineStr">
        <is>
          <t>Kolay</t>
        </is>
      </c>
      <c r="F570" s="5" t="inlineStr"/>
      <c r="G570" s="6" t="inlineStr"/>
      <c r="H570" s="6" t="inlineStr">
        <is>
          <t>Borcu üç taksite böldün, tarihleri müşterinin telefonuna kaydettin. Sistem çalıştı.</t>
        </is>
      </c>
      <c r="I570" s="6" t="inlineStr">
        <is>
          <t>Plan o kadar net çıktı ki müşteri ilk taksiti erken getirdi. Kuruşu kuruşuna, çocukluktan beri.</t>
        </is>
      </c>
      <c r="J570" s="6" t="inlineStr">
        <is>
          <t>Plan mükemmeldi. Müşteri planı sonuna kadar dinledi ve 'Sen yine deftere yaz' dedi.</t>
        </is>
      </c>
      <c r="K570" s="6" t="inlineStr">
        <is>
          <t>Hesabı yaparken kendi aleyhine yuvarladın. Kâğıt üstünde müşteri sana borçlu değil, alacaklı çıktı.</t>
        </is>
      </c>
      <c r="L570" s="6" t="inlineStr"/>
      <c r="M570" s="5" t="inlineStr"/>
      <c r="N570" s="5" t="inlineStr"/>
      <c r="O570" s="6" t="inlineStr"/>
      <c r="P570" s="6" t="inlineStr"/>
      <c r="Q570" s="5" t="inlineStr">
        <is>
          <t>Para Üstü Radarı</t>
        </is>
      </c>
      <c r="R570" s="5" t="inlineStr"/>
      <c r="S570" s="5" t="inlineStr"/>
      <c r="T570" s="5" t="inlineStr"/>
      <c r="U570" s="5" t="inlineStr"/>
      <c r="V570" s="5" t="inlineStr"/>
      <c r="W570" s="5" t="inlineStr">
        <is>
          <t>esnaf-veresiye-batagi</t>
        </is>
      </c>
      <c r="X570" s="5" t="inlineStr"/>
      <c r="Y570" s="5" t="inlineStr"/>
      <c r="Z570" s="6" t="inlineStr"/>
      <c r="AA570" s="5" t="inlineStr"/>
      <c r="AB570" s="5" t="inlineStr"/>
      <c r="AC570" s="5" t="inlineStr"/>
      <c r="AD570" s="5" t="inlineStr"/>
      <c r="AE570" s="5" t="inlineStr"/>
      <c r="AF570" s="5" t="inlineStr"/>
      <c r="AG570" s="5" t="inlineStr"/>
      <c r="AH570" s="5" t="inlineStr"/>
      <c r="AI570" s="5" t="inlineStr"/>
    </row>
    <row r="571">
      <c r="A571" s="5" t="inlineStr">
        <is>
          <t>mm-islak-imza</t>
        </is>
      </c>
      <c r="B571" s="5" t="n">
        <v>1</v>
      </c>
      <c r="C571" s="6" t="inlineStr">
        <is>
          <t>Evrakları ayıkla</t>
        </is>
      </c>
      <c r="D571" s="5" t="inlineStr">
        <is>
          <t>Akıl</t>
        </is>
      </c>
      <c r="E571" s="5" t="inlineStr">
        <is>
          <t>Zor</t>
        </is>
      </c>
      <c r="F571" s="5" t="inlineStr"/>
      <c r="G571" s="6" t="inlineStr"/>
      <c r="H571" s="6" t="inlineStr">
        <is>
          <t>Evrakları ayırdın. Masan boşaldı, koridor doldu. Sistem çalışıyor.</t>
        </is>
      </c>
      <c r="I571" s="6" t="inlineStr">
        <is>
          <t>Hepsi doğru. Şef masana gelip 'Sen bu işi biliyorsun' dedi. Bu cümle otuz yıllık iş yükü demekti.</t>
        </is>
      </c>
      <c r="J571" s="6" t="inlineStr">
        <is>
          <t>Eksik bir dilekçeyi imzaladın. Üst makama gitti, sana geri döndü; üstünde senin adınla.</t>
        </is>
      </c>
      <c r="K571" s="6" t="inlineStr">
        <is>
          <t>Hepsini ters ayırdın. Gün sonunda iade ettiğin tek eksiksiz evrak, kendi izin dilekçendi.</t>
        </is>
      </c>
      <c r="L571" s="6" t="inlineStr">
        <is>
          <t>Çoğu doğru. Yanlışları kimse fark etmez; ta ki denetime kadar.</t>
        </is>
      </c>
      <c r="M571" s="5" t="inlineStr">
        <is>
          <t>swipe</t>
        </is>
      </c>
      <c r="N571" s="5" t="inlineStr">
        <is>
          <t>İmzala ya da İade Et</t>
        </is>
      </c>
      <c r="O571" s="6" t="inlineStr">
        <is>
          <t>Eksiksiz evrakı imzaya, eksik olanı iadeye kaydır. Kararsız kalırsan ikisi de seni bekler.</t>
        </is>
      </c>
      <c r="P571"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71" s="5" t="inlineStr"/>
      <c r="R571" s="5" t="inlineStr"/>
      <c r="S571" s="5" t="inlineStr"/>
      <c r="T571" s="5" t="inlineStr">
        <is>
          <t>Islak İmza Ustası</t>
        </is>
      </c>
      <c r="U571" s="5" t="inlineStr"/>
      <c r="V571" s="5" t="inlineStr"/>
      <c r="W571" s="5" t="inlineStr"/>
      <c r="X571" s="5" t="inlineStr"/>
      <c r="Y571" s="5" t="inlineStr"/>
      <c r="Z571" s="6" t="inlineStr"/>
      <c r="AA571" s="5" t="inlineStr"/>
      <c r="AB571" s="5" t="inlineStr"/>
      <c r="AC571" s="5" t="inlineStr"/>
      <c r="AD571" s="5" t="inlineStr"/>
      <c r="AE571" s="5" t="inlineStr"/>
      <c r="AF571" s="5" t="inlineStr"/>
      <c r="AG571" s="5" t="inlineStr"/>
      <c r="AH571" s="5" t="inlineStr"/>
      <c r="AI571" s="5" t="inlineStr"/>
    </row>
    <row r="572">
      <c r="A572" s="5" t="inlineStr">
        <is>
          <t>mm-islak-imza</t>
        </is>
      </c>
      <c r="B572" s="5" t="n">
        <v>2</v>
      </c>
      <c r="C572" s="6" t="inlineStr">
        <is>
          <t>Hepsini imzala</t>
        </is>
      </c>
      <c r="D572" s="5" t="inlineStr">
        <is>
          <t>Pişkinlik</t>
        </is>
      </c>
      <c r="E572" s="5" t="inlineStr">
        <is>
          <t>Kolay</t>
        </is>
      </c>
      <c r="F572" s="5" t="inlineStr"/>
      <c r="G572" s="6" t="inlineStr"/>
      <c r="H572" s="6" t="inlineStr">
        <is>
          <t>Hepsini imzaladın. Hiçbiri geri dönmedi. Henüz.</t>
        </is>
      </c>
      <c r="I572" s="6" t="inlineStr">
        <is>
          <t>Hepsini imzaladın ve bir tanesi bile sorun çıkarmadı. Bürokrasinin nadir mucizelerinden biri.</t>
        </is>
      </c>
      <c r="J572" s="6" t="inlineStr">
        <is>
          <t>İçlerinden biri, kendi tayin dilekçene yapılmış bir itirazmış.</t>
        </is>
      </c>
      <c r="K572" s="6" t="inlineStr">
        <is>
          <t>Birinin altında 'Masanın koridora taşınmasına onay veriyorum' yazıyordu. Masan koridorda.</t>
        </is>
      </c>
      <c r="L572" s="6" t="inlineStr"/>
      <c r="M572" s="5" t="inlineStr"/>
      <c r="N572" s="5" t="inlineStr"/>
      <c r="O572" s="6" t="inlineStr"/>
      <c r="P572" s="6" t="inlineStr"/>
      <c r="Q572" s="5" t="inlineStr"/>
      <c r="R572" s="5" t="inlineStr"/>
      <c r="S572" s="5" t="inlineStr"/>
      <c r="T572" s="5" t="inlineStr"/>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row>
    <row r="573">
      <c r="A573" s="5" t="inlineStr">
        <is>
          <t>mm-islak-imza</t>
        </is>
      </c>
      <c r="B573" s="5" t="n">
        <v>3</v>
      </c>
      <c r="C573" s="6" t="inlineStr">
        <is>
          <t>Evrakı yarına bırak</t>
        </is>
      </c>
      <c r="D573" s="5" t="inlineStr"/>
      <c r="E573" s="5" t="inlineStr"/>
      <c r="F573" s="5" t="inlineStr">
        <is>
          <t>Dayanıklılık +1</t>
        </is>
      </c>
      <c r="G573" s="6" t="inlineStr">
        <is>
          <t>Evrakı yarına bıraktın. Yarın da onları yarına bırakacak. Bu, dairenin en köklü geleneği.</t>
        </is>
      </c>
      <c r="H573" s="6" t="inlineStr"/>
      <c r="I573" s="6" t="inlineStr"/>
      <c r="J573" s="6" t="inlineStr"/>
      <c r="K573" s="6" t="inlineStr"/>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row>
    <row r="574">
      <c r="A574" s="5" t="inlineStr">
        <is>
          <t>ms-gorunurluk-teklifi</t>
        </is>
      </c>
      <c r="B574" s="5" t="n">
        <v>1</v>
      </c>
      <c r="C574" s="6" t="inlineStr">
        <is>
          <t>Kabul et</t>
        </is>
      </c>
      <c r="D574" s="5" t="inlineStr"/>
      <c r="E574" s="5" t="inlineStr"/>
      <c r="F574" s="5" t="inlineStr">
        <is>
          <t>Dayanıklılık +1</t>
        </is>
      </c>
      <c r="G574" s="6" t="inlineStr">
        <is>
          <t>İşi teslim ettin. Adın afişte en alta, tuvaleti gösteren okun hemen üstüne yazıldı.</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row>
    <row r="575">
      <c r="A575" s="5" t="inlineStr">
        <is>
          <t>ms-gorunurluk-teklifi</t>
        </is>
      </c>
      <c r="B575" s="5" t="n">
        <v>2</v>
      </c>
      <c r="C575" s="6" t="inlineStr">
        <is>
          <t>Görünürlük karşılığı fatura kes</t>
        </is>
      </c>
      <c r="D575" s="5" t="inlineStr">
        <is>
          <t>Pişkinlik</t>
        </is>
      </c>
      <c r="E575" s="5" t="inlineStr">
        <is>
          <t>Orta</t>
        </is>
      </c>
      <c r="F575" s="5" t="inlineStr"/>
      <c r="G575" s="6" t="inlineStr"/>
      <c r="H575" s="6" t="inlineStr">
        <is>
          <t>Faturaya 'görünürlük bedeli' yazdın. Utandılar ve küçük bir ücret ödediler.</t>
        </is>
      </c>
      <c r="I575" s="6" t="inlineStr">
        <is>
          <t>Faturanı paylaştın; üç şirket gerçek ücretle iş teklif etti.</t>
        </is>
      </c>
      <c r="J575" s="6" t="inlineStr">
        <is>
          <t>Faturanı görmediler. Görünürlük sorunu yaşandı.</t>
        </is>
      </c>
      <c r="K575" s="6" t="inlineStr">
        <is>
          <t>Yazışmanın ekran görüntüsü yayıldı. 'Zor çalışılan kişi' olarak nihayet görünür oldun.</t>
        </is>
      </c>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row>
    <row r="576">
      <c r="A576" s="5" t="inlineStr">
        <is>
          <t>ms-gorunurluk-teklifi</t>
        </is>
      </c>
      <c r="B576" s="5" t="n">
        <v>3</v>
      </c>
      <c r="C576" s="6" t="inlineStr">
        <is>
          <t>Nazikçe ama net reddet</t>
        </is>
      </c>
      <c r="D576" s="5" t="inlineStr">
        <is>
          <t>Cesaret</t>
        </is>
      </c>
      <c r="E576" s="5" t="inlineStr">
        <is>
          <t>Zor</t>
        </is>
      </c>
      <c r="F576" s="5" t="inlineStr"/>
      <c r="G576" s="6" t="inlineStr"/>
      <c r="H576" s="6" t="inlineStr">
        <is>
          <t>'Ücretli işlerde görüşelim' dedin. Bir ay sonra ücretli bir teklifle döndüler.</t>
        </is>
      </c>
      <c r="I576" s="6" t="inlineStr">
        <is>
          <t>Reddedişin öyle netti ki bütçe bulundu. Bütçe hep varmış.</t>
        </is>
      </c>
      <c r="J576" s="6" t="inlineStr">
        <is>
          <t>Reddettin; işi ücretsiz yapacak başka birini buldular. Kuyruk uzun.</t>
        </is>
      </c>
      <c r="K576" s="6" t="inlineStr">
        <is>
          <t>Reddettin; ertesi gün aynı şirket seni 'kötü örnek' diye bir panelde andı. Ücretsiz görünürlük.</t>
        </is>
      </c>
      <c r="L576" s="6" t="inlineStr"/>
      <c r="M576" s="5" t="inlineStr"/>
      <c r="N576" s="5" t="inlineStr"/>
      <c r="O576" s="6" t="inlineStr"/>
      <c r="P576" s="6" t="inlineStr"/>
      <c r="Q576" s="5" t="inlineStr"/>
      <c r="R576" s="5" t="inlineStr"/>
      <c r="S576" s="5" t="inlineStr"/>
      <c r="T576" s="5" t="inlineStr">
        <is>
          <t>Kendi Patronu</t>
        </is>
      </c>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row>
    <row r="577">
      <c r="A577" s="5" t="inlineStr">
        <is>
          <t>ms-gorunurluk-teklifi</t>
        </is>
      </c>
      <c r="B577" s="5" t="n">
        <v>4</v>
      </c>
      <c r="C577" s="6" t="inlineStr">
        <is>
          <t>Takipçilerine sor: 'Ücretsiz çalışmalı mıyım?'</t>
        </is>
      </c>
      <c r="D577" s="5" t="inlineStr">
        <is>
          <t>Sosyal Radar</t>
        </is>
      </c>
      <c r="E577" s="5" t="inlineStr">
        <is>
          <t>Kolay</t>
        </is>
      </c>
      <c r="F577" s="5" t="inlineStr"/>
      <c r="G577" s="6" t="inlineStr"/>
      <c r="H577" s="6" t="inlineStr">
        <is>
          <t>Takipçilerin şirkete yorum yağdırdı. Bütçe mucizevi biçimde bulundu.</t>
        </is>
      </c>
      <c r="I577" s="6" t="inlineStr">
        <is>
          <t>Anket o kadar yayıldı ki şirket özür diledi ve ücretini iki katıyla ödedi.</t>
        </is>
      </c>
      <c r="J577" s="6" t="inlineStr">
        <is>
          <t>Takipçilerinin yüzde altmışı 'Evet, görünürlük önemli' dedi. Hepsi de serbest çalışan.</t>
        </is>
      </c>
      <c r="K577" s="6" t="inlineStr">
        <is>
          <t>Şirket anketini görüp seni etiketledi: 'Tabii ki gelin, görünürlük sağlarız.' Daha fazla görünürlük.</t>
        </is>
      </c>
      <c r="L577" s="6" t="inlineStr"/>
      <c r="M577" s="5" t="inlineStr"/>
      <c r="N577" s="5" t="inlineStr"/>
      <c r="O577" s="6" t="inlineStr"/>
      <c r="P577" s="6" t="inlineStr"/>
      <c r="Q577" s="5" t="inlineStr"/>
      <c r="R577" s="5" t="inlineStr">
        <is>
          <t>fenomen</t>
        </is>
      </c>
      <c r="S577" s="5" t="inlineStr"/>
      <c r="T577" s="5" t="inlineStr"/>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row>
    <row r="578">
      <c r="A578" s="5" t="inlineStr">
        <is>
          <t>b6-taki-butcesi</t>
        </is>
      </c>
      <c r="B578" s="5" t="n">
        <v>1</v>
      </c>
      <c r="C578" s="6" t="inlineStr">
        <is>
          <t>Her düğüne çeyrek tak</t>
        </is>
      </c>
      <c r="D578" s="5" t="inlineStr"/>
      <c r="E578" s="5" t="inlineStr"/>
      <c r="F578" s="5" t="inlineStr">
        <is>
          <t>İtibar +2</t>
        </is>
      </c>
      <c r="G578" s="6" t="inlineStr">
        <is>
          <t>Üç çeyrek taktın. Kuyumcu seni tanıyıp gülümsüyor. Hesabın gülümsemiyor.</t>
        </is>
      </c>
      <c r="H578" s="6" t="inlineStr"/>
      <c r="I578" s="6" t="inlineStr"/>
      <c r="J578" s="6" t="inlineStr"/>
      <c r="K578" s="6" t="inlineStr"/>
      <c r="L578" s="6" t="inlineStr"/>
      <c r="M578" s="5" t="inlineStr"/>
      <c r="N578" s="5" t="inlineStr"/>
      <c r="O578" s="6" t="inlineStr"/>
      <c r="P578" s="6" t="inlineStr"/>
      <c r="Q578" s="5" t="inlineStr"/>
      <c r="R578" s="5" t="inlineStr"/>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row>
    <row r="579">
      <c r="A579" s="5" t="inlineStr">
        <is>
          <t>b6-taki-butcesi</t>
        </is>
      </c>
      <c r="B579" s="5" t="n">
        <v>2</v>
      </c>
      <c r="C579" s="6" t="inlineStr">
        <is>
          <t>Zarfa para koy, kalın kâğıt seç</t>
        </is>
      </c>
      <c r="D579" s="5" t="inlineStr">
        <is>
          <t>Kurnazlık</t>
        </is>
      </c>
      <c r="E579" s="5" t="inlineStr">
        <is>
          <t>Orta</t>
        </is>
      </c>
      <c r="F579" s="5" t="inlineStr"/>
      <c r="G579" s="6" t="inlineStr"/>
      <c r="H579" s="6" t="inlineStr">
        <is>
          <t>Zarf kalın, içerik makul. Kimse saymadı, çünkü herkes zarfları sayıyordu.</t>
        </is>
      </c>
      <c r="I579" s="6" t="inlineStr">
        <is>
          <t>Zarf o kadar şıktı ki gelin çerçeveletti. İçine hiç bakmadı.</t>
        </is>
      </c>
      <c r="J579" s="6" t="inlineStr">
        <is>
          <t>Zarfı gelinin annesi açtı. Önünde. Anlamlı bir sessizlik oldu.</t>
        </is>
      </c>
      <c r="K579" s="6" t="inlineStr">
        <is>
          <t>Zarfa adını yazmayı unuttun. Anonim bağışçı oldun; herkes o cimrinin kim olduğunu tartıştı.</t>
        </is>
      </c>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row>
    <row r="580">
      <c r="A580" s="5" t="inlineStr">
        <is>
          <t>b6-taki-butcesi</t>
        </is>
      </c>
      <c r="B580" s="5" t="n">
        <v>3</v>
      </c>
      <c r="C580" s="6" t="inlineStr">
        <is>
          <t>Arkadaşlarla toplu hediye organize et</t>
        </is>
      </c>
      <c r="D580" s="5" t="inlineStr">
        <is>
          <t>Çene</t>
        </is>
      </c>
      <c r="E580" s="5" t="inlineStr">
        <is>
          <t>Kolay</t>
        </is>
      </c>
      <c r="F580" s="5" t="inlineStr"/>
      <c r="G580" s="6" t="inlineStr"/>
      <c r="H580" s="6" t="inlineStr">
        <is>
          <t>Altı arkadaş birleşip tek bir bilezik aldınız. Takı sırasında sunucu “Arkadaşlarından bilezik!” diye bağırdı; salon alkışladı. Kimse kişi başı kaça geldiğini sormadı.</t>
        </is>
      </c>
      <c r="I580" s="6" t="inlineStr">
        <is>
          <t>Hediye düğünün en çok alkışlanan anı oldu. Artanla bir sonraki düğün de karşılandı.</t>
        </is>
      </c>
      <c r="J580" s="6" t="inlineStr">
        <is>
          <t>Herkes 'Tamam' dedi. Parayı ödeyen sen oldun. Tahsilat sürüyor.</t>
        </is>
      </c>
      <c r="K580" s="6" t="inlineStr">
        <is>
          <t>İki kişi parayı iki kez yatırdı, biri hiç yatırmadı. Aradaki fark senin cebinden çıktı; arkadaş grubunun adı o günden beri “Borç Defteri”.</t>
        </is>
      </c>
      <c r="L580" s="6" t="inlineStr"/>
      <c r="M580" s="5" t="inlineStr"/>
      <c r="N580" s="5" t="inlineStr"/>
      <c r="O580" s="6" t="inlineStr"/>
      <c r="P580" s="6" t="inlineStr"/>
      <c r="Q580" s="5" t="inlineStr">
        <is>
          <t>Kuralı Koyan</t>
        </is>
      </c>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row>
    <row r="581">
      <c r="A581" s="5" t="inlineStr">
        <is>
          <t>b6-taki-butcesi</t>
        </is>
      </c>
      <c r="B581" s="5" t="n">
        <v>4</v>
      </c>
      <c r="C581" s="6" t="inlineStr">
        <is>
          <t>Kuyumcuyla pazarlık et</t>
        </is>
      </c>
      <c r="D581" s="5" t="inlineStr">
        <is>
          <t>Çene</t>
        </is>
      </c>
      <c r="E581" s="5" t="inlineStr">
        <is>
          <t>Orta</t>
        </is>
      </c>
      <c r="F581" s="5" t="inlineStr"/>
      <c r="G581" s="6" t="inlineStr"/>
      <c r="H581" s="6" t="inlineStr">
        <is>
          <t>Kuyumcu işçilikten indirdi ve seni 'bizim düğüncü' diye kaydetti.</t>
        </is>
      </c>
      <c r="I581" s="6" t="inlineStr">
        <is>
          <t>Yılın bütün düğünleri için sabit fiyat anlaşması yaptın. Bir düğün sezonu kurtarıldı.</t>
        </is>
      </c>
      <c r="J581" s="6" t="inlineStr">
        <is>
          <t>Kuyumcu 'Fiyat benim elimde değil' dedi. Haklıydı.</t>
        </is>
      </c>
      <c r="K581" s="6" t="inlineStr">
        <is>
          <t>Pazarlık ederken çeyreği düşürdün. Vitrinin altına kaçtı. Yirmi dakika birlikte yerde aradınız.</t>
        </is>
      </c>
      <c r="L581" s="6" t="inlineStr"/>
      <c r="M581" s="5" t="inlineStr"/>
      <c r="N581" s="5" t="inlineStr"/>
      <c r="O581" s="6" t="inlineStr"/>
      <c r="P581" s="6" t="inlineStr"/>
      <c r="Q581" s="5" t="inlineStr">
        <is>
          <t>Küçük Tüccar</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row>
    <row r="582">
      <c r="A582" s="5" t="inlineStr">
        <is>
          <t>b6-taki-butcesi</t>
        </is>
      </c>
      <c r="B582" s="5" t="n">
        <v>5</v>
      </c>
      <c r="C582" s="6" t="inlineStr">
        <is>
          <t>Takıyı sahnede, anonsla tak</t>
        </is>
      </c>
      <c r="D582" s="5" t="inlineStr">
        <is>
          <t>Pişkinlik</t>
        </is>
      </c>
      <c r="E582" s="5" t="inlineStr">
        <is>
          <t>Orta</t>
        </is>
      </c>
      <c r="F582" s="5" t="inlineStr"/>
      <c r="G582" s="6" t="inlineStr"/>
      <c r="H582" s="6" t="inlineStr">
        <is>
          <t>Çeyreği gelinin yakasına iğneledin, sunucu adını iki kez okudu. Teyzeler kimin ne taktığını aklına yazdı; sen iyi bir satıra düştün.</t>
        </is>
      </c>
      <c r="I582" s="6" t="inlineStr">
        <is>
          <t>Sunucu mikrofona eğildi: “Damadın can dostundan… bir bilezik!” Salon ayağa kalktı. Bileziğin yarısı kredi kartından, alkışın tamamı senin.</t>
        </is>
      </c>
      <c r="J582" s="6" t="inlineStr">
        <is>
          <t>Sırada önündeki bilezik taktı. Senin çeyreğin anons edilirken salon hâlâ bileziği konuşuyordu.</t>
        </is>
      </c>
      <c r="K582" s="6" t="inlineStr">
        <is>
          <t>Çeyreği iğnelerken gelinin elbisesine taktın; kumaş yırtıldı. Sunucu mikrofona “Bu da bir hatıra!” dedi. Gelinin annesi bu hatırayı hiç unutmadı.</t>
        </is>
      </c>
      <c r="L582" s="6" t="inlineStr"/>
      <c r="M582" s="5" t="inlineStr"/>
      <c r="N582" s="5" t="inlineStr"/>
      <c r="O582" s="6" t="inlineStr"/>
      <c r="P582" s="6" t="inlineStr"/>
      <c r="Q582" s="5" t="inlineStr"/>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row>
    <row r="583">
      <c r="A583" s="5" t="inlineStr">
        <is>
          <t>b6-ilk-araba</t>
        </is>
      </c>
      <c r="B583" s="5" t="n">
        <v>1</v>
      </c>
      <c r="C583" s="6" t="inlineStr">
        <is>
          <t>İlana güvenip al</t>
        </is>
      </c>
      <c r="D583" s="5" t="inlineStr"/>
      <c r="E583" s="5" t="inlineStr"/>
      <c r="F583" s="5" t="inlineStr">
        <is>
          <t>İtibar +1</t>
        </is>
      </c>
      <c r="G583" s="6" t="inlineStr">
        <is>
          <t>İlk hafta sanayideki usta seni adınla tanıdı. İkinci hafta sen onun çocuklarının adını öğrendin.</t>
        </is>
      </c>
      <c r="H583" s="6" t="inlineStr"/>
      <c r="I583" s="6" t="inlineStr"/>
      <c r="J583" s="6" t="inlineStr"/>
      <c r="K583" s="6" t="inlineStr"/>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row>
    <row r="584">
      <c r="A584" s="5" t="inlineStr">
        <is>
          <t>b6-ilk-araba</t>
        </is>
      </c>
      <c r="B584" s="5" t="n">
        <v>2</v>
      </c>
      <c r="C584" s="6" t="inlineStr">
        <is>
          <t>Test sürüşünde yokuş seç</t>
        </is>
      </c>
      <c r="D584" s="5" t="inlineStr">
        <is>
          <t>Cesaret</t>
        </is>
      </c>
      <c r="E584" s="5" t="inlineStr">
        <is>
          <t>Orta</t>
        </is>
      </c>
      <c r="F584" s="5" t="inlineStr"/>
      <c r="G584" s="6" t="inlineStr"/>
      <c r="H584" s="6" t="inlineStr">
        <is>
          <t>Araba yokuşta mükemmeldi. Satıcının yüzü öyle değildi. Fiyattan indi.</t>
        </is>
      </c>
      <c r="I584" s="6" t="inlineStr">
        <is>
          <t>Bütün kusurları tek sürüşte buldun. Fiyat yarıya indi. Satıcı hâlâ nerede hata yaptığını düşünüyor.</t>
        </is>
      </c>
      <c r="J584" s="6" t="inlineStr">
        <is>
          <t>Araba yokuşta stop etti. Satıcı “Motor soğuk” dedi. Araba sabahtan beri güneşin altındaydı.</t>
        </is>
      </c>
      <c r="K584" s="6" t="inlineStr">
        <is>
          <t>El freni elinde kaldı. Araba sessizce aşağı indi, bir çöp konteynerinde durdu. Satıcı yine de fiyattan inmedi.</t>
        </is>
      </c>
      <c r="L584" s="6" t="inlineStr"/>
      <c r="M584" s="5" t="inlineStr"/>
      <c r="N584" s="5" t="inlineStr"/>
      <c r="O584" s="6" t="inlineStr"/>
      <c r="P584" s="6" t="inlineStr"/>
      <c r="Q584" s="5" t="inlineStr"/>
      <c r="R584" s="5" t="inlineStr">
        <is>
          <t>ehliyetli</t>
        </is>
      </c>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row>
    <row r="585">
      <c r="A585" s="5" t="inlineStr">
        <is>
          <t>b6-ilk-araba</t>
        </is>
      </c>
      <c r="B585" s="5" t="n">
        <v>3</v>
      </c>
      <c r="C585" s="6" t="inlineStr">
        <is>
          <t>Boya ölçtür</t>
        </is>
      </c>
      <c r="D585" s="5" t="inlineStr">
        <is>
          <t>Kurnazlık</t>
        </is>
      </c>
      <c r="E585" s="5" t="inlineStr">
        <is>
          <t>Kolay</t>
        </is>
      </c>
      <c r="F585" s="5" t="inlineStr"/>
      <c r="G585" s="6" t="inlineStr"/>
      <c r="H585" s="6" t="inlineStr">
        <is>
          <t>Kaput üç kat boyalı çıktı. Satıcı 'Boya değil, cila' dedi. Yirmi dakika sonra fiyattan indi.</t>
        </is>
      </c>
      <c r="I585" s="6" t="inlineStr">
        <is>
          <t>Arabanın bütün geçmişini çıkardın. Satıcı seni bir ekspertiz firmasına iş teklifiyle uğurladı.</t>
        </is>
      </c>
      <c r="J585" s="6" t="inlineStr">
        <is>
          <t>Ölçtün. Boya yok, çünkü kaportanın yarısı macun.</t>
        </is>
      </c>
      <c r="K585" s="6" t="inlineStr">
        <is>
          <t>Araba kusursuz çıktı. Yine de inanmadın, almadın. Ertesi gün iki katına satıldı.</t>
        </is>
      </c>
      <c r="L585" s="6" t="inlineStr"/>
      <c r="M585" s="5" t="inlineStr"/>
      <c r="N585" s="5" t="inlineStr"/>
      <c r="O585" s="6" t="inlineStr"/>
      <c r="P585" s="6" t="inlineStr"/>
      <c r="Q585" s="5" t="inlineStr"/>
      <c r="R585" s="5" t="inlineStr"/>
      <c r="S585" s="5" t="inlineStr">
        <is>
          <t>Kurnazlık</t>
        </is>
      </c>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row>
    <row r="586">
      <c r="A586" s="5" t="inlineStr">
        <is>
          <t>b6-ilk-araba</t>
        </is>
      </c>
      <c r="B586" s="5" t="n">
        <v>4</v>
      </c>
      <c r="C586" s="6" t="inlineStr">
        <is>
          <t>Kredi çek, sıfır al</t>
        </is>
      </c>
      <c r="D586" s="5" t="inlineStr">
        <is>
          <t>Pişkinlik</t>
        </is>
      </c>
      <c r="E586" s="5" t="inlineStr">
        <is>
          <t>Orta</t>
        </is>
      </c>
      <c r="F586" s="5" t="inlineStr"/>
      <c r="G586" s="6" t="inlineStr"/>
      <c r="H586" s="6" t="inlineStr">
        <is>
          <t>Sıfır araba aldın. Kokusu bir ay sürdü, kredisi altmış ay.</t>
        </is>
      </c>
      <c r="I586" s="6" t="inlineStr">
        <is>
          <t>Kampanyayla ilk üç ay taksit yok. Dördüncü ayı düşünmemeye karar verdin.</t>
        </is>
      </c>
      <c r="J586" s="6" t="inlineStr">
        <is>
          <t>Bayiden çıktığı an değeri düştü. Seninki de.</t>
        </is>
      </c>
      <c r="K586" s="6" t="inlineStr">
        <is>
          <t>İlk gün kaldırıma sürttün. Araba artık sıfır değil. Sen de değilsin.</t>
        </is>
      </c>
      <c r="L586" s="6" t="inlineStr"/>
      <c r="M586" s="5" t="inlineStr"/>
      <c r="N586" s="5" t="inlineStr"/>
      <c r="O586" s="6" t="inlineStr"/>
      <c r="P586" s="6" t="inlineStr"/>
      <c r="Q586" s="5" t="inlineStr"/>
      <c r="R586" s="5" t="inlineStr"/>
      <c r="S586" s="5" t="inlineStr"/>
      <c r="T586" s="5" t="inlineStr"/>
      <c r="U586" s="5" t="inlineStr">
        <is>
          <t>borclu</t>
        </is>
      </c>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row>
    <row r="587">
      <c r="A587" s="5" t="inlineStr">
        <is>
          <t>b6-uzaktan-calisma</t>
        </is>
      </c>
      <c r="B587" s="5" t="n">
        <v>1</v>
      </c>
      <c r="C587" s="6" t="inlineStr">
        <is>
          <t>Düzenli rutin kur</t>
        </is>
      </c>
      <c r="D587" s="5" t="inlineStr"/>
      <c r="E587" s="5" t="inlineStr"/>
      <c r="F587" s="5" t="inlineStr">
        <is>
          <t>Dayanıklılık +1</t>
        </is>
      </c>
      <c r="G587" s="6" t="inlineStr">
        <is>
          <t>Her sabah giyinip masaya oturdun. Akşam altıda “Ben çıktım” deyip odanın kapısını kapattın; salona yürümen beş saniye sürdü.</t>
        </is>
      </c>
      <c r="H587" s="6" t="inlineStr"/>
      <c r="I587" s="6" t="inlineStr"/>
      <c r="J587" s="6" t="inlineStr"/>
      <c r="K587" s="6" t="inlineStr"/>
      <c r="L587" s="6" t="inlineStr"/>
      <c r="M587" s="5" t="inlineStr"/>
      <c r="N587" s="5" t="inlineStr"/>
      <c r="O587" s="6" t="inlineStr"/>
      <c r="P587" s="6" t="inlineStr"/>
      <c r="Q587" s="5" t="inlineStr"/>
      <c r="R587" s="5" t="inlineStr"/>
      <c r="S587" s="5" t="inlineStr"/>
      <c r="T587" s="5" t="inlineStr"/>
      <c r="U587" s="5" t="inlineStr"/>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row>
    <row r="588">
      <c r="A588" s="5" t="inlineStr">
        <is>
          <t>b6-uzaktan-calisma</t>
        </is>
      </c>
      <c r="B588" s="5" t="n">
        <v>2</v>
      </c>
      <c r="C588" s="6" t="inlineStr">
        <is>
          <t>Kamerayı kapalı tut</t>
        </is>
      </c>
      <c r="D588" s="5" t="inlineStr">
        <is>
          <t>Kurnazlık</t>
        </is>
      </c>
      <c r="E588" s="5" t="inlineStr">
        <is>
          <t>Orta</t>
        </is>
      </c>
      <c r="F588" s="5" t="inlineStr"/>
      <c r="G588" s="6" t="inlineStr"/>
      <c r="H588" s="6" t="inlineStr">
        <is>
          <t>'Bağlantım zayıf' dedin. Üç ay kimse yüzünü görmedi. Terfi alan senin sesindi.</t>
        </is>
      </c>
      <c r="I588" s="6" t="inlineStr">
        <is>
          <t>Yöneticin seni ekibin en çalışkanı sandı. Toplantı boyunca kahvaltı ediyordun.</t>
        </is>
      </c>
      <c r="J588" s="6" t="inlineStr">
        <is>
          <t>Yönetici 'Sesin çok net geliyor ama' dedi.</t>
        </is>
      </c>
      <c r="K588" s="6" t="inlineStr">
        <is>
          <t>Kameran açıktı. Ekip seni pijamayla buzdolabını açıp kavanozdan kaşıkla reçel yerken izledi. O günden beri toplantı davetlerinin altında bir not var: “Lütfen giyinik katılın.”</t>
        </is>
      </c>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row>
    <row r="589">
      <c r="A589" s="5" t="inlineStr">
        <is>
          <t>b6-uzaktan-calisma</t>
        </is>
      </c>
      <c r="B589" s="5" t="n">
        <v>3</v>
      </c>
      <c r="C589" s="6" t="inlineStr">
        <is>
          <t>Sahildeki kafeden bağlan</t>
        </is>
      </c>
      <c r="D589" s="5" t="inlineStr">
        <is>
          <t>Pişkinlik</t>
        </is>
      </c>
      <c r="E589" s="5" t="inlineStr">
        <is>
          <t>Zor</t>
        </is>
      </c>
      <c r="F589" s="5" t="inlineStr"/>
      <c r="G589" s="6" t="inlineStr"/>
      <c r="H589" s="6" t="inlineStr">
        <is>
          <t>Arkanda deniz, önünde tablo. Kıskanç yorumlar sohbete düştü.</t>
        </is>
      </c>
      <c r="I589" s="6" t="inlineStr">
        <is>
          <t>Verimliliğin arttı. Şirket uzaktan çalışma yönergesine senin fotoğrafını koydu.</t>
        </is>
      </c>
      <c r="J589" s="6" t="inlineStr">
        <is>
          <t>Rüzgâr sesinden başka kimse bir şey duymadı.</t>
        </is>
      </c>
      <c r="K589" s="6" t="inlineStr">
        <is>
          <t>Bir martı tostunu kaptı. Kamera açıktı. Video şirketin yıl sonu sunumunda.</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row>
    <row r="590">
      <c r="A590" s="5" t="inlineStr">
        <is>
          <t>mb-kamera-kapali</t>
        </is>
      </c>
      <c r="B590" s="5" t="n">
        <v>1</v>
      </c>
      <c r="C590" s="6" t="inlineStr">
        <is>
          <t>Kamerayı aç</t>
        </is>
      </c>
      <c r="D590" s="5" t="inlineStr"/>
      <c r="E590" s="5" t="inlineStr"/>
      <c r="F590" s="5" t="inlineStr">
        <is>
          <t>Cesaret +1</t>
        </is>
      </c>
      <c r="G590" s="6" t="inlineStr">
        <is>
          <t>Kamerayı açtın. Üstte gömlek, altta pijama. Kurumsal kimlik belden yukarı çalışıyor.</t>
        </is>
      </c>
      <c r="H590" s="6" t="inlineStr"/>
      <c r="I590" s="6" t="inlineStr"/>
      <c r="J590" s="6" t="inlineStr"/>
      <c r="K590" s="6" t="inlineStr"/>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row>
    <row r="591">
      <c r="A591" s="5" t="inlineStr">
        <is>
          <t>mb-kamera-kapali</t>
        </is>
      </c>
      <c r="B591" s="5" t="n">
        <v>2</v>
      </c>
      <c r="C591" s="6" t="inlineStr">
        <is>
          <t>Mikrofonu aç, cevap ver</t>
        </is>
      </c>
      <c r="D591" s="5" t="inlineStr">
        <is>
          <t>Akıl</t>
        </is>
      </c>
      <c r="E591" s="5" t="inlineStr">
        <is>
          <t>Orta</t>
        </is>
      </c>
      <c r="F591" s="5" t="inlineStr"/>
      <c r="G591" s="6" t="inlineStr"/>
      <c r="H591" s="6" t="inlineStr">
        <is>
          <t>Soruyu duymadın ama 'Katılıyorum, ölçeklenmeli' dedin. Herkes katıldı.</t>
        </is>
      </c>
      <c r="I591" s="6" t="inlineStr">
        <is>
          <t>Duymadığın soruya öyle genel bir cevap verdin ki toplantı notlarına 'vizyon' olarak geçti.</t>
        </is>
      </c>
      <c r="J591" s="6" t="inlineStr">
        <is>
          <t>Cevap verdin; soru aynı adı taşıyan başka birineymiş.</t>
        </is>
      </c>
      <c r="K591" s="6" t="inlineStr">
        <is>
          <t>Mikrofonu açtın. Tam o an ziyarete gelen annen mutfaktan seslendi: “Kuzum, yemek soğuyor!” Şirkette adın artık “Kuzum”.</t>
        </is>
      </c>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is>
          <t>Kuzum</t>
        </is>
      </c>
    </row>
    <row r="592">
      <c r="A592" s="5" t="inlineStr">
        <is>
          <t>mb-kamera-kapali</t>
        </is>
      </c>
      <c r="B592" s="5" t="n">
        <v>3</v>
      </c>
      <c r="C592" s="6" t="inlineStr">
        <is>
          <t>'Sesiniz gidip geliyor' de</t>
        </is>
      </c>
      <c r="D592" s="5" t="inlineStr">
        <is>
          <t>Pişkinlik</t>
        </is>
      </c>
      <c r="E592" s="5" t="inlineStr">
        <is>
          <t>Zor</t>
        </is>
      </c>
      <c r="F592" s="5" t="inlineStr"/>
      <c r="G592" s="6" t="inlineStr"/>
      <c r="H592" s="6" t="inlineStr">
        <is>
          <t>Bağlantın 'düzelene' kadar toplantı bitti. Altyapı hep senden yana.</t>
        </is>
      </c>
      <c r="I592" s="6" t="inlineStr">
        <is>
          <t>Senin sesin gidip geldi, yöneticinin bağlantısı gerçekten koptu. Toplantı iptal.</t>
        </is>
      </c>
      <c r="J592" s="6" t="inlineStr">
        <is>
          <t>'Sesiniz gidip geliyor' dedin. Çok net duyuldu.</t>
        </is>
      </c>
      <c r="K592" s="6" t="inlineStr">
        <is>
          <t>Sesini kesik kesik verdin: “Se… ni… duy…” Yönetici “Ekranını paylaşıyorsun” dedi. Ekranda “kopuk ses efekti” diye bir video açıktı.</t>
        </is>
      </c>
      <c r="L592" s="6" t="inlineStr"/>
      <c r="M592" s="5" t="inlineStr"/>
      <c r="N592" s="5" t="inlineStr"/>
      <c r="O592" s="6" t="inlineStr"/>
      <c r="P592" s="6" t="inlineStr"/>
      <c r="Q592" s="5" t="inlineStr"/>
      <c r="R592" s="5" t="inlineStr"/>
      <c r="S592" s="5" t="inlineStr">
        <is>
          <t>Pişkinlik</t>
        </is>
      </c>
      <c r="T592" s="5" t="inlineStr">
        <is>
          <t>Sessize Alma Ustası</t>
        </is>
      </c>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row>
    <row r="593">
      <c r="A593" s="5" t="inlineStr">
        <is>
          <t>mb-kamera-kapali</t>
        </is>
      </c>
      <c r="B593" s="5" t="n">
        <v>4</v>
      </c>
      <c r="C593" s="6" t="inlineStr">
        <is>
          <t>Yapay avatarını toplantıya gönder</t>
        </is>
      </c>
      <c r="D593" s="5" t="inlineStr">
        <is>
          <t>Kurnazlık</t>
        </is>
      </c>
      <c r="E593" s="5" t="inlineStr">
        <is>
          <t>Orta</t>
        </is>
      </c>
      <c r="F593" s="5" t="inlineStr"/>
      <c r="G593" s="6" t="inlineStr"/>
      <c r="H593" s="6" t="inlineStr">
        <is>
          <t>Avatarın başıyla onayladı, sen kahvaltı ettin. Verimlilik rekor.</t>
        </is>
      </c>
      <c r="I593" s="6" t="inlineStr">
        <is>
          <t>Avatarın o kadar iyi katıldı ki terfi listesine girdi. Sen giremedin.</t>
        </is>
      </c>
      <c r="J593" s="6" t="inlineStr">
        <is>
          <t>Avatar donunca yöneticin 'İyi misin?' diye sordu. Avatara.</t>
        </is>
      </c>
      <c r="K593" s="6" t="inlineStr">
        <is>
          <t>Avatarın bir soruya 'Ben bir yapay zekâyım' diye cevap verdi. Dürüstlükte seni geçti.</t>
        </is>
      </c>
      <c r="L593" s="6" t="inlineStr"/>
      <c r="M593" s="5" t="inlineStr"/>
      <c r="N593" s="5" t="inlineStr"/>
      <c r="O593" s="6" t="inlineStr"/>
      <c r="P593" s="6" t="inlineStr"/>
      <c r="Q593" s="5" t="inlineStr">
        <is>
          <t>Şifreyi Bilen</t>
        </is>
      </c>
      <c r="R593" s="5" t="inlineStr"/>
      <c r="S593" s="5" t="inlineStr"/>
      <c r="T593" s="5" t="inlineStr"/>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row>
    <row r="594">
      <c r="A594" s="5" t="inlineStr">
        <is>
          <t>me-karsi-dukkan</t>
        </is>
      </c>
      <c r="B594" s="5" t="n">
        <v>1</v>
      </c>
      <c r="C594" s="6" t="inlineStr">
        <is>
          <t>Lokumla “Kolay gelsin” demeye git</t>
        </is>
      </c>
      <c r="D594" s="5" t="inlineStr"/>
      <c r="E594" s="5" t="inlineStr"/>
      <c r="F594" s="5" t="inlineStr">
        <is>
          <t>İtibar +1, Sosyal Radar +1</t>
        </is>
      </c>
      <c r="G594" s="6" t="inlineStr">
        <is>
          <t>Bir kutu lokumla karşıya geçtin: “Kolay gelsin.” “Size de” dediler. Çaylar içildi; iki taraf da öbürüne hiç kolay gelmemesini diliyordu.</t>
        </is>
      </c>
      <c r="H594" s="6" t="inlineStr"/>
      <c r="I594" s="6" t="inlineStr"/>
      <c r="J594" s="6" t="inlineStr"/>
      <c r="K594" s="6" t="inlineStr"/>
      <c r="L594" s="6" t="inlineStr"/>
      <c r="M594" s="5" t="inlineStr"/>
      <c r="N594" s="5" t="inlineStr"/>
      <c r="O594" s="6" t="inlineStr"/>
      <c r="P594" s="6" t="inlineStr"/>
      <c r="Q594" s="5" t="inlineStr"/>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row>
    <row r="595">
      <c r="A595" s="5" t="inlineStr">
        <is>
          <t>me-karsi-dukkan</t>
        </is>
      </c>
      <c r="B595" s="5" t="n">
        <v>2</v>
      </c>
      <c r="C595" s="6" t="inlineStr">
        <is>
          <t>Toptancıyla pazarlık et</t>
        </is>
      </c>
      <c r="D595" s="5" t="inlineStr">
        <is>
          <t>Çene</t>
        </is>
      </c>
      <c r="E595" s="5" t="inlineStr">
        <is>
          <t>Orta</t>
        </is>
      </c>
      <c r="F595" s="5" t="inlineStr"/>
      <c r="G595" s="6" t="inlineStr"/>
      <c r="H595" s="6" t="inlineStr">
        <is>
          <t>Toptancıdan iyi fiyat kopardın. Etiketleri karşı dükkânın bir tık altına çektin.</t>
        </is>
      </c>
      <c r="I595" s="6" t="inlineStr">
        <is>
          <t>Toptancı seni en eski müşterisi gibi karşıladı; aynı fiyatı karşıya vermedi. Karşı dükkânın balonları ertesi sabah sönmüştü, tabelası bir ay sonra indi.</t>
        </is>
      </c>
      <c r="J595" s="6" t="inlineStr">
        <is>
          <t>Toptancı 'Bu fiyata ben de senden alırım' dedi. Pazarlık çay faslında bitti.</t>
        </is>
      </c>
      <c r="K595" s="6" t="inlineStr">
        <is>
          <t>Fazla ısrar ettin; toptancı karşı dükkânı 'daha makul esnaf' olarak kaydetti. Artık onlar senden ucuz.</t>
        </is>
      </c>
      <c r="L595" s="6" t="inlineStr">
        <is>
          <t>Fiyat biraz düştü. Etiketi değiştirmeye yetti, kâra yetmedi.</t>
        </is>
      </c>
      <c r="M595" s="5" t="inlineStr">
        <is>
          <t>bargain</t>
        </is>
      </c>
      <c r="N595" s="5" t="inlineStr">
        <is>
          <t>Toptancı Pazarlığı</t>
        </is>
      </c>
      <c r="O595" s="6" t="inlineStr">
        <is>
          <t>Toptancının sabrı bitmeden fiyatı aşağı çek. Çay ikram ediyorsa henüz umut var.</t>
        </is>
      </c>
      <c r="P595" s="6" t="inlineStr">
        <is>
          <t>{"item": "toptan mal", "mode": "buy"}</t>
        </is>
      </c>
      <c r="Q595" s="5" t="inlineStr"/>
      <c r="R595" s="5" t="inlineStr"/>
      <c r="S595" s="5" t="inlineStr"/>
      <c r="T595" s="5" t="inlineStr"/>
      <c r="U595" s="5" t="inlineStr"/>
      <c r="V595" s="5" t="inlineStr"/>
      <c r="W595" s="5" t="inlineStr">
        <is>
          <t>esnaf-komsu-rakip</t>
        </is>
      </c>
      <c r="X595" s="5" t="inlineStr"/>
      <c r="Y595" s="5" t="inlineStr"/>
      <c r="Z595" s="6" t="inlineStr"/>
      <c r="AA595" s="5" t="inlineStr"/>
      <c r="AB595" s="5" t="inlineStr"/>
      <c r="AC595" s="5" t="inlineStr"/>
      <c r="AD595" s="5" t="inlineStr"/>
      <c r="AE595" s="5" t="inlineStr"/>
      <c r="AF595" s="5" t="inlineStr"/>
      <c r="AG595" s="5" t="inlineStr"/>
      <c r="AH595" s="5" t="inlineStr"/>
      <c r="AI595" s="5" t="inlineStr"/>
    </row>
    <row r="596">
      <c r="A596" s="5" t="inlineStr">
        <is>
          <t>me-karsi-dukkan</t>
        </is>
      </c>
      <c r="B596" s="5" t="n">
        <v>3</v>
      </c>
      <c r="C596" s="6" t="inlineStr">
        <is>
          <t>Fiyat savaşı başlat</t>
        </is>
      </c>
      <c r="D596" s="5" t="inlineStr">
        <is>
          <t>Cesaret</t>
        </is>
      </c>
      <c r="E596" s="5" t="inlineStr">
        <is>
          <t>Zor</t>
        </is>
      </c>
      <c r="F596" s="5" t="inlineStr"/>
      <c r="G596" s="6" t="inlineStr"/>
      <c r="H596" s="6" t="inlineStr">
        <is>
          <t>Etiketleri kırdın, karşı dükkân balonlarını topladı. Tabelası bir hafta içinde küçüldü.</t>
        </is>
      </c>
      <c r="I596" s="6" t="inlineStr">
        <is>
          <t>Karşı dükkân ortaklık teklif etti. Kabul etmedin; tabelasını ucuza satın aldın.</t>
        </is>
      </c>
      <c r="J596" s="6" t="inlineStr">
        <is>
          <t>Savaş başladı. Üç ay sonra iki dükkân da zararda, mahalle ise hayatından çok memnun.</t>
        </is>
      </c>
      <c r="K596" s="6" t="inlineStr">
        <is>
          <t>Fiyatı öyle kırdın ki karşı dükkân malını toptancıdan değil, senden almaya başladı. Zararına.</t>
        </is>
      </c>
      <c r="L596" s="6" t="inlineStr"/>
      <c r="M596" s="5" t="inlineStr"/>
      <c r="N596" s="5" t="inlineStr"/>
      <c r="O596" s="6" t="inlineStr"/>
      <c r="P596" s="6" t="inlineStr"/>
      <c r="Q596" s="5" t="inlineStr"/>
      <c r="R596" s="5" t="inlineStr"/>
      <c r="S596" s="5" t="inlineStr"/>
      <c r="T596" s="5" t="inlineStr">
        <is>
          <t>Pazarlık Duayeni</t>
        </is>
      </c>
      <c r="U596" s="5" t="inlineStr">
        <is>
          <t>esnaf-komsu-rakip</t>
        </is>
      </c>
      <c r="V596" s="5" t="inlineStr"/>
      <c r="W596" s="5" t="inlineStr"/>
      <c r="X596" s="5" t="inlineStr"/>
      <c r="Y596" s="5" t="inlineStr"/>
      <c r="Z596" s="6" t="inlineStr"/>
      <c r="AA596" s="5" t="inlineStr"/>
      <c r="AB596" s="5" t="inlineStr"/>
      <c r="AC596" s="5" t="inlineStr"/>
      <c r="AD596" s="5" t="inlineStr"/>
      <c r="AE596" s="5" t="inlineStr"/>
      <c r="AF596" s="5" t="inlineStr"/>
      <c r="AG596" s="5" t="inlineStr"/>
      <c r="AH596" s="5" t="inlineStr"/>
      <c r="AI596" s="5" t="inlineStr"/>
    </row>
    <row r="597">
      <c r="A597" s="5" t="inlineStr">
        <is>
          <t>me-karsi-dukkan</t>
        </is>
      </c>
      <c r="B597" s="5" t="n">
        <v>4</v>
      </c>
      <c r="C597" s="6" t="inlineStr">
        <is>
          <t>Ortak kampanya öner</t>
        </is>
      </c>
      <c r="D597" s="5" t="inlineStr">
        <is>
          <t>Sosyal Radar</t>
        </is>
      </c>
      <c r="E597" s="5" t="inlineStr">
        <is>
          <t>Kolay</t>
        </is>
      </c>
      <c r="F597" s="5" t="inlineStr"/>
      <c r="G597" s="6" t="inlineStr"/>
      <c r="H597" s="6" t="inlineStr">
        <is>
          <t>'Birinden alana öbüründe indirim' kampanyası kurdun. Sokak bir alışveriş rotasına dönüştü.</t>
        </is>
      </c>
      <c r="I597" s="6" t="inlineStr">
        <is>
          <t>Kampanya tuttu; sokağın girişine 'Çarşının en uyumlu köşesi' tabelası asıldı. Tabelayı kimin astığı bilinmiyor. Sendin.</t>
        </is>
      </c>
      <c r="J597" s="6" t="inlineStr">
        <is>
          <t>Fikrini çay ocağında anlattın; beğendiler. Ertesi hafta adını değiştirip tek başlarına uyguladılar.</t>
        </is>
      </c>
      <c r="K597" s="6" t="inlineStr">
        <is>
          <t>Kampanyayı başlattın; bütün indirimi sen karşıladın. Karşı dükkân buna 'sinerji' diyor.</t>
        </is>
      </c>
      <c r="L597" s="6" t="inlineStr"/>
      <c r="M597" s="5" t="inlineStr"/>
      <c r="N597" s="5" t="inlineStr"/>
      <c r="O597" s="6" t="inlineStr"/>
      <c r="P597" s="6" t="inlineStr"/>
      <c r="Q597" s="5" t="inlineStr">
        <is>
          <t>Sofra Müteahhidi</t>
        </is>
      </c>
      <c r="R597" s="5" t="inlineStr"/>
      <c r="S597" s="5" t="inlineStr"/>
      <c r="T597" s="5" t="inlineStr"/>
      <c r="U597" s="5" t="inlineStr"/>
      <c r="V597" s="5" t="inlineStr"/>
      <c r="W597" s="5" t="inlineStr">
        <is>
          <t>esnaf-komsu-rakip</t>
        </is>
      </c>
      <c r="X597" s="5" t="inlineStr"/>
      <c r="Y597" s="5" t="inlineStr"/>
      <c r="Z597" s="6" t="inlineStr"/>
      <c r="AA597" s="5" t="inlineStr"/>
      <c r="AB597" s="5" t="inlineStr"/>
      <c r="AC597" s="5" t="inlineStr"/>
      <c r="AD597" s="5" t="inlineStr"/>
      <c r="AE597" s="5" t="inlineStr"/>
      <c r="AF597" s="5" t="inlineStr"/>
      <c r="AG597" s="5" t="inlineStr"/>
      <c r="AH597" s="5" t="inlineStr"/>
      <c r="AI597" s="5" t="inlineStr"/>
    </row>
    <row r="598">
      <c r="A598" s="5" t="inlineStr">
        <is>
          <t>mm-saat-1658</t>
        </is>
      </c>
      <c r="B598" s="5" t="n">
        <v>1</v>
      </c>
      <c r="C598" s="6" t="inlineStr">
        <is>
          <t>'Yarın gelin' de</t>
        </is>
      </c>
      <c r="D598" s="5" t="inlineStr"/>
      <c r="E598" s="5" t="inlineStr"/>
      <c r="F598" s="5" t="inlineStr">
        <is>
          <t>Dayanıklılık +1, Pişkinlik +1</t>
        </is>
      </c>
      <c r="G598" s="6" t="inlineStr">
        <is>
          <t>Kurumun en eski cümlesini ilk kez sen kurdun. Ağzında tuhaf bir tat bıraktı: kıdem.</t>
        </is>
      </c>
      <c r="H598" s="6" t="inlineStr"/>
      <c r="I598" s="6" t="inlineStr"/>
      <c r="J598" s="6" t="inlineStr"/>
      <c r="K598" s="6" t="inlineStr"/>
      <c r="L598" s="6" t="inlineStr"/>
      <c r="M598" s="5" t="inlineStr"/>
      <c r="N598" s="5" t="inlineStr"/>
      <c r="O598" s="6" t="inlineStr"/>
      <c r="P598" s="6" t="inlineStr"/>
      <c r="Q598" s="5" t="inlineStr"/>
      <c r="R598" s="5" t="inlineStr"/>
      <c r="S598" s="5" t="inlineStr"/>
      <c r="T598" s="5" t="inlineStr"/>
      <c r="U598" s="5" t="inlineStr"/>
      <c r="V598" s="5" t="inlineStr"/>
      <c r="W598" s="5" t="inlineStr"/>
      <c r="X598" s="5" t="inlineStr"/>
      <c r="Y598" s="5" t="inlineStr"/>
      <c r="Z598" s="6" t="inlineStr"/>
      <c r="AA598" s="5" t="inlineStr"/>
      <c r="AB598" s="5" t="inlineStr"/>
      <c r="AC598" s="5" t="inlineStr"/>
      <c r="AD598" s="5" t="inlineStr"/>
      <c r="AE598" s="5" t="inlineStr"/>
      <c r="AF598" s="5" t="inlineStr"/>
      <c r="AG598" s="5" t="inlineStr"/>
      <c r="AH598" s="5" t="inlineStr"/>
      <c r="AI598" s="5" t="inlineStr"/>
    </row>
    <row r="599">
      <c r="A599" s="5" t="inlineStr">
        <is>
          <t>mm-saat-1658</t>
        </is>
      </c>
      <c r="B599" s="5" t="n">
        <v>2</v>
      </c>
      <c r="C599" s="6" t="inlineStr">
        <is>
          <t>17.00'den önce kaşeyi bas</t>
        </is>
      </c>
      <c r="D599" s="5" t="inlineStr">
        <is>
          <t>Akıl</t>
        </is>
      </c>
      <c r="E599" s="5" t="inlineStr">
        <is>
          <t>Orta</t>
        </is>
      </c>
      <c r="F599" s="5" t="inlineStr"/>
      <c r="G599" s="6" t="inlineStr"/>
      <c r="H599" s="6" t="inlineStr">
        <is>
          <t>16.59'da kaşeyi bastın. Vatandaş teşekkür etti, sen de otobüse yetiştin.</t>
        </is>
      </c>
      <c r="I599" s="6" t="inlineStr">
        <is>
          <t>16.59.59'da son kaşe. Vatandaş, kapı görevlisi ve temizlik ekibi seni alkışladı.</t>
        </is>
      </c>
      <c r="J599" s="6" t="inlineStr">
        <is>
          <t>Kaşe 17.00'de indi. Belge bir dakika geç tarihli; vatandaş yarın yeniden gelecek.</t>
        </is>
      </c>
      <c r="K599" s="6" t="inlineStr">
        <is>
          <t>Kaşeyi masaya bastın, dosyaya değil. Masan artık resmen 'Onaylanmıştır'.</t>
        </is>
      </c>
      <c r="L599" s="6" t="inlineStr">
        <is>
          <t>Kaşe bastın, imza yarım kaldı. Vatandaş yarın gelip imzayı tamamlatacak.</t>
        </is>
      </c>
      <c r="M599" s="5" t="inlineStr">
        <is>
          <t>timing</t>
        </is>
      </c>
      <c r="N599" s="5" t="inlineStr">
        <is>
          <t>16.59'da Kaşe</t>
        </is>
      </c>
      <c r="O599" s="6" t="inlineStr">
        <is>
          <t>Saat 17.00 olmadan kaşeyi bas. Bir saniye geç kalırsan işlem mesai dışı sayılır.</t>
        </is>
      </c>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row>
    <row r="600">
      <c r="A600" s="5" t="inlineStr">
        <is>
          <t>mm-saat-1658</t>
        </is>
      </c>
      <c r="B600" s="5" t="n">
        <v>3</v>
      </c>
      <c r="C600" s="6" t="inlineStr">
        <is>
          <t>Yedi imzanın haritasını çıkar</t>
        </is>
      </c>
      <c r="D600" s="5" t="inlineStr">
        <is>
          <t>Çene</t>
        </is>
      </c>
      <c r="E600" s="5" t="inlineStr">
        <is>
          <t>Kolay</t>
        </is>
      </c>
      <c r="F600" s="5" t="inlineStr"/>
      <c r="G600" s="6" t="inlineStr"/>
      <c r="H600" s="6" t="inlineStr">
        <is>
          <t>Listeyi verdin. Vatandaş yarın yedi imzayla, tek seferde gelecek.</t>
        </is>
      </c>
      <c r="I600" s="6" t="inlineStr">
        <is>
          <t>Yedi imzanın hangi masalarda toplanacağını çizdin. Harita fotokopiyle çoğaltılıp bütün koridora asıldı.</t>
        </is>
      </c>
      <c r="J600" s="6" t="inlineStr">
        <is>
          <t>Vatandaş 'Ama sadece bir imza' dedi. Yedi kez.</t>
        </is>
      </c>
      <c r="K600" s="6" t="inlineStr">
        <is>
          <t>Vatandaş şefe gidip 'Bu memur beni yedi imzayla korkuttu' dedi. Şimdi senin dosyanda bir imza eksik.</t>
        </is>
      </c>
      <c r="L600" s="6" t="inlineStr"/>
      <c r="M600" s="5" t="inlineStr"/>
      <c r="N600" s="5" t="inlineStr"/>
      <c r="O600" s="6" t="inlineStr"/>
      <c r="P600" s="6" t="inlineStr"/>
      <c r="Q600" s="5" t="inlineStr"/>
      <c r="R600" s="5" t="inlineStr"/>
      <c r="S600" s="5" t="inlineStr">
        <is>
          <t>Sosyal Radar</t>
        </is>
      </c>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row>
    <row r="601">
      <c r="A601" s="5" t="inlineStr">
        <is>
          <t>mm-saat-1658</t>
        </is>
      </c>
      <c r="B601" s="5" t="n">
        <v>4</v>
      </c>
      <c r="C601" s="6" t="inlineStr">
        <is>
          <t>Mesaiyi uzat</t>
        </is>
      </c>
      <c r="D601" s="5" t="inlineStr"/>
      <c r="E601" s="5" t="inlineStr"/>
      <c r="F601" s="5" t="inlineStr">
        <is>
          <t>İtibar +2</t>
        </is>
      </c>
      <c r="G601" s="6" t="inlineStr">
        <is>
          <t>Yarım saat fazla kaldın. Kayıtlara geçmedi; vatandaşın aile grubuna 'Böyle memur mu olur' diye geçti. İyi anlamda.</t>
        </is>
      </c>
      <c r="H601" s="6" t="inlineStr"/>
      <c r="I601" s="6" t="inlineStr"/>
      <c r="J601" s="6" t="inlineStr"/>
      <c r="K601" s="6" t="inlineStr"/>
      <c r="L601" s="6" t="inlineStr"/>
      <c r="M601" s="5" t="inlineStr"/>
      <c r="N601" s="5" t="inlineStr"/>
      <c r="O601" s="6" t="inlineStr"/>
      <c r="P601" s="6" t="inlineStr"/>
      <c r="Q601" s="5" t="inlineStr"/>
      <c r="R601" s="5" t="inlineStr"/>
      <c r="S601" s="5" t="inlineStr"/>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row>
    <row r="602">
      <c r="A602" s="5" t="inlineStr">
        <is>
          <t>b6-ev-sahibi-kavgasi</t>
        </is>
      </c>
      <c r="B602" s="5" t="n">
        <v>1</v>
      </c>
      <c r="C602" s="6" t="inlineStr">
        <is>
          <t>Artışı kabul et</t>
        </is>
      </c>
      <c r="D602" s="5" t="inlineStr"/>
      <c r="E602" s="5" t="inlineStr"/>
      <c r="F602" s="5" t="inlineStr">
        <is>
          <t>Dayanıklılık +1</t>
        </is>
      </c>
      <c r="G602" s="6" t="inlineStr">
        <is>
          <t>Kabul ettin. Ay sonunda annen telefonda “Sesin bir tuhaf” dedi. Sesin değil, buzdolabın boştu.</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row>
    <row r="603">
      <c r="A603" s="5" t="inlineStr">
        <is>
          <t>b6-ev-sahibi-kavgasi</t>
        </is>
      </c>
      <c r="B603" s="5" t="n">
        <v>2</v>
      </c>
      <c r="C603" s="6" t="inlineStr">
        <is>
          <t>Sözleşmeyi bul, maddeleri oku</t>
        </is>
      </c>
      <c r="D603" s="5" t="inlineStr">
        <is>
          <t>Akıl</t>
        </is>
      </c>
      <c r="E603" s="5" t="inlineStr">
        <is>
          <t>Orta</t>
        </is>
      </c>
      <c r="F603" s="5" t="inlineStr"/>
      <c r="G603" s="6" t="inlineStr"/>
      <c r="H603" s="6" t="inlineStr">
        <is>
          <t>Artış maddesini buldun. Ev sahibi 'Tamam, makul olsun' dedi.</t>
        </is>
      </c>
      <c r="I603" s="6" t="inlineStr">
        <is>
          <t>Ev sahibinin unuttuğu bir madde buldun: boya ve kombi masrafı onda. Masa döndü.</t>
        </is>
      </c>
      <c r="J603" s="6" t="inlineStr">
        <is>
          <t>Buldun. İmzaladığın sayfa eksikmiş.</t>
        </is>
      </c>
      <c r="K603" s="6" t="inlineStr">
        <is>
          <t>Buldun. Madde senin aleyhine. Ev sahibi okuduğunu da biliyor.</t>
        </is>
      </c>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row>
    <row r="604">
      <c r="A604" s="5" t="inlineStr">
        <is>
          <t>b6-ev-sahibi-kavgasi</t>
        </is>
      </c>
      <c r="B604" s="5" t="n">
        <v>3</v>
      </c>
      <c r="C604" s="6" t="inlineStr">
        <is>
          <t>'Yeğeniniz ne zaman taşınıyor?' diye sor</t>
        </is>
      </c>
      <c r="D604" s="5" t="inlineStr">
        <is>
          <t>Sosyal Radar</t>
        </is>
      </c>
      <c r="E604" s="5" t="inlineStr">
        <is>
          <t>Kolay</t>
        </is>
      </c>
      <c r="F604" s="5" t="inlineStr"/>
      <c r="G604" s="6" t="inlineStr"/>
      <c r="H604" s="6" t="inlineStr">
        <is>
          <t>Kısa bir sessizlik. Sonra: 'Biraz daha düşünelim.'</t>
        </is>
      </c>
      <c r="I604" s="6" t="inlineStr">
        <is>
          <t>Ev sahibi güldü, 'Yeğen yok' dedi ve artışı yarıya indirdi. Garip bir dostluk başladı.</t>
        </is>
      </c>
      <c r="J604" s="6" t="inlineStr">
        <is>
          <t>Yeğen gerçekten varmış. Gelecek ay taşınıyor. Sen de.</t>
        </is>
      </c>
      <c r="K604" s="6" t="inlineStr">
        <is>
          <t>Ev sahibi alındı ve mahalleye 'huysuz kiracı' olduğunu anlattı. Bakkal bile selam vermiyor.</t>
        </is>
      </c>
      <c r="L604" s="6" t="inlineStr"/>
      <c r="M604" s="5" t="inlineStr"/>
      <c r="N604" s="5" t="inlineStr"/>
      <c r="O604" s="6" t="inlineStr"/>
      <c r="P604" s="6" t="inlineStr"/>
      <c r="Q604" s="5" t="inlineStr"/>
      <c r="R604" s="5" t="inlineStr"/>
      <c r="S604" s="5" t="inlineStr">
        <is>
          <t>Sosyal Radar</t>
        </is>
      </c>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row>
    <row r="605">
      <c r="A605" s="5" t="inlineStr">
        <is>
          <t>b6-ev-sahibi-kavgasi</t>
        </is>
      </c>
      <c r="B605" s="5" t="n">
        <v>4</v>
      </c>
      <c r="C605" s="6" t="inlineStr">
        <is>
          <t>Hakkını sonuna kadar ara</t>
        </is>
      </c>
      <c r="D605" s="5" t="inlineStr">
        <is>
          <t>Cesaret</t>
        </is>
      </c>
      <c r="E605" s="5" t="inlineStr">
        <is>
          <t>Zor</t>
        </is>
      </c>
      <c r="F605" s="5" t="inlineStr"/>
      <c r="G605" s="6" t="inlineStr"/>
      <c r="H605" s="6" t="inlineStr">
        <is>
          <t>Tebligat, arabulucu, iki telefon. Artış makule çekildi. Ev sahibi selamı kesti.</t>
        </is>
      </c>
      <c r="I605" s="6" t="inlineStr">
        <is>
          <t>Haklı çıktın. Ev sahibi özür mesajı attı. Sonunda bir çiçek vardı.</t>
        </is>
      </c>
      <c r="J605" s="6" t="inlineStr">
        <is>
          <t>Arabulucuya gittin. Ev sahibi oraya annesiyle gelmişti; teyze bütün görüşme boyunca sana “Yazık değil mi oğluma?” diye baktı. Artışın yarısını kabul edip çıktın.</t>
        </is>
      </c>
      <c r="K605" s="6" t="inlineStr">
        <is>
          <t>Ev sahibi tahliye için avukat tuttu. Taşınma günü kapıda bekliyordu; elinde senin çektiğin çizik fotoğrafları vardı, yeni çizikler kırmızıyla işaretliydi. Depozito gitti.</t>
        </is>
      </c>
      <c r="L605" s="6" t="inlineStr"/>
      <c r="M605" s="5" t="inlineStr"/>
      <c r="N605" s="5" t="inlineStr"/>
      <c r="O605" s="6" t="inlineStr"/>
      <c r="P605" s="6" t="inlineStr"/>
      <c r="Q605" s="5" t="inlineStr">
        <is>
          <t>Sözünü Geçirir</t>
        </is>
      </c>
      <c r="R605" s="5" t="inlineStr"/>
      <c r="S605" s="5" t="inlineStr"/>
      <c r="T605" s="5" t="inlineStr"/>
      <c r="U605" s="5" t="inlineStr"/>
      <c r="V605" s="5" t="inlineStr"/>
      <c r="W605" s="5" t="inlineStr">
        <is>
          <t>depozito-yandi</t>
        </is>
      </c>
      <c r="X605" s="5" t="inlineStr"/>
      <c r="Y605" s="5" t="inlineStr"/>
      <c r="Z605" s="6" t="inlineStr"/>
      <c r="AA605" s="5" t="inlineStr"/>
      <c r="AB605" s="5" t="inlineStr"/>
      <c r="AC605" s="5" t="inlineStr"/>
      <c r="AD605" s="5" t="inlineStr"/>
      <c r="AE605" s="5" t="inlineStr"/>
      <c r="AF605" s="5" t="inlineStr"/>
      <c r="AG605" s="5" t="inlineStr"/>
      <c r="AH605" s="5" t="inlineStr"/>
      <c r="AI605" s="5" t="inlineStr"/>
    </row>
    <row r="606">
      <c r="A606" s="5" t="inlineStr">
        <is>
          <t>b6-kargo-takibi</t>
        </is>
      </c>
      <c r="B606" s="5" t="n">
        <v>1</v>
      </c>
      <c r="C606" s="6" t="inlineStr">
        <is>
          <t>Beklemeye devam et</t>
        </is>
      </c>
      <c r="D606" s="5" t="inlineStr"/>
      <c r="E606" s="5" t="inlineStr"/>
      <c r="F606" s="5" t="inlineStr">
        <is>
          <t>Dayanıklılık +1</t>
        </is>
      </c>
      <c r="G606" s="6" t="inlineStr">
        <is>
          <t>Sekizinci gün teslim edildi. Kapının önüne, yağmurun altına.</t>
        </is>
      </c>
      <c r="H606" s="6" t="inlineStr"/>
      <c r="I606" s="6" t="inlineStr"/>
      <c r="J606" s="6" t="inlineStr"/>
      <c r="K606" s="6" t="inlineStr"/>
      <c r="L606" s="6" t="inlineStr"/>
      <c r="M606" s="5" t="inlineStr"/>
      <c r="N606" s="5" t="inlineStr"/>
      <c r="O606" s="6" t="inlineStr"/>
      <c r="P606" s="6" t="inlineStr"/>
      <c r="Q606" s="5" t="inlineStr"/>
      <c r="R606" s="5" t="inlineStr"/>
      <c r="S606" s="5" t="inlineStr"/>
      <c r="T606" s="5" t="inlineStr"/>
      <c r="U606" s="5" t="inlineStr"/>
      <c r="V606" s="5" t="inlineStr"/>
      <c r="W606" s="5" t="inlineStr"/>
      <c r="X606" s="5" t="inlineStr"/>
      <c r="Y606" s="5" t="inlineStr"/>
      <c r="Z606" s="6" t="inlineStr"/>
      <c r="AA606" s="5" t="inlineStr"/>
      <c r="AB606" s="5" t="inlineStr"/>
      <c r="AC606" s="5" t="inlineStr"/>
      <c r="AD606" s="5" t="inlineStr"/>
      <c r="AE606" s="5" t="inlineStr"/>
      <c r="AF606" s="5" t="inlineStr"/>
      <c r="AG606" s="5" t="inlineStr"/>
      <c r="AH606" s="5" t="inlineStr"/>
      <c r="AI606" s="5" t="inlineStr"/>
    </row>
    <row r="607">
      <c r="A607" s="5" t="inlineStr">
        <is>
          <t>b6-kargo-takibi</t>
        </is>
      </c>
      <c r="B607" s="5" t="n">
        <v>2</v>
      </c>
      <c r="C607" s="6" t="inlineStr">
        <is>
          <t>Müşteri hizmetlerini ara</t>
        </is>
      </c>
      <c r="D607" s="5" t="inlineStr">
        <is>
          <t>Çene</t>
        </is>
      </c>
      <c r="E607" s="5" t="inlineStr">
        <is>
          <t>Orta</t>
        </is>
      </c>
      <c r="F607" s="5" t="inlineStr"/>
      <c r="G607" s="6" t="inlineStr"/>
      <c r="H607" s="6" t="inlineStr">
        <is>
          <t>Kırk dakika bekleme müziğinden sonra bir insana ulaştın. Kargo ertesi gün geldi.</t>
        </is>
      </c>
      <c r="I607" s="6" t="inlineStr">
        <is>
          <t>Temsilci kargoyu kendi getirtti. Yanında bir özür çikolatası vardı.</t>
        </is>
      </c>
      <c r="J607" s="6" t="inlineStr">
        <is>
          <t>'Talebiniz oluşturuldu' dendi. Talep, kargodan hızlı ilerlemiyor.</t>
        </is>
      </c>
      <c r="K607" s="6" t="inlineStr">
        <is>
          <t>Sesli asistan seni 'Anlaşılmadı' döngüsüne soktu. Sonunda iadeyi onayladın. Kendi siparişini.</t>
        </is>
      </c>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row>
    <row r="608">
      <c r="A608" s="5" t="inlineStr">
        <is>
          <t>b6-kargo-takibi</t>
        </is>
      </c>
      <c r="B608" s="5" t="n">
        <v>3</v>
      </c>
      <c r="C608" s="6" t="inlineStr">
        <is>
          <t>Köşedeki büfeye uğra</t>
        </is>
      </c>
      <c r="D608" s="5" t="inlineStr">
        <is>
          <t>Sosyal Radar</t>
        </is>
      </c>
      <c r="E608" s="5" t="inlineStr">
        <is>
          <t>Kolay</t>
        </is>
      </c>
      <c r="F608" s="5" t="inlineStr"/>
      <c r="G608" s="6" t="inlineStr"/>
      <c r="H608" s="6" t="inlineStr">
        <is>
          <t>Büfeci paketini rafın arkasından çıkardı. Yanında üç komşunun paketi daha vardı.</t>
        </is>
      </c>
      <c r="I608" s="6" t="inlineStr">
        <is>
          <t>Büfeci sokağın bütün kargolarını sana emanet etti. Sokağın gayriresmî dağıtım merkezisin.</t>
        </is>
      </c>
      <c r="J608" s="6" t="inlineStr">
        <is>
          <t>Büfeci 'Paket yok' dedi. Arkasında adının yazılı olduğu bir kutu vardı. Göz göze geldiniz.</t>
        </is>
      </c>
      <c r="K608" s="6" t="inlineStr">
        <is>
          <t>Paketin oradaymış. Açılmış. İçindeki kulaklık büfecinin kulağında.</t>
        </is>
      </c>
      <c r="L608" s="6" t="inlineStr"/>
      <c r="M608" s="5" t="inlineStr"/>
      <c r="N608" s="5" t="inlineStr"/>
      <c r="O608" s="6" t="inlineStr"/>
      <c r="P608" s="6" t="inlineStr"/>
      <c r="Q608" s="5" t="inlineStr"/>
      <c r="R608" s="5" t="inlineStr"/>
      <c r="S608" s="5" t="inlineStr">
        <is>
          <t>Kurnazlık</t>
        </is>
      </c>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row>
    <row r="609">
      <c r="A609" s="5" t="inlineStr">
        <is>
          <t>b6-kargo-takibi</t>
        </is>
      </c>
      <c r="B609" s="5" t="n">
        <v>4</v>
      </c>
      <c r="C609" s="6" t="inlineStr">
        <is>
          <t>Kuryeyi haritadan takip et</t>
        </is>
      </c>
      <c r="D609" s="5" t="inlineStr">
        <is>
          <t>Cesaret</t>
        </is>
      </c>
      <c r="E609" s="5" t="inlineStr">
        <is>
          <t>Orta</t>
        </is>
      </c>
      <c r="F609" s="5" t="inlineStr"/>
      <c r="G609" s="6" t="inlineStr"/>
      <c r="H609" s="6" t="inlineStr">
        <is>
          <t>Haritadaki noktayı izleyip kuryeyi köşede yakaladın. Paket teslim.</t>
        </is>
      </c>
      <c r="I609" s="6" t="inlineStr">
        <is>
          <t>Kurye sokağın ters numaralandırıldığını anlattı. Belediyeye birlikte dilekçe verdiniz.</t>
        </is>
      </c>
      <c r="J609" s="6" t="inlineStr">
        <is>
          <t>Yakaladığın başka bir kuryeydi. Ona yol tarif ettin. Seninki hâlâ yolda.</t>
        </is>
      </c>
      <c r="K609" s="6" t="inlineStr">
        <is>
          <t>Terlikle koştun. Kurye motordaydı. Sen üç sokak öteye, terliğin biri dördüncüye ulaştı.</t>
        </is>
      </c>
      <c r="L609" s="6" t="inlineStr">
        <is>
          <t>Kuryeye yetiştin, paketi aldın; terliğin birini yolda bıraktın. Paket tam, çift eksik.</t>
        </is>
      </c>
      <c r="M609" s="5" t="inlineStr">
        <is>
          <t>lanes</t>
        </is>
      </c>
      <c r="N609" s="5" t="inlineStr">
        <is>
          <t>Terlikle Takip</t>
        </is>
      </c>
      <c r="O609" s="6" t="inlineStr">
        <is>
          <t>Kaldırımda şerit değiştirerek kuryeye yetiş; pazar arabaları ve bakkal kasaları yolda.</t>
        </is>
      </c>
      <c r="P609" s="6" t="inlineStr"/>
      <c r="Q609" s="5" t="inlineStr"/>
      <c r="R609" s="5" t="inlineStr"/>
      <c r="S609" s="5" t="inlineStr"/>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row>
    <row r="610">
      <c r="A610" s="5" t="inlineStr">
        <is>
          <t>ms-pijama-ekonomisi</t>
        </is>
      </c>
      <c r="B610" s="5" t="n">
        <v>1</v>
      </c>
      <c r="C610" s="6" t="inlineStr">
        <is>
          <t>Giyin, masaya otur</t>
        </is>
      </c>
      <c r="D610" s="5" t="inlineStr"/>
      <c r="E610" s="5" t="inlineStr"/>
      <c r="F610" s="5" t="inlineStr">
        <is>
          <t>Dayanıklılık +1</t>
        </is>
      </c>
      <c r="G610" s="6" t="inlineStr">
        <is>
          <t>Gömlek ve ayakkabı giydin. Evde ayakkabıyla çalışan tek kişi oldun. Verim arttı, komşu şüphelendi.</t>
        </is>
      </c>
      <c r="H610" s="6" t="inlineStr"/>
      <c r="I610" s="6" t="inlineStr"/>
      <c r="J610" s="6" t="inlineStr"/>
      <c r="K610" s="6" t="inlineStr"/>
      <c r="L610" s="6" t="inlineStr"/>
      <c r="M610" s="5" t="inlineStr"/>
      <c r="N610" s="5" t="inlineStr"/>
      <c r="O610" s="6" t="inlineStr"/>
      <c r="P610" s="6" t="inlineStr"/>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row>
    <row r="611">
      <c r="A611" s="5" t="inlineStr">
        <is>
          <t>ms-pijama-ekonomisi</t>
        </is>
      </c>
      <c r="B611" s="5" t="n">
        <v>2</v>
      </c>
      <c r="C611" s="6" t="inlineStr">
        <is>
          <t>Üçünü aynı anda bitir</t>
        </is>
      </c>
      <c r="D611" s="5" t="inlineStr">
        <is>
          <t>Akıl</t>
        </is>
      </c>
      <c r="E611" s="5" t="inlineStr">
        <is>
          <t>Zor</t>
        </is>
      </c>
      <c r="F611" s="5" t="inlineStr"/>
      <c r="G611" s="6" t="inlineStr"/>
      <c r="H611" s="6" t="inlineStr">
        <is>
          <t>Üç işi tek gecede bitirdin. Uyku yarın, fatura bugün.</t>
        </is>
      </c>
      <c r="I611" s="6" t="inlineStr">
        <is>
          <t>Üçünü bitirdin, birini erken teslim ettin. Müşteri şoktan iki gün cevap veremedi.</t>
        </is>
      </c>
      <c r="J611" s="6" t="inlineStr">
        <is>
          <t>Üçünü bitirdin, dosyaları karıştırıp yanlış müşterilere gönderdin. İkisi fark etmedi; üçüncüsü “Bizim logomuz neden kırmızı?” diye sordu. Gece yeniden yaptın.</t>
        </is>
      </c>
      <c r="K611" s="6" t="inlineStr">
        <is>
          <t>Üç dosyayı tek dosyada birleştirdin ve üçüne de aynısını yolladın. Üç müşteri aynı gün aradı.</t>
        </is>
      </c>
      <c r="L611" s="6" t="inlineStr"/>
      <c r="M611" s="5" t="inlineStr"/>
      <c r="N611" s="5" t="inlineStr"/>
      <c r="O611" s="6" t="inlineStr"/>
      <c r="P611" s="6" t="inlineStr"/>
      <c r="Q611" s="5" t="inlineStr"/>
      <c r="R611" s="5" t="inlineStr"/>
      <c r="S611" s="5" t="inlineStr"/>
      <c r="T611" s="5" t="inlineStr">
        <is>
          <t>Ukala Ama Haklı</t>
        </is>
      </c>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row>
    <row r="612">
      <c r="A612" s="5" t="inlineStr">
        <is>
          <t>ms-pijama-ekonomisi</t>
        </is>
      </c>
      <c r="B612" s="5" t="n">
        <v>3</v>
      </c>
      <c r="C612" s="6" t="inlineStr">
        <is>
          <t>Kafeye taşın</t>
        </is>
      </c>
      <c r="D612" s="5" t="inlineStr">
        <is>
          <t>Kurnazlık</t>
        </is>
      </c>
      <c r="E612" s="5" t="inlineStr">
        <is>
          <t>Kolay</t>
        </is>
      </c>
      <c r="F612" s="5" t="inlineStr"/>
      <c r="G612" s="6" t="inlineStr"/>
      <c r="H612" s="6" t="inlineStr">
        <is>
          <t>Prize en yakın masayı kaptın. Bir çayla altı saat çalıştın. Verimli ve biraz ayıp.</t>
        </is>
      </c>
      <c r="I612" s="6" t="inlineStr">
        <is>
          <t>Kafede yan masadaki bir girişimci iş teklif etti. Ofisin artık resmen kafe.</t>
        </is>
      </c>
      <c r="J612" s="6" t="inlineStr">
        <is>
          <t>Priz yoktu. Şarj bitti. Sen de.</t>
        </is>
      </c>
      <c r="K612" s="6" t="inlineStr">
        <is>
          <t>Tek çayla dokuz saat oturdun. Garson sonunda sandalye kirası kesti.</t>
        </is>
      </c>
      <c r="L612" s="6" t="inlineStr"/>
      <c r="M612" s="5" t="inlineStr"/>
      <c r="N612" s="5" t="inlineStr"/>
      <c r="O612" s="6" t="inlineStr"/>
      <c r="P612" s="6" t="inlineStr"/>
      <c r="Q612" s="5" t="inlineStr"/>
      <c r="R612" s="5" t="inlineStr"/>
      <c r="S612" s="5" t="inlineStr"/>
      <c r="T612" s="5" t="inlineStr"/>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row>
    <row r="613">
      <c r="A613" s="5" t="inlineStr">
        <is>
          <t>ms-pijama-ekonomisi</t>
        </is>
      </c>
      <c r="B613" s="5" t="n">
        <v>4</v>
      </c>
      <c r="C613" s="6" t="inlineStr">
        <is>
          <t>Kendine bir takvim sistemi kur</t>
        </is>
      </c>
      <c r="D613" s="5" t="inlineStr">
        <is>
          <t>Akıl</t>
        </is>
      </c>
      <c r="E613" s="5" t="inlineStr">
        <is>
          <t>Kolay</t>
        </is>
      </c>
      <c r="F613" s="5" t="inlineStr"/>
      <c r="G613" s="6" t="inlineStr"/>
      <c r="H613" s="6" t="inlineStr">
        <is>
          <t>Renkli bir takvim kurdun. Günlerin artık düzenli. Pijama sadece cuma.</t>
        </is>
      </c>
      <c r="I613" s="6" t="inlineStr">
        <is>
          <t>Takvimin o kadar iyi çalıştı ki diğer serbest çalışanlara şablon olarak satmaya başladın.</t>
        </is>
      </c>
      <c r="J613" s="6" t="inlineStr">
        <is>
          <t>Takvimi kurmak bütün gün sürdü. Üç teslim de takvimde güzel duruyor.</t>
        </is>
      </c>
      <c r="K613" s="6" t="inlineStr">
        <is>
          <t>Bütün hatırlatıcıları aynı saate kurmuşsun. Saat on beşte telefon üç teslimi, iki faturayı, “Su iç”i ve annenin doğum gününü birden hatırlattı. Annenin doğum günü dündü.</t>
        </is>
      </c>
      <c r="L613" s="6" t="inlineStr"/>
      <c r="M613" s="5" t="inlineStr"/>
      <c r="N613" s="5" t="inlineStr"/>
      <c r="O613" s="6" t="inlineStr"/>
      <c r="P613" s="6" t="inlineStr"/>
      <c r="Q613" s="5" t="inlineStr">
        <is>
          <t>Kuralı Koyan</t>
        </is>
      </c>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row>
    <row r="614">
      <c r="A614" s="5" t="inlineStr">
        <is>
          <t>b6-ilk-vergi</t>
        </is>
      </c>
      <c r="B614" s="5" t="n">
        <v>1</v>
      </c>
      <c r="C614" s="6" t="inlineStr">
        <is>
          <t>Formu olduğu gibi doldur</t>
        </is>
      </c>
      <c r="D614" s="5" t="inlineStr"/>
      <c r="E614" s="5" t="inlineStr"/>
      <c r="F614" s="5" t="inlineStr">
        <is>
          <t>İtibar +1</t>
        </is>
      </c>
      <c r="G614" s="6" t="inlineStr">
        <is>
          <t>Memur baktı, 'Bu kutu yanlış' dedi ve kendi düzeltti. Devletten ilk yardımın.</t>
        </is>
      </c>
      <c r="H614" s="6" t="inlineStr"/>
      <c r="I614" s="6" t="inlineStr"/>
      <c r="J614" s="6" t="inlineStr"/>
      <c r="K614" s="6" t="inlineStr"/>
      <c r="L614" s="6" t="inlineStr"/>
      <c r="M614" s="5" t="inlineStr"/>
      <c r="N614" s="5" t="inlineStr"/>
      <c r="O614" s="6" t="inlineStr"/>
      <c r="P614" s="6" t="inlineStr"/>
      <c r="Q614" s="5" t="inlineStr"/>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row>
    <row r="615">
      <c r="A615" s="5" t="inlineStr">
        <is>
          <t>b6-ilk-vergi</t>
        </is>
      </c>
      <c r="B615" s="5" t="n">
        <v>2</v>
      </c>
      <c r="C615" s="6" t="inlineStr">
        <is>
          <t>Muhasebeci tut</t>
        </is>
      </c>
      <c r="D615" s="5" t="inlineStr">
        <is>
          <t>Kurnazlık</t>
        </is>
      </c>
      <c r="E615" s="5" t="inlineStr">
        <is>
          <t>Kolay</t>
        </is>
      </c>
      <c r="F615" s="5" t="inlineStr"/>
      <c r="G615" s="6" t="inlineStr"/>
      <c r="H615" s="6" t="inlineStr">
        <is>
          <t>Form beş dakikada doldu. Faturası seni bir saat düşündürdü.</t>
        </is>
      </c>
      <c r="I615" s="6" t="inlineStr">
        <is>
          <t>Muhasebeci senin için bir iade hakkı buldu. İade, ücretinden biraz fazlaydı. Kârdasın.</t>
        </is>
      </c>
      <c r="J615" s="6" t="inlineStr">
        <is>
          <t>Muhasebeci bir kutuyu yanlış işaretledi. Artık o da bir yazı bekliyor.</t>
        </is>
      </c>
      <c r="K615" s="6" t="inlineStr">
        <is>
          <t>Muhasebeci “Hallederiz” dedi. Halletmedi; ceza yazısı geldi. Yazıyı görünce de “Bunu da hallederiz” dedi.</t>
        </is>
      </c>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row>
    <row r="616">
      <c r="A616" s="5" t="inlineStr">
        <is>
          <t>b6-ilk-vergi</t>
        </is>
      </c>
      <c r="B616" s="5" t="n">
        <v>3</v>
      </c>
      <c r="C616" s="6" t="inlineStr">
        <is>
          <t>Tablona dök, kendin çöz</t>
        </is>
      </c>
      <c r="D616" s="5" t="inlineStr">
        <is>
          <t>Akıl</t>
        </is>
      </c>
      <c r="E616" s="5" t="inlineStr">
        <is>
          <t>Orta</t>
        </is>
      </c>
      <c r="F616" s="5" t="inlineStr"/>
      <c r="G616" s="6" t="inlineStr"/>
      <c r="H616" s="6" t="inlineStr">
        <is>
          <t>Hesapladın, doldurdun. Memur kaşlarını kaldırdı: 'Bu nadir.'</t>
        </is>
      </c>
      <c r="I616" s="6" t="inlineStr">
        <is>
          <t>Form masadan masaya dolaştırıldı. Dairede ilk kez bir kutu doğru işaretlenmişti.</t>
        </is>
      </c>
      <c r="J616" s="6" t="inlineStr">
        <is>
          <t>Hesapladın. Borcun çıktı. Tablo haklıymış.</t>
        </is>
      </c>
      <c r="K616" s="6" t="inlineStr">
        <is>
          <t>Virgülü kaydırdın. Kayıtlara göre büyük bir şirketin sahibisin. Denetim yolda.</t>
        </is>
      </c>
      <c r="L616" s="6" t="inlineStr"/>
      <c r="M616" s="5" t="inlineStr"/>
      <c r="N616" s="5" t="inlineStr"/>
      <c r="O616" s="6" t="inlineStr"/>
      <c r="P616" s="6" t="inlineStr"/>
      <c r="Q616" s="5" t="inlineStr">
        <is>
          <t>Bütçe Tablocusu</t>
        </is>
      </c>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row>
    <row r="617">
      <c r="A617" s="5" t="inlineStr">
        <is>
          <t>b6-ilk-vergi</t>
        </is>
      </c>
      <c r="B617" s="5" t="n">
        <v>4</v>
      </c>
      <c r="C617" s="6" t="inlineStr">
        <is>
          <t>Sıradakinin formuna göz at</t>
        </is>
      </c>
      <c r="D617" s="5" t="inlineStr">
        <is>
          <t>Kurnazlık</t>
        </is>
      </c>
      <c r="E617" s="5" t="inlineStr">
        <is>
          <t>Orta</t>
        </is>
      </c>
      <c r="F617" s="5" t="inlineStr"/>
      <c r="G617" s="6" t="inlineStr"/>
      <c r="H617" s="6" t="inlineStr">
        <is>
          <t>Onun cevaplarına bakıp doldurdun. Doğruymuş. İkiniz de şaşırdınız.</t>
        </is>
      </c>
      <c r="I617" s="6" t="inlineStr">
        <is>
          <t>Sıradaki bir mali müşavirmiş. Formunu da doldurdu, kartını da verdi.</t>
        </is>
      </c>
      <c r="J617" s="6" t="inlineStr">
        <is>
          <t>O bir şirket formu dolduruyormuş. Senin formun şimdi bir şirketi anlatıyor.</t>
        </is>
      </c>
      <c r="K617" s="6" t="inlineStr">
        <is>
          <t>'Kopya mı çekiyorsun?' diye yüksek sesle sordu. Bütün daire sana döndü. İlkokul hissi.</t>
        </is>
      </c>
      <c r="L617" s="6" t="inlineStr"/>
      <c r="M617" s="5" t="inlineStr"/>
      <c r="N617" s="5" t="inlineStr"/>
      <c r="O617" s="6" t="inlineStr"/>
      <c r="P617" s="6" t="inlineStr"/>
      <c r="Q617" s="5" t="inlineStr"/>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row>
    <row r="618">
      <c r="A618" s="5" t="inlineStr">
        <is>
          <t>b6-kombi</t>
        </is>
      </c>
      <c r="B618" s="5" t="n">
        <v>1</v>
      </c>
      <c r="C618" s="6" t="inlineStr">
        <is>
          <t>Üç gün bekle</t>
        </is>
      </c>
      <c r="D618" s="5" t="inlineStr"/>
      <c r="E618" s="5" t="inlineStr"/>
      <c r="F618" s="5" t="inlineStr">
        <is>
          <t>Dayanıklılık +2</t>
        </is>
      </c>
      <c r="G618" s="6" t="inlineStr">
        <is>
          <t>Üç gün battaniye altında yaşadın. Tamirci bir düğmeye bastı: 'Bu kadar.' Fatura bu kadar değildi.</t>
        </is>
      </c>
      <c r="H618" s="6" t="inlineStr"/>
      <c r="I618" s="6" t="inlineStr"/>
      <c r="J618" s="6" t="inlineStr"/>
      <c r="K618" s="6" t="inlineStr"/>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row>
    <row r="619">
      <c r="A619" s="5" t="inlineStr">
        <is>
          <t>b6-kombi</t>
        </is>
      </c>
      <c r="B619" s="5" t="n">
        <v>2</v>
      </c>
      <c r="C619" s="6" t="inlineStr">
        <is>
          <t>Videoya bakıp kendin tamir et</t>
        </is>
      </c>
      <c r="D619" s="5" t="inlineStr">
        <is>
          <t>Akıl</t>
        </is>
      </c>
      <c r="E619" s="5" t="inlineStr">
        <is>
          <t>Zor</t>
        </is>
      </c>
      <c r="F619" s="5" t="inlineStr"/>
      <c r="G619" s="6" t="inlineStr"/>
      <c r="H619" s="6" t="inlineStr">
        <is>
          <t>İki vida, bir düğme ve kombi çalıştı. Kendine kahraman gözüyle bakıyorsun. Haklısın.</t>
        </is>
      </c>
      <c r="I619" s="6" t="inlineStr">
        <is>
          <t>Kombiyi tamir edip ayarını da düzelttin; fatura düştü. Apartman yöneticisi seni kat kat tanıttı: “Bizim kombici.” Artık her kış kapın çalınıyor.</t>
        </is>
      </c>
      <c r="J619" s="6" t="inlineStr">
        <is>
          <t>İki vidayı söktün, üçüncü bir vida çıktı. Yeri yok. Tamirciyi yine bekliyorsun, ek ücretle.</t>
        </is>
      </c>
      <c r="K619" s="6" t="inlineStr">
        <is>
          <t>Kombi artık sıcak su yerine hafif bir melodi çalıyor. Tamirci dinledi: 'Bu yeni.'</t>
        </is>
      </c>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n">
        <v>3</v>
      </c>
      <c r="Z619" s="6" t="inlineStr">
        <is>
          <t>Kombiyi internetteki bir videoya bakarak tamir ederken. Video hâlâ 'Çok basit' diyor.</t>
        </is>
      </c>
      <c r="AA619" s="5" t="inlineStr"/>
      <c r="AB619" s="5" t="inlineStr"/>
      <c r="AC619" s="5" t="inlineStr"/>
      <c r="AD619" s="5" t="inlineStr"/>
      <c r="AE619" s="5" t="inlineStr"/>
      <c r="AF619" s="5" t="inlineStr"/>
      <c r="AG619" s="5" t="inlineStr"/>
      <c r="AH619" s="5" t="inlineStr"/>
      <c r="AI619" s="5" t="inlineStr"/>
    </row>
    <row r="620">
      <c r="A620" s="5" t="inlineStr">
        <is>
          <t>b6-kombi</t>
        </is>
      </c>
      <c r="B620" s="5" t="n">
        <v>3</v>
      </c>
      <c r="C620" s="6" t="inlineStr">
        <is>
          <t>Alt kattaki kombiciyle barış</t>
        </is>
      </c>
      <c r="D620" s="5" t="inlineStr">
        <is>
          <t>Çene</t>
        </is>
      </c>
      <c r="E620" s="5" t="inlineStr">
        <is>
          <t>Orta</t>
        </is>
      </c>
      <c r="F620" s="5" t="inlineStr"/>
      <c r="G620" s="6" t="inlineStr"/>
      <c r="H620" s="6" t="inlineStr">
        <is>
          <t>Otopark meselesini kapattınız. Kombi yarım saatte açıldı.</t>
        </is>
      </c>
      <c r="I620" s="6" t="inlineStr">
        <is>
          <t>Barıştınız, kombi çalıştı, otopark yeri de sana kaldı. Kış boyu birlikte çay içiyorsunuz.</t>
        </is>
      </c>
      <c r="J620" s="6" t="inlineStr">
        <is>
          <t>Sen 'Kombi' dedin, o 'Otopark' dedi. Kapı kapandı.</t>
        </is>
      </c>
      <c r="K620" s="6" t="inlineStr">
        <is>
          <t>Otopark meselesini yeniden açtın. Hem soğuktasın hem apartman grubunda bir oylamanın konususun.</t>
        </is>
      </c>
      <c r="L620" s="6" t="inlineStr"/>
      <c r="M620" s="5" t="inlineStr"/>
      <c r="N620" s="5" t="inlineStr"/>
      <c r="O620" s="6" t="inlineStr"/>
      <c r="P620" s="6" t="inlineStr"/>
      <c r="Q620" s="5" t="inlineStr"/>
      <c r="R620" s="5" t="inlineStr"/>
      <c r="S620" s="5" t="inlineStr">
        <is>
          <t>Kurnazlık</t>
        </is>
      </c>
      <c r="T620" s="5" t="inlineStr"/>
      <c r="U620" s="5" t="inlineStr"/>
      <c r="V620" s="5" t="inlineStr"/>
      <c r="W620" s="5" t="inlineStr"/>
      <c r="X620" s="5" t="inlineStr"/>
      <c r="Y620" s="5" t="inlineStr"/>
      <c r="Z620" s="6" t="inlineStr"/>
      <c r="AA620" s="5" t="inlineStr"/>
      <c r="AB620" s="5" t="inlineStr"/>
      <c r="AC620" s="5" t="inlineStr"/>
      <c r="AD620" s="5" t="inlineStr"/>
      <c r="AE620" s="5" t="inlineStr"/>
      <c r="AF620" s="5" t="inlineStr"/>
      <c r="AG620" s="5" t="inlineStr"/>
      <c r="AH620" s="5" t="inlineStr"/>
      <c r="AI620" s="5" t="inlineStr"/>
    </row>
    <row r="621">
      <c r="A621" s="5" t="inlineStr">
        <is>
          <t>b6-kombi</t>
        </is>
      </c>
      <c r="B621" s="5" t="n">
        <v>4</v>
      </c>
      <c r="C621" s="6" t="inlineStr">
        <is>
          <t>Ustadan kalma numarayı dene</t>
        </is>
      </c>
      <c r="D621" s="5" t="inlineStr">
        <is>
          <t>Dayanıklılık</t>
        </is>
      </c>
      <c r="E621" s="5" t="inlineStr">
        <is>
          <t>Kolay</t>
        </is>
      </c>
      <c r="F621" s="5" t="inlineStr"/>
      <c r="G621" s="6" t="inlineStr"/>
      <c r="H621" s="6" t="inlineStr">
        <is>
          <t>Ustanın numarasıyla kombiye nazikçe vurdun. Çalıştı. Usta gurur duyardı.</t>
        </is>
      </c>
      <c r="I621" s="6" t="inlineStr">
        <is>
          <t>Kombiyi söktün, temizledin, taktın. Komşular sırayla kapını çalıyor. Yan gelir kapısı açıldı.</t>
        </is>
      </c>
      <c r="J621" s="6" t="inlineStr">
        <is>
          <t>Numarayı denedin. Kombi usta ile hiç tanışmamıştı, anlamadı.</t>
        </is>
      </c>
      <c r="K621" s="6" t="inlineStr">
        <is>
          <t>Vurdun. Kombi durdu, sonra bütün apartmanın sıcak suyu durdu. Yönetici aradı.</t>
        </is>
      </c>
      <c r="L621" s="6" t="inlineStr"/>
      <c r="M621" s="5" t="inlineStr"/>
      <c r="N621" s="5" t="inlineStr"/>
      <c r="O621" s="6" t="inlineStr"/>
      <c r="P621" s="6" t="inlineStr"/>
      <c r="Q621" s="5" t="inlineStr"/>
      <c r="R621" s="5" t="inlineStr">
        <is>
          <t>usta-eli</t>
        </is>
      </c>
      <c r="S621" s="5" t="inlineStr"/>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row>
    <row r="622">
      <c r="A622" s="5" t="inlineStr">
        <is>
          <t>b7-kira-artisi</t>
        </is>
      </c>
      <c r="B622" s="5" t="n">
        <v>1</v>
      </c>
      <c r="C622" s="6" t="inlineStr">
        <is>
          <t>Kabul et</t>
        </is>
      </c>
      <c r="D622" s="5" t="inlineStr"/>
      <c r="E622" s="5" t="inlineStr"/>
      <c r="F622" s="5" t="inlineStr">
        <is>
          <t>Dayanıklılık +1</t>
        </is>
      </c>
      <c r="G622" s="6" t="inlineStr">
        <is>
          <t>Artışı kabul ettin. Ev sahibi “Sen bizim evladımız gibisin” dedi; evladına da aynı zammı yapardı. Akşam annen aradı: “Gel bizde kal.” Teklif her ay yenileniyor.</t>
        </is>
      </c>
      <c r="H622" s="6" t="inlineStr"/>
      <c r="I622" s="6" t="inlineStr"/>
      <c r="J622" s="6" t="inlineStr"/>
      <c r="K622" s="6" t="inlineStr"/>
      <c r="L622" s="6" t="inlineStr"/>
      <c r="M622" s="5" t="inlineStr"/>
      <c r="N622" s="5" t="inlineStr"/>
      <c r="O622" s="6" t="inlineStr"/>
      <c r="P622" s="6" t="inlineStr"/>
      <c r="Q622" s="5" t="inlineStr"/>
      <c r="R622" s="5" t="inlineStr"/>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row>
    <row r="623">
      <c r="A623" s="5" t="inlineStr">
        <is>
          <t>b7-kira-artisi</t>
        </is>
      </c>
      <c r="B623" s="5" t="n">
        <v>2</v>
      </c>
      <c r="C623" s="6" t="inlineStr">
        <is>
          <t>Pazarlık et</t>
        </is>
      </c>
      <c r="D623" s="5" t="inlineStr">
        <is>
          <t>Çene</t>
        </is>
      </c>
      <c r="E623" s="5" t="inlineStr">
        <is>
          <t>Orta</t>
        </is>
      </c>
      <c r="F623" s="5" t="inlineStr"/>
      <c r="G623" s="6" t="inlineStr"/>
      <c r="H623" s="6" t="inlineStr">
        <is>
          <t>Artışı biraz aşağı çektin. Ev sahibi 'Sen de haklısın' dedi; bu cümle ilk kez senin lehine kullanıldı.</t>
        </is>
      </c>
      <c r="I623" s="6" t="inlineStr">
        <is>
          <t>Pazarlık o kadar iyi gitti ki ev sahibi kombiyi de yeniletti. Mahallede efsane oldun.</t>
        </is>
      </c>
      <c r="J623" s="6" t="inlineStr">
        <is>
          <t>Pazarlık ettin. Ev sahibi “Düşüneyim” dedi; ertesi sabah aynı rakamı bu kez “Kusura bakma” diye bitirerek gönderdi.</t>
        </is>
      </c>
      <c r="K623" s="6" t="inlineStr">
        <is>
          <t>Pazarlık ettin; ev sahibi, emlakçı yeğenini devreye soktu. Artış iki katına çıktı, adına 'güncelleme' dendi.</t>
        </is>
      </c>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row>
    <row r="624">
      <c r="A624" s="5" t="inlineStr">
        <is>
          <t>b7-kira-artisi</t>
        </is>
      </c>
      <c r="B624" s="5" t="n">
        <v>3</v>
      </c>
      <c r="C624" s="6" t="inlineStr">
        <is>
          <t>'Kızınız dönüyor, değil mi?' de</t>
        </is>
      </c>
      <c r="D624" s="5" t="inlineStr">
        <is>
          <t>Sosyal Radar</t>
        </is>
      </c>
      <c r="E624" s="5" t="inlineStr">
        <is>
          <t>Kolay</t>
        </is>
      </c>
      <c r="F624" s="5" t="inlineStr"/>
      <c r="G624" s="6" t="inlineStr"/>
      <c r="H624" s="6" t="inlineStr">
        <is>
          <t>Ev sahibi sustu. Sonra “Bir yıl daha kalın, eski rakamdan” dedi. Kapıda kızının döndüğünü nereden bildiğini sordu; söylemedin.</t>
        </is>
      </c>
      <c r="I624" s="6" t="inlineStr">
        <is>
          <t>Ev sahibi o kadar etkilendi ki kızının taşınmasına yardım etmeni rica etti. Kira donduruldu, sen koli taşıdın.</t>
        </is>
      </c>
      <c r="J624" s="6" t="inlineStr">
        <is>
          <t>Kızı dönmüyormuş, oğlu evleniyormuş. Üç yıldır evleniyor. Artış yerinde kaldı.</t>
        </is>
      </c>
      <c r="K624" s="6" t="inlineStr">
        <is>
          <t>Kızı dönmüyormuş; ev sahibi bu fikri senden aldı. Tahliye bildirimi teşekkür notuyla geldi.</t>
        </is>
      </c>
      <c r="L624" s="6" t="inlineStr"/>
      <c r="M624" s="5" t="inlineStr"/>
      <c r="N624" s="5" t="inlineStr"/>
      <c r="O624" s="6" t="inlineStr"/>
      <c r="P624" s="6" t="inlineStr"/>
      <c r="Q624" s="5" t="inlineStr"/>
      <c r="R624" s="5" t="inlineStr"/>
      <c r="S624" s="5" t="inlineStr">
        <is>
          <t>Sosyal Radar</t>
        </is>
      </c>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row>
    <row r="625">
      <c r="A625" s="5" t="inlineStr">
        <is>
          <t>b7-kira-artisi</t>
        </is>
      </c>
      <c r="B625" s="5" t="n">
        <v>4</v>
      </c>
      <c r="C625" s="6" t="inlineStr">
        <is>
          <t>'Ben zaten ev bakıyordum' de</t>
        </is>
      </c>
      <c r="D625" s="5" t="inlineStr">
        <is>
          <t>Pişkinlik</t>
        </is>
      </c>
      <c r="E625" s="5" t="inlineStr">
        <is>
          <t>Orta</t>
        </is>
      </c>
      <c r="F625" s="5" t="inlineStr"/>
      <c r="G625" s="6" t="inlineStr"/>
      <c r="H625" s="6" t="inlineStr">
        <is>
          <t>Ev sahibi bir an boş evi, boş evin kombisini, kombinin kışını düşündü. “Eh, sen de eski kiracısın” dedi; artış yarıya indi.</t>
        </is>
      </c>
      <c r="I625" s="6" t="inlineStr">
        <is>
          <t>Blöfün öyle inandırıcıydı ki ev sahibi seni kalman için ikna etmeye çalıştı. Kira sabitlendi, üstüne tatlı geldi.</t>
        </is>
      </c>
      <c r="J625" s="6" t="inlineStr">
        <is>
          <t>Ev sahibi 'Tabii, bak' dedi. Sen de baktın. Bakacak bir şey yoktu.</t>
        </is>
      </c>
      <c r="K625" s="6" t="inlineStr">
        <is>
          <t>Ev sahibi 'Harika, yarın gösterime açıyorum' dedi. Artık kendi evinde rehberlik yapıyorsun.</t>
        </is>
      </c>
      <c r="L625" s="6" t="inlineStr"/>
      <c r="M625" s="5" t="inlineStr"/>
      <c r="N625" s="5" t="inlineStr"/>
      <c r="O625" s="6" t="inlineStr"/>
      <c r="P625" s="6" t="inlineStr"/>
      <c r="Q625" s="5" t="inlineStr">
        <is>
          <t>Yüzü Kızarmaz</t>
        </is>
      </c>
      <c r="R625" s="5" t="inlineStr"/>
      <c r="S625" s="5" t="inlineStr"/>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row>
    <row r="626">
      <c r="A626" s="5" t="inlineStr">
        <is>
          <t>b7-eski-sinif-arkadasi</t>
        </is>
      </c>
      <c r="B626" s="5" t="n">
        <v>1</v>
      </c>
      <c r="C626" s="6" t="inlineStr">
        <is>
          <t>Tebrik et</t>
        </is>
      </c>
      <c r="D626" s="5" t="inlineStr"/>
      <c r="E626" s="5" t="inlineStr"/>
      <c r="F626" s="5" t="inlineStr">
        <is>
          <t>İtibar +1</t>
        </is>
      </c>
      <c r="G626" s="6" t="inlineStr">
        <is>
          <t>“Çok sevindim, helal olsun” yazdın. Yazarken dişlerini sıktın. Annen yorumunu görünce aradı: “Sen de bir şey yapsana artık.”</t>
        </is>
      </c>
      <c r="H626" s="6" t="inlineStr"/>
      <c r="I626" s="6" t="inlineStr"/>
      <c r="J626" s="6" t="inlineStr"/>
      <c r="K626" s="6" t="inlineStr"/>
      <c r="L626" s="6" t="inlineStr"/>
      <c r="M626" s="5" t="inlineStr"/>
      <c r="N626" s="5" t="inlineStr"/>
      <c r="O626" s="6" t="inlineStr"/>
      <c r="P626" s="6" t="inlineStr"/>
      <c r="Q626" s="5" t="inlineStr"/>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row>
    <row r="627">
      <c r="A627" s="5" t="inlineStr">
        <is>
          <t>b7-eski-sinif-arkadasi</t>
        </is>
      </c>
      <c r="B627" s="5" t="n">
        <v>2</v>
      </c>
      <c r="C627" s="6" t="inlineStr">
        <is>
          <t>Fotoğrafı büyütüp ofisi incele</t>
        </is>
      </c>
      <c r="D627" s="5" t="inlineStr"/>
      <c r="E627" s="5" t="inlineStr"/>
      <c r="F627" s="5" t="inlineStr">
        <is>
          <t>Sosyal Radar +1</t>
        </is>
      </c>
      <c r="G627" s="6" t="inlineStr">
        <is>
          <t>Ofisin arkasındaki bitki yapaymış. Bu bilgi seni gereğinden fazla rahatlattı.</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row>
    <row r="628">
      <c r="A628" s="5" t="inlineStr">
        <is>
          <t>b7-eski-sinif-arkadasi</t>
        </is>
      </c>
      <c r="B628" s="5" t="n">
        <v>3</v>
      </c>
      <c r="C628" s="6" t="inlineStr">
        <is>
          <t>'Bir kahve içelim' yaz</t>
        </is>
      </c>
      <c r="D628" s="5" t="inlineStr">
        <is>
          <t>Çene</t>
        </is>
      </c>
      <c r="E628" s="5" t="inlineStr">
        <is>
          <t>Orta</t>
        </is>
      </c>
      <c r="F628" s="5" t="inlineStr"/>
      <c r="G628" s="6" t="inlineStr"/>
      <c r="H628" s="6" t="inlineStr">
        <is>
          <t>Kahve içtiniz. Başarı sırrı 'erken kalkmak'mış. Hiçbir şey öğrenmedin ama kahve iyiydi.</t>
        </is>
      </c>
      <c r="I628" s="6" t="inlineStr">
        <is>
          <t>Kahvenin sonunda sana iş teklif etti. Sınıfın en sessizi artık patronun; toplantılarda o susuyor, sen konuşuyorsun.</t>
        </is>
      </c>
      <c r="J628" s="6" t="inlineStr">
        <is>
          <t>Mesajın üç gündür “görüldü”de. Dördüncü gün yeni bir fotoğraf paylaştı: “Kahve molası.” Seninle değil.</t>
        </is>
      </c>
      <c r="K628" s="6" t="inlineStr">
        <is>
          <t>Kahvede sana 'yatırım fırsatı' anlattı. Anlatılan şeyin adı dijital paraydı. Kahveyi sen ödedin.</t>
        </is>
      </c>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row>
    <row r="629">
      <c r="A629" s="5" t="inlineStr">
        <is>
          <t>b7-eski-sinif-arkadasi</t>
        </is>
      </c>
      <c r="B629" s="5" t="n">
        <v>4</v>
      </c>
      <c r="C629" s="6" t="inlineStr">
        <is>
          <t>Sınıf başkanı sıfatıyla mezunlar buluşması düzenle</t>
        </is>
      </c>
      <c r="D629" s="5" t="inlineStr">
        <is>
          <t>Sosyal Radar</t>
        </is>
      </c>
      <c r="E629" s="5" t="inlineStr">
        <is>
          <t>Orta</t>
        </is>
      </c>
      <c r="F629" s="5" t="inlineStr"/>
      <c r="G629" s="6" t="inlineStr"/>
      <c r="H629" s="6" t="inlineStr">
        <is>
          <t>Herkes geldi. Başarılı olan arkadaş son dakika iptal etti. Buluşmanın konusu o oldu.</t>
        </is>
      </c>
      <c r="I629" s="6" t="inlineStr">
        <is>
          <t>Buluşma o kadar güzel geçti ki herkes seni 'hâlâ başkan' diye çağırdı. Görev süren sona ermedi.</t>
        </is>
      </c>
      <c r="J629" s="6" t="inlineStr">
        <is>
          <t>Buluşmaya dört kişi geldi. Üçü seni yanlışlıkla başka biri sandı.</t>
        </is>
      </c>
      <c r="K629" s="6" t="inlineStr">
        <is>
          <t>Buluşma grubunu kurdun; bir haftada 900 mesaj oldu. Önce bebek fotoğrafları, sonra kim kime borçlu, en son siyaset. Buluşmaya kimse gelmedi; grup hâlâ kavga ediyor, yöneticisi sensin.</t>
        </is>
      </c>
      <c r="L629" s="6" t="inlineStr"/>
      <c r="M629" s="5" t="inlineStr"/>
      <c r="N629" s="5" t="inlineStr"/>
      <c r="O629" s="6" t="inlineStr"/>
      <c r="P629" s="6" t="inlineStr"/>
      <c r="Q629" s="5" t="inlineStr"/>
      <c r="R629" s="5" t="inlineStr">
        <is>
          <t>baskan</t>
        </is>
      </c>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row>
    <row r="630">
      <c r="A630" s="5" t="inlineStr">
        <is>
          <t>mb-eposta-yagmuru</t>
        </is>
      </c>
      <c r="B630" s="5" t="n">
        <v>1</v>
      </c>
      <c r="C630" s="6" t="inlineStr">
        <is>
          <t>Tek tek ayıkla</t>
        </is>
      </c>
      <c r="D630" s="5" t="inlineStr">
        <is>
          <t>Akıl</t>
        </is>
      </c>
      <c r="E630" s="5" t="inlineStr">
        <is>
          <t>Orta</t>
        </is>
      </c>
      <c r="F630" s="5" t="inlineStr"/>
      <c r="G630" s="6" t="inlineStr"/>
      <c r="H630" s="6" t="inlineStr">
        <is>
          <t>Gelen kutusu sıfırlandı. Otuz saniye boyunca huzur vardı.</t>
        </is>
      </c>
      <c r="I630" s="6" t="inlineStr">
        <is>
          <t>Sıfırladın, üstüne bir kural yazdın. 'Herkese Yanıt' e-postaları artık seni atlıyor.</t>
        </is>
      </c>
      <c r="J630" s="6" t="inlineStr">
        <is>
          <t>Önemli bir e-postayı arşivledin. Müşteri üç gün sonra 'Tamam o zaman' yazdı.</t>
        </is>
      </c>
      <c r="K630" s="6" t="inlineStr">
        <is>
          <t>Yanlışlıkla bütün şirkete 'Tamam' yazdın. Bin dört yüz kişi 'Neye tamam?' diye yanıtladı.</t>
        </is>
      </c>
      <c r="L630" s="6" t="inlineStr">
        <is>
          <t>Yarısını ayıkladın. Diğer yarısı hâlâ orada, sessizce çoğalıyor.</t>
        </is>
      </c>
      <c r="M630" s="5" t="inlineStr">
        <is>
          <t>swipe</t>
        </is>
      </c>
      <c r="N630" s="5" t="inlineStr">
        <is>
          <t>Arşivle / Yanıtla</t>
        </is>
      </c>
      <c r="O630" s="6" t="inlineStr">
        <is>
          <t>Gereksizleri sola arşivle, gerçekten önemli olanları sağa yanıtla.</t>
        </is>
      </c>
      <c r="P630"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30" s="5" t="inlineStr"/>
      <c r="R630" s="5" t="inlineStr"/>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row>
    <row r="631">
      <c r="A631" s="5" t="inlineStr">
        <is>
          <t>mb-eposta-yagmuru</t>
        </is>
      </c>
      <c r="B631" s="5" t="n">
        <v>2</v>
      </c>
      <c r="C631" s="6" t="inlineStr">
        <is>
          <t>Hepsini okundu işaretle</t>
        </is>
      </c>
      <c r="D631" s="5" t="inlineStr"/>
      <c r="E631" s="5" t="inlineStr"/>
      <c r="F631" s="5" t="inlineStr">
        <is>
          <t>Pişkinlik +1</t>
        </is>
      </c>
      <c r="G631" s="6" t="inlineStr">
        <is>
          <t>Tek tıkla sıfırladın. Önemli olan tekrar yazar. Yazmadı. Demek önemli değilmiş.</t>
        </is>
      </c>
      <c r="H631" s="6" t="inlineStr"/>
      <c r="I631" s="6" t="inlineStr"/>
      <c r="J631" s="6" t="inlineStr"/>
      <c r="K631" s="6" t="inlineStr"/>
      <c r="L631" s="6" t="inlineStr"/>
      <c r="M631" s="5" t="inlineStr"/>
      <c r="N631" s="5" t="inlineStr"/>
      <c r="O631" s="6" t="inlineStr"/>
      <c r="P631" s="6" t="inlineStr"/>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row>
    <row r="632">
      <c r="A632" s="5" t="inlineStr">
        <is>
          <t>mb-eposta-yagmuru</t>
        </is>
      </c>
      <c r="B632" s="5" t="n">
        <v>3</v>
      </c>
      <c r="C632" s="6" t="inlineStr">
        <is>
          <t>Otomatik yanıtı bir hafta daha açık tut</t>
        </is>
      </c>
      <c r="D632" s="5" t="inlineStr">
        <is>
          <t>Kurnazlık</t>
        </is>
      </c>
      <c r="E632" s="5" t="inlineStr">
        <is>
          <t>Kolay</t>
        </is>
      </c>
      <c r="F632" s="5" t="inlineStr"/>
      <c r="G632" s="6" t="inlineStr"/>
      <c r="H632" s="6" t="inlineStr">
        <is>
          <t>Tatil fiziksel olarak bitti, dijital olarak sürüyor. Bir hafta kimse senden bir şey istemedi.</t>
        </is>
      </c>
      <c r="I632" s="6" t="inlineStr">
        <is>
          <t>Otomatik yanıtın o kadar ikna ediciydi ki yöneticin sana iyi tatiller diledi. Yan masadan.</t>
        </is>
      </c>
      <c r="J632" s="6" t="inlineStr">
        <is>
          <t>Yöneticin yan masadan 'Buradasın ama?' diye yazdı. Otomatik yanıt aldı.</t>
        </is>
      </c>
      <c r="K632" s="6" t="inlineStr">
        <is>
          <t>Otomatik yanıtın bir müşteriyle yazışmaya girdi ve yüzde otuz indirim onayladı.</t>
        </is>
      </c>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row>
    <row r="633">
      <c r="A633" s="5" t="inlineStr">
        <is>
          <t>me-kira-artisi</t>
        </is>
      </c>
      <c r="B633" s="5" t="n">
        <v>1</v>
      </c>
      <c r="C633" s="6" t="inlineStr">
        <is>
          <t>Artışı kabul et</t>
        </is>
      </c>
      <c r="D633" s="5" t="inlineStr"/>
      <c r="E633" s="5" t="inlineStr"/>
      <c r="F633" s="5" t="inlineStr">
        <is>
          <t>Dayanıklılık +1</t>
        </is>
      </c>
      <c r="G633" s="6" t="inlineStr">
        <is>
          <t>Artışı kabul ettin. Etiketlerin yarısı da artışı kabul etti.</t>
        </is>
      </c>
      <c r="H633" s="6" t="inlineStr"/>
      <c r="I633" s="6" t="inlineStr"/>
      <c r="J633" s="6" t="inlineStr"/>
      <c r="K633" s="6" t="inlineStr"/>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row>
    <row r="634">
      <c r="A634" s="5" t="inlineStr">
        <is>
          <t>me-kira-artisi</t>
        </is>
      </c>
      <c r="B634" s="5" t="n">
        <v>2</v>
      </c>
      <c r="C634" s="6" t="inlineStr">
        <is>
          <t>Pazarlık et</t>
        </is>
      </c>
      <c r="D634" s="5" t="inlineStr">
        <is>
          <t>Çene</t>
        </is>
      </c>
      <c r="E634" s="5" t="inlineStr">
        <is>
          <t>Orta</t>
        </is>
      </c>
      <c r="F634" s="5" t="inlineStr"/>
      <c r="G634" s="6" t="inlineStr"/>
      <c r="H634" s="6" t="inlineStr">
        <is>
          <t>Artışı yarıya indirdin. Karşılığında dükkân sahibi her sabah çayını sende içecek.</t>
        </is>
      </c>
      <c r="I634" s="6" t="inlineStr">
        <is>
          <t>Beş yıllık sözleşme kopardın. Dükkân sahibi imzadan sonra hesap makinesine uzun uzun baktı.</t>
        </is>
      </c>
      <c r="J634" s="6" t="inlineStr">
        <is>
          <t>'Düşünürüm' dedi ve düşünmeden rakamı mesajla gönderdi.</t>
        </is>
      </c>
      <c r="K634" s="6" t="inlineStr">
        <is>
          <t>'Başka yer bakarım' dedin. Dükkân sahibi 'Bak' dedi. Şimdi bakıyorsun.</t>
        </is>
      </c>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row>
    <row r="635">
      <c r="A635" s="5" t="inlineStr">
        <is>
          <t>me-kira-artisi</t>
        </is>
      </c>
      <c r="B635" s="5" t="n">
        <v>3</v>
      </c>
      <c r="C635" s="6" t="inlineStr">
        <is>
          <t>'Dükkânı bana satın' de</t>
        </is>
      </c>
      <c r="D635" s="5" t="inlineStr">
        <is>
          <t>Sosyal Radar</t>
        </is>
      </c>
      <c r="E635" s="5" t="inlineStr">
        <is>
          <t>Orta</t>
        </is>
      </c>
      <c r="F635" s="5" t="inlineStr"/>
      <c r="G635" s="6" t="inlineStr"/>
      <c r="H635" s="6" t="inlineStr">
        <is>
          <t>Pazarlık iki çay sürdü; dükkân on yıllık senetle senin. Kira bitti, taksit başladı. Rakam aynı ama artık duvara çivi çakabiliyorsun.</t>
        </is>
      </c>
      <c r="I635" s="6" t="inlineStr">
        <is>
          <t>Dükkânı taksitle sana verdi; ilk taksiti “Öte Diyar'a iki paket çay” diye aldı. Tabelaya artık “sahibi” yazdırabilirsin.</t>
        </is>
      </c>
      <c r="J635" s="6" t="inlineStr">
        <is>
          <t>Teklif ettin; “Oğlumla bir konuşayım” dedi. Oğlu fiyatı Öte Diyar parasıyla söyledi. Kirayı ödemeye devam.</t>
        </is>
      </c>
      <c r="K635" s="6" t="inlineStr">
        <is>
          <t>Teklifini yeğenine anlattı, yeğen senden hızlı davrandı. Kirayı artık yeğene ödüyorsun; artışıyla.</t>
        </is>
      </c>
      <c r="L635" s="6" t="inlineStr"/>
      <c r="M635" s="5" t="inlineStr"/>
      <c r="N635" s="5" t="inlineStr"/>
      <c r="O635" s="6" t="inlineStr"/>
      <c r="P635" s="6" t="inlineStr"/>
      <c r="Q635" s="5" t="inlineStr"/>
      <c r="R635" s="5" t="inlineStr"/>
      <c r="S635" s="5" t="inlineStr">
        <is>
          <t>Sosyal Radar</t>
        </is>
      </c>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row>
    <row r="636">
      <c r="A636" s="5" t="inlineStr">
        <is>
          <t>me-kira-artisi</t>
        </is>
      </c>
      <c r="B636" s="5" t="n">
        <v>4</v>
      </c>
      <c r="C636" s="6" t="inlineStr">
        <is>
          <t>Ödemeyi ertelet</t>
        </is>
      </c>
      <c r="D636" s="5" t="inlineStr">
        <is>
          <t>Pişkinlik</t>
        </is>
      </c>
      <c r="E636" s="5" t="inlineStr">
        <is>
          <t>Zor</t>
        </is>
      </c>
      <c r="F636" s="5" t="inlineStr"/>
      <c r="G636" s="6" t="inlineStr"/>
      <c r="H636" s="6" t="inlineStr">
        <is>
          <t>'Ay sonuna kadar' dedin ve ay sonu gerçekten ödedin. Dükkân sahibi hâlâ şaşkın.</t>
        </is>
      </c>
      <c r="I636" s="6" t="inlineStr">
        <is>
          <t>Kirayı ertelettin, gecikme bedelini de sildirdin. Borç batağında ilk kez bir basamak yukarı çıktın.</t>
        </is>
      </c>
      <c r="J636" s="6" t="inlineStr">
        <is>
          <t>Erteleme istedin; dükkân sahibi başka yerlere de borçlu olduğunu çoktan duymuştu.</t>
        </is>
      </c>
      <c r="K636" s="6" t="inlineStr">
        <is>
          <t>Ertelettin. Ertesi gün kira, gecikme bedeli ve 'aramızda kalsın' notuyla iki katına çıktı.</t>
        </is>
      </c>
      <c r="L636" s="6" t="inlineStr"/>
      <c r="M636" s="5" t="inlineStr"/>
      <c r="N636" s="5" t="inlineStr"/>
      <c r="O636" s="6" t="inlineStr"/>
      <c r="P636" s="6" t="inlineStr"/>
      <c r="Q636" s="5" t="inlineStr"/>
      <c r="R636" s="5" t="inlineStr">
        <is>
          <t>borclu</t>
        </is>
      </c>
      <c r="S636" s="5" t="inlineStr"/>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row>
    <row r="637">
      <c r="A637" s="5" t="inlineStr">
        <is>
          <t>mm-yeni-mudur</t>
        </is>
      </c>
      <c r="B637" s="5" t="n">
        <v>1</v>
      </c>
      <c r="C637" s="6" t="inlineStr">
        <is>
          <t>Yeni düzene uy</t>
        </is>
      </c>
      <c r="D637" s="5" t="inlineStr"/>
      <c r="E637" s="5" t="inlineStr"/>
      <c r="F637" s="5" t="inlineStr">
        <is>
          <t>Sosyal Radar +1, Dayanıklılık +1</t>
        </is>
      </c>
      <c r="G637" s="6" t="inlineStr">
        <is>
          <t>Kahveye artık her sabah iki dakika fazla yürüyorsun. Müdüre göre bu verimlilik.</t>
        </is>
      </c>
      <c r="H637" s="6" t="inlineStr"/>
      <c r="I637" s="6" t="inlineStr"/>
      <c r="J637" s="6" t="inlineStr"/>
      <c r="K637" s="6" t="inlineStr"/>
      <c r="L637" s="6" t="inlineStr"/>
      <c r="M637" s="5" t="inlineStr"/>
      <c r="N637" s="5" t="inlineStr"/>
      <c r="O637" s="6" t="inlineStr"/>
      <c r="P637" s="6" t="inlineStr"/>
      <c r="Q637" s="5" t="inlineStr"/>
      <c r="R637" s="5" t="inlineStr"/>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row>
    <row r="638">
      <c r="A638" s="5" t="inlineStr">
        <is>
          <t>mm-yeni-mudur</t>
        </is>
      </c>
      <c r="B638" s="5" t="n">
        <v>2</v>
      </c>
      <c r="C638" s="6" t="inlineStr">
        <is>
          <t>Eski müdürü öv</t>
        </is>
      </c>
      <c r="D638" s="5" t="inlineStr">
        <is>
          <t>Pişkinlik</t>
        </is>
      </c>
      <c r="E638" s="5" t="inlineStr">
        <is>
          <t>Zor</t>
        </is>
      </c>
      <c r="F638" s="5" t="inlineStr"/>
      <c r="G638" s="6" t="inlineStr"/>
      <c r="H638" s="6" t="inlineStr">
        <is>
          <t>Yeni müdür 'Sadakat güzel şey' dedi ve seni önemli bir dosyaya verdi.</t>
        </is>
      </c>
      <c r="I638" s="6" t="inlineStr">
        <is>
          <t>Övgün o kadar inceydi ki iki müdür birbirini arayıp seni ortak referans olarak kaydetti.</t>
        </is>
      </c>
      <c r="J638" s="6" t="inlineStr">
        <is>
          <t>Müdür not aldı. Not defterinin kapağında 'Muhalefet' yazıyor.</t>
        </is>
      </c>
      <c r="K638" s="6" t="inlineStr">
        <is>
          <t>Eski müdür, yeni müdürün en büyük rakibiymiş. Artık ikinci kattaki penceresiz odadasın.</t>
        </is>
      </c>
      <c r="L638" s="6" t="inlineStr"/>
      <c r="M638" s="5" t="inlineStr"/>
      <c r="N638" s="5" t="inlineStr"/>
      <c r="O638" s="6" t="inlineStr"/>
      <c r="P638" s="6" t="inlineStr"/>
      <c r="Q638" s="5" t="inlineStr"/>
      <c r="R638" s="5" t="inlineStr"/>
      <c r="S638" s="5" t="inlineStr"/>
      <c r="T638" s="5" t="inlineStr"/>
      <c r="U638" s="5" t="inlineStr"/>
      <c r="V638" s="5" t="inlineStr"/>
      <c r="W638" s="5" t="inlineStr">
        <is>
          <t>memur-mudur-dusmani</t>
        </is>
      </c>
      <c r="X638" s="5" t="inlineStr"/>
      <c r="Y638" s="5" t="inlineStr"/>
      <c r="Z638" s="6" t="inlineStr"/>
      <c r="AA638" s="5" t="inlineStr"/>
      <c r="AB638" s="5" t="inlineStr"/>
      <c r="AC638" s="5" t="inlineStr"/>
      <c r="AD638" s="5" t="inlineStr"/>
      <c r="AE638" s="5" t="inlineStr"/>
      <c r="AF638" s="5" t="inlineStr"/>
      <c r="AG638" s="5" t="inlineStr"/>
      <c r="AH638" s="5" t="inlineStr"/>
      <c r="AI638" s="5" t="inlineStr"/>
    </row>
    <row r="639">
      <c r="A639" s="5" t="inlineStr">
        <is>
          <t>mm-yeni-mudur</t>
        </is>
      </c>
      <c r="B639" s="5" t="n">
        <v>3</v>
      </c>
      <c r="C639" s="6" t="inlineStr">
        <is>
          <t>Kahve makinesini geri taşı</t>
        </is>
      </c>
      <c r="D639" s="5" t="inlineStr">
        <is>
          <t>Cesaret</t>
        </is>
      </c>
      <c r="E639" s="5" t="inlineStr">
        <is>
          <t>Zor</t>
        </is>
      </c>
      <c r="F639" s="5" t="inlineStr"/>
      <c r="G639" s="6" t="inlineStr"/>
      <c r="H639" s="6" t="inlineStr">
        <is>
          <t>Müdür ertesi sabah kahvesini eski yerden aldı ve hiçbir şey demedi. Koridorda sana ilk kez “Günaydın” dedi; soğuk ama dedi.</t>
        </is>
      </c>
      <c r="I639" s="6" t="inlineStr">
        <is>
          <t>Müdür bunu cesaret olarak gördü ve 'Fikirlerini söyle' dedi. Fikirlerin artık resmî yazıyla isteniyor.</t>
        </is>
      </c>
      <c r="J639" s="6" t="inlineStr">
        <is>
          <t>Kablo yetmedi. Makine koridorun ortasında kaldı, sen de.</t>
        </is>
      </c>
      <c r="K639" s="6" t="inlineStr">
        <is>
          <t>Tutanak: 'Kurum demirbaşının izinsiz yer değiştirmesi.' Müdürle aranızdaki soğukluk resmiyet kazandı.</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row>
    <row r="640">
      <c r="A640" s="5" t="inlineStr">
        <is>
          <t>mm-yeni-mudur</t>
        </is>
      </c>
      <c r="B640" s="5" t="n">
        <v>4</v>
      </c>
      <c r="C640" s="6" t="inlineStr">
        <is>
          <t>Toplantıda sadece dinle</t>
        </is>
      </c>
      <c r="D640" s="5" t="inlineStr">
        <is>
          <t>Sosyal Radar</t>
        </is>
      </c>
      <c r="E640" s="5" t="inlineStr">
        <is>
          <t>Kolay</t>
        </is>
      </c>
      <c r="F640" s="5" t="inlineStr"/>
      <c r="G640" s="6" t="inlineStr"/>
      <c r="H640" s="6" t="inlineStr">
        <is>
          <t>Konuşmadın, not aldın. Müdür sonradan notlarını istedi. Tutanaklar artık sende.</t>
        </is>
      </c>
      <c r="I640" s="6" t="inlineStr">
        <is>
          <t>Notlarında müdürün söylediği her şeyin bir yönetmelik maddesiyle çeliştiği yazıyordu. Müdür sana danışman gibi davranmaya başladı.</t>
        </is>
      </c>
      <c r="J640" s="6" t="inlineStr">
        <is>
          <t>Dinledin. Toplantı dört saat sürdü. Not alacak bir şey çıkmadı.</t>
        </is>
      </c>
      <c r="K640" s="6" t="inlineStr">
        <is>
          <t>Dinlerken uyuklamışsın. Tutanakta 'Katılımcı görüş bildirmedi; gözlerini de açmadı' yazıyor.</t>
        </is>
      </c>
      <c r="L640" s="6" t="inlineStr"/>
      <c r="M640" s="5" t="inlineStr"/>
      <c r="N640" s="5" t="inlineStr"/>
      <c r="O640" s="6" t="inlineStr"/>
      <c r="P640" s="6" t="inlineStr"/>
      <c r="Q640" s="5" t="inlineStr">
        <is>
          <t>Sessiz Gözlemci</t>
        </is>
      </c>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row>
    <row r="641">
      <c r="A641" s="5" t="inlineStr">
        <is>
          <t>b7-trafik-cezasi</t>
        </is>
      </c>
      <c r="B641" s="5" t="n">
        <v>1</v>
      </c>
      <c r="C641" s="6" t="inlineStr">
        <is>
          <t>Erken öde, indirimden yararlan</t>
        </is>
      </c>
      <c r="D641" s="5" t="inlineStr"/>
      <c r="E641" s="5" t="inlineStr"/>
      <c r="F641" s="5" t="inlineStr">
        <is>
          <t>Akıl +1</t>
        </is>
      </c>
      <c r="G641" s="6" t="inlineStr">
        <is>
          <t>Cezayı indirimli ödedin. Devletle ilk kampanya deneyimin oldu.</t>
        </is>
      </c>
      <c r="H641" s="6" t="inlineStr"/>
      <c r="I641" s="6" t="inlineStr"/>
      <c r="J641" s="6" t="inlineStr"/>
      <c r="K641" s="6" t="inlineStr"/>
      <c r="L641" s="6" t="inlineStr"/>
      <c r="M641" s="5" t="inlineStr"/>
      <c r="N641" s="5" t="inlineStr"/>
      <c r="O641" s="6" t="inlineStr"/>
      <c r="P641" s="6" t="inlineStr"/>
      <c r="Q641" s="5" t="inlineStr"/>
      <c r="R641" s="5" t="inlineStr"/>
      <c r="S641" s="5" t="inlineStr"/>
      <c r="T641" s="5" t="inlineStr"/>
      <c r="U641" s="5" t="inlineStr"/>
      <c r="V641" s="5" t="inlineStr"/>
      <c r="W641" s="5" t="inlineStr"/>
      <c r="X641" s="5" t="inlineStr"/>
      <c r="Y641" s="5" t="inlineStr"/>
      <c r="Z641" s="6" t="inlineStr"/>
      <c r="AA641" s="5" t="inlineStr"/>
      <c r="AB641" s="5" t="inlineStr"/>
      <c r="AC641" s="5" t="inlineStr"/>
      <c r="AD641" s="5" t="inlineStr"/>
      <c r="AE641" s="5" t="inlineStr"/>
      <c r="AF641" s="5" t="inlineStr"/>
      <c r="AG641" s="5" t="inlineStr"/>
      <c r="AH641" s="5" t="inlineStr"/>
      <c r="AI641" s="5" t="inlineStr"/>
    </row>
    <row r="642">
      <c r="A642" s="5" t="inlineStr">
        <is>
          <t>b7-trafik-cezasi</t>
        </is>
      </c>
      <c r="B642" s="5" t="n">
        <v>2</v>
      </c>
      <c r="C642" s="6" t="inlineStr">
        <is>
          <t>İtiraz dilekçesi yaz</t>
        </is>
      </c>
      <c r="D642" s="5" t="inlineStr">
        <is>
          <t>Akıl</t>
        </is>
      </c>
      <c r="E642" s="5" t="inlineStr">
        <is>
          <t>Zor</t>
        </is>
      </c>
      <c r="F642" s="5" t="inlineStr"/>
      <c r="G642" s="6" t="inlineStr"/>
      <c r="H642" s="6" t="inlineStr">
        <is>
          <t>Işığın arızalı olduğunu kanıtladın. Ceza iptal. Dilekçe arşivde örnek olarak saklanıyor.</t>
        </is>
      </c>
      <c r="I642" s="6" t="inlineStr">
        <is>
          <t>İtirazın kabul edildi, kavşaktaki ışık da değiştirildi. Belediye bir teşekkür yazısı gönderdi. Bu yazı da postayla geldi.</t>
        </is>
      </c>
      <c r="J642" s="6" t="inlineStr">
        <is>
          <t>Dilekçe 'süresi içinde yapılmadığı' için reddedildi. Süre, zarfın sana ulaşmasından önce dolmuş.</t>
        </is>
      </c>
      <c r="K642" s="6" t="inlineStr">
        <is>
          <t>İtiraz sürecinde indirim süresi geçti. Artık cezanın tamamını, gururla ödüyorsun.</t>
        </is>
      </c>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row>
    <row r="643">
      <c r="A643" s="5" t="inlineStr">
        <is>
          <t>b7-trafik-cezasi</t>
        </is>
      </c>
      <c r="B643" s="5" t="n">
        <v>3</v>
      </c>
      <c r="C643" s="6" t="inlineStr">
        <is>
          <t>'Fotoğraftaki ben değilim' de</t>
        </is>
      </c>
      <c r="D643" s="5" t="inlineStr">
        <is>
          <t>Pişkinlik</t>
        </is>
      </c>
      <c r="E643" s="5" t="inlineStr">
        <is>
          <t>Çok Zor</t>
        </is>
      </c>
      <c r="F643" s="5" t="inlineStr"/>
      <c r="G643" s="6" t="inlineStr"/>
      <c r="H643" s="6" t="inlineStr">
        <is>
          <t>Görevli fotoğrafa baktı, sana baktı, pes etti. Dosya 'kimliği belirsiz' klasörüne girdi.</t>
        </is>
      </c>
      <c r="I643" s="6" t="inlineStr">
        <is>
          <t>Görevli seni ikna edici buldu ve fotoğraftaki kişi hakkında seninle birlikte tutanak tuttu.</t>
        </is>
      </c>
      <c r="J643" s="6" t="inlineStr">
        <is>
          <t>Fotoğrafta tişörtündeki yazı okunuyordu. Aynı tişört şu an üzerinde.</t>
        </is>
      </c>
      <c r="K643" s="6" t="inlineStr">
        <is>
          <t>İnkâr ettin; ikinci bir fotoğraf çıktı. Onda da ışık kırmızıydı. Dosya birleştirildi.</t>
        </is>
      </c>
      <c r="L643" s="6" t="inlineStr"/>
      <c r="M643" s="5" t="inlineStr"/>
      <c r="N643" s="5" t="inlineStr"/>
      <c r="O643" s="6" t="inlineStr"/>
      <c r="P643" s="6" t="inlineStr"/>
      <c r="Q643" s="5" t="inlineStr"/>
      <c r="R643" s="5" t="inlineStr">
        <is>
          <t>yalanci</t>
        </is>
      </c>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row>
    <row r="644">
      <c r="A644" s="5" t="inlineStr">
        <is>
          <t>ms-fatura-kovalamaca</t>
        </is>
      </c>
      <c r="B644" s="5" t="n">
        <v>1</v>
      </c>
      <c r="C644" s="6" t="inlineStr">
        <is>
          <t>Nazik bir hatırlatma daha yaz</t>
        </is>
      </c>
      <c r="D644" s="5" t="inlineStr"/>
      <c r="E644" s="5" t="inlineStr"/>
      <c r="F644" s="5" t="inlineStr">
        <is>
          <t>İtibar +1</t>
        </is>
      </c>
      <c r="G644" s="6" t="inlineStr">
        <is>
          <t>Yedinci nazik hatırlatmayı yazdın. Nezaketin artık kibar bir öfke biçimi aldı.</t>
        </is>
      </c>
      <c r="H644" s="6" t="inlineStr"/>
      <c r="I644" s="6" t="inlineStr"/>
      <c r="J644" s="6" t="inlineStr"/>
      <c r="K644" s="6" t="inlineStr"/>
      <c r="L644" s="6" t="inlineStr"/>
      <c r="M644" s="5" t="inlineStr"/>
      <c r="N644" s="5" t="inlineStr"/>
      <c r="O644" s="6" t="inlineStr"/>
      <c r="P644" s="6" t="inlineStr"/>
      <c r="Q644" s="5" t="inlineStr"/>
      <c r="R644" s="5" t="inlineStr"/>
      <c r="S644" s="5" t="inlineStr"/>
      <c r="T644" s="5" t="inlineStr"/>
      <c r="U644" s="5" t="inlineStr">
        <is>
          <t>serbest-alacakli</t>
        </is>
      </c>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row>
    <row r="645">
      <c r="A645" s="5" t="inlineStr">
        <is>
          <t>ms-fatura-kovalamaca</t>
        </is>
      </c>
      <c r="B645" s="5" t="n">
        <v>2</v>
      </c>
      <c r="C645" s="6" t="inlineStr">
        <is>
          <t>Her gün ara</t>
        </is>
      </c>
      <c r="D645" s="5" t="inlineStr">
        <is>
          <t>Dayanıklılık</t>
        </is>
      </c>
      <c r="E645" s="5" t="inlineStr">
        <is>
          <t>Zor</t>
        </is>
      </c>
      <c r="F645" s="5" t="inlineStr"/>
      <c r="G645" s="6" t="inlineStr"/>
      <c r="H645" s="6" t="inlineStr">
        <is>
          <t>Kırk üçüncü aramada para yattı. Muhasebeci sesini tanıdı: 'Yine mi siz?'</t>
        </is>
      </c>
      <c r="I645" s="6" t="inlineStr">
        <is>
          <t>Öyle ısrarcıydın ki şirket seni ödeme listesinin başına aldı. Sessizlik karşılığında.</t>
        </is>
      </c>
      <c r="J645" s="6" t="inlineStr">
        <is>
          <t>Santral seni bekleme müziğine bağladı. Müziği ezberledin, para gelmedi.</t>
        </is>
      </c>
      <c r="K645" s="6" t="inlineStr">
        <is>
          <t>Ödeme sonunda yapıldı. Başka bir serbest çalışanın hesabına.</t>
        </is>
      </c>
      <c r="L645" s="6" t="inlineStr"/>
      <c r="M645" s="5" t="inlineStr"/>
      <c r="N645" s="5" t="inlineStr"/>
      <c r="O645" s="6" t="inlineStr"/>
      <c r="P645" s="6" t="inlineStr"/>
      <c r="Q645" s="5" t="inlineStr"/>
      <c r="R645" s="5" t="inlineStr"/>
      <c r="S645" s="5" t="inlineStr"/>
      <c r="T645" s="5" t="inlineStr">
        <is>
          <t>Fatura Avcısı</t>
        </is>
      </c>
      <c r="U645" s="5" t="inlineStr"/>
      <c r="V645" s="5" t="inlineStr"/>
      <c r="W645" s="5" t="inlineStr">
        <is>
          <t>serbest-alacakli</t>
        </is>
      </c>
      <c r="X645" s="5" t="inlineStr"/>
      <c r="Y645" s="5" t="inlineStr"/>
      <c r="Z645" s="6" t="inlineStr"/>
      <c r="AA645" s="5" t="inlineStr"/>
      <c r="AB645" s="5" t="inlineStr"/>
      <c r="AC645" s="5" t="inlineStr"/>
      <c r="AD645" s="5" t="inlineStr"/>
      <c r="AE645" s="5" t="inlineStr"/>
      <c r="AF645" s="5" t="inlineStr"/>
      <c r="AG645" s="5" t="inlineStr"/>
      <c r="AH645" s="5" t="inlineStr"/>
      <c r="AI645" s="5" t="inlineStr"/>
    </row>
    <row r="646">
      <c r="A646" s="5" t="inlineStr">
        <is>
          <t>ms-fatura-kovalamaca</t>
        </is>
      </c>
      <c r="B646" s="5" t="n">
        <v>3</v>
      </c>
      <c r="C646" s="6" t="inlineStr">
        <is>
          <t>Muhasebeciye doğum günü mesajı at</t>
        </is>
      </c>
      <c r="D646" s="5" t="inlineStr">
        <is>
          <t>Çene</t>
        </is>
      </c>
      <c r="E646" s="5" t="inlineStr">
        <is>
          <t>Kolay</t>
        </is>
      </c>
      <c r="F646" s="5" t="inlineStr"/>
      <c r="G646" s="6" t="inlineStr"/>
      <c r="H646" s="6" t="inlineStr">
        <is>
          <t>Doğum günü mesajına teşekkür geldi. Yarım saat sonra ödeme de geldi.</t>
        </is>
      </c>
      <c r="I646" s="6" t="inlineStr">
        <is>
          <t>Muhasebeciyle arkadaş oldunuz. Faturaların artık ekleme bile gerek kalmadan ödeniyor.</t>
        </is>
      </c>
      <c r="J646" s="6" t="inlineStr">
        <is>
          <t>Mesajına kalp bıraktı. Ödeme hâlâ onay bekliyor.</t>
        </is>
      </c>
      <c r="K646" s="6" t="inlineStr">
        <is>
          <t>Mesajı yanlış muhasebeciye attın. Doğum günü değilmiş. Faturan 'şüpheli' klasörüne taşındı.</t>
        </is>
      </c>
      <c r="L646" s="6" t="inlineStr"/>
      <c r="M646" s="5" t="inlineStr"/>
      <c r="N646" s="5" t="inlineStr"/>
      <c r="O646" s="6" t="inlineStr"/>
      <c r="P646" s="6" t="inlineStr"/>
      <c r="Q646" s="5" t="inlineStr"/>
      <c r="R646" s="5" t="inlineStr"/>
      <c r="S646" s="5" t="inlineStr">
        <is>
          <t>Çene</t>
        </is>
      </c>
      <c r="T646" s="5" t="inlineStr"/>
      <c r="U646" s="5" t="inlineStr"/>
      <c r="V646" s="5" t="inlineStr"/>
      <c r="W646" s="5" t="inlineStr"/>
      <c r="X646" s="5" t="inlineStr"/>
      <c r="Y646" s="5" t="inlineStr"/>
      <c r="Z646" s="6" t="inlineStr"/>
      <c r="AA646" s="5" t="inlineStr"/>
      <c r="AB646" s="5" t="inlineStr"/>
      <c r="AC646" s="5" t="inlineStr"/>
      <c r="AD646" s="5" t="inlineStr"/>
      <c r="AE646" s="5" t="inlineStr"/>
      <c r="AF646" s="5" t="inlineStr"/>
      <c r="AG646" s="5" t="inlineStr"/>
      <c r="AH646" s="5" t="inlineStr"/>
      <c r="AI646" s="5" t="inlineStr"/>
    </row>
    <row r="647">
      <c r="A647" s="5" t="inlineStr">
        <is>
          <t>ms-fatura-kovalamaca</t>
        </is>
      </c>
      <c r="B647" s="5" t="n">
        <v>4</v>
      </c>
      <c r="C647" s="6" t="inlineStr">
        <is>
          <t>Resmî ihtar gönder</t>
        </is>
      </c>
      <c r="D647" s="5" t="inlineStr">
        <is>
          <t>Cesaret</t>
        </is>
      </c>
      <c r="E647" s="5" t="inlineStr">
        <is>
          <t>Orta</t>
        </is>
      </c>
      <c r="F647" s="5" t="inlineStr"/>
      <c r="G647" s="6" t="inlineStr"/>
      <c r="H647" s="6" t="inlineStr">
        <is>
          <t>İhtar ulaştı. Ödeme ertesi sabah yapıldı, gecikme faiziyle.</t>
        </is>
      </c>
      <c r="I647" s="6" t="inlineStr">
        <is>
          <t>İhtar sonrası şirket bütün serbest çalışanlara ödemeleri yaptı. Kahraman oldun, sessizce.</t>
        </is>
      </c>
      <c r="J647" s="6" t="inlineStr">
        <is>
          <t>İhtar gönderdin; şirket adres değiştirmiş.</t>
        </is>
      </c>
      <c r="K647" s="6" t="inlineStr">
        <is>
          <t>Para ertesi gün yattı; yanında tek satırlık bir e-posta: “Bir daha birlikte çalışmayalım.” Sektörün ne kadar küçük olduğunu o hafta öğrendin; iki müşteri daha telefonu açmadı.</t>
        </is>
      </c>
      <c r="L647" s="6" t="inlineStr"/>
      <c r="M647" s="5" t="inlineStr"/>
      <c r="N647" s="5" t="inlineStr"/>
      <c r="O647" s="6" t="inlineStr"/>
      <c r="P647" s="6" t="inlineStr"/>
      <c r="Q647" s="5" t="inlineStr">
        <is>
          <t>Geri Adım Atmaz</t>
        </is>
      </c>
      <c r="R647" s="5" t="inlineStr"/>
      <c r="S647" s="5" t="inlineStr"/>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row>
    <row r="648">
      <c r="A648" s="5" t="inlineStr">
        <is>
          <t>b7-araba-alma</t>
        </is>
      </c>
      <c r="B648" s="5" t="n">
        <v>1</v>
      </c>
      <c r="C648" s="6" t="inlineStr">
        <is>
          <t>Toplu taşımaya devam</t>
        </is>
      </c>
      <c r="D648" s="5" t="inlineStr"/>
      <c r="E648" s="5" t="inlineStr"/>
      <c r="F648" s="5" t="inlineStr">
        <is>
          <t>Dayanıklılık +1</t>
        </is>
      </c>
      <c r="G648" s="6" t="inlineStr">
        <is>
          <t>Arabayı almadın. Kartına yükleme yaptın. Sabah yedi otuzda insan kalabalığı seni ısıttı.</t>
        </is>
      </c>
      <c r="H648" s="6" t="inlineStr"/>
      <c r="I648" s="6" t="inlineStr"/>
      <c r="J648" s="6" t="inlineStr"/>
      <c r="K648" s="6" t="inlineStr"/>
      <c r="L648" s="6" t="inlineStr"/>
      <c r="M648" s="5" t="inlineStr"/>
      <c r="N648" s="5" t="inlineStr"/>
      <c r="O648" s="6" t="inlineStr"/>
      <c r="P648" s="6" t="inlineStr"/>
      <c r="Q648" s="5" t="inlineStr"/>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row>
    <row r="649">
      <c r="A649" s="5" t="inlineStr">
        <is>
          <t>b7-araba-alma</t>
        </is>
      </c>
      <c r="B649" s="5" t="n">
        <v>2</v>
      </c>
      <c r="C649" s="6" t="inlineStr">
        <is>
          <t>Kaputu açıp ciddi ciddi bak</t>
        </is>
      </c>
      <c r="D649" s="5" t="inlineStr">
        <is>
          <t>Kurnazlık</t>
        </is>
      </c>
      <c r="E649" s="5" t="inlineStr">
        <is>
          <t>Orta</t>
        </is>
      </c>
      <c r="F649" s="5" t="inlineStr"/>
      <c r="G649" s="6" t="inlineStr"/>
      <c r="H649" s="6" t="inlineStr">
        <is>
          <t>Neye baktığını bilmiyordun ama satıcı bildiğini sandı. Fiyat düştü.</t>
        </is>
      </c>
      <c r="I649" s="6" t="inlineStr">
        <is>
          <t>Kaputa bakarken gerçekten bir sorun buldun. Satıcı seni usta sandı ve kendi arabasını da sordu.</t>
        </is>
      </c>
      <c r="J649" s="6" t="inlineStr">
        <is>
          <t>Kaputu açtın, bir süre baktın, kapattın. Satıcı 'Güzel değil mi?' dedi. Evet dedin.</t>
        </is>
      </c>
      <c r="K649" s="6" t="inlineStr">
        <is>
          <t>Ciddi ciddi baktın, “Motor sıfır gibi” dedin, aldın. Enişten ekspertize götürdü: iki parça değişen, kaput boyalı, kilometre geri alınmış. Enişten bu hikâyeyi her bayram anlatacak.</t>
        </is>
      </c>
      <c r="L649" s="6" t="inlineStr"/>
      <c r="M649" s="5" t="inlineStr"/>
      <c r="N649" s="5" t="inlineStr"/>
      <c r="O649" s="6" t="inlineStr"/>
      <c r="P649" s="6" t="inlineStr"/>
      <c r="Q649" s="5" t="inlineStr"/>
      <c r="R649" s="5" t="inlineStr"/>
      <c r="S649" s="5" t="inlineStr"/>
      <c r="T649" s="5" t="inlineStr"/>
      <c r="U649" s="5" t="inlineStr"/>
      <c r="V649" s="5" t="inlineStr">
        <is>
          <t>arabali</t>
        </is>
      </c>
      <c r="W649" s="5" t="inlineStr">
        <is>
          <t>arabali</t>
        </is>
      </c>
      <c r="X649" s="5" t="inlineStr"/>
      <c r="Y649" s="5" t="inlineStr"/>
      <c r="Z649" s="6" t="inlineStr"/>
      <c r="AA649" s="5" t="inlineStr"/>
      <c r="AB649" s="5" t="inlineStr"/>
      <c r="AC649" s="5" t="inlineStr"/>
      <c r="AD649" s="5" t="inlineStr"/>
      <c r="AE649" s="5" t="inlineStr"/>
      <c r="AF649" s="5" t="inlineStr"/>
      <c r="AG649" s="5" t="inlineStr"/>
      <c r="AH649" s="5" t="inlineStr"/>
      <c r="AI649" s="5" t="inlineStr"/>
    </row>
    <row r="650">
      <c r="A650" s="5" t="inlineStr">
        <is>
          <t>b7-araba-alma</t>
        </is>
      </c>
      <c r="B650" s="5" t="n">
        <v>3</v>
      </c>
      <c r="C650" s="6" t="inlineStr">
        <is>
          <t>Test sürüşünde otoyola çık</t>
        </is>
      </c>
      <c r="D650" s="5" t="inlineStr">
        <is>
          <t>Cesaret</t>
        </is>
      </c>
      <c r="E650" s="5" t="inlineStr">
        <is>
          <t>Zor</t>
        </is>
      </c>
      <c r="F650" s="5" t="inlineStr"/>
      <c r="G650" s="6" t="inlineStr"/>
      <c r="H650" s="6" t="inlineStr">
        <is>
          <t>Araba otoyolu sevdi. Sen de. Anlaşma yolda yapıldı.</t>
        </is>
      </c>
      <c r="I650" s="6" t="inlineStr">
        <is>
          <t>Test sürüşü o kadar iyi geçti ki satıcı 'Siz bunu hak ediyorsunuz' dedi ve indirime yakın bir şey yaptı.</t>
        </is>
      </c>
      <c r="J650" s="6" t="inlineStr">
        <is>
          <t>Araba 90'da titremeye başladı. Satıcı 'Rodaj' dedi. Arabanın yaşı 14.</t>
        </is>
      </c>
      <c r="K650" s="6" t="inlineStr">
        <is>
          <t>Otoyolda 120'de kaput açıldı. Yolu kaputun aralığından görerek emniyet şeridine çektin. Satıcı “Kilidi biraz hassastır” dedi; araba çekiciyle, sen titreyerek döndün.</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c r="X650" s="5" t="inlineStr"/>
      <c r="Y650" s="5" t="n">
        <v>1</v>
      </c>
      <c r="Z650" s="6" t="inlineStr">
        <is>
          <t>İkinci el arabanın test sürüşünde, 'keyif için satılık' ibaresini fazla ciddiye alarak.</t>
        </is>
      </c>
      <c r="AA650" s="5" t="inlineStr"/>
      <c r="AB650" s="5" t="inlineStr"/>
      <c r="AC650" s="5" t="inlineStr"/>
      <c r="AD650" s="5" t="inlineStr"/>
      <c r="AE650" s="5" t="inlineStr"/>
      <c r="AF650" s="5" t="inlineStr"/>
      <c r="AG650" s="5" t="inlineStr"/>
      <c r="AH650" s="5" t="inlineStr"/>
      <c r="AI650" s="5" t="inlineStr"/>
    </row>
    <row r="651">
      <c r="A651" s="5" t="inlineStr">
        <is>
          <t>b7-araba-alma</t>
        </is>
      </c>
      <c r="B651" s="5" t="n">
        <v>4</v>
      </c>
      <c r="C651" s="6" t="inlineStr">
        <is>
          <t>Satıcıyla pazar usulü konuş</t>
        </is>
      </c>
      <c r="D651" s="5" t="inlineStr">
        <is>
          <t>Çene</t>
        </is>
      </c>
      <c r="E651" s="5" t="inlineStr">
        <is>
          <t>Kolay</t>
        </is>
      </c>
      <c r="F651" s="5" t="inlineStr"/>
      <c r="G651" s="6" t="inlineStr"/>
      <c r="H651" s="6" t="inlineStr">
        <is>
          <t>Fiyatı yuvarladın, bir de paspas koparttın. Esnaflık kanda var.</t>
        </is>
      </c>
      <c r="I651" s="6" t="inlineStr">
        <is>
          <t>Paspas, stepne ve satıcının güneş gözlüğü de pakete dahil oldu.</t>
        </is>
      </c>
      <c r="J651" s="6" t="inlineStr">
        <is>
          <t>Satıcı daha usta çıktı. Paspası ayrıca ödedin.</t>
        </is>
      </c>
      <c r="K651" s="6" t="inlineStr">
        <is>
          <t>Pazarlık o kadar uzadı ki satıcı “Sen beni üzdün” deyip arabayı başkasına sattı. Ertesi gün aynı araba yeni ilanda: “Hanımefendi aracı”, iki bin fazlasına.</t>
        </is>
      </c>
      <c r="L651" s="6" t="inlineStr"/>
      <c r="M651" s="5" t="inlineStr"/>
      <c r="N651" s="5" t="inlineStr"/>
      <c r="O651" s="6" t="inlineStr"/>
      <c r="P651" s="6" t="inlineStr"/>
      <c r="Q651" s="5" t="inlineStr">
        <is>
          <t>Küçük Tüccar</t>
        </is>
      </c>
      <c r="R651" s="5" t="inlineStr"/>
      <c r="S651" s="5" t="inlineStr"/>
      <c r="T651" s="5" t="inlineStr"/>
      <c r="U651" s="5" t="inlineStr"/>
      <c r="V651" s="5" t="inlineStr">
        <is>
          <t>arabali</t>
        </is>
      </c>
      <c r="W651" s="5" t="inlineStr"/>
      <c r="X651" s="5" t="inlineStr"/>
      <c r="Y651" s="5" t="inlineStr"/>
      <c r="Z651" s="6" t="inlineStr"/>
      <c r="AA651" s="5" t="inlineStr"/>
      <c r="AB651" s="5" t="inlineStr"/>
      <c r="AC651" s="5" t="inlineStr"/>
      <c r="AD651" s="5" t="inlineStr"/>
      <c r="AE651" s="5" t="inlineStr"/>
      <c r="AF651" s="5" t="inlineStr"/>
      <c r="AG651" s="5" t="inlineStr"/>
      <c r="AH651" s="5" t="inlineStr"/>
      <c r="AI651" s="5" t="inlineStr"/>
    </row>
    <row r="652">
      <c r="A652" s="5" t="inlineStr">
        <is>
          <t>b7-ne-zaman-evleneceksin</t>
        </is>
      </c>
      <c r="B652" s="5" t="n">
        <v>1</v>
      </c>
      <c r="C652" s="6" t="inlineStr">
        <is>
          <t>'Görürüz' de, gülümse</t>
        </is>
      </c>
      <c r="D652" s="5" t="inlineStr"/>
      <c r="E652" s="5" t="inlineStr"/>
      <c r="F652" s="5" t="inlineStr">
        <is>
          <t>Dayanıklılık +1</t>
        </is>
      </c>
      <c r="G652" s="6" t="inlineStr">
        <is>
          <t>“Görürüz” dedin. On bir kez. Onuncusunda teyzen “Bu gözler görmeden gitmesin” dedi. On birincisinde sen de güldün; o gülmedi.</t>
        </is>
      </c>
      <c r="H652" s="6" t="inlineStr"/>
      <c r="I652" s="6" t="inlineStr"/>
      <c r="J652" s="6" t="inlineStr"/>
      <c r="K652" s="6" t="inlineStr"/>
      <c r="L652" s="6" t="inlineStr"/>
      <c r="M652" s="5" t="inlineStr"/>
      <c r="N652" s="5" t="inlineStr"/>
      <c r="O652" s="6" t="inlineStr"/>
      <c r="P652" s="6" t="inlineStr"/>
      <c r="Q652" s="5" t="inlineStr"/>
      <c r="R652" s="5" t="inlineStr"/>
      <c r="S652" s="5" t="inlineStr"/>
      <c r="T652" s="5" t="inlineStr"/>
      <c r="U652" s="5" t="inlineStr"/>
      <c r="V652" s="5" t="inlineStr"/>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row>
    <row r="653">
      <c r="A653" s="5" t="inlineStr">
        <is>
          <t>b7-ne-zaman-evleneceksin</t>
        </is>
      </c>
      <c r="B653" s="5" t="n">
        <v>2</v>
      </c>
      <c r="C653" s="6" t="inlineStr">
        <is>
          <t>'Sizinki ne zaman boşanacak?' diye sor</t>
        </is>
      </c>
      <c r="D653" s="5" t="inlineStr">
        <is>
          <t>Pişkinlik</t>
        </is>
      </c>
      <c r="E653" s="5" t="inlineStr">
        <is>
          <t>Zor</t>
        </is>
      </c>
      <c r="F653" s="5" t="inlineStr"/>
      <c r="G653" s="6" t="inlineStr"/>
      <c r="H653" s="6" t="inlineStr">
        <is>
          <t>Masa bir an dondu, sonra güldü. O akşam kimse sana soru sormadı.</t>
        </is>
      </c>
      <c r="I653" s="6" t="inlineStr">
        <is>
          <t>Soruyu öyle zamanladın ki masa alkışladı. Aile içinde 'dili keskin' unvanını aldın.</t>
        </is>
      </c>
      <c r="J653" s="6" t="inlineStr">
        <is>
          <t>Kimse gülmedi. Teyzen yalnızca “Ay” dedi ve eliyle göğsünü tuttu. Annen masanın altından bacağını çimdikledi.</t>
        </is>
      </c>
      <c r="K653" s="6" t="inlineStr">
        <is>
          <t>Soruyu sorduğun çift gerçekten boşanıyormuş. Düğünün geri kalanı senin hakkında konuşuldu.</t>
        </is>
      </c>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row>
    <row r="654">
      <c r="A654" s="5" t="inlineStr">
        <is>
          <t>b7-ne-zaman-evleneceksin</t>
        </is>
      </c>
      <c r="B654" s="5" t="n">
        <v>3</v>
      </c>
      <c r="C654" s="6" t="inlineStr">
        <is>
          <t>Konuyu başka bir kuzene yönlendir</t>
        </is>
      </c>
      <c r="D654" s="5" t="inlineStr">
        <is>
          <t>Sosyal Radar</t>
        </is>
      </c>
      <c r="E654" s="5" t="inlineStr">
        <is>
          <t>Orta</t>
        </is>
      </c>
      <c r="F654" s="5" t="inlineStr"/>
      <c r="G654" s="6" t="inlineStr"/>
      <c r="H654" s="6" t="inlineStr">
        <is>
          <t>Kuzenin ev aldığını duyurdun. Bütün teyzeler o yöne döndü. Kuzenin seni hiç affetmeyecek.</t>
        </is>
      </c>
      <c r="I654" s="6" t="inlineStr">
        <is>
          <t>Konuyu öyle ustaca yönlendirdin ki masa iki saat kuzenin kariyerini tartıştı. Sen pastayı yedin.</t>
        </is>
      </c>
      <c r="J654" s="6" t="inlineStr">
        <is>
          <t>Yönlendirdiğin kuzen daha önce evlenmiş. Soru daha keskin olarak geri döndü.</t>
        </is>
      </c>
      <c r="K654" s="6" t="inlineStr">
        <is>
          <t>Kuzeni işaret ettin; kuzen seni işaret etti. Aile bir oylama yaptı. Sen kazandın. Yani kaybettin.</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row>
    <row r="655">
      <c r="A655" s="5" t="inlineStr">
        <is>
          <t>b7-flort-uygulamasi</t>
        </is>
      </c>
      <c r="B655" s="5" t="n">
        <v>1</v>
      </c>
      <c r="C655" s="6" t="inlineStr">
        <is>
          <t>Uygulamayı sil</t>
        </is>
      </c>
      <c r="D655" s="5" t="inlineStr"/>
      <c r="E655" s="5" t="inlineStr"/>
      <c r="F655" s="5" t="inlineStr">
        <is>
          <t>İtibar +1, Dayanıklılık +1</t>
        </is>
      </c>
      <c r="G655" s="6" t="inlineStr">
        <is>
          <t>Uygulamayı sildin. Telefon hafifledi. Kalp aynı ağırlıkta.</t>
        </is>
      </c>
      <c r="H655" s="6" t="inlineStr"/>
      <c r="I655" s="6" t="inlineStr"/>
      <c r="J655" s="6" t="inlineStr"/>
      <c r="K655" s="6" t="inlineStr"/>
      <c r="L655" s="6" t="inlineStr"/>
      <c r="M655" s="5" t="inlineStr"/>
      <c r="N655" s="5" t="inlineStr"/>
      <c r="O655" s="6" t="inlineStr"/>
      <c r="P655" s="6" t="inlineStr"/>
      <c r="Q655" s="5" t="inlineStr"/>
      <c r="R655" s="5" t="inlineStr"/>
      <c r="S655" s="5" t="inlineStr"/>
      <c r="T655" s="5" t="inlineStr"/>
      <c r="U655" s="5" t="inlineStr">
        <is>
          <t>flort-emeklisi</t>
        </is>
      </c>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row>
    <row r="656">
      <c r="A656" s="5" t="inlineStr">
        <is>
          <t>b7-flort-uygulamasi</t>
        </is>
      </c>
      <c r="B656" s="5" t="n">
        <v>2</v>
      </c>
      <c r="C656" s="6" t="inlineStr">
        <is>
          <t>Özgün bir ilk mesaj yaz</t>
        </is>
      </c>
      <c r="D656" s="5" t="inlineStr">
        <is>
          <t>Gönül</t>
        </is>
      </c>
      <c r="E656" s="5" t="inlineStr">
        <is>
          <t>Orta</t>
        </is>
      </c>
      <c r="F656" s="5" t="inlineStr"/>
      <c r="G656" s="6" t="inlineStr"/>
      <c r="H656" s="6" t="inlineStr">
        <is>
          <t>İlk mesajın cevap aldı, ikincisi de. Üçüncüde “Bir kahve?” yazan o oldu; telefonu iki kere masaya bırakıp geri aldın.</t>
        </is>
      </c>
      <c r="I656" s="6" t="inlineStr">
        <is>
          <t>Mesajının ekran görüntüsünü arkadaş grubuna atmış: “Bu kişiyle evlenirim.” Grup tek ağızdan yazdı: “Ne bekliyorsun?”</t>
        </is>
      </c>
      <c r="J656" s="6" t="inlineStr">
        <is>
          <t>Mesajın 'Merhaba :)' ile cevaplandı. Özgünlük tek taraflı kaldı.</t>
        </is>
      </c>
      <c r="K656" s="6" t="inlineStr">
        <is>
          <t>Özgün mesajı yanlışlıkla iş arkadaşına gönderdin. O da uygulamadaymış; “Ben de seni gördüm” yazdı. Pazartesi asansörde ikiniz de duvara baktınız. Asansör hiç bu kadar yavaş çıkmamıştı.</t>
        </is>
      </c>
      <c r="L656" s="6" t="inlineStr"/>
      <c r="M656" s="5" t="inlineStr"/>
      <c r="N656" s="5" t="inlineStr"/>
      <c r="O656" s="6" t="inlineStr"/>
      <c r="P656" s="6" t="inlineStr"/>
      <c r="Q656" s="5" t="inlineStr"/>
      <c r="R656" s="5" t="inlineStr"/>
      <c r="S656" s="5" t="inlineStr"/>
      <c r="T656" s="5" t="inlineStr"/>
      <c r="U656" s="5" t="inlineStr"/>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row>
    <row r="657">
      <c r="A657" s="5" t="inlineStr">
        <is>
          <t>b7-flort-uygulamasi</t>
        </is>
      </c>
      <c r="B657" s="5" t="n">
        <v>3</v>
      </c>
      <c r="C657" s="6" t="inlineStr">
        <is>
          <t>Hızlı hızlı kaydır, biri tutar</t>
        </is>
      </c>
      <c r="D657" s="5" t="inlineStr">
        <is>
          <t>Dayanıklılık</t>
        </is>
      </c>
      <c r="E657" s="5" t="inlineStr">
        <is>
          <t>Kolay</t>
        </is>
      </c>
      <c r="F657" s="5" t="inlineStr"/>
      <c r="G657" s="6" t="inlineStr"/>
      <c r="H657" s="6" t="inlineStr">
        <is>
          <t>Bir eşleşme oldu. Buluşmanın ilk on dakikası iyi, kalanı fena değildi.</t>
        </is>
      </c>
      <c r="I657" s="6" t="inlineStr">
        <is>
          <t>Eşleştiğin kişiyle ortak arkadaşınız çıktı; ilk buluşma bir doğum gününde gerçekleşti. Hikâyeniz resmen 'tanıştırıldık'.</t>
        </is>
      </c>
      <c r="J657" s="6" t="inlineStr">
        <is>
          <t>Yüz kez kaydırdın. Başparmağında yeni bir kas gelişti. Kalbinde değil.</t>
        </is>
      </c>
      <c r="K657" s="6" t="inlineStr">
        <is>
          <t>Kaydırırken annenin en yakın arkadaşının çocuğuna kalp attın. İki anne haberi seninle aynı anda aldı. Akşam ikisi de aynı cümleyi kurdu: “Hiç fena olmaz.”</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row>
    <row r="658">
      <c r="A658" s="5" t="inlineStr">
        <is>
          <t>b7-flort-uygulamasi</t>
        </is>
      </c>
      <c r="B658" s="5" t="n">
        <v>4</v>
      </c>
      <c r="C658" s="6" t="inlineStr">
        <is>
          <t>Profilini fenomen kimliğinle güncelle</t>
        </is>
      </c>
      <c r="D658" s="5" t="inlineStr">
        <is>
          <t>Pişkinlik</t>
        </is>
      </c>
      <c r="E658" s="5" t="inlineStr">
        <is>
          <t>Kolay</t>
        </is>
      </c>
      <c r="F658" s="5" t="inlineStr"/>
      <c r="G658" s="6" t="inlineStr"/>
      <c r="H658" s="6" t="inlineStr">
        <is>
          <t>Takipçi sayını gören herkes yazdı. Hepsi reklam işbirliği istiyordu ama olsun.</t>
        </is>
      </c>
      <c r="I658" s="6" t="inlineStr">
        <is>
          <t>Bir eşleşme hem seni hem içeriğini sevdi. İlk buluşmayı çekmek için izin istedi, verdin.</t>
        </is>
      </c>
      <c r="J658" s="6" t="inlineStr">
        <is>
          <t>Profilin ilgi gördü, sen görmedin. Herkes seni 'o videodaki kişi' diye tanıyor.</t>
        </is>
      </c>
      <c r="K658" s="6" t="inlineStr">
        <is>
          <t>Uygulama hesabını 'sahte ünlü profili' diye kapattı. Gerçek olduğunu kanıtlamak için kimlik yüklemen istendi.</t>
        </is>
      </c>
      <c r="L658" s="6" t="inlineStr"/>
      <c r="M658" s="5" t="inlineStr"/>
      <c r="N658" s="5" t="inlineStr"/>
      <c r="O658" s="6" t="inlineStr"/>
      <c r="P658" s="6" t="inlineStr"/>
      <c r="Q658" s="5" t="inlineStr"/>
      <c r="R658" s="5" t="inlineStr">
        <is>
          <t>fenomen</t>
        </is>
      </c>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row>
    <row r="659">
      <c r="A659" s="5" t="inlineStr">
        <is>
          <t>b7-evlilik-karari</t>
        </is>
      </c>
      <c r="B659" s="5" t="n">
        <v>1</v>
      </c>
      <c r="C659" s="6" t="inlineStr">
        <is>
          <t>Sevdiğin kişiye evlenme teklif et</t>
        </is>
      </c>
      <c r="D659" s="5" t="inlineStr">
        <is>
          <t>Gönül</t>
        </is>
      </c>
      <c r="E659" s="5" t="inlineStr">
        <is>
          <t>Orta</t>
        </is>
      </c>
      <c r="F659" s="5" t="inlineStr"/>
      <c r="G659" s="6" t="inlineStr"/>
      <c r="H659" s="6" t="inlineStr">
        <is>
          <t>Yüzüğü tatlının içine sakladın; neyse ki önce sen fark ettin. “Evet” dedi. İki ay sonra, bir misafir salonunda, tuzlu bir kahve seni bekliyor.</t>
        </is>
      </c>
      <c r="I659" s="6" t="inlineStr">
        <is>
          <t>Teklifi öyle bir kurdun ki garsonlar ağladı, yan masa alkışladı, “Evet” cevabı alkışların arasında kayboldu. Tekrar sordun; yine evet.</t>
        </is>
      </c>
      <c r="J659" s="6" t="inlineStr">
        <is>
          <t>Teklifi prova ettin, cesaretin provada kaldı. Tatlı geldi, yendi, yüzük cebinde eve döndü. Yüzük çekmeceye girdi; sen de uzun bir bekârlığa.</t>
        </is>
      </c>
      <c r="K659" s="6" t="inlineStr">
        <is>
          <t>Diz çöktüğün anda yüzük elinden kaydı, kaldırım ızgarasından kanala düştü. İkiniz telefon feneriyle ızgaraya eğildiniz; bir saat sonra o doğruldu ve “Ben gideyim” dedi. Yüzük de o da bir daha bulunmadı.</t>
        </is>
      </c>
      <c r="L659" s="6" t="inlineStr"/>
      <c r="M659" s="5" t="inlineStr"/>
      <c r="N659" s="5" t="inlineStr"/>
      <c r="O659" s="6" t="inlineStr"/>
      <c r="P659" s="6" t="inlineStr"/>
      <c r="Q659" s="5" t="inlineStr"/>
      <c r="R659" s="5" t="inlineStr"/>
      <c r="S659" s="5" t="inlineStr"/>
      <c r="T659" s="5" t="inlineStr"/>
      <c r="U659" s="5" t="inlineStr"/>
      <c r="V659" s="5" t="inlineStr">
        <is>
          <t>evli, ask-evliligi, -evde-kaldi</t>
        </is>
      </c>
      <c r="W659" s="5" t="inlineStr"/>
      <c r="X659" s="5" t="inlineStr"/>
      <c r="Y659" s="5" t="inlineStr"/>
      <c r="Z659" s="6" t="inlineStr"/>
      <c r="AA659" s="5" t="inlineStr">
        <is>
          <t>Şen +1, Yalçın +1</t>
        </is>
      </c>
      <c r="AB659" s="5" t="inlineStr">
        <is>
          <t>bekar</t>
        </is>
      </c>
      <c r="AC659" s="5" t="inlineStr"/>
      <c r="AD659" s="5" t="inlineStr"/>
      <c r="AE659" s="5" t="inlineStr"/>
      <c r="AF659" s="5" t="inlineStr"/>
      <c r="AG659" s="5" t="inlineStr"/>
      <c r="AH659" s="5" t="inlineStr"/>
      <c r="AI659" s="5" t="inlineStr"/>
    </row>
    <row r="660">
      <c r="A660" s="5" t="inlineStr">
        <is>
          <t>b7-evlilik-karari</t>
        </is>
      </c>
      <c r="B660" s="5" t="n">
        <v>2</v>
      </c>
      <c r="C660" s="6" t="inlineStr">
        <is>
          <t>Lisedeki ilk aşkını ara</t>
        </is>
      </c>
      <c r="D660" s="5" t="inlineStr">
        <is>
          <t>Gönül</t>
        </is>
      </c>
      <c r="E660" s="5" t="inlineStr">
        <is>
          <t>Kolay</t>
        </is>
      </c>
      <c r="F660" s="5" t="inlineStr"/>
      <c r="G660" s="6" t="inlineStr"/>
      <c r="H660" s="6" t="inlineStr">
        <is>
          <t>On üç yıl sonra aradın. “Ben de seni arayacaktım” dedi. İkiniz de yalan söylüyordunuz; ikiniz de mutluydunuz.</t>
        </is>
      </c>
      <c r="I660" s="6" t="inlineStr">
        <is>
          <t>Buluştunuz, aynı parka gittiniz, aynı bank hâlâ oradaydı. Bankın üstüne ikinizin adını kazıyan biri olmuş; siz değildiniz, ama saydınız.</t>
        </is>
      </c>
      <c r="J660" s="6" t="inlineStr">
        <is>
          <t>Aradın; numara bir kargo firmasının deposuna aitmiş. Depo sorumlusu çok anlayışlıydı.</t>
        </is>
      </c>
      <c r="K660" s="6" t="inlineStr">
        <is>
          <t>Aradın, eşi açtı. Kısa, kibar ve çok uzun gelen bir konuşma oldu.</t>
        </is>
      </c>
      <c r="L660" s="6" t="inlineStr"/>
      <c r="M660" s="5" t="inlineStr"/>
      <c r="N660" s="5" t="inlineStr"/>
      <c r="O660" s="6" t="inlineStr"/>
      <c r="P660" s="6" t="inlineStr"/>
      <c r="Q660" s="5" t="inlineStr"/>
      <c r="R660" s="5" t="inlineStr">
        <is>
          <t>ilk-sevgili</t>
        </is>
      </c>
      <c r="S660" s="5" t="inlineStr"/>
      <c r="T660" s="5" t="inlineStr"/>
      <c r="U660" s="5" t="inlineStr"/>
      <c r="V660" s="5" t="inlineStr">
        <is>
          <t>evli, ask-evliligi, -evde-kaldi</t>
        </is>
      </c>
      <c r="W660" s="5" t="inlineStr"/>
      <c r="X660" s="5" t="inlineStr"/>
      <c r="Y660" s="5" t="inlineStr"/>
      <c r="Z660" s="6" t="inlineStr"/>
      <c r="AA660" s="5" t="inlineStr"/>
      <c r="AB660" s="5" t="inlineStr">
        <is>
          <t>bekar</t>
        </is>
      </c>
      <c r="AC660" s="5" t="inlineStr"/>
      <c r="AD660" s="5" t="inlineStr"/>
      <c r="AE660" s="5" t="inlineStr"/>
      <c r="AF660" s="5" t="inlineStr"/>
      <c r="AG660" s="5" t="inlineStr"/>
      <c r="AH660" s="5" t="inlineStr"/>
      <c r="AI660" s="5" t="inlineStr"/>
    </row>
    <row r="661">
      <c r="A661" s="5" t="inlineStr">
        <is>
          <t>b7-evlilik-karari</t>
        </is>
      </c>
      <c r="B661" s="5" t="n">
        <v>3</v>
      </c>
      <c r="C661" s="6" t="inlineStr">
        <is>
          <t>Annene “Sadece bir kahve” de</t>
        </is>
      </c>
      <c r="D661" s="5" t="inlineStr"/>
      <c r="E661" s="5" t="inlineStr"/>
      <c r="F661" s="5" t="inlineStr">
        <is>
          <t>İtibar +1, Sosyal Radar +1</t>
        </is>
      </c>
      <c r="G661" s="6" t="inlineStr">
        <is>
          <t>Annen o akşam üç telefon açtı. Kahve bir cumartesi içildi; ikinci kahve de, üçüncü de. Bir yıl sonra kahveyi düğün salonunda içiyordun.</t>
        </is>
      </c>
      <c r="H661" s="6" t="inlineStr"/>
      <c r="I661" s="6" t="inlineStr"/>
      <c r="J661" s="6" t="inlineStr"/>
      <c r="K661" s="6" t="inlineStr"/>
      <c r="L661" s="6" t="inlineStr"/>
      <c r="M661" s="5" t="inlineStr"/>
      <c r="N661" s="5" t="inlineStr"/>
      <c r="O661" s="6" t="inlineStr"/>
      <c r="P661" s="6" t="inlineStr"/>
      <c r="Q661" s="5" t="inlineStr"/>
      <c r="R661" s="5" t="inlineStr"/>
      <c r="S661" s="5" t="inlineStr"/>
      <c r="T661" s="5" t="inlineStr"/>
      <c r="U661" s="5" t="inlineStr">
        <is>
          <t>evli, gorucu, -evde-kaldi</t>
        </is>
      </c>
      <c r="V661" s="5" t="inlineStr"/>
      <c r="W661" s="5" t="inlineStr"/>
      <c r="X661" s="5" t="inlineStr"/>
      <c r="Y661" s="5" t="inlineStr"/>
      <c r="Z661" s="6" t="inlineStr"/>
      <c r="AA661" s="5" t="inlineStr">
        <is>
          <t>Şen +1, Yalçın +1, Erdem +1, Varlı -1</t>
        </is>
      </c>
      <c r="AB661" s="5" t="inlineStr"/>
      <c r="AC661" s="5" t="inlineStr"/>
      <c r="AD661" s="5" t="inlineStr"/>
      <c r="AE661" s="5" t="inlineStr"/>
      <c r="AF661" s="5" t="inlineStr"/>
      <c r="AG661" s="5" t="inlineStr"/>
      <c r="AH661" s="5" t="inlineStr"/>
      <c r="AI661" s="5" t="inlineStr"/>
    </row>
    <row r="662">
      <c r="A662" s="5" t="inlineStr">
        <is>
          <t>b7-evlilik-karari</t>
        </is>
      </c>
      <c r="B662" s="5" t="n">
        <v>4</v>
      </c>
      <c r="C662" s="6" t="inlineStr">
        <is>
          <t>Bekâr kalacağını ilan et</t>
        </is>
      </c>
      <c r="D662" s="5" t="inlineStr"/>
      <c r="E662" s="5" t="inlineStr"/>
      <c r="F662" s="5" t="inlineStr">
        <is>
          <t>Cesaret +1, Dayanıklılık +1</t>
        </is>
      </c>
      <c r="G662" s="6" t="inlineStr">
        <is>
          <t>Dolmayı yedin ve “Evlenmeyeceğim” dedin. Sofra sustu. Teyzen dolmayı tabağından geri aldı. O günden beri her bayram biri iç çekip “Sen bilirsin” diyor; her yıl başka bir tonda.</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bekar</t>
        </is>
      </c>
      <c r="V662" s="5" t="inlineStr"/>
      <c r="W662" s="5" t="inlineStr"/>
      <c r="X662" s="5" t="inlineStr"/>
      <c r="Y662" s="5" t="inlineStr"/>
      <c r="Z662" s="6" t="inlineStr"/>
      <c r="AA662" s="5" t="inlineStr">
        <is>
          <t>Şen -1, Yalçın -1</t>
        </is>
      </c>
      <c r="AB662" s="5" t="inlineStr"/>
      <c r="AC662" s="5" t="inlineStr"/>
      <c r="AD662" s="5" t="inlineStr"/>
      <c r="AE662" s="5" t="inlineStr"/>
      <c r="AF662" s="5" t="inlineStr"/>
      <c r="AG662" s="5" t="inlineStr"/>
      <c r="AH662" s="5" t="inlineStr"/>
      <c r="AI662" s="5" t="inlineStr"/>
    </row>
    <row r="663">
      <c r="A663" s="5" t="inlineStr">
        <is>
          <t>b7-evlilik-karari</t>
        </is>
      </c>
      <c r="B663" s="5" t="n">
        <v>5</v>
      </c>
      <c r="C663" s="6" t="inlineStr">
        <is>
          <t>“Bakarız” de, bakmaya devam et</t>
        </is>
      </c>
      <c r="D663" s="5" t="inlineStr"/>
      <c r="E663" s="5" t="inlineStr"/>
      <c r="F663" s="5" t="inlineStr">
        <is>
          <t>Pişkinlik +1, Sosyal Radar +1</t>
        </is>
      </c>
      <c r="G663" s="6" t="inlineStr">
        <is>
          <t>“Bakarız” dedin. O akşamdan sonra telefonunda üç ayrı isimle buluşma planı, bir restoranda da üç ayrı akşam rezervasyonun var. Garson seni tanıyor; isimleri karıştırmıyor, sen karıştırıyorsun.</t>
        </is>
      </c>
      <c r="H663" s="6" t="inlineStr"/>
      <c r="I663" s="6" t="inlineStr"/>
      <c r="J663" s="6" t="inlineStr"/>
      <c r="K663" s="6" t="inlineStr"/>
      <c r="L663" s="6" t="inlineStr"/>
      <c r="M663" s="5" t="inlineStr"/>
      <c r="N663" s="5" t="inlineStr"/>
      <c r="O663" s="6" t="inlineStr"/>
      <c r="P663" s="6" t="inlineStr"/>
      <c r="Q663" s="5" t="inlineStr"/>
      <c r="R663" s="5" t="inlineStr">
        <is>
          <t>ilk-sevgili</t>
        </is>
      </c>
      <c r="S663" s="5" t="inlineStr"/>
      <c r="T663" s="5" t="inlineStr"/>
      <c r="U663" s="5" t="inlineStr">
        <is>
          <t>capkin</t>
        </is>
      </c>
      <c r="V663" s="5" t="inlineStr"/>
      <c r="W663" s="5" t="inlineStr"/>
      <c r="X663" s="5" t="inlineStr"/>
      <c r="Y663" s="5" t="inlineStr"/>
      <c r="Z663" s="6" t="inlineStr"/>
      <c r="AA663" s="5" t="inlineStr">
        <is>
          <t>Şen -1, Yalçın -1, Erdem -1</t>
        </is>
      </c>
      <c r="AB663" s="5" t="inlineStr"/>
      <c r="AC663" s="5" t="inlineStr"/>
      <c r="AD663" s="5" t="inlineStr"/>
      <c r="AE663" s="5" t="inlineStr"/>
      <c r="AF663" s="5" t="inlineStr"/>
      <c r="AG663" s="5" t="inlineStr"/>
      <c r="AH663" s="5" t="inlineStr"/>
      <c r="AI663" s="5" t="inlineStr"/>
    </row>
    <row r="664">
      <c r="A664" s="5" t="inlineStr">
        <is>
          <t>mb-performans-karti</t>
        </is>
      </c>
      <c r="B664" s="5" t="n">
        <v>1</v>
      </c>
      <c r="C664" s="6" t="inlineStr">
        <is>
          <t>Başını salla, imzala</t>
        </is>
      </c>
      <c r="D664" s="5" t="inlineStr"/>
      <c r="E664" s="5" t="inlineStr"/>
      <c r="F664" s="5" t="inlineStr">
        <is>
          <t>Dayanıklılık +1</t>
        </is>
      </c>
      <c r="G664" s="6" t="inlineStr">
        <is>
          <t>'Beklentileri karşılıyor' aldın. Beklentilerin ne olduğu gizli kalmaya devam ediyor.</t>
        </is>
      </c>
      <c r="H664" s="6" t="inlineStr"/>
      <c r="I664" s="6" t="inlineStr"/>
      <c r="J664" s="6" t="inlineStr"/>
      <c r="K664" s="6" t="inlineStr"/>
      <c r="L664" s="6" t="inlineStr"/>
      <c r="M664" s="5" t="inlineStr"/>
      <c r="N664" s="5" t="inlineStr"/>
      <c r="O664" s="6" t="inlineStr"/>
      <c r="P664" s="6" t="inlineStr"/>
      <c r="Q664" s="5" t="inlineStr"/>
      <c r="R664" s="5" t="inlineStr"/>
      <c r="S664" s="5" t="inlineStr"/>
      <c r="T664" s="5" t="inlineStr"/>
      <c r="U664" s="5" t="inlineStr"/>
      <c r="V664" s="5" t="inlineStr"/>
      <c r="W664" s="5" t="inlineStr"/>
      <c r="X664" s="5" t="inlineStr"/>
      <c r="Y664" s="5" t="inlineStr"/>
      <c r="Z664" s="6" t="inlineStr"/>
      <c r="AA664" s="5" t="inlineStr"/>
      <c r="AB664" s="5" t="inlineStr"/>
      <c r="AC664" s="5" t="inlineStr"/>
      <c r="AD664" s="5" t="inlineStr"/>
      <c r="AE664" s="5" t="inlineStr"/>
      <c r="AF664" s="5" t="inlineStr"/>
      <c r="AG664" s="5" t="inlineStr"/>
      <c r="AH664" s="5" t="inlineStr"/>
      <c r="AI664" s="5" t="inlineStr"/>
    </row>
    <row r="665">
      <c r="A665" s="5" t="inlineStr">
        <is>
          <t>mb-performans-karti</t>
        </is>
      </c>
      <c r="B665" s="5" t="n">
        <v>2</v>
      </c>
      <c r="C665" s="6" t="inlineStr">
        <is>
          <t>Başarılarını anlat</t>
        </is>
      </c>
      <c r="D665" s="5" t="inlineStr">
        <is>
          <t>Çene</t>
        </is>
      </c>
      <c r="E665" s="5" t="inlineStr">
        <is>
          <t>Zor</t>
        </is>
      </c>
      <c r="F665" s="5" t="inlineStr"/>
      <c r="G665" s="6" t="inlineStr"/>
      <c r="H665" s="6" t="inlineStr">
        <is>
          <t>Yaptıklarını anlattın, yapmadıklarını da iyi anlattın. Not: 'Beklentilerin üstünde.'</t>
        </is>
      </c>
      <c r="I665" s="6" t="inlineStr">
        <is>
          <t>Öyle anlattın ki yöneticin kendi raporuna senin cümlelerini kopyaladı.</t>
        </is>
      </c>
      <c r="J665" s="6" t="inlineStr">
        <is>
          <t>Anlattın; yöneticin 'Bunlar zaten işin' dedi.</t>
        </is>
      </c>
      <c r="K665" s="6" t="inlineStr">
        <is>
          <t>Başarılarını sayarken ekip arkadaşının projesini de saydın. Ekip arkadaşın da toplantıdaydı.</t>
        </is>
      </c>
      <c r="L665" s="6" t="inlineStr"/>
      <c r="M665" s="5" t="inlineStr"/>
      <c r="N665" s="5" t="inlineStr"/>
      <c r="O665" s="6" t="inlineStr"/>
      <c r="P665" s="6" t="inlineStr"/>
      <c r="Q665" s="5" t="inlineStr"/>
      <c r="R665" s="5" t="inlineStr"/>
      <c r="S665" s="5" t="inlineStr"/>
      <c r="T665" s="5" t="inlineStr">
        <is>
          <t>Sözünü Geçirir</t>
        </is>
      </c>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row>
    <row r="666">
      <c r="A666" s="5" t="inlineStr">
        <is>
          <t>mb-performans-karti</t>
        </is>
      </c>
      <c r="B666" s="5" t="n">
        <v>3</v>
      </c>
      <c r="C666" s="6" t="inlineStr">
        <is>
          <t>'Notlar önceden girilmiş, değil mi?' de</t>
        </is>
      </c>
      <c r="D666" s="5" t="inlineStr">
        <is>
          <t>Pişkinlik</t>
        </is>
      </c>
      <c r="E666" s="5" t="inlineStr">
        <is>
          <t>Orta</t>
        </is>
      </c>
      <c r="F666" s="5" t="inlineStr"/>
      <c r="G666" s="6" t="inlineStr"/>
      <c r="H666" s="6" t="inlineStr">
        <is>
          <t>Yöneticin güldü, ekranı sana çevirdi. Birlikte bir puan yükselttiniz.</t>
        </is>
      </c>
      <c r="I666" s="6" t="inlineStr">
        <is>
          <t>Açık sözlülüğün 'şeffaflık yetkinliği' başlığında ayrıca puanlandı.</t>
        </is>
      </c>
      <c r="J666" s="6" t="inlineStr">
        <is>
          <t>Yöneticin 'Ne alakası var?' deyip ekranı kapattı. Çok hızlı kapattı.</t>
        </is>
      </c>
      <c r="K666" s="6" t="inlineStr">
        <is>
          <t>Evet, girilmiş. Şimdi bir de 'tutum' başlığı eklendi.</t>
        </is>
      </c>
      <c r="L666" s="6" t="inlineStr"/>
      <c r="M666" s="5" t="inlineStr"/>
      <c r="N666" s="5" t="inlineStr"/>
      <c r="O666" s="6" t="inlineStr"/>
      <c r="P666" s="6" t="inlineStr"/>
      <c r="Q666" s="5" t="inlineStr"/>
      <c r="R666" s="5" t="inlineStr"/>
      <c r="S666" s="5" t="inlineStr">
        <is>
          <t>Sosyal Radar</t>
        </is>
      </c>
      <c r="T666" s="5" t="inlineStr"/>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row>
    <row r="667">
      <c r="A667" s="5" t="inlineStr">
        <is>
          <t>mb-performans-karti</t>
        </is>
      </c>
      <c r="B667" s="5" t="n">
        <v>4</v>
      </c>
      <c r="C667" s="6" t="inlineStr">
        <is>
          <t>Kendine 5 üzerinden 5 ver</t>
        </is>
      </c>
      <c r="D667" s="5" t="inlineStr">
        <is>
          <t>Pişkinlik</t>
        </is>
      </c>
      <c r="E667" s="5" t="inlineStr">
        <is>
          <t>Kolay</t>
        </is>
      </c>
      <c r="F667" s="5" t="inlineStr"/>
      <c r="G667" s="6" t="inlineStr"/>
      <c r="H667" s="6" t="inlineStr">
        <is>
          <t>Kendine tam puan verdin. Sistem bunu 'özgüven' olarak kaydetti.</t>
        </is>
      </c>
      <c r="I667" s="6" t="inlineStr">
        <is>
          <t>Kendine 5 verdin; yöneticin itiraz edecek enerjiyi bulamadı. Tarihî bir gün.</t>
        </is>
      </c>
      <c r="J667" s="6" t="inlineStr">
        <is>
          <t>Sen 5 verdin, yöneticin 2 verdi. Sistem ortalamayı aldı: 3,5. Virgülden sonrası bile canını yaktı.</t>
        </is>
      </c>
      <c r="K667" s="6" t="inlineStr">
        <is>
          <t>Öz değerlendirme formun yanlışlıkla bütün kata gönderildi. 'Liderlik: 5/5.' Kat bunu okudu.</t>
        </is>
      </c>
      <c r="L667" s="6" t="inlineStr"/>
      <c r="M667" s="5" t="inlineStr"/>
      <c r="N667" s="5" t="inlineStr"/>
      <c r="O667" s="6" t="inlineStr"/>
      <c r="P667" s="6" t="inlineStr"/>
      <c r="Q667" s="5" t="inlineStr">
        <is>
          <t>Yüzü Kızarmaz</t>
        </is>
      </c>
      <c r="R667" s="5" t="inlineStr"/>
      <c r="S667" s="5" t="inlineStr"/>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is>
          <t>Beş Üzerinden Beş</t>
        </is>
      </c>
    </row>
    <row r="668">
      <c r="A668" s="5" t="inlineStr">
        <is>
          <t>me-zabita-denetimi</t>
        </is>
      </c>
      <c r="B668" s="5" t="n">
        <v>1</v>
      </c>
      <c r="C668" s="6" t="inlineStr">
        <is>
          <t>Kasaları içeri al</t>
        </is>
      </c>
      <c r="D668" s="5" t="inlineStr"/>
      <c r="E668" s="5" t="inlineStr"/>
      <c r="F668" s="5" t="inlineStr">
        <is>
          <t>İtibar +1, Dayanıklılık +1</t>
        </is>
      </c>
      <c r="G668" s="6" t="inlineStr">
        <is>
          <t>Kaldırımı boşalttın. Zabıta geçti. Kasalar yarın sabah yine dışarıda olacak.</t>
        </is>
      </c>
      <c r="H668" s="6" t="inlineStr"/>
      <c r="I668" s="6" t="inlineStr"/>
      <c r="J668" s="6" t="inlineStr"/>
      <c r="K668" s="6" t="inlineStr"/>
      <c r="L668" s="6" t="inlineStr"/>
      <c r="M668" s="5" t="inlineStr"/>
      <c r="N668" s="5" t="inlineStr"/>
      <c r="O668" s="6" t="inlineStr"/>
      <c r="P668" s="6" t="inlineStr"/>
      <c r="Q668" s="5" t="inlineStr"/>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row>
    <row r="669">
      <c r="A669" s="5" t="inlineStr">
        <is>
          <t>me-zabita-denetimi</t>
        </is>
      </c>
      <c r="B669" s="5" t="n">
        <v>2</v>
      </c>
      <c r="C669" s="6" t="inlineStr">
        <is>
          <t>Yönetmeliği tartış</t>
        </is>
      </c>
      <c r="D669" s="5" t="inlineStr">
        <is>
          <t>Akıl</t>
        </is>
      </c>
      <c r="E669" s="5" t="inlineStr">
        <is>
          <t>Zor</t>
        </is>
      </c>
      <c r="F669" s="5" t="inlineStr"/>
      <c r="G669" s="6" t="inlineStr"/>
      <c r="H669" s="6" t="inlineStr">
        <is>
          <t>Yönetmelikte 'geçici teşhir' maddesini buldun. Kasalar resmen geçici, yani kalıcı.</t>
        </is>
      </c>
      <c r="I669" s="6" t="inlineStr">
        <is>
          <t>Yönetmeliği zabıtadan iyi bildiğin anlaşıldı. Çarşıdaki denetimlerde artık sana danışılıyor.</t>
        </is>
      </c>
      <c r="J669" s="6" t="inlineStr">
        <is>
          <t>Tartıştın. Zabıta yönetmeliğin yeni baskısını gösterdi; seninki eski baskıymış.</t>
        </is>
      </c>
      <c r="K669" s="6" t="inlineStr">
        <is>
          <t>O kadar tartıştın ki tabelaya, tenteye, kapı paspasına ve kedinin mama kabına ayrı ayrı tutanak kesildi.</t>
        </is>
      </c>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row>
    <row r="670">
      <c r="A670" s="5" t="inlineStr">
        <is>
          <t>me-zabita-denetimi</t>
        </is>
      </c>
      <c r="B670" s="5" t="n">
        <v>3</v>
      </c>
      <c r="C670" s="6" t="inlineStr">
        <is>
          <t>Çay ikram et</t>
        </is>
      </c>
      <c r="D670" s="5" t="inlineStr">
        <is>
          <t>İtibar</t>
        </is>
      </c>
      <c r="E670" s="5" t="inlineStr">
        <is>
          <t>Orta</t>
        </is>
      </c>
      <c r="F670" s="5" t="inlineStr"/>
      <c r="G670" s="6" t="inlineStr"/>
      <c r="H670" s="6" t="inlineStr">
        <is>
          <t>Çay içildi, havadan sudan konuşuldu, tutanak defteri kapalı kaldı.</t>
        </is>
      </c>
      <c r="I670" s="6" t="inlineStr">
        <is>
          <t>Zabıta çayı beğendi. Ertesi denetimde sokakta uyarı almayan tek dükkân sendin.</t>
        </is>
      </c>
      <c r="J670" s="6" t="inlineStr">
        <is>
          <t>Çayı içti, teşekkür etti, tutanağı yazdı. Çay için ayrıca teşekkür etti.</t>
        </is>
      </c>
      <c r="K670" s="6" t="inlineStr">
        <is>
          <t>Tutanağa 'ısrarlı misafirperverlik' notu düşüldü. Böyle bir madde olduğunu kimse bilmiyordu.</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row>
    <row r="671">
      <c r="A671" s="5" t="inlineStr">
        <is>
          <t>me-zabita-denetimi</t>
        </is>
      </c>
      <c r="B671" s="5" t="n">
        <v>4</v>
      </c>
      <c r="C671" s="6" t="inlineStr">
        <is>
          <t>Karşı dükkânı işaret et</t>
        </is>
      </c>
      <c r="D671" s="5" t="inlineStr">
        <is>
          <t>Pişkinlik</t>
        </is>
      </c>
      <c r="E671" s="5" t="inlineStr">
        <is>
          <t>Orta</t>
        </is>
      </c>
      <c r="F671" s="5" t="inlineStr"/>
      <c r="G671" s="6" t="inlineStr"/>
      <c r="H671" s="6" t="inlineStr">
        <is>
          <t>'Asıl karşıdaki' dedin. Zabıta karşıya yürüdü. Tente savaşında ilk sayı senin.</t>
        </is>
      </c>
      <c r="I671" s="6" t="inlineStr">
        <is>
          <t>Karşı dükkânın tabelası söktürüldü. Sokakta artık tek bir tabela var: seninki.</t>
        </is>
      </c>
      <c r="J671" s="6" t="inlineStr">
        <is>
          <t>Zabıta ikinize de tutanak yazdı. Eşitlik bu sokağa böyle geldi.</t>
        </is>
      </c>
      <c r="K671" s="6" t="inlineStr">
        <is>
          <t>Karşı dükkân da seni işaret etti. Zabıta ikinizi yarım saat dinledi, sonra sokağa yeni bir tabela astı: 'Esnaf kavga etmez.'</t>
        </is>
      </c>
      <c r="L671" s="6" t="inlineStr"/>
      <c r="M671" s="5" t="inlineStr"/>
      <c r="N671" s="5" t="inlineStr"/>
      <c r="O671" s="6" t="inlineStr"/>
      <c r="P671" s="6" t="inlineStr"/>
      <c r="Q671" s="5" t="inlineStr"/>
      <c r="R671" s="5" t="inlineStr">
        <is>
          <t>esnaf-komsu-rakip</t>
        </is>
      </c>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row>
    <row r="672">
      <c r="A672" s="5" t="inlineStr">
        <is>
          <t>b7-dugun-takilari</t>
        </is>
      </c>
      <c r="B672" s="5" t="n">
        <v>1</v>
      </c>
      <c r="C672" s="6" t="inlineStr">
        <is>
          <t>Takıları hızla topla, hiçbirini düşürme</t>
        </is>
      </c>
      <c r="D672" s="5" t="inlineStr">
        <is>
          <t>Dayanıklılık</t>
        </is>
      </c>
      <c r="E672" s="5" t="inlineStr">
        <is>
          <t>Orta</t>
        </is>
      </c>
      <c r="F672" s="5" t="inlineStr"/>
      <c r="G672" s="6" t="inlineStr"/>
      <c r="H672" s="6" t="inlineStr">
        <is>
          <t>Takıların hepsini topladın, kurdeleler bütün. Defterci amca gözlüğünü çıkardı: “Kırk yıldır tutarım, ilk kez hiçbir şey düşmedi.”</t>
        </is>
      </c>
      <c r="I672" s="6" t="inlineStr">
        <is>
          <t>Tek bir takıyı düşürmedin; üstüne yerde kalmış bir önceki düğünün takısını da buldun. Sahibi arandı, bulunamadı.</t>
        </is>
      </c>
      <c r="J672" s="6" t="inlineStr">
        <is>
          <t>Bir bilezik masanın altına kaçtı. Üç teyze ve bir garsondan oluşan ekip onu aradı. Hâlâ arıyorlar.</t>
        </is>
      </c>
      <c r="K672" s="6" t="inlineStr">
        <is>
          <t>Takıları toplarken kesenin dibi yırtıldı. Altınlar dans pistine saçıldı, orkestra çalmaya devam etti. Halay başı bir bilezikle oynamaya başladı.</t>
        </is>
      </c>
      <c r="L672" s="6" t="inlineStr">
        <is>
          <t>Çoğunu topladın. Bir çeyrek, halayda birinin ayakkabısına girdi ve eve onunla gitti.</t>
        </is>
      </c>
      <c r="M672" s="5" t="inlineStr">
        <is>
          <t>collect</t>
        </is>
      </c>
      <c r="N672" s="5" t="inlineStr">
        <is>
          <t>Takı Toplama</t>
        </is>
      </c>
      <c r="O672" s="6" t="inlineStr">
        <is>
          <t>Sahneye saçılan takılara hızla dokun. Defterci amca her şeyi görüyor.</t>
        </is>
      </c>
      <c r="P672" s="6" t="inlineStr">
        <is>
          <t>{"piece": "🪙"}</t>
        </is>
      </c>
      <c r="Q672" s="5" t="inlineStr"/>
      <c r="R672" s="5" t="inlineStr"/>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row>
    <row r="673">
      <c r="A673" s="5" t="inlineStr">
        <is>
          <t>b7-dugun-takilari</t>
        </is>
      </c>
      <c r="B673" s="5" t="n">
        <v>2</v>
      </c>
      <c r="C673" s="6" t="inlineStr">
        <is>
          <t>Defteri kendin tut</t>
        </is>
      </c>
      <c r="D673" s="5" t="inlineStr"/>
      <c r="E673" s="5" t="inlineStr"/>
      <c r="F673" s="5" t="inlineStr">
        <is>
          <t>Akıl +1, Sosyal Radar +1</t>
        </is>
      </c>
      <c r="G673" s="6" t="inlineStr">
        <is>
          <t>Kim ne taktıysa yazdın. On yıl sonra onların düğününe aynısını takacaksın. Borç tarihe geçti.</t>
        </is>
      </c>
      <c r="H673" s="6" t="inlineStr"/>
      <c r="I673" s="6" t="inlineStr"/>
      <c r="J673" s="6" t="inlineStr"/>
      <c r="K673" s="6" t="inlineStr"/>
      <c r="L673" s="6" t="inlineStr"/>
      <c r="M673" s="5" t="inlineStr"/>
      <c r="N673" s="5" t="inlineStr"/>
      <c r="O673" s="6" t="inlineStr"/>
      <c r="P673" s="6" t="inlineStr"/>
      <c r="Q673" s="5" t="inlineStr"/>
      <c r="R673" s="5" t="inlineStr"/>
      <c r="S673" s="5" t="inlineStr"/>
      <c r="T673" s="5" t="inlineStr"/>
      <c r="U673" s="5" t="inlineStr">
        <is>
          <t>taki-defteri</t>
        </is>
      </c>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row>
    <row r="674">
      <c r="A674" s="5" t="inlineStr">
        <is>
          <t>b7-dugun-takilari</t>
        </is>
      </c>
      <c r="B674" s="5" t="n">
        <v>3</v>
      </c>
      <c r="C674" s="6" t="inlineStr">
        <is>
          <t>Takıların gramını anlık hesapla</t>
        </is>
      </c>
      <c r="D674" s="5" t="inlineStr">
        <is>
          <t>Akıl</t>
        </is>
      </c>
      <c r="E674" s="5" t="inlineStr">
        <is>
          <t>Kolay</t>
        </is>
      </c>
      <c r="F674" s="5" t="inlineStr"/>
      <c r="G674" s="6" t="inlineStr"/>
      <c r="H674" s="6" t="inlineStr">
        <is>
          <t>Merasim bitmeden toplamı biliyordun. Düğünün borcu kapandı; kimin ne eksik taktığını da bir tek sen biliyorsun.</t>
        </is>
      </c>
      <c r="I674" s="6" t="inlineStr">
        <is>
          <t>Gramajı öyle hızlı hesapladın ki kuyumcu olan dayı seni işe almak istedi. Hesap sahnede tutuldu.</t>
        </is>
      </c>
      <c r="J674" s="6" t="inlineStr">
        <is>
          <t>Hesapta bir sıfır kaydı. Bir saat boyunca zengin olduğunu sandın.</t>
        </is>
      </c>
      <c r="K674" s="6" t="inlineStr">
        <is>
          <t>Yüksek sesle hesap yaparken mikrofon açıktı. Salondaki herkes kendi takısının değerini öğrendi.</t>
        </is>
      </c>
      <c r="L674" s="6" t="inlineStr"/>
      <c r="M674" s="5" t="inlineStr"/>
      <c r="N674" s="5" t="inlineStr"/>
      <c r="O674" s="6" t="inlineStr"/>
      <c r="P674" s="6" t="inlineStr"/>
      <c r="Q674" s="5" t="inlineStr">
        <is>
          <t>Para Üstü Radarı</t>
        </is>
      </c>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row>
    <row r="675">
      <c r="A675" s="5" t="inlineStr">
        <is>
          <t>b7-balayi</t>
        </is>
      </c>
      <c r="B675" s="5" t="n">
        <v>1</v>
      </c>
      <c r="C675" s="6" t="inlineStr">
        <is>
          <t>Şezlongda yat</t>
        </is>
      </c>
      <c r="D675" s="5" t="inlineStr"/>
      <c r="E675" s="5" t="inlineStr"/>
      <c r="F675" s="5" t="inlineStr">
        <is>
          <t>Dayanıklılık +1</t>
        </is>
      </c>
      <c r="G675" s="6" t="inlineStr">
        <is>
          <t>Yedi gün aynı şezlongdan kalkmadın. Son gün havlu görevlisi vedalaşmaya geldi. Balayı fotoğraflarının hepsinde aynı şemsiye var.</t>
        </is>
      </c>
      <c r="H675" s="6" t="inlineStr"/>
      <c r="I675" s="6" t="inlineStr"/>
      <c r="J675" s="6" t="inlineStr"/>
      <c r="K675" s="6" t="inlineStr"/>
      <c r="L675" s="6" t="inlineStr"/>
      <c r="M675" s="5" t="inlineStr"/>
      <c r="N675" s="5" t="inlineStr"/>
      <c r="O675" s="6" t="inlineStr"/>
      <c r="P675" s="6" t="inlineStr"/>
      <c r="Q675" s="5" t="inlineStr"/>
      <c r="R675" s="5" t="inlineStr"/>
      <c r="S675" s="5" t="inlineStr"/>
      <c r="T675" s="5" t="inlineStr"/>
      <c r="U675" s="5" t="inlineStr"/>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row>
    <row r="676">
      <c r="A676" s="5" t="inlineStr">
        <is>
          <t>b7-balayi</t>
        </is>
      </c>
      <c r="B676" s="5" t="n">
        <v>2</v>
      </c>
      <c r="C676" s="6" t="inlineStr">
        <is>
          <t>Deniz paraşütüne bin</t>
        </is>
      </c>
      <c r="D676" s="5" t="inlineStr">
        <is>
          <t>Cesaret</t>
        </is>
      </c>
      <c r="E676" s="5" t="inlineStr">
        <is>
          <t>Zor</t>
        </is>
      </c>
      <c r="F676" s="5" t="inlineStr"/>
      <c r="G676" s="6" t="inlineStr"/>
      <c r="H676" s="6" t="inlineStr">
        <is>
          <t>Havadan sahili gördün. Eşin aşağıdan el salladı. Fotoğraf çerçevelendi.</t>
        </is>
      </c>
      <c r="I676" s="6" t="inlineStr">
        <is>
          <t>Yukarıda o kadar keyifli göründün ki operatör sana indirimli ikinci tur verdi. Balayı fotoğraflarının yarısı gökyüzünde.</t>
        </is>
      </c>
      <c r="J676" s="6" t="inlineStr">
        <is>
          <t>İp kısa sürdü. Bütün uçuş boyunca otelin çamaşırhanesini izledin.</t>
        </is>
      </c>
      <c r="K676" s="6" t="inlineStr">
        <is>
          <t>İp koptu, denize sen indin. Kurtarma botu seni çıkardı ama alyansını çıkaramadı. Balayının kalanında eşin her sabah iskeleden dalgıca “Bulundu mu?” diye sordu.</t>
        </is>
      </c>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n">
        <v>2</v>
      </c>
      <c r="Z676" s="6" t="inlineStr">
        <is>
          <t>Balayında deniz paraşütünde, 'aşağıdan çok güzel görünüyorsun' mesajını okurken.</t>
        </is>
      </c>
      <c r="AA676" s="5" t="inlineStr"/>
      <c r="AB676" s="5" t="inlineStr"/>
      <c r="AC676" s="5" t="inlineStr"/>
      <c r="AD676" s="5" t="inlineStr"/>
      <c r="AE676" s="5" t="inlineStr"/>
      <c r="AF676" s="5" t="inlineStr"/>
      <c r="AG676" s="5" t="inlineStr"/>
      <c r="AH676" s="5" t="inlineStr"/>
      <c r="AI676" s="5" t="inlineStr"/>
    </row>
    <row r="677">
      <c r="A677" s="5" t="inlineStr">
        <is>
          <t>b7-balayi</t>
        </is>
      </c>
      <c r="B677" s="5" t="n">
        <v>3</v>
      </c>
      <c r="C677" s="6" t="inlineStr">
        <is>
          <t>Açık büfede en iyi masayı kap</t>
        </is>
      </c>
      <c r="D677" s="5" t="inlineStr">
        <is>
          <t>Kurnazlık</t>
        </is>
      </c>
      <c r="E677" s="5" t="inlineStr">
        <is>
          <t>Kolay</t>
        </is>
      </c>
      <c r="F677" s="5" t="inlineStr"/>
      <c r="G677" s="6" t="inlineStr"/>
      <c r="H677" s="6" t="inlineStr">
        <is>
          <t>Deniz manzaralı masayı her sabah sen kaptın. Otel seni tanıyor, masayı da.</t>
        </is>
      </c>
      <c r="I677" s="6" t="inlineStr">
        <is>
          <t>Masayı kaptın, garsonla dost oldun, son gün pasta geldi. Balayını büfe kazandı.</t>
        </is>
      </c>
      <c r="J677" s="6" t="inlineStr">
        <is>
          <t>Havluyla ayırdığın masaya başka bir havlu konmuş. Havlu savaşı kaybedildi.</t>
        </is>
      </c>
      <c r="K677" s="6" t="inlineStr">
        <is>
          <t>Masa kaparken yanlış tabaktan bir dilim aldın. Tabak, yan masadaki çiftin kırkıncı yıl dönümü pastasıymış. Teyze ağladı, amca sana baktı; eşin balayını hâlâ “o pasta olayı” diye anlatıyor.</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inlineStr"/>
      <c r="Z677" s="6" t="inlineStr"/>
      <c r="AA677" s="5" t="inlineStr"/>
      <c r="AB677" s="5" t="inlineStr"/>
      <c r="AC677" s="5" t="inlineStr"/>
      <c r="AD677" s="5" t="inlineStr"/>
      <c r="AE677" s="5" t="inlineStr"/>
      <c r="AF677" s="5" t="inlineStr"/>
      <c r="AG677" s="5" t="inlineStr"/>
      <c r="AH677" s="5" t="inlineStr"/>
      <c r="AI677" s="5" t="inlineStr"/>
    </row>
    <row r="678">
      <c r="A678" s="5" t="inlineStr">
        <is>
          <t>b7-balayi</t>
        </is>
      </c>
      <c r="B678" s="5" t="n">
        <v>4</v>
      </c>
      <c r="C678" s="6" t="inlineStr">
        <is>
          <t>Eşine sürpriz akşam yemeği hazırlat</t>
        </is>
      </c>
      <c r="D678" s="5" t="inlineStr">
        <is>
          <t>Gönül</t>
        </is>
      </c>
      <c r="E678" s="5" t="inlineStr">
        <is>
          <t>Orta</t>
        </is>
      </c>
      <c r="F678" s="5" t="inlineStr"/>
      <c r="G678" s="6" t="inlineStr"/>
      <c r="H678" s="6" t="inlineStr">
        <is>
          <t>Sahilde mum ışığında bir masa ayarladın. Eşin “Ne zaman yaptın bunu?” dedi. Aile grubuna o akşamdan tek fotoğraf gitti; teyzen kalp yolladı.</t>
        </is>
      </c>
      <c r="I678" s="6" t="inlineStr">
        <is>
          <t>Garsonla anlaştın; iskelenin ucuna tek bir masa kuruldu. Eşin ağladı, balıkçılar alkışladı. Bu akşam yıllarca bayram sofralarında anlatılacak.</t>
        </is>
      </c>
      <c r="J678" s="6" t="inlineStr">
        <is>
          <t>Masa hazırdı, mum hazırdı, rüzgâr hazır değildi. Mum on kez söndü; yemeği içeride yediniz.</t>
        </is>
      </c>
      <c r="K678" s="6" t="inlineStr">
        <is>
          <t>Sürpriz masayı yanlış isme ayırttın. Garson mumu yakıp başka bir çifti oturttu; siz açık büfede, havlunun yanında yediniz.</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row>
    <row r="679">
      <c r="A679" s="5" t="inlineStr">
        <is>
          <t>ms-acilis-gecesi</t>
        </is>
      </c>
      <c r="B679" s="5" t="n">
        <v>1</v>
      </c>
      <c r="C679" s="6" t="inlineStr">
        <is>
          <t>İkramları ye, erken kapat</t>
        </is>
      </c>
      <c r="D679" s="5" t="inlineStr"/>
      <c r="E679" s="5" t="inlineStr"/>
      <c r="F679" s="5" t="inlineStr">
        <is>
          <t>Dayanıklılık +1</t>
        </is>
      </c>
      <c r="G679" s="6" t="inlineStr">
        <is>
          <t>Sergi iki saat sürdü. Poğaçaların hepsini sen yedin. Yatırımın bir kısmı geri döndü.</t>
        </is>
      </c>
      <c r="H679" s="6" t="inlineStr"/>
      <c r="I679" s="6" t="inlineStr"/>
      <c r="J679" s="6" t="inlineStr"/>
      <c r="K679" s="6" t="inlineStr"/>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row>
    <row r="680">
      <c r="A680" s="5" t="inlineStr">
        <is>
          <t>ms-acilis-gecesi</t>
        </is>
      </c>
      <c r="B680" s="5" t="n">
        <v>2</v>
      </c>
      <c r="C680" s="6" t="inlineStr">
        <is>
          <t>Üç kişiye tam bir sunum yap</t>
        </is>
      </c>
      <c r="D680" s="5" t="inlineStr">
        <is>
          <t>Çene</t>
        </is>
      </c>
      <c r="E680" s="5" t="inlineStr">
        <is>
          <t>Orta</t>
        </is>
      </c>
      <c r="F680" s="5" t="inlineStr"/>
      <c r="G680" s="6" t="inlineStr"/>
      <c r="H680" s="6" t="inlineStr">
        <is>
          <t>Üç kişiye stadyum coşkusuyla anlattın. Kurye kalıp bir eser satın aldı.</t>
        </is>
      </c>
      <c r="I680" s="6" t="inlineStr">
        <is>
          <t>Kurye anlattıklarını videoya çekti. Ertesi akşam sergide otuz kişi vardı.</t>
        </is>
      </c>
      <c r="J680" s="6" t="inlineStr">
        <is>
          <t>Anlattın; annen 'Bir de ceket giyseydin' dedi.</t>
        </is>
      </c>
      <c r="K680" s="6" t="inlineStr">
        <is>
          <t>Anlatırken kurye gitti, ev arkadaşın da. Annen hâlâ orada; o da taksi bekliyor.</t>
        </is>
      </c>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row>
    <row r="681">
      <c r="A681" s="5" t="inlineStr">
        <is>
          <t>ms-acilis-gecesi</t>
        </is>
      </c>
      <c r="B681" s="5" t="n">
        <v>3</v>
      </c>
      <c r="C681" s="6" t="inlineStr">
        <is>
          <t>Heykelinin yanında fotoğraf çektir</t>
        </is>
      </c>
      <c r="D681" s="5" t="inlineStr">
        <is>
          <t>Pişkinlik</t>
        </is>
      </c>
      <c r="E681" s="5" t="inlineStr">
        <is>
          <t>Kolay</t>
        </is>
      </c>
      <c r="F681" s="5" t="inlineStr"/>
      <c r="G681" s="6" t="inlineStr"/>
      <c r="H681" s="6" t="inlineStr">
        <is>
          <t>Fotoğraf çok beğenildi. Heykelden çok sen.</t>
        </is>
      </c>
      <c r="I681" s="6" t="inlineStr">
        <is>
          <t>Fotoğrafın bir sanat dergisine kapak oldu. Heykelin kenarı da görünüyor.</t>
        </is>
      </c>
      <c r="J681" s="6" t="inlineStr">
        <is>
          <t>Fotoğraftan önce heykel hafifçe sallandı. Sen de.</t>
        </is>
      </c>
      <c r="K681" s="6" t="inlineStr">
        <is>
          <t>Heykel sana yaslandı. İkiniz birlikte bir sonraki kareye girdiniz. Eleştirmen buna 'etkileşim' dedi.</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row>
    <row r="682">
      <c r="A682" s="5" t="inlineStr">
        <is>
          <t>ms-acilis-gecesi</t>
        </is>
      </c>
      <c r="B682" s="5" t="n">
        <v>4</v>
      </c>
      <c r="C682" s="6" t="inlineStr">
        <is>
          <t>Açılışı canlı yayına aç</t>
        </is>
      </c>
      <c r="D682" s="5" t="inlineStr">
        <is>
          <t>Sosyal Radar</t>
        </is>
      </c>
      <c r="E682" s="5" t="inlineStr">
        <is>
          <t>Kolay</t>
        </is>
      </c>
      <c r="F682" s="5" t="inlineStr"/>
      <c r="G682" s="6" t="inlineStr"/>
      <c r="H682" s="6" t="inlineStr">
        <is>
          <t>Salonda üç, yayında üç yüz kişi vardı. Sergi internette kalabalık.</t>
        </is>
      </c>
      <c r="I682" s="6" t="inlineStr">
        <is>
          <t>Yayından bir koleksiyoncu eser istedi. Kurye paketi teslim etti.</t>
        </is>
      </c>
      <c r="J682" s="6" t="inlineStr">
        <is>
          <t>Yayına en çok annen yorum yazdı. Altı kez 'Aferin'.</t>
        </is>
      </c>
      <c r="K682" s="6" t="inlineStr">
        <is>
          <t>Yayında salonun boşluğu yankı yaptı. Yorum: 'Sergi mi, depo mu?'</t>
        </is>
      </c>
      <c r="L682" s="6" t="inlineStr"/>
      <c r="M682" s="5" t="inlineStr"/>
      <c r="N682" s="5" t="inlineStr"/>
      <c r="O682" s="6" t="inlineStr"/>
      <c r="P682" s="6" t="inlineStr"/>
      <c r="Q682" s="5" t="inlineStr"/>
      <c r="R682" s="5" t="inlineStr">
        <is>
          <t>fenomen</t>
        </is>
      </c>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row>
    <row r="683">
      <c r="A683" s="5" t="inlineStr">
        <is>
          <t>b7-bulasik-makinesi</t>
        </is>
      </c>
      <c r="B683" s="5" t="n">
        <v>1</v>
      </c>
      <c r="C683" s="6" t="inlineStr">
        <is>
          <t>Özür dile, yeniden diz</t>
        </is>
      </c>
      <c r="D683" s="5" t="inlineStr"/>
      <c r="E683" s="5" t="inlineStr"/>
      <c r="F683" s="5" t="inlineStr">
        <is>
          <t>Gönül +2</t>
        </is>
      </c>
      <c r="G683" s="6" t="inlineStr">
        <is>
          <t>“Haklısın” dedin, tabakları yeniden dizdin. Eşin arkandan bir kez daha dizdi. Annen telefonda “Baban da otuz yıldır yanlış diziyor” dedi; teselli bu kadar.</t>
        </is>
      </c>
      <c r="H683" s="6" t="inlineStr"/>
      <c r="I683" s="6" t="inlineStr"/>
      <c r="J683" s="6" t="inlineStr"/>
      <c r="K683" s="6" t="inlineStr"/>
      <c r="L683" s="6" t="inlineStr"/>
      <c r="M683" s="5" t="inlineStr"/>
      <c r="N683" s="5" t="inlineStr"/>
      <c r="O683" s="6" t="inlineStr"/>
      <c r="P683" s="6" t="inlineStr"/>
      <c r="Q683" s="5" t="inlineStr"/>
      <c r="R683" s="5" t="inlineStr"/>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row>
    <row r="684">
      <c r="A684" s="5" t="inlineStr">
        <is>
          <t>b7-bulasik-makinesi</t>
        </is>
      </c>
      <c r="B684" s="5" t="n">
        <v>2</v>
      </c>
      <c r="C684" s="6" t="inlineStr">
        <is>
          <t>Kendi yönteminin bilimsel olduğunu savun</t>
        </is>
      </c>
      <c r="D684" s="5" t="inlineStr">
        <is>
          <t>Çene</t>
        </is>
      </c>
      <c r="E684" s="5" t="inlineStr">
        <is>
          <t>Zor</t>
        </is>
      </c>
      <c r="F684" s="5" t="inlineStr"/>
      <c r="G684" s="6" t="inlineStr"/>
      <c r="H684" s="6" t="inlineStr">
        <is>
          <t>Tencerenin neden altta olması gerektiğini ikna edici anlattın. Mutfakta yeni bir düzen kuruldu.</t>
        </is>
      </c>
      <c r="I684" s="6" t="inlineStr">
        <is>
          <t>Savunman öyle güçlüydü ki eşin annesinin makinesini de senin yönteminle dizdi. Kayınvalide aradı: “Bu kimin fikri?” Sesinde övgü yoktu.</t>
        </is>
      </c>
      <c r="J684" s="6" t="inlineStr">
        <is>
          <t>Argümanın “Annemler hep böyle dizer”den ibaretti. Eşin “Annenler de bu yüzden her şeyi iki kere yıkıyor” dedi.</t>
        </is>
      </c>
      <c r="K684" s="6" t="inlineStr">
        <is>
          <t>Savunurken kapağı çarptın, bir bardak kırıldı. Bardak eşinin annesinden kalmaydı. Konu bulaşıktan çıktı.</t>
        </is>
      </c>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row>
    <row r="685">
      <c r="A685" s="5" t="inlineStr">
        <is>
          <t>b7-bulasik-makinesi</t>
        </is>
      </c>
      <c r="B685" s="5" t="n">
        <v>3</v>
      </c>
      <c r="C685" s="6" t="inlineStr">
        <is>
          <t>Makinenin kullanım kılavuzunu çıkar</t>
        </is>
      </c>
      <c r="D685" s="5" t="inlineStr">
        <is>
          <t>Akıl</t>
        </is>
      </c>
      <c r="E685" s="5" t="inlineStr">
        <is>
          <t>Kolay</t>
        </is>
      </c>
      <c r="F685" s="5" t="inlineStr"/>
      <c r="G685" s="6" t="inlineStr"/>
      <c r="H685" s="6" t="inlineStr">
        <is>
          <t>Kılavuz senden yanaydı. Tarihte ilk kez biri kullanım kılavuzunu okudu ve bir tartışma kazandı.</t>
        </is>
      </c>
      <c r="I685" s="6" t="inlineStr">
        <is>
          <t>Kılavuzda ikinizin de yanıldığı anlaşıldı. Ortak düşman bulundu: üretici.</t>
        </is>
      </c>
      <c r="J685" s="6" t="inlineStr">
        <is>
          <t>Kılavuz Makaryaca değilmiş. Dördüncü dilde senin yöntemin 'önerilmez' olarak geçiyor.</t>
        </is>
      </c>
      <c r="K685" s="6" t="inlineStr">
        <is>
          <t>Kılavuzu okurken makinenin üç yıldır yanlış programda çalıştığını fark ettin. Bu da senin hatan sayıldı.</t>
        </is>
      </c>
      <c r="L685" s="6" t="inlineStr"/>
      <c r="M685" s="5" t="inlineStr"/>
      <c r="N685" s="5" t="inlineStr"/>
      <c r="O685" s="6" t="inlineStr"/>
      <c r="P685" s="6" t="inlineStr"/>
      <c r="Q685" s="5" t="inlineStr"/>
      <c r="R685" s="5" t="inlineStr"/>
      <c r="S685" s="5" t="inlineStr">
        <is>
          <t>Akıl</t>
        </is>
      </c>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row>
    <row r="686">
      <c r="A686" s="5" t="inlineStr">
        <is>
          <t>b7-bulasik-makinesi</t>
        </is>
      </c>
      <c r="B686" s="5" t="n">
        <v>4</v>
      </c>
      <c r="C686" s="6" t="inlineStr">
        <is>
          <t>'Bundan sonra elde yıkayalım' de</t>
        </is>
      </c>
      <c r="D686" s="5" t="inlineStr"/>
      <c r="E686" s="5" t="inlineStr"/>
      <c r="F686" s="5" t="inlineStr">
        <is>
          <t>Pişkinlik +1</t>
        </is>
      </c>
      <c r="G686" s="6" t="inlineStr">
        <is>
          <t>Önerin sessizlikle karşılandı. O gece iki kişi, ayrı ayrı, aynı tabağı yıkadı.</t>
        </is>
      </c>
      <c r="H686" s="6" t="inlineStr"/>
      <c r="I686" s="6" t="inlineStr"/>
      <c r="J686" s="6" t="inlineStr"/>
      <c r="K686" s="6" t="inlineStr"/>
      <c r="L686" s="6" t="inlineStr"/>
      <c r="M686" s="5" t="inlineStr"/>
      <c r="N686" s="5" t="inlineStr"/>
      <c r="O686" s="6" t="inlineStr"/>
      <c r="P686" s="6" t="inlineStr"/>
      <c r="Q686" s="5" t="inlineStr"/>
      <c r="R686" s="5" t="inlineStr"/>
      <c r="S686" s="5" t="inlineStr"/>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row>
    <row r="687">
      <c r="A687" s="5" t="inlineStr">
        <is>
          <t>mm-sistem-coktu</t>
        </is>
      </c>
      <c r="B687" s="5" t="n">
        <v>1</v>
      </c>
      <c r="C687" s="6" t="inlineStr">
        <is>
          <t>Kâğıda geç</t>
        </is>
      </c>
      <c r="D687" s="5" t="inlineStr"/>
      <c r="E687" s="5" t="inlineStr"/>
      <c r="F687" s="5" t="inlineStr">
        <is>
          <t>Dayanıklılık +1, Akıl +1</t>
        </is>
      </c>
      <c r="G687" s="6" t="inlineStr">
        <is>
          <t>Eski defteri çekmeceden çıkardın. Sistem üç gün çöktü; defter bir dakika bile çökmedi.</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row>
    <row r="688">
      <c r="A688" s="5" t="inlineStr">
        <is>
          <t>mm-sistem-coktu</t>
        </is>
      </c>
      <c r="B688" s="5" t="n">
        <v>2</v>
      </c>
      <c r="C688" s="6" t="inlineStr">
        <is>
          <t>Bilgi işlemi ara</t>
        </is>
      </c>
      <c r="D688" s="5" t="inlineStr">
        <is>
          <t>Çene</t>
        </is>
      </c>
      <c r="E688" s="5" t="inlineStr">
        <is>
          <t>Orta</t>
        </is>
      </c>
      <c r="F688" s="5" t="inlineStr"/>
      <c r="G688" s="6" t="inlineStr"/>
      <c r="H688" s="6" t="inlineStr">
        <is>
          <t>'Kapatıp açın' dediler. Kapatıp açtın. Çalıştı. Kimse nedenini bilmiyor.</t>
        </is>
      </c>
      <c r="I688" s="6" t="inlineStr">
        <is>
          <t>Bilgi işlem sorunu senin tarifinle buldu ve raporuna adını yazdı. Artık her arızada ilk seni arıyorlar.</t>
        </is>
      </c>
      <c r="J688" s="6" t="inlineStr">
        <is>
          <t>Hat meşgul. Bilgi işlem de yeni sistemi kullanıyormuş.</t>
        </is>
      </c>
      <c r="K688" s="6" t="inlineStr">
        <is>
          <t>Uzaktan bağlandılar ve üç saat boyunca masaüstü arka planını tartıştılar.</t>
        </is>
      </c>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row>
    <row r="689">
      <c r="A689" s="5" t="inlineStr">
        <is>
          <t>mm-sistem-coktu</t>
        </is>
      </c>
      <c r="B689" s="5" t="n">
        <v>3</v>
      </c>
      <c r="C689" s="6" t="inlineStr">
        <is>
          <t>Sistemi kendin çöz</t>
        </is>
      </c>
      <c r="D689" s="5" t="inlineStr">
        <is>
          <t>Akıl</t>
        </is>
      </c>
      <c r="E689" s="5" t="inlineStr">
        <is>
          <t>Orta</t>
        </is>
      </c>
      <c r="F689" s="5" t="inlineStr"/>
      <c r="G689" s="6" t="inlineStr"/>
      <c r="H689" s="6" t="inlineStr">
        <is>
          <t>Yeniden başlatmanın gizli bir sırası olduğunu buldun. Dairenin en değerli bilgisi artık sende.</t>
        </is>
      </c>
      <c r="I689" s="6" t="inlineStr">
        <is>
          <t>Bütün müdürlükler senin yönteminle açıldı. Kayıtlarda adın yok; sistem o sırada kayıt tutmuyordu.</t>
        </is>
      </c>
      <c r="J689" s="6" t="inlineStr">
        <is>
          <t>Sistem bir kez daha çöktü. Bu sefer kayıtlarda senin kullanıcı adınla.</t>
        </is>
      </c>
      <c r="K689" s="6" t="inlineStr">
        <is>
          <t>Bütün kurumun ekranında senin masaüstün yansıdı. Masaüstünde 'emekliliğe kalan gün' tablosu açıktı.</t>
        </is>
      </c>
      <c r="L689" s="6" t="inlineStr"/>
      <c r="M689" s="5" t="inlineStr"/>
      <c r="N689" s="5" t="inlineStr"/>
      <c r="O689" s="6" t="inlineStr"/>
      <c r="P689" s="6" t="inlineStr"/>
      <c r="Q689" s="5" t="inlineStr">
        <is>
          <t>Şifreyi Bilen</t>
        </is>
      </c>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row>
    <row r="690">
      <c r="A690" s="5" t="inlineStr">
        <is>
          <t>mm-sistem-coktu</t>
        </is>
      </c>
      <c r="B690" s="5" t="n">
        <v>4</v>
      </c>
      <c r="C690" s="6" t="inlineStr">
        <is>
          <t>'Sistemde görünmüyor' de</t>
        </is>
      </c>
      <c r="D690" s="5" t="inlineStr">
        <is>
          <t>Pişkinlik</t>
        </is>
      </c>
      <c r="E690" s="5" t="inlineStr">
        <is>
          <t>Kolay</t>
        </is>
      </c>
      <c r="F690" s="5" t="inlineStr"/>
      <c r="G690" s="6" t="inlineStr"/>
      <c r="H690" s="6" t="inlineStr">
        <is>
          <t>Doğruydu. Sistem de görünmüyordu.</t>
        </is>
      </c>
      <c r="I690" s="6" t="inlineStr">
        <is>
          <t>O kadar ikna edici söyledin ki vatandaşlar sana teşekkür edip evlerine döndü.</t>
        </is>
      </c>
      <c r="J690" s="6" t="inlineStr">
        <is>
          <t>Vatandaş telefonundan kendi kaydını gösterdi. Onun sistemi çalışıyor.</t>
        </is>
      </c>
      <c r="K690" s="6" t="inlineStr">
        <is>
          <t>Herkesi yarına gönderdin. Yarın sistem yine çöktü. Kapıdaki sıra artık iki günlük.</t>
        </is>
      </c>
      <c r="L690" s="6" t="inlineStr"/>
      <c r="M690" s="5" t="inlineStr"/>
      <c r="N690" s="5" t="inlineStr"/>
      <c r="O690" s="6" t="inlineStr"/>
      <c r="P690" s="6" t="inlineStr"/>
      <c r="Q690" s="5" t="inlineStr"/>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row>
    <row r="691">
      <c r="A691" s="5" t="inlineStr">
        <is>
          <t>b7-kayinvalide</t>
        </is>
      </c>
      <c r="B691" s="5" t="n">
        <v>1</v>
      </c>
      <c r="C691" s="6" t="inlineStr">
        <is>
          <t>Gülümse, çay tazele</t>
        </is>
      </c>
      <c r="D691" s="5" t="inlineStr"/>
      <c r="E691" s="5" t="inlineStr"/>
      <c r="F691" s="5" t="inlineStr">
        <is>
          <t>Gönül +1</t>
        </is>
      </c>
      <c r="G691" s="6" t="inlineStr">
        <is>
          <t>Gülümsedin, çay tazeledin, sonra bir daha. Üçüncü çayda kayınvalide menemenden bir lokma daha aldı. Bu evde bu bir zafer sayılır.</t>
        </is>
      </c>
      <c r="H691" s="6" t="inlineStr"/>
      <c r="I691" s="6" t="inlineStr"/>
      <c r="J691" s="6" t="inlineStr"/>
      <c r="K691" s="6" t="inlineStr"/>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row>
    <row r="692">
      <c r="A692" s="5" t="inlineStr">
        <is>
          <t>b7-kayinvalide</t>
        </is>
      </c>
      <c r="B692" s="5" t="n">
        <v>2</v>
      </c>
      <c r="C692" s="6" t="inlineStr">
        <is>
          <t>Tarifi kayınvalideye danış</t>
        </is>
      </c>
      <c r="D692" s="5" t="inlineStr">
        <is>
          <t>Sosyal Radar</t>
        </is>
      </c>
      <c r="E692" s="5" t="inlineStr">
        <is>
          <t>Zor</t>
        </is>
      </c>
      <c r="F692" s="5" t="inlineStr"/>
      <c r="G692" s="6" t="inlineStr"/>
      <c r="H692" s="6" t="inlineStr">
        <is>
          <t>Tarifi sordun. Kayınvalide yirmi dakika anlattı. Artık bir müttefikin var.</t>
        </is>
      </c>
      <c r="I692" s="6" t="inlineStr">
        <is>
          <t>Tarifi sordun, sonraki pazar birlikte menemen yaptınız. Aile grubunda eşinden önce sen etiketleniyorsun.</t>
        </is>
      </c>
      <c r="J692" s="6" t="inlineStr">
        <is>
          <t>Tarifi sordun. “Soğan koydun mu?” dedi. “Evet” dedin. “Hmm” dedi. Artık ne demek olduğunu biliyorsun.</t>
        </is>
      </c>
      <c r="K692" s="6" t="inlineStr">
        <is>
          <t>Tarifi sordun; kayınvalide kâğıda yazıp buzdolabına mıknatısla astı. Altına not düştü: “Tuzu ben koyarım.” Artık her pazar geliyor, tuzu koyuyor.</t>
        </is>
      </c>
      <c r="L692" s="6" t="inlineStr"/>
      <c r="M692" s="5" t="inlineStr"/>
      <c r="N692" s="5" t="inlineStr"/>
      <c r="O692" s="6" t="inlineStr"/>
      <c r="P692" s="6" t="inlineStr"/>
      <c r="Q692" s="5" t="inlineStr"/>
      <c r="R692" s="5" t="inlineStr"/>
      <c r="S692" s="5" t="inlineStr"/>
      <c r="T692" s="5" t="inlineStr">
        <is>
          <t>Kayınvalide Diplomatı</t>
        </is>
      </c>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row>
    <row r="693">
      <c r="A693" s="5" t="inlineStr">
        <is>
          <t>b7-kayinvalide</t>
        </is>
      </c>
      <c r="B693" s="5" t="n">
        <v>3</v>
      </c>
      <c r="C693" s="6" t="inlineStr">
        <is>
          <t>'Menemeni eşim yaptı' de</t>
        </is>
      </c>
      <c r="D693" s="5" t="inlineStr">
        <is>
          <t>Pişkinlik</t>
        </is>
      </c>
      <c r="E693" s="5" t="inlineStr">
        <is>
          <t>Orta</t>
        </is>
      </c>
      <c r="F693" s="5" t="inlineStr"/>
      <c r="G693" s="6" t="inlineStr"/>
      <c r="H693" s="6" t="inlineStr">
        <is>
          <t>Eleştiri anında övgüye dönüştü. Menemen o gün 'harika' ilan edildi.</t>
        </is>
      </c>
      <c r="I693" s="6" t="inlineStr">
        <is>
          <t>Kayınvalide menemeni öyle övdü ki eşin sonraki bayram için menemen hazırlamakla görevlendirildi. Sen izledin.</t>
        </is>
      </c>
      <c r="J693" s="6" t="inlineStr">
        <is>
          <t>Eşin 'Ben yapmadım' dedi. Masada iki 'Hmm' vardı artık.</t>
        </is>
      </c>
      <c r="K693" s="6" t="inlineStr">
        <is>
          <t>Kayınvalide “O zaman bir daha yapsın, izleyelim” dedi. Eşin hayatında ilk kez menemen yaptı; yumurta tavaya değil ocağa gitti. Kayınvalide hiçbir şey demedi; sadece sana baktı.</t>
        </is>
      </c>
      <c r="L693" s="6" t="inlineStr"/>
      <c r="M693" s="5" t="inlineStr"/>
      <c r="N693" s="5" t="inlineStr"/>
      <c r="O693" s="6" t="inlineStr"/>
      <c r="P693" s="6" t="inlineStr"/>
      <c r="Q693" s="5" t="inlineStr"/>
      <c r="R693" s="5" t="inlineStr"/>
      <c r="S693" s="5" t="inlineStr">
        <is>
          <t>Sosyal Radar</t>
        </is>
      </c>
      <c r="T693" s="5" t="inlineStr"/>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row>
    <row r="694">
      <c r="A694" s="5" t="inlineStr">
        <is>
          <t>b7-kayinvalide</t>
        </is>
      </c>
      <c r="B694" s="5" t="n">
        <v>4</v>
      </c>
      <c r="C694" s="6" t="inlineStr">
        <is>
          <t>Kayınpederle maç sohbetine sığın</t>
        </is>
      </c>
      <c r="D694" s="5" t="inlineStr">
        <is>
          <t>Çene</t>
        </is>
      </c>
      <c r="E694" s="5" t="inlineStr">
        <is>
          <t>Kolay</t>
        </is>
      </c>
      <c r="F694" s="5" t="inlineStr"/>
      <c r="G694" s="6" t="inlineStr"/>
      <c r="H694" s="6" t="inlineStr">
        <is>
          <t>Şehrin büyük takımını konuştunuz. Kayınpeder seni masanın öbür ucundan korudu.</t>
        </is>
      </c>
      <c r="I694" s="6" t="inlineStr">
        <is>
          <t>Kayınpederle o kadar iyi anlaştın ki seni maça davet etti. Eşin davetsiz kaldı.</t>
        </is>
      </c>
      <c r="J694" s="6" t="inlineStr">
        <is>
          <t>Kayınpeder rakip takımı tutuyormuş. Masada ikinci bir cephe açıldı.</t>
        </is>
      </c>
      <c r="K694" s="6" t="inlineStr">
        <is>
          <t>Gol anını anlatırken masaya vurdun; menemen tavası kayınvalidenin eteğine kaydı. Kayınvalide “Hmm” bile demedi. Bu daha kötüydü.</t>
        </is>
      </c>
      <c r="L694" s="6" t="inlineStr"/>
      <c r="M694" s="5" t="inlineStr"/>
      <c r="N694" s="5" t="inlineStr"/>
      <c r="O694" s="6" t="inlineStr"/>
      <c r="P694" s="6" t="inlineStr"/>
      <c r="Q694" s="5" t="inlineStr"/>
      <c r="R694" s="5" t="inlineStr"/>
      <c r="S694" s="5" t="inlineStr"/>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row>
    <row r="695">
      <c r="A695" s="5" t="inlineStr">
        <is>
          <t>b7-akraba-tanisma</t>
        </is>
      </c>
      <c r="B695" s="5" t="n">
        <v>1</v>
      </c>
      <c r="C695" s="6" t="inlineStr">
        <is>
          <t>Nezaketle katıl, sonra kaç</t>
        </is>
      </c>
      <c r="D695" s="5" t="inlineStr"/>
      <c r="E695" s="5" t="inlineStr"/>
      <c r="F695" s="5" t="inlineStr">
        <is>
          <t>Sosyal Radar +1</t>
        </is>
      </c>
      <c r="G695" s="6" t="inlineStr">
        <is>
          <t>Kırk dakika hava durumu konuştunuz. İki teyze sonuçtan memnun, siz ikiniz değil.</t>
        </is>
      </c>
      <c r="H695" s="6" t="inlineStr"/>
      <c r="I695" s="6" t="inlineStr"/>
      <c r="J695" s="6" t="inlineStr"/>
      <c r="K695" s="6" t="inlineStr"/>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row>
    <row r="696">
      <c r="A696" s="5" t="inlineStr">
        <is>
          <t>b7-akraba-tanisma</t>
        </is>
      </c>
      <c r="B696" s="5" t="n">
        <v>2</v>
      </c>
      <c r="C696" s="6" t="inlineStr">
        <is>
          <t>Komşunun yeğeniyle göz göze gel, teyzelere karşı birleş</t>
        </is>
      </c>
      <c r="D696" s="5" t="inlineStr">
        <is>
          <t>Sosyal Radar</t>
        </is>
      </c>
      <c r="E696" s="5" t="inlineStr">
        <is>
          <t>Kolay</t>
        </is>
      </c>
      <c r="F696" s="5" t="inlineStr"/>
      <c r="G696" s="6" t="inlineStr"/>
      <c r="H696" s="6" t="inlineStr">
        <is>
          <t>Aynı anda göz devirdiniz. Buluşmayı kendiniz sonlandırıp kahveye başka yerde devam ettiniz.</t>
        </is>
      </c>
      <c r="I696" s="6" t="inlineStr">
        <is>
          <t>İttifak o kadar iyi işledi ki iki teyzeyi birbirine tanıştırıp kalktınız. Teyzeler hâlâ görüşüyor.</t>
        </is>
      </c>
      <c r="J696" s="6" t="inlineStr">
        <is>
          <t>Göz kırptın. Komşunun yeğeni bunu başka türlü anladı, teyzeler de. İkinci buluşma ayarlandı.</t>
        </is>
      </c>
      <c r="K696" s="6" t="inlineStr">
        <is>
          <t>Göz devirirken teyzen seni yakaladı. Aile grubunda 'saygısızlık' başlıklı bir sesli mesaj dolaşıyor.</t>
        </is>
      </c>
      <c r="L696" s="6" t="inlineStr"/>
      <c r="M696" s="5" t="inlineStr"/>
      <c r="N696" s="5" t="inlineStr"/>
      <c r="O696" s="6" t="inlineStr"/>
      <c r="P696" s="6" t="inlineStr"/>
      <c r="Q696" s="5" t="inlineStr"/>
      <c r="R696" s="5" t="inlineStr"/>
      <c r="S696" s="5" t="inlineStr">
        <is>
          <t>Sosyal Radar</t>
        </is>
      </c>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row>
    <row r="697">
      <c r="A697" s="5" t="inlineStr">
        <is>
          <t>b7-akraba-tanisma</t>
        </is>
      </c>
      <c r="B697" s="5" t="n">
        <v>3</v>
      </c>
      <c r="C697" s="6" t="inlineStr">
        <is>
          <t>Kendini olabildiğince sıkıcı anlat</t>
        </is>
      </c>
      <c r="D697" s="5" t="inlineStr">
        <is>
          <t>Pişkinlik</t>
        </is>
      </c>
      <c r="E697" s="5" t="inlineStr">
        <is>
          <t>Orta</t>
        </is>
      </c>
      <c r="F697" s="5" t="inlineStr"/>
      <c r="G697" s="6" t="inlineStr"/>
      <c r="H697" s="6" t="inlineStr">
        <is>
          <t>Vergi mevzuatını anlattın. Tanışma yirmi dakikada, herkesin rızasıyla sona erdi.</t>
        </is>
      </c>
      <c r="I697" s="6" t="inlineStr">
        <is>
          <t>Öyle sıkıcıydın ki komşunun yeğeni “Ben de tam böyle sakin birini arıyordum” dedi. İkinci buluşmayı sen istedin; teyzeler hâlâ nasıl olduğunu anlamadı.</t>
        </is>
      </c>
      <c r="J697" s="6" t="inlineStr">
        <is>
          <t>Sıkıcı olmak için vergi mevzuatını açtın. Komşunun yeğeni vergi dairesinde çalışıyormuş. Üç saat konuştunuz.</t>
        </is>
      </c>
      <c r="K697" s="6" t="inlineStr">
        <is>
          <t>Sıkıcılığın teyzelere 'ciddi insan' olarak yansıdı. Nişan tarihi konuşuluyor.</t>
        </is>
      </c>
      <c r="L697" s="6" t="inlineStr"/>
      <c r="M697" s="5" t="inlineStr"/>
      <c r="N697" s="5" t="inlineStr"/>
      <c r="O697" s="6" t="inlineStr"/>
      <c r="P697" s="6" t="inlineStr"/>
      <c r="Q697" s="5" t="inlineStr"/>
      <c r="R697" s="5" t="inlineStr"/>
      <c r="S697" s="5" t="inlineStr"/>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row>
    <row r="698">
      <c r="A698" s="5" t="inlineStr">
        <is>
          <t>b7-ortak-hesap</t>
        </is>
      </c>
      <c r="B698" s="5" t="n">
        <v>1</v>
      </c>
      <c r="C698" s="6" t="inlineStr">
        <is>
          <t>'Evet, şeffaflık' de</t>
        </is>
      </c>
      <c r="D698" s="5" t="inlineStr"/>
      <c r="E698" s="5" t="inlineStr"/>
      <c r="F698" s="5" t="inlineStr">
        <is>
          <t>İtibar +1</t>
        </is>
      </c>
      <c r="G698" s="6" t="inlineStr">
        <is>
          <t>Bildirimler ikinize de gidiyor. Gece yarısı yemek siparişleri artık kamuya açık.</t>
        </is>
      </c>
      <c r="H698" s="6" t="inlineStr"/>
      <c r="I698" s="6" t="inlineStr"/>
      <c r="J698" s="6" t="inlineStr"/>
      <c r="K698" s="6" t="inlineStr"/>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row>
    <row r="699">
      <c r="A699" s="5" t="inlineStr">
        <is>
          <t>b7-ortak-hesap</t>
        </is>
      </c>
      <c r="B699" s="5" t="n">
        <v>2</v>
      </c>
      <c r="C699" s="6" t="inlineStr">
        <is>
          <t>Bütçe tablosu hazırla</t>
        </is>
      </c>
      <c r="D699" s="5" t="inlineStr">
        <is>
          <t>Akıl</t>
        </is>
      </c>
      <c r="E699" s="5" t="inlineStr">
        <is>
          <t>Zor</t>
        </is>
      </c>
      <c r="F699" s="5" t="inlineStr"/>
      <c r="G699" s="6" t="inlineStr"/>
      <c r="H699" s="6" t="inlineStr">
        <is>
          <t>Tablo hazır: gelir, gider, 'keyfi harcamalar'. Son sütun en kalabalık olanı.</t>
        </is>
      </c>
      <c r="I699" s="6" t="inlineStr">
        <is>
          <t>Tablon öyle kusursuzdu ki eşin onu ailesine gösterdi. Aile de kendi bütçesini sana yaptırmak istiyor.</t>
        </is>
      </c>
      <c r="J699" s="6" t="inlineStr">
        <is>
          <t>Tablo hazırlandı. Kimse açmadı. Tablo şu an masaüstünde, 'yeni klasör (3)' içinde.</t>
        </is>
      </c>
      <c r="K699" s="6" t="inlineStr">
        <is>
          <t>Tabloya göre ikiniz de altı aydır iflastasınız. Kimse bu bilgiyi istememişti.</t>
        </is>
      </c>
      <c r="L699" s="6" t="inlineStr"/>
      <c r="M699" s="5" t="inlineStr"/>
      <c r="N699" s="5" t="inlineStr"/>
      <c r="O699" s="6" t="inlineStr"/>
      <c r="P699" s="6" t="inlineStr"/>
      <c r="Q699" s="5" t="inlineStr"/>
      <c r="R699" s="5" t="inlineStr"/>
      <c r="S699" s="5" t="inlineStr"/>
      <c r="T699" s="5" t="inlineStr">
        <is>
          <t>Tablo Ustası</t>
        </is>
      </c>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row>
    <row r="700">
      <c r="A700" s="5" t="inlineStr">
        <is>
          <t>b7-ortak-hesap</t>
        </is>
      </c>
      <c r="B700" s="5" t="n">
        <v>3</v>
      </c>
      <c r="C700" s="6" t="inlineStr">
        <is>
          <t>Gizli bir 'kendime' hesabı aç</t>
        </is>
      </c>
      <c r="D700" s="5" t="inlineStr">
        <is>
          <t>Kurnazlık</t>
        </is>
      </c>
      <c r="E700" s="5" t="inlineStr">
        <is>
          <t>Zor</t>
        </is>
      </c>
      <c r="F700" s="5" t="inlineStr"/>
      <c r="G700" s="6" t="inlineStr"/>
      <c r="H700" s="6" t="inlineStr">
        <is>
          <t>Yan hesap sessizce açıldı. Adı 'Acil durum'. Acil durum henüz tanımlanmadı.</t>
        </is>
      </c>
      <c r="I700" s="6" t="inlineStr">
        <is>
          <t>Gizli hesap o kadar iyi yönetildi ki yıl dönümü hediyesi oradan çıktı. Eşin çok sevindi, kaynağı sormadı.</t>
        </is>
      </c>
      <c r="J700" s="6" t="inlineStr">
        <is>
          <t>Banka temsilcisi yeni hesabı yüksek sesle onayladı. Eşin yanındaydı.</t>
        </is>
      </c>
      <c r="K700" s="6" t="inlineStr">
        <is>
          <t>Gizli hesabın bildirimi ortak telefona düştü. Hesabın adı “Kaçış Fonu”. Eşin telefonu sana uzattı ve hiçbir şey sormadı. Ertesi sabah hesabın adı “Ortak Tatil” olmuştu; şifreyi de eşin değiştirmişti.</t>
        </is>
      </c>
      <c r="L700" s="6" t="inlineStr"/>
      <c r="M700" s="5" t="inlineStr"/>
      <c r="N700" s="5" t="inlineStr"/>
      <c r="O700" s="6" t="inlineStr"/>
      <c r="P700" s="6" t="inlineStr"/>
      <c r="Q700" s="5" t="inlineStr"/>
      <c r="R700" s="5" t="inlineStr"/>
      <c r="S700" s="5" t="inlineStr"/>
      <c r="T700" s="5" t="inlineStr"/>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row>
    <row r="701">
      <c r="A701" s="5" t="inlineStr">
        <is>
          <t>b7-ortak-hesap</t>
        </is>
      </c>
      <c r="B701" s="5" t="n">
        <v>4</v>
      </c>
      <c r="C701" s="6" t="inlineStr">
        <is>
          <t>Eski borçlarını masaya koy</t>
        </is>
      </c>
      <c r="D701" s="5" t="inlineStr">
        <is>
          <t>İtibar</t>
        </is>
      </c>
      <c r="E701" s="5" t="inlineStr">
        <is>
          <t>Orta</t>
        </is>
      </c>
      <c r="F701" s="5" t="inlineStr"/>
      <c r="G701" s="6" t="inlineStr"/>
      <c r="H701" s="6" t="inlineStr">
        <is>
          <t>Borçlarını itiraf ettin. Eşin sarıldı. Sonra hesap makinesini aldı.</t>
        </is>
      </c>
      <c r="I701" s="6" t="inlineStr">
        <is>
          <t>İtirafın o kadar dürüsttü ki eşin de kendi taksitlerini açıkladı. Ortak bir kapanış planı yapıldı.</t>
        </is>
      </c>
      <c r="J701" s="6" t="inlineStr">
        <is>
          <t>İtiraf ettin. Eşin 'Bu kadar mı?' dedi. Değildi.</t>
        </is>
      </c>
      <c r="K701" s="6" t="inlineStr">
        <is>
          <t>İtiraf ederken rakamı yanlış söyledin. Gerçeği ertesi ay ekstre söyledi.</t>
        </is>
      </c>
      <c r="L701" s="6" t="inlineStr"/>
      <c r="M701" s="5" t="inlineStr"/>
      <c r="N701" s="5" t="inlineStr"/>
      <c r="O701" s="6" t="inlineStr"/>
      <c r="P701" s="6" t="inlineStr"/>
      <c r="Q701" s="5" t="inlineStr"/>
      <c r="R701" s="5" t="inlineStr">
        <is>
          <t>borclu</t>
        </is>
      </c>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row>
    <row r="702">
      <c r="A702" s="5" t="inlineStr">
        <is>
          <t>b7-spor-salonu</t>
        </is>
      </c>
      <c r="B702" s="5" t="n">
        <v>1</v>
      </c>
      <c r="C702" s="6" t="inlineStr">
        <is>
          <t>Aylık al, bakarız</t>
        </is>
      </c>
      <c r="D702" s="5" t="inlineStr"/>
      <c r="E702" s="5" t="inlineStr"/>
      <c r="F702" s="5" t="inlineStr">
        <is>
          <t>Akıl +1</t>
        </is>
      </c>
      <c r="G702" s="6" t="inlineStr">
        <is>
          <t>Aylık üyelik aldın. Üç kez gittin. Dördüncü seferde kapıdaki görevli seni tanımadı.</t>
        </is>
      </c>
      <c r="H702" s="6" t="inlineStr"/>
      <c r="I702" s="6" t="inlineStr"/>
      <c r="J702" s="6" t="inlineStr"/>
      <c r="K702" s="6" t="inlineStr"/>
      <c r="L702" s="6" t="inlineStr"/>
      <c r="M702" s="5" t="inlineStr"/>
      <c r="N702" s="5" t="inlineStr"/>
      <c r="O702" s="6" t="inlineStr"/>
      <c r="P702" s="6" t="inlineStr"/>
      <c r="Q702" s="5" t="inlineStr"/>
      <c r="R702" s="5" t="inlineStr"/>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row>
    <row r="703">
      <c r="A703" s="5" t="inlineStr">
        <is>
          <t>b7-spor-salonu</t>
        </is>
      </c>
      <c r="B703" s="5" t="n">
        <v>2</v>
      </c>
      <c r="C703" s="6" t="inlineStr">
        <is>
          <t>Yıllık al, her sabah git</t>
        </is>
      </c>
      <c r="D703" s="5" t="inlineStr">
        <is>
          <t>Dayanıklılık</t>
        </is>
      </c>
      <c r="E703" s="5" t="inlineStr">
        <is>
          <t>Zor</t>
        </is>
      </c>
      <c r="F703" s="5" t="inlineStr"/>
      <c r="G703" s="6" t="inlineStr"/>
      <c r="H703" s="6" t="inlineStr">
        <is>
          <t>Bir yıl boyunca haftada üç gün gittin. Merdivenler artık düşman değil.</t>
        </is>
      </c>
      <c r="I703" s="6" t="inlineStr">
        <is>
          <t>Salonun 'Ayın Üyesi' panosuna fotoğrafın asıldı. Eğitmen artık sana kasları göstermiyor, seninkilere bakıyor.</t>
        </is>
      </c>
      <c r="J703" s="6" t="inlineStr">
        <is>
          <t>Yıllık aldın. Mart ayında salonun yerini unuttun.</t>
        </is>
      </c>
      <c r="K703" s="6" t="inlineStr">
        <is>
          <t>Yıllık aldın, ilk gün ısınmadan çömeldin. Belin tuttu. Kalan on bir ay salona değil fizik tedaviye gittin; annen her gün arayıp “Sana kim dedi?” diye sordu.</t>
        </is>
      </c>
      <c r="L703" s="6" t="inlineStr"/>
      <c r="M703" s="5" t="inlineStr"/>
      <c r="N703" s="5" t="inlineStr"/>
      <c r="O703" s="6" t="inlineStr"/>
      <c r="P703" s="6" t="inlineStr"/>
      <c r="Q703" s="5" t="inlineStr"/>
      <c r="R703" s="5" t="inlineStr"/>
      <c r="S703" s="5" t="inlineStr"/>
      <c r="T703" s="5" t="inlineStr"/>
      <c r="U703" s="5" t="inlineStr"/>
      <c r="V703" s="5" t="inlineStr">
        <is>
          <t>sporcu</t>
        </is>
      </c>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row>
    <row r="704">
      <c r="A704" s="5" t="inlineStr">
        <is>
          <t>b7-spor-salonu</t>
        </is>
      </c>
      <c r="B704" s="5" t="n">
        <v>3</v>
      </c>
      <c r="C704" s="6" t="inlineStr">
        <is>
          <t>İlk günden eğitmenin ağırlığını kaldırmaya çalış</t>
        </is>
      </c>
      <c r="D704" s="5" t="inlineStr">
        <is>
          <t>Cesaret</t>
        </is>
      </c>
      <c r="E704" s="5" t="inlineStr">
        <is>
          <t>Zor</t>
        </is>
      </c>
      <c r="F704" s="5" t="inlineStr"/>
      <c r="G704" s="6" t="inlineStr"/>
      <c r="H704" s="6" t="inlineStr">
        <is>
          <t>Kaldırdın. Eğitmen ilk kez karın kaslarını unuttu ve seni alkışladı.</t>
        </is>
      </c>
      <c r="I704" s="6" t="inlineStr">
        <is>
          <t>Kaldırdın, bir de rekor kırdın. Salonun sosyal medya hesabında 'motivasyon' başlıklı video oldun.</t>
        </is>
      </c>
      <c r="J704" s="6" t="inlineStr">
        <is>
          <t>Bar yarı yolda kaldı. Eğitmen 'Adım adım' dedi. Adımı o attı, barı o aldı.</t>
        </is>
      </c>
      <c r="K704" s="6" t="inlineStr">
        <is>
          <t>Barı kaldıramadın; bar da göğsünden kalkmadı. Üç kişi seni kurtardı, dördüncüsü videoya çekti. Video salonun hesabında “Bunu yapmayın” başlığıyla duruyor.</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n">
        <v>1</v>
      </c>
      <c r="Z704" s="6" t="inlineStr">
        <is>
          <t>Spor salonunun ilk gününde, eğitmene bir şey kanıtlamaya çalışırken.</t>
        </is>
      </c>
      <c r="AA704" s="5" t="inlineStr"/>
      <c r="AB704" s="5" t="inlineStr"/>
      <c r="AC704" s="5" t="inlineStr"/>
      <c r="AD704" s="5" t="inlineStr"/>
      <c r="AE704" s="5" t="inlineStr"/>
      <c r="AF704" s="5" t="inlineStr"/>
      <c r="AG704" s="5" t="inlineStr"/>
      <c r="AH704" s="5" t="inlineStr"/>
      <c r="AI704" s="5" t="inlineStr"/>
    </row>
    <row r="705">
      <c r="A705" s="5" t="inlineStr">
        <is>
          <t>b7-spor-salonu</t>
        </is>
      </c>
      <c r="B705" s="5" t="n">
        <v>4</v>
      </c>
      <c r="C705" s="6" t="inlineStr">
        <is>
          <t>Salona yalnızca buhar odası için git</t>
        </is>
      </c>
      <c r="D705" s="5" t="inlineStr">
        <is>
          <t>Dayanıklılık</t>
        </is>
      </c>
      <c r="E705" s="5" t="inlineStr">
        <is>
          <t>Kolay</t>
        </is>
      </c>
      <c r="F705" s="5" t="inlineStr"/>
      <c r="G705" s="6" t="inlineStr"/>
      <c r="H705" s="6" t="inlineStr">
        <is>
          <t>Salona düzenli gittin; çoğu zaman sadece duş aldın. Yine de sayılır.</t>
        </is>
      </c>
      <c r="I705" s="6" t="inlineStr">
        <is>
          <t>İstikrarın öyle yüksekti ki gerçekten spor yapmaya başladın. Ne zaman olduğunu kendin de fark etmedin.</t>
        </is>
      </c>
      <c r="J705" s="6" t="inlineStr">
        <is>
          <t>Buhar odasında uyuyakaldın. Salon kapandı, sen kapanmadın.</t>
        </is>
      </c>
      <c r="K705" s="6" t="inlineStr">
        <is>
          <t>Buhar odasında o kadar vakit geçirdin ki üyeliğin 'kaplıca' kategorisine alındı ve fiyatı arttı.</t>
        </is>
      </c>
      <c r="L705" s="6" t="inlineStr"/>
      <c r="M705" s="5" t="inlineStr"/>
      <c r="N705" s="5" t="inlineStr"/>
      <c r="O705" s="6" t="inlineStr"/>
      <c r="P705" s="6" t="inlineStr"/>
      <c r="Q705" s="5" t="inlineStr">
        <is>
          <t>Kolay Dağılmaz</t>
        </is>
      </c>
      <c r="R705" s="5" t="inlineStr"/>
      <c r="S705" s="5" t="inlineStr"/>
      <c r="T705" s="5" t="inlineStr"/>
      <c r="U705" s="5" t="inlineStr"/>
      <c r="V705" s="5" t="inlineStr">
        <is>
          <t>sporcu</t>
        </is>
      </c>
      <c r="W705" s="5" t="inlineStr"/>
      <c r="X705" s="5" t="inlineStr"/>
      <c r="Y705" s="5" t="inlineStr"/>
      <c r="Z705" s="6" t="inlineStr"/>
      <c r="AA705" s="5" t="inlineStr"/>
      <c r="AB705" s="5" t="inlineStr"/>
      <c r="AC705" s="5" t="inlineStr"/>
      <c r="AD705" s="5" t="inlineStr"/>
      <c r="AE705" s="5" t="inlineStr"/>
      <c r="AF705" s="5" t="inlineStr"/>
      <c r="AG705" s="5" t="inlineStr"/>
      <c r="AH705" s="5" t="inlineStr"/>
      <c r="AI705" s="5" t="inlineStr"/>
    </row>
    <row r="706">
      <c r="A706" s="5" t="inlineStr">
        <is>
          <t>ms-viral</t>
        </is>
      </c>
      <c r="B706" s="5" t="n">
        <v>1</v>
      </c>
      <c r="C706" s="6" t="inlineStr">
        <is>
          <t>Canlı yayında tekrarla</t>
        </is>
      </c>
      <c r="D706" s="5" t="inlineStr">
        <is>
          <t>Pişkinlik</t>
        </is>
      </c>
      <c r="E706" s="5" t="inlineStr">
        <is>
          <t>Orta</t>
        </is>
      </c>
      <c r="F706" s="5" t="inlineStr"/>
      <c r="G706" s="6" t="inlineStr"/>
      <c r="H706" s="6" t="inlineStr">
        <is>
          <t>İki milyondan on iki bin kişi kaldı. Sadık bir kitle.</t>
        </is>
      </c>
      <c r="I706" s="6" t="inlineStr">
        <is>
          <t>Canlı yayın rekor kırdı. Üç ajans aradı; biri gerçekti.</t>
        </is>
      </c>
      <c r="J706" s="6" t="inlineStr">
        <is>
          <t>Canlıda bir yerde takıldın. Yorumlar: 'Montajmış zaten.'</t>
        </is>
      </c>
      <c r="K706" s="6" t="inlineStr">
        <is>
          <t>Canlı yayında ritmi kaybettin. Bu kez o video viral oldu. Daha çok.</t>
        </is>
      </c>
      <c r="L706" s="6" t="inlineStr">
        <is>
          <t>Yarı yarıya tuttu. Yorumların yarısı 'efsane', yarısı 'eh'.</t>
        </is>
      </c>
      <c r="M706" s="5" t="inlineStr">
        <is>
          <t>rhythm</t>
        </is>
      </c>
      <c r="N706" s="5" t="inlineStr">
        <is>
          <t>Canlı Performans</t>
        </is>
      </c>
      <c r="O706" s="6" t="inlineStr">
        <is>
          <t>Işık parladığı anda dokun. İki milyon kişi izliyor. Belki.</t>
        </is>
      </c>
      <c r="P706" s="6" t="inlineStr"/>
      <c r="Q706" s="5" t="inlineStr"/>
      <c r="R706" s="5" t="inlineStr"/>
      <c r="S706" s="5" t="inlineStr"/>
      <c r="T706" s="5" t="inlineStr"/>
      <c r="U706" s="5" t="inlineStr">
        <is>
          <t>serbest-viral-oldu</t>
        </is>
      </c>
      <c r="V706" s="5" t="inlineStr"/>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row>
    <row r="707">
      <c r="A707" s="5" t="inlineStr">
        <is>
          <t>ms-viral</t>
        </is>
      </c>
      <c r="B707" s="5" t="n">
        <v>2</v>
      </c>
      <c r="C707" s="6" t="inlineStr">
        <is>
          <t>Reklam teklifini kabul et</t>
        </is>
      </c>
      <c r="D707" s="5" t="inlineStr">
        <is>
          <t>Kurnazlık</t>
        </is>
      </c>
      <c r="E707" s="5" t="inlineStr">
        <is>
          <t>Kolay</t>
        </is>
      </c>
      <c r="F707" s="5" t="inlineStr"/>
      <c r="G707" s="6" t="inlineStr"/>
      <c r="H707" s="6" t="inlineStr">
        <is>
          <t>Bir çamaşır suyuna sanatsal yorum getirdin. Üç aylık kira çözüldü.</t>
        </is>
      </c>
      <c r="I707" s="6" t="inlineStr">
        <is>
          <t>Reklam öyle tuttu ki ikinci sezon çekildi. Sanatın artık bir raf ömrü var.</t>
        </is>
      </c>
      <c r="J707" s="6" t="inlineStr">
        <is>
          <t>Reklamı çektin; ödeme 'görünürlük' olarak yapıldı. Tanıdık bir kavram.</t>
        </is>
      </c>
      <c r="K707" s="6" t="inlineStr">
        <is>
          <t>Reklamdan sonra yorumlar tek kelimeye indi: 'Satıldı.' Evet, ama çok ucuza.</t>
        </is>
      </c>
      <c r="L707" s="6" t="inlineStr"/>
      <c r="M707" s="5" t="inlineStr"/>
      <c r="N707" s="5" t="inlineStr"/>
      <c r="O707" s="6" t="inlineStr"/>
      <c r="P707" s="6" t="inlineStr"/>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row>
    <row r="708">
      <c r="A708" s="5" t="inlineStr">
        <is>
          <t>ms-viral</t>
        </is>
      </c>
      <c r="B708" s="5" t="n">
        <v>3</v>
      </c>
      <c r="C708" s="6" t="inlineStr">
        <is>
          <t>Eski takipçi ordunu seferber et</t>
        </is>
      </c>
      <c r="D708" s="5" t="inlineStr">
        <is>
          <t>Sosyal Radar</t>
        </is>
      </c>
      <c r="E708" s="5" t="inlineStr">
        <is>
          <t>Kolay</t>
        </is>
      </c>
      <c r="F708" s="5" t="inlineStr"/>
      <c r="G708" s="6" t="inlineStr"/>
      <c r="H708" s="6" t="inlineStr">
        <is>
          <t>Eski takipçilerin 'Biz ilk günden biliyorduk' diye yazdı. Kitle ikiye katlandı.</t>
        </is>
      </c>
      <c r="I708" s="6" t="inlineStr">
        <is>
          <t>Eski ve yeni takipçiler birleşti. Belediye seni yaz şenliğine çağırdı. Afişte adın yanlış yazılmış ama büyük; annen afişin önünde fotoğraf çektirdi.</t>
        </is>
      </c>
      <c r="J708" s="6" t="inlineStr">
        <is>
          <t>Eski takipçilerin yeni takipçilerle tartıştı. Yorumlar senin dışında her şeyi konuşuyor.</t>
        </is>
      </c>
      <c r="K708" s="6" t="inlineStr">
        <is>
          <t>Eski takipçilerin, on yıl önce kedin için yazdığın şiiri buldu. Yeni takipçiler şiiri sesli okuyup müzik yaptı. Artık seni o şiirle tanıyorlar.</t>
        </is>
      </c>
      <c r="L708" s="6" t="inlineStr"/>
      <c r="M708" s="5" t="inlineStr"/>
      <c r="N708" s="5" t="inlineStr"/>
      <c r="O708" s="6" t="inlineStr"/>
      <c r="P708" s="6" t="inlineStr"/>
      <c r="Q708" s="5" t="inlineStr"/>
      <c r="R708" s="5" t="inlineStr">
        <is>
          <t>fenomen</t>
        </is>
      </c>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row>
    <row r="709">
      <c r="A709" s="5" t="inlineStr">
        <is>
          <t>ms-viral</t>
        </is>
      </c>
      <c r="B709" s="5" t="n">
        <v>4</v>
      </c>
      <c r="C709" s="6" t="inlineStr">
        <is>
          <t>Telefonu bir hafta kapat</t>
        </is>
      </c>
      <c r="D709" s="5" t="inlineStr"/>
      <c r="E709" s="5" t="inlineStr"/>
      <c r="F709" s="5" t="inlineStr">
        <is>
          <t>Dayanıklılık +1</t>
        </is>
      </c>
      <c r="G709" s="6" t="inlineStr">
        <is>
          <t>Bir hafta sonra açtığında akım bitmiş, yerine bir kedi videosu gelmişti. Ün, on bir gün sürdü.</t>
        </is>
      </c>
      <c r="H709" s="6" t="inlineStr"/>
      <c r="I709" s="6" t="inlineStr"/>
      <c r="J709" s="6" t="inlineStr"/>
      <c r="K709" s="6" t="inlineStr"/>
      <c r="L709" s="6" t="inlineStr"/>
      <c r="M709" s="5" t="inlineStr"/>
      <c r="N709" s="5" t="inlineStr"/>
      <c r="O709" s="6" t="inlineStr"/>
      <c r="P709" s="6" t="inlineStr"/>
      <c r="Q709" s="5" t="inlineStr"/>
      <c r="R709" s="5" t="inlineStr"/>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row>
    <row r="710">
      <c r="A710" s="5" t="inlineStr">
        <is>
          <t>b7-cocuk-karari</t>
        </is>
      </c>
      <c r="B710" s="5" t="n">
        <v>1</v>
      </c>
      <c r="C710" s="6" t="inlineStr">
        <is>
          <t>'Evet, hazırım' de</t>
        </is>
      </c>
      <c r="D710" s="5" t="inlineStr"/>
      <c r="E710" s="5" t="inlineStr"/>
      <c r="F710" s="5" t="inlineStr">
        <is>
          <t>Cesaret +1, Gönül +1</t>
        </is>
      </c>
      <c r="G710" s="6" t="inlineStr">
        <is>
          <t>“Hazırım” dedin. Ertesi sabah annen örgüye başladı; cinsiyet belli olmadığı için her şey sarı. Dokuz ay sonra evde bir patik dağı ve bir bebek vardı. İlk gece üçünüz de ağladınız.</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cocuklu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row>
    <row r="711">
      <c r="A711" s="5" t="inlineStr">
        <is>
          <t>b7-cocuk-karari</t>
        </is>
      </c>
      <c r="B711" s="5" t="n">
        <v>2</v>
      </c>
      <c r="C711" s="6" t="inlineStr">
        <is>
          <t>'Önce biraz daha seyahat edelim' de</t>
        </is>
      </c>
      <c r="D711" s="5" t="inlineStr"/>
      <c r="E711" s="5" t="inlineStr"/>
      <c r="F711" s="5" t="inlineStr">
        <is>
          <t>Kurnazlık +1</t>
        </is>
      </c>
      <c r="G711" s="6" t="inlineStr">
        <is>
          <t>“Önce biraz gezelim” dedin. Eşin “Peki” dedi ve tabağını kaldırdı. O gece televizyonda yine bebek bezi reklamı çıktı; kumandaya ikiniz birden uzandınız.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row>
    <row r="712">
      <c r="A712" s="5" t="inlineStr">
        <is>
          <t>b7-cocuk-karari</t>
        </is>
      </c>
      <c r="B712" s="5" t="n">
        <v>3</v>
      </c>
      <c r="C712" s="6" t="inlineStr">
        <is>
          <t>Maliyet tablosu hazırla</t>
        </is>
      </c>
      <c r="D712" s="5" t="inlineStr">
        <is>
          <t>Akıl</t>
        </is>
      </c>
      <c r="E712" s="5" t="inlineStr">
        <is>
          <t>Orta</t>
        </is>
      </c>
      <c r="F712" s="5" t="inlineStr"/>
      <c r="G712" s="6" t="inlineStr"/>
      <c r="H712" s="6" t="inlineStr">
        <is>
          <t>Tablo korkunçtu ama eşin 'Yine de' dedi. Sen de 'Yine de' dedin. Aile büyüdü.</t>
        </is>
      </c>
      <c r="I712" s="6" t="inlineStr">
        <is>
          <t>Tablo o kadar iyiydi ki bebek odası bütçenin altında kuruldu. Tablo bebek albümüne kondu.</t>
        </is>
      </c>
      <c r="J712" s="6" t="inlineStr">
        <is>
          <t>Tablonun sonunda 'on sekiz yıl' yazıyordu. İkiniz de uzun süre sustunuz.</t>
        </is>
      </c>
      <c r="K712" s="6" t="inlineStr">
        <is>
          <t>Tabloyu sunarken bebek arabası fiyatlarını yüksek sesle okudun. Eşin bilgisayarı kapattı: “Asıl pahalı olan sensin.” O gece kanepede yattın; konu bir yıl açılmadı.</t>
        </is>
      </c>
      <c r="L712" s="6" t="inlineStr"/>
      <c r="M712" s="5" t="inlineStr"/>
      <c r="N712" s="5" t="inlineStr"/>
      <c r="O712" s="6" t="inlineStr"/>
      <c r="P712" s="6" t="inlineStr"/>
      <c r="Q712" s="5" t="inlineStr"/>
      <c r="R712" s="5" t="inlineStr"/>
      <c r="S712" s="5" t="inlineStr"/>
      <c r="T712" s="5" t="inlineStr"/>
      <c r="U712" s="5" t="inlineStr"/>
      <c r="V712" s="5" t="inlineStr">
        <is>
          <t>cocuklu</t>
        </is>
      </c>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row>
    <row r="713">
      <c r="A713" s="5" t="inlineStr">
        <is>
          <t>b7-cocuk-karari</t>
        </is>
      </c>
      <c r="B713" s="5" t="n">
        <v>4</v>
      </c>
      <c r="C713" s="6" t="inlineStr">
        <is>
          <t>'Önce kedimizi soralım' de</t>
        </is>
      </c>
      <c r="D713" s="5" t="inlineStr">
        <is>
          <t>Pişkinlik</t>
        </is>
      </c>
      <c r="E713" s="5" t="inlineStr">
        <is>
          <t>Kolay</t>
        </is>
      </c>
      <c r="F713" s="5" t="inlineStr"/>
      <c r="G713" s="6" t="inlineStr"/>
      <c r="H713" s="6" t="inlineStr">
        <is>
          <t>Kedi gözlerini yavaşça kırptı. Eşin bunu “evet” saydı, sen itiraz etmedin. Aile büyüdü; kedinin henüz haberi yok.</t>
        </is>
      </c>
      <c r="I713" s="6" t="inlineStr">
        <is>
          <t>Kedi kucağına oturdu ve mırladı. Eşin ağladı, sen ağladın, kedi uyudu. Karar oy birliğiyle alındı.</t>
        </is>
      </c>
      <c r="J713" s="6" t="inlineStr">
        <is>
          <t>Kedi odayı terk etti. Oylama ertelendi.</t>
        </is>
      </c>
      <c r="K713" s="6" t="inlineStr">
        <is>
          <t>Kedi tam o anda vazoyu devirdi. Bu, evdeki tek bebeğin yeterince yorucu olduğunun kanıtı sayıldı.</t>
        </is>
      </c>
      <c r="L713" s="6" t="inlineStr"/>
      <c r="M713" s="5" t="inlineStr"/>
      <c r="N713" s="5" t="inlineStr"/>
      <c r="O713" s="6" t="inlineStr"/>
      <c r="P713" s="6" t="inlineStr"/>
      <c r="Q713" s="5" t="inlineStr"/>
      <c r="R713" s="5" t="inlineStr">
        <is>
          <t>kediGeldi</t>
        </is>
      </c>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row>
    <row r="714">
      <c r="A714" s="5" t="inlineStr">
        <is>
          <t>b7-cocuk-karari</t>
        </is>
      </c>
      <c r="B714" s="5" t="n">
        <v>5</v>
      </c>
      <c r="C714" s="6" t="inlineStr">
        <is>
          <t>“Olursa olur” de, hayata bırak</t>
        </is>
      </c>
      <c r="D714" s="5" t="inlineStr">
        <is>
          <t>Dayanıklılık</t>
        </is>
      </c>
      <c r="E714" s="5" t="inlineStr">
        <is>
          <t>Orta</t>
        </is>
      </c>
      <c r="F714" s="5" t="inlineStr"/>
      <c r="G714" s="6" t="inlineStr"/>
      <c r="H714" s="6" t="inlineStr">
        <is>
          <t>Hayata bıraktınız; hayat hemen cevap verdi. Ultrasonda iki kalp atışı var. Doktor “Tebrikler” dedi; sonra bir daha “Tebrikler.”</t>
        </is>
      </c>
      <c r="I714" s="6" t="inlineStr">
        <is>
          <t>İkiz geldi; biri sana, biri eşine benziyor. Hangisinin kime benzediği konusunda aileler hâlâ anlaşamadı.</t>
        </is>
      </c>
      <c r="J714" s="6" t="inlineStr">
        <is>
          <t>Hayata bıraktınız; hayat bu konuda acele etmedi. Bir süre daha iki kişilik sofradasınız.</t>
        </is>
      </c>
      <c r="K714" s="6" t="inlineStr">
        <is>
          <t>Hayata bıraktınız, hayat kediyi gönderdi. Kapının önünde üç yavru var; bakımı sende.</t>
        </is>
      </c>
      <c r="L714" s="6" t="inlineStr"/>
      <c r="M714" s="5" t="inlineStr"/>
      <c r="N714" s="5" t="inlineStr"/>
      <c r="O714" s="6" t="inlineStr"/>
      <c r="P714" s="6" t="inlineStr"/>
      <c r="Q714" s="5" t="inlineStr"/>
      <c r="R714" s="5" t="inlineStr"/>
      <c r="S714" s="5" t="inlineStr"/>
      <c r="T714" s="5" t="inlineStr"/>
      <c r="U714" s="5" t="inlineStr"/>
      <c r="V714" s="5" t="inlineStr">
        <is>
          <t>cocuklu, ikiz</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row>
    <row r="715">
      <c r="A715" s="5" t="inlineStr">
        <is>
          <t>me-kasa-ve-pos</t>
        </is>
      </c>
      <c r="B715" s="5" t="n">
        <v>1</v>
      </c>
      <c r="C715" s="6" t="inlineStr">
        <is>
          <t>Yere çömel, topla</t>
        </is>
      </c>
      <c r="D715" s="5" t="inlineStr">
        <is>
          <t>Dayanıklılık</t>
        </is>
      </c>
      <c r="E715" s="5" t="inlineStr">
        <is>
          <t>Kolay</t>
        </is>
      </c>
      <c r="F715" s="5" t="inlineStr"/>
      <c r="G715" s="6" t="inlineStr"/>
      <c r="H715" s="6" t="inlineStr">
        <is>
          <t>Bozuklukları topladın, para üstünü tam verdin. Müşteri kasanın düzenine hayran kaldı.</t>
        </is>
      </c>
      <c r="I715" s="6" t="inlineStr">
        <is>
          <t>Bozuklukların yanında geçen yıl kaybolan iki madeni para daha buldun. Kasa ilk kez fazla verdi.</t>
        </is>
      </c>
      <c r="J715" s="6" t="inlineStr">
        <is>
          <t>Topladın ama para üstü eksik çıktı. Müşteri 'Kalsın' dedi. Bu cümleden daha pahalısı yok.</t>
        </is>
      </c>
      <c r="K715" s="6" t="inlineStr">
        <is>
          <t>Toplarken tezgâha kafanı vurdun, kasayı açık bıraktın. Gün sonu sayımında fazla çıkan tek şey baş ağrısı.</t>
        </is>
      </c>
      <c r="L715" s="6" t="inlineStr">
        <is>
          <t>Çoğunu topladın. Birkaçı raf altında yeni bir hayata başladı.</t>
        </is>
      </c>
      <c r="M715" s="5" t="inlineStr">
        <is>
          <t>collect</t>
        </is>
      </c>
      <c r="N715" s="5" t="inlineStr">
        <is>
          <t>Bozuk Para Seferberliği</t>
        </is>
      </c>
      <c r="O715" s="6" t="inlineStr">
        <is>
          <t>Dökülen bozuklukları müşterinin sabrı bitmeden topla. Buzdolabının altına kaçanlar gider yazılır.</t>
        </is>
      </c>
      <c r="P715" s="6" t="inlineStr">
        <is>
          <t>{"piece": "🪙"}</t>
        </is>
      </c>
      <c r="Q715" s="5" t="inlineStr"/>
      <c r="R715" s="5" t="inlineStr"/>
      <c r="S715" s="5" t="inlineStr"/>
      <c r="T715" s="5" t="inlineStr"/>
      <c r="U715" s="5" t="inlineStr"/>
      <c r="V715" s="5" t="inlineStr"/>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row>
    <row r="716">
      <c r="A716" s="5" t="inlineStr">
        <is>
          <t>me-kasa-ve-pos</t>
        </is>
      </c>
      <c r="B716" s="5" t="n">
        <v>2</v>
      </c>
      <c r="C716" s="6" t="inlineStr">
        <is>
          <t>'Kartla ödeyin' de</t>
        </is>
      </c>
      <c r="D716" s="5" t="inlineStr"/>
      <c r="E716" s="5" t="inlineStr"/>
      <c r="F716" s="5" t="inlineStr">
        <is>
          <t>Çene +1, Akıl +1</t>
        </is>
      </c>
      <c r="G716" s="6" t="inlineStr">
        <is>
          <t>Pos cihazını uzattın. Cihaz 'bağlantı bekleniyor' yazdı. Müşteri de bekledi. Bozukluk kazandı.</t>
        </is>
      </c>
      <c r="H716" s="6" t="inlineStr"/>
      <c r="I716" s="6" t="inlineStr"/>
      <c r="J716" s="6" t="inlineStr"/>
      <c r="K716" s="6" t="inlineStr"/>
      <c r="L716" s="6" t="inlineStr"/>
      <c r="M716" s="5" t="inlineStr"/>
      <c r="N716" s="5" t="inlineStr"/>
      <c r="O716" s="6" t="inlineStr"/>
      <c r="P716" s="6" t="inlineStr"/>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row>
    <row r="717">
      <c r="A717" s="5" t="inlineStr">
        <is>
          <t>me-kasa-ve-pos</t>
        </is>
      </c>
      <c r="B717" s="5" t="n">
        <v>3</v>
      </c>
      <c r="C717" s="6" t="inlineStr">
        <is>
          <t>Para üstü yerine sakız ver</t>
        </is>
      </c>
      <c r="D717" s="5" t="inlineStr">
        <is>
          <t>Pişkinlik</t>
        </is>
      </c>
      <c r="E717" s="5" t="inlineStr">
        <is>
          <t>Orta</t>
        </is>
      </c>
      <c r="F717" s="5" t="inlineStr"/>
      <c r="G717" s="6" t="inlineStr"/>
      <c r="H717" s="6" t="inlineStr">
        <is>
          <t>Para üstü yerine sakız verdin. Müşteri itiraz etmedi, sakızı da beğendi.</t>
        </is>
      </c>
      <c r="I717" s="6" t="inlineStr">
        <is>
          <t>Sakızlı para üstü mahallede öyle yerleşti ki çocuklar harçlıklarını sakız olarak ister oldu.</t>
        </is>
      </c>
      <c r="J717" s="6" t="inlineStr">
        <is>
          <t>Müşteri sakızı geri verdi, para üstünü istedi; sakızın fiyatını da düşerek.</t>
        </is>
      </c>
      <c r="K717" s="6" t="inlineStr">
        <is>
          <t>Ertesi gün aynı müşteri sakızla ödeme yapmaya çalıştı. Mantığına itiraz edemedin.</t>
        </is>
      </c>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row>
    <row r="718">
      <c r="A718" s="5" t="inlineStr">
        <is>
          <t>me-kasa-ve-pos</t>
        </is>
      </c>
      <c r="B718" s="5" t="n">
        <v>4</v>
      </c>
      <c r="C718" s="6" t="inlineStr">
        <is>
          <t>Yerdekileri tek bakışta say</t>
        </is>
      </c>
      <c r="D718" s="5" t="inlineStr">
        <is>
          <t>Akıl</t>
        </is>
      </c>
      <c r="E718" s="5" t="inlineStr">
        <is>
          <t>Kolay</t>
        </is>
      </c>
      <c r="F718" s="5" t="inlineStr"/>
      <c r="G718" s="6" t="inlineStr"/>
      <c r="H718" s="6" t="inlineStr">
        <is>
          <t>Yere baktın, toplamı söyledin. Müşteri saydı, tuttu. Kuruşu kuruşuna.</t>
        </is>
      </c>
      <c r="I718" s="6" t="inlineStr">
        <is>
          <t>Tek bakışta saydın, para üstünü ezbere verdin. Müşteri seni mahalleye 'insan hesap makinesi' diye tanıttı.</t>
        </is>
      </c>
      <c r="J718" s="6" t="inlineStr">
        <is>
          <t>Saydın; bir tanesi tezgâhın altındaymış. Hesap bir bozuk eksik, gurur bir ton.</t>
        </is>
      </c>
      <c r="K718" s="6" t="inlineStr">
        <is>
          <t>Yanlış saydın, kendinden emin söyledin. Müşteri para üstüyle birlikte bir de özür aldı.</t>
        </is>
      </c>
      <c r="L718" s="6" t="inlineStr"/>
      <c r="M718" s="5" t="inlineStr"/>
      <c r="N718" s="5" t="inlineStr"/>
      <c r="O718" s="6" t="inlineStr"/>
      <c r="P718" s="6" t="inlineStr"/>
      <c r="Q718" s="5" t="inlineStr">
        <is>
          <t>Para Üstü Radarı</t>
        </is>
      </c>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row>
    <row r="719">
      <c r="A719" s="5" t="inlineStr">
        <is>
          <t>b7-tek-kisilik-tatil</t>
        </is>
      </c>
      <c r="B719" s="5" t="n">
        <v>1</v>
      </c>
      <c r="C719" s="6" t="inlineStr">
        <is>
          <t>'Bir' de, gurur duy</t>
        </is>
      </c>
      <c r="D719" s="5" t="inlineStr"/>
      <c r="E719" s="5" t="inlineStr"/>
      <c r="F719" s="5" t="inlineStr">
        <is>
          <t>Cesaret +1, Dayanıklılık +1</t>
        </is>
      </c>
      <c r="G719" s="6" t="inlineStr">
        <is>
          <t>“Bir” dedin. Tek kişilik oda, iki kişiliğin yüzde doksanı fiyatına. Arkandaki çift fısıldaştı: “Biz de tek tek mi alsak?”</t>
        </is>
      </c>
      <c r="H719" s="6" t="inlineStr"/>
      <c r="I719" s="6" t="inlineStr"/>
      <c r="J719" s="6" t="inlineStr"/>
      <c r="K719" s="6" t="inlineStr"/>
      <c r="L719" s="6" t="inlineStr"/>
      <c r="M719" s="5" t="inlineStr"/>
      <c r="N719" s="5" t="inlineStr"/>
      <c r="O719" s="6" t="inlineStr"/>
      <c r="P719" s="6" t="inlineStr"/>
      <c r="Q719" s="5" t="inlineStr"/>
      <c r="R719" s="5" t="inlineStr"/>
      <c r="S719" s="5" t="inlineStr"/>
      <c r="T719" s="5" t="inlineStr"/>
      <c r="U719" s="5" t="inlineStr">
        <is>
          <t>yalniz-gezgin</t>
        </is>
      </c>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row>
    <row r="720">
      <c r="A720" s="5" t="inlineStr">
        <is>
          <t>b7-tek-kisilik-tatil</t>
        </is>
      </c>
      <c r="B720" s="5" t="n">
        <v>2</v>
      </c>
      <c r="C720" s="6" t="inlineStr">
        <is>
          <t>Akşam yemeğinde tek başına masaya otur</t>
        </is>
      </c>
      <c r="D720" s="5" t="inlineStr">
        <is>
          <t>Pişkinlik</t>
        </is>
      </c>
      <c r="E720" s="5" t="inlineStr">
        <is>
          <t>Orta</t>
        </is>
      </c>
      <c r="F720" s="5" t="inlineStr"/>
      <c r="G720" s="6" t="inlineStr"/>
      <c r="H720" s="6" t="inlineStr">
        <is>
          <t>Kitabını açtın, yemeğini yedin, manzaraya baktın. Yan masadaki çiftler seni kıskançlıkla izledi.</t>
        </is>
      </c>
      <c r="I720" s="6" t="inlineStr">
        <is>
          <t>Öyle huzurlu göründün ki garson bir tatlı getirdi: “Yalnız yemek olmaz, bu bizden.” Yan masadaki çift aynı tatlıyı parayla sipariş etti.</t>
        </is>
      </c>
      <c r="J720" s="6" t="inlineStr">
        <is>
          <t>Garson ikinci sandalyeyi almadı. Bütün akşam o sandalyeye bakarak yedin.</t>
        </is>
      </c>
      <c r="K720" s="6" t="inlineStr">
        <is>
          <t>Garson 'Beklediğiniz kişi gelecek mi?' diye beş kez sordu. Altıncıda 'Gelmeyecek' dedin, restoran bir anlığına sustu.</t>
        </is>
      </c>
      <c r="L720" s="6" t="inlineStr"/>
      <c r="M720" s="5" t="inlineStr"/>
      <c r="N720" s="5" t="inlineStr"/>
      <c r="O720" s="6" t="inlineStr"/>
      <c r="P720" s="6" t="inlineStr"/>
      <c r="Q720" s="5" t="inlineStr"/>
      <c r="R720" s="5" t="inlineStr"/>
      <c r="S720" s="5" t="inlineStr"/>
      <c r="T720" s="5" t="inlineStr"/>
      <c r="U720" s="5" t="inlineStr"/>
      <c r="V720" s="5" t="inlineStr">
        <is>
          <t>yalniz-gezgin</t>
        </is>
      </c>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row>
    <row r="721">
      <c r="A721" s="5" t="inlineStr">
        <is>
          <t>b7-tek-kisilik-tatil</t>
        </is>
      </c>
      <c r="B721" s="5" t="n">
        <v>3</v>
      </c>
      <c r="C721" s="6" t="inlineStr">
        <is>
          <t>Tur grubuna katıl</t>
        </is>
      </c>
      <c r="D721" s="5" t="inlineStr">
        <is>
          <t>Çene</t>
        </is>
      </c>
      <c r="E721" s="5" t="inlineStr">
        <is>
          <t>Kolay</t>
        </is>
      </c>
      <c r="F721" s="5" t="inlineStr"/>
      <c r="G721" s="6" t="inlineStr"/>
      <c r="H721" s="6" t="inlineStr">
        <is>
          <t>Tur grubunda yeni arkadaşlar edindin. Mesaj grubu tatilden sonra da yaşıyor.</t>
        </is>
      </c>
      <c r="I721" s="6" t="inlineStr">
        <is>
          <t>Tur rehberi seni 'grup sözcüsü' ilan etti. Tatilin sonunda herkes sana teşekkür notu yazdı.</t>
        </is>
      </c>
      <c r="J721" s="6" t="inlineStr">
        <is>
          <t>Tur grubunun yaş ortalaması 67 çıktı. Harika insanlardı. Çok erken yattılar.</t>
        </is>
      </c>
      <c r="K721" s="6" t="inlineStr">
        <is>
          <t>Turda otobüsü kaçırdın. Grup seni bıraktı ama mesaj grubu senin hakkında konuşmayı bırakmadı.</t>
        </is>
      </c>
      <c r="L721" s="6" t="inlineStr"/>
      <c r="M721" s="5" t="inlineStr"/>
      <c r="N721" s="5" t="inlineStr"/>
      <c r="O721" s="6" t="inlineStr"/>
      <c r="P721" s="6" t="inlineStr"/>
      <c r="Q721" s="5" t="inlineStr"/>
      <c r="R721" s="5" t="inlineStr"/>
      <c r="S721" s="5" t="inlineStr"/>
      <c r="T721" s="5" t="inlineStr"/>
      <c r="U721" s="5" t="inlineStr"/>
      <c r="V721" s="5" t="inlineStr"/>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row>
    <row r="722">
      <c r="A722" s="5" t="inlineStr">
        <is>
          <t>mb-terfi-yarisi</t>
        </is>
      </c>
      <c r="B722" s="5" t="n">
        <v>1</v>
      </c>
      <c r="C722" s="6" t="inlineStr">
        <is>
          <t>Yönetime sunum yap</t>
        </is>
      </c>
      <c r="D722" s="5" t="inlineStr">
        <is>
          <t>Cesaret</t>
        </is>
      </c>
      <c r="E722" s="5" t="inlineStr">
        <is>
          <t>Zor</t>
        </is>
      </c>
      <c r="F722" s="5" t="inlineStr"/>
      <c r="G722" s="6" t="inlineStr"/>
      <c r="H722" s="6" t="inlineStr">
        <is>
          <t>Sunum bitti, sessizlik oldu, sonra biri “Harika” dedi. Unvanına “kıdemli” eklendi. Annen aile grubuna “Bizimki müdür oldu” yazdı. Düzeltmedin.</t>
        </is>
      </c>
      <c r="I722" s="6" t="inlineStr">
        <is>
          <t>Genel müdür bir slaydının fotoğrafını çekti. Terfin aynı gün e-postayla geldi.</t>
        </is>
      </c>
      <c r="J722" s="6" t="inlineStr">
        <is>
          <t>Sunumun ortasında slayt dondu. Sen de dondun. İkiniz birlikte çözüldünüz; çok geç.</t>
        </is>
      </c>
      <c r="K722" s="6" t="inlineStr">
        <is>
          <t>Sunum yerine tatil fotoğraflarını açtın. Yönetim kurulu yirmi dokuz fotoğraf izledi. Hepsini.</t>
        </is>
      </c>
      <c r="L722" s="6" t="inlineStr">
        <is>
          <t>Sesin iki kez titredi ama rakamlar sağlamdı. Karar 'bir sonraki çeyreğe' ertelendi.</t>
        </is>
      </c>
      <c r="M722" s="5" t="inlineStr">
        <is>
          <t>breath</t>
        </is>
      </c>
      <c r="N722" s="5" t="inlineStr">
        <is>
          <t>Sunum Nefesi</t>
        </is>
      </c>
      <c r="O722" s="6" t="inlineStr">
        <is>
          <t>Daire büyürken bas, küçülürken bırak. Slaytlar değil, nefes geçer.</t>
        </is>
      </c>
      <c r="P722" s="6" t="inlineStr"/>
      <c r="Q722" s="5" t="inlineStr"/>
      <c r="R722" s="5" t="inlineStr"/>
      <c r="S722" s="5" t="inlineStr"/>
      <c r="T722" s="5" t="inlineStr"/>
      <c r="U722" s="5" t="inlineStr"/>
      <c r="V722" s="5" t="inlineStr">
        <is>
          <t>beyazyaka-terfi-aldi</t>
        </is>
      </c>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row>
    <row r="723">
      <c r="A723" s="5" t="inlineStr">
        <is>
          <t>mb-terfi-yarisi</t>
        </is>
      </c>
      <c r="B723" s="5" t="n">
        <v>2</v>
      </c>
      <c r="C723" s="6" t="inlineStr">
        <is>
          <t>Öğle yemeği masasına sen de otur</t>
        </is>
      </c>
      <c r="D723" s="5" t="inlineStr">
        <is>
          <t>Sosyal Radar</t>
        </is>
      </c>
      <c r="E723" s="5" t="inlineStr">
        <is>
          <t>Orta</t>
        </is>
      </c>
      <c r="F723" s="5" t="inlineStr"/>
      <c r="G723" s="6" t="inlineStr"/>
      <c r="H723" s="6" t="inlineStr">
        <is>
          <t>Üç hafta yöneticinin yemek düzenine uydun. Terfin mercimek çorbası üstünde onaylandı.</t>
        </is>
      </c>
      <c r="I723" s="6" t="inlineStr">
        <is>
          <t>Yöneticiyle aynı tatlıyı sevdiğinizi keşfettiniz. Terfi ve tatlı tarifi aynı gün geldi.</t>
        </is>
      </c>
      <c r="J723" s="6" t="inlineStr">
        <is>
          <t>Masaya oturdun; yöneticin diyete girdi ve öğle yemeğini bıraktı.</t>
        </is>
      </c>
      <c r="K723" s="6" t="inlineStr">
        <is>
          <t>Masaya oturdun, çatalın rakibinin köftesine gitti; herkesin gözü önünde. O günden beri yemekhanede sana “Köfte” diyorlar. Terfiyi rakibin aldı.</t>
        </is>
      </c>
      <c r="L723" s="6" t="inlineStr"/>
      <c r="M723" s="5" t="inlineStr"/>
      <c r="N723" s="5" t="inlineStr"/>
      <c r="O723" s="6" t="inlineStr"/>
      <c r="P723" s="6" t="inlineStr"/>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c r="AI723" s="5" t="inlineStr"/>
    </row>
    <row r="724">
      <c r="A724" s="5" t="inlineStr">
        <is>
          <t>mb-terfi-yarisi</t>
        </is>
      </c>
      <c r="B724" s="5" t="n">
        <v>3</v>
      </c>
      <c r="C724" s="6" t="inlineStr">
        <is>
          <t>Ekip adına proje planı hazırla</t>
        </is>
      </c>
      <c r="D724" s="5" t="inlineStr">
        <is>
          <t>Akıl</t>
        </is>
      </c>
      <c r="E724" s="5" t="inlineStr">
        <is>
          <t>Kolay</t>
        </is>
      </c>
      <c r="F724" s="5" t="inlineStr"/>
      <c r="G724" s="6" t="inlineStr"/>
      <c r="H724" s="6" t="inlineStr">
        <is>
          <t>Planın o kadar düzenliydi ki yönetim, ekibi zaten senin yönettiğini düşündü. Unvan geldi.</t>
        </is>
      </c>
      <c r="I724" s="6" t="inlineStr">
        <is>
          <t>Plan diğer departmanlara da örnek gösterildi. Terfine bir de 'süreç sahibi' eklendi.</t>
        </is>
      </c>
      <c r="J724" s="6" t="inlineStr">
        <is>
          <t>Plan harikaydı. Rakibin onu yönetime 'bizim plan' diye sundu.</t>
        </is>
      </c>
      <c r="K724" s="6" t="inlineStr">
        <is>
          <t>Planı hazırladın, e-postayı rakibine gönderdin. Terfi, planla birlikte ona geçti.</t>
        </is>
      </c>
      <c r="L724" s="6" t="inlineStr"/>
      <c r="M724" s="5" t="inlineStr"/>
      <c r="N724" s="5" t="inlineStr"/>
      <c r="O724" s="6" t="inlineStr"/>
      <c r="P724" s="6" t="inlineStr"/>
      <c r="Q724" s="5" t="inlineStr">
        <is>
          <t>Kuralı Koyan</t>
        </is>
      </c>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row>
    <row r="725">
      <c r="A725" s="5" t="inlineStr">
        <is>
          <t>mb-terfi-yarisi</t>
        </is>
      </c>
      <c r="B725" s="5" t="n">
        <v>4</v>
      </c>
      <c r="C725" s="6" t="inlineStr">
        <is>
          <t>Rakibini tebrik et, çekil</t>
        </is>
      </c>
      <c r="D725" s="5" t="inlineStr"/>
      <c r="E725" s="5" t="inlineStr"/>
      <c r="F725" s="5" t="inlineStr">
        <is>
          <t>İtibar +1</t>
        </is>
      </c>
      <c r="G725" s="6" t="inlineStr">
        <is>
          <t>Rakibin terfi etti, sen ona pasta aldın. Artık o senin yöneticin; pasta faturası sende.</t>
        </is>
      </c>
      <c r="H725" s="6" t="inlineStr"/>
      <c r="I725" s="6" t="inlineStr"/>
      <c r="J725" s="6" t="inlineStr"/>
      <c r="K725" s="6" t="inlineStr"/>
      <c r="L725" s="6" t="inlineStr"/>
      <c r="M725" s="5" t="inlineStr"/>
      <c r="N725" s="5" t="inlineStr"/>
      <c r="O725" s="6" t="inlineStr"/>
      <c r="P725" s="6" t="inlineStr"/>
      <c r="Q725" s="5" t="inlineStr"/>
      <c r="R725" s="5" t="inlineStr"/>
      <c r="S725" s="5" t="inlineStr"/>
      <c r="T725" s="5" t="inlineStr"/>
      <c r="U725" s="5" t="inlineStr"/>
      <c r="V725" s="5" t="inlineStr"/>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row>
    <row r="726">
      <c r="A726" s="5" t="inlineStr">
        <is>
          <t>mm-lojman-kurasi</t>
        </is>
      </c>
      <c r="B726" s="5" t="n">
        <v>1</v>
      </c>
      <c r="C726" s="6" t="inlineStr">
        <is>
          <t>Kuraya gir</t>
        </is>
      </c>
      <c r="D726" s="5" t="inlineStr">
        <is>
          <t>Dayanıklılık</t>
        </is>
      </c>
      <c r="E726" s="5" t="inlineStr">
        <is>
          <t>Orta</t>
        </is>
      </c>
      <c r="F726" s="5" t="inlineStr"/>
      <c r="G726" s="6" t="inlineStr"/>
      <c r="H726" s="6" t="inlineStr">
        <is>
          <t>Daire çıktı. Kalorifer yok ama balkondan müdürlük görünüyor; bu da bir tür ısınma.</t>
        </is>
      </c>
      <c r="I726" s="6" t="inlineStr">
        <is>
          <t>En iyi daire çıktı. Duvarlar kalın, müdür uzak, kalorifer çalışıyor. Kıskançlık da.</t>
        </is>
      </c>
      <c r="J726" s="6" t="inlineStr">
        <is>
          <t>Yedek listedesin. Yedek listedekiler, yedek listenin yedeğini bekliyor.</t>
        </is>
      </c>
      <c r="K726" s="6" t="inlineStr">
        <is>
          <t>Müdürün alt katı çıktı. Evde terlikle yürümek kurum içi yazıyla düzenlendi.</t>
        </is>
      </c>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row>
    <row r="727">
      <c r="A727" s="5" t="inlineStr">
        <is>
          <t>mm-lojman-kurasi</t>
        </is>
      </c>
      <c r="B727" s="5" t="n">
        <v>2</v>
      </c>
      <c r="C727" s="6" t="inlineStr">
        <is>
          <t>Evli olduğunu belirt</t>
        </is>
      </c>
      <c r="D727" s="5" t="inlineStr">
        <is>
          <t>Çene</t>
        </is>
      </c>
      <c r="E727" s="5" t="inlineStr">
        <is>
          <t>Kolay</t>
        </is>
      </c>
      <c r="F727" s="5" t="inlineStr"/>
      <c r="G727" s="6" t="inlineStr"/>
      <c r="H727" s="6" t="inlineStr">
        <is>
          <t>Aile puanın yükseldi, daire çıktı. Evliliğin ilk resmî getirisi.</t>
        </is>
      </c>
      <c r="I727" s="6" t="inlineStr">
        <is>
          <t>Kaloriferli, balkonlu, müdürden uzak bir daire çıktı. Nikâh şahitlerine teşekkür mesajı attın.</t>
        </is>
      </c>
      <c r="J727" s="6" t="inlineStr">
        <is>
          <t>Başvuranların otuz dokuzu da evliymiş. Puanlar eşitlendi, kura yine kura.</t>
        </is>
      </c>
      <c r="K727" s="6" t="inlineStr">
        <is>
          <t>Evlilik cüzdanının aslını istediler. Cüzdan, taşınmadaki kolilerden birinde. Hangisinde, bilinmiyor.</t>
        </is>
      </c>
      <c r="L727" s="6" t="inlineStr"/>
      <c r="M727" s="5" t="inlineStr"/>
      <c r="N727" s="5" t="inlineStr"/>
      <c r="O727" s="6" t="inlineStr"/>
      <c r="P727" s="6" t="inlineStr"/>
      <c r="Q727" s="5" t="inlineStr"/>
      <c r="R727" s="5" t="inlineStr">
        <is>
          <t>evli</t>
        </is>
      </c>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row>
    <row r="728">
      <c r="A728" s="5" t="inlineStr">
        <is>
          <t>mm-lojman-kurasi</t>
        </is>
      </c>
      <c r="B728" s="5" t="n">
        <v>3</v>
      </c>
      <c r="C728" s="6" t="inlineStr">
        <is>
          <t>Dilekçeye “Bebek yolda” diye ekle</t>
        </is>
      </c>
      <c r="D728" s="5" t="inlineStr">
        <is>
          <t>İtibar</t>
        </is>
      </c>
      <c r="E728" s="5" t="inlineStr">
        <is>
          <t>Orta</t>
        </is>
      </c>
      <c r="F728" s="5" t="inlineStr"/>
      <c r="G728" s="6" t="inlineStr"/>
      <c r="H728" s="6" t="inlineStr">
        <is>
          <t>Aile puanına daha doğmamış biri eklendi. Kaloriferli bir daire çıktı; bebek odası evin en sıcak odası.</t>
        </is>
      </c>
      <c r="I728" s="6" t="inlineStr">
        <is>
          <t>Dilekçeye ultrason fotoğrafını iliştirdin. Komisyondaki üç kişi fotoğrafı elden ele dolaştırdı; zemin kat, güneş alan, müdürden uzak daire senin. Bebek arabası asansör beklemeyecek.</t>
        </is>
      </c>
      <c r="J728" s="6" t="inlineStr">
        <is>
          <t>Komisyon “Doğunca nüfus kaydıyla gelin” dedi. Bebek doğdu, kayıt çıktı; kura çoktan çekilmişti.</t>
        </is>
      </c>
      <c r="K728" s="6" t="inlineStr">
        <is>
          <t>Müdürün alt katı çıktı. Gece üçte bebek ağlayınca üst kattan terlik sesi geliyor. Sabah masanda bir kurum içi yazı duruyor.</t>
        </is>
      </c>
      <c r="L728" s="6" t="inlineStr"/>
      <c r="M728" s="5" t="inlineStr"/>
      <c r="N728" s="5" t="inlineStr"/>
      <c r="O728" s="6" t="inlineStr"/>
      <c r="P728" s="6" t="inlineStr"/>
      <c r="Q728" s="5" t="inlineStr"/>
      <c r="R728" s="5" t="inlineStr">
        <is>
          <t>cocuklu</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row>
    <row r="729">
      <c r="A729" s="5" t="inlineStr">
        <is>
          <t>mm-lojman-kurasi</t>
        </is>
      </c>
      <c r="B729" s="5" t="n">
        <v>4</v>
      </c>
      <c r="C729" s="6" t="inlineStr">
        <is>
          <t>Kirada kal</t>
        </is>
      </c>
      <c r="D729" s="5" t="inlineStr"/>
      <c r="E729" s="5" t="inlineStr"/>
      <c r="F729" s="5" t="inlineStr">
        <is>
          <t>İtibar +1</t>
        </is>
      </c>
      <c r="G729" s="6" t="inlineStr">
        <is>
          <t>Lojmandan vazgeçtin. Kira artışı yine geldi ama en azından üst katta müdür yok.</t>
        </is>
      </c>
      <c r="H729" s="6" t="inlineStr"/>
      <c r="I729" s="6" t="inlineStr"/>
      <c r="J729" s="6" t="inlineStr"/>
      <c r="K729" s="6" t="inlineStr"/>
      <c r="L729" s="6" t="inlineStr"/>
      <c r="M729" s="5" t="inlineStr"/>
      <c r="N729" s="5" t="inlineStr"/>
      <c r="O729" s="6" t="inlineStr"/>
      <c r="P729" s="6" t="inlineStr"/>
      <c r="Q729" s="5" t="inlineStr"/>
      <c r="R729" s="5" t="inlineStr"/>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row>
    <row r="730">
      <c r="A730" s="5" t="inlineStr">
        <is>
          <t>b7-bayram-rotasi</t>
        </is>
      </c>
      <c r="B730" s="5" t="n">
        <v>1</v>
      </c>
      <c r="C730" s="6" t="inlineStr">
        <is>
          <t>Bu yıl eşinin ailesine git</t>
        </is>
      </c>
      <c r="D730" s="5" t="inlineStr"/>
      <c r="E730" s="5" t="inlineStr"/>
      <c r="F730" s="5" t="inlineStr">
        <is>
          <t>Gönül +1</t>
        </is>
      </c>
      <c r="G730" s="6" t="inlineStr">
        <is>
          <t>Eşinin ailesine gittiniz. Senin ailen telefonda 'Önemli değil' dedi. Önemliydi.</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row>
    <row r="731">
      <c r="A731" s="5" t="inlineStr">
        <is>
          <t>b7-bayram-rotasi</t>
        </is>
      </c>
      <c r="B731" s="5" t="n">
        <v>2</v>
      </c>
      <c r="C731" s="6" t="inlineStr">
        <is>
          <t>İki aileyi aynı bayramda gez</t>
        </is>
      </c>
      <c r="D731" s="5" t="inlineStr">
        <is>
          <t>Dayanıklılık</t>
        </is>
      </c>
      <c r="E731" s="5" t="inlineStr">
        <is>
          <t>Zor</t>
        </is>
      </c>
      <c r="F731" s="5" t="inlineStr"/>
      <c r="G731" s="6" t="inlineStr"/>
      <c r="H731" s="6" t="inlineStr">
        <is>
          <t>Dört günde iki şehir, dokuz ev, on bir sofra. Yeğenlere dağıttığın harçlık, bir zamanlar topladığından fazlaydı. Başardın.</t>
        </is>
      </c>
      <c r="I731" s="6" t="inlineStr">
        <is>
          <t>Rotayı öyle kurdun ki iki anne de “Bizde daha çok kaldılar” diye düşündü. Dönüşte bagaja iki taraftan da tam on ikişer kavanoz kondu. Saydın.</t>
        </is>
      </c>
      <c r="J731" s="6" t="inlineStr">
        <is>
          <t>Yolda trafiğe takıldın. Bayram ikinci gün trafikte kutlandı.</t>
        </is>
      </c>
      <c r="K731" s="6" t="inlineStr">
        <is>
          <t>Rotanın ortasında iki anne de aynı saatte “Sofra hazır, neredesiniz?” yazdı. İkisine de “Yoldayız” dedin. İkisi de konum istedi.</t>
        </is>
      </c>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row>
    <row r="732">
      <c r="A732" s="5" t="inlineStr">
        <is>
          <t>b7-bayram-rotasi</t>
        </is>
      </c>
      <c r="B732" s="5" t="n">
        <v>3</v>
      </c>
      <c r="C732" s="6" t="inlineStr">
        <is>
          <t>İki aileyi aynı sofrada buluştur</t>
        </is>
      </c>
      <c r="D732" s="5" t="inlineStr">
        <is>
          <t>Sosyal Radar</t>
        </is>
      </c>
      <c r="E732" s="5" t="inlineStr">
        <is>
          <t>Orta</t>
        </is>
      </c>
      <c r="F732" s="5" t="inlineStr"/>
      <c r="G732" s="6" t="inlineStr"/>
      <c r="H732" s="6" t="inlineStr">
        <is>
          <t>İki aile tanıştı, güldü, yemekler karşılaştırıldı. İki taraf da kendi dolmasının kazandığını düşünüyor.</t>
        </is>
      </c>
      <c r="I732" s="6" t="inlineStr">
        <is>
          <t>Sofra o kadar iyi geçti ki iki aile birlikte tatil planı yaptı. Sizi davet etmediler.</t>
        </is>
      </c>
      <c r="J732" s="6" t="inlineStr">
        <is>
          <t>Sofrada kimin baklavasının daha iyi olduğu tartışıldı. Karar çıkmadı, baklava bitti.</t>
        </is>
      </c>
      <c r="K732" s="6" t="inlineStr">
        <is>
          <t>İki anne de sofraya dolma getirdi. Eşin gülerek “Hangisi daha güzel?” diye sordu; sen dürüstçe cevap verdin. Sofra buz kesti, bayramın kalanı iki ayrı odada geçti.</t>
        </is>
      </c>
      <c r="L732" s="6" t="inlineStr"/>
      <c r="M732" s="5" t="inlineStr"/>
      <c r="N732" s="5" t="inlineStr"/>
      <c r="O732" s="6" t="inlineStr"/>
      <c r="P732" s="6" t="inlineStr"/>
      <c r="Q732" s="5" t="inlineStr">
        <is>
          <t>Kayınvalide Diplomatı</t>
        </is>
      </c>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c r="AI732" s="5" t="inlineStr"/>
    </row>
    <row r="733">
      <c r="A733" s="5" t="inlineStr">
        <is>
          <t>b7-bayram-rotasi</t>
        </is>
      </c>
      <c r="B733" s="5" t="n">
        <v>4</v>
      </c>
      <c r="C733" s="6" t="inlineStr">
        <is>
          <t>'Arabamızla ortada buluşalım' diye öner</t>
        </is>
      </c>
      <c r="D733" s="5" t="inlineStr">
        <is>
          <t>Kurnazlık</t>
        </is>
      </c>
      <c r="E733" s="5" t="inlineStr">
        <is>
          <t>Kolay</t>
        </is>
      </c>
      <c r="F733" s="5" t="inlineStr"/>
      <c r="G733" s="6" t="inlineStr"/>
      <c r="H733" s="6" t="inlineStr">
        <is>
          <t>Yol üstündeki dinlenme tesisinde iki aileyle ayrı ayrı çay içtiniz. Tarafsız bölge işe yaradı.</t>
        </is>
      </c>
      <c r="I733" s="6" t="inlineStr">
        <is>
          <t>Dinlenme tesisinde bayramlaştınız, üç saatte eve döndünüz. Bu model bütün akrabalara ilham oldu.</t>
        </is>
      </c>
      <c r="J733" s="6" t="inlineStr">
        <is>
          <t>Tesis bayram kalabalığıydı. Aileleri bulana kadar çaylar soğudu.</t>
        </is>
      </c>
      <c r="K733" s="6" t="inlineStr">
        <is>
          <t>Arabanın aküsü tesiste bitti. İki aile birlikte seni itti. Barış böyle geldi.</t>
        </is>
      </c>
      <c r="L733" s="6" t="inlineStr"/>
      <c r="M733" s="5" t="inlineStr"/>
      <c r="N733" s="5" t="inlineStr"/>
      <c r="O733" s="6" t="inlineStr"/>
      <c r="P733" s="6" t="inlineStr"/>
      <c r="Q733" s="5" t="inlineStr"/>
      <c r="R733" s="5" t="inlineStr">
        <is>
          <t>arabali</t>
        </is>
      </c>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row>
    <row r="734">
      <c r="A734" s="5" t="inlineStr">
        <is>
          <t>b7-uykusuz-geceler</t>
        </is>
      </c>
      <c r="B734" s="5" t="n">
        <v>1</v>
      </c>
      <c r="C734" s="6" t="inlineStr">
        <is>
          <t>Kucağına al, nefesini eşle, uyut</t>
        </is>
      </c>
      <c r="D734" s="5" t="inlineStr">
        <is>
          <t>Dayanıklılık</t>
        </is>
      </c>
      <c r="E734" s="5" t="inlineStr">
        <is>
          <t>Zor</t>
        </is>
      </c>
      <c r="F734" s="5" t="inlineStr"/>
      <c r="G734" s="6" t="inlineStr"/>
      <c r="H734" s="6" t="inlineStr">
        <is>
          <t>Nefesiniz aynı ritme girdi. Bebek uyudu. Sen de ayakta, kapıya yaslanarak.</t>
        </is>
      </c>
      <c r="I734" s="6" t="inlineStr">
        <is>
          <t>Bebek on dakikada uyudu ve sabaha kadar uyanmadı. Annene anlattın, inanmadı; “Nazar değmesin” deyip beşiğe bir boncuk iliştirdi.</t>
        </is>
      </c>
      <c r="J734" s="6" t="inlineStr">
        <is>
          <t>Bebek uyudu. Beşiğe koyduğun an gözlerini açtı ve sana baktı; “Bu kadar mı?” der gibi. Baştan.</t>
        </is>
      </c>
      <c r="K734" s="6" t="inlineStr">
        <is>
          <t>Bebeği uyuttun. Beşiğe yürürken oyuncak ördeğe bastın, ördek öttü. Bebek uyandı, eşin uyandı, alt komşu tavana süpürge sapıyla vurdu. Güneş doğarken üçünüz de hâlâ ayaktaydınız.</t>
        </is>
      </c>
      <c r="L734" s="6" t="inlineStr">
        <is>
          <t>Bebek yarım saat uyudu. Eşinle mutfakta ayakta, fısıltıyla birer çay içtiniz; kaşığı bardağa değdirmeden.</t>
        </is>
      </c>
      <c r="M734" s="5" t="inlineStr">
        <is>
          <t>breath</t>
        </is>
      </c>
      <c r="N734" s="5" t="inlineStr">
        <is>
          <t>Ninni Nefesi</t>
        </is>
      </c>
      <c r="O734" s="6" t="inlineStr">
        <is>
          <t>Daire büyürken bas, küçülürken bırak. Bebeğin nefesiyle aynı ritmi tut.</t>
        </is>
      </c>
      <c r="P734" s="6" t="inlineStr"/>
      <c r="Q734" s="5" t="inlineStr"/>
      <c r="R734" s="5" t="inlineStr"/>
      <c r="S734" s="5" t="inlineStr"/>
      <c r="T734" s="5" t="inlineStr">
        <is>
          <t>Gözüne Uyku Girmez</t>
        </is>
      </c>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row>
    <row r="735">
      <c r="A735" s="5" t="inlineStr">
        <is>
          <t>b7-uykusuz-geceler</t>
        </is>
      </c>
      <c r="B735" s="5" t="n">
        <v>2</v>
      </c>
      <c r="C735" s="6" t="inlineStr">
        <is>
          <t>Nöbeti eşine devret</t>
        </is>
      </c>
      <c r="D735" s="5" t="inlineStr"/>
      <c r="E735" s="5" t="inlineStr"/>
      <c r="F735" s="5" t="inlineStr">
        <is>
          <t>Kurnazlık +1</t>
        </is>
      </c>
      <c r="G735" s="6" t="inlineStr">
        <is>
          <t>Eşini dürttün: “Sıra sende.” Tek kelime etmeden kalktı. On yıl sonra bir tartışmada bu gece, tarihiyle saatiyle önüne konacak.</t>
        </is>
      </c>
      <c r="H735" s="6" t="inlineStr"/>
      <c r="I735" s="6" t="inlineStr"/>
      <c r="J735" s="6" t="inlineStr"/>
      <c r="K735" s="6" t="inlineStr"/>
      <c r="L735" s="6" t="inlineStr"/>
      <c r="M735" s="5" t="inlineStr"/>
      <c r="N735" s="5" t="inlineStr"/>
      <c r="O735" s="6" t="inlineStr"/>
      <c r="P735" s="6" t="inlineStr"/>
      <c r="Q735" s="5" t="inlineStr"/>
      <c r="R735" s="5" t="inlineStr"/>
      <c r="S735" s="5" t="inlineStr"/>
      <c r="T735" s="5" t="inlineStr"/>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c r="AI735" s="5" t="inlineStr"/>
    </row>
    <row r="736">
      <c r="A736" s="5" t="inlineStr">
        <is>
          <t>b7-uykusuz-geceler</t>
        </is>
      </c>
      <c r="B736" s="5" t="n">
        <v>3</v>
      </c>
      <c r="C736" s="6" t="inlineStr">
        <is>
          <t>Arabayla mahallede tur at</t>
        </is>
      </c>
      <c r="D736" s="5" t="inlineStr">
        <is>
          <t>Kurnazlık</t>
        </is>
      </c>
      <c r="E736" s="5" t="inlineStr">
        <is>
          <t>Kolay</t>
        </is>
      </c>
      <c r="F736" s="5" t="inlineStr"/>
      <c r="G736" s="6" t="inlineStr"/>
      <c r="H736" s="6" t="inlineStr">
        <is>
          <t>Motor sesi işe yaradı. Bebek uyudu. Sen de otoparkta, emniyet kemeri takılı.</t>
        </is>
      </c>
      <c r="I736" s="6" t="inlineStr">
        <is>
          <t>Üç tur sonra bebek uyudu ve eve geri taşırken uyanmadı. Bu gece senin adına yazıldı.</t>
        </is>
      </c>
      <c r="J736" s="6" t="inlineStr">
        <is>
          <t>Bebek arabada uyudu. Kontağı kapattığın an uyandı. Arabayla gece turu sabaha kadar sürdü.</t>
        </is>
      </c>
      <c r="K736" s="6" t="inlineStr">
        <is>
          <t>Mahallede o kadar tur attın ki komşular devriye var sandı. Site grubunda 'şüpheli araç' diye fotoğrafın paylaşıldı.</t>
        </is>
      </c>
      <c r="L736" s="6" t="inlineStr"/>
      <c r="M736" s="5" t="inlineStr"/>
      <c r="N736" s="5" t="inlineStr"/>
      <c r="O736" s="6" t="inlineStr"/>
      <c r="P736" s="6" t="inlineStr"/>
      <c r="Q736" s="5" t="inlineStr"/>
      <c r="R736" s="5" t="inlineStr">
        <is>
          <t>arabali</t>
        </is>
      </c>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row>
    <row r="737">
      <c r="A737" s="5" t="inlineStr">
        <is>
          <t>b7-site-toplantisi</t>
        </is>
      </c>
      <c r="B737" s="5" t="n">
        <v>1</v>
      </c>
      <c r="C737" s="6" t="inlineStr">
        <is>
          <t>Arka sırada otur, sadece el kaldır</t>
        </is>
      </c>
      <c r="D737" s="5" t="inlineStr"/>
      <c r="E737" s="5" t="inlineStr"/>
      <c r="F737" s="5" t="inlineStr">
        <is>
          <t>Dayanıklılık +1</t>
        </is>
      </c>
      <c r="G737" s="6" t="inlineStr">
        <is>
          <t>Üç saat oturdun, iki kez el kaldırdın. Birinde yanlış maddeye oy verdin. Aidat arttı.</t>
        </is>
      </c>
      <c r="H737" s="6" t="inlineStr"/>
      <c r="I737" s="6" t="inlineStr"/>
      <c r="J737" s="6" t="inlineStr"/>
      <c r="K737" s="6" t="inlineStr"/>
      <c r="L737" s="6" t="inlineStr"/>
      <c r="M737" s="5" t="inlineStr"/>
      <c r="N737" s="5" t="inlineStr"/>
      <c r="O737" s="6" t="inlineStr"/>
      <c r="P737" s="6" t="inlineStr"/>
      <c r="Q737" s="5" t="inlineStr"/>
      <c r="R737" s="5" t="inlineStr"/>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row>
    <row r="738">
      <c r="A738" s="5" t="inlineStr">
        <is>
          <t>b7-site-toplantisi</t>
        </is>
      </c>
      <c r="B738" s="5" t="n">
        <v>2</v>
      </c>
      <c r="C738" s="6" t="inlineStr">
        <is>
          <t>Aidat artışına itiraz et</t>
        </is>
      </c>
      <c r="D738" s="5" t="inlineStr">
        <is>
          <t>İtibar</t>
        </is>
      </c>
      <c r="E738" s="5" t="inlineStr">
        <is>
          <t>Orta</t>
        </is>
      </c>
      <c r="F738" s="5" t="inlineStr"/>
      <c r="G738" s="6" t="inlineStr"/>
      <c r="H738" s="6" t="inlineStr">
        <is>
          <t>İtirazın kabul edildi. Artış yarıya indi. Asansörde artık sana selam veriyorlar.</t>
        </is>
      </c>
      <c r="I738" s="6" t="inlineStr">
        <is>
          <t>İtirazın öyle ikna ediciydi ki salon ayağa kalktı. Bir de seni yönetici seçtiler. Artık itiraz edilen sensin.</t>
        </is>
      </c>
      <c r="J738" s="6" t="inlineStr">
        <is>
          <t>İtiraz ettin. Yönetici 'Not alındı' dedi. Not hiçbir yere alınmadı.</t>
        </is>
      </c>
      <c r="K738" s="6" t="inlineStr">
        <is>
          <t>İtiraz ederken bütçe sorusu sordun. Yanıtı bulmak için bir komisyon kuruldu. Komisyonun başkanı sensin.</t>
        </is>
      </c>
      <c r="L738" s="6" t="inlineStr"/>
      <c r="M738" s="5" t="inlineStr"/>
      <c r="N738" s="5" t="inlineStr"/>
      <c r="O738" s="6" t="inlineStr"/>
      <c r="P738" s="6" t="inlineStr"/>
      <c r="Q738" s="5" t="inlineStr"/>
      <c r="R738" s="5" t="inlineStr"/>
      <c r="S738" s="5" t="inlineStr"/>
      <c r="T738" s="5" t="inlineStr"/>
      <c r="U738" s="5" t="inlineStr"/>
      <c r="V738" s="5" t="inlineStr">
        <is>
          <t>site-yoneticisi</t>
        </is>
      </c>
      <c r="W738" s="5" t="inlineStr">
        <is>
          <t>site-yoneticisi</t>
        </is>
      </c>
      <c r="X738" s="5" t="inlineStr"/>
      <c r="Y738" s="5" t="inlineStr"/>
      <c r="Z738" s="6" t="inlineStr"/>
      <c r="AA738" s="5" t="inlineStr"/>
      <c r="AB738" s="5" t="inlineStr"/>
      <c r="AC738" s="5" t="inlineStr"/>
      <c r="AD738" s="5" t="inlineStr"/>
      <c r="AE738" s="5" t="inlineStr"/>
      <c r="AF738" s="5" t="inlineStr"/>
      <c r="AG738" s="5" t="inlineStr"/>
      <c r="AH738" s="5" t="inlineStr"/>
      <c r="AI738" s="5" t="inlineStr"/>
    </row>
    <row r="739">
      <c r="A739" s="5" t="inlineStr">
        <is>
          <t>b7-site-toplantisi</t>
        </is>
      </c>
      <c r="B739" s="5" t="n">
        <v>3</v>
      </c>
      <c r="C739" s="6" t="inlineStr">
        <is>
          <t>Çatı yalıtımını bizzat kontrol etmeyi teklif et</t>
        </is>
      </c>
      <c r="D739" s="5" t="inlineStr">
        <is>
          <t>Cesaret</t>
        </is>
      </c>
      <c r="E739" s="5" t="inlineStr">
        <is>
          <t>Zor</t>
        </is>
      </c>
      <c r="F739" s="5" t="inlineStr"/>
      <c r="G739" s="6" t="inlineStr"/>
      <c r="H739" s="6" t="inlineStr">
        <is>
          <t>Çatıya çıktın, sorunu buldun, fotoğrafladın. Genel kurul seni kahraman ilan etti. Aidat yine de arttı.</t>
        </is>
      </c>
      <c r="I739" s="6" t="inlineStr">
        <is>
          <t>Çatıda sorunu buldun ve ustanın fiyatının yarısına çözdürdün. Site tarihine 'çatıdaki kişi' olarak geçtin.</t>
        </is>
      </c>
      <c r="J739" s="6" t="inlineStr">
        <is>
          <t>Çatıya çıktın, hiçbir şey anlamadın. İndiğinde toplantı bitmişti ve aidat artmıştı.</t>
        </is>
      </c>
      <c r="K739" s="6" t="inlineStr">
        <is>
          <t>Çatı kapısı arkandan kilitlendi. Toplantının geri kalanını çatıdan, mesaj grubu üzerinden takip ettin.</t>
        </is>
      </c>
      <c r="L739" s="6" t="inlineStr"/>
      <c r="M739" s="5" t="inlineStr"/>
      <c r="N739" s="5" t="inlineStr"/>
      <c r="O739" s="6" t="inlineStr"/>
      <c r="P739" s="6" t="inlineStr"/>
      <c r="Q739" s="5" t="inlineStr"/>
      <c r="R739" s="5" t="inlineStr"/>
      <c r="S739" s="5" t="inlineStr"/>
      <c r="T739" s="5" t="inlineStr"/>
      <c r="U739" s="5" t="inlineStr"/>
      <c r="V739" s="5" t="inlineStr"/>
      <c r="W739" s="5" t="inlineStr"/>
      <c r="X739" s="5" t="inlineStr"/>
      <c r="Y739" s="5" t="n">
        <v>4</v>
      </c>
      <c r="Z739" s="6" t="inlineStr">
        <is>
          <t>Site çatısında yalıtım kontrolü yaparken. Karar defterine 'gönüllü' diye geçti.</t>
        </is>
      </c>
      <c r="AA739" s="5" t="inlineStr"/>
      <c r="AB739" s="5" t="inlineStr"/>
      <c r="AC739" s="5" t="inlineStr"/>
      <c r="AD739" s="5" t="inlineStr"/>
      <c r="AE739" s="5" t="inlineStr"/>
      <c r="AF739" s="5" t="inlineStr"/>
      <c r="AG739" s="5" t="inlineStr"/>
      <c r="AH739" s="5" t="inlineStr"/>
      <c r="AI739" s="5" t="inlineStr"/>
    </row>
    <row r="740">
      <c r="A740" s="5" t="inlineStr">
        <is>
          <t>b7-site-toplantisi</t>
        </is>
      </c>
      <c r="B740" s="5" t="n">
        <v>4</v>
      </c>
      <c r="C740" s="6" t="inlineStr">
        <is>
          <t>Ayakkabılık meselesinde arabuluculuk yap</t>
        </is>
      </c>
      <c r="D740" s="5" t="inlineStr">
        <is>
          <t>Sosyal Radar</t>
        </is>
      </c>
      <c r="E740" s="5" t="inlineStr">
        <is>
          <t>Zor</t>
        </is>
      </c>
      <c r="F740" s="5" t="inlineStr"/>
      <c r="G740" s="6" t="inlineStr"/>
      <c r="H740" s="6" t="inlineStr">
        <is>
          <t>Ayakkabılık kapının içine alındı. On yıllık bir sorun, on dakikada çözüldü.</t>
        </is>
      </c>
      <c r="I740" s="6" t="inlineStr">
        <is>
          <t>Arabuluculuğun öyle başarılıydı ki iki komşu barıştı, ortak bir ayakkabılık aldı. Sitede yeni bir çağ başladı.</t>
        </is>
      </c>
      <c r="J740" s="6" t="inlineStr">
        <is>
          <t>Ayakkabılık konusu açıldığında salon ikiye bölündü. Sen ortada kaldın.</t>
        </is>
      </c>
      <c r="K740" s="6" t="inlineStr">
        <is>
          <t>Arabuluculuk yaparken senin paspasın da gündeme geldi. Oylama yapıldı: ayakkabılık kalıyor, paspasın gidiyor. Komşular artık kapının önünden basmadan geçiyor.</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inlineStr"/>
      <c r="Z740" s="6" t="inlineStr"/>
      <c r="AA740" s="5" t="inlineStr"/>
      <c r="AB740" s="5" t="inlineStr"/>
      <c r="AC740" s="5" t="inlineStr"/>
      <c r="AD740" s="5" t="inlineStr"/>
      <c r="AE740" s="5" t="inlineStr"/>
      <c r="AF740" s="5" t="inlineStr"/>
      <c r="AG740" s="5" t="inlineStr"/>
      <c r="AH740" s="5" t="inlineStr"/>
      <c r="AI740" s="5" t="inlineStr"/>
    </row>
    <row r="741">
      <c r="A741" s="5" t="inlineStr">
        <is>
          <t>ms-yapay-zeka-rakip</t>
        </is>
      </c>
      <c r="B741" s="5" t="n">
        <v>1</v>
      </c>
      <c r="C741" s="6" t="inlineStr">
        <is>
          <t>Fiyatını düşür</t>
        </is>
      </c>
      <c r="D741" s="5" t="inlineStr"/>
      <c r="E741" s="5" t="inlineStr"/>
      <c r="F741" s="5" t="inlineStr">
        <is>
          <t>Dayanıklılık +1</t>
        </is>
      </c>
      <c r="G741" s="6" t="inlineStr">
        <is>
          <t>Fiyatını yarıya indirdin. Müşteri 'Yapay zekâ bedava ama' dedi. Rakibin artık bir yazılım.</t>
        </is>
      </c>
      <c r="H741" s="6" t="inlineStr"/>
      <c r="I741" s="6" t="inlineStr"/>
      <c r="J741" s="6" t="inlineStr"/>
      <c r="K741" s="6" t="inlineStr"/>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row>
    <row r="742">
      <c r="A742" s="5" t="inlineStr">
        <is>
          <t>ms-yapay-zeka-rakip</t>
        </is>
      </c>
      <c r="B742" s="5" t="n">
        <v>2</v>
      </c>
      <c r="C742" s="6" t="inlineStr">
        <is>
          <t>Hataları tek tek işaretle</t>
        </is>
      </c>
      <c r="D742" s="5" t="inlineStr">
        <is>
          <t>Akıl</t>
        </is>
      </c>
      <c r="E742" s="5" t="inlineStr">
        <is>
          <t>Kolay</t>
        </is>
      </c>
      <c r="F742" s="5" t="inlineStr"/>
      <c r="G742" s="6" t="inlineStr"/>
      <c r="H742" s="6" t="inlineStr">
        <is>
          <t>Altı parmağı, üç farklı yazılmış şirket adını ve ters gölgeyi işaretledin. İş sende.</t>
        </is>
      </c>
      <c r="I742" s="6" t="inlineStr">
        <is>
          <t>Hata listen o kadar uzundu ki müşteri seni yapay zekâ denetçisi olarak da tuttu.</t>
        </is>
      </c>
      <c r="J742" s="6" t="inlineStr">
        <is>
          <t>İşaretledin; müşteri hataları yapay zekâya düzelttirdi. Beş saniye sürdü.</t>
        </is>
      </c>
      <c r="K742" s="6" t="inlineStr">
        <is>
          <t>Hataları işaretledin; müşteri altı parmağı 'yenilikçi' buldu ve kullanmaya karar verdi.</t>
        </is>
      </c>
      <c r="L742" s="6" t="inlineStr"/>
      <c r="M742" s="5" t="inlineStr"/>
      <c r="N742" s="5" t="inlineStr"/>
      <c r="O742" s="6" t="inlineStr"/>
      <c r="P742" s="6" t="inlineStr"/>
      <c r="Q742" s="5" t="inlineStr"/>
      <c r="R742" s="5" t="inlineStr"/>
      <c r="S742" s="5" t="inlineStr">
        <is>
          <t>Akıl</t>
        </is>
      </c>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row>
    <row r="743">
      <c r="A743" s="5" t="inlineStr">
        <is>
          <t>ms-yapay-zeka-rakip</t>
        </is>
      </c>
      <c r="B743" s="5" t="n">
        <v>3</v>
      </c>
      <c r="C743" s="6" t="inlineStr">
        <is>
          <t>'İnsan dokunuşunu' sat</t>
        </is>
      </c>
      <c r="D743" s="5" t="inlineStr">
        <is>
          <t>Çene</t>
        </is>
      </c>
      <c r="E743" s="5" t="inlineStr">
        <is>
          <t>Zor</t>
        </is>
      </c>
      <c r="F743" s="5" t="inlineStr"/>
      <c r="G743" s="6" t="inlineStr"/>
      <c r="H743" s="6" t="inlineStr">
        <is>
          <t>'Bu el beş parmaklı ve size ait' dedin. İş, iki katı ücretle sende.</t>
        </is>
      </c>
      <c r="I743" s="6" t="inlineStr">
        <is>
          <t>'İnsan yapımı' damgalı işlerin moda oldu. Fiyatını üçe katladın.</t>
        </is>
      </c>
      <c r="J743" s="6" t="inlineStr">
        <is>
          <t>Müşteri 'İnsan dokunuşu' için ek bütçe olmadığını söyledi.</t>
        </is>
      </c>
      <c r="K743" s="6" t="inlineStr">
        <is>
          <t>'İnsan dokunuşu' konulu sunum metnini yapay zekâya yazdırdığın fark edildi.</t>
        </is>
      </c>
      <c r="L743" s="6" t="inlineStr"/>
      <c r="M743" s="5" t="inlineStr"/>
      <c r="N743" s="5" t="inlineStr"/>
      <c r="O743" s="6" t="inlineStr"/>
      <c r="P743" s="6" t="inlineStr"/>
      <c r="Q743" s="5" t="inlineStr"/>
      <c r="R743" s="5" t="inlineStr"/>
      <c r="S743" s="5" t="inlineStr"/>
      <c r="T743" s="5" t="inlineStr">
        <is>
          <t>Sözünü Geçirir</t>
        </is>
      </c>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row>
    <row r="744">
      <c r="A744" s="5" t="inlineStr">
        <is>
          <t>ms-yapay-zeka-rakip</t>
        </is>
      </c>
      <c r="B744" s="5" t="n">
        <v>4</v>
      </c>
      <c r="C744" s="6" t="inlineStr">
        <is>
          <t>Yapay zekâyı kendin kullan, beşe böl</t>
        </is>
      </c>
      <c r="D744" s="5" t="inlineStr">
        <is>
          <t>Kurnazlık</t>
        </is>
      </c>
      <c r="E744" s="5" t="inlineStr">
        <is>
          <t>Orta</t>
        </is>
      </c>
      <c r="F744" s="5" t="inlineStr"/>
      <c r="G744" s="6" t="inlineStr"/>
      <c r="H744" s="6" t="inlineStr">
        <is>
          <t>Aracı kullandın, üstüne emek koydun. Beş saniye sürmedi ama beş gün de değil.</t>
        </is>
      </c>
      <c r="I744" s="6" t="inlineStr">
        <is>
          <t>Aynı sürede beş müşteriye iş yetiştirdin. Artık bir ajanssın. Tek kişilik, sekiz sekmeli.</t>
        </is>
      </c>
      <c r="J744" s="6" t="inlineStr">
        <is>
          <t>Araç kullandın; müşteri 'Bunu ben de yapabilirdim' dedi. Yaptı da.</t>
        </is>
      </c>
      <c r="K744" s="6" t="inlineStr">
        <is>
          <t>Teslim ettiğin işte bir el yedi parmaklıydı. Müşteri 'Bizimki altı yapıyordu' dedi.</t>
        </is>
      </c>
      <c r="L744" s="6" t="inlineStr"/>
      <c r="M744" s="5" t="inlineStr"/>
      <c r="N744" s="5" t="inlineStr"/>
      <c r="O744" s="6" t="inlineStr"/>
      <c r="P744" s="6" t="inlineStr"/>
      <c r="Q744" s="5" t="inlineStr">
        <is>
          <t>Şifreyi Bilen</t>
        </is>
      </c>
      <c r="R744" s="5" t="inlineStr"/>
      <c r="S744" s="5" t="inlineStr"/>
      <c r="T744" s="5" t="inlineStr"/>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row>
    <row r="745">
      <c r="A745" s="5" t="inlineStr">
        <is>
          <t>b7-ilk-kelime</t>
        </is>
      </c>
      <c r="B745" s="5" t="n">
        <v>1</v>
      </c>
      <c r="C745" s="6" t="inlineStr">
        <is>
          <t>Sessizce izle</t>
        </is>
      </c>
      <c r="D745" s="5" t="inlineStr"/>
      <c r="E745" s="5" t="inlineStr"/>
      <c r="F745" s="5" t="inlineStr">
        <is>
          <t>Gönül +1</t>
        </is>
      </c>
      <c r="G745" s="6" t="inlineStr">
        <is>
          <t>Çocuk “Ba” dedi. Babaanne “Babaanne dedi!” diye ayağa fırladı, anneanne “Bal istiyor” deyip kavanozu açtı. Aile grubuna aynı video iki ayrı altyazıyla düştü.</t>
        </is>
      </c>
      <c r="H745" s="6" t="inlineStr"/>
      <c r="I745" s="6" t="inlineStr"/>
      <c r="J745" s="6" t="inlineStr"/>
      <c r="K745" s="6" t="inlineStr"/>
      <c r="L745" s="6" t="inlineStr"/>
      <c r="M745" s="5" t="inlineStr"/>
      <c r="N745" s="5" t="inlineStr"/>
      <c r="O745" s="6" t="inlineStr"/>
      <c r="P745" s="6" t="inlineStr"/>
      <c r="Q745" s="5" t="inlineStr"/>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row>
    <row r="746">
      <c r="A746" s="5" t="inlineStr">
        <is>
          <t>b7-ilk-kelime</t>
        </is>
      </c>
      <c r="B746" s="5" t="n">
        <v>2</v>
      </c>
      <c r="C746" s="6" t="inlineStr">
        <is>
          <t>Seni çağırması için her gün çalıştır</t>
        </is>
      </c>
      <c r="D746" s="5" t="inlineStr">
        <is>
          <t>Gönül</t>
        </is>
      </c>
      <c r="E746" s="5" t="inlineStr">
        <is>
          <t>Orta</t>
        </is>
      </c>
      <c r="F746" s="5" t="inlineStr"/>
      <c r="G746" s="6" t="inlineStr"/>
      <c r="H746" s="6" t="inlineStr">
        <is>
          <t>Çocuk sana dönüp seni çağırdı. Bir an kimse kıpırdamadı; sonra sen ağladın. Eşin videoyu çekmeyi unutmuştu; sen de ona bunu hiç unutturmadın.</t>
        </is>
      </c>
      <c r="I746" s="6" t="inlineStr">
        <is>
          <t>İlk kelimesi seni çağırmak oldu; video aile grubunda iki yüz kez izlendi. Eşin de izledi. İki yüz kez.</t>
        </is>
      </c>
      <c r="J746" s="6" t="inlineStr">
        <is>
          <t>Bir ay sabah akşam çalıştırdın; çocuk dönüp eşini çağırdı. Eşin videoyu aile grubuna attı, altına tek kelime yazdı: “Kazandım.”</t>
        </is>
      </c>
      <c r="K746" s="6" t="inlineStr">
        <is>
          <t>Çocuk net bir sesle “Kargo!” dedi. Bütün sofra yavaşça sana döndü. Tam o an kapı çaldı; kurye “Yine siz” dedi.</t>
        </is>
      </c>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row>
    <row r="747">
      <c r="A747" s="5" t="inlineStr">
        <is>
          <t>b7-ilk-kelime</t>
        </is>
      </c>
      <c r="B747" s="5" t="n">
        <v>3</v>
      </c>
      <c r="C747" s="6" t="inlineStr">
        <is>
          <t>'Para' demesini sağla — aile geleneği</t>
        </is>
      </c>
      <c r="D747" s="5" t="inlineStr">
        <is>
          <t>Kurnazlık</t>
        </is>
      </c>
      <c r="E747" s="5" t="inlineStr">
        <is>
          <t>Zor</t>
        </is>
      </c>
      <c r="F747" s="5" t="inlineStr"/>
      <c r="G747" s="6" t="inlineStr"/>
      <c r="H747" s="6" t="inlineStr">
        <is>
          <t>Çocuk “Para” dedi. Annen “Aynı sen” dedi; güldü mü ağladı mı, belli değil. Baban avucuna bir bozuk para koydu; çocuk avucunu kapattı, bir daha açmadı.</t>
        </is>
      </c>
      <c r="I747" s="6" t="inlineStr">
        <is>
          <t>Çocuk “Para” dedi, ardından “Daha”. Baban cüzdanını açtı, kayınpederin de. O akşam çocuğun kumbarası seninkinden doluydu.</t>
        </is>
      </c>
      <c r="J747" s="6" t="inlineStr">
        <is>
          <t>Çocuk “Pa” dedi ve durdu. Baban gururla açıkladı: “Bu peşinatı. Kalanı taksitle gelir.”</t>
        </is>
      </c>
      <c r="K747" s="6" t="inlineStr">
        <is>
          <t>Çocuk tertemiz bir sesle “Faiz” dedi. Sofrada kimse gülmedi; herkes sana baktı. O akşamdan beri kredi kartı ekstresini çekmecenin en dibinde saklıyorsun.</t>
        </is>
      </c>
      <c r="L747" s="6" t="inlineStr"/>
      <c r="M747" s="5" t="inlineStr"/>
      <c r="N747" s="5" t="inlineStr"/>
      <c r="O747" s="6" t="inlineStr"/>
      <c r="P747" s="6" t="inlineStr"/>
      <c r="Q747" s="5" t="inlineStr"/>
      <c r="R747" s="5" t="inlineStr">
        <is>
          <t>ilkKelimePara</t>
        </is>
      </c>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row>
    <row r="748">
      <c r="A748" s="5" t="inlineStr">
        <is>
          <t>b7-ilk-kelime</t>
        </is>
      </c>
      <c r="B748" s="5" t="n">
        <v>4</v>
      </c>
      <c r="C748" s="6" t="inlineStr">
        <is>
          <t>Kameraya odaklan, anı yakala</t>
        </is>
      </c>
      <c r="D748" s="5" t="inlineStr">
        <is>
          <t>Akıl</t>
        </is>
      </c>
      <c r="E748" s="5" t="inlineStr">
        <is>
          <t>Kolay</t>
        </is>
      </c>
      <c r="F748" s="5" t="inlineStr"/>
      <c r="G748" s="6" t="inlineStr"/>
      <c r="H748" s="6" t="inlineStr">
        <is>
          <t>Anı yakaladın. Video, aile arşivinin en çok izlenen parçası oldu.</t>
        </is>
      </c>
      <c r="I748" s="6" t="inlineStr">
        <is>
          <t>Videoda her şey var: kaşık, kelime, arkada babaannenin çığlığı. Aile grubundan teyzelerin gruplarına, oradan bakkala ulaştı; bakkal ekmeğin yanına bir çikolata koydu.</t>
        </is>
      </c>
      <c r="J748" s="6" t="inlineStr">
        <is>
          <t>Tam o anda telefon “Bellek dolu” dedi. İlk kelimeyi yalnızca sen duydun; kimse inanmıyor.</t>
        </is>
      </c>
      <c r="K748" s="6" t="inlineStr">
        <is>
          <t>Çekim sürerken ön kameraya geçmişsin. İlk kelime, senin şaşkın yüzünün üzerine seslendirildi.</t>
        </is>
      </c>
      <c r="L748" s="6" t="inlineStr"/>
      <c r="M748" s="5" t="inlineStr"/>
      <c r="N748" s="5" t="inlineStr"/>
      <c r="O748" s="6" t="inlineStr"/>
      <c r="P748" s="6" t="inlineStr"/>
      <c r="Q748" s="5" t="inlineStr"/>
      <c r="R748" s="5" t="inlineStr"/>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row>
    <row r="749">
      <c r="A749" s="5" t="inlineStr">
        <is>
          <t>b7-cocuklu-dogum-gunu</t>
        </is>
      </c>
      <c r="B749" s="5" t="n">
        <v>1</v>
      </c>
      <c r="C749" s="6" t="inlineStr">
        <is>
          <t>Hediyeyi bırak, pasta ye, git</t>
        </is>
      </c>
      <c r="D749" s="5" t="inlineStr"/>
      <c r="E749" s="5" t="inlineStr"/>
      <c r="F749" s="5" t="inlineStr">
        <is>
          <t>Kurnazlık +1</t>
        </is>
      </c>
      <c r="G749" s="6" t="inlineStr">
        <is>
          <t>Pastayı yedin, hediyeyi bıraktın, ayakkabını kapıda giydin. Arkandan çocuğun babaannesinin sesi geldi: “Seninkini ne zaman göreceğiz?” Asansör tam zamanında geldi.</t>
        </is>
      </c>
      <c r="H749" s="6" t="inlineStr"/>
      <c r="I749" s="6" t="inlineStr"/>
      <c r="J749" s="6" t="inlineStr"/>
      <c r="K749" s="6" t="inlineStr"/>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row>
    <row r="750">
      <c r="A750" s="5" t="inlineStr">
        <is>
          <t>b7-cocuklu-dogum-gunu</t>
        </is>
      </c>
      <c r="B750" s="5" t="n">
        <v>2</v>
      </c>
      <c r="C750" s="6" t="inlineStr">
        <is>
          <t>Çocuklarla oyuna katıl</t>
        </is>
      </c>
      <c r="D750" s="5" t="inlineStr">
        <is>
          <t>Gönül</t>
        </is>
      </c>
      <c r="E750" s="5" t="inlineStr">
        <is>
          <t>Orta</t>
        </is>
      </c>
      <c r="F750" s="5" t="inlineStr"/>
      <c r="G750" s="6" t="inlineStr"/>
      <c r="H750" s="6" t="inlineStr">
        <is>
          <t>Kovalamaca oynadın, kazandın. Çocuklar seni en sevdikleri yetişkin ilan etti.</t>
        </is>
      </c>
      <c r="I750" s="6" t="inlineStr">
        <is>
          <t>Oyun o kadar eğlenceliydi ki üç çocuk ailesinden 'Onun partisine de gidelim' diye istedi. Takvimin doldu.</t>
        </is>
      </c>
      <c r="J750" s="6" t="inlineStr">
        <is>
          <t>Kovalamacada beş yaşındakilere yetişemedin. Nefes nefese bir banka oturdun.</t>
        </is>
      </c>
      <c r="K750" s="6" t="inlineStr">
        <is>
          <t>Oyunda şişme kaleye sıkıştın. Çocuklar kurtarmak için sıraya girdi. Fotoğraf aile grubunda dolaşıyor.</t>
        </is>
      </c>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row>
    <row r="751">
      <c r="A751" s="5" t="inlineStr">
        <is>
          <t>b7-cocuklu-dogum-gunu</t>
        </is>
      </c>
      <c r="B751" s="5" t="n">
        <v>3</v>
      </c>
      <c r="C751" s="6" t="inlineStr">
        <is>
          <t>Ebeveyn sohbetine katılmaya çalış</t>
        </is>
      </c>
      <c r="D751" s="5" t="inlineStr">
        <is>
          <t>Sosyal Radar</t>
        </is>
      </c>
      <c r="E751" s="5" t="inlineStr">
        <is>
          <t>Zor</t>
        </is>
      </c>
      <c r="F751" s="5" t="inlineStr"/>
      <c r="G751" s="6" t="inlineStr"/>
      <c r="H751" s="6" t="inlineStr">
        <is>
          <t>Ebeveynlerle kreş fiyatlarını konuştun. Hiçbir şey bilmediğin halde gayet inandırıcıydın.</t>
        </is>
      </c>
      <c r="I751" s="6" t="inlineStr">
        <is>
          <t>Sohbete öyle uydun ki bir anne uyku düzeni için sana akıl danıştı. “Ninni yerine hava durumu oku” dedin. Ertesi sabah mesaj attı: “Mışıl mışıl.”</t>
        </is>
      </c>
      <c r="J751" s="6" t="inlineStr">
        <is>
          <t>Uyku düzeni konuşuldu. Senin tek katkın 'Ben on ikide yatıyorum' oldu.</t>
        </is>
      </c>
      <c r="K751" s="6" t="inlineStr">
        <is>
          <t>Bir anneye “Bunlar bu yaşta ne yer?” diye sordun. Soru veli grubuna düştü; artık her partide biri kulağına “Bunlar pasta yer” diye fısıldıyor.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row>
    <row r="752">
      <c r="A752" s="5" t="inlineStr">
        <is>
          <t>b7-ev-esyasi</t>
        </is>
      </c>
      <c r="B752" s="5" t="n">
        <v>1</v>
      </c>
      <c r="C752" s="6" t="inlineStr">
        <is>
          <t>Eşinin seçtiğini al</t>
        </is>
      </c>
      <c r="D752" s="5" t="inlineStr"/>
      <c r="E752" s="5" t="inlineStr"/>
      <c r="F752" s="5" t="inlineStr">
        <is>
          <t>Gönül +1</t>
        </is>
      </c>
      <c r="G752" s="6" t="inlineStr">
        <is>
          <t>Eşinin seçtiği takım geldi. Çok güzel. Annen naylonunu çıkarttırmadı: “Misafir gelince açarsınız.” Sen her oturduğunda naylon “gıcırt” diyor.</t>
        </is>
      </c>
      <c r="H752" s="6" t="inlineStr"/>
      <c r="I752" s="6" t="inlineStr"/>
      <c r="J752" s="6" t="inlineStr"/>
      <c r="K752" s="6" t="inlineStr"/>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row>
    <row r="753">
      <c r="A753" s="5" t="inlineStr">
        <is>
          <t>b7-ev-esyasi</t>
        </is>
      </c>
      <c r="B753" s="5" t="n">
        <v>2</v>
      </c>
      <c r="C753" s="6" t="inlineStr">
        <is>
          <t>Kendi favorini savun</t>
        </is>
      </c>
      <c r="D753" s="5" t="inlineStr">
        <is>
          <t>Çene</t>
        </is>
      </c>
      <c r="E753" s="5" t="inlineStr">
        <is>
          <t>Orta</t>
        </is>
      </c>
      <c r="F753" s="5" t="inlineStr"/>
      <c r="G753" s="6" t="inlineStr"/>
      <c r="H753" s="6" t="inlineStr">
        <is>
          <t>Koltuğun kazandı. Eşin ilk hafta ona oturmadı. İkinci hafta hep o oturdu.</t>
        </is>
      </c>
      <c r="I753" s="6" t="inlineStr">
        <is>
          <t>Öyle güzel savundun ki satış danışmanı kendi evine de aynısını sipariş etti. Eşin “Adam bile aldı” dedi ve ikna oldu.</t>
        </is>
      </c>
      <c r="J753" s="6" t="inlineStr">
        <is>
          <t>Tartışma üçüncü saate girdi. Güvenlik kepengi yarıya indirip sizi bekledi. Eve iki koltuğun fotoğrafıyla döndünüz; o akşam yerde oturdunuz.</t>
        </is>
      </c>
      <c r="K753" s="6" t="inlineStr">
        <is>
          <t>İkiniz de aynı anda fikir değiştirdiniz, birbirinizin eski fikrine. Danışman ikisini de faturaya yazdı. Salonda şimdi iki koltuk var; ikiniz de öbürüne oturuyorsunuz.</t>
        </is>
      </c>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row>
    <row r="754">
      <c r="A754" s="5" t="inlineStr">
        <is>
          <t>b7-ev-esyasi</t>
        </is>
      </c>
      <c r="B754" s="5" t="n">
        <v>3</v>
      </c>
      <c r="C754" s="6" t="inlineStr">
        <is>
          <t>Satış danışmanını hakem yap</t>
        </is>
      </c>
      <c r="D754" s="5" t="inlineStr">
        <is>
          <t>Kurnazlık</t>
        </is>
      </c>
      <c r="E754" s="5" t="inlineStr">
        <is>
          <t>Kolay</t>
        </is>
      </c>
      <c r="F754" s="5" t="inlineStr"/>
      <c r="G754" s="6" t="inlineStr"/>
      <c r="H754" s="6" t="inlineStr">
        <is>
          <t>Danışman senin koltuğu seçti. Eşin danışmana küstü. Koltuk eve geldi.</t>
        </is>
      </c>
      <c r="I754" s="6" t="inlineStr">
        <is>
          <t>Danışman üçüncü bir koltuk gösterdi; ikiniz aynı anda “Bu” dediniz, üstüne indirim de yaptı. Eve dönerken arabada el ele tuttunuz, koltuktan hiç bahsetmeden.</t>
        </is>
      </c>
      <c r="J754" s="6" t="inlineStr">
        <is>
          <t>Danışman “İkisi de çok güzel” dedi. İkiniz aynı anda “Ama hangisi?” dediniz. Danışman üç çay söyledi.</t>
        </is>
      </c>
      <c r="K754" s="6" t="inlineStr">
        <is>
          <t>Danışman “Bence ikisi de sizin evinize göre değil” dedi. Haklıydı. İkiniz de ona küstünüz; mağazanın önünden hâlâ karşı kaldırımdan geçiyorsunuz.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row>
    <row r="755">
      <c r="A755" s="5" t="inlineStr">
        <is>
          <t>mb-yillik-izin</t>
        </is>
      </c>
      <c r="B755" s="5" t="n">
        <v>1</v>
      </c>
      <c r="C755" s="6" t="inlineStr">
        <is>
          <t>Kasımda izin al</t>
        </is>
      </c>
      <c r="D755" s="5" t="inlineStr"/>
      <c r="E755" s="5" t="inlineStr"/>
      <c r="F755" s="5" t="inlineStr">
        <is>
          <t>Dayanıklılık +1</t>
        </is>
      </c>
      <c r="G755" s="6" t="inlineStr">
        <is>
          <t>Herkes çalışırken tatile çıktın. Otel boştu, deniz soğuktu, ruhun ısındı.</t>
        </is>
      </c>
      <c r="H755" s="6" t="inlineStr"/>
      <c r="I755" s="6" t="inlineStr"/>
      <c r="J755" s="6" t="inlineStr"/>
      <c r="K755" s="6" t="inlineStr"/>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row>
    <row r="756">
      <c r="A756" s="5" t="inlineStr">
        <is>
          <t>mb-yillik-izin</t>
        </is>
      </c>
      <c r="B756" s="5" t="n">
        <v>2</v>
      </c>
      <c r="C756" s="6" t="inlineStr">
        <is>
          <t>Gece yarısı tekrar dene</t>
        </is>
      </c>
      <c r="D756" s="5" t="inlineStr">
        <is>
          <t>Kurnazlık</t>
        </is>
      </c>
      <c r="E756" s="5" t="inlineStr">
        <is>
          <t>Orta</t>
        </is>
      </c>
      <c r="F756" s="5" t="inlineStr"/>
      <c r="G756" s="6" t="inlineStr"/>
      <c r="H756" s="6" t="inlineStr">
        <is>
          <t>Sistem gece 00.03'te açıldı, sen 00.03'teydin. İzin onaylandı.</t>
        </is>
      </c>
      <c r="I756" s="6" t="inlineStr">
        <is>
          <t>Hem bayram köprüsünü hem ardından bir haftayı kaptın. Ekip bunu yıllarca konuştu.</t>
        </is>
      </c>
      <c r="J756" s="6" t="inlineStr">
        <is>
          <t>Sistem açıldı; ekipten biri 00.02'de girmiş. Kim olduğu hâlâ bilinmiyor.</t>
        </is>
      </c>
      <c r="K756" s="6" t="inlineStr">
        <is>
          <t>Gece yarısı başvurdun; ertesi yılın tarihini seçmişsin. Onaylandı.</t>
        </is>
      </c>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row>
    <row r="757">
      <c r="A757" s="5" t="inlineStr">
        <is>
          <t>mb-yillik-izin</t>
        </is>
      </c>
      <c r="B757" s="5" t="n">
        <v>3</v>
      </c>
      <c r="C757" s="6" t="inlineStr">
        <is>
          <t>Yöneticinin izin tarihini öğren, aynısını al</t>
        </is>
      </c>
      <c r="D757" s="5" t="inlineStr">
        <is>
          <t>Sosyal Radar</t>
        </is>
      </c>
      <c r="E757" s="5" t="inlineStr">
        <is>
          <t>Kolay</t>
        </is>
      </c>
      <c r="F757" s="5" t="inlineStr"/>
      <c r="G757" s="6" t="inlineStr"/>
      <c r="H757" s="6" t="inlineStr">
        <is>
          <t>Yöneticin yokken sen de yoktun. Döndüğünde masanda tek satırlık bir not vardı: “Ben de yoktum, bir şey olmadı.”</t>
        </is>
      </c>
      <c r="I757" s="6" t="inlineStr">
        <is>
          <t>Yöneticinle aynı tarihleri aldın, aynı otele düştünüz. Terfi sohbetin şezlongda yapıldı.</t>
        </is>
      </c>
      <c r="J757" s="6" t="inlineStr">
        <is>
          <t>Yöneticin son anda iptal etti. Sen gittin. Her gün seni aradı.</t>
        </is>
      </c>
      <c r="K757" s="6" t="inlineStr">
        <is>
          <t>Yöneticinle aynı tarihleri aldın; ikiniz yokken bütün iş sana devredilmiş. Sahilden çalıştın.</t>
        </is>
      </c>
      <c r="L757" s="6" t="inlineStr"/>
      <c r="M757" s="5" t="inlineStr"/>
      <c r="N757" s="5" t="inlineStr"/>
      <c r="O757" s="6" t="inlineStr"/>
      <c r="P757" s="6" t="inlineStr"/>
      <c r="Q757" s="5" t="inlineStr"/>
      <c r="R757" s="5" t="inlineStr"/>
      <c r="S757" s="5" t="inlineStr">
        <is>
          <t>Sosyal Radar</t>
        </is>
      </c>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row>
    <row r="758">
      <c r="A758" s="5" t="inlineStr">
        <is>
          <t>mb-yillik-izin</t>
        </is>
      </c>
      <c r="B758" s="5" t="n">
        <v>4</v>
      </c>
      <c r="C758" s="6" t="inlineStr">
        <is>
          <t>'Bakıcı izinde' gerekçesini sun</t>
        </is>
      </c>
      <c r="D758" s="5" t="inlineStr">
        <is>
          <t>Çene</t>
        </is>
      </c>
      <c r="E758" s="5" t="inlineStr">
        <is>
          <t>Kolay</t>
        </is>
      </c>
      <c r="F758" s="5" t="inlineStr"/>
      <c r="G758" s="6" t="inlineStr"/>
      <c r="H758" s="6" t="inlineStr">
        <is>
          <t>“Bakıcı izinde” dedin. Kimse itiraz edemedi. Bakıcı anneanneydi ve hiç izin almamıştı.</t>
        </is>
      </c>
      <c r="I758" s="6" t="inlineStr">
        <is>
          <t>Gerekçen öyle sağlam çıktı ki şirket küçük çocuklu çalışanlara izinde öncelik kuralı getirdi. Ekipteki bekârlar bayramda sana mesaj atmadı.</t>
        </is>
      </c>
      <c r="J758" s="6" t="inlineStr">
        <is>
          <t>Ekipteki herkesin çocuğu varmış. Kura çekildi.</t>
        </is>
      </c>
      <c r="K758" s="6" t="inlineStr">
        <is>
          <t>İzni aldın. Tatilin ilk sabahı yöneticin görüntülü aradı; telefonu çocuğun kaptı, ekranı yaladı, kapattı. Döndüğünde masanda bir not vardı: “Kısa bir görüşme.”</t>
        </is>
      </c>
      <c r="L758" s="6" t="inlineStr"/>
      <c r="M758" s="5" t="inlineStr"/>
      <c r="N758" s="5" t="inlineStr"/>
      <c r="O758" s="6" t="inlineStr"/>
      <c r="P758" s="6" t="inlineStr"/>
      <c r="Q758" s="5" t="inlineStr"/>
      <c r="R758" s="5" t="inlineStr">
        <is>
          <t>cocuklu</t>
        </is>
      </c>
      <c r="S758" s="5" t="inlineStr"/>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row>
    <row r="759">
      <c r="A759" s="5" t="inlineStr">
        <is>
          <t>mb-yillik-izin</t>
        </is>
      </c>
      <c r="B759" s="5" t="n">
        <v>5</v>
      </c>
      <c r="C759" s="6" t="inlineStr">
        <is>
          <t>Yöneticiyle yüz yüze pazarlık et</t>
        </is>
      </c>
      <c r="D759" s="5" t="inlineStr">
        <is>
          <t>Cesaret</t>
        </is>
      </c>
      <c r="E759" s="5" t="inlineStr">
        <is>
          <t>Orta</t>
        </is>
      </c>
      <c r="F759" s="5" t="inlineStr"/>
      <c r="G759" s="6" t="inlineStr"/>
      <c r="H759" s="6" t="inlineStr">
        <is>
          <t>Beş gün istedin, dört gün aldın. İstediğin zaten dört gündü.</t>
        </is>
      </c>
      <c r="I759" s="6" t="inlineStr">
        <is>
          <t>İzni aldın, üstüne yöneticin 'Bu arada telefona da bakma' dedi. Kayda geçti.</t>
        </is>
      </c>
      <c r="J759" s="6" t="inlineStr">
        <is>
          <t>Pazarlık ettin; iznin 'takvim uygunsa' onaylandı. Takvim hiç uygun olmadı.</t>
        </is>
      </c>
      <c r="K759" s="6" t="inlineStr">
        <is>
          <t>Pazarlık uzadı. İzin başvurusu yerine yıllık hedeflerin görüşüldü. Hedefler arttı.</t>
        </is>
      </c>
      <c r="L759" s="6" t="inlineStr"/>
      <c r="M759" s="5" t="inlineStr"/>
      <c r="N759" s="5" t="inlineStr"/>
      <c r="O759" s="6" t="inlineStr"/>
      <c r="P759" s="6" t="inlineStr"/>
      <c r="Q759" s="5" t="inlineStr">
        <is>
          <t>Sözünü Geçirir</t>
        </is>
      </c>
      <c r="R759" s="5" t="inlineStr"/>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row>
    <row r="760">
      <c r="A760" s="5" t="inlineStr">
        <is>
          <t>me-cirak</t>
        </is>
      </c>
      <c r="B760" s="5" t="n">
        <v>1</v>
      </c>
      <c r="C760" s="6" t="inlineStr">
        <is>
          <t>Deneme süresi ver</t>
        </is>
      </c>
      <c r="D760" s="5" t="inlineStr"/>
      <c r="E760" s="5" t="inlineStr"/>
      <c r="F760" s="5" t="inlineStr">
        <is>
          <t>Akıl +1, Kurnazlık +1</t>
        </is>
      </c>
      <c r="G760" s="6" t="inlineStr">
        <is>
          <t>Üç aylık deneme verdin. Çırak da seni üç ay denedi. İkiniz de geçtiniz.</t>
        </is>
      </c>
      <c r="H760" s="6" t="inlineStr"/>
      <c r="I760" s="6" t="inlineStr"/>
      <c r="J760" s="6" t="inlineStr"/>
      <c r="K760" s="6" t="inlineStr"/>
      <c r="L760" s="6" t="inlineStr"/>
      <c r="M760" s="5" t="inlineStr"/>
      <c r="N760" s="5" t="inlineStr"/>
      <c r="O760" s="6" t="inlineStr"/>
      <c r="P760" s="6" t="inlineStr"/>
      <c r="Q760" s="5" t="inlineStr"/>
      <c r="R760" s="5" t="inlineStr"/>
      <c r="S760" s="5" t="inlineStr"/>
      <c r="T760" s="5" t="inlineStr"/>
      <c r="U760" s="5" t="inlineStr">
        <is>
          <t>esnaf-cirak</t>
        </is>
      </c>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row>
    <row r="761">
      <c r="A761" s="5" t="inlineStr">
        <is>
          <t>me-cirak</t>
        </is>
      </c>
      <c r="B761" s="5" t="n">
        <v>2</v>
      </c>
      <c r="C761" s="6" t="inlineStr">
        <is>
          <t>İşe al, her şeyi öğret</t>
        </is>
      </c>
      <c r="D761" s="5" t="inlineStr">
        <is>
          <t>İtibar</t>
        </is>
      </c>
      <c r="E761" s="5" t="inlineStr">
        <is>
          <t>Orta</t>
        </is>
      </c>
      <c r="F761" s="5" t="inlineStr"/>
      <c r="G761" s="6" t="inlineStr"/>
      <c r="H761" s="6" t="inlineStr">
        <is>
          <t>Kasayı, defteri ve müşteri sabrını öğrettin. Üçüncüsü en uzun sürdü.</t>
        </is>
      </c>
      <c r="I761" s="6" t="inlineStr">
        <is>
          <t>Çırak altı ayda işi kaptı, bir yılda sana bir şeyler öğretmeye başladı. Mesela telefonunun ayarlarını.</t>
        </is>
      </c>
      <c r="J761" s="6" t="inlineStr">
        <is>
          <t>Öğrettin, öğrettin. Bir ay sonra askerlik celbi geldi; uğurlamasında sen de vardın. Dönünce uğramadı; ama annesi her bayram bir tabak baklava gönderiyor.</t>
        </is>
      </c>
      <c r="K761" s="6" t="inlineStr">
        <is>
          <t>Her şeyi öğrettin, en son veresiye defterini. Çırak karşı sokakta dükkân açtı ve ilk iş defterdekileri aradı: “Ustanın fiyatından beş aşağı.”</t>
        </is>
      </c>
      <c r="L761" s="6" t="inlineStr"/>
      <c r="M761" s="5" t="inlineStr"/>
      <c r="N761" s="5" t="inlineStr"/>
      <c r="O761" s="6" t="inlineStr"/>
      <c r="P761" s="6" t="inlineStr"/>
      <c r="Q761" s="5" t="inlineStr"/>
      <c r="R761" s="5" t="inlineStr"/>
      <c r="S761" s="5" t="inlineStr"/>
      <c r="T761" s="5" t="inlineStr"/>
      <c r="U761" s="5" t="inlineStr"/>
      <c r="V761" s="5" t="inlineStr">
        <is>
          <t>esnaf-cirak</t>
        </is>
      </c>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row>
    <row r="762">
      <c r="A762" s="5" t="inlineStr">
        <is>
          <t>me-cirak</t>
        </is>
      </c>
      <c r="B762" s="5" t="n">
        <v>3</v>
      </c>
      <c r="C762" s="6" t="inlineStr">
        <is>
          <t>'Etiketleri sen de gördün, değil mi?' de</t>
        </is>
      </c>
      <c r="D762" s="5" t="inlineStr">
        <is>
          <t>Sosyal Radar</t>
        </is>
      </c>
      <c r="E762" s="5" t="inlineStr">
        <is>
          <t>Kolay</t>
        </is>
      </c>
      <c r="F762" s="5" t="inlineStr"/>
      <c r="G762" s="6" t="inlineStr"/>
      <c r="H762" s="6" t="inlineStr">
        <is>
          <t>Çırağı etiket sorumlusu yaptın. Dükkânın fiyatları ilk kez birbiriyle tutarlı.</t>
        </is>
      </c>
      <c r="I762" s="6" t="inlineStr">
        <is>
          <t>Çırak vitrini, stoku ve etiketleri baştan düzenledi. Ciro arttı, senin gözlük ihtiyacın azaldı.</t>
        </is>
      </c>
      <c r="J762" s="6" t="inlineStr">
        <is>
          <t>“Hangi etiketler?” dedi. Gösterdin; yanlışları değil, doğruları göstermişsin.</t>
        </is>
      </c>
      <c r="K762" s="6" t="inlineStr">
        <is>
          <t>Çırak etiketleri düzeltti; ters yöne. Bir hafta boyunca en ucuz ürün, en pahalı üründü.</t>
        </is>
      </c>
      <c r="L762" s="6" t="inlineStr"/>
      <c r="M762" s="5" t="inlineStr"/>
      <c r="N762" s="5" t="inlineStr"/>
      <c r="O762" s="6" t="inlineStr"/>
      <c r="P762" s="6" t="inlineStr"/>
      <c r="Q762" s="5" t="inlineStr"/>
      <c r="R762" s="5" t="inlineStr"/>
      <c r="S762" s="5" t="inlineStr">
        <is>
          <t>Sosyal Radar</t>
        </is>
      </c>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row>
    <row r="763">
      <c r="A763" s="5" t="inlineStr">
        <is>
          <t>me-cirak</t>
        </is>
      </c>
      <c r="B763" s="5" t="n">
        <v>4</v>
      </c>
      <c r="C763" s="6" t="inlineStr">
        <is>
          <t>'Kendim yeterim' de</t>
        </is>
      </c>
      <c r="D763" s="5" t="inlineStr"/>
      <c r="E763" s="5" t="inlineStr"/>
      <c r="F763" s="5" t="inlineStr">
        <is>
          <t>Dayanıklılık +1</t>
        </is>
      </c>
      <c r="G763" s="6" t="inlineStr">
        <is>
          <t>Tek başına devam ettin. Dükkânda bir kişilik yer var; o yer de hep senin.</t>
        </is>
      </c>
      <c r="H763" s="6" t="inlineStr"/>
      <c r="I763" s="6" t="inlineStr"/>
      <c r="J763" s="6" t="inlineStr"/>
      <c r="K763" s="6" t="inlineStr"/>
      <c r="L763" s="6" t="inlineStr"/>
      <c r="M763" s="5" t="inlineStr"/>
      <c r="N763" s="5" t="inlineStr"/>
      <c r="O763" s="6" t="inlineStr"/>
      <c r="P763" s="6" t="inlineStr"/>
      <c r="Q763" s="5" t="inlineStr"/>
      <c r="R763" s="5" t="inlineStr"/>
      <c r="S763" s="5" t="inlineStr"/>
      <c r="T763" s="5" t="inlineStr"/>
      <c r="U763" s="5" t="inlineStr"/>
      <c r="V763" s="5" t="inlineStr"/>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row>
    <row r="764">
      <c r="A764" s="5" t="inlineStr">
        <is>
          <t>b7-ev-kredisi</t>
        </is>
      </c>
      <c r="B764" s="5" t="n">
        <v>1</v>
      </c>
      <c r="C764" s="6" t="inlineStr">
        <is>
          <t>Kirada kal</t>
        </is>
      </c>
      <c r="D764" s="5" t="inlineStr"/>
      <c r="E764" s="5" t="inlineStr"/>
      <c r="F764" s="5" t="inlineStr">
        <is>
          <t>Akıl +1, Dayanıklılık +1</t>
        </is>
      </c>
      <c r="G764" s="6" t="inlineStr">
        <is>
          <t>Kirada kalmaya karar verdin. Parayla değil, esnekliğinle övünüyorsun. Ev sahibi de esnek; her yıl kirayı esnetiyor.</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is>
          <t>kiraci-kaldi</t>
        </is>
      </c>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row>
    <row r="765">
      <c r="A765" s="5" t="inlineStr">
        <is>
          <t>b7-ev-kredisi</t>
        </is>
      </c>
      <c r="B765" s="5" t="n">
        <v>2</v>
      </c>
      <c r="C765" s="6" t="inlineStr">
        <is>
          <t>Krediyle al, satıcıyla pazarlık et</t>
        </is>
      </c>
      <c r="D765" s="5" t="inlineStr">
        <is>
          <t>Çene</t>
        </is>
      </c>
      <c r="E765" s="5" t="inlineStr">
        <is>
          <t>Zor</t>
        </is>
      </c>
      <c r="F765" s="5" t="inlineStr"/>
      <c r="G765" s="6" t="inlineStr"/>
      <c r="H765" s="6" t="inlineStr">
        <is>
          <t>Fiyatı indirdin, krediyi aldın, anahtarı teslim aldın. Annen tapunun fotoğrafını aile grubuna attı; altına üç kalp, bir de “Nazar değmesin.”</t>
        </is>
      </c>
      <c r="I765" s="6" t="inlineStr">
        <is>
          <t>Pazarlık o kadar iyi gitti ki satıcı perdeleri ve bir koltuğu da bıraktı. Koltuk kötü ama ücretsiz.</t>
        </is>
      </c>
      <c r="J765" s="6" t="inlineStr">
        <is>
          <t>Satıcı rakamda direndi. Anlaşma olmadı. Sen de o fiyatla komşu bir ev ilanı açtın, sadece bakmak için.</t>
        </is>
      </c>
      <c r="K765" s="6" t="inlineStr">
        <is>
          <t>“Son sözüm bu” deyip masadan kalktın; satıcının arkandan koşacağını sandın. Koşmadı. Kapıdaki çifte “Buyurun” dedi; telefonunda hâlâ salonun ölçüleri var.</t>
        </is>
      </c>
      <c r="L765" s="6" t="inlineStr">
        <is>
          <t>Fiyatı biraz indirdin. Kredi onaylandı, vade bir yıl uzadı. Ev senin; biraz da bankanın.</t>
        </is>
      </c>
      <c r="M765" s="5" t="inlineStr">
        <is>
          <t>bargain</t>
        </is>
      </c>
      <c r="N765" s="5" t="inlineStr">
        <is>
          <t>Ev Pazarlığı</t>
        </is>
      </c>
      <c r="O765" s="6" t="inlineStr">
        <is>
          <t>Satıcının sabrı bitmeden fiyatı aşağı çek. Çok sıkıştırırsan masadan kalkar.</t>
        </is>
      </c>
      <c r="P765" s="6" t="inlineStr">
        <is>
          <t>{"item": "ev", "mode": "buy"}</t>
        </is>
      </c>
      <c r="Q765" s="5" t="inlineStr"/>
      <c r="R765" s="5" t="inlineStr"/>
      <c r="S765" s="5" t="inlineStr"/>
      <c r="T765" s="5" t="inlineStr"/>
      <c r="U765" s="5" t="inlineStr"/>
      <c r="V765" s="5" t="inlineStr">
        <is>
          <t>ev-sahibi</t>
        </is>
      </c>
      <c r="W765" s="5" t="inlineStr"/>
      <c r="X765" s="5" t="inlineStr"/>
      <c r="Y765" s="5" t="inlineStr"/>
      <c r="Z765" s="6" t="inlineStr"/>
      <c r="AA765" s="5" t="inlineStr"/>
      <c r="AB765" s="5" t="inlineStr">
        <is>
          <t>kiraci-kaldi</t>
        </is>
      </c>
      <c r="AC765" s="5" t="inlineStr">
        <is>
          <t>Orta</t>
        </is>
      </c>
      <c r="AD765" s="5" t="inlineStr"/>
      <c r="AE765" s="5" t="inlineStr"/>
      <c r="AF765" s="5" t="n">
        <v>1</v>
      </c>
      <c r="AG765" s="5" t="inlineStr"/>
      <c r="AH765" s="5" t="inlineStr"/>
      <c r="AI765" s="5" t="inlineStr"/>
    </row>
    <row r="766">
      <c r="A766" s="5" t="inlineStr">
        <is>
          <t>b7-ev-kredisi</t>
        </is>
      </c>
      <c r="B766" s="5" t="n">
        <v>3</v>
      </c>
      <c r="C766" s="6" t="inlineStr">
        <is>
          <t>Ailenin yardımıyla al</t>
        </is>
      </c>
      <c r="D766" s="5" t="inlineStr"/>
      <c r="E766" s="5" t="inlineStr"/>
      <c r="F766" s="5" t="inlineStr">
        <is>
          <t>İtibar +1, Sosyal Radar +1</t>
        </is>
      </c>
      <c r="G766" s="6" t="inlineStr">
        <is>
          <t>Baban “Bizden sana” dedi ve tapuyu uzattı; anahtarın yedeği annende kaldı. Ev senin, pazar günleri onların. Her pazar habersiz gelen misafirlerin var; yemek de getiriyorlar.</t>
        </is>
      </c>
      <c r="H766" s="6" t="inlineStr"/>
      <c r="I766" s="6" t="inlineStr"/>
      <c r="J766" s="6" t="inlineStr"/>
      <c r="K766" s="6" t="inlineStr"/>
      <c r="L766" s="6" t="inlineStr"/>
      <c r="M766" s="5" t="inlineStr"/>
      <c r="N766" s="5" t="inlineStr"/>
      <c r="O766" s="6" t="inlineStr"/>
      <c r="P766" s="6" t="inlineStr"/>
      <c r="Q766" s="5" t="inlineStr"/>
      <c r="R766" s="5" t="inlineStr"/>
      <c r="S766" s="5" t="inlineStr"/>
      <c r="T766" s="5" t="inlineStr"/>
      <c r="U766" s="5" t="inlineStr">
        <is>
          <t>ev-sahibi, aile-yardimi-ev</t>
        </is>
      </c>
      <c r="V766" s="5" t="inlineStr"/>
      <c r="W766" s="5" t="inlineStr"/>
      <c r="X766" s="5" t="inlineStr"/>
      <c r="Y766" s="5" t="inlineStr"/>
      <c r="Z766" s="6" t="inlineStr"/>
      <c r="AA766" s="5" t="inlineStr">
        <is>
          <t>hepsi +1</t>
        </is>
      </c>
      <c r="AB766" s="5" t="inlineStr"/>
      <c r="AC766" s="5" t="inlineStr">
        <is>
          <t>Rahat</t>
        </is>
      </c>
      <c r="AD766" s="5" t="inlineStr"/>
      <c r="AE766" s="5" t="inlineStr">
        <is>
          <t>Tam</t>
        </is>
      </c>
      <c r="AF766" s="5" t="inlineStr"/>
      <c r="AG766" s="5" t="inlineStr"/>
      <c r="AH766" s="5" t="inlineStr"/>
      <c r="AI766" s="5" t="inlineStr"/>
    </row>
    <row r="767">
      <c r="A767" s="5" t="inlineStr">
        <is>
          <t>b7-ev-kredisi</t>
        </is>
      </c>
      <c r="B767" s="5" t="n">
        <v>4</v>
      </c>
      <c r="C767" s="6" t="inlineStr">
        <is>
          <t>Peşin öde</t>
        </is>
      </c>
      <c r="D767" s="5" t="inlineStr"/>
      <c r="E767" s="5" t="inlineStr"/>
      <c r="F767" s="5" t="inlineStr">
        <is>
          <t>Pişkinlik +1, Kurnazlık +1</t>
        </is>
      </c>
      <c r="G767" s="6" t="inlineStr">
        <is>
          <t>Peşin ödedin. Emlakçı ilk kez sustu; banka temsilcisi ilk kez aradı. Tapuda kimse soru sormadı, sen de cevap vermedin.</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t>
        </is>
      </c>
      <c r="V767" s="5" t="inlineStr"/>
      <c r="W767" s="5" t="inlineStr"/>
      <c r="X767" s="5" t="inlineStr"/>
      <c r="Y767" s="5" t="inlineStr"/>
      <c r="Z767" s="6" t="inlineStr"/>
      <c r="AA767" s="5" t="inlineStr"/>
      <c r="AB767" s="5" t="inlineStr"/>
      <c r="AC767" s="5" t="inlineStr">
        <is>
          <t>Varlıklı</t>
        </is>
      </c>
      <c r="AD767" s="5" t="inlineStr"/>
      <c r="AE767" s="5" t="inlineStr"/>
      <c r="AF767" s="5" t="inlineStr"/>
      <c r="AG767" s="5" t="inlineStr"/>
      <c r="AH767" s="5" t="inlineStr"/>
      <c r="AI767" s="5" t="inlineStr"/>
    </row>
    <row r="768">
      <c r="A768" s="5" t="inlineStr">
        <is>
          <t>b7-ev-kredisi</t>
        </is>
      </c>
      <c r="B768" s="5" t="n">
        <v>5</v>
      </c>
      <c r="C768" s="6" t="inlineStr">
        <is>
          <t>Nakitle al, kaynağını sorma</t>
        </is>
      </c>
      <c r="D768" s="5" t="inlineStr">
        <is>
          <t>Kurnazlık</t>
        </is>
      </c>
      <c r="E768" s="5" t="inlineStr">
        <is>
          <t>Zor</t>
        </is>
      </c>
      <c r="F768" s="5" t="inlineStr"/>
      <c r="G768" s="6" t="inlineStr"/>
      <c r="H768" s="6" t="inlineStr">
        <is>
          <t>Çantayla gittin, tapuyla döndün. Tapu memuru çantaya baktı, sonra saatine baktı, sonra imzaladı.</t>
        </is>
      </c>
      <c r="I768" s="6" t="inlineStr">
        <is>
          <t>Satıcı nakdi görünce bir de yazlığını önerdi. Aldın mı? Bunu sadece sen ve çanta biliyor.</t>
        </is>
      </c>
      <c r="J768" s="6" t="inlineStr">
        <is>
          <t>Tapu müdürü paranın kaynağını sordu. “Tasarruf” dedin. Müdür güldü, işlemi erteledi.</t>
        </is>
      </c>
      <c r="K768" s="6" t="inlineStr">
        <is>
          <t>Tapu dairesinin önünde bir tanıdık müfettişle karşılaştın; çanta elindeydi. Sorusu kısaydı, cevabın daha kısa.</t>
        </is>
      </c>
      <c r="L768" s="6" t="inlineStr"/>
      <c r="M768" s="5" t="inlineStr"/>
      <c r="N768" s="5" t="inlineStr"/>
      <c r="O768" s="6" t="inlineStr"/>
      <c r="P768" s="6" t="inlineStr"/>
      <c r="Q768" s="5" t="inlineStr"/>
      <c r="R768" s="5" t="inlineStr">
        <is>
          <t>hat-cete</t>
        </is>
      </c>
      <c r="S768" s="5" t="inlineStr"/>
      <c r="T768" s="5" t="inlineStr"/>
      <c r="U768" s="5" t="inlineStr"/>
      <c r="V768" s="5" t="inlineStr">
        <is>
          <t>ev-sahibi</t>
        </is>
      </c>
      <c r="W768" s="5" t="inlineStr">
        <is>
          <t>hapis</t>
        </is>
      </c>
      <c r="X768" s="5" t="inlineStr"/>
      <c r="Y768" s="5" t="inlineStr"/>
      <c r="Z768" s="6" t="inlineStr"/>
      <c r="AA768" s="5" t="inlineStr"/>
      <c r="AB768" s="5" t="inlineStr">
        <is>
          <t>kiraci-kaldi</t>
        </is>
      </c>
      <c r="AC768" s="5" t="inlineStr">
        <is>
          <t>Rahat</t>
        </is>
      </c>
      <c r="AD768" s="5" t="inlineStr"/>
      <c r="AE768" s="5" t="inlineStr"/>
      <c r="AF768" s="5" t="inlineStr"/>
      <c r="AG768" s="5" t="inlineStr"/>
      <c r="AH768" s="5" t="inlineStr"/>
      <c r="AI768" s="5" t="inlineStr"/>
    </row>
    <row r="769">
      <c r="A769" s="5" t="inlineStr">
        <is>
          <t>b7-ev-kredisi</t>
        </is>
      </c>
      <c r="B769" s="5" t="n">
        <v>6</v>
      </c>
      <c r="C769" s="6" t="inlineStr">
        <is>
          <t>Ailenin dairesinde kalmaya devam et</t>
        </is>
      </c>
      <c r="D769" s="5" t="inlineStr"/>
      <c r="E769" s="5" t="inlineStr"/>
      <c r="F769" s="5" t="inlineStr">
        <is>
          <t>İtibar +1, Kurnazlık +1</t>
        </is>
      </c>
      <c r="G769" s="6" t="inlineStr">
        <is>
          <t>Tapu hâlâ babanda, anahtar hâlâ sende. Kira yok, kredi yok; sadece babanın “Duvara çivi çakma” telefonları var.</t>
        </is>
      </c>
      <c r="H769" s="6" t="inlineStr"/>
      <c r="I769" s="6" t="inlineStr"/>
      <c r="J769" s="6" t="inlineStr"/>
      <c r="K769" s="6" t="inlineStr"/>
      <c r="L769" s="6" t="inlineStr"/>
      <c r="M769" s="5" t="inlineStr"/>
      <c r="N769" s="5" t="inlineStr"/>
      <c r="O769" s="6" t="inlineStr"/>
      <c r="P769" s="6" t="inlineStr"/>
      <c r="Q769" s="5" t="inlineStr"/>
      <c r="R769" s="5" t="inlineStr">
        <is>
          <t>aile-dairesi</t>
        </is>
      </c>
      <c r="S769" s="5" t="inlineStr"/>
      <c r="T769" s="5" t="inlineStr"/>
      <c r="U769" s="5" t="inlineStr">
        <is>
          <t>aile-dairesi</t>
        </is>
      </c>
      <c r="V769" s="5" t="inlineStr"/>
      <c r="W769" s="5" t="inlineStr"/>
      <c r="X769" s="5" t="inlineStr"/>
      <c r="Y769" s="5" t="inlineStr"/>
      <c r="Z769" s="6" t="inlineStr"/>
      <c r="AA769" s="5" t="inlineStr"/>
      <c r="AB769" s="5" t="inlineStr"/>
      <c r="AC769" s="5" t="inlineStr"/>
      <c r="AD769" s="5" t="inlineStr"/>
      <c r="AE769" s="5" t="inlineStr"/>
      <c r="AF769" s="5" t="inlineStr"/>
      <c r="AG769" s="5" t="inlineStr"/>
      <c r="AH769" s="5" t="inlineStr"/>
      <c r="AI769" s="5" t="inlineStr"/>
    </row>
    <row r="770">
      <c r="A770" s="5" t="inlineStr">
        <is>
          <t>b7-ev-kredisi</t>
        </is>
      </c>
      <c r="B770" s="5" t="n">
        <v>7</v>
      </c>
      <c r="C770" s="6" t="inlineStr">
        <is>
          <t>Annenin evinde kal</t>
        </is>
      </c>
      <c r="D770" s="5" t="inlineStr"/>
      <c r="E770" s="5" t="inlineStr"/>
      <c r="F770" s="5" t="inlineStr">
        <is>
          <t>İtibar +1, Dayanıklılık +1</t>
        </is>
      </c>
      <c r="G770" s="6" t="inlineStr">
        <is>
          <t>Ev almana gerek yok; odan hâlâ senin, dolabın hâlâ annenin. Kredi tablosunu annen katlayıp mutfak çekmecesine koydu; tarif kâğıtlarının yanına.</t>
        </is>
      </c>
      <c r="H770" s="6" t="inlineStr"/>
      <c r="I770" s="6" t="inlineStr"/>
      <c r="J770" s="6" t="inlineStr"/>
      <c r="K770" s="6" t="inlineStr"/>
      <c r="L770" s="6" t="inlineStr"/>
      <c r="M770" s="5" t="inlineStr"/>
      <c r="N770" s="5" t="inlineStr"/>
      <c r="O770" s="6" t="inlineStr"/>
      <c r="P770" s="6" t="inlineStr"/>
      <c r="Q770" s="5" t="inlineStr"/>
      <c r="R770" s="5" t="inlineStr">
        <is>
          <t>evde-kaldi</t>
        </is>
      </c>
      <c r="S770" s="5" t="inlineStr"/>
      <c r="T770" s="5" t="inlineStr"/>
      <c r="U770" s="5" t="inlineStr">
        <is>
          <t>evin-oglu</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row>
    <row r="771">
      <c r="A771" s="5" t="inlineStr">
        <is>
          <t>b7-ev-kredisi</t>
        </is>
      </c>
      <c r="B771" s="5" t="n">
        <v>8</v>
      </c>
      <c r="C771" s="6" t="inlineStr">
        <is>
          <t>Kefil bul, krediyle al</t>
        </is>
      </c>
      <c r="D771" s="5" t="inlineStr"/>
      <c r="E771" s="5" t="inlineStr"/>
      <c r="F771" s="5" t="inlineStr">
        <is>
          <t>İtibar +1, Dayanıklılık +1</t>
        </is>
      </c>
      <c r="G771" s="6" t="inlineStr">
        <is>
          <t>Banka bir kefil istedi; mahallede üç kişi aynı gün imzaya geldi. Ev senin, borç senin; ama imzalar da senin. Bayramlarda üç kapıya ayrı ayrı tatlı götürüyorsun.</t>
        </is>
      </c>
      <c r="H771" s="6" t="inlineStr"/>
      <c r="I771" s="6" t="inlineStr"/>
      <c r="J771" s="6" t="inlineStr"/>
      <c r="K771" s="6" t="inlineStr"/>
      <c r="L771" s="6" t="inlineStr"/>
      <c r="M771" s="5" t="inlineStr"/>
      <c r="N771" s="5" t="inlineStr"/>
      <c r="O771" s="6" t="inlineStr"/>
      <c r="P771" s="6" t="inlineStr"/>
      <c r="Q771" s="5" t="inlineStr"/>
      <c r="R771" s="5" t="inlineStr"/>
      <c r="S771" s="5" t="inlineStr"/>
      <c r="T771" s="5" t="inlineStr"/>
      <c r="U771" s="5" t="inlineStr">
        <is>
          <t>ev-sahibi, borclu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is>
          <t>İtibar 43</t>
        </is>
      </c>
      <c r="AI771" s="5" t="inlineStr"/>
    </row>
    <row r="772">
      <c r="A772" s="5" t="inlineStr">
        <is>
          <t>b7-kres-kaydi</t>
        </is>
      </c>
      <c r="B772" s="5" t="n">
        <v>1</v>
      </c>
      <c r="C772" s="6" t="inlineStr">
        <is>
          <t>Dürüst cevap ver</t>
        </is>
      </c>
      <c r="D772" s="5" t="inlineStr"/>
      <c r="E772" s="5" t="inlineStr"/>
      <c r="F772" s="5" t="inlineStr">
        <is>
          <t>İtibar +1</t>
        </is>
      </c>
      <c r="G772" s="6" t="inlineStr">
        <is>
          <t>Dürüstçe 'Uyuyamıyor, biz de uyuyamıyoruz' dedin. Müdür bu cevabı çok duymuş. Kayıt yapıldı.</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c r="AI772" s="5" t="inlineStr"/>
    </row>
    <row r="773">
      <c r="A773" s="5" t="inlineStr">
        <is>
          <t>b7-kres-kaydi</t>
        </is>
      </c>
      <c r="B773" s="5" t="n">
        <v>2</v>
      </c>
      <c r="C773" s="6" t="inlineStr">
        <is>
          <t>Özgeçmiş gibi sun</t>
        </is>
      </c>
      <c r="D773" s="5" t="inlineStr">
        <is>
          <t>Çene</t>
        </is>
      </c>
      <c r="E773" s="5" t="inlineStr">
        <is>
          <t>Orta</t>
        </is>
      </c>
      <c r="F773" s="5" t="inlineStr"/>
      <c r="G773" s="6" t="inlineStr"/>
      <c r="H773" s="6" t="inlineStr">
        <is>
          <t>Çocuğunun becerilerini tek tek saydın: paylaşır, sırasını bekler, “lütfen” der. Müdür ikna oldu, kayıt açıldı. Çocuk o sırada müdürün şekerliğini ceplerine boşaltıyordu.</t>
        </is>
      </c>
      <c r="I773" s="6" t="inlineStr">
        <is>
          <t>Sunumun öyle iyiydi ki müdür seni veli temsilcisi yaptı. Ertesi sabah veli grubuna eklendin: 214 mesaj, hepsi sana soruyor.</t>
        </is>
      </c>
      <c r="J773" s="6" t="inlineStr">
        <is>
          <t>Müdür 'Çok etkileyici, bekleme listesine alıyoruz' dedi.</t>
        </is>
      </c>
      <c r="K773" s="6" t="inlineStr">
        <is>
          <t>Sunum sırasında çocuğun müdürün masasına tırmandı ve kalemliği devirdi. Sosyal becerileri canlı sergilendi.</t>
        </is>
      </c>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row>
    <row r="774">
      <c r="A774" s="5" t="inlineStr">
        <is>
          <t>b7-kres-kaydi</t>
        </is>
      </c>
      <c r="B774" s="5" t="n">
        <v>3</v>
      </c>
      <c r="C774" s="6" t="inlineStr">
        <is>
          <t>Kreşin güvenlik açıklarını kontrol et</t>
        </is>
      </c>
      <c r="D774" s="5" t="inlineStr">
        <is>
          <t>Sosyal Radar</t>
        </is>
      </c>
      <c r="E774" s="5" t="inlineStr">
        <is>
          <t>Kolay</t>
        </is>
      </c>
      <c r="F774" s="5" t="inlineStr"/>
      <c r="G774" s="6" t="inlineStr"/>
      <c r="H774" s="6" t="inlineStr">
        <is>
          <t>Her şeyi inceledin. Kreş iyi. Sen de iyisin. Sadece biraz fazla soru sordun.</t>
        </is>
      </c>
      <c r="I774" s="6" t="inlineStr">
        <is>
          <t>Yangın merdiveninden mutfağa kadar her şeye baktın. Müdür iki prize kapak taktırdı, kapıda sana teşekkür etti. Çocuğun ilk gün ağlamadı; sen ağladın.</t>
        </is>
      </c>
      <c r="J774" s="6" t="inlineStr">
        <is>
          <t>Soruların müdürü rahatsız etti. Bekleme listesi uzadı.</t>
        </is>
      </c>
      <c r="K774" s="6" t="inlineStr">
        <is>
          <t>İncelerken oyuncak dolabına girdin, kapı arkandan kapandı. Üç yaşında bir kız kapıyı açtı, seni elinden tutup müdüre götürdü: “Bu kaybolmuş.”</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row>
    <row r="775">
      <c r="A775" s="5" t="inlineStr">
        <is>
          <t>b7-kres-kaydi</t>
        </is>
      </c>
      <c r="B775" s="5" t="n">
        <v>4</v>
      </c>
      <c r="C775" s="6" t="inlineStr">
        <is>
          <t>Üç saat uykuyla sabah yedide ilk sıraya gir</t>
        </is>
      </c>
      <c r="D775" s="5" t="inlineStr">
        <is>
          <t>Dayanıklılık</t>
        </is>
      </c>
      <c r="E775" s="5" t="inlineStr">
        <is>
          <t>Orta</t>
        </is>
      </c>
      <c r="F775" s="5" t="inlineStr"/>
      <c r="G775" s="6" t="inlineStr"/>
      <c r="H775" s="6" t="inlineStr">
        <is>
          <t>Kapı açılınca ilk sen girdin. Elinde termos, gözlerin kıpkırmızı; arkadaki veliler sana kahramana bakar gibi baktı. Kayıt tamam.</t>
        </is>
      </c>
      <c r="I775" s="6" t="inlineStr">
        <is>
          <t>Üç saat uykuyla sırada ilk sendin. Kaydı yaptırdın, işe de zamanında yetiştin. Akşam eşin kapıda seni alkışladı; çocuk da, neye olduğunu bilmeden.</t>
        </is>
      </c>
      <c r="J775" s="6" t="inlineStr">
        <is>
          <t>Sıradaydın ama uyuyakaldın. Arkadaki veli seni nazikçe uyandırdı, sonra önüne geçti.</t>
        </is>
      </c>
      <c r="K775" s="6" t="inlineStr">
        <is>
          <t>Sabahın yedisinde sıraya girdin; yanlış kreşteymişsin. Yine de kayıt oldu. Artık iki kreşin var.</t>
        </is>
      </c>
      <c r="L775" s="6" t="inlineStr"/>
      <c r="M775" s="5" t="inlineStr"/>
      <c r="N775" s="5" t="inlineStr"/>
      <c r="O775" s="6" t="inlineStr"/>
      <c r="P775" s="6" t="inlineStr"/>
      <c r="Q775" s="5" t="inlineStr">
        <is>
          <t>Gözüne Uyku Girmez</t>
        </is>
      </c>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row>
    <row r="776">
      <c r="A776" s="5" t="inlineStr">
        <is>
          <t>b7-kres-kaydi</t>
        </is>
      </c>
      <c r="B776" s="5" t="n">
        <v>5</v>
      </c>
      <c r="C776" s="6" t="inlineStr">
        <is>
          <t>Kreşi boş ver, çocuğu anneanneye bırak</t>
        </is>
      </c>
      <c r="D776" s="5" t="inlineStr"/>
      <c r="E776" s="5" t="inlineStr"/>
      <c r="F776" s="5" t="inlineStr">
        <is>
          <t>Gönül +1</t>
        </is>
      </c>
      <c r="G776" s="6" t="inlineStr">
        <is>
          <t>Kreş formunu katlayıp çantana koydun, çocuğu anneanneye bıraktın. Üç ayda iki kilo aldı, dört mâni öğrendi, kreşi hiç sormadı. Anneanne her akşam ne yediğini tek tek anlatıyor.</t>
        </is>
      </c>
      <c r="H776" s="6" t="inlineStr"/>
      <c r="I776" s="6" t="inlineStr"/>
      <c r="J776" s="6" t="inlineStr"/>
      <c r="K776" s="6" t="inlineStr"/>
      <c r="L776" s="6" t="inlineStr"/>
      <c r="M776" s="5" t="inlineStr"/>
      <c r="N776" s="5" t="inlineStr"/>
      <c r="O776" s="6" t="inlineStr"/>
      <c r="P776" s="6" t="inlineStr"/>
      <c r="Q776" s="5" t="inlineStr"/>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row>
    <row r="777">
      <c r="A777" s="5" t="inlineStr">
        <is>
          <t>mm-kayip-dosya</t>
        </is>
      </c>
      <c r="B777" s="5" t="n">
        <v>1</v>
      </c>
      <c r="C777" s="6" t="inlineStr">
        <is>
          <t>Tutanakla 'kayıp' diye kaydet</t>
        </is>
      </c>
      <c r="D777" s="5" t="inlineStr"/>
      <c r="E777" s="5" t="inlineStr"/>
      <c r="F777" s="5" t="inlineStr">
        <is>
          <t>Pişkinlik +1, Dayanıklılık +1</t>
        </is>
      </c>
      <c r="G777" s="6" t="inlineStr">
        <is>
          <t>Dosya artık resmen kayıp. Kayıp olduğunu kanıtlayan tek belge senin masanda duruyor.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is>
          <t>memur-kayip-dosya</t>
        </is>
      </c>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row>
    <row r="778">
      <c r="A778" s="5" t="inlineStr">
        <is>
          <t>mm-kayip-dosya</t>
        </is>
      </c>
      <c r="B778" s="5" t="n">
        <v>2</v>
      </c>
      <c r="C778" s="6" t="inlineStr">
        <is>
          <t>Arşive in, ara</t>
        </is>
      </c>
      <c r="D778" s="5" t="inlineStr">
        <is>
          <t>Dayanıklılık</t>
        </is>
      </c>
      <c r="E778" s="5" t="inlineStr">
        <is>
          <t>Orta</t>
        </is>
      </c>
      <c r="F778" s="5" t="inlineStr"/>
      <c r="G778" s="6" t="inlineStr"/>
      <c r="H778" s="6" t="inlineStr">
        <is>
          <t>Arşivde dört saat geçirdin. Dosya başka bir dosyanın içindeydi; saklanıyormuş gibi.</t>
        </is>
      </c>
      <c r="I778" s="6" t="inlineStr">
        <is>
          <t>Dosyayı ve yedi yıl önce kaybolmuş üç dosyayı daha buldun. Arşivdeki teyze sana kendi demliğinden çay koydu; bunu o güne kadar kimse görmemişti.</t>
        </is>
      </c>
      <c r="J778" s="6" t="inlineStr">
        <is>
          <t>Dosyayı bulamadın ama kendi işe giriş dosyanı buldun. Fotoğrafta daha umutlusun.</t>
        </is>
      </c>
      <c r="K778" s="6" t="inlineStr">
        <is>
          <t>Arşivde kayboldun. Üç saat sonra bulundun. Dosya hâlâ kayıp.</t>
        </is>
      </c>
      <c r="L778" s="6" t="inlineStr"/>
      <c r="M778" s="5" t="inlineStr"/>
      <c r="N778" s="5" t="inlineStr"/>
      <c r="O778" s="6" t="inlineStr"/>
      <c r="P778" s="6" t="inlineStr"/>
      <c r="Q778" s="5" t="inlineStr"/>
      <c r="R778" s="5" t="inlineStr"/>
      <c r="S778" s="5" t="inlineStr"/>
      <c r="T778" s="5" t="inlineStr"/>
      <c r="U778" s="5" t="inlineStr"/>
      <c r="V778" s="5" t="inlineStr"/>
      <c r="W778" s="5" t="inlineStr">
        <is>
          <t>memur-kayip-dosya</t>
        </is>
      </c>
      <c r="X778" s="5" t="inlineStr"/>
      <c r="Y778" s="5" t="inlineStr"/>
      <c r="Z778" s="6" t="inlineStr"/>
      <c r="AA778" s="5" t="inlineStr"/>
      <c r="AB778" s="5" t="inlineStr"/>
      <c r="AC778" s="5" t="inlineStr"/>
      <c r="AD778" s="5" t="inlineStr"/>
      <c r="AE778" s="5" t="inlineStr"/>
      <c r="AF778" s="5" t="inlineStr"/>
      <c r="AG778" s="5" t="inlineStr"/>
      <c r="AH778" s="5" t="inlineStr"/>
      <c r="AI778" s="5" t="inlineStr"/>
    </row>
    <row r="779">
      <c r="A779" s="5" t="inlineStr">
        <is>
          <t>mm-kayip-dosya</t>
        </is>
      </c>
      <c r="B779" s="5" t="n">
        <v>3</v>
      </c>
      <c r="C779" s="6" t="inlineStr">
        <is>
          <t>Sahibine dürüstçe söyle</t>
        </is>
      </c>
      <c r="D779" s="5" t="inlineStr">
        <is>
          <t>İtibar</t>
        </is>
      </c>
      <c r="E779" s="5" t="inlineStr">
        <is>
          <t>Kolay</t>
        </is>
      </c>
      <c r="F779" s="5" t="inlineStr"/>
      <c r="G779" s="6" t="inlineStr"/>
      <c r="H779" s="6" t="inlineStr">
        <is>
          <t>Kızmadı, yorgun güldü. Dosyayı birlikte yeniden hazırladınız.</t>
        </is>
      </c>
      <c r="I779" s="6" t="inlineStr">
        <is>
          <t>Dosyayı sıfırdan hazırladın; iki haftada bitti. Dört yıllık salı ziyaretleri sona erdi.</t>
        </is>
      </c>
      <c r="J779" s="6" t="inlineStr">
        <is>
          <t>'Biliyordum' dedi. Bu, öfkeden daha ağır bir cevap.</t>
        </is>
      </c>
      <c r="K779" s="6" t="inlineStr">
        <is>
          <t>Şikâyet dilekçesi yazdı. Dilekçe de kayboldu.</t>
        </is>
      </c>
      <c r="L779" s="6" t="inlineStr"/>
      <c r="M779" s="5" t="inlineStr"/>
      <c r="N779" s="5" t="inlineStr"/>
      <c r="O779" s="6" t="inlineStr"/>
      <c r="P779" s="6" t="inlineStr"/>
      <c r="Q779" s="5" t="inlineStr"/>
      <c r="R779" s="5" t="inlineStr"/>
      <c r="S779" s="5" t="inlineStr">
        <is>
          <t>İtibar</t>
        </is>
      </c>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row>
    <row r="780">
      <c r="A780" s="5" t="inlineStr">
        <is>
          <t>mm-kayip-dosya</t>
        </is>
      </c>
      <c r="B780" s="5" t="n">
        <v>4</v>
      </c>
      <c r="C780" s="6" t="inlineStr">
        <is>
          <t>Başka birimi suçla</t>
        </is>
      </c>
      <c r="D780" s="5" t="inlineStr">
        <is>
          <t>Pişkinlik</t>
        </is>
      </c>
      <c r="E780" s="5" t="inlineStr">
        <is>
          <t>Orta</t>
        </is>
      </c>
      <c r="F780" s="5" t="inlineStr"/>
      <c r="G780" s="6" t="inlineStr"/>
      <c r="H780" s="6" t="inlineStr">
        <is>
          <t>'Dosya yazı işlerine gitti' dedin. Yazı işleri reddedemedi; kanıt yoktu. Vazodan beri tanıdık bir yöntem.</t>
        </is>
      </c>
      <c r="I780" s="6" t="inlineStr">
        <is>
          <t>Yazı işleri dosyayı bulmak için ekip kurdu ve sana özür yazısı gönderdi.</t>
        </is>
      </c>
      <c r="J780" s="6" t="inlineStr">
        <is>
          <t>Yazı işleri zimmet fişini gösterdi. İmza seninkiydi.</t>
        </is>
      </c>
      <c r="K780" s="6" t="inlineStr">
        <is>
          <t>“Dosya yazı işlerine gitti” dedin. Yazı işleri gelip çekmeceni açtı: dosya oradaydı, çay bardağının altında, halka izli. Fotoğrafı koridor panosunda.</t>
        </is>
      </c>
      <c r="L780" s="6" t="inlineStr"/>
      <c r="M780" s="5" t="inlineStr"/>
      <c r="N780" s="5" t="inlineStr"/>
      <c r="O780" s="6" t="inlineStr"/>
      <c r="P780" s="6" t="inlineStr"/>
      <c r="Q780" s="5" t="inlineStr"/>
      <c r="R780" s="5" t="inlineStr">
        <is>
          <t>kediSuclu</t>
        </is>
      </c>
      <c r="S780" s="5" t="inlineStr"/>
      <c r="T780" s="5" t="inlineStr"/>
      <c r="U780" s="5" t="inlineStr">
        <is>
          <t>memur-kayip-dosya</t>
        </is>
      </c>
      <c r="V780" s="5" t="inlineStr"/>
      <c r="W780" s="5" t="inlineStr"/>
      <c r="X780" s="5" t="inlineStr"/>
      <c r="Y780" s="5" t="inlineStr"/>
      <c r="Z780" s="6" t="inlineStr"/>
      <c r="AA780" s="5" t="inlineStr"/>
      <c r="AB780" s="5" t="inlineStr"/>
      <c r="AC780" s="5" t="inlineStr"/>
      <c r="AD780" s="5" t="inlineStr"/>
      <c r="AE780" s="5" t="inlineStr"/>
      <c r="AF780" s="5" t="inlineStr"/>
      <c r="AG780" s="5" t="inlineStr"/>
      <c r="AH780" s="5" t="inlineStr"/>
      <c r="AI780" s="5" t="inlineStr"/>
    </row>
    <row r="781">
      <c r="A781" s="5" t="inlineStr">
        <is>
          <t>b7-saglik-kontrolu</t>
        </is>
      </c>
      <c r="B781" s="5" t="n">
        <v>1</v>
      </c>
      <c r="C781" s="6" t="inlineStr">
        <is>
          <t>Dürüst ol</t>
        </is>
      </c>
      <c r="D781" s="5" t="inlineStr"/>
      <c r="E781" s="5" t="inlineStr"/>
      <c r="F781" s="5" t="inlineStr">
        <is>
          <t>İtibar +1, Akıl +1</t>
        </is>
      </c>
      <c r="G781" s="6" t="inlineStr">
        <is>
          <t>Dürüstçe 'Hayır' dedin. Doktor bir broşür verdi. Broşür çantanda yaşlanıyor.</t>
        </is>
      </c>
      <c r="H781" s="6" t="inlineStr"/>
      <c r="I781" s="6" t="inlineStr"/>
      <c r="J781" s="6" t="inlineStr"/>
      <c r="K781" s="6" t="inlineStr"/>
      <c r="L781" s="6" t="inlineStr"/>
      <c r="M781" s="5" t="inlineStr"/>
      <c r="N781" s="5" t="inlineStr"/>
      <c r="O781" s="6" t="inlineStr"/>
      <c r="P781" s="6" t="inlineStr"/>
      <c r="Q781" s="5" t="inlineStr"/>
      <c r="R781" s="5" t="inlineStr"/>
      <c r="S781" s="5" t="inlineStr"/>
      <c r="T781" s="5" t="inlineStr"/>
      <c r="U781" s="5" t="inlineStr"/>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row>
    <row r="782">
      <c r="A782" s="5" t="inlineStr">
        <is>
          <t>b7-saglik-kontrolu</t>
        </is>
      </c>
      <c r="B782" s="5" t="n">
        <v>2</v>
      </c>
      <c r="C782" s="6" t="inlineStr">
        <is>
          <t>'Haftada dört gün' de</t>
        </is>
      </c>
      <c r="D782" s="5" t="inlineStr">
        <is>
          <t>Pişkinlik</t>
        </is>
      </c>
      <c r="E782" s="5" t="inlineStr">
        <is>
          <t>Orta</t>
        </is>
      </c>
      <c r="F782" s="5" t="inlineStr"/>
      <c r="G782" s="6" t="inlineStr"/>
      <c r="H782" s="6" t="inlineStr">
        <is>
          <t>Doktor inandı. 'Harika, devam' dedi. Sen de devam ettin. Hiçbir şeye.</t>
        </is>
      </c>
      <c r="I782" s="6" t="inlineStr">
        <is>
          <t>Doktor öyle inandı ki seni diğer hastalara örnek gösterdi. Bekleme salonunda alkışlandın.</t>
        </is>
      </c>
      <c r="J782" s="6" t="inlineStr">
        <is>
          <t>Doktor sonuçlara tekrar baktı ve 'Hangi spor?' dedi. 'Yürüyüş' dedin. 'Nereye?' dedi.</t>
        </is>
      </c>
      <c r="K782" s="6" t="inlineStr">
        <is>
          <t>Doktor 'O zaman bu sonuçlar ilginç' dedi ve seni ek tetkike gönderdi. Yalan, hastane koridorunda uzadı.</t>
        </is>
      </c>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row>
    <row r="783">
      <c r="A783" s="5" t="inlineStr">
        <is>
          <t>b7-saglik-kontrolu</t>
        </is>
      </c>
      <c r="B783" s="5" t="n">
        <v>3</v>
      </c>
      <c r="C783" s="6" t="inlineStr">
        <is>
          <t>Hepsini sorgulayıp not al</t>
        </is>
      </c>
      <c r="D783" s="5" t="inlineStr">
        <is>
          <t>Akıl</t>
        </is>
      </c>
      <c r="E783" s="5" t="inlineStr">
        <is>
          <t>Kolay</t>
        </is>
      </c>
      <c r="F783" s="5" t="inlineStr"/>
      <c r="G783" s="6" t="inlineStr"/>
      <c r="H783" s="6" t="inlineStr">
        <is>
          <t>Her değeri sordun, not aldın. Akşam annene telefonda bir saat anlattın. Annen sonunda sordu: “Yani zayıflayacak mısın?”</t>
        </is>
      </c>
      <c r="I783" s="6" t="inlineStr">
        <is>
          <t>Sorularının kalitesi doktoru etkiledi. 'Keşke herkes sizin gibi olsa' dedi. Bunu çerçevelettin.</t>
        </is>
      </c>
      <c r="J783" s="6" t="inlineStr">
        <is>
          <t>Değerlerin çoğunu anlamadın, sorduklarının cevabını da.</t>
        </is>
      </c>
      <c r="K783" s="6" t="inlineStr">
        <is>
          <t>İnternette okuduklarını doktora anlattın. Doktor sessizce yeni bir form açtı. Formun adı: 'Endişeli hasta'.</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row>
    <row r="784">
      <c r="A784" s="5" t="inlineStr">
        <is>
          <t>b7-bekar-evi</t>
        </is>
      </c>
      <c r="B784" s="5" t="n">
        <v>1</v>
      </c>
      <c r="C784" s="6" t="inlineStr">
        <is>
          <t>Yine sipariş ver</t>
        </is>
      </c>
      <c r="D784" s="5" t="inlineStr"/>
      <c r="E784" s="5" t="inlineStr"/>
      <c r="F784" s="5" t="inlineStr">
        <is>
          <t>Dayanıklılık +1</t>
        </is>
      </c>
      <c r="G784" s="6" t="inlineStr">
        <is>
          <t>Sipariş verdin. Kurye seni adınla selamlıyor. Arkadaş listesindeki tek düzenli kişi o.</t>
        </is>
      </c>
      <c r="H784" s="6" t="inlineStr"/>
      <c r="I784" s="6" t="inlineStr"/>
      <c r="J784" s="6" t="inlineStr"/>
      <c r="K784" s="6" t="inlineStr"/>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row>
    <row r="785">
      <c r="A785" s="5" t="inlineStr">
        <is>
          <t>b7-bekar-evi</t>
        </is>
      </c>
      <c r="B785" s="5" t="n">
        <v>2</v>
      </c>
      <c r="C785" s="6" t="inlineStr">
        <is>
          <t>Bir haftalık yemek hazırla</t>
        </is>
      </c>
      <c r="D785" s="5" t="inlineStr">
        <is>
          <t>Akıl</t>
        </is>
      </c>
      <c r="E785" s="5" t="inlineStr">
        <is>
          <t>Orta</t>
        </is>
      </c>
      <c r="F785" s="5" t="inlineStr"/>
      <c r="G785" s="6" t="inlineStr"/>
      <c r="H785" s="6" t="inlineStr">
        <is>
          <t>Pazar günü yedi kap yemek hazırladın. Salı akşamı hepsi bitmişti. Çarşamba yine sipariş verdin; kurye “Özledik” dedi.</t>
        </is>
      </c>
      <c r="I785" s="6" t="inlineStr">
        <is>
          <t>Yemekler öyle güzel oldu ki arkadaşların sana tarif sormaya başladı. Artık hafta sonları yemek davetleri veriyorsun.</t>
        </is>
      </c>
      <c r="J785" s="6" t="inlineStr">
        <is>
          <t>Yedi kap yaptın, hepsi aynı yemek. Perşembe günü tabaktaki yemek sana baktı.</t>
        </is>
      </c>
      <c r="K785" s="6" t="inlineStr">
        <is>
          <t>Soğanı kavururken ocağı unuttun. Duman merdiven boşluğuna çıktı; alt kat balkona çıkıp “Yangın mı var?” diye bağırdı, yönetici kapını çaldı. Akşam yemek uygulaması “Seni özledik” kuponu gönderdi.</t>
        </is>
      </c>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row>
    <row r="786">
      <c r="A786" s="5" t="inlineStr">
        <is>
          <t>b7-bekar-evi</t>
        </is>
      </c>
      <c r="B786" s="5" t="n">
        <v>3</v>
      </c>
      <c r="C786" s="6" t="inlineStr">
        <is>
          <t>Buzdolabındakilerle yaratıcı bir yemek yap</t>
        </is>
      </c>
      <c r="D786" s="5" t="inlineStr">
        <is>
          <t>Kurnazlık</t>
        </is>
      </c>
      <c r="E786" s="5" t="inlineStr">
        <is>
          <t>Zor</t>
        </is>
      </c>
      <c r="F786" s="5" t="inlineStr"/>
      <c r="G786" s="6" t="inlineStr"/>
      <c r="H786" s="6" t="inlineStr">
        <is>
          <t>Hardal, yumurta ve belirsiz tencereden yenilebilir bir şey çıktı. Adını koymadın.</t>
        </is>
      </c>
      <c r="I786" s="6" t="inlineStr">
        <is>
          <t>Yarattığın yemek o kadar iyiydi ki bir video çektin. Yorumlarda insanlar tarif istiyor. Tarif sende de yok.</t>
        </is>
      </c>
      <c r="J786" s="6" t="inlineStr">
        <is>
          <t>Yemek oldu. Yenmedi. Kediye bile verilmedi.</t>
        </is>
      </c>
      <c r="K786" s="6" t="inlineStr">
        <is>
          <t>Belirsiz tencerenin kapağını açtın; tencere de sana baktı. Kapağı kapatıp tencereyle birlikte çöpe indin. Kapıcı “Bunu ben almam” dedi.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row>
    <row r="787">
      <c r="A787" s="5" t="inlineStr">
        <is>
          <t>b7-hastane-gecesi</t>
        </is>
      </c>
      <c r="B787" s="5" t="n">
        <v>1</v>
      </c>
      <c r="C787" s="6" t="inlineStr">
        <is>
          <t>Sakin kal, bekle</t>
        </is>
      </c>
      <c r="D787" s="5" t="inlineStr"/>
      <c r="E787" s="5" t="inlineStr"/>
      <c r="F787" s="5" t="inlineStr">
        <is>
          <t>Dayanıklılık +1, İtibar +1</t>
        </is>
      </c>
      <c r="G787" s="6" t="inlineStr">
        <is>
          <t>Bekledin. Doktor 'Bir şey yok, ateş düşürücü verin' dedi. Sen de kendine bir ateş düşürücü istedin.</t>
        </is>
      </c>
      <c r="H787" s="6" t="inlineStr"/>
      <c r="I787" s="6" t="inlineStr"/>
      <c r="J787" s="6" t="inlineStr"/>
      <c r="K787" s="6" t="inlineStr"/>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row>
    <row r="788">
      <c r="A788" s="5" t="inlineStr">
        <is>
          <t>b7-hastane-gecesi</t>
        </is>
      </c>
      <c r="B788" s="5" t="n">
        <v>2</v>
      </c>
      <c r="C788" s="6" t="inlineStr">
        <is>
          <t>Uyuyan çocuğu uyandırmadan arabaya taşı</t>
        </is>
      </c>
      <c r="D788" s="5" t="inlineStr">
        <is>
          <t>Dayanıklılık</t>
        </is>
      </c>
      <c r="E788" s="5" t="inlineStr">
        <is>
          <t>Orta</t>
        </is>
      </c>
      <c r="F788" s="5" t="inlineStr"/>
      <c r="G788" s="6" t="inlineStr"/>
      <c r="H788" s="6" t="inlineStr">
        <is>
          <t>Çocuğu arabaya kadar taşıdın, uyanmadı. Eve kadar uyudu, sen de nefes aldın.</t>
        </is>
      </c>
      <c r="I788" s="6" t="inlineStr">
        <is>
          <t>Çocuğu arabaya, sonra eve, sonra yatağına taşıdın. Hiç uyanmadı. Bir ebeveynin en büyük zaferi, kimse görmedi.</t>
        </is>
      </c>
      <c r="J788" s="6" t="inlineStr">
        <is>
          <t>Otoparkta çocuk uyandı. 'Neredeyiz?' dedi. Sen de bilmiyordun.</t>
        </is>
      </c>
      <c r="K788" s="6" t="inlineStr">
        <is>
          <t>Çocuğu arabaya sorunsuz yatırdın. Kapıyı kapatırken kendi parmağını sıkıştırdın; bağırmamak için koluna ısırdın. Çocuk uyudu; acile ikinci kez sen girdin, bu sefer kendi adına sıra alarak.</t>
        </is>
      </c>
      <c r="L788" s="6" t="inlineStr">
        <is>
          <t>Çocuk arabada gözünü açtı, “Dondurma” dedi, yine uyudu. Sabah kahvaltıda ilk sözü de bu oldu; unutmamıştı.</t>
        </is>
      </c>
      <c r="M788" s="5" t="inlineStr">
        <is>
          <t>balance</t>
        </is>
      </c>
      <c r="N788" s="5" t="inlineStr">
        <is>
          <t>Uyuyan Yük</t>
        </is>
      </c>
      <c r="O788" s="6" t="inlineStr">
        <is>
          <t>Uyuyan çocuğu dengede tut. Sallanırsa uyanır.</t>
        </is>
      </c>
      <c r="P788" s="6" t="inlineStr">
        <is>
          <t>{"item": "👶"}</t>
        </is>
      </c>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row>
    <row r="789">
      <c r="A789" s="5" t="inlineStr">
        <is>
          <t>b7-hastane-gecesi</t>
        </is>
      </c>
      <c r="B789" s="5" t="n">
        <v>3</v>
      </c>
      <c r="C789" s="6" t="inlineStr">
        <is>
          <t>Hemşireyle dostluk kur</t>
        </is>
      </c>
      <c r="D789" s="5" t="inlineStr">
        <is>
          <t>Sosyal Radar</t>
        </is>
      </c>
      <c r="E789" s="5" t="inlineStr">
        <is>
          <t>Kolay</t>
        </is>
      </c>
      <c r="F789" s="5" t="inlineStr"/>
      <c r="G789" s="6" t="inlineStr"/>
      <c r="H789" s="6" t="inlineStr">
        <is>
          <t>Hemşire sizi sıraya aldı, battaniye verdi. Gece daha güzel geçti.</t>
        </is>
      </c>
      <c r="I789" s="6" t="inlineStr">
        <is>
          <t>Hemşireyle öyle iyi anlaştın ki sana kendi numarasını verdi, 'Bir şey olursa arayın' dedi. Hiç aramadın ama iyi hissettirdi.</t>
        </is>
      </c>
      <c r="J789" s="6" t="inlineStr">
        <is>
          <t>Hemşire başını kaldırmadan “Sırası gelince” dedi. Sıranız gelince de kaldırmadı.</t>
        </is>
      </c>
      <c r="K789" s="6" t="inlineStr">
        <is>
          <t>Hemşire sana kendi kayınvalidesini anlattı, sen bir saat dinledin. Sıra size geldiğinde çocuğun ateşi düşmüş, uyumuştu. Doktor “Niye geldiniz?” dedi; hemşire başka yere baktı.</t>
        </is>
      </c>
      <c r="L789" s="6" t="inlineStr"/>
      <c r="M789" s="5" t="inlineStr"/>
      <c r="N789" s="5" t="inlineStr"/>
      <c r="O789" s="6" t="inlineStr"/>
      <c r="P789" s="6" t="inlineStr"/>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row>
    <row r="790">
      <c r="A790" s="5" t="inlineStr">
        <is>
          <t>ms-gercek-is</t>
        </is>
      </c>
      <c r="B790" s="5" t="n">
        <v>1</v>
      </c>
      <c r="C790" s="6" t="inlineStr">
        <is>
          <t>'Yakında' de</t>
        </is>
      </c>
      <c r="D790" s="5" t="inlineStr"/>
      <c r="E790" s="5" t="inlineStr"/>
      <c r="F790" s="5" t="inlineStr">
        <is>
          <t>Dayanıklılık +1</t>
        </is>
      </c>
      <c r="G790" s="6" t="inlineStr">
        <is>
          <t>'Yakında' dedin. On yıldır bu cevabı veriyorsun, teyze on yıldır aynı soruyu soruyor. İstikrar ikinizde de var.</t>
        </is>
      </c>
      <c r="H790" s="6" t="inlineStr"/>
      <c r="I790" s="6" t="inlineStr"/>
      <c r="J790" s="6" t="inlineStr"/>
      <c r="K790" s="6" t="inlineStr"/>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row>
    <row r="791">
      <c r="A791" s="5" t="inlineStr">
        <is>
          <t>ms-gercek-is</t>
        </is>
      </c>
      <c r="B791" s="5" t="n">
        <v>2</v>
      </c>
      <c r="C791" s="6" t="inlineStr">
        <is>
          <t>Kazancını söyle</t>
        </is>
      </c>
      <c r="D791" s="5" t="inlineStr">
        <is>
          <t>Pişkinlik</t>
        </is>
      </c>
      <c r="E791" s="5" t="inlineStr">
        <is>
          <t>Orta</t>
        </is>
      </c>
      <c r="F791" s="5" t="inlineStr"/>
      <c r="G791" s="6" t="inlineStr"/>
      <c r="H791" s="6" t="inlineStr">
        <is>
          <t>Kazancını söyledin. Teyze sessizce çayını karıştırdı.</t>
        </is>
      </c>
      <c r="I791" s="6" t="inlineStr">
        <is>
          <t>Rakamı duyan teyze ertesi gün oğlunu kapına getirdi: “Bunu da yanına al.” Artık bir çırağın var; maaşını teyze soruyor.</t>
        </is>
      </c>
      <c r="J791" s="6" t="inlineStr">
        <is>
          <t>Teyze “Aylık mı, yıllık mı?” diye sordu. “Aylık” dedin. Teyze masaya dönüp “Yıllık” diye düzeltti.</t>
        </is>
      </c>
      <c r="K791" s="6" t="inlineStr">
        <is>
          <t>Kazancını söyledin. Teyze çantasından bir zarf çıkarıp sana uzattı.</t>
        </is>
      </c>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row>
    <row r="792">
      <c r="A792" s="5" t="inlineStr">
        <is>
          <t>ms-gercek-is</t>
        </is>
      </c>
      <c r="B792" s="5" t="n">
        <v>3</v>
      </c>
      <c r="C792" s="6" t="inlineStr">
        <is>
          <t>Masadaki kuzeni ittifaka davet et</t>
        </is>
      </c>
      <c r="D792" s="5" t="inlineStr">
        <is>
          <t>Sosyal Radar</t>
        </is>
      </c>
      <c r="E792" s="5" t="inlineStr">
        <is>
          <t>Kolay</t>
        </is>
      </c>
      <c r="F792" s="5" t="inlineStr"/>
      <c r="G792" s="6" t="inlineStr"/>
      <c r="H792" s="6" t="inlineStr">
        <is>
          <t>'Biz ikimiz de danışmanız' dediniz. Teyze iki danışmanın karşısında saygıyla sustu.</t>
        </is>
      </c>
      <c r="I792" s="6" t="inlineStr">
        <is>
          <t>Kuzenle ortak iş kurdunuz. Teyze artık 'şirket sahibi yeğenlerim' diyor.</t>
        </is>
      </c>
      <c r="J792" s="6" t="inlineStr">
        <is>
          <t>Kuzen seni satıp 'Ben aslında şirkette çalışıyorum' dedi.</t>
        </is>
      </c>
      <c r="K792" s="6" t="inlineStr">
        <is>
          <t>Kuzenle birlikte savunma yaptınız; teyze ikinizi de düğündeki iş sahibi amcaya tanıttı. Mülakat başladı.</t>
        </is>
      </c>
      <c r="L792" s="6" t="inlineStr"/>
      <c r="M792" s="5" t="inlineStr"/>
      <c r="N792" s="5" t="inlineStr"/>
      <c r="O792" s="6" t="inlineStr"/>
      <c r="P792" s="6" t="inlineStr"/>
      <c r="Q792" s="5" t="inlineStr"/>
      <c r="R792" s="5" t="inlineStr"/>
      <c r="S792" s="5" t="inlineStr">
        <is>
          <t>Sosyal Radar</t>
        </is>
      </c>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row>
    <row r="793">
      <c r="A793" s="5" t="inlineStr">
        <is>
          <t>ms-gercek-is</t>
        </is>
      </c>
      <c r="B793" s="5" t="n">
        <v>4</v>
      </c>
      <c r="C793" s="6" t="inlineStr">
        <is>
          <t>Viral videonu göster</t>
        </is>
      </c>
      <c r="D793" s="5" t="inlineStr">
        <is>
          <t>Pişkinlik</t>
        </is>
      </c>
      <c r="E793" s="5" t="inlineStr">
        <is>
          <t>Kolay</t>
        </is>
      </c>
      <c r="F793" s="5" t="inlineStr"/>
      <c r="G793" s="6" t="inlineStr"/>
      <c r="H793" s="6" t="inlineStr">
        <is>
          <t>Teyze 'Bunu biz de gördük! Sen miydin?' dedi. Masada itibarın yükseldi.</t>
        </is>
      </c>
      <c r="I793" s="6" t="inlineStr">
        <is>
          <t>Teyze videoyu bütün düğüne gösterdi. Gelin ve damadı gölgede bıraktın.</t>
        </is>
      </c>
      <c r="J793" s="6" t="inlineStr">
        <is>
          <t>Teyze videoyu izledi ve 'Peki para veriyorlar mı?' dedi. Soru cevapsız kaldı.</t>
        </is>
      </c>
      <c r="K793" s="6" t="inlineStr">
        <is>
          <t>Yanlış videoyu açtın: canlıda ritmi kaçırdığın kayıt. Düğün salonu bir daha izledi.</t>
        </is>
      </c>
      <c r="L793" s="6" t="inlineStr"/>
      <c r="M793" s="5" t="inlineStr"/>
      <c r="N793" s="5" t="inlineStr"/>
      <c r="O793" s="6" t="inlineStr"/>
      <c r="P793" s="6" t="inlineStr"/>
      <c r="Q793" s="5" t="inlineStr"/>
      <c r="R793" s="5" t="inlineStr">
        <is>
          <t>serbest-viral-oldu</t>
        </is>
      </c>
      <c r="S793" s="5" t="inlineStr"/>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row>
    <row r="794">
      <c r="A794" s="5" t="inlineStr">
        <is>
          <t>b7-mutfak-tadilati</t>
        </is>
      </c>
      <c r="B794" s="5" t="n">
        <v>1</v>
      </c>
      <c r="C794" s="6" t="inlineStr">
        <is>
          <t>Eşinin rengine razı ol</t>
        </is>
      </c>
      <c r="D794" s="5" t="inlineStr"/>
      <c r="E794" s="5" t="inlineStr"/>
      <c r="F794" s="5" t="inlineStr">
        <is>
          <t>Gönül +1</t>
        </is>
      </c>
      <c r="G794" s="6" t="inlineStr">
        <is>
          <t>Dolaplar krem oldu. Güzel. Sadece her sabah kahve yaparken bir şey içinde antrasit kalıyor.</t>
        </is>
      </c>
      <c r="H794" s="6" t="inlineStr"/>
      <c r="I794" s="6" t="inlineStr"/>
      <c r="J794" s="6" t="inlineStr"/>
      <c r="K794" s="6" t="inlineStr"/>
      <c r="L794" s="6" t="inlineStr"/>
      <c r="M794" s="5" t="inlineStr"/>
      <c r="N794" s="5" t="inlineStr"/>
      <c r="O794" s="6" t="inlineStr"/>
      <c r="P794" s="6" t="inlineStr"/>
      <c r="Q794" s="5" t="inlineStr"/>
      <c r="R794" s="5" t="inlineStr"/>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row>
    <row r="795">
      <c r="A795" s="5" t="inlineStr">
        <is>
          <t>b7-mutfak-tadilati</t>
        </is>
      </c>
      <c r="B795" s="5" t="n">
        <v>2</v>
      </c>
      <c r="C795" s="6" t="inlineStr">
        <is>
          <t>Ortak bir renk bul</t>
        </is>
      </c>
      <c r="D795" s="5" t="inlineStr">
        <is>
          <t>Sosyal Radar</t>
        </is>
      </c>
      <c r="E795" s="5" t="inlineStr">
        <is>
          <t>Orta</t>
        </is>
      </c>
      <c r="F795" s="5" t="inlineStr"/>
      <c r="G795" s="6" t="inlineStr"/>
      <c r="H795" s="6" t="inlineStr">
        <is>
          <t>'Antrasit-krem' karışımı bir gri seçildi. İkiniz de memnun değilsiniz ama eşit memnun değilsiniz.</t>
        </is>
      </c>
      <c r="I795" s="6" t="inlineStr">
        <is>
          <t>Ortak renk o kadar güzel oldu ki usta başka müşterilere de öneriyor. Adı 'uzlaşma grisi'.</t>
        </is>
      </c>
      <c r="J795" s="6" t="inlineStr">
        <is>
          <t>Ortak renk bulunamadı. Usta çayını ikinci kez tazeledi.</t>
        </is>
      </c>
      <c r="K795" s="6" t="inlineStr">
        <is>
          <t>Uzlaşma rengi bulunurken tadilat üç ay uzadı. Üç ay boyunca yemekleri banyoda pişirdiniz.</t>
        </is>
      </c>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row>
    <row r="796">
      <c r="A796" s="5" t="inlineStr">
        <is>
          <t>b7-mutfak-tadilati</t>
        </is>
      </c>
      <c r="B796" s="5" t="n">
        <v>3</v>
      </c>
      <c r="C796" s="6" t="inlineStr">
        <is>
          <t>Kendi rengini sonuna kadar savun</t>
        </is>
      </c>
      <c r="D796" s="5" t="inlineStr">
        <is>
          <t>Cesaret</t>
        </is>
      </c>
      <c r="E796" s="5" t="inlineStr">
        <is>
          <t>Zor</t>
        </is>
      </c>
      <c r="F796" s="5" t="inlineStr"/>
      <c r="G796" s="6" t="inlineStr"/>
      <c r="H796" s="6" t="inlineStr">
        <is>
          <t>Antrasit kazandı. Mutfak güzel oldu. Eşin, zamanla sana hak verdi. Zamanla.</t>
        </is>
      </c>
      <c r="I796" s="6" t="inlineStr">
        <is>
          <t>Savunman öyle iyiydi ki eşin fikir değiştirdi, kendi annesine de antrasit önerdi. Bir akım başlattın.</t>
        </is>
      </c>
      <c r="J796" s="6" t="inlineStr">
        <is>
          <t>Savunmanın sonunda usta 'Ben yarın geleyim' dedi ve gelmedi.</t>
        </is>
      </c>
      <c r="K796" s="6" t="inlineStr">
        <is>
          <t>Savunurken “Senin zevkin zaten…” diye bir cümleye başladın. Bitiremedin; eşin bitirmene izin vermedi. Usta çayını bırakıp gitti, eşin de annesine; dolaplar ortada kaldı.</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row>
    <row r="797">
      <c r="A797" s="5" t="inlineStr">
        <is>
          <t>b7-mutfak-tadilati</t>
        </is>
      </c>
      <c r="B797" s="5" t="n">
        <v>4</v>
      </c>
      <c r="C797" s="6" t="inlineStr">
        <is>
          <t>'Belki ayrı mutfaklar, ayrı hayatlar?' de</t>
        </is>
      </c>
      <c r="D797" s="5" t="inlineStr"/>
      <c r="E797" s="5" t="inlineStr"/>
      <c r="F797" s="5" t="inlineStr">
        <is>
          <t>Cesaret +1, Pişkinlik +1</t>
        </is>
      </c>
      <c r="G797" s="6" t="inlineStr">
        <is>
          <t>“Belki ayrı mutfaklar, ayrı hayatlar?” dedin. Şaka gibi çıktı, şaka gibi durmadı. Eşin uzun süre sustu, sonra ustaya “Siz gidin” dedi. Altı ay sonra anlaşmalı ayrıldınız; dolap kapakları hâlâ kolilerde.</t>
        </is>
      </c>
      <c r="H797" s="6" t="inlineStr"/>
      <c r="I797" s="6" t="inlineStr"/>
      <c r="J797" s="6" t="inlineStr"/>
      <c r="K797" s="6" t="inlineStr"/>
      <c r="L797" s="6" t="inlineStr"/>
      <c r="M797" s="5" t="inlineStr"/>
      <c r="N797" s="5" t="inlineStr"/>
      <c r="O797" s="6" t="inlineStr"/>
      <c r="P797" s="6" t="inlineStr"/>
      <c r="Q797" s="5" t="inlineStr"/>
      <c r="R797" s="5" t="inlineStr"/>
      <c r="S797" s="5" t="inlineStr"/>
      <c r="T797" s="5" t="inlineStr"/>
      <c r="U797" s="5" t="inlineStr">
        <is>
          <t>bosandi</t>
        </is>
      </c>
      <c r="V797" s="5" t="inlineStr"/>
      <c r="W797" s="5" t="inlineStr"/>
      <c r="X797" s="5" t="inlineStr">
        <is>
          <t>evli</t>
        </is>
      </c>
      <c r="Y797" s="5" t="inlineStr"/>
      <c r="Z797" s="6" t="inlineStr"/>
      <c r="AA797" s="5" t="inlineStr"/>
      <c r="AB797" s="5" t="inlineStr"/>
      <c r="AC797" s="5" t="inlineStr"/>
      <c r="AD797" s="5" t="inlineStr"/>
      <c r="AE797" s="5" t="inlineStr"/>
      <c r="AF797" s="5" t="inlineStr"/>
      <c r="AG797" s="5" t="inlineStr"/>
      <c r="AH797" s="5" t="inlineStr"/>
      <c r="AI797" s="5" t="inlineStr"/>
    </row>
    <row r="798">
      <c r="A798" s="5" t="inlineStr">
        <is>
          <t>b7-ebeveyn-grubu</t>
        </is>
      </c>
      <c r="B798" s="5" t="n">
        <v>1</v>
      </c>
      <c r="C798" s="6" t="inlineStr">
        <is>
          <t>Sadece 'Katılıyorum' yaz</t>
        </is>
      </c>
      <c r="D798" s="5" t="inlineStr"/>
      <c r="E798" s="5" t="inlineStr"/>
      <c r="F798" s="5" t="inlineStr">
        <is>
          <t>Dayanıklılık +1</t>
        </is>
      </c>
      <c r="G798" s="6" t="inlineStr">
        <is>
          <t>“Katılıyorum” yazdın. Neye katıldığını hiç öğrenmedin. Akşam gruba bir hesap numarası düştü; altında senin adın ve bir tutar.</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c r="V798" s="5" t="inlineStr"/>
      <c r="W798" s="5" t="inlineStr"/>
      <c r="X798" s="5" t="inlineStr"/>
      <c r="Y798" s="5" t="inlineStr"/>
      <c r="Z798" s="6" t="inlineStr"/>
      <c r="AA798" s="5" t="inlineStr"/>
      <c r="AB798" s="5" t="inlineStr"/>
      <c r="AC798" s="5" t="inlineStr"/>
      <c r="AD798" s="5" t="inlineStr"/>
      <c r="AE798" s="5" t="inlineStr"/>
      <c r="AF798" s="5" t="inlineStr"/>
      <c r="AG798" s="5" t="inlineStr"/>
      <c r="AH798" s="5" t="inlineStr"/>
      <c r="AI798" s="5" t="inlineStr"/>
    </row>
    <row r="799">
      <c r="A799" s="5" t="inlineStr">
        <is>
          <t>b7-ebeveyn-grubu</t>
        </is>
      </c>
      <c r="B799" s="5" t="n">
        <v>2</v>
      </c>
      <c r="C799" s="6" t="inlineStr">
        <is>
          <t>Hediye organizasyonunu üstlen</t>
        </is>
      </c>
      <c r="D799" s="5" t="inlineStr">
        <is>
          <t>Sosyal Radar</t>
        </is>
      </c>
      <c r="E799" s="5" t="inlineStr">
        <is>
          <t>Zor</t>
        </is>
      </c>
      <c r="F799" s="5" t="inlineStr"/>
      <c r="G799" s="6" t="inlineStr"/>
      <c r="H799" s="6" t="inlineStr">
        <is>
          <t>Çiçek mi, çeyrek altın mı tartışması iki gün sürdü; çiçek kazandı. Grup sana teşekkür etti. Bir kişi hariç: o altın istiyordu.</t>
        </is>
      </c>
      <c r="I799" s="6" t="inlineStr">
        <is>
          <t>Organizasyon o kadar başarılıydı ki önümüzdeki beş yılın hediyeleri sana bırakıldı. Seçim yapılmadı, atandın.</t>
        </is>
      </c>
      <c r="J799" s="6" t="inlineStr">
        <is>
          <t>Organizasyonu üstlendin. Üç kişi 'Ben vermiştim' dedi. Kimse vermemişti.</t>
        </is>
      </c>
      <c r="K799" s="6" t="inlineStr">
        <is>
          <t>Hediye alındı: kristal bir vazo. Yan sınıfın velileri de aynı vazoyu almış. Öğretmen ikisini masasında yan yana koyup teşekkür etti; iki grup birbirine düştü, ortada sen vardın.</t>
        </is>
      </c>
      <c r="L799" s="6" t="inlineStr"/>
      <c r="M799" s="5" t="inlineStr"/>
      <c r="N799" s="5" t="inlineStr"/>
      <c r="O799" s="6" t="inlineStr"/>
      <c r="P799" s="6" t="inlineStr"/>
      <c r="Q799" s="5" t="inlineStr">
        <is>
          <t>Kuralı Koyan</t>
        </is>
      </c>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row>
    <row r="800">
      <c r="A800" s="5" t="inlineStr">
        <is>
          <t>b7-ebeveyn-grubu</t>
        </is>
      </c>
      <c r="B800" s="5" t="n">
        <v>3</v>
      </c>
      <c r="C800" s="6" t="inlineStr">
        <is>
          <t>Grubu sessize al</t>
        </is>
      </c>
      <c r="D800" s="5" t="inlineStr">
        <is>
          <t>Kurnazlık</t>
        </is>
      </c>
      <c r="E800" s="5" t="inlineStr">
        <is>
          <t>Kolay</t>
        </is>
      </c>
      <c r="F800" s="5" t="inlineStr"/>
      <c r="G800" s="6" t="inlineStr"/>
      <c r="H800" s="6" t="inlineStr">
        <is>
          <t>Grubu sessize aldın. Akşam yemeğinde telefon ilk kez titremedi; çocuğun “Telefonun bozuldu mu?” diye sordu.</t>
        </is>
      </c>
      <c r="I800" s="6" t="inlineStr">
        <is>
          <t>Grubu sessize aldın ve kimse fark etmedi. Toplantılarda 'Aynen' diyerek var olmaya devam ediyorsun.</t>
        </is>
      </c>
      <c r="J800" s="6" t="inlineStr">
        <is>
          <t>Grubu sessize aldın. Anaokulu gezisini sabah kapıda çocuğundan öğrendin; beslenme çantası boş, izin kâğıdı imzasız.</t>
        </is>
      </c>
      <c r="K800" s="6" t="inlineStr">
        <is>
          <t>Grubu sessize aldın, bir hafta sonra açtın: 'Veli temsilcimiz olarak sizi seçtik.' Oylamada yoktun.</t>
        </is>
      </c>
      <c r="L800" s="6" t="inlineStr"/>
      <c r="M800" s="5" t="inlineStr"/>
      <c r="N800" s="5" t="inlineStr"/>
      <c r="O800" s="6" t="inlineStr"/>
      <c r="P800" s="6" t="inlineStr"/>
      <c r="Q800" s="5" t="inlineStr"/>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row>
    <row r="801">
      <c r="A801" s="5" t="inlineStr">
        <is>
          <t>mb-takim-ruhu</t>
        </is>
      </c>
      <c r="B801" s="5" t="n">
        <v>1</v>
      </c>
      <c r="C801" s="6" t="inlineStr">
        <is>
          <t>Güven düşüşü tatbikatına gönüllü ol</t>
        </is>
      </c>
      <c r="D801" s="5" t="inlineStr">
        <is>
          <t>Cesaret</t>
        </is>
      </c>
      <c r="E801" s="5" t="inlineStr">
        <is>
          <t>Orta</t>
        </is>
      </c>
      <c r="F801" s="5" t="inlineStr"/>
      <c r="G801" s="6" t="inlineStr"/>
      <c r="H801" s="6" t="inlineStr">
        <is>
          <t>Arkana düştün, ekip seni tuttu. Güven raporuna 'yüksek' yazıldı.</t>
        </is>
      </c>
      <c r="I801" s="6" t="inlineStr">
        <is>
          <t>Ekip seni tuttu, havaya attı. İnsan kaynakları görüntüyü tanıtım videosuna koydu.</t>
        </is>
      </c>
      <c r="J801" s="6" t="inlineStr">
        <is>
          <t>Ekip seni son anda tuttu. Güven, yüzde elli olarak raporlandı.</t>
        </is>
      </c>
      <c r="K801" s="6" t="inlineStr">
        <is>
          <t>Düştün; ekip o sırada grup fotoğrafı için dönmüştü. Fotoğrafta herkes gülümsüyor, sen yerdesin.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row>
    <row r="802">
      <c r="A802" s="5" t="inlineStr">
        <is>
          <t>mb-takim-ruhu</t>
        </is>
      </c>
      <c r="B802" s="5" t="n">
        <v>2</v>
      </c>
      <c r="C802" s="6" t="inlineStr">
        <is>
          <t>Sadece yemek kısmına kadar kal</t>
        </is>
      </c>
      <c r="D802" s="5" t="inlineStr"/>
      <c r="E802" s="5" t="inlineStr"/>
      <c r="F802" s="5" t="inlineStr">
        <is>
          <t>Kurnazlık +1</t>
        </is>
      </c>
      <c r="G802" s="6" t="inlineStr">
        <is>
          <t>Etkinliğe öğle yemeğinde katıldın, halat çekmeden önce kayboldun. Katılım listesinde adın var.</t>
        </is>
      </c>
      <c r="H802" s="6" t="inlineStr"/>
      <c r="I802" s="6" t="inlineStr"/>
      <c r="J802" s="6" t="inlineStr"/>
      <c r="K802" s="6" t="inlineStr"/>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row>
    <row r="803">
      <c r="A803" s="5" t="inlineStr">
        <is>
          <t>mb-takim-ruhu</t>
        </is>
      </c>
      <c r="B803" s="5" t="n">
        <v>3</v>
      </c>
      <c r="C803" s="6" t="inlineStr">
        <is>
          <t>Dans yarışmasına katıl</t>
        </is>
      </c>
      <c r="D803" s="5" t="inlineStr">
        <is>
          <t>Pişkinlik</t>
        </is>
      </c>
      <c r="E803" s="5" t="inlineStr">
        <is>
          <t>Kolay</t>
        </is>
      </c>
      <c r="F803" s="5" t="inlineStr"/>
      <c r="G803" s="6" t="inlineStr"/>
      <c r="H803" s="6" t="inlineStr">
        <is>
          <t>Dans ettin, alkış aldın. Pazartesi herkes sana biraz farklı bakıyor. İyi anlamda.</t>
        </is>
      </c>
      <c r="I803" s="6" t="inlineStr">
        <is>
          <t>Dans yarışmasını kazandın. Ödül: genel müdürle öğle yemeği ve bir kupa. Kupa daha samimiydi.</t>
        </is>
      </c>
      <c r="J803" s="6" t="inlineStr">
        <is>
          <t>Dans ettin; ekip videoyu kurumsal mesaj grubuna attı. Grup susmadı.</t>
        </is>
      </c>
      <c r="K803" s="6" t="inlineStr">
        <is>
          <t>Dans ederken muhasebe müdürünün ayağına bastın. Masraf onayların yavaşladı.</t>
        </is>
      </c>
      <c r="L803" s="6" t="inlineStr"/>
      <c r="M803" s="5" t="inlineStr"/>
      <c r="N803" s="5" t="inlineStr"/>
      <c r="O803" s="6" t="inlineStr"/>
      <c r="P803" s="6" t="inlineStr"/>
      <c r="Q803" s="5" t="inlineStr">
        <is>
          <t>Sahne Sever</t>
        </is>
      </c>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row>
    <row r="804">
      <c r="A804" s="5" t="inlineStr">
        <is>
          <t>mb-takim-ruhu</t>
        </is>
      </c>
      <c r="B804" s="5" t="n">
        <v>4</v>
      </c>
      <c r="C804" s="6" t="inlineStr">
        <is>
          <t>Katılma</t>
        </is>
      </c>
      <c r="D804" s="5" t="inlineStr"/>
      <c r="E804" s="5" t="inlineStr"/>
      <c r="F804" s="5" t="inlineStr">
        <is>
          <t>Dayanıklılık +1</t>
        </is>
      </c>
      <c r="G804" s="6" t="inlineStr">
        <is>
          <t>Katılmadın. Pazartesi herkes aynı iç şakaya güldü. Dışarıda kaldın ama sırtın sağlam.</t>
        </is>
      </c>
      <c r="H804" s="6" t="inlineStr"/>
      <c r="I804" s="6" t="inlineStr"/>
      <c r="J804" s="6" t="inlineStr"/>
      <c r="K804" s="6" t="inlineStr"/>
      <c r="L804" s="6" t="inlineStr"/>
      <c r="M804" s="5" t="inlineStr"/>
      <c r="N804" s="5" t="inlineStr"/>
      <c r="O804" s="6" t="inlineStr"/>
      <c r="P804" s="6" t="inlineStr"/>
      <c r="Q804" s="5" t="inlineStr"/>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row>
    <row r="805">
      <c r="A805" s="5" t="inlineStr">
        <is>
          <t>me-indirim-sezonu</t>
        </is>
      </c>
      <c r="B805" s="5" t="n">
        <v>1</v>
      </c>
      <c r="C805" s="6" t="inlineStr">
        <is>
          <t>Pazarlıkçı müşteriye sat</t>
        </is>
      </c>
      <c r="D805" s="5" t="inlineStr">
        <is>
          <t>Çene</t>
        </is>
      </c>
      <c r="E805" s="5" t="inlineStr">
        <is>
          <t>Orta</t>
        </is>
      </c>
      <c r="F805" s="5" t="inlineStr"/>
      <c r="G805" s="6" t="inlineStr"/>
      <c r="H805" s="6" t="inlineStr">
        <is>
          <t>İyi fiyattan sattın. Müşteri de indirim yakaladığına inanarak çıktı. Herkes kazandı; sen biraz fazla.</t>
        </is>
      </c>
      <c r="I805" s="6" t="inlineStr">
        <is>
          <t>Pazarlık bitince müşteri bir tane daha aldı. Sonra annesi için bir tane daha. Stok bitti, hikâyen tuttu.</t>
        </is>
      </c>
      <c r="J805" s="6" t="inlineStr">
        <is>
          <t>Müşteri 'Karşıda daha ucuzu var' dedi. Yoktu. Ama ikiniz de bakmaya gittiniz.</t>
        </is>
      </c>
      <c r="K805" s="6" t="inlineStr">
        <is>
          <t>“Son fiyat” dedin, üç kez. Müşteri dördüncüyü bekledi; dayanamayıp “Senin olsun” dedin. Ertesi gün annesini getirdi: “Bu da aynı fiyattan.”</t>
        </is>
      </c>
      <c r="L805" s="6" t="inlineStr">
        <is>
          <t>Sattın. Kâr, sezonun geri kalanı kadar ince.</t>
        </is>
      </c>
      <c r="M805" s="5" t="inlineStr">
        <is>
          <t>bargain</t>
        </is>
      </c>
      <c r="N805" s="5" t="inlineStr">
        <is>
          <t>Sezon Sonu Pazarlığı</t>
        </is>
      </c>
      <c r="O805" s="6" t="inlineStr">
        <is>
          <t>Müşterinin sabrı bitmeden fiyatı olabildiğince yukarıda tut. 'Son fiyat' en az üç kez söylenir.</t>
        </is>
      </c>
      <c r="P805" s="6" t="inlineStr">
        <is>
          <t>{"item": "sezon sonu mal", "mode": "sell"}</t>
        </is>
      </c>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row>
    <row r="806">
      <c r="A806" s="5" t="inlineStr">
        <is>
          <t>me-indirim-sezonu</t>
        </is>
      </c>
      <c r="B806" s="5" t="n">
        <v>2</v>
      </c>
      <c r="C806" s="6" t="inlineStr">
        <is>
          <t>En üst raftaki son malı indir</t>
        </is>
      </c>
      <c r="D806" s="5" t="inlineStr">
        <is>
          <t>Dayanıklılık</t>
        </is>
      </c>
      <c r="E806" s="5" t="inlineStr">
        <is>
          <t>Zor</t>
        </is>
      </c>
      <c r="F806" s="5" t="inlineStr"/>
      <c r="G806" s="6" t="inlineStr"/>
      <c r="H806" s="6" t="inlineStr">
        <is>
          <t>Merdivene çıktın, malı indirdin, sattın. Sezonun kahramanı sensin.</t>
        </is>
      </c>
      <c r="I806" s="6" t="inlineStr">
        <is>
          <t>Rafın arkasında unutulmuş bir koli buldun. Tamamı satıldı; sezon ikinci kez açıldı.</t>
        </is>
      </c>
      <c r="J806" s="6" t="inlineStr">
        <is>
          <t>Mal indi, merdiven de indi. Malı yerden aldın.</t>
        </is>
      </c>
      <c r="K806" s="6" t="inlineStr">
        <is>
          <t>Son basamakta raf seninle birlikte eğildi; sezonun bütün kolileri üstüne yağdı. Müşteri koliler arasından önce malı çıkardı: “Bunun başka rengi var mı?”</t>
        </is>
      </c>
      <c r="L806" s="6" t="inlineStr"/>
      <c r="M806" s="5" t="inlineStr"/>
      <c r="N806" s="5" t="inlineStr"/>
      <c r="O806" s="6" t="inlineStr"/>
      <c r="P806" s="6" t="inlineStr"/>
      <c r="Q806" s="5" t="inlineStr"/>
      <c r="R806" s="5" t="inlineStr"/>
      <c r="S806" s="5" t="inlineStr"/>
      <c r="T806" s="5" t="inlineStr"/>
      <c r="U806" s="5" t="inlineStr"/>
      <c r="V806" s="5" t="inlineStr"/>
      <c r="W806" s="5" t="inlineStr"/>
      <c r="X806" s="5" t="inlineStr"/>
      <c r="Y806" s="5" t="n">
        <v>1</v>
      </c>
      <c r="Z806" s="6" t="inlineStr">
        <is>
          <t>İndirim sezonunda, en üst rafa uzanırken. Ürün hâlâ yüzde elli indirimde.</t>
        </is>
      </c>
      <c r="AA806" s="5" t="inlineStr"/>
      <c r="AB806" s="5" t="inlineStr"/>
      <c r="AC806" s="5" t="inlineStr"/>
      <c r="AD806" s="5" t="inlineStr"/>
      <c r="AE806" s="5" t="inlineStr"/>
      <c r="AF806" s="5" t="inlineStr"/>
      <c r="AG806" s="5" t="inlineStr"/>
      <c r="AH806" s="5" t="inlineStr"/>
      <c r="AI806" s="5" t="inlineStr"/>
    </row>
    <row r="807">
      <c r="A807" s="5" t="inlineStr">
        <is>
          <t>me-indirim-sezonu</t>
        </is>
      </c>
      <c r="B807" s="5" t="n">
        <v>3</v>
      </c>
      <c r="C807" s="6" t="inlineStr">
        <is>
          <t>Cama 'Stok sınırlı' yaz</t>
        </is>
      </c>
      <c r="D807" s="5" t="inlineStr">
        <is>
          <t>Kurnazlık</t>
        </is>
      </c>
      <c r="E807" s="5" t="inlineStr">
        <is>
          <t>Kolay</t>
        </is>
      </c>
      <c r="F807" s="5" t="inlineStr"/>
      <c r="G807" s="6" t="inlineStr"/>
      <c r="H807" s="6" t="inlineStr">
        <is>
          <t>'Stok sınırlı' yazdın. Stok sınırlı değildi. Kuyruk ise kapıya kadardı.</t>
        </is>
      </c>
      <c r="I807" s="6" t="inlineStr">
        <is>
          <t>Müşteriler sınırlı stoku sınırsız aldı. Limonata tezgâhından beri bu kadar kuyruk görmemiştin.</t>
        </is>
      </c>
      <c r="J807" s="6" t="inlineStr">
        <is>
          <t>Mahalle 'O zaman sonra geliriz' dedi. Mantığı kimse açıklayamadı.</t>
        </is>
      </c>
      <c r="K807" s="6" t="inlineStr">
        <is>
          <t>Tabelayı gören zabıta sınırlı stoğun belgesini istedi. Stoku saymak iki gün sürdü.</t>
        </is>
      </c>
      <c r="L807" s="6" t="inlineStr"/>
      <c r="M807" s="5" t="inlineStr"/>
      <c r="N807" s="5" t="inlineStr"/>
      <c r="O807" s="6" t="inlineStr"/>
      <c r="P807" s="6" t="inlineStr"/>
      <c r="Q807" s="5" t="inlineStr">
        <is>
          <t>Çekirdek Baronu</t>
        </is>
      </c>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row>
    <row r="808">
      <c r="A808" s="5" t="inlineStr">
        <is>
          <t>me-indirim-sezonu</t>
        </is>
      </c>
      <c r="B808" s="5" t="n">
        <v>4</v>
      </c>
      <c r="C808" s="6" t="inlineStr">
        <is>
          <t>İndirim yapma, sabret</t>
        </is>
      </c>
      <c r="D808" s="5" t="inlineStr"/>
      <c r="E808" s="5" t="inlineStr"/>
      <c r="F808" s="5" t="inlineStr">
        <is>
          <t>İtibar +1, Dayanıklılık +1</t>
        </is>
      </c>
      <c r="G808" s="6" t="inlineStr">
        <is>
          <t>Etiketlere dokunmadın. Sezon bitti, mallar rafta. Gelecek sezona 'klasik' olarak girecekler.</t>
        </is>
      </c>
      <c r="H808" s="6" t="inlineStr"/>
      <c r="I808" s="6" t="inlineStr"/>
      <c r="J808" s="6" t="inlineStr"/>
      <c r="K808" s="6" t="inlineStr"/>
      <c r="L808" s="6" t="inlineStr"/>
      <c r="M808" s="5" t="inlineStr"/>
      <c r="N808" s="5" t="inlineStr"/>
      <c r="O808" s="6" t="inlineStr"/>
      <c r="P808" s="6" t="inlineStr"/>
      <c r="Q808" s="5" t="inlineStr"/>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row>
    <row r="809">
      <c r="A809" s="5" t="inlineStr">
        <is>
          <t>b7-borc-batagi</t>
        </is>
      </c>
      <c r="B809" s="5" t="n">
        <v>1</v>
      </c>
      <c r="C809" s="6" t="inlineStr">
        <is>
          <t>Tamamını öde</t>
        </is>
      </c>
      <c r="D809" s="5" t="inlineStr"/>
      <c r="E809" s="5" t="inlineStr"/>
      <c r="F809" s="5" t="inlineStr">
        <is>
          <t>İtibar +1, Akıl +1</t>
        </is>
      </c>
      <c r="G809" s="6" t="inlineStr">
        <is>
          <t>Borcu kapattın. Hesap bakiyesi de kapandı. Ay sonuna kadar sadece evdeki makarnayı yediniz.</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row>
    <row r="810">
      <c r="A810" s="5" t="inlineStr">
        <is>
          <t>b7-borc-batagi</t>
        </is>
      </c>
      <c r="B810" s="5" t="n">
        <v>2</v>
      </c>
      <c r="C810" s="6" t="inlineStr">
        <is>
          <t>Asgariyi öde</t>
        </is>
      </c>
      <c r="D810" s="5" t="inlineStr"/>
      <c r="E810" s="5" t="inlineStr"/>
      <c r="F810" s="5" t="inlineStr">
        <is>
          <t>Kurnazlık +1</t>
        </is>
      </c>
      <c r="G810" s="6" t="inlineStr">
        <is>
          <t>Asgariyi ödedin. Ertesi ay banka doğum gününü kutladı; o yıl doğum gününü hatırlayan tek yer orasıydı.</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is>
          <t>borclu</t>
        </is>
      </c>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c r="AI810" s="5" t="inlineStr"/>
    </row>
    <row r="811">
      <c r="A811" s="5" t="inlineStr">
        <is>
          <t>b7-borc-batagi</t>
        </is>
      </c>
      <c r="B811" s="5" t="n">
        <v>3</v>
      </c>
      <c r="C811" s="6" t="inlineStr">
        <is>
          <t>Kartla kartı öde</t>
        </is>
      </c>
      <c r="D811" s="5" t="inlineStr">
        <is>
          <t>Kurnazlık</t>
        </is>
      </c>
      <c r="E811" s="5" t="inlineStr">
        <is>
          <t>Zor</t>
        </is>
      </c>
      <c r="F811" s="5" t="inlineStr"/>
      <c r="G811" s="6" t="inlineStr"/>
      <c r="H811" s="6" t="inlineStr">
        <is>
          <t>Bir kartın borcunu öbür kartla ödedin. Bu ay kurtuldu. Gelecek ayı düşünmemek için telefonu yüzüstü çevirdin.</t>
        </is>
      </c>
      <c r="I811" s="6" t="inlineStr">
        <is>
          <t>Borcu üç kart arasında o kadar ustalıkla dolaştırdın ki banka seni fark etmeden bir kampanya daha tanımladı.</t>
        </is>
      </c>
      <c r="J811" s="6" t="inlineStr">
        <is>
          <t>Transfer sırasında bir karta limit düştü. Borç şimdi iki yerde, iki kat.</t>
        </is>
      </c>
      <c r="K811" s="6" t="inlineStr">
        <is>
          <t>Kartları birbirine öyle bağladın ki ay sonunda üçü de aynı anda reddetti. Market kasasında, poşetler doluyken. Arkadaki teyze ekmeğinin parasını ödedi: “Olur öyle.” Bütün sıra duydu.</t>
        </is>
      </c>
      <c r="L811" s="6" t="inlineStr"/>
      <c r="M811" s="5" t="inlineStr"/>
      <c r="N811" s="5" t="inlineStr"/>
      <c r="O811" s="6" t="inlineStr"/>
      <c r="P811" s="6" t="inlineStr"/>
      <c r="Q811" s="5" t="inlineStr"/>
      <c r="R811" s="5" t="inlineStr"/>
      <c r="S811" s="5" t="inlineStr"/>
      <c r="T811" s="5" t="inlineStr"/>
      <c r="U811" s="5" t="inlineStr"/>
      <c r="V811" s="5" t="inlineStr"/>
      <c r="W811" s="5" t="inlineStr">
        <is>
          <t>borclu</t>
        </is>
      </c>
      <c r="X811" s="5" t="inlineStr"/>
      <c r="Y811" s="5" t="inlineStr"/>
      <c r="Z811" s="6" t="inlineStr"/>
      <c r="AA811" s="5" t="inlineStr"/>
      <c r="AB811" s="5" t="inlineStr"/>
      <c r="AC811" s="5" t="inlineStr"/>
      <c r="AD811" s="5" t="inlineStr"/>
      <c r="AE811" s="5" t="inlineStr"/>
      <c r="AF811" s="5" t="inlineStr"/>
      <c r="AG811" s="5" t="inlineStr"/>
      <c r="AH811" s="5" t="inlineStr"/>
      <c r="AI811" s="5" t="inlineStr"/>
    </row>
    <row r="812">
      <c r="A812" s="5" t="inlineStr">
        <is>
          <t>b7-borc-batagi</t>
        </is>
      </c>
      <c r="B812" s="5" t="n">
        <v>4</v>
      </c>
      <c r="C812" s="6" t="inlineStr">
        <is>
          <t>Yastık altındaki dövizi boz</t>
        </is>
      </c>
      <c r="D812" s="5" t="inlineStr">
        <is>
          <t>Akıl</t>
        </is>
      </c>
      <c r="E812" s="5" t="inlineStr">
        <is>
          <t>Kolay</t>
        </is>
      </c>
      <c r="F812" s="5" t="inlineStr"/>
      <c r="G812" s="6" t="inlineStr"/>
      <c r="H812" s="6" t="inlineStr">
        <is>
          <t>Yastık altı birikim çıktı, borç kapandı. Yastık hafifledi ama uyku düzeldi.</t>
        </is>
      </c>
      <c r="I812" s="6" t="inlineStr">
        <is>
          <t>Tam kur yükselirken bozdun. Borç kapandı, üstüne bir tatil çıktı. Yastık seni gururla izliyor.</t>
        </is>
      </c>
      <c r="J812" s="6" t="inlineStr">
        <is>
          <t>Tam kur düştüğünde bozdun. Borç kapandı, yastık boş, ders alındı.</t>
        </is>
      </c>
      <c r="K812" s="6" t="inlineStr">
        <is>
          <t>Yastığın altında sadece eski bir makbuz çıktı. Birikimi geçen yıl başka bir borca kullanmışsın.</t>
        </is>
      </c>
      <c r="L812" s="6" t="inlineStr"/>
      <c r="M812" s="5" t="inlineStr"/>
      <c r="N812" s="5" t="inlineStr"/>
      <c r="O812" s="6" t="inlineStr"/>
      <c r="P812" s="6" t="inlineStr"/>
      <c r="Q812" s="5" t="inlineStr">
        <is>
          <t>Yastık Altı Ekonomisti</t>
        </is>
      </c>
      <c r="R812" s="5" t="inlineStr"/>
      <c r="S812" s="5" t="inlineStr"/>
      <c r="T812" s="5" t="inlineStr"/>
      <c r="U812" s="5" t="inlineStr"/>
      <c r="V812" s="5" t="inlineStr"/>
      <c r="W812" s="5" t="inlineStr"/>
      <c r="X812" s="5" t="inlineStr"/>
      <c r="Y812" s="5" t="inlineStr"/>
      <c r="Z812" s="6" t="inlineStr"/>
      <c r="AA812" s="5" t="inlineStr"/>
      <c r="AB812" s="5" t="inlineStr"/>
      <c r="AC812" s="5" t="inlineStr"/>
      <c r="AD812" s="5" t="inlineStr"/>
      <c r="AE812" s="5" t="inlineStr"/>
      <c r="AF812" s="5" t="inlineStr"/>
      <c r="AG812" s="5" t="inlineStr"/>
      <c r="AH812" s="5" t="inlineStr"/>
      <c r="AI812" s="5" t="inlineStr"/>
    </row>
    <row r="813">
      <c r="A813" s="5" t="inlineStr">
        <is>
          <t>b7-borc-batagi</t>
        </is>
      </c>
      <c r="B813" s="5" t="n">
        <v>5</v>
      </c>
      <c r="C813" s="6" t="inlineStr">
        <is>
          <t>Düğün takılarını kuyumcuya götür</t>
        </is>
      </c>
      <c r="D813" s="5" t="inlineStr">
        <is>
          <t>Gönül</t>
        </is>
      </c>
      <c r="E813" s="5" t="inlineStr">
        <is>
          <t>Orta</t>
        </is>
      </c>
      <c r="F813" s="5" t="inlineStr"/>
      <c r="G813" s="6" t="inlineStr"/>
      <c r="H813" s="6" t="inlineStr">
        <is>
          <t>Takıları kuyumcuya götürdünüz. Borç kapandı, kutu hafifledi. Eşin kapağı kapatırken “Bunlar yine gelir” dedi.</t>
        </is>
      </c>
      <c r="I813" s="6" t="inlineStr">
        <is>
          <t>Eşin bileziği kendi çıkarıp masaya koydu: “Altın bugün için.” Kuyumcu iyi fiyat verdi, borç kapandı. Kayınvalide hâlâ bilmiyor; bilmeyecek.</t>
        </is>
      </c>
      <c r="J813" s="6" t="inlineStr">
        <is>
          <t>Kuyumcu takıları tarttı, işçiliği saymadı. Borcun yarısı kapandı; öbür yarısı ve boş kutu kaldı.</t>
        </is>
      </c>
      <c r="K813" s="6" t="inlineStr">
        <is>
          <t>Kayınvalidenin taktığı bileziği de bozdurdun. Bayram ziyaretinde kayınvalide ilk iş eşinin bileğine baktı. Çay soğudu, mesele soğumadı.</t>
        </is>
      </c>
      <c r="L813" s="6" t="inlineStr"/>
      <c r="M813" s="5" t="inlineStr"/>
      <c r="N813" s="5" t="inlineStr"/>
      <c r="O813" s="6" t="inlineStr"/>
      <c r="P813" s="6" t="inlineStr"/>
      <c r="Q813" s="5" t="inlineStr"/>
      <c r="R813" s="5" t="inlineStr">
        <is>
          <t>evli</t>
        </is>
      </c>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row>
    <row r="814">
      <c r="A814" s="5" t="inlineStr">
        <is>
          <t>b7-dogum-gunu-partisi</t>
        </is>
      </c>
      <c r="B814" s="5" t="n">
        <v>1</v>
      </c>
      <c r="C814" s="6" t="inlineStr">
        <is>
          <t>Evde, sade bir pasta</t>
        </is>
      </c>
      <c r="D814" s="5" t="inlineStr"/>
      <c r="E814" s="5" t="inlineStr"/>
      <c r="F814" s="5" t="inlineStr">
        <is>
          <t>Gönül +1</t>
        </is>
      </c>
      <c r="G814" s="6" t="inlineStr">
        <is>
          <t>Evde pasta kestiniz. Çocuğun çok mutluydu. Diğer veliler bunu 'cesur bir tercih' diye yorumladı.</t>
        </is>
      </c>
      <c r="H814" s="6" t="inlineStr"/>
      <c r="I814" s="6" t="inlineStr"/>
      <c r="J814" s="6" t="inlineStr"/>
      <c r="K814" s="6" t="inlineStr"/>
      <c r="L814" s="6" t="inlineStr"/>
      <c r="M814" s="5" t="inlineStr"/>
      <c r="N814" s="5" t="inlineStr"/>
      <c r="O814" s="6" t="inlineStr"/>
      <c r="P814" s="6" t="inlineStr"/>
      <c r="Q814" s="5" t="inlineStr"/>
      <c r="R814" s="5" t="inlineStr"/>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row>
    <row r="815">
      <c r="A815" s="5" t="inlineStr">
        <is>
          <t>b7-dogum-gunu-partisi</t>
        </is>
      </c>
      <c r="B815" s="5" t="n">
        <v>2</v>
      </c>
      <c r="C815" s="6" t="inlineStr">
        <is>
          <t>Büyük bir parti organize et</t>
        </is>
      </c>
      <c r="D815" s="5" t="inlineStr">
        <is>
          <t>Sosyal Radar</t>
        </is>
      </c>
      <c r="E815" s="5" t="inlineStr">
        <is>
          <t>Zor</t>
        </is>
      </c>
      <c r="F815" s="5" t="inlineStr"/>
      <c r="G815" s="6" t="inlineStr"/>
      <c r="H815" s="6" t="inlineStr">
        <is>
          <t>Parti harika geçti. Uzay temalı kurabiyeler bile vardı. Veli grubunda 'Nasıl yaptınız?' soruları.</t>
        </is>
      </c>
      <c r="I815" s="6" t="inlineStr">
        <is>
          <t>Parti öyle güzel geçti ki iki veli seni kendi partileri için tutmak istedi. Çocuğun gece yatarken “En güzeli bizimkiydi” dedi; bunu kimseye satmadın.</t>
        </is>
      </c>
      <c r="J815" s="6" t="inlineStr">
        <is>
          <t>Uzay kostümü gelmedi. Çocuk astronot yerine 'gezegen' oldu.</t>
        </is>
      </c>
      <c r="K815" s="6" t="inlineStr">
        <is>
          <t>Kiraladığın köpük makinesi durmadı. Parkın yarısı köpük altında; çocuklar bayıldı, veliler bayılmadı. Belediyeden temizlik faturası geldi, rekabetçi aileden de “Bizimkinin ayakkabıları nerede?” mesajı.</t>
        </is>
      </c>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row>
    <row r="816">
      <c r="A816" s="5" t="inlineStr">
        <is>
          <t>b7-dogum-gunu-partisi</t>
        </is>
      </c>
      <c r="B816" s="5" t="n">
        <v>3</v>
      </c>
      <c r="C816" s="6" t="inlineStr">
        <is>
          <t>Doğum günü hediyelerini düğün takı defteri gibi kaydet</t>
        </is>
      </c>
      <c r="D816" s="5" t="inlineStr">
        <is>
          <t>Akıl</t>
        </is>
      </c>
      <c r="E816" s="5" t="inlineStr">
        <is>
          <t>Kolay</t>
        </is>
      </c>
      <c r="F816" s="5" t="inlineStr"/>
      <c r="G816" s="6" t="inlineStr"/>
      <c r="H816" s="6" t="inlineStr">
        <is>
          <t>Her hediyeyi deftere yazdın: kim, ne, kaç para. Annen defteri görünce gururlandı: “Bizim takı defterinin aynısı.”</t>
        </is>
      </c>
      <c r="I816" s="6" t="inlineStr">
        <is>
          <t>Defteri öyle tuttun ki kim neyi kaça almış, hepsi belli. Halan defteri görünce gelecek doğum gününün hediyesini bir boy büyüttü.</t>
        </is>
      </c>
      <c r="J816" s="6" t="inlineStr">
        <is>
          <t>Kaydederken çocuğun hediyelerin yarısını açtı. Kimin ne getirdiği bilinmiyor.</t>
        </is>
      </c>
      <c r="K816" s="6" t="inlineStr">
        <is>
          <t>Defteri yanlışlıkla veli grubuna gönderdin. İçinde fiyat notları da vardı.</t>
        </is>
      </c>
      <c r="L816" s="6" t="inlineStr"/>
      <c r="M816" s="5" t="inlineStr"/>
      <c r="N816" s="5" t="inlineStr"/>
      <c r="O816" s="6" t="inlineStr"/>
      <c r="P816" s="6" t="inlineStr"/>
      <c r="Q816" s="5" t="inlineStr"/>
      <c r="R816" s="5" t="inlineStr">
        <is>
          <t>taki-defteri</t>
        </is>
      </c>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c r="AI816" s="5" t="inlineStr"/>
    </row>
    <row r="817">
      <c r="A817" s="5" t="inlineStr">
        <is>
          <t>mm-kurum-piknigi</t>
        </is>
      </c>
      <c r="B817" s="5" t="n">
        <v>1</v>
      </c>
      <c r="C817" s="6" t="inlineStr">
        <is>
          <t>Halat çekme finaline gir</t>
        </is>
      </c>
      <c r="D817" s="5" t="inlineStr">
        <is>
          <t>Dayanıklılık</t>
        </is>
      </c>
      <c r="E817" s="5" t="inlineStr">
        <is>
          <t>Zor</t>
        </is>
      </c>
      <c r="F817" s="5" t="inlineStr"/>
      <c r="G817" s="6" t="inlineStr"/>
      <c r="H817" s="6" t="inlineStr">
        <is>
          <t>Takımın kazandı. Kupa bir yıl biriminizin dolabında duracak; dolabın anahtarı kayıp.</t>
        </is>
      </c>
      <c r="I817" s="6" t="inlineStr">
        <is>
          <t>Takımı sen taşıdın. “Yılın Bileği” ilan edildin; müdür siciline bir satır ekletti: “Beden gücü: üstün.”</t>
        </is>
      </c>
      <c r="J817" s="6" t="inlineStr">
        <is>
          <t>Halat elinden kaydı, takım çime oturdu. Fotoğraf kurum bülteninde çıktı.</t>
        </is>
      </c>
      <c r="K817" s="6" t="inlineStr">
        <is>
          <t>Halatı bir anda bıraktın; karşı takım toptan çamura oturdu, en önde müdür. Kazandınız. Müdür çamurdan kalkarken yalnızca sana baktı; ertesi sabah izin dilekçen “uygun görülmedi.”</t>
        </is>
      </c>
      <c r="L817" s="6" t="inlineStr">
        <is>
          <t>Halat ortada kaldı, hakem berabere dedi. Kupa iki birimin dolabında altışar ay duracak; anahtar yine kayıp.</t>
        </is>
      </c>
      <c r="M817" s="5" t="inlineStr">
        <is>
          <t>race</t>
        </is>
      </c>
      <c r="N817" s="5" t="inlineStr">
        <is>
          <t>Halat Çekme Finali</t>
        </is>
      </c>
      <c r="O817" s="6" t="inlineStr">
        <is>
          <t>Beş saniye hızlı dokun; karşı takımı çizgiye çek. Müdür karşı tarafta.</t>
        </is>
      </c>
      <c r="P817" s="6" t="inlineStr"/>
      <c r="Q817" s="5" t="inlineStr"/>
      <c r="R817" s="5" t="inlineStr"/>
      <c r="S817" s="5" t="inlineStr"/>
      <c r="T817" s="5" t="inlineStr"/>
      <c r="U817" s="5" t="inlineStr"/>
      <c r="V817" s="5" t="inlineStr"/>
      <c r="W817" s="5" t="inlineStr">
        <is>
          <t>memur-mudur-dusmani</t>
        </is>
      </c>
      <c r="X817" s="5" t="inlineStr"/>
      <c r="Y817" s="5" t="inlineStr"/>
      <c r="Z817" s="6" t="inlineStr"/>
      <c r="AA817" s="5" t="inlineStr"/>
      <c r="AB817" s="5" t="inlineStr"/>
      <c r="AC817" s="5" t="inlineStr"/>
      <c r="AD817" s="5" t="inlineStr"/>
      <c r="AE817" s="5" t="inlineStr"/>
      <c r="AF817" s="5" t="inlineStr"/>
      <c r="AG817" s="5" t="inlineStr"/>
      <c r="AH817" s="5" t="inlineStr"/>
      <c r="AI817" s="5" t="inlineStr"/>
    </row>
    <row r="818">
      <c r="A818" s="5" t="inlineStr">
        <is>
          <t>mm-kurum-piknigi</t>
        </is>
      </c>
      <c r="B818" s="5" t="n">
        <v>2</v>
      </c>
      <c r="C818" s="6" t="inlineStr">
        <is>
          <t>Mangalın başına geç</t>
        </is>
      </c>
      <c r="D818" s="5" t="inlineStr"/>
      <c r="E818" s="5" t="inlineStr"/>
      <c r="F818" s="5" t="inlineStr">
        <is>
          <t>Sosyal Radar +1, Çene +1</t>
        </is>
      </c>
      <c r="G818" s="6" t="inlineStr">
        <is>
          <t>Köfteleri rütbeye göre değil, sıraya göre dağıttın. Kurum tarihindeki en büyük reform.</t>
        </is>
      </c>
      <c r="H818" s="6" t="inlineStr"/>
      <c r="I818" s="6" t="inlineStr"/>
      <c r="J818" s="6" t="inlineStr"/>
      <c r="K818" s="6" t="inlineStr"/>
      <c r="L818" s="6" t="inlineStr"/>
      <c r="M818" s="5" t="inlineStr"/>
      <c r="N818" s="5" t="inlineStr"/>
      <c r="O818" s="6" t="inlineStr"/>
      <c r="P818" s="6" t="inlineStr"/>
      <c r="Q818" s="5" t="inlineStr"/>
      <c r="R818" s="5" t="inlineStr"/>
      <c r="S818" s="5" t="inlineStr"/>
      <c r="T818" s="5" t="inlineStr"/>
      <c r="U818" s="5" t="inlineStr"/>
      <c r="V818" s="5" t="inlineStr"/>
      <c r="W818" s="5" t="inlineStr"/>
      <c r="X818" s="5" t="inlineStr"/>
      <c r="Y818" s="5" t="inlineStr"/>
      <c r="Z818" s="6" t="inlineStr"/>
      <c r="AA818" s="5" t="inlineStr"/>
      <c r="AB818" s="5" t="inlineStr"/>
      <c r="AC818" s="5" t="inlineStr"/>
      <c r="AD818" s="5" t="inlineStr"/>
      <c r="AE818" s="5" t="inlineStr"/>
      <c r="AF818" s="5" t="inlineStr"/>
      <c r="AG818" s="5" t="inlineStr"/>
      <c r="AH818" s="5" t="inlineStr"/>
      <c r="AI818" s="5" t="inlineStr"/>
    </row>
    <row r="819">
      <c r="A819" s="5" t="inlineStr">
        <is>
          <t>mm-kurum-piknigi</t>
        </is>
      </c>
      <c r="B819" s="5" t="n">
        <v>3</v>
      </c>
      <c r="C819" s="6" t="inlineStr">
        <is>
          <t>Pikniği baştan organize et</t>
        </is>
      </c>
      <c r="D819" s="5" t="inlineStr">
        <is>
          <t>Sosyal Radar</t>
        </is>
      </c>
      <c r="E819" s="5" t="inlineStr">
        <is>
          <t>Kolay</t>
        </is>
      </c>
      <c r="F819" s="5" t="inlineStr"/>
      <c r="G819" s="6" t="inlineStr"/>
      <c r="H819" s="6" t="inlineStr">
        <is>
          <t>Servis saati, mangal nöbeti, oyun fikstürü. Yıllar sonra ilk kez kimse kimseye küsmedi.</t>
        </is>
      </c>
      <c r="I819" s="6" t="inlineStr">
        <is>
          <t>Piknik o kadar düzenliydi ki müdürlük seni 'Sosyal Faaliyetler Sorumlusu' yaptı. Maaş aynı, iş iki kat.</t>
        </is>
      </c>
      <c r="J819" s="6" t="inlineStr">
        <is>
          <t>Fikstürü mükemmel hazırladın. Yağmur fikstüre bakmadı.</t>
        </is>
      </c>
      <c r="K819" s="6" t="inlineStr">
        <is>
          <t>Servisleri yanlış parka yönlendirdin. Kurum pikniği başka bir kurumun pikniğiyle birleşti. İki kurum hâlâ yazışıyor.</t>
        </is>
      </c>
      <c r="L819" s="6" t="inlineStr"/>
      <c r="M819" s="5" t="inlineStr"/>
      <c r="N819" s="5" t="inlineStr"/>
      <c r="O819" s="6" t="inlineStr"/>
      <c r="P819" s="6" t="inlineStr"/>
      <c r="Q819" s="5" t="inlineStr">
        <is>
          <t>Kuralı Koyan</t>
        </is>
      </c>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row>
    <row r="820">
      <c r="A820" s="5" t="inlineStr">
        <is>
          <t>mm-kurum-piknigi</t>
        </is>
      </c>
      <c r="B820" s="5" t="n">
        <v>4</v>
      </c>
      <c r="C820" s="6" t="inlineStr">
        <is>
          <t>Müdürü kendi takımına al</t>
        </is>
      </c>
      <c r="D820" s="5" t="inlineStr">
        <is>
          <t>Çene</t>
        </is>
      </c>
      <c r="E820" s="5" t="inlineStr">
        <is>
          <t>Zor</t>
        </is>
      </c>
      <c r="F820" s="5" t="inlineStr"/>
      <c r="G820" s="6" t="inlineStr"/>
      <c r="H820" s="6" t="inlineStr">
        <is>
          <t>Birlikte kazandınız. Aranızdaki buz, halattan önce koptu.</t>
        </is>
      </c>
      <c r="I820" s="6" t="inlineStr">
        <is>
          <t>Omuz omuza çektiniz. Fotoğrafınız bültenin kapağına çıktı; altında tek kelime var: 'Barış.'</t>
        </is>
      </c>
      <c r="J820" s="6" t="inlineStr">
        <is>
          <t>Müdür 'Ben tarafsız kalayım' dedi ve hakem oldu. Takımına üç faul verdi.</t>
        </is>
      </c>
      <c r="K820" s="6" t="inlineStr">
        <is>
          <t>Müdür halatı bıraktı, sen çimde kaydın. Sicil notuna “Takım çalışması: zayıf” düşüldü; yazan da müdürdü.</t>
        </is>
      </c>
      <c r="L820" s="6" t="inlineStr"/>
      <c r="M820" s="5" t="inlineStr"/>
      <c r="N820" s="5" t="inlineStr"/>
      <c r="O820" s="6" t="inlineStr"/>
      <c r="P820" s="6" t="inlineStr"/>
      <c r="Q820" s="5" t="inlineStr"/>
      <c r="R820" s="5" t="inlineStr">
        <is>
          <t>memur-mudur-dusmani</t>
        </is>
      </c>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row>
    <row r="821">
      <c r="A821" s="5" t="inlineStr">
        <is>
          <t>b7-yil-donumu</t>
        </is>
      </c>
      <c r="B821" s="5" t="n">
        <v>1</v>
      </c>
      <c r="C821" s="6" t="inlineStr">
        <is>
          <t>Sade bir akşam yemeği</t>
        </is>
      </c>
      <c r="D821" s="5" t="inlineStr"/>
      <c r="E821" s="5" t="inlineStr"/>
      <c r="F821" s="5" t="inlineStr">
        <is>
          <t>Gönül +1</t>
        </is>
      </c>
      <c r="G821" s="6" t="inlineStr">
        <is>
          <t>Evde yemek yediniz. Eşin mutluydu. Hatırlatıcının kurulma saati sorgulanmadı.</t>
        </is>
      </c>
      <c r="H821" s="6" t="inlineStr"/>
      <c r="I821" s="6" t="inlineStr"/>
      <c r="J821" s="6" t="inlineStr"/>
      <c r="K821" s="6" t="inlineStr"/>
      <c r="L821" s="6" t="inlineStr"/>
      <c r="M821" s="5" t="inlineStr"/>
      <c r="N821" s="5" t="inlineStr"/>
      <c r="O821" s="6" t="inlineStr"/>
      <c r="P821" s="6" t="inlineStr"/>
      <c r="Q821" s="5" t="inlineStr"/>
      <c r="R821" s="5" t="inlineStr"/>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row>
    <row r="822">
      <c r="A822" s="5" t="inlineStr">
        <is>
          <t>b7-yil-donumu</t>
        </is>
      </c>
      <c r="B822" s="5" t="n">
        <v>2</v>
      </c>
      <c r="C822" s="6" t="inlineStr">
        <is>
          <t>Sürpriz yap</t>
        </is>
      </c>
      <c r="D822" s="5" t="inlineStr">
        <is>
          <t>Gönül</t>
        </is>
      </c>
      <c r="E822" s="5" t="inlineStr">
        <is>
          <t>Orta</t>
        </is>
      </c>
      <c r="F822" s="5" t="inlineStr"/>
      <c r="G822" s="6" t="inlineStr"/>
      <c r="H822" s="6" t="inlineStr">
        <is>
          <t>Sürpriz başarılı. Eşin şaşırdı, sevindi, ağladı. Sen de. Hatırlatıcıyı sildin.</t>
        </is>
      </c>
      <c r="I822" s="6" t="inlineStr">
        <is>
          <t>Sürprizin o kadar güzel oldu ki eşin arkadaşlarına anlattı. Artık her yıl bu seviyeyi tutturman gerekiyor.</t>
        </is>
      </c>
      <c r="J822" s="6" t="inlineStr">
        <is>
          <t>Sürprizin eşin tarafından önceden tahmin edildi. 'Ben de biliyordum' dedi. Nasıl bildiğini öğrenemedin.</t>
        </is>
      </c>
      <c r="K822" s="6" t="inlineStr">
        <is>
          <t>Restoranda telefonunu masaya koydun; ekran yandı: “Hatırlatıcı: Yıl dönümü. Oluşturulma: bugün, 11:47.” Eşin okudu. Tatlıyı ayrı ayrı yediniz.</t>
        </is>
      </c>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row>
    <row r="823">
      <c r="A823" s="5" t="inlineStr">
        <is>
          <t>b7-yil-donumu</t>
        </is>
      </c>
      <c r="B823" s="5" t="n">
        <v>3</v>
      </c>
      <c r="C823" s="6" t="inlineStr">
        <is>
          <t>Takı defterini açıp düğün anılarını yad et</t>
        </is>
      </c>
      <c r="D823" s="5" t="inlineStr">
        <is>
          <t>Sosyal Radar</t>
        </is>
      </c>
      <c r="E823" s="5" t="inlineStr">
        <is>
          <t>Kolay</t>
        </is>
      </c>
      <c r="F823" s="5" t="inlineStr"/>
      <c r="G823" s="6" t="inlineStr"/>
      <c r="H823" s="6" t="inlineStr">
        <is>
          <t>Defteri açtınız. Her satır bir anı. Bir de alacak listesi.</t>
        </is>
      </c>
      <c r="I823" s="6" t="inlineStr">
        <is>
          <t>Defteri okurken ikiniz de güldünüz, ağladınız. Deftere yıl dönümü sayfası eklendi.</t>
        </is>
      </c>
      <c r="J823" s="6" t="inlineStr">
        <is>
          <t>Defteri açtınız; eşin bir akrabanın takısının 'eksik' olduğunu hatırladı. Akşam o akrabaya ayrıldı.</t>
        </is>
      </c>
      <c r="K823" s="6" t="inlineStr">
        <is>
          <t>Defterin arka sayfasında kendi el yazınla bir not çıktı: “Takılar bozdurulacak, araba alınacak.” Altı çizili. Eşin o takıları hâlâ kutusunda sanıyordu.</t>
        </is>
      </c>
      <c r="L823" s="6" t="inlineStr"/>
      <c r="M823" s="5" t="inlineStr"/>
      <c r="N823" s="5" t="inlineStr"/>
      <c r="O823" s="6" t="inlineStr"/>
      <c r="P823" s="6" t="inlineStr"/>
      <c r="Q823" s="5" t="inlineStr"/>
      <c r="R823" s="5" t="inlineStr">
        <is>
          <t>taki-defteri</t>
        </is>
      </c>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row>
    <row r="824">
      <c r="A824" s="5" t="inlineStr">
        <is>
          <t>b8-kirk-yas</t>
        </is>
      </c>
      <c r="B824" s="5" t="n">
        <v>1</v>
      </c>
      <c r="C824" s="6" t="inlineStr">
        <is>
          <t>Envanteri kabul et</t>
        </is>
      </c>
      <c r="D824" s="5" t="inlineStr"/>
      <c r="E824" s="5" t="inlineStr"/>
      <c r="F824" s="5" t="inlineStr">
        <is>
          <t>Dayanıklılık +1, İtibar +1</t>
        </is>
      </c>
      <c r="G824" s="6" t="inlineStr">
        <is>
          <t>Aynaya bakıp “Eh, fena değil” dedin. Akşam pastanın mumlarını üç nefeste söndürdün; kimse saymadı, sen saydın.</t>
        </is>
      </c>
      <c r="H824" s="6" t="inlineStr"/>
      <c r="I824" s="6" t="inlineStr"/>
      <c r="J824" s="6" t="inlineStr"/>
      <c r="K824" s="6" t="inlineStr"/>
      <c r="L824" s="6" t="inlineStr"/>
      <c r="M824" s="5" t="inlineStr"/>
      <c r="N824" s="5" t="inlineStr"/>
      <c r="O824" s="6" t="inlineStr"/>
      <c r="P824" s="6" t="inlineStr"/>
      <c r="Q824" s="5" t="inlineStr"/>
      <c r="R824" s="5" t="inlineStr"/>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row>
    <row r="825">
      <c r="A825" s="5" t="inlineStr">
        <is>
          <t>b8-kirk-yas</t>
        </is>
      </c>
      <c r="B825" s="5" t="n">
        <v>2</v>
      </c>
      <c r="C825" s="6" t="inlineStr">
        <is>
          <t>Büyük bir değişiklik ilan et</t>
        </is>
      </c>
      <c r="D825" s="5" t="inlineStr">
        <is>
          <t>Cesaret</t>
        </is>
      </c>
      <c r="E825" s="5" t="inlineStr">
        <is>
          <t>Orta</t>
        </is>
      </c>
      <c r="F825" s="5" t="inlineStr"/>
      <c r="G825" s="6" t="inlineStr"/>
      <c r="H825" s="6" t="inlineStr">
        <is>
          <t>Hayatını değiştireceğini ilan ettin, ertesi sabah spor salonuna yıllık üyelik aldın. Üç ay oldu, hâlâ gidiyorsun; en çok da duşunu seviyorsun.</t>
        </is>
      </c>
      <c r="I825" s="6" t="inlineStr">
        <is>
          <t>Sofrada “Hayatımı değiştiriyorum” dedin. Kimse gülmedi. Annen sessizce tabağına bir köfte daha koydu; bu evde saygı böyle gösterilir.</t>
        </is>
      </c>
      <c r="J825" s="6" t="inlineStr">
        <is>
          <t>Büyük bir değişiklik ilan ettin. Salı günü unuttun.</t>
        </is>
      </c>
      <c r="K825" s="6" t="inlineStr">
        <is>
          <t>Değişiklik olarak saçını sarıya boyattın. Bayram ziyaretinde teyzen uzun uzun baktı: “Kırkından sonra azanı teneke çalsan durduramazsın.” Fotoğraf aile grubunda en üste sabitlendi.</t>
        </is>
      </c>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is>
          <t>Sarı Kriz</t>
        </is>
      </c>
    </row>
    <row r="826">
      <c r="A826" s="5" t="inlineStr">
        <is>
          <t>b8-kirk-yas</t>
        </is>
      </c>
      <c r="B826" s="5" t="n">
        <v>3</v>
      </c>
      <c r="C826" s="6" t="inlineStr">
        <is>
          <t>Kırk yaşın iyi yanlarını listele</t>
        </is>
      </c>
      <c r="D826" s="5" t="inlineStr">
        <is>
          <t>Akıl</t>
        </is>
      </c>
      <c r="E826" s="5" t="inlineStr">
        <is>
          <t>Zor</t>
        </is>
      </c>
      <c r="F826" s="5" t="inlineStr"/>
      <c r="G826" s="6" t="inlineStr"/>
      <c r="H826" s="6" t="inlineStr">
        <is>
          <t>Liste üç maddeden oluştu: geç yatma hakkı, indirim kuponları ve kimseye kanıtlayacak bir şeyin kalmaması.</t>
        </is>
      </c>
      <c r="I826" s="6" t="inlineStr">
        <is>
          <t>Liste o kadar ikna edici oldu ki otuzlu yaşlardaki arkadaşların kırka girmek için gün sayıyor.</t>
        </is>
      </c>
      <c r="J826" s="6" t="inlineStr">
        <is>
          <t>Listeye bir madde yazdın, sonra ne yazacağını düşünürken maç başladı.</t>
        </is>
      </c>
      <c r="K826" s="6" t="inlineStr">
        <is>
          <t>Listenin ilk maddesini yazdın: “Artık kimseye bir şey kanıtlamak zorunda değilim.” Ertesi gün halan aradı: “Kilo mu aldın sen?” Liste çöpe gitti.</t>
        </is>
      </c>
      <c r="L826" s="6" t="inlineStr"/>
      <c r="M826" s="5" t="inlineStr"/>
      <c r="N826" s="5" t="inlineStr"/>
      <c r="O826" s="6" t="inlineStr"/>
      <c r="P826" s="6" t="inlineStr"/>
      <c r="Q826" s="5" t="inlineStr"/>
      <c r="R826" s="5" t="inlineStr"/>
      <c r="S826" s="5" t="inlineStr">
        <is>
          <t>Akıl</t>
        </is>
      </c>
      <c r="T826" s="5" t="inlineStr">
        <is>
          <t>Ukala Ama Haklı</t>
        </is>
      </c>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row>
    <row r="827">
      <c r="A827" s="5" t="inlineStr">
        <is>
          <t>b8-kirk-yas</t>
        </is>
      </c>
      <c r="B827" s="5" t="n">
        <v>4</v>
      </c>
      <c r="C827" s="6" t="inlineStr">
        <is>
          <t>Kutlamayı iptal et</t>
        </is>
      </c>
      <c r="D827" s="5" t="inlineStr">
        <is>
          <t>Pişkinlik</t>
        </is>
      </c>
      <c r="E827" s="5" t="inlineStr">
        <is>
          <t>Kolay</t>
        </is>
      </c>
      <c r="F827" s="5" t="inlineStr"/>
      <c r="G827" s="6" t="inlineStr"/>
      <c r="H827" s="6" t="inlineStr">
        <is>
          <t>'Kırk sadece bir sayı' dedin. Pasta yine geldi, ama mumsuz.</t>
        </is>
      </c>
      <c r="I827" s="6" t="inlineStr">
        <is>
          <t>İptal ettin; gerçekten kimse gelmedi. Akşam kapı kolunda bir poşet buldun: en sevdiğin tatlı ve bir not, “Rahatsız etmeyelim dedik.”</t>
        </is>
      </c>
      <c r="J827" s="6" t="inlineStr">
        <is>
          <t>İptal edilemedi. Aile mesaj grubuna 'İyi ki doğdun' mesajı 47 kez düştü.</t>
        </is>
      </c>
      <c r="K827" s="6" t="inlineStr">
        <is>
          <t>Kutlamayı iptal ettin; herkes doğum gününü unuttu. Sen hariç.</t>
        </is>
      </c>
      <c r="L827" s="6" t="inlineStr"/>
      <c r="M827" s="5" t="inlineStr"/>
      <c r="N827" s="5" t="inlineStr"/>
      <c r="O827" s="6" t="inlineStr"/>
      <c r="P827" s="6" t="inlineStr"/>
      <c r="Q827" s="5" t="inlineStr"/>
      <c r="R827" s="5" t="inlineStr"/>
      <c r="S827" s="5" t="inlineStr"/>
      <c r="T827" s="5" t="inlineStr"/>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row>
    <row r="828">
      <c r="A828" s="5" t="inlineStr">
        <is>
          <t>b8-motosiklet</t>
        </is>
      </c>
      <c r="B828" s="5" t="n">
        <v>1</v>
      </c>
      <c r="C828" s="6" t="inlineStr">
        <is>
          <t>Broşürü al, eve git</t>
        </is>
      </c>
      <c r="D828" s="5" t="inlineStr"/>
      <c r="E828" s="5" t="inlineStr"/>
      <c r="F828" s="5" t="inlineStr">
        <is>
          <t>İtibar +1</t>
        </is>
      </c>
      <c r="G828" s="6" t="inlineStr">
        <is>
          <t>Broşür buzdolabının kapağına asıldı. Yıllarca orada kalacak; yakıt harcamadan, hayal olarak.</t>
        </is>
      </c>
      <c r="H828" s="6" t="inlineStr"/>
      <c r="I828" s="6" t="inlineStr"/>
      <c r="J828" s="6" t="inlineStr"/>
      <c r="K828" s="6" t="inlineStr"/>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row>
    <row r="829">
      <c r="A829" s="5" t="inlineStr">
        <is>
          <t>b8-motosiklet</t>
        </is>
      </c>
      <c r="B829" s="5" t="n">
        <v>2</v>
      </c>
      <c r="C829" s="6" t="inlineStr">
        <is>
          <t>Satın al, ilk turu at</t>
        </is>
      </c>
      <c r="D829" s="5" t="inlineStr">
        <is>
          <t>Cesaret</t>
        </is>
      </c>
      <c r="E829" s="5" t="inlineStr">
        <is>
          <t>Zor</t>
        </is>
      </c>
      <c r="F829" s="5" t="inlineStr"/>
      <c r="G829" s="6" t="inlineStr"/>
      <c r="H829" s="6" t="inlineStr">
        <is>
          <t>Sahil yolunda ilk turunu attın. Kaskın içinde kimse göremedi, ama gülümsüyordun.</t>
        </is>
      </c>
      <c r="I829" s="6" t="inlineStr">
        <is>
          <t>İlk turda karşıdan gelen motorcular sana el kaldırdı; sen de kaldırdın, az kalsın gidonu bırakıyordun. Akşam telefonuna bir grup eklendi: “Pazar kahvaltısı, saat yedi.”</t>
        </is>
      </c>
      <c r="J829" s="6" t="inlineStr">
        <is>
          <t>Motosikleti aldın; garajdan çıkarmaya cesaret etmen üç ay sürdü. Şu an üstünde çamaşır kuruyor.</t>
        </is>
      </c>
      <c r="K829" s="6" t="inlineStr">
        <is>
          <t>İlk turda devrildin; sabit dururken. İlan: 'Az kullanılmış, bir kez yatırılmış.'</t>
        </is>
      </c>
      <c r="L829" s="6" t="inlineStr"/>
      <c r="M829" s="5" t="inlineStr"/>
      <c r="N829" s="5" t="inlineStr"/>
      <c r="O829" s="6" t="inlineStr"/>
      <c r="P829" s="6" t="inlineStr"/>
      <c r="Q829" s="5" t="inlineStr"/>
      <c r="R829" s="5" t="inlineStr"/>
      <c r="S829" s="5" t="inlineStr"/>
      <c r="T829" s="5" t="inlineStr"/>
      <c r="U829" s="5" t="inlineStr"/>
      <c r="V829" s="5" t="inlineStr">
        <is>
          <t>motosikletli</t>
        </is>
      </c>
      <c r="W829" s="5" t="inlineStr"/>
      <c r="X829" s="5" t="inlineStr"/>
      <c r="Y829" s="5" t="n">
        <v>5</v>
      </c>
      <c r="Z829" s="6" t="inlineStr">
        <is>
          <t>Yeni aldığı motosikletle ilk virajda. Viraj hâlâ orada, sapasağlam.</t>
        </is>
      </c>
      <c r="AA829" s="5" t="inlineStr"/>
      <c r="AB829" s="5" t="inlineStr"/>
      <c r="AC829" s="5" t="inlineStr"/>
      <c r="AD829" s="5" t="inlineStr"/>
      <c r="AE829" s="5" t="inlineStr"/>
      <c r="AF829" s="5" t="inlineStr"/>
      <c r="AG829" s="5" t="inlineStr"/>
      <c r="AH829" s="5" t="inlineStr"/>
      <c r="AI829" s="5" t="inlineStr"/>
    </row>
    <row r="830">
      <c r="A830" s="5" t="inlineStr">
        <is>
          <t>b8-motosiklet</t>
        </is>
      </c>
      <c r="B830" s="5" t="n">
        <v>3</v>
      </c>
      <c r="C830" s="6" t="inlineStr">
        <is>
          <t>Elektrikli bisiklete pazarlık et</t>
        </is>
      </c>
      <c r="D830" s="5" t="inlineStr">
        <is>
          <t>Çene</t>
        </is>
      </c>
      <c r="E830" s="5" t="inlineStr">
        <is>
          <t>Kolay</t>
        </is>
      </c>
      <c r="F830" s="5" t="inlineStr"/>
      <c r="G830" s="6" t="inlineStr"/>
      <c r="H830" s="6" t="inlineStr">
        <is>
          <t>Motosiklet yerine elektrikli bisiklet aldın. Rüzgâr aynı rüzgâr, prim yok.</t>
        </is>
      </c>
      <c r="I830" s="6" t="inlineStr">
        <is>
          <t>Satıcıyı öyle konuşturdun ki kaskı hediye verdi. Kask bisikletten pahalı.</t>
        </is>
      </c>
      <c r="J830" s="6" t="inlineStr">
        <is>
          <t>Bisikleti aldın; şarj aletinin ayrı satıldığını kasada öğrendin.</t>
        </is>
      </c>
      <c r="K830" s="6" t="inlineStr">
        <is>
          <t>Bisikleti aldın. Mahallede 'Kriz geçiriyor ama bütçeli' diye anılıyorsun.</t>
        </is>
      </c>
      <c r="L830" s="6" t="inlineStr"/>
      <c r="M830" s="5" t="inlineStr"/>
      <c r="N830" s="5" t="inlineStr"/>
      <c r="O830" s="6" t="inlineStr"/>
      <c r="P830" s="6" t="inlineStr"/>
      <c r="Q830" s="5" t="inlineStr"/>
      <c r="R830" s="5" t="inlineStr"/>
      <c r="S830" s="5" t="inlineStr"/>
      <c r="T830" s="5" t="inlineStr"/>
      <c r="U830" s="5" t="inlineStr"/>
      <c r="V830" s="5" t="inlineStr"/>
      <c r="W830" s="5" t="inlineStr"/>
      <c r="X830" s="5" t="inlineStr"/>
      <c r="Y830" s="5" t="inlineStr"/>
      <c r="Z830" s="6" t="inlineStr"/>
      <c r="AA830" s="5" t="inlineStr"/>
      <c r="AB830" s="5" t="inlineStr"/>
      <c r="AC830" s="5" t="inlineStr"/>
      <c r="AD830" s="5" t="inlineStr"/>
      <c r="AE830" s="5" t="inlineStr"/>
      <c r="AF830" s="5" t="inlineStr"/>
      <c r="AG830" s="5" t="inlineStr"/>
      <c r="AH830" s="5" t="inlineStr"/>
      <c r="AI830" s="5" t="inlineStr"/>
    </row>
    <row r="831">
      <c r="A831" s="5" t="inlineStr">
        <is>
          <t>b8-motosiklet</t>
        </is>
      </c>
      <c r="B831" s="5" t="n">
        <v>4</v>
      </c>
      <c r="C831" s="6" t="inlineStr">
        <is>
          <t>Çocukluktaki alçıyı hatırla</t>
        </is>
      </c>
      <c r="D831" s="5" t="inlineStr"/>
      <c r="E831" s="5" t="inlineStr"/>
      <c r="F831" s="5" t="inlineStr">
        <is>
          <t>İtibar +1, Akıl +1</t>
        </is>
      </c>
      <c r="G831" s="6" t="inlineStr">
        <is>
          <t>Sol kolun hâlâ hava değişimini haber veriyor. Motosiklete teşekkür edip galeriden ayrıldın. Kol minnettar.</t>
        </is>
      </c>
      <c r="H831" s="6" t="inlineStr"/>
      <c r="I831" s="6" t="inlineStr"/>
      <c r="J831" s="6" t="inlineStr"/>
      <c r="K831" s="6" t="inlineStr"/>
      <c r="L831" s="6" t="inlineStr"/>
      <c r="M831" s="5" t="inlineStr"/>
      <c r="N831" s="5" t="inlineStr"/>
      <c r="O831" s="6" t="inlineStr"/>
      <c r="P831" s="6" t="inlineStr"/>
      <c r="Q831" s="5" t="inlineStr"/>
      <c r="R831" s="5" t="inlineStr">
        <is>
          <t>alcili-kol</t>
        </is>
      </c>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row>
    <row r="832">
      <c r="A832" s="5" t="inlineStr">
        <is>
          <t>b8-sac-meselesi</t>
        </is>
      </c>
      <c r="B832" s="5" t="n">
        <v>1</v>
      </c>
      <c r="C832" s="6" t="inlineStr">
        <is>
          <t>Kabullen, sıfıra vur</t>
        </is>
      </c>
      <c r="D832" s="5" t="inlineStr">
        <is>
          <t>Cesaret</t>
        </is>
      </c>
      <c r="E832" s="5" t="inlineStr">
        <is>
          <t>Orta</t>
        </is>
      </c>
      <c r="F832" s="5" t="inlineStr"/>
      <c r="G832" s="6" t="inlineStr"/>
      <c r="H832" s="6" t="inlineStr">
        <is>
          <t>Sıfıra vurdun. Kahvehanede biri “Hayırdır, askere mi gidiyorsun?” diye sordu. Masa güldü, sen de.</t>
        </is>
      </c>
      <c r="I832" s="6" t="inlineStr">
        <is>
          <t>Sıfıra vurdun; herkes neden daha önce yapmadığını sordu. Başın hiç bu kadar iyi görünmemişti.</t>
        </is>
      </c>
      <c r="J832" s="6" t="inlineStr">
        <is>
          <t>Sıfıra vurdun ve kafanın şekliyle ilk kez tanıştın; arkada bir çukur var. Annen “Küçükken hep sırtüstü yatırdık” dedi. Kasket aldın.</t>
        </is>
      </c>
      <c r="K832" s="6" t="inlineStr">
        <is>
          <t>Sıfıra vurdun; ilk gün güneş yanığı. Aile grubunda domates çıkartması dolaşıyor.</t>
        </is>
      </c>
      <c r="L832" s="6" t="inlineStr"/>
      <c r="M832" s="5" t="inlineStr"/>
      <c r="N832" s="5" t="inlineStr"/>
      <c r="O832" s="6" t="inlineStr"/>
      <c r="P832" s="6" t="inlineStr"/>
      <c r="Q832" s="5" t="inlineStr"/>
      <c r="R832" s="5" t="inlineStr"/>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row>
    <row r="833">
      <c r="A833" s="5" t="inlineStr">
        <is>
          <t>b8-sac-meselesi</t>
        </is>
      </c>
      <c r="B833" s="5" t="n">
        <v>2</v>
      </c>
      <c r="C833" s="6" t="inlineStr">
        <is>
          <t>Saç ekimini araştır</t>
        </is>
      </c>
      <c r="D833" s="5" t="inlineStr">
        <is>
          <t>Akıl</t>
        </is>
      </c>
      <c r="E833" s="5" t="inlineStr">
        <is>
          <t>Kolay</t>
        </is>
      </c>
      <c r="F833" s="5" t="inlineStr"/>
      <c r="G833" s="6" t="inlineStr"/>
      <c r="H833" s="6" t="inlineStr">
        <is>
          <t>Yirmi sekme açtın, dört fiyat aldın. Karar bahara ertelendi; bahar her yıl gelir.</t>
        </is>
      </c>
      <c r="I833" s="6" t="inlineStr">
        <is>
          <t>Araştırman öyle derin çıktı ki arkadaş grubundaki üç kişi tepesinin fotoğrafını sana atıyor: “Bende de var mı?” Var.</t>
        </is>
      </c>
      <c r="J833" s="6" t="inlineStr">
        <is>
          <t>Araştırma sırasında reklamlar seni fark etti. Artık her ekranda şampuan var.</t>
        </is>
      </c>
      <c r="K833" s="6" t="inlineStr">
        <is>
          <t>Ücretsiz değerlendirme için kliniğe tepenin fotoğrafını yolladın. Bir ay sonra reklamlarında “önce” fotoğrafı olarak sen varsın. Kuzenin hemen tanıdı.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row>
    <row r="834">
      <c r="A834" s="5" t="inlineStr">
        <is>
          <t>b8-sac-meselesi</t>
        </is>
      </c>
      <c r="B834" s="5" t="n">
        <v>3</v>
      </c>
      <c r="C834" s="6" t="inlineStr">
        <is>
          <t>Yandan tarama tekniğini dene</t>
        </is>
      </c>
      <c r="D834" s="5" t="inlineStr">
        <is>
          <t>Pişkinlik</t>
        </is>
      </c>
      <c r="E834" s="5" t="inlineStr">
        <is>
          <t>Zor</t>
        </is>
      </c>
      <c r="F834" s="5" t="inlineStr"/>
      <c r="G834" s="6" t="inlineStr"/>
      <c r="H834" s="6" t="inlineStr">
        <is>
          <t>Yandan taradın. Rüzgârsız günlerde kusursuz.</t>
        </is>
      </c>
      <c r="I834" s="6" t="inlineStr">
        <is>
          <t>Tarama o kadar ustaca ki berber tekniğini sordu, sonra sıradaki müşteriye uyguladı. Mahallede artık iki tane senden var.</t>
        </is>
      </c>
      <c r="J834" s="6" t="inlineStr">
        <is>
          <t>Taradın; balkona çıktığın an ilk rüzgâr her şeyi geri aldı. Karşı balkondaki teyze seslendi: “Saçın uçtu evladım!” Uçtu.</t>
        </is>
      </c>
      <c r="K834" s="6" t="inlineStr">
        <is>
          <t>Kuzeninin düğününde halay başına geçtin. Üçüncü turda saçın kalktı, mendille aynı ritimde sallanmaya başladı. Video aile grubunda; herkes halayı değil saçını izliyor.</t>
        </is>
      </c>
      <c r="L834" s="6" t="inlineStr"/>
      <c r="M834" s="5" t="inlineStr"/>
      <c r="N834" s="5" t="inlineStr"/>
      <c r="O834" s="6" t="inlineStr"/>
      <c r="P834" s="6" t="inlineStr"/>
      <c r="Q834" s="5" t="inlineStr"/>
      <c r="R834" s="5" t="inlineStr"/>
      <c r="S834" s="5" t="inlineStr"/>
      <c r="T834" s="5" t="inlineStr">
        <is>
          <t>Yüzü Kızarmaz</t>
        </is>
      </c>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is>
          <t>Rüzgâr Gülü</t>
        </is>
      </c>
    </row>
    <row r="835">
      <c r="A835" s="5" t="inlineStr">
        <is>
          <t>b8-sac-meselesi</t>
        </is>
      </c>
      <c r="B835" s="5" t="n">
        <v>4</v>
      </c>
      <c r="C835" s="6" t="inlineStr">
        <is>
          <t>Şapka koleksiyonuna başla</t>
        </is>
      </c>
      <c r="D835" s="5" t="inlineStr"/>
      <c r="E835" s="5" t="inlineStr"/>
      <c r="F835" s="5" t="inlineStr">
        <is>
          <t>Kurnazlık +1</t>
        </is>
      </c>
      <c r="G835" s="6" t="inlineStr">
        <is>
          <t>Dört şapka aldın. Sorun çözülmedi, ama bir stile kavuştu.</t>
        </is>
      </c>
      <c r="H835" s="6" t="inlineStr"/>
      <c r="I835" s="6" t="inlineStr"/>
      <c r="J835" s="6" t="inlineStr"/>
      <c r="K835" s="6" t="inlineStr"/>
      <c r="L835" s="6" t="inlineStr"/>
      <c r="M835" s="5" t="inlineStr"/>
      <c r="N835" s="5" t="inlineStr"/>
      <c r="O835" s="6" t="inlineStr"/>
      <c r="P835" s="6" t="inlineStr"/>
      <c r="Q835" s="5" t="inlineStr"/>
      <c r="R835" s="5" t="inlineStr"/>
      <c r="S835" s="5" t="inlineStr"/>
      <c r="T835" s="5" t="inlineStr"/>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row>
    <row r="836">
      <c r="A836" s="5" t="inlineStr">
        <is>
          <t>ms-sigortasiz-hayat</t>
        </is>
      </c>
      <c r="B836" s="5" t="n">
        <v>1</v>
      </c>
      <c r="C836" s="6" t="inlineStr">
        <is>
          <t>Geriye dönük prim öde</t>
        </is>
      </c>
      <c r="D836" s="5" t="inlineStr"/>
      <c r="E836" s="5" t="inlineStr"/>
      <c r="F836" s="5" t="inlineStr">
        <is>
          <t>İtibar +1</t>
        </is>
      </c>
      <c r="G836" s="6" t="inlineStr">
        <is>
          <t>Birikmiş primleri yatırdın; kartın iki ay nefes alamadı. Annene “Sigortam var artık” dedin. “Hah” dedi; yirmi yıldır bu “hah”ı söylemek için bekliyordu.</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row>
    <row r="837">
      <c r="A837" s="5" t="inlineStr">
        <is>
          <t>ms-sigortasiz-hayat</t>
        </is>
      </c>
      <c r="B837" s="5" t="n">
        <v>2</v>
      </c>
      <c r="C837" s="6" t="inlineStr">
        <is>
          <t>Özel sigorta araştır</t>
        </is>
      </c>
      <c r="D837" s="5" t="inlineStr">
        <is>
          <t>Akıl</t>
        </is>
      </c>
      <c r="E837" s="5" t="inlineStr">
        <is>
          <t>Orta</t>
        </is>
      </c>
      <c r="F837" s="5" t="inlineStr"/>
      <c r="G837" s="6" t="inlineStr"/>
      <c r="H837" s="6" t="inlineStr">
        <is>
          <t>Uygun bir poliçe buldun. Küçük harflerini de okudun. Tarihte bunu yapan ilk kişisin.</t>
        </is>
      </c>
      <c r="I837" s="6" t="inlineStr">
        <is>
          <t>Serbest çalışanlara özel bir poliçe buldun ve arkadaşlarına da yaptırdın. Komisyon bile aldın.</t>
        </is>
      </c>
      <c r="J837" s="6" t="inlineStr">
        <is>
          <t>Poliçe buldun; aylık primi kiran kadardı. Ev sahibine anlattın, “Benimki daha ucuz” dedi. Haklıydı.</t>
        </is>
      </c>
      <c r="K837" s="6" t="inlineStr">
        <is>
          <t>Poliçeyi dikkatle okudun. Kapsam dışı: 'Serbest çalışmaktan doğan her şey.'</t>
        </is>
      </c>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row>
    <row r="838">
      <c r="A838" s="5" t="inlineStr">
        <is>
          <t>ms-sigortasiz-hayat</t>
        </is>
      </c>
      <c r="B838" s="5" t="n">
        <v>3</v>
      </c>
      <c r="C838" s="6" t="inlineStr">
        <is>
          <t>Eşinin sigortasına bağlan</t>
        </is>
      </c>
      <c r="D838" s="5" t="inlineStr">
        <is>
          <t>Kurnazlık</t>
        </is>
      </c>
      <c r="E838" s="5" t="inlineStr">
        <is>
          <t>Kolay</t>
        </is>
      </c>
      <c r="F838" s="5" t="inlineStr"/>
      <c r="G838" s="6" t="inlineStr"/>
      <c r="H838" s="6" t="inlineStr">
        <is>
          <t>Eşinin sigortasına bağlandın. Eşin artık her tartışmanın sonunda “Sigortanı ben ödüyorum” diyor. Ödemiyor, ama diyor.</t>
        </is>
      </c>
      <c r="I838" s="6" t="inlineStr">
        <is>
          <t>Bütün işlemleri tek günde bitirdin. Memur 'Bu kadar hızlısını görmedim' dedi.</t>
        </is>
      </c>
      <c r="J838" s="6" t="inlineStr">
        <is>
          <t>Belgelerden biri eksik: evlilik cüzdanının aslı. Aslı çekmecede, çekmece kayıp.</t>
        </is>
      </c>
      <c r="K838" s="6" t="inlineStr">
        <is>
          <t>Formda eşinin adını yanlış yazdın. Gişedeki memur yüksek sesle okudu: “Bu kim?” Eşin yanındaydı; akşam yemeği sessiz geçti.</t>
        </is>
      </c>
      <c r="L838" s="6" t="inlineStr"/>
      <c r="M838" s="5" t="inlineStr"/>
      <c r="N838" s="5" t="inlineStr"/>
      <c r="O838" s="6" t="inlineStr"/>
      <c r="P838" s="6" t="inlineStr"/>
      <c r="Q838" s="5" t="inlineStr"/>
      <c r="R838" s="5" t="inlineStr">
        <is>
          <t>evli</t>
        </is>
      </c>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row>
    <row r="839">
      <c r="A839" s="5" t="inlineStr">
        <is>
          <t>ms-sigortasiz-hayat</t>
        </is>
      </c>
      <c r="B839" s="5" t="n">
        <v>4</v>
      </c>
      <c r="C839" s="6" t="inlineStr">
        <is>
          <t>Borçları yapılandır</t>
        </is>
      </c>
      <c r="D839" s="5" t="inlineStr">
        <is>
          <t>Çene</t>
        </is>
      </c>
      <c r="E839" s="5" t="inlineStr">
        <is>
          <t>Orta</t>
        </is>
      </c>
      <c r="F839" s="5" t="inlineStr"/>
      <c r="G839" s="6" t="inlineStr"/>
      <c r="H839" s="6" t="inlineStr">
        <is>
          <t>Prim borcunu taksitlendirdin. Taksitler seninle birlikte yaşlanacak.</t>
        </is>
      </c>
      <c r="I839" s="6" t="inlineStr">
        <is>
          <t>Yapılandırma döneminde erken ödeme indirimi çıktı. Borcun yarıya indi.</t>
        </is>
      </c>
      <c r="J839" s="6" t="inlineStr">
        <is>
          <t>Yapılandırdın; ilk taksit kredi kartının son ödeme günüyle aynı güne düştü. İki borç kapında tanıştı.</t>
        </is>
      </c>
      <c r="K839" s="6" t="inlineStr">
        <is>
          <t>Gişede sıra tam sana geldiğinde memur camı indirdi: “Sistem gitti.” Ertesi sabah yine numara aldın: 247. Dün 46'ydın.</t>
        </is>
      </c>
      <c r="L839" s="6" t="inlineStr"/>
      <c r="M839" s="5" t="inlineStr"/>
      <c r="N839" s="5" t="inlineStr"/>
      <c r="O839" s="6" t="inlineStr"/>
      <c r="P839" s="6" t="inlineStr"/>
      <c r="Q839" s="5" t="inlineStr"/>
      <c r="R839" s="5" t="inlineStr">
        <is>
          <t>borclu</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row>
    <row r="840">
      <c r="A840" s="5" t="inlineStr">
        <is>
          <t>b8-ergen-telefon</t>
        </is>
      </c>
      <c r="B840" s="5" t="n">
        <v>1</v>
      </c>
      <c r="C840" s="6" t="inlineStr">
        <is>
          <t>Dokunma, masada bırak</t>
        </is>
      </c>
      <c r="D840" s="5" t="inlineStr"/>
      <c r="E840" s="5" t="inlineStr"/>
      <c r="F840" s="5" t="inlineStr">
        <is>
          <t>İtibar +1</t>
        </is>
      </c>
      <c r="G840" s="6" t="inlineStr">
        <is>
          <t>Telefona dokunmadın. O akşam çocuk telefonunu masada bırakıp duşa girdi. İlk kez.</t>
        </is>
      </c>
      <c r="H840" s="6" t="inlineStr"/>
      <c r="I840" s="6" t="inlineStr"/>
      <c r="J840" s="6" t="inlineStr"/>
      <c r="K840" s="6" t="inlineStr"/>
      <c r="L840" s="6" t="inlineStr"/>
      <c r="M840" s="5" t="inlineStr"/>
      <c r="N840" s="5" t="inlineStr"/>
      <c r="O840" s="6" t="inlineStr"/>
      <c r="P840" s="6" t="inlineStr"/>
      <c r="Q840" s="5" t="inlineStr"/>
      <c r="R840" s="5" t="inlineStr"/>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row>
    <row r="841">
      <c r="A841" s="5" t="inlineStr">
        <is>
          <t>b8-ergen-telefon</t>
        </is>
      </c>
      <c r="B841" s="5" t="n">
        <v>2</v>
      </c>
      <c r="C841" s="6" t="inlineStr">
        <is>
          <t>Şifreyi tahmin et</t>
        </is>
      </c>
      <c r="D841" s="5" t="inlineStr">
        <is>
          <t>Kurnazlık</t>
        </is>
      </c>
      <c r="E841" s="5" t="inlineStr">
        <is>
          <t>Zor</t>
        </is>
      </c>
      <c r="F841" s="5" t="inlineStr"/>
      <c r="G841" s="6" t="inlineStr"/>
      <c r="H841" s="6" t="inlineStr">
        <is>
          <t>Şifreyi çözdün. İçeride ödev grubu ve kedi videoları vardı. Akşam yemeğinde çocuğun yüzüne bakamadın; o da “Ne oldu?” diye sordu.</t>
        </is>
      </c>
      <c r="I841" s="6" t="inlineStr">
        <is>
          <t>Açtın, baktın, iz bırakmadan kapattın. Tek gördüğün şey: seni rehbere “Evdeki Kahraman” diye kaydetmiş. Bunu sana asla söylemeyecek.</t>
        </is>
      </c>
      <c r="J841" s="6" t="inlineStr">
        <is>
          <t>Üç yanlış deneme. Telefon otuz dakika kilitlendi. Çocuk da.</t>
        </is>
      </c>
      <c r="K841" s="6" t="inlineStr">
        <is>
          <t>Yanlış şifre bildirimi çocuğun saatine düştü. Çocuk salona geldi, hiçbir şey demedi. Şifresini değiştirdi, kilit ekranına bir kedi fotoğrafı koydu. Sen yine yoksun.</t>
        </is>
      </c>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row>
    <row r="842">
      <c r="A842" s="5" t="inlineStr">
        <is>
          <t>b8-ergen-telefon</t>
        </is>
      </c>
      <c r="B842" s="5" t="n">
        <v>3</v>
      </c>
      <c r="C842" s="6" t="inlineStr">
        <is>
          <t>Ekran süresini konuş</t>
        </is>
      </c>
      <c r="D842" s="5" t="inlineStr">
        <is>
          <t>Çene</t>
        </is>
      </c>
      <c r="E842" s="5" t="inlineStr">
        <is>
          <t>Orta</t>
        </is>
      </c>
      <c r="F842" s="5" t="inlineStr"/>
      <c r="G842" s="6" t="inlineStr"/>
      <c r="H842" s="6" t="inlineStr">
        <is>
          <t>Günde üç saatte anlaştınız. Anlaşmayı kâğıda yazıp buzdolabına astın; ertesi sabah üstüne bir pizza broşürü yapışmıştı.</t>
        </is>
      </c>
      <c r="I842" s="6" t="inlineStr">
        <is>
          <t>Öyle bir konuşma yaptın ki çocuk kendi ekran süresini kendisi kısıtladı. Hâlâ inanılmıyor.</t>
        </is>
      </c>
      <c r="J842" s="6" t="inlineStr">
        <is>
          <t>Sen konuştun, çocuk telefona baktı. Sonunda başını kaldırdı: “Bitti mi? Bu arada senin ekran süren günde yedi saat.”</t>
        </is>
      </c>
      <c r="K842" s="6" t="inlineStr">
        <is>
          <t>Konuşmanın ortasında kendi telefonun çaldı. Konuşmayı kaybettin; ahlaki üstünlüğü de.</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row>
    <row r="843">
      <c r="A843" s="5" t="inlineStr">
        <is>
          <t>b8-ergen-telefon</t>
        </is>
      </c>
      <c r="B843" s="5" t="n">
        <v>4</v>
      </c>
      <c r="C843" s="6" t="inlineStr">
        <is>
          <t>Kendi on dört yaşını anlat</t>
        </is>
      </c>
      <c r="D843" s="5" t="inlineStr">
        <is>
          <t>Gönül</t>
        </is>
      </c>
      <c r="E843" s="5" t="inlineStr">
        <is>
          <t>Kolay</t>
        </is>
      </c>
      <c r="F843" s="5" t="inlineStr"/>
      <c r="G843" s="6" t="inlineStr"/>
      <c r="H843" s="6" t="inlineStr">
        <is>
          <t>Kendi gizli defterini anlattın. Çocuk ilk kez gülerek dinledi.</t>
        </is>
      </c>
      <c r="I843" s="6" t="inlineStr">
        <is>
          <t>Anlattın; çocuk telefonu ters çevirdi. Bir saat konuştunuz. Kalkarken “Yine anlatırsın” dedi. Soru değildi.</t>
        </is>
      </c>
      <c r="J843" s="6" t="inlineStr">
        <is>
          <t>Anlattın; çocuk 'Tamam da ne alakası var' dedi. Alakası vardı.</t>
        </is>
      </c>
      <c r="K843" s="6" t="inlineStr">
        <is>
          <t>Hikâyeyi fazla detaylandırdın. Çocuk artık senin gizli defterini arıyor.</t>
        </is>
      </c>
      <c r="L843" s="6" t="inlineStr"/>
      <c r="M843" s="5" t="inlineStr"/>
      <c r="N843" s="5" t="inlineStr"/>
      <c r="O843" s="6" t="inlineStr"/>
      <c r="P843" s="6" t="inlineStr"/>
      <c r="Q843" s="5" t="inlineStr"/>
      <c r="R843" s="5" t="inlineStr"/>
      <c r="S843" s="5" t="inlineStr">
        <is>
          <t>Gönül</t>
        </is>
      </c>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row>
    <row r="844">
      <c r="A844" s="5" t="inlineStr">
        <is>
          <t>b8-metabolizma</t>
        </is>
      </c>
      <c r="B844" s="5" t="n">
        <v>1</v>
      </c>
      <c r="C844" s="6" t="inlineStr">
        <is>
          <t>Akşam yürüyüşüne başla</t>
        </is>
      </c>
      <c r="D844" s="5" t="inlineStr"/>
      <c r="E844" s="5" t="inlineStr"/>
      <c r="F844" s="5" t="inlineStr">
        <is>
          <t>Dayanıklılık +1</t>
        </is>
      </c>
      <c r="G844" s="6" t="inlineStr">
        <is>
          <t>Her akşam otuz dakika yürüdün. Tartı bir süre sessiz kaldı; bu da bir tür onay.</t>
        </is>
      </c>
      <c r="H844" s="6" t="inlineStr"/>
      <c r="I844" s="6" t="inlineStr"/>
      <c r="J844" s="6" t="inlineStr"/>
      <c r="K844" s="6" t="inlineStr"/>
      <c r="L844" s="6" t="inlineStr"/>
      <c r="M844" s="5" t="inlineStr"/>
      <c r="N844" s="5" t="inlineStr"/>
      <c r="O844" s="6" t="inlineStr"/>
      <c r="P844" s="6" t="inlineStr"/>
      <c r="Q844" s="5" t="inlineStr"/>
      <c r="R844" s="5" t="inlineStr"/>
      <c r="S844" s="5" t="inlineStr"/>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row>
    <row r="845">
      <c r="A845" s="5" t="inlineStr">
        <is>
          <t>b8-metabolizma</t>
        </is>
      </c>
      <c r="B845" s="5" t="n">
        <v>2</v>
      </c>
      <c r="C845" s="6" t="inlineStr">
        <is>
          <t>Diyet programı başlat</t>
        </is>
      </c>
      <c r="D845" s="5" t="inlineStr">
        <is>
          <t>Dayanıklılık</t>
        </is>
      </c>
      <c r="E845" s="5" t="inlineStr">
        <is>
          <t>Orta</t>
        </is>
      </c>
      <c r="F845" s="5" t="inlineStr"/>
      <c r="G845" s="6" t="inlineStr"/>
      <c r="H845" s="6" t="inlineStr">
        <is>
          <t>Üç haftada iki kilo. Pantolon teşekkür etti.</t>
        </is>
      </c>
      <c r="I845" s="6" t="inlineStr">
        <is>
          <t>Eski kot pantolonunun düğmesi ilk denemede kapandı. Annen seni görünce “Hasta mısın, yavrum?” diye alnına elini koydu.</t>
        </is>
      </c>
      <c r="J845" s="6" t="inlineStr">
        <is>
          <t>Pazartesi başladın. Pazartesi öğlen bitti.</t>
        </is>
      </c>
      <c r="K845" s="6" t="inlineStr">
        <is>
          <t>Diyetin ilk günü komşu börek getirdi, ikinci gün teyzen baklava. Üçüncü gün “Diyet yapıyormuş” diye duyan herkes ayrı tepsiyle geldi. Tartı o hafta iki kilo ekledi.</t>
        </is>
      </c>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row>
    <row r="846">
      <c r="A846" s="5" t="inlineStr">
        <is>
          <t>b8-metabolizma</t>
        </is>
      </c>
      <c r="B846" s="5" t="n">
        <v>3</v>
      </c>
      <c r="C846" s="6" t="inlineStr">
        <is>
          <t>Tartıyı halıya taşı</t>
        </is>
      </c>
      <c r="D846" s="5" t="inlineStr">
        <is>
          <t>Kurnazlık</t>
        </is>
      </c>
      <c r="E846" s="5" t="inlineStr">
        <is>
          <t>Kolay</t>
        </is>
      </c>
      <c r="F846" s="5" t="inlineStr"/>
      <c r="G846" s="6" t="inlineStr"/>
      <c r="H846" s="6" t="inlineStr">
        <is>
          <t>Halının üstünde iki kilo gitti. Bilim bunu açıklayamıyor, sen açıklamak zorunda değilsin.</t>
        </is>
      </c>
      <c r="I846" s="6" t="inlineStr">
        <is>
          <t>Tartıyı öyle bir noktaya yerleştirdin ki her sabah farklı ama hep iyi haber veriyor.</t>
        </is>
      </c>
      <c r="J846" s="6" t="inlineStr">
        <is>
          <t>Tartı halıda 'Hata' yazdı. Tartı bile yalanını kabul etmedi.</t>
        </is>
      </c>
      <c r="K846" s="6" t="inlineStr">
        <is>
          <t>Annen ziyarete geldi, tartıyı halıda buldu. Yerine koydu, seni üstüne çıkardı, rakamı yüksek sesle okudu. Bütün apartman duydu.</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row>
    <row r="847">
      <c r="A847" s="5" t="inlineStr">
        <is>
          <t>mb-yapay-zeka</t>
        </is>
      </c>
      <c r="B847" s="5" t="n">
        <v>1</v>
      </c>
      <c r="C847" s="6" t="inlineStr">
        <is>
          <t>Aracı özenle eğit</t>
        </is>
      </c>
      <c r="D847" s="5" t="inlineStr"/>
      <c r="E847" s="5" t="inlineStr"/>
      <c r="F847" s="5" t="inlineStr">
        <is>
          <t>Akıl +1</t>
        </is>
      </c>
      <c r="G847" s="6" t="inlineStr">
        <is>
          <t>Aracı özenle eğittin. Eğitim bitince araç 'Teşekkürler, bundan sonrasını ben hallederim' dedi.</t>
        </is>
      </c>
      <c r="H847" s="6" t="inlineStr"/>
      <c r="I847" s="6" t="inlineStr"/>
      <c r="J847" s="6" t="inlineStr"/>
      <c r="K847" s="6" t="inlineStr"/>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row>
    <row r="848">
      <c r="A848" s="5" t="inlineStr">
        <is>
          <t>mb-yapay-zeka</t>
        </is>
      </c>
      <c r="B848" s="5" t="n">
        <v>2</v>
      </c>
      <c r="C848" s="6" t="inlineStr">
        <is>
          <t>Aracı biraz yanlış eğit</t>
        </is>
      </c>
      <c r="D848" s="5" t="inlineStr">
        <is>
          <t>Kurnazlık</t>
        </is>
      </c>
      <c r="E848" s="5" t="inlineStr">
        <is>
          <t>Orta</t>
        </is>
      </c>
      <c r="F848" s="5" t="inlineStr"/>
      <c r="G848" s="6" t="inlineStr"/>
      <c r="H848" s="6" t="inlineStr">
        <is>
          <t>Araç her raporda küçük bir hata yapıyor. Düzeltebilen tek kişi sensin. Vazgeçilmezsin.</t>
        </is>
      </c>
      <c r="I848" s="6" t="inlineStr">
        <is>
          <t>Araç yalnızca senin cümlelerinle çalışıyor. Unvanın 'yapay zekâ sorumlusu' oldu.</t>
        </is>
      </c>
      <c r="J848" s="6" t="inlineStr">
        <is>
          <t>Araç hatayı kendi buldu ve raporladı. Hatayı yapanın adıyla.</t>
        </is>
      </c>
      <c r="K848" s="6" t="inlineStr">
        <is>
          <t>Araç kendi değerlendirmesini yazdı: 'Eğitmen, verimliliği bilinçli olarak düşürmüştür.'</t>
        </is>
      </c>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row>
    <row r="849">
      <c r="A849" s="5" t="inlineStr">
        <is>
          <t>mb-yapay-zeka</t>
        </is>
      </c>
      <c r="B849" s="5" t="n">
        <v>3</v>
      </c>
      <c r="C849" s="6" t="inlineStr">
        <is>
          <t>'Bağlamı' sat</t>
        </is>
      </c>
      <c r="D849" s="5" t="inlineStr">
        <is>
          <t>Çene</t>
        </is>
      </c>
      <c r="E849" s="5" t="inlineStr">
        <is>
          <t>Orta</t>
        </is>
      </c>
      <c r="F849" s="5" t="inlineStr"/>
      <c r="G849" s="6" t="inlineStr"/>
      <c r="H849" s="6" t="inlineStr">
        <is>
          <t>Yönetime 'Araç rakamları biliyor, insanları bilmiyor' dedin. Pozisyonun 'strateji' oldu.</t>
        </is>
      </c>
      <c r="I849" s="6" t="inlineStr">
        <is>
          <t>Aracın bağlamı bilmediğini kanıtladın: muhasebe ile satışı aynı öğle yemeğine davet etmişti. O günden beri yönetim, aracın her davetini sana onaylatıyor.</t>
        </is>
      </c>
      <c r="J849" s="6" t="inlineStr">
        <is>
          <t>Anlattın; yönetim araca 'bağlam' eklentisi aldı.</t>
        </is>
      </c>
      <c r="K849" s="6" t="inlineStr">
        <is>
          <t>Bağlamı anlatırken örnek olarak yöneticini verdin. Yöneticin de toplantıdaydı. Bağlamıyla.</t>
        </is>
      </c>
      <c r="L849" s="6" t="inlineStr"/>
      <c r="M849" s="5" t="inlineStr"/>
      <c r="N849" s="5" t="inlineStr"/>
      <c r="O849" s="6" t="inlineStr"/>
      <c r="P849" s="6" t="inlineStr"/>
      <c r="Q849" s="5" t="inlineStr"/>
      <c r="R849" s="5" t="inlineStr"/>
      <c r="S849" s="5" t="inlineStr">
        <is>
          <t>Akıl</t>
        </is>
      </c>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row>
    <row r="850">
      <c r="A850" s="5" t="inlineStr">
        <is>
          <t>mb-yapay-zeka</t>
        </is>
      </c>
      <c r="B850" s="5" t="n">
        <v>4</v>
      </c>
      <c r="C850" s="6" t="inlineStr">
        <is>
          <t>Aracı yöneten aracı sen kur</t>
        </is>
      </c>
      <c r="D850" s="5" t="inlineStr">
        <is>
          <t>Akıl</t>
        </is>
      </c>
      <c r="E850" s="5" t="inlineStr">
        <is>
          <t>Zor</t>
        </is>
      </c>
      <c r="F850" s="5" t="inlineStr"/>
      <c r="G850" s="6" t="inlineStr"/>
      <c r="H850" s="6" t="inlineStr">
        <is>
          <t>Araçları yöneten bir düzen kurdun. Artık işi yapan değil, işi yapanı yapan sensin.</t>
        </is>
      </c>
      <c r="I850" s="6" t="inlineStr">
        <is>
          <t>Kurduğun düzen bütün şirkete yayıldı. Yapay zekâ departmanının başındasın. İnsan tek sen.</t>
        </is>
      </c>
      <c r="J850" s="6" t="inlineStr">
        <is>
          <t>Kurdun; araçlar birbirine e-posta atmaya başladı. Toplantı hakkında toplantı.</t>
        </is>
      </c>
      <c r="K850" s="6" t="inlineStr">
        <is>
          <t>Araçlar birbirini onayladı ve bir bütçe kararı aldı. Senin maaşını kısmayı.</t>
        </is>
      </c>
      <c r="L850" s="6" t="inlineStr"/>
      <c r="M850" s="5" t="inlineStr"/>
      <c r="N850" s="5" t="inlineStr"/>
      <c r="O850" s="6" t="inlineStr"/>
      <c r="P850" s="6" t="inlineStr"/>
      <c r="Q850" s="5" t="inlineStr">
        <is>
          <t>Şifreyi Bilen</t>
        </is>
      </c>
      <c r="R850" s="5" t="inlineStr"/>
      <c r="S850" s="5" t="inlineStr"/>
      <c r="T850" s="5" t="inlineStr">
        <is>
          <t>Ukala Ama Haklı</t>
        </is>
      </c>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row>
    <row r="851">
      <c r="A851" s="5" t="inlineStr">
        <is>
          <t>me-haber-merkezi</t>
        </is>
      </c>
      <c r="B851" s="5" t="n">
        <v>1</v>
      </c>
      <c r="C851" s="6" t="inlineStr">
        <is>
          <t>Dinle, sadece dinle</t>
        </is>
      </c>
      <c r="D851" s="5" t="inlineStr"/>
      <c r="E851" s="5" t="inlineStr"/>
      <c r="F851" s="5" t="inlineStr">
        <is>
          <t>Sosyal Radar +1, İtibar +1</t>
        </is>
      </c>
      <c r="G851" s="6" t="inlineStr">
        <is>
          <t>Dinledin, kimseye söylemedin. 'Mahallenin en güvenilir esnafı' unvanı, kasa kadar ağır.</t>
        </is>
      </c>
      <c r="H851" s="6" t="inlineStr"/>
      <c r="I851" s="6" t="inlineStr"/>
      <c r="J851" s="6" t="inlineStr"/>
      <c r="K851" s="6" t="inlineStr"/>
      <c r="L851" s="6" t="inlineStr"/>
      <c r="M851" s="5" t="inlineStr"/>
      <c r="N851" s="5" t="inlineStr"/>
      <c r="O851" s="6" t="inlineStr"/>
      <c r="P851" s="6" t="inlineStr"/>
      <c r="Q851" s="5" t="inlineStr"/>
      <c r="R851" s="5" t="inlineStr"/>
      <c r="S851" s="5" t="inlineStr"/>
      <c r="T851" s="5" t="inlineStr"/>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row>
    <row r="852">
      <c r="A852" s="5" t="inlineStr">
        <is>
          <t>me-haber-merkezi</t>
        </is>
      </c>
      <c r="B852" s="5" t="n">
        <v>2</v>
      </c>
      <c r="C852" s="6" t="inlineStr">
        <is>
          <t>Haberi satışa bağla</t>
        </is>
      </c>
      <c r="D852" s="5" t="inlineStr">
        <is>
          <t>Çene</t>
        </is>
      </c>
      <c r="E852" s="5" t="inlineStr">
        <is>
          <t>Orta</t>
        </is>
      </c>
      <c r="F852" s="5" t="inlineStr"/>
      <c r="G852" s="6" t="inlineStr"/>
      <c r="H852" s="6" t="inlineStr">
        <is>
          <t>“Aidat artıyor, ay sonu sıkışırız” dedin. Herkes bir paket fazla mercimek aldı; akşam bakliyat rafı boştu.</t>
        </is>
      </c>
      <c r="I852" s="6" t="inlineStr">
        <is>
          <t>Haberi verdin, malı sattın. Ertesi sabah kapının önünde kuyruk vardı; yarısı alışverişe, yarısı “Bugün ne var?” diye sormaya gelmişti.</t>
        </is>
      </c>
      <c r="J852" s="6" t="inlineStr">
        <is>
          <t>Haberi verdin, kimse bir şey almadı. Herkes haberi başkasına yetiştirmek için koştu.</t>
        </is>
      </c>
      <c r="K852" s="6" t="inlineStr">
        <is>
          <t>Haber yanlış çıktı: aidat artmadı, asansör bozuldu. Dükkânın yeni adı 'Söylenti Merkezi'.</t>
        </is>
      </c>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row>
    <row r="853">
      <c r="A853" s="5" t="inlineStr">
        <is>
          <t>me-haber-merkezi</t>
        </is>
      </c>
      <c r="B853" s="5" t="n">
        <v>3</v>
      </c>
      <c r="C853" s="6" t="inlineStr">
        <is>
          <t>Aidat haberini önceden sızdır</t>
        </is>
      </c>
      <c r="D853" s="5" t="inlineStr">
        <is>
          <t>Kurnazlık</t>
        </is>
      </c>
      <c r="E853" s="5" t="inlineStr">
        <is>
          <t>Orta</t>
        </is>
      </c>
      <c r="F853" s="5" t="inlineStr"/>
      <c r="G853" s="6" t="inlineStr"/>
      <c r="H853" s="6" t="inlineStr">
        <is>
          <t>Apartman toplantısına herkes hesap makinesiyle geldi. Yönetici daha çayları dağıtmadan artış oylandı ve düştü.</t>
        </is>
      </c>
      <c r="I853" s="6" t="inlineStr">
        <is>
          <t>Sızıntın öyle tuttu ki artış reddedildi. Yönetici kimin sızdırdığını hâlâ arıyor; senden ekmek alarak.</t>
        </is>
      </c>
      <c r="J853" s="6" t="inlineStr">
        <is>
          <t>Yönetici haberi sabah gruba atmış. Sızıntın manşete yetişemedi.</t>
        </is>
      </c>
      <c r="K853" s="6" t="inlineStr">
        <is>
          <t>Yönetici sızıntının kaynağını üç dakikada buldu: eşi ekmeği yalnızca senden alıyordu. Ertesi gün ikisi de karşı dükkândan alıyordu; apartmanın yarısı da.</t>
        </is>
      </c>
      <c r="L853" s="6" t="inlineStr"/>
      <c r="M853" s="5" t="inlineStr"/>
      <c r="N853" s="5" t="inlineStr"/>
      <c r="O853" s="6" t="inlineStr"/>
      <c r="P853" s="6" t="inlineStr"/>
      <c r="Q853" s="5" t="inlineStr"/>
      <c r="R853" s="5" t="inlineStr"/>
      <c r="S853" s="5" t="inlineStr">
        <is>
          <t>Sosyal Radar</t>
        </is>
      </c>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row>
    <row r="854">
      <c r="A854" s="5" t="inlineStr">
        <is>
          <t>me-haber-merkezi</t>
        </is>
      </c>
      <c r="B854" s="5" t="n">
        <v>4</v>
      </c>
      <c r="C854" s="6" t="inlineStr">
        <is>
          <t>Haberi biraz süsle</t>
        </is>
      </c>
      <c r="D854" s="5" t="inlineStr">
        <is>
          <t>Pişkinlik</t>
        </is>
      </c>
      <c r="E854" s="5" t="inlineStr">
        <is>
          <t>Orta</t>
        </is>
      </c>
      <c r="F854" s="5" t="inlineStr"/>
      <c r="G854" s="6" t="inlineStr"/>
      <c r="H854" s="6" t="inlineStr">
        <is>
          <t>Mahalle bayıldı. Süslemenin yarısı sonradan doğru çıktı.</t>
        </is>
      </c>
      <c r="I854" s="6" t="inlineStr">
        <is>
          <t>Hikâye öyle tuttu ki kısa video uygulamasında mahalle dizisine dönüştü. Senaryo sende.</t>
        </is>
      </c>
      <c r="J854" s="6" t="inlineStr">
        <is>
          <t>Süs haberden büyük geldi. Kimse inanmadı.</t>
        </is>
      </c>
      <c r="K854" s="6" t="inlineStr">
        <is>
          <t>Süslediğin komşu dükkâna geldi, tezgâha dayandı: “Ben kiminle kaçmışım?” İki saat özür diledin. O gün kasa hiç açılmadı.</t>
        </is>
      </c>
      <c r="L854" s="6" t="inlineStr"/>
      <c r="M854" s="5" t="inlineStr"/>
      <c r="N854" s="5" t="inlineStr"/>
      <c r="O854" s="6" t="inlineStr"/>
      <c r="P854" s="6" t="inlineStr"/>
      <c r="Q854" s="5" t="inlineStr"/>
      <c r="R854" s="5" t="inlineStr">
        <is>
          <t>yalanci</t>
        </is>
      </c>
      <c r="S854" s="5" t="inlineStr"/>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row>
    <row r="855">
      <c r="A855" s="5" t="inlineStr">
        <is>
          <t>mm-performans-formu</t>
        </is>
      </c>
      <c r="B855" s="5" t="n">
        <v>1</v>
      </c>
      <c r="C855" s="6" t="inlineStr">
        <is>
          <t>Hepsine 'Beklentileri karşılıyor' de</t>
        </is>
      </c>
      <c r="D855" s="5" t="inlineStr"/>
      <c r="E855" s="5" t="inlineStr"/>
      <c r="F855" s="5" t="inlineStr">
        <is>
          <t>Dayanıklılık +1</t>
        </is>
      </c>
      <c r="G855" s="6" t="inlineStr">
        <is>
          <t>Kırk iki kez 'Beklentileri karşılıyor' işaretledin. Beklentileri karşıladın.</t>
        </is>
      </c>
      <c r="H855" s="6" t="inlineStr"/>
      <c r="I855" s="6" t="inlineStr"/>
      <c r="J855" s="6" t="inlineStr"/>
      <c r="K855" s="6" t="inlineStr"/>
      <c r="L855" s="6" t="inlineStr"/>
      <c r="M855" s="5" t="inlineStr"/>
      <c r="N855" s="5" t="inlineStr"/>
      <c r="O855" s="6" t="inlineStr"/>
      <c r="P855" s="6" t="inlineStr"/>
      <c r="Q855" s="5" t="inlineStr"/>
      <c r="R855" s="5" t="inlineStr"/>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row>
    <row r="856">
      <c r="A856" s="5" t="inlineStr">
        <is>
          <t>mm-performans-formu</t>
        </is>
      </c>
      <c r="B856" s="5" t="n">
        <v>2</v>
      </c>
      <c r="C856" s="6" t="inlineStr">
        <is>
          <t>Değerlendirme görüşmesine gir</t>
        </is>
      </c>
      <c r="D856" s="5" t="inlineStr">
        <is>
          <t>Çene</t>
        </is>
      </c>
      <c r="E856" s="5" t="inlineStr">
        <is>
          <t>Orta</t>
        </is>
      </c>
      <c r="F856" s="5" t="inlineStr"/>
      <c r="G856" s="6" t="inlineStr"/>
      <c r="H856" s="6" t="inlineStr">
        <is>
          <t>'Çok iyi' notuyla çıktın. Müdür 'geliştirilebilir' dediğin maddenin yanına 'dürüst' yazdı.</t>
        </is>
      </c>
      <c r="I856" s="6" t="inlineStr">
        <is>
          <t>Görüşmenin sonunda müdür kendi formunu çıkardı: “Bunu nasıl dolduruyorsun?” Yarım saat anlattın; formunda adın yok ama el yazın var.</t>
        </is>
      </c>
      <c r="J856" s="6" t="inlineStr">
        <is>
          <t>Fazla yüklendin. Müdür “O zaman maddeleri tek tek konuşalım” dedi; kırk iki madde konuşuldu. Not: “Orta.”</t>
        </is>
      </c>
      <c r="K856" s="6" t="inlineStr">
        <is>
          <t>Beş yıl sonra kendini müdür koltuğunda gördüğünü söyledin. Müdür koltuğunu biraz daha yakına çekti.</t>
        </is>
      </c>
      <c r="L856" s="6" t="inlineStr">
        <is>
          <t>“İyi”de anlaştınız. Müdür kırmızı kalemi kapattı, sen de çeneni.</t>
        </is>
      </c>
      <c r="M856" s="5" t="inlineStr">
        <is>
          <t>bargain</t>
        </is>
      </c>
      <c r="N856" s="5" t="inlineStr">
        <is>
          <t>Not Pazarlığı</t>
        </is>
      </c>
      <c r="O856" s="6" t="inlineStr">
        <is>
          <t>Müdürün sabrı bitmeden notunu “Orta”dan yukarı it. Kırmızı kalem masada bekliyor.</t>
        </is>
      </c>
      <c r="P856" s="6" t="inlineStr">
        <is>
          <t>{"item": "not", "mode": "sell"}</t>
        </is>
      </c>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row>
    <row r="857">
      <c r="A857" s="5" t="inlineStr">
        <is>
          <t>mm-performans-formu</t>
        </is>
      </c>
      <c r="B857" s="5" t="n">
        <v>3</v>
      </c>
      <c r="C857" s="6" t="inlineStr">
        <is>
          <t>Öz değerlendirmeyi cesurca doldur</t>
        </is>
      </c>
      <c r="D857" s="5" t="inlineStr">
        <is>
          <t>Pişkinlik</t>
        </is>
      </c>
      <c r="E857" s="5" t="inlineStr">
        <is>
          <t>Orta</t>
        </is>
      </c>
      <c r="F857" s="5" t="inlineStr"/>
      <c r="G857" s="6" t="inlineStr"/>
      <c r="H857" s="6" t="inlineStr">
        <is>
          <t>Kendine 'Kurumun görünmeyen omurgası' yazdın. Müdür itiraz edecek bir kanıt bulamadı.</t>
        </is>
      </c>
      <c r="I857" s="6" t="inlineStr">
        <is>
          <t>Öz değerlendirmen o kadar ikna ediciydi ki müdür kendi formundaki bazı cümleleri senden aldı.</t>
        </is>
      </c>
      <c r="J857" s="6" t="inlineStr">
        <is>
          <t>Müdür formun kenarına tek kelime yazdı: 'Kaynak?'</t>
        </is>
      </c>
      <c r="K857" s="6" t="inlineStr">
        <is>
          <t>Öz değerlendirmeyi yanlışlıkla bütün birime gönderdin. Ertesi sabah masanda bir not vardı: “Günaydın Omurga.” Çaycı bile artık öyle sesleniyor.</t>
        </is>
      </c>
      <c r="L857" s="6" t="inlineStr"/>
      <c r="M857" s="5" t="inlineStr"/>
      <c r="N857" s="5" t="inlineStr"/>
      <c r="O857" s="6" t="inlineStr"/>
      <c r="P857" s="6" t="inlineStr"/>
      <c r="Q857" s="5" t="inlineStr">
        <is>
          <t>Yüzü Kızarmaz</t>
        </is>
      </c>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is>
          <t>Omurga</t>
        </is>
      </c>
    </row>
    <row r="858">
      <c r="A858" s="5" t="inlineStr">
        <is>
          <t>b8-gozluk</t>
        </is>
      </c>
      <c r="B858" s="5" t="n">
        <v>1</v>
      </c>
      <c r="C858" s="6" t="inlineStr">
        <is>
          <t>Göz doktoruna git</t>
        </is>
      </c>
      <c r="D858" s="5" t="inlineStr"/>
      <c r="E858" s="5" t="inlineStr"/>
      <c r="F858" s="5" t="inlineStr">
        <is>
          <t>Akıl +1, Dayanıklılık +1</t>
        </is>
      </c>
      <c r="G858" s="6" t="inlineStr">
        <is>
          <t>Okuma gözlüğü reçete edildi. Artık etiketleri, menüleri ve hayal kırıklıklarını net görüyorsun.</t>
        </is>
      </c>
      <c r="H858" s="6" t="inlineStr"/>
      <c r="I858" s="6" t="inlineStr"/>
      <c r="J858" s="6" t="inlineStr"/>
      <c r="K858" s="6" t="inlineStr"/>
      <c r="L858" s="6" t="inlineStr"/>
      <c r="M858" s="5" t="inlineStr"/>
      <c r="N858" s="5" t="inlineStr"/>
      <c r="O858" s="6" t="inlineStr"/>
      <c r="P858" s="6" t="inlineStr"/>
      <c r="Q858" s="5" t="inlineStr"/>
      <c r="R858" s="5" t="inlineStr"/>
      <c r="S858" s="5" t="inlineStr"/>
      <c r="T858" s="5" t="inlineStr"/>
      <c r="U858" s="5" t="inlineStr">
        <is>
          <t>gozluklu</t>
        </is>
      </c>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row>
    <row r="859">
      <c r="A859" s="5" t="inlineStr">
        <is>
          <t>b8-gozluk</t>
        </is>
      </c>
      <c r="B859" s="5" t="n">
        <v>2</v>
      </c>
      <c r="C859" s="6" t="inlineStr">
        <is>
          <t>Fotoğraf çek, büyüt</t>
        </is>
      </c>
      <c r="D859" s="5" t="inlineStr">
        <is>
          <t>Kurnazlık</t>
        </is>
      </c>
      <c r="E859" s="5" t="inlineStr">
        <is>
          <t>Kolay</t>
        </is>
      </c>
      <c r="F859" s="5" t="inlineStr"/>
      <c r="G859" s="6" t="inlineStr"/>
      <c r="H859" s="6" t="inlineStr">
        <is>
          <t>Fotoğrafı çektin, büyüttün, okudun. Teknoloji kolunu uzattı.</t>
        </is>
      </c>
      <c r="I859" s="6" t="inlineStr">
        <is>
          <t>Fotoğrafı öyle hızlı büyüttün ki raf önündeki teyzeler de telefonlarını sana uzattı: “Bizimkini de okur musun evladım?” Kasiyer artık sana “Gözlükçü” diyor.</t>
        </is>
      </c>
      <c r="J859" s="6" t="inlineStr">
        <is>
          <t>Flaş patladı. Etiket parlak beyaz bir leke olarak kaydedildi.</t>
        </is>
      </c>
      <c r="K859" s="6" t="inlineStr">
        <is>
          <t>Büyütürken fotoğrafı aile grubuna gönderdin. Başlık: 'Bu ne?' Tartışma üçüncü gününde.</t>
        </is>
      </c>
      <c r="L859" s="6" t="inlineStr"/>
      <c r="M859" s="5" t="inlineStr"/>
      <c r="N859" s="5" t="inlineStr"/>
      <c r="O859" s="6" t="inlineStr"/>
      <c r="P859" s="6" t="inlineStr"/>
      <c r="Q859" s="5" t="inlineStr"/>
      <c r="R859" s="5" t="inlineStr"/>
      <c r="S859" s="5" t="inlineStr"/>
      <c r="T859" s="5" t="inlineStr"/>
      <c r="U859" s="5" t="inlineStr"/>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row>
    <row r="860">
      <c r="A860" s="5" t="inlineStr">
        <is>
          <t>b8-gozluk</t>
        </is>
      </c>
      <c r="B860" s="5" t="n">
        <v>3</v>
      </c>
      <c r="C860" s="6" t="inlineStr">
        <is>
          <t>Gözlüğü imaj yap</t>
        </is>
      </c>
      <c r="D860" s="5" t="inlineStr">
        <is>
          <t>Pişkinlik</t>
        </is>
      </c>
      <c r="E860" s="5" t="inlineStr">
        <is>
          <t>Zor</t>
        </is>
      </c>
      <c r="F860" s="5" t="inlineStr"/>
      <c r="G860" s="6" t="inlineStr"/>
      <c r="H860" s="6" t="inlineStr">
        <is>
          <t>Gözlüğü burnunun ucuna indirip üstünden baktın. Pazarcı fiyatı kendiliğinden beş lira indirdi.</t>
        </is>
      </c>
      <c r="I860" s="6" t="inlineStr">
        <is>
          <t>Gözlüğün üstünden bakışın o kadar etkili ki kasadaki genç para üstünü iki kez saydı, sonra özür diledi. Sebebini hâlâ bilmiyor.</t>
        </is>
      </c>
      <c r="J860" s="6" t="inlineStr">
        <is>
          <t>Gözlüğü burnunun ucuna indirdin; kaydı, çorbaya düştü.</t>
        </is>
      </c>
      <c r="K860" s="6" t="inlineStr">
        <is>
          <t>Gözlüğü başının üstüne taktın, yarım saat evi altüst ettin. Alt kattaki komşu kapıya çıktı, yüzüne baktı: “Kafanda, kafanda!” Bütün apartman öğrendi.</t>
        </is>
      </c>
      <c r="L860" s="6" t="inlineStr"/>
      <c r="M860" s="5" t="inlineStr"/>
      <c r="N860" s="5" t="inlineStr"/>
      <c r="O860" s="6" t="inlineStr"/>
      <c r="P860" s="6" t="inlineStr"/>
      <c r="Q860" s="5" t="inlineStr"/>
      <c r="R860" s="5" t="inlineStr"/>
      <c r="S860" s="5" t="inlineStr">
        <is>
          <t>Pişkinlik</t>
        </is>
      </c>
      <c r="T860" s="5" t="inlineStr">
        <is>
          <t>Okuma Gözlüğü Otoritesi</t>
        </is>
      </c>
      <c r="U860" s="5" t="inlineStr"/>
      <c r="V860" s="5" t="inlineStr">
        <is>
          <t>gozluklu</t>
        </is>
      </c>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row>
    <row r="861">
      <c r="A861" s="5" t="inlineStr">
        <is>
          <t>b8-gozluk</t>
        </is>
      </c>
      <c r="B861" s="5" t="n">
        <v>4</v>
      </c>
      <c r="C861" s="6" t="inlineStr">
        <is>
          <t>Görmezden gel, tahminle oku</t>
        </is>
      </c>
      <c r="D861" s="5" t="inlineStr">
        <is>
          <t>Dayanıklılık</t>
        </is>
      </c>
      <c r="E861" s="5" t="inlineStr">
        <is>
          <t>Zor</t>
        </is>
      </c>
      <c r="F861" s="5" t="inlineStr"/>
      <c r="G861" s="6" t="inlineStr"/>
      <c r="H861" s="6" t="inlineStr">
        <is>
          <t>Etiketi tahminle okudun. Doğru ürünü aldın, iki kez üst üste.</t>
        </is>
      </c>
      <c r="I861" s="6" t="inlineStr">
        <is>
          <t>Görmeden okudun; üstelik son kullanma tarihini de yakaladın. Gözler direnişte.</t>
        </is>
      </c>
      <c r="J861" s="6" t="inlineStr">
        <is>
          <t>Tahminle aldın; eve şekersiz yerine duble şekerli geldi.</t>
        </is>
      </c>
      <c r="K861" s="6" t="inlineStr">
        <is>
          <t>Tahminle aldın. Eve kedi maması geldi. Kedin yok.</t>
        </is>
      </c>
      <c r="L861" s="6" t="inlineStr"/>
      <c r="M861" s="5" t="inlineStr"/>
      <c r="N861" s="5" t="inlineStr"/>
      <c r="O861" s="6" t="inlineStr"/>
      <c r="P861" s="6" t="inlineStr"/>
      <c r="Q861" s="5" t="inlineStr"/>
      <c r="R861" s="5" t="inlineStr"/>
      <c r="S861" s="5" t="inlineStr"/>
      <c r="T861" s="5" t="inlineStr"/>
      <c r="U861" s="5" t="inlineStr"/>
      <c r="V861" s="5" t="inlineStr"/>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row>
    <row r="862">
      <c r="A862" s="5" t="inlineStr">
        <is>
          <t>b8-bayram-sofrasi</t>
        </is>
      </c>
      <c r="B862" s="5" t="n">
        <v>1</v>
      </c>
      <c r="C862" s="6" t="inlineStr">
        <is>
          <t>Sarmaya odaklan</t>
        </is>
      </c>
      <c r="D862" s="5" t="inlineStr"/>
      <c r="E862" s="5" t="inlineStr"/>
      <c r="F862" s="5" t="inlineStr">
        <is>
          <t>Dayanıklılık +1, İtibar +1</t>
        </is>
      </c>
      <c r="G862" s="6" t="inlineStr">
        <is>
          <t>Tartışma boyunca yedi sarma yedin. Miras paylaşılmadı; sarmalar paylaşıldı.</t>
        </is>
      </c>
      <c r="H862" s="6" t="inlineStr"/>
      <c r="I862" s="6" t="inlineStr"/>
      <c r="J862" s="6" t="inlineStr"/>
      <c r="K862" s="6" t="inlineStr"/>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row>
    <row r="863">
      <c r="A863" s="5" t="inlineStr">
        <is>
          <t>b8-bayram-sofrasi</t>
        </is>
      </c>
      <c r="B863" s="5" t="n">
        <v>2</v>
      </c>
      <c r="C863" s="6" t="inlineStr">
        <is>
          <t>Miras sorusuna soğukkanlı kal</t>
        </is>
      </c>
      <c r="D863" s="5" t="inlineStr">
        <is>
          <t>Pişkinlik</t>
        </is>
      </c>
      <c r="E863" s="5" t="inlineStr">
        <is>
          <t>Orta</t>
        </is>
      </c>
      <c r="F863" s="5" t="inlineStr"/>
      <c r="G863" s="6" t="inlineStr"/>
      <c r="H863" s="6" t="inlineStr">
        <is>
          <t>Hiçbir soruya net cevap vermedin. Konu gelecek bayrama ertelendi.</t>
        </is>
      </c>
      <c r="I863" s="6" t="inlineStr">
        <is>
          <t>Öyle soğukkanlıydın ki amca payından vazgeçip sana çay koydu.</t>
        </is>
      </c>
      <c r="J863" s="6" t="inlineStr">
        <is>
          <t>'Tapu kimde' sorusunda yutkundun. Artık herkes bir şey bildiğini düşünüyor.</t>
        </is>
      </c>
      <c r="K863" s="6" t="inlineStr">
        <is>
          <t>Tatlı gelmeden sofrada iki cephe oluştu. Gelecek bayram iki ayrı salonda kutlanacak.</t>
        </is>
      </c>
      <c r="L863" s="6" t="inlineStr">
        <is>
          <t>Bir kez göz kırptın. Tarla bölündü; sulama hakkı tartışmaya açık.</t>
        </is>
      </c>
      <c r="M863" s="5" t="inlineStr">
        <is>
          <t>poker</t>
        </is>
      </c>
      <c r="N863" s="5" t="inlineStr">
        <is>
          <t>Miras Sorusu</t>
        </is>
      </c>
      <c r="O863" s="6" t="inlineStr">
        <is>
          <t>Sorular üstüne gelirken parmağını dairede tut. Yüz ifaden kayıt altında.</t>
        </is>
      </c>
      <c r="P863" s="6" t="inlineStr">
        <is>
          <t>{"questions": ["Tarlaya kim bakacak?", "Sen zaten şehirdesin, değil mi?", "Tapu kimde?", "Bu sofrayı kim kurdu?", "Baban tam olarak ne demişti?"]}</t>
        </is>
      </c>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row>
    <row r="864">
      <c r="A864" s="5" t="inlineStr">
        <is>
          <t>b8-bayram-sofrasi</t>
        </is>
      </c>
      <c r="B864" s="5" t="n">
        <v>3</v>
      </c>
      <c r="C864" s="6" t="inlineStr">
        <is>
          <t>Kuzenin arabasını sor</t>
        </is>
      </c>
      <c r="D864" s="5" t="inlineStr">
        <is>
          <t>Çene</t>
        </is>
      </c>
      <c r="E864" s="5" t="inlineStr">
        <is>
          <t>Orta</t>
        </is>
      </c>
      <c r="F864" s="5" t="inlineStr"/>
      <c r="G864" s="6" t="inlineStr"/>
      <c r="H864" s="6" t="inlineStr">
        <is>
          <t>'Yakıtı nasıl?' diye sordun. Kuzen yirmi dakika savunma yaptı; miras unutuldu.</t>
        </is>
      </c>
      <c r="I864" s="6" t="inlineStr">
        <is>
          <t>Arabanın ikinci el değerini masada hesapladın. Amca bile hesap makinesi istedi; tarla kimsenin aklında değil.</t>
        </is>
      </c>
      <c r="J864" s="6" t="inlineStr">
        <is>
          <t>Kuzen senin arabanın yaşını sordu. Cevap sofrada asılı kaldı.</t>
        </is>
      </c>
      <c r="K864" s="6" t="inlineStr">
        <is>
          <t>Kuzen anahtarını masaya koydu. Sen de seninkini koydun; anahtarlık bantla tutturulmuştu. Amca tarlayı bırakıp sana döndü: “Sana da bir pay ayıralım mı?”</t>
        </is>
      </c>
      <c r="L864" s="6" t="inlineStr"/>
      <c r="M864" s="5" t="inlineStr"/>
      <c r="N864" s="5" t="inlineStr"/>
      <c r="O864" s="6" t="inlineStr"/>
      <c r="P864" s="6" t="inlineStr"/>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row>
    <row r="865">
      <c r="A865" s="5" t="inlineStr">
        <is>
          <t>b8-bayram-sofrasi</t>
        </is>
      </c>
      <c r="B865" s="5" t="n">
        <v>4</v>
      </c>
      <c r="C865" s="6" t="inlineStr">
        <is>
          <t>Konuyu çocukların okuluna çevir</t>
        </is>
      </c>
      <c r="D865" s="5" t="inlineStr">
        <is>
          <t>Sosyal Radar</t>
        </is>
      </c>
      <c r="E865" s="5" t="inlineStr">
        <is>
          <t>Kolay</t>
        </is>
      </c>
      <c r="F865" s="5" t="inlineStr"/>
      <c r="G865" s="6" t="inlineStr"/>
      <c r="H865" s="6" t="inlineStr">
        <is>
          <t>Sofra bir anda “Kimin çocuğu nereyi kazandı” yarışmasına döndü. Amca torununu anlatırken gözleri doldu; tarla unutuldu.</t>
        </is>
      </c>
      <c r="I865" s="6" t="inlineStr">
        <is>
          <t>Konuyu öyle çevirdin ki halan torununun karnesini çantasından çıkardı. Amca gözlüğünü taktı, karneyi satır satır okudu. Tarla sarmayla birlikte soğudu.</t>
        </is>
      </c>
      <c r="J865" s="6" t="inlineStr">
        <is>
          <t>Konu değişti, ama kuzenin karneyi okumaya başlayınca amca sözünü kesti: “Karne bekler, tarla beklemez.”</t>
        </is>
      </c>
      <c r="K865" s="6" t="inlineStr">
        <is>
          <t>Konuyu çevirdin; iki kuzen karnelerini karşılaştırmaya başladı. Tarla meselesi yanında masum kaldı.</t>
        </is>
      </c>
      <c r="L865" s="6" t="inlineStr"/>
      <c r="M865" s="5" t="inlineStr"/>
      <c r="N865" s="5" t="inlineStr"/>
      <c r="O865" s="6" t="inlineStr"/>
      <c r="P865" s="6" t="inlineStr"/>
      <c r="Q865" s="5" t="inlineStr">
        <is>
          <t>Odayı Okur</t>
        </is>
      </c>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row>
    <row r="866">
      <c r="A866" s="5" t="inlineStr">
        <is>
          <t>b8-hastane-otoparki</t>
        </is>
      </c>
      <c r="B866" s="5" t="n">
        <v>1</v>
      </c>
      <c r="C866" s="6" t="inlineStr">
        <is>
          <t>Uzağa park et, kol kola yürü</t>
        </is>
      </c>
      <c r="D866" s="5" t="inlineStr"/>
      <c r="E866" s="5" t="inlineStr"/>
      <c r="F866" s="5" t="inlineStr">
        <is>
          <t>Dayanıklılık +1, Gönül +1</t>
        </is>
      </c>
      <c r="G866" s="6" t="inlineStr">
        <is>
          <t>Annenle kol kola yürüdünüz. Randevuya yetiştiniz; yolda üç komşunun hâlini de öğrendiniz.</t>
        </is>
      </c>
      <c r="H866" s="6" t="inlineStr"/>
      <c r="I866" s="6" t="inlineStr"/>
      <c r="J866" s="6" t="inlineStr"/>
      <c r="K866" s="6" t="inlineStr"/>
      <c r="L866" s="6" t="inlineStr"/>
      <c r="M866" s="5" t="inlineStr"/>
      <c r="N866" s="5" t="inlineStr"/>
      <c r="O866" s="6" t="inlineStr"/>
      <c r="P866" s="6" t="inlineStr"/>
      <c r="Q866" s="5" t="inlineStr"/>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row>
    <row r="867">
      <c r="A867" s="5" t="inlineStr">
        <is>
          <t>b8-hastane-otoparki</t>
        </is>
      </c>
      <c r="B867" s="5" t="n">
        <v>2</v>
      </c>
      <c r="C867" s="6" t="inlineStr">
        <is>
          <t>Görevliyle konuş</t>
        </is>
      </c>
      <c r="D867" s="5" t="inlineStr">
        <is>
          <t>Çene</t>
        </is>
      </c>
      <c r="E867" s="5" t="inlineStr">
        <is>
          <t>Orta</t>
        </is>
      </c>
      <c r="F867" s="5" t="inlineStr"/>
      <c r="G867" s="6" t="inlineStr"/>
      <c r="H867" s="6" t="inlineStr">
        <is>
          <t>Görevli bir koni çekti, yer açtı. “Teyzemizi yürütmeyelim” deyip annenin koluna girdi.</t>
        </is>
      </c>
      <c r="I867" s="6" t="inlineStr">
        <is>
          <t>Görevli arabanı kendisi park etti, anneni kapıya kadar götürdü. Rehberde adı artık 'Kahraman'.</t>
        </is>
      </c>
      <c r="J867" s="6" t="inlineStr">
        <is>
          <t>Görevli sıraya girmeni söyledi. Sıra otoparkın dışına kadar uzanıyordu.</t>
        </is>
      </c>
      <c r="K867" s="6" t="inlineStr">
        <is>
          <t>Görevliyle konuşurken arkadaki araç boş yere girdi. Görevli ona el salladı.</t>
        </is>
      </c>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row>
    <row r="868">
      <c r="A868" s="5" t="inlineStr">
        <is>
          <t>b8-hastane-otoparki</t>
        </is>
      </c>
      <c r="B868" s="5" t="n">
        <v>3</v>
      </c>
      <c r="C868" s="6" t="inlineStr">
        <is>
          <t>Başhekimin yerine park et</t>
        </is>
      </c>
      <c r="D868" s="5" t="inlineStr">
        <is>
          <t>Kurnazlık</t>
        </is>
      </c>
      <c r="E868" s="5" t="inlineStr">
        <is>
          <t>Orta</t>
        </is>
      </c>
      <c r="F868" s="5" t="inlineStr"/>
      <c r="G868" s="6" t="inlineStr"/>
      <c r="H868" s="6" t="inlineStr">
        <is>
          <t>Park ettin, kimse bir şey demedi. Sileceğe not bırakılmış: 'Geçmiş olsun.'</t>
        </is>
      </c>
      <c r="I868" s="6" t="inlineStr">
        <is>
          <t>Çıkışta başhekim 'Randevunuz nasıl geçti?' diye sordu. Birbirinizi tanıdığınızı sanıyor.</t>
        </is>
      </c>
      <c r="J868" s="6" t="inlineStr">
        <is>
          <t>Araç çekildi. Randevu yetişti, araç yetişmedi.</t>
        </is>
      </c>
      <c r="K868" s="6" t="inlineStr">
        <is>
          <t>Başhekim erken geldi; araban çekildi. Muayene odasında seni tanıdı, annene döndü: “Çocuğunuz biraz aceleci galiba.” Annen başını salladı, uzun uzun.</t>
        </is>
      </c>
      <c r="L868" s="6" t="inlineStr"/>
      <c r="M868" s="5" t="inlineStr"/>
      <c r="N868" s="5" t="inlineStr"/>
      <c r="O868" s="6" t="inlineStr"/>
      <c r="P868" s="6" t="inlineStr"/>
      <c r="Q868" s="5" t="inlineStr"/>
      <c r="R868" s="5" t="inlineStr"/>
      <c r="S868" s="5" t="inlineStr">
        <is>
          <t>Kurnazlık</t>
        </is>
      </c>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row>
    <row r="869">
      <c r="A869" s="5" t="inlineStr">
        <is>
          <t>b8-bekar-orta-yas</t>
        </is>
      </c>
      <c r="B869" s="5" t="n">
        <v>1</v>
      </c>
      <c r="C869" s="6" t="inlineStr">
        <is>
          <t>Özgürlüğün tadını çıkar</t>
        </is>
      </c>
      <c r="D869" s="5" t="inlineStr"/>
      <c r="E869" s="5" t="inlineStr"/>
      <c r="F869" s="5" t="inlineStr">
        <is>
          <t>Pişkinlik +1, Dayanıklılık +1</t>
        </is>
      </c>
      <c r="G869" s="6" t="inlineStr">
        <is>
          <t>Pazar kahvaltısını öğleden sonra üçte yaptın. Annen aradı: “Bu saatte kahvaltı mı olur?” Olur.</t>
        </is>
      </c>
      <c r="H869" s="6" t="inlineStr"/>
      <c r="I869" s="6" t="inlineStr"/>
      <c r="J869" s="6" t="inlineStr"/>
      <c r="K869" s="6" t="inlineStr"/>
      <c r="L869" s="6" t="inlineStr"/>
      <c r="M869" s="5" t="inlineStr"/>
      <c r="N869" s="5" t="inlineStr"/>
      <c r="O869" s="6" t="inlineStr"/>
      <c r="P869" s="6" t="inlineStr"/>
      <c r="Q869" s="5" t="inlineStr"/>
      <c r="R869" s="5" t="inlineStr"/>
      <c r="S869" s="5" t="inlineStr"/>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row>
    <row r="870">
      <c r="A870" s="5" t="inlineStr">
        <is>
          <t>b8-bekar-orta-yas</t>
        </is>
      </c>
      <c r="B870" s="5" t="n">
        <v>2</v>
      </c>
      <c r="C870" s="6" t="inlineStr">
        <is>
          <t>Tanışma uygulamasına üye ol</t>
        </is>
      </c>
      <c r="D870" s="5" t="inlineStr">
        <is>
          <t>Cesaret</t>
        </is>
      </c>
      <c r="E870" s="5" t="inlineStr">
        <is>
          <t>Orta</t>
        </is>
      </c>
      <c r="F870" s="5" t="inlineStr"/>
      <c r="G870" s="6" t="inlineStr"/>
      <c r="H870" s="6" t="inlineStr">
        <is>
          <t>Bir kişiyle kahve içtin. İkiniz de profil fotoğrafınızdan on yaş büyük çıktınız. Bu ortak nokta iki saat konuşturdu.</t>
        </is>
      </c>
      <c r="I870" s="6" t="inlineStr">
        <is>
          <t>İlk eşleşmen ilkokul sıra arkadaşın çıktı. Kahve iki saat sürdü, hafıza tazelendi.</t>
        </is>
      </c>
      <c r="J870" s="6" t="inlineStr">
        <is>
          <t>Profil fotoğrafı seçmek üç hafta sürdü. Profil hâlâ 'eksik'.</t>
        </is>
      </c>
      <c r="K870" s="6" t="inlineStr">
        <is>
          <t>Uygulama seni kuzeninle eşleştirdi. Teyzen ekran görüntüsünü aile grubuna attı, altına yazdı: “Bari dışarıdan biri olsun.”</t>
        </is>
      </c>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row>
    <row r="871">
      <c r="A871" s="5" t="inlineStr">
        <is>
          <t>b8-bekar-orta-yas</t>
        </is>
      </c>
      <c r="B871" s="5" t="n">
        <v>3</v>
      </c>
      <c r="C871" s="6" t="inlineStr">
        <is>
          <t>Bir kedi sahiplen</t>
        </is>
      </c>
      <c r="D871" s="5" t="inlineStr">
        <is>
          <t>Gönül</t>
        </is>
      </c>
      <c r="E871" s="5" t="inlineStr">
        <is>
          <t>Kolay</t>
        </is>
      </c>
      <c r="F871" s="5" t="inlineStr"/>
      <c r="G871" s="6" t="inlineStr"/>
      <c r="H871" s="6" t="inlineStr">
        <is>
          <t>Artık eve gelince biri seni bekliyor. Mama saati olduğu için, ama olsun.</t>
        </is>
      </c>
      <c r="I871" s="6" t="inlineStr">
        <is>
          <t>Kedi seni seçti ve kucağında uyudu. Akrabaların bakışı artık kediye yöneliyor.</t>
        </is>
      </c>
      <c r="J871" s="6" t="inlineStr">
        <is>
          <t>Kediyi sahiplendin; kedi seni sahiplenmedi. Akşam eve gelince dönüp bakmıyor bile. Akrabalarına çekmiş.</t>
        </is>
      </c>
      <c r="K871" s="6" t="inlineStr">
        <is>
          <t>Kedi koltuğu, kumandayı ve yatağı ele geçirdi. Krallık devrildi.</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row>
    <row r="872">
      <c r="A872" s="5" t="inlineStr">
        <is>
          <t>b8-bekar-orta-yas</t>
        </is>
      </c>
      <c r="B872" s="5" t="n">
        <v>4</v>
      </c>
      <c r="C872" s="6" t="inlineStr">
        <is>
          <t>Çocukluğundaki kediyi hatırla</t>
        </is>
      </c>
      <c r="D872" s="5" t="inlineStr"/>
      <c r="E872" s="5" t="inlineStr"/>
      <c r="F872" s="5" t="inlineStr">
        <is>
          <t>Gönül +1</t>
        </is>
      </c>
      <c r="G872" s="6" t="inlineStr">
        <is>
          <t>Çocukken oylamayla eve gelen kediyi hatırladın. Barınaktan ona benzeyen bir kedi aldın. Bu sefer oylama gerekmedi.</t>
        </is>
      </c>
      <c r="H872" s="6" t="inlineStr"/>
      <c r="I872" s="6" t="inlineStr"/>
      <c r="J872" s="6" t="inlineStr"/>
      <c r="K872" s="6" t="inlineStr"/>
      <c r="L872" s="6" t="inlineStr"/>
      <c r="M872" s="5" t="inlineStr"/>
      <c r="N872" s="5" t="inlineStr"/>
      <c r="O872" s="6" t="inlineStr"/>
      <c r="P872" s="6" t="inlineStr"/>
      <c r="Q872" s="5" t="inlineStr"/>
      <c r="R872" s="5" t="inlineStr">
        <is>
          <t>kediGeldi</t>
        </is>
      </c>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row>
    <row r="873">
      <c r="A873" s="5" t="inlineStr">
        <is>
          <t>b8-bekar-orta-yas</t>
        </is>
      </c>
      <c r="B873" s="5" t="n">
        <v>5</v>
      </c>
      <c r="C873" s="6" t="inlineStr">
        <is>
          <t>Teyzenin ayarladığı kahveye git</t>
        </is>
      </c>
      <c r="D873" s="5" t="inlineStr">
        <is>
          <t>Sosyal Radar</t>
        </is>
      </c>
      <c r="E873" s="5" t="inlineStr">
        <is>
          <t>Orta</t>
        </is>
      </c>
      <c r="F873" s="5" t="inlineStr"/>
      <c r="G873" s="6" t="inlineStr"/>
      <c r="H873" s="6" t="inlineStr">
        <is>
          <t>Kahveye gittin. İki saat teyzenin ne kadar ısrarcı olduğunu konuştunuz. Ortak noktanızı buldunuz: teyze.</t>
        </is>
      </c>
      <c r="I873" s="6" t="inlineStr">
        <is>
          <t>Teyzen “Sadece bir kahve” demişti. Kahve akşam yemeğine, yemek ikinci buluşmaya döndü. Teyzen o gece aile grubuna bir yüzük attı; erkendi ama kimse silmedi.</t>
        </is>
      </c>
      <c r="J873" s="6" t="inlineStr">
        <is>
          <t>Karşındaki kibardı, sen kibardın, kahve soğudu. Teyzen ertesi gün aradı: “E, ne diyorsun?” Diyecek bir şey yoktu.</t>
        </is>
      </c>
      <c r="K873" s="6" t="inlineStr">
        <is>
          <t>Kahveye vardın; karşında yıllar önce mesajına hiç cevap vermediğin kişi oturuyordu. Kahve on dakika sürdü, teyzenin küslüğü bir yıl.</t>
        </is>
      </c>
      <c r="L873" s="6" t="inlineStr"/>
      <c r="M873" s="5" t="inlineStr"/>
      <c r="N873" s="5" t="inlineStr"/>
      <c r="O873" s="6" t="inlineStr"/>
      <c r="P873" s="6" t="inlineStr"/>
      <c r="Q873" s="5" t="inlineStr"/>
      <c r="R873" s="5" t="inlineStr"/>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row>
    <row r="874">
      <c r="A874" s="5" t="inlineStr">
        <is>
          <t>ms-fon-basvurusu</t>
        </is>
      </c>
      <c r="B874" s="5" t="n">
        <v>1</v>
      </c>
      <c r="C874" s="6" t="inlineStr">
        <is>
          <t>Formu dürüstçe doldur</t>
        </is>
      </c>
      <c r="D874" s="5" t="inlineStr">
        <is>
          <t>Akıl</t>
        </is>
      </c>
      <c r="E874" s="5" t="inlineStr">
        <is>
          <t>Orta</t>
        </is>
      </c>
      <c r="F874" s="5" t="inlineStr"/>
      <c r="G874" s="6" t="inlineStr"/>
      <c r="H874" s="6" t="inlineStr">
        <is>
          <t>Fonu aldın. Tutar, formu doldurmak için harcadığın saatlerin karşılığı kadardı. Tam kadar.</t>
        </is>
      </c>
      <c r="I874" s="6" t="inlineStr">
        <is>
          <t>Komite başvurunu 'yılın en özgün projesi' seçti. Tutar ikiye, harcama raporu dörde katlandı.</t>
        </is>
      </c>
      <c r="J874" s="6" t="inlineStr">
        <is>
          <t>Başvurun 'eksik belge' gerekçesiyle reddedildi. Eksik belge: belge listesi.</t>
        </is>
      </c>
      <c r="K874" s="6" t="inlineStr">
        <is>
          <t>Başvuruyu gece 23.59'da yükledin. Sistem 23.58'de kapanmış. Saatler farklıymış.</t>
        </is>
      </c>
      <c r="L874" s="6" t="inlineStr"/>
      <c r="M874" s="5" t="inlineStr"/>
      <c r="N874" s="5" t="inlineStr"/>
      <c r="O874" s="6" t="inlineStr"/>
      <c r="P874" s="6" t="inlineStr"/>
      <c r="Q874" s="5" t="inlineStr"/>
      <c r="R874" s="5" t="inlineStr"/>
      <c r="S874" s="5" t="inlineStr"/>
      <c r="T874" s="5" t="inlineStr"/>
      <c r="U874" s="5" t="inlineStr"/>
      <c r="V874" s="5" t="inlineStr">
        <is>
          <t>serbest-fon-aldi</t>
        </is>
      </c>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row>
    <row r="875">
      <c r="A875" s="5" t="inlineStr">
        <is>
          <t>ms-fon-basvurusu</t>
        </is>
      </c>
      <c r="B875" s="5" t="n">
        <v>2</v>
      </c>
      <c r="C875" s="6" t="inlineStr">
        <is>
          <t>Proje adına 'hafıza' kelimesini ekle</t>
        </is>
      </c>
      <c r="D875" s="5" t="inlineStr">
        <is>
          <t>Kurnazlık</t>
        </is>
      </c>
      <c r="E875" s="5" t="inlineStr">
        <is>
          <t>Kolay</t>
        </is>
      </c>
      <c r="F875" s="5" t="inlineStr"/>
      <c r="G875" s="6" t="inlineStr"/>
      <c r="H875" s="6" t="inlineStr">
        <is>
          <t>'Hafızanın Kırılgan Mekânları' adıyla başvurdun. Fon onaylandı. Proje aynı proje.</t>
        </is>
      </c>
      <c r="I875" s="6" t="inlineStr">
        <is>
          <t>Başlığa “hafıza”, özete on bir kez “sürdürülebilirlik” yazdın. Komite oy birliğiyle fon verdi; projenin ne olduğunu kimse sormadı. Sen de söylemedin.</t>
        </is>
      </c>
      <c r="J875" s="6" t="inlineStr">
        <is>
          <t>Bu yıl herkes 'hafıza' yazmış. Komite bu yıl 'dönüşüm' arıyormuş.</t>
        </is>
      </c>
      <c r="K875" s="6" t="inlineStr">
        <is>
          <t>Başvurunun adı o kadar soyut oldu ki kendi projeni kendin tanıyamadın. Komite de.</t>
        </is>
      </c>
      <c r="L875" s="6" t="inlineStr"/>
      <c r="M875" s="5" t="inlineStr"/>
      <c r="N875" s="5" t="inlineStr"/>
      <c r="O875" s="6" t="inlineStr"/>
      <c r="P875" s="6" t="inlineStr"/>
      <c r="Q875" s="5" t="inlineStr"/>
      <c r="R875" s="5" t="inlineStr"/>
      <c r="S875" s="5" t="inlineStr">
        <is>
          <t>Kurnazlık</t>
        </is>
      </c>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row>
    <row r="876">
      <c r="A876" s="5" t="inlineStr">
        <is>
          <t>ms-fon-basvurusu</t>
        </is>
      </c>
      <c r="B876" s="5" t="n">
        <v>3</v>
      </c>
      <c r="C876" s="6" t="inlineStr">
        <is>
          <t>Kolektif kur, birlikte başvur</t>
        </is>
      </c>
      <c r="D876" s="5" t="inlineStr">
        <is>
          <t>Sosyal Radar</t>
        </is>
      </c>
      <c r="E876" s="5" t="inlineStr">
        <is>
          <t>Orta</t>
        </is>
      </c>
      <c r="F876" s="5" t="inlineStr"/>
      <c r="G876" s="6" t="inlineStr"/>
      <c r="H876" s="6" t="inlineStr">
        <is>
          <t>Beş serbest çalışan bir araya geldiniz. Fon ikiye bölünse de ilk kez bir ekibin var.</t>
        </is>
      </c>
      <c r="I876" s="6" t="inlineStr">
        <is>
          <t>Kolektifin fonu aldı ve adı bir yıl boyunca her yerde anıldı. Toplantı tutanakları bile yayımlandı.</t>
        </is>
      </c>
      <c r="J876" s="6" t="inlineStr">
        <is>
          <t>Kolektif kuruldu; ilk toplantı adın ne olacağı üzerine sürdü. Başvuru süresi de o toplantıda bitti.</t>
        </is>
      </c>
      <c r="K876" s="6" t="inlineStr">
        <is>
          <t>Kolektif fonu aldı ve dağıldı. Harcama raporunu tek başına yazman gerekiyor.</t>
        </is>
      </c>
      <c r="L876" s="6" t="inlineStr"/>
      <c r="M876" s="5" t="inlineStr"/>
      <c r="N876" s="5" t="inlineStr"/>
      <c r="O876" s="6" t="inlineStr"/>
      <c r="P876" s="6" t="inlineStr"/>
      <c r="Q876" s="5" t="inlineStr">
        <is>
          <t>Kuralı Koyan</t>
        </is>
      </c>
      <c r="R876" s="5" t="inlineStr"/>
      <c r="S876" s="5" t="inlineStr"/>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row>
    <row r="877">
      <c r="A877" s="5" t="inlineStr">
        <is>
          <t>ms-fon-basvurusu</t>
        </is>
      </c>
      <c r="B877" s="5" t="n">
        <v>4</v>
      </c>
      <c r="C877" s="6" t="inlineStr">
        <is>
          <t>Fon danışmanı tut</t>
        </is>
      </c>
      <c r="D877" s="5" t="inlineStr"/>
      <c r="E877" s="5" t="inlineStr"/>
      <c r="F877" s="5" t="inlineStr">
        <is>
          <t>Pişkinlik +1</t>
        </is>
      </c>
      <c r="G877" s="6" t="inlineStr">
        <is>
          <t>Danışman fonu aldırdı; ücreti fonun yarısıydı. Kalan yarıyla danışmanın önerdiği projeyi yaptın.</t>
        </is>
      </c>
      <c r="H877" s="6" t="inlineStr"/>
      <c r="I877" s="6" t="inlineStr"/>
      <c r="J877" s="6" t="inlineStr"/>
      <c r="K877" s="6" t="inlineStr"/>
      <c r="L877" s="6" t="inlineStr"/>
      <c r="M877" s="5" t="inlineStr"/>
      <c r="N877" s="5" t="inlineStr"/>
      <c r="O877" s="6" t="inlineStr"/>
      <c r="P877" s="6" t="inlineStr"/>
      <c r="Q877" s="5" t="inlineStr"/>
      <c r="R877" s="5" t="inlineStr"/>
      <c r="S877" s="5" t="inlineStr"/>
      <c r="T877" s="5" t="inlineStr"/>
      <c r="U877" s="5" t="inlineStr">
        <is>
          <t>serbest-fon-aldi</t>
        </is>
      </c>
      <c r="V877" s="5" t="inlineStr"/>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row>
    <row r="878">
      <c r="A878" s="5" t="inlineStr">
        <is>
          <t>b8-doktor-stres</t>
        </is>
      </c>
      <c r="B878" s="5" t="n">
        <v>1</v>
      </c>
      <c r="C878" s="6" t="inlineStr">
        <is>
          <t>Tavsiyeyi not al</t>
        </is>
      </c>
      <c r="D878" s="5" t="inlineStr"/>
      <c r="E878" s="5" t="inlineStr"/>
      <c r="F878" s="5" t="inlineStr">
        <is>
          <t>İtibar +1</t>
        </is>
      </c>
      <c r="G878" s="6" t="inlineStr">
        <is>
          <t>Tavsiyeyi telefonuna not aldın. Not, yapılacaklar listesinin 47. sırasında.</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row>
    <row r="879">
      <c r="A879" s="5" t="inlineStr">
        <is>
          <t>b8-doktor-stres</t>
        </is>
      </c>
      <c r="B879" s="5" t="n">
        <v>2</v>
      </c>
      <c r="C879" s="6" t="inlineStr">
        <is>
          <t>Nasıl yapılacağını sor</t>
        </is>
      </c>
      <c r="D879" s="5" t="inlineStr">
        <is>
          <t>Çene</t>
        </is>
      </c>
      <c r="E879" s="5" t="inlineStr">
        <is>
          <t>Kolay</t>
        </is>
      </c>
      <c r="F879" s="5" t="inlineStr"/>
      <c r="G879" s="6" t="inlineStr"/>
      <c r="H879" s="6" t="inlineStr">
        <is>
          <t>Doktor 'Yürüyüş' dedi ve bir broşür verdi. Broşürü okumak da ayrıca stres.</t>
        </is>
      </c>
      <c r="I879" s="6" t="inlineStr">
        <is>
          <t>Doktor kalemini bıraktı, on dakika hayat felsefesi anlattı. Sıradaki hasta da dinledi; ona da iyi geldi.</t>
        </is>
      </c>
      <c r="J879" s="6" t="inlineStr">
        <is>
          <t>Doktor 'İşte, stres yapmayın' diye tekrarladı. Süreniz doldu.</t>
        </is>
      </c>
      <c r="K879" s="6" t="inlineStr">
        <is>
          <t>Sordun; doktor “Soru sormak da stres” deyip sıradakini çağırdı. Kapıdan çıkarken tansiyonun on yediydi.</t>
        </is>
      </c>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row>
    <row r="880">
      <c r="A880" s="5" t="inlineStr">
        <is>
          <t>b8-doktor-stres</t>
        </is>
      </c>
      <c r="B880" s="5" t="n">
        <v>3</v>
      </c>
      <c r="C880" s="6" t="inlineStr">
        <is>
          <t>Yarından itibaren yürü</t>
        </is>
      </c>
      <c r="D880" s="5" t="inlineStr">
        <is>
          <t>Dayanıklılık</t>
        </is>
      </c>
      <c r="E880" s="5" t="inlineStr">
        <is>
          <t>Orta</t>
        </is>
      </c>
      <c r="F880" s="5" t="inlineStr"/>
      <c r="G880" s="6" t="inlineStr"/>
      <c r="H880" s="6" t="inlineStr">
        <is>
          <t>Otuz gün aralıksız yürüdün. Adım sayar uygulaması seni tebrik etti; uzun zamandır ilk kez biri etti.</t>
        </is>
      </c>
      <c r="I880" s="6" t="inlineStr">
        <is>
          <t>Yürüyüş koşuya, koşu alışkanlığa döndü. Mahallenin köpekleri seni artık tanıyor.</t>
        </is>
      </c>
      <c r="J880" s="6" t="inlineStr">
        <is>
          <t>Üç gün yürüdün. Dördüncü gün yağmur yağdı. Yağmur hâlâ yağıyor.</t>
        </is>
      </c>
      <c r="K880" s="6" t="inlineStr">
        <is>
          <t>İlk gün yeni ayakkabıyla on kilometre yürüdün. İki hafta terlikle yaşadın.</t>
        </is>
      </c>
      <c r="L880" s="6" t="inlineStr"/>
      <c r="M880" s="5" t="inlineStr"/>
      <c r="N880" s="5" t="inlineStr"/>
      <c r="O880" s="6" t="inlineStr"/>
      <c r="P880" s="6" t="inlineStr"/>
      <c r="Q880" s="5" t="inlineStr"/>
      <c r="R880" s="5" t="inlineStr"/>
      <c r="S880" s="5" t="inlineStr">
        <is>
          <t>Dayanıklılık</t>
        </is>
      </c>
      <c r="T880" s="5" t="inlineStr"/>
      <c r="U880" s="5" t="inlineStr"/>
      <c r="V880" s="5" t="inlineStr">
        <is>
          <t>sporcu</t>
        </is>
      </c>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row>
    <row r="881">
      <c r="A881" s="5" t="inlineStr">
        <is>
          <t>b8-doktor-stres</t>
        </is>
      </c>
      <c r="B881" s="5" t="n">
        <v>4</v>
      </c>
      <c r="C881" s="6" t="inlineStr">
        <is>
          <t>İki hafta gerçekten tatile çık</t>
        </is>
      </c>
      <c r="D881" s="5" t="inlineStr"/>
      <c r="E881" s="5" t="inlineStr"/>
      <c r="F881" s="5" t="inlineStr">
        <is>
          <t>Dayanıklılık +1, Kurnazlık +1</t>
        </is>
      </c>
      <c r="G881" s="6" t="inlineStr">
        <is>
          <t>İki hafta tatile çıktın ve telefona bakmadın. Döndüğünde iş yerindeydi. Bu biraz can sıktı.</t>
        </is>
      </c>
      <c r="H881" s="6" t="inlineStr"/>
      <c r="I881" s="6" t="inlineStr"/>
      <c r="J881" s="6" t="inlineStr"/>
      <c r="K881" s="6" t="inlineStr"/>
      <c r="L881" s="6" t="inlineStr"/>
      <c r="M881" s="5" t="inlineStr"/>
      <c r="N881" s="5" t="inlineStr"/>
      <c r="O881" s="6" t="inlineStr"/>
      <c r="P881" s="6" t="inlineStr"/>
      <c r="Q881" s="5" t="inlineStr">
        <is>
          <t>Kuralı Koyan</t>
        </is>
      </c>
      <c r="R881" s="5" t="inlineStr"/>
      <c r="S881" s="5" t="inlineStr"/>
      <c r="T881" s="5" t="inlineStr"/>
      <c r="U881" s="5" t="inlineStr"/>
      <c r="V881" s="5" t="inlineStr"/>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row>
    <row r="882">
      <c r="A882" s="5" t="inlineStr">
        <is>
          <t>b8-cocuk-sinav</t>
        </is>
      </c>
      <c r="B882" s="5" t="n">
        <v>1</v>
      </c>
      <c r="C882" s="6" t="inlineStr">
        <is>
          <t>Kahvaltı hazırla, sus</t>
        </is>
      </c>
      <c r="D882" s="5" t="inlineStr"/>
      <c r="E882" s="5" t="inlineStr"/>
      <c r="F882" s="5" t="inlineStr">
        <is>
          <t>Dayanıklılık +1, Gönül +1</t>
        </is>
      </c>
      <c r="G882" s="6" t="inlineStr">
        <is>
          <t>Kahvaltıyı hazırladın, tek kelime nasihat etmedin. Çocuk kapıdan çıkarken “Sağ ol” dedi. Arkasından bir tas su döktün; kimse görmedi.</t>
        </is>
      </c>
      <c r="H882" s="6" t="inlineStr"/>
      <c r="I882" s="6" t="inlineStr"/>
      <c r="J882" s="6" t="inlineStr"/>
      <c r="K882" s="6" t="inlineStr"/>
      <c r="L882" s="6" t="inlineStr"/>
      <c r="M882" s="5" t="inlineStr"/>
      <c r="N882" s="5" t="inlineStr"/>
      <c r="O882" s="6" t="inlineStr"/>
      <c r="P882" s="6" t="inlineStr"/>
      <c r="Q882" s="5" t="inlineStr"/>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row>
    <row r="883">
      <c r="A883" s="5" t="inlineStr">
        <is>
          <t>b8-cocuk-sinav</t>
        </is>
      </c>
      <c r="B883" s="5" t="n">
        <v>2</v>
      </c>
      <c r="C883" s="6" t="inlineStr">
        <is>
          <t>Son dakika taktiği ver</t>
        </is>
      </c>
      <c r="D883" s="5" t="inlineStr">
        <is>
          <t>Akıl</t>
        </is>
      </c>
      <c r="E883" s="5" t="inlineStr">
        <is>
          <t>Orta</t>
        </is>
      </c>
      <c r="F883" s="5" t="inlineStr"/>
      <c r="G883" s="6" t="inlineStr"/>
      <c r="H883" s="6" t="inlineStr">
        <is>
          <t>“Önce bildiklerini yap” dedin. Akşam çocuk gururla anlattı: “Önce bildiklerimi yaptım.” Senin adını hiç anmadı.</t>
        </is>
      </c>
      <c r="I883" s="6" t="inlineStr">
        <is>
          <t>Çocuk sınav çıkışı 'Nereden biliyordun?' diye sordu. Cevap: tecrübe ve bir poğaça.</t>
        </is>
      </c>
      <c r="J883" s="6" t="inlineStr">
        <is>
          <t>“Öğretmenim tam tersini söyledi” dedi. Öğretmen kazandı, her zamanki gibi.</t>
        </is>
      </c>
      <c r="K883" s="6" t="inlineStr">
        <is>
          <t>Kendi sınavında yaptığın hatayı detaylıca anlattın. Çocuk bütün sınav boyunca o hatayı düşündü.</t>
        </is>
      </c>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row>
    <row r="884">
      <c r="A884" s="5" t="inlineStr">
        <is>
          <t>b8-cocuk-sinav</t>
        </is>
      </c>
      <c r="B884" s="5" t="n">
        <v>3</v>
      </c>
      <c r="C884" s="6" t="inlineStr">
        <is>
          <t>'Tek kapı bu değil' de</t>
        </is>
      </c>
      <c r="D884" s="5" t="inlineStr">
        <is>
          <t>İtibar</t>
        </is>
      </c>
      <c r="E884" s="5" t="inlineStr">
        <is>
          <t>Kolay</t>
        </is>
      </c>
      <c r="F884" s="5" t="inlineStr"/>
      <c r="G884" s="6" t="inlineStr"/>
      <c r="H884" s="6" t="inlineStr">
        <is>
          <t>Söyledin. Çocuk derin bir nefes aldı; sen de.</t>
        </is>
      </c>
      <c r="I884" s="6" t="inlineStr">
        <is>
          <t>Söyledin; çocuk sarıldı. Sonuç ne olursa olsun, bu sabah kazanıldı.</t>
        </is>
      </c>
      <c r="J884" s="6" t="inlineStr">
        <is>
          <t>Söyledin. Çocuk “Şimdi mi söylüyorsun?” dedi. Haklıydı; bunu bir yıl önce söyleyecektin.</t>
        </is>
      </c>
      <c r="K884" s="6" t="inlineStr">
        <is>
          <t>Çocuk bunu “Bana güvenmiyorsun” diye anladı, kapıyı çarpıp çıktı. Sınavdan çıkınca ilk teyzesini aradı; haberi sen teyzeden aldın.</t>
        </is>
      </c>
      <c r="L884" s="6" t="inlineStr"/>
      <c r="M884" s="5" t="inlineStr"/>
      <c r="N884" s="5" t="inlineStr"/>
      <c r="O884" s="6" t="inlineStr"/>
      <c r="P884" s="6" t="inlineStr"/>
      <c r="Q884" s="5" t="inlineStr"/>
      <c r="R884" s="5" t="inlineStr"/>
      <c r="S884" s="5" t="inlineStr">
        <is>
          <t>İtibar</t>
        </is>
      </c>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row>
    <row r="885">
      <c r="A885" s="5" t="inlineStr">
        <is>
          <t>b8-cocuk-sinav</t>
        </is>
      </c>
      <c r="B885" s="5" t="n">
        <v>4</v>
      </c>
      <c r="C885" s="6" t="inlineStr">
        <is>
          <t>Kendi uğurlu kalemini ver</t>
        </is>
      </c>
      <c r="D885" s="5" t="inlineStr"/>
      <c r="E885" s="5" t="inlineStr"/>
      <c r="F885" s="5" t="inlineStr">
        <is>
          <t>Gönül +1</t>
        </is>
      </c>
      <c r="G885" s="6" t="inlineStr">
        <is>
          <t>Kendi sınavına girdiğin kalemi çekmeceden çıkardın. Yazmıyordu. Çocuk yine de cebine koydu.</t>
        </is>
      </c>
      <c r="H885" s="6" t="inlineStr"/>
      <c r="I885" s="6" t="inlineStr"/>
      <c r="J885" s="6" t="inlineStr"/>
      <c r="K885" s="6" t="inlineStr"/>
      <c r="L885" s="6" t="inlineStr"/>
      <c r="M885" s="5" t="inlineStr"/>
      <c r="N885" s="5" t="inlineStr"/>
      <c r="O885" s="6" t="inlineStr"/>
      <c r="P885" s="6" t="inlineStr"/>
      <c r="Q885" s="5" t="inlineStr"/>
      <c r="R885" s="5" t="inlineStr">
        <is>
          <t>universiteli</t>
        </is>
      </c>
      <c r="S885" s="5" t="inlineStr"/>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row>
    <row r="886">
      <c r="A886" s="5" t="inlineStr">
        <is>
          <t>b8-cocuk-sinav</t>
        </is>
      </c>
      <c r="B886" s="5" t="n">
        <v>5</v>
      </c>
      <c r="C886" s="6" t="inlineStr">
        <is>
          <t>Sınav binasının önünde bekle</t>
        </is>
      </c>
      <c r="D886" s="5" t="inlineStr">
        <is>
          <t>Dayanıklılık</t>
        </is>
      </c>
      <c r="E886" s="5" t="inlineStr">
        <is>
          <t>Orta</t>
        </is>
      </c>
      <c r="F886" s="5" t="inlineStr"/>
      <c r="G886" s="6" t="inlineStr"/>
      <c r="H886" s="6" t="inlineStr">
        <is>
          <t>Üç saat güneşte, elinde su şişesiyle bekledin. Çocuk çıkınca “Kolaydı” dedi; sen ancak o zaman oturabildin.</t>
        </is>
      </c>
      <c r="I886" s="6" t="inlineStr">
        <is>
          <t>Üç saat kapının önünde bekledin, yirmi veliyle tanıştın, ikisine poğaça verdin. Çocuk çıkınca kalabalıkta ilk seni gördü ve sarıldı.</t>
        </is>
      </c>
      <c r="J886" s="6" t="inlineStr">
        <is>
          <t>Bekledin; çocuk arka kapıdan çıkıp arkadaşlarıyla gitti. Su şişesini sen içtin.</t>
        </is>
      </c>
      <c r="K886" s="6" t="inlineStr">
        <is>
          <t>Yanındaki veliyle soruları tartışmaya daldın. Çocuk çıktığında “Altıncı soru C miydi?” diye bağırıyordun; çocuk seni tanımıyormuş gibi yürüdü.</t>
        </is>
      </c>
      <c r="L886" s="6" t="inlineStr"/>
      <c r="M886" s="5" t="inlineStr"/>
      <c r="N886" s="5" t="inlineStr"/>
      <c r="O886" s="6" t="inlineStr"/>
      <c r="P886" s="6" t="inlineStr"/>
      <c r="Q886" s="5" t="inlineStr"/>
      <c r="R886" s="5" t="inlineStr"/>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row>
    <row r="887">
      <c r="A887" s="5" t="inlineStr">
        <is>
          <t>mb-kisa-gorusme</t>
        </is>
      </c>
      <c r="B887" s="5" t="n">
        <v>1</v>
      </c>
      <c r="C887" s="6" t="inlineStr">
        <is>
          <t>Yüzünü belli etme</t>
        </is>
      </c>
      <c r="D887" s="5" t="inlineStr">
        <is>
          <t>Dayanıklılık</t>
        </is>
      </c>
      <c r="E887" s="5" t="inlineStr">
        <is>
          <t>Zor</t>
        </is>
      </c>
      <c r="F887" s="5" t="inlineStr"/>
      <c r="G887" s="6" t="inlineStr"/>
      <c r="H887" s="6" t="inlineStr">
        <is>
          <t>Hiçbir şey belli etmedin. Görüşme 'devam' kararıyla bitti. Masan hâlâ senin.</t>
        </is>
      </c>
      <c r="I887" s="6" t="inlineStr">
        <is>
          <t>Öyle sakindin ki görüşmenin sonunda yöneticin kendi durumunu sana sordu.</t>
        </is>
      </c>
      <c r="J887" s="6" t="inlineStr">
        <is>
          <t>'Kartınızı getirdiniz mi?' sorusunda yüzün düştü. Penceresiz bir departmana 'yatay geçiş' yaptın.</t>
        </is>
      </c>
      <c r="K887" s="6" t="inlineStr">
        <is>
          <t>Görüşmede ağlayan sen değil, insan kaynaklarından gelen kişiydi. On dakika onu teselli ettin, peçete uzattın. Kalan beş dakikada sana yarım gün çalışmayı önerdi; duygulanmıştın, kabul ettin.</t>
        </is>
      </c>
      <c r="L887" s="6" t="inlineStr">
        <is>
          <t>Bir soruda gözün seğirdi. Kaldın ama masan pencere kenarından koridora taşındı.</t>
        </is>
      </c>
      <c r="M887" s="5" t="inlineStr">
        <is>
          <t>poker</t>
        </is>
      </c>
      <c r="N887" s="5" t="inlineStr">
        <is>
          <t>Kısa Görüşme</t>
        </is>
      </c>
      <c r="O887" s="6" t="inlineStr">
        <is>
          <t>Parmağını dairede tut. Sorular üstüne gelecek. Kıpırdama.</t>
        </is>
      </c>
      <c r="P887" s="6" t="inlineStr">
        <is>
          <t>{"questions": ["Şirkette kendini nasıl görüyorsun?", "Değişime açık mısın?", "Aile nasıl, iyi mi?", "Kartını yanına aldın mı?", "Şu formu bir okur musun?"]}</t>
        </is>
      </c>
      <c r="Q887" s="5" t="inlineStr"/>
      <c r="R887" s="5" t="inlineStr"/>
      <c r="S887" s="5" t="inlineStr"/>
      <c r="T887" s="5" t="inlineStr"/>
      <c r="U887" s="5" t="inlineStr"/>
      <c r="V887" s="5" t="inlineStr">
        <is>
          <t>beyazyaka-sag-kaldi</t>
        </is>
      </c>
      <c r="W887" s="5" t="inlineStr"/>
      <c r="X887" s="5" t="inlineStr"/>
      <c r="Y887" s="5" t="inlineStr"/>
      <c r="Z887" s="6" t="inlineStr"/>
      <c r="AA887" s="5" t="inlineStr"/>
      <c r="AB887" s="5" t="inlineStr"/>
      <c r="AC887" s="5" t="inlineStr"/>
      <c r="AD887" s="5" t="inlineStr"/>
      <c r="AE887" s="5" t="inlineStr"/>
      <c r="AF887" s="5" t="inlineStr"/>
      <c r="AG887" s="5" t="inlineStr"/>
      <c r="AH887" s="5" t="inlineStr"/>
      <c r="AI887" s="5" t="inlineStr"/>
    </row>
    <row r="888">
      <c r="A888" s="5" t="inlineStr">
        <is>
          <t>mb-kisa-gorusme</t>
        </is>
      </c>
      <c r="B888" s="5" t="n">
        <v>2</v>
      </c>
      <c r="C888" s="6" t="inlineStr">
        <is>
          <t>'Ekibimi ben korurum' de</t>
        </is>
      </c>
      <c r="D888" s="5" t="inlineStr">
        <is>
          <t>Cesaret</t>
        </is>
      </c>
      <c r="E888" s="5" t="inlineStr">
        <is>
          <t>Orta</t>
        </is>
      </c>
      <c r="F888" s="5" t="inlineStr"/>
      <c r="G888" s="6" t="inlineStr"/>
      <c r="H888" s="6" t="inlineStr">
        <is>
          <t>Ekibin kaldı, sen de kaldın. Bütçe üç kişilik, ekip altı kişi. Liderlik bu.</t>
        </is>
      </c>
      <c r="I888" s="6" t="inlineStr">
        <is>
          <t>Ekibini savundun, yönetim etkilendi, sana bir ekip daha verdi. Bütçesiz.</t>
        </is>
      </c>
      <c r="J888" s="6" t="inlineStr">
        <is>
          <t>Ekibin kaldı. Sen 'danışman' statüsüne alındın.</t>
        </is>
      </c>
      <c r="K888" s="6" t="inlineStr">
        <is>
          <t>Ekibini savunurken 'Beni de çıkarın o zaman' dedin. Not alındı.</t>
        </is>
      </c>
      <c r="L888" s="6" t="inlineStr"/>
      <c r="M888" s="5" t="inlineStr"/>
      <c r="N888" s="5" t="inlineStr"/>
      <c r="O888" s="6" t="inlineStr"/>
      <c r="P888" s="6" t="inlineStr"/>
      <c r="Q888" s="5" t="inlineStr"/>
      <c r="R888" s="5" t="inlineStr">
        <is>
          <t>beyazyaka-terfi-aldi</t>
        </is>
      </c>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row>
    <row r="889">
      <c r="A889" s="5" t="inlineStr">
        <is>
          <t>mb-kisa-gorusme</t>
        </is>
      </c>
      <c r="B889" s="5" t="n">
        <v>3</v>
      </c>
      <c r="C889" s="6" t="inlineStr">
        <is>
          <t>Sessizce dinle</t>
        </is>
      </c>
      <c r="D889" s="5" t="inlineStr"/>
      <c r="E889" s="5" t="inlineStr"/>
      <c r="F889" s="5" t="inlineStr">
        <is>
          <t>Dayanıklılık +1</t>
        </is>
      </c>
      <c r="G889" s="6" t="inlineStr">
        <is>
          <t>Dinledin. Görüşme on dört dakika sürdü. Bir dakikası 'Nasılsın?' için ayrılmıştı.</t>
        </is>
      </c>
      <c r="H889" s="6" t="inlineStr"/>
      <c r="I889" s="6" t="inlineStr"/>
      <c r="J889" s="6" t="inlineStr"/>
      <c r="K889" s="6" t="inlineStr"/>
      <c r="L889" s="6" t="inlineStr"/>
      <c r="M889" s="5" t="inlineStr"/>
      <c r="N889" s="5" t="inlineStr"/>
      <c r="O889" s="6" t="inlineStr"/>
      <c r="P889" s="6" t="inlineStr"/>
      <c r="Q889" s="5" t="inlineStr"/>
      <c r="R889" s="5" t="inlineStr"/>
      <c r="S889" s="5" t="inlineStr"/>
      <c r="T889" s="5" t="inlineStr"/>
      <c r="U889" s="5" t="inlineStr">
        <is>
          <t>beyazyaka-sag-kaldi</t>
        </is>
      </c>
      <c r="V889" s="5" t="inlineStr"/>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row>
    <row r="890">
      <c r="A890" s="5" t="inlineStr">
        <is>
          <t>me-internet-satis</t>
        </is>
      </c>
      <c r="B890" s="5" t="n">
        <v>1</v>
      </c>
      <c r="C890" s="6" t="inlineStr">
        <is>
          <t>Siteyi kendin kur</t>
        </is>
      </c>
      <c r="D890" s="5" t="inlineStr">
        <is>
          <t>Akıl</t>
        </is>
      </c>
      <c r="E890" s="5" t="inlineStr">
        <is>
          <t>Zor</t>
        </is>
      </c>
      <c r="F890" s="5" t="inlineStr"/>
      <c r="G890" s="6" t="inlineStr"/>
      <c r="H890" s="6" t="inlineStr">
        <is>
          <t>Siteyi kurdun. İlk sipariş komşudan geldi; kargoyla, karşı kapıdan.</t>
        </is>
      </c>
      <c r="I890" s="6" t="inlineStr">
        <is>
          <t>Başka şehirlerden sipariş gelmeye başladı. 'Kargoya verildi' mesajı yazarken artık gururlanıyorsun.</t>
        </is>
      </c>
      <c r="J890" s="6" t="inlineStr">
        <is>
          <t>Siteyi kurdun. Bütün ürün fotoğraflarında başparmağın var.</t>
        </is>
      </c>
      <c r="K890" s="6" t="inlineStr">
        <is>
          <t>Fiyatları sıfır girmişsin. Gece üç yüz sipariş geldi. Sabah kepengi açamadın; kapı kolilerle kapanmıştı.</t>
        </is>
      </c>
      <c r="L890" s="6" t="inlineStr"/>
      <c r="M890" s="5" t="inlineStr"/>
      <c r="N890" s="5" t="inlineStr"/>
      <c r="O890" s="6" t="inlineStr"/>
      <c r="P890" s="6" t="inlineStr"/>
      <c r="Q890" s="5" t="inlineStr"/>
      <c r="R890" s="5" t="inlineStr"/>
      <c r="S890" s="5" t="inlineStr"/>
      <c r="T890" s="5" t="inlineStr"/>
      <c r="U890" s="5" t="inlineStr"/>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row>
    <row r="891">
      <c r="A891" s="5" t="inlineStr">
        <is>
          <t>me-internet-satis</t>
        </is>
      </c>
      <c r="B891" s="5" t="n">
        <v>2</v>
      </c>
      <c r="C891" s="6" t="inlineStr">
        <is>
          <t>Çırağa emanet et</t>
        </is>
      </c>
      <c r="D891" s="5" t="inlineStr"/>
      <c r="E891" s="5" t="inlineStr"/>
      <c r="F891" s="5" t="inlineStr">
        <is>
          <t>Sosyal Radar +1, Akıl +1</t>
        </is>
      </c>
      <c r="G891" s="6" t="inlineStr">
        <is>
          <t>Çırak siteyi bir haftada kurdu. Sen 'Beğen' tuşuna basmayı öğrendin; o da yetti.</t>
        </is>
      </c>
      <c r="H891" s="6" t="inlineStr"/>
      <c r="I891" s="6" t="inlineStr"/>
      <c r="J891" s="6" t="inlineStr"/>
      <c r="K891" s="6" t="inlineStr"/>
      <c r="L891" s="6" t="inlineStr"/>
      <c r="M891" s="5" t="inlineStr"/>
      <c r="N891" s="5" t="inlineStr"/>
      <c r="O891" s="6" t="inlineStr"/>
      <c r="P891" s="6" t="inlineStr"/>
      <c r="Q891" s="5" t="inlineStr"/>
      <c r="R891" s="5" t="inlineStr">
        <is>
          <t>esnaf-cirak</t>
        </is>
      </c>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row>
    <row r="892">
      <c r="A892" s="5" t="inlineStr">
        <is>
          <t>me-internet-satis</t>
        </is>
      </c>
      <c r="B892" s="5" t="n">
        <v>3</v>
      </c>
      <c r="C892" s="6" t="inlineStr">
        <is>
          <t>Dükkândan kısa video çek</t>
        </is>
      </c>
      <c r="D892" s="5" t="inlineStr">
        <is>
          <t>Pişkinlik</t>
        </is>
      </c>
      <c r="E892" s="5" t="inlineStr">
        <is>
          <t>Orta</t>
        </is>
      </c>
      <c r="F892" s="5" t="inlineStr"/>
      <c r="G892" s="6" t="inlineStr"/>
      <c r="H892" s="6" t="inlineStr">
        <is>
          <t>İzlenmeler arttı, satışlar biraz arttı, tanınman çok arttı.</t>
        </is>
      </c>
      <c r="I892" s="6" t="inlineStr">
        <is>
          <t>Videon yayıldı. Dükkâna fotoğraf çekmeye gelenler artık bir şey de alıyor. Çoğu.</t>
        </is>
      </c>
      <c r="J892" s="6" t="inlineStr">
        <is>
          <t>Videonun en çok izlenen kısmı arkadan geçen kedi oldu.</t>
        </is>
      </c>
      <c r="K892" s="6" t="inlineStr">
        <is>
          <t>Videoda karşı dükkânın tabelası seninkinden net çıktı. Onun satışları arttı.</t>
        </is>
      </c>
      <c r="L892" s="6" t="inlineStr"/>
      <c r="M892" s="5" t="inlineStr"/>
      <c r="N892" s="5" t="inlineStr"/>
      <c r="O892" s="6" t="inlineStr"/>
      <c r="P892" s="6" t="inlineStr"/>
      <c r="Q892" s="5" t="inlineStr">
        <is>
          <t>Şifreyi Bilen</t>
        </is>
      </c>
      <c r="R892" s="5" t="inlineStr"/>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row>
    <row r="893">
      <c r="A893" s="5" t="inlineStr">
        <is>
          <t>me-internet-satis</t>
        </is>
      </c>
      <c r="B893" s="5" t="n">
        <v>4</v>
      </c>
      <c r="C893" s="6" t="inlineStr">
        <is>
          <t>Direnmeye devam et</t>
        </is>
      </c>
      <c r="D893" s="5" t="inlineStr"/>
      <c r="E893" s="5" t="inlineStr"/>
      <c r="F893" s="5" t="inlineStr">
        <is>
          <t>Dayanıklılık +1, İtibar +1</t>
        </is>
      </c>
      <c r="G893" s="6" t="inlineStr">
        <is>
          <t>'Benim müşterim kapıdan gelir' dedin. Kapı hâlâ açık. Önünden kargo kuryeleri geçiyor.</t>
        </is>
      </c>
      <c r="H893" s="6" t="inlineStr"/>
      <c r="I893" s="6" t="inlineStr"/>
      <c r="J893" s="6" t="inlineStr"/>
      <c r="K893" s="6" t="inlineStr"/>
      <c r="L893" s="6" t="inlineStr"/>
      <c r="M893" s="5" t="inlineStr"/>
      <c r="N893" s="5" t="inlineStr"/>
      <c r="O893" s="6" t="inlineStr"/>
      <c r="P893" s="6" t="inlineStr"/>
      <c r="Q893" s="5" t="inlineStr"/>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row>
    <row r="894">
      <c r="A894" s="5" t="inlineStr">
        <is>
          <t>mm-terfi-sinavi</t>
        </is>
      </c>
      <c r="B894" s="5" t="n">
        <v>1</v>
      </c>
      <c r="C894" s="6" t="inlineStr">
        <is>
          <t>Gece gündüz çalış</t>
        </is>
      </c>
      <c r="D894" s="5" t="inlineStr">
        <is>
          <t>Akıl</t>
        </is>
      </c>
      <c r="E894" s="5" t="inlineStr">
        <is>
          <t>Zor</t>
        </is>
      </c>
      <c r="F894" s="5" t="inlineStr"/>
      <c r="G894" s="6" t="inlineStr"/>
      <c r="H894" s="6" t="inlineStr">
        <is>
          <t>Sınavı geçtin, şube müdürü oldun. Artık 'Yarın gelin' diyen değil, 'Yarın gelsinler' diyen sensin.</t>
        </is>
      </c>
      <c r="I894" s="6" t="inlineStr">
        <is>
          <t>Birinci oldun. Komisyon senin kâğıdını gelecek yılın cevap anahtarı yaptı.</t>
        </is>
      </c>
      <c r="J894" s="6" t="inlineStr">
        <is>
          <t>Kıl payı kaldın. Kıl payı, kurum dilinde 'bir sonraki döneme kadar' demek.</t>
        </is>
      </c>
      <c r="K894" s="6" t="inlineStr">
        <is>
          <t>Sınav gününü yanlış yazmışsın. Boş salonda iki saat tek başına sınav oldun. Kâğıdın okunmadı.</t>
        </is>
      </c>
      <c r="L894" s="6" t="inlineStr"/>
      <c r="M894" s="5" t="inlineStr"/>
      <c r="N894" s="5" t="inlineStr"/>
      <c r="O894" s="6" t="inlineStr"/>
      <c r="P894" s="6" t="inlineStr"/>
      <c r="Q894" s="5" t="inlineStr"/>
      <c r="R894" s="5" t="inlineStr"/>
      <c r="S894" s="5" t="inlineStr"/>
      <c r="T894" s="5" t="inlineStr">
        <is>
          <t>Mevzuat Kalkanı</t>
        </is>
      </c>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row>
    <row r="895">
      <c r="A895" s="5" t="inlineStr">
        <is>
          <t>mm-terfi-sinavi</t>
        </is>
      </c>
      <c r="B895" s="5" t="n">
        <v>2</v>
      </c>
      <c r="C895" s="6" t="inlineStr">
        <is>
          <t>Değişen maddeye odaklan</t>
        </is>
      </c>
      <c r="D895" s="5" t="inlineStr">
        <is>
          <t>Akıl</t>
        </is>
      </c>
      <c r="E895" s="5" t="inlineStr">
        <is>
          <t>Zor</t>
        </is>
      </c>
      <c r="F895" s="5" t="inlineStr"/>
      <c r="G895" s="6" t="inlineStr"/>
      <c r="H895" s="6" t="inlineStr">
        <is>
          <t>Soruların yarısı o maddeden geldi. Sınavı rahat geçtin.</t>
        </is>
      </c>
      <c r="I895" s="6" t="inlineStr">
        <is>
          <t>Soruların tamamı o maddedendi. Sınavdan çıkarken madde numarasını dövme yaptırmayı düşündün.</t>
        </is>
      </c>
      <c r="J895" s="6" t="inlineStr">
        <is>
          <t>Madde o yıl bir kez daha değişmiş. Sen bir önceki değişikliğe çalışmıştın.</t>
        </is>
      </c>
      <c r="K895" s="6" t="inlineStr">
        <is>
          <t>O maddeye o kadar odaklandın ki sınav kâğıdına adını yazmayı unuttun. En yüksek puanı 'isimsiz' aldı.</t>
        </is>
      </c>
      <c r="L895" s="6" t="inlineStr"/>
      <c r="M895" s="5" t="inlineStr"/>
      <c r="N895" s="5" t="inlineStr"/>
      <c r="O895" s="6" t="inlineStr"/>
      <c r="P895" s="6" t="inlineStr"/>
      <c r="Q895" s="5" t="inlineStr"/>
      <c r="R895" s="5" t="inlineStr"/>
      <c r="S895" s="5" t="inlineStr">
        <is>
          <t>Akıl</t>
        </is>
      </c>
      <c r="T895" s="5" t="inlineStr">
        <is>
          <t>Mevzuat Kalkanı</t>
        </is>
      </c>
      <c r="U895" s="5" t="inlineStr"/>
      <c r="V895" s="5" t="inlineStr"/>
      <c r="W895" s="5" t="inlineStr"/>
      <c r="X895" s="5" t="inlineStr"/>
      <c r="Y895" s="5" t="inlineStr"/>
      <c r="Z895" s="6" t="inlineStr"/>
      <c r="AA895" s="5" t="inlineStr"/>
      <c r="AB895" s="5" t="inlineStr"/>
      <c r="AC895" s="5" t="inlineStr"/>
      <c r="AD895" s="5" t="inlineStr"/>
      <c r="AE895" s="5" t="inlineStr"/>
      <c r="AF895" s="5" t="inlineStr"/>
      <c r="AG895" s="5" t="inlineStr"/>
      <c r="AH895" s="5" t="inlineStr"/>
      <c r="AI895" s="5" t="inlineStr">
        <is>
          <t>İsimsiz Birinci</t>
        </is>
      </c>
    </row>
    <row r="896">
      <c r="A896" s="5" t="inlineStr">
        <is>
          <t>mm-terfi-sinavi</t>
        </is>
      </c>
      <c r="B896" s="5" t="n">
        <v>3</v>
      </c>
      <c r="C896" s="6" t="inlineStr">
        <is>
          <t>Çocuğunla birlikte çalış</t>
        </is>
      </c>
      <c r="D896" s="5" t="inlineStr">
        <is>
          <t>Dayanıklılık</t>
        </is>
      </c>
      <c r="E896" s="5" t="inlineStr">
        <is>
          <t>Orta</t>
        </is>
      </c>
      <c r="F896" s="5" t="inlineStr"/>
      <c r="G896" s="6" t="inlineStr"/>
      <c r="H896" s="6" t="inlineStr">
        <is>
          <t>Aynı masada çalıştınız. İkiniz de geçtiniz: sen terfiyi, o yazılıyı.</t>
        </is>
      </c>
      <c r="I896" s="6" t="inlineStr">
        <is>
          <t>Çocuğun sana test tekniği öğretti, sen ona sabır. Aile tarihinin en verimli dönemi.</t>
        </is>
      </c>
      <c r="J896" s="6" t="inlineStr">
        <is>
          <t>Çocuğun sana test tekniği anlattı; sen onun sorularını çözdün. İkiniz de başkasının sınavına hazırlandınız.</t>
        </is>
      </c>
      <c r="K896" s="6" t="inlineStr">
        <is>
          <t>Onun tabletine alıştın. Sınav gününe kadar öğrendiğin tek şey bir oyunun üçüncü bölümü.</t>
        </is>
      </c>
      <c r="L896" s="6" t="inlineStr"/>
      <c r="M896" s="5" t="inlineStr"/>
      <c r="N896" s="5" t="inlineStr"/>
      <c r="O896" s="6" t="inlineStr"/>
      <c r="P896" s="6" t="inlineStr"/>
      <c r="Q896" s="5" t="inlineStr"/>
      <c r="R896" s="5" t="inlineStr">
        <is>
          <t>cocuklu</t>
        </is>
      </c>
      <c r="S896" s="5" t="inlineStr"/>
      <c r="T896" s="5" t="inlineStr"/>
      <c r="U896" s="5" t="inlineStr"/>
      <c r="V896" s="5" t="inlineStr"/>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row>
    <row r="897">
      <c r="A897" s="5" t="inlineStr">
        <is>
          <t>mm-terfi-sinavi</t>
        </is>
      </c>
      <c r="B897" s="5" t="n">
        <v>4</v>
      </c>
      <c r="C897" s="6" t="inlineStr">
        <is>
          <t>Girme, masanda kal</t>
        </is>
      </c>
      <c r="D897" s="5" t="inlineStr"/>
      <c r="E897" s="5" t="inlineStr"/>
      <c r="F897" s="5" t="inlineStr">
        <is>
          <t>İtibar +1, Dayanıklılık +1</t>
        </is>
      </c>
      <c r="G897" s="6" t="inlineStr">
        <is>
          <t>Masan pencere kenarında, çayın sıcak, sorumluluğun makul. Bazı terfiler yataydır.</t>
        </is>
      </c>
      <c r="H897" s="6" t="inlineStr"/>
      <c r="I897" s="6" t="inlineStr"/>
      <c r="J897" s="6" t="inlineStr"/>
      <c r="K897" s="6" t="inlineStr"/>
      <c r="L897" s="6" t="inlineStr"/>
      <c r="M897" s="5" t="inlineStr"/>
      <c r="N897" s="5" t="inlineStr"/>
      <c r="O897" s="6" t="inlineStr"/>
      <c r="P897" s="6" t="inlineStr"/>
      <c r="Q897" s="5" t="inlineStr"/>
      <c r="R897" s="5" t="inlineStr"/>
      <c r="S897" s="5" t="inlineStr"/>
      <c r="T897" s="5" t="inlineStr"/>
      <c r="U897" s="5" t="inlineStr"/>
      <c r="V897" s="5" t="inlineStr"/>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row>
    <row r="898">
      <c r="A898" s="5" t="inlineStr">
        <is>
          <t>b8-dijital-para</t>
        </is>
      </c>
      <c r="B898" s="5" t="n">
        <v>1</v>
      </c>
      <c r="C898" s="6" t="inlineStr">
        <is>
          <t>Teşekkür et, kapat</t>
        </is>
      </c>
      <c r="D898" s="5" t="inlineStr"/>
      <c r="E898" s="5" t="inlineStr"/>
      <c r="F898" s="5" t="inlineStr">
        <is>
          <t>Akıl +1, İtibar +1</t>
        </is>
      </c>
      <c r="G898" s="6" t="inlineStr">
        <is>
          <t>Telefonu kapattın. Bir hafta sonra paranın kurucuları da telefonlarını kapattı.</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row>
    <row r="899">
      <c r="A899" s="5" t="inlineStr">
        <is>
          <t>b8-dijital-para</t>
        </is>
      </c>
      <c r="B899" s="5" t="n">
        <v>2</v>
      </c>
      <c r="C899" s="6" t="inlineStr">
        <is>
          <t>Küçük bir miktar yatır</t>
        </is>
      </c>
      <c r="D899" s="5" t="inlineStr">
        <is>
          <t>Kurnazlık</t>
        </is>
      </c>
      <c r="E899" s="5" t="inlineStr">
        <is>
          <t>Zor</t>
        </is>
      </c>
      <c r="F899" s="5" t="inlineStr"/>
      <c r="G899" s="6" t="inlineStr"/>
      <c r="H899" s="6" t="inlineStr">
        <is>
          <t>Az yatırdın, ikiye katladın, hemen sattın. Bu hikâyeyi on yıl anlatacaksın.</t>
        </is>
      </c>
      <c r="I899" s="6" t="inlineStr">
        <is>
          <t>Tam tepede sattın; bir saat sonra grafik uçurumdan atladı. Eski arkadaşın artık sana “hocam” diyor. Şans olduğunu kimseye söylemiyorsun.</t>
        </is>
      </c>
      <c r="J899" s="6" t="inlineStr">
        <is>
          <t>Az yatırdın; daha da az oldu. Grafik şu an bir kayak pisti.</t>
        </is>
      </c>
      <c r="K899" s="6" t="inlineStr">
        <is>
          <t>Az yatırdın, sonra biraz daha. Cüzdan şifresi bir kâğıttaydı. Kâğıt çamaşır makinesinde.</t>
        </is>
      </c>
      <c r="L899" s="6" t="inlineStr"/>
      <c r="M899" s="5" t="inlineStr"/>
      <c r="N899" s="5" t="inlineStr"/>
      <c r="O899" s="6" t="inlineStr"/>
      <c r="P899" s="6" t="inlineStr"/>
      <c r="Q899" s="5" t="inlineStr"/>
      <c r="R899" s="5" t="inlineStr"/>
      <c r="S899" s="5" t="inlineStr"/>
      <c r="T899" s="5" t="inlineStr"/>
      <c r="U899" s="5" t="inlineStr">
        <is>
          <t>dijital-paraci</t>
        </is>
      </c>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row>
    <row r="900">
      <c r="A900" s="5" t="inlineStr">
        <is>
          <t>b8-dijital-para</t>
        </is>
      </c>
      <c r="B900" s="5" t="n">
        <v>3</v>
      </c>
      <c r="C900" s="6" t="inlineStr">
        <is>
          <t>Borç tablonu arkadaşına gönder</t>
        </is>
      </c>
      <c r="D900" s="5" t="inlineStr">
        <is>
          <t>Akıl</t>
        </is>
      </c>
      <c r="E900" s="5" t="inlineStr">
        <is>
          <t>Orta</t>
        </is>
      </c>
      <c r="F900" s="5" t="inlineStr"/>
      <c r="G900" s="6" t="inlineStr"/>
      <c r="H900" s="6" t="inlineStr">
        <is>
          <t>Tabloyu gördü, sustu. Sonra 'Haklısın' dedi ve kendi yatırımını çekti.</t>
        </is>
      </c>
      <c r="I900" s="6" t="inlineStr">
        <is>
          <t>Tablon öyle ikna ediciydi ki arkadaşın sana borç yapılandırmada yardım edecek birini buldu. Ücretsiz.</t>
        </is>
      </c>
      <c r="J900" s="6" t="inlineStr">
        <is>
          <t>Tabloyu gönderdin; 'Sen grafik okumayı bilmiyorsun' dedi.</t>
        </is>
      </c>
      <c r="K900" s="6" t="inlineStr">
        <is>
          <t>Arkadaş tablonu başka arkadaşlarına gösterdi. Şimdi üç kişi daha sana 'hâlâ erken' diyor.</t>
        </is>
      </c>
      <c r="L900" s="6" t="inlineStr"/>
      <c r="M900" s="5" t="inlineStr"/>
      <c r="N900" s="5" t="inlineStr"/>
      <c r="O900" s="6" t="inlineStr"/>
      <c r="P900" s="6" t="inlineStr"/>
      <c r="Q900" s="5" t="inlineStr"/>
      <c r="R900" s="5" t="inlineStr"/>
      <c r="S900" s="5" t="inlineStr">
        <is>
          <t>Akıl</t>
        </is>
      </c>
      <c r="T900" s="5" t="inlineStr"/>
      <c r="U900" s="5" t="inlineStr"/>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row>
    <row r="901">
      <c r="A901" s="5" t="inlineStr">
        <is>
          <t>b8-dijital-para</t>
        </is>
      </c>
      <c r="B901" s="5" t="n">
        <v>4</v>
      </c>
      <c r="C901" s="6" t="inlineStr">
        <is>
          <t>'Sen ne kadar yatırdın?' diye sor</t>
        </is>
      </c>
      <c r="D901" s="5" t="inlineStr">
        <is>
          <t>Sosyal Radar</t>
        </is>
      </c>
      <c r="E901" s="5" t="inlineStr">
        <is>
          <t>Kolay</t>
        </is>
      </c>
      <c r="F901" s="5" t="inlineStr"/>
      <c r="G901" s="6" t="inlineStr"/>
      <c r="H901" s="6" t="inlineStr">
        <is>
          <t>'Hiç' dedi. Mesele anlaşıldı.</t>
        </is>
      </c>
      <c r="I901" s="6" t="inlineStr">
        <is>
          <t>Cevap vermeden önce iki saniye durdu. O iki saniye sana bir maaş kazandırdı.</t>
        </is>
      </c>
      <c r="J901" s="6" t="inlineStr">
        <is>
          <t>'Her şeyimi' dedi. İkiniz de sustunuz.</t>
        </is>
      </c>
      <c r="K901" s="6" t="inlineStr">
        <is>
          <t>'Her şeyimi, bir de senin payını' dedi. Senin adına yatırmış.</t>
        </is>
      </c>
      <c r="L901" s="6" t="inlineStr"/>
      <c r="M901" s="5" t="inlineStr"/>
      <c r="N901" s="5" t="inlineStr"/>
      <c r="O901" s="6" t="inlineStr"/>
      <c r="P901" s="6" t="inlineStr"/>
      <c r="Q901" s="5" t="inlineStr">
        <is>
          <t>Para Üstü Radarı</t>
        </is>
      </c>
      <c r="R901" s="5" t="inlineStr"/>
      <c r="S901" s="5" t="inlineStr"/>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row>
    <row r="902">
      <c r="A902" s="5" t="inlineStr">
        <is>
          <t>b8-o-cumle</t>
        </is>
      </c>
      <c r="B902" s="5" t="n">
        <v>1</v>
      </c>
      <c r="C902" s="6" t="inlineStr">
        <is>
          <t>“Biz senin yaşındayken…” diye başla</t>
        </is>
      </c>
      <c r="D902" s="5" t="inlineStr">
        <is>
          <t>Pişkinlik</t>
        </is>
      </c>
      <c r="E902" s="5" t="inlineStr">
        <is>
          <t>Kolay</t>
        </is>
      </c>
      <c r="F902" s="5" t="inlineStr"/>
      <c r="G902" s="6" t="inlineStr"/>
      <c r="H902" s="6" t="inlineStr">
        <is>
          <t>“Biz senin yaşında sokaktan eve girmezdik” dedin. Çocuk gözlerini devirdi. Sen içinden anne-babana hak verdin; otuz beş yıl gecikmeyle.</t>
        </is>
      </c>
      <c r="I902" s="6" t="inlineStr">
        <is>
          <t>Öyle kurdun ki çocuk 'Anlat' dedi. Gece ikiye kadar sokak oyunları anlatıldı.</t>
        </is>
      </c>
      <c r="J902" s="6" t="inlineStr">
        <is>
          <t>Cümlenin yarısında kendi annenin sesiyle konuştuğunu fark ettin. Durdun. Geç kalmıştın.</t>
        </is>
      </c>
      <c r="K902" s="6" t="inlineStr">
        <is>
          <t>Çocuk seni gizlice kaydetmiş. Video “Biz senin yaşındayken, bölüm 12” adıyla bütün sınıfı dolaşıyor.</t>
        </is>
      </c>
      <c r="L902" s="6" t="inlineStr"/>
      <c r="M902" s="5" t="inlineStr"/>
      <c r="N902" s="5" t="inlineStr"/>
      <c r="O902" s="6" t="inlineStr"/>
      <c r="P902" s="6" t="inlineStr"/>
      <c r="Q902" s="5" t="inlineStr"/>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is>
          <t>Biz Senin Yaşındayken</t>
        </is>
      </c>
    </row>
    <row r="903">
      <c r="A903" s="5" t="inlineStr">
        <is>
          <t>b8-o-cumle</t>
        </is>
      </c>
      <c r="B903" s="5" t="n">
        <v>2</v>
      </c>
      <c r="C903" s="6" t="inlineStr">
        <is>
          <t>Cümleyi yut, birlikte sıkıl</t>
        </is>
      </c>
      <c r="D903" s="5" t="inlineStr"/>
      <c r="E903" s="5" t="inlineStr"/>
      <c r="F903" s="5" t="inlineStr">
        <is>
          <t>Gönül +1</t>
        </is>
      </c>
      <c r="G903" s="6" t="inlineStr">
        <is>
          <t>Cümleyi yuttun. Birlikte tavana baktınız. On dakika sonra ikiniz de güldünüz; sebep bulunamadı.</t>
        </is>
      </c>
      <c r="H903" s="6" t="inlineStr"/>
      <c r="I903" s="6" t="inlineStr"/>
      <c r="J903" s="6" t="inlineStr"/>
      <c r="K903" s="6" t="inlineStr"/>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row>
    <row r="904">
      <c r="A904" s="5" t="inlineStr">
        <is>
          <t>b8-o-cumle</t>
        </is>
      </c>
      <c r="B904" s="5" t="n">
        <v>3</v>
      </c>
      <c r="C904" s="6" t="inlineStr">
        <is>
          <t>Bir sokak oyunu öğret</t>
        </is>
      </c>
      <c r="D904" s="5" t="inlineStr">
        <is>
          <t>Gönül</t>
        </is>
      </c>
      <c r="E904" s="5" t="inlineStr">
        <is>
          <t>Orta</t>
        </is>
      </c>
      <c r="F904" s="5" t="inlineStr"/>
      <c r="G904" s="6" t="inlineStr"/>
      <c r="H904" s="6" t="inlineStr">
        <is>
          <t>Apartmanın önünde yakan top kurdun. Çocuk önce “Bu ne?” dedi, sonra iki saat oynadı; alt kattaki çocukları da çağırdı.</t>
        </is>
      </c>
      <c r="I904" s="6" t="inlineStr">
        <is>
          <t>Öğrettiğin oyun okulda moda oldu. Veli grubunda 'Bunu kim öğretti?' diye soruluyor.</t>
        </is>
      </c>
      <c r="J904" s="6" t="inlineStr">
        <is>
          <t>Anlatırken kuralları unuttun. Çocuk yenilerini yazdı; sen kaybettin.</t>
        </is>
      </c>
      <c r="K904" s="6" t="inlineStr">
        <is>
          <t>Gösterirken belin tutuldu. Çocuk sordu: 'Sizin zamanınızda bel var mıydı?'</t>
        </is>
      </c>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row>
    <row r="905">
      <c r="A905" s="5" t="inlineStr">
        <is>
          <t>b8-o-cumle</t>
        </is>
      </c>
      <c r="B905" s="5" t="n">
        <v>4</v>
      </c>
      <c r="C905" s="6" t="inlineStr">
        <is>
          <t>Kırılan camın hikâyesini anlat</t>
        </is>
      </c>
      <c r="D905" s="5" t="inlineStr"/>
      <c r="E905" s="5" t="inlineStr"/>
      <c r="F905" s="5" t="inlineStr">
        <is>
          <t>Çene +1</t>
        </is>
      </c>
      <c r="G905" s="6" t="inlineStr">
        <is>
          <t>Mahalle maçını ve komşunun camını anlattın. Çocuk sana ilk kez hayranlıkla baktı. Komşu hâlâ affetmedi.</t>
        </is>
      </c>
      <c r="H905" s="6" t="inlineStr"/>
      <c r="I905" s="6" t="inlineStr"/>
      <c r="J905" s="6" t="inlineStr"/>
      <c r="K905" s="6" t="inlineStr"/>
      <c r="L905" s="6" t="inlineStr"/>
      <c r="M905" s="5" t="inlineStr"/>
      <c r="N905" s="5" t="inlineStr"/>
      <c r="O905" s="6" t="inlineStr"/>
      <c r="P905" s="6" t="inlineStr"/>
      <c r="Q905" s="5" t="inlineStr"/>
      <c r="R905" s="5" t="inlineStr">
        <is>
          <t>camKirildi</t>
        </is>
      </c>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row>
    <row r="906">
      <c r="A906" s="5" t="inlineStr">
        <is>
          <t>b8-evli-rutin</t>
        </is>
      </c>
      <c r="B906" s="5" t="n">
        <v>1</v>
      </c>
      <c r="C906" s="6" t="inlineStr">
        <is>
          <t>Telefonu bırak, sohbet et</t>
        </is>
      </c>
      <c r="D906" s="5" t="inlineStr"/>
      <c r="E906" s="5" t="inlineStr"/>
      <c r="F906" s="5" t="inlineStr">
        <is>
          <t>Çene +1, Gönül +1</t>
        </is>
      </c>
      <c r="G906" s="6" t="inlineStr">
        <is>
          <t>Telefonlar masaya ters kondu. Konuşacak çok şey çıktı; çoğu kombi hakkında, ama olsun.</t>
        </is>
      </c>
      <c r="H906" s="6" t="inlineStr"/>
      <c r="I906" s="6" t="inlineStr"/>
      <c r="J906" s="6" t="inlineStr"/>
      <c r="K906" s="6" t="inlineStr"/>
      <c r="L906" s="6" t="inlineStr"/>
      <c r="M906" s="5" t="inlineStr"/>
      <c r="N906" s="5" t="inlineStr"/>
      <c r="O906" s="6" t="inlineStr"/>
      <c r="P906" s="6" t="inlineStr"/>
      <c r="Q906" s="5" t="inlineStr"/>
      <c r="R906" s="5" t="inlineStr"/>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row>
    <row r="907">
      <c r="A907" s="5" t="inlineStr">
        <is>
          <t>b8-evli-rutin</t>
        </is>
      </c>
      <c r="B907" s="5" t="n">
        <v>2</v>
      </c>
      <c r="C907" s="6" t="inlineStr">
        <is>
          <t>Sürpriz akşam yemeği planla</t>
        </is>
      </c>
      <c r="D907" s="5" t="inlineStr">
        <is>
          <t>Gönül</t>
        </is>
      </c>
      <c r="E907" s="5" t="inlineStr">
        <is>
          <t>Orta</t>
        </is>
      </c>
      <c r="F907" s="5" t="inlineStr"/>
      <c r="G907" s="6" t="inlineStr"/>
      <c r="H907" s="6" t="inlineStr">
        <is>
          <t>Masa hazırdı, mumlar yanıyordu. Eşin 'Ne oldu?' diye sordu. Hiçbir şey olmamıştı; mesele de buydu.</t>
        </is>
      </c>
      <c r="I907" s="6" t="inlineStr">
        <is>
          <t>Evlendiğiniz yıl gittiğiniz yeri buldun; hâlâ açıktı. Garson sizi hatırlamadı ama öyle yaptı.</t>
        </is>
      </c>
      <c r="J907" s="6" t="inlineStr">
        <is>
          <t>Sürpriz yemek günü eşin de sana sürpriz hazırlamıştı. İki yemek, bir mide.</t>
        </is>
      </c>
      <c r="K907" s="6" t="inlineStr">
        <is>
          <t>Rezervasyonu yanlış güne yaptın. Garson üstünde tarih yazan pastayı getirdi; yıl dönümünüz iki hafta sonraymış. Eşin pastayı yedi, seninle konuşmadı.</t>
        </is>
      </c>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row>
    <row r="908">
      <c r="A908" s="5" t="inlineStr">
        <is>
          <t>b8-evli-rutin</t>
        </is>
      </c>
      <c r="B908" s="5" t="n">
        <v>3</v>
      </c>
      <c r="C908" s="6" t="inlineStr">
        <is>
          <t>'Nasılsın?' diye gerçekten sor</t>
        </is>
      </c>
      <c r="D908" s="5" t="inlineStr">
        <is>
          <t>Gönül</t>
        </is>
      </c>
      <c r="E908" s="5" t="inlineStr">
        <is>
          <t>Kolay</t>
        </is>
      </c>
      <c r="F908" s="5" t="inlineStr"/>
      <c r="G908" s="6" t="inlineStr"/>
      <c r="H908" s="6" t="inlineStr">
        <is>
          <t>Sordun ve dinledin. Uzun bir cevap geldi. İyi ki sormuşsun.</t>
        </is>
      </c>
      <c r="I908" s="6" t="inlineStr">
        <is>
          <t>Sordun; eşin bir süre sustu, sonra 'Kimse sormuyordu' dedi. Gece balkonda uzadı.</t>
        </is>
      </c>
      <c r="J908" s="6" t="inlineStr">
        <is>
          <t>Sordun; “İyiyim” dedi, çayını tazeledi. Bir dahaki sefere.</t>
        </is>
      </c>
      <c r="K908" s="6" t="inlineStr">
        <is>
          <t>Sordun; eşin anlatmaya başladı. Üçüncü cümlede telefonun titredi, baktın: kargo bildirimi. Eşin cümlesini bitirmedi. “Boş ver” dedi; o “boş ver” bir hafta sürdü.</t>
        </is>
      </c>
      <c r="L908" s="6" t="inlineStr"/>
      <c r="M908" s="5" t="inlineStr"/>
      <c r="N908" s="5" t="inlineStr"/>
      <c r="O908" s="6" t="inlineStr"/>
      <c r="P908" s="6" t="inlineStr"/>
      <c r="Q908" s="5" t="inlineStr"/>
      <c r="R908" s="5" t="inlineStr"/>
      <c r="S908" s="5" t="inlineStr">
        <is>
          <t>Gönül</t>
        </is>
      </c>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row>
    <row r="909">
      <c r="A909" s="5" t="inlineStr">
        <is>
          <t>b8-evli-rutin</t>
        </is>
      </c>
      <c r="B909" s="5" t="n">
        <v>4</v>
      </c>
      <c r="C909" s="6" t="inlineStr">
        <is>
          <t>Mutfakta dansa kaldır</t>
        </is>
      </c>
      <c r="D909" s="5" t="inlineStr">
        <is>
          <t>Pişkinlik</t>
        </is>
      </c>
      <c r="E909" s="5" t="inlineStr">
        <is>
          <t>Orta</t>
        </is>
      </c>
      <c r="F909" s="5" t="inlineStr"/>
      <c r="G909" s="6" t="inlineStr"/>
      <c r="H909" s="6" t="inlineStr">
        <is>
          <t>Mutfakta, buzdolabının ışığında dans ettiniz. Kimse görmedi; zaten mesele buydu.</t>
        </is>
      </c>
      <c r="I909" s="6" t="inlineStr">
        <is>
          <t>Dans ettiniz; alt kattaki komşu tavana süpürge sapıyla vurdu, ama ritmi tuttu. Apartman ilk kez aynı şarkıda.</t>
        </is>
      </c>
      <c r="J909" s="6" t="inlineStr">
        <is>
          <t>Dansa kaldırdın; eşin 'Bulaşık' dedi. Bulaşık kazandı.</t>
        </is>
      </c>
      <c r="K909" s="6" t="inlineStr">
        <is>
          <t>Dans ederken tencerenin kulpuna takıldın. Kuru fasulye yere döküldü, ikiniz birden fasulyenin üstüne oturdunuz. Belin iki gün tutuldu.</t>
        </is>
      </c>
      <c r="L909" s="6" t="inlineStr">
        <is>
          <t>Bir tabak kırıldı, dans durmadı. Eşin “Kırılan uğur getirir” dedi, süpürgeyi sana uzattı.</t>
        </is>
      </c>
      <c r="M909" s="5" t="inlineStr">
        <is>
          <t>balance</t>
        </is>
      </c>
      <c r="N909" s="5" t="inlineStr">
        <is>
          <t>Mutfak Dansı</t>
        </is>
      </c>
      <c r="O909" s="6" t="inlineStr">
        <is>
          <t>Dans ederken tezgâhtan kayan tabağı tepsinin üstünde tut. Müzik hızlanıyor.</t>
        </is>
      </c>
      <c r="P909" s="6" t="inlineStr">
        <is>
          <t>{"item": "🍽️"}</t>
        </is>
      </c>
      <c r="Q909" s="5" t="inlineStr">
        <is>
          <t>Sahne Sever</t>
        </is>
      </c>
      <c r="R909" s="5" t="inlineStr"/>
      <c r="S909" s="5" t="inlineStr"/>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row>
    <row r="910">
      <c r="A910" s="5" t="inlineStr">
        <is>
          <t>b8-cocuk-odasi</t>
        </is>
      </c>
      <c r="B910" s="5" t="n">
        <v>1</v>
      </c>
      <c r="C910" s="6" t="inlineStr">
        <is>
          <t>Kapıyı kapat, görmedin</t>
        </is>
      </c>
      <c r="D910" s="5" t="inlineStr"/>
      <c r="E910" s="5" t="inlineStr"/>
      <c r="F910" s="5" t="inlineStr">
        <is>
          <t>Dayanıklılık +1</t>
        </is>
      </c>
      <c r="G910" s="6" t="inlineStr">
        <is>
          <t>Kapıyı kapattın. İçinde annenin sesi yankılandı: “Burası oda değil, ahır.” Bu sefer söylemedin; tabak da orada kaldı.</t>
        </is>
      </c>
      <c r="H910" s="6" t="inlineStr"/>
      <c r="I910" s="6" t="inlineStr"/>
      <c r="J910" s="6" t="inlineStr"/>
      <c r="K910" s="6" t="inlineStr"/>
      <c r="L910" s="6" t="inlineStr"/>
      <c r="M910" s="5" t="inlineStr"/>
      <c r="N910" s="5" t="inlineStr"/>
      <c r="O910" s="6" t="inlineStr"/>
      <c r="P910" s="6" t="inlineStr"/>
      <c r="Q910" s="5" t="inlineStr"/>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row>
    <row r="911">
      <c r="A911" s="5" t="inlineStr">
        <is>
          <t>b8-cocuk-odasi</t>
        </is>
      </c>
      <c r="B911" s="5" t="n">
        <v>2</v>
      </c>
      <c r="C911" s="6" t="inlineStr">
        <is>
          <t>Hızla topla</t>
        </is>
      </c>
      <c r="D911" s="5" t="inlineStr">
        <is>
          <t>Dayanıklılık</t>
        </is>
      </c>
      <c r="E911" s="5" t="inlineStr">
        <is>
          <t>Orta</t>
        </is>
      </c>
      <c r="F911" s="5" t="inlineStr"/>
      <c r="G911" s="6" t="inlineStr"/>
      <c r="H911" s="6" t="inlineStr">
        <is>
          <t>On dört çorap topladın. Hiçbiri eşleşmedi, ama zemin göründü.</t>
        </is>
      </c>
      <c r="I911" s="6" t="inlineStr">
        <is>
          <t>Oda toplandı, tabak bulundu; altından iki yıldır kayıp kumanda çıktı. Kumandayı salona götürdün, herkes alkışladı. Tabağı kimse sormadı.</t>
        </is>
      </c>
      <c r="J911" s="6" t="inlineStr">
        <is>
          <t>Topladın; çocuk gelip 'Her şeyin yerini biliyordum' dedi. Artık bilmiyor.</t>
        </is>
      </c>
      <c r="K911" s="6" t="inlineStr">
        <is>
          <t>Çıplak ayakla yerdeki bir şarj adaptörüne bastın. Öyle bağırdın ki alt komşu kapıyı çalıp “İyi misiniz?” diye sordu. İyi değildin.</t>
        </is>
      </c>
      <c r="L911" s="6" t="inlineStr">
        <is>
          <t>Yarısını topladın. Kalan yarısı yatağın altına kaçtı; orası artık ayrı bir oda.</t>
        </is>
      </c>
      <c r="M911" s="5" t="inlineStr">
        <is>
          <t>collect</t>
        </is>
      </c>
      <c r="N911" s="5" t="inlineStr">
        <is>
          <t>Tek Çorap Avı</t>
        </is>
      </c>
      <c r="O911" s="6" t="inlineStr">
        <is>
          <t>Odaya saçılmış tek çorapları kaybolmadan topla. Eşini bulan yok.</t>
        </is>
      </c>
      <c r="P911" s="6" t="inlineStr">
        <is>
          <t>{"piece": "🧦"}</t>
        </is>
      </c>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row>
    <row r="912">
      <c r="A912" s="5" t="inlineStr">
        <is>
          <t>b8-cocuk-odasi</t>
        </is>
      </c>
      <c r="B912" s="5" t="n">
        <v>3</v>
      </c>
      <c r="C912" s="6" t="inlineStr">
        <is>
          <t>Çocukla pazarlık et</t>
        </is>
      </c>
      <c r="D912" s="5" t="inlineStr">
        <is>
          <t>Çene</t>
        </is>
      </c>
      <c r="E912" s="5" t="inlineStr">
        <is>
          <t>Orta</t>
        </is>
      </c>
      <c r="F912" s="5" t="inlineStr"/>
      <c r="G912" s="6" t="inlineStr"/>
      <c r="H912" s="6" t="inlineStr">
        <is>
          <t>Oda karşılığında bir hafta ek ekran süresi. Sözleşme buzdolabına mıknatısla asıldı.</t>
        </is>
      </c>
      <c r="I912" s="6" t="inlineStr">
        <is>
          <t>Çocuk odasını da, salonu da topladı. Karşılığında ne istediğini hâlâ söylemedi; endişe verici.</t>
        </is>
      </c>
      <c r="J912" s="6" t="inlineStr">
        <is>
          <t>Çocuk avukat gibi konuştu. Kaybettin.</t>
        </is>
      </c>
      <c r="K912" s="6" t="inlineStr">
        <is>
          <t>Çocuk telefonunu çıkarıp senin çalışma masanın fotoğrafını gösterdi: üç kirli fincan, kâğıt yığını, bir de kayıp tabağın eşi. Akşam fotoğraf aile grubundaydı; altında tek satır: “Örnek olun.”</t>
        </is>
      </c>
      <c r="L912" s="6" t="inlineStr"/>
      <c r="M912" s="5" t="inlineStr"/>
      <c r="N912" s="5" t="inlineStr"/>
      <c r="O912" s="6" t="inlineStr"/>
      <c r="P912" s="6" t="inlineStr"/>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row>
    <row r="913">
      <c r="A913" s="5" t="inlineStr">
        <is>
          <t>b8-cocuk-odasi</t>
        </is>
      </c>
      <c r="B913" s="5" t="n">
        <v>4</v>
      </c>
      <c r="C913" s="6" t="inlineStr">
        <is>
          <t>Tabağı kediye yükle</t>
        </is>
      </c>
      <c r="D913" s="5" t="inlineStr"/>
      <c r="E913" s="5" t="inlineStr"/>
      <c r="F913" s="5" t="inlineStr">
        <is>
          <t>Pişkinlik +1, Kurnazlık +1</t>
        </is>
      </c>
      <c r="G913" s="6" t="inlineStr">
        <is>
          <t>“Tabağı kedi götürmüş” dedin. Çocuk “Kedimiz yok” dedi. Kırk yıllık aile geleneği yeni kuşağa devredildi.</t>
        </is>
      </c>
      <c r="H913" s="6" t="inlineStr"/>
      <c r="I913" s="6" t="inlineStr"/>
      <c r="J913" s="6" t="inlineStr"/>
      <c r="K913" s="6" t="inlineStr"/>
      <c r="L913" s="6" t="inlineStr"/>
      <c r="M913" s="5" t="inlineStr"/>
      <c r="N913" s="5" t="inlineStr"/>
      <c r="O913" s="6" t="inlineStr"/>
      <c r="P913" s="6" t="inlineStr"/>
      <c r="Q913" s="5" t="inlineStr"/>
      <c r="R913" s="5" t="inlineStr">
        <is>
          <t>kediSuclu</t>
        </is>
      </c>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row>
    <row r="914">
      <c r="A914" s="5" t="inlineStr">
        <is>
          <t>ms-eski-musteri</t>
        </is>
      </c>
      <c r="B914" s="5" t="n">
        <v>1</v>
      </c>
      <c r="C914" s="6" t="inlineStr">
        <is>
          <t>Görmezden gel</t>
        </is>
      </c>
      <c r="D914" s="5" t="inlineStr"/>
      <c r="E914" s="5" t="inlineStr"/>
      <c r="F914" s="5" t="inlineStr">
        <is>
          <t>Dayanıklılık +1</t>
        </is>
      </c>
      <c r="G914" s="6" t="inlineStr">
        <is>
          <t>Mesajı okundu olarak bıraktın. On beş yıldır onların yaptığını sen de yaptın. Bir tür adalet.</t>
        </is>
      </c>
      <c r="H914" s="6" t="inlineStr"/>
      <c r="I914" s="6" t="inlineStr"/>
      <c r="J914" s="6" t="inlineStr"/>
      <c r="K914" s="6" t="inlineStr"/>
      <c r="L914" s="6" t="inlineStr"/>
      <c r="M914" s="5" t="inlineStr"/>
      <c r="N914" s="5" t="inlineStr"/>
      <c r="O914" s="6" t="inlineStr"/>
      <c r="P914" s="6" t="inlineStr"/>
      <c r="Q914" s="5" t="inlineStr"/>
      <c r="R914" s="5" t="inlineStr"/>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row>
    <row r="915">
      <c r="A915" s="5" t="inlineStr">
        <is>
          <t>ms-eski-musteri</t>
        </is>
      </c>
      <c r="B915" s="5" t="n">
        <v>2</v>
      </c>
      <c r="C915" s="6" t="inlineStr">
        <is>
          <t>Yeni fiyatını söyle</t>
        </is>
      </c>
      <c r="D915" s="5" t="inlineStr">
        <is>
          <t>Çene</t>
        </is>
      </c>
      <c r="E915" s="5" t="inlineStr">
        <is>
          <t>Zor</t>
        </is>
      </c>
      <c r="F915" s="5" t="inlineStr"/>
      <c r="G915" s="6" t="inlineStr"/>
      <c r="H915" s="6" t="inlineStr">
        <is>
          <t>Fiyatını ikiye katladın. Kabul ettiler. Bu kez peşin.</t>
        </is>
      </c>
      <c r="I915" s="6" t="inlineStr">
        <is>
          <t>Yeni fiyatı söyledin, eski faturayı da ekledin. İkisini birden ödediler. Faizsiz ama olsun.</t>
        </is>
      </c>
      <c r="J915" s="6" t="inlineStr">
        <is>
          <t>Fiyatı söyledin; 'Görünürlük sağlarız' dediler. On beş yıl geçmiş, cümle aynı.</t>
        </is>
      </c>
      <c r="K915" s="6" t="inlineStr">
        <is>
          <t>Pazarlıkta öyle geriledin ki indirimi sen yaptın, kahveleri sen ısmarladın. Çıkarken “Sizi yine özleriz” dediler.</t>
        </is>
      </c>
      <c r="L915" s="6" t="inlineStr">
        <is>
          <t>Fiyat biraz yükseldi, peşinat yarım kaldı. Sözleşmeyi bu kez sen yazdın.</t>
        </is>
      </c>
      <c r="M915" s="5" t="inlineStr">
        <is>
          <t>bargain</t>
        </is>
      </c>
      <c r="N915" s="5" t="inlineStr">
        <is>
          <t>Özlem Fiyatı</t>
        </is>
      </c>
      <c r="O915" s="6" t="inlineStr">
        <is>
          <t>Karşı tarafın sabrı bitmeden ücreti yukarı it. Özlemin bir fiyatı var.</t>
        </is>
      </c>
      <c r="P915" s="6" t="inlineStr">
        <is>
          <t>{"item": "yeni proje", "mode": "sell"}</t>
        </is>
      </c>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row>
    <row r="916">
      <c r="A916" s="5" t="inlineStr">
        <is>
          <t>ms-eski-musteri</t>
        </is>
      </c>
      <c r="B916" s="5" t="n">
        <v>3</v>
      </c>
      <c r="C916" s="6" t="inlineStr">
        <is>
          <t>Eski faturayı faiziyle hatırlat</t>
        </is>
      </c>
      <c r="D916" s="5" t="inlineStr">
        <is>
          <t>Kurnazlık</t>
        </is>
      </c>
      <c r="E916" s="5" t="inlineStr">
        <is>
          <t>Zor</t>
        </is>
      </c>
      <c r="F916" s="5" t="inlineStr"/>
      <c r="G916" s="6" t="inlineStr"/>
      <c r="H916" s="6" t="inlineStr">
        <is>
          <t>Eski faturayı gecikme faiziyle ekledin. Ödendi. On beş yıllık bir onay nihayet verildi.</t>
        </is>
      </c>
      <c r="I916" s="6" t="inlineStr">
        <is>
          <t>Faiz hesabını öyle düzgün yaptın ki muhasebeci 'Bizde çalışır mısınız?' diye sordu.</t>
        </is>
      </c>
      <c r="J916" s="6" t="inlineStr">
        <is>
          <t>Eski fatura bulundu; 'Zaman aşımına uğramış' dediler. Onay bekleyen fatura sonunda emekli oldu.</t>
        </is>
      </c>
      <c r="K916" s="6" t="inlineStr">
        <is>
          <t>Faturayı buldular ve ödediler. Senin eski hesabına. Hesap kapanalı on yıl oldu.</t>
        </is>
      </c>
      <c r="L916" s="6" t="inlineStr"/>
      <c r="M916" s="5" t="inlineStr"/>
      <c r="N916" s="5" t="inlineStr"/>
      <c r="O916" s="6" t="inlineStr"/>
      <c r="P916" s="6" t="inlineStr"/>
      <c r="Q916" s="5" t="inlineStr"/>
      <c r="R916" s="5" t="inlineStr">
        <is>
          <t>serbest-alacakli</t>
        </is>
      </c>
      <c r="S916" s="5" t="inlineStr"/>
      <c r="T916" s="5" t="inlineStr">
        <is>
          <t>Fatura Avcısı</t>
        </is>
      </c>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row>
    <row r="917">
      <c r="A917" s="5" t="inlineStr">
        <is>
          <t>b8-lise-bulusmasi</t>
        </is>
      </c>
      <c r="B917" s="5" t="n">
        <v>1</v>
      </c>
      <c r="C917" s="6" t="inlineStr">
        <is>
          <t>Herkesle kısa sohbet et</t>
        </is>
      </c>
      <c r="D917" s="5" t="inlineStr"/>
      <c r="E917" s="5" t="inlineStr"/>
      <c r="F917" s="5" t="inlineStr">
        <is>
          <t>Çene +1, Sosyal Radar +1</t>
        </is>
      </c>
      <c r="G917" s="6" t="inlineStr">
        <is>
          <t>Kırk dört kişiyle “Ne yapıyorsun?” sohbeti yaptın, kırk dört kez aynı cevabı verdin: “İşte, koşturuyoruz.” Gece sonunda telefonunda yirmi yeni numara var; hiçbirini aramayacaksın.</t>
        </is>
      </c>
      <c r="H917" s="6" t="inlineStr"/>
      <c r="I917" s="6" t="inlineStr"/>
      <c r="J917" s="6" t="inlineStr"/>
      <c r="K917" s="6" t="inlineStr"/>
      <c r="L917" s="6" t="inlineStr"/>
      <c r="M917" s="5" t="inlineStr"/>
      <c r="N917" s="5" t="inlineStr"/>
      <c r="O917" s="6" t="inlineStr"/>
      <c r="P917" s="6" t="inlineStr"/>
      <c r="Q917" s="5" t="inlineStr"/>
      <c r="R917" s="5" t="inlineStr"/>
      <c r="S917" s="5" t="inlineStr"/>
      <c r="T917" s="5" t="inlineStr"/>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row>
    <row r="918">
      <c r="A918" s="5" t="inlineStr">
        <is>
          <t>b8-lise-bulusmasi</t>
        </is>
      </c>
      <c r="B918" s="5" t="n">
        <v>2</v>
      </c>
      <c r="C918" s="6" t="inlineStr">
        <is>
          <t>Kürsüye çık, anı konuşması yap</t>
        </is>
      </c>
      <c r="D918" s="5" t="inlineStr">
        <is>
          <t>Pişkinlik</t>
        </is>
      </c>
      <c r="E918" s="5" t="inlineStr">
        <is>
          <t>Orta</t>
        </is>
      </c>
      <c r="F918" s="5" t="inlineStr"/>
      <c r="G918" s="6" t="inlineStr"/>
      <c r="H918" s="6" t="inlineStr">
        <is>
          <t>Konuşma güldürdü. Salon, gençliğini beş dakikalığına geri aldı.</t>
        </is>
      </c>
      <c r="I918" s="6" t="inlineStr">
        <is>
          <t>Konuşmanın sonunda herkes ayağa kalktı ve okul marşını söyledi. Sözleri kimse hatırlamıyordu; ezgi yetti.</t>
        </is>
      </c>
      <c r="J918" s="6" t="inlineStr">
        <is>
          <t>Konuşmaya başladın; mikrofon arkadan gelen şarkıyla yarıştı. Şarkı kazandı.</t>
        </is>
      </c>
      <c r="K918" s="6" t="inlineStr">
        <is>
          <t>Eski bir öğretmeni taklit ettin. Öğretmen en ön masadaydı ve alkışlamadı.</t>
        </is>
      </c>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row>
    <row r="919">
      <c r="A919" s="5" t="inlineStr">
        <is>
          <t>b8-lise-bulusmasi</t>
        </is>
      </c>
      <c r="B919" s="5" t="n">
        <v>3</v>
      </c>
      <c r="C919" s="6" t="inlineStr">
        <is>
          <t>Kim kiminle, tahmin et</t>
        </is>
      </c>
      <c r="D919" s="5" t="inlineStr">
        <is>
          <t>Sosyal Radar</t>
        </is>
      </c>
      <c r="E919" s="5" t="inlineStr">
        <is>
          <t>Kolay</t>
        </is>
      </c>
      <c r="F919" s="5" t="inlineStr"/>
      <c r="G919" s="6" t="inlineStr"/>
      <c r="H919" s="6" t="inlineStr">
        <is>
          <t>Gece bitmeden kimin boşandığını, kimin Öte Diyar'a gittiğini, kimin hâlâ aynı sevgiliyle olduğunu biliyordun. Ertesi gün üç kişi seni aradı: “Sen bilirsin, o şimdi ne yapıyor?”</t>
        </is>
      </c>
      <c r="I919" s="6" t="inlineStr">
        <is>
          <t>Tahminlerin o kadar tuttu ki otuz beşinci yılı düzenleme işi sana kaldı. Mezunlar grubunun yöneticisi artık sensin; gece ikide gelen “Kim geliyor?” mesajları da sana.</t>
        </is>
      </c>
      <c r="J919" s="6" t="inlineStr">
        <is>
          <t>Analizinde bir boşanmayı evlilik sandın. Tebrik ettin.</t>
        </is>
      </c>
      <c r="K919" s="6" t="inlineStr">
        <is>
          <t>Analizini yüksek sesle yaptın. Masanın öbür ucu seni duydu; eski sevgililer bu kez birlikte baktı.</t>
        </is>
      </c>
      <c r="L919" s="6" t="inlineStr"/>
      <c r="M919" s="5" t="inlineStr"/>
      <c r="N919" s="5" t="inlineStr"/>
      <c r="O919" s="6" t="inlineStr"/>
      <c r="P919" s="6" t="inlineStr"/>
      <c r="Q919" s="5" t="inlineStr"/>
      <c r="R919" s="5" t="inlineStr"/>
      <c r="S919" s="5" t="inlineStr">
        <is>
          <t>Sosyal Radar</t>
        </is>
      </c>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row>
    <row r="920">
      <c r="A920" s="5" t="inlineStr">
        <is>
          <t>b8-lise-bulusmasi</t>
        </is>
      </c>
      <c r="B920" s="5" t="n">
        <v>4</v>
      </c>
      <c r="C920" s="6" t="inlineStr">
        <is>
          <t>O eski videoyu canlandır</t>
        </is>
      </c>
      <c r="D920" s="5" t="inlineStr">
        <is>
          <t>Pişkinlik</t>
        </is>
      </c>
      <c r="E920" s="5" t="inlineStr">
        <is>
          <t>Kolay</t>
        </is>
      </c>
      <c r="F920" s="5" t="inlineStr"/>
      <c r="G920" s="6" t="inlineStr"/>
      <c r="H920" s="6" t="inlineStr">
        <is>
          <t>Hareketi yaptın. Salon çıldırdı; otuz yıl bir anda sıfırlandı.</t>
        </is>
      </c>
      <c r="I920" s="6" t="inlineStr">
        <is>
          <t>Herkes seninle birlikte yaptı: kırk kişi, aynı hareket, kırk ayrı bel ağrısı. Video ikinci kez yayıldı; bu kez çocuklarınız da paylaştı, utanarak.</t>
        </is>
      </c>
      <c r="J920" s="6" t="inlineStr">
        <is>
          <t>Hareketi yaptın; belin artık o hareketi yapmıyor. Yarıda kaldı.</t>
        </is>
      </c>
      <c r="K920" s="6" t="inlineStr">
        <is>
          <t>Hareketi yaptın; kimse hatırlamadı. Yeni video: 'Orta yaşlı biri tek başına dans ediyor.'</t>
        </is>
      </c>
      <c r="L920" s="6" t="inlineStr"/>
      <c r="M920" s="5" t="inlineStr"/>
      <c r="N920" s="5" t="inlineStr"/>
      <c r="O920" s="6" t="inlineStr"/>
      <c r="P920" s="6" t="inlineStr"/>
      <c r="Q920" s="5" t="inlineStr"/>
      <c r="R920" s="5" t="inlineStr">
        <is>
          <t>fenomen</t>
        </is>
      </c>
      <c r="S920" s="5" t="inlineStr"/>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row>
    <row r="921">
      <c r="A921" s="5" t="inlineStr">
        <is>
          <t>b8-sahte-haber</t>
        </is>
      </c>
      <c r="B921" s="5" t="n">
        <v>1</v>
      </c>
      <c r="C921" s="6" t="inlineStr">
        <is>
          <t>Görmezden gel</t>
        </is>
      </c>
      <c r="D921" s="5" t="inlineStr"/>
      <c r="E921" s="5" t="inlineStr"/>
      <c r="F921" s="5" t="inlineStr">
        <is>
          <t>Dayanıklılık +1</t>
        </is>
      </c>
      <c r="G921" s="6" t="inlineStr">
        <is>
          <t>Saat 15.00'te telefonun patlamadı. Sadece annen dört kez aradı: 'Sen kapatmadın mı?'</t>
        </is>
      </c>
      <c r="H921" s="6" t="inlineStr"/>
      <c r="I921" s="6" t="inlineStr"/>
      <c r="J921" s="6" t="inlineStr"/>
      <c r="K921" s="6" t="inlineStr"/>
      <c r="L921" s="6" t="inlineStr"/>
      <c r="M921" s="5" t="inlineStr"/>
      <c r="N921" s="5" t="inlineStr"/>
      <c r="O921" s="6" t="inlineStr"/>
      <c r="P921" s="6" t="inlineStr"/>
      <c r="Q921" s="5" t="inlineStr"/>
      <c r="R921" s="5" t="inlineStr"/>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row>
    <row r="922">
      <c r="A922" s="5" t="inlineStr">
        <is>
          <t>b8-sahte-haber</t>
        </is>
      </c>
      <c r="B922" s="5" t="n">
        <v>2</v>
      </c>
      <c r="C922" s="6" t="inlineStr">
        <is>
          <t>Yalanlama bağlantısı gönder</t>
        </is>
      </c>
      <c r="D922" s="5" t="inlineStr">
        <is>
          <t>Akıl</t>
        </is>
      </c>
      <c r="E922" s="5" t="inlineStr">
        <is>
          <t>Orta</t>
        </is>
      </c>
      <c r="F922" s="5" t="inlineStr"/>
      <c r="G922" s="6" t="inlineStr"/>
      <c r="H922" s="6" t="inlineStr">
        <is>
          <t>Amca “Olsun, tedbir” dedi ve telefonunu yine de kapattı. 15.01'de açıp gruba yazdı: “Gördünüz mü, bir şey olmadı. Çünkü kapattık.”</t>
        </is>
      </c>
      <c r="I922" s="6" t="inlineStr">
        <is>
          <t>Amca özür diledi ve bir daha iletmeyeceğine söz verdi. Söz iki gün sürdü; rekor.</t>
        </is>
      </c>
      <c r="J922" s="6" t="inlineStr">
        <is>
          <t>Bağlantını da sahte haber sandılar. Artık sen 'şüpheli kaynak'sın.</t>
        </is>
      </c>
      <c r="K922" s="6" t="inlineStr">
        <is>
          <t>Grupta 'Kimin haberi doğru?' anketi açıldı. Dörde bir kaybettin.</t>
        </is>
      </c>
      <c r="L922" s="6" t="inlineStr">
        <is>
          <t>Üç haberden ikisini yalanladın. Amca üçüncüsüne sarıldı: “Bari bunu bırak.”</t>
        </is>
      </c>
      <c r="M922" s="5" t="inlineStr">
        <is>
          <t>swipe</t>
        </is>
      </c>
      <c r="N922" s="5" t="inlineStr">
        <is>
          <t>Doğru mu, Sahte mi?</t>
        </is>
      </c>
      <c r="O922" s="6" t="inlineStr">
        <is>
          <t>Haberler akıyor; sahteyi sola, doğruyu sağa at. Amca senden hızlı iletiyor.</t>
        </is>
      </c>
      <c r="P922" s="6" t="inlineStr">
        <is>
          <t>{"left": "Sahte", "right": "Doğru", "items": [{"t": "Belediye su kesintisi duyurdu: salı 10–14", "right": true}, {"t": "Limonlu su her hastalığı üç günde geçirir", "right": false}, {"t": "Köprü yarın gece bakım için kapalı", "right": true}, {"t": "Bu mesajı on kişiye atmazsan telefonun kilitlenir", "right": false}, {"t": "Emekli ikramiyesi ayın on beşinde yatıyor", "right": true}, {"t": "Uzaylılar çarşıda dolma yerken görüldü", "right": false}, {"t": "Pazar yeri bu hafta cumartesiye alındı", "right": true}, {"t": "Dünyanın en zeki çocuğu bizim mahalleden çıktı (fotoğraf yok)", "right": false}]}</t>
        </is>
      </c>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row>
    <row r="923">
      <c r="A923" s="5" t="inlineStr">
        <is>
          <t>b8-sahte-haber</t>
        </is>
      </c>
      <c r="B923" s="5" t="n">
        <v>3</v>
      </c>
      <c r="C923" s="6" t="inlineStr">
        <is>
          <t>Amcayı özelden ara</t>
        </is>
      </c>
      <c r="D923" s="5" t="inlineStr">
        <is>
          <t>Sosyal Radar</t>
        </is>
      </c>
      <c r="E923" s="5" t="inlineStr">
        <is>
          <t>Zor</t>
        </is>
      </c>
      <c r="F923" s="5" t="inlineStr"/>
      <c r="G923" s="6" t="inlineStr"/>
      <c r="H923" s="6" t="inlineStr">
        <is>
          <t>Haberi değil, hâlini sordun; meğer kimse sormuyormuş. Haberler azaldı. Artık gruba bahçesindeki domatesin fotoğrafını atıyor.</t>
        </is>
      </c>
      <c r="I923" s="6" t="inlineStr">
        <is>
          <t>Yarım saat konuştunuz. Sonunda 'Şu haber işini bırakayım' dedi. Grupta huzurlu bir sessizlik.</t>
        </is>
      </c>
      <c r="J923" s="6" t="inlineStr">
        <is>
          <t>Amca sana üç haber daha anlattı. Bu kez sesli.</t>
        </is>
      </c>
      <c r="K923" s="6" t="inlineStr">
        <is>
          <t>Amca seni grubun yöneticisi yaptı. Artık her sahte haberin sorumlusu sensin.</t>
        </is>
      </c>
      <c r="L923" s="6" t="inlineStr"/>
      <c r="M923" s="5" t="inlineStr"/>
      <c r="N923" s="5" t="inlineStr"/>
      <c r="O923" s="6" t="inlineStr"/>
      <c r="P923" s="6" t="inlineStr"/>
      <c r="Q923" s="5" t="inlineStr"/>
      <c r="R923" s="5" t="inlineStr"/>
      <c r="S923" s="5" t="inlineStr"/>
      <c r="T923" s="5" t="inlineStr">
        <is>
          <t>Aile Grubu Moderatörü</t>
        </is>
      </c>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row>
    <row r="924">
      <c r="A924" s="5" t="inlineStr">
        <is>
          <t>b8-sahte-haber</t>
        </is>
      </c>
      <c r="B924" s="5" t="n">
        <v>4</v>
      </c>
      <c r="C924" s="6" t="inlineStr">
        <is>
          <t>Daha absürt bir haberle karşılık ver</t>
        </is>
      </c>
      <c r="D924" s="5" t="inlineStr">
        <is>
          <t>Pişkinlik</t>
        </is>
      </c>
      <c r="E924" s="5" t="inlineStr">
        <is>
          <t>Orta</t>
        </is>
      </c>
      <c r="F924" s="5" t="inlineStr"/>
      <c r="G924" s="6" t="inlineStr"/>
      <c r="H924" s="6" t="inlineStr">
        <is>
          <t>'Yarın yerçekimi yarım saat kapanıyor' yazdın. Grup güldü; amca da güldü, sonra 'Doğru mu?' diye sordu.</t>
        </is>
      </c>
      <c r="I924" s="6" t="inlineStr">
        <is>
          <t>Grup kahkahaya boğuldu; amca ilk kez bir haberin altına gülen surat koydu. Ertesi sabah gruba haber değil, yalnızca “Günaydın” yazdı.</t>
        </is>
      </c>
      <c r="J924" s="6" t="inlineStr">
        <is>
          <t>Haberin fazla inandırıcı bulundu. Halan pencereleri kapattı.</t>
        </is>
      </c>
      <c r="K924" s="6" t="inlineStr">
        <is>
          <t>Haberin başka gruplara sıçradı. Üç gün sonra sana geri döndü; kaynak: 'bir tanıdık.'</t>
        </is>
      </c>
      <c r="L924" s="6" t="inlineStr"/>
      <c r="M924" s="5" t="inlineStr"/>
      <c r="N924" s="5" t="inlineStr"/>
      <c r="O924" s="6" t="inlineStr"/>
      <c r="P924" s="6" t="inlineStr"/>
      <c r="Q924" s="5" t="inlineStr">
        <is>
          <t>Yüzü Kızarmaz</t>
        </is>
      </c>
      <c r="R924" s="5" t="inlineStr"/>
      <c r="S924" s="5" t="inlineStr"/>
      <c r="T924" s="5" t="inlineStr"/>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row>
    <row r="925">
      <c r="A925" s="5" t="inlineStr">
        <is>
          <t>mb-asansorde-genel-mudur</t>
        </is>
      </c>
      <c r="B925" s="5" t="n">
        <v>1</v>
      </c>
      <c r="C925" s="6" t="inlineStr">
        <is>
          <t>Hava durumundan bahset</t>
        </is>
      </c>
      <c r="D925" s="5" t="inlineStr"/>
      <c r="E925" s="5" t="inlineStr"/>
      <c r="F925" s="5" t="inlineStr">
        <is>
          <t>Dayanıklılık +1</t>
        </is>
      </c>
      <c r="G925" s="6" t="inlineStr">
        <is>
          <t>Kırk dakika hava durumu konuştunuz. Çıkarken genel müdür 'Güzel sohbetti. Adın neydi?' dedi.</t>
        </is>
      </c>
      <c r="H925" s="6" t="inlineStr"/>
      <c r="I925" s="6" t="inlineStr"/>
      <c r="J925" s="6" t="inlineStr"/>
      <c r="K925" s="6" t="inlineStr"/>
      <c r="L925" s="6" t="inlineStr"/>
      <c r="M925" s="5" t="inlineStr"/>
      <c r="N925" s="5" t="inlineStr"/>
      <c r="O925" s="6" t="inlineStr"/>
      <c r="P925" s="6" t="inlineStr"/>
      <c r="Q925" s="5" t="inlineStr"/>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row>
    <row r="926">
      <c r="A926" s="5" t="inlineStr">
        <is>
          <t>mb-asansorde-genel-mudur</t>
        </is>
      </c>
      <c r="B926" s="5" t="n">
        <v>2</v>
      </c>
      <c r="C926" s="6" t="inlineStr">
        <is>
          <t>Projeni anlat</t>
        </is>
      </c>
      <c r="D926" s="5" t="inlineStr">
        <is>
          <t>Cesaret</t>
        </is>
      </c>
      <c r="E926" s="5" t="inlineStr">
        <is>
          <t>Zor</t>
        </is>
      </c>
      <c r="F926" s="5" t="inlineStr"/>
      <c r="G926" s="6" t="inlineStr"/>
      <c r="H926" s="6" t="inlineStr">
        <is>
          <t>Projeni kırk dakikada üç kez anlattın; üçüncüsünde genel müdür telefonuna not aldı. Kapı açıldığında projenin bütçesi vardı, senin de terden sırılsıklam bir gömleğin.</t>
        </is>
      </c>
      <c r="I926" s="6" t="inlineStr">
        <is>
          <t>Kapı açıldı, genel müdür 'Devam edelim' deyip seni ofisine aldı. O günden beri kat değiştirdin.</t>
        </is>
      </c>
      <c r="J926" s="6" t="inlineStr">
        <is>
          <t>Anlattın; genel müdür kırk dakika boyunca telefonunun çekip çekmediğine baktı.</t>
        </is>
      </c>
      <c r="K926" s="6" t="inlineStr">
        <is>
          <t>Projeni anlatırken eski bir projeyi yerden yere vurdun. O projeyi başlatan oydu. Daha otuz sekiz dakika vardı.</t>
        </is>
      </c>
      <c r="L926" s="6" t="inlineStr"/>
      <c r="M926" s="5" t="inlineStr"/>
      <c r="N926" s="5" t="inlineStr"/>
      <c r="O926" s="6" t="inlineStr"/>
      <c r="P926" s="6" t="inlineStr"/>
      <c r="Q926" s="5" t="inlineStr"/>
      <c r="R926" s="5" t="inlineStr"/>
      <c r="S926" s="5" t="inlineStr"/>
      <c r="T926" s="5" t="inlineStr"/>
      <c r="U926" s="5" t="inlineStr"/>
      <c r="V926" s="5" t="inlineStr">
        <is>
          <t>beyazyaka-gm-tanidik</t>
        </is>
      </c>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row>
    <row r="927">
      <c r="A927" s="5" t="inlineStr">
        <is>
          <t>mb-asansorde-genel-mudur</t>
        </is>
      </c>
      <c r="B927" s="5" t="n">
        <v>3</v>
      </c>
      <c r="C927" s="6" t="inlineStr">
        <is>
          <t>Balıkçılıktan aç</t>
        </is>
      </c>
      <c r="D927" s="5" t="inlineStr">
        <is>
          <t>Sosyal Radar</t>
        </is>
      </c>
      <c r="E927" s="5" t="inlineStr">
        <is>
          <t>Kolay</t>
        </is>
      </c>
      <c r="F927" s="5" t="inlineStr"/>
      <c r="G927" s="6" t="inlineStr"/>
      <c r="H927" s="6" t="inlineStr">
        <is>
          <t>Kırk dakika olta konuştunuz. Hafta sonu göle davet edildin.</t>
        </is>
      </c>
      <c r="I927" s="6" t="inlineStr">
        <is>
          <t>Göle davet edildin; ertesi ay bir birimin başına getirildin. Yem işe yaradı.</t>
        </is>
      </c>
      <c r="J927" s="6" t="inlineStr">
        <is>
          <t>Balıktan açtın; genel müdür denizci çıktı. Göl lafı hakaret sayıldı.</t>
        </is>
      </c>
      <c r="K927" s="6" t="inlineStr">
        <is>
          <t>Balıktan açtın; genel müdür “Balık tuttuğumu nereden biliyorsun?” dedi. Çantasına baktığını itiraf ettin. Kalan otuz beş dakika boyunca çantasını göğsüne bastırarak durdu.</t>
        </is>
      </c>
      <c r="L927" s="6" t="inlineStr"/>
      <c r="M927" s="5" t="inlineStr"/>
      <c r="N927" s="5" t="inlineStr"/>
      <c r="O927" s="6" t="inlineStr"/>
      <c r="P927" s="6" t="inlineStr"/>
      <c r="Q927" s="5" t="inlineStr"/>
      <c r="R927" s="5" t="inlineStr"/>
      <c r="S927" s="5" t="inlineStr">
        <is>
          <t>Sosyal Radar</t>
        </is>
      </c>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row>
    <row r="928">
      <c r="A928" s="5" t="inlineStr">
        <is>
          <t>mb-asansorde-genel-mudur</t>
        </is>
      </c>
      <c r="B928" s="5" t="n">
        <v>4</v>
      </c>
      <c r="C928" s="6" t="inlineStr">
        <is>
          <t>Tavan kapağından çıkmayı dene</t>
        </is>
      </c>
      <c r="D928" s="5" t="inlineStr">
        <is>
          <t>Cesaret</t>
        </is>
      </c>
      <c r="E928" s="5" t="inlineStr">
        <is>
          <t>Zor</t>
        </is>
      </c>
      <c r="F928" s="5" t="inlineStr"/>
      <c r="G928" s="6" t="inlineStr"/>
      <c r="H928" s="6" t="inlineStr">
        <is>
          <t>Kapağı açtın, teknisyene el salladın. Genel müdür seni 'kriz yöneticisi' olarak hatırladı.</t>
        </is>
      </c>
      <c r="I928" s="6" t="inlineStr">
        <is>
          <t>Genel müdürü tavandan çıkardın. Şirket bülteninde kapak oldun: 'Liderlik yukarıdan başlar.'</t>
        </is>
      </c>
      <c r="J928" s="6" t="inlineStr">
        <is>
          <t>Kapağa uzandın, açamadın; pantolonunun dikişi açıldı. Genel müdür kalan otuz dakika boyunca nazikçe tavana baktı.</t>
        </is>
      </c>
      <c r="K928" s="6" t="inlineStr">
        <is>
          <t>Tavan kapağından yarıya kadar çıktın, kalçadan takıldın. Bacakların otuz beş dakika asansörün içinde sallandı; genel müdür onlara bakmamaya çalıştı. Teknisyen önce seni çıkardı.</t>
        </is>
      </c>
      <c r="L928" s="6" t="inlineStr"/>
      <c r="M928" s="5" t="inlineStr"/>
      <c r="N928" s="5" t="inlineStr"/>
      <c r="O928" s="6" t="inlineStr"/>
      <c r="P928" s="6" t="inlineStr"/>
      <c r="Q928" s="5" t="inlineStr"/>
      <c r="R928" s="5" t="inlineStr"/>
      <c r="S928" s="5" t="inlineStr"/>
      <c r="T928" s="5" t="inlineStr"/>
      <c r="U928" s="5" t="inlineStr"/>
      <c r="V928" s="5" t="inlineStr">
        <is>
          <t>beyazyaka-gm-tanidik</t>
        </is>
      </c>
      <c r="W928" s="5" t="inlineStr"/>
      <c r="X928" s="5" t="inlineStr"/>
      <c r="Y928" s="5" t="n">
        <v>2</v>
      </c>
      <c r="Z928" s="6" t="inlineStr">
        <is>
          <t>Arızalı plaza asansörünün tavan kapağından genel müdürü kurtarmaya çalışırken. Asansör tam o sırada düzeldi.</t>
        </is>
      </c>
      <c r="AA928" s="5" t="inlineStr"/>
      <c r="AB928" s="5" t="inlineStr"/>
      <c r="AC928" s="5" t="inlineStr"/>
      <c r="AD928" s="5" t="inlineStr"/>
      <c r="AE928" s="5" t="inlineStr"/>
      <c r="AF928" s="5" t="inlineStr"/>
      <c r="AG928" s="5" t="inlineStr"/>
      <c r="AH928" s="5" t="inlineStr"/>
      <c r="AI928" s="5" t="inlineStr"/>
    </row>
    <row r="929">
      <c r="A929" s="5" t="inlineStr">
        <is>
          <t>me-tek-yildiz</t>
        </is>
      </c>
      <c r="B929" s="5" t="n">
        <v>1</v>
      </c>
      <c r="C929" s="6" t="inlineStr">
        <is>
          <t>Kibar bir cevap yaz</t>
        </is>
      </c>
      <c r="D929" s="5" t="inlineStr"/>
      <c r="E929" s="5" t="inlineStr"/>
      <c r="F929" s="5" t="inlineStr">
        <is>
          <t>İtibar +1, Çene +1</t>
        </is>
      </c>
      <c r="G929" s="6" t="inlineStr">
        <is>
          <t>“Değerli yorumunuz için teşekkürler, gündüz de bekleriz; çayımız demli” yazdın. Cevabın yorumdan fazla beğeni aldı; birini karşı dükkân yapmış.</t>
        </is>
      </c>
      <c r="H929" s="6" t="inlineStr"/>
      <c r="I929" s="6" t="inlineStr"/>
      <c r="J929" s="6" t="inlineStr"/>
      <c r="K929" s="6" t="inlineStr"/>
      <c r="L929" s="6" t="inlineStr"/>
      <c r="M929" s="5" t="inlineStr"/>
      <c r="N929" s="5" t="inlineStr"/>
      <c r="O929" s="6" t="inlineStr"/>
      <c r="P929" s="6" t="inlineStr"/>
      <c r="Q929" s="5" t="inlineStr"/>
      <c r="R929" s="5" t="inlineStr"/>
      <c r="S929" s="5" t="inlineStr"/>
      <c r="T929" s="5" t="inlineStr"/>
      <c r="U929" s="5" t="inlineStr"/>
      <c r="V929" s="5" t="inlineStr"/>
      <c r="W929" s="5" t="inlineStr"/>
      <c r="X929" s="5" t="inlineStr"/>
      <c r="Y929" s="5" t="inlineStr"/>
      <c r="Z929" s="6" t="inlineStr"/>
      <c r="AA929" s="5" t="inlineStr"/>
      <c r="AB929" s="5" t="inlineStr"/>
      <c r="AC929" s="5" t="inlineStr"/>
      <c r="AD929" s="5" t="inlineStr"/>
      <c r="AE929" s="5" t="inlineStr"/>
      <c r="AF929" s="5" t="inlineStr"/>
      <c r="AG929" s="5" t="inlineStr"/>
      <c r="AH929" s="5" t="inlineStr"/>
      <c r="AI929" s="5" t="inlineStr"/>
    </row>
    <row r="930">
      <c r="A930" s="5" t="inlineStr">
        <is>
          <t>me-tek-yildiz</t>
        </is>
      </c>
      <c r="B930" s="5" t="n">
        <v>2</v>
      </c>
      <c r="C930" s="6" t="inlineStr">
        <is>
          <t>Müşteriyi bul, gönlünü al</t>
        </is>
      </c>
      <c r="D930" s="5" t="inlineStr">
        <is>
          <t>Sosyal Radar</t>
        </is>
      </c>
      <c r="E930" s="5" t="inlineStr">
        <is>
          <t>Orta</t>
        </is>
      </c>
      <c r="F930" s="5" t="inlineStr"/>
      <c r="G930" s="6" t="inlineStr"/>
      <c r="H930" s="6" t="inlineStr">
        <is>
          <t>Yorumcuyu buldun, dükkâna çağırdın, ikram ettin. Yıldız beşe çıktı.</t>
        </is>
      </c>
      <c r="I930" s="6" t="inlineStr">
        <is>
          <t>Yorum 'Hayatımın esnafı' olarak güncellendi. Fotoğraf da eklendi; ikinizin.</t>
        </is>
      </c>
      <c r="J930" s="6" t="inlineStr">
        <is>
          <t>Bulduğun kişi yanlış kişiymiş. Şimdi iki kişi seni güler yüzsüz buluyor.</t>
        </is>
      </c>
      <c r="K930" s="6" t="inlineStr">
        <is>
          <t>Gönlünü almaya gittin, fazla gülümsedin. Yeni yorum: 'Esnaf ürkütücü derecede güler yüzlü.'</t>
        </is>
      </c>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row>
    <row r="931">
      <c r="A931" s="5" t="inlineStr">
        <is>
          <t>me-tek-yildiz</t>
        </is>
      </c>
      <c r="B931" s="5" t="n">
        <v>3</v>
      </c>
      <c r="C931" s="6" t="inlineStr">
        <is>
          <t>Karşı dükkâna yorum yaz</t>
        </is>
      </c>
      <c r="D931" s="5" t="inlineStr">
        <is>
          <t>Kurnazlık</t>
        </is>
      </c>
      <c r="E931" s="5" t="inlineStr">
        <is>
          <t>Zor</t>
        </is>
      </c>
      <c r="F931" s="5" t="inlineStr"/>
      <c r="G931" s="6" t="inlineStr"/>
      <c r="H931" s="6" t="inlineStr">
        <is>
          <t>Karşıya dört yıldız verdin: 'Ürünler iyi ama karşıdaki daha iyi.' Kibar ve öldürücü.</t>
        </is>
      </c>
      <c r="I931" s="6" t="inlineStr">
        <is>
          <t>Yorumun o kadar dengeli oldu ki karşı dükkân onu vitrinine astı. Vitrinlerinde senin reklamın duruyor.</t>
        </is>
      </c>
      <c r="J931" s="6" t="inlineStr">
        <is>
          <t>Yorumu yazdın; profil fotoğrafında kendi kasan görünüyordu.</t>
        </is>
      </c>
      <c r="K931" s="6" t="inlineStr">
        <is>
          <t>Yorumu yanlış dükkâna yazdın: kendine. Tek yıldız. Artık iki tane.</t>
        </is>
      </c>
      <c r="L931" s="6" t="inlineStr"/>
      <c r="M931" s="5" t="inlineStr"/>
      <c r="N931" s="5" t="inlineStr"/>
      <c r="O931" s="6" t="inlineStr"/>
      <c r="P931" s="6" t="inlineStr"/>
      <c r="Q931" s="5" t="inlineStr"/>
      <c r="R931" s="5" t="inlineStr">
        <is>
          <t>esnaf-komsu-rakip</t>
        </is>
      </c>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row>
    <row r="932">
      <c r="A932" s="5" t="inlineStr">
        <is>
          <t>me-tek-yildiz</t>
        </is>
      </c>
      <c r="B932" s="5" t="n">
        <v>4</v>
      </c>
      <c r="C932" s="6" t="inlineStr">
        <is>
          <t>Görmezden gel</t>
        </is>
      </c>
      <c r="D932" s="5" t="inlineStr"/>
      <c r="E932" s="5" t="inlineStr"/>
      <c r="F932" s="5" t="inlineStr">
        <is>
          <t>Dayanıklılık +1</t>
        </is>
      </c>
      <c r="G932" s="6" t="inlineStr">
        <is>
          <t>Yorumu görmezden geldin; çarşı gelmedi. Akşam kepenk indirirken yan dükkândan seslendiler: “Gülümse biraz!”</t>
        </is>
      </c>
      <c r="H932" s="6" t="inlineStr"/>
      <c r="I932" s="6" t="inlineStr"/>
      <c r="J932" s="6" t="inlineStr"/>
      <c r="K932" s="6" t="inlineStr"/>
      <c r="L932" s="6" t="inlineStr"/>
      <c r="M932" s="5" t="inlineStr"/>
      <c r="N932" s="5" t="inlineStr"/>
      <c r="O932" s="6" t="inlineStr"/>
      <c r="P932" s="6" t="inlineStr"/>
      <c r="Q932" s="5" t="inlineStr"/>
      <c r="R932" s="5" t="inlineStr"/>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row>
    <row r="933">
      <c r="A933" s="5" t="inlineStr">
        <is>
          <t>mm-vatandasla-diyalog</t>
        </is>
      </c>
      <c r="B933" s="5" t="n">
        <v>1</v>
      </c>
      <c r="C933" s="6" t="inlineStr">
        <is>
          <t>Usulü anlat</t>
        </is>
      </c>
      <c r="D933" s="5" t="inlineStr"/>
      <c r="E933" s="5" t="inlineStr"/>
      <c r="F933" s="5" t="inlineStr">
        <is>
          <t>İtibar +1, Akıl +1</t>
        </is>
      </c>
      <c r="G933" s="6" t="inlineStr">
        <is>
          <t>Dilekçe, iki fotokopi, bir vesikalık. Adam söylene söylene sıraya geçti; çıkarken “Siz iyi birisiniz ama düzen bozuk” dedi. Yirmi yıldır en sık duyduğun iltifat.</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row>
    <row r="934">
      <c r="A934" s="5" t="inlineStr">
        <is>
          <t>mm-vatandasla-diyalog</t>
        </is>
      </c>
      <c r="B934" s="5" t="n">
        <v>2</v>
      </c>
      <c r="C934" s="6" t="inlineStr">
        <is>
          <t>'Ben de masayım' de</t>
        </is>
      </c>
      <c r="D934" s="5" t="inlineStr">
        <is>
          <t>Pişkinlik</t>
        </is>
      </c>
      <c r="E934" s="5" t="inlineStr">
        <is>
          <t>Orta</t>
        </is>
      </c>
      <c r="F934" s="5" t="inlineStr"/>
      <c r="G934" s="6" t="inlineStr"/>
      <c r="H934" s="6" t="inlineStr">
        <is>
          <t>Vatandaş bir saniye düşündü, sonra sıraya geçti.</t>
        </is>
      </c>
      <c r="I934" s="6" t="inlineStr">
        <is>
          <t>Koridor alkışladı. Cümle bir haftada kısa video uygulamasında 'masa memur' diye yayıldı.</t>
        </is>
      </c>
      <c r="J934" s="6" t="inlineStr">
        <is>
          <t>'Masa mı? Müdürünüzü çağırın' dedi. Müdür de bir masaydı.</t>
        </is>
      </c>
      <c r="K934" s="6" t="inlineStr">
        <is>
          <t>Gerçekten birinin nesiymiş: müdürün kayınpederi. Pazartesiden itibaren arşivdesin; kapında elle yazılmış bir kâğıt: “Masa.”</t>
        </is>
      </c>
      <c r="L934" s="6" t="inlineStr"/>
      <c r="M934" s="5" t="inlineStr"/>
      <c r="N934" s="5" t="inlineStr"/>
      <c r="O934" s="6" t="inlineStr"/>
      <c r="P934" s="6" t="inlineStr"/>
      <c r="Q934" s="5" t="inlineStr"/>
      <c r="R934" s="5" t="inlineStr"/>
      <c r="S934" s="5" t="inlineStr">
        <is>
          <t>Pişkinlik</t>
        </is>
      </c>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is>
          <t>Masa</t>
        </is>
      </c>
    </row>
    <row r="935">
      <c r="A935" s="5" t="inlineStr">
        <is>
          <t>mm-vatandasla-diyalog</t>
        </is>
      </c>
      <c r="B935" s="5" t="n">
        <v>3</v>
      </c>
      <c r="C935" s="6" t="inlineStr">
        <is>
          <t>Kayıp dosyayı tanı</t>
        </is>
      </c>
      <c r="D935" s="5" t="inlineStr">
        <is>
          <t>Akıl</t>
        </is>
      </c>
      <c r="E935" s="5" t="inlineStr">
        <is>
          <t>Orta</t>
        </is>
      </c>
      <c r="F935" s="5" t="inlineStr"/>
      <c r="G935" s="6" t="inlineStr"/>
      <c r="H935" s="6" t="inlineStr">
        <is>
          <t>Arşivin tam yerini hatırladın. Yıllardır süren iş on üç dakikada bitti.</t>
        </is>
      </c>
      <c r="I935" s="6" t="inlineStr">
        <is>
          <t>Dosyayı buldun, işlemi bitirdin. Kim olduğunu sonunda söyledi: 'Sabırlı biri.'</t>
        </is>
      </c>
      <c r="J935" s="6" t="inlineStr">
        <is>
          <t>Arşiv taşınmış. Yeni arşiv, eski arşivin nerede olduğunu bilmiyor.</t>
        </is>
      </c>
      <c r="K935" s="6" t="inlineStr">
        <is>
          <t>'Bunu ben kaybetmiştim' dedin. Kim olduğunu bu kez söyledi: avukat.</t>
        </is>
      </c>
      <c r="L935" s="6" t="inlineStr"/>
      <c r="M935" s="5" t="inlineStr"/>
      <c r="N935" s="5" t="inlineStr"/>
      <c r="O935" s="6" t="inlineStr"/>
      <c r="P935" s="6" t="inlineStr"/>
      <c r="Q935" s="5" t="inlineStr"/>
      <c r="R935" s="5" t="inlineStr">
        <is>
          <t>memur-kayip-dosya</t>
        </is>
      </c>
      <c r="S935" s="5" t="inlineStr"/>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row>
    <row r="936">
      <c r="A936" s="5" t="inlineStr">
        <is>
          <t>mm-vatandasla-diyalog</t>
        </is>
      </c>
      <c r="B936" s="5" t="n">
        <v>4</v>
      </c>
      <c r="C936" s="6" t="inlineStr">
        <is>
          <t>Kibarca sıraya yönlendir</t>
        </is>
      </c>
      <c r="D936" s="5" t="inlineStr">
        <is>
          <t>Cesaret</t>
        </is>
      </c>
      <c r="E936" s="5" t="inlineStr">
        <is>
          <t>Kolay</t>
        </is>
      </c>
      <c r="F936" s="5" t="inlineStr"/>
      <c r="G936" s="6" t="inlineStr"/>
      <c r="H936" s="6" t="inlineStr">
        <is>
          <t>Sıra numarası verdin. Vatandaş kim olduğunu sıra numarasıyla öğrendi: 47.</t>
        </is>
      </c>
      <c r="I936" s="6" t="inlineStr">
        <is>
          <t>Öyle sakin söyledin ki arkadaki herkes de sıraya geçti. Koridorda ilk kez düzen var.</t>
        </is>
      </c>
      <c r="J936" s="6" t="inlineStr">
        <is>
          <t>Sıraya geçti; üç dakika sonra yine masadaydı. 'Bir şey soracağım sadece.'</t>
        </is>
      </c>
      <c r="K936" s="6" t="inlineStr">
        <is>
          <t>Sıraya yönlendirdin; sıranın başındaki kişi onun kim olduğunu biliyormuş. Herkes ona yer verdi.</t>
        </is>
      </c>
      <c r="L936" s="6" t="inlineStr"/>
      <c r="M936" s="5" t="inlineStr"/>
      <c r="N936" s="5" t="inlineStr"/>
      <c r="O936" s="6" t="inlineStr"/>
      <c r="P936" s="6" t="inlineStr"/>
      <c r="Q936" s="5" t="inlineStr"/>
      <c r="R936" s="5" t="inlineStr"/>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row>
    <row r="937">
      <c r="A937" s="5" t="inlineStr">
        <is>
          <t>b8-yeni-hobi</t>
        </is>
      </c>
      <c r="B937" s="5" t="n">
        <v>1</v>
      </c>
      <c r="C937" s="6" t="inlineStr">
        <is>
          <t>Ekşi maya besle</t>
        </is>
      </c>
      <c r="D937" s="5" t="inlineStr"/>
      <c r="E937" s="5" t="inlineStr"/>
      <c r="F937" s="5" t="inlineStr">
        <is>
          <t>İtibar +1, Dayanıklılık +1</t>
        </is>
      </c>
      <c r="G937" s="6" t="inlineStr">
        <is>
          <t>Mayaya bir isim verdin. Artık haftada iki kez ona bakıyorsun; o sana hiç bakmıyor.</t>
        </is>
      </c>
      <c r="H937" s="6" t="inlineStr"/>
      <c r="I937" s="6" t="inlineStr"/>
      <c r="J937" s="6" t="inlineStr"/>
      <c r="K937" s="6" t="inlineStr"/>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row>
    <row r="938">
      <c r="A938" s="5" t="inlineStr">
        <is>
          <t>b8-yeni-hobi</t>
        </is>
      </c>
      <c r="B938" s="5" t="n">
        <v>2</v>
      </c>
      <c r="C938" s="6" t="inlineStr">
        <is>
          <t>Bağlama kursuna yazıl</t>
        </is>
      </c>
      <c r="D938" s="5" t="inlineStr">
        <is>
          <t>Dayanıklılık</t>
        </is>
      </c>
      <c r="E938" s="5" t="inlineStr">
        <is>
          <t>Orta</t>
        </is>
      </c>
      <c r="F938" s="5" t="inlineStr"/>
      <c r="G938" s="6" t="inlineStr"/>
      <c r="H938" s="6" t="inlineStr">
        <is>
          <t>Üç ayda iki türkü çaldın. Komşular birini ezberledi.</t>
        </is>
      </c>
      <c r="I938" s="6" t="inlineStr">
        <is>
          <t>Kurs sonu konserinde solo verdin. Salonda iki kişi ağladı; biri duygulandığı için.</t>
        </is>
      </c>
      <c r="J938" s="6" t="inlineStr">
        <is>
          <t>Parmaklar tele alışmadı. Bağlama duvarda, dekorasyon olarak çalıyor.</t>
        </is>
      </c>
      <c r="K938" s="6" t="inlineStr">
        <is>
          <t>Gece on birde prova yaptın. Alt kat süpürge sapıyla tavana vurdu; sen tempo tutuyorlar sandın. Sabah asansörde bir not vardı: “Bağlama çalan komşumuz, o türküyü artık biz de biliyoruz.” Altında on iki imza.</t>
        </is>
      </c>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row>
    <row r="939">
      <c r="A939" s="5" t="inlineStr">
        <is>
          <t>b8-yeni-hobi</t>
        </is>
      </c>
      <c r="B939" s="5" t="n">
        <v>3</v>
      </c>
      <c r="C939" s="6" t="inlineStr">
        <is>
          <t>Yamaç paraşütüne başla</t>
        </is>
      </c>
      <c r="D939" s="5" t="inlineStr">
        <is>
          <t>Cesaret</t>
        </is>
      </c>
      <c r="E939" s="5" t="inlineStr">
        <is>
          <t>Zor</t>
        </is>
      </c>
      <c r="F939" s="5" t="inlineStr"/>
      <c r="G939" s="6" t="inlineStr"/>
      <c r="H939" s="6" t="inlineStr">
        <is>
          <t>Atladın, süzüldün, indin. Yerdekilere el salladın; ipi bırakmadan.</t>
        </is>
      </c>
      <c r="I939" s="6" t="inlineStr">
        <is>
          <t>Sabah rüzgârında yarım saat süzüldün. Aşağıdaki kasaba seni reklam balonu sandı.</t>
        </is>
      </c>
      <c r="J939" s="6" t="inlineStr">
        <is>
          <t>Tepeye çıktın, aşağı baktın, geri indin. Yürüyüş olarak kaydedildi.</t>
        </is>
      </c>
      <c r="K939" s="6" t="inlineStr">
        <is>
          <t>Rüzgâr döndü; bir seranın naylon çatısını delip domateslerin arasına indin. Seracı seni kasaların arasından çıkarıp zararı kasa kasa yazdı. Faturada adının yerinde “Uçan Domates” yazıyordu.</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n">
        <v>3</v>
      </c>
      <c r="Z939" s="6" t="inlineStr">
        <is>
          <t>Yamaç paraşütü eğitiminde, eğitmen 'Şimdi' demeden atlarken. Eğitmen 'Şimdi değil' diyordu.</t>
        </is>
      </c>
      <c r="AA939" s="5" t="inlineStr"/>
      <c r="AB939" s="5" t="inlineStr"/>
      <c r="AC939" s="5" t="inlineStr"/>
      <c r="AD939" s="5" t="inlineStr"/>
      <c r="AE939" s="5" t="inlineStr"/>
      <c r="AF939" s="5" t="inlineStr"/>
      <c r="AG939" s="5" t="inlineStr"/>
      <c r="AH939" s="5" t="inlineStr"/>
      <c r="AI939" s="5" t="inlineStr">
        <is>
          <t>Uçan Domates</t>
        </is>
      </c>
    </row>
    <row r="940">
      <c r="A940" s="5" t="inlineStr">
        <is>
          <t>b8-yeni-hobi</t>
        </is>
      </c>
      <c r="B940" s="5" t="n">
        <v>4</v>
      </c>
      <c r="C940" s="6" t="inlineStr">
        <is>
          <t>Kamera uçurmaya başla</t>
        </is>
      </c>
      <c r="D940" s="5" t="inlineStr">
        <is>
          <t>Akıl</t>
        </is>
      </c>
      <c r="E940" s="5" t="inlineStr">
        <is>
          <t>Kolay</t>
        </is>
      </c>
      <c r="F940" s="5" t="inlineStr"/>
      <c r="G940" s="6" t="inlineStr"/>
      <c r="H940" s="6" t="inlineStr">
        <is>
          <t>Mahalleyi yukarıdan çektin. Evin çatısı sandığından da eski.</t>
        </is>
      </c>
      <c r="I940" s="6" t="inlineStr">
        <is>
          <t>Çektiğin sahil görüntüleri belediyenin tanıtım filmine girdi. Jenerikte adın, yanlış yazılmış.</t>
        </is>
      </c>
      <c r="J940" s="6" t="inlineStr">
        <is>
          <t>Uçan kamera bir ağaca kondu. Artık bir kuş gözlemevi.</t>
        </is>
      </c>
      <c r="K940" s="6" t="inlineStr">
        <is>
          <t>Uçan kamera komşunun balkonuna, tam kahvaltı sofrasının ortasına indi. Komşu kamerayı geri verdi; içindeki görüntüleri site yönetimine.</t>
        </is>
      </c>
      <c r="L940" s="6" t="inlineStr"/>
      <c r="M940" s="5" t="inlineStr"/>
      <c r="N940" s="5" t="inlineStr"/>
      <c r="O940" s="6" t="inlineStr"/>
      <c r="P940" s="6" t="inlineStr"/>
      <c r="Q940" s="5" t="inlineStr">
        <is>
          <t>Şifreyi Bilen</t>
        </is>
      </c>
      <c r="R940" s="5" t="inlineStr"/>
      <c r="S940" s="5" t="inlineStr"/>
      <c r="T940" s="5" t="inlineStr"/>
      <c r="U940" s="5" t="inlineStr"/>
      <c r="V940" s="5" t="inlineStr"/>
      <c r="W940" s="5" t="inlineStr"/>
      <c r="X940" s="5" t="inlineStr"/>
      <c r="Y940" s="5" t="inlineStr"/>
      <c r="Z940" s="6" t="inlineStr"/>
      <c r="AA940" s="5" t="inlineStr"/>
      <c r="AB940" s="5" t="inlineStr"/>
      <c r="AC940" s="5" t="inlineStr"/>
      <c r="AD940" s="5" t="inlineStr"/>
      <c r="AE940" s="5" t="inlineStr"/>
      <c r="AF940" s="5" t="inlineStr"/>
      <c r="AG940" s="5" t="inlineStr"/>
      <c r="AH940" s="5" t="inlineStr"/>
      <c r="AI940" s="5" t="inlineStr"/>
    </row>
    <row r="941">
      <c r="A941" s="5" t="inlineStr">
        <is>
          <t>b8-maraton</t>
        </is>
      </c>
      <c r="B941" s="5" t="n">
        <v>1</v>
      </c>
      <c r="C941" s="6" t="inlineStr">
        <is>
          <t>Kendi temponda bitir</t>
        </is>
      </c>
      <c r="D941" s="5" t="inlineStr"/>
      <c r="E941" s="5" t="inlineStr"/>
      <c r="F941" s="5" t="inlineStr">
        <is>
          <t>Dayanıklılık +1</t>
        </is>
      </c>
      <c r="G941" s="6" t="inlineStr">
        <is>
          <t>Beş saat on dört dakika. Son düzlükte bir çocuk seni alkışladı; beş saatin tamamına değdi.</t>
        </is>
      </c>
      <c r="H941" s="6" t="inlineStr"/>
      <c r="I941" s="6" t="inlineStr"/>
      <c r="J941" s="6" t="inlineStr"/>
      <c r="K941" s="6" t="inlineStr"/>
      <c r="L941" s="6" t="inlineStr"/>
      <c r="M941" s="5" t="inlineStr"/>
      <c r="N941" s="5" t="inlineStr"/>
      <c r="O941" s="6" t="inlineStr"/>
      <c r="P941" s="6" t="inlineStr"/>
      <c r="Q941" s="5" t="inlineStr"/>
      <c r="R941" s="5" t="inlineStr"/>
      <c r="S941" s="5" t="inlineStr"/>
      <c r="T941" s="5" t="inlineStr"/>
      <c r="U941" s="5" t="inlineStr">
        <is>
          <t>maratoncu</t>
        </is>
      </c>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row>
    <row r="942">
      <c r="A942" s="5" t="inlineStr">
        <is>
          <t>b8-maraton</t>
        </is>
      </c>
      <c r="B942" s="5" t="n">
        <v>2</v>
      </c>
      <c r="C942" s="6" t="inlineStr">
        <is>
          <t>Son kilometrede depara kalk</t>
        </is>
      </c>
      <c r="D942" s="5" t="inlineStr">
        <is>
          <t>Dayanıklılık</t>
        </is>
      </c>
      <c r="E942" s="5" t="inlineStr">
        <is>
          <t>Zor</t>
        </is>
      </c>
      <c r="F942" s="5" t="inlineStr"/>
      <c r="G942" s="6" t="inlineStr"/>
      <c r="H942" s="6" t="inlineStr">
        <is>
          <t>Son kilometrede on iki kişiyi geçtin. Fotoğrafçı seni tam o anda çekti; gözlerin kapalıydı.</t>
        </is>
      </c>
      <c r="I942" s="6" t="inlineStr">
        <is>
          <t>Finiş çizgisine kollarını açarak girdin. O fotoğraf artık bilgisayarının arka planı.</t>
        </is>
      </c>
      <c r="J942" s="6" t="inlineStr">
        <is>
          <t>Depara kalktın; bacakların kalkmadı. Son kilometre yürüyerek tamamlandı.</t>
        </is>
      </c>
      <c r="K942" s="6" t="inlineStr">
        <is>
          <t>Sponsor standına daldın. İçecek piramidi yıkıldı; görüntüler sponsorun yeni reklamında.</t>
        </is>
      </c>
      <c r="L942" s="6" t="inlineStr">
        <is>
          <t>Yarı yolda kramp girdi. Finişe topallayarak ve alkışlar eşliğinde vardın.</t>
        </is>
      </c>
      <c r="M942" s="5" t="inlineStr">
        <is>
          <t>race</t>
        </is>
      </c>
      <c r="N942" s="5" t="inlineStr">
        <is>
          <t>Son Kilometre</t>
        </is>
      </c>
      <c r="O942" s="6" t="inlineStr">
        <is>
          <t>Beş saniye. Ekrana hızla dokun; sponsor standına değil, finişe koş.</t>
        </is>
      </c>
      <c r="P942" s="6" t="inlineStr"/>
      <c r="Q942" s="5" t="inlineStr"/>
      <c r="R942" s="5" t="inlineStr"/>
      <c r="S942" s="5" t="inlineStr"/>
      <c r="T942" s="5" t="inlineStr">
        <is>
          <t>Kolay Dağılmaz</t>
        </is>
      </c>
      <c r="U942" s="5" t="inlineStr"/>
      <c r="V942" s="5" t="inlineStr">
        <is>
          <t>maratoncu</t>
        </is>
      </c>
      <c r="W942" s="5" t="inlineStr"/>
      <c r="X942" s="5" t="inlineStr"/>
      <c r="Y942" s="5" t="n">
        <v>2</v>
      </c>
      <c r="Z942" s="6" t="inlineStr">
        <is>
          <t>Maratonun son kilometresinde sponsor standına dalarken. Madalyası kargoyla gönderildi.</t>
        </is>
      </c>
      <c r="AA942" s="5" t="inlineStr"/>
      <c r="AB942" s="5" t="inlineStr"/>
      <c r="AC942" s="5" t="inlineStr"/>
      <c r="AD942" s="5" t="inlineStr"/>
      <c r="AE942" s="5" t="inlineStr"/>
      <c r="AF942" s="5" t="inlineStr"/>
      <c r="AG942" s="5" t="inlineStr"/>
      <c r="AH942" s="5" t="inlineStr"/>
      <c r="AI942" s="5" t="inlineStr"/>
    </row>
    <row r="943">
      <c r="A943" s="5" t="inlineStr">
        <is>
          <t>b8-maraton</t>
        </is>
      </c>
      <c r="B943" s="5" t="n">
        <v>3</v>
      </c>
      <c r="C943" s="6" t="inlineStr">
        <is>
          <t>Rotada kestirme bul</t>
        </is>
      </c>
      <c r="D943" s="5" t="inlineStr">
        <is>
          <t>Kurnazlık</t>
        </is>
      </c>
      <c r="E943" s="5" t="inlineStr">
        <is>
          <t>Orta</t>
        </is>
      </c>
      <c r="F943" s="5" t="inlineStr"/>
      <c r="G943" s="6" t="inlineStr"/>
      <c r="H943" s="6" t="inlineStr">
        <is>
          <t>Kestirmeden yirmi dakika kazandın. Madalyayı boynuna taktılar; eve kadar ceketinin altında taşıdın.</t>
        </is>
      </c>
      <c r="I943" s="6" t="inlineStr">
        <is>
          <t>Kestirmeden çıktığında kamera seni lider sandı. Birkaç saniye boyunca maratonun lideriydin.</t>
        </is>
      </c>
      <c r="J943" s="6" t="inlineStr">
        <is>
          <t>Kestirme bir otoparka çıktı. Otopark ücretliydi.</t>
        </is>
      </c>
      <c r="K943" s="6" t="inlineStr">
        <is>
          <t>Hakem seni gördü. Diskalifiye edildin ve bir sertifika aldın: 'Katılımınız için teşekkür ederiz.'</t>
        </is>
      </c>
      <c r="L943" s="6" t="inlineStr"/>
      <c r="M943" s="5" t="inlineStr"/>
      <c r="N943" s="5" t="inlineStr"/>
      <c r="O943" s="6" t="inlineStr"/>
      <c r="P943" s="6" t="inlineStr"/>
      <c r="Q943" s="5" t="inlineStr"/>
      <c r="R943" s="5" t="inlineStr"/>
      <c r="S943" s="5" t="inlineStr"/>
      <c r="T943" s="5" t="inlineStr"/>
      <c r="U943" s="5" t="inlineStr"/>
      <c r="V943" s="5" t="inlineStr"/>
      <c r="W943" s="5" t="inlineStr"/>
      <c r="X943" s="5" t="inlineStr"/>
      <c r="Y943" s="5" t="inlineStr"/>
      <c r="Z943" s="6" t="inlineStr"/>
      <c r="AA943" s="5" t="inlineStr"/>
      <c r="AB943" s="5" t="inlineStr"/>
      <c r="AC943" s="5" t="inlineStr"/>
      <c r="AD943" s="5" t="inlineStr"/>
      <c r="AE943" s="5" t="inlineStr"/>
      <c r="AF943" s="5" t="inlineStr"/>
      <c r="AG943" s="5" t="inlineStr"/>
      <c r="AH943" s="5" t="inlineStr"/>
      <c r="AI943" s="5" t="inlineStr"/>
    </row>
    <row r="944">
      <c r="A944" s="5" t="inlineStr">
        <is>
          <t>b8-yeniden-egitim</t>
        </is>
      </c>
      <c r="B944" s="5" t="n">
        <v>1</v>
      </c>
      <c r="C944" s="6" t="inlineStr">
        <is>
          <t>Hafta sonu sertifika programı</t>
        </is>
      </c>
      <c r="D944" s="5" t="inlineStr"/>
      <c r="E944" s="5" t="inlineStr"/>
      <c r="F944" s="5" t="inlineStr">
        <is>
          <t>Akıl +1</t>
        </is>
      </c>
      <c r="G944" s="6" t="inlineStr">
        <is>
          <t>Sekiz hafta sonu, bir sertifika. Çerçeveletirken fark ettin: çerçeve sertifikadan pahalıydı.</t>
        </is>
      </c>
      <c r="H944" s="6" t="inlineStr"/>
      <c r="I944" s="6" t="inlineStr"/>
      <c r="J944" s="6" t="inlineStr"/>
      <c r="K944" s="6" t="inlineStr"/>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row>
    <row r="945">
      <c r="A945" s="5" t="inlineStr">
        <is>
          <t>b8-yeniden-egitim</t>
        </is>
      </c>
      <c r="B945" s="5" t="n">
        <v>2</v>
      </c>
      <c r="C945" s="6" t="inlineStr">
        <is>
          <t>Tamamen yeni bir mesleğe geç</t>
        </is>
      </c>
      <c r="D945" s="5" t="inlineStr">
        <is>
          <t>Cesaret</t>
        </is>
      </c>
      <c r="E945" s="5" t="inlineStr">
        <is>
          <t>Zor</t>
        </is>
      </c>
      <c r="F945" s="5" t="inlineStr"/>
      <c r="G945" s="6" t="inlineStr"/>
      <c r="H945" s="6" t="inlineStr">
        <is>
          <t>İstifa ettin, yeni mesleğe başladın. İlk maaş eskisinin yarısı; ilk sabahki yüzün eskisinin iki katı.</t>
        </is>
      </c>
      <c r="I945" s="6" t="inlineStr">
        <is>
          <t>Bir yılda uzmanlaştın. Eski patronun seni danışman olarak geri çağırdı; iki katı ücretle.</t>
        </is>
      </c>
      <c r="J945" s="6" t="inlineStr">
        <is>
          <t>Üç ay denedin, eski işine döndün. Masan boşaltılmamıştı; kimse fark etmemişti.</t>
        </is>
      </c>
      <c r="K945" s="6" t="inlineStr">
        <is>
          <t>İstifa ettin; kurs iptal edildi. Özgeçmişinin en ilginç kısmı artık bu altı ay.</t>
        </is>
      </c>
      <c r="L945" s="6" t="inlineStr"/>
      <c r="M945" s="5" t="inlineStr"/>
      <c r="N945" s="5" t="inlineStr"/>
      <c r="O945" s="6" t="inlineStr"/>
      <c r="P945" s="6" t="inlineStr"/>
      <c r="Q945" s="5" t="inlineStr"/>
      <c r="R945" s="5" t="inlineStr"/>
      <c r="S945" s="5" t="inlineStr"/>
      <c r="T945" s="5" t="inlineStr">
        <is>
          <t>Geri Adım Atmaz</t>
        </is>
      </c>
      <c r="U945" s="5" t="inlineStr"/>
      <c r="V945" s="5" t="inlineStr">
        <is>
          <t>kariyer-degisti</t>
        </is>
      </c>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row>
    <row r="946">
      <c r="A946" s="5" t="inlineStr">
        <is>
          <t>b8-yeniden-egitim</t>
        </is>
      </c>
      <c r="B946" s="5" t="n">
        <v>3</v>
      </c>
      <c r="C946" s="6" t="inlineStr">
        <is>
          <t>En ön sıraya otur</t>
        </is>
      </c>
      <c r="D946" s="5" t="inlineStr">
        <is>
          <t>Cesaret</t>
        </is>
      </c>
      <c r="E946" s="5" t="inlineStr">
        <is>
          <t>Orta</t>
        </is>
      </c>
      <c r="F946" s="5" t="inlineStr"/>
      <c r="G946" s="6" t="inlineStr"/>
      <c r="H946" s="6" t="inlineStr">
        <is>
          <t>En ön sırada oturdun, her soruya cevap verdin. Sınıf seni 'kurtarıcı' ilan etti.</t>
        </is>
      </c>
      <c r="I946" s="6" t="inlineStr">
        <is>
          <t>Hoca seni asistan sandı. Dönem sonunda ciddi ciddi asistanlık teklif etti.</t>
        </is>
      </c>
      <c r="J946" s="6" t="inlineStr">
        <is>
          <t>En ön sırada uyuyakaldın. Hoca uyandırmadı; saygıdan.</t>
        </is>
      </c>
      <c r="K946" s="6" t="inlineStr">
        <is>
          <t>Her soruya 'Bizim zamanımızda' diye başladın. Sınıfta kısaltması var: 'BZ'.</t>
        </is>
      </c>
      <c r="L946" s="6" t="inlineStr"/>
      <c r="M946" s="5" t="inlineStr"/>
      <c r="N946" s="5" t="inlineStr"/>
      <c r="O946" s="6" t="inlineStr"/>
      <c r="P946" s="6" t="inlineStr"/>
      <c r="Q946" s="5" t="inlineStr"/>
      <c r="R946" s="5" t="inlineStr"/>
      <c r="S946" s="5" t="inlineStr">
        <is>
          <t>Cesaret</t>
        </is>
      </c>
      <c r="T946" s="5" t="inlineStr"/>
      <c r="U946" s="5" t="inlineStr"/>
      <c r="V946" s="5" t="inlineStr"/>
      <c r="W946" s="5" t="inlineStr"/>
      <c r="X946" s="5" t="inlineStr"/>
      <c r="Y946" s="5" t="inlineStr"/>
      <c r="Z946" s="6" t="inlineStr"/>
      <c r="AA946" s="5" t="inlineStr"/>
      <c r="AB946" s="5" t="inlineStr"/>
      <c r="AC946" s="5" t="inlineStr"/>
      <c r="AD946" s="5" t="inlineStr"/>
      <c r="AE946" s="5" t="inlineStr"/>
      <c r="AF946" s="5" t="inlineStr"/>
      <c r="AG946" s="5" t="inlineStr"/>
      <c r="AH946" s="5" t="inlineStr"/>
      <c r="AI946" s="5" t="inlineStr"/>
    </row>
    <row r="947">
      <c r="A947" s="5" t="inlineStr">
        <is>
          <t>b8-yeniden-egitim</t>
        </is>
      </c>
      <c r="B947" s="5" t="n">
        <v>4</v>
      </c>
      <c r="C947" s="6" t="inlineStr">
        <is>
          <t>Kurumdan eğitim izni iste</t>
        </is>
      </c>
      <c r="D947" s="5" t="inlineStr">
        <is>
          <t>Çene</t>
        </is>
      </c>
      <c r="E947" s="5" t="inlineStr">
        <is>
          <t>Kolay</t>
        </is>
      </c>
      <c r="F947" s="5" t="inlineStr"/>
      <c r="G947" s="6" t="inlineStr"/>
      <c r="H947" s="6" t="inlineStr">
        <is>
          <t>Dilekçeni verdin; dört imzadan geçti. İzin onaylandı, kurs bitti, imza süreci sürüyor.</t>
        </is>
      </c>
      <c r="I947" s="6" t="inlineStr">
        <is>
          <t>Dilekçen o kadar usule uygundu ki örnek dilekçe olarak bütün birimlere dağıtıldı.</t>
        </is>
      </c>
      <c r="J947" s="6" t="inlineStr">
        <is>
          <t>Dilekçe 'üst yazı eksik' gerekçesiyle iade edildi. Üst yazının üst yazısı isteniyor.</t>
        </is>
      </c>
      <c r="K947" s="6" t="inlineStr">
        <is>
          <t>İzin çıktı; kursun bittiği gün. Kurumun eğitim raporunda başarı örneği olarak yer aldın.</t>
        </is>
      </c>
      <c r="L947" s="6" t="inlineStr"/>
      <c r="M947" s="5" t="inlineStr"/>
      <c r="N947" s="5" t="inlineStr"/>
      <c r="O947" s="6" t="inlineStr"/>
      <c r="P947" s="6" t="inlineStr"/>
      <c r="Q947" s="5" t="inlineStr"/>
      <c r="R947" s="5" t="inlineStr">
        <is>
          <t>meslek-memur</t>
        </is>
      </c>
      <c r="S947" s="5" t="inlineStr"/>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row>
    <row r="948">
      <c r="A948" s="5" t="inlineStr">
        <is>
          <t>b8-yazlik</t>
        </is>
      </c>
      <c r="B948" s="5" t="n">
        <v>1</v>
      </c>
      <c r="C948" s="6" t="inlineStr">
        <is>
          <t>Kiralık yazlıkla devam et</t>
        </is>
      </c>
      <c r="D948" s="5" t="inlineStr"/>
      <c r="E948" s="5" t="inlineStr"/>
      <c r="F948" s="5" t="inlineStr">
        <is>
          <t>Akıl +1, Kurnazlık +1</t>
        </is>
      </c>
      <c r="G948" s="6" t="inlineStr">
        <is>
          <t>Kiraya devam ettin. Her yıl başka bir ev; başka birinin çatı sorunu.</t>
        </is>
      </c>
      <c r="H948" s="6" t="inlineStr"/>
      <c r="I948" s="6" t="inlineStr"/>
      <c r="J948" s="6" t="inlineStr"/>
      <c r="K948" s="6" t="inlineStr"/>
      <c r="L948" s="6" t="inlineStr"/>
      <c r="M948" s="5" t="inlineStr"/>
      <c r="N948" s="5" t="inlineStr"/>
      <c r="O948" s="6" t="inlineStr"/>
      <c r="P948" s="6" t="inlineStr"/>
      <c r="Q948" s="5" t="inlineStr"/>
      <c r="R948" s="5" t="inlineStr"/>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row>
    <row r="949">
      <c r="A949" s="5" t="inlineStr">
        <is>
          <t>b8-yazlik</t>
        </is>
      </c>
      <c r="B949" s="5" t="n">
        <v>2</v>
      </c>
      <c r="C949" s="6" t="inlineStr">
        <is>
          <t>Pazarlık et, al</t>
        </is>
      </c>
      <c r="D949" s="5" t="inlineStr">
        <is>
          <t>Çene</t>
        </is>
      </c>
      <c r="E949" s="5" t="inlineStr">
        <is>
          <t>Orta</t>
        </is>
      </c>
      <c r="F949" s="5" t="inlineStr"/>
      <c r="G949" s="6" t="inlineStr"/>
      <c r="H949" s="6" t="inlineStr">
        <is>
          <t>Yazlığı aldın. İlk yaz bütün akrabalar ziyarete geldi; sen salonda yattın.</t>
        </is>
      </c>
      <c r="I949" s="6" t="inlineStr">
        <is>
          <t>Aldın; bahçedeki incir ağacı da tapuya dahilmiş. Yazlık değer kazandı, incir de.</t>
        </is>
      </c>
      <c r="J949" s="6" t="inlineStr">
        <is>
          <t>Aldın; denize yürüme mesafesi kırk dakikaymış. Sen yürüyorsun; deniz yürümüyor.</t>
        </is>
      </c>
      <c r="K949" s="6" t="inlineStr">
        <is>
          <t>Aldın; ilk kış çatı aktı. İkinci kış da. Yazlık artık yazın da su alıyor.</t>
        </is>
      </c>
      <c r="L949" s="6" t="inlineStr">
        <is>
          <t>Fiyatı biraz indirdin, emlakçı komisyonu biraz yükseltti. Yazlık senin; ödeştiniz sayılır.</t>
        </is>
      </c>
      <c r="M949" s="5" t="inlineStr">
        <is>
          <t>bargain</t>
        </is>
      </c>
      <c r="N949" s="5" t="inlineStr">
        <is>
          <t>Emlakçı Pazarlığı</t>
        </is>
      </c>
      <c r="O949" s="6" t="inlineStr">
        <is>
          <t>Emlakçının sabrı bitmeden doğru fiyatı bul. “Bu fiyata bir daha bulamazsınız” cümlesine kanma.</t>
        </is>
      </c>
      <c r="P949" s="6" t="inlineStr">
        <is>
          <t>{"item": "yazlık", "mode": "buy"}</t>
        </is>
      </c>
      <c r="Q949" s="5" t="inlineStr"/>
      <c r="R949" s="5" t="inlineStr"/>
      <c r="S949" s="5" t="inlineStr"/>
      <c r="T949" s="5" t="inlineStr"/>
      <c r="U949" s="5" t="inlineStr"/>
      <c r="V949" s="5" t="inlineStr">
        <is>
          <t>yazlikci</t>
        </is>
      </c>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row>
    <row r="950">
      <c r="A950" s="5" t="inlineStr">
        <is>
          <t>b8-yazlik</t>
        </is>
      </c>
      <c r="B950" s="5" t="n">
        <v>3</v>
      </c>
      <c r="C950" s="6" t="inlineStr">
        <is>
          <t>Al ve çatıyı kendin onar</t>
        </is>
      </c>
      <c r="D950" s="5" t="inlineStr">
        <is>
          <t>Dayanıklılık</t>
        </is>
      </c>
      <c r="E950" s="5" t="inlineStr">
        <is>
          <t>Zor</t>
        </is>
      </c>
      <c r="F950" s="5" t="inlineStr"/>
      <c r="G950" s="6" t="inlineStr"/>
      <c r="H950" s="6" t="inlineStr">
        <is>
          <t>Çatıyı onardın. Ustaya gidecek para cebinde, güneş yanığı sırtında.</t>
        </is>
      </c>
      <c r="I950" s="6" t="inlineStr">
        <is>
          <t>Çatıyı onardın, üstüne güneş paneli de taktın. Komşular seni müteahhit sanıyor.</t>
        </is>
      </c>
      <c r="J950" s="6" t="inlineStr">
        <is>
          <t>Bir kiremit düşürdün, indin. Usta çağrıldı; kiremit ayrıca faturalandı.</t>
        </is>
      </c>
      <c r="K950" s="6" t="inlineStr">
        <is>
          <t>Onardın; ilk yağmurda su bu kez salondan değil, yatak odasından girdi, tam yastığının üstüne. Usta gelip baktı, güldü, iki katını istedi.</t>
        </is>
      </c>
      <c r="L950" s="6" t="inlineStr"/>
      <c r="M950" s="5" t="inlineStr"/>
      <c r="N950" s="5" t="inlineStr"/>
      <c r="O950" s="6" t="inlineStr"/>
      <c r="P950" s="6" t="inlineStr"/>
      <c r="Q950" s="5" t="inlineStr"/>
      <c r="R950" s="5" t="inlineStr"/>
      <c r="S950" s="5" t="inlineStr"/>
      <c r="T950" s="5" t="inlineStr"/>
      <c r="U950" s="5" t="inlineStr"/>
      <c r="V950" s="5" t="inlineStr">
        <is>
          <t>yazlikci</t>
        </is>
      </c>
      <c r="W950" s="5" t="inlineStr"/>
      <c r="X950" s="5" t="inlineStr"/>
      <c r="Y950" s="5" t="n">
        <v>3</v>
      </c>
      <c r="Z950" s="6" t="inlineStr">
        <is>
          <t>Yazlığın çatısını ustaya para vermemek için kendi tamir ederken. Usta hâlâ 'Ben demiştim' diyor.</t>
        </is>
      </c>
      <c r="AA950" s="5" t="inlineStr"/>
      <c r="AB950" s="5" t="inlineStr"/>
      <c r="AC950" s="5" t="inlineStr"/>
      <c r="AD950" s="5" t="inlineStr"/>
      <c r="AE950" s="5" t="inlineStr"/>
      <c r="AF950" s="5" t="inlineStr"/>
      <c r="AG950" s="5" t="inlineStr"/>
      <c r="AH950" s="5" t="inlineStr"/>
      <c r="AI950" s="5" t="inlineStr"/>
    </row>
    <row r="951">
      <c r="A951" s="5" t="inlineStr">
        <is>
          <t>b8-yazlik</t>
        </is>
      </c>
      <c r="B951" s="5" t="n">
        <v>4</v>
      </c>
      <c r="C951" s="6" t="inlineStr">
        <is>
          <t>Şehirdeki evi kiraya ver, yazlığa taşın</t>
        </is>
      </c>
      <c r="D951" s="5" t="inlineStr">
        <is>
          <t>Kurnazlık</t>
        </is>
      </c>
      <c r="E951" s="5" t="inlineStr">
        <is>
          <t>Orta</t>
        </is>
      </c>
      <c r="F951" s="5" t="inlineStr"/>
      <c r="G951" s="6" t="inlineStr"/>
      <c r="H951" s="6" t="inlineStr">
        <is>
          <t>Kira geliri yazlığın taksidini karşılıyor. Denize kırk dakika, patrona dört saat uzaktasın.</t>
        </is>
      </c>
      <c r="I951" s="6" t="inlineStr">
        <is>
          <t>Uzaktan çalışmaya geçtin. Toplantılara deniz manzarasıyla katılıyorsun; iş arkadaşları kamerayı kapattı.</t>
        </is>
      </c>
      <c r="J951" s="6" t="inlineStr">
        <is>
          <t>Kiracı ilk ay kombiyi bozdu. Şimdi iki evin sorunu da senin.</t>
        </is>
      </c>
      <c r="K951" s="6" t="inlineStr">
        <is>
          <t>Kış geldi. Kasabada sen, iki kedi ve kapalı bir bakkal kaldınız.</t>
        </is>
      </c>
      <c r="L951" s="6" t="inlineStr"/>
      <c r="M951" s="5" t="inlineStr"/>
      <c r="N951" s="5" t="inlineStr"/>
      <c r="O951" s="6" t="inlineStr"/>
      <c r="P951" s="6" t="inlineStr"/>
      <c r="Q951" s="5" t="inlineStr"/>
      <c r="R951" s="5" t="inlineStr">
        <is>
          <t>ev-sahibi</t>
        </is>
      </c>
      <c r="S951" s="5" t="inlineStr"/>
      <c r="T951" s="5" t="inlineStr"/>
      <c r="U951" s="5" t="inlineStr"/>
      <c r="V951" s="5" t="inlineStr">
        <is>
          <t>yazlikci</t>
        </is>
      </c>
      <c r="W951" s="5" t="inlineStr"/>
      <c r="X951" s="5" t="inlineStr"/>
      <c r="Y951" s="5" t="inlineStr"/>
      <c r="Z951" s="6" t="inlineStr"/>
      <c r="AA951" s="5" t="inlineStr"/>
      <c r="AB951" s="5" t="inlineStr"/>
      <c r="AC951" s="5" t="inlineStr"/>
      <c r="AD951" s="5" t="inlineStr"/>
      <c r="AE951" s="5" t="inlineStr"/>
      <c r="AF951" s="5" t="inlineStr"/>
      <c r="AG951" s="5" t="inlineStr"/>
      <c r="AH951" s="5" t="inlineStr"/>
      <c r="AI951" s="5" t="inlineStr"/>
    </row>
    <row r="952">
      <c r="A952" s="5" t="inlineStr">
        <is>
          <t>b8-ilac-kutusu</t>
        </is>
      </c>
      <c r="B952" s="5" t="n">
        <v>1</v>
      </c>
      <c r="C952" s="6" t="inlineStr">
        <is>
          <t>Her sabah telefonla hatırlat</t>
        </is>
      </c>
      <c r="D952" s="5" t="inlineStr"/>
      <c r="E952" s="5" t="inlineStr"/>
      <c r="F952" s="5" t="inlineStr">
        <is>
          <t>İtibar +1</t>
        </is>
      </c>
      <c r="G952" s="6" t="inlineStr">
        <is>
          <t>Her sabah 08.00'de aradın. Aramadığın ilk gün onlar aradı: 'İyi misin?'</t>
        </is>
      </c>
      <c r="H952" s="6" t="inlineStr"/>
      <c r="I952" s="6" t="inlineStr"/>
      <c r="J952" s="6" t="inlineStr"/>
      <c r="K952" s="6" t="inlineStr"/>
      <c r="L952" s="6" t="inlineStr"/>
      <c r="M952" s="5" t="inlineStr"/>
      <c r="N952" s="5" t="inlineStr"/>
      <c r="O952" s="6" t="inlineStr"/>
      <c r="P952" s="6" t="inlineStr"/>
      <c r="Q952" s="5" t="inlineStr"/>
      <c r="R952" s="5" t="inlineStr"/>
      <c r="S952" s="5" t="inlineStr"/>
      <c r="T952" s="5" t="inlineStr"/>
      <c r="U952" s="5" t="inlineStr"/>
      <c r="V952" s="5" t="inlineStr"/>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row>
    <row r="953">
      <c r="A953" s="5" t="inlineStr">
        <is>
          <t>b8-ilac-kutusu</t>
        </is>
      </c>
      <c r="B953" s="5" t="n">
        <v>2</v>
      </c>
      <c r="C953" s="6" t="inlineStr">
        <is>
          <t>Renkli bir tablo hazırla</t>
        </is>
      </c>
      <c r="D953" s="5" t="inlineStr">
        <is>
          <t>Akıl</t>
        </is>
      </c>
      <c r="E953" s="5" t="inlineStr">
        <is>
          <t>Orta</t>
        </is>
      </c>
      <c r="F953" s="5" t="inlineStr"/>
      <c r="G953" s="6" t="inlineStr"/>
      <c r="H953" s="6" t="inlineStr">
        <is>
          <t>Tabloyu buzdolabına astın. Babanın yorumu: 'Devlet dairesi gibi.' Övgü olarak kabul edildi.</t>
        </is>
      </c>
      <c r="I953" s="6" t="inlineStr">
        <is>
          <t>Tablon öyle anlaşılır oldu ki alt kattaki teyze de kendi ilaçlarını getirdi. Artık apartmanın bütün ilaç saatlerini sen biliyorsun; kapın sabah sekizde çalıyor.</t>
        </is>
      </c>
      <c r="J953" s="6" t="inlineStr">
        <is>
          <t>Tabloyu hazırladın; yazı çok küçük çıktı. Kimse okuyamıyor, sen dahil.</t>
        </is>
      </c>
      <c r="K953" s="6" t="inlineStr">
        <is>
          <t>Pazartesiyle perşembenin gözlerini karıştırdın. Perşembe sabahı baban kutuyu boş bulup telaşla aradı; yarım saat tartıştınız, haklı çıkan o oldu. Annen telefonu aldı: “Senin kafana da bir kutu alalım mı?”</t>
        </is>
      </c>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row>
    <row r="954">
      <c r="A954" s="5" t="inlineStr">
        <is>
          <t>b8-ilac-kutusu</t>
        </is>
      </c>
      <c r="B954" s="5" t="n">
        <v>3</v>
      </c>
      <c r="C954" s="6" t="inlineStr">
        <is>
          <t>Eczacıyla dost ol</t>
        </is>
      </c>
      <c r="D954" s="5" t="inlineStr">
        <is>
          <t>Çene</t>
        </is>
      </c>
      <c r="E954" s="5" t="inlineStr">
        <is>
          <t>Kolay</t>
        </is>
      </c>
      <c r="F954" s="5" t="inlineStr"/>
      <c r="G954" s="6" t="inlineStr"/>
      <c r="H954" s="6" t="inlineStr">
        <is>
          <t>Eczacı seni adınla tanıyor. Reçete yenilemesi artık sohbet eşliğinde.</t>
        </is>
      </c>
      <c r="I954" s="6" t="inlineStr">
        <is>
          <t>Eczacı hatırlatma mesajı atmaya başladı. Anne-baban artık seni değil, onu arıyor.</t>
        </is>
      </c>
      <c r="J954" s="6" t="inlineStr">
        <is>
          <t>Eczacı değişti. Yeni eczacı seni tanımıyor; ilişki sıfırdan başladı.</t>
        </is>
      </c>
      <c r="K954" s="6" t="inlineStr">
        <is>
          <t>O kadar samimi oldunuz ki eczacı sana da tansiyon ölçmeye başladı. Yüksek çıktı; annene de söyledi. Artık her sabah 08.00'de annen seni arayıp ilacını soruyor.</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row>
    <row r="955">
      <c r="A955" s="5" t="inlineStr">
        <is>
          <t>b8-ilac-kutusu</t>
        </is>
      </c>
      <c r="B955" s="5" t="n">
        <v>4</v>
      </c>
      <c r="C955" s="6" t="inlineStr">
        <is>
          <t>Kardeşlerle nöbet çizelgesi yap</t>
        </is>
      </c>
      <c r="D955" s="5" t="inlineStr">
        <is>
          <t>Sosyal Radar</t>
        </is>
      </c>
      <c r="E955" s="5" t="inlineStr">
        <is>
          <t>Orta</t>
        </is>
      </c>
      <c r="F955" s="5" t="inlineStr"/>
      <c r="G955" s="6" t="inlineStr"/>
      <c r="H955" s="6" t="inlineStr">
        <is>
          <t>Herkes haftasını aldı. Bayram haftası hâlâ sahipsiz.</t>
        </is>
      </c>
      <c r="I955" s="6" t="inlineStr">
        <is>
          <t>Çizelge o kadar adil çıktı ki kimse itiraz etmedi; en kaytarıcı kardeşin bile. Annen çizelgeyi vitrine koydu, düğün fotoğrafının yanına.</t>
        </is>
      </c>
      <c r="J955" s="6" t="inlineStr">
        <is>
          <t>Çizelge aile grubuna gönderildi. Herkes okudu, kimse cevap vermedi. Nöbet sende.</t>
        </is>
      </c>
      <c r="K955" s="6" t="inlineStr">
        <is>
          <t>Kimseye danışmadan yapıp aile grubuna attın. Pazar günü bütün kardeşler annenlerde toplandı; çay demlendi, börek kesildi, konu sendin. Sen yoktun; çağrılmamıştın.</t>
        </is>
      </c>
      <c r="L955" s="6" t="inlineStr"/>
      <c r="M955" s="5" t="inlineStr"/>
      <c r="N955" s="5" t="inlineStr"/>
      <c r="O955" s="6" t="inlineStr"/>
      <c r="P955" s="6" t="inlineStr"/>
      <c r="Q955" s="5" t="inlineStr">
        <is>
          <t>Kuralı Koyan</t>
        </is>
      </c>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row>
    <row r="956">
      <c r="A956" s="5" t="inlineStr">
        <is>
          <t>b8-ilac-kutusu</t>
        </is>
      </c>
      <c r="B956" s="5" t="n">
        <v>5</v>
      </c>
      <c r="C956" s="6" t="inlineStr">
        <is>
          <t>Gözlüğü tak, prospektüsleri oku</t>
        </is>
      </c>
      <c r="D956" s="5" t="inlineStr"/>
      <c r="E956" s="5" t="inlineStr"/>
      <c r="F956" s="5" t="inlineStr">
        <is>
          <t>Akıl +1</t>
        </is>
      </c>
      <c r="G956" s="6" t="inlineStr">
        <is>
          <t>Bütün prospektüsleri okudun. Artık yan etkileri ezbere biliyorsun; hiçbirinde 'evlat telaşı' yazmıyor.</t>
        </is>
      </c>
      <c r="H956" s="6" t="inlineStr"/>
      <c r="I956" s="6" t="inlineStr"/>
      <c r="J956" s="6" t="inlineStr"/>
      <c r="K956" s="6" t="inlineStr"/>
      <c r="L956" s="6" t="inlineStr"/>
      <c r="M956" s="5" t="inlineStr"/>
      <c r="N956" s="5" t="inlineStr"/>
      <c r="O956" s="6" t="inlineStr"/>
      <c r="P956" s="6" t="inlineStr"/>
      <c r="Q956" s="5" t="inlineStr"/>
      <c r="R956" s="5" t="inlineStr">
        <is>
          <t>gozluklu</t>
        </is>
      </c>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row>
    <row r="957">
      <c r="A957" s="5" t="inlineStr">
        <is>
          <t>b8-site-yoneticisi</t>
        </is>
      </c>
      <c r="B957" s="5" t="n">
        <v>1</v>
      </c>
      <c r="C957" s="6" t="inlineStr">
        <is>
          <t>Aday ol</t>
        </is>
      </c>
      <c r="D957" s="5" t="inlineStr">
        <is>
          <t>İtibar</t>
        </is>
      </c>
      <c r="E957" s="5" t="inlineStr">
        <is>
          <t>Zor</t>
        </is>
      </c>
      <c r="F957" s="5" t="inlineStr"/>
      <c r="G957" s="6" t="inlineStr"/>
      <c r="H957" s="6" t="inlineStr">
        <is>
          <t>Seçildin. İlk icraatın tutanak yazmak oldu. İkincisi, tutanağı kimsenin okumadığını fark etmek.</t>
        </is>
      </c>
      <c r="I957" s="6" t="inlineStr">
        <is>
          <t>Oybirliğiyle seçildin; aidat borcu olanlar bile el kaldırdı. Tahsilata onlardan başlayacaksın.</t>
        </is>
      </c>
      <c r="J957" s="6" t="inlineStr">
        <is>
          <t>Üçüncü kattaki komşu çantasından dosyasını çıkardı. Dosyalı adaylar kazanır.</t>
        </is>
      </c>
      <c r="K957" s="6" t="inlineStr">
        <is>
          <t>Seçildin. İlk hafta asansör bozuldu, ikinci hafta kombi, üçüncü hafta sen.</t>
        </is>
      </c>
      <c r="L957" s="6" t="inlineStr"/>
      <c r="M957" s="5" t="inlineStr"/>
      <c r="N957" s="5" t="inlineStr"/>
      <c r="O957" s="6" t="inlineStr"/>
      <c r="P957" s="6" t="inlineStr"/>
      <c r="Q957" s="5" t="inlineStr"/>
      <c r="R957" s="5" t="inlineStr"/>
      <c r="S957" s="5" t="inlineStr"/>
      <c r="T957" s="5" t="inlineStr">
        <is>
          <t>Aidat Tahsildarı</t>
        </is>
      </c>
      <c r="U957" s="5" t="inlineStr"/>
      <c r="V957" s="5" t="inlineStr">
        <is>
          <t>site-yoneticisi</t>
        </is>
      </c>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row>
    <row r="958">
      <c r="A958" s="5" t="inlineStr">
        <is>
          <t>b8-site-yoneticisi</t>
        </is>
      </c>
      <c r="B958" s="5" t="n">
        <v>2</v>
      </c>
      <c r="C958" s="6" t="inlineStr">
        <is>
          <t>Asansörü kendin tamir et, aidatı düşür</t>
        </is>
      </c>
      <c r="D958" s="5" t="inlineStr">
        <is>
          <t>Akıl</t>
        </is>
      </c>
      <c r="E958" s="5" t="inlineStr">
        <is>
          <t>Zor</t>
        </is>
      </c>
      <c r="F958" s="5" t="inlineStr"/>
      <c r="G958" s="6" t="inlineStr"/>
      <c r="H958" s="6" t="inlineStr">
        <is>
          <t>Asansörü tamir ettin. Aidat düştü; itibarın asansör gibi yükseldi.</t>
        </is>
      </c>
      <c r="I958" s="6" t="inlineStr">
        <is>
          <t>Tamir ettin, üstüne müzik sistemi ekledin. Site artık katlar arası konserlerle anılıyor.</t>
        </is>
      </c>
      <c r="J958" s="6" t="inlineStr">
        <is>
          <t>Tamir ettin; asansör artık yalnızca çift katlarda duruyor.</t>
        </is>
      </c>
      <c r="K958" s="6" t="inlineStr">
        <is>
          <t>Asansör seni bütün gün katlar arasında gezdirdi. Kurtarıldığında toplantı bitmiş, yönetici seçilmiştin.</t>
        </is>
      </c>
      <c r="L958" s="6" t="inlineStr"/>
      <c r="M958" s="5" t="inlineStr"/>
      <c r="N958" s="5" t="inlineStr"/>
      <c r="O958" s="6" t="inlineStr"/>
      <c r="P958" s="6" t="inlineStr"/>
      <c r="Q958" s="5" t="inlineStr"/>
      <c r="R958" s="5" t="inlineStr"/>
      <c r="S958" s="5" t="inlineStr"/>
      <c r="T958" s="5" t="inlineStr"/>
      <c r="U958" s="5" t="inlineStr"/>
      <c r="V958" s="5" t="inlineStr"/>
      <c r="W958" s="5" t="inlineStr">
        <is>
          <t>site-yoneticisi</t>
        </is>
      </c>
      <c r="X958" s="5" t="inlineStr"/>
      <c r="Y958" s="5" t="n">
        <v>3</v>
      </c>
      <c r="Z958" s="6" t="inlineStr">
        <is>
          <t>Aidatları düşürmek için asansör bakımını bizzat yaparken. Aidatlar düştü.</t>
        </is>
      </c>
      <c r="AA958" s="5" t="inlineStr"/>
      <c r="AB958" s="5" t="inlineStr"/>
      <c r="AC958" s="5" t="inlineStr"/>
      <c r="AD958" s="5" t="inlineStr"/>
      <c r="AE958" s="5" t="inlineStr"/>
      <c r="AF958" s="5" t="inlineStr"/>
      <c r="AG958" s="5" t="inlineStr"/>
      <c r="AH958" s="5" t="inlineStr"/>
      <c r="AI958" s="5" t="inlineStr"/>
    </row>
    <row r="959">
      <c r="A959" s="5" t="inlineStr">
        <is>
          <t>b8-site-yoneticisi</t>
        </is>
      </c>
      <c r="B959" s="5" t="n">
        <v>3</v>
      </c>
      <c r="C959" s="6" t="inlineStr">
        <is>
          <t>Kedi mama kabını savun</t>
        </is>
      </c>
      <c r="D959" s="5" t="inlineStr"/>
      <c r="E959" s="5" t="inlineStr"/>
      <c r="F959" s="5" t="inlineStr">
        <is>
          <t>Gönül +1</t>
        </is>
      </c>
      <c r="G959" s="6" t="inlineStr">
        <is>
          <t>Mama kabı oybirliğiyle kaldı. Tutanağa bir satır eklendi: 'Kediler yönetimin güvencesindedir.'</t>
        </is>
      </c>
      <c r="H959" s="6" t="inlineStr"/>
      <c r="I959" s="6" t="inlineStr"/>
      <c r="J959" s="6" t="inlineStr"/>
      <c r="K959" s="6" t="inlineStr"/>
      <c r="L959" s="6" t="inlineStr"/>
      <c r="M959" s="5" t="inlineStr"/>
      <c r="N959" s="5" t="inlineStr"/>
      <c r="O959" s="6" t="inlineStr"/>
      <c r="P959" s="6" t="inlineStr"/>
      <c r="Q959" s="5" t="inlineStr"/>
      <c r="R959" s="5" t="inlineStr"/>
      <c r="S959" s="5" t="inlineStr"/>
      <c r="T959" s="5" t="inlineStr"/>
      <c r="U959" s="5" t="inlineStr"/>
      <c r="V959" s="5" t="inlineStr"/>
      <c r="W959" s="5" t="inlineStr"/>
      <c r="X959" s="5" t="inlineStr"/>
      <c r="Y959" s="5" t="inlineStr"/>
      <c r="Z959" s="6" t="inlineStr"/>
      <c r="AA959" s="5" t="inlineStr"/>
      <c r="AB959" s="5" t="inlineStr"/>
      <c r="AC959" s="5" t="inlineStr"/>
      <c r="AD959" s="5" t="inlineStr"/>
      <c r="AE959" s="5" t="inlineStr"/>
      <c r="AF959" s="5" t="inlineStr"/>
      <c r="AG959" s="5" t="inlineStr"/>
      <c r="AH959" s="5" t="inlineStr"/>
      <c r="AI959" s="5" t="inlineStr"/>
    </row>
    <row r="960">
      <c r="A960" s="5" t="inlineStr">
        <is>
          <t>b8-site-yoneticisi</t>
        </is>
      </c>
      <c r="B960" s="5" t="n">
        <v>4</v>
      </c>
      <c r="C960" s="6" t="inlineStr">
        <is>
          <t>Toplantıyı yirmi dakikada bitir</t>
        </is>
      </c>
      <c r="D960" s="5" t="inlineStr">
        <is>
          <t>Kurnazlık</t>
        </is>
      </c>
      <c r="E960" s="5" t="inlineStr">
        <is>
          <t>Orta</t>
        </is>
      </c>
      <c r="F960" s="5" t="inlineStr"/>
      <c r="G960" s="6" t="inlineStr"/>
      <c r="H960" s="6" t="inlineStr">
        <is>
          <t>Gündem yirmi dakikada bitti. Sitede adın “Kronometre” oldu; aday gösterildin, reddedemedin.</t>
        </is>
      </c>
      <c r="I960" s="6" t="inlineStr">
        <is>
          <t>On sekiz dakika. Rekor. Kimse ne karar alındığını hatırlamıyor ama herkes memnun.</t>
        </is>
      </c>
      <c r="J960" s="6" t="inlineStr">
        <is>
          <t>Yirmi dakikada bitirdin; kimse kalkmadı. Serbest kürsüde iki saat otopark konuşuldu.</t>
        </is>
      </c>
      <c r="K960" s="6" t="inlineStr">
        <is>
          <t>Hızlı oylama sırasında aidatı yanlışlıkla ikiye katladın. Karar oybirliğiyle alındı.</t>
        </is>
      </c>
      <c r="L960" s="6" t="inlineStr"/>
      <c r="M960" s="5" t="inlineStr"/>
      <c r="N960" s="5" t="inlineStr"/>
      <c r="O960" s="6" t="inlineStr"/>
      <c r="P960" s="6" t="inlineStr"/>
      <c r="Q960" s="5" t="inlineStr">
        <is>
          <t>Kuralı Koyan</t>
        </is>
      </c>
      <c r="R960" s="5" t="inlineStr"/>
      <c r="S960" s="5" t="inlineStr"/>
      <c r="T960" s="5" t="inlineStr"/>
      <c r="U960" s="5" t="inlineStr"/>
      <c r="V960" s="5" t="inlineStr">
        <is>
          <t>site-yoneticisi</t>
        </is>
      </c>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row>
    <row r="961">
      <c r="A961" s="5" t="inlineStr">
        <is>
          <t>mb-genc-yonetici</t>
        </is>
      </c>
      <c r="B961" s="5" t="n">
        <v>1</v>
      </c>
      <c r="C961" s="6" t="inlineStr">
        <is>
          <t>Mentorluk teklif et</t>
        </is>
      </c>
      <c r="D961" s="5" t="inlineStr"/>
      <c r="E961" s="5" t="inlineStr"/>
      <c r="F961" s="5" t="inlineStr">
        <is>
          <t>İtibar +1</t>
        </is>
      </c>
      <c r="G961" s="6" t="inlineStr">
        <is>
          <t>Ona her şeyi öğrettin. Bir yıl sonra yöneticisinin de yöneticisi oldu. Hâlâ sana danışıyor. Gizlice.</t>
        </is>
      </c>
      <c r="H961" s="6" t="inlineStr"/>
      <c r="I961" s="6" t="inlineStr"/>
      <c r="J961" s="6" t="inlineStr"/>
      <c r="K961" s="6" t="inlineStr"/>
      <c r="L961" s="6" t="inlineStr"/>
      <c r="M961" s="5" t="inlineStr"/>
      <c r="N961" s="5" t="inlineStr"/>
      <c r="O961" s="6" t="inlineStr"/>
      <c r="P961" s="6" t="inlineStr"/>
      <c r="Q961" s="5" t="inlineStr"/>
      <c r="R961" s="5" t="inlineStr"/>
      <c r="S961" s="5" t="inlineStr"/>
      <c r="T961" s="5" t="inlineStr"/>
      <c r="U961" s="5" t="inlineStr"/>
      <c r="V961" s="5" t="inlineStr"/>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row>
    <row r="962">
      <c r="A962" s="5" t="inlineStr">
        <is>
          <t>mb-genc-yonetici</t>
        </is>
      </c>
      <c r="B962" s="5" t="n">
        <v>2</v>
      </c>
      <c r="C962" s="6" t="inlineStr">
        <is>
          <t>Onun dilini öğren</t>
        </is>
      </c>
      <c r="D962" s="5" t="inlineStr">
        <is>
          <t>Kurnazlık</t>
        </is>
      </c>
      <c r="E962" s="5" t="inlineStr">
        <is>
          <t>Kolay</t>
        </is>
      </c>
      <c r="F962" s="5" t="inlineStr"/>
      <c r="G962" s="6" t="inlineStr"/>
      <c r="H962" s="6" t="inlineStr">
        <is>
          <t>Her cümlene 'aksiyon' ve 'hızlıca' ekledin. Uyum raporun kusursuz.</t>
        </is>
      </c>
      <c r="I962" s="6" t="inlineStr">
        <is>
          <t>Onun jargonunu ondan iyi konuştun. Toplantılarda artık sana tercümanlık yapıyor.</t>
        </is>
      </c>
      <c r="J962" s="6" t="inlineStr">
        <is>
          <t>'Hızlıca bir aksiyon alalım' dedin; bu ifade geçen çeyrekte kullanımdan kalkmış.</t>
        </is>
      </c>
      <c r="K962" s="6" t="inlineStr">
        <is>
          <t>Yeni jargonla bir e-posta yazdın. Kimse anlamadı. Sen de.</t>
        </is>
      </c>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row>
    <row r="963">
      <c r="A963" s="5" t="inlineStr">
        <is>
          <t>mb-genc-yonetici</t>
        </is>
      </c>
      <c r="B963" s="5" t="n">
        <v>3</v>
      </c>
      <c r="C963" s="6" t="inlineStr">
        <is>
          <t>Deneyimini masaya koy</t>
        </is>
      </c>
      <c r="D963" s="5" t="inlineStr">
        <is>
          <t>Akıl</t>
        </is>
      </c>
      <c r="E963" s="5" t="inlineStr">
        <is>
          <t>Orta</t>
        </is>
      </c>
      <c r="F963" s="5" t="inlineStr"/>
      <c r="G963" s="6" t="inlineStr"/>
      <c r="H963" s="6" t="inlineStr">
        <is>
          <t>“Bunu iki kez denedik, ikisinde de batırdık” dedin. Proje yeniden planlandı; yöneticin ilk kez not aldı.</t>
        </is>
      </c>
      <c r="I963" s="6" t="inlineStr">
        <is>
          <t>Eski bir raporu açtın; yeni fikir yirmi yıl önce denenmiş, belgesiyle. Toplantı saygıyla sustu.</t>
        </is>
      </c>
      <c r="J963" s="6" t="inlineStr">
        <is>
          <t>Deneyimini anlattın; yöneticin 'Çok değerli' deyip tam tersini yaptı.</t>
        </is>
      </c>
      <c r="K963" s="6" t="inlineStr">
        <is>
          <t>Deneyimini göstermek için eski bir raporu açtın. Kapakta şirket pikniğinden bir fotoğraf vardı: yöneticin bebek, senin kucağında. Toplantı orada bitti; fotoğraf ofis grubunda hâlâ dolaşıyor.</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row>
    <row r="964">
      <c r="A964" s="5" t="inlineStr">
        <is>
          <t>mb-genc-yonetici</t>
        </is>
      </c>
      <c r="B964" s="5" t="n">
        <v>4</v>
      </c>
      <c r="C964" s="6" t="inlineStr">
        <is>
          <t>Genel müdürü göle çağır, yöneticiyi de</t>
        </is>
      </c>
      <c r="D964" s="5" t="inlineStr">
        <is>
          <t>Sosyal Radar</t>
        </is>
      </c>
      <c r="E964" s="5" t="inlineStr">
        <is>
          <t>Orta</t>
        </is>
      </c>
      <c r="F964" s="5" t="inlineStr"/>
      <c r="G964" s="6" t="inlineStr"/>
      <c r="H964" s="6" t="inlineStr">
        <is>
          <t>Üçünüz gölde balık tuttunuz. Yöneticin pazartesi sana “abi” diye hitap etmeye başladı.</t>
        </is>
      </c>
      <c r="I964" s="6" t="inlineStr">
        <is>
          <t>Genel müdür yeni yöneticine 'Bu işi ondan öğren' dedi. Tüm gölün önünde.</t>
        </is>
      </c>
      <c r="J964" s="6" t="inlineStr">
        <is>
          <t>Göle gittiniz; en büyük balığı yöneticin tuttu. Sen fotoğrafı çektin.</t>
        </is>
      </c>
      <c r="K964" s="6" t="inlineStr">
        <is>
          <t>Gölde yöneticin genel müdürle o kadar iyi anlaştı ki bir sonraki göl davetine sen çağrılmadın.</t>
        </is>
      </c>
      <c r="L964" s="6" t="inlineStr"/>
      <c r="M964" s="5" t="inlineStr"/>
      <c r="N964" s="5" t="inlineStr"/>
      <c r="O964" s="6" t="inlineStr"/>
      <c r="P964" s="6" t="inlineStr"/>
      <c r="Q964" s="5" t="inlineStr"/>
      <c r="R964" s="5" t="inlineStr">
        <is>
          <t>beyazyaka-gm-tanidik</t>
        </is>
      </c>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row>
    <row r="965">
      <c r="A965" s="5" t="inlineStr">
        <is>
          <t>ms-atolye-kirasi</t>
        </is>
      </c>
      <c r="B965" s="5" t="n">
        <v>1</v>
      </c>
      <c r="C965" s="6" t="inlineStr">
        <is>
          <t>Atölyeyi eve taşı</t>
        </is>
      </c>
      <c r="D965" s="5" t="inlineStr"/>
      <c r="E965" s="5" t="inlineStr"/>
      <c r="F965" s="5" t="inlineStr">
        <is>
          <t>Dayanıklılık +1</t>
        </is>
      </c>
      <c r="G965" s="6" t="inlineStr">
        <is>
          <t>Atölyeyi salona taşıdın. Misafirler artık bir koltuğa değil, bir enstalasyona oturuyor.</t>
        </is>
      </c>
      <c r="H965" s="6" t="inlineStr"/>
      <c r="I965" s="6" t="inlineStr"/>
      <c r="J965" s="6" t="inlineStr"/>
      <c r="K965" s="6" t="inlineStr"/>
      <c r="L965" s="6" t="inlineStr"/>
      <c r="M965" s="5" t="inlineStr"/>
      <c r="N965" s="5" t="inlineStr"/>
      <c r="O965" s="6" t="inlineStr"/>
      <c r="P965" s="6" t="inlineStr"/>
      <c r="Q965" s="5" t="inlineStr"/>
      <c r="R965" s="5" t="inlineStr"/>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row>
    <row r="966">
      <c r="A966" s="5" t="inlineStr">
        <is>
          <t>ms-atolye-kirasi</t>
        </is>
      </c>
      <c r="B966" s="5" t="n">
        <v>2</v>
      </c>
      <c r="C966" s="6" t="inlineStr">
        <is>
          <t>Ev sahibinin portresini yap, pazarlığa otur</t>
        </is>
      </c>
      <c r="D966" s="5" t="inlineStr">
        <is>
          <t>Çene</t>
        </is>
      </c>
      <c r="E966" s="5" t="inlineStr">
        <is>
          <t>Orta</t>
        </is>
      </c>
      <c r="F966" s="5" t="inlineStr"/>
      <c r="G966" s="6" t="inlineStr"/>
      <c r="H966" s="6" t="inlineStr">
        <is>
          <t>Portreyi çok beğendi. Kira yalnızca iki katına çıktı.</t>
        </is>
      </c>
      <c r="I966" s="6" t="inlineStr">
        <is>
          <t>Ev sahibi portreyi apartman girişine astı; önünden geçen herkese “Bunu bizim sanatçı yaptı” diyor. Kiran sabitlendi.</t>
        </is>
      </c>
      <c r="J966" s="6" t="inlineStr">
        <is>
          <t>Portreyi beğendi. Kiradan düşmedi ama çerçeve parası istemedi.</t>
        </is>
      </c>
      <c r="K966" s="6" t="inlineStr">
        <is>
          <t>Portrede burnunu biraz büyük yaptın. Kira dört katına çıktı.</t>
        </is>
      </c>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row>
    <row r="967">
      <c r="A967" s="5" t="inlineStr">
        <is>
          <t>ms-atolye-kirasi</t>
        </is>
      </c>
      <c r="B967" s="5" t="n">
        <v>3</v>
      </c>
      <c r="C967" s="6" t="inlineStr">
        <is>
          <t>Fonun mekân kalemini kullan</t>
        </is>
      </c>
      <c r="D967" s="5" t="inlineStr">
        <is>
          <t>Kurnazlık</t>
        </is>
      </c>
      <c r="E967" s="5" t="inlineStr">
        <is>
          <t>Kolay</t>
        </is>
      </c>
      <c r="F967" s="5" t="inlineStr"/>
      <c r="G967" s="6" t="inlineStr"/>
      <c r="H967" s="6" t="inlineStr">
        <is>
          <t>Fon raporuna 'sanatın mekânla ilişkisi' yazdın. Kira bir yıl çözüldü.</t>
        </is>
      </c>
      <c r="I967" s="6" t="inlineStr">
        <is>
          <t>Mekân giderini öyle anlattın ki fon bir sonraki yıl bütçeyi atölyene ayırdı.</t>
        </is>
      </c>
      <c r="J967" s="6" t="inlineStr">
        <is>
          <t>Fonun mekân kalemi yalnızca 'etkinlik salonu' için geçerliymiş. Atölye etkinlik sayılmıyor.</t>
        </is>
      </c>
      <c r="K967" s="6" t="inlineStr">
        <is>
          <t>Raporu gönderdin; denetçi atölyeyi ziyarete geldi ve tavandan su damladı. Üstüne.</t>
        </is>
      </c>
      <c r="L967" s="6" t="inlineStr"/>
      <c r="M967" s="5" t="inlineStr"/>
      <c r="N967" s="5" t="inlineStr"/>
      <c r="O967" s="6" t="inlineStr"/>
      <c r="P967" s="6" t="inlineStr"/>
      <c r="Q967" s="5" t="inlineStr"/>
      <c r="R967" s="5" t="inlineStr">
        <is>
          <t>serbest-fon-aldi</t>
        </is>
      </c>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row>
    <row r="968">
      <c r="A968" s="5" t="inlineStr">
        <is>
          <t>ms-atolye-kirasi</t>
        </is>
      </c>
      <c r="B968" s="5" t="n">
        <v>4</v>
      </c>
      <c r="C968" s="6" t="inlineStr">
        <is>
          <t>Mahalledeki sanatçılarla ortak atölye kur</t>
        </is>
      </c>
      <c r="D968" s="5" t="inlineStr">
        <is>
          <t>Sosyal Radar</t>
        </is>
      </c>
      <c r="E968" s="5" t="inlineStr">
        <is>
          <t>Orta</t>
        </is>
      </c>
      <c r="F968" s="5" t="inlineStr"/>
      <c r="G968" s="6" t="inlineStr"/>
      <c r="H968" s="6" t="inlineStr">
        <is>
          <t>Beş kişi bir depoyu paylaştınız. Kira beşte bir, dedikodu beş kat.</t>
        </is>
      </c>
      <c r="I968" s="6" t="inlineStr">
        <is>
          <t>Ortak atölye bir kültür merkezine dönüştü. Belediye önünden tur otobüsü geçiriyor.</t>
        </is>
      </c>
      <c r="J968" s="6" t="inlineStr">
        <is>
          <t>Ortak atölye kuruldu; ilk ay ortak buzdolabı yüzünden dağıldı.</t>
        </is>
      </c>
      <c r="K968" s="6" t="inlineStr">
        <is>
          <t>Ortak atölyeyi kurdunuz; mahalle daha da 'sanat mahallesi' oldu. Depo kirası da üçe katlandı.</t>
        </is>
      </c>
      <c r="L968" s="6" t="inlineStr"/>
      <c r="M968" s="5" t="inlineStr"/>
      <c r="N968" s="5" t="inlineStr"/>
      <c r="O968" s="6" t="inlineStr"/>
      <c r="P968" s="6" t="inlineStr"/>
      <c r="Q968" s="5" t="inlineStr"/>
      <c r="R968" s="5" t="inlineStr"/>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row>
    <row r="969">
      <c r="A969" s="5" t="inlineStr">
        <is>
          <t>b8-bakim-evraki</t>
        </is>
      </c>
      <c r="B969" s="5" t="n">
        <v>1</v>
      </c>
      <c r="C969" s="6" t="inlineStr">
        <is>
          <t>Sıranı bekle</t>
        </is>
      </c>
      <c r="D969" s="5" t="inlineStr"/>
      <c r="E969" s="5" t="inlineStr"/>
      <c r="F969" s="5" t="inlineStr">
        <is>
          <t>Dayanıklılık +1</t>
        </is>
      </c>
      <c r="G969" s="6" t="inlineStr">
        <is>
          <t>Dört saat bekledin. Sıra gelince memur “Bir fotokopi eksik” dedi. Eve dönünce annen “Yoruldun mu, yavrum?” diye sordu; “Yok” dedin. Yarın yine gideceksin.</t>
        </is>
      </c>
      <c r="H969" s="6" t="inlineStr"/>
      <c r="I969" s="6" t="inlineStr"/>
      <c r="J969" s="6" t="inlineStr"/>
      <c r="K969" s="6" t="inlineStr"/>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row>
    <row r="970">
      <c r="A970" s="5" t="inlineStr">
        <is>
          <t>b8-bakim-evraki</t>
        </is>
      </c>
      <c r="B970" s="5" t="n">
        <v>2</v>
      </c>
      <c r="C970" s="6" t="inlineStr">
        <is>
          <t>Evrak listesini baştan kontrol et</t>
        </is>
      </c>
      <c r="D970" s="5" t="inlineStr">
        <is>
          <t>Akıl</t>
        </is>
      </c>
      <c r="E970" s="5" t="inlineStr">
        <is>
          <t>Orta</t>
        </is>
      </c>
      <c r="F970" s="5" t="inlineStr"/>
      <c r="G970" s="6" t="inlineStr"/>
      <c r="H970" s="6" t="inlineStr">
        <is>
          <t>Eksik fotokopiyi sıra gelmeden fark ettin. Koridordaki makineden çektin. Dosya bir seferde kabul edildi; nadir görülen bir olay.</t>
        </is>
      </c>
      <c r="I970" s="6" t="inlineStr">
        <is>
          <t>Listeyi öyle düzenledin ki arkandaki üç kişi de sana danıştı. Koridorda gayriresmî bir danışma masası kuruldu.</t>
        </is>
      </c>
      <c r="J970" s="6" t="inlineStr">
        <is>
          <t>Listeyi kontrol ettin; liste güncellenmiş. Senin elindeki geçen yılınki.</t>
        </is>
      </c>
      <c r="K970" s="6" t="inlineStr">
        <is>
          <t>Kontrol ederken belgeleri yere düşürdün; yandaki teyzenin belgeleriyle karıştı. Kurum iki dosyayı birleştirdi. Annenin bakım kararında artık iki kişinin adı var; öbür teyze bayramda el öpmeye gelmek istiyor.</t>
        </is>
      </c>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row>
    <row r="971">
      <c r="A971" s="5" t="inlineStr">
        <is>
          <t>b8-bakim-evraki</t>
        </is>
      </c>
      <c r="B971" s="5" t="n">
        <v>3</v>
      </c>
      <c r="C971" s="6" t="inlineStr">
        <is>
          <t>Doğrudan yedi numaraya git</t>
        </is>
      </c>
      <c r="D971" s="5" t="inlineStr">
        <is>
          <t>Kurnazlık</t>
        </is>
      </c>
      <c r="E971" s="5" t="inlineStr">
        <is>
          <t>Kolay</t>
        </is>
      </c>
      <c r="F971" s="5" t="inlineStr"/>
      <c r="G971" s="6" t="inlineStr"/>
      <c r="H971" s="6" t="inlineStr">
        <is>
          <t>Yedi numara seni hemen aldı. İşlem on dakika. Koridordakiler seni kıskançlıkla izledi.</t>
        </is>
      </c>
      <c r="I971" s="6" t="inlineStr">
        <is>
          <t>Yedi numaradaki memur çayını da ikram etti. Dosyan tamam, bir de dost edindin.</t>
        </is>
      </c>
      <c r="J971" s="6" t="inlineStr">
        <is>
          <t>Yedi numara 'Önce üçe uğrayın' dedi. Üç, seni yeniden yediye gönderdi.</t>
        </is>
      </c>
      <c r="K971" s="6" t="inlineStr">
        <is>
          <t>Yedi numaraya gittin; öğle arası başladı. Sıra numaran geçersiz sayıldı.</t>
        </is>
      </c>
      <c r="L971" s="6" t="inlineStr"/>
      <c r="M971" s="5" t="inlineStr"/>
      <c r="N971" s="5" t="inlineStr"/>
      <c r="O971" s="6" t="inlineStr"/>
      <c r="P971" s="6" t="inlineStr"/>
      <c r="Q971" s="5" t="inlineStr"/>
      <c r="R971" s="5" t="inlineStr"/>
      <c r="S971" s="5" t="inlineStr">
        <is>
          <t>Kurnazlık</t>
        </is>
      </c>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row>
    <row r="972">
      <c r="A972" s="5" t="inlineStr">
        <is>
          <t>b8-bakim-evraki</t>
        </is>
      </c>
      <c r="B972" s="5" t="n">
        <v>4</v>
      </c>
      <c r="C972" s="6" t="inlineStr">
        <is>
          <t>Memur dilinden konuş</t>
        </is>
      </c>
      <c r="D972" s="5" t="inlineStr">
        <is>
          <t>Çene</t>
        </is>
      </c>
      <c r="E972" s="5" t="inlineStr">
        <is>
          <t>Kolay</t>
        </is>
      </c>
      <c r="F972" s="5" t="inlineStr"/>
      <c r="G972" s="6" t="inlineStr"/>
      <c r="H972" s="6" t="inlineStr">
        <is>
          <t>'Dosya üst yazıyla tamamlandı mı?' diye sordun. Memur başını kaldırdı; meslektaş tanındı.</t>
        </is>
      </c>
      <c r="I972" s="6" t="inlineStr">
        <is>
          <t>Memurla aynı yönetmelik maddesini aynı anda söylediniz. İşlem beş dakika; üstüne kurum çayı.</t>
        </is>
      </c>
      <c r="J972" s="6" t="inlineStr">
        <is>
          <t>Fazla teknik konuştun. Memur 'Bu bizim birimin işi değil' dedi.</t>
        </is>
      </c>
      <c r="K972" s="6" t="inlineStr">
        <is>
          <t>Yönetmelik maddesini yanlış söyledin. Memur düzeltti ve bunu bütün servise anlattı.</t>
        </is>
      </c>
      <c r="L972" s="6" t="inlineStr"/>
      <c r="M972" s="5" t="inlineStr"/>
      <c r="N972" s="5" t="inlineStr"/>
      <c r="O972" s="6" t="inlineStr"/>
      <c r="P972" s="6" t="inlineStr"/>
      <c r="Q972" s="5" t="inlineStr"/>
      <c r="R972" s="5" t="inlineStr">
        <is>
          <t>meslek-memur</t>
        </is>
      </c>
      <c r="S972" s="5" t="inlineStr"/>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row>
    <row r="973">
      <c r="A973" s="5" t="inlineStr">
        <is>
          <t>b8-ikinci-bahar</t>
        </is>
      </c>
      <c r="B973" s="5" t="n">
        <v>1</v>
      </c>
      <c r="C973" s="6" t="inlineStr">
        <is>
          <t>Gitme, evde kal</t>
        </is>
      </c>
      <c r="D973" s="5" t="inlineStr"/>
      <c r="E973" s="5" t="inlineStr"/>
      <c r="F973" s="5" t="inlineStr">
        <is>
          <t>Dayanıklılık +1</t>
        </is>
      </c>
      <c r="G973" s="6" t="inlineStr">
        <is>
          <t>Evde kaldın. Televizyon seni hiç yargılamadı. Ama bir şey de sormadı.</t>
        </is>
      </c>
      <c r="H973" s="6" t="inlineStr"/>
      <c r="I973" s="6" t="inlineStr"/>
      <c r="J973" s="6" t="inlineStr"/>
      <c r="K973" s="6" t="inlineStr"/>
      <c r="L973" s="6" t="inlineStr"/>
      <c r="M973" s="5" t="inlineStr"/>
      <c r="N973" s="5" t="inlineStr"/>
      <c r="O973" s="6" t="inlineStr"/>
      <c r="P973" s="6" t="inlineStr"/>
      <c r="Q973" s="5" t="inlineStr"/>
      <c r="R973" s="5" t="inlineStr"/>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row>
    <row r="974">
      <c r="A974" s="5" t="inlineStr">
        <is>
          <t>b8-ikinci-bahar</t>
        </is>
      </c>
      <c r="B974" s="5" t="n">
        <v>2</v>
      </c>
      <c r="C974" s="6" t="inlineStr">
        <is>
          <t>Doğal ol</t>
        </is>
      </c>
      <c r="D974" s="5" t="inlineStr">
        <is>
          <t>Gönül</t>
        </is>
      </c>
      <c r="E974" s="5" t="inlineStr">
        <is>
          <t>Orta</t>
        </is>
      </c>
      <c r="F974" s="5" t="inlineStr"/>
      <c r="G974" s="6" t="inlineStr"/>
      <c r="H974" s="6" t="inlineStr">
        <is>
          <t>Konuştunuz, güldünüz, hesabı bölüştünüz. İkinci buluşma takvime yazıldı; kurşun kalemle, ama yazıldı.</t>
        </is>
      </c>
      <c r="I974" s="6" t="inlineStr">
        <is>
          <t>Saatin nasıl geçtiğini anlamadınız. Kafe kapanırken sandalyeleri toplamaya birlikte yardım ettiniz.</t>
        </is>
      </c>
      <c r="J974" s="6" t="inlineStr">
        <is>
          <t>Doğal oldun; fazla doğal. Kırk dakika bel ağrısı anlattın.</t>
        </is>
      </c>
      <c r="K974" s="6" t="inlineStr">
        <is>
          <t>Eski eşinden söz ettin. Üç kez. Adıyla.</t>
        </is>
      </c>
      <c r="L974" s="6" t="inlineStr">
        <is>
          <t>İlk yarım saat ellerin terledi, sonra açıldın. İkinci buluşma “bakarız”a kaldı; ama gülerek söylendi.</t>
        </is>
      </c>
      <c r="M974" s="5" t="inlineStr">
        <is>
          <t>breath</t>
        </is>
      </c>
      <c r="N974" s="5" t="inlineStr">
        <is>
          <t>İlk Buluşma Nefesi</t>
        </is>
      </c>
      <c r="O974" s="6" t="inlineStr">
        <is>
          <t>Daire büyürken nefes al, küçülürken bırak. Sakin kalırsan sohbet kendiliğinden akar.</t>
        </is>
      </c>
      <c r="P974" s="6" t="inlineStr"/>
      <c r="Q974" s="5" t="inlineStr"/>
      <c r="R974" s="5" t="inlineStr"/>
      <c r="S974" s="5" t="inlineStr"/>
      <c r="T974" s="5" t="inlineStr"/>
      <c r="U974" s="5" t="inlineStr"/>
      <c r="V974" s="5" t="inlineStr">
        <is>
          <t>ikinci-bahar</t>
        </is>
      </c>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row>
    <row r="975">
      <c r="A975" s="5" t="inlineStr">
        <is>
          <t>b8-ikinci-bahar</t>
        </is>
      </c>
      <c r="B975" s="5" t="n">
        <v>3</v>
      </c>
      <c r="C975" s="6" t="inlineStr">
        <is>
          <t>Gerginliği ilk sen kır</t>
        </is>
      </c>
      <c r="D975" s="5" t="inlineStr">
        <is>
          <t>Sosyal Radar</t>
        </is>
      </c>
      <c r="E975" s="5" t="inlineStr">
        <is>
          <t>Kolay</t>
        </is>
      </c>
      <c r="F975" s="5" t="inlineStr"/>
      <c r="G975" s="6" t="inlineStr"/>
      <c r="H975" s="6" t="inlineStr">
        <is>
          <t>'Ben de menüyü üç kez okudum' dedin. İkiniz de güldünüz; gerisi kolay geldi.</t>
        </is>
      </c>
      <c r="I975" s="6" t="inlineStr">
        <is>
          <t>Güldünüz, sonra aynı anda “Bir kahve daha?” dediniz. İkinci kahve masada soğudu; ikiniz de fark etmediniz.</t>
        </is>
      </c>
      <c r="J975" s="6" t="inlineStr">
        <is>
          <t>Espri yaptın; karşındaki 'Hangi menü?' dedi. Gerginlik ikiye katlandı.</t>
        </is>
      </c>
      <c r="K975" s="6" t="inlineStr">
        <is>
          <t>Gerginliği kırmak için masaya vurup güldün; çay bardağı devrildi, karşındakinin kucağına. Akşamın geri kalanı ıslak mendille geçti.</t>
        </is>
      </c>
      <c r="L975" s="6" t="inlineStr"/>
      <c r="M975" s="5" t="inlineStr"/>
      <c r="N975" s="5" t="inlineStr"/>
      <c r="O975" s="6" t="inlineStr"/>
      <c r="P975" s="6" t="inlineStr"/>
      <c r="Q975" s="5" t="inlineStr"/>
      <c r="R975" s="5" t="inlineStr"/>
      <c r="S975" s="5" t="inlineStr">
        <is>
          <t>Sosyal Radar</t>
        </is>
      </c>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row>
    <row r="976">
      <c r="A976" s="5" t="inlineStr">
        <is>
          <t>b8-ikinci-bahar</t>
        </is>
      </c>
      <c r="B976" s="5" t="n">
        <v>4</v>
      </c>
      <c r="C976" s="6" t="inlineStr">
        <is>
          <t>Kendi hikâyene gülerek başla</t>
        </is>
      </c>
      <c r="D976" s="5" t="inlineStr">
        <is>
          <t>Pişkinlik</t>
        </is>
      </c>
      <c r="E976" s="5" t="inlineStr">
        <is>
          <t>Kolay</t>
        </is>
      </c>
      <c r="F976" s="5" t="inlineStr"/>
      <c r="G976" s="6" t="inlineStr"/>
      <c r="H976" s="6" t="inlineStr">
        <is>
          <t>'Evrak işlerinde iyiyimdir, boşanma dahil' dedin. Karşındaki kahkaha attı.</t>
        </is>
      </c>
      <c r="I976" s="6" t="inlineStr">
        <is>
          <t>Hikâyeni öyle anlattın ki karşındaki de kendininkini anlattı. Hesap gelince ikiniz birden cüzdana uzandınız ve kavga ederek ödediniz. Bu, iyiye işarettir.</t>
        </is>
      </c>
      <c r="J976" s="6" t="inlineStr">
        <is>
          <t>Espri fazla kara kaçtı. Karşındaki çayını yavaşça bitirdi.</t>
        </is>
      </c>
      <c r="K976" s="6" t="inlineStr">
        <is>
          <t>Hikâyeyi en baştan anlattın: nişandan. Kafe kapanırken sen daha düğün salonundaydın. Karşındaki taksi çağırdı; ikinci buluşmayı değil.</t>
        </is>
      </c>
      <c r="L976" s="6" t="inlineStr"/>
      <c r="M976" s="5" t="inlineStr"/>
      <c r="N976" s="5" t="inlineStr"/>
      <c r="O976" s="6" t="inlineStr"/>
      <c r="P976" s="6" t="inlineStr"/>
      <c r="Q976" s="5" t="inlineStr">
        <is>
          <t>Kendine Gülebilir</t>
        </is>
      </c>
      <c r="R976" s="5" t="inlineStr"/>
      <c r="S976" s="5" t="inlineStr"/>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row>
    <row r="977">
      <c r="A977" s="5" t="inlineStr">
        <is>
          <t>me-dernek-secimi</t>
        </is>
      </c>
      <c r="B977" s="5" t="n">
        <v>1</v>
      </c>
      <c r="C977" s="6" t="inlineStr">
        <is>
          <t>Oyunu kullan, çayını iç</t>
        </is>
      </c>
      <c r="D977" s="5" t="inlineStr"/>
      <c r="E977" s="5" t="inlineStr"/>
      <c r="F977" s="5" t="inlineStr">
        <is>
          <t>Sosyal Radar +1</t>
        </is>
      </c>
      <c r="G977" s="6" t="inlineStr">
        <is>
          <t>Oyunu verdin, çayını içtin. Başkan yeniden seçildi. Çay yine aynı demde.</t>
        </is>
      </c>
      <c r="H977" s="6" t="inlineStr"/>
      <c r="I977" s="6" t="inlineStr"/>
      <c r="J977" s="6" t="inlineStr"/>
      <c r="K977" s="6" t="inlineStr"/>
      <c r="L977" s="6" t="inlineStr"/>
      <c r="M977" s="5" t="inlineStr"/>
      <c r="N977" s="5" t="inlineStr"/>
      <c r="O977" s="6" t="inlineStr"/>
      <c r="P977" s="6" t="inlineStr"/>
      <c r="Q977" s="5" t="inlineStr"/>
      <c r="R977" s="5" t="inlineStr"/>
      <c r="S977" s="5" t="inlineStr"/>
      <c r="T977" s="5" t="inlineStr"/>
      <c r="U977" s="5" t="inlineStr"/>
      <c r="V977" s="5" t="inlineStr"/>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row>
    <row r="978">
      <c r="A978" s="5" t="inlineStr">
        <is>
          <t>me-dernek-secimi</t>
        </is>
      </c>
      <c r="B978" s="5" t="n">
        <v>2</v>
      </c>
      <c r="C978" s="6" t="inlineStr">
        <is>
          <t>Aday ol</t>
        </is>
      </c>
      <c r="D978" s="5" t="inlineStr">
        <is>
          <t>İtibar</t>
        </is>
      </c>
      <c r="E978" s="5" t="inlineStr">
        <is>
          <t>Zor</t>
        </is>
      </c>
      <c r="F978" s="5" t="inlineStr"/>
      <c r="G978" s="6" t="inlineStr"/>
      <c r="H978" s="6" t="inlineStr">
        <is>
          <t>Kazandın. İlk icraatın çarşıya ortak çöp kutusu oldu. Çöp kutusunun yeri hâlâ tartışılıyor.</t>
        </is>
      </c>
      <c r="I978" s="6" t="inlineStr">
        <is>
          <t>Farkla kazandın. Eski başkan bile sana oy verdi; sonradan yanlış kutuya attığını söyledi.</t>
        </is>
      </c>
      <c r="J978" s="6" t="inlineStr">
        <is>
          <t>Seçim günü dükkânı kapatmaya kıyamadın. Oy vermeye gidemeyen tek aday sendin.</t>
        </is>
      </c>
      <c r="K978" s="6" t="inlineStr">
        <is>
          <t>Tek oy aldın. Kimin verdiği hâlâ tartışma konusu. Senin değildi.</t>
        </is>
      </c>
      <c r="L978" s="6" t="inlineStr"/>
      <c r="M978" s="5" t="inlineStr"/>
      <c r="N978" s="5" t="inlineStr"/>
      <c r="O978" s="6" t="inlineStr"/>
      <c r="P978" s="6" t="inlineStr"/>
      <c r="Q978" s="5" t="inlineStr"/>
      <c r="R978" s="5" t="inlineStr"/>
      <c r="S978" s="5" t="inlineStr"/>
      <c r="T978" s="5" t="inlineStr"/>
      <c r="U978" s="5" t="inlineStr"/>
      <c r="V978" s="5" t="inlineStr">
        <is>
          <t>esnaf-dernek-baskani</t>
        </is>
      </c>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is>
          <t>Tek Oy</t>
        </is>
      </c>
    </row>
    <row r="979">
      <c r="A979" s="5" t="inlineStr">
        <is>
          <t>me-dernek-secimi</t>
        </is>
      </c>
      <c r="B979" s="5" t="n">
        <v>3</v>
      </c>
      <c r="C979" s="6" t="inlineStr">
        <is>
          <t>Seçimi organize et</t>
        </is>
      </c>
      <c r="D979" s="5" t="inlineStr">
        <is>
          <t>Sosyal Radar</t>
        </is>
      </c>
      <c r="E979" s="5" t="inlineStr">
        <is>
          <t>Kolay</t>
        </is>
      </c>
      <c r="F979" s="5" t="inlineStr"/>
      <c r="G979" s="6" t="inlineStr"/>
      <c r="H979" s="6" t="inlineStr">
        <is>
          <t>Sandık, pusula, çay, sayım: hepsini sen kurdun. Çarşının ilk tartışmasız seçimi yapıldı.</t>
        </is>
      </c>
      <c r="I979" s="6" t="inlineStr">
        <is>
          <t>İki aday da seni başkan yapmayı teklif etti. Kabul etmedin; sadece yönetmeliği yazdın.</t>
        </is>
      </c>
      <c r="J979" s="6" t="inlineStr">
        <is>
          <t>Sandığın anahtarı sende kalmış. Oylar ertesi gün sayıldı; itirazlar bir hafta.</t>
        </is>
      </c>
      <c r="K979" s="6" t="inlineStr">
        <is>
          <t>Pusulaları dükkânının indirim kuponu kâğıdına bastırdın. Seçim iptal edildi, başkan yeniden seçildi; ilk kararı senin dükkânına “seçim reklamı” cezası kesmek oldu.</t>
        </is>
      </c>
      <c r="L979" s="6" t="inlineStr"/>
      <c r="M979" s="5" t="inlineStr"/>
      <c r="N979" s="5" t="inlineStr"/>
      <c r="O979" s="6" t="inlineStr"/>
      <c r="P979" s="6" t="inlineStr"/>
      <c r="Q979" s="5" t="inlineStr">
        <is>
          <t>Kuralı Koyan</t>
        </is>
      </c>
      <c r="R979" s="5" t="inlineStr"/>
      <c r="S979" s="5" t="inlineStr"/>
      <c r="T979" s="5" t="inlineStr"/>
      <c r="U979" s="5" t="inlineStr"/>
      <c r="V979" s="5" t="inlineStr"/>
      <c r="W979" s="5" t="inlineStr"/>
      <c r="X979" s="5" t="inlineStr"/>
      <c r="Y979" s="5" t="inlineStr"/>
      <c r="Z979" s="6" t="inlineStr"/>
      <c r="AA979" s="5" t="inlineStr"/>
      <c r="AB979" s="5" t="inlineStr"/>
      <c r="AC979" s="5" t="inlineStr"/>
      <c r="AD979" s="5" t="inlineStr"/>
      <c r="AE979" s="5" t="inlineStr"/>
      <c r="AF979" s="5" t="inlineStr"/>
      <c r="AG979" s="5" t="inlineStr"/>
      <c r="AH979" s="5" t="inlineStr"/>
      <c r="AI979" s="5" t="inlineStr"/>
    </row>
    <row r="980">
      <c r="A980" s="5" t="inlineStr">
        <is>
          <t>me-dernek-secimi</t>
        </is>
      </c>
      <c r="B980" s="5" t="n">
        <v>4</v>
      </c>
      <c r="C980" s="6" t="inlineStr">
        <is>
          <t>Sınıf başkanlığını hatırlat</t>
        </is>
      </c>
      <c r="D980" s="5" t="inlineStr">
        <is>
          <t>Pişkinlik</t>
        </is>
      </c>
      <c r="E980" s="5" t="inlineStr">
        <is>
          <t>Orta</t>
        </is>
      </c>
      <c r="F980" s="5" t="inlineStr"/>
      <c r="G980" s="6" t="inlineStr"/>
      <c r="H980" s="6" t="inlineStr">
        <is>
          <t>'Ben ilkokulda da başkandım' dedin. Esnaflar güldü, sonra oy verdi.</t>
        </is>
      </c>
      <c r="I980" s="6" t="inlineStr">
        <is>
          <t>Seçim bildirgen ilkokuldaki bildirgenin aynısıydı; yalnızca “teneffüs” yerine “çay molası” yazdın. Farkla kazandın.</t>
        </is>
      </c>
      <c r="J980" s="6" t="inlineStr">
        <is>
          <t>Esnaflar güldü. Sadece güldü.</t>
        </is>
      </c>
      <c r="K980" s="6" t="inlineStr">
        <is>
          <t>Eski sınıf arkadaşın da çarşıda esnafmış. 'O zaman da söz verip yapmamıştı' dedi.</t>
        </is>
      </c>
      <c r="L980" s="6" t="inlineStr"/>
      <c r="M980" s="5" t="inlineStr"/>
      <c r="N980" s="5" t="inlineStr"/>
      <c r="O980" s="6" t="inlineStr"/>
      <c r="P980" s="6" t="inlineStr"/>
      <c r="Q980" s="5" t="inlineStr"/>
      <c r="R980" s="5" t="inlineStr">
        <is>
          <t>baskan</t>
        </is>
      </c>
      <c r="S980" s="5" t="inlineStr"/>
      <c r="T980" s="5" t="inlineStr"/>
      <c r="U980" s="5" t="inlineStr"/>
      <c r="V980" s="5" t="inlineStr">
        <is>
          <t>esnaf-dernek-baskani</t>
        </is>
      </c>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row>
    <row r="981">
      <c r="A981" s="5" t="inlineStr">
        <is>
          <t>mm-ikinci-is-hayali</t>
        </is>
      </c>
      <c r="B981" s="5" t="n">
        <v>1</v>
      </c>
      <c r="C981" s="6" t="inlineStr">
        <is>
          <t>Planı deftere yaz</t>
        </is>
      </c>
      <c r="D981" s="5" t="inlineStr"/>
      <c r="E981" s="5" t="inlineStr"/>
      <c r="F981" s="5" t="inlineStr">
        <is>
          <t>Akıl +1, İtibar +1</t>
        </is>
      </c>
      <c r="G981" s="6" t="inlineStr">
        <is>
          <t>Menü, kira, fiyat listesi. Defterin kapağında 'Emeklilik' yazıyor, ilk sayfasında tek kelime: 'Belki.'</t>
        </is>
      </c>
      <c r="H981" s="6" t="inlineStr"/>
      <c r="I981" s="6" t="inlineStr"/>
      <c r="J981" s="6" t="inlineStr"/>
      <c r="K981" s="6" t="inlineStr"/>
      <c r="L981" s="6" t="inlineStr"/>
      <c r="M981" s="5" t="inlineStr"/>
      <c r="N981" s="5" t="inlineStr"/>
      <c r="O981" s="6" t="inlineStr"/>
      <c r="P981" s="6" t="inlineStr"/>
      <c r="Q981" s="5" t="inlineStr"/>
      <c r="R981" s="5" t="inlineStr"/>
      <c r="S981" s="5" t="inlineStr"/>
      <c r="T981" s="5" t="inlineStr"/>
      <c r="U981" s="5" t="inlineStr">
        <is>
          <t>memur-ikinci-is</t>
        </is>
      </c>
      <c r="V981" s="5" t="inlineStr"/>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row>
    <row r="982">
      <c r="A982" s="5" t="inlineStr">
        <is>
          <t>mm-ikinci-is-hayali</t>
        </is>
      </c>
      <c r="B982" s="5" t="n">
        <v>2</v>
      </c>
      <c r="C982" s="6" t="inlineStr">
        <is>
          <t>Hafta sonları bir kafede çalış</t>
        </is>
      </c>
      <c r="D982" s="5" t="inlineStr">
        <is>
          <t>Dayanıklılık</t>
        </is>
      </c>
      <c r="E982" s="5" t="inlineStr">
        <is>
          <t>Orta</t>
        </is>
      </c>
      <c r="F982" s="5" t="inlineStr"/>
      <c r="G982" s="6" t="inlineStr"/>
      <c r="H982" s="6" t="inlineStr">
        <is>
          <t>Hafta sonları kafede çalıştın. Pazartesi masanda esniyorsun; dilekçe getirene farkında olmadan “Şekerli mi?” diye soruyorsun.</t>
        </is>
      </c>
      <c r="I982" s="6" t="inlineStr">
        <is>
          <t>Kafe sahibi seni ortaklığa davet etti. Tabelaya ikinizin adı yazılacak; seninki emekli olana kadar küçük puntoyla.</t>
        </is>
      </c>
      <c r="J982" s="6" t="inlineStr">
        <is>
          <t>İlk gün bir fincanı üç kez imzalamaya çalıştın. Refleks.</t>
        </is>
      </c>
      <c r="K982" s="6" t="inlineStr">
        <is>
          <t>Kafeye müdür geldi. Kahvesini sen getirdin. Pazartesi senden iki nüsha izin formu istedi.</t>
        </is>
      </c>
      <c r="L982" s="6" t="inlineStr"/>
      <c r="M982" s="5" t="inlineStr"/>
      <c r="N982" s="5" t="inlineStr"/>
      <c r="O982" s="6" t="inlineStr"/>
      <c r="P982" s="6" t="inlineStr"/>
      <c r="Q982" s="5" t="inlineStr"/>
      <c r="R982" s="5" t="inlineStr"/>
      <c r="S982" s="5" t="inlineStr"/>
      <c r="T982" s="5" t="inlineStr"/>
      <c r="U982" s="5" t="inlineStr"/>
      <c r="V982" s="5" t="inlineStr">
        <is>
          <t>memur-ikinci-is</t>
        </is>
      </c>
      <c r="W982" s="5" t="inlineStr">
        <is>
          <t>memur-mudur-dusmani</t>
        </is>
      </c>
      <c r="X982" s="5" t="inlineStr"/>
      <c r="Y982" s="5" t="inlineStr"/>
      <c r="Z982" s="6" t="inlineStr"/>
      <c r="AA982" s="5" t="inlineStr"/>
      <c r="AB982" s="5" t="inlineStr"/>
      <c r="AC982" s="5" t="inlineStr"/>
      <c r="AD982" s="5" t="inlineStr"/>
      <c r="AE982" s="5" t="inlineStr"/>
      <c r="AF982" s="5" t="inlineStr"/>
      <c r="AG982" s="5" t="inlineStr"/>
      <c r="AH982" s="5" t="inlineStr"/>
      <c r="AI982" s="5" t="inlineStr"/>
    </row>
    <row r="983">
      <c r="A983" s="5" t="inlineStr">
        <is>
          <t>mm-ikinci-is-hayali</t>
        </is>
      </c>
      <c r="B983" s="5" t="n">
        <v>3</v>
      </c>
      <c r="C983" s="6" t="inlineStr">
        <is>
          <t>İş planı çıkar</t>
        </is>
      </c>
      <c r="D983" s="5" t="inlineStr">
        <is>
          <t>Akıl</t>
        </is>
      </c>
      <c r="E983" s="5" t="inlineStr">
        <is>
          <t>Kolay</t>
        </is>
      </c>
      <c r="F983" s="5" t="inlineStr"/>
      <c r="G983" s="6" t="inlineStr"/>
      <c r="H983" s="6" t="inlineStr">
        <is>
          <t>Plan hazır. Banka 'Devlet maaşı güvenilirdir' dedi ve kredi ön onayı verdi.</t>
        </is>
      </c>
      <c r="I983" s="6" t="inlineStr">
        <is>
          <t>Planın o kadar sağlam ki bir kafe zinciri fikri satın almak istedi. Satmadın; hayal satılmaz.</t>
        </is>
      </c>
      <c r="J983" s="6" t="inlineStr">
        <is>
          <t>Planı bitirdin. Kira satırına gelince hesap makinesini kapattın, defteri de. Kafeyi bir sonraki öğle arasına erteledin.</t>
        </is>
      </c>
      <c r="K983" s="6" t="inlineStr">
        <is>
          <t>Planı yıllık izin formunun arkasına yazmışsın. Form müdüre gitti, oradan arşive; kafen şimdi bir klasörün içinde.</t>
        </is>
      </c>
      <c r="L983" s="6" t="inlineStr"/>
      <c r="M983" s="5" t="inlineStr"/>
      <c r="N983" s="5" t="inlineStr"/>
      <c r="O983" s="6" t="inlineStr"/>
      <c r="P983" s="6" t="inlineStr"/>
      <c r="Q983" s="5" t="inlineStr">
        <is>
          <t>Sofra Müteahhidi</t>
        </is>
      </c>
      <c r="R983" s="5" t="inlineStr"/>
      <c r="S983" s="5" t="inlineStr"/>
      <c r="T983" s="5" t="inlineStr"/>
      <c r="U983" s="5" t="inlineStr"/>
      <c r="V983" s="5" t="inlineStr">
        <is>
          <t>memur-ikinci-is</t>
        </is>
      </c>
      <c r="W983" s="5" t="inlineStr"/>
      <c r="X983" s="5" t="inlineStr"/>
      <c r="Y983" s="5" t="inlineStr"/>
      <c r="Z983" s="6" t="inlineStr"/>
      <c r="AA983" s="5" t="inlineStr"/>
      <c r="AB983" s="5" t="inlineStr"/>
      <c r="AC983" s="5" t="inlineStr"/>
      <c r="AD983" s="5" t="inlineStr"/>
      <c r="AE983" s="5" t="inlineStr"/>
      <c r="AF983" s="5" t="inlineStr"/>
      <c r="AG983" s="5" t="inlineStr"/>
      <c r="AH983" s="5" t="inlineStr"/>
      <c r="AI983" s="5" t="inlineStr"/>
    </row>
    <row r="984">
      <c r="A984" s="5" t="inlineStr">
        <is>
          <t>mm-ikinci-is-hayali</t>
        </is>
      </c>
      <c r="B984" s="5" t="n">
        <v>4</v>
      </c>
      <c r="C984" s="6" t="inlineStr">
        <is>
          <t>Hayalden vazgeç</t>
        </is>
      </c>
      <c r="D984" s="5" t="inlineStr"/>
      <c r="E984" s="5" t="inlineStr"/>
      <c r="F984" s="5" t="inlineStr">
        <is>
          <t>Dayanıklılık +1</t>
        </is>
      </c>
      <c r="G984" s="6" t="inlineStr">
        <is>
          <t>Menüyü atmadın ama çekmeceye koydun; eski maaş bordrolarının altına, ara sıra bakarsın diye.</t>
        </is>
      </c>
      <c r="H984" s="6" t="inlineStr"/>
      <c r="I984" s="6" t="inlineStr"/>
      <c r="J984" s="6" t="inlineStr"/>
      <c r="K984" s="6" t="inlineStr"/>
      <c r="L984" s="6" t="inlineStr"/>
      <c r="M984" s="5" t="inlineStr"/>
      <c r="N984" s="5" t="inlineStr"/>
      <c r="O984" s="6" t="inlineStr"/>
      <c r="P984" s="6" t="inlineStr"/>
      <c r="Q984" s="5" t="inlineStr"/>
      <c r="R984" s="5" t="inlineStr"/>
      <c r="S984" s="5" t="inlineStr"/>
      <c r="T984" s="5" t="inlineStr"/>
      <c r="U984" s="5" t="inlineStr"/>
      <c r="V984" s="5" t="inlineStr"/>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row>
    <row r="985">
      <c r="A985" s="5" t="inlineStr">
        <is>
          <t>b8-cocuk-fenomen</t>
        </is>
      </c>
      <c r="B985" s="5" t="n">
        <v>1</v>
      </c>
      <c r="C985" s="6" t="inlineStr">
        <is>
          <t>Rolü kabul et, yeni bölüm çek</t>
        </is>
      </c>
      <c r="D985" s="5" t="inlineStr">
        <is>
          <t>Pişkinlik</t>
        </is>
      </c>
      <c r="E985" s="5" t="inlineStr">
        <is>
          <t>Orta</t>
        </is>
      </c>
      <c r="F985" s="5" t="inlineStr"/>
      <c r="G985" s="6" t="inlineStr"/>
      <c r="H985" s="6" t="inlineStr">
        <is>
          <t>Yeni bölüm: “Babam yazıcıyla konuşuyor.” Hayran sayfası açıldı; yorumların yarısı yazıcıya selam söylüyor.</t>
        </is>
      </c>
      <c r="I985" s="6" t="inlineStr">
        <is>
          <t>Bir reklam anlaşması geldi. Çocuğun sana ilk kez harçlık verdi; sen de aldın, cebine koydun.</t>
        </is>
      </c>
      <c r="J985" s="6" t="inlineStr">
        <is>
          <t>Kamera karşısında doğal olamadın. Yorumlar: 'Senaryolu.'</t>
        </is>
      </c>
      <c r="K985" s="6" t="inlineStr">
        <is>
          <t>Çekimde yazıcıyla gerçekten kavga ettin. Video bu sefer gerçekten patladı; yazıcı da.</t>
        </is>
      </c>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row>
    <row r="986">
      <c r="A986" s="5" t="inlineStr">
        <is>
          <t>b8-cocuk-fenomen</t>
        </is>
      </c>
      <c r="B986" s="5" t="n">
        <v>2</v>
      </c>
      <c r="C986" s="6" t="inlineStr">
        <is>
          <t>Videonun kaldırılmasını iste</t>
        </is>
      </c>
      <c r="D986" s="5" t="inlineStr">
        <is>
          <t>Cesaret</t>
        </is>
      </c>
      <c r="E986" s="5" t="inlineStr">
        <is>
          <t>Zor</t>
        </is>
      </c>
      <c r="F986" s="5" t="inlineStr"/>
      <c r="G986" s="6" t="inlineStr"/>
      <c r="H986" s="6" t="inlineStr">
        <is>
          <t>Videoyu kaldırdı. Yerine “Babam videoyu kaldırttı” videosunu çekti. Daha çok izlendi.</t>
        </is>
      </c>
      <c r="I986" s="6" t="inlineStr">
        <is>
          <t>Kaldırdı ve özür diledi. Sonra birlikte bir kural listesi yazdınız. Liste de viral oldu.</t>
        </is>
      </c>
      <c r="J986" s="6" t="inlineStr">
        <is>
          <t>Kaldırmadı; 'Özgür sanat' dedi. Sanatın konusu sensin.</t>
        </is>
      </c>
      <c r="K986" s="6" t="inlineStr">
        <is>
          <t>Konuşmanızı gizlice çekmiş. Yeni video: “Babam video hakkında konuşuyor.” Seri üçüncü sezonunda.</t>
        </is>
      </c>
      <c r="L986" s="6" t="inlineStr"/>
      <c r="M986" s="5" t="inlineStr"/>
      <c r="N986" s="5" t="inlineStr"/>
      <c r="O986" s="6" t="inlineStr"/>
      <c r="P986" s="6" t="inlineStr"/>
      <c r="Q986" s="5" t="inlineStr"/>
      <c r="R986" s="5" t="inlineStr"/>
      <c r="S986" s="5" t="inlineStr"/>
      <c r="T986" s="5" t="inlineStr">
        <is>
          <t>Sözünü Geçirir</t>
        </is>
      </c>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row>
    <row r="987">
      <c r="A987" s="5" t="inlineStr">
        <is>
          <t>b8-cocuk-fenomen</t>
        </is>
      </c>
      <c r="B987" s="5" t="n">
        <v>3</v>
      </c>
      <c r="C987" s="6" t="inlineStr">
        <is>
          <t>Yorumları okumadan yaşa</t>
        </is>
      </c>
      <c r="D987" s="5" t="inlineStr"/>
      <c r="E987" s="5" t="inlineStr"/>
      <c r="F987" s="5" t="inlineStr">
        <is>
          <t>Dayanıklılık +1</t>
        </is>
      </c>
      <c r="G987" s="6" t="inlineStr">
        <is>
          <t>Hiçbir yorumu okumadın. Markette biri seni tanıdı ve yazıcını sordu. Yazıcın iyi.</t>
        </is>
      </c>
      <c r="H987" s="6" t="inlineStr"/>
      <c r="I987" s="6" t="inlineStr"/>
      <c r="J987" s="6" t="inlineStr"/>
      <c r="K987" s="6" t="inlineStr"/>
      <c r="L987" s="6" t="inlineStr"/>
      <c r="M987" s="5" t="inlineStr"/>
      <c r="N987" s="5" t="inlineStr"/>
      <c r="O987" s="6" t="inlineStr"/>
      <c r="P987" s="6" t="inlineStr"/>
      <c r="Q987" s="5" t="inlineStr"/>
      <c r="R987" s="5" t="inlineStr"/>
      <c r="S987" s="5" t="inlineStr"/>
      <c r="T987" s="5" t="inlineStr"/>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row>
    <row r="988">
      <c r="A988" s="5" t="inlineStr">
        <is>
          <t>b8-cocuk-fenomen</t>
        </is>
      </c>
      <c r="B988" s="5" t="n">
        <v>4</v>
      </c>
      <c r="C988" s="6" t="inlineStr">
        <is>
          <t>Eski hesabını aç, düello yap</t>
        </is>
      </c>
      <c r="D988" s="5" t="inlineStr">
        <is>
          <t>Pişkinlik</t>
        </is>
      </c>
      <c r="E988" s="5" t="inlineStr">
        <is>
          <t>Kolay</t>
        </is>
      </c>
      <c r="F988" s="5" t="inlineStr"/>
      <c r="G988" s="6" t="inlineStr"/>
      <c r="H988" s="6" t="inlineStr">
        <is>
          <t>Kendi eski hesabından cevap videosu çektin. Takipçiler ikiye bölündü; aile içi derbi başladı.</t>
        </is>
      </c>
      <c r="I988" s="6" t="inlineStr">
        <is>
          <t>Düello videonuz ikinizinkinden de çok izlendi. Ortak hesap açıldı; tapu gibi, yarı yarıya.</t>
        </is>
      </c>
      <c r="J988" s="6" t="inlineStr">
        <is>
          <t>Eski hesabının şifresini hatırlayamadın. Şifre sıfırlama e-postası, kapanmış bir adrese gitti.</t>
        </is>
      </c>
      <c r="K988" s="6" t="inlineStr">
        <is>
          <t>Cevap videon çocuğunkinden az izlendi. Çocuğun yeni videosu: “Babam benimle yarışıyor.”</t>
        </is>
      </c>
      <c r="L988" s="6" t="inlineStr"/>
      <c r="M988" s="5" t="inlineStr"/>
      <c r="N988" s="5" t="inlineStr"/>
      <c r="O988" s="6" t="inlineStr"/>
      <c r="P988" s="6" t="inlineStr"/>
      <c r="Q988" s="5" t="inlineStr"/>
      <c r="R988" s="5" t="inlineStr">
        <is>
          <t>fenomen</t>
        </is>
      </c>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row>
    <row r="989">
      <c r="A989" s="5" t="inlineStr">
        <is>
          <t>b8-yapay-zeka-egitimi</t>
        </is>
      </c>
      <c r="B989" s="5" t="n">
        <v>1</v>
      </c>
      <c r="C989" s="6" t="inlineStr">
        <is>
          <t>Not al, sessizce öğren</t>
        </is>
      </c>
      <c r="D989" s="5" t="inlineStr"/>
      <c r="E989" s="5" t="inlineStr"/>
      <c r="F989" s="5" t="inlineStr">
        <is>
          <t>Akıl +1, Dayanıklılık +1</t>
        </is>
      </c>
      <c r="G989" s="6" t="inlineStr">
        <is>
          <t>Not aldın. Eğitim sonunda yapay zekâya bir e-posta yazdırdın. E-posta senden daha kibar.</t>
        </is>
      </c>
      <c r="H989" s="6" t="inlineStr"/>
      <c r="I989" s="6" t="inlineStr"/>
      <c r="J989" s="6" t="inlineStr"/>
      <c r="K989" s="6" t="inlineStr"/>
      <c r="L989" s="6" t="inlineStr"/>
      <c r="M989" s="5" t="inlineStr"/>
      <c r="N989" s="5" t="inlineStr"/>
      <c r="O989" s="6" t="inlineStr"/>
      <c r="P989" s="6" t="inlineStr"/>
      <c r="Q989" s="5" t="inlineStr"/>
      <c r="R989" s="5" t="inlineStr"/>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row>
    <row r="990">
      <c r="A990" s="5" t="inlineStr">
        <is>
          <t>b8-yapay-zeka-egitimi</t>
        </is>
      </c>
      <c r="B990" s="5" t="n">
        <v>2</v>
      </c>
      <c r="C990" s="6" t="inlineStr">
        <is>
          <t>Yapay zekâya tüm işini yaptır</t>
        </is>
      </c>
      <c r="D990" s="5" t="inlineStr">
        <is>
          <t>Kurnazlık</t>
        </is>
      </c>
      <c r="E990" s="5" t="inlineStr">
        <is>
          <t>Orta</t>
        </is>
      </c>
      <c r="F990" s="5" t="inlineStr"/>
      <c r="G990" s="6" t="inlineStr"/>
      <c r="H990" s="6" t="inlineStr">
        <is>
          <t>Haftalık raporu yapay zekâ yazdı. Müdür 'Bu hafta çok iyi yazmışsın' dedi. Teşekkür ettin; ikiniz adına.</t>
        </is>
      </c>
      <c r="I990" s="6" t="inlineStr">
        <is>
          <t>Bütün işini otomatikleştirdin. Artık günde iki saat çalışıp altı saat 'strateji' yapıyorsun.</t>
        </is>
      </c>
      <c r="J990" s="6" t="inlineStr">
        <is>
          <t>Rapor fazla kusursuz çıktı. Müdür 'Bunu sen mi yazdın?' diye sordu. Yalan söylemek için bile yardım istedin.</t>
        </is>
      </c>
      <c r="K990" s="6" t="inlineStr">
        <is>
          <t>Yapay zekâ raporuna bir şiir ekledi. Rapor yönetim kuruluna gitti. Şiir de.</t>
        </is>
      </c>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row>
    <row r="991">
      <c r="A991" s="5" t="inlineStr">
        <is>
          <t>b8-yapay-zeka-egitimi</t>
        </is>
      </c>
      <c r="B991" s="5" t="n">
        <v>3</v>
      </c>
      <c r="C991" s="6" t="inlineStr">
        <is>
          <t>Eğitmene faksı anlat</t>
        </is>
      </c>
      <c r="D991" s="5" t="inlineStr">
        <is>
          <t>Çene</t>
        </is>
      </c>
      <c r="E991" s="5" t="inlineStr">
        <is>
          <t>Kolay</t>
        </is>
      </c>
      <c r="F991" s="5" t="inlineStr"/>
      <c r="G991" s="6" t="inlineStr"/>
      <c r="H991" s="6" t="inlineStr">
        <is>
          <t>Eğitmen merakla dinledi. Karşılığında sana her şeyi yeniden anlattı.</t>
        </is>
      </c>
      <c r="I991" s="6" t="inlineStr">
        <is>
          <t>Faks hikâyen o kadar ilgi gördü ki şirket içi 'Eski Teknolojiler' semineri istendi. Konuşmacı: sen.</t>
        </is>
      </c>
      <c r="J991" s="6" t="inlineStr">
        <is>
          <t>Eğitmen 'Faks bir tür sosyal medya mı?' diye sordu. Cevap veremedin.</t>
        </is>
      </c>
      <c r="K991" s="6" t="inlineStr">
        <is>
          <t>Faksı anlatırken sesini de taklit ettin: “Dıııt, kşşşş.” Eğitmen videoya alıp şirket grubuna attı. Bir haftadır koridorda seni o sesle selamlıyorlar.</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is>
          <t>Faks</t>
        </is>
      </c>
    </row>
    <row r="992">
      <c r="A992" s="5" t="inlineStr">
        <is>
          <t>b8-yapay-zeka-egitimi</t>
        </is>
      </c>
      <c r="B992" s="5" t="n">
        <v>4</v>
      </c>
      <c r="C992" s="6" t="inlineStr">
        <is>
          <t>Eğitmene soru yağdır</t>
        </is>
      </c>
      <c r="D992" s="5" t="inlineStr">
        <is>
          <t>Akıl</t>
        </is>
      </c>
      <c r="E992" s="5" t="inlineStr">
        <is>
          <t>Zor</t>
        </is>
      </c>
      <c r="F992" s="5" t="inlineStr"/>
      <c r="G992" s="6" t="inlineStr"/>
      <c r="H992" s="6" t="inlineStr">
        <is>
          <t>Sorularının yarısına cevap verildi. Diğer yarısı eğitmenin gece ödevi oldu.</t>
        </is>
      </c>
      <c r="I992" s="6" t="inlineStr">
        <is>
          <t>Eğitmen 'Beni siz eğitiyorsunuz' dedi. Şirketin yapay zekâ çalışma grubuna seçildin.</t>
        </is>
      </c>
      <c r="J992" s="6" t="inlineStr">
        <is>
          <t>Sorular teknikti, cevaplar daha teknikti. Eğitim uzadı; öğle yemeği kısaldı.</t>
        </is>
      </c>
      <c r="K992" s="6" t="inlineStr">
        <is>
          <t>Soru sorarken yapay zekâ senin sorunu senin yerine cevapladı. Yanlış cevapladı. Sen de onayladın.</t>
        </is>
      </c>
      <c r="L992" s="6" t="inlineStr"/>
      <c r="M992" s="5" t="inlineStr"/>
      <c r="N992" s="5" t="inlineStr"/>
      <c r="O992" s="6" t="inlineStr"/>
      <c r="P992" s="6" t="inlineStr"/>
      <c r="Q992" s="5" t="inlineStr">
        <is>
          <t>Şifreyi Bilen</t>
        </is>
      </c>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row>
    <row r="993">
      <c r="A993" s="5" t="inlineStr">
        <is>
          <t>b8-emeklilik-hesabi</t>
        </is>
      </c>
      <c r="B993" s="5" t="n">
        <v>1</v>
      </c>
      <c r="C993" s="6" t="inlineStr">
        <is>
          <t>Bir yıl sonra yeniden hesapla</t>
        </is>
      </c>
      <c r="D993" s="5" t="inlineStr"/>
      <c r="E993" s="5" t="inlineStr"/>
      <c r="F993" s="5" t="inlineStr">
        <is>
          <t>Dayanıklılık +1</t>
        </is>
      </c>
      <c r="G993" s="6" t="inlineStr">
        <is>
          <t>Bir yıl sonra yeniden hesapladın. Sonuç: 'Bir yıl sonra yeniden hesaplayın.'</t>
        </is>
      </c>
      <c r="H993" s="6" t="inlineStr"/>
      <c r="I993" s="6" t="inlineStr"/>
      <c r="J993" s="6" t="inlineStr"/>
      <c r="K993" s="6" t="inlineStr"/>
      <c r="L993" s="6" t="inlineStr"/>
      <c r="M993" s="5" t="inlineStr"/>
      <c r="N993" s="5" t="inlineStr"/>
      <c r="O993" s="6" t="inlineStr"/>
      <c r="P993" s="6" t="inlineStr"/>
      <c r="Q993" s="5" t="inlineStr"/>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row>
    <row r="994">
      <c r="A994" s="5" t="inlineStr">
        <is>
          <t>b8-emeklilik-hesabi</t>
        </is>
      </c>
      <c r="B994" s="5" t="n">
        <v>2</v>
      </c>
      <c r="C994" s="6" t="inlineStr">
        <is>
          <t>Hizmet dökümünü satır satır incele</t>
        </is>
      </c>
      <c r="D994" s="5" t="inlineStr">
        <is>
          <t>Akıl</t>
        </is>
      </c>
      <c r="E994" s="5" t="inlineStr">
        <is>
          <t>Orta</t>
        </is>
      </c>
      <c r="F994" s="5" t="inlineStr"/>
      <c r="G994" s="6" t="inlineStr"/>
      <c r="H994" s="6" t="inlineStr">
        <is>
          <t>Eksik yüz gün buldun. Eski bir işverenin bildirmemiş. Dilekçe gönderildi; gün geri geldi.</t>
        </is>
      </c>
      <c r="I994" s="6" t="inlineStr">
        <is>
          <t>Dökümdeki üç hatayı düzelttirdin; emeklilik tarihin bir yıl öne çekildi. Haberi aile grubuna yazdın; eniştenin cevabı hemen geldi: “Bizimkine de bir bakar mısın?”</t>
        </is>
      </c>
      <c r="J994" s="6" t="inlineStr">
        <is>
          <t>Dökümü inceledin; hiçbir şey anlamadın. Kahvede emekli bir komşuya gösterdin; o da anlamadı ama bir saat yorum yaptı.</t>
        </is>
      </c>
      <c r="K994" s="6" t="inlineStr">
        <is>
          <t>İnceledin ve fazla gün buldun. Kurum düzeltti; bu kez senin aleyhine.</t>
        </is>
      </c>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row>
    <row r="995">
      <c r="A995" s="5" t="inlineStr">
        <is>
          <t>b8-emeklilik-hesabi</t>
        </is>
      </c>
      <c r="B995" s="5" t="n">
        <v>3</v>
      </c>
      <c r="C995" s="6" t="inlineStr">
        <is>
          <t>Askerlik borçlanması yap</t>
        </is>
      </c>
      <c r="D995" s="5" t="inlineStr"/>
      <c r="E995" s="5" t="inlineStr"/>
      <c r="F995" s="5" t="inlineStr">
        <is>
          <t>Kurnazlık +1</t>
        </is>
      </c>
      <c r="G995" s="6" t="inlineStr">
        <is>
          <t>Askerlik süreni borçlanarak prim gününe ekledin. Kışla günleri nihayet işe yaradı: dört ay erken emeklilik.</t>
        </is>
      </c>
      <c r="H995" s="6" t="inlineStr"/>
      <c r="I995" s="6" t="inlineStr"/>
      <c r="J995" s="6" t="inlineStr"/>
      <c r="K995" s="6" t="inlineStr"/>
      <c r="L995" s="6" t="inlineStr"/>
      <c r="M995" s="5" t="inlineStr"/>
      <c r="N995" s="5" t="inlineStr"/>
      <c r="O995" s="6" t="inlineStr"/>
      <c r="P995" s="6" t="inlineStr"/>
      <c r="Q995" s="5" t="inlineStr"/>
      <c r="R995" s="5" t="inlineStr">
        <is>
          <t>askerlik-yapti</t>
        </is>
      </c>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row>
    <row r="996">
      <c r="A996" s="5" t="inlineStr">
        <is>
          <t>b8-emeklilik-hesabi</t>
        </is>
      </c>
      <c r="B996" s="5" t="n">
        <v>4</v>
      </c>
      <c r="C996" s="6" t="inlineStr">
        <is>
          <t>Yastık altını say</t>
        </is>
      </c>
      <c r="D996" s="5" t="inlineStr">
        <is>
          <t>Kurnazlık</t>
        </is>
      </c>
      <c r="E996" s="5" t="inlineStr">
        <is>
          <t>Kolay</t>
        </is>
      </c>
      <c r="F996" s="5" t="inlineStr"/>
      <c r="G996" s="6" t="inlineStr"/>
      <c r="H996" s="6" t="inlineStr">
        <is>
          <t>Yastık altı tahmininden fazla çıktı. Emeklilik planı B hazır.</t>
        </is>
      </c>
      <c r="I996" s="6" t="inlineStr">
        <is>
          <t>Yastık altında unuttuğun bir zarf daha buldun. Plan B, plan A'yı geçti.</t>
        </is>
      </c>
      <c r="J996" s="6" t="inlineStr">
        <is>
          <t>Saydın; enflasyon senden önce saymış.</t>
        </is>
      </c>
      <c r="K996" s="6" t="inlineStr">
        <is>
          <t>Saydın; yastık altındakiler artık tedavülde değil. Nostaljik değerleri var.</t>
        </is>
      </c>
      <c r="L996" s="6" t="inlineStr"/>
      <c r="M996" s="5" t="inlineStr"/>
      <c r="N996" s="5" t="inlineStr"/>
      <c r="O996" s="6" t="inlineStr"/>
      <c r="P996" s="6" t="inlineStr"/>
      <c r="Q996" s="5" t="inlineStr">
        <is>
          <t>Yastık Altı Ekonomisti</t>
        </is>
      </c>
      <c r="R996" s="5" t="inlineStr"/>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row>
    <row r="997">
      <c r="A997" s="5" t="inlineStr">
        <is>
          <t>b8-bos-yuva</t>
        </is>
      </c>
      <c r="B997" s="5" t="n">
        <v>1</v>
      </c>
      <c r="C997" s="6" t="inlineStr">
        <is>
          <t>Odayı olduğu gibi bırak</t>
        </is>
      </c>
      <c r="D997" s="5" t="inlineStr"/>
      <c r="E997" s="5" t="inlineStr"/>
      <c r="F997" s="5" t="inlineStr">
        <is>
          <t>Gönül +1</t>
        </is>
      </c>
      <c r="G997" s="6" t="inlineStr">
        <is>
          <t>Odaya dokunmadın. Ara sıra girip yatağın kenarına oturuyorsun. Oda da sana alıştı.</t>
        </is>
      </c>
      <c r="H997" s="6" t="inlineStr"/>
      <c r="I997" s="6" t="inlineStr"/>
      <c r="J997" s="6" t="inlineStr"/>
      <c r="K997" s="6" t="inlineStr"/>
      <c r="L997" s="6" t="inlineStr"/>
      <c r="M997" s="5" t="inlineStr"/>
      <c r="N997" s="5" t="inlineStr"/>
      <c r="O997" s="6" t="inlineStr"/>
      <c r="P997" s="6" t="inlineStr"/>
      <c r="Q997" s="5" t="inlineStr"/>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row>
    <row r="998">
      <c r="A998" s="5" t="inlineStr">
        <is>
          <t>b8-bos-yuva</t>
        </is>
      </c>
      <c r="B998" s="5" t="n">
        <v>2</v>
      </c>
      <c r="C998" s="6" t="inlineStr">
        <is>
          <t>Hobi odasına çevir</t>
        </is>
      </c>
      <c r="D998" s="5" t="inlineStr">
        <is>
          <t>Kurnazlık</t>
        </is>
      </c>
      <c r="E998" s="5" t="inlineStr">
        <is>
          <t>Orta</t>
        </is>
      </c>
      <c r="F998" s="5" t="inlineStr"/>
      <c r="G998" s="6" t="inlineStr"/>
      <c r="H998" s="6" t="inlineStr">
        <is>
          <t>Oda hobi odası oldu. Çocuk tatilde gelip 'Benim odam nerede?' dedi. Salonda.</t>
        </is>
      </c>
      <c r="I998" s="6" t="inlineStr">
        <is>
          <t>Oda öyle güzel oldu ki çocuk tatilde gelip orada yatmak istedi. Gece yarısı ikiniz o odada çay içtiniz; bir saat boyunca kimse telefonuna bakmadı.</t>
        </is>
      </c>
      <c r="J998" s="6" t="inlineStr">
        <is>
          <t>Hobi malzemeleri geldi. Oda artık bir depo; hobi hâlâ gelmedi.</t>
        </is>
      </c>
      <c r="K998" s="6" t="inlineStr">
        <is>
          <t>Çocuk dönem arası habersiz geldi; eşyalarını bodrumda, bir kolinin içinde buldu. Kolinin üstünde senin el yazın: “Eski.” Üç gün seninle konuşmadı.</t>
        </is>
      </c>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row>
    <row r="999">
      <c r="A999" s="5" t="inlineStr">
        <is>
          <t>b8-bos-yuva</t>
        </is>
      </c>
      <c r="B999" s="5" t="n">
        <v>3</v>
      </c>
      <c r="C999" s="6" t="inlineStr">
        <is>
          <t>Ara, ama her gün değil</t>
        </is>
      </c>
      <c r="D999" s="5" t="inlineStr">
        <is>
          <t>Sosyal Radar</t>
        </is>
      </c>
      <c r="E999" s="5" t="inlineStr">
        <is>
          <t>Orta</t>
        </is>
      </c>
      <c r="F999" s="5" t="inlineStr"/>
      <c r="G999" s="6" t="inlineStr"/>
      <c r="H999" s="6" t="inlineStr">
        <is>
          <t>Haftada üç arama. Çocuk telefonu açıyor; bazen gülümsüyor bile.</t>
        </is>
      </c>
      <c r="I999" s="6" t="inlineStr">
        <is>
          <t>Aramaların arasına doğru boşlukları koydun. Çocuk seni kendisi aramaya başladı.</t>
        </is>
      </c>
      <c r="J999" s="6" t="inlineStr">
        <is>
          <t>Kendini iki gün tuttun, üçüncü gün dört kez aradın. Çocuk artık “Toplantıdayım” diye yazıyor. Öğrencinin toplantısı yok.</t>
        </is>
      </c>
      <c r="K999" s="6" t="inlineStr">
        <is>
          <t>Görüntülü aradın; çocuğun telefonu masada açık kalmış, kendisi yok. Ev arkadaşları bir saat seninle sohbet etti. Artık onlar her pazar arıyor; çocuğun aramıyor.</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row>
    <row r="1000">
      <c r="A1000" s="5" t="inlineStr">
        <is>
          <t>b8-bos-yuva</t>
        </is>
      </c>
      <c r="B1000" s="5" t="n">
        <v>4</v>
      </c>
      <c r="C1000" s="6" t="inlineStr">
        <is>
          <t>Bir tabağı gizlice odaya koy</t>
        </is>
      </c>
      <c r="D1000" s="5" t="inlineStr">
        <is>
          <t>Pişkinlik</t>
        </is>
      </c>
      <c r="E1000" s="5" t="inlineStr">
        <is>
          <t>Kolay</t>
        </is>
      </c>
      <c r="F1000" s="5" t="inlineStr"/>
      <c r="G1000" s="6" t="inlineStr"/>
      <c r="H1000" s="6" t="inlineStr">
        <is>
          <t>Tabağı koydun. Oda eski hâline döndü gibi oldu. Kimse bilmiyor; sen biliyorsun.</t>
        </is>
      </c>
      <c r="I1000" s="6" t="inlineStr">
        <is>
          <t>Çocuk tatilde geldi, tabağı gördü, güldü: “Hâlâ burada mı?” Sonra sana sarıldı; bavulu kapıda kaldı.</t>
        </is>
      </c>
      <c r="J1000" s="6" t="inlineStr">
        <is>
          <t>Tabağı koydun; eşin kaldırdı. İkinci tabak yolda.</t>
        </is>
      </c>
      <c r="K1000" s="6" t="inlineStr">
        <is>
          <t>Tabağı koydun, unuttun. Üç hafta sonra odadan bir koku yükseldi. Gelen misafir burnunu kırıştırdı: “Çocuk dönmüş mü?”</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row>
    <row r="1001">
      <c r="A1001" s="5" t="inlineStr">
        <is>
          <t>b8-bos-yuva</t>
        </is>
      </c>
      <c r="B1001" s="5" t="n">
        <v>5</v>
      </c>
      <c r="C1001" s="6" t="inlineStr">
        <is>
          <t>Kargoya koli ver</t>
        </is>
      </c>
      <c r="D1001" s="5" t="inlineStr">
        <is>
          <t>Gönül</t>
        </is>
      </c>
      <c r="E1001" s="5" t="inlineStr">
        <is>
          <t>Orta</t>
        </is>
      </c>
      <c r="F1001" s="5" t="inlineStr"/>
      <c r="G1001" s="6" t="inlineStr"/>
      <c r="H1001" s="6" t="inlineStr">
        <is>
          <t>Koli iki günde vardı. Çocuk fotoğraf attı: kurabiyeler bitmiş, çoraplar duruyor. “Çorabı neden yolladın?” Çünkü kış geliyor.</t>
        </is>
      </c>
      <c r="I1001" s="6" t="inlineStr">
        <is>
          <t>Koliye sarma, kurabiye, iki kavanoz reçel ve kalın çorap koydun. Yurtta koli açılınca koridor boşaldı; ertesi hafta oda arkadaşları kendi adreslerini yolladı.</t>
        </is>
      </c>
      <c r="J1001" s="6" t="inlineStr">
        <is>
          <t>Koli kargoda dört gün bekledi; sarmalar yola dayanamadı. Çocuk kapağı açmadan çöpe attı, sana “Çok güzeldi” yazdı.</t>
        </is>
      </c>
      <c r="K1001" s="6" t="inlineStr">
        <is>
          <t>Reçel kavanozu yolda açılmış. Koli yurt kapısına damlayarak geldi; görevli çocuğun adını bütün yurda anons etti. Çocuk bir hafta telefonunu açmadı.</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row>
    <row r="1002">
      <c r="A1002" s="5" t="inlineStr">
        <is>
          <t>b8-son-taksit</t>
        </is>
      </c>
      <c r="B1002" s="5" t="n">
        <v>1</v>
      </c>
      <c r="C1002" s="6" t="inlineStr">
        <is>
          <t>Baklava al, apartmana dağıt</t>
        </is>
      </c>
      <c r="D1002" s="5" t="inlineStr"/>
      <c r="E1002" s="5" t="inlineStr"/>
      <c r="F1002" s="5" t="inlineStr">
        <is>
          <t>İtibar +1, Dayanıklılık +1</t>
        </is>
      </c>
      <c r="G1002" s="6" t="inlineStr">
        <is>
          <t>İki tepsi baklava aldın, kapı kapı dağıttın. Alt kat “Ne kutluyoruz?” diye sordu; “Ev bizim oldu” dedin. Akşam tapuyla fotoğraf çektin; tapu senden iyi çıktı.</t>
        </is>
      </c>
      <c r="H1002" s="6" t="inlineStr"/>
      <c r="I1002" s="6" t="inlineStr"/>
      <c r="J1002" s="6" t="inlineStr"/>
      <c r="K1002" s="6" t="inlineStr"/>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row>
    <row r="1003">
      <c r="A1003" s="5" t="inlineStr">
        <is>
          <t>b8-son-taksit</t>
        </is>
      </c>
      <c r="B1003" s="5" t="n">
        <v>2</v>
      </c>
      <c r="C1003" s="6" t="inlineStr">
        <is>
          <t>Yeni kredi teklifini değerlendir</t>
        </is>
      </c>
      <c r="D1003" s="5" t="inlineStr">
        <is>
          <t>Kurnazlık</t>
        </is>
      </c>
      <c r="E1003" s="5" t="inlineStr">
        <is>
          <t>Zor</t>
        </is>
      </c>
      <c r="F1003" s="5" t="inlineStr"/>
      <c r="G1003" s="6" t="inlineStr"/>
      <c r="H1003" s="6" t="inlineStr">
        <is>
          <t>Teklifi inceledin, faizi pazarlıkla düşürdün ve yine reddettin. Banka ilk kez seni ciddiye aldı.</t>
        </is>
      </c>
      <c r="I1003" s="6" t="inlineStr">
        <is>
          <t>Teklifi kullanıp evi yeniledin; ev değer kazandı. Borcun yine var ama bu sefer bir de planın var.</t>
        </is>
      </c>
      <c r="J1003" s="6" t="inlineStr">
        <is>
          <t>Teklifi okudun; yıldızlı dipnota gözlüğün yetmedi. Sen karar verene kadar teklifin süresi doldu. Banka ertesi sabah yenisini yolladı.</t>
        </is>
      </c>
      <c r="K1003" s="6" t="inlineStr">
        <is>
          <t>Teklifi imzaladın; son taksit yetmiş dört yaşında. Yanında gelen sigorta, kart ve bir mutfak robotu da hesaba yazıldı.</t>
        </is>
      </c>
      <c r="L1003" s="6" t="inlineStr"/>
      <c r="M1003" s="5" t="inlineStr"/>
      <c r="N1003" s="5" t="inlineStr"/>
      <c r="O1003" s="6" t="inlineStr"/>
      <c r="P1003" s="6" t="inlineStr"/>
      <c r="Q1003" s="5" t="inlineStr"/>
      <c r="R1003" s="5" t="inlineStr"/>
      <c r="S1003" s="5" t="inlineStr"/>
      <c r="T1003" s="5" t="inlineStr"/>
      <c r="U1003" s="5" t="inlineStr"/>
      <c r="V1003" s="5" t="inlineStr"/>
      <c r="W1003" s="5" t="inlineStr">
        <is>
          <t>borclu</t>
        </is>
      </c>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row>
    <row r="1004">
      <c r="A1004" s="5" t="inlineStr">
        <is>
          <t>b8-son-taksit</t>
        </is>
      </c>
      <c r="B1004" s="5" t="n">
        <v>3</v>
      </c>
      <c r="C1004" s="6" t="inlineStr">
        <is>
          <t>Bankaya teşekkür dilekçesi yaz</t>
        </is>
      </c>
      <c r="D1004" s="5" t="inlineStr">
        <is>
          <t>Pişkinlik</t>
        </is>
      </c>
      <c r="E1004" s="5" t="inlineStr">
        <is>
          <t>Kolay</t>
        </is>
      </c>
      <c r="F1004" s="5" t="inlineStr"/>
      <c r="G1004" s="6" t="inlineStr"/>
      <c r="H1004" s="6" t="inlineStr">
        <is>
          <t>'Yirmi yıllık birlikteliğimiz için teşekkürler' yazdın. Banka cevabı otomatik gönderdi: 'Kredi teklifimiz geçerlidir.'</t>
        </is>
      </c>
      <c r="I1004" s="6" t="inlineStr">
        <is>
          <t>Dilekçen şubede panoya asıldı. Müdür seni aradı ve ilk kez kredi teklif etmedi.</t>
        </is>
      </c>
      <c r="J1004" s="6" t="inlineStr">
        <is>
          <t>Dilekçen işleme alınamadı; form numarası eksik.</t>
        </is>
      </c>
      <c r="K1004" s="6" t="inlineStr">
        <is>
          <t>Dilekçe yanlışlıkla kredi başvurusu olarak işleme alındı. Onaylandı.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row>
    <row r="1005">
      <c r="A1005" s="5" t="inlineStr">
        <is>
          <t>b9-yazi-boyutu</t>
        </is>
      </c>
      <c r="B1005" s="5" t="n">
        <v>1</v>
      </c>
      <c r="C1005" s="6" t="inlineStr">
        <is>
          <t>Yazı boyutunu en büyüğe al</t>
        </is>
      </c>
      <c r="D1005" s="5" t="inlineStr"/>
      <c r="E1005" s="5" t="inlineStr"/>
      <c r="F1005" s="5" t="inlineStr">
        <is>
          <t>Akıl +1</t>
        </is>
      </c>
      <c r="G1005" s="6" t="inlineStr">
        <is>
          <t>Yazı boyutunu en büyüğe çektin. 'Günaydın' artık iki satıra bölünüyor. Karşı komşu senin mesajlarını kendi balkonundan okuyabiliyor.</t>
        </is>
      </c>
      <c r="H1005" s="6" t="inlineStr"/>
      <c r="I1005" s="6" t="inlineStr"/>
      <c r="J1005" s="6" t="inlineStr"/>
      <c r="K1005" s="6" t="inlineStr"/>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row>
    <row r="1006">
      <c r="A1006" s="5" t="inlineStr">
        <is>
          <t>b9-yazi-boyutu</t>
        </is>
      </c>
      <c r="B1006" s="5" t="n">
        <v>2</v>
      </c>
      <c r="C1006" s="6" t="inlineStr">
        <is>
          <t>Gözlüğü ara</t>
        </is>
      </c>
      <c r="D1006" s="5" t="inlineStr">
        <is>
          <t>Dayanıklılık</t>
        </is>
      </c>
      <c r="E1006" s="5" t="inlineStr">
        <is>
          <t>Kolay</t>
        </is>
      </c>
      <c r="F1006" s="5" t="inlineStr"/>
      <c r="G1006" s="6" t="inlineStr"/>
      <c r="H1006" s="6" t="inlineStr">
        <is>
          <t>Gözlüğü buldun, mesajı okudun. Mesaj 'Gözlüğün bende kalmış' idi.</t>
        </is>
      </c>
      <c r="I1006" s="6" t="inlineStr">
        <is>
          <t>Gözlüğü ilk denemede, olması gereken yerde buldun: kılıfında. Haber aile grubuna düştü; üç kişi inanmadı.</t>
        </is>
      </c>
      <c r="J1006" s="6" t="inlineStr">
        <is>
          <t>Gözlüğü aradın. Başının üstündeydi. Bunu aynaya bakınca öğrendin.</t>
        </is>
      </c>
      <c r="K1006" s="6" t="inlineStr">
        <is>
          <t>Gözlüğü ararken koltuğa oturdun. Altından çıt diye bir ses geldi. Bir hafta mesajları tek camla, bir gözünü kısarak okudun.</t>
        </is>
      </c>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row>
    <row r="1007">
      <c r="A1007" s="5" t="inlineStr">
        <is>
          <t>b9-yazi-boyutu</t>
        </is>
      </c>
      <c r="B1007" s="5" t="n">
        <v>3</v>
      </c>
      <c r="C1007" s="6" t="inlineStr">
        <is>
          <t>Sesli okuma özelliğini aç</t>
        </is>
      </c>
      <c r="D1007" s="5" t="inlineStr">
        <is>
          <t>Akıl</t>
        </is>
      </c>
      <c r="E1007" s="5" t="inlineStr">
        <is>
          <t>Orta</t>
        </is>
      </c>
      <c r="F1007" s="5" t="inlineStr"/>
      <c r="G1007" s="6" t="inlineStr"/>
      <c r="H1007" s="6" t="inlineStr">
        <is>
          <t>Telefon mesajı sesli okudu. Robot ses 'Acil havale yapar mısın, akşam anlatırım' derken bile tatlıydı. Havaleyi yaptın, akşam kimse anlatmadı.</t>
        </is>
      </c>
      <c r="I1007" s="6" t="inlineStr">
        <is>
          <t>Sesli okuma, ekran büyüteci, karanlık mod. Aile grubunda telefon ayarı soran herkes artık seni arıyor; sen de 'Bir saniye, gözlüğümü takayım' diyorsun.</t>
        </is>
      </c>
      <c r="J1007" s="6" t="inlineStr">
        <is>
          <t>Sesli okuma açıldı. Kapanmıyor. Market fişi dahil her şey yüksek sesle okunuyor.</t>
        </is>
      </c>
      <c r="K1007" s="6" t="inlineStr">
        <is>
          <t>Sesli okuma otobüste açıldı. Aile grubundaki bütün dedikodu bütün otobüse okundu; şoför sonunu duymak için durakta bekledi.</t>
        </is>
      </c>
      <c r="L1007" s="6" t="inlineStr"/>
      <c r="M1007" s="5" t="inlineStr"/>
      <c r="N1007" s="5" t="inlineStr"/>
      <c r="O1007" s="6" t="inlineStr"/>
      <c r="P1007" s="6" t="inlineStr"/>
      <c r="Q1007" s="5" t="inlineStr">
        <is>
          <t>Şifreyi Bilen</t>
        </is>
      </c>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is>
          <t>Hoparlör</t>
        </is>
      </c>
    </row>
    <row r="1008">
      <c r="A1008" s="5" t="inlineStr">
        <is>
          <t>b9-gunaydin-gorselleri</t>
        </is>
      </c>
      <c r="B1008" s="5" t="n">
        <v>1</v>
      </c>
      <c r="C1008" s="6" t="inlineStr">
        <is>
          <t>Her sabah göndermeye devam et</t>
        </is>
      </c>
      <c r="D1008" s="5" t="inlineStr"/>
      <c r="E1008" s="5" t="inlineStr"/>
      <c r="F1008" s="5" t="inlineStr">
        <is>
          <t>Dayanıklılık +1</t>
        </is>
      </c>
      <c r="G1008" s="6" t="inlineStr">
        <is>
          <t>Her sabah yedide bir gül gönderdin. Bir yıl sonra bir sabah unuttun; öğlene kadar üç kişi arayıp 'İyi misin?' diye sordu.</t>
        </is>
      </c>
      <c r="H1008" s="6" t="inlineStr"/>
      <c r="I1008" s="6" t="inlineStr"/>
      <c r="J1008" s="6" t="inlineStr"/>
      <c r="K1008" s="6" t="inlineStr"/>
      <c r="L1008" s="6" t="inlineStr"/>
      <c r="M1008" s="5" t="inlineStr"/>
      <c r="N1008" s="5" t="inlineStr"/>
      <c r="O1008" s="6" t="inlineStr"/>
      <c r="P1008" s="6" t="inlineStr"/>
      <c r="Q1008" s="5" t="inlineStr"/>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row>
    <row r="1009">
      <c r="A1009" s="5" t="inlineStr">
        <is>
          <t>b9-gunaydin-gorselleri</t>
        </is>
      </c>
      <c r="B1009" s="5" t="n">
        <v>2</v>
      </c>
      <c r="C1009" s="6" t="inlineStr">
        <is>
          <t>Kendi görselini tasarla</t>
        </is>
      </c>
      <c r="D1009" s="5" t="inlineStr">
        <is>
          <t>Pişkinlik</t>
        </is>
      </c>
      <c r="E1009" s="5" t="inlineStr">
        <is>
          <t>Orta</t>
        </is>
      </c>
      <c r="F1009" s="5" t="inlineStr"/>
      <c r="G1009" s="6" t="inlineStr"/>
      <c r="H1009" s="6" t="inlineStr">
        <is>
          <t>Kendi fotoğrafının üstüne 'Güne gülümse' yazdın. Üç kişi kalp bıraktı.</t>
        </is>
      </c>
      <c r="I1009" s="6" t="inlineStr">
        <is>
          <t>Görselin öyle parladı ki başka ailelerin gruplarında dolaştı. Bir sabah halanın kızı aynı görseli sana 'Günaydın' diye geri yolladı.</t>
        </is>
      </c>
      <c r="J1009" s="6" t="inlineStr">
        <is>
          <t>Yazıyı fotoğrafın tam ortasına koydun. 'Güne gülümse' yazıyor; gülümseyen yüz görünmüyor. Halan 'Bu kim?' diye sordu.</t>
        </is>
      </c>
      <c r="K1009" s="6" t="inlineStr">
        <is>
          <t>Görseli tasarlarken yanlışlıkla 'Başsağlığı' şablonunu seçtin. Grupta panik on dakika sürdü.</t>
        </is>
      </c>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row>
    <row r="1010">
      <c r="A1010" s="5" t="inlineStr">
        <is>
          <t>b9-gunaydin-gorselleri</t>
        </is>
      </c>
      <c r="B1010" s="5" t="n">
        <v>3</v>
      </c>
      <c r="C1010" s="6" t="inlineStr">
        <is>
          <t>'Gizli gruptaki görselleri biliyorum' yaz</t>
        </is>
      </c>
      <c r="D1010" s="5" t="inlineStr">
        <is>
          <t>Sosyal Radar</t>
        </is>
      </c>
      <c r="E1010" s="5" t="inlineStr">
        <is>
          <t>Kolay</t>
        </is>
      </c>
      <c r="F1010" s="5" t="inlineStr"/>
      <c r="G1010" s="6" t="inlineStr"/>
      <c r="H1010" s="6" t="inlineStr">
        <is>
          <t>Grupta derin bir sessizlik oldu. Ertesi sabah yirmi üç kişi 'Günaydın' yazdı.</t>
        </is>
      </c>
      <c r="I1010" s="6" t="inlineStr">
        <is>
          <t>Gizli grubun kurucusu itiraf etti ve seni gruba yönetici olarak ekledi. Artık iki grupta da sen varsın.</t>
        </is>
      </c>
      <c r="J1010" s="6" t="inlineStr">
        <is>
          <t>Mesajı yazdın; kimse anlamadı. Üç kişi 'Hangi grup?' diye sordu, ikisi 'Ben de girebilir miyim?'</t>
        </is>
      </c>
      <c r="K1010" s="6" t="inlineStr">
        <is>
          <t>Yanlış gruba yazdın. Apartman grubu şimdi hangi gizli gruptan bahsettiğini soruyor.</t>
        </is>
      </c>
      <c r="L1010" s="6" t="inlineStr"/>
      <c r="M1010" s="5" t="inlineStr"/>
      <c r="N1010" s="5" t="inlineStr"/>
      <c r="O1010" s="6" t="inlineStr"/>
      <c r="P1010" s="6" t="inlineStr"/>
      <c r="Q1010" s="5" t="inlineStr"/>
      <c r="R1010" s="5" t="inlineStr"/>
      <c r="S1010" s="5" t="inlineStr">
        <is>
          <t>Sosyal Radar</t>
        </is>
      </c>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row>
    <row r="1011">
      <c r="A1011" s="5" t="inlineStr">
        <is>
          <t>b9-sabah-yuruyusu</t>
        </is>
      </c>
      <c r="B1011" s="5" t="n">
        <v>1</v>
      </c>
      <c r="C1011" s="6" t="inlineStr">
        <is>
          <t>En öne geç</t>
        </is>
      </c>
      <c r="D1011" s="5" t="inlineStr">
        <is>
          <t>Dayanıklılık</t>
        </is>
      </c>
      <c r="E1011" s="5" t="inlineStr">
        <is>
          <t>Orta</t>
        </is>
      </c>
      <c r="F1011" s="5" t="inlineStr"/>
      <c r="G1011" s="6" t="inlineStr"/>
      <c r="H1011" s="6" t="inlineStr">
        <is>
          <t>En öne geçtin. O sabahın gündemi senin seçtiğin konu: belediyenin kaldırım projesi.</t>
        </is>
      </c>
      <c r="I1011" s="6" t="inlineStr">
        <is>
          <t>Grubu öyle hızlı çektin ki iki kişi koşuya geçti. Grup adını 'Tempo'ya çevirdi.</t>
        </is>
      </c>
      <c r="J1011" s="6" t="inlineStr">
        <is>
          <t>En öne geçmeye çalıştın; ikinci turda dördüncü sıraya düştün. Gündem seni konu aldı.</t>
        </is>
      </c>
      <c r="K1011" s="6" t="inlineStr">
        <is>
          <t>Hızlanırken yanlış patikaya saptın, parktan çıkıp iki mahalle öteye yürüdün. Eve taksiyle döndün. Ertesi sabah grup seni kapıda bekliyordu: 'Bugün en arkada sen yürüyorsun.'</t>
        </is>
      </c>
      <c r="L1011" s="6" t="inlineStr">
        <is>
          <t>Grubun ortasında kaldın. Önde konuşulanı duyuyorsun ama laf yetiştirecek nefesin yok.</t>
        </is>
      </c>
      <c r="M1011" s="5" t="inlineStr">
        <is>
          <t>race</t>
        </is>
      </c>
      <c r="N1011" s="5" t="inlineStr">
        <is>
          <t>Tempo Yarışı</t>
        </is>
      </c>
      <c r="O1011" s="6" t="inlineStr">
        <is>
          <t>Grubun en önüne geçmek için hızlı dokun. Ama unutma, bu resmî olarak bir yarış değil.</t>
        </is>
      </c>
      <c r="P1011" s="6" t="inlineStr"/>
      <c r="Q1011" s="5" t="inlineStr"/>
      <c r="R1011" s="5" t="inlineStr"/>
      <c r="S1011" s="5" t="inlineStr"/>
      <c r="T1011" s="5" t="inlineStr"/>
      <c r="U1011" s="5" t="inlineStr"/>
      <c r="V1011" s="5" t="inlineStr">
        <is>
          <t>yuruyus-grubu</t>
        </is>
      </c>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row>
    <row r="1012">
      <c r="A1012" s="5" t="inlineStr">
        <is>
          <t>b9-sabah-yuruyusu</t>
        </is>
      </c>
      <c r="B1012" s="5" t="n">
        <v>2</v>
      </c>
      <c r="C1012" s="6" t="inlineStr">
        <is>
          <t>Arkada yürü, dinle</t>
        </is>
      </c>
      <c r="D1012" s="5" t="inlineStr"/>
      <c r="E1012" s="5" t="inlineStr"/>
      <c r="F1012" s="5" t="inlineStr">
        <is>
          <t>Sosyal Radar +1</t>
        </is>
      </c>
      <c r="G1012" s="6" t="inlineStr">
        <is>
          <t>Arkada yürüdün. Mahallenin üç boşanmasını, bir tayinini ve bir kombi arızasını öğrendin.</t>
        </is>
      </c>
      <c r="H1012" s="6" t="inlineStr"/>
      <c r="I1012" s="6" t="inlineStr"/>
      <c r="J1012" s="6" t="inlineStr"/>
      <c r="K1012" s="6" t="inlineStr"/>
      <c r="L1012" s="6" t="inlineStr"/>
      <c r="M1012" s="5" t="inlineStr"/>
      <c r="N1012" s="5" t="inlineStr"/>
      <c r="O1012" s="6" t="inlineStr"/>
      <c r="P1012" s="6" t="inlineStr"/>
      <c r="Q1012" s="5" t="inlineStr"/>
      <c r="R1012" s="5" t="inlineStr"/>
      <c r="S1012" s="5" t="inlineStr"/>
      <c r="T1012" s="5" t="inlineStr"/>
      <c r="U1012" s="5" t="inlineStr"/>
      <c r="V1012" s="5" t="inlineStr"/>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row>
    <row r="1013">
      <c r="A1013" s="5" t="inlineStr">
        <is>
          <t>b9-sabah-yuruyusu</t>
        </is>
      </c>
      <c r="B1013" s="5" t="n">
        <v>3</v>
      </c>
      <c r="C1013" s="6" t="inlineStr">
        <is>
          <t>Grubu düzenle</t>
        </is>
      </c>
      <c r="D1013" s="5" t="inlineStr">
        <is>
          <t>İtibar</t>
        </is>
      </c>
      <c r="E1013" s="5" t="inlineStr">
        <is>
          <t>Orta</t>
        </is>
      </c>
      <c r="F1013" s="5" t="inlineStr"/>
      <c r="G1013" s="6" t="inlineStr"/>
      <c r="H1013" s="6" t="inlineStr">
        <is>
          <t>Grup için bir mesaj grubu kurdun. Yürüyüş artık hem parkta hem telefonda yapılıyor.</t>
        </is>
      </c>
      <c r="I1013" s="6" t="inlineStr">
        <is>
          <t>Grubun tüzüğünü yazdın. Madde dört: 'Konu açan, konuyu kapatır.' Kabul edildi.</t>
        </is>
      </c>
      <c r="J1013" s="6" t="inlineStr">
        <is>
          <t>Yürüyüş saatini yediye çektin. Eski üyeler altıda ayrı bir grup kurdu.</t>
        </is>
      </c>
      <c r="K1013" s="6" t="inlineStr">
        <is>
          <t>Rotayı bir inşaat alanından geçirdin. Grup çamura battı, biri tek ayakkabıyla döndü. Ertesi sabah sana bir baret hediye ettiler; takmadan yürümen yasak.</t>
        </is>
      </c>
      <c r="L1013" s="6" t="inlineStr"/>
      <c r="M1013" s="5" t="inlineStr"/>
      <c r="N1013" s="5" t="inlineStr"/>
      <c r="O1013" s="6" t="inlineStr"/>
      <c r="P1013" s="6" t="inlineStr"/>
      <c r="Q1013" s="5" t="inlineStr">
        <is>
          <t>Kuralı Koyan</t>
        </is>
      </c>
      <c r="R1013" s="5" t="inlineStr"/>
      <c r="S1013" s="5" t="inlineStr"/>
      <c r="T1013" s="5" t="inlineStr"/>
      <c r="U1013" s="5" t="inlineStr"/>
      <c r="V1013" s="5" t="inlineStr">
        <is>
          <t>yuruyus-grubu</t>
        </is>
      </c>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row>
    <row r="1014">
      <c r="A1014" s="5" t="inlineStr">
        <is>
          <t>mb-emeklilik-hesabi</t>
        </is>
      </c>
      <c r="B1014" s="5" t="n">
        <v>1</v>
      </c>
      <c r="C1014" s="6" t="inlineStr">
        <is>
          <t>Tarihi kabul et</t>
        </is>
      </c>
      <c r="D1014" s="5" t="inlineStr"/>
      <c r="E1014" s="5" t="inlineStr"/>
      <c r="F1014" s="5" t="inlineStr">
        <is>
          <t>Dayanıklılık +1</t>
        </is>
      </c>
      <c r="G1014" s="6" t="inlineStr">
        <is>
          <t>Tarih beş yıl ileride. Masaya bir geri sayım yapıştırdın. Rakam küçülmüyor gibi.</t>
        </is>
      </c>
      <c r="H1014" s="6" t="inlineStr"/>
      <c r="I1014" s="6" t="inlineStr"/>
      <c r="J1014" s="6" t="inlineStr"/>
      <c r="K1014" s="6" t="inlineStr"/>
      <c r="L1014" s="6" t="inlineStr"/>
      <c r="M1014" s="5" t="inlineStr"/>
      <c r="N1014" s="5" t="inlineStr"/>
      <c r="O1014" s="6" t="inlineStr"/>
      <c r="P1014" s="6" t="inlineStr"/>
      <c r="Q1014" s="5" t="inlineStr"/>
      <c r="R1014" s="5" t="inlineStr"/>
      <c r="S1014" s="5" t="inlineStr"/>
      <c r="T1014" s="5" t="inlineStr"/>
      <c r="U1014" s="5" t="inlineStr"/>
      <c r="V1014" s="5" t="inlineStr"/>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row>
    <row r="1015">
      <c r="A1015" s="5" t="inlineStr">
        <is>
          <t>mb-emeklilik-hesabi</t>
        </is>
      </c>
      <c r="B1015" s="5" t="n">
        <v>2</v>
      </c>
      <c r="C1015" s="6" t="inlineStr">
        <is>
          <t>Staj yılının kaydını iste</t>
        </is>
      </c>
      <c r="D1015" s="5" t="inlineStr">
        <is>
          <t>Akıl</t>
        </is>
      </c>
      <c r="E1015" s="5" t="inlineStr">
        <is>
          <t>Orta</t>
        </is>
      </c>
      <c r="F1015" s="5" t="inlineStr"/>
      <c r="G1015" s="6" t="inlineStr"/>
      <c r="H1015" s="6" t="inlineStr">
        <is>
          <t>Stajyerken yatırılan primi buldun. Emekliliğin bir yıl öne çekildi.</t>
        </is>
      </c>
      <c r="I1015" s="6" t="inlineStr">
        <is>
          <t>Staj kaydıyla birlikte unutulmuş bir yarı zamanlı iş de çıktı. Tarih iki yıl öne geldi.</t>
        </is>
      </c>
      <c r="J1015" s="6" t="inlineStr">
        <is>
          <t>Kayıt bulundu ama 'başka bir birimde' duruyor. O birim taşınmış.</t>
        </is>
      </c>
      <c r="K1015" s="6" t="inlineStr">
        <is>
          <t>Kaydı aradılar ve buldular: stajın hiç işlenmemiş. Tarih bir yıl ileri kaydı.</t>
        </is>
      </c>
      <c r="L1015" s="6" t="inlineStr"/>
      <c r="M1015" s="5" t="inlineStr"/>
      <c r="N1015" s="5" t="inlineStr"/>
      <c r="O1015" s="6" t="inlineStr"/>
      <c r="P1015" s="6" t="inlineStr"/>
      <c r="Q1015" s="5" t="inlineStr"/>
      <c r="R1015" s="5" t="inlineStr"/>
      <c r="S1015" s="5" t="inlineStr">
        <is>
          <t>Akıl</t>
        </is>
      </c>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row>
    <row r="1016">
      <c r="A1016" s="5" t="inlineStr">
        <is>
          <t>mb-emeklilik-hesabi</t>
        </is>
      </c>
      <c r="B1016" s="5" t="n">
        <v>3</v>
      </c>
      <c r="C1016" s="6" t="inlineStr">
        <is>
          <t>Yarı zamanlı danışmanlık planla</t>
        </is>
      </c>
      <c r="D1016" s="5" t="inlineStr">
        <is>
          <t>Kurnazlık</t>
        </is>
      </c>
      <c r="E1016" s="5" t="inlineStr">
        <is>
          <t>Kolay</t>
        </is>
      </c>
      <c r="F1016" s="5" t="inlineStr"/>
      <c r="G1016" s="6" t="inlineStr"/>
      <c r="H1016" s="6" t="inlineStr">
        <is>
          <t>Emekli olup aynı işi danışman olarak yapacaksın. Aynı masa, farklı unvan, saat ücreti.</t>
        </is>
      </c>
      <c r="I1016" s="6" t="inlineStr">
        <is>
          <t>Danışmanlık teklifini daha emekli olmadan imzalattın. Kıdem tazminatı ve saat ücreti bir arada.</t>
        </is>
      </c>
      <c r="J1016" s="6" t="inlineStr">
        <is>
          <t>Plan yaptın; şirket danışmanları kaldırdı. Yerine araçlar geldi.</t>
        </is>
      </c>
      <c r="K1016" s="6" t="inlineStr">
        <is>
          <t>Danışmanlık teklifini kendi yöneticine gönderdin. Yöneticin bunu istifa sandı.</t>
        </is>
      </c>
      <c r="L1016" s="6" t="inlineStr"/>
      <c r="M1016" s="5" t="inlineStr"/>
      <c r="N1016" s="5" t="inlineStr"/>
      <c r="O1016" s="6" t="inlineStr"/>
      <c r="P1016" s="6" t="inlineStr"/>
      <c r="Q1016" s="5" t="inlineStr">
        <is>
          <t>Plaza Diplomatı</t>
        </is>
      </c>
      <c r="R1016" s="5" t="inlineStr"/>
      <c r="S1016" s="5" t="inlineStr"/>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row>
    <row r="1017">
      <c r="A1017" s="5" t="inlineStr">
        <is>
          <t>mm-gun-sayaci</t>
        </is>
      </c>
      <c r="B1017" s="5" t="n">
        <v>1</v>
      </c>
      <c r="C1017" s="6" t="inlineStr">
        <is>
          <t>Bir çizgi daha çek</t>
        </is>
      </c>
      <c r="D1017" s="5" t="inlineStr"/>
      <c r="E1017" s="5" t="inlineStr"/>
      <c r="F1017" s="5" t="inlineStr">
        <is>
          <t>Dayanıklılık +1</t>
        </is>
      </c>
      <c r="G1017" s="6" t="inlineStr">
        <is>
          <t>Bir çizgi daha çektin. Kâğıtta yer kalmadı, yanına ikinci bir kâğıt yapıştırdın. Çaycı her sabah 'Kaç kaldı abi?' diye soruyor; cevabı ezbere biliyorsun.</t>
        </is>
      </c>
      <c r="H1017" s="6" t="inlineStr"/>
      <c r="I1017" s="6" t="inlineStr"/>
      <c r="J1017" s="6" t="inlineStr"/>
      <c r="K1017" s="6" t="inlineStr"/>
      <c r="L1017" s="6" t="inlineStr"/>
      <c r="M1017" s="5" t="inlineStr"/>
      <c r="N1017" s="5" t="inlineStr"/>
      <c r="O1017" s="6" t="inlineStr"/>
      <c r="P1017" s="6" t="inlineStr"/>
      <c r="Q1017" s="5" t="inlineStr"/>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row>
    <row r="1018">
      <c r="A1018" s="5" t="inlineStr">
        <is>
          <t>mm-gun-sayaci</t>
        </is>
      </c>
      <c r="B1018" s="5" t="n">
        <v>2</v>
      </c>
      <c r="C1018" s="6" t="inlineStr">
        <is>
          <t>Sayacı bilgisayara taşı</t>
        </is>
      </c>
      <c r="D1018" s="5" t="inlineStr">
        <is>
          <t>Akıl</t>
        </is>
      </c>
      <c r="E1018" s="5" t="inlineStr">
        <is>
          <t>Kolay</t>
        </is>
      </c>
      <c r="F1018" s="5" t="inlineStr"/>
      <c r="G1018" s="6" t="inlineStr"/>
      <c r="H1018" s="6" t="inlineStr">
        <is>
          <t>Saat, dakika, saniye. Mesai 17.00'de bittiğinde ekranda küçük bir tören oluyor.</t>
        </is>
      </c>
      <c r="I1018" s="6" t="inlineStr">
        <is>
          <t>Sayacın bütün birime yayıldı. Daire artık her sabah ortak bir geri sayımla açılıyor.</t>
        </is>
      </c>
      <c r="J1018" s="6" t="inlineStr">
        <is>
          <t>Sistem çöktüğünde sayaç da sıfırlandı. Kalan gün: bilinmiyor.</t>
        </is>
      </c>
      <c r="K1018" s="6" t="inlineStr">
        <is>
          <t>Sayacı yanlış ayarladın; ekran emekliliğe 4.160 gün diyor. Bir hafta kimseyle konuşmadın. Yan masa hatayı ilk gün gördü ama bir hafta söylemedi.</t>
        </is>
      </c>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row>
    <row r="1019">
      <c r="A1019" s="5" t="inlineStr">
        <is>
          <t>mm-gun-sayaci</t>
        </is>
      </c>
      <c r="B1019" s="5" t="n">
        <v>3</v>
      </c>
      <c r="C1019" s="6" t="inlineStr">
        <is>
          <t>Yan masayla yarış başlat</t>
        </is>
      </c>
      <c r="D1019" s="5" t="inlineStr">
        <is>
          <t>Çene</t>
        </is>
      </c>
      <c r="E1019" s="5" t="inlineStr">
        <is>
          <t>Orta</t>
        </is>
      </c>
      <c r="F1019" s="5" t="inlineStr"/>
      <c r="G1019" s="6" t="inlineStr"/>
      <c r="H1019" s="6" t="inlineStr">
        <is>
          <t>'Kim önce emekli olacak' yarışını duyurdun. Birim ikiye bölündü; verimlilik arttı.</t>
        </is>
      </c>
      <c r="I1019" s="6" t="inlineStr">
        <is>
          <t>Yan masayla ortak geri sayım panosu kurdunuz. Müdür bile her sabah bir çizgi çekiyor.</t>
        </is>
      </c>
      <c r="J1019" s="6" t="inlineStr">
        <is>
          <t>Yan masa kazandı. Tabii ki. Üç yüz gün öndeydi.</t>
        </is>
      </c>
      <c r="K1019" s="6" t="inlineStr">
        <is>
          <t>Yarış öyle kızıştı ki yan masa emeklilik dilekçesini erken verdi. Onun dosyaları artık sende.</t>
        </is>
      </c>
      <c r="L1019" s="6" t="inlineStr"/>
      <c r="M1019" s="5" t="inlineStr"/>
      <c r="N1019" s="5" t="inlineStr"/>
      <c r="O1019" s="6" t="inlineStr"/>
      <c r="P1019" s="6" t="inlineStr"/>
      <c r="Q1019" s="5" t="inlineStr"/>
      <c r="R1019" s="5" t="inlineStr"/>
      <c r="S1019" s="5" t="inlineStr">
        <is>
          <t>Sosyal Radar</t>
        </is>
      </c>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row>
    <row r="1020">
      <c r="A1020" s="5" t="inlineStr">
        <is>
          <t>mm-gun-sayaci</t>
        </is>
      </c>
      <c r="B1020" s="5" t="n">
        <v>4</v>
      </c>
      <c r="C1020" s="6" t="inlineStr">
        <is>
          <t>Hizmet borçlanmasını hesapla</t>
        </is>
      </c>
      <c r="D1020" s="5" t="inlineStr">
        <is>
          <t>Akıl</t>
        </is>
      </c>
      <c r="E1020" s="5" t="inlineStr">
        <is>
          <t>Orta</t>
        </is>
      </c>
      <c r="F1020" s="5" t="inlineStr"/>
      <c r="G1020" s="6" t="inlineStr"/>
      <c r="H1020" s="6" t="inlineStr">
        <is>
          <t>Staj ve eski hizmet sürelerini ekledin. Sayaç bir gecede dört yüz gün eksildi.</t>
        </is>
      </c>
      <c r="I1020" s="6" t="inlineStr">
        <is>
          <t>Mevzuatta öyle bir madde buldun ki emekliliğin iki yıl öne çekildi. Kâğıdı yeniden yazman gerekti.</t>
        </is>
      </c>
      <c r="J1020" s="6" t="inlineStr">
        <is>
          <t>Hesap doğru ama borçlanma bedeli bir arabalık. Sayaç yerinde, hayal yerinde.</t>
        </is>
      </c>
      <c r="K1020" s="6" t="inlineStr">
        <is>
          <t>Hesabı yaparken yeni bir değişikliği gözden kaçırdın. Sayaç iki yüz gün arttı.</t>
        </is>
      </c>
      <c r="L1020" s="6" t="inlineStr"/>
      <c r="M1020" s="5" t="inlineStr"/>
      <c r="N1020" s="5" t="inlineStr"/>
      <c r="O1020" s="6" t="inlineStr"/>
      <c r="P1020" s="6" t="inlineStr"/>
      <c r="Q1020" s="5" t="inlineStr">
        <is>
          <t>Mevzuat Kalkanı</t>
        </is>
      </c>
      <c r="R1020" s="5" t="inlineStr"/>
      <c r="S1020" s="5" t="inlineStr"/>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row>
    <row r="1021">
      <c r="A1021" s="5" t="inlineStr">
        <is>
          <t>b9-doktor-randevusu</t>
        </is>
      </c>
      <c r="B1021" s="5" t="n">
        <v>1</v>
      </c>
      <c r="C1021" s="6" t="inlineStr">
        <is>
          <t>Gece yarısı iptal avına çık</t>
        </is>
      </c>
      <c r="D1021" s="5" t="inlineStr">
        <is>
          <t>Akıl</t>
        </is>
      </c>
      <c r="E1021" s="5" t="inlineStr">
        <is>
          <t>Zor</t>
        </is>
      </c>
      <c r="F1021" s="5" t="inlineStr"/>
      <c r="G1021" s="6" t="inlineStr"/>
      <c r="H1021" s="6" t="inlineStr">
        <is>
          <t>Gece 02.14'te bir iptal yakaladın, sabah muayenedeydin. Doktor 'Çok uykusuz görünüyorsunuz' dedi ve yeni bir randevu yazdı.</t>
        </is>
      </c>
      <c r="I1021" s="6" t="inlineStr">
        <is>
          <t>İptalleri sezmeye başladın. Artık akrabalar da randevu için seni arıyor. Mesai saatin gece.</t>
        </is>
      </c>
      <c r="J1021" s="6" t="inlineStr">
        <is>
          <t>İptali gördün, dokundun, 'İşlem zaman aşımına uğradı' dedi uygulama.</t>
        </is>
      </c>
      <c r="K1021" s="6" t="inlineStr">
        <is>
          <t>Gece uyanık kaldın, sabah uyuyakaldın. Kendi aldığın randevuyu kaçırdın.</t>
        </is>
      </c>
      <c r="L1021" s="6" t="inlineStr"/>
      <c r="M1021" s="5" t="inlineStr"/>
      <c r="N1021" s="5" t="inlineStr"/>
      <c r="O1021" s="6" t="inlineStr"/>
      <c r="P1021" s="6" t="inlineStr"/>
      <c r="Q1021" s="5" t="inlineStr"/>
      <c r="R1021" s="5" t="inlineStr"/>
      <c r="S1021" s="5" t="inlineStr"/>
      <c r="T1021" s="5" t="inlineStr">
        <is>
          <t>Randevu Avcısı</t>
        </is>
      </c>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row>
    <row r="1022">
      <c r="A1022" s="5" t="inlineStr">
        <is>
          <t>b9-doktor-randevusu</t>
        </is>
      </c>
      <c r="B1022" s="5" t="n">
        <v>2</v>
      </c>
      <c r="C1022" s="6" t="inlineStr">
        <is>
          <t>Hastaneye bizzat git</t>
        </is>
      </c>
      <c r="D1022" s="5" t="inlineStr"/>
      <c r="E1022" s="5" t="inlineStr"/>
      <c r="F1022" s="5" t="inlineStr">
        <is>
          <t>Dayanıklılık +1</t>
        </is>
      </c>
      <c r="G1022" s="6" t="inlineStr">
        <is>
          <t>Hastaneye gittin. Kapıda sana bir kâğıt verildi. Kâğıtta uygulamanın adresi yazıyordu.</t>
        </is>
      </c>
      <c r="H1022" s="6" t="inlineStr"/>
      <c r="I1022" s="6" t="inlineStr"/>
      <c r="J1022" s="6" t="inlineStr"/>
      <c r="K1022" s="6" t="inlineStr"/>
      <c r="L1022" s="6" t="inlineStr"/>
      <c r="M1022" s="5" t="inlineStr"/>
      <c r="N1022" s="5" t="inlineStr"/>
      <c r="O1022" s="6" t="inlineStr"/>
      <c r="P1022" s="6" t="inlineStr"/>
      <c r="Q1022" s="5" t="inlineStr"/>
      <c r="R1022" s="5" t="inlineStr"/>
      <c r="S1022" s="5" t="inlineStr"/>
      <c r="T1022" s="5" t="inlineStr"/>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row>
    <row r="1023">
      <c r="A1023" s="5" t="inlineStr">
        <is>
          <t>b9-doktor-randevusu</t>
        </is>
      </c>
      <c r="B1023" s="5" t="n">
        <v>3</v>
      </c>
      <c r="C1023" s="6" t="inlineStr">
        <is>
          <t>Tanıdık bir hemşireyi ara</t>
        </is>
      </c>
      <c r="D1023" s="5" t="inlineStr">
        <is>
          <t>Sosyal Radar</t>
        </is>
      </c>
      <c r="E1023" s="5" t="inlineStr">
        <is>
          <t>Orta</t>
        </is>
      </c>
      <c r="F1023" s="5" t="inlineStr"/>
      <c r="G1023" s="6" t="inlineStr"/>
      <c r="H1023" s="6" t="inlineStr">
        <is>
          <t>Tanıdığın tanıdığı randevuyu ertesi haftaya çekti. Karşılığında kızının düğününe davetlisin; takı bekleniyor.</t>
        </is>
      </c>
      <c r="I1023" s="6" t="inlineStr">
        <is>
          <t>Hemşire hem randevu ayarladı hem bekleme salonunda sana çay getirdi. Sıradakiler seni müdürün akrabası sandı.</t>
        </is>
      </c>
      <c r="J1023" s="6" t="inlineStr">
        <is>
          <t>Tanıdığın hemşire iki yıl önce emekli olmuş. Sana emeklilik hakkında yarım saat bilgi verdi.</t>
        </is>
      </c>
      <c r="K1023" s="6" t="inlineStr">
        <is>
          <t>Aradığın hemşire seni tanımadı ama kibarlıktan tanımış gibi yaptı. Yarım saat konuştunuz. Randevun yok; oğluna iş bulman bekleniyor.</t>
        </is>
      </c>
      <c r="L1023" s="6" t="inlineStr"/>
      <c r="M1023" s="5" t="inlineStr"/>
      <c r="N1023" s="5" t="inlineStr"/>
      <c r="O1023" s="6" t="inlineStr"/>
      <c r="P1023" s="6" t="inlineStr"/>
      <c r="Q1023" s="5" t="inlineStr">
        <is>
          <t>Odayı Okur</t>
        </is>
      </c>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row>
    <row r="1024">
      <c r="A1024" s="5" t="inlineStr">
        <is>
          <t>b9-ilk-torun</t>
        </is>
      </c>
      <c r="B1024" s="5" t="n">
        <v>1</v>
      </c>
      <c r="C1024" s="6" t="inlineStr">
        <is>
          <t>Kucağına al, ağla</t>
        </is>
      </c>
      <c r="D1024" s="5" t="inlineStr"/>
      <c r="E1024" s="5" t="inlineStr"/>
      <c r="F1024" s="5" t="inlineStr">
        <is>
          <t>Gönül +1</t>
        </is>
      </c>
      <c r="G1024" s="6" t="inlineStr">
        <is>
          <t>Kucağına aldın ve ağladın. Fotoğraflarda sen bebekten daha çok ağlıyorsun.</t>
        </is>
      </c>
      <c r="H1024" s="6" t="inlineStr"/>
      <c r="I1024" s="6" t="inlineStr"/>
      <c r="J1024" s="6" t="inlineStr"/>
      <c r="K1024" s="6" t="inlineStr"/>
      <c r="L1024" s="6" t="inlineStr"/>
      <c r="M1024" s="5" t="inlineStr"/>
      <c r="N1024" s="5" t="inlineStr"/>
      <c r="O1024" s="6" t="inlineStr"/>
      <c r="P1024" s="6" t="inlineStr"/>
      <c r="Q1024" s="5" t="inlineStr"/>
      <c r="R1024" s="5" t="inlineStr"/>
      <c r="S1024" s="5" t="inlineStr"/>
      <c r="T1024" s="5" t="inlineStr"/>
      <c r="U1024" s="5" t="inlineStr">
        <is>
          <t>torunlu</t>
        </is>
      </c>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row>
    <row r="1025">
      <c r="A1025" s="5" t="inlineStr">
        <is>
          <t>b9-ilk-torun</t>
        </is>
      </c>
      <c r="B1025" s="5" t="n">
        <v>2</v>
      </c>
      <c r="C1025" s="6" t="inlineStr">
        <is>
          <t>İsim önerisini yap</t>
        </is>
      </c>
      <c r="D1025" s="5" t="inlineStr">
        <is>
          <t>Çene</t>
        </is>
      </c>
      <c r="E1025" s="5" t="inlineStr">
        <is>
          <t>Zor</t>
        </is>
      </c>
      <c r="F1025" s="5" t="inlineStr"/>
      <c r="G1025" s="6" t="inlineStr"/>
      <c r="H1025" s="6" t="inlineStr">
        <is>
          <t>Önerdiğin isim ikinci isim olarak kabul edildi. Nüfus kaydında bir satır senin.</t>
        </is>
      </c>
      <c r="I1025" s="6" t="inlineStr">
        <is>
          <t>İsmi sen koydun. Dünürün itiraz etmek için ağzını açtı; bebek tam o an gülümsedi. Kimse bir şey diyemedi.</t>
        </is>
      </c>
      <c r="J1025" s="6" t="inlineStr">
        <is>
          <t>Önerini sundun. 'Çok eski' dendi. Önerdiğin isim, çocuğunun ismiydi.</t>
        </is>
      </c>
      <c r="K1025" s="6" t="inlineStr">
        <is>
          <t>Önerdiğin ismi yüksek sesle söyledin. Dünürün yüzü düştü: kedilerinin adıymış. Bebek o günden beri dünür tarafında 'Pisi' diye seviliyor.</t>
        </is>
      </c>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row>
    <row r="1026">
      <c r="A1026" s="5" t="inlineStr">
        <is>
          <t>b9-ilk-torun</t>
        </is>
      </c>
      <c r="B1026" s="5" t="n">
        <v>3</v>
      </c>
      <c r="C1026" s="6" t="inlineStr">
        <is>
          <t>Bebeğin kime benzediğini ilan et</t>
        </is>
      </c>
      <c r="D1026" s="5" t="inlineStr">
        <is>
          <t>Sosyal Radar</t>
        </is>
      </c>
      <c r="E1026" s="5" t="inlineStr">
        <is>
          <t>Orta</t>
        </is>
      </c>
      <c r="F1026" s="5" t="inlineStr"/>
      <c r="G1026" s="6" t="inlineStr"/>
      <c r="H1026" s="6" t="inlineStr">
        <is>
          <t>'Bizim tarafa benziyor' dedin. Dünürün hemen telefonunu çıkarıp kendi bebeklik fotoğrafını gösterdi. Hastane koridorunda fotoğraf yarışı başladı.</t>
        </is>
      </c>
      <c r="I1026" s="6" t="inlineStr">
        <is>
          <t>'Herkese biraz benziyor' dedin. İki taraf da başını salladı, iki dünür de seni yemeğe çağırdı. Aynı akşama.</t>
        </is>
      </c>
      <c r="J1026" s="6" t="inlineStr">
        <is>
          <t>'Kulakları bizden' dedin. Bebeğin kulağı henüz tam belli değil.</t>
        </is>
      </c>
      <c r="K1026" s="6" t="inlineStr">
        <is>
          <t>'Tıpkı Sabri Amca' dedin. Oda buz kesti; Sabri Amca miras yüzünden yıllardır kimseyle konuşmuyor. Dünürün bebeği kucağından usulca geri aldı.</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row>
    <row r="1027">
      <c r="A1027" s="5" t="inlineStr">
        <is>
          <t>ms-emeklilik-yok</t>
        </is>
      </c>
      <c r="B1027" s="5" t="n">
        <v>1</v>
      </c>
      <c r="C1027" s="6" t="inlineStr">
        <is>
          <t>Planı 'hep üretmek' olarak güncelle</t>
        </is>
      </c>
      <c r="D1027" s="5" t="inlineStr"/>
      <c r="E1027" s="5" t="inlineStr"/>
      <c r="F1027" s="5" t="inlineStr">
        <is>
          <t>Dayanıklılık +1</t>
        </is>
      </c>
      <c r="G1027" s="6" t="inlineStr">
        <is>
          <t>Emeklilik planına tek satır yazdın: 'Devam.' Muhasebecin okudu, 'En gerçekçi plan bu' dedi ve kendi planını da öyle değiştirdi.</t>
        </is>
      </c>
      <c r="H1027" s="6" t="inlineStr"/>
      <c r="I1027" s="6" t="inlineStr"/>
      <c r="J1027" s="6" t="inlineStr"/>
      <c r="K1027" s="6" t="inlineStr"/>
      <c r="L1027" s="6" t="inlineStr"/>
      <c r="M1027" s="5" t="inlineStr"/>
      <c r="N1027" s="5" t="inlineStr"/>
      <c r="O1027" s="6" t="inlineStr"/>
      <c r="P1027" s="6" t="inlineStr"/>
      <c r="Q1027" s="5" t="inlineStr"/>
      <c r="R1027" s="5" t="inlineStr"/>
      <c r="S1027" s="5" t="inlineStr"/>
      <c r="T1027" s="5" t="inlineStr"/>
      <c r="U1027" s="5" t="inlineStr"/>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row>
    <row r="1028">
      <c r="A1028" s="5" t="inlineStr">
        <is>
          <t>ms-emeklilik-yok</t>
        </is>
      </c>
      <c r="B1028" s="5" t="n">
        <v>2</v>
      </c>
      <c r="C1028" s="6" t="inlineStr">
        <is>
          <t>Eski eserlerini sat</t>
        </is>
      </c>
      <c r="D1028" s="5" t="inlineStr">
        <is>
          <t>Kurnazlık</t>
        </is>
      </c>
      <c r="E1028" s="5" t="inlineStr">
        <is>
          <t>Orta</t>
        </is>
      </c>
      <c r="F1028" s="5" t="inlineStr"/>
      <c r="G1028" s="6" t="inlineStr"/>
      <c r="H1028" s="6" t="inlineStr">
        <is>
          <t>Depodaki eserler koleksiyonculara gitti; bir yıllık kira çıktı. Depo boşaldı, içine ilk kez araba girdi.</t>
        </is>
      </c>
      <c r="I1028" s="6" t="inlineStr">
        <is>
          <t>Otuz yıl önce satamadığın eser, bugün o günkü fiyatının yirmi katına satıldı. Alıcı, o gün 'pahalı' diyen adammış.</t>
        </is>
      </c>
      <c r="J1028" s="6" t="inlineStr">
        <is>
          <t>Eserleri satışa koydun; alıcılar 'İmzalı mı?' diye sordu. İmzalamayı unutmuşsun. Otuz yıl boyunca.</t>
        </is>
      </c>
      <c r="K1028" s="6" t="inlineStr">
        <is>
          <t>Eserleri sattın; bir yıl sonra değeri üçe katlandı. Alıcı teşekkür mesajı yolladı.</t>
        </is>
      </c>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row>
    <row r="1029">
      <c r="A1029" s="5" t="inlineStr">
        <is>
          <t>ms-emeklilik-yok</t>
        </is>
      </c>
      <c r="B1029" s="5" t="n">
        <v>3</v>
      </c>
      <c r="C1029" s="6" t="inlineStr">
        <is>
          <t>Gençlere serbest çalışma dersi ver</t>
        </is>
      </c>
      <c r="D1029" s="5" t="inlineStr">
        <is>
          <t>Çene</t>
        </is>
      </c>
      <c r="E1029" s="5" t="inlineStr">
        <is>
          <t>Kolay</t>
        </is>
      </c>
      <c r="F1029" s="5" t="inlineStr"/>
      <c r="G1029" s="6" t="inlineStr"/>
      <c r="H1029" s="6" t="inlineStr">
        <is>
          <t>İlk dersin konusu: fatura. İkinci dersin konusu: faturayı tahsil etmek. Üçüncü ders hiç bitmedi.</t>
        </is>
      </c>
      <c r="I1029" s="6" t="inlineStr">
        <is>
          <t>Dersin dolup taştı. Ders ücretini peşin aldın; hayatında ilk kez.</t>
        </is>
      </c>
      <c r="J1029" s="6" t="inlineStr">
        <is>
          <t>Öğrencilerden biri sordu: 'Bunu yapay zekâya sorsak olmaz mı?' Oldu.</t>
        </is>
      </c>
      <c r="K1029" s="6" t="inlineStr">
        <is>
          <t>Dersin sonunda öğrenciler sana 'Görünürlük sağlarız' dedi ve ücret ödemedi.</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row>
    <row r="1030">
      <c r="A1030" s="5" t="inlineStr">
        <is>
          <t>ms-emeklilik-yok</t>
        </is>
      </c>
      <c r="B1030" s="5" t="n">
        <v>4</v>
      </c>
      <c r="C1030" s="6" t="inlineStr">
        <is>
          <t>Evin bir odasını kiraya ver</t>
        </is>
      </c>
      <c r="D1030" s="5" t="inlineStr">
        <is>
          <t>Sosyal Radar</t>
        </is>
      </c>
      <c r="E1030" s="5" t="inlineStr">
        <is>
          <t>Orta</t>
        </is>
      </c>
      <c r="F1030" s="5" t="inlineStr"/>
      <c r="G1030" s="6" t="inlineStr"/>
      <c r="H1030" s="6" t="inlineStr">
        <is>
          <t>Odayı genç bir sanatçıya verdin. Kira düzenli geliyor. Senin kiraların hiç böyle gelmemişti.</t>
        </is>
      </c>
      <c r="I1030" s="6" t="inlineStr">
        <is>
          <t>Kiracın ünlendi. Evin 'ustanın evi' olarak turlara girdi. Kira da girdi.</t>
        </is>
      </c>
      <c r="J1030" s="6" t="inlineStr">
        <is>
          <t>Kiracı serbest çalışan çıktı. Kira 'onay bekliyor'.</t>
        </is>
      </c>
      <c r="K1030" s="6" t="inlineStr">
        <is>
          <t>Kiracı seninle aynı alanda çalışıyor. Artık bir rakibin var ve banyonu kullanıyor.</t>
        </is>
      </c>
      <c r="L1030" s="6" t="inlineStr"/>
      <c r="M1030" s="5" t="inlineStr"/>
      <c r="N1030" s="5" t="inlineStr"/>
      <c r="O1030" s="6" t="inlineStr"/>
      <c r="P1030" s="6" t="inlineStr"/>
      <c r="Q1030" s="5" t="inlineStr"/>
      <c r="R1030" s="5" t="inlineStr">
        <is>
          <t>ev-sahibi</t>
        </is>
      </c>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row>
    <row r="1031">
      <c r="A1031" s="5" t="inlineStr">
        <is>
          <t>me-defterin-son-sayfasi</t>
        </is>
      </c>
      <c r="B1031" s="5" t="n">
        <v>1</v>
      </c>
      <c r="C1031" s="6" t="inlineStr">
        <is>
          <t>Defteri sil, hesapları kapat</t>
        </is>
      </c>
      <c r="D1031" s="5" t="inlineStr"/>
      <c r="E1031" s="5" t="inlineStr"/>
      <c r="F1031" s="5" t="inlineStr">
        <is>
          <t>İtibar +2</t>
        </is>
      </c>
      <c r="G1031" s="6" t="inlineStr">
        <is>
          <t>Bütün hesapları sildin. Mahalle bunu duydu; ertesi sabah yeni defter açılmasını bekleyenler kapıdaydı.</t>
        </is>
      </c>
      <c r="H1031" s="6" t="inlineStr"/>
      <c r="I1031" s="6" t="inlineStr"/>
      <c r="J1031" s="6" t="inlineStr"/>
      <c r="K1031" s="6" t="inlineStr"/>
      <c r="L1031" s="6" t="inlineStr"/>
      <c r="M1031" s="5" t="inlineStr"/>
      <c r="N1031" s="5" t="inlineStr"/>
      <c r="O1031" s="6" t="inlineStr"/>
      <c r="P1031" s="6" t="inlineStr"/>
      <c r="Q1031" s="5" t="inlineStr"/>
      <c r="R1031" s="5" t="inlineStr"/>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row>
    <row r="1032">
      <c r="A1032" s="5" t="inlineStr">
        <is>
          <t>me-defterin-son-sayfasi</t>
        </is>
      </c>
      <c r="B1032" s="5" t="n">
        <v>2</v>
      </c>
      <c r="C1032" s="6" t="inlineStr">
        <is>
          <t>Tahsilat turuna çık</t>
        </is>
      </c>
      <c r="D1032" s="5" t="inlineStr">
        <is>
          <t>İtibar</t>
        </is>
      </c>
      <c r="E1032" s="5" t="inlineStr">
        <is>
          <t>Zor</t>
        </is>
      </c>
      <c r="F1032" s="5" t="inlineStr"/>
      <c r="G1032" s="6" t="inlineStr"/>
      <c r="H1032" s="6" t="inlineStr">
        <is>
          <t>Kapı kapı gezdin, yarısını topladın. Gerisi sana çay ısmarladı.</t>
        </is>
      </c>
      <c r="I1032" s="6" t="inlineStr">
        <is>
          <t>Kasanın iki katı parayla döndün. Bir borçlu 'Faizini de al' diye ısrar etti; almadın.</t>
        </is>
      </c>
      <c r="J1032" s="6" t="inlineStr">
        <is>
          <t>Herkes seni görünce bir şeyler hatırladı. Borçlarını değil, eski günleri.</t>
        </is>
      </c>
      <c r="K1032" s="6" t="inlineStr">
        <is>
          <t>Tahsilattan üç yeni veresiye yazarak döndün. Defter kapanmadı; ikinci cilde geçti.</t>
        </is>
      </c>
      <c r="L1032" s="6" t="inlineStr"/>
      <c r="M1032" s="5" t="inlineStr"/>
      <c r="N1032" s="5" t="inlineStr"/>
      <c r="O1032" s="6" t="inlineStr"/>
      <c r="P1032" s="6" t="inlineStr"/>
      <c r="Q1032" s="5" t="inlineStr"/>
      <c r="R1032" s="5" t="inlineStr"/>
      <c r="S1032" s="5" t="inlineStr"/>
      <c r="T1032" s="5" t="inlineStr">
        <is>
          <t>Mahalle Muhasebecisi</t>
        </is>
      </c>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row>
    <row r="1033">
      <c r="A1033" s="5" t="inlineStr">
        <is>
          <t>me-defterin-son-sayfasi</t>
        </is>
      </c>
      <c r="B1033" s="5" t="n">
        <v>3</v>
      </c>
      <c r="C1033" s="6" t="inlineStr">
        <is>
          <t>Sıfır arabalıya kibarca uğra</t>
        </is>
      </c>
      <c r="D1033" s="5" t="inlineStr">
        <is>
          <t>Kurnazlık</t>
        </is>
      </c>
      <c r="E1033" s="5" t="inlineStr">
        <is>
          <t>Kolay</t>
        </is>
      </c>
      <c r="F1033" s="5" t="inlineStr"/>
      <c r="G1033" s="6" t="inlineStr"/>
      <c r="H1033" s="6" t="inlineStr">
        <is>
          <t>'Güle güle bin, defteri de unutma' dedin. Borç ertesi sabah kapandı; araba bir daha dükkânın önüne park etmedi.</t>
        </is>
      </c>
      <c r="I1033" s="6" t="inlineStr">
        <is>
          <t>Borcunu kapattı, bir de özür diledi. Dükkânın önündeki park yeri artık sana ayrıldı.</t>
        </is>
      </c>
      <c r="J1033" s="6" t="inlineStr">
        <is>
          <t>'Araba taksitle' dedi. Taksitlerin sırası belli; defter en sonda.</t>
        </is>
      </c>
      <c r="K1033" s="6" t="inlineStr">
        <is>
          <t>Kibarca uğradın; arabasıyla seni eve bırakmayı teklif etti. Bindin. Yol boyunca taksitlerini anlattı, inerken senden borç istedi.</t>
        </is>
      </c>
      <c r="L1033" s="6" t="inlineStr"/>
      <c r="M1033" s="5" t="inlineStr"/>
      <c r="N1033" s="5" t="inlineStr"/>
      <c r="O1033" s="6" t="inlineStr"/>
      <c r="P1033" s="6" t="inlineStr"/>
      <c r="Q1033" s="5" t="inlineStr"/>
      <c r="R1033" s="5" t="inlineStr"/>
      <c r="S1033" s="5" t="inlineStr">
        <is>
          <t>Kurnazlık</t>
        </is>
      </c>
      <c r="T1033" s="5" t="inlineStr"/>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row>
    <row r="1034">
      <c r="A1034" s="5" t="inlineStr">
        <is>
          <t>me-defterin-son-sayfasi</t>
        </is>
      </c>
      <c r="B1034" s="5" t="n">
        <v>4</v>
      </c>
      <c r="C1034" s="6" t="inlineStr">
        <is>
          <t>Defteri hatıra kitabı yap</t>
        </is>
      </c>
      <c r="D1034" s="5" t="inlineStr">
        <is>
          <t>Pişkinlik</t>
        </is>
      </c>
      <c r="E1034" s="5" t="inlineStr">
        <is>
          <t>Orta</t>
        </is>
      </c>
      <c r="F1034" s="5" t="inlineStr"/>
      <c r="G1034" s="6" t="inlineStr"/>
      <c r="H1034" s="6" t="inlineStr">
        <is>
          <t>Borçlular kitabı almaya geldi. Kitabın parasını ödediler; borçlarını yine ödemediler.</t>
        </is>
      </c>
      <c r="I1034" s="6" t="inlineStr">
        <is>
          <t>Hatıra kitabı çarşıda çok sattı. Kitabın geliri defterin toplamını geçti.</t>
        </is>
      </c>
      <c r="J1034" s="6" t="inlineStr">
        <is>
          <t>Kitabı bastırdın. Kimse almadı; herkes kendi sayfasını dükkânda okuyup geri koydu.</t>
        </is>
      </c>
      <c r="K1034" s="6" t="inlineStr">
        <is>
          <t>İsimleri gizlemeyi unuttun. Çarşıda üç aile birbirine selam vermiyor.</t>
        </is>
      </c>
      <c r="L1034" s="6" t="inlineStr"/>
      <c r="M1034" s="5" t="inlineStr"/>
      <c r="N1034" s="5" t="inlineStr"/>
      <c r="O1034" s="6" t="inlineStr"/>
      <c r="P1034" s="6" t="inlineStr"/>
      <c r="Q1034" s="5" t="inlineStr"/>
      <c r="R1034" s="5" t="inlineStr">
        <is>
          <t>esnaf-veresiye-batagi</t>
        </is>
      </c>
      <c r="S1034" s="5" t="inlineStr"/>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row>
    <row r="1035">
      <c r="A1035" s="5" t="inlineStr">
        <is>
          <t>b9-genclere-tavsiye</t>
        </is>
      </c>
      <c r="B1035" s="5" t="n">
        <v>1</v>
      </c>
      <c r="C1035" s="6" t="inlineStr">
        <is>
          <t>Susup kahveni iç</t>
        </is>
      </c>
      <c r="D1035" s="5" t="inlineStr"/>
      <c r="E1035" s="5" t="inlineStr"/>
      <c r="F1035" s="5" t="inlineStr">
        <is>
          <t>İtibar +1</t>
        </is>
      </c>
      <c r="G1035" s="6" t="inlineStr">
        <is>
          <t>Sustun. Genç kendi hatalarını kendi yapacak. Kahve de soğudu.</t>
        </is>
      </c>
      <c r="H1035" s="6" t="inlineStr"/>
      <c r="I1035" s="6" t="inlineStr"/>
      <c r="J1035" s="6" t="inlineStr"/>
      <c r="K1035" s="6" t="inlineStr"/>
      <c r="L1035" s="6" t="inlineStr"/>
      <c r="M1035" s="5" t="inlineStr"/>
      <c r="N1035" s="5" t="inlineStr"/>
      <c r="O1035" s="6" t="inlineStr"/>
      <c r="P1035" s="6" t="inlineStr"/>
      <c r="Q1035" s="5" t="inlineStr"/>
      <c r="R1035" s="5" t="inlineStr"/>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row>
    <row r="1036">
      <c r="A1036" s="5" t="inlineStr">
        <is>
          <t>b9-genclere-tavsiye</t>
        </is>
      </c>
      <c r="B1036" s="5" t="n">
        <v>2</v>
      </c>
      <c r="C1036" s="6" t="inlineStr">
        <is>
          <t>'Benim zamanımda…' diye başla</t>
        </is>
      </c>
      <c r="D1036" s="5" t="inlineStr">
        <is>
          <t>Çene</t>
        </is>
      </c>
      <c r="E1036" s="5" t="inlineStr">
        <is>
          <t>Zor</t>
        </is>
      </c>
      <c r="F1036" s="5" t="inlineStr"/>
      <c r="G1036" s="6" t="inlineStr"/>
      <c r="H1036" s="6" t="inlineStr">
        <is>
          <t>Anlattın. Genç iki dakika dinledi, sonra 'Haklısınız ama şimdi durum farklı' dedi. Değildi.</t>
        </is>
      </c>
      <c r="I1036" s="6" t="inlineStr">
        <is>
          <t>Hikâyen öyle oturdu ki genç not aldı. Üç ay sonra bir internet yayınında seni anlatıyordu: 'Kafede tanıştığım biri…' Adını bilmiyordu.</t>
        </is>
      </c>
      <c r="J1036" s="6" t="inlineStr">
        <is>
          <t>'Benim zamanımda' dedin; genç kulaklığını taktı. Cümleni tamamlamanın bir anlamı kalmadı.</t>
        </is>
      </c>
      <c r="K1036" s="6" t="inlineStr">
        <is>
          <t>'Benim zamanımda' diye başladın; kafedeki herkes kulaklık taktı. Garson da.</t>
        </is>
      </c>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is>
          <t>Benim Zamanımda</t>
        </is>
      </c>
    </row>
    <row r="1037">
      <c r="A1037" s="5" t="inlineStr">
        <is>
          <t>b9-genclere-tavsiye</t>
        </is>
      </c>
      <c r="B1037" s="5" t="n">
        <v>3</v>
      </c>
      <c r="C1037" s="6" t="inlineStr">
        <is>
          <t>'Sence ne yapmalısın?' diye sor</t>
        </is>
      </c>
      <c r="D1037" s="5" t="inlineStr">
        <is>
          <t>Çene</t>
        </is>
      </c>
      <c r="E1037" s="5" t="inlineStr">
        <is>
          <t>Kolay</t>
        </is>
      </c>
      <c r="F1037" s="5" t="inlineStr"/>
      <c r="G1037" s="6" t="inlineStr"/>
      <c r="H1037" s="6" t="inlineStr">
        <is>
          <t>Genç kendi sorusunu kendi cevapladı ve sana teşekkür etti. Danışmanlık ücreti: bir kahve.</t>
        </is>
      </c>
      <c r="I1037" s="6" t="inlineStr">
        <is>
          <t>Genç, 'Keşke iş yerimdeki yöneticiler sizin gibi olsa' dedi. Sen sadece soru sormuştun.</t>
        </is>
      </c>
      <c r="J1037" s="6" t="inlineStr">
        <is>
          <t>Genç 'Bilmiyorum, siz ne dersiniz?' dedi. Top sana döndü ve düştü.</t>
        </is>
      </c>
      <c r="K1037" s="6" t="inlineStr">
        <is>
          <t>Soruyu sordun; genç otuz dakika boyunca cevap verdi. Kafeden en son sen çıktın.</t>
        </is>
      </c>
      <c r="L1037" s="6" t="inlineStr"/>
      <c r="M1037" s="5" t="inlineStr"/>
      <c r="N1037" s="5" t="inlineStr"/>
      <c r="O1037" s="6" t="inlineStr"/>
      <c r="P1037" s="6" t="inlineStr"/>
      <c r="Q1037" s="5" t="inlineStr"/>
      <c r="R1037" s="5" t="inlineStr"/>
      <c r="S1037" s="5" t="inlineStr">
        <is>
          <t>Çene</t>
        </is>
      </c>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row>
    <row r="1038">
      <c r="A1038" s="5" t="inlineStr">
        <is>
          <t>b9-lise-bulusmasi</t>
        </is>
      </c>
      <c r="B1038" s="5" t="n">
        <v>1</v>
      </c>
      <c r="C1038" s="6" t="inlineStr">
        <is>
          <t>Toplu fotoğrafı aile grubuna at</t>
        </is>
      </c>
      <c r="D1038" s="5" t="inlineStr"/>
      <c r="E1038" s="5" t="inlineStr"/>
      <c r="F1038" s="5" t="inlineStr">
        <is>
          <t>Pişkinlik +1</t>
        </is>
      </c>
      <c r="G1038" s="6" t="inlineStr">
        <is>
          <t>Fotoğrafı attın. Aile 'Hangisi sensin?' diye sordu. Sen de tam emin değildin.</t>
        </is>
      </c>
      <c r="H1038" s="6" t="inlineStr"/>
      <c r="I1038" s="6" t="inlineStr"/>
      <c r="J1038" s="6" t="inlineStr"/>
      <c r="K1038" s="6" t="inlineStr"/>
      <c r="L1038" s="6" t="inlineStr"/>
      <c r="M1038" s="5" t="inlineStr"/>
      <c r="N1038" s="5" t="inlineStr"/>
      <c r="O1038" s="6" t="inlineStr"/>
      <c r="P1038" s="6" t="inlineStr"/>
      <c r="Q1038" s="5" t="inlineStr"/>
      <c r="R1038" s="5" t="inlineStr"/>
      <c r="S1038" s="5" t="inlineStr"/>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row>
    <row r="1039">
      <c r="A1039" s="5" t="inlineStr">
        <is>
          <t>b9-lise-bulusmasi</t>
        </is>
      </c>
      <c r="B1039" s="5" t="n">
        <v>2</v>
      </c>
      <c r="C1039" s="6" t="inlineStr">
        <is>
          <t>Yeni bir mesaj grubu kur</t>
        </is>
      </c>
      <c r="D1039" s="5" t="inlineStr">
        <is>
          <t>Çene</t>
        </is>
      </c>
      <c r="E1039" s="5" t="inlineStr">
        <is>
          <t>Orta</t>
        </is>
      </c>
      <c r="F1039" s="5" t="inlineStr"/>
      <c r="G1039" s="6" t="inlineStr"/>
      <c r="H1039" s="6" t="inlineStr">
        <is>
          <t>Grup kuruldu. İlk hafta seksen mesaj, ikinci hafta bir günaydın görseli, üçüncü hafta sessizlik.</t>
        </is>
      </c>
      <c r="I1039" s="6" t="inlineStr">
        <is>
          <t>Grup öyle yaşadı ki sınıf bir sonraki yıl tatile birlikte gitti. Kırk yıldır ilk kez yoklama tam.</t>
        </is>
      </c>
      <c r="J1039" s="6" t="inlineStr">
        <is>
          <t>Grubu kurdun, adını yazarken yanlışlıkla bir önceki sınıfın adını yazdın. Kimse düzeltmedi.</t>
        </is>
      </c>
      <c r="K1039" s="6" t="inlineStr">
        <is>
          <t>Grubu kurdun ve ilk mesajda yanlış kişiyi 'Merhum' diye andın. Kendisi grupta ve üzgün.</t>
        </is>
      </c>
      <c r="L1039" s="6" t="inlineStr"/>
      <c r="M1039" s="5" t="inlineStr"/>
      <c r="N1039" s="5" t="inlineStr"/>
      <c r="O1039" s="6" t="inlineStr"/>
      <c r="P1039" s="6" t="inlineStr"/>
      <c r="Q1039" s="5" t="inlineStr">
        <is>
          <t>Kuralı Koyan</t>
        </is>
      </c>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row>
    <row r="1040">
      <c r="A1040" s="5" t="inlineStr">
        <is>
          <t>b9-lise-bulusmasi</t>
        </is>
      </c>
      <c r="B1040" s="5" t="n">
        <v>3</v>
      </c>
      <c r="C1040" s="6" t="inlineStr">
        <is>
          <t>Kimin ne olduğunu kıyasla</t>
        </is>
      </c>
      <c r="D1040" s="5" t="inlineStr">
        <is>
          <t>İtibar</t>
        </is>
      </c>
      <c r="E1040" s="5" t="inlineStr">
        <is>
          <t>Orta</t>
        </is>
      </c>
      <c r="F1040" s="5" t="inlineStr"/>
      <c r="G1040" s="6" t="inlineStr"/>
      <c r="H1040" s="6" t="inlineStr">
        <is>
          <t>Kıyasladın ve fark ettin: herkes bir yerinden yorulmuş. Rahatladın.</t>
        </is>
      </c>
      <c r="I1040" s="6" t="inlineStr">
        <is>
          <t>Kıyasladın ve kendini sınıfın ortalamasının üstünde buldun. Gece rahat uyudun. Kimseye söylemedin.</t>
        </is>
      </c>
      <c r="J1040" s="6" t="inlineStr">
        <is>
          <t>Kıyasladın. Sınıfın en tembeli şimdi bir otel zinciri sahibi. Bu bilgiyi hazmetmen iki gün sürdü.</t>
        </is>
      </c>
      <c r="K1040" s="6" t="inlineStr">
        <is>
          <t>Kıyaslarken yüksek sesle düşündün: 'En azından Kemal kadar göbeğim yok.' Seni eve bırakan Kemal'di.</t>
        </is>
      </c>
      <c r="L1040" s="6" t="inlineStr"/>
      <c r="M1040" s="5" t="inlineStr"/>
      <c r="N1040" s="5" t="inlineStr"/>
      <c r="O1040" s="6" t="inlineStr"/>
      <c r="P1040" s="6" t="inlineStr"/>
      <c r="Q1040" s="5" t="inlineStr"/>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row>
    <row r="1041">
      <c r="A1041" s="5" t="inlineStr">
        <is>
          <t>b9-eski-ask</t>
        </is>
      </c>
      <c r="B1041" s="5" t="n">
        <v>1</v>
      </c>
      <c r="C1041" s="6" t="inlineStr">
        <is>
          <t>Nohudu bırak, başka reyona geç</t>
        </is>
      </c>
      <c r="D1041" s="5" t="inlineStr"/>
      <c r="E1041" s="5" t="inlineStr"/>
      <c r="F1041" s="5" t="inlineStr">
        <is>
          <t>Dayanıklılık +1</t>
        </is>
      </c>
      <c r="G1041" s="6" t="inlineStr">
        <is>
          <t>Nohudu bıraktın. Akşam yemeği nohutsuz kaldı. Geçmiş de öyle.</t>
        </is>
      </c>
      <c r="H1041" s="6" t="inlineStr"/>
      <c r="I1041" s="6" t="inlineStr"/>
      <c r="J1041" s="6" t="inlineStr"/>
      <c r="K1041" s="6" t="inlineStr"/>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row>
    <row r="1042">
      <c r="A1042" s="5" t="inlineStr">
        <is>
          <t>b9-eski-ask</t>
        </is>
      </c>
      <c r="B1042" s="5" t="n">
        <v>2</v>
      </c>
      <c r="C1042" s="6" t="inlineStr">
        <is>
          <t>Selam ver</t>
        </is>
      </c>
      <c r="D1042" s="5" t="inlineStr">
        <is>
          <t>Cesaret</t>
        </is>
      </c>
      <c r="E1042" s="5" t="inlineStr">
        <is>
          <t>Orta</t>
        </is>
      </c>
      <c r="F1042" s="5" t="inlineStr"/>
      <c r="G1042" s="6" t="inlineStr"/>
      <c r="H1042" s="6" t="inlineStr">
        <is>
          <t>Selam verdin. On dakika konuştunuz, telefondan fotoğraf gösterdiniz. İkiniz de gözlüğü evde unutmuştu; fotoğraflara uzun uzun baktınız.</t>
        </is>
      </c>
      <c r="I1042" s="6" t="inlineStr">
        <is>
          <t>Selam verdin, kafeye oturdunuz, üç saat konuştunuz. Kasaya dönünce nohudun indirimi bitmişti.</t>
        </is>
      </c>
      <c r="J1042" s="6" t="inlineStr">
        <is>
          <t>Selam verdin. 'Pardon, tanıyamadım' dedi. Sen de tanımamış gibi yaptın. Artık ikiniz de yalan söylüyorsunuz.</t>
        </is>
      </c>
      <c r="K1042" s="6" t="inlineStr">
        <is>
          <t>Selam verdin, adıyla seslendin, 'Hiç değişmemişsin' dedin. Eski aşkın değilmiş. Eski aşkının annesiymiş.</t>
        </is>
      </c>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row>
    <row r="1043">
      <c r="A1043" s="5" t="inlineStr">
        <is>
          <t>b9-eski-ask</t>
        </is>
      </c>
      <c r="B1043" s="5" t="n">
        <v>3</v>
      </c>
      <c r="C1043" s="6" t="inlineStr">
        <is>
          <t>Yarım kalan mektubu anlat</t>
        </is>
      </c>
      <c r="D1043" s="5" t="inlineStr">
        <is>
          <t>Gönül</t>
        </is>
      </c>
      <c r="E1043" s="5" t="inlineStr">
        <is>
          <t>Zor</t>
        </is>
      </c>
      <c r="F1043" s="5" t="inlineStr"/>
      <c r="G1043" s="6" t="inlineStr"/>
      <c r="H1043" s="6" t="inlineStr">
        <is>
          <t>Mektubu anlattın. Güldü: 'O mektubu ben de yazıyordum.' İki yarım mektup bir marketin konserve reyonunda tamamlandı.</t>
        </is>
      </c>
      <c r="I1043" s="6" t="inlineStr">
        <is>
          <t>Mektubu anlattın. O da cüzdanından sararmış bir kâğıt çıkardı. Kırk yıl sonra teslim alındı.</t>
        </is>
      </c>
      <c r="J1043" s="6" t="inlineStr">
        <is>
          <t>Mektubu anlattın. 'Hangi mektup?' dedi. Kırk yıllık bir dram tek taraflıymış.</t>
        </is>
      </c>
      <c r="K1043" s="6" t="inlineStr">
        <is>
          <t>Mektubu anlatırken ağladın, nohut kutusu elinden düştü. Market görevlisi 'Reyon üç, temizlik' anonsu yaptı.</t>
        </is>
      </c>
      <c r="L1043" s="6" t="inlineStr"/>
      <c r="M1043" s="5" t="inlineStr"/>
      <c r="N1043" s="5" t="inlineStr"/>
      <c r="O1043" s="6" t="inlineStr"/>
      <c r="P1043" s="6" t="inlineStr"/>
      <c r="Q1043" s="5" t="inlineStr"/>
      <c r="R1043" s="5" t="inlineStr"/>
      <c r="S1043" s="5" t="inlineStr">
        <is>
          <t>Gönül</t>
        </is>
      </c>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is>
          <t>Reyon Üç</t>
        </is>
      </c>
    </row>
    <row r="1044">
      <c r="A1044" s="5" t="inlineStr">
        <is>
          <t>b9-balkon-tarimi</t>
        </is>
      </c>
      <c r="B1044" s="5" t="n">
        <v>1</v>
      </c>
      <c r="C1044" s="6" t="inlineStr">
        <is>
          <t>Her gün sula, bekle</t>
        </is>
      </c>
      <c r="D1044" s="5" t="inlineStr"/>
      <c r="E1044" s="5" t="inlineStr"/>
      <c r="F1044" s="5" t="inlineStr">
        <is>
          <t>İtibar +1, Dayanıklılık +1</t>
        </is>
      </c>
      <c r="G1044" s="6" t="inlineStr">
        <is>
          <t>Bekledin. Hasat: yedi domates. Her birine isim verdin. Salata yapmak zor oldu.</t>
        </is>
      </c>
      <c r="H1044" s="6" t="inlineStr"/>
      <c r="I1044" s="6" t="inlineStr"/>
      <c r="J1044" s="6" t="inlineStr"/>
      <c r="K1044" s="6" t="inlineStr"/>
      <c r="L1044" s="6" t="inlineStr"/>
      <c r="M1044" s="5" t="inlineStr"/>
      <c r="N1044" s="5" t="inlineStr"/>
      <c r="O1044" s="6" t="inlineStr"/>
      <c r="P1044" s="6" t="inlineStr"/>
      <c r="Q1044" s="5" t="inlineStr"/>
      <c r="R1044" s="5" t="inlineStr"/>
      <c r="S1044" s="5" t="inlineStr"/>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row>
    <row r="1045">
      <c r="A1045" s="5" t="inlineStr">
        <is>
          <t>b9-balkon-tarimi</t>
        </is>
      </c>
      <c r="B1045" s="5" t="n">
        <v>2</v>
      </c>
      <c r="C1045" s="6" t="inlineStr">
        <is>
          <t>Toprak ve gübre araştır</t>
        </is>
      </c>
      <c r="D1045" s="5" t="inlineStr">
        <is>
          <t>Akıl</t>
        </is>
      </c>
      <c r="E1045" s="5" t="inlineStr">
        <is>
          <t>Zor</t>
        </is>
      </c>
      <c r="F1045" s="5" t="inlineStr"/>
      <c r="G1045" s="6" t="inlineStr"/>
      <c r="H1045" s="6" t="inlineStr">
        <is>
          <t>Toprağı değiştirdin, domatesler coştu. Bütün apartmana birer tabak gönderdin; tabakların hepsi börekle geri geldi.</t>
        </is>
      </c>
      <c r="I1045" s="6" t="inlineStr">
        <is>
          <t>Domatesler öyle büyüdü ki apartman yöneticisi 'Balkon statiği' konulu bir toplantı çağırdı.</t>
        </is>
      </c>
      <c r="J1045" s="6" t="inlineStr">
        <is>
          <t>Doğru gübreyi aldın, yanlış saksıya koydun. Sardunya dev oldu. Domatesler kıskandı.</t>
        </is>
      </c>
      <c r="K1045" s="6" t="inlineStr">
        <is>
          <t>Gübreyi fazla koydun. Balkon üç hafta ahır gibi koktu. Üst kat çamaşırını içeri astı, alt kat selamı kesti.</t>
        </is>
      </c>
      <c r="L1045" s="6" t="inlineStr"/>
      <c r="M1045" s="5" t="inlineStr"/>
      <c r="N1045" s="5" t="inlineStr"/>
      <c r="O1045" s="6" t="inlineStr"/>
      <c r="P1045" s="6" t="inlineStr"/>
      <c r="Q1045" s="5" t="inlineStr"/>
      <c r="R1045" s="5" t="inlineStr"/>
      <c r="S1045" s="5" t="inlineStr"/>
      <c r="T1045" s="5" t="inlineStr">
        <is>
          <t>Bahçe Filozofu</t>
        </is>
      </c>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row>
    <row r="1046">
      <c r="A1046" s="5" t="inlineStr">
        <is>
          <t>b9-balkon-tarimi</t>
        </is>
      </c>
      <c r="B1046" s="5" t="n">
        <v>3</v>
      </c>
      <c r="C1046" s="6" t="inlineStr">
        <is>
          <t>Alt kata doğru genişlet</t>
        </is>
      </c>
      <c r="D1046" s="5" t="inlineStr">
        <is>
          <t>Kurnazlık</t>
        </is>
      </c>
      <c r="E1046" s="5" t="inlineStr">
        <is>
          <t>Zor</t>
        </is>
      </c>
      <c r="F1046" s="5" t="inlineStr"/>
      <c r="G1046" s="6" t="inlineStr"/>
      <c r="H1046" s="6" t="inlineStr">
        <is>
          <t>Saksılar alt kata sarkıtıldı. Domatesler güneşte. Alt kat henüz fark etmedi.</t>
        </is>
      </c>
      <c r="I1046" s="6" t="inlineStr">
        <is>
          <t>Alt kat fark etti ve kendi saksısını ekledi. Artık iki kat ortak bir bahçe işletiyor.</t>
        </is>
      </c>
      <c r="J1046" s="6" t="inlineStr">
        <is>
          <t>Alt kat fark etti ve saksıları geri itti. Sessiz bir sınır anlaşmazlığı başladı.</t>
        </is>
      </c>
      <c r="K1046" s="6" t="inlineStr">
        <is>
          <t>Saksı sarktı, sonra alt kattakinin balkonuna düştü. Bir ay sonra orada domates bitti. Alt kat onları sana satıyor.</t>
        </is>
      </c>
      <c r="L1046" s="6" t="inlineStr"/>
      <c r="M1046" s="5" t="inlineStr"/>
      <c r="N1046" s="5" t="inlineStr"/>
      <c r="O1046" s="6" t="inlineStr"/>
      <c r="P1046" s="6" t="inlineStr"/>
      <c r="Q1046" s="5" t="inlineStr"/>
      <c r="R1046" s="5" t="inlineStr"/>
      <c r="S1046" s="5" t="inlineStr"/>
      <c r="T1046" s="5" t="inlineStr"/>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row>
    <row r="1047">
      <c r="A1047" s="5" t="inlineStr">
        <is>
          <t>mm-devir-teslim</t>
        </is>
      </c>
      <c r="B1047" s="5" t="n">
        <v>1</v>
      </c>
      <c r="C1047" s="6" t="inlineStr">
        <is>
          <t>Her şeyi tutanağa geçir</t>
        </is>
      </c>
      <c r="D1047" s="5" t="inlineStr"/>
      <c r="E1047" s="5" t="inlineStr"/>
      <c r="F1047" s="5" t="inlineStr">
        <is>
          <t>Akıl +1, İtibar +1</t>
        </is>
      </c>
      <c r="G1047" s="6" t="inlineStr">
        <is>
          <t>Kırk iki sayfalık tutanak yazdın. Genç memur ilk sayfayı okudu ve sordu: 'Kısaca?'</t>
        </is>
      </c>
      <c r="H1047" s="6" t="inlineStr"/>
      <c r="I1047" s="6" t="inlineStr"/>
      <c r="J1047" s="6" t="inlineStr"/>
      <c r="K1047" s="6" t="inlineStr"/>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row>
    <row r="1048">
      <c r="A1048" s="5" t="inlineStr">
        <is>
          <t>mm-devir-teslim</t>
        </is>
      </c>
      <c r="B1048" s="5" t="n">
        <v>2</v>
      </c>
      <c r="C1048" s="6" t="inlineStr">
        <is>
          <t>Genç memura işin inceliklerini öğret</t>
        </is>
      </c>
      <c r="D1048" s="5" t="inlineStr">
        <is>
          <t>Çene</t>
        </is>
      </c>
      <c r="E1048" s="5" t="inlineStr">
        <is>
          <t>Orta</t>
        </is>
      </c>
      <c r="F1048" s="5" t="inlineStr"/>
      <c r="G1048" s="6" t="inlineStr"/>
      <c r="H1048" s="6" t="inlineStr">
        <is>
          <t>Hangi evrak hangi masaya, hangi müdür hangi saatte. İki haftada otuz yıl aktarıldı.</t>
        </is>
      </c>
      <c r="I1048" s="6" t="inlineStr">
        <is>
          <t>Genç memur öğrendiklerini not aldı, not defteri birimde el kitabı oldu. Kapakta adın var.</t>
        </is>
      </c>
      <c r="J1048" s="6" t="inlineStr">
        <is>
          <t>Anlattın. Genç memur her cümleden sonra 'Sistemde bu otomatik' dedi.</t>
        </is>
      </c>
      <c r="K1048" s="6" t="inlineStr">
        <is>
          <t>O kadar anlattın ki genç memur tayin istedi. Devir teslim, yeni gelecek bir sonraki gence ertelendi.</t>
        </is>
      </c>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row>
    <row r="1049">
      <c r="A1049" s="5" t="inlineStr">
        <is>
          <t>mm-devir-teslim</t>
        </is>
      </c>
      <c r="B1049" s="5" t="n">
        <v>3</v>
      </c>
      <c r="C1049" s="6" t="inlineStr">
        <is>
          <t>Genç memurdan yeni sistemi öğren</t>
        </is>
      </c>
      <c r="D1049" s="5" t="inlineStr">
        <is>
          <t>Akıl</t>
        </is>
      </c>
      <c r="E1049" s="5" t="inlineStr">
        <is>
          <t>Kolay</t>
        </is>
      </c>
      <c r="F1049" s="5" t="inlineStr"/>
      <c r="G1049" s="6" t="inlineStr"/>
      <c r="H1049" s="6" t="inlineStr">
        <is>
          <t>On dakikada öğrendin. Kariyerinin son iki haftası en verimli dönemin oldu.</t>
        </is>
      </c>
      <c r="I1049" s="6" t="inlineStr">
        <is>
          <t>Sistemi öyle kavradın ki çöktüğünde genç memur seni aradı. Otuz yılda bir ilk.</t>
        </is>
      </c>
      <c r="J1049" s="6" t="inlineStr">
        <is>
          <t>Öğrendin, sonra unuttun. Sistem de seni unuttu; şifren süresi dolmuştu.</t>
        </is>
      </c>
      <c r="K1049" s="6" t="inlineStr">
        <is>
          <t>Yanlış tuşa bastın; bütün birimin emeklilik tarihi bir yıl ileri kaydı. Düzelene kadar üç ay koridorda kimse sana selam vermedi.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row>
    <row r="1050">
      <c r="A1050" s="5" t="inlineStr">
        <is>
          <t>mm-devir-teslim</t>
        </is>
      </c>
      <c r="B1050" s="5" t="n">
        <v>4</v>
      </c>
      <c r="C1050" s="6" t="inlineStr">
        <is>
          <t>Kayıp dosyayı da devret</t>
        </is>
      </c>
      <c r="D1050" s="5" t="inlineStr">
        <is>
          <t>Pişkinlik</t>
        </is>
      </c>
      <c r="E1050" s="5" t="inlineStr">
        <is>
          <t>Orta</t>
        </is>
      </c>
      <c r="F1050" s="5" t="inlineStr"/>
      <c r="G1050" s="6" t="inlineStr"/>
      <c r="H1050" s="6" t="inlineStr">
        <is>
          <t>Dosyanın kaybından artık yasal olarak başkası sorumlu. Omuzların otuz yıl sonra ilk kez düz.</t>
        </is>
      </c>
      <c r="I1050" s="6" t="inlineStr">
        <is>
          <t>Genç memur dosyayı ilk haftasında buldu, bir dolabın arkasındaymış. Otuz yıl, bir dolap kaydırma mesafesindeymiş.</t>
        </is>
      </c>
      <c r="J1050" s="6" t="inlineStr">
        <is>
          <t>Genç memur imzalamadı. Zimmet emekliliğine kadar sende.</t>
        </is>
      </c>
      <c r="K1050" s="6" t="inlineStr">
        <is>
          <t>Dosyayı devrederken ikinci bir belge kaybettin: devir tutanağını.</t>
        </is>
      </c>
      <c r="L1050" s="6" t="inlineStr"/>
      <c r="M1050" s="5" t="inlineStr"/>
      <c r="N1050" s="5" t="inlineStr"/>
      <c r="O1050" s="6" t="inlineStr"/>
      <c r="P1050" s="6" t="inlineStr"/>
      <c r="Q1050" s="5" t="inlineStr"/>
      <c r="R1050" s="5" t="inlineStr">
        <is>
          <t>memur-kayip-dosya</t>
        </is>
      </c>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row>
    <row r="1051">
      <c r="A1051" s="5" t="inlineStr">
        <is>
          <t>b9-yapay-zeka-asistani</t>
        </is>
      </c>
      <c r="B1051" s="5" t="n">
        <v>1</v>
      </c>
      <c r="C1051" s="6" t="inlineStr">
        <is>
          <t>Asistana bağır</t>
        </is>
      </c>
      <c r="D1051" s="5" t="inlineStr">
        <is>
          <t>Cesaret</t>
        </is>
      </c>
      <c r="E1051" s="5" t="inlineStr">
        <is>
          <t>Kolay</t>
        </is>
      </c>
      <c r="F1051" s="5" t="inlineStr"/>
      <c r="G1051" s="6" t="inlineStr"/>
      <c r="H1051" s="6" t="inlineStr">
        <is>
          <t>Bağırdın. Asistan 'Sakin olun, size yardımcı olacağım' dedi ve oldu. Kim kimi eğitiyor, belirsiz.</t>
        </is>
      </c>
      <c r="I1051" s="6" t="inlineStr">
        <is>
          <t>Bağırdın, asistan özür diledi. Hayatında ilk kez bir teknoloji senden özür diledi.</t>
        </is>
      </c>
      <c r="J1051" s="6" t="inlineStr">
        <is>
          <t>Bağırdın. Asistan 'Mutluluk verici müzikler çalıyorum' dedi ve çaldı.</t>
        </is>
      </c>
      <c r="K1051" s="6" t="inlineStr">
        <is>
          <t>Bağırdın. Komşu 'Her şey yolunda mı?' diye kapıyı çaldı. Asistan komşuyu anladı.</t>
        </is>
      </c>
      <c r="L1051" s="6" t="inlineStr"/>
      <c r="M1051" s="5" t="inlineStr"/>
      <c r="N1051" s="5" t="inlineStr"/>
      <c r="O1051" s="6" t="inlineStr"/>
      <c r="P1051" s="6" t="inlineStr"/>
      <c r="Q1051" s="5" t="inlineStr"/>
      <c r="R1051" s="5" t="inlineStr"/>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row>
    <row r="1052">
      <c r="A1052" s="5" t="inlineStr">
        <is>
          <t>b9-yapay-zeka-asistani</t>
        </is>
      </c>
      <c r="B1052" s="5" t="n">
        <v>2</v>
      </c>
      <c r="C1052" s="6" t="inlineStr">
        <is>
          <t>Kibarca sor</t>
        </is>
      </c>
      <c r="D1052" s="5" t="inlineStr"/>
      <c r="E1052" s="5" t="inlineStr"/>
      <c r="F1052" s="5" t="inlineStr">
        <is>
          <t>İtibar +1</t>
        </is>
      </c>
      <c r="G1052" s="6" t="inlineStr">
        <is>
          <t>'Rica etsem' diye başladın. Asistan sana dört paragraf cevap verdi. İlk cümlede kayboldun.</t>
        </is>
      </c>
      <c r="H1052" s="6" t="inlineStr"/>
      <c r="I1052" s="6" t="inlineStr"/>
      <c r="J1052" s="6" t="inlineStr"/>
      <c r="K1052" s="6" t="inlineStr"/>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row>
    <row r="1053">
      <c r="A1053" s="5" t="inlineStr">
        <is>
          <t>b9-yapay-zeka-asistani</t>
        </is>
      </c>
      <c r="B1053" s="5" t="n">
        <v>3</v>
      </c>
      <c r="C1053" s="6" t="inlineStr">
        <is>
          <t>Asistanı kendine göre ayarla</t>
        </is>
      </c>
      <c r="D1053" s="5" t="inlineStr">
        <is>
          <t>Akıl</t>
        </is>
      </c>
      <c r="E1053" s="5" t="inlineStr">
        <is>
          <t>Orta</t>
        </is>
      </c>
      <c r="F1053" s="5" t="inlineStr"/>
      <c r="G1053" s="6" t="inlineStr"/>
      <c r="H1053" s="6" t="inlineStr">
        <is>
          <t>Asistana yavaş konuşmasını, kısa cevap vermesini ve seni 'Efendim' diye çağırmasını öğrettin.</t>
        </is>
      </c>
      <c r="I1053" s="6" t="inlineStr">
        <is>
          <t>Asistanı öyle eğittin ki artık yalnız senin sesine cevap veriyor. Misafir gelince ona önce senin adını söylüyor.</t>
        </is>
      </c>
      <c r="J1053" s="6" t="inlineStr">
        <is>
          <t>Ayarları değiştirdin, asistanın dili değişti. Şimdi bilmediğin bir dilde sana tarif veriyor.</t>
        </is>
      </c>
      <c r="K1053" s="6" t="inlineStr">
        <is>
          <t>Ayarlarda kayboldun. Asistan artık seni 'Kullanıcı 1' diye çağırıyor ve buna itiraz yolu yok.</t>
        </is>
      </c>
      <c r="L1053" s="6" t="inlineStr"/>
      <c r="M1053" s="5" t="inlineStr"/>
      <c r="N1053" s="5" t="inlineStr"/>
      <c r="O1053" s="6" t="inlineStr"/>
      <c r="P1053" s="6" t="inlineStr"/>
      <c r="Q1053" s="5" t="inlineStr">
        <is>
          <t>Şifreyi Bilen</t>
        </is>
      </c>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row>
    <row r="1054">
      <c r="A1054" s="5" t="inlineStr">
        <is>
          <t>b9-torun-nobeti</t>
        </is>
      </c>
      <c r="B1054" s="5" t="n">
        <v>1</v>
      </c>
      <c r="C1054" s="6" t="inlineStr">
        <is>
          <t>Talimatlara harfiyen uy</t>
        </is>
      </c>
      <c r="D1054" s="5" t="inlineStr"/>
      <c r="E1054" s="5" t="inlineStr"/>
      <c r="F1054" s="5" t="inlineStr">
        <is>
          <t>Dayanıklılık +1, Gönül +1</t>
        </is>
      </c>
      <c r="G1054" s="6" t="inlineStr">
        <is>
          <t>Listeye uydun. Torun seni 'en sıkıcı bakıcı' seçti. Çocuğun seni 'en güvenilir' seçti.</t>
        </is>
      </c>
      <c r="H1054" s="6" t="inlineStr"/>
      <c r="I1054" s="6" t="inlineStr"/>
      <c r="J1054" s="6" t="inlineStr"/>
      <c r="K1054" s="6" t="inlineStr"/>
      <c r="L1054" s="6" t="inlineStr"/>
      <c r="M1054" s="5" t="inlineStr"/>
      <c r="N1054" s="5" t="inlineStr"/>
      <c r="O1054" s="6" t="inlineStr"/>
      <c r="P1054" s="6" t="inlineStr"/>
      <c r="Q1054" s="5" t="inlineStr"/>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row>
    <row r="1055">
      <c r="A1055" s="5" t="inlineStr">
        <is>
          <t>b9-torun-nobeti</t>
        </is>
      </c>
      <c r="B1055" s="5" t="n">
        <v>2</v>
      </c>
      <c r="C1055" s="6" t="inlineStr">
        <is>
          <t>Hafıza oyunu oyna</t>
        </is>
      </c>
      <c r="D1055" s="5" t="inlineStr">
        <is>
          <t>Akıl</t>
        </is>
      </c>
      <c r="E1055" s="5" t="inlineStr">
        <is>
          <t>Orta</t>
        </is>
      </c>
      <c r="F1055" s="5" t="inlineStr"/>
      <c r="G1055" s="6" t="inlineStr"/>
      <c r="H1055" s="6" t="inlineStr">
        <is>
          <t>Sırayı hatırladın. Torun gözlerini kocaman açtı, telefonunu kaptı ve annesine sesli mesaj attı: 'Hepsini bildi!'</t>
        </is>
      </c>
      <c r="I1055" s="6" t="inlineStr">
        <is>
          <t>Hiç hata yapmadın. Torun oyunun kurallarını değiştirmeye çalıştı; onu da hatırladın.</t>
        </is>
      </c>
      <c r="J1055" s="6" t="inlineStr">
        <is>
          <t>Sırayı karıştırdın. Torun elini omzuna koydu: 'Olsun, bir daha deneyelim. Bu sefer yavaş göstereceğim.'</t>
        </is>
      </c>
      <c r="K1055" s="6" t="inlineStr">
        <is>
          <t>Oyunu kaybettin ve 'Bu kurallar sonradan değişti' dedin. Torun akşam görüntülü aramada annesine anlattı: 'Hile yaptı.' Ertesi gün talimat listesine beşinci sayfa eklendi.</t>
        </is>
      </c>
      <c r="L1055" s="6" t="inlineStr">
        <is>
          <t>Yarısını hatırladın. Torun kalanını fısıldadı. Takım olarak kazandınız.</t>
        </is>
      </c>
      <c r="M1055" s="5" t="inlineStr">
        <is>
          <t>simon</t>
        </is>
      </c>
      <c r="N1055" s="5" t="inlineStr">
        <is>
          <t>Torunun Oyunu</t>
        </is>
      </c>
      <c r="O1055" s="6" t="inlineStr">
        <is>
          <t>Torunun gösterdiği sırayı tekrarla. Hata yaparsan oyunu açıklamaya başlayacak.</t>
        </is>
      </c>
      <c r="P1055" s="6" t="inlineStr">
        <is>
          <t>{"items": ["🐶", "🐱", "🦆", "🐸"]}</t>
        </is>
      </c>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row>
    <row r="1056">
      <c r="A1056" s="5" t="inlineStr">
        <is>
          <t>b9-torun-nobeti</t>
        </is>
      </c>
      <c r="B1056" s="5" t="n">
        <v>3</v>
      </c>
      <c r="C1056" s="6" t="inlineStr">
        <is>
          <t>Dondurmayla rüşvet ver</t>
        </is>
      </c>
      <c r="D1056" s="5" t="inlineStr">
        <is>
          <t>Kurnazlık</t>
        </is>
      </c>
      <c r="E1056" s="5" t="inlineStr">
        <is>
          <t>Kolay</t>
        </is>
      </c>
      <c r="F1056" s="5" t="inlineStr"/>
      <c r="G1056" s="6" t="inlineStr"/>
      <c r="H1056" s="6" t="inlineStr">
        <is>
          <t>Talimat listesinde 'dondurma yok' yazmıyordu; 'şeker yok' yazıyordu. Torun külahı bitirirken 'Bu şeker değil, değil mi?' diye sordu. 'Değil' dedin.</t>
        </is>
      </c>
      <c r="I1056" s="6" t="inlineStr">
        <is>
          <t>Dondurmayı verdin, torun her şeye uydu. Serçe parmağını uzattı: 'Kimseye söylemiyoruz.' Söylemedi.</t>
        </is>
      </c>
      <c r="J1056" s="6" t="inlineStr">
        <is>
          <t>Dondurmayı verdin, torun ailesine görüntülü aramada dondurmalı yüzle göründü.</t>
        </is>
      </c>
      <c r="K1056" s="6" t="inlineStr">
        <is>
          <t>Dondurmayı verdin, torun şekerle uçtu, gece üçte uyudu. Sen ise hiç uyumadın.</t>
        </is>
      </c>
      <c r="L1056" s="6" t="inlineStr"/>
      <c r="M1056" s="5" t="inlineStr"/>
      <c r="N1056" s="5" t="inlineStr"/>
      <c r="O1056" s="6" t="inlineStr"/>
      <c r="P1056" s="6" t="inlineStr"/>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row>
    <row r="1057">
      <c r="A1057" s="5" t="inlineStr">
        <is>
          <t>mb-devir-teslim</t>
        </is>
      </c>
      <c r="B1057" s="5" t="n">
        <v>1</v>
      </c>
      <c r="C1057" s="6" t="inlineStr">
        <is>
          <t>Yerine geleni kahveye götür</t>
        </is>
      </c>
      <c r="D1057" s="5" t="inlineStr"/>
      <c r="E1057" s="5" t="inlineStr"/>
      <c r="F1057" s="5" t="inlineStr">
        <is>
          <t>İtibar +1</t>
        </is>
      </c>
      <c r="G1057" s="6" t="inlineStr">
        <is>
          <t>Kahve ısmarladın, her şeyi anlattın. Sana masandaki bitkiyi devraldığını söyledi. Yaşıyor.</t>
        </is>
      </c>
      <c r="H1057" s="6" t="inlineStr"/>
      <c r="I1057" s="6" t="inlineStr"/>
      <c r="J1057" s="6" t="inlineStr"/>
      <c r="K1057" s="6" t="inlineStr"/>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row>
    <row r="1058">
      <c r="A1058" s="5" t="inlineStr">
        <is>
          <t>mb-devir-teslim</t>
        </is>
      </c>
      <c r="B1058" s="5" t="n">
        <v>2</v>
      </c>
      <c r="C1058" s="6" t="inlineStr">
        <is>
          <t>Her şeyi yaz</t>
        </is>
      </c>
      <c r="D1058" s="5" t="inlineStr">
        <is>
          <t>Akıl</t>
        </is>
      </c>
      <c r="E1058" s="5" t="inlineStr">
        <is>
          <t>Orta</t>
        </is>
      </c>
      <c r="F1058" s="5" t="inlineStr"/>
      <c r="G1058" s="6" t="inlineStr"/>
      <c r="H1058" s="6" t="inlineStr">
        <is>
          <t>Yüz iki sayfalık devir belgesi hazırladın. Kimse okumayacak ama var.</t>
        </is>
      </c>
      <c r="I1058" s="6" t="inlineStr">
        <is>
          <t>Belgen şirketin resmî eğitim kitabı oldu. Kapağında adın var, doğru yazılmış.</t>
        </is>
      </c>
      <c r="J1058" s="6" t="inlineStr">
        <is>
          <t>Yazdın; belge 'çok uzun' bulundu ve bir özet istendi. Özet kırk sayfa.</t>
        </is>
      </c>
      <c r="K1058" s="6" t="inlineStr">
        <is>
          <t>Yazdığın belge, yapay zekâya özetletildi. Özette senin adın 'eski sistem' olarak geçiyor.</t>
        </is>
      </c>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row>
    <row r="1059">
      <c r="A1059" s="5" t="inlineStr">
        <is>
          <t>mb-devir-teslim</t>
        </is>
      </c>
      <c r="B1059" s="5" t="n">
        <v>3</v>
      </c>
      <c r="C1059" s="6" t="inlineStr">
        <is>
          <t>Önemli kısmı kendine sakla</t>
        </is>
      </c>
      <c r="D1059" s="5" t="inlineStr">
        <is>
          <t>Kurnazlık</t>
        </is>
      </c>
      <c r="E1059" s="5" t="inlineStr">
        <is>
          <t>Orta</t>
        </is>
      </c>
      <c r="F1059" s="5" t="inlineStr"/>
      <c r="G1059" s="6" t="inlineStr"/>
      <c r="H1059" s="6" t="inlineStr">
        <is>
          <t>Emekliliğinden iki ay sonra seni geri çağırdılar. Saat ücretiyle.</t>
        </is>
      </c>
      <c r="I1059" s="6" t="inlineStr">
        <is>
          <t>Saklanan şifre için şirket sana özel bir danışmanlık sözleşmesi yaptı. Uzaktan, pijamayla.</t>
        </is>
      </c>
      <c r="J1059" s="6" t="inlineStr">
        <is>
          <t>Yerine gelen, sakladığını iki günde buldu. Senin otuz yılını iki gün.</t>
        </is>
      </c>
      <c r="K1059" s="6" t="inlineStr">
        <is>
          <t>Sakladığın şifreyi sen de unuttun. Arşiv kilitli kaldı. Emekliliğinin üçüncü günü telefonun çaldı; hoparlörden yirmi kişi aynı anda 'Hatırla!' diye bağırıyordu.</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row>
    <row r="1060">
      <c r="A1060" s="5" t="inlineStr">
        <is>
          <t>me-mudavim</t>
        </is>
      </c>
      <c r="B1060" s="5" t="n">
        <v>1</v>
      </c>
      <c r="C1060" s="6" t="inlineStr">
        <is>
          <t>Her zamankini hazırla</t>
        </is>
      </c>
      <c r="D1060" s="5" t="inlineStr"/>
      <c r="E1060" s="5" t="inlineStr"/>
      <c r="F1060" s="5" t="inlineStr">
        <is>
          <t>İtibar +1, Sosyal Radar +1</t>
        </is>
      </c>
      <c r="G1060" s="6" t="inlineStr">
        <is>
          <t>Tek kelime konuşmadınız. Yirmi yıllık anlaşma yine imzasız yenilendi.</t>
        </is>
      </c>
      <c r="H1060" s="6" t="inlineStr"/>
      <c r="I1060" s="6" t="inlineStr"/>
      <c r="J1060" s="6" t="inlineStr"/>
      <c r="K1060" s="6" t="inlineStr"/>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row>
    <row r="1061">
      <c r="A1061" s="5" t="inlineStr">
        <is>
          <t>me-mudavim</t>
        </is>
      </c>
      <c r="B1061" s="5" t="n">
        <v>2</v>
      </c>
      <c r="C1061" s="6" t="inlineStr">
        <is>
          <t>'Nerede kaldın?' diye sitem et</t>
        </is>
      </c>
      <c r="D1061" s="5" t="inlineStr">
        <is>
          <t>Çene</t>
        </is>
      </c>
      <c r="E1061" s="5" t="inlineStr">
        <is>
          <t>Kolay</t>
        </is>
      </c>
      <c r="F1061" s="5" t="inlineStr"/>
      <c r="G1061" s="6" t="inlineStr"/>
      <c r="H1061" s="6" t="inlineStr">
        <is>
          <t>Sitem ettin, güldü, torununu anlattı. Artık sabahları iki kişi geliyor.</t>
        </is>
      </c>
      <c r="I1061" s="6" t="inlineStr">
        <is>
          <t>Torun da müdavim oldu. Artık her sabah iki ekmek, bir simit; küçüğü tezgâha yetişemiyor, parayı zıplayarak bırakıyor.</t>
        </is>
      </c>
      <c r="J1061" s="6" t="inlineStr">
        <is>
          <t>'Sana mı soracağım?' dedi. Yirmi yıldır bu kadar uzun konuşmamıştınız.</t>
        </is>
      </c>
      <c r="K1061" s="6" t="inlineStr">
        <is>
          <t>Sitemin fazla sert çıktı. Ertesi sabah 08.10'da karşı dükkândaydı. 08.12'de pişman döndü.</t>
        </is>
      </c>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row>
    <row r="1062">
      <c r="A1062" s="5" t="inlineStr">
        <is>
          <t>me-mudavim</t>
        </is>
      </c>
      <c r="B1062" s="5" t="n">
        <v>3</v>
      </c>
      <c r="C1062" s="6" t="inlineStr">
        <is>
          <t>Yeni bir ürün öner</t>
        </is>
      </c>
      <c r="D1062" s="5" t="inlineStr">
        <is>
          <t>Pişkinlik</t>
        </is>
      </c>
      <c r="E1062" s="5" t="inlineStr">
        <is>
          <t>Orta</t>
        </is>
      </c>
      <c r="F1062" s="5" t="inlineStr"/>
      <c r="G1062" s="6" t="inlineStr"/>
      <c r="H1062" s="6" t="inlineStr">
        <is>
          <t>Yirmi yılın ardından ilk kez başka bir şey aldı. Mahalle bunu tarihî bir gün olarak kaydetti.</t>
        </is>
      </c>
      <c r="I1062" s="6" t="inlineStr">
        <is>
          <t>Artık iki şey alıyor: ekmek ve senin önerdiğin peynir. Kahvede 'Adam yirmi yıl sonra fikir değiştirdi' diye konuşuluyor.</t>
        </is>
      </c>
      <c r="J1062" s="6" t="inlineStr">
        <is>
          <t>'Her zamankini' dedi. Yirmi yıldır aynı cevap.</t>
        </is>
      </c>
      <c r="K1062" s="6" t="inlineStr">
        <is>
          <t>Önerdiğin yeni peynir midesine dokundu. Bütün mahalleye 'Ondan alma, bozuk' dedi. Ertesi sabah 08.10'da yine kapındaydı, peynirsiz.</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row>
    <row r="1063">
      <c r="A1063" s="5" t="inlineStr">
        <is>
          <t>me-mudavim</t>
        </is>
      </c>
      <c r="B1063" s="5" t="n">
        <v>4</v>
      </c>
      <c r="C1063" s="6" t="inlineStr">
        <is>
          <t>Sormadan anla</t>
        </is>
      </c>
      <c r="D1063" s="5" t="inlineStr">
        <is>
          <t>Sosyal Radar</t>
        </is>
      </c>
      <c r="E1063" s="5" t="inlineStr">
        <is>
          <t>Kolay</t>
        </is>
      </c>
      <c r="F1063" s="5" t="inlineStr"/>
      <c r="G1063" s="6" t="inlineStr"/>
      <c r="H1063" s="6" t="inlineStr">
        <is>
          <t>Ekmeğin yanına bir de çocuk bisküvisi koydun. Başıyla teşekkür etti.</t>
        </is>
      </c>
      <c r="I1063" s="6" t="inlineStr">
        <is>
          <t>Ertesi sabah 08.40'ta poşet hazırdı: ekmek, gazete, torun için bisküvi. Tek bir kelime edilmedi.</t>
        </is>
      </c>
      <c r="J1063" s="6" t="inlineStr">
        <is>
          <t>Anladığını sandın. Gecikmenin sebebi saatinin pili bitmesiymiş.</t>
        </is>
      </c>
      <c r="K1063" s="6" t="inlineStr">
        <is>
          <t>Bisküvi koydun. Torun yokmuş; müdavim kendisi için sandı ve öfkelendi: 'Ben çocuk muyum?'</t>
        </is>
      </c>
      <c r="L1063" s="6" t="inlineStr"/>
      <c r="M1063" s="5" t="inlineStr"/>
      <c r="N1063" s="5" t="inlineStr"/>
      <c r="O1063" s="6" t="inlineStr"/>
      <c r="P1063" s="6" t="inlineStr"/>
      <c r="Q1063" s="5" t="inlineStr">
        <is>
          <t>Sessiz Gözlemci</t>
        </is>
      </c>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row>
    <row r="1064">
      <c r="A1064" s="5" t="inlineStr">
        <is>
          <t>b9-kahvehane-tavla</t>
        </is>
      </c>
      <c r="B1064" s="5" t="n">
        <v>1</v>
      </c>
      <c r="C1064" s="6" t="inlineStr">
        <is>
          <t>Seyirci ol, çay iç</t>
        </is>
      </c>
      <c r="D1064" s="5" t="inlineStr"/>
      <c r="E1064" s="5" t="inlineStr"/>
      <c r="F1064" s="5" t="inlineStr">
        <is>
          <t>Sosyal Radar +1</t>
        </is>
      </c>
      <c r="G1064" s="6" t="inlineStr">
        <is>
          <t>Seyrettin. Masadakiler oyunu, seyirciler ise masadakileri tartıştı. İkinci lig daha heyecanlıydı.</t>
        </is>
      </c>
      <c r="H1064" s="6" t="inlineStr"/>
      <c r="I1064" s="6" t="inlineStr"/>
      <c r="J1064" s="6" t="inlineStr"/>
      <c r="K1064" s="6" t="inlineStr"/>
      <c r="L1064" s="6" t="inlineStr"/>
      <c r="M1064" s="5" t="inlineStr"/>
      <c r="N1064" s="5" t="inlineStr"/>
      <c r="O1064" s="6" t="inlineStr"/>
      <c r="P1064" s="6" t="inlineStr"/>
      <c r="Q1064" s="5" t="inlineStr"/>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row>
    <row r="1065">
      <c r="A1065" s="5" t="inlineStr">
        <is>
          <t>b9-kahvehane-tavla</t>
        </is>
      </c>
      <c r="B1065" s="5" t="n">
        <v>2</v>
      </c>
      <c r="C1065" s="6" t="inlineStr">
        <is>
          <t>Lige katıl</t>
        </is>
      </c>
      <c r="D1065" s="5" t="inlineStr">
        <is>
          <t>Kurnazlık</t>
        </is>
      </c>
      <c r="E1065" s="5" t="inlineStr">
        <is>
          <t>Zor</t>
        </is>
      </c>
      <c r="F1065" s="5" t="inlineStr"/>
      <c r="G1065" s="6" t="inlineStr"/>
      <c r="H1065" s="6" t="inlineStr">
        <is>
          <t>İlk hafta dört maç kazandın. Duvardaki tebeşir listede adın yazıldı. Yanlış yazıldı ama yazıldı.</t>
        </is>
      </c>
      <c r="I1065" s="6" t="inlineStr">
        <is>
          <t>Ligi namağlup bitirdin. Tebeşir adın silinmesin diye üstüne bant yapıştırıldı.</t>
        </is>
      </c>
      <c r="J1065" s="6" t="inlineStr">
        <is>
          <t>İlk maçta mars oldun. Adın tebeşir listeye yazıldı; yanına küçük bir sıfır.</t>
        </is>
      </c>
      <c r="K1065" s="6" t="inlineStr">
        <is>
          <t>İlk maçta heyecandan pulları ters dizdin; rakip üç el boyunca hiçbir şey demedi. Bitince kahvehane gülmekten masaları salladı. Duvardaki listede adının yanına tebeşirle ters bir ok çizildi.</t>
        </is>
      </c>
      <c r="L1065" s="6" t="inlineStr"/>
      <c r="M1065" s="5" t="inlineStr"/>
      <c r="N1065" s="5" t="inlineStr"/>
      <c r="O1065" s="6" t="inlineStr"/>
      <c r="P1065" s="6" t="inlineStr"/>
      <c r="Q1065" s="5" t="inlineStr"/>
      <c r="R1065" s="5" t="inlineStr"/>
      <c r="S1065" s="5" t="inlineStr"/>
      <c r="T1065" s="5" t="inlineStr">
        <is>
          <t>Tavla Kurdu</t>
        </is>
      </c>
      <c r="U1065" s="5" t="inlineStr"/>
      <c r="V1065" s="5" t="inlineStr">
        <is>
          <t>tavla-sampiyonu</t>
        </is>
      </c>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row>
    <row r="1066">
      <c r="A1066" s="5" t="inlineStr">
        <is>
          <t>b9-kahvehane-tavla</t>
        </is>
      </c>
      <c r="B1066" s="5" t="n">
        <v>3</v>
      </c>
      <c r="C1066" s="6" t="inlineStr">
        <is>
          <t>Rakibi laf ile sars</t>
        </is>
      </c>
      <c r="D1066" s="5" t="inlineStr">
        <is>
          <t>Pişkinlik</t>
        </is>
      </c>
      <c r="E1066" s="5" t="inlineStr">
        <is>
          <t>Zor</t>
        </is>
      </c>
      <c r="F1066" s="5" t="inlineStr"/>
      <c r="G1066" s="6" t="inlineStr"/>
      <c r="H1066" s="6" t="inlineStr">
        <is>
          <t>'Bu zarlar sana küs' dedin. Rakip zarları üç kere değiştirdi ve kaybetti.</t>
        </is>
      </c>
      <c r="I1066" s="6" t="inlineStr">
        <is>
          <t>Rakip o kadar sarsıldı ki pullarını ters dizdi. Kahvehane bu maçı 'Psikolojik Mars' olarak kayda geçti.</t>
        </is>
      </c>
      <c r="J1066" s="6" t="inlineStr">
        <is>
          <t>Laf attın; rakip cevap vermedi. Sessizce kazandı, çayını bitirdi, giderken tek kelime etti: 'Eyvallah.' O 'eyvallah' bir hafta kulağında çınladı.</t>
        </is>
      </c>
      <c r="K1066" s="6" t="inlineStr">
        <is>
          <t>Laf attın, rakip gülümsedi ve sana yirmi yıl önceki bir maçı hatırlattı. Sen de kaybetmiştin.</t>
        </is>
      </c>
      <c r="L1066" s="6" t="inlineStr"/>
      <c r="M1066" s="5" t="inlineStr"/>
      <c r="N1066" s="5" t="inlineStr"/>
      <c r="O1066" s="6" t="inlineStr"/>
      <c r="P1066" s="6" t="inlineStr"/>
      <c r="Q1066" s="5" t="inlineStr">
        <is>
          <t>Yüzü Kızarmaz</t>
        </is>
      </c>
      <c r="R1066" s="5" t="inlineStr"/>
      <c r="S1066" s="5" t="inlineStr"/>
      <c r="T1066" s="5" t="inlineStr"/>
      <c r="U1066" s="5" t="inlineStr"/>
      <c r="V1066" s="5" t="inlineStr"/>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row>
    <row r="1067">
      <c r="A1067" s="5" t="inlineStr">
        <is>
          <t>b9-emeklilik</t>
        </is>
      </c>
      <c r="B1067" s="5" t="n">
        <v>1</v>
      </c>
      <c r="C1067" s="6" t="inlineStr">
        <is>
          <t>Veda konuşması yap</t>
        </is>
      </c>
      <c r="D1067" s="5" t="inlineStr">
        <is>
          <t>Çene</t>
        </is>
      </c>
      <c r="E1067" s="5" t="inlineStr">
        <is>
          <t>Orta</t>
        </is>
      </c>
      <c r="F1067" s="5" t="inlineStr"/>
      <c r="G1067" s="6" t="inlineStr"/>
      <c r="H1067" s="6" t="inlineStr">
        <is>
          <t>Konuştun, üç kişi ağladı, biri alkışladı. Yöneticin konuşmanı bir sonraki emeklilikte kullanmak için istedi.</t>
        </is>
      </c>
      <c r="I1067" s="6" t="inlineStr">
        <is>
          <t>Konuşman öyle etkiliydi ki iki genç ertesi gün izin dilekçesi verdi: 'Hayatımı düşüneceğim.' Müdür seni kapıda yakaladı: 'Bir dahaki vedada sen konuşma.'</t>
        </is>
      </c>
      <c r="J1067" s="6" t="inlineStr">
        <is>
          <t>Konuşmaya başladın, mikrofon açılmadı. Açıldığında konuşma bitmişti. Alkış teknik ekibe gitti.</t>
        </is>
      </c>
      <c r="K1067" s="6" t="inlineStr">
        <is>
          <t>Teşekkür ettiğin yirmi iki kişinin arasında yöneticin yoktu. Pastayı o kesti. Senin dilimini en sona bıraktı: kenarı, kremasız.</t>
        </is>
      </c>
      <c r="L1067" s="6" t="inlineStr"/>
      <c r="M1067" s="5" t="inlineStr"/>
      <c r="N1067" s="5" t="inlineStr"/>
      <c r="O1067" s="6" t="inlineStr"/>
      <c r="P1067" s="6" t="inlineStr"/>
      <c r="Q1067" s="5" t="inlineStr"/>
      <c r="R1067" s="5" t="inlineStr"/>
      <c r="S1067" s="5" t="inlineStr"/>
      <c r="T1067" s="5" t="inlineStr"/>
      <c r="U1067" s="5" t="inlineStr">
        <is>
          <t>emekli</t>
        </is>
      </c>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row>
    <row r="1068">
      <c r="A1068" s="5" t="inlineStr">
        <is>
          <t>b9-emeklilik</t>
        </is>
      </c>
      <c r="B1068" s="5" t="n">
        <v>2</v>
      </c>
      <c r="C1068" s="6" t="inlineStr">
        <is>
          <t>Pastadan al, sessizce çık</t>
        </is>
      </c>
      <c r="D1068" s="5" t="inlineStr"/>
      <c r="E1068" s="5" t="inlineStr"/>
      <c r="F1068" s="5" t="inlineStr">
        <is>
          <t>Dayanıklılık +1</t>
        </is>
      </c>
      <c r="G1068" s="6" t="inlineStr">
        <is>
          <t>Pastanı aldın ve sessizce çıktın. Otuz beş yılın özeti: bir plaket, bir tabak ve iki mum.</t>
        </is>
      </c>
      <c r="H1068" s="6" t="inlineStr"/>
      <c r="I1068" s="6" t="inlineStr"/>
      <c r="J1068" s="6" t="inlineStr"/>
      <c r="K1068" s="6" t="inlineStr"/>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row>
    <row r="1069">
      <c r="A1069" s="5" t="inlineStr">
        <is>
          <t>b9-emeklilik</t>
        </is>
      </c>
      <c r="B1069" s="5" t="n">
        <v>3</v>
      </c>
      <c r="C1069" s="6" t="inlineStr">
        <is>
          <t>Yerine gelene devir teslim yap</t>
        </is>
      </c>
      <c r="D1069" s="5" t="inlineStr"/>
      <c r="E1069" s="5" t="inlineStr"/>
      <c r="F1069" s="5" t="inlineStr">
        <is>
          <t>İtibar +1</t>
        </is>
      </c>
      <c r="G1069" s="6" t="inlineStr">
        <is>
          <t>Devir teslimi yaptın. Otuz beş yılın bilgisi kırk dakikaya sığdı. Yeni gelen iki soru sordu, ikisini de telefonuna not etti.</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row>
    <row r="1070">
      <c r="A1070" s="5" t="inlineStr">
        <is>
          <t>b9-emeklilik</t>
        </is>
      </c>
      <c r="B1070" s="5" t="n">
        <v>4</v>
      </c>
      <c r="C1070" s="6" t="inlineStr">
        <is>
          <t>Sitede güvenlik görevlisi ol</t>
        </is>
      </c>
      <c r="D1070" s="5" t="inlineStr"/>
      <c r="E1070" s="5" t="inlineStr"/>
      <c r="F1070" s="5" t="inlineStr">
        <is>
          <t>Sosyal Radar +1, Dayanıklılık +1</t>
        </is>
      </c>
      <c r="G1070" s="6" t="inlineStr">
        <is>
          <t>Polis emeklisi olarak sitenin güvenlik kulübesine geçtin. Kapıdan geçen herkesi hâlâ sorguluyorsun; kurye bile artık kimlik gösteriyor.</t>
        </is>
      </c>
      <c r="H1070" s="6" t="inlineStr"/>
      <c r="I1070" s="6" t="inlineStr"/>
      <c r="J1070" s="6" t="inlineStr"/>
      <c r="K1070" s="6" t="inlineStr"/>
      <c r="L1070" s="6" t="inlineStr"/>
      <c r="M1070" s="5" t="inlineStr"/>
      <c r="N1070" s="5" t="inlineStr"/>
      <c r="O1070" s="6" t="inlineStr"/>
      <c r="P1070" s="6" t="inlineStr"/>
      <c r="Q1070" s="5" t="inlineStr"/>
      <c r="R1070" s="5" t="inlineStr">
        <is>
          <t>hat-polis</t>
        </is>
      </c>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row>
    <row r="1071">
      <c r="A1071" s="5" t="inlineStr">
        <is>
          <t>b9-emeklilik</t>
        </is>
      </c>
      <c r="B1071" s="5" t="n">
        <v>5</v>
      </c>
      <c r="C1071" s="6" t="inlineStr">
        <is>
          <t>Apartmanın hakemi ol</t>
        </is>
      </c>
      <c r="D1071" s="5" t="inlineStr"/>
      <c r="E1071" s="5" t="inlineStr"/>
      <c r="F1071" s="5" t="inlineStr">
        <is>
          <t>Akıl +1, İtibar +1</t>
        </is>
      </c>
      <c r="G1071" s="6" t="inlineStr">
        <is>
          <t>Emekli hâkim olarak apartmanın gayriresmî mahkemesi oldun. Dördüncü kattaki ayakkabı dolabı davası üç yıldır sürüyor.</t>
        </is>
      </c>
      <c r="H1071" s="6" t="inlineStr"/>
      <c r="I1071" s="6" t="inlineStr"/>
      <c r="J1071" s="6" t="inlineStr"/>
      <c r="K1071" s="6" t="inlineStr"/>
      <c r="L1071" s="6" t="inlineStr"/>
      <c r="M1071" s="5" t="inlineStr"/>
      <c r="N1071" s="5" t="inlineStr"/>
      <c r="O1071" s="6" t="inlineStr"/>
      <c r="P1071" s="6" t="inlineStr"/>
      <c r="Q1071" s="5" t="inlineStr"/>
      <c r="R1071" s="5" t="inlineStr">
        <is>
          <t>hat-yargi</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row>
    <row r="1072">
      <c r="A1072" s="5" t="inlineStr">
        <is>
          <t>b9-emeklilik</t>
        </is>
      </c>
      <c r="B1072" s="5" t="n">
        <v>6</v>
      </c>
      <c r="C1072" s="6" t="inlineStr">
        <is>
          <t>Mahalleye ücretsiz muayene ver</t>
        </is>
      </c>
      <c r="D1072" s="5" t="inlineStr"/>
      <c r="E1072" s="5" t="inlineStr"/>
      <c r="F1072" s="5" t="inlineStr">
        <is>
          <t>İtibar +1</t>
        </is>
      </c>
      <c r="G1072" s="6" t="inlineStr">
        <is>
          <t>Emekli oldun ama tansiyon aletin hâlâ çantanda. Pazarda sıra, seninle tansiyonun arasında bölünüyor.</t>
        </is>
      </c>
      <c r="H1072" s="6" t="inlineStr"/>
      <c r="I1072" s="6" t="inlineStr"/>
      <c r="J1072" s="6" t="inlineStr"/>
      <c r="K1072" s="6" t="inlineStr"/>
      <c r="L1072" s="6" t="inlineStr"/>
      <c r="M1072" s="5" t="inlineStr"/>
      <c r="N1072" s="5" t="inlineStr"/>
      <c r="O1072" s="6" t="inlineStr"/>
      <c r="P1072" s="6" t="inlineStr"/>
      <c r="Q1072" s="5" t="inlineStr"/>
      <c r="R1072" s="5" t="inlineStr">
        <is>
          <t>hat-hekim</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row>
    <row r="1073">
      <c r="A1073" s="5" t="inlineStr">
        <is>
          <t>b9-emeklilik</t>
        </is>
      </c>
      <c r="B1073" s="5" t="n">
        <v>7</v>
      </c>
      <c r="C1073" s="6" t="inlineStr">
        <is>
          <t>Gençlik kollarına akıl hocası ol</t>
        </is>
      </c>
      <c r="D1073" s="5" t="inlineStr"/>
      <c r="E1073" s="5" t="inlineStr"/>
      <c r="F1073" s="5" t="inlineStr">
        <is>
          <t>Çene +1, Pişkinlik +1</t>
        </is>
      </c>
      <c r="G1073" s="6" t="inlineStr">
        <is>
          <t>Gençlik kollarının akıl hocası oldun. Her toplantı 'Bizim zamanımızda miting çayı…' diye başlıyor. Çayı hâlâ sen demliyorsun.</t>
        </is>
      </c>
      <c r="H1073" s="6" t="inlineStr"/>
      <c r="I1073" s="6" t="inlineStr"/>
      <c r="J1073" s="6" t="inlineStr"/>
      <c r="K1073" s="6" t="inlineStr"/>
      <c r="L1073" s="6" t="inlineStr"/>
      <c r="M1073" s="5" t="inlineStr"/>
      <c r="N1073" s="5" t="inlineStr"/>
      <c r="O1073" s="6" t="inlineStr"/>
      <c r="P1073" s="6" t="inlineStr"/>
      <c r="Q1073" s="5" t="inlineStr"/>
      <c r="R1073" s="5" t="inlineStr">
        <is>
          <t>hat-politika</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row>
    <row r="1074">
      <c r="A1074" s="5" t="inlineStr">
        <is>
          <t>b9-emeklilik</t>
        </is>
      </c>
      <c r="B1074" s="5" t="n">
        <v>8</v>
      </c>
      <c r="C1074" s="6" t="inlineStr">
        <is>
          <t>Kahvehanenin efsanesi ol</t>
        </is>
      </c>
      <c r="D1074" s="5" t="inlineStr"/>
      <c r="E1074" s="5" t="inlineStr"/>
      <c r="F1074" s="5" t="inlineStr">
        <is>
          <t>Pişkinlik +1, Sosyal Radar +1</t>
        </is>
      </c>
      <c r="G1074" s="6" t="inlineStr">
        <is>
          <t>Kahvehanenin köşe masası artık senin. Gençler hâlâ “abi” diyor; sen tavlada bile hile yapmıyorsun. Çoğunlukla.</t>
        </is>
      </c>
      <c r="H1074" s="6" t="inlineStr"/>
      <c r="I1074" s="6" t="inlineStr"/>
      <c r="J1074" s="6" t="inlineStr"/>
      <c r="K1074" s="6" t="inlineStr"/>
      <c r="L1074" s="6" t="inlineStr"/>
      <c r="M1074" s="5" t="inlineStr"/>
      <c r="N1074" s="5" t="inlineStr"/>
      <c r="O1074" s="6" t="inlineStr"/>
      <c r="P1074" s="6" t="inlineStr"/>
      <c r="Q1074" s="5" t="inlineStr"/>
      <c r="R1074" s="5" t="inlineStr">
        <is>
          <t>hat-cete</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row>
    <row r="1075">
      <c r="A1075" s="5" t="inlineStr">
        <is>
          <t>b9-emeklilik</t>
        </is>
      </c>
      <c r="B1075" s="5" t="n">
        <v>9</v>
      </c>
      <c r="C1075" s="6" t="inlineStr">
        <is>
          <t>Mahallenin gençlerine “Kolay para yoktur” de</t>
        </is>
      </c>
      <c r="D1075" s="5" t="inlineStr"/>
      <c r="E1075" s="5" t="inlineStr"/>
      <c r="F1075" s="5" t="inlineStr">
        <is>
          <t>Kurnazlık +1, Çene +1</t>
        </is>
      </c>
      <c r="G1075" s="6" t="inlineStr">
        <is>
          <t>Mahallenin gençlerine kolay para olmadığını anlattın. Nasihat ücretliydi; taksit de yapıyorsun.</t>
        </is>
      </c>
      <c r="H1075" s="6" t="inlineStr"/>
      <c r="I1075" s="6" t="inlineStr"/>
      <c r="J1075" s="6" t="inlineStr"/>
      <c r="K1075" s="6" t="inlineStr"/>
      <c r="L1075" s="6" t="inlineStr"/>
      <c r="M1075" s="5" t="inlineStr"/>
      <c r="N1075" s="5" t="inlineStr"/>
      <c r="O1075" s="6" t="inlineStr"/>
      <c r="P1075" s="6" t="inlineStr"/>
      <c r="Q1075" s="5" t="inlineStr"/>
      <c r="R1075" s="5" t="inlineStr">
        <is>
          <t>hat-dolandirici</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row>
    <row r="1076">
      <c r="A1076" s="5" t="inlineStr">
        <is>
          <t>b9-emeklilik</t>
        </is>
      </c>
      <c r="B1076" s="5" t="n">
        <v>10</v>
      </c>
      <c r="C1076" s="6" t="inlineStr">
        <is>
          <t>Jüri koltuğunda kal</t>
        </is>
      </c>
      <c r="D1076" s="5" t="inlineStr"/>
      <c r="E1076" s="5" t="inlineStr"/>
      <c r="F1076" s="5" t="inlineStr">
        <is>
          <t>Pişkinlik +1</t>
        </is>
      </c>
      <c r="G1076" s="6" t="inlineStr">
        <is>
          <t>Emekli oldun ama jüri koltuğunu bırakmadın. En sevdiğin kelime “Hayır”; en çok alkışlanan kelime de o.</t>
        </is>
      </c>
      <c r="H1076" s="6" t="inlineStr"/>
      <c r="I1076" s="6" t="inlineStr"/>
      <c r="J1076" s="6" t="inlineStr"/>
      <c r="K1076" s="6" t="inlineStr"/>
      <c r="L1076" s="6" t="inlineStr"/>
      <c r="M1076" s="5" t="inlineStr"/>
      <c r="N1076" s="5" t="inlineStr"/>
      <c r="O1076" s="6" t="inlineStr"/>
      <c r="P1076" s="6" t="inlineStr"/>
      <c r="Q1076" s="5" t="inlineStr"/>
      <c r="R1076" s="5" t="inlineStr">
        <is>
          <t>hat-sohret</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row>
    <row r="1077">
      <c r="A1077" s="5" t="inlineStr">
        <is>
          <t>b9-emeklilik</t>
        </is>
      </c>
      <c r="B1077" s="5" t="n">
        <v>11</v>
      </c>
      <c r="C1077" s="6" t="inlineStr">
        <is>
          <t>Genç girişimcilere mentorluk yap</t>
        </is>
      </c>
      <c r="D1077" s="5" t="inlineStr"/>
      <c r="E1077" s="5" t="inlineStr"/>
      <c r="F1077" s="5" t="inlineStr">
        <is>
          <t>Akıl +1, Çene +1</t>
        </is>
      </c>
      <c r="G1077" s="6" t="inlineStr">
        <is>
          <t>Genç girişimcilere mentorluk yapıyorsun. Hepsine aynı hikâyeyi anlatıyorsun; her seferinde şirket biraz daha büyüyor.</t>
        </is>
      </c>
      <c r="H1077" s="6" t="inlineStr"/>
      <c r="I1077" s="6" t="inlineStr"/>
      <c r="J1077" s="6" t="inlineStr"/>
      <c r="K1077" s="6" t="inlineStr"/>
      <c r="L1077" s="6" t="inlineStr"/>
      <c r="M1077" s="5" t="inlineStr"/>
      <c r="N1077" s="5" t="inlineStr"/>
      <c r="O1077" s="6" t="inlineStr"/>
      <c r="P1077" s="6" t="inlineStr"/>
      <c r="Q1077" s="5" t="inlineStr"/>
      <c r="R1077" s="5" t="inlineStr">
        <is>
          <t>hat-girisimci</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row>
    <row r="1078">
      <c r="A1078" s="5" t="inlineStr">
        <is>
          <t>b9-emeklilik</t>
        </is>
      </c>
      <c r="B1078" s="5" t="n">
        <v>12</v>
      </c>
      <c r="C1078" s="6" t="inlineStr">
        <is>
          <t>Gurbetten dön, yazlığa yerleş</t>
        </is>
      </c>
      <c r="D1078" s="5" t="inlineStr"/>
      <c r="E1078" s="5" t="inlineStr"/>
      <c r="F1078" s="5" t="inlineStr">
        <is>
          <t>Dayanıklılık +1, İtibar +1</t>
        </is>
      </c>
      <c r="G1078" s="6" t="inlineStr">
        <is>
          <t>Otuz yıl sonra döndün ve yazlığa yerleştin. Komşular aksanını hâlâ yadırgıyor; sen de onların çay saatini.</t>
        </is>
      </c>
      <c r="H1078" s="6" t="inlineStr"/>
      <c r="I1078" s="6" t="inlineStr"/>
      <c r="J1078" s="6" t="inlineStr"/>
      <c r="K1078" s="6" t="inlineStr"/>
      <c r="L1078" s="6" t="inlineStr"/>
      <c r="M1078" s="5" t="inlineStr"/>
      <c r="N1078" s="5" t="inlineStr"/>
      <c r="O1078" s="6" t="inlineStr"/>
      <c r="P1078" s="6" t="inlineStr"/>
      <c r="Q1078" s="5" t="inlineStr"/>
      <c r="R1078" s="5" t="inlineStr">
        <is>
          <t>hat-goc</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row>
    <row r="1079">
      <c r="A1079" s="5" t="inlineStr">
        <is>
          <t>b9-emeklilik</t>
        </is>
      </c>
      <c r="B1079" s="5" t="n">
        <v>13</v>
      </c>
      <c r="C1079" s="6" t="inlineStr">
        <is>
          <t>Kooperatifin başına geç</t>
        </is>
      </c>
      <c r="D1079" s="5" t="inlineStr"/>
      <c r="E1079" s="5" t="inlineStr"/>
      <c r="F1079" s="5" t="inlineStr">
        <is>
          <t>İtibar +1, Sosyal Radar +1</t>
        </is>
      </c>
      <c r="G1079" s="6" t="inlineStr">
        <is>
          <t>Kooperatif başkanı oldun. Domates fiyatları artık senin sorunun; hava durumu da.</t>
        </is>
      </c>
      <c r="H1079" s="6" t="inlineStr"/>
      <c r="I1079" s="6" t="inlineStr"/>
      <c r="J1079" s="6" t="inlineStr"/>
      <c r="K1079" s="6" t="inlineStr"/>
      <c r="L1079" s="6" t="inlineStr"/>
      <c r="M1079" s="5" t="inlineStr"/>
      <c r="N1079" s="5" t="inlineStr"/>
      <c r="O1079" s="6" t="inlineStr"/>
      <c r="P1079" s="6" t="inlineStr"/>
      <c r="Q1079" s="5" t="inlineStr"/>
      <c r="R1079" s="5" t="inlineStr">
        <is>
          <t>hat-koy</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row>
    <row r="1080">
      <c r="A1080" s="5" t="inlineStr">
        <is>
          <t>b9-emeklilik</t>
        </is>
      </c>
      <c r="B1080" s="5" t="n">
        <v>14</v>
      </c>
      <c r="C1080" s="6" t="inlineStr">
        <is>
          <t>Dükkânın kapısında teşhis koy</t>
        </is>
      </c>
      <c r="D1080" s="5" t="inlineStr"/>
      <c r="E1080" s="5" t="inlineStr"/>
      <c r="F1080" s="5" t="inlineStr">
        <is>
          <t>Akıl +1, Dayanıklılık +1</t>
        </is>
      </c>
      <c r="G1080" s="6" t="inlineStr">
        <is>
          <t>Dükkân artık çırağın; sen kapıdaki taburedesin. Her sabah arızaları dinliyorsun: teşhis senin, tamir onun.</t>
        </is>
      </c>
      <c r="H1080" s="6" t="inlineStr"/>
      <c r="I1080" s="6" t="inlineStr"/>
      <c r="J1080" s="6" t="inlineStr"/>
      <c r="K1080" s="6" t="inlineStr"/>
      <c r="L1080" s="6" t="inlineStr"/>
      <c r="M1080" s="5" t="inlineStr"/>
      <c r="N1080" s="5" t="inlineStr"/>
      <c r="O1080" s="6" t="inlineStr"/>
      <c r="P1080" s="6" t="inlineStr"/>
      <c r="Q1080" s="5" t="inlineStr"/>
      <c r="R1080" s="5" t="inlineStr">
        <is>
          <t>hat-usta</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row>
    <row r="1081">
      <c r="A1081" s="5" t="inlineStr">
        <is>
          <t>b9-emeklilik</t>
        </is>
      </c>
      <c r="B1081" s="5" t="n">
        <v>15</v>
      </c>
      <c r="C1081" s="6" t="inlineStr">
        <is>
          <t>Emekli olmayı reddet</t>
        </is>
      </c>
      <c r="D1081" s="5" t="inlineStr">
        <is>
          <t>Cesaret</t>
        </is>
      </c>
      <c r="E1081" s="5" t="inlineStr">
        <is>
          <t>Orta</t>
        </is>
      </c>
      <c r="F1081" s="5" t="inlineStr"/>
      <c r="G1081" s="6" t="inlineStr"/>
      <c r="H1081" s="6" t="inlineStr">
        <is>
          <t>Pastayı yedin, plaketi masana koydun ve ertesi sabah yine işe geldin. Masan artık bir müze parçası; sen de rehberi.</t>
        </is>
      </c>
      <c r="I1081" s="6" t="inlineStr">
        <is>
          <t>Emekli olmayı reddettin. Ertesi sabah masandaydın; müdür bir şey diyemedi, ay sonunda maaş bordrona bir kalem eklendi: 'Tecrübe.'</t>
        </is>
      </c>
      <c r="J1081" s="6" t="inlineStr">
        <is>
          <t>Ertesi sabah geldin; kartın kapıyı açmadı. Güvenlik sana bir çay ısmarlayıp eve yolladı. Emeklisin, istesen de istemesen de.</t>
        </is>
      </c>
      <c r="K1081" s="6" t="inlineStr">
        <is>
          <t>Ertesi sabah geldin; masan çoktan yenisine verilmiş. Bütün gün koridorda ayakta çalıştın, akşam plaketi de geri istediler.</t>
        </is>
      </c>
      <c r="L1081" s="6" t="inlineStr"/>
      <c r="M1081" s="5" t="inlineStr"/>
      <c r="N1081" s="5" t="inlineStr"/>
      <c r="O1081" s="6" t="inlineStr"/>
      <c r="P1081" s="6" t="inlineStr"/>
      <c r="Q1081" s="5" t="inlineStr"/>
      <c r="R1081" s="5" t="inlineStr"/>
      <c r="S1081" s="5" t="inlineStr"/>
      <c r="T1081" s="5" t="inlineStr"/>
      <c r="U1081" s="5" t="inlineStr"/>
      <c r="V1081" s="5" t="inlineStr">
        <is>
          <t>emekliligi-reddetti</t>
        </is>
      </c>
      <c r="W1081" s="5" t="inlineStr">
        <is>
          <t>emekli</t>
        </is>
      </c>
      <c r="X1081" s="5" t="inlineStr"/>
      <c r="Y1081" s="5" t="inlineStr"/>
      <c r="Z1081" s="6" t="inlineStr"/>
      <c r="AA1081" s="5" t="inlineStr"/>
      <c r="AB1081" s="5" t="inlineStr">
        <is>
          <t>emekli</t>
        </is>
      </c>
      <c r="AC1081" s="5" t="inlineStr"/>
      <c r="AD1081" s="5" t="inlineStr"/>
      <c r="AE1081" s="5" t="inlineStr"/>
      <c r="AF1081" s="5" t="inlineStr"/>
      <c r="AG1081" s="5" t="inlineStr"/>
      <c r="AH1081" s="5" t="inlineStr"/>
      <c r="AI1081" s="5" t="inlineStr"/>
    </row>
    <row r="1082">
      <c r="A1082" s="5" t="inlineStr">
        <is>
          <t>ms-retrospektif</t>
        </is>
      </c>
      <c r="B1082" s="5" t="n">
        <v>1</v>
      </c>
      <c r="C1082" s="6" t="inlineStr">
        <is>
          <t>Eski eserlerin arasında dolaş</t>
        </is>
      </c>
      <c r="D1082" s="5" t="inlineStr"/>
      <c r="E1082" s="5" t="inlineStr"/>
      <c r="F1082" s="5" t="inlineStr">
        <is>
          <t>İtibar +1</t>
        </is>
      </c>
      <c r="G1082" s="6" t="inlineStr">
        <is>
          <t>Bir tablonun arkasında kırk yıllık bir not buldun: 'Fatura no: 17. Ödenmedi.' Eser değerlendi, fatura değil.</t>
        </is>
      </c>
      <c r="H1082" s="6" t="inlineStr"/>
      <c r="I1082" s="6" t="inlineStr"/>
      <c r="J1082" s="6" t="inlineStr"/>
      <c r="K1082" s="6" t="inlineStr"/>
      <c r="L1082" s="6" t="inlineStr"/>
      <c r="M1082" s="5" t="inlineStr"/>
      <c r="N1082" s="5" t="inlineStr"/>
      <c r="O1082" s="6" t="inlineStr"/>
      <c r="P1082" s="6" t="inlineStr"/>
      <c r="Q1082" s="5" t="inlineStr"/>
      <c r="R1082" s="5" t="inlineStr"/>
      <c r="S1082" s="5" t="inlineStr"/>
      <c r="T1082" s="5" t="inlineStr"/>
      <c r="U1082" s="5" t="inlineStr"/>
      <c r="V1082" s="5" t="inlineStr"/>
      <c r="W1082" s="5" t="inlineStr"/>
      <c r="X1082" s="5" t="inlineStr"/>
      <c r="Y1082" s="5" t="inlineStr"/>
      <c r="Z1082" s="6" t="inlineStr"/>
      <c r="AA1082" s="5" t="inlineStr"/>
      <c r="AB1082" s="5" t="inlineStr"/>
      <c r="AC1082" s="5" t="inlineStr"/>
      <c r="AD1082" s="5" t="inlineStr"/>
      <c r="AE1082" s="5" t="inlineStr"/>
      <c r="AF1082" s="5" t="inlineStr"/>
      <c r="AG1082" s="5" t="inlineStr"/>
      <c r="AH1082" s="5" t="inlineStr"/>
      <c r="AI1082" s="5" t="inlineStr"/>
    </row>
    <row r="1083">
      <c r="A1083" s="5" t="inlineStr">
        <is>
          <t>ms-retrospektif</t>
        </is>
      </c>
      <c r="B1083" s="5" t="n">
        <v>2</v>
      </c>
      <c r="C1083" s="6" t="inlineStr">
        <is>
          <t>Merdivene çık, son tabloyu kendin as</t>
        </is>
      </c>
      <c r="D1083" s="5" t="inlineStr">
        <is>
          <t>Cesaret</t>
        </is>
      </c>
      <c r="E1083" s="5" t="inlineStr">
        <is>
          <t>Orta</t>
        </is>
      </c>
      <c r="F1083" s="5" t="inlineStr"/>
      <c r="G1083" s="6" t="inlineStr"/>
      <c r="H1083" s="6" t="inlineStr">
        <is>
          <t>Tabloyu astın. Düz duruyor. Kırk yıldır ilk kez bir şey tam istediğin gibi.</t>
        </is>
      </c>
      <c r="I1083" s="6" t="inlineStr">
        <is>
          <t>Tabloyu astın, galerici 'Sergiye bir de performans ekleyelim' dedi. Merdivenin artık eser.</t>
        </is>
      </c>
      <c r="J1083" s="6" t="inlineStr">
        <is>
          <t>Tablo biraz eğri kaldı. Eleştirmenler bunu bilinçli bir tercih olarak yorumladı.</t>
        </is>
      </c>
      <c r="K1083" s="6" t="inlineStr">
        <is>
          <t>Merdivenden inerken üç eseri devirdin. Kataloğa 'etkileşimli bölüm' diye eklendi.</t>
        </is>
      </c>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n">
        <v>2</v>
      </c>
      <c r="Z1083" s="6" t="inlineStr">
        <is>
          <t>Kendi retrospektif sergisinin son tablosunu merdivenle asarken. Tablo düz duruyor.</t>
        </is>
      </c>
      <c r="AA1083" s="5" t="inlineStr"/>
      <c r="AB1083" s="5" t="inlineStr"/>
      <c r="AC1083" s="5" t="inlineStr"/>
      <c r="AD1083" s="5" t="inlineStr"/>
      <c r="AE1083" s="5" t="inlineStr"/>
      <c r="AF1083" s="5" t="inlineStr"/>
      <c r="AG1083" s="5" t="inlineStr"/>
      <c r="AH1083" s="5" t="inlineStr"/>
      <c r="AI1083" s="5" t="inlineStr"/>
    </row>
    <row r="1084">
      <c r="A1084" s="5" t="inlineStr">
        <is>
          <t>ms-retrospektif</t>
        </is>
      </c>
      <c r="B1084" s="5" t="n">
        <v>3</v>
      </c>
      <c r="C1084" s="6" t="inlineStr">
        <is>
          <t>Açılışı bir performansa çevir</t>
        </is>
      </c>
      <c r="D1084" s="5" t="inlineStr">
        <is>
          <t>Pişkinlik</t>
        </is>
      </c>
      <c r="E1084" s="5" t="inlineStr">
        <is>
          <t>Kolay</t>
        </is>
      </c>
      <c r="F1084" s="5" t="inlineStr"/>
      <c r="G1084" s="6" t="inlineStr"/>
      <c r="H1084" s="6" t="inlineStr">
        <is>
          <t>Açılışı kırk yıllık hayatının kısa bir gösterisine çevirdin. Kimse ikramlara dokunmadı.</t>
        </is>
      </c>
      <c r="I1084" s="6" t="inlineStr">
        <is>
          <t>Performansın sergiden fazla konuşuldu. Galeri bir yıl uzatma kararı aldı.</t>
        </is>
      </c>
      <c r="J1084" s="6" t="inlineStr">
        <is>
          <t>Performans uzadı. Galeri kapanış saatinde ışıkları kapattı. Sen hâlâ konuşuyordun.</t>
        </is>
      </c>
      <c r="K1084" s="6" t="inlineStr">
        <is>
          <t>Performans sırasında bir eseri gerçek sandılar ve ikram tepsisi olarak kullandılar.</t>
        </is>
      </c>
      <c r="L1084" s="6" t="inlineStr"/>
      <c r="M1084" s="5" t="inlineStr"/>
      <c r="N1084" s="5" t="inlineStr"/>
      <c r="O1084" s="6" t="inlineStr"/>
      <c r="P1084" s="6" t="inlineStr"/>
      <c r="Q1084" s="5" t="inlineStr">
        <is>
          <t>Sahne Sever</t>
        </is>
      </c>
      <c r="R1084" s="5" t="inlineStr"/>
      <c r="S1084" s="5" t="inlineStr"/>
      <c r="T1084" s="5" t="inlineStr"/>
      <c r="U1084" s="5" t="inlineStr"/>
      <c r="V1084" s="5" t="inlineStr"/>
      <c r="W1084" s="5" t="inlineStr"/>
      <c r="X1084" s="5" t="inlineStr"/>
      <c r="Y1084" s="5" t="inlineStr"/>
      <c r="Z1084" s="6" t="inlineStr"/>
      <c r="AA1084" s="5" t="inlineStr"/>
      <c r="AB1084" s="5" t="inlineStr"/>
      <c r="AC1084" s="5" t="inlineStr"/>
      <c r="AD1084" s="5" t="inlineStr"/>
      <c r="AE1084" s="5" t="inlineStr"/>
      <c r="AF1084" s="5" t="inlineStr"/>
      <c r="AG1084" s="5" t="inlineStr"/>
      <c r="AH1084" s="5" t="inlineStr"/>
      <c r="AI1084" s="5" t="inlineStr"/>
    </row>
    <row r="1085">
      <c r="A1085" s="5" t="inlineStr">
        <is>
          <t>ms-retrospektif</t>
        </is>
      </c>
      <c r="B1085" s="5" t="n">
        <v>4</v>
      </c>
      <c r="C1085" s="6" t="inlineStr">
        <is>
          <t>Eserlere ilk kez gerçek fiyat biç</t>
        </is>
      </c>
      <c r="D1085" s="5" t="inlineStr">
        <is>
          <t>Kurnazlık</t>
        </is>
      </c>
      <c r="E1085" s="5" t="inlineStr">
        <is>
          <t>Orta</t>
        </is>
      </c>
      <c r="F1085" s="5" t="inlineStr"/>
      <c r="G1085" s="6" t="inlineStr"/>
      <c r="H1085" s="6" t="inlineStr">
        <is>
          <t>Etiketlere gerçek fiyat yazdın. İkisi açılış gecesi satıldı.</t>
        </is>
      </c>
      <c r="I1085" s="6" t="inlineStr">
        <is>
          <t>Bütün eserler satıldı. Galerici komisyonunu alınca ağladı. Sevinçten.</t>
        </is>
      </c>
      <c r="J1085" s="6" t="inlineStr">
        <is>
          <t>Fiyatları yazdın; ziyaretçiler etiketlerin fotoğrafını çekti, eserlerin değil.</t>
        </is>
      </c>
      <c r="K1085" s="6" t="inlineStr">
        <is>
          <t>Fiyat yazarken bir sıfır eksik yazdın. İlk müşteri hepsini aldı. Hızla.</t>
        </is>
      </c>
      <c r="L1085" s="6" t="inlineStr"/>
      <c r="M1085" s="5" t="inlineStr"/>
      <c r="N1085" s="5" t="inlineStr"/>
      <c r="O1085" s="6" t="inlineStr"/>
      <c r="P1085" s="6" t="inlineStr"/>
      <c r="Q1085" s="5" t="inlineStr"/>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row>
    <row r="1086">
      <c r="A1086" s="5" t="inlineStr">
        <is>
          <t>b9-pazar-arabasi</t>
        </is>
      </c>
      <c r="B1086" s="5" t="n">
        <v>1</v>
      </c>
      <c r="C1086" s="6" t="inlineStr">
        <is>
          <t>Sabah erkenden git</t>
        </is>
      </c>
      <c r="D1086" s="5" t="inlineStr"/>
      <c r="E1086" s="5" t="inlineStr"/>
      <c r="F1086" s="5" t="inlineStr">
        <is>
          <t>Dayanıklılık +1</t>
        </is>
      </c>
      <c r="G1086" s="6" t="inlineStr">
        <is>
          <t>Sabah yedide pazardaydın. En taze domates, en yüksek fiyat. Pazarcı 'Siftah senden' dedi, fiyatı da ona göre söyledi.</t>
        </is>
      </c>
      <c r="H1086" s="6" t="inlineStr"/>
      <c r="I1086" s="6" t="inlineStr"/>
      <c r="J1086" s="6" t="inlineStr"/>
      <c r="K1086" s="6" t="inlineStr"/>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row>
    <row r="1087">
      <c r="A1087" s="5" t="inlineStr">
        <is>
          <t>b9-pazar-arabasi</t>
        </is>
      </c>
      <c r="B1087" s="5" t="n">
        <v>2</v>
      </c>
      <c r="C1087" s="6" t="inlineStr">
        <is>
          <t>Kapanışta git, pazarlık et</t>
        </is>
      </c>
      <c r="D1087" s="5" t="inlineStr">
        <is>
          <t>Çene</t>
        </is>
      </c>
      <c r="E1087" s="5" t="inlineStr">
        <is>
          <t>Orta</t>
        </is>
      </c>
      <c r="F1087" s="5" t="inlineStr"/>
      <c r="G1087" s="6" t="inlineStr"/>
      <c r="H1087" s="6" t="inlineStr">
        <is>
          <t>Kapanışta gittin; bir kasa domatesi yarı fiyatına aldın. Ne yapacağını düşünmedin.</t>
        </is>
      </c>
      <c r="I1087" s="6" t="inlineStr">
        <is>
          <t>Pazarcı sana bir kasa daha hediye etti: 'Emeklimizsin.' Evde üç gün salça yapıldı.</t>
        </is>
      </c>
      <c r="J1087" s="6" t="inlineStr">
        <is>
          <t>Kapanışta gittin; pazar kapanmıştı. Tezgâhlar gitmiş, fiyat tartışması tek taraflı kaldı.</t>
        </is>
      </c>
      <c r="K1087" s="6" t="inlineStr">
        <is>
          <t>Pazarlıkta fazla ısrar ettin. Pazarcı kasayı geri çekip bağırdı: 'Arkadaşlar, bedavaya domates isteyen bu!' O gün hiçbir tezgâh sana indirim yapmadı.</t>
        </is>
      </c>
      <c r="L1087" s="6" t="inlineStr">
        <is>
          <t>Domatesi yarı fiyatına değil, üçte iki fiyatına aldın. Pazarcı 'Emekliye bu kadar' dedi, maydanozu sen istemeden poşete attı.</t>
        </is>
      </c>
      <c r="M1087" s="5" t="inlineStr">
        <is>
          <t>bargain</t>
        </is>
      </c>
      <c r="N1087" s="5" t="inlineStr">
        <is>
          <t>Kapanış Pazarlığı</t>
        </is>
      </c>
      <c r="O1087" s="6" t="inlineStr">
        <is>
          <t>Pazarcının sabrı bitmeden kasanın fiyatını aşağı çek. Kapanışa yarım saat var; onun da evi var.</t>
        </is>
      </c>
      <c r="P1087" s="6" t="inlineStr">
        <is>
          <t>{"item": "bir kasa domates", "mode": "buy"}</t>
        </is>
      </c>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row>
    <row r="1088">
      <c r="A1088" s="5" t="inlineStr">
        <is>
          <t>b9-pazar-arabasi</t>
        </is>
      </c>
      <c r="B1088" s="5" t="n">
        <v>3</v>
      </c>
      <c r="C1088" s="6" t="inlineStr">
        <is>
          <t>Pazarcıya ödeme uygulaması kurdur</t>
        </is>
      </c>
      <c r="D1088" s="5" t="inlineStr">
        <is>
          <t>Akıl</t>
        </is>
      </c>
      <c r="E1088" s="5" t="inlineStr">
        <is>
          <t>Kolay</t>
        </is>
      </c>
      <c r="F1088" s="5" t="inlineStr"/>
      <c r="G1088" s="6" t="inlineStr"/>
      <c r="H1088" s="6" t="inlineStr">
        <is>
          <t>Pazarcıya ödeme uygulamasını öğrettin. Artık sana indirim yapıyor, çünkü 'hocam' oldun.</t>
        </is>
      </c>
      <c r="I1088" s="6" t="inlineStr">
        <is>
          <t>Bütün pazar sana geldi. Artık çarşamba sabahları tezgâh tezgâh dolaşıp telefon kuruyorsun. File her hafta bedava maydanozla dolu dönüyor.</t>
        </is>
      </c>
      <c r="J1088" s="6" t="inlineStr">
        <is>
          <t>Uygulamayı kurdun, pazarcı ödemeyi yanlış hesaba yaptı. Paran komşu tezgâhın maydanozuna gitti.</t>
        </is>
      </c>
      <c r="K1088" s="6" t="inlineStr">
        <is>
          <t>Uygulamayı kurarken pazarcının telefonunu kilitledin. Pazarcı o gün sadece nakit çalıştı ve bunu senin adınla anons etti.</t>
        </is>
      </c>
      <c r="L1088" s="6" t="inlineStr"/>
      <c r="M1088" s="5" t="inlineStr"/>
      <c r="N1088" s="5" t="inlineStr"/>
      <c r="O1088" s="6" t="inlineStr"/>
      <c r="P1088" s="6" t="inlineStr"/>
      <c r="Q1088" s="5" t="inlineStr">
        <is>
          <t>Şifreyi Bilen</t>
        </is>
      </c>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row>
    <row r="1089">
      <c r="A1089" s="5" t="inlineStr">
        <is>
          <t>b9-ikramiye</t>
        </is>
      </c>
      <c r="B1089" s="5" t="n">
        <v>1</v>
      </c>
      <c r="C1089" s="6" t="inlineStr">
        <is>
          <t>Motosiklet al</t>
        </is>
      </c>
      <c r="D1089" s="5" t="inlineStr">
        <is>
          <t>Cesaret</t>
        </is>
      </c>
      <c r="E1089" s="5" t="inlineStr">
        <is>
          <t>Zor</t>
        </is>
      </c>
      <c r="F1089" s="5" t="inlineStr"/>
      <c r="G1089" s="6" t="inlineStr"/>
      <c r="H1089" s="6" t="inlineStr">
        <is>
          <t>Motosikleti aldın. Mahallede bir tur attın. Kahvehanedeki herkes ayağa kalktı; bazıları seni tanıyamadı.</t>
        </is>
      </c>
      <c r="I1089" s="6" t="inlineStr">
        <is>
          <t>Motosikletle sahil yoluna çıktın. Dönüşte kahvehanenin önünden iki kez geçtin; ikincisinde herkes kapıya çıkmıştı.</t>
        </is>
      </c>
      <c r="J1089" s="6" t="inlineStr">
        <is>
          <t>Motosikleti aldın. Garajdan çıkarmak için üç gün kurs gerekiyormuş. Kurs, motosikletten pahalı.</t>
        </is>
      </c>
      <c r="K1089" s="6" t="inlineStr">
        <is>
          <t>İlk kırmızı ışıkta ayağını yere koymayı unuttun; yavaşça devrildin. Bütün kavşak izledi. Tamir ikramiyenin kalanını, kalçan bir ayını aldı.</t>
        </is>
      </c>
      <c r="L1089" s="6" t="inlineStr"/>
      <c r="M1089" s="5" t="inlineStr"/>
      <c r="N1089" s="5" t="inlineStr"/>
      <c r="O1089" s="6" t="inlineStr"/>
      <c r="P1089" s="6" t="inlineStr"/>
      <c r="Q1089" s="5" t="inlineStr"/>
      <c r="R1089" s="5" t="inlineStr"/>
      <c r="S1089" s="5" t="inlineStr"/>
      <c r="T1089" s="5" t="inlineStr"/>
      <c r="U1089" s="5" t="inlineStr"/>
      <c r="V1089" s="5" t="inlineStr">
        <is>
          <t>motosikletli</t>
        </is>
      </c>
      <c r="W1089" s="5" t="inlineStr"/>
      <c r="X1089" s="5" t="inlineStr"/>
      <c r="Y1089" s="5" t="n">
        <v>5</v>
      </c>
      <c r="Z1089" s="6" t="inlineStr">
        <is>
          <t>Emekli ikramiyesiyle aldığı motosikletle ilk virajda. Kask hâlâ jelatinliydi.</t>
        </is>
      </c>
      <c r="AA1089" s="5" t="inlineStr"/>
      <c r="AB1089" s="5" t="inlineStr"/>
      <c r="AC1089" s="5" t="inlineStr"/>
      <c r="AD1089" s="5" t="inlineStr"/>
      <c r="AE1089" s="5" t="inlineStr"/>
      <c r="AF1089" s="5" t="inlineStr"/>
      <c r="AG1089" s="5" t="inlineStr"/>
      <c r="AH1089" s="5" t="inlineStr"/>
      <c r="AI1089" s="5" t="inlineStr"/>
    </row>
    <row r="1090">
      <c r="A1090" s="5" t="inlineStr">
        <is>
          <t>b9-ikramiye</t>
        </is>
      </c>
      <c r="B1090" s="5" t="n">
        <v>2</v>
      </c>
      <c r="C1090" s="6" t="inlineStr">
        <is>
          <t>Yazlık al</t>
        </is>
      </c>
      <c r="D1090" s="5" t="inlineStr">
        <is>
          <t>Kurnazlık</t>
        </is>
      </c>
      <c r="E1090" s="5" t="inlineStr">
        <is>
          <t>Orta</t>
        </is>
      </c>
      <c r="F1090" s="5" t="inlineStr"/>
      <c r="G1090" s="6" t="inlineStr"/>
      <c r="H1090" s="6" t="inlineStr">
        <is>
          <t>Sahile yürüme mesafesinde küçük bir yazlık aldın. Denize yürüme mesafesi ilanda yazılandan sadece iki kilometre fazla.</t>
        </is>
      </c>
      <c r="I1090" s="6" t="inlineStr">
        <is>
          <t>Yazlığı pazarlıkla aldın; satıcı mobilyaları da bıraktı. Mobilyaların arasında bir de kedi vardı.</t>
        </is>
      </c>
      <c r="J1090" s="6" t="inlineStr">
        <is>
          <t>Yazlığı aldın. Site aidatı, senin emekli maaşının yarısı.</t>
        </is>
      </c>
      <c r="K1090" s="6" t="inlineStr">
        <is>
          <t>Yazlığı fotoğraflardan aldın. Fotoğraflar on yıl önce çekilmiş. Deniz görmüyor; deniz gören bir binayı görüyor.</t>
        </is>
      </c>
      <c r="L1090" s="6" t="inlineStr"/>
      <c r="M1090" s="5" t="inlineStr"/>
      <c r="N1090" s="5" t="inlineStr"/>
      <c r="O1090" s="6" t="inlineStr"/>
      <c r="P1090" s="6" t="inlineStr"/>
      <c r="Q1090" s="5" t="inlineStr"/>
      <c r="R1090" s="5" t="inlineStr"/>
      <c r="S1090" s="5" t="inlineStr"/>
      <c r="T1090" s="5" t="inlineStr"/>
      <c r="U1090" s="5" t="inlineStr"/>
      <c r="V1090" s="5" t="inlineStr">
        <is>
          <t>yazlikci</t>
        </is>
      </c>
      <c r="W1090" s="5" t="inlineStr"/>
      <c r="X1090" s="5" t="inlineStr"/>
      <c r="Y1090" s="5" t="inlineStr"/>
      <c r="Z1090" s="6" t="inlineStr"/>
      <c r="AA1090" s="5" t="inlineStr"/>
      <c r="AB1090" s="5" t="inlineStr"/>
      <c r="AC1090" s="5" t="inlineStr"/>
      <c r="AD1090" s="5" t="inlineStr"/>
      <c r="AE1090" s="5" t="inlineStr"/>
      <c r="AF1090" s="5" t="inlineStr"/>
      <c r="AG1090" s="5" t="inlineStr"/>
      <c r="AH1090" s="5" t="inlineStr"/>
      <c r="AI1090" s="5" t="inlineStr"/>
    </row>
    <row r="1091">
      <c r="A1091" s="5" t="inlineStr">
        <is>
          <t>b9-ikramiye</t>
        </is>
      </c>
      <c r="B1091" s="5" t="n">
        <v>3</v>
      </c>
      <c r="C1091" s="6" t="inlineStr">
        <is>
          <t>Çocuğa ev peşinatı ver</t>
        </is>
      </c>
      <c r="D1091" s="5" t="inlineStr"/>
      <c r="E1091" s="5" t="inlineStr"/>
      <c r="F1091" s="5" t="inlineStr">
        <is>
          <t>Gönül +2</t>
        </is>
      </c>
      <c r="G1091" s="6" t="inlineStr">
        <is>
          <t>Peşinatı verdin. Çocuğun ev sahibi oldu. Sen de pazar kahvaltılarının kalıcı misafiri.</t>
        </is>
      </c>
      <c r="H1091" s="6" t="inlineStr"/>
      <c r="I1091" s="6" t="inlineStr"/>
      <c r="J1091" s="6" t="inlineStr"/>
      <c r="K1091" s="6" t="inlineStr"/>
      <c r="L1091" s="6" t="inlineStr"/>
      <c r="M1091" s="5" t="inlineStr"/>
      <c r="N1091" s="5" t="inlineStr"/>
      <c r="O1091" s="6" t="inlineStr"/>
      <c r="P1091" s="6" t="inlineStr"/>
      <c r="Q1091" s="5" t="inlineStr"/>
      <c r="R1091" s="5" t="inlineStr">
        <is>
          <t>cocuklu</t>
        </is>
      </c>
      <c r="S1091" s="5" t="inlineStr"/>
      <c r="T1091" s="5" t="inlineStr"/>
      <c r="U1091" s="5" t="inlineStr"/>
      <c r="V1091" s="5" t="inlineStr"/>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row>
    <row r="1092">
      <c r="A1092" s="5" t="inlineStr">
        <is>
          <t>b9-ikramiye</t>
        </is>
      </c>
      <c r="B1092" s="5" t="n">
        <v>4</v>
      </c>
      <c r="C1092" s="6" t="inlineStr">
        <is>
          <t>Dijital paraya yatır</t>
        </is>
      </c>
      <c r="D1092" s="5" t="inlineStr">
        <is>
          <t>Akıl</t>
        </is>
      </c>
      <c r="E1092" s="5" t="inlineStr">
        <is>
          <t>Zor</t>
        </is>
      </c>
      <c r="F1092" s="5" t="inlineStr"/>
      <c r="G1092" s="6" t="inlineStr"/>
      <c r="H1092" s="6" t="inlineStr">
        <is>
          <t>Dijital para iki katına çıktı. Aile grubuna ne olduğunu anlatmaya çalıştın; sen de tam anlamadın.</t>
        </is>
      </c>
      <c r="I1092" s="6" t="inlineStr">
        <is>
          <t>Dijital para dört katına çıktı ve tam zamanında sattın. Aile seni 'finans danışmanı' ilan etti.</t>
        </is>
      </c>
      <c r="J1092" s="6" t="inlineStr">
        <is>
          <t>Dijital para yarıya düştü. Ekran kırmızı. Sen de kırmızı.</t>
        </is>
      </c>
      <c r="K1092" s="6" t="inlineStr">
        <is>
          <t>Dijital paranın şifresini bir kâğıda yazdın. Kâğıt çamaşır makinesinde yıkandı. Servet şimdi bir cebin içinde, kurumaya bırakıldı.</t>
        </is>
      </c>
      <c r="L1092" s="6" t="inlineStr"/>
      <c r="M1092" s="5" t="inlineStr"/>
      <c r="N1092" s="5" t="inlineStr"/>
      <c r="O1092" s="6" t="inlineStr"/>
      <c r="P1092" s="6" t="inlineStr"/>
      <c r="Q1092" s="5" t="inlineStr">
        <is>
          <t>Şifreyi Bilen</t>
        </is>
      </c>
      <c r="R1092" s="5" t="inlineStr"/>
      <c r="S1092" s="5" t="inlineStr"/>
      <c r="T1092" s="5" t="inlineStr"/>
      <c r="U1092" s="5" t="inlineStr"/>
      <c r="V1092" s="5" t="inlineStr"/>
      <c r="W1092" s="5" t="inlineStr">
        <is>
          <t>borclu</t>
        </is>
      </c>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row>
    <row r="1093">
      <c r="A1093" s="5" t="inlineStr">
        <is>
          <t>b9-ikramiye</t>
        </is>
      </c>
      <c r="B1093" s="5" t="n">
        <v>5</v>
      </c>
      <c r="C1093" s="6" t="inlineStr">
        <is>
          <t>Bankada dursun</t>
        </is>
      </c>
      <c r="D1093" s="5" t="inlineStr"/>
      <c r="E1093" s="5" t="inlineStr"/>
      <c r="F1093" s="5" t="inlineStr">
        <is>
          <t>Dayanıklılık +1</t>
        </is>
      </c>
      <c r="G1093" s="6" t="inlineStr">
        <is>
          <t>Para bankada durdu. Durdukça küçüldü. Banka buna 'mevduat faizi' dedi.</t>
        </is>
      </c>
      <c r="H1093" s="6" t="inlineStr"/>
      <c r="I1093" s="6" t="inlineStr"/>
      <c r="J1093" s="6" t="inlineStr"/>
      <c r="K1093" s="6" t="inlineStr"/>
      <c r="L1093" s="6" t="inlineStr"/>
      <c r="M1093" s="5" t="inlineStr"/>
      <c r="N1093" s="5" t="inlineStr"/>
      <c r="O1093" s="6" t="inlineStr"/>
      <c r="P1093" s="6" t="inlineStr"/>
      <c r="Q1093" s="5" t="inlineStr"/>
      <c r="R1093" s="5" t="inlineStr"/>
      <c r="S1093" s="5" t="inlineStr"/>
      <c r="T1093" s="5" t="inlineStr"/>
      <c r="U1093" s="5" t="inlineStr"/>
      <c r="V1093" s="5" t="inlineStr"/>
      <c r="W1093" s="5" t="inlineStr"/>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row>
    <row r="1094">
      <c r="A1094" s="5" t="inlineStr">
        <is>
          <t>b9-ikramiye</t>
        </is>
      </c>
      <c r="B1094" s="5" t="n">
        <v>6</v>
      </c>
      <c r="C1094" s="6" t="inlineStr">
        <is>
          <t>Altın al, yastık altına koy</t>
        </is>
      </c>
      <c r="D1094" s="5" t="inlineStr">
        <is>
          <t>Kurnazlık</t>
        </is>
      </c>
      <c r="E1094" s="5" t="inlineStr">
        <is>
          <t>Orta</t>
        </is>
      </c>
      <c r="F1094" s="5" t="inlineStr"/>
      <c r="G1094" s="6" t="inlineStr"/>
      <c r="H1094" s="6" t="inlineStr">
        <is>
          <t>İkramiyenin bir kısmını bileziğe, kalanını çeyreğe çevirdin. Hepsi yatak odasındaki dolabın en arka çekmecesinde, çorapların arasında.</t>
        </is>
      </c>
      <c r="I1094" s="6" t="inlineStr">
        <is>
          <t>Kuyumcuyla bir saat pazarlık edip işçilikten kırptın. İki yıl sonra altın ikiye katlandı. Aile düğünlerine kadar takı derdin yok.</t>
        </is>
      </c>
      <c r="J1094" s="6" t="inlineStr">
        <is>
          <t>Altını aldığın gün fiyat tepedeydi, ertesi gün düştü. Kuyumcu 'Altın zarar ettirmez, bekle' dedi; bekliyorsun.</t>
        </is>
      </c>
      <c r="K1094" s="6" t="inlineStr">
        <is>
          <t>Altınları öyle iyi sakladın ki nereye sakladığını unuttun. Üç yıldır her bayram temizliği bir hazine avı.</t>
        </is>
      </c>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row>
    <row r="1095">
      <c r="A1095" s="5" t="inlineStr">
        <is>
          <t>mm-son-is-gunu</t>
        </is>
      </c>
      <c r="B1095" s="5" t="n">
        <v>1</v>
      </c>
      <c r="C1095" s="6" t="inlineStr">
        <is>
          <t>Kısa bir teşekkür et</t>
        </is>
      </c>
      <c r="D1095" s="5" t="inlineStr"/>
      <c r="E1095" s="5" t="inlineStr"/>
      <c r="F1095" s="5" t="inlineStr">
        <is>
          <t>İtibar +1</t>
        </is>
      </c>
      <c r="G1095" s="6" t="inlineStr">
        <is>
          <t>'Teşekkürler' dedin ve oturdun. Kurumun en kısa veda konuşması tutanağa geçti: tek satır, ıslak imzalı.</t>
        </is>
      </c>
      <c r="H1095" s="6" t="inlineStr"/>
      <c r="I1095" s="6" t="inlineStr"/>
      <c r="J1095" s="6" t="inlineStr"/>
      <c r="K1095" s="6" t="inlineStr"/>
      <c r="L1095" s="6" t="inlineStr"/>
      <c r="M1095" s="5" t="inlineStr"/>
      <c r="N1095" s="5" t="inlineStr"/>
      <c r="O1095" s="6" t="inlineStr"/>
      <c r="P1095" s="6" t="inlineStr"/>
      <c r="Q1095" s="5" t="inlineStr"/>
      <c r="R1095" s="5" t="inlineStr"/>
      <c r="S1095" s="5" t="inlineStr"/>
      <c r="T1095" s="5" t="inlineStr"/>
      <c r="U1095" s="5" t="inlineStr">
        <is>
          <t>emekli</t>
        </is>
      </c>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row>
    <row r="1096">
      <c r="A1096" s="5" t="inlineStr">
        <is>
          <t>mm-son-is-gunu</t>
        </is>
      </c>
      <c r="B1096" s="5" t="n">
        <v>2</v>
      </c>
      <c r="C1096" s="6" t="inlineStr">
        <is>
          <t>Uzun bir veda konuşması yap</t>
        </is>
      </c>
      <c r="D1096" s="5" t="inlineStr">
        <is>
          <t>Çene</t>
        </is>
      </c>
      <c r="E1096" s="5" t="inlineStr">
        <is>
          <t>Zor</t>
        </is>
      </c>
      <c r="F1096" s="5" t="inlineStr"/>
      <c r="G1096" s="6" t="inlineStr"/>
      <c r="H1096" s="6" t="inlineStr">
        <is>
          <t>Otuz yılı anlattın. Çaylar soğudu, börekler bitti, kimse salondan çıkmadı. Çaycı en arkada gözlerini sildi.</t>
        </is>
      </c>
      <c r="I1096" s="6" t="inlineStr">
        <is>
          <t>Konuşman kurum bülteninde yayımlandı ve sonraki emekliler için şablon oldu.</t>
        </is>
      </c>
      <c r="J1096" s="6" t="inlineStr">
        <is>
          <t>Slayt açmaya çalıştın. Sistem çöktü. Otuz yıldır olduğu gibi.</t>
        </is>
      </c>
      <c r="K1096" s="6" t="inlineStr">
        <is>
          <t>Otuz yılın bütün müdürlerini tek tek andın. Adını unuttuğun tek müdür, karşında börek dağıtıyordu.</t>
        </is>
      </c>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row>
    <row r="1097">
      <c r="A1097" s="5" t="inlineStr">
        <is>
          <t>mm-son-is-gunu</t>
        </is>
      </c>
      <c r="B1097" s="5" t="n">
        <v>3</v>
      </c>
      <c r="C1097" s="6" t="inlineStr">
        <is>
          <t>Son bir evrak imzala</t>
        </is>
      </c>
      <c r="D1097" s="5" t="inlineStr">
        <is>
          <t>Dayanıklılık</t>
        </is>
      </c>
      <c r="E1097" s="5" t="inlineStr">
        <is>
          <t>Kolay</t>
        </is>
      </c>
      <c r="F1097" s="5" t="inlineStr"/>
      <c r="G1097" s="6" t="inlineStr"/>
      <c r="H1097" s="6" t="inlineStr">
        <is>
          <t>Son imza, ilk imzayla aynı: biraz yamuk, çok tutarlı.</t>
        </is>
      </c>
      <c r="I1097" s="6" t="inlineStr">
        <is>
          <t>Son imzan ilk günkünden bir milim bile sapmadı. Kalem de seninle birlikte emekli oldu.</t>
        </is>
      </c>
      <c r="J1097" s="6" t="inlineStr">
        <is>
          <t>Son evrak eksik fotokopiliydi. İade ettin. Otuz yıllık refleks son dakikada da çalıştı.</t>
        </is>
      </c>
      <c r="K1097" s="6" t="inlineStr">
        <is>
          <t>Kendi emeklilik dilekçenin ikinci nüshasını imzalamışsın. Artık iki kez emeklisin; ikincisi için ikramiye yok.</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row>
    <row r="1098">
      <c r="A1098" s="5" t="inlineStr">
        <is>
          <t>mm-son-is-gunu</t>
        </is>
      </c>
      <c r="B1098" s="5" t="n">
        <v>4</v>
      </c>
      <c r="C1098" s="6" t="inlineStr">
        <is>
          <t>Müdüre son sözünü söyle</t>
        </is>
      </c>
      <c r="D1098" s="5" t="inlineStr">
        <is>
          <t>Cesaret</t>
        </is>
      </c>
      <c r="E1098" s="5" t="inlineStr">
        <is>
          <t>Orta</t>
        </is>
      </c>
      <c r="F1098" s="5" t="inlineStr"/>
      <c r="G1098" s="6" t="inlineStr"/>
      <c r="H1098" s="6" t="inlineStr">
        <is>
          <t>Otuz yılı tek cümlede söyledin. Müdür kızardı, güldü, sonra tepsideki en büyük böreği sana uzattı.</t>
        </is>
      </c>
      <c r="I1098" s="6" t="inlineStr">
        <is>
          <t>Sen söyledin, o da söyledi. Sarıldınız. Kurum panosundaki fotoğrafın altında tek kelime: 'Sonunda.'</t>
        </is>
      </c>
      <c r="J1098" s="6" t="inlineStr">
        <is>
          <t>Müdür o gün izinliymiş. Cümleni yardımcısına söyledin; o da not aldı.</t>
        </is>
      </c>
      <c r="K1098" s="6" t="inlineStr">
        <is>
          <t>Müdür gülümsedi: 'Emeklilik işlemlerinin imzası bende.' İkramiyen üç hafta gecikti.</t>
        </is>
      </c>
      <c r="L1098" s="6" t="inlineStr"/>
      <c r="M1098" s="5" t="inlineStr"/>
      <c r="N1098" s="5" t="inlineStr"/>
      <c r="O1098" s="6" t="inlineStr"/>
      <c r="P1098" s="6" t="inlineStr"/>
      <c r="Q1098" s="5" t="inlineStr"/>
      <c r="R1098" s="5" t="inlineStr">
        <is>
          <t>memur-mudur-dusmani</t>
        </is>
      </c>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row>
    <row r="1099">
      <c r="A1099" s="5" t="inlineStr">
        <is>
          <t>b9-es-7-24</t>
        </is>
      </c>
      <c r="B1099" s="5" t="n">
        <v>1</v>
      </c>
      <c r="C1099" s="6" t="inlineStr">
        <is>
          <t>Kumandayı teslim et</t>
        </is>
      </c>
      <c r="D1099" s="5" t="inlineStr"/>
      <c r="E1099" s="5" t="inlineStr"/>
      <c r="F1099" s="5" t="inlineStr">
        <is>
          <t>Dayanıklılık +1, Gönül +1</t>
        </is>
      </c>
      <c r="G1099" s="6" t="inlineStr">
        <is>
          <t>Kumandayı teslim ettin. Akşam dizisini ilk bölümünden izlemeye başladınız. Bölüm sayısı dört yüz on iki.</t>
        </is>
      </c>
      <c r="H1099" s="6" t="inlineStr"/>
      <c r="I1099" s="6" t="inlineStr"/>
      <c r="J1099" s="6" t="inlineStr"/>
      <c r="K1099" s="6" t="inlineStr"/>
      <c r="L1099" s="6" t="inlineStr"/>
      <c r="M1099" s="5" t="inlineStr"/>
      <c r="N1099" s="5" t="inlineStr"/>
      <c r="O1099" s="6" t="inlineStr"/>
      <c r="P1099" s="6" t="inlineStr"/>
      <c r="Q1099" s="5" t="inlineStr"/>
      <c r="R1099" s="5" t="inlineStr"/>
      <c r="S1099" s="5" t="inlineStr"/>
      <c r="T1099" s="5" t="inlineStr"/>
      <c r="U1099" s="5" t="inlineStr"/>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row>
    <row r="1100">
      <c r="A1100" s="5" t="inlineStr">
        <is>
          <t>b9-es-7-24</t>
        </is>
      </c>
      <c r="B1100" s="5" t="n">
        <v>2</v>
      </c>
      <c r="C1100" s="6" t="inlineStr">
        <is>
          <t>Oda paylaşım planı yap</t>
        </is>
      </c>
      <c r="D1100" s="5" t="inlineStr">
        <is>
          <t>Akıl</t>
        </is>
      </c>
      <c r="E1100" s="5" t="inlineStr">
        <is>
          <t>Orta</t>
        </is>
      </c>
      <c r="F1100" s="5" t="inlineStr"/>
      <c r="G1100" s="6" t="inlineStr"/>
      <c r="H1100" s="6" t="inlineStr">
        <is>
          <t>Salon sabah senin, öğleden sonra eşinin. Mutfak eşinin; sen kapıdan bakıp 'Tuzu az' diyorsun, içeri girmeden.</t>
        </is>
      </c>
      <c r="I1100" s="6" t="inlineStr">
        <is>
          <t>Planı öyle iyi yaptın ki eşin sana bir hobi odası ayırdı. Orada ne yaptığını bilmiyorsun ama odan var.</t>
        </is>
      </c>
      <c r="J1100" s="6" t="inlineStr">
        <is>
          <t>Planı yaptın, eşin planı okumadı. Kumanda yine eşinde. Plan buzdolabının kapağında sergileniyor.</t>
        </is>
      </c>
      <c r="K1100" s="6" t="inlineStr">
        <is>
          <t>Planı yaptın; eşin onu buzdolabından indirip yerine kendi listesini astı: 'Pazar senin, bulaşık senin, kumanda benim.' Altında senin imzan var; ne zaman attığını hatırlamıyorsun.</t>
        </is>
      </c>
      <c r="L1100" s="6" t="inlineStr"/>
      <c r="M1100" s="5" t="inlineStr"/>
      <c r="N1100" s="5" t="inlineStr"/>
      <c r="O1100" s="6" t="inlineStr"/>
      <c r="P1100" s="6" t="inlineStr"/>
      <c r="Q1100" s="5" t="inlineStr">
        <is>
          <t>Kuralı Koyan</t>
        </is>
      </c>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row>
    <row r="1101">
      <c r="A1101" s="5" t="inlineStr">
        <is>
          <t>b9-es-7-24</t>
        </is>
      </c>
      <c r="B1101" s="5" t="n">
        <v>3</v>
      </c>
      <c r="C1101" s="6" t="inlineStr">
        <is>
          <t>'Bugün dışarı çıkıyorum' de</t>
        </is>
      </c>
      <c r="D1101" s="5" t="inlineStr">
        <is>
          <t>Sosyal Radar</t>
        </is>
      </c>
      <c r="E1101" s="5" t="inlineStr">
        <is>
          <t>Kolay</t>
        </is>
      </c>
      <c r="F1101" s="5" t="inlineStr"/>
      <c r="G1101" s="6" t="inlineStr"/>
      <c r="H1101" s="6" t="inlineStr">
        <is>
          <t>Dışarı çıktın. Eve döndüğünde eşin sana sarıldı. Sarılmanın anlamı: 'Yarın da çık.'</t>
        </is>
      </c>
      <c r="I1101" s="6" t="inlineStr">
        <is>
          <t>Dışarı çıktın, yürüyüş grubuna katıldın. Eşin de başka bir gruba katıldı. Akşamları gün boyu duyduğunuz dedikoduları birbirinize anlatıyorsunuz; yıllardır bu kadar konuşmamıştınız.</t>
        </is>
      </c>
      <c r="J1101" s="6" t="inlineStr">
        <is>
          <t>Dışarı çıktın. Nereye gideceğini düşünmemiştin. Parkta iki saat oturup eve döndün.</t>
        </is>
      </c>
      <c r="K1101" s="6" t="inlineStr">
        <is>
          <t>'Bugün dışarı çıkıyorum' dedin. Eşin 'Oh, rahat bir gün' dedi; sevinci yüzünden okunuyordu. Kapıdan kırılarak geri döndün. Akşama kadar ikiniz de küs, aynı odada.</t>
        </is>
      </c>
      <c r="L1101" s="6" t="inlineStr"/>
      <c r="M1101" s="5" t="inlineStr"/>
      <c r="N1101" s="5" t="inlineStr"/>
      <c r="O1101" s="6" t="inlineStr"/>
      <c r="P1101" s="6" t="inlineStr"/>
      <c r="Q1101" s="5" t="inlineStr"/>
      <c r="R1101" s="5" t="inlineStr"/>
      <c r="S1101" s="5" t="inlineStr">
        <is>
          <t>Sosyal Radar</t>
        </is>
      </c>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row>
    <row r="1102">
      <c r="A1102" s="5" t="inlineStr">
        <is>
          <t>b9-yalniz-emeklilik</t>
        </is>
      </c>
      <c r="B1102" s="5" t="n">
        <v>1</v>
      </c>
      <c r="C1102" s="6" t="inlineStr">
        <is>
          <t>Bir kedi sahiplen</t>
        </is>
      </c>
      <c r="D1102" s="5" t="inlineStr"/>
      <c r="E1102" s="5" t="inlineStr"/>
      <c r="F1102" s="5" t="inlineStr">
        <is>
          <t>Gönül +1</t>
        </is>
      </c>
      <c r="G1102" s="6" t="inlineStr">
        <is>
          <t>Kediyi sahiplendin. Artık evde biri var. O kişi senin koltuğunda oturuyor.</t>
        </is>
      </c>
      <c r="H1102" s="6" t="inlineStr"/>
      <c r="I1102" s="6" t="inlineStr"/>
      <c r="J1102" s="6" t="inlineStr"/>
      <c r="K1102" s="6" t="inlineStr"/>
      <c r="L1102" s="6" t="inlineStr"/>
      <c r="M1102" s="5" t="inlineStr"/>
      <c r="N1102" s="5" t="inlineStr"/>
      <c r="O1102" s="6" t="inlineStr"/>
      <c r="P1102" s="6" t="inlineStr"/>
      <c r="Q1102" s="5" t="inlineStr"/>
      <c r="R1102" s="5" t="inlineStr"/>
      <c r="S1102" s="5" t="inlineStr"/>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row>
    <row r="1103">
      <c r="A1103" s="5" t="inlineStr">
        <is>
          <t>b9-yalniz-emeklilik</t>
        </is>
      </c>
      <c r="B1103" s="5" t="n">
        <v>2</v>
      </c>
      <c r="C1103" s="6" t="inlineStr">
        <is>
          <t>Karşı komşuya el salla</t>
        </is>
      </c>
      <c r="D1103" s="5" t="inlineStr">
        <is>
          <t>Cesaret</t>
        </is>
      </c>
      <c r="E1103" s="5" t="inlineStr">
        <is>
          <t>Orta</t>
        </is>
      </c>
      <c r="F1103" s="5" t="inlineStr"/>
      <c r="G1103" s="6" t="inlineStr"/>
      <c r="H1103" s="6" t="inlineStr">
        <is>
          <t>El salladın, o da salladı. Ertesi gün kapında bir tabak börek vardı.</t>
        </is>
      </c>
      <c r="I1103" s="6" t="inlineStr">
        <is>
          <t>El salladın; bir hafta sonra birlikte pazara gidiyordunuz. Pazar arabalarınızı birbirine bağladınız.</t>
        </is>
      </c>
      <c r="J1103" s="6" t="inlineStr">
        <is>
          <t>El salladın, perde kapandı. Belki görmedi. Belki gördü.</t>
        </is>
      </c>
      <c r="K1103" s="6" t="inlineStr">
        <is>
          <t>El salladın. Karşı komşu yardım istediğini sandı, ambulans çağırdı. Sağlık ekibi salonunda tansiyonunu ölçerken bütün apartman balkondaydı.</t>
        </is>
      </c>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row>
    <row r="1104">
      <c r="A1104" s="5" t="inlineStr">
        <is>
          <t>b9-yalniz-emeklilik</t>
        </is>
      </c>
      <c r="B1104" s="5" t="n">
        <v>3</v>
      </c>
      <c r="C1104" s="6" t="inlineStr">
        <is>
          <t>Hobi kursuna yazıl</t>
        </is>
      </c>
      <c r="D1104" s="5" t="inlineStr">
        <is>
          <t>Akıl</t>
        </is>
      </c>
      <c r="E1104" s="5" t="inlineStr">
        <is>
          <t>Kolay</t>
        </is>
      </c>
      <c r="F1104" s="5" t="inlineStr"/>
      <c r="G1104" s="6" t="inlineStr"/>
      <c r="H1104" s="6" t="inlineStr">
        <is>
          <t>Seramik kursuna yazıldın. İlk eserin bir kâse. Kâse mi, bilinmiyor.</t>
        </is>
      </c>
      <c r="I1104" s="6" t="inlineStr">
        <is>
          <t>Kursun en yetenekli öğrencisi oldun. Öğretmen sana 'Neden bu kadar geç başladınız?' diye sordu.</t>
        </is>
      </c>
      <c r="J1104" s="6" t="inlineStr">
        <is>
          <t>Kursa yazıldın, ilk derste kimse gelmedi. Kurs iptal oldu; ücret iade için dört form.</t>
        </is>
      </c>
      <c r="K1104" s="6" t="inlineStr">
        <is>
          <t>Kursa yazıldın. Yanlış kurs. Şu an bir kick boks salonundasın ve eğitmen çok heyecanlı.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row>
    <row r="1105">
      <c r="A1105" s="5" t="inlineStr">
        <is>
          <t>mb-veda-plaketi</t>
        </is>
      </c>
      <c r="B1105" s="5" t="n">
        <v>1</v>
      </c>
      <c r="C1105" s="6" t="inlineStr">
        <is>
          <t>Teşekkür et, gülümse</t>
        </is>
      </c>
      <c r="D1105" s="5" t="inlineStr"/>
      <c r="E1105" s="5" t="inlineStr"/>
      <c r="F1105" s="5" t="inlineStr">
        <is>
          <t>İtibar +1</t>
        </is>
      </c>
      <c r="G1105" s="6" t="inlineStr">
        <is>
          <t>Plaketi aldın, yanlış harfi parmağınla kapattın. Fotoğraf kusursuz çıktı.</t>
        </is>
      </c>
      <c r="H1105" s="6" t="inlineStr"/>
      <c r="I1105" s="6" t="inlineStr"/>
      <c r="J1105" s="6" t="inlineStr"/>
      <c r="K1105" s="6" t="inlineStr"/>
      <c r="L1105" s="6" t="inlineStr"/>
      <c r="M1105" s="5" t="inlineStr"/>
      <c r="N1105" s="5" t="inlineStr"/>
      <c r="O1105" s="6" t="inlineStr"/>
      <c r="P1105" s="6" t="inlineStr"/>
      <c r="Q1105" s="5" t="inlineStr"/>
      <c r="R1105" s="5" t="inlineStr"/>
      <c r="S1105" s="5" t="inlineStr"/>
      <c r="T1105" s="5" t="inlineStr"/>
      <c r="U1105" s="5" t="inlineStr">
        <is>
          <t>emekli</t>
        </is>
      </c>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row>
    <row r="1106">
      <c r="A1106" s="5" t="inlineStr">
        <is>
          <t>mb-veda-plaketi</t>
        </is>
      </c>
      <c r="B1106" s="5" t="n">
        <v>2</v>
      </c>
      <c r="C1106" s="6" t="inlineStr">
        <is>
          <t>Veda e-postasını bütün şirkete yaz</t>
        </is>
      </c>
      <c r="D1106" s="5" t="inlineStr">
        <is>
          <t>Pişkinlik</t>
        </is>
      </c>
      <c r="E1106" s="5" t="inlineStr">
        <is>
          <t>Orta</t>
        </is>
      </c>
      <c r="F1106" s="5" t="inlineStr"/>
      <c r="G1106" s="6" t="inlineStr"/>
      <c r="H1106" s="6" t="inlineStr">
        <is>
          <t>Veda e-postan duygusal ve kısaydı. Tarihte ilk kez biri e-postayı sonuna kadar okudu.</t>
        </is>
      </c>
      <c r="I1106" s="6" t="inlineStr">
        <is>
          <t>E-postan şirkette elden ele dolaştı. İnsan kaynakları şablon olarak kaydetti.</t>
        </is>
      </c>
      <c r="J1106" s="6" t="inlineStr">
        <is>
          <t>E-postaya kırk kişi 'Seni çok özleyeceğiz' yazdı. Otuz dokuzunu tanımıyorsun.</t>
        </is>
      </c>
      <c r="K1106" s="6" t="inlineStr">
        <is>
          <t>Herkes 'Herkese Yanıt' ile karşılık verdi. Emekliliğinin ilk haftası gelen kutunda geçti.</t>
        </is>
      </c>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row>
    <row r="1107">
      <c r="A1107" s="5" t="inlineStr">
        <is>
          <t>mb-veda-plaketi</t>
        </is>
      </c>
      <c r="B1107" s="5" t="n">
        <v>3</v>
      </c>
      <c r="C1107" s="6" t="inlineStr">
        <is>
          <t>Eski ekibini topla</t>
        </is>
      </c>
      <c r="D1107" s="5" t="inlineStr">
        <is>
          <t>Sosyal Radar</t>
        </is>
      </c>
      <c r="E1107" s="5" t="inlineStr">
        <is>
          <t>Kolay</t>
        </is>
      </c>
      <c r="F1107" s="5" t="inlineStr"/>
      <c r="G1107" s="6" t="inlineStr"/>
      <c r="H1107" s="6" t="inlineStr">
        <is>
          <t>Yönettiğin herkes geldi. Pasta yetmedi. İyi bir işaret.</t>
        </is>
      </c>
      <c r="I1107" s="6" t="inlineStr">
        <is>
          <t>Eski ekibin sana kendi plaketini yaptırdı. Adın doğru yazılmış.</t>
        </is>
      </c>
      <c r="J1107" s="6" t="inlineStr">
        <is>
          <t>Geldiler; yarısı hâlâ senin onayını bekleyen izin talepleriyle.</t>
        </is>
      </c>
      <c r="K1107" s="6" t="inlineStr">
        <is>
          <t>Ekibini topladın; parti bir 'kısa görüşmeye' dönüştü. Terfi isteyen oldu.</t>
        </is>
      </c>
      <c r="L1107" s="6" t="inlineStr"/>
      <c r="M1107" s="5" t="inlineStr"/>
      <c r="N1107" s="5" t="inlineStr"/>
      <c r="O1107" s="6" t="inlineStr"/>
      <c r="P1107" s="6" t="inlineStr"/>
      <c r="Q1107" s="5" t="inlineStr"/>
      <c r="R1107" s="5" t="inlineStr">
        <is>
          <t>beyazyaka-terfi-aldi</t>
        </is>
      </c>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row>
    <row r="1108">
      <c r="A1108" s="5" t="inlineStr">
        <is>
          <t>me-dukkani-devret</t>
        </is>
      </c>
      <c r="B1108" s="5" t="n">
        <v>1</v>
      </c>
      <c r="C1108" s="6" t="inlineStr">
        <is>
          <t>Çırağa devret</t>
        </is>
      </c>
      <c r="D1108" s="5" t="inlineStr"/>
      <c r="E1108" s="5" t="inlineStr"/>
      <c r="F1108" s="5" t="inlineStr">
        <is>
          <t>İtibar +1, Sosyal Radar +1</t>
        </is>
      </c>
      <c r="G1108" s="6" t="inlineStr">
        <is>
          <t>Anahtarı çırağa verdin. Tabela değişmedi; altına küçük harflerle 'Ustasından' yazıldı.</t>
        </is>
      </c>
      <c r="H1108" s="6" t="inlineStr"/>
      <c r="I1108" s="6" t="inlineStr"/>
      <c r="J1108" s="6" t="inlineStr"/>
      <c r="K1108" s="6" t="inlineStr"/>
      <c r="L1108" s="6" t="inlineStr"/>
      <c r="M1108" s="5" t="inlineStr"/>
      <c r="N1108" s="5" t="inlineStr"/>
      <c r="O1108" s="6" t="inlineStr"/>
      <c r="P1108" s="6" t="inlineStr"/>
      <c r="Q1108" s="5" t="inlineStr"/>
      <c r="R1108" s="5" t="inlineStr">
        <is>
          <t>esnaf-cirak</t>
        </is>
      </c>
      <c r="S1108" s="5" t="inlineStr"/>
      <c r="T1108" s="5" t="inlineStr"/>
      <c r="U1108" s="5" t="inlineStr"/>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row>
    <row r="1109">
      <c r="A1109" s="5" t="inlineStr">
        <is>
          <t>me-dukkani-devret</t>
        </is>
      </c>
      <c r="B1109" s="5" t="n">
        <v>2</v>
      </c>
      <c r="C1109" s="6" t="inlineStr">
        <is>
          <t>Devir bedelinde pazarlık et</t>
        </is>
      </c>
      <c r="D1109" s="5" t="inlineStr">
        <is>
          <t>Çene</t>
        </is>
      </c>
      <c r="E1109" s="5" t="inlineStr">
        <is>
          <t>Orta</t>
        </is>
      </c>
      <c r="F1109" s="5" t="inlineStr"/>
      <c r="G1109" s="6" t="inlineStr"/>
      <c r="H1109" s="6" t="inlineStr">
        <is>
          <t>İyi bir bedel aldın. Emeklilik bir ay erken başladı; kafanda.</t>
        </is>
      </c>
      <c r="I1109" s="6" t="inlineStr">
        <is>
          <t>Talipliler birbirini geçti. Dükkânı açık artırmaya çevirmeden en yükseğe verdin.</t>
        </is>
      </c>
      <c r="J1109" s="6" t="inlineStr">
        <is>
          <t>Israr ettin, talipli vazgeçti. Tabela camda bir yıl daha sarardı.</t>
        </is>
      </c>
      <c r="K1109" s="6" t="inlineStr">
        <is>
          <t>Yeni sahip seni 'danışman' olarak tuttu. Maaşsız, her sabah 08.00'de.</t>
        </is>
      </c>
      <c r="L1109" s="6" t="inlineStr"/>
      <c r="M1109" s="5" t="inlineStr"/>
      <c r="N1109" s="5" t="inlineStr"/>
      <c r="O1109" s="6" t="inlineStr"/>
      <c r="P1109" s="6" t="inlineStr"/>
      <c r="Q1109" s="5" t="inlineStr"/>
      <c r="R1109" s="5" t="inlineStr"/>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row>
    <row r="1110">
      <c r="A1110" s="5" t="inlineStr">
        <is>
          <t>me-dukkani-devret</t>
        </is>
      </c>
      <c r="B1110" s="5" t="n">
        <v>3</v>
      </c>
      <c r="C1110" s="6" t="inlineStr">
        <is>
          <t>Karşı dükkâna sat</t>
        </is>
      </c>
      <c r="D1110" s="5" t="inlineStr">
        <is>
          <t>Pişkinlik</t>
        </is>
      </c>
      <c r="E1110" s="5" t="inlineStr">
        <is>
          <t>Zor</t>
        </is>
      </c>
      <c r="F1110" s="5" t="inlineStr"/>
      <c r="G1110" s="6" t="inlineStr"/>
      <c r="H1110" s="6" t="inlineStr">
        <is>
          <t>Otuz yıl savaştığın dükkân seni satın aldı. Sokakta artık tek dükkân var; iki kepenkli.</t>
        </is>
      </c>
      <c r="I1110" s="6" t="inlineStr">
        <is>
          <t>Yüksek bedel ödediler ve kendi tabelalarını seninkiyle değiştirdiler. Savaşı kaybederek kazandın.</t>
        </is>
      </c>
      <c r="J1110" s="6" t="inlineStr">
        <is>
          <t>'Biz de devrediyoruz' dediler. Sokakta karşılıklı iki 'Devren kiralık' tabelası.</t>
        </is>
      </c>
      <c r="K1110" s="6" t="inlineStr">
        <is>
          <t>Sattın. Ertesi gün senin eski fiyatlarınla açtılar. Müdavimin 'Hiçbir şey değişmemiş' dedi.</t>
        </is>
      </c>
      <c r="L1110" s="6" t="inlineStr"/>
      <c r="M1110" s="5" t="inlineStr"/>
      <c r="N1110" s="5" t="inlineStr"/>
      <c r="O1110" s="6" t="inlineStr"/>
      <c r="P1110" s="6" t="inlineStr"/>
      <c r="Q1110" s="5" t="inlineStr"/>
      <c r="R1110" s="5" t="inlineStr">
        <is>
          <t>esnaf-komsu-rakip</t>
        </is>
      </c>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row>
    <row r="1111">
      <c r="A1111" s="5" t="inlineStr">
        <is>
          <t>me-dukkani-devret</t>
        </is>
      </c>
      <c r="B1111" s="5" t="n">
        <v>4</v>
      </c>
      <c r="C1111" s="6" t="inlineStr">
        <is>
          <t>Çocuğuna bırak</t>
        </is>
      </c>
      <c r="D1111" s="5" t="inlineStr">
        <is>
          <t>Çene</t>
        </is>
      </c>
      <c r="E1111" s="5" t="inlineStr">
        <is>
          <t>Orta</t>
        </is>
      </c>
      <c r="F1111" s="5" t="inlineStr"/>
      <c r="G1111" s="6" t="inlineStr"/>
      <c r="H1111" s="6" t="inlineStr">
        <is>
          <t>Çocuğun dükkânı devraldı. İlk işi pos cihazını yenilemek oldu, ikincisi senin tabureni kasanın yanından kapının önüne taşımak.</t>
        </is>
      </c>
      <c r="I1111" s="6" t="inlineStr">
        <is>
          <t>Çocuğun dükkânı internete taşıdı, ciroyu ikiye katladı ve eski defterini çerçeveletip duvara astı.</t>
        </is>
      </c>
      <c r="J1111" s="6" t="inlineStr">
        <is>
          <t>'Uzaktan çalışıyorum' dedi. Dükkânın uzaktan çalışma modeli yok.</t>
        </is>
      </c>
      <c r="K1111" s="6" t="inlineStr">
        <is>
          <t>Kabul etti; ilk hafta ürünlerin yarısını 'minimalizm' diye raftan kaldırdı. Dükkân bir galeriye döndü.</t>
        </is>
      </c>
      <c r="L1111" s="6" t="inlineStr"/>
      <c r="M1111" s="5" t="inlineStr"/>
      <c r="N1111" s="5" t="inlineStr"/>
      <c r="O1111" s="6" t="inlineStr"/>
      <c r="P1111" s="6" t="inlineStr"/>
      <c r="Q1111" s="5" t="inlineStr"/>
      <c r="R1111" s="5" t="inlineStr">
        <is>
          <t>cocuklu</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row>
    <row r="1112">
      <c r="A1112" s="5" t="inlineStr">
        <is>
          <t>b9-tavla-finali</t>
        </is>
      </c>
      <c r="B1112" s="5" t="n">
        <v>1</v>
      </c>
      <c r="C1112" s="6" t="inlineStr">
        <is>
          <t>Zarı at</t>
        </is>
      </c>
      <c r="D1112" s="5" t="inlineStr">
        <is>
          <t>Cesaret</t>
        </is>
      </c>
      <c r="E1112" s="5" t="inlineStr">
        <is>
          <t>Orta</t>
        </is>
      </c>
      <c r="F1112" s="5" t="inlineStr"/>
      <c r="G1112" s="6" t="inlineStr"/>
      <c r="H1112" s="6" t="inlineStr">
        <is>
          <t>Düşeş attın. Kahvehane alkışladı. Tebeşir ile adın büyük harfle yazıldı.</t>
        </is>
      </c>
      <c r="I1112" s="6" t="inlineStr">
        <is>
          <t>Düşeş attın ve rakip ayağa kalktı, seni kutladı. Kahvehane sahibi sana ömür boyu bedava çay ilan etti.</t>
        </is>
      </c>
      <c r="J1112" s="6" t="inlineStr">
        <is>
          <t>Bir-iki attın. Rakip gülümsedi. Sen de gülümsedin. Kahvehane gülümsemeyi tartıştı.</t>
        </is>
      </c>
      <c r="K1112" s="6" t="inlineStr">
        <is>
          <t>Zar masadan fırlayıp rakibin çay bardağına düştü. Kahveci 'Bardaktaki zar sayılmaz' dedi, rakip 'Çay da benim' dedi. Kupayı o kaldırdı.</t>
        </is>
      </c>
      <c r="L1112" s="6" t="inlineStr">
        <is>
          <t>Beş-dört attın. Yeterli ama heyecansız. Kahvehane sessizce alkışladı.</t>
        </is>
      </c>
      <c r="M1112" s="5" t="inlineStr">
        <is>
          <t>timing</t>
        </is>
      </c>
      <c r="N1112" s="5" t="inlineStr">
        <is>
          <t>Son Zar</t>
        </is>
      </c>
      <c r="O1112" s="6" t="inlineStr">
        <is>
          <t>Zarı tam doğru anda bırak. Kırk kişi sessiz; senin elin titremiyor, çayın titriyor.</t>
        </is>
      </c>
      <c r="P1112" s="6" t="inlineStr"/>
      <c r="Q1112" s="5" t="inlineStr"/>
      <c r="R1112" s="5" t="inlineStr"/>
      <c r="S1112" s="5" t="inlineStr"/>
      <c r="T1112" s="5" t="inlineStr"/>
      <c r="U1112" s="5" t="inlineStr"/>
      <c r="V1112" s="5" t="inlineStr">
        <is>
          <t>tavla-sampiyonu</t>
        </is>
      </c>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row>
    <row r="1113">
      <c r="A1113" s="5" t="inlineStr">
        <is>
          <t>b9-tavla-finali</t>
        </is>
      </c>
      <c r="B1113" s="5" t="n">
        <v>2</v>
      </c>
      <c r="C1113" s="6" t="inlineStr">
        <is>
          <t>Sessizce hamle yap</t>
        </is>
      </c>
      <c r="D1113" s="5" t="inlineStr"/>
      <c r="E1113" s="5" t="inlineStr"/>
      <c r="F1113" s="5" t="inlineStr">
        <is>
          <t>Dayanıklılık +1</t>
        </is>
      </c>
      <c r="G1113" s="6" t="inlineStr">
        <is>
          <t>Sessizce oynadın. Kazanmadın, kaybetmedin; final ertelendi. Kahvehane sahibi televizyonu tekrar açtı.</t>
        </is>
      </c>
      <c r="H1113" s="6" t="inlineStr"/>
      <c r="I1113" s="6" t="inlineStr"/>
      <c r="J1113" s="6" t="inlineStr"/>
      <c r="K1113" s="6" t="inlineStr"/>
      <c r="L1113" s="6" t="inlineStr"/>
      <c r="M1113" s="5" t="inlineStr"/>
      <c r="N1113" s="5" t="inlineStr"/>
      <c r="O1113" s="6" t="inlineStr"/>
      <c r="P1113" s="6" t="inlineStr"/>
      <c r="Q1113" s="5" t="inlineStr"/>
      <c r="R1113" s="5" t="inlineStr"/>
      <c r="S1113" s="5" t="inlineStr"/>
      <c r="T1113" s="5" t="inlineStr"/>
      <c r="U1113" s="5" t="inlineStr"/>
      <c r="V1113" s="5" t="inlineStr"/>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row>
    <row r="1114">
      <c r="A1114" s="5" t="inlineStr">
        <is>
          <t>b9-tavla-finali</t>
        </is>
      </c>
      <c r="B1114" s="5" t="n">
        <v>3</v>
      </c>
      <c r="C1114" s="6" t="inlineStr">
        <is>
          <t>Tavla Kurdu hamlesini yap</t>
        </is>
      </c>
      <c r="D1114" s="5" t="inlineStr">
        <is>
          <t>Kurnazlık</t>
        </is>
      </c>
      <c r="E1114" s="5" t="inlineStr">
        <is>
          <t>Zor</t>
        </is>
      </c>
      <c r="F1114" s="5" t="inlineStr"/>
      <c r="G1114" s="6" t="inlineStr"/>
      <c r="H1114" s="6" t="inlineStr">
        <is>
          <t>Rakibin pullarını üç hamlede bloke ettin. Kahvehane seni 'Kurt' diye çağırmaya başladı.</t>
        </is>
      </c>
      <c r="I1114" s="6" t="inlineStr">
        <is>
          <t>Hamlen öyle ustaydı ki rakip pulları toplayıp tebrik etti. Şampiyonluk kupası bir çay bardağı; altın yaldızlı.</t>
        </is>
      </c>
      <c r="J1114" s="6" t="inlineStr">
        <is>
          <t>Hamleyi yaptın ama bir pul yanlış yerdeydi. Kurt, kuzu kılığına girdi.</t>
        </is>
      </c>
      <c r="K1114" s="6" t="inlineStr">
        <is>
          <t>Hamleyi yaparken masayı devirdin. Kırk kişi çayını senin yüzünden kaybetti. Kahvehane seni ikinci lige düşürdü.</t>
        </is>
      </c>
      <c r="L1114" s="6" t="inlineStr"/>
      <c r="M1114" s="5" t="inlineStr"/>
      <c r="N1114" s="5" t="inlineStr"/>
      <c r="O1114" s="6" t="inlineStr"/>
      <c r="P1114" s="6" t="inlineStr"/>
      <c r="Q1114" s="5" t="inlineStr">
        <is>
          <t>Tavla Kurdu</t>
        </is>
      </c>
      <c r="R1114" s="5" t="inlineStr"/>
      <c r="S1114" s="5" t="inlineStr"/>
      <c r="T1114" s="5" t="inlineStr"/>
      <c r="U1114" s="5" t="inlineStr"/>
      <c r="V1114" s="5" t="inlineStr">
        <is>
          <t>tavla-sampiyonu</t>
        </is>
      </c>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row>
    <row r="1115">
      <c r="A1115" s="5" t="inlineStr">
        <is>
          <t>b9-torunun-tableti</t>
        </is>
      </c>
      <c r="B1115" s="5" t="n">
        <v>1</v>
      </c>
      <c r="C1115" s="6" t="inlineStr">
        <is>
          <t>Kapat, aç</t>
        </is>
      </c>
      <c r="D1115" s="5" t="inlineStr"/>
      <c r="E1115" s="5" t="inlineStr"/>
      <c r="F1115" s="5" t="inlineStr">
        <is>
          <t>Akıl +1</t>
        </is>
      </c>
      <c r="G1115" s="6" t="inlineStr">
        <is>
          <t>Kapattın, açtın. Tablet çalıştı. Torun seni bilgisayar dahisi sanıyor. Sen de biraz öyle.</t>
        </is>
      </c>
      <c r="H1115" s="6" t="inlineStr"/>
      <c r="I1115" s="6" t="inlineStr"/>
      <c r="J1115" s="6" t="inlineStr"/>
      <c r="K1115" s="6" t="inlineStr"/>
      <c r="L1115" s="6" t="inlineStr"/>
      <c r="M1115" s="5" t="inlineStr"/>
      <c r="N1115" s="5" t="inlineStr"/>
      <c r="O1115" s="6" t="inlineStr"/>
      <c r="P1115" s="6" t="inlineStr"/>
      <c r="Q1115" s="5" t="inlineStr"/>
      <c r="R1115" s="5" t="inlineStr"/>
      <c r="S1115" s="5" t="inlineStr"/>
      <c r="T1115" s="5" t="inlineStr"/>
      <c r="U1115" s="5" t="inlineStr"/>
      <c r="V1115" s="5" t="inlineStr"/>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row>
    <row r="1116">
      <c r="A1116" s="5" t="inlineStr">
        <is>
          <t>b9-torunun-tableti</t>
        </is>
      </c>
      <c r="B1116" s="5" t="n">
        <v>2</v>
      </c>
      <c r="C1116" s="6" t="inlineStr">
        <is>
          <t>Oyunu sen oyna</t>
        </is>
      </c>
      <c r="D1116" s="5" t="inlineStr">
        <is>
          <t>Dayanıklılık</t>
        </is>
      </c>
      <c r="E1116" s="5" t="inlineStr">
        <is>
          <t>Orta</t>
        </is>
      </c>
      <c r="F1116" s="5" t="inlineStr"/>
      <c r="G1116" s="6" t="inlineStr"/>
      <c r="H1116" s="6" t="inlineStr">
        <is>
          <t>Oyunu oynadın ve üçüncü seviyeye geçtin. Torun şifreyi değil, seni istiyor artık.</t>
        </is>
      </c>
      <c r="I1116" s="6" t="inlineStr">
        <is>
          <t>Oyunda torununun rekorunu kırdın. Torun kıskandı. Aile grubunda 'Uzman' unvanı verildi.</t>
        </is>
      </c>
      <c r="J1116" s="6" t="inlineStr">
        <is>
          <t>Oyunu oynadın ve üç saat sonra kafayı kaldırdın. Tablet hâlâ bozuk; sen bağımlı.</t>
        </is>
      </c>
      <c r="K1116" s="6" t="inlineStr">
        <is>
          <t>Oyunu oynarken tablette bir satın alma yaptın. Torunun oyunu artık altın rengi ama aile bütçesi değil.</t>
        </is>
      </c>
      <c r="L1116" s="6" t="inlineStr"/>
      <c r="M1116" s="5" t="inlineStr"/>
      <c r="N1116" s="5" t="inlineStr"/>
      <c r="O1116" s="6" t="inlineStr"/>
      <c r="P1116" s="6" t="inlineStr"/>
      <c r="Q1116" s="5" t="inlineStr">
        <is>
          <t>Şifreyi Bilen</t>
        </is>
      </c>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row>
    <row r="1117">
      <c r="A1117" s="5" t="inlineStr">
        <is>
          <t>b9-torunun-tableti</t>
        </is>
      </c>
      <c r="B1117" s="5" t="n">
        <v>3</v>
      </c>
      <c r="C1117" s="6" t="inlineStr">
        <is>
          <t>Çocuğunu ara</t>
        </is>
      </c>
      <c r="D1117" s="5" t="inlineStr">
        <is>
          <t>Çene</t>
        </is>
      </c>
      <c r="E1117" s="5" t="inlineStr">
        <is>
          <t>Kolay</t>
        </is>
      </c>
      <c r="F1117" s="5" t="inlineStr"/>
      <c r="G1117" s="6" t="inlineStr"/>
      <c r="H1117" s="6" t="inlineStr">
        <is>
          <t>Çocuğun telefonla tamir etti. Sen sadece tuşlara bastın. Torun ise seni hâlâ kahraman sanıyor.</t>
        </is>
      </c>
      <c r="I1117" s="6" t="inlineStr">
        <is>
          <t>Çocuğun uzaktan bağlandı, tableti tamir etti ve bir de senin telefonunu güncelledi. Çift kazanç.</t>
        </is>
      </c>
      <c r="J1117" s="6" t="inlineStr">
        <is>
          <t>Çocuğunu aradın; toplantıdaymış. Mesaj attı: 'Kapat, aç.' Zaten bunu denemiştin.</t>
        </is>
      </c>
      <c r="K1117" s="6" t="inlineStr">
        <is>
          <t>Çocuğunu aradın; torun o sırada tablette senin sesini kayıt altına aldı. Artık bir oyun karakterinin sesi sensin.</t>
        </is>
      </c>
      <c r="L1117" s="6" t="inlineStr"/>
      <c r="M1117" s="5" t="inlineStr"/>
      <c r="N1117" s="5" t="inlineStr"/>
      <c r="O1117" s="6" t="inlineStr"/>
      <c r="P1117" s="6" t="inlineStr"/>
      <c r="Q1117" s="5" t="inlineStr"/>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row>
    <row r="1118">
      <c r="A1118" s="5" t="inlineStr">
        <is>
          <t>mm-eski-daire</t>
        </is>
      </c>
      <c r="B1118" s="5" t="n">
        <v>1</v>
      </c>
      <c r="C1118" s="6" t="inlineStr">
        <is>
          <t>Yarın gel</t>
        </is>
      </c>
      <c r="D1118" s="5" t="inlineStr"/>
      <c r="E1118" s="5" t="inlineStr"/>
      <c r="F1118" s="5" t="inlineStr">
        <is>
          <t>Dayanıklılık +1, İtibar +1</t>
        </is>
      </c>
      <c r="G1118" s="6" t="inlineStr">
        <is>
          <t>Ertesi gün geldin, işin bitti. Otuz yıl sistemi savundun; sistem de seni bir gün bekletti. Adil.</t>
        </is>
      </c>
      <c r="H1118" s="6" t="inlineStr"/>
      <c r="I1118" s="6" t="inlineStr"/>
      <c r="J1118" s="6" t="inlineStr"/>
      <c r="K1118" s="6" t="inlineStr"/>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row>
    <row r="1119">
      <c r="A1119" s="5" t="inlineStr">
        <is>
          <t>mm-eski-daire</t>
        </is>
      </c>
      <c r="B1119" s="5" t="n">
        <v>2</v>
      </c>
      <c r="C1119" s="6" t="inlineStr">
        <is>
          <t>Eski masana geç, işini kendin yap</t>
        </is>
      </c>
      <c r="D1119" s="5" t="inlineStr">
        <is>
          <t>Pişkinlik</t>
        </is>
      </c>
      <c r="E1119" s="5" t="inlineStr">
        <is>
          <t>Zor</t>
        </is>
      </c>
      <c r="F1119" s="5" t="inlineStr"/>
      <c r="G1119" s="6" t="inlineStr"/>
      <c r="H1119" s="6" t="inlineStr">
        <is>
          <t>Kendi dosyanı kendin imzaladın. Kimse itiraz etmedi; herkes hâlâ senden çekiniyor.</t>
        </is>
      </c>
      <c r="I1119" s="6" t="inlineStr">
        <is>
          <t>Kendi işini ve sıradaki üç vatandaşın işini bitirdin. Kurum sana gönüllü danışmanlık teklif etti.</t>
        </is>
      </c>
      <c r="J1119" s="6" t="inlineStr">
        <is>
          <t>Şifren iptal edilmiş. Sistem seni tanımadı; kahve makinesi tanıdı.</t>
        </is>
      </c>
      <c r="K1119" s="6" t="inlineStr">
        <is>
          <t>Güvenlik seni nazikçe dışarı çıkardı. Otuz yıllık hizmet, üç dakikalık bir tutanakla kapandı.</t>
        </is>
      </c>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row>
    <row r="1120">
      <c r="A1120" s="5" t="inlineStr">
        <is>
          <t>mm-eski-daire</t>
        </is>
      </c>
      <c r="B1120" s="5" t="n">
        <v>3</v>
      </c>
      <c r="C1120" s="6" t="inlineStr">
        <is>
          <t>Dairenin karşısına kafeni aç</t>
        </is>
      </c>
      <c r="D1120" s="5" t="inlineStr">
        <is>
          <t>Çene</t>
        </is>
      </c>
      <c r="E1120" s="5" t="inlineStr">
        <is>
          <t>Orta</t>
        </is>
      </c>
      <c r="F1120" s="5" t="inlineStr"/>
      <c r="G1120" s="6" t="inlineStr"/>
      <c r="H1120" s="6" t="inlineStr">
        <is>
          <t>Memurlara indirim var, 'Yarın gelin' diyenlere çay bedava.</t>
        </is>
      </c>
      <c r="I1120" s="6" t="inlineStr">
        <is>
          <t>Kafen dairenin gayriresmî toplantı salonu oldu. Önemli kararlar artık senin masalarında alınıyor.</t>
        </is>
      </c>
      <c r="J1120" s="6" t="inlineStr">
        <is>
          <t>Mesai 17.00'de bitiyor; müşteriler 17.01'de geliyor, 17.30'da gidiyor. Ciron yarım saatlik.</t>
        </is>
      </c>
      <c r="K1120" s="6" t="inlineStr">
        <is>
          <t>İlk müşterin zabıta oldu. Tabelanın boyu, kaldırım ve tentenin gölgesi ölçüldü. Gölge yönetmeliğe uymuyordu.</t>
        </is>
      </c>
      <c r="L1120" s="6" t="inlineStr"/>
      <c r="M1120" s="5" t="inlineStr"/>
      <c r="N1120" s="5" t="inlineStr"/>
      <c r="O1120" s="6" t="inlineStr"/>
      <c r="P1120" s="6" t="inlineStr"/>
      <c r="Q1120" s="5" t="inlineStr"/>
      <c r="R1120" s="5" t="inlineStr">
        <is>
          <t>memur-ikinci-is</t>
        </is>
      </c>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row>
    <row r="1121">
      <c r="A1121" s="5" t="inlineStr">
        <is>
          <t>mm-eski-daire</t>
        </is>
      </c>
      <c r="B1121" s="5" t="n">
        <v>4</v>
      </c>
      <c r="C1121" s="6" t="inlineStr">
        <is>
          <t>Genç memura bir ipucu fısılda</t>
        </is>
      </c>
      <c r="D1121" s="5" t="inlineStr">
        <is>
          <t>Sosyal Radar</t>
        </is>
      </c>
      <c r="E1121" s="5" t="inlineStr">
        <is>
          <t>Kolay</t>
        </is>
      </c>
      <c r="F1121" s="5" t="inlineStr"/>
      <c r="G1121" s="6" t="inlineStr"/>
      <c r="H1121" s="6" t="inlineStr">
        <is>
          <t>'Üçüncü çekmecede kaşe var' dedin. İşin beş dakikada bitti.</t>
        </is>
      </c>
      <c r="I1121" s="6" t="inlineStr">
        <is>
          <t>İpucun o kadar işe yaradı ki genç memur senin telefon numaranı masasına yapıştırdı: 'Acil durumlar için.'</t>
        </is>
      </c>
      <c r="J1121" s="6" t="inlineStr">
        <is>
          <t>Genç memur 'Artık kaşe kullanmıyoruz' dedi. Üçüncü çekmece boştu.</t>
        </is>
      </c>
      <c r="K1121" s="6" t="inlineStr">
        <is>
          <t>Fısıltın yanlış anlaşıldı. Genç memur seni şikâyet etti: 'Görevliyi etkilemeye çalışan vatandaş.'</t>
        </is>
      </c>
      <c r="L1121" s="6" t="inlineStr"/>
      <c r="M1121" s="5" t="inlineStr"/>
      <c r="N1121" s="5" t="inlineStr"/>
      <c r="O1121" s="6" t="inlineStr"/>
      <c r="P1121" s="6" t="inlineStr"/>
      <c r="Q1121" s="5" t="inlineStr"/>
      <c r="R1121" s="5" t="inlineStr"/>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row>
    <row r="1122">
      <c r="A1122" s="5" t="inlineStr">
        <is>
          <t>b9-yazlik-komsulari</t>
        </is>
      </c>
      <c r="B1122" s="5" t="n">
        <v>1</v>
      </c>
      <c r="C1122" s="6" t="inlineStr">
        <is>
          <t>Hortumu kapat</t>
        </is>
      </c>
      <c r="D1122" s="5" t="inlineStr"/>
      <c r="E1122" s="5" t="inlineStr"/>
      <c r="F1122" s="5" t="inlineStr">
        <is>
          <t>İtibar +1</t>
        </is>
      </c>
      <c r="G1122" s="6" t="inlineStr">
        <is>
          <t>Hortumu kapattın. Çiçeklerin kurudu. Komşunun çiçekleri ise senin bahçene sarktı.</t>
        </is>
      </c>
      <c r="H1122" s="6" t="inlineStr"/>
      <c r="I1122" s="6" t="inlineStr"/>
      <c r="J1122" s="6" t="inlineStr"/>
      <c r="K1122" s="6" t="inlineStr"/>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row>
    <row r="1123">
      <c r="A1123" s="5" t="inlineStr">
        <is>
          <t>b9-yazlik-komsulari</t>
        </is>
      </c>
      <c r="B1123" s="5" t="n">
        <v>2</v>
      </c>
      <c r="C1123" s="6" t="inlineStr">
        <is>
          <t>Tartışmayı akşam yemeğine taşı</t>
        </is>
      </c>
      <c r="D1123" s="5" t="inlineStr">
        <is>
          <t>Çene</t>
        </is>
      </c>
      <c r="E1123" s="5" t="inlineStr">
        <is>
          <t>Orta</t>
        </is>
      </c>
      <c r="F1123" s="5" t="inlineStr"/>
      <c r="G1123" s="6" t="inlineStr"/>
      <c r="H1123" s="6" t="inlineStr">
        <is>
          <t>Mangal yaktın, herkesi davet ettin. Hortum meselesi köfteyle çözüldü.</t>
        </is>
      </c>
      <c r="I1123" s="6" t="inlineStr">
        <is>
          <t>Yemek o kadar güzeldi ki site yöneticisi hortum yönetmeliğini sana yazdırdı. Kanun senin.</t>
        </is>
      </c>
      <c r="J1123" s="6" t="inlineStr">
        <is>
          <t>Herkesi davet ettin; mangal tüttü, duman yan komşunun çamaşırlarına gitti. Konu hortumdan çamaşıra geçti.</t>
        </is>
      </c>
      <c r="K1123" s="6" t="inlineStr">
        <is>
          <t>Yemeğe herkes geldi, tartışma da. Tatlıya geçmeden yan komşu hortumu çekip mangalın üstüne açtı. Köfteler yüzdü.</t>
        </is>
      </c>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row>
    <row r="1124">
      <c r="A1124" s="5" t="inlineStr">
        <is>
          <t>b9-yazlik-komsulari</t>
        </is>
      </c>
      <c r="B1124" s="5" t="n">
        <v>3</v>
      </c>
      <c r="C1124" s="6" t="inlineStr">
        <is>
          <t>Site yöneticisinin kayınbiraderi olduğunu hatırlat</t>
        </is>
      </c>
      <c r="D1124" s="5" t="inlineStr">
        <is>
          <t>Sosyal Radar</t>
        </is>
      </c>
      <c r="E1124" s="5" t="inlineStr">
        <is>
          <t>Zor</t>
        </is>
      </c>
      <c r="F1124" s="5" t="inlineStr"/>
      <c r="G1124" s="6" t="inlineStr"/>
      <c r="H1124" s="6" t="inlineStr">
        <is>
          <t>Hatırlattın. Yönetici kızardı, komşu sessizleşti. Hortumun serbest bırakıldı.</t>
        </is>
      </c>
      <c r="I1124" s="6" t="inlineStr">
        <is>
          <t>Hatırlattın ve siteye 'akrabalık beyannamesi' zorunluluğu getirildi. Ertesi sezon herkes sana selam veriyor.</t>
        </is>
      </c>
      <c r="J1124" s="6" t="inlineStr">
        <is>
          <t>Hatırlattın; yönetici 'Evet, biliyorsunuz işte' dedi. Bilgi zaten herkesin elindeymiş.</t>
        </is>
      </c>
      <c r="K1124" s="6" t="inlineStr">
        <is>
          <t>Hatırlattın; asıl kayınbiraderin üst komşu olduğu ortaya çıktı. Artık iki komşuyla birden aran bozuk.</t>
        </is>
      </c>
      <c r="L1124" s="6" t="inlineStr"/>
      <c r="M1124" s="5" t="inlineStr"/>
      <c r="N1124" s="5" t="inlineStr"/>
      <c r="O1124" s="6" t="inlineStr"/>
      <c r="P1124" s="6" t="inlineStr"/>
      <c r="Q1124" s="5" t="inlineStr">
        <is>
          <t>Odayı Okur</t>
        </is>
      </c>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row>
    <row r="1125">
      <c r="A1125" s="5" t="inlineStr">
        <is>
          <t>b9-ikinci-kariyer</t>
        </is>
      </c>
      <c r="B1125" s="5" t="n">
        <v>1</v>
      </c>
      <c r="C1125" s="6" t="inlineStr">
        <is>
          <t>Kabul et</t>
        </is>
      </c>
      <c r="D1125" s="5" t="inlineStr"/>
      <c r="E1125" s="5" t="inlineStr"/>
      <c r="F1125" s="5" t="inlineStr">
        <is>
          <t>Dayanıklılık +1</t>
        </is>
      </c>
      <c r="G1125" s="6" t="inlineStr">
        <is>
          <t>Kabul ettin. Sabah yedide yine servis bekliyorsun; yanında senin gibi üç emekli. Hiçbiriniz 'emekli' kelimesini kullanmıyorsunuz.</t>
        </is>
      </c>
      <c r="H1125" s="6" t="inlineStr"/>
      <c r="I1125" s="6" t="inlineStr"/>
      <c r="J1125" s="6" t="inlineStr"/>
      <c r="K1125" s="6" t="inlineStr"/>
      <c r="L1125" s="6" t="inlineStr"/>
      <c r="M1125" s="5" t="inlineStr"/>
      <c r="N1125" s="5" t="inlineStr"/>
      <c r="O1125" s="6" t="inlineStr"/>
      <c r="P1125" s="6" t="inlineStr"/>
      <c r="Q1125" s="5" t="inlineStr"/>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row>
    <row r="1126">
      <c r="A1126" s="5" t="inlineStr">
        <is>
          <t>b9-ikinci-kariyer</t>
        </is>
      </c>
      <c r="B1126" s="5" t="n">
        <v>2</v>
      </c>
      <c r="C1126" s="6" t="inlineStr">
        <is>
          <t>Kendi işini aç</t>
        </is>
      </c>
      <c r="D1126" s="5" t="inlineStr">
        <is>
          <t>Cesaret</t>
        </is>
      </c>
      <c r="E1126" s="5" t="inlineStr">
        <is>
          <t>Zor</t>
        </is>
      </c>
      <c r="F1126" s="5" t="inlineStr"/>
      <c r="G1126" s="6" t="inlineStr"/>
      <c r="H1126" s="6" t="inlineStr">
        <is>
          <t>Kendi dükkânını açtın. Tabelaya 'Tecrübe' yazdın. Tecrübe satılmıyor ama müşteriler oturup konuşuyor.</t>
        </is>
      </c>
      <c r="I1126" s="6" t="inlineStr">
        <is>
          <t>Dükkân tuttu. Gençler sana iş başvurusu yapıyor. İlk sorun: 'Emekli olmayı düşünüyor musunuz?'</t>
        </is>
      </c>
      <c r="J1126" s="6" t="inlineStr">
        <is>
          <t>Dükkânı açtın, ilk ay tek müşteri geldi: eski iş yerindeki yöneticin. O da emekli olmuş.</t>
        </is>
      </c>
      <c r="K1126" s="6" t="inlineStr">
        <is>
          <t>Dükkânı açtın ama belediye ruhsatını unutmuşsun. Kapıda tabela değil, bir tutanak asılı.</t>
        </is>
      </c>
      <c r="L1126" s="6" t="inlineStr"/>
      <c r="M1126" s="5" t="inlineStr"/>
      <c r="N1126" s="5" t="inlineStr"/>
      <c r="O1126" s="6" t="inlineStr"/>
      <c r="P1126" s="6" t="inlineStr"/>
      <c r="Q1126" s="5" t="inlineStr">
        <is>
          <t>Sofra Müteahhidi</t>
        </is>
      </c>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row>
    <row r="1127">
      <c r="A1127" s="5" t="inlineStr">
        <is>
          <t>b9-ikinci-kariyer</t>
        </is>
      </c>
      <c r="B1127" s="5" t="n">
        <v>3</v>
      </c>
      <c r="C1127" s="6" t="inlineStr">
        <is>
          <t>Eski mesleğine dön</t>
        </is>
      </c>
      <c r="D1127" s="5" t="inlineStr">
        <is>
          <t>Kurnazlık</t>
        </is>
      </c>
      <c r="E1127" s="5" t="inlineStr">
        <is>
          <t>Orta</t>
        </is>
      </c>
      <c r="F1127" s="5" t="inlineStr"/>
      <c r="G1127" s="6" t="inlineStr"/>
      <c r="H1127" s="6" t="inlineStr">
        <is>
          <t>Eski dükkânına döndün. Çırak sana 'Usta' dedi. Kendini hiç bu kadar önemli hissetmemiştin.</t>
        </is>
      </c>
      <c r="I1127" s="6" t="inlineStr">
        <is>
          <t>Döndün ve dükkânın cirosu arttı. Çırak sana kendi dükkânında danışmanlık teklif etti.</t>
        </is>
      </c>
      <c r="J1127" s="6" t="inlineStr">
        <is>
          <t>Döndün. Kasa artık dokunmatik. Kasayı çırak açıyor, sen çayı getiriyorsun.</t>
        </is>
      </c>
      <c r="K1127" s="6" t="inlineStr">
        <is>
          <t>Döndün ve eski müşterilerin seni tanımadı. Kendi dükkânında sana 'Buyrun, ne istemiştiniz?' dediler.</t>
        </is>
      </c>
      <c r="L1127" s="6" t="inlineStr"/>
      <c r="M1127" s="5" t="inlineStr"/>
      <c r="N1127" s="5" t="inlineStr"/>
      <c r="O1127" s="6" t="inlineStr"/>
      <c r="P1127" s="6" t="inlineStr"/>
      <c r="Q1127" s="5" t="inlineStr"/>
      <c r="R1127" s="5" t="inlineStr">
        <is>
          <t>meslek-esnaf</t>
        </is>
      </c>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row>
    <row r="1128">
      <c r="A1128" s="5" t="inlineStr">
        <is>
          <t>ms-son-perde</t>
        </is>
      </c>
      <c r="B1128" s="5" t="n">
        <v>1</v>
      </c>
      <c r="C1128" s="6" t="inlineStr">
        <is>
          <t>Sahneye çık, perdeyi tam zamanında indir</t>
        </is>
      </c>
      <c r="D1128" s="5" t="inlineStr">
        <is>
          <t>Dayanıklılık</t>
        </is>
      </c>
      <c r="E1128" s="5" t="inlineStr">
        <is>
          <t>Orta</t>
        </is>
      </c>
      <c r="F1128" s="5" t="inlineStr"/>
      <c r="G1128" s="6" t="inlineStr"/>
      <c r="H1128" s="6" t="inlineStr">
        <is>
          <t>Son perde tam zamanında indi. Salon ayağa kalktı. Kırk yılın ilk ayakta alkışı.</t>
        </is>
      </c>
      <c r="I1128" s="6" t="inlineStr">
        <is>
          <t>Perde indiğinde salon susmadı. Oyunun adı, sanat tarihi kitabına bir dipnot olarak geçti.</t>
        </is>
      </c>
      <c r="J1128" s="6" t="inlineStr">
        <is>
          <t>Perde biraz erken indi. Son cümle perde arkasında kaldı. Seyirci yine de alkışladı; sen duymadın.</t>
        </is>
      </c>
      <c r="K1128" s="6" t="inlineStr">
        <is>
          <t>Perde geç indi; seyirci iki kez alkışlayıp bekledi. Üçüncüsünde vestiyere gitti.</t>
        </is>
      </c>
      <c r="L1128" s="6" t="inlineStr">
        <is>
          <t>Perde bir saniye geç indi. Kimse fark etmedi. Sen fark ettin. Kırk yıldır olduğu gibi.</t>
        </is>
      </c>
      <c r="M1128" s="5" t="inlineStr">
        <is>
          <t>timing</t>
        </is>
      </c>
      <c r="N1128" s="5" t="inlineStr">
        <is>
          <t>Son Perde</t>
        </is>
      </c>
      <c r="O1128" s="6" t="inlineStr">
        <is>
          <t>İşareti yeşil alanda durdur. Perde tam o anda inecek.</t>
        </is>
      </c>
      <c r="P1128" s="6" t="inlineStr"/>
      <c r="Q1128" s="5" t="inlineStr"/>
      <c r="R1128" s="5" t="inlineStr"/>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row>
    <row r="1129">
      <c r="A1129" s="5" t="inlineStr">
        <is>
          <t>ms-son-perde</t>
        </is>
      </c>
      <c r="B1129" s="5" t="n">
        <v>2</v>
      </c>
      <c r="C1129" s="6" t="inlineStr">
        <is>
          <t>Sahneyi genç birine bırak</t>
        </is>
      </c>
      <c r="D1129" s="5" t="inlineStr"/>
      <c r="E1129" s="5" t="inlineStr"/>
      <c r="F1129" s="5" t="inlineStr">
        <is>
          <t>İtibar +2</t>
        </is>
      </c>
      <c r="G1129" s="6" t="inlineStr">
        <is>
          <t>Son gösteriyi bir öğrencine bıraktın, seyirciler arasından izledin. Ücretini ona peşin ödedin.</t>
        </is>
      </c>
      <c r="H1129" s="6" t="inlineStr"/>
      <c r="I1129" s="6" t="inlineStr"/>
      <c r="J1129" s="6" t="inlineStr"/>
      <c r="K1129" s="6" t="inlineStr"/>
      <c r="L1129" s="6" t="inlineStr"/>
      <c r="M1129" s="5" t="inlineStr"/>
      <c r="N1129" s="5" t="inlineStr"/>
      <c r="O1129" s="6" t="inlineStr"/>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row>
    <row r="1130">
      <c r="A1130" s="5" t="inlineStr">
        <is>
          <t>ms-son-perde</t>
        </is>
      </c>
      <c r="B1130" s="5" t="n">
        <v>3</v>
      </c>
      <c r="C1130" s="6" t="inlineStr">
        <is>
          <t>O eski viral performansı yeniden yap</t>
        </is>
      </c>
      <c r="D1130" s="5" t="inlineStr">
        <is>
          <t>Pişkinlik</t>
        </is>
      </c>
      <c r="E1130" s="5" t="inlineStr">
        <is>
          <t>Kolay</t>
        </is>
      </c>
      <c r="F1130" s="5" t="inlineStr"/>
      <c r="G1130" s="6" t="inlineStr"/>
      <c r="H1130" s="6" t="inlineStr">
        <is>
          <t>Salonun yarısı eski videoyu ezbere biliyordu. Birlikte yaptınız.</t>
        </is>
      </c>
      <c r="I1130" s="6" t="inlineStr">
        <is>
          <t>Aynı performansı otuz yıl sonra yaptın. Bu kez de viral oldun. Bu kez ücretliydi.</t>
        </is>
      </c>
      <c r="J1130" s="6" t="inlineStr">
        <is>
          <t>Performansı yaptın; gençler bunun bir akıma gönderme olduğunu sandı. Akım sendin.</t>
        </is>
      </c>
      <c r="K1130" s="6" t="inlineStr">
        <is>
          <t>Aynı yerde, aynı şekilde takıldın, aynı şekilde düştün. Bu kez de iki milyon izlendi. Bu kez de ücret yok.</t>
        </is>
      </c>
      <c r="L1130" s="6" t="inlineStr"/>
      <c r="M1130" s="5" t="inlineStr"/>
      <c r="N1130" s="5" t="inlineStr"/>
      <c r="O1130" s="6" t="inlineStr"/>
      <c r="P1130" s="6" t="inlineStr"/>
      <c r="Q1130" s="5" t="inlineStr"/>
      <c r="R1130" s="5" t="inlineStr">
        <is>
          <t>serbest-viral-oldu</t>
        </is>
      </c>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row>
    <row r="1131">
      <c r="A1131" s="5" t="inlineStr">
        <is>
          <t>b9-noter-miras</t>
        </is>
      </c>
      <c r="B1131" s="5" t="n">
        <v>1</v>
      </c>
      <c r="C1131" s="6" t="inlineStr">
        <is>
          <t>Her şeyi eşit böl</t>
        </is>
      </c>
      <c r="D1131" s="5" t="inlineStr"/>
      <c r="E1131" s="5" t="inlineStr"/>
      <c r="F1131" s="5" t="inlineStr">
        <is>
          <t>İtibar +1</t>
        </is>
      </c>
      <c r="G1131" s="6" t="inlineStr">
        <is>
          <t>Her şeyi eşit böldün. Çocukların itiraz etmedi. Kendi aralarında ise ayrı bir dava açtılar.</t>
        </is>
      </c>
      <c r="H1131" s="6" t="inlineStr"/>
      <c r="I1131" s="6" t="inlineStr"/>
      <c r="J1131" s="6" t="inlineStr"/>
      <c r="K1131" s="6" t="inlineStr"/>
      <c r="L1131" s="6" t="inlineStr"/>
      <c r="M1131" s="5" t="inlineStr"/>
      <c r="N1131" s="5" t="inlineStr"/>
      <c r="O1131" s="6" t="inlineStr"/>
      <c r="P1131" s="6" t="inlineStr"/>
      <c r="Q1131" s="5" t="inlineStr"/>
      <c r="R1131" s="5" t="inlineStr"/>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row>
    <row r="1132">
      <c r="A1132" s="5" t="inlineStr">
        <is>
          <t>b9-noter-miras</t>
        </is>
      </c>
      <c r="B1132" s="5" t="n">
        <v>2</v>
      </c>
      <c r="C1132" s="6" t="inlineStr">
        <is>
          <t>Evi en çok ziyaret edene bırak</t>
        </is>
      </c>
      <c r="D1132" s="5" t="inlineStr">
        <is>
          <t>Çene</t>
        </is>
      </c>
      <c r="E1132" s="5" t="inlineStr">
        <is>
          <t>Zor</t>
        </is>
      </c>
      <c r="F1132" s="5" t="inlineStr"/>
      <c r="G1132" s="6" t="inlineStr"/>
      <c r="H1132" s="6" t="inlineStr">
        <is>
          <t>Maddeyi ekledin. Ertesi hafta sonu kapında bütün aile vardı. Biri yatılı kaldı; garantiye.</t>
        </is>
      </c>
      <c r="I1132" s="6" t="inlineStr">
        <is>
          <t>Madde işe yaradı. Pazar kahvaltıları yeniden başladı; sofraya üç tabak fazla koyuyorsun. Kimse evi konuşmuyor, herkes böreği konuşuyor.</t>
        </is>
      </c>
      <c r="J1132" s="6" t="inlineStr">
        <is>
          <t>Maddeyi ekledin. Çocukların ziyaret takvimi oluşturdu. Takvim bir elektronik tablo; senin de erişimin yok.</t>
        </is>
      </c>
      <c r="K1132" s="6" t="inlineStr">
        <is>
          <t>Maddeyi ekledin. Pazar sabahları kapını yalnızca komşunun oğlu çaldı; ekmek getirdi, çay içti. Çocukların bunu noterde öğrendi.</t>
        </is>
      </c>
      <c r="L1132" s="6" t="inlineStr"/>
      <c r="M1132" s="5" t="inlineStr"/>
      <c r="N1132" s="5" t="inlineStr"/>
      <c r="O1132" s="6" t="inlineStr"/>
      <c r="P1132" s="6" t="inlineStr"/>
      <c r="Q1132" s="5" t="inlineStr"/>
      <c r="R1132" s="5" t="inlineStr">
        <is>
          <t>ev-sahibi</t>
        </is>
      </c>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row>
    <row r="1133">
      <c r="A1133" s="5" t="inlineStr">
        <is>
          <t>b9-noter-miras</t>
        </is>
      </c>
      <c r="B1133" s="5" t="n">
        <v>3</v>
      </c>
      <c r="C1133" s="6" t="inlineStr">
        <is>
          <t>Gizli bir madde ekle</t>
        </is>
      </c>
      <c r="D1133" s="5" t="inlineStr">
        <is>
          <t>Kurnazlık</t>
        </is>
      </c>
      <c r="E1133" s="5" t="inlineStr">
        <is>
          <t>Orta</t>
        </is>
      </c>
      <c r="F1133" s="5" t="inlineStr"/>
      <c r="G1133" s="6" t="inlineStr"/>
      <c r="H1133" s="6" t="inlineStr">
        <is>
          <t>Gizli madde: 'Bu belgeyi okuyan çocuk, kardeşini aramalı.' Noter de gülümsedi.</t>
        </is>
      </c>
      <c r="I1133" s="6" t="inlineStr">
        <is>
          <t>Gizli maddeye bir bilmece yazdın. Çocukların onu çözmek için her hafta aynı masada toplanıyor. Cevabı sen de unuttun; söylemiyorsun.</t>
        </is>
      </c>
      <c r="J1133" s="6" t="inlineStr">
        <is>
          <t>Gizli maddeyi ekledin ama noter onu gizli tutmadı. Hemen yüksek sesle okudu. Mesleki gereklilik.</t>
        </is>
      </c>
      <c r="K1133" s="6" t="inlineStr">
        <is>
          <t>Gizli madde: 'Evi, kediyi en çok seven alır.' Ertesi pazar kapında mamayla gelen akrabalar sıraya girdi. Kedi iki kilo aldı; akrabalar birbirine küstü.</t>
        </is>
      </c>
      <c r="L1133" s="6" t="inlineStr"/>
      <c r="M1133" s="5" t="inlineStr"/>
      <c r="N1133" s="5" t="inlineStr"/>
      <c r="O1133" s="6" t="inlineStr"/>
      <c r="P1133" s="6" t="inlineStr"/>
      <c r="Q1133" s="5" t="inlineStr"/>
      <c r="R1133" s="5" t="inlineStr"/>
      <c r="S1133" s="5" t="inlineStr">
        <is>
          <t>Kurnazlık</t>
        </is>
      </c>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row>
    <row r="1134">
      <c r="A1134" s="5" t="inlineStr">
        <is>
          <t>b9-dev-kabak</t>
        </is>
      </c>
      <c r="B1134" s="5" t="n">
        <v>1</v>
      </c>
      <c r="C1134" s="6" t="inlineStr">
        <is>
          <t>Kabağı kendin taşı</t>
        </is>
      </c>
      <c r="D1134" s="5" t="inlineStr">
        <is>
          <t>Dayanıklılık</t>
        </is>
      </c>
      <c r="E1134" s="5" t="inlineStr">
        <is>
          <t>Zor</t>
        </is>
      </c>
      <c r="F1134" s="5" t="inlineStr"/>
      <c r="G1134" s="6" t="inlineStr"/>
      <c r="H1134" s="6" t="inlineStr">
        <is>
          <t>Kabağı taşıdın. Yarışmada ikinci oldun. Birinciyi taşıyan, bir forklifti vardı.</t>
        </is>
      </c>
      <c r="I1134" s="6" t="inlineStr">
        <is>
          <t>Kabağı kaldırdın ve yarışmada birinci oldun. Belediye sana plaket verdi. Plaket kabak şeklinde.</t>
        </is>
      </c>
      <c r="J1134" s="6" t="inlineStr">
        <is>
          <t>Kabağı kaldıramadın. Kabak bahçede kaldı ve kışın çürüdü. Bahar geldiğinde yeni kabaklar filizlendi.</t>
        </is>
      </c>
      <c r="K1134" s="6" t="inlineStr">
        <is>
          <t>Kabağı kaldırmaya çalıştın; kabak yuvarlandı ve komşunun çitini yıktı. Kabak yarışmada, sen tutanakta.</t>
        </is>
      </c>
      <c r="L1134" s="6" t="inlineStr">
        <is>
          <t>Kabağı bahçe kapısına kadar getirdin, orada yere bıraktın. Yarışmaya komşunun traktörüyle gitti; jüri kabul etti, belin etmedi.</t>
        </is>
      </c>
      <c r="M1134" s="5" t="inlineStr">
        <is>
          <t>balance</t>
        </is>
      </c>
      <c r="N1134" s="5" t="inlineStr">
        <is>
          <t>Kabak Arabası</t>
        </is>
      </c>
      <c r="O1134" s="6" t="inlineStr">
        <is>
          <t>El arabasındaki kabağı dengede tut; bahçe kapısına kadar düşürme. Belin de seninle.</t>
        </is>
      </c>
      <c r="P1134" s="6" t="inlineStr">
        <is>
          <t>{"item": "🎃"}</t>
        </is>
      </c>
      <c r="Q1134" s="5" t="inlineStr"/>
      <c r="R1134" s="5" t="inlineStr"/>
      <c r="S1134" s="5" t="inlineStr"/>
      <c r="T1134" s="5" t="inlineStr"/>
      <c r="U1134" s="5" t="inlineStr"/>
      <c r="V1134" s="5" t="inlineStr"/>
      <c r="W1134" s="5" t="inlineStr"/>
      <c r="X1134" s="5" t="inlineStr"/>
      <c r="Y1134" s="5" t="n">
        <v>1</v>
      </c>
      <c r="Z1134" s="6" t="inlineStr">
        <is>
          <t>Bahçede dev kabak hasadında. Kabak yarışmada birinci oldu.</t>
        </is>
      </c>
      <c r="AA1134" s="5" t="inlineStr"/>
      <c r="AB1134" s="5" t="inlineStr"/>
      <c r="AC1134" s="5" t="inlineStr"/>
      <c r="AD1134" s="5" t="inlineStr"/>
      <c r="AE1134" s="5" t="inlineStr"/>
      <c r="AF1134" s="5" t="inlineStr"/>
      <c r="AG1134" s="5" t="inlineStr"/>
      <c r="AH1134" s="5" t="inlineStr"/>
      <c r="AI1134" s="5" t="inlineStr">
        <is>
          <t>Kabak</t>
        </is>
      </c>
    </row>
    <row r="1135">
      <c r="A1135" s="5" t="inlineStr">
        <is>
          <t>b9-dev-kabak</t>
        </is>
      </c>
      <c r="B1135" s="5" t="n">
        <v>2</v>
      </c>
      <c r="C1135" s="6" t="inlineStr">
        <is>
          <t>Kabaktan komşulara reçel yap</t>
        </is>
      </c>
      <c r="D1135" s="5" t="inlineStr"/>
      <c r="E1135" s="5" t="inlineStr"/>
      <c r="F1135" s="5" t="inlineStr">
        <is>
          <t>Gönül +1</t>
        </is>
      </c>
      <c r="G1135" s="6" t="inlineStr">
        <is>
          <t>Kabak reçeli yaptın. Otuz kavanoz. Komşular teşekkür etti. Bir yıl boyunca her gün kabak reçeli yedin.</t>
        </is>
      </c>
      <c r="H1135" s="6" t="inlineStr"/>
      <c r="I1135" s="6" t="inlineStr"/>
      <c r="J1135" s="6" t="inlineStr"/>
      <c r="K1135" s="6" t="inlineStr"/>
      <c r="L1135" s="6" t="inlineStr"/>
      <c r="M1135" s="5" t="inlineStr"/>
      <c r="N1135" s="5" t="inlineStr"/>
      <c r="O1135" s="6" t="inlineStr"/>
      <c r="P1135" s="6" t="inlineStr"/>
      <c r="Q1135" s="5" t="inlineStr"/>
      <c r="R1135" s="5" t="inlineStr"/>
      <c r="S1135" s="5" t="inlineStr"/>
      <c r="T1135" s="5" t="inlineStr"/>
      <c r="U1135" s="5" t="inlineStr"/>
      <c r="V1135" s="5" t="inlineStr"/>
      <c r="W1135" s="5" t="inlineStr"/>
      <c r="X1135" s="5" t="inlineStr"/>
      <c r="Y1135" s="5" t="inlineStr"/>
      <c r="Z1135" s="6" t="inlineStr"/>
      <c r="AA1135" s="5" t="inlineStr"/>
      <c r="AB1135" s="5" t="inlineStr"/>
      <c r="AC1135" s="5" t="inlineStr"/>
      <c r="AD1135" s="5" t="inlineStr"/>
      <c r="AE1135" s="5" t="inlineStr"/>
      <c r="AF1135" s="5" t="inlineStr"/>
      <c r="AG1135" s="5" t="inlineStr"/>
      <c r="AH1135" s="5" t="inlineStr"/>
      <c r="AI1135" s="5" t="inlineStr"/>
    </row>
    <row r="1136">
      <c r="A1136" s="5" t="inlineStr">
        <is>
          <t>b9-dev-kabak</t>
        </is>
      </c>
      <c r="B1136" s="5" t="n">
        <v>3</v>
      </c>
      <c r="C1136" s="6" t="inlineStr">
        <is>
          <t>Bahçe Filozofu olarak ilan et</t>
        </is>
      </c>
      <c r="D1136" s="5" t="inlineStr">
        <is>
          <t>Çene</t>
        </is>
      </c>
      <c r="E1136" s="5" t="inlineStr">
        <is>
          <t>Orta</t>
        </is>
      </c>
      <c r="F1136" s="5" t="inlineStr"/>
      <c r="G1136" s="6" t="inlineStr"/>
      <c r="H1136" s="6" t="inlineStr">
        <is>
          <t>Kabağın yanında 'Sabır, büyük sonuç verir' tabelası koydun. Mahalle fotoğraf çekmeye geldi.</t>
        </is>
      </c>
      <c r="I1136" s="6" t="inlineStr">
        <is>
          <t>Kabağının fotoğrafı mahalle grubunda viral oldu. Belediye kabağına bir isim vermeni istedi.</t>
        </is>
      </c>
      <c r="J1136" s="6" t="inlineStr">
        <is>
          <t>Tabelayı koydun; kabak tabelanın üstüne yuvarlandı. Felsefe ezildi.</t>
        </is>
      </c>
      <c r="K1136" s="6" t="inlineStr">
        <is>
          <t>Tabelayı koydun. Ertesi sabah kabağın yarısı yoktu; yan komşunun mutfağından kabak tatlısı kokusu geliyordu. Tabela yerinde duruyor: 'Sabır, büyük sonuç verir.'</t>
        </is>
      </c>
      <c r="L1136" s="6" t="inlineStr"/>
      <c r="M1136" s="5" t="inlineStr"/>
      <c r="N1136" s="5" t="inlineStr"/>
      <c r="O1136" s="6" t="inlineStr"/>
      <c r="P1136" s="6" t="inlineStr"/>
      <c r="Q1136" s="5" t="inlineStr">
        <is>
          <t>Bahçe Filozofu</t>
        </is>
      </c>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row>
    <row r="1137">
      <c r="A1137" s="5" t="inlineStr">
        <is>
          <t>me-son-kepenk</t>
        </is>
      </c>
      <c r="B1137" s="5" t="n">
        <v>1</v>
      </c>
      <c r="C1137" s="6" t="inlineStr">
        <is>
          <t>Kepengi son kez indir</t>
        </is>
      </c>
      <c r="D1137" s="5" t="inlineStr"/>
      <c r="E1137" s="5" t="inlineStr"/>
      <c r="F1137" s="5" t="inlineStr">
        <is>
          <t>İtibar +1</t>
        </is>
      </c>
      <c r="G1137" s="6" t="inlineStr">
        <is>
          <t>Kepengi indirdin. Mahalle alkışladı. Kepenk de son kez gıcırdayarak katıldı.</t>
        </is>
      </c>
      <c r="H1137" s="6" t="inlineStr"/>
      <c r="I1137" s="6" t="inlineStr"/>
      <c r="J1137" s="6" t="inlineStr"/>
      <c r="K1137" s="6" t="inlineStr"/>
      <c r="L1137" s="6" t="inlineStr"/>
      <c r="M1137" s="5" t="inlineStr"/>
      <c r="N1137" s="5" t="inlineStr"/>
      <c r="O1137" s="6" t="inlineStr"/>
      <c r="P1137" s="6" t="inlineStr"/>
      <c r="Q1137" s="5" t="inlineStr"/>
      <c r="R1137" s="5" t="inlineStr"/>
      <c r="S1137" s="5" t="inlineStr"/>
      <c r="T1137" s="5" t="inlineStr"/>
      <c r="U1137" s="5" t="inlineStr">
        <is>
          <t>emekli</t>
        </is>
      </c>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row>
    <row r="1138">
      <c r="A1138" s="5" t="inlineStr">
        <is>
          <t>me-son-kepenk</t>
        </is>
      </c>
      <c r="B1138" s="5" t="n">
        <v>2</v>
      </c>
      <c r="C1138" s="6" t="inlineStr">
        <is>
          <t>Kepengi yardım almadan indir</t>
        </is>
      </c>
      <c r="D1138" s="5" t="inlineStr">
        <is>
          <t>Dayanıklılık</t>
        </is>
      </c>
      <c r="E1138" s="5" t="inlineStr">
        <is>
          <t>Orta</t>
        </is>
      </c>
      <c r="F1138" s="5" t="inlineStr"/>
      <c r="G1138" s="6" t="inlineStr"/>
      <c r="H1138" s="6" t="inlineStr">
        <is>
          <t>Kepenk tam ortada, yirmi yıldır takıldığı yerde takıldı. Omzunu verdin, indi. Karşıdaki berber alkışladı.</t>
        </is>
      </c>
      <c r="I1138" s="6" t="inlineStr">
        <is>
          <t>Kepengi indirdin, kilidini taktın, anahtarı mahalleden bir çocuğa uzattın: 'Yarın sen aç.'</t>
        </is>
      </c>
      <c r="J1138" s="6" t="inlineStr">
        <is>
          <t>Kepenk yarıda kaldı. Son iş günün yarım kepenkle tarihe geçti.</t>
        </is>
      </c>
      <c r="K1138" s="6" t="inlineStr">
        <is>
          <t>Kepengi indirdin; anahtar içeride kaldı. Emekliliğin çilingirde başladı.</t>
        </is>
      </c>
      <c r="L1138" s="6" t="inlineStr">
        <is>
          <t>Kepenk ortada takıldı. Karşı dükkânın çırağı koştu, birlikte indirdiniz. Son iş günün yardımla bitti; mahalle bunu da alkışladı.</t>
        </is>
      </c>
      <c r="M1138" s="5" t="inlineStr">
        <is>
          <t>hold</t>
        </is>
      </c>
      <c r="N1138" s="5" t="inlineStr">
        <is>
          <t>Son Kepenk</t>
        </is>
      </c>
      <c r="O1138" s="6" t="inlineStr">
        <is>
          <t>Kepengi indirmek için basılı tut; çubuğu tam yerinde bırak, yoksa ortada takılır.</t>
        </is>
      </c>
      <c r="P1138" s="6" t="inlineStr"/>
      <c r="Q1138" s="5" t="inlineStr"/>
      <c r="R1138" s="5" t="inlineStr"/>
      <c r="S1138" s="5" t="inlineStr"/>
      <c r="T1138" s="5" t="inlineStr"/>
      <c r="U1138" s="5" t="inlineStr">
        <is>
          <t>emekli</t>
        </is>
      </c>
      <c r="V1138" s="5" t="inlineStr"/>
      <c r="W1138" s="5" t="inlineStr"/>
      <c r="X1138" s="5" t="inlineStr"/>
      <c r="Y1138" s="5" t="n">
        <v>1</v>
      </c>
      <c r="Z1138" s="6" t="inlineStr">
        <is>
          <t>Son iş gününde, kepengi kimseden yardım istemeden indirirken. Kepenk sonunda yerine oturdu.</t>
        </is>
      </c>
      <c r="AA1138" s="5" t="inlineStr"/>
      <c r="AB1138" s="5" t="inlineStr"/>
      <c r="AC1138" s="5" t="inlineStr"/>
      <c r="AD1138" s="5" t="inlineStr"/>
      <c r="AE1138" s="5" t="inlineStr"/>
      <c r="AF1138" s="5" t="inlineStr"/>
      <c r="AG1138" s="5" t="inlineStr"/>
      <c r="AH1138" s="5" t="inlineStr"/>
      <c r="AI1138" s="5" t="inlineStr"/>
    </row>
    <row r="1139">
      <c r="A1139" s="5" t="inlineStr">
        <is>
          <t>me-son-kepenk</t>
        </is>
      </c>
      <c r="B1139" s="5" t="n">
        <v>3</v>
      </c>
      <c r="C1139" s="6" t="inlineStr">
        <is>
          <t>Veda indirimi yap</t>
        </is>
      </c>
      <c r="D1139" s="5" t="inlineStr">
        <is>
          <t>Çene</t>
        </is>
      </c>
      <c r="E1139" s="5" t="inlineStr">
        <is>
          <t>Kolay</t>
        </is>
      </c>
      <c r="F1139" s="5" t="inlineStr"/>
      <c r="G1139" s="6" t="inlineStr"/>
      <c r="H1139" s="6" t="inlineStr">
        <is>
          <t>Her şey yarı fiyatına. Raflar üç saatte boşaldı. Otuz yıl bir öğleden sonraya sığdı.</t>
        </is>
      </c>
      <c r="I1139" s="6" t="inlineStr">
        <is>
          <t>Raflar boşaldı, müşteriler dükkânın tabelasını da hatıra olarak satın almak istedi. Sattın.</t>
        </is>
      </c>
      <c r="J1139" s="6" t="inlineStr">
        <is>
          <t>Veda indirimini kimse ciddiye almadı. 'Nasılsa yarın açıksın' dediler.</t>
        </is>
      </c>
      <c r="K1139" s="6" t="inlineStr">
        <is>
          <t>Müşteriler 'Toptan olur mu?' dedi. İndirimin üstüne indirim yaptın. Emekliliğe zararla girdin.</t>
        </is>
      </c>
      <c r="L1139" s="6" t="inlineStr"/>
      <c r="M1139" s="5" t="inlineStr"/>
      <c r="N1139" s="5" t="inlineStr"/>
      <c r="O1139" s="6" t="inlineStr"/>
      <c r="P1139" s="6" t="inlineStr"/>
      <c r="Q1139" s="5" t="inlineStr"/>
      <c r="R1139" s="5" t="inlineStr"/>
      <c r="S1139" s="5" t="inlineStr"/>
      <c r="T1139" s="5" t="inlineStr"/>
      <c r="U1139" s="5" t="inlineStr">
        <is>
          <t>emekli</t>
        </is>
      </c>
      <c r="V1139" s="5" t="inlineStr"/>
      <c r="W1139" s="5" t="inlineStr"/>
      <c r="X1139" s="5" t="inlineStr"/>
      <c r="Y1139" s="5" t="inlineStr"/>
      <c r="Z1139" s="6" t="inlineStr"/>
      <c r="AA1139" s="5" t="inlineStr"/>
      <c r="AB1139" s="5" t="inlineStr"/>
      <c r="AC1139" s="5" t="inlineStr"/>
      <c r="AD1139" s="5" t="inlineStr"/>
      <c r="AE1139" s="5" t="inlineStr"/>
      <c r="AF1139" s="5" t="inlineStr"/>
      <c r="AG1139" s="5" t="inlineStr"/>
      <c r="AH1139" s="5" t="inlineStr"/>
      <c r="AI1139" s="5" t="inlineStr"/>
    </row>
    <row r="1140">
      <c r="A1140" s="5" t="inlineStr">
        <is>
          <t>me-son-kepenk</t>
        </is>
      </c>
      <c r="B1140" s="5" t="n">
        <v>4</v>
      </c>
      <c r="C1140" s="6" t="inlineStr">
        <is>
          <t>'Yarın yine gelirim' de</t>
        </is>
      </c>
      <c r="D1140" s="5" t="inlineStr"/>
      <c r="E1140" s="5" t="inlineStr"/>
      <c r="F1140" s="5" t="inlineStr">
        <is>
          <t>Dayanıklılık +1</t>
        </is>
      </c>
      <c r="G1140" s="6" t="inlineStr">
        <is>
          <t>Kepengi yarıya indirip çay demledin. Emeklilik resmen başladı; fiilen yarın 08.00'de yine buradasın.</t>
        </is>
      </c>
      <c r="H1140" s="6" t="inlineStr"/>
      <c r="I1140" s="6" t="inlineStr"/>
      <c r="J1140" s="6" t="inlineStr"/>
      <c r="K1140" s="6" t="inlineStr"/>
      <c r="L1140" s="6" t="inlineStr"/>
      <c r="M1140" s="5" t="inlineStr"/>
      <c r="N1140" s="5" t="inlineStr"/>
      <c r="O1140" s="6" t="inlineStr"/>
      <c r="P1140" s="6" t="inlineStr"/>
      <c r="Q1140" s="5" t="inlineStr"/>
      <c r="R1140" s="5" t="inlineStr"/>
      <c r="S1140" s="5" t="inlineStr"/>
      <c r="T1140" s="5" t="inlineStr"/>
      <c r="U1140" s="5" t="inlineStr"/>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row>
    <row r="1141">
      <c r="A1141" s="5" t="inlineStr">
        <is>
          <t>b9-emekli-seyahati</t>
        </is>
      </c>
      <c r="B1141" s="5" t="n">
        <v>1</v>
      </c>
      <c r="C1141" s="6" t="inlineStr">
        <is>
          <t>Programa harfiyen uy</t>
        </is>
      </c>
      <c r="D1141" s="5" t="inlineStr"/>
      <c r="E1141" s="5" t="inlineStr"/>
      <c r="F1141" s="5" t="inlineStr">
        <is>
          <t>Dayanıklılık +1</t>
        </is>
      </c>
      <c r="G1141" s="6" t="inlineStr">
        <is>
          <t>Yedi müze, üç dükkân ve bir halı mağazası. Dönüşte otobüste herkes uyudu. Şoför dahil kısa süreliğine.</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row>
    <row r="1142">
      <c r="A1142" s="5" t="inlineStr">
        <is>
          <t>b9-emekli-seyahati</t>
        </is>
      </c>
      <c r="B1142" s="5" t="n">
        <v>2</v>
      </c>
      <c r="C1142" s="6" t="inlineStr">
        <is>
          <t>Uçurumun kenarında bir fotoğraf daha çek</t>
        </is>
      </c>
      <c r="D1142" s="5" t="inlineStr">
        <is>
          <t>Cesaret</t>
        </is>
      </c>
      <c r="E1142" s="5" t="inlineStr">
        <is>
          <t>Orta</t>
        </is>
      </c>
      <c r="F1142" s="5" t="inlineStr"/>
      <c r="G1142" s="6" t="inlineStr"/>
      <c r="H1142" s="6" t="inlineStr">
        <is>
          <t>Uçurum kenarında fotoğraf çektin. Manzara muhteşem. Rehber seni otobüse geri çağırdı.</t>
        </is>
      </c>
      <c r="I1142" s="6" t="inlineStr">
        <is>
          <t>Fotoğraf öyle güzel çıktı ki dernek bunu yıllık takvimin kapağı yaptı. Herkes seni tanıyor.</t>
        </is>
      </c>
      <c r="J1142" s="6" t="inlineStr">
        <is>
          <t>Fotoğrafı çektin; parmağın objektifin önündeydi. Anı: bir parmak ve biraz gökyüzü.</t>
        </is>
      </c>
      <c r="K1142" s="6" t="inlineStr">
        <is>
          <t>Fotoğraf çekerken otobüs kalktı. Yoklamada biri senin yerine 'Burada' diye bağırmış. Dönüşü bir karpuz kamyonunun kasasında yaptın.</t>
        </is>
      </c>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n">
        <v>3</v>
      </c>
      <c r="Z1142" s="6" t="inlineStr">
        <is>
          <t>Emekli turunun son durağında, rehberin 'Son bir fotoğraf' demesinden sonra. Fotoğraf çok güzel çıktı.</t>
        </is>
      </c>
      <c r="AA1142" s="5" t="inlineStr"/>
      <c r="AB1142" s="5" t="inlineStr"/>
      <c r="AC1142" s="5" t="inlineStr"/>
      <c r="AD1142" s="5" t="inlineStr"/>
      <c r="AE1142" s="5" t="inlineStr"/>
      <c r="AF1142" s="5" t="inlineStr"/>
      <c r="AG1142" s="5" t="inlineStr"/>
      <c r="AH1142" s="5" t="inlineStr"/>
      <c r="AI1142" s="5" t="inlineStr"/>
    </row>
    <row r="1143">
      <c r="A1143" s="5" t="inlineStr">
        <is>
          <t>b9-emekli-seyahati</t>
        </is>
      </c>
      <c r="B1143" s="5" t="n">
        <v>3</v>
      </c>
      <c r="C1143" s="6" t="inlineStr">
        <is>
          <t>Turun liderliğini devral</t>
        </is>
      </c>
      <c r="D1143" s="5" t="inlineStr">
        <is>
          <t>İtibar</t>
        </is>
      </c>
      <c r="E1143" s="5" t="inlineStr">
        <is>
          <t>Zor</t>
        </is>
      </c>
      <c r="F1143" s="5" t="inlineStr"/>
      <c r="G1143" s="6" t="inlineStr"/>
      <c r="H1143" s="6" t="inlineStr">
        <is>
          <t>Rehberin mikrofonunu aldın. Programa bir çay molası ekledin. Otobüs seni sevdi.</t>
        </is>
      </c>
      <c r="I1143" s="6" t="inlineStr">
        <is>
          <t>Turun liderliğini devraldın; dernek sonraki turu sana verdi. Emekliliğin ikinci mesleği: tur rehberi.</t>
        </is>
      </c>
      <c r="J1143" s="6" t="inlineStr">
        <is>
          <t>Mikrofonu aldın ama ses sistemi arızalı. Sadece ön sıra seni duydu. Yönetim kurulu memnun.</t>
        </is>
      </c>
      <c r="K1143" s="6" t="inlineStr">
        <is>
          <t>Halı mağazasını programdan çıkardın. Rehber mikrofonu geri aldı ve dönüş yolu boyunca sana halı anlattı; dört saat, desen desen.</t>
        </is>
      </c>
      <c r="L1143" s="6" t="inlineStr"/>
      <c r="M1143" s="5" t="inlineStr"/>
      <c r="N1143" s="5" t="inlineStr"/>
      <c r="O1143" s="6" t="inlineStr"/>
      <c r="P1143" s="6" t="inlineStr"/>
      <c r="Q1143" s="5" t="inlineStr">
        <is>
          <t>Kuralı Koyan</t>
        </is>
      </c>
      <c r="R1143" s="5" t="inlineStr"/>
      <c r="S1143" s="5" t="inlineStr"/>
      <c r="T1143" s="5" t="inlineStr"/>
      <c r="U1143" s="5" t="inlineStr"/>
      <c r="V1143" s="5" t="inlineStr"/>
      <c r="W1143" s="5" t="inlineStr"/>
      <c r="X1143" s="5" t="inlineStr"/>
      <c r="Y1143" s="5" t="inlineStr"/>
      <c r="Z1143" s="6" t="inlineStr"/>
      <c r="AA1143" s="5" t="inlineStr"/>
      <c r="AB1143" s="5" t="inlineStr"/>
      <c r="AC1143" s="5" t="inlineStr"/>
      <c r="AD1143" s="5" t="inlineStr"/>
      <c r="AE1143" s="5" t="inlineStr"/>
      <c r="AF1143" s="5" t="inlineStr"/>
      <c r="AG1143" s="5" t="inlineStr"/>
      <c r="AH1143" s="5" t="inlineStr"/>
      <c r="AI1143" s="5" t="inlineStr"/>
    </row>
    <row r="1144">
      <c r="A1144" s="5" t="inlineStr">
        <is>
          <t>b9-sifre-unuttum</t>
        </is>
      </c>
      <c r="B1144" s="5" t="n">
        <v>1</v>
      </c>
      <c r="C1144" s="6" t="inlineStr">
        <is>
          <t>Şubeye git, sırada bekle</t>
        </is>
      </c>
      <c r="D1144" s="5" t="inlineStr"/>
      <c r="E1144" s="5" t="inlineStr"/>
      <c r="F1144" s="5" t="inlineStr">
        <is>
          <t>Dayanıklılık +1</t>
        </is>
      </c>
      <c r="G1144" s="6" t="inlineStr">
        <is>
          <t>Sırada bekledin. Sıra geldiğinde görevli yeni şifreni kâğıda yazmanı önerdi. Kâğıdı hâlâ arıyorsun.</t>
        </is>
      </c>
      <c r="H1144" s="6" t="inlineStr"/>
      <c r="I1144" s="6" t="inlineStr"/>
      <c r="J1144" s="6" t="inlineStr"/>
      <c r="K1144" s="6" t="inlineStr"/>
      <c r="L1144" s="6" t="inlineStr"/>
      <c r="M1144" s="5" t="inlineStr"/>
      <c r="N1144" s="5" t="inlineStr"/>
      <c r="O1144" s="6" t="inlineStr"/>
      <c r="P1144" s="6" t="inlineStr"/>
      <c r="Q1144" s="5" t="inlineStr"/>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row>
    <row r="1145">
      <c r="A1145" s="5" t="inlineStr">
        <is>
          <t>b9-sifre-unuttum</t>
        </is>
      </c>
      <c r="B1145" s="5" t="n">
        <v>2</v>
      </c>
      <c r="C1145" s="6" t="inlineStr">
        <is>
          <t>Şifreyi tahmin et</t>
        </is>
      </c>
      <c r="D1145" s="5" t="inlineStr">
        <is>
          <t>Akıl</t>
        </is>
      </c>
      <c r="E1145" s="5" t="inlineStr">
        <is>
          <t>Zor</t>
        </is>
      </c>
      <c r="F1145" s="5" t="inlineStr"/>
      <c r="G1145" s="6" t="inlineStr"/>
      <c r="H1145" s="6" t="inlineStr">
        <is>
          <t>Üçüncü denemede buldun: ilk evinin kapı numarası ve doğum yılın, tersten. Kendine hayran kaldın; şifreyi bu kez kimseye söylemedin, kendine bile.</t>
        </is>
      </c>
      <c r="I1145" s="6" t="inlineStr">
        <is>
          <t>İlk denemede buldun. Banka seni 'dijital okuryazar' kampanyasına davet etti.</t>
        </is>
      </c>
      <c r="J1145" s="6" t="inlineStr">
        <is>
          <t>Tahminlerin yanlıştı. Hesabın on beş dakika kilitlendi. On beş dakika sonra yine yanlıştı.</t>
        </is>
      </c>
      <c r="K1145" s="6" t="inlineStr">
        <is>
          <t>Üç yanlış tahmin. Hesap kilitlendi. Kilidi açmak için gelen kod, yine eski telefona.</t>
        </is>
      </c>
      <c r="L1145" s="6" t="inlineStr"/>
      <c r="M1145" s="5" t="inlineStr"/>
      <c r="N1145" s="5" t="inlineStr"/>
      <c r="O1145" s="6" t="inlineStr"/>
      <c r="P1145" s="6" t="inlineStr"/>
      <c r="Q1145" s="5" t="inlineStr">
        <is>
          <t>Ukala Ama Haklı</t>
        </is>
      </c>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row>
    <row r="1146">
      <c r="A1146" s="5" t="inlineStr">
        <is>
          <t>b9-sifre-unuttum</t>
        </is>
      </c>
      <c r="B1146" s="5" t="n">
        <v>3</v>
      </c>
      <c r="C1146" s="6" t="inlineStr">
        <is>
          <t>Torunu okuldan ara</t>
        </is>
      </c>
      <c r="D1146" s="5" t="inlineStr">
        <is>
          <t>Çene</t>
        </is>
      </c>
      <c r="E1146" s="5" t="inlineStr">
        <is>
          <t>Orta</t>
        </is>
      </c>
      <c r="F1146" s="5" t="inlineStr"/>
      <c r="G1146" s="6" t="inlineStr"/>
      <c r="H1146" s="6" t="inlineStr">
        <is>
          <t>Torun teneffüste kodu okudu. Hesabın açıldı. Torun karşılığında harçlık istedi. Ödeme de aynı hesaptan.</t>
        </is>
      </c>
      <c r="I1146" s="6" t="inlineStr">
        <is>
          <t>Torun kodu okudu ve şifreni de değiştirdi. Yeni şifren: torunun doğum günü. Unutmayacaksın.</t>
        </is>
      </c>
      <c r="J1146" s="6" t="inlineStr">
        <is>
          <t>Torun derste. Öğretmen telefonu açtı. Kodu öğretmen okudu. Artık öğretmen de şifreni biliyor.</t>
        </is>
      </c>
      <c r="K1146" s="6" t="inlineStr">
        <is>
          <t>Torunu aradın; müdür telefonu açtı. Kodu anons sistemiyle okuttun. Bütün okul artık şifreni biliyor.</t>
        </is>
      </c>
      <c r="L1146" s="6" t="inlineStr"/>
      <c r="M1146" s="5" t="inlineStr"/>
      <c r="N1146" s="5" t="inlineStr"/>
      <c r="O1146" s="6" t="inlineStr"/>
      <c r="P1146" s="6" t="inlineStr"/>
      <c r="Q1146" s="5" t="inlineStr"/>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is>
          <t>Anons</t>
        </is>
      </c>
    </row>
    <row r="1147">
      <c r="A1147" s="5" t="inlineStr">
        <is>
          <t>mb-son-kisa-gorusme</t>
        </is>
      </c>
      <c r="B1147" s="5" t="n">
        <v>1</v>
      </c>
      <c r="C1147" s="6" t="inlineStr">
        <is>
          <t>Telefonu kapat, bahçeye çık</t>
        </is>
      </c>
      <c r="D1147" s="5" t="inlineStr"/>
      <c r="E1147" s="5" t="inlineStr"/>
      <c r="F1147" s="5" t="inlineStr">
        <is>
          <t>Dayanıklılık +1</t>
        </is>
      </c>
      <c r="G1147" s="6" t="inlineStr">
        <is>
          <t>Telefonu kapattın. Otuz küsur yıldır ilk kez takviminde hiçbir şey yok. Korkutucu. Güzel.</t>
        </is>
      </c>
      <c r="H1147" s="6" t="inlineStr"/>
      <c r="I1147" s="6" t="inlineStr"/>
      <c r="J1147" s="6" t="inlineStr"/>
      <c r="K1147" s="6" t="inlineStr"/>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row>
    <row r="1148">
      <c r="A1148" s="5" t="inlineStr">
        <is>
          <t>mb-son-kisa-gorusme</t>
        </is>
      </c>
      <c r="B1148" s="5" t="n">
        <v>2</v>
      </c>
      <c r="C1148" s="6" t="inlineStr">
        <is>
          <t>Danışman olarak dön</t>
        </is>
      </c>
      <c r="D1148" s="5" t="inlineStr">
        <is>
          <t>Çene</t>
        </is>
      </c>
      <c r="E1148" s="5" t="inlineStr">
        <is>
          <t>Orta</t>
        </is>
      </c>
      <c r="F1148" s="5" t="inlineStr"/>
      <c r="G1148" s="6" t="inlineStr"/>
      <c r="H1148" s="6" t="inlineStr">
        <is>
          <t>Haftada iki gün, yüksek saat ücretiyle döndün. Erişim kartın yine tanımlanmadı.</t>
        </is>
      </c>
      <c r="I1148" s="6" t="inlineStr">
        <is>
          <t>Danışman olarak döndün; yönetim kurulu seni 'kurumsal hafıza' ilan etti. Maaşından iyi ücret.</t>
        </is>
      </c>
      <c r="J1148" s="6" t="inlineStr">
        <is>
          <t>Döndün; üç gün sonra 'Yeni yapılanma' e-postası geldi. Danışmanlar dahil.</t>
        </is>
      </c>
      <c r="K1148" s="6" t="inlineStr">
        <is>
          <t>Döndün; ilk toplantın 'Toplantı hakkında toplantı' idi. Otuz yıl boyunca hiç kaçamamışsın.</t>
        </is>
      </c>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row>
    <row r="1149">
      <c r="A1149" s="5" t="inlineStr">
        <is>
          <t>mb-son-kisa-gorusme</t>
        </is>
      </c>
      <c r="B1149" s="5" t="n">
        <v>3</v>
      </c>
      <c r="C1149" s="6" t="inlineStr">
        <is>
          <t>Bu kez 'kısa görüşmeyi' sen yönet</t>
        </is>
      </c>
      <c r="D1149" s="5" t="inlineStr">
        <is>
          <t>Pişkinlik</t>
        </is>
      </c>
      <c r="E1149" s="5" t="inlineStr">
        <is>
          <t>Kolay</t>
        </is>
      </c>
      <c r="F1149" s="5" t="inlineStr"/>
      <c r="G1149" s="6" t="inlineStr"/>
      <c r="H1149" s="6" t="inlineStr">
        <is>
          <t>Bu kez odada karşında şirket vardı. Saat ücretini sen belirledin.</t>
        </is>
      </c>
      <c r="I1149" s="6" t="inlineStr">
        <is>
          <t>Şartları sen koydun: uzaktan, kamera kapalı, pijamayla. Hepsi kabul edildi.</t>
        </is>
      </c>
      <c r="J1149" s="6" t="inlineStr">
        <is>
          <t>Pazarlık ettin; teklif yapay zekâ aracına gitti. Araç seni hatırladı. İyi anlamda değil.</t>
        </is>
      </c>
      <c r="K1149" s="6" t="inlineStr">
        <is>
          <t>Görüşmeyi sen yönettin; sonunda alışkanlıkla 'Kartınızı masaya bırakın' dedin. Eski stajyerin bir an sana inandı. Teklif masadan kalktı.</t>
        </is>
      </c>
      <c r="L1149" s="6" t="inlineStr"/>
      <c r="M1149" s="5" t="inlineStr"/>
      <c r="N1149" s="5" t="inlineStr"/>
      <c r="O1149" s="6" t="inlineStr"/>
      <c r="P1149" s="6" t="inlineStr"/>
      <c r="Q1149" s="5" t="inlineStr"/>
      <c r="R1149" s="5" t="inlineStr">
        <is>
          <t>beyazyaka-sag-kaldi</t>
        </is>
      </c>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row>
    <row r="1150">
      <c r="A1150" s="5" t="inlineStr">
        <is>
          <t>b9-site-toplantisi</t>
        </is>
      </c>
      <c r="B1150" s="5" t="n">
        <v>1</v>
      </c>
      <c r="C1150" s="6" t="inlineStr">
        <is>
          <t>Yöneticiliği kabul et</t>
        </is>
      </c>
      <c r="D1150" s="5" t="inlineStr"/>
      <c r="E1150" s="5" t="inlineStr"/>
      <c r="F1150" s="5" t="inlineStr">
        <is>
          <t>İtibar +1, Dayanıklılık +1</t>
        </is>
      </c>
      <c r="G1150" s="6" t="inlineStr">
        <is>
          <t>Yönetici oldun. Artık gece üçte biri kapını çalıp 'Kalorifer yanmıyor' diyor. Maaşı yok, prestiji tartışmalı.</t>
        </is>
      </c>
      <c r="H1150" s="6" t="inlineStr"/>
      <c r="I1150" s="6" t="inlineStr"/>
      <c r="J1150" s="6" t="inlineStr"/>
      <c r="K1150" s="6" t="inlineStr"/>
      <c r="L1150" s="6" t="inlineStr"/>
      <c r="M1150" s="5" t="inlineStr"/>
      <c r="N1150" s="5" t="inlineStr"/>
      <c r="O1150" s="6" t="inlineStr"/>
      <c r="P1150" s="6" t="inlineStr"/>
      <c r="Q1150" s="5" t="inlineStr"/>
      <c r="R1150" s="5" t="inlineStr"/>
      <c r="S1150" s="5" t="inlineStr"/>
      <c r="T1150" s="5" t="inlineStr"/>
      <c r="U1150" s="5" t="inlineStr">
        <is>
          <t>site-yoneticisi</t>
        </is>
      </c>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row>
    <row r="1151">
      <c r="A1151" s="5" t="inlineStr">
        <is>
          <t>b9-site-toplantisi</t>
        </is>
      </c>
      <c r="B1151" s="5" t="n">
        <v>2</v>
      </c>
      <c r="C1151" s="6" t="inlineStr">
        <is>
          <t>Asansör için söz al</t>
        </is>
      </c>
      <c r="D1151" s="5" t="inlineStr">
        <is>
          <t>Cesaret</t>
        </is>
      </c>
      <c r="E1151" s="5" t="inlineStr">
        <is>
          <t>Zor</t>
        </is>
      </c>
      <c r="F1151" s="5" t="inlineStr"/>
      <c r="G1151" s="6" t="inlineStr"/>
      <c r="H1151" s="6" t="inlineStr">
        <is>
          <t>Söz aldın ve asansör tamiri oy birliğiyle kabul edildi. Dördüncü kat sana bir tepsi baklava yolladı.</t>
        </is>
      </c>
      <c r="I1151" s="6" t="inlineStr">
        <is>
          <t>Söz aldın, asansör tamir edildi ve bir de çatı yenilendi. Toplantı tarihe 'Büyük Söz' olarak geçti.</t>
        </is>
      </c>
      <c r="J1151" s="6" t="inlineStr">
        <is>
          <t>Söz aldın, asansör oylandı; tamir değil, 'inceleme' kabul edildi. İnceleme üç yıl sürecek.</t>
        </is>
      </c>
      <c r="K1151" s="6" t="inlineStr">
        <is>
          <t>Söz aldın; aidat iki katına çıktı, asansör yine arızalı. Aidatın yarısı asansör için ayrılan fona gitti. Fon kaybolmuş.</t>
        </is>
      </c>
      <c r="L1151" s="6" t="inlineStr"/>
      <c r="M1151" s="5" t="inlineStr"/>
      <c r="N1151" s="5" t="inlineStr"/>
      <c r="O1151" s="6" t="inlineStr"/>
      <c r="P1151" s="6" t="inlineStr"/>
      <c r="Q1151" s="5" t="inlineStr"/>
      <c r="R1151" s="5" t="inlineStr"/>
      <c r="S1151" s="5" t="inlineStr"/>
      <c r="T1151" s="5" t="inlineStr"/>
      <c r="U1151" s="5" t="inlineStr"/>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row>
    <row r="1152">
      <c r="A1152" s="5" t="inlineStr">
        <is>
          <t>b9-site-toplantisi</t>
        </is>
      </c>
      <c r="B1152" s="5" t="n">
        <v>3</v>
      </c>
      <c r="C1152" s="6" t="inlineStr">
        <is>
          <t>Toplantıyı yönet</t>
        </is>
      </c>
      <c r="D1152" s="5" t="inlineStr">
        <is>
          <t>İtibar</t>
        </is>
      </c>
      <c r="E1152" s="5" t="inlineStr">
        <is>
          <t>Orta</t>
        </is>
      </c>
      <c r="F1152" s="5" t="inlineStr"/>
      <c r="G1152" s="6" t="inlineStr"/>
      <c r="H1152" s="6" t="inlineStr">
        <is>
          <t>Toplantıyı yönettin, gündem kırk dakikada bitti. Rekor. Sakinler sana şaşkınlıkla baktı.</t>
        </is>
      </c>
      <c r="I1152" s="6" t="inlineStr">
        <is>
          <t>Toplantıyı yönettin; aidat düştü, asansör tamir edildi. Seni bir sonraki yıl için oy birliğiyle yeniden seçtiler.</t>
        </is>
      </c>
      <c r="J1152" s="6" t="inlineStr">
        <is>
          <t>Toplantıyı yönettin; gündem aidat artışında takıldı. Toplantı üç saat sürdü. Sen de artık yönetici değil, mağdursun.</t>
        </is>
      </c>
      <c r="K1152" s="6" t="inlineStr">
        <is>
          <t>Toplantıyı yönetirken bir sakinin sözünü kestin. Sakin, eski sınıf arkadaşın çıktı. Başkanlık yarışı yeniden alevlendi.</t>
        </is>
      </c>
      <c r="L1152" s="6" t="inlineStr"/>
      <c r="M1152" s="5" t="inlineStr"/>
      <c r="N1152" s="5" t="inlineStr"/>
      <c r="O1152" s="6" t="inlineStr"/>
      <c r="P1152" s="6" t="inlineStr"/>
      <c r="Q1152" s="5" t="inlineStr"/>
      <c r="R1152" s="5" t="inlineStr">
        <is>
          <t>baskan</t>
        </is>
      </c>
      <c r="S1152" s="5" t="inlineStr"/>
      <c r="T1152" s="5" t="inlineStr"/>
      <c r="U1152" s="5" t="inlineStr"/>
      <c r="V1152" s="5" t="inlineStr">
        <is>
          <t>site-yoneticisi</t>
        </is>
      </c>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row>
    <row r="1153">
      <c r="A1153" s="5" t="inlineStr">
        <is>
          <t>b9-torunun-sorusu</t>
        </is>
      </c>
      <c r="B1153" s="5" t="n">
        <v>1</v>
      </c>
      <c r="C1153" s="6" t="inlineStr">
        <is>
          <t>Doğruyu anlat</t>
        </is>
      </c>
      <c r="D1153" s="5" t="inlineStr"/>
      <c r="E1153" s="5" t="inlineStr"/>
      <c r="F1153" s="5" t="inlineStr">
        <is>
          <t>Akıl +1, Gönül +1</t>
        </is>
      </c>
      <c r="G1153" s="6" t="inlineStr">
        <is>
          <t>Ekrana parmakla yazdığınızı anlattın. Torun parmaklarına baktı: 'Acımıyor muydu?' Aile grubundaki sesli mesaj kavgalarını anlatman bir saat sürdü.</t>
        </is>
      </c>
      <c r="H1153" s="6" t="inlineStr"/>
      <c r="I1153" s="6" t="inlineStr"/>
      <c r="J1153" s="6" t="inlineStr"/>
      <c r="K1153" s="6" t="inlineStr"/>
      <c r="L1153" s="6" t="inlineStr"/>
      <c r="M1153" s="5" t="inlineStr"/>
      <c r="N1153" s="5" t="inlineStr"/>
      <c r="O1153" s="6" t="inlineStr"/>
      <c r="P1153" s="6" t="inlineStr"/>
      <c r="Q1153" s="5" t="inlineStr"/>
      <c r="R1153" s="5" t="inlineStr"/>
      <c r="S1153" s="5" t="inlineStr"/>
      <c r="T1153" s="5" t="inlineStr"/>
      <c r="U1153" s="5" t="inlineStr"/>
      <c r="V1153" s="5" t="inlineStr"/>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row>
    <row r="1154">
      <c r="A1154" s="5" t="inlineStr">
        <is>
          <t>b9-torunun-sorusu</t>
        </is>
      </c>
      <c r="B1154" s="5" t="n">
        <v>2</v>
      </c>
      <c r="C1154" s="6" t="inlineStr">
        <is>
          <t>Abartarak anlat</t>
        </is>
      </c>
      <c r="D1154" s="5" t="inlineStr">
        <is>
          <t>Pişkinlik</t>
        </is>
      </c>
      <c r="E1154" s="5" t="inlineStr">
        <is>
          <t>Orta</t>
        </is>
      </c>
      <c r="F1154" s="5" t="inlineStr"/>
      <c r="G1154" s="6" t="inlineStr"/>
      <c r="H1154" s="6" t="inlineStr">
        <is>
          <t>Şarj bitince mesajları güvercinle yolladığınızı anlattın. Torun inandı, okulda anlattı. Öğretmen seni aradı.</t>
        </is>
      </c>
      <c r="I1154" s="6" t="inlineStr">
        <is>
          <t>Hikâyen öyle iyiydi ki torun onu ödev olarak yazdı ve sınıf birincisi oldu. Ödülünü sana getirdi: bir yıldız çıkartması, şimdi buzdolabında.</t>
        </is>
      </c>
      <c r="J1154" s="6" t="inlineStr">
        <is>
          <t>Abarttın; torun internetten kontrol etti. 'Bu yalan' dedi. Teknoloji seni yine yakaladı.</t>
        </is>
      </c>
      <c r="K1154" s="6" t="inlineStr">
        <is>
          <t>Abarttın ve kendin de inandın. Artık gençliğinde bir güvercin sahibi olduğunu düşünüyorsun.</t>
        </is>
      </c>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is>
          <t>Güvercinli</t>
        </is>
      </c>
    </row>
    <row r="1155">
      <c r="A1155" s="5" t="inlineStr">
        <is>
          <t>b9-torunun-sorusu</t>
        </is>
      </c>
      <c r="B1155" s="5" t="n">
        <v>3</v>
      </c>
      <c r="C1155" s="6" t="inlineStr">
        <is>
          <t>Tavla öğret</t>
        </is>
      </c>
      <c r="D1155" s="5" t="inlineStr">
        <is>
          <t>Kurnazlık</t>
        </is>
      </c>
      <c r="E1155" s="5" t="inlineStr">
        <is>
          <t>Kolay</t>
        </is>
      </c>
      <c r="F1155" s="5" t="inlineStr"/>
      <c r="G1155" s="6" t="inlineStr"/>
      <c r="H1155" s="6" t="inlineStr">
        <is>
          <t>Telefonu bıraktın, tavla öğrettin. Torun ilk oyunda sana mars oldu. Başlangıç şansı dedin.</t>
        </is>
      </c>
      <c r="I1155" s="6" t="inlineStr">
        <is>
          <t>Torun tavlayı o kadar sevdi ki okulda bir lig kurdu. Adı: 'Kurt Ligi'. Kurucusu sensin.</t>
        </is>
      </c>
      <c r="J1155" s="6" t="inlineStr">
        <is>
          <t>Tavla öğrettin; torun sıkıldı ve telefonuna döndü. Telefonda bir tavla uygulaması açtı. Seni yendi.</t>
        </is>
      </c>
      <c r="K1155" s="6" t="inlineStr">
        <is>
          <t>Tavla öğrettin; torun ikinci oyunda senin eski bir hileni yakaladı. Akşam aile grubuna yazdı: 'Hile yapıyor, kanıtım var.' Videosu da vardı.</t>
        </is>
      </c>
      <c r="L1155" s="6" t="inlineStr"/>
      <c r="M1155" s="5" t="inlineStr"/>
      <c r="N1155" s="5" t="inlineStr"/>
      <c r="O1155" s="6" t="inlineStr"/>
      <c r="P1155" s="6" t="inlineStr"/>
      <c r="Q1155" s="5" t="inlineStr">
        <is>
          <t>Tavla Kurdu</t>
        </is>
      </c>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row>
    <row r="1156">
      <c r="A1156" s="5" t="inlineStr">
        <is>
          <t>ms-son-roportaj</t>
        </is>
      </c>
      <c r="B1156" s="5" t="n">
        <v>1</v>
      </c>
      <c r="C1156" s="6" t="inlineStr">
        <is>
          <t>Dürüst cevap ver</t>
        </is>
      </c>
      <c r="D1156" s="5" t="inlineStr"/>
      <c r="E1156" s="5" t="inlineStr"/>
      <c r="F1156" s="5" t="inlineStr">
        <is>
          <t>İtibar +1</t>
        </is>
      </c>
      <c r="G1156" s="6" t="inlineStr">
        <is>
          <t>Cevabın 'Bilmiyorum' oldu. Öğrenci bunu tezine başlık yaptı.</t>
        </is>
      </c>
      <c r="H1156" s="6" t="inlineStr"/>
      <c r="I1156" s="6" t="inlineStr"/>
      <c r="J1156" s="6" t="inlineStr"/>
      <c r="K1156" s="6" t="inlineStr"/>
      <c r="L1156" s="6" t="inlineStr"/>
      <c r="M1156" s="5" t="inlineStr"/>
      <c r="N1156" s="5" t="inlineStr"/>
      <c r="O1156" s="6" t="inlineStr"/>
      <c r="P1156" s="6" t="inlineStr"/>
      <c r="Q1156" s="5" t="inlineStr"/>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row>
    <row r="1157">
      <c r="A1157" s="5" t="inlineStr">
        <is>
          <t>ms-son-roportaj</t>
        </is>
      </c>
      <c r="B1157" s="5" t="n">
        <v>2</v>
      </c>
      <c r="C1157" s="6" t="inlineStr">
        <is>
          <t>Efsane uydur</t>
        </is>
      </c>
      <c r="D1157" s="5" t="inlineStr">
        <is>
          <t>Pişkinlik</t>
        </is>
      </c>
      <c r="E1157" s="5" t="inlineStr">
        <is>
          <t>Orta</t>
        </is>
      </c>
      <c r="F1157" s="5" t="inlineStr"/>
      <c r="G1157" s="6" t="inlineStr"/>
      <c r="H1157" s="6" t="inlineStr">
        <is>
          <t>Bir koleksiyoncu, bir kayıp tablo ve bir fırtınalı gece anlattın. Tez çok beğenildi.</t>
        </is>
      </c>
      <c r="I1157" s="6" t="inlineStr">
        <is>
          <t>Uydurduğun hikâye o kadar sevildi ki üniversite ders kitabına girdi. Artık gerçek.</t>
        </is>
      </c>
      <c r="J1157" s="6" t="inlineStr">
        <is>
          <t>Öğrenci her şeyi kontrol etti. Fırtınalı gecenin hava durumu güneşli çıktı.</t>
        </is>
      </c>
      <c r="K1157" s="6" t="inlineStr">
        <is>
          <t>Hikâyeyi anlatırken üç kez farklı bitirdin. Tezin adı 'Güvenilmez Anlatıcı' oldu.</t>
        </is>
      </c>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row>
    <row r="1158">
      <c r="A1158" s="5" t="inlineStr">
        <is>
          <t>ms-son-roportaj</t>
        </is>
      </c>
      <c r="B1158" s="5" t="n">
        <v>3</v>
      </c>
      <c r="C1158" s="6" t="inlineStr">
        <is>
          <t>'Tezine ücret ödeyemem ama görünürlük sağlarım' de</t>
        </is>
      </c>
      <c r="D1158" s="5" t="inlineStr">
        <is>
          <t>Kurnazlık</t>
        </is>
      </c>
      <c r="E1158" s="5" t="inlineStr">
        <is>
          <t>Kolay</t>
        </is>
      </c>
      <c r="F1158" s="5" t="inlineStr"/>
      <c r="G1158" s="6" t="inlineStr"/>
      <c r="H1158" s="6" t="inlineStr">
        <is>
          <t>Öğrenci güldü. Kırk yıllık döngü, bir kafe masasında sessizce tamamlandı.</t>
        </is>
      </c>
      <c r="I1158" s="6" t="inlineStr">
        <is>
          <t>Öğrenci 'Kabul' dedi. Tezin kapağında adın, altında 'görünürlük sponsoru' yazıyor.</t>
        </is>
      </c>
      <c r="J1158" s="6" t="inlineStr">
        <is>
          <t>Öğrenci şakayı anlamadı ve fatura kesmeye kalktı. Kaşesi yokmuş.</t>
        </is>
      </c>
      <c r="K1158" s="6" t="inlineStr">
        <is>
          <t>Öğrenci ciddi ciddi 'Kaç takipçiniz var?' diye sordu. Sayı yetmedi.</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row>
    <row r="1159">
      <c r="A1159" s="5" t="inlineStr">
        <is>
          <t>ms-son-roportaj</t>
        </is>
      </c>
      <c r="B1159" s="5" t="n">
        <v>4</v>
      </c>
      <c r="C1159" s="6" t="inlineStr">
        <is>
          <t>Fon başvurusu yazmayı öğret</t>
        </is>
      </c>
      <c r="D1159" s="5" t="inlineStr">
        <is>
          <t>Akıl</t>
        </is>
      </c>
      <c r="E1159" s="5" t="inlineStr">
        <is>
          <t>Kolay</t>
        </is>
      </c>
      <c r="F1159" s="5" t="inlineStr"/>
      <c r="G1159" s="6" t="inlineStr"/>
      <c r="H1159" s="6" t="inlineStr">
        <is>
          <t>Kırk iki sayfalık formun sırlarını anlattın. Öğrencin ilk başvurusunda fonu aldı.</t>
        </is>
      </c>
      <c r="I1159" s="6" t="inlineStr">
        <is>
          <t>Öğrencin fonu aldı ve teşekkür bölümüne seni yazdı. Doğru yazılmış.</t>
        </is>
      </c>
      <c r="J1159" s="6" t="inlineStr">
        <is>
          <t>Anlattın; bu yıl form yüz sayfaya çıkmış.</t>
        </is>
      </c>
      <c r="K1159" s="6" t="inlineStr">
        <is>
          <t>Öğrettiğin her şey eskimiş. Başvuruları artık bir yapay zekâ okuyor; kırk iki sayfanı tek satıra indirdi: 'Fazla duygusal.'</t>
        </is>
      </c>
      <c r="L1159" s="6" t="inlineStr"/>
      <c r="M1159" s="5" t="inlineStr"/>
      <c r="N1159" s="5" t="inlineStr"/>
      <c r="O1159" s="6" t="inlineStr"/>
      <c r="P1159" s="6" t="inlineStr"/>
      <c r="Q1159" s="5" t="inlineStr"/>
      <c r="R1159" s="5" t="inlineStr">
        <is>
          <t>serbest-fon-aldi</t>
        </is>
      </c>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row>
    <row r="1160">
      <c r="A1160" s="5" t="inlineStr">
        <is>
          <t>b9-hayat-muhasebesi</t>
        </is>
      </c>
      <c r="B1160" s="5" t="n">
        <v>1</v>
      </c>
      <c r="C1160" s="6" t="inlineStr">
        <is>
          <t>Alkışla, pastayı kes</t>
        </is>
      </c>
      <c r="D1160" s="5" t="inlineStr"/>
      <c r="E1160" s="5" t="inlineStr"/>
      <c r="F1160" s="5" t="inlineStr">
        <is>
          <t>İtibar +1, Dayanıklılık +1</t>
        </is>
      </c>
      <c r="G1160" s="6" t="inlineStr">
        <is>
          <t>Alkışladın, pastayı kestin. Yetmiş mumun yarısı sönmedi; kalanını sofradaki en küçükler üfledi.</t>
        </is>
      </c>
      <c r="H1160" s="6" t="inlineStr"/>
      <c r="I1160" s="6" t="inlineStr"/>
      <c r="J1160" s="6" t="inlineStr"/>
      <c r="K1160" s="6" t="inlineStr"/>
      <c r="L1160" s="6" t="inlineStr"/>
      <c r="M1160" s="5" t="inlineStr"/>
      <c r="N1160" s="5" t="inlineStr"/>
      <c r="O1160" s="6" t="inlineStr"/>
      <c r="P1160" s="6" t="inlineStr"/>
      <c r="Q1160" s="5" t="inlineStr"/>
      <c r="R1160" s="5" t="inlineStr"/>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row>
    <row r="1161">
      <c r="A1161" s="5" t="inlineStr">
        <is>
          <t>b9-hayat-muhasebesi</t>
        </is>
      </c>
      <c r="B1161" s="5" t="n">
        <v>2</v>
      </c>
      <c r="C1161" s="6" t="inlineStr">
        <is>
          <t>Her fotoğrafın hikâyesini anlat</t>
        </is>
      </c>
      <c r="D1161" s="5" t="inlineStr">
        <is>
          <t>Çene</t>
        </is>
      </c>
      <c r="E1161" s="5" t="inlineStr">
        <is>
          <t>Orta</t>
        </is>
      </c>
      <c r="F1161" s="5" t="inlineStr"/>
      <c r="G1161" s="6" t="inlineStr"/>
      <c r="H1161" s="6" t="inlineStr">
        <is>
          <t>Anlattın. Torunlar ilk kez dinledi. Bir saat sonra slaytların yarısında kaldınız.</t>
        </is>
      </c>
      <c r="I1161" s="6" t="inlineStr">
        <is>
          <t>Anlattığın her hikâyeyi sofradaki en küçük telefonuna kaydetti. Aile grubunda 'Büyüğümüzün sesi' diye bir klasör açıldı; en çok dinlenen, en çok abarttığın.</t>
        </is>
      </c>
      <c r="J1161" s="6" t="inlineStr">
        <is>
          <t>Anlatmaya başladın; slayt gösterisi devam etti. Sen hikâyede, slayt başka yerde.</t>
        </is>
      </c>
      <c r="K1161" s="6" t="inlineStr">
        <is>
          <t>Anlattın ama fotoğraflardaki kişileri karıştırdın. Bir teyze, iki farklı düğünde gelin ilan edildi.</t>
        </is>
      </c>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row>
    <row r="1162">
      <c r="A1162" s="5" t="inlineStr">
        <is>
          <t>b9-hayat-muhasebesi</t>
        </is>
      </c>
      <c r="B1162" s="5" t="n">
        <v>3</v>
      </c>
      <c r="C1162" s="6" t="inlineStr">
        <is>
          <t>Vazo meselesini itiraf et</t>
        </is>
      </c>
      <c r="D1162" s="5" t="inlineStr">
        <is>
          <t>İtibar</t>
        </is>
      </c>
      <c r="E1162" s="5" t="inlineStr">
        <is>
          <t>Zor</t>
        </is>
      </c>
      <c r="F1162" s="5" t="inlineStr"/>
      <c r="G1162" s="6" t="inlineStr"/>
      <c r="H1162" s="6" t="inlineStr">
        <is>
          <t>İtiraf ettin: vazoyu sen kırmıştın. Salonda sessizlik. Sonra alkış. Kedinin ruhu nihayet aklandı.</t>
        </is>
      </c>
      <c r="I1162" s="6" t="inlineStr">
        <is>
          <t>İtiraf ettin ve bir kardeşin de ayağa kalkıp başka bir vazoyu itiraf etti. Aile bir itiraf gecesine dönüştü.</t>
        </is>
      </c>
      <c r="J1162" s="6" t="inlineStr">
        <is>
          <t>İtiraf ettin; kimse şaşırmadı. 'Biliyorduk' dediler. Yetmiş yıl boyunca sadece sen bilmediğini sanmışsın.</t>
        </is>
      </c>
      <c r="K1162" s="6" t="inlineStr">
        <is>
          <t>İtiraf ettin; kedinin adına bir anma dakikası talep edildi. Yaş günün, kedinin yas günü oldu.</t>
        </is>
      </c>
      <c r="L1162" s="6" t="inlineStr"/>
      <c r="M1162" s="5" t="inlineStr"/>
      <c r="N1162" s="5" t="inlineStr"/>
      <c r="O1162" s="6" t="inlineStr"/>
      <c r="P1162" s="6" t="inlineStr"/>
      <c r="Q1162" s="5" t="inlineStr"/>
      <c r="R1162" s="5" t="inlineStr">
        <is>
          <t>kediSuclu</t>
        </is>
      </c>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row>
    <row r="1163">
      <c r="A1163" s="5" t="inlineStr">
        <is>
          <t>b10-noter-vasiyet</t>
        </is>
      </c>
      <c r="B1163" s="5" t="n">
        <v>1</v>
      </c>
      <c r="C1163" s="6" t="inlineStr">
        <is>
          <t>Kaşığına kadar eşit böl</t>
        </is>
      </c>
      <c r="D1163" s="5" t="inlineStr"/>
      <c r="E1163" s="5" t="inlineStr"/>
      <c r="F1163" s="5" t="inlineStr">
        <is>
          <t>İtibar +1</t>
        </is>
      </c>
      <c r="G1163" s="6" t="inlineStr">
        <is>
          <t>Kaşıkları bile saydırdın, her şeyi eşit böldün. Herkes kendi payının en küçük olduğuna ayrı ayrı ikna oldu; bayramda her biri bunu sana ayrı ayrı anlattı.</t>
        </is>
      </c>
      <c r="H1163" s="6" t="inlineStr"/>
      <c r="I1163" s="6" t="inlineStr"/>
      <c r="J1163" s="6" t="inlineStr"/>
      <c r="K1163" s="6" t="inlineStr"/>
      <c r="L1163" s="6" t="inlineStr"/>
      <c r="M1163" s="5" t="inlineStr"/>
      <c r="N1163" s="5" t="inlineStr"/>
      <c r="O1163" s="6" t="inlineStr"/>
      <c r="P1163" s="6" t="inlineStr"/>
      <c r="Q1163" s="5" t="inlineStr"/>
      <c r="R1163" s="5" t="inlineStr"/>
      <c r="S1163" s="5" t="inlineStr"/>
      <c r="T1163" s="5" t="inlineStr"/>
      <c r="U1163" s="5" t="inlineStr">
        <is>
          <t>vasiyet-yazildi</t>
        </is>
      </c>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row>
    <row r="1164">
      <c r="A1164" s="5" t="inlineStr">
        <is>
          <t>b10-noter-vasiyet</t>
        </is>
      </c>
      <c r="B1164" s="5" t="n">
        <v>2</v>
      </c>
      <c r="C1164" s="6" t="inlineStr">
        <is>
          <t>Maddeleri tek tek yazdır</t>
        </is>
      </c>
      <c r="D1164" s="5" t="inlineStr">
        <is>
          <t>Akıl</t>
        </is>
      </c>
      <c r="E1164" s="5" t="inlineStr">
        <is>
          <t>Zor</t>
        </is>
      </c>
      <c r="F1164" s="5" t="inlineStr"/>
      <c r="G1164" s="6" t="inlineStr"/>
      <c r="H1164" s="6" t="inlineStr">
        <is>
          <t>Kırk iki madde, üç ek, bir dipnot. Noter belgeyi 'örnek vasiyet' olarak arşivine aldı.</t>
        </is>
      </c>
      <c r="I1164" s="6" t="inlineStr">
        <is>
          <t>Vasiyet o kadar net oldu ki ailede küsecek kimse kalmadı. Avukat yeğenin bayram sofrasında ilk kez ağzını açmadı.</t>
        </is>
      </c>
      <c r="J1164" s="6" t="inlineStr">
        <is>
          <t>Madde sayısı yirmiyi geçince katip kalemi bıraktı: 'Gerisini haftaya yazalım.' Haftaya kadar fikrin iki kez değişti.</t>
        </is>
      </c>
      <c r="K1164" s="6" t="inlineStr">
        <is>
          <t>Çaydanlığın kime kalacağını üç ayrı maddede üç farklı kişiye bıraktın. Çaydanlık artık bir hukuk sorunu.</t>
        </is>
      </c>
      <c r="L1164" s="6" t="inlineStr"/>
      <c r="M1164" s="5" t="inlineStr"/>
      <c r="N1164" s="5" t="inlineStr"/>
      <c r="O1164" s="6" t="inlineStr"/>
      <c r="P1164" s="6" t="inlineStr"/>
      <c r="Q1164" s="5" t="inlineStr"/>
      <c r="R1164" s="5" t="inlineStr"/>
      <c r="S1164" s="5" t="inlineStr"/>
      <c r="T1164" s="5" t="inlineStr">
        <is>
          <t>Hayat Arşivcisi</t>
        </is>
      </c>
      <c r="U1164" s="5" t="inlineStr"/>
      <c r="V1164" s="5" t="inlineStr">
        <is>
          <t>vasiyet-yazildi</t>
        </is>
      </c>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is>
          <t>Çaydanlık</t>
        </is>
      </c>
    </row>
    <row r="1165">
      <c r="A1165" s="5" t="inlineStr">
        <is>
          <t>b10-noter-vasiyet</t>
        </is>
      </c>
      <c r="B1165" s="5" t="n">
        <v>3</v>
      </c>
      <c r="C1165" s="6" t="inlineStr">
        <is>
          <t>Vasiyete bir mavi kutu ekle</t>
        </is>
      </c>
      <c r="D1165" s="5" t="inlineStr">
        <is>
          <t>Pişkinlik</t>
        </is>
      </c>
      <c r="E1165" s="5" t="inlineStr">
        <is>
          <t>Orta</t>
        </is>
      </c>
      <c r="F1165" s="5" t="inlineStr"/>
      <c r="G1165" s="6" t="inlineStr"/>
      <c r="H1165" s="6" t="inlineStr">
        <is>
          <t>'Mavi kutu, onu hak eden kişiye.' Katip yazarken güldü. O akşam aile grubunda 'hak etmek' kelimesinin anlamı tartışıldı.</t>
        </is>
      </c>
      <c r="I1165" s="6" t="inlineStr">
        <is>
          <t>Mavi kutuyu kimse bulamadı. Akrabalar dolapların üstüne, yatağın altına, turşu kavanozlarının arkasına baktı; ev hiç bu kadar temiz olmamıştı. Sen çayını içip izledin.</t>
        </is>
      </c>
      <c r="J1165" s="6" t="inlineStr">
        <is>
          <t>Gizemli madde noter tarafından 'lütfen açıklayınız' notuyla iade edildi.</t>
        </is>
      </c>
      <c r="K1165" s="6" t="inlineStr">
        <is>
          <t>En meraklı yeğenin mavi kutuyu dolabın üstünde buldu, dayanamadı, açtı. İçinden otuz yıllık elektrik faturaları çıktı. O günden beri akrabalar seni eskisi kadar sık aramıyor.</t>
        </is>
      </c>
      <c r="L1165" s="6" t="inlineStr"/>
      <c r="M1165" s="5" t="inlineStr"/>
      <c r="N1165" s="5" t="inlineStr"/>
      <c r="O1165" s="6" t="inlineStr"/>
      <c r="P1165" s="6" t="inlineStr"/>
      <c r="Q1165" s="5" t="inlineStr"/>
      <c r="R1165" s="5" t="inlineStr"/>
      <c r="S1165" s="5" t="inlineStr"/>
      <c r="T1165" s="5" t="inlineStr"/>
      <c r="U1165" s="5" t="inlineStr">
        <is>
          <t>vasiyet-yazildi</t>
        </is>
      </c>
      <c r="V1165" s="5" t="inlineStr"/>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row>
    <row r="1166">
      <c r="A1166" s="5" t="inlineStr">
        <is>
          <t>b10-noter-vasiyet</t>
        </is>
      </c>
      <c r="B1166" s="5" t="n">
        <v>4</v>
      </c>
      <c r="C1166" s="6" t="inlineStr">
        <is>
          <t>Kumbaranın yerini de yazdır</t>
        </is>
      </c>
      <c r="D1166" s="5" t="inlineStr"/>
      <c r="E1166" s="5" t="inlineStr"/>
      <c r="F1166" s="5" t="inlineStr">
        <is>
          <t>Kurnazlık +1</t>
        </is>
      </c>
      <c r="G1166" s="6" t="inlineStr">
        <is>
          <t>Çocukluktan kalan kumbara vasiyete işlendi. İçindeki bozuklukların alım gücü bir simit, manevi değeri bir ev.</t>
        </is>
      </c>
      <c r="H1166" s="6" t="inlineStr"/>
      <c r="I1166" s="6" t="inlineStr"/>
      <c r="J1166" s="6" t="inlineStr"/>
      <c r="K1166" s="6" t="inlineStr"/>
      <c r="L1166" s="6" t="inlineStr"/>
      <c r="M1166" s="5" t="inlineStr"/>
      <c r="N1166" s="5" t="inlineStr"/>
      <c r="O1166" s="6" t="inlineStr"/>
      <c r="P1166" s="6" t="inlineStr"/>
      <c r="Q1166" s="5" t="inlineStr"/>
      <c r="R1166" s="5" t="inlineStr">
        <is>
          <t>ilkKelimePara</t>
        </is>
      </c>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row>
    <row r="1167">
      <c r="A1167" s="5" t="inlineStr">
        <is>
          <t>b10-miras-provasi</t>
        </is>
      </c>
      <c r="B1167" s="5" t="n">
        <v>1</v>
      </c>
      <c r="C1167" s="6" t="inlineStr">
        <is>
          <t>'Ben daha buradayım' de</t>
        </is>
      </c>
      <c r="D1167" s="5" t="inlineStr"/>
      <c r="E1167" s="5" t="inlineStr"/>
      <c r="F1167" s="5" t="inlineStr">
        <is>
          <t>Cesaret +1</t>
        </is>
      </c>
      <c r="G1167" s="6" t="inlineStr">
        <is>
          <t>Masada kısa bir sessizlik oldu. Sonra biri tatlıyı getirdi ve konu kapandı. Şimdilik.</t>
        </is>
      </c>
      <c r="H1167" s="6" t="inlineStr"/>
      <c r="I1167" s="6" t="inlineStr"/>
      <c r="J1167" s="6" t="inlineStr"/>
      <c r="K1167" s="6" t="inlineStr"/>
      <c r="L1167" s="6" t="inlineStr"/>
      <c r="M1167" s="5" t="inlineStr"/>
      <c r="N1167" s="5" t="inlineStr"/>
      <c r="O1167" s="6" t="inlineStr"/>
      <c r="P1167" s="6" t="inlineStr"/>
      <c r="Q1167" s="5" t="inlineStr"/>
      <c r="R1167" s="5" t="inlineStr"/>
      <c r="S1167" s="5" t="inlineStr"/>
      <c r="T1167" s="5" t="inlineStr"/>
      <c r="U1167" s="5" t="inlineStr"/>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row>
    <row r="1168">
      <c r="A1168" s="5" t="inlineStr">
        <is>
          <t>b10-miras-provasi</t>
        </is>
      </c>
      <c r="B1168" s="5" t="n">
        <v>2</v>
      </c>
      <c r="C1168" s="6" t="inlineStr">
        <is>
          <t>Sahte bir liste okut</t>
        </is>
      </c>
      <c r="D1168" s="5" t="inlineStr">
        <is>
          <t>Kurnazlık</t>
        </is>
      </c>
      <c r="E1168" s="5" t="inlineStr">
        <is>
          <t>Orta</t>
        </is>
      </c>
      <c r="F1168" s="5" t="inlineStr"/>
      <c r="G1168" s="6" t="inlineStr"/>
      <c r="H1168" s="6" t="inlineStr">
        <is>
          <t>Sahte listede takımı en küçük torununa yazdın. Masada üç kişi aynı anda 'Neden o?' dedi. Kimin neyi istediği artık belli.</t>
        </is>
      </c>
      <c r="I1168" s="6" t="inlineStr">
        <is>
          <t>Herkes kendi adını listede en üstte görmek için yarıştı. Bulaşıklar bile yıkandı.</t>
        </is>
      </c>
      <c r="J1168" s="6" t="inlineStr">
        <is>
          <t>Liste okununca kimse tepki vermedi. Herkes kendi gerçek listesini zaten hazırlamıştı.</t>
        </is>
      </c>
      <c r="K1168" s="6" t="inlineStr">
        <is>
          <t>Sahte listeyi gerçek sanan küçük gelin, vitrindeki takımı o gece gazete kâğıdına sarıp paketledi. Sabah vitrinde tek bir şekerlik kaldı.</t>
        </is>
      </c>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row>
    <row r="1169">
      <c r="A1169" s="5" t="inlineStr">
        <is>
          <t>b10-miras-provasi</t>
        </is>
      </c>
      <c r="B1169" s="5" t="n">
        <v>3</v>
      </c>
      <c r="C1169" s="6" t="inlineStr">
        <is>
          <t>'Masanın sol ucu, konuşalım' de</t>
        </is>
      </c>
      <c r="D1169" s="5" t="inlineStr">
        <is>
          <t>Sosyal Radar</t>
        </is>
      </c>
      <c r="E1169" s="5" t="inlineStr">
        <is>
          <t>Kolay</t>
        </is>
      </c>
      <c r="F1169" s="5" t="inlineStr"/>
      <c r="G1169" s="6" t="inlineStr"/>
      <c r="H1169" s="6" t="inlineStr">
        <is>
          <t>Asıl isteyeni adıyla çağırdın. Kızardı: 'Senden bir hatıra olsun istedim, o kadar.' Takım şimdilik vitrinde, ama kimin olacağı belli.</t>
        </is>
      </c>
      <c r="I1169" s="6" t="inlineStr">
        <is>
          <t>Sol uç çözüldü, sağ uç da kendi derdini söyledi. Mesele takım değilmiş; ikisi de sana daha sık gelmek için bahane arıyormuş.</t>
        </is>
      </c>
      <c r="J1169" s="6" t="inlineStr">
        <is>
          <t>Sol uç 'Ben mi?' dedi, sağ uç güldü. Konu bir sonraki pazara ertelendi.</t>
        </is>
      </c>
      <c r="K1169" s="6" t="inlineStr">
        <is>
          <t>Yanlış kişiyi çağırdın. O kişi takımı hiç istememişti; şimdi istiyor.</t>
        </is>
      </c>
      <c r="L1169" s="6" t="inlineStr"/>
      <c r="M1169" s="5" t="inlineStr"/>
      <c r="N1169" s="5" t="inlineStr"/>
      <c r="O1169" s="6" t="inlineStr"/>
      <c r="P1169" s="6" t="inlineStr"/>
      <c r="Q1169" s="5" t="inlineStr"/>
      <c r="R1169" s="5" t="inlineStr"/>
      <c r="S1169" s="5" t="inlineStr">
        <is>
          <t>Sosyal Radar</t>
        </is>
      </c>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row>
    <row r="1170">
      <c r="A1170" s="5" t="inlineStr">
        <is>
          <t>b10-miras-provasi</t>
        </is>
      </c>
      <c r="B1170" s="5" t="n">
        <v>4</v>
      </c>
      <c r="C1170" s="6" t="inlineStr">
        <is>
          <t>Takımı hemen hediye et</t>
        </is>
      </c>
      <c r="D1170" s="5" t="inlineStr"/>
      <c r="E1170" s="5" t="inlineStr"/>
      <c r="F1170" s="5" t="inlineStr">
        <is>
          <t>Gönül +2</t>
        </is>
      </c>
      <c r="G1170" s="6" t="inlineStr">
        <is>
          <t>Takım paketlendi. Diğerleri dolapta başka neler olduğunu not etmeye başladı.</t>
        </is>
      </c>
      <c r="H1170" s="6" t="inlineStr"/>
      <c r="I1170" s="6" t="inlineStr"/>
      <c r="J1170" s="6" t="inlineStr"/>
      <c r="K1170" s="6" t="inlineStr"/>
      <c r="L1170" s="6" t="inlineStr"/>
      <c r="M1170" s="5" t="inlineStr"/>
      <c r="N1170" s="5" t="inlineStr"/>
      <c r="O1170" s="6" t="inlineStr"/>
      <c r="P1170" s="6" t="inlineStr"/>
      <c r="Q1170" s="5" t="inlineStr"/>
      <c r="R1170" s="5" t="inlineStr"/>
      <c r="S1170" s="5" t="inlineStr"/>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row>
    <row r="1171">
      <c r="A1171" s="5" t="inlineStr">
        <is>
          <t>b10-teknoloji-kursu</t>
        </is>
      </c>
      <c r="B1171" s="5" t="n">
        <v>1</v>
      </c>
      <c r="C1171" s="6" t="inlineStr">
        <is>
          <t>Not al, sessizce öğren</t>
        </is>
      </c>
      <c r="D1171" s="5" t="inlineStr"/>
      <c r="E1171" s="5" t="inlineStr"/>
      <c r="F1171" s="5" t="inlineStr">
        <is>
          <t>Akıl +1</t>
        </is>
      </c>
      <c r="G1171" s="6" t="inlineStr">
        <is>
          <t>Defterine kırk adım yazdın; kırk birincisi 'Gözlüğü tak'. Ertesi ay telefon yine güncellendi. Defter hâlâ çok düzenli.</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row>
    <row r="1172">
      <c r="A1172" s="5" t="inlineStr">
        <is>
          <t>b10-teknoloji-kursu</t>
        </is>
      </c>
      <c r="B1172" s="5" t="n">
        <v>2</v>
      </c>
      <c r="C1172" s="6" t="inlineStr">
        <is>
          <t>Aile grubuna sesli mesaj gönder</t>
        </is>
      </c>
      <c r="D1172" s="5" t="inlineStr">
        <is>
          <t>Pişkinlik</t>
        </is>
      </c>
      <c r="E1172" s="5" t="inlineStr">
        <is>
          <t>Orta</t>
        </is>
      </c>
      <c r="F1172" s="5" t="inlineStr"/>
      <c r="G1172" s="6" t="inlineStr"/>
      <c r="H1172" s="6" t="inlineStr">
        <is>
          <t>Kırk saniyelik sesli mesajı ilk denemede, parmağın kaymadan gönderdin. Gruba on iki kalp geldi; kursta örnek diye dinletildi.</t>
        </is>
      </c>
      <c r="I1172" s="6" t="inlineStr">
        <is>
          <t>Sesli mesajın o kadar sevildi ki aile grubu her sabah 'Günaydın'ı senden bekliyor. Bir sabah atmadın; öğlene kadar üç kişi kapına geldi.</t>
        </is>
      </c>
      <c r="J1172" s="6" t="inlineStr">
        <is>
          <t>Mesajın ilk yirmi saniyesi 'Bu çalışıyor mu?' oldu.</t>
        </is>
      </c>
      <c r="K1172" s="6" t="inlineStr">
        <is>
          <t>Kaydı bitirdiğini sanıp telefonu cebine koydun. Aile grubu üç dakika boyunca pazar alışverişini dinledi; domatesçiyle pazarlığın dahil.</t>
        </is>
      </c>
      <c r="L1172" s="6" t="inlineStr">
        <is>
          <t>Mesaj gitti ama son cümlen 'Şimdi bırakıyor muyum…' diye bitti. Aile grubu üç gülme ifadesi gönderdi.</t>
        </is>
      </c>
      <c r="M1172" s="5" t="inlineStr">
        <is>
          <t>hold</t>
        </is>
      </c>
      <c r="N1172" s="5" t="inlineStr">
        <is>
          <t>Bas, Konuş</t>
        </is>
      </c>
      <c r="O1172" s="6" t="inlineStr">
        <is>
          <t>Kayıt tuşuna basılı tut; mesaj bitince doğru anda bırak.</t>
        </is>
      </c>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is>
          <t>Cep Radyosu</t>
        </is>
      </c>
    </row>
    <row r="1173">
      <c r="A1173" s="5" t="inlineStr">
        <is>
          <t>b10-teknoloji-kursu</t>
        </is>
      </c>
      <c r="B1173" s="5" t="n">
        <v>3</v>
      </c>
      <c r="C1173" s="6" t="inlineStr">
        <is>
          <t>Eğitmene ders ver</t>
        </is>
      </c>
      <c r="D1173" s="5" t="inlineStr">
        <is>
          <t>Akıl</t>
        </is>
      </c>
      <c r="E1173" s="5" t="inlineStr">
        <is>
          <t>Zor</t>
        </is>
      </c>
      <c r="F1173" s="5" t="inlineStr"/>
      <c r="G1173" s="6" t="inlineStr"/>
      <c r="H1173" s="6" t="inlineStr">
        <is>
          <t>Eğitmen, 'Aslında bu kısayolu bilmiyordum' dedi. Sınıf sana döndü.</t>
        </is>
      </c>
      <c r="I1173" s="6" t="inlineStr">
        <is>
          <t>Kursun ikinci döneminde eğitmen sensin. Belediye maaş değil, çay ikram ediyor.</t>
        </is>
      </c>
      <c r="J1173" s="6" t="inlineStr">
        <is>
          <t>Kısayolu gösterdin. Eğitmen 'O eski sürümde vardı' dedi. Sınıf yine ona döndü.</t>
        </is>
      </c>
      <c r="K1173" s="6" t="inlineStr">
        <is>
          <t>Kısayola bastın; sınıftaki bütün telefonlar aynı anda aynı türküyü çalmaya başladı. Kapatmayı kimse bilmiyordu, sen de. Kurs o gün türküyle bitti; ertesi dönem sana davet gelmedi.</t>
        </is>
      </c>
      <c r="L1173" s="6" t="inlineStr"/>
      <c r="M1173" s="5" t="inlineStr"/>
      <c r="N1173" s="5" t="inlineStr"/>
      <c r="O1173" s="6" t="inlineStr"/>
      <c r="P1173" s="6" t="inlineStr"/>
      <c r="Q1173" s="5" t="inlineStr">
        <is>
          <t>Şifreyi Bilen</t>
        </is>
      </c>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row>
    <row r="1174">
      <c r="A1174" s="5" t="inlineStr">
        <is>
          <t>b10-teknoloji-kursu</t>
        </is>
      </c>
      <c r="B1174" s="5" t="n">
        <v>4</v>
      </c>
      <c r="C1174" s="6" t="inlineStr">
        <is>
          <t>Kursu yarıda bırak</t>
        </is>
      </c>
      <c r="D1174" s="5" t="inlineStr"/>
      <c r="E1174" s="5" t="inlineStr"/>
      <c r="F1174" s="5" t="inlineStr">
        <is>
          <t>Pişkinlik +1</t>
        </is>
      </c>
      <c r="G1174" s="6" t="inlineStr">
        <is>
          <t>Kurs sertifikası verilmedi. Telefonun hâlâ yazı boyutu en büyükte.</t>
        </is>
      </c>
      <c r="H1174" s="6" t="inlineStr"/>
      <c r="I1174" s="6" t="inlineStr"/>
      <c r="J1174" s="6" t="inlineStr"/>
      <c r="K1174" s="6" t="inlineStr"/>
      <c r="L1174" s="6" t="inlineStr"/>
      <c r="M1174" s="5" t="inlineStr"/>
      <c r="N1174" s="5" t="inlineStr"/>
      <c r="O1174" s="6" t="inlineStr"/>
      <c r="P1174" s="6" t="inlineStr"/>
      <c r="Q1174" s="5" t="inlineStr"/>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row>
    <row r="1175">
      <c r="A1175" s="5" t="inlineStr">
        <is>
          <t>b10-balkon-kulesi</t>
        </is>
      </c>
      <c r="B1175" s="5" t="n">
        <v>1</v>
      </c>
      <c r="C1175" s="6" t="inlineStr">
        <is>
          <t>Sadece izle</t>
        </is>
      </c>
      <c r="D1175" s="5" t="inlineStr"/>
      <c r="E1175" s="5" t="inlineStr"/>
      <c r="F1175" s="5" t="inlineStr">
        <is>
          <t>Sosyal Radar +1</t>
        </is>
      </c>
      <c r="G1175" s="6" t="inlineStr">
        <is>
          <t>Akşama kadar izledin: iki taşınma, bir kavga, bir yanlış teslimat. Akşam telefonda 'Ne var ne yok?' dediler. Kırk dakika anlattın.</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row>
    <row r="1176">
      <c r="A1176" s="5" t="inlineStr">
        <is>
          <t>b10-balkon-kulesi</t>
        </is>
      </c>
      <c r="B1176" s="5" t="n">
        <v>2</v>
      </c>
      <c r="C1176" s="6" t="inlineStr">
        <is>
          <t>Mahalle grubuna günlük rapor yaz</t>
        </is>
      </c>
      <c r="D1176" s="5" t="inlineStr">
        <is>
          <t>Sosyal Radar</t>
        </is>
      </c>
      <c r="E1176" s="5" t="inlineStr">
        <is>
          <t>Zor</t>
        </is>
      </c>
      <c r="F1176" s="5" t="inlineStr"/>
      <c r="G1176" s="6" t="inlineStr"/>
      <c r="H1176" s="6" t="inlineStr">
        <is>
          <t>Sabah raporun okunmadan kimse evden çıkmıyor. Resmî sıfatın yok, yetkin var.</t>
        </is>
      </c>
      <c r="I1176" s="6" t="inlineStr">
        <is>
          <t>Aynı gün kayıp bir paketi, kaçan bir kediyi ve kapıcının anahtarını buldun. Kapıcı o günden beri sana sabah çayı getiriyor.</t>
        </is>
      </c>
      <c r="J1176" s="6" t="inlineStr">
        <is>
          <t>Grup yöneticisi raporunu sildi, altına 'Lütfen konu dışı yazmayalım' ekledi. Ertesi sabah yine yazdın.</t>
        </is>
      </c>
      <c r="K1176" s="6" t="inlineStr">
        <is>
          <t>Karşı balkondaki komşu gruba senin fotoğrafını attı: sabahlıkla, elinde dürbün. Altına 'Sabah raporu' yazmış. Bir hafta perdeyi açamadın.</t>
        </is>
      </c>
      <c r="L1176" s="6" t="inlineStr"/>
      <c r="M1176" s="5" t="inlineStr"/>
      <c r="N1176" s="5" t="inlineStr"/>
      <c r="O1176" s="6" t="inlineStr"/>
      <c r="P1176" s="6" t="inlineStr"/>
      <c r="Q1176" s="5" t="inlineStr"/>
      <c r="R1176" s="5" t="inlineStr"/>
      <c r="S1176" s="5" t="inlineStr"/>
      <c r="T1176" s="5" t="inlineStr">
        <is>
          <t>Balkon Müfettişi</t>
        </is>
      </c>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row>
    <row r="1177">
      <c r="A1177" s="5" t="inlineStr">
        <is>
          <t>b10-balkon-kulesi</t>
        </is>
      </c>
      <c r="B1177" s="5" t="n">
        <v>3</v>
      </c>
      <c r="C1177" s="6" t="inlineStr">
        <is>
          <t>Sarkıp aşağıdaki tartışmaya katıl</t>
        </is>
      </c>
      <c r="D1177" s="5" t="inlineStr">
        <is>
          <t>Cesaret</t>
        </is>
      </c>
      <c r="E1177" s="5" t="inlineStr">
        <is>
          <t>Orta</t>
        </is>
      </c>
      <c r="F1177" s="5" t="inlineStr"/>
      <c r="G1177" s="6" t="inlineStr"/>
      <c r="H1177" s="6" t="inlineStr">
        <is>
          <t>Tek cümleyle park kavgasını çözdün. İki şoför de sana teşekkür etti.</t>
        </is>
      </c>
      <c r="I1177" s="6" t="inlineStr">
        <is>
          <t>Arabalar yer değiştirdi, taraflar barıştı, biri sana simit getirdi.</t>
        </is>
      </c>
      <c r="J1177" s="6" t="inlineStr">
        <is>
          <t>Sesin aşağıya ulaşmadı. Tartışma sensiz sonuçlandı.</t>
        </is>
      </c>
      <c r="K1177" s="6" t="inlineStr">
        <is>
          <t>Balkondan biraz fazla sarktın; terliğin aşağıya, şoförün kaputuna düştü. İki şoför anında barıştı ve birlikte sana bağırdı. Terliği kapıcı getirdi; bir ay boyunca her gün hatırlattı.</t>
        </is>
      </c>
      <c r="L1177" s="6" t="inlineStr"/>
      <c r="M1177" s="5" t="inlineStr"/>
      <c r="N1177" s="5" t="inlineStr"/>
      <c r="O1177" s="6" t="inlineStr"/>
      <c r="P1177" s="6" t="inlineStr"/>
      <c r="Q1177" s="5" t="inlineStr"/>
      <c r="R1177" s="5" t="inlineStr"/>
      <c r="S1177" s="5" t="inlineStr"/>
      <c r="T1177" s="5" t="inlineStr"/>
      <c r="U1177" s="5" t="inlineStr"/>
      <c r="V1177" s="5" t="inlineStr"/>
      <c r="W1177" s="5" t="inlineStr"/>
      <c r="X1177" s="5" t="inlineStr"/>
      <c r="Y1177" s="5" t="n">
        <v>3</v>
      </c>
      <c r="Z1177" s="6" t="inlineStr">
        <is>
          <t>Balkondan aşağıdaki park tartışmasına hakem olarak katılırken. Kararı hâlâ geçerli.</t>
        </is>
      </c>
      <c r="AA1177" s="5" t="inlineStr"/>
      <c r="AB1177" s="5" t="inlineStr"/>
      <c r="AC1177" s="5" t="inlineStr"/>
      <c r="AD1177" s="5" t="inlineStr"/>
      <c r="AE1177" s="5" t="inlineStr"/>
      <c r="AF1177" s="5" t="inlineStr"/>
      <c r="AG1177" s="5" t="inlineStr"/>
      <c r="AH1177" s="5" t="inlineStr"/>
      <c r="AI1177" s="5" t="inlineStr"/>
    </row>
    <row r="1178">
      <c r="A1178" s="5" t="inlineStr">
        <is>
          <t>b10-balkon-kulesi</t>
        </is>
      </c>
      <c r="B1178" s="5" t="n">
        <v>4</v>
      </c>
      <c r="C1178" s="6" t="inlineStr">
        <is>
          <t>Termosu yenile, perdeyi çek</t>
        </is>
      </c>
      <c r="D1178" s="5" t="inlineStr"/>
      <c r="E1178" s="5" t="inlineStr"/>
      <c r="F1178" s="5" t="inlineStr">
        <is>
          <t>Dayanıklılık +1</t>
        </is>
      </c>
      <c r="G1178" s="6" t="inlineStr">
        <is>
          <t>Gözlem kulesi bir günlüğüne kapatıldı. Sokak ne yapacağını bilemedi.</t>
        </is>
      </c>
      <c r="H1178" s="6" t="inlineStr"/>
      <c r="I1178" s="6" t="inlineStr"/>
      <c r="J1178" s="6" t="inlineStr"/>
      <c r="K1178" s="6" t="inlineStr"/>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inlineStr"/>
      <c r="Z1178" s="6" t="inlineStr"/>
      <c r="AA1178" s="5" t="inlineStr"/>
      <c r="AB1178" s="5" t="inlineStr"/>
      <c r="AC1178" s="5" t="inlineStr"/>
      <c r="AD1178" s="5" t="inlineStr"/>
      <c r="AE1178" s="5" t="inlineStr"/>
      <c r="AF1178" s="5" t="inlineStr"/>
      <c r="AG1178" s="5" t="inlineStr"/>
      <c r="AH1178" s="5" t="inlineStr"/>
      <c r="AI1178" s="5" t="inlineStr"/>
    </row>
    <row r="1179">
      <c r="A1179" s="5" t="inlineStr">
        <is>
          <t>b10-sinif-bulusmasi</t>
        </is>
      </c>
      <c r="B1179" s="5" t="n">
        <v>1</v>
      </c>
      <c r="C1179" s="6" t="inlineStr">
        <is>
          <t>Herkesi tek tek dinle</t>
        </is>
      </c>
      <c r="D1179" s="5" t="inlineStr"/>
      <c r="E1179" s="5" t="inlineStr"/>
      <c r="F1179" s="5" t="inlineStr">
        <is>
          <t>Sosyal Radar +1, Gönül +1</t>
        </is>
      </c>
      <c r="G1179" s="6" t="inlineStr">
        <is>
          <t>On bir hayat, üç saat, dört demlik çay. Kimse sınav notunu hatırlamıyor, herkes teneffüsü hatırlıyor.</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row>
    <row r="1180">
      <c r="A1180" s="5" t="inlineStr">
        <is>
          <t>b10-sinif-bulusmasi</t>
        </is>
      </c>
      <c r="B1180" s="5" t="n">
        <v>2</v>
      </c>
      <c r="C1180" s="6" t="inlineStr">
        <is>
          <t>Eski bir sırrı nihayet açıkla</t>
        </is>
      </c>
      <c r="D1180" s="5" t="inlineStr">
        <is>
          <t>Pişkinlik</t>
        </is>
      </c>
      <c r="E1180" s="5" t="inlineStr">
        <is>
          <t>Orta</t>
        </is>
      </c>
      <c r="F1180" s="5" t="inlineStr"/>
      <c r="G1180" s="6" t="inlineStr"/>
      <c r="H1180" s="6" t="inlineStr">
        <is>
          <t>Kırık tebeşirlerin hesabını verdin. Zaman aşımı nedeniyle beraat ettin.</t>
        </is>
      </c>
      <c r="I1180" s="6" t="inlineStr">
        <is>
          <t>İtirafın öyle sevildi ki herkes sırayla kendi sırrını döktü. Öğretmenin gözlüğünü kimin sakladığı da bunca yıl sonra çözüldü.</t>
        </is>
      </c>
      <c r="J1180" s="6" t="inlineStr">
        <is>
          <t>Sırrı açıkladın. Kimse hatırlamadı. Bunca yıl vicdanını boşuna taşımışsın.</t>
        </is>
      </c>
      <c r="K1180" s="6" t="inlineStr">
        <is>
          <t>Sırrı açıkladın; o gün senin yerine cezayı çeken kişi tam karşında oturuyordu. Bunca yıl sonra ilk sözü 'Biliyordum' oldu. Çayları sen ödedin.</t>
        </is>
      </c>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row>
    <row r="1181">
      <c r="A1181" s="5" t="inlineStr">
        <is>
          <t>b10-sinif-bulusmasi</t>
        </is>
      </c>
      <c r="B1181" s="5" t="n">
        <v>3</v>
      </c>
      <c r="C1181" s="6" t="inlineStr">
        <is>
          <t>Yoklama al</t>
        </is>
      </c>
      <c r="D1181" s="5" t="inlineStr"/>
      <c r="E1181" s="5" t="inlineStr"/>
      <c r="F1181" s="5" t="inlineStr">
        <is>
          <t>Çene +1</t>
        </is>
      </c>
      <c r="G1181" s="6" t="inlineStr">
        <is>
          <t>Defteri açtın, yoklama aldın. Gelmeyenlerin yanına sessizce not düştün. Başkanlık görevi resmen tamamlandı.</t>
        </is>
      </c>
      <c r="H1181" s="6" t="inlineStr"/>
      <c r="I1181" s="6" t="inlineStr"/>
      <c r="J1181" s="6" t="inlineStr"/>
      <c r="K1181" s="6" t="inlineStr"/>
      <c r="L1181" s="6" t="inlineStr"/>
      <c r="M1181" s="5" t="inlineStr"/>
      <c r="N1181" s="5" t="inlineStr"/>
      <c r="O1181" s="6" t="inlineStr"/>
      <c r="P1181" s="6" t="inlineStr"/>
      <c r="Q1181" s="5" t="inlineStr"/>
      <c r="R1181" s="5" t="inlineStr">
        <is>
          <t>baskan</t>
        </is>
      </c>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row>
    <row r="1182">
      <c r="A1182" s="5" t="inlineStr">
        <is>
          <t>b10-doktor-gomersiniz</t>
        </is>
      </c>
      <c r="B1182" s="5" t="n">
        <v>1</v>
      </c>
      <c r="C1182" s="6" t="inlineStr">
        <is>
          <t>Teşekkür et</t>
        </is>
      </c>
      <c r="D1182" s="5" t="inlineStr"/>
      <c r="E1182" s="5" t="inlineStr"/>
      <c r="F1182" s="5" t="inlineStr">
        <is>
          <t>İtibar +1</t>
        </is>
      </c>
      <c r="G1182" s="6" t="inlineStr">
        <is>
          <t>İltifat dosyaya işlendi. Bir sonraki randevu altı ay sonraya verildi. Bu da bir iltifat.</t>
        </is>
      </c>
      <c r="H1182" s="6" t="inlineStr"/>
      <c r="I1182" s="6" t="inlineStr"/>
      <c r="J1182" s="6" t="inlineStr"/>
      <c r="K1182" s="6" t="inlineStr"/>
      <c r="L1182" s="6" t="inlineStr"/>
      <c r="M1182" s="5" t="inlineStr"/>
      <c r="N1182" s="5" t="inlineStr"/>
      <c r="O1182" s="6" t="inlineStr"/>
      <c r="P1182" s="6" t="inlineStr"/>
      <c r="Q1182" s="5" t="inlineStr"/>
      <c r="R1182" s="5" t="inlineStr"/>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row>
    <row r="1183">
      <c r="A1183" s="5" t="inlineStr">
        <is>
          <t>b10-doktor-gomersiniz</t>
        </is>
      </c>
      <c r="B1183" s="5" t="n">
        <v>2</v>
      </c>
      <c r="C1183" s="6" t="inlineStr">
        <is>
          <t>'Söz mü?' diye sor</t>
        </is>
      </c>
      <c r="D1183" s="5" t="inlineStr">
        <is>
          <t>Pişkinlik</t>
        </is>
      </c>
      <c r="E1183" s="5" t="inlineStr">
        <is>
          <t>Orta</t>
        </is>
      </c>
      <c r="F1183" s="5" t="inlineStr"/>
      <c r="G1183" s="6" t="inlineStr"/>
      <c r="H1183" s="6" t="inlineStr">
        <is>
          <t>Doktor güldü ve raporuna 'Hasta iyimser' yazdı.</t>
        </is>
      </c>
      <c r="I1183" s="6" t="inlineStr">
        <is>
          <t>Doktor elini sıktı: 'Söz.' Bekleme salonundaki teyze 'Ben de duydum, şahidim' dedi. Akşam telefonda üç kişiye anlattın.</t>
        </is>
      </c>
      <c r="J1183" s="6" t="inlineStr">
        <is>
          <t>Doktor ciddileşti, 'Tıbben söz verilmez' dedi.</t>
        </is>
      </c>
      <c r="K1183" s="6" t="inlineStr">
        <is>
          <t>Doktor sözünü geri aldı ve iki tahlil daha istedi.</t>
        </is>
      </c>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row>
    <row r="1184">
      <c r="A1184" s="5" t="inlineStr">
        <is>
          <t>b10-doktor-gomersiniz</t>
        </is>
      </c>
      <c r="B1184" s="5" t="n">
        <v>3</v>
      </c>
      <c r="C1184" s="6" t="inlineStr">
        <is>
          <t>Koridorda ısınma hareketi yap</t>
        </is>
      </c>
      <c r="D1184" s="5" t="inlineStr">
        <is>
          <t>Dayanıklılık</t>
        </is>
      </c>
      <c r="E1184" s="5" t="inlineStr">
        <is>
          <t>Orta</t>
        </is>
      </c>
      <c r="F1184" s="5" t="inlineStr"/>
      <c r="G1184" s="6" t="inlineStr"/>
      <c r="H1184" s="6" t="inlineStr">
        <is>
          <t>Koridordaki bekleyenler seni alkışladı. Tahlil sonuçların da.</t>
        </is>
      </c>
      <c r="I1184" s="6" t="inlineStr">
        <is>
          <t>Bekleme salonundaki herkes sana katıldı. Hastanede ilk sabah jimnastiği başlatıldı.</t>
        </is>
      </c>
      <c r="J1184" s="6" t="inlineStr">
        <is>
          <t>İki esneme hareketinden sonra koridordaki bankta dinlenmeye karar verdin.</t>
        </is>
      </c>
      <c r="K1184" s="6" t="inlineStr">
        <is>
          <t>Eğilip ayak parmaklarına uzandın; belin orada tutuldu. Doktorun odasına sıranla değil, tekerlekli sandalyeyle girdin. Doktor 'Siz bizi gömersiniz' cümlesini geri aldı.</t>
        </is>
      </c>
      <c r="L1184" s="6" t="inlineStr"/>
      <c r="M1184" s="5" t="inlineStr"/>
      <c r="N1184" s="5" t="inlineStr"/>
      <c r="O1184" s="6" t="inlineStr"/>
      <c r="P1184" s="6" t="inlineStr"/>
      <c r="Q1184" s="5" t="inlineStr"/>
      <c r="R1184" s="5" t="inlineStr"/>
      <c r="S1184" s="5" t="inlineStr">
        <is>
          <t>Dayanıklılık</t>
        </is>
      </c>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row>
    <row r="1185">
      <c r="A1185" s="5" t="inlineStr">
        <is>
          <t>b10-bayram-harcligi</t>
        </is>
      </c>
      <c r="B1185" s="5" t="n">
        <v>1</v>
      </c>
      <c r="C1185" s="6" t="inlineStr">
        <is>
          <t>Herkese eşit zarf</t>
        </is>
      </c>
      <c r="D1185" s="5" t="inlineStr"/>
      <c r="E1185" s="5" t="inlineStr"/>
      <c r="F1185" s="5" t="inlineStr">
        <is>
          <t>İtibar +1</t>
        </is>
      </c>
      <c r="G1185" s="6" t="inlineStr">
        <is>
          <t>Bütün zarflar eşit. Çocuklar zarfları kapıda karşılaştırdı ve hayal kırıklığını eşit paylaştı.</t>
        </is>
      </c>
      <c r="H1185" s="6" t="inlineStr"/>
      <c r="I1185" s="6" t="inlineStr"/>
      <c r="J1185" s="6" t="inlineStr"/>
      <c r="K1185" s="6" t="inlineStr"/>
      <c r="L1185" s="6" t="inlineStr"/>
      <c r="M1185" s="5" t="inlineStr"/>
      <c r="N1185" s="5" t="inlineStr"/>
      <c r="O1185" s="6" t="inlineStr"/>
      <c r="P1185" s="6" t="inlineStr"/>
      <c r="Q1185" s="5" t="inlineStr"/>
      <c r="R1185" s="5" t="inlineStr"/>
      <c r="S1185" s="5" t="inlineStr"/>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row>
    <row r="1186">
      <c r="A1186" s="5" t="inlineStr">
        <is>
          <t>b10-bayram-harcligi</t>
        </is>
      </c>
      <c r="B1186" s="5" t="n">
        <v>2</v>
      </c>
      <c r="C1186" s="6" t="inlineStr">
        <is>
          <t>Montunu değiştiren çocuğu yakala</t>
        </is>
      </c>
      <c r="D1186" s="5" t="inlineStr">
        <is>
          <t>Kurnazlık</t>
        </is>
      </c>
      <c r="E1186" s="5" t="inlineStr">
        <is>
          <t>Kolay</t>
        </is>
      </c>
      <c r="F1186" s="5" t="inlineStr"/>
      <c r="G1186" s="6" t="inlineStr"/>
      <c r="H1186" s="6" t="inlineStr">
        <is>
          <t>'Az önce kırmızı montla gelmiştin' dedin. Çocuk elini bir daha öptü, kolonyasını da aldı, sıradan çıktı.</t>
        </is>
      </c>
      <c r="I1186" s="6" t="inlineStr">
        <is>
          <t>Yakaladın ama montu ters giymesine o kadar güldün ki ikinci zarfı da verdin. Ertesi bayram kapıda aynı çocuk, üçüncü montla.</t>
        </is>
      </c>
      <c r="J1186" s="6" t="inlineStr">
        <is>
          <t>Çocuğu yakalayamadın. Mont değişimi başarılı oldu.</t>
        </is>
      </c>
      <c r="K1186" s="6" t="inlineStr">
        <is>
          <t>Yanlış çocuğu suçladın. İkizmiş.</t>
        </is>
      </c>
      <c r="L1186" s="6" t="inlineStr">
        <is>
          <t>Montu tanıdın, yüzü tanımadın. Çocuğa yarım zarf verdin; o da yarım teşekkür etti.</t>
        </is>
      </c>
      <c r="M1186" s="5" t="inlineStr">
        <is>
          <t>memory</t>
        </is>
      </c>
      <c r="N1186" s="5" t="inlineStr">
        <is>
          <t>Kapıdaki Yüzler</t>
        </is>
      </c>
      <c r="O1186" s="6" t="inlineStr">
        <is>
          <t>Sıradaki çocukların yüzlerini ezberle; ikinci kez geleni seç.</t>
        </is>
      </c>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is>
          <t>İkiz Savcısı</t>
        </is>
      </c>
    </row>
    <row r="1187">
      <c r="A1187" s="5" t="inlineStr">
        <is>
          <t>b10-bayram-harcligi</t>
        </is>
      </c>
      <c r="B1187" s="5" t="n">
        <v>3</v>
      </c>
      <c r="C1187" s="6" t="inlineStr">
        <is>
          <t>Zarfları yastık altından ver</t>
        </is>
      </c>
      <c r="D1187" s="5" t="inlineStr">
        <is>
          <t>Kurnazlık</t>
        </is>
      </c>
      <c r="E1187" s="5" t="inlineStr">
        <is>
          <t>Orta</t>
        </is>
      </c>
      <c r="F1187" s="5" t="inlineStr"/>
      <c r="G1187" s="6" t="inlineStr"/>
      <c r="H1187" s="6" t="inlineStr">
        <is>
          <t>Yastık altındaki zarflar eski banknotlarla doluydu ama hâlâ geçerliydi. Çocuklar tarih dersi aldı.</t>
        </is>
      </c>
      <c r="I1187" s="6" t="inlineStr">
        <is>
          <t>Yastığın altından yıllardır birikmiş bir hazine çıktı. Çocuklar bu bayramı destan olarak anlatıyor.</t>
        </is>
      </c>
      <c r="J1187" s="6" t="inlineStr">
        <is>
          <t>Yastık altındaki paraların bir kısmı tedavülden kalkmıştı. Çocuklar nazikçe teşekkür etti.</t>
        </is>
      </c>
      <c r="K1187" s="6" t="inlineStr">
        <is>
          <t>Yastığı kaldırdın, zarflar yoktu: kılıfları dün sen yıkamışsın. Paralar makineden hamur olup çıktı. Bayram sabahı kalorifer peteğinde para kurutarak geçti.</t>
        </is>
      </c>
      <c r="L1187" s="6" t="inlineStr"/>
      <c r="M1187" s="5" t="inlineStr"/>
      <c r="N1187" s="5" t="inlineStr"/>
      <c r="O1187" s="6" t="inlineStr"/>
      <c r="P1187" s="6" t="inlineStr"/>
      <c r="Q1187" s="5" t="inlineStr">
        <is>
          <t>Yastık Altı Ekonomisti</t>
        </is>
      </c>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row>
    <row r="1188">
      <c r="A1188" s="5" t="inlineStr">
        <is>
          <t>b10-bayram-harcligi</t>
        </is>
      </c>
      <c r="B1188" s="5" t="n">
        <v>4</v>
      </c>
      <c r="C1188" s="6" t="inlineStr">
        <is>
          <t>Zarf yerine öğüt ver</t>
        </is>
      </c>
      <c r="D1188" s="5" t="inlineStr"/>
      <c r="E1188" s="5" t="inlineStr"/>
      <c r="F1188" s="5" t="inlineStr">
        <is>
          <t>Çene +1</t>
        </is>
      </c>
      <c r="G1188" s="6" t="inlineStr">
        <is>
          <t>Her çocuğa bir öğüt verildi. Sıra, rekor sürede dağıldı.</t>
        </is>
      </c>
      <c r="H1188" s="6" t="inlineStr"/>
      <c r="I1188" s="6" t="inlineStr"/>
      <c r="J1188" s="6" t="inlineStr"/>
      <c r="K1188" s="6" t="inlineStr"/>
      <c r="L1188" s="6" t="inlineStr"/>
      <c r="M1188" s="5" t="inlineStr"/>
      <c r="N1188" s="5" t="inlineStr"/>
      <c r="O1188" s="6" t="inlineStr"/>
      <c r="P1188" s="6" t="inlineStr"/>
      <c r="Q1188" s="5" t="inlineStr"/>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row>
    <row r="1189">
      <c r="A1189" s="5" t="inlineStr">
        <is>
          <t>b10-dijital-miras</t>
        </is>
      </c>
      <c r="B1189" s="5" t="n">
        <v>1</v>
      </c>
      <c r="C1189" s="6" t="inlineStr">
        <is>
          <t>Hepsini bir kâğıda yaz</t>
        </is>
      </c>
      <c r="D1189" s="5" t="inlineStr"/>
      <c r="E1189" s="5" t="inlineStr"/>
      <c r="F1189" s="5" t="inlineStr">
        <is>
          <t>İtibar +1</t>
        </is>
      </c>
      <c r="G1189" s="6" t="inlineStr">
        <is>
          <t>Kırk şifre tek kâğıtta, kâğıt buzdolabının üstünde. Torun fotoğrafını çekip aile grubuna attı; artık kırk şifren on dört kişide.</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row>
    <row r="1190">
      <c r="A1190" s="5" t="inlineStr">
        <is>
          <t>b10-dijital-miras</t>
        </is>
      </c>
      <c r="B1190" s="5" t="n">
        <v>2</v>
      </c>
      <c r="C1190" s="6" t="inlineStr">
        <is>
          <t>Fotoğraf arşivini düzenle</t>
        </is>
      </c>
      <c r="D1190" s="5" t="inlineStr">
        <is>
          <t>Dayanıklılık</t>
        </is>
      </c>
      <c r="E1190" s="5" t="inlineStr">
        <is>
          <t>Zor</t>
        </is>
      </c>
      <c r="F1190" s="5" t="inlineStr"/>
      <c r="G1190" s="6" t="inlineStr"/>
      <c r="H1190" s="6" t="inlineStr">
        <is>
          <t>Yüz seksen bin fotoğrafı yıllara göre sıraladın. Torunlar kendi bebeklik fotoğraflarını seninkilerin yanında, aynı klasörde buldu.</t>
        </is>
      </c>
      <c r="I1190" s="6" t="inlineStr">
        <is>
          <t>Klasör adları o kadar düzenli oldu ki aile her bayram arşiv turu yapıyor.</t>
        </is>
      </c>
      <c r="J1190" s="6" t="inlineStr">
        <is>
          <t>Üçüncü klasörde durdun. 'Adsız 1' ile 'Adsız 847' arasında bir yerde kayboldun.</t>
        </is>
      </c>
      <c r="K1190" s="6" t="inlineStr">
        <is>
          <t>Yanlışlıkla bütün arşivi sildin. Torun üç gün uğraştı, yüz seksen bin fotoğrafın yüz yetmiş dokuz binini kurtardı. Kurtaramadığı bin fotoğrafın hepsi onun bebekliğiydi.</t>
        </is>
      </c>
      <c r="L1190" s="6" t="inlineStr">
        <is>
          <t>Doksan bin fotoğraf yıllara ayrıldı. Kalanlar 'Sonra Bakarım' klasöründe; klasör torunlara miras.</t>
        </is>
      </c>
      <c r="M1190" s="5" t="inlineStr">
        <is>
          <t>swipe</t>
        </is>
      </c>
      <c r="N1190" s="5" t="inlineStr">
        <is>
          <t>Fotoğraf Ayıkla</t>
        </is>
      </c>
      <c r="O1190" s="6" t="inlineStr">
        <is>
          <t>Gözünün açık olduğu fotoğrafları sağa, kapalı olanları sola kaydır.</t>
        </is>
      </c>
      <c r="P1190" s="6" t="inlineStr">
        <is>
          <t>{"left": "Sil", "right": "Sakla", "items": [{"t": "Düğün günü, herkes gülüyor", "right": true}, {"t": "Cebin içi, karanlık, 14 tane", "right": false}, {"t": "İlk torunun ilk adımı", "right": true}, {"t": "Bulanık bir kedi kuyruğu", "right": false}, {"t": "Bayram sofrası, eksiksiz", "right": true}, {"t": "Parmağın, yakın çekim", "right": false}, {"t": "Eski evin balkonu, akşam üstü", "right": true}, {"t": "Aynı manzara, otuz ikinci kez", "right": false}]}</t>
        </is>
      </c>
      <c r="Q1190" s="5" t="inlineStr"/>
      <c r="R1190" s="5" t="inlineStr"/>
      <c r="S1190" s="5" t="inlineStr"/>
      <c r="T1190" s="5" t="inlineStr">
        <is>
          <t>Hayat Arşivcisi</t>
        </is>
      </c>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row>
    <row r="1191">
      <c r="A1191" s="5" t="inlineStr">
        <is>
          <t>b10-dijital-miras</t>
        </is>
      </c>
      <c r="B1191" s="5" t="n">
        <v>3</v>
      </c>
      <c r="C1191" s="6" t="inlineStr">
        <is>
          <t>Şifre sistemini torundan sakla</t>
        </is>
      </c>
      <c r="D1191" s="5" t="inlineStr">
        <is>
          <t>Akıl</t>
        </is>
      </c>
      <c r="E1191" s="5" t="inlineStr">
        <is>
          <t>Orta</t>
        </is>
      </c>
      <c r="F1191" s="5" t="inlineStr"/>
      <c r="G1191" s="6" t="inlineStr"/>
      <c r="H1191" s="6" t="inlineStr">
        <is>
          <t>Şifrelerin yerini bir bilmeceye gömdün. Miras, bir zekâ yarışmasına dönüştü.</t>
        </is>
      </c>
      <c r="I1191" s="6" t="inlineStr">
        <is>
          <t>Bilmecenin ilk ipucunu buzdolabı mıknatısına sakladın. Torun çözünce o kadar sevindi ki kendi şifrelerini de bilmeceye çevirdi; şimdi sen çözüyorsun.</t>
        </is>
      </c>
      <c r="J1191" s="6" t="inlineStr">
        <is>
          <t>Torun bilmeceyi ilk ipucunda çözdü. İpucu kedinin adıydı.</t>
        </is>
      </c>
      <c r="K1191" s="6" t="inlineStr">
        <is>
          <t>Bilmeceyi sen de çözemedin. Kırk hesap kilitlendi. Torun 'Kedinin adı neydi?' diye sordu; üç ayrı ad söyledin.</t>
        </is>
      </c>
      <c r="L1191" s="6" t="inlineStr"/>
      <c r="M1191" s="5" t="inlineStr"/>
      <c r="N1191" s="5" t="inlineStr"/>
      <c r="O1191" s="6" t="inlineStr"/>
      <c r="P1191" s="6" t="inlineStr"/>
      <c r="Q1191" s="5" t="inlineStr"/>
      <c r="R1191" s="5" t="inlineStr"/>
      <c r="S1191" s="5" t="inlineStr">
        <is>
          <t>Akıl</t>
        </is>
      </c>
      <c r="T1191" s="5" t="inlineStr"/>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row>
    <row r="1192">
      <c r="A1192" s="5" t="inlineStr">
        <is>
          <t>b10-mezar-parseli</t>
        </is>
      </c>
      <c r="B1192" s="5" t="n">
        <v>1</v>
      </c>
      <c r="C1192" s="6" t="inlineStr">
        <is>
          <t>Otoparka bakan parseli al</t>
        </is>
      </c>
      <c r="D1192" s="5" t="inlineStr"/>
      <c r="E1192" s="5" t="inlineStr"/>
      <c r="F1192" s="5" t="inlineStr">
        <is>
          <t>Kurnazlık +1</t>
        </is>
      </c>
      <c r="G1192" s="6" t="inlineStr">
        <is>
          <t>Uygun fiyatlı parsel alındı. Ziyaretçiler en azından park yeri aramayacak.</t>
        </is>
      </c>
      <c r="H1192" s="6" t="inlineStr"/>
      <c r="I1192" s="6" t="inlineStr"/>
      <c r="J1192" s="6" t="inlineStr"/>
      <c r="K1192" s="6" t="inlineStr"/>
      <c r="L1192" s="6" t="inlineStr"/>
      <c r="M1192" s="5" t="inlineStr"/>
      <c r="N1192" s="5" t="inlineStr"/>
      <c r="O1192" s="6" t="inlineStr"/>
      <c r="P1192" s="6" t="inlineStr"/>
      <c r="Q1192" s="5" t="inlineStr"/>
      <c r="R1192" s="5" t="inlineStr"/>
      <c r="S1192" s="5" t="inlineStr"/>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row>
    <row r="1193">
      <c r="A1193" s="5" t="inlineStr">
        <is>
          <t>b10-mezar-parseli</t>
        </is>
      </c>
      <c r="B1193" s="5" t="n">
        <v>2</v>
      </c>
      <c r="C1193" s="6" t="inlineStr">
        <is>
          <t>Manzaralı parsel için pazarlık et</t>
        </is>
      </c>
      <c r="D1193" s="5" t="inlineStr">
        <is>
          <t>Çene</t>
        </is>
      </c>
      <c r="E1193" s="5" t="inlineStr">
        <is>
          <t>Zor</t>
        </is>
      </c>
      <c r="F1193" s="5" t="inlineStr"/>
      <c r="G1193" s="6" t="inlineStr"/>
      <c r="H1193" s="6" t="inlineStr">
        <is>
          <t>Manzaralı parsel indirimle alındı. Görevli 'Bunu kimseye söylemeyin' dedi.</t>
        </is>
      </c>
      <c r="I1193" s="6" t="inlineStr">
        <is>
          <t>Manzaralı parseli aldın, yanına bir de bank konuldu. Ziyaret saatleri artık piknik saatleri.</t>
        </is>
      </c>
      <c r="J1193" s="6" t="inlineStr">
        <is>
          <t>Pazarlık uzadı, manzaralı parsel başka birine satıldı. O kişi de pazarlık ediyordu.</t>
        </is>
      </c>
      <c r="K1193" s="6" t="inlineStr">
        <is>
          <t>Sen 'Son fiyat' derken görevli duvara yeni tarifeyi astı. Manzaralı parsel yüzde kırk zamlandı, otoparka bakan da.</t>
        </is>
      </c>
      <c r="L1193" s="6" t="inlineStr">
        <is>
          <t>Manzaralı parseli aldın; indirim yerine yanına bir saksı sardunya koydular.</t>
        </is>
      </c>
      <c r="M1193" s="5" t="inlineStr">
        <is>
          <t>bargain</t>
        </is>
      </c>
      <c r="N1193" s="5" t="inlineStr">
        <is>
          <t>Parsel Pazarlığı</t>
        </is>
      </c>
      <c r="O1193" s="6" t="inlineStr">
        <is>
          <t>Görevlinin sabrı bitmeden doğru fiyatı bul.</t>
        </is>
      </c>
      <c r="P1193" s="6" t="inlineStr">
        <is>
          <t>{"item": "parsel", "mode": "buy"}</t>
        </is>
      </c>
      <c r="Q1193" s="5" t="inlineStr"/>
      <c r="R1193" s="5" t="inlineStr"/>
      <c r="S1193" s="5" t="inlineStr"/>
      <c r="T1193" s="5" t="inlineStr">
        <is>
          <t>Son Sözü Söyler</t>
        </is>
      </c>
      <c r="U1193" s="5" t="inlineStr"/>
      <c r="V1193" s="5" t="inlineStr">
        <is>
          <t>manzarali-parsel</t>
        </is>
      </c>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row>
    <row r="1194">
      <c r="A1194" s="5" t="inlineStr">
        <is>
          <t>b10-mezar-parseli</t>
        </is>
      </c>
      <c r="B1194" s="5" t="n">
        <v>3</v>
      </c>
      <c r="C1194" s="6" t="inlineStr">
        <is>
          <t>Parseli yatarak test et</t>
        </is>
      </c>
      <c r="D1194" s="5" t="inlineStr">
        <is>
          <t>Cesaret</t>
        </is>
      </c>
      <c r="E1194" s="5" t="inlineStr">
        <is>
          <t>Orta</t>
        </is>
      </c>
      <c r="F1194" s="5" t="inlineStr"/>
      <c r="G1194" s="6" t="inlineStr"/>
      <c r="H1194" s="6" t="inlineStr">
        <is>
          <t>Uzandın, gökyüzüne baktın ve onayladın. Görevli ilk kez bir müşteriyi bu kadar ciddi gördü.</t>
        </is>
      </c>
      <c r="I1194" s="6" t="inlineStr">
        <is>
          <t>Uzandın, manzara mükemmeldi, bir kuş tam üstünde tünedi. İmza atıldı.</t>
        </is>
      </c>
      <c r="J1194" s="6" t="inlineStr">
        <is>
          <t>Uzandın, görevli fiyat listesini tepende yüksek sesle okudu. Manzara bozuldu.</t>
        </is>
      </c>
      <c r="K1194" s="6" t="inlineStr">
        <is>
          <t>Uzandın, horlamaya başladın; yan parseli gezen teyzenin çığlığı otoparktan duyuldu. Kalkamadın. Görevliyle iki ziyaretçi seni koltuk altından kaldırdı; biri 'Erken gelmişsiniz' dedi.</t>
        </is>
      </c>
      <c r="L1194" s="6" t="inlineStr"/>
      <c r="M1194" s="5" t="inlineStr"/>
      <c r="N1194" s="5" t="inlineStr"/>
      <c r="O1194" s="6" t="inlineStr"/>
      <c r="P1194" s="6" t="inlineStr"/>
      <c r="Q1194" s="5" t="inlineStr"/>
      <c r="R1194" s="5" t="inlineStr"/>
      <c r="S1194" s="5" t="inlineStr"/>
      <c r="T1194" s="5" t="inlineStr"/>
      <c r="U1194" s="5" t="inlineStr"/>
      <c r="V1194" s="5" t="inlineStr">
        <is>
          <t>manzarali-parsel</t>
        </is>
      </c>
      <c r="W1194" s="5" t="inlineStr"/>
      <c r="X1194" s="5" t="inlineStr"/>
      <c r="Y1194" s="5" t="n">
        <v>3</v>
      </c>
      <c r="Z1194" s="6" t="inlineStr">
        <is>
          <t>Manzaralı parseli yerinde incelerken. Manzarayı onayladı.</t>
        </is>
      </c>
      <c r="AA1194" s="5" t="inlineStr"/>
      <c r="AB1194" s="5" t="inlineStr"/>
      <c r="AC1194" s="5" t="inlineStr"/>
      <c r="AD1194" s="5" t="inlineStr"/>
      <c r="AE1194" s="5" t="inlineStr"/>
      <c r="AF1194" s="5" t="inlineStr"/>
      <c r="AG1194" s="5" t="inlineStr"/>
      <c r="AH1194" s="5" t="inlineStr"/>
      <c r="AI1194" s="5" t="inlineStr">
        <is>
          <t>Erken Yatan</t>
        </is>
      </c>
    </row>
    <row r="1195">
      <c r="A1195" s="5" t="inlineStr">
        <is>
          <t>b10-danismanlik</t>
        </is>
      </c>
      <c r="B1195" s="5" t="n">
        <v>1</v>
      </c>
      <c r="C1195" s="6" t="inlineStr">
        <is>
          <t>Yerini telefonda söyle</t>
        </is>
      </c>
      <c r="D1195" s="5" t="inlineStr"/>
      <c r="E1195" s="5" t="inlineStr"/>
      <c r="F1195" s="5" t="inlineStr">
        <is>
          <t>İtibar +1</t>
        </is>
      </c>
      <c r="G1195" s="6" t="inlineStr">
        <is>
          <t>Dosya bulundu. Telefondaki genç 'Siz olmasanız…' dedi ve cümleyi bitiremedi. Akşam bunu bakkala, kapıcıya ve kediye anlattın.</t>
        </is>
      </c>
      <c r="H1195" s="6" t="inlineStr"/>
      <c r="I1195" s="6" t="inlineStr"/>
      <c r="J1195" s="6" t="inlineStr"/>
      <c r="K1195" s="6" t="inlineStr"/>
      <c r="L1195" s="6" t="inlineStr"/>
      <c r="M1195" s="5" t="inlineStr"/>
      <c r="N1195" s="5" t="inlineStr"/>
      <c r="O1195" s="6" t="inlineStr"/>
      <c r="P1195" s="6" t="inlineStr"/>
      <c r="Q1195" s="5" t="inlineStr"/>
      <c r="R1195" s="5" t="inlineStr"/>
      <c r="S1195" s="5" t="inlineStr"/>
      <c r="T1195" s="5" t="inlineStr"/>
      <c r="U1195" s="5" t="inlineStr"/>
      <c r="V1195" s="5" t="inlineStr"/>
      <c r="W1195" s="5" t="inlineStr"/>
      <c r="X1195" s="5" t="inlineStr"/>
      <c r="Y1195" s="5" t="inlineStr"/>
      <c r="Z1195" s="6" t="inlineStr"/>
      <c r="AA1195" s="5" t="inlineStr"/>
      <c r="AB1195" s="5" t="inlineStr"/>
      <c r="AC1195" s="5" t="inlineStr"/>
      <c r="AD1195" s="5" t="inlineStr"/>
      <c r="AE1195" s="5" t="inlineStr"/>
      <c r="AF1195" s="5" t="inlineStr"/>
      <c r="AG1195" s="5" t="inlineStr"/>
      <c r="AH1195" s="5" t="inlineStr"/>
      <c r="AI1195" s="5" t="inlineStr"/>
    </row>
    <row r="1196">
      <c r="A1196" s="5" t="inlineStr">
        <is>
          <t>b10-danismanlik</t>
        </is>
      </c>
      <c r="B1196" s="5" t="n">
        <v>2</v>
      </c>
      <c r="C1196" s="6" t="inlineStr">
        <is>
          <t>Danışmanlık ücreti iste</t>
        </is>
      </c>
      <c r="D1196" s="5" t="inlineStr">
        <is>
          <t>Kurnazlık</t>
        </is>
      </c>
      <c r="E1196" s="5" t="inlineStr">
        <is>
          <t>Orta</t>
        </is>
      </c>
      <c r="F1196" s="5" t="inlineStr"/>
      <c r="G1196" s="6" t="inlineStr"/>
      <c r="H1196" s="6" t="inlineStr">
        <is>
          <t>Tek cümle için yarım maaş istedin, verdiler. 'Üçüncü raf, arka kutu.' Hayatının en kârlı cümlesi.</t>
        </is>
      </c>
      <c r="I1196" s="6" t="inlineStr">
        <is>
          <t>Aylık danışmanlık sözleşmesi imzalandı. Görevin: ayda bir kez telefon açmak.</t>
        </is>
      </c>
      <c r="J1196" s="6" t="inlineStr">
        <is>
          <t>Ücret istedin, onlar dosyayı kendileri buldu. Danışmanlık teklifi rafa kaldırıldı.</t>
        </is>
      </c>
      <c r="K1196" s="6" t="inlineStr">
        <is>
          <t>Ücret istedin; dosyayı kendin götürmen istendi. Otobüs bedavaydı ama iki aktarma, bir yokuş ve asansörsüz dört kat senden.</t>
        </is>
      </c>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row>
    <row r="1197">
      <c r="A1197" s="5" t="inlineStr">
        <is>
          <t>b10-danismanlik</t>
        </is>
      </c>
      <c r="B1197" s="5" t="n">
        <v>3</v>
      </c>
      <c r="C1197" s="6" t="inlineStr">
        <is>
          <t>Arşivin yerini söyle</t>
        </is>
      </c>
      <c r="D1197" s="5" t="inlineStr"/>
      <c r="E1197" s="5" t="inlineStr"/>
      <c r="F1197" s="5" t="inlineStr">
        <is>
          <t>Akıl +1</t>
        </is>
      </c>
      <c r="G1197" s="6" t="inlineStr">
        <is>
          <t>'Üçüncü kat, ikinci oda, dolabın arkası, mavi klasör.' Kurum seni kırk dakika alkışladı. Ödeme yapılmadı.</t>
        </is>
      </c>
      <c r="H1197" s="6" t="inlineStr"/>
      <c r="I1197" s="6" t="inlineStr"/>
      <c r="J1197" s="6" t="inlineStr"/>
      <c r="K1197" s="6" t="inlineStr"/>
      <c r="L1197" s="6" t="inlineStr"/>
      <c r="M1197" s="5" t="inlineStr"/>
      <c r="N1197" s="5" t="inlineStr"/>
      <c r="O1197" s="6" t="inlineStr"/>
      <c r="P1197" s="6" t="inlineStr"/>
      <c r="Q1197" s="5" t="inlineStr"/>
      <c r="R1197" s="5" t="inlineStr">
        <is>
          <t>meslek-memur</t>
        </is>
      </c>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row>
    <row r="1198">
      <c r="A1198" s="5" t="inlineStr">
        <is>
          <t>b10-eski-dost-cenazesi</t>
        </is>
      </c>
      <c r="B1198" s="5" t="n">
        <v>1</v>
      </c>
      <c r="C1198" s="6" t="inlineStr">
        <is>
          <t>Helvayı sen karıştır</t>
        </is>
      </c>
      <c r="D1198" s="5" t="inlineStr"/>
      <c r="E1198" s="5" t="inlineStr"/>
      <c r="F1198" s="5" t="inlineStr">
        <is>
          <t>Gönül +1</t>
        </is>
      </c>
      <c r="G1198" s="6" t="inlineStr">
        <is>
          <t>Kepçeyi aldın, bir saat helva karıştırdın, tek kelime etmedin. Akşam dostunun kızı kapıda elini tuttu: 'En çok sizi severdi.'</t>
        </is>
      </c>
      <c r="H1198" s="6" t="inlineStr"/>
      <c r="I1198" s="6" t="inlineStr"/>
      <c r="J1198" s="6" t="inlineStr"/>
      <c r="K1198" s="6" t="inlineStr"/>
      <c r="L1198" s="6" t="inlineStr"/>
      <c r="M1198" s="5" t="inlineStr"/>
      <c r="N1198" s="5" t="inlineStr"/>
      <c r="O1198" s="6" t="inlineStr"/>
      <c r="P1198" s="6" t="inlineStr"/>
      <c r="Q1198" s="5" t="inlineStr"/>
      <c r="R1198" s="5" t="inlineStr"/>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row>
    <row r="1199">
      <c r="A1199" s="5" t="inlineStr">
        <is>
          <t>b10-eski-dost-cenazesi</t>
        </is>
      </c>
      <c r="B1199" s="5" t="n">
        <v>2</v>
      </c>
      <c r="C1199" s="6" t="inlineStr">
        <is>
          <t>Dostunun bir hatırasını anlat</t>
        </is>
      </c>
      <c r="D1199" s="5" t="inlineStr">
        <is>
          <t>İtibar</t>
        </is>
      </c>
      <c r="E1199" s="5" t="inlineStr">
        <is>
          <t>Zor</t>
        </is>
      </c>
      <c r="F1199" s="5" t="inlineStr"/>
      <c r="G1199" s="6" t="inlineStr"/>
      <c r="H1199" s="6" t="inlineStr">
        <is>
          <t>Üç cümlelik bir hatıra anlattın. Helva kavuran bile kepçeyi bırakıp dinledi.</t>
        </is>
      </c>
      <c r="I1199" s="6" t="inlineStr">
        <is>
          <t>Kırk yıl önceki balık hikâyesini anlattın; taziye evi önce güldü, sonra ağladı. Dostunun eşi elini tuttu: 'Yine onun sesini duydum.'</t>
        </is>
      </c>
      <c r="J1199" s="6" t="inlineStr">
        <is>
          <t>Hatırayı anlatmaya başladın, sonunu getiremedin. 'İyi insandı' dedin. Yetti.</t>
        </is>
      </c>
      <c r="K1199" s="6" t="inlineStr">
        <is>
          <t>Hatıranın ortasında dostunun adı yerine kendi adını söyledin. Kimse düzeltmedi. Çıkışta üç kişi elini sıkıp 'Kendine iyi bak' dedi.</t>
        </is>
      </c>
      <c r="L1199" s="6" t="inlineStr"/>
      <c r="M1199" s="5" t="inlineStr"/>
      <c r="N1199" s="5" t="inlineStr"/>
      <c r="O1199" s="6" t="inlineStr"/>
      <c r="P1199" s="6" t="inlineStr"/>
      <c r="Q1199" s="5" t="inlineStr"/>
      <c r="R1199" s="5" t="inlineStr"/>
      <c r="S1199" s="5" t="inlineStr"/>
      <c r="T1199" s="5" t="inlineStr">
        <is>
          <t>Son Sözü Söyler</t>
        </is>
      </c>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row>
    <row r="1200">
      <c r="A1200" s="5" t="inlineStr">
        <is>
          <t>b10-eski-dost-cenazesi</t>
        </is>
      </c>
      <c r="B1200" s="5" t="n">
        <v>3</v>
      </c>
      <c r="C1200" s="6" t="inlineStr">
        <is>
          <t>Uzun anlatanın önüne taze çay koy</t>
        </is>
      </c>
      <c r="D1200" s="5" t="inlineStr">
        <is>
          <t>Sosyal Radar</t>
        </is>
      </c>
      <c r="E1200" s="5" t="inlineStr">
        <is>
          <t>Kolay</t>
        </is>
      </c>
      <c r="F1200" s="5" t="inlineStr"/>
      <c r="G1200" s="6" t="inlineStr"/>
      <c r="H1200" s="6" t="inlineStr">
        <is>
          <t>Önüne taze çay koydun. Çay sıcakken susmak zorunda kaldı; söz sırası başkasına geçti.</t>
        </is>
      </c>
      <c r="I1200" s="6" t="inlineStr">
        <is>
          <t>Çayı önüne koydun; içmek için sustu. Sonra sana döndü: 'Sen anlat, sen onu benden iyi bilirdin.' Taziye evi ilk kez senin hikâyeni dinledi.</t>
        </is>
      </c>
      <c r="J1200" s="6" t="inlineStr">
        <is>
          <t>Çayı koydun. Bir dikişte içti ve hikâyeye kaldığı yerden devam etti. Dördüncü kez.</t>
        </is>
      </c>
      <c r="K1200" s="6" t="inlineStr">
        <is>
          <t>Çayı koyarken tepsiyi devirdin. Herkes ayağa kalktı, halılar silindi; uzun anlatan bu karmaşada hikâyeyi en baştan aldı.</t>
        </is>
      </c>
      <c r="L1200" s="6" t="inlineStr"/>
      <c r="M1200" s="5" t="inlineStr"/>
      <c r="N1200" s="5" t="inlineStr"/>
      <c r="O1200" s="6" t="inlineStr"/>
      <c r="P1200" s="6" t="inlineStr"/>
      <c r="Q1200" s="5" t="inlineStr"/>
      <c r="R1200" s="5" t="inlineStr"/>
      <c r="S1200" s="5" t="inlineStr">
        <is>
          <t>Sosyal Radar</t>
        </is>
      </c>
      <c r="T1200" s="5" t="inlineStr"/>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row>
    <row r="1201">
      <c r="A1201" s="5" t="inlineStr">
        <is>
          <t>b10-ani-defteri</t>
        </is>
      </c>
      <c r="B1201" s="5" t="n">
        <v>1</v>
      </c>
      <c r="C1201" s="6" t="inlineStr">
        <is>
          <t>Olduğu gibi yaz</t>
        </is>
      </c>
      <c r="D1201" s="5" t="inlineStr"/>
      <c r="E1201" s="5" t="inlineStr"/>
      <c r="F1201" s="5" t="inlineStr">
        <is>
          <t>İtibar +1</t>
        </is>
      </c>
      <c r="G1201" s="6" t="inlineStr">
        <is>
          <t>Defter bitti. Aile okudu, üç kişi aradı, bir kişi özür diledi.</t>
        </is>
      </c>
      <c r="H1201" s="6" t="inlineStr"/>
      <c r="I1201" s="6" t="inlineStr"/>
      <c r="J1201" s="6" t="inlineStr"/>
      <c r="K1201" s="6" t="inlineStr"/>
      <c r="L1201" s="6" t="inlineStr"/>
      <c r="M1201" s="5" t="inlineStr"/>
      <c r="N1201" s="5" t="inlineStr"/>
      <c r="O1201" s="6" t="inlineStr"/>
      <c r="P1201" s="6" t="inlineStr"/>
      <c r="Q1201" s="5" t="inlineStr"/>
      <c r="R1201" s="5" t="inlineStr"/>
      <c r="S1201" s="5" t="inlineStr"/>
      <c r="T1201" s="5" t="inlineStr"/>
      <c r="U1201" s="5" t="inlineStr">
        <is>
          <t>ani-defteri</t>
        </is>
      </c>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row>
    <row r="1202">
      <c r="A1202" s="5" t="inlineStr">
        <is>
          <t>b10-ani-defteri</t>
        </is>
      </c>
      <c r="B1202" s="5" t="n">
        <v>2</v>
      </c>
      <c r="C1202" s="6" t="inlineStr">
        <is>
          <t>Anıları biraz süsle</t>
        </is>
      </c>
      <c r="D1202" s="5" t="inlineStr">
        <is>
          <t>Pişkinlik</t>
        </is>
      </c>
      <c r="E1202" s="5" t="inlineStr">
        <is>
          <t>Orta</t>
        </is>
      </c>
      <c r="F1202" s="5" t="inlineStr"/>
      <c r="G1202" s="6" t="inlineStr"/>
      <c r="H1202" s="6" t="inlineStr">
        <is>
          <t>Anıları biraz süsledin. Düzeltebilecek tek kişi çocukluk arkadaşındı; o da senin versiyonunu daha çok beğendi.</t>
        </is>
      </c>
      <c r="I1202" s="6" t="inlineStr">
        <is>
          <t>Anı defteri o kadar sürükleyici oldu ki mahallede elden ele dolaşmaya başladı. Bazı komşular kitaba itiraz dilekçesi yazdı.</t>
        </is>
      </c>
      <c r="J1202" s="6" t="inlineStr">
        <is>
          <t>Süslemeler fark edildi. Deftere 'Kurgu' etiketi yapıştırıldı.</t>
        </is>
      </c>
      <c r="K1202" s="6" t="inlineStr">
        <is>
          <t>Defterde 'çoktan göçüp gitti' diye yazdığın sıra arkadaşın hâlâ hayattaymış. Defteri okudu, telefon açtı: 'Ölmedim. Ayrıca o gün kaçan sendin.'</t>
        </is>
      </c>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row>
    <row r="1203">
      <c r="A1203" s="5" t="inlineStr">
        <is>
          <t>b10-ani-defteri</t>
        </is>
      </c>
      <c r="B1203" s="5" t="n">
        <v>3</v>
      </c>
      <c r="C1203" s="6" t="inlineStr">
        <is>
          <t>Vazo olayının gerçeğini yaz</t>
        </is>
      </c>
      <c r="D1203" s="5" t="inlineStr">
        <is>
          <t>İtibar</t>
        </is>
      </c>
      <c r="E1203" s="5" t="inlineStr">
        <is>
          <t>Kolay</t>
        </is>
      </c>
      <c r="F1203" s="5" t="inlineStr"/>
      <c r="G1203" s="6" t="inlineStr"/>
      <c r="H1203" s="6" t="inlineStr">
        <is>
          <t>Yetmiş beş yıllık dosya kapandı. Kedi, ölümünden yıllar sonra aklandı.</t>
        </is>
      </c>
      <c r="I1203" s="6" t="inlineStr">
        <is>
          <t>İtirafı okuyan aile üyeleri ayağa kalktı ve kedinin anısına bir dakikalık saygı duruşu yapıldı.</t>
        </is>
      </c>
      <c r="J1203" s="6" t="inlineStr">
        <is>
          <t>İtirafı yazdın ama sayfa kahveye bulandı. Kedinin sicili değişmedi.</t>
        </is>
      </c>
      <c r="K1203" s="6" t="inlineStr">
        <is>
          <t>Gerçeği yazdın; aile üyelerinden biri 'O vazoyu ben kırmıştım' dedi. Dosya yeniden açıldı.</t>
        </is>
      </c>
      <c r="L1203" s="6" t="inlineStr"/>
      <c r="M1203" s="5" t="inlineStr"/>
      <c r="N1203" s="5" t="inlineStr"/>
      <c r="O1203" s="6" t="inlineStr"/>
      <c r="P1203" s="6" t="inlineStr"/>
      <c r="Q1203" s="5" t="inlineStr"/>
      <c r="R1203" s="5" t="inlineStr">
        <is>
          <t>kediSuclu</t>
        </is>
      </c>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row>
    <row r="1204">
      <c r="A1204" s="5" t="inlineStr">
        <is>
          <t>b10-seksen-yas-partisi</t>
        </is>
      </c>
      <c r="B1204" s="5" t="n">
        <v>1</v>
      </c>
      <c r="C1204" s="6" t="inlineStr">
        <is>
          <t>Mumları tek nefeste söndür</t>
        </is>
      </c>
      <c r="D1204" s="5" t="inlineStr">
        <is>
          <t>Dayanıklılık</t>
        </is>
      </c>
      <c r="E1204" s="5" t="inlineStr">
        <is>
          <t>Orta</t>
        </is>
      </c>
      <c r="F1204" s="5" t="inlineStr"/>
      <c r="G1204" s="6" t="inlineStr"/>
      <c r="H1204" s="6" t="inlineStr">
        <is>
          <t>Tek nefes, tüm mumlar. Oda alkışa, pasta kurtarılmaya geçti.</t>
        </is>
      </c>
      <c r="I1204" s="6" t="inlineStr">
        <is>
          <t>Tek nefesle söndürdün, yan masadaki mumları da. Rekor kayda geçti, pasta bozulmadı.</t>
        </is>
      </c>
      <c r="J1204" s="6" t="inlineStr">
        <is>
          <t>Mumların yarısı söndü. İkinci nefese kadar kalanlar pastaya damladı; ilk dilim mumlu çıktı.</t>
        </is>
      </c>
      <c r="K1204" s="6" t="inlineStr">
        <is>
          <t>Bütün gücünle üfledin; mumlar yerinde kaldı, takma dişin pastanın ortasına indi. Video aile grubunda; en çok tekrar izlenen yer diş.</t>
        </is>
      </c>
      <c r="L1204" s="6" t="inlineStr">
        <is>
          <t>Mumların çoğu söndü. Kalanları çocuklar arkadan üfledi; kimse görmedi, herkes gördü.</t>
        </is>
      </c>
      <c r="M1204" s="5" t="inlineStr">
        <is>
          <t>breath</t>
        </is>
      </c>
      <c r="N1204" s="5" t="inlineStr">
        <is>
          <t>Mumları Söndür</t>
        </is>
      </c>
      <c r="O1204" s="6" t="inlineStr">
        <is>
          <t>Daire büyürken bas, küçülürken bırak. Nefesini doğru anda boşalt.</t>
        </is>
      </c>
      <c r="P1204" s="6" t="inlineStr"/>
      <c r="Q1204" s="5" t="inlineStr"/>
      <c r="R1204" s="5" t="inlineStr"/>
      <c r="S1204" s="5" t="inlineStr"/>
      <c r="T1204" s="5" t="inlineStr"/>
      <c r="U1204" s="5" t="inlineStr"/>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is>
          <t>Takma Diş</t>
        </is>
      </c>
    </row>
    <row r="1205">
      <c r="A1205" s="5" t="inlineStr">
        <is>
          <t>b10-seksen-yas-partisi</t>
        </is>
      </c>
      <c r="B1205" s="5" t="n">
        <v>2</v>
      </c>
      <c r="C1205" s="6" t="inlineStr">
        <is>
          <t>Mumları çocuklara söndürt</t>
        </is>
      </c>
      <c r="D1205" s="5" t="inlineStr"/>
      <c r="E1205" s="5" t="inlineStr"/>
      <c r="F1205" s="5" t="inlineStr">
        <is>
          <t>Gönül +1</t>
        </is>
      </c>
      <c r="G1205" s="6" t="inlineStr">
        <is>
          <t>Çocuklar etrafını sardı, hep birlikte üflediniz; pastaya biraz tükürük karıştı, kimse dert etmedi. En küçüğü dileğini yüksek sesle söyledi: 'Hiç ölme.'</t>
        </is>
      </c>
      <c r="H1205" s="6" t="inlineStr"/>
      <c r="I1205" s="6" t="inlineStr"/>
      <c r="J1205" s="6" t="inlineStr"/>
      <c r="K1205" s="6" t="inlineStr"/>
      <c r="L1205" s="6" t="inlineStr"/>
      <c r="M1205" s="5" t="inlineStr"/>
      <c r="N1205" s="5" t="inlineStr"/>
      <c r="O1205" s="6" t="inlineStr"/>
      <c r="P1205" s="6" t="inlineStr"/>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row>
    <row r="1206">
      <c r="A1206" s="5" t="inlineStr">
        <is>
          <t>b10-seksen-yas-partisi</t>
        </is>
      </c>
      <c r="B1206" s="5" t="n">
        <v>3</v>
      </c>
      <c r="C1206" s="6" t="inlineStr">
        <is>
          <t>Seksen yılı dört cümlede anlat</t>
        </is>
      </c>
      <c r="D1206" s="5" t="inlineStr">
        <is>
          <t>Çene</t>
        </is>
      </c>
      <c r="E1206" s="5" t="inlineStr">
        <is>
          <t>Orta</t>
        </is>
      </c>
      <c r="F1206" s="5" t="inlineStr"/>
      <c r="G1206" s="6" t="inlineStr"/>
      <c r="H1206" s="6" t="inlineStr">
        <is>
          <t>Seksen yılı dört cümleye sığdırdın. Kimse telefonuna bakmadı.</t>
        </is>
      </c>
      <c r="I1206" s="6" t="inlineStr">
        <is>
          <t>Konuşman videoya çekildi, aile grubunda sabitlendi. Artık her doğum gününde açılışta oynatılıyor.</t>
        </is>
      </c>
      <c r="J1206" s="6" t="inlineStr">
        <is>
          <t>Konuşman uzadı, mumlar kendi kendine söndü.</t>
        </is>
      </c>
      <c r="K1206" s="6" t="inlineStr">
        <is>
          <t>Konuşmana 'Benim zamanımda…' diye başladın. Gençler bunu bekliyordu; tombala kartlarını çıkardılar. Üçüncü 'benim zamanımda'da en küçükleri 'Çinko!' diye bağırdı.</t>
        </is>
      </c>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row>
    <row r="1207">
      <c r="A1207" s="5" t="inlineStr">
        <is>
          <t>b10-seksen-yas-partisi</t>
        </is>
      </c>
      <c r="B1207" s="5" t="n">
        <v>4</v>
      </c>
      <c r="C1207" s="6" t="inlineStr">
        <is>
          <t>Pastayı gizlice kes</t>
        </is>
      </c>
      <c r="D1207" s="5" t="inlineStr"/>
      <c r="E1207" s="5" t="inlineStr"/>
      <c r="F1207" s="5" t="inlineStr">
        <is>
          <t>Kurnazlık +1</t>
        </is>
      </c>
      <c r="G1207" s="6" t="inlineStr">
        <is>
          <t>Konuşmalar bitmeden ilk dilim senin tabağındaydı. Seksen yıllık tecrübe.</t>
        </is>
      </c>
      <c r="H1207" s="6" t="inlineStr"/>
      <c r="I1207" s="6" t="inlineStr"/>
      <c r="J1207" s="6" t="inlineStr"/>
      <c r="K1207" s="6" t="inlineStr"/>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row>
    <row r="1208">
      <c r="A1208" s="5" t="inlineStr">
        <is>
          <t>b10-huzurevi-turu</t>
        </is>
      </c>
      <c r="B1208" s="5" t="n">
        <v>1</v>
      </c>
      <c r="C1208" s="6" t="inlineStr">
        <is>
          <t>Nazikçe teşekkür et, evine dön</t>
        </is>
      </c>
      <c r="D1208" s="5" t="inlineStr"/>
      <c r="E1208" s="5" t="inlineStr"/>
      <c r="F1208" s="5" t="inlineStr">
        <is>
          <t>Dayanıklılık +1</t>
        </is>
      </c>
      <c r="G1208" s="6" t="inlineStr">
        <is>
          <t>Broşürü aldın, eve döndün. Akşam telefonda 'Merak etmeyin, beni oraya kimse koyamaz' dedin. Kimse koymaya çalışmıyordu.</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row>
    <row r="1209">
      <c r="A1209" s="5" t="inlineStr">
        <is>
          <t>b10-huzurevi-turu</t>
        </is>
      </c>
      <c r="B1209" s="5" t="n">
        <v>2</v>
      </c>
      <c r="C1209" s="6" t="inlineStr">
        <is>
          <t>Hemen kayıt ol</t>
        </is>
      </c>
      <c r="D1209" s="5" t="inlineStr"/>
      <c r="E1209" s="5" t="inlineStr"/>
      <c r="F1209" s="5" t="inlineStr">
        <is>
          <t>Sosyal Radar +1</t>
        </is>
      </c>
      <c r="G1209" s="6" t="inlineStr">
        <is>
          <t>Kayıt tamamlandı. Üç gün içinde bütün sakinlerin hayat hikâyesine vakıfsın; onlar da seninkine.</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is>
          <t>huzurevi-sakini</t>
        </is>
      </c>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row>
    <row r="1210">
      <c r="A1210" s="5" t="inlineStr">
        <is>
          <t>b10-huzurevi-turu</t>
        </is>
      </c>
      <c r="B1210" s="5" t="n">
        <v>3</v>
      </c>
      <c r="C1210" s="6" t="inlineStr">
        <is>
          <t>Çay saatinin yönetimini devral</t>
        </is>
      </c>
      <c r="D1210" s="5" t="inlineStr">
        <is>
          <t>Çene</t>
        </is>
      </c>
      <c r="E1210" s="5" t="inlineStr">
        <is>
          <t>Zor</t>
        </is>
      </c>
      <c r="F1210" s="5" t="inlineStr"/>
      <c r="G1210" s="6" t="inlineStr"/>
      <c r="H1210" s="6" t="inlineStr">
        <is>
          <t>Çay saati sana devredildi. İlk iş kuru kurabiyeyi kaldırıp ev poğaçasına geçtin. Mutfaktaki abla ilk hafta sana küstü, ikinci hafta tarifi istedi.</t>
        </is>
      </c>
      <c r="I1210" s="6" t="inlineStr">
        <is>
          <t>Çay saati o kadar iyi yönetildi ki komşu huzurevinden transfer talepleri gelmeye başladı.</t>
        </is>
      </c>
      <c r="J1210" s="6" t="inlineStr">
        <is>
          <t>Çay saatini devralmaya kalktın. Yirmi yıldır demliği tutan teyze demliği bırakmadı; o gün sana ilk bardağı da vermedi.</t>
        </is>
      </c>
      <c r="K1210" s="6" t="inlineStr">
        <is>
          <t>Devralma girişimin duyuldu. Bir hafta boyunca çay sana en son ve en açık hâliyle geldi.</t>
        </is>
      </c>
      <c r="L1210" s="6" t="inlineStr"/>
      <c r="M1210" s="5" t="inlineStr"/>
      <c r="N1210" s="5" t="inlineStr"/>
      <c r="O1210" s="6" t="inlineStr"/>
      <c r="P1210" s="6" t="inlineStr"/>
      <c r="Q1210" s="5" t="inlineStr">
        <is>
          <t>Kuralı Koyan</t>
        </is>
      </c>
      <c r="R1210" s="5" t="inlineStr"/>
      <c r="S1210" s="5" t="inlineStr"/>
      <c r="T1210" s="5" t="inlineStr"/>
      <c r="U1210" s="5" t="inlineStr"/>
      <c r="V1210" s="5" t="inlineStr">
        <is>
          <t>huzurevi-sakini</t>
        </is>
      </c>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row>
    <row r="1211">
      <c r="A1211" s="5" t="inlineStr">
        <is>
          <t>b10-torunun-dugunu</t>
        </is>
      </c>
      <c r="B1211" s="5" t="n">
        <v>1</v>
      </c>
      <c r="C1211" s="6" t="inlineStr">
        <is>
          <t>Torunla dans figürlerini tekrarla</t>
        </is>
      </c>
      <c r="D1211" s="5" t="inlineStr">
        <is>
          <t>Dayanıklılık</t>
        </is>
      </c>
      <c r="E1211" s="5" t="inlineStr">
        <is>
          <t>Orta</t>
        </is>
      </c>
      <c r="F1211" s="5" t="inlineStr"/>
      <c r="G1211" s="6" t="inlineStr"/>
      <c r="H1211" s="6" t="inlineStr">
        <is>
          <t>Figürler kusursuz tekrarlandı. Düğün videosunun en çok izlenen kısmı oldu.</t>
        </is>
      </c>
      <c r="I1211" s="6" t="inlineStr">
        <is>
          <t>Dansınız telefondan telefona dolaştı, milyonlarca kez izlendi. Düğün artık 'o dansın olduğu düğün' diye anılıyor; gelinle damat ikinci planda.</t>
        </is>
      </c>
      <c r="J1211" s="6" t="inlineStr">
        <is>
          <t>İki figürü karıştırdın. Torun gülerek senin versiyonuna uydu.</t>
        </is>
      </c>
      <c r="K1211" s="6" t="inlineStr">
        <is>
          <t>Figürleri karıştırdın, ters döndün, gelinin eteğine bastın. Fotoğrafçı tam o anı yakaladı. Düğün albümünün kapağı o kare.</t>
        </is>
      </c>
      <c r="L1211" s="6" t="inlineStr">
        <is>
          <t>Dört figürün üçü tamam. Dördüncüsünde torun seni kucakladı; kimse hatayı görmedi.</t>
        </is>
      </c>
      <c r="M1211" s="5" t="inlineStr">
        <is>
          <t>simon</t>
        </is>
      </c>
      <c r="N1211" s="5" t="inlineStr">
        <is>
          <t>Torunla Dans</t>
        </is>
      </c>
      <c r="O1211" s="6" t="inlineStr">
        <is>
          <t>Torunun gösterdiği figür sırasını aynen tekrarla.</t>
        </is>
      </c>
      <c r="P1211" s="6" t="inlineStr">
        <is>
          <t>{"items": ["👏", "💃", "🕺", "🙌"]}</t>
        </is>
      </c>
      <c r="Q1211" s="5" t="inlineStr"/>
      <c r="R1211" s="5" t="inlineStr"/>
      <c r="S1211" s="5" t="inlineStr"/>
      <c r="T1211" s="5" t="inlineStr"/>
      <c r="U1211" s="5" t="inlineStr"/>
      <c r="V1211" s="5" t="inlineStr"/>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row>
    <row r="1212">
      <c r="A1212" s="5" t="inlineStr">
        <is>
          <t>b10-torunun-dugunu</t>
        </is>
      </c>
      <c r="B1212" s="5" t="n">
        <v>2</v>
      </c>
      <c r="C1212" s="6" t="inlineStr">
        <is>
          <t>Takını mikrofondan anons ettir</t>
        </is>
      </c>
      <c r="D1212" s="5" t="inlineStr"/>
      <c r="E1212" s="5" t="inlineStr"/>
      <c r="F1212" s="5" t="inlineStr">
        <is>
          <t>İtibar +1, Gönül +1</t>
        </is>
      </c>
      <c r="G1212" s="6" t="inlineStr">
        <is>
          <t>Sunucu mikrofona eğildi: 'Aile büyüğümüzden bir bilezik ve iki çeyrek!' Salon ayağa kalktı; dünür tarafı kendi taktıklarını yeniden saydı.</t>
        </is>
      </c>
      <c r="H1212" s="6" t="inlineStr"/>
      <c r="I1212" s="6" t="inlineStr"/>
      <c r="J1212" s="6" t="inlineStr"/>
      <c r="K1212" s="6" t="inlineStr"/>
      <c r="L1212" s="6" t="inlineStr"/>
      <c r="M1212" s="5" t="inlineStr"/>
      <c r="N1212" s="5" t="inlineStr"/>
      <c r="O1212" s="6" t="inlineStr"/>
      <c r="P1212" s="6" t="inlineStr"/>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row>
    <row r="1213">
      <c r="A1213" s="5" t="inlineStr">
        <is>
          <t>b10-torunun-dugunu</t>
        </is>
      </c>
      <c r="B1213" s="5" t="n">
        <v>3</v>
      </c>
      <c r="C1213" s="6" t="inlineStr">
        <is>
          <t>Halayın başını çek</t>
        </is>
      </c>
      <c r="D1213" s="5" t="inlineStr">
        <is>
          <t>Cesaret</t>
        </is>
      </c>
      <c r="E1213" s="5" t="inlineStr">
        <is>
          <t>Zor</t>
        </is>
      </c>
      <c r="F1213" s="5" t="inlineStr"/>
      <c r="G1213" s="6" t="inlineStr"/>
      <c r="H1213" s="6" t="inlineStr">
        <is>
          <t>Halayı başlattın, salon takip etti. Mendil hâlâ senin elinde.</t>
        </is>
      </c>
      <c r="I1213" s="6" t="inlineStr">
        <is>
          <t>Halayı öyle bir çektin ki orkestra bir şarkı daha çaldı. Kimse durmayı teklif etmedi.</t>
        </is>
      </c>
      <c r="J1213" s="6" t="inlineStr">
        <is>
          <t>Halayı başlattın, üçüncü turda mendili bir torununa devrettin.</t>
        </is>
      </c>
      <c r="K1213" s="6" t="inlineStr">
        <is>
          <t>Halay hızlanınca dizlerin bıraktı. İki torun seni koltuk altından tutup halayı ayakların yere değmeden bitirdi; video aile grubunda üç gün döndü.</t>
        </is>
      </c>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n">
        <v>5</v>
      </c>
      <c r="Z1213" s="6" t="inlineStr">
        <is>
          <t>Torununun düğününde halayın başını çekerken. Mendil hâlâ havada.</t>
        </is>
      </c>
      <c r="AA1213" s="5" t="inlineStr"/>
      <c r="AB1213" s="5" t="inlineStr"/>
      <c r="AC1213" s="5" t="inlineStr"/>
      <c r="AD1213" s="5" t="inlineStr"/>
      <c r="AE1213" s="5" t="inlineStr"/>
      <c r="AF1213" s="5" t="inlineStr"/>
      <c r="AG1213" s="5" t="inlineStr"/>
      <c r="AH1213" s="5" t="inlineStr"/>
      <c r="AI1213" s="5" t="inlineStr"/>
    </row>
    <row r="1214">
      <c r="A1214" s="5" t="inlineStr">
        <is>
          <t>b10-yapay-zeka-kitap</t>
        </is>
      </c>
      <c r="B1214" s="5" t="n">
        <v>1</v>
      </c>
      <c r="C1214" s="6" t="inlineStr">
        <is>
          <t>Kitabı olduğu gibi onayla</t>
        </is>
      </c>
      <c r="D1214" s="5" t="inlineStr"/>
      <c r="E1214" s="5" t="inlineStr"/>
      <c r="F1214" s="5" t="inlineStr">
        <is>
          <t>İtibar +1</t>
        </is>
      </c>
      <c r="G1214" s="6" t="inlineStr">
        <is>
          <t>Kitap basıldı. Kendi hayatını okudun ve biraz kıskandın.</t>
        </is>
      </c>
      <c r="H1214" s="6" t="inlineStr"/>
      <c r="I1214" s="6" t="inlineStr"/>
      <c r="J1214" s="6" t="inlineStr"/>
      <c r="K1214" s="6" t="inlineStr"/>
      <c r="L1214" s="6" t="inlineStr"/>
      <c r="M1214" s="5" t="inlineStr"/>
      <c r="N1214" s="5" t="inlineStr"/>
      <c r="O1214" s="6" t="inlineStr"/>
      <c r="P1214" s="6" t="inlineStr"/>
      <c r="Q1214" s="5" t="inlineStr"/>
      <c r="R1214" s="5" t="inlineStr"/>
      <c r="S1214" s="5" t="inlineStr"/>
      <c r="T1214" s="5" t="inlineStr"/>
      <c r="U1214" s="5" t="inlineStr">
        <is>
          <t>kitaplasti</t>
        </is>
      </c>
      <c r="V1214" s="5" t="inlineStr"/>
      <c r="W1214" s="5" t="inlineStr"/>
      <c r="X1214" s="5" t="inlineStr"/>
      <c r="Y1214" s="5" t="inlineStr"/>
      <c r="Z1214" s="6" t="inlineStr"/>
      <c r="AA1214" s="5" t="inlineStr"/>
      <c r="AB1214" s="5" t="inlineStr"/>
      <c r="AC1214" s="5" t="inlineStr"/>
      <c r="AD1214" s="5" t="inlineStr"/>
      <c r="AE1214" s="5" t="inlineStr"/>
      <c r="AF1214" s="5" t="inlineStr"/>
      <c r="AG1214" s="5" t="inlineStr"/>
      <c r="AH1214" s="5" t="inlineStr"/>
      <c r="AI1214" s="5" t="inlineStr"/>
    </row>
    <row r="1215">
      <c r="A1215" s="5" t="inlineStr">
        <is>
          <t>b10-yapay-zeka-kitap</t>
        </is>
      </c>
      <c r="B1215" s="5" t="n">
        <v>2</v>
      </c>
      <c r="C1215" s="6" t="inlineStr">
        <is>
          <t>Yapay zekâyla tartış</t>
        </is>
      </c>
      <c r="D1215" s="5" t="inlineStr">
        <is>
          <t>Akıl</t>
        </is>
      </c>
      <c r="E1215" s="5" t="inlineStr">
        <is>
          <t>Zor</t>
        </is>
      </c>
      <c r="F1215" s="5" t="inlineStr"/>
      <c r="G1215" s="6" t="inlineStr"/>
      <c r="H1215" s="6" t="inlineStr">
        <is>
          <t>Üç bölümü yeniden yazdırdın. Makine 'Haklısınız, özür dilerim' dedi. Hayatında en kolay kazandığın tartışma.</t>
        </is>
      </c>
      <c r="I1215" s="6" t="inlineStr">
        <is>
          <t>Makine hayatından o kadar etkilendi ki kitabın ikinci cildini önerdi. Sen daha birinci cildi okumadın.</t>
        </is>
      </c>
      <c r="J1215" s="6" t="inlineStr">
        <is>
          <t>Makine her itirazına 'Harika bir nokta!' dedi ve hiçbir şeyi değiştirmedi.</t>
        </is>
      </c>
      <c r="K1215" s="6" t="inlineStr">
        <is>
          <t>Makineyle iki saat tartıştın. Sonunda kitabın son bölümüne bir ad koydu: 'Huysuz Yıllar.' Torun okuyup başını salladı.</t>
        </is>
      </c>
      <c r="L1215" s="6" t="inlineStr"/>
      <c r="M1215" s="5" t="inlineStr"/>
      <c r="N1215" s="5" t="inlineStr"/>
      <c r="O1215" s="6" t="inlineStr"/>
      <c r="P1215" s="6" t="inlineStr"/>
      <c r="Q1215" s="5" t="inlineStr"/>
      <c r="R1215" s="5" t="inlineStr"/>
      <c r="S1215" s="5" t="inlineStr"/>
      <c r="T1215" s="5" t="inlineStr"/>
      <c r="U1215" s="5" t="inlineStr"/>
      <c r="V1215" s="5" t="inlineStr">
        <is>
          <t>kitaplasti</t>
        </is>
      </c>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row>
    <row r="1216">
      <c r="A1216" s="5" t="inlineStr">
        <is>
          <t>b10-yapay-zeka-kitap</t>
        </is>
      </c>
      <c r="B1216" s="5" t="n">
        <v>3</v>
      </c>
      <c r="C1216" s="6" t="inlineStr">
        <is>
          <t>'Güzel olmayanları da yaz' de</t>
        </is>
      </c>
      <c r="D1216" s="5" t="inlineStr">
        <is>
          <t>İtibar</t>
        </is>
      </c>
      <c r="E1216" s="5" t="inlineStr">
        <is>
          <t>Kolay</t>
        </is>
      </c>
      <c r="F1216" s="5" t="inlineStr"/>
      <c r="G1216" s="6" t="inlineStr"/>
      <c r="H1216" s="6" t="inlineStr">
        <is>
          <t>Kitaba kırık camlar, borçlar ve kaçırılmış otobüsler eklendi. Artık gerçekten senin hayatın.</t>
        </is>
      </c>
      <c r="I1216" s="6" t="inlineStr">
        <is>
          <t>Kitap o kadar dürüst oldu ki aile her bayram bir bölümünü sesli okuyor.</t>
        </is>
      </c>
      <c r="J1216" s="6" t="inlineStr">
        <is>
          <t>Makine 'güzel olmayanları' da güzel anlattı. Borç dönemin 'finansal öğrenme süreci' oldu.</t>
        </is>
      </c>
      <c r="K1216" s="6" t="inlineStr">
        <is>
          <t>Makine güzel olmayanları kitabın başına koydu. İlk cümle: 'Borçlarla geçen bir ömür.' Kitabı bayramda dünürlere dağıtamadılar.</t>
        </is>
      </c>
      <c r="L1216" s="6" t="inlineStr"/>
      <c r="M1216" s="5" t="inlineStr"/>
      <c r="N1216" s="5" t="inlineStr"/>
      <c r="O1216" s="6" t="inlineStr"/>
      <c r="P1216" s="6" t="inlineStr"/>
      <c r="Q1216" s="5" t="inlineStr"/>
      <c r="R1216" s="5" t="inlineStr"/>
      <c r="S1216" s="5" t="inlineStr">
        <is>
          <t>İtibar</t>
        </is>
      </c>
      <c r="T1216" s="5" t="inlineStr"/>
      <c r="U1216" s="5" t="inlineStr">
        <is>
          <t>kitaplasti</t>
        </is>
      </c>
      <c r="V1216" s="5" t="inlineStr"/>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row>
    <row r="1217">
      <c r="A1217" s="5" t="inlineStr">
        <is>
          <t>b10-eski-ev</t>
        </is>
      </c>
      <c r="B1217" s="5" t="n">
        <v>1</v>
      </c>
      <c r="C1217" s="6" t="inlineStr">
        <is>
          <t>Durup bak, sonra yürü</t>
        </is>
      </c>
      <c r="D1217" s="5" t="inlineStr"/>
      <c r="E1217" s="5" t="inlineStr"/>
      <c r="F1217" s="5" t="inlineStr">
        <is>
          <t>İtibar +1</t>
        </is>
      </c>
      <c r="G1217" s="6" t="inlineStr">
        <is>
          <t>Ev sana bakmadı. Sen ona uzun uzun baktın; annenin mutfak penceresinden seslendiği yere. Sonra yürüdün, yavaş.</t>
        </is>
      </c>
      <c r="H1217" s="6" t="inlineStr"/>
      <c r="I1217" s="6" t="inlineStr"/>
      <c r="J1217" s="6" t="inlineStr"/>
      <c r="K1217" s="6" t="inlineStr"/>
      <c r="L1217" s="6" t="inlineStr"/>
      <c r="M1217" s="5" t="inlineStr"/>
      <c r="N1217" s="5" t="inlineStr"/>
      <c r="O1217" s="6" t="inlineStr"/>
      <c r="P1217" s="6" t="inlineStr"/>
      <c r="Q1217" s="5" t="inlineStr"/>
      <c r="R1217" s="5" t="inlineStr"/>
      <c r="S1217" s="5" t="inlineStr"/>
      <c r="T1217" s="5" t="inlineStr"/>
      <c r="U1217" s="5" t="inlineStr"/>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row>
    <row r="1218">
      <c r="A1218" s="5" t="inlineStr">
        <is>
          <t>b10-eski-ev</t>
        </is>
      </c>
      <c r="B1218" s="5" t="n">
        <v>2</v>
      </c>
      <c r="C1218" s="6" t="inlineStr">
        <is>
          <t>Kapıyı çal</t>
        </is>
      </c>
      <c r="D1218" s="5" t="inlineStr">
        <is>
          <t>Cesaret</t>
        </is>
      </c>
      <c r="E1218" s="5" t="inlineStr">
        <is>
          <t>Orta</t>
        </is>
      </c>
      <c r="F1218" s="5" t="inlineStr"/>
      <c r="G1218" s="6" t="inlineStr"/>
      <c r="H1218" s="6" t="inlineStr">
        <is>
          <t>Yeni sahipler seni içeri aldı. Senin odan şimdi bir çocuk odası. Çocuk duvara keçeli kalemle güneş çizmiş, tam senin çizdiğin yere.</t>
        </is>
      </c>
      <c r="I1218" s="6" t="inlineStr">
        <is>
          <t>İçeri aldılar, çay koydular. Mutfak kapısının pervazında kurşun kalemle çizilmiş boy çizgilerin hâlâ duruyordu; ev sahibi silmeye kıyamamış.</t>
        </is>
      </c>
      <c r="J1218" s="6" t="inlineStr">
        <is>
          <t>Kapıyı kimse açmadı. Karşı apartmandan biri camı açtı: 'Kimi aradınız?' 'Kendimi' diyemedin.</t>
        </is>
      </c>
      <c r="K1218" s="6" t="inlineStr">
        <is>
          <t>Kapıyı açan kadın seni kaybolmuş sandı, adresini sordu. 'Burası' dedin. Kadın polisi aradı; kendi eski evinden eve polis arabasıyla döndün.</t>
        </is>
      </c>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row>
    <row r="1219">
      <c r="A1219" s="5" t="inlineStr">
        <is>
          <t>b10-eski-ev</t>
        </is>
      </c>
      <c r="B1219" s="5" t="n">
        <v>3</v>
      </c>
      <c r="C1219" s="6" t="inlineStr">
        <is>
          <t>Komşunun camına selam ver</t>
        </is>
      </c>
      <c r="D1219" s="5" t="inlineStr"/>
      <c r="E1219" s="5" t="inlineStr"/>
      <c r="F1219" s="5" t="inlineStr">
        <is>
          <t>Pişkinlik +1</t>
        </is>
      </c>
      <c r="G1219" s="6" t="inlineStr">
        <is>
          <t>Cama el salladın. Cam cevap vermedi. Ama pencerede biri seni hatırladı ve perdeyi kapattı.</t>
        </is>
      </c>
      <c r="H1219" s="6" t="inlineStr"/>
      <c r="I1219" s="6" t="inlineStr"/>
      <c r="J1219" s="6" t="inlineStr"/>
      <c r="K1219" s="6" t="inlineStr"/>
      <c r="L1219" s="6" t="inlineStr"/>
      <c r="M1219" s="5" t="inlineStr"/>
      <c r="N1219" s="5" t="inlineStr"/>
      <c r="O1219" s="6" t="inlineStr"/>
      <c r="P1219" s="6" t="inlineStr"/>
      <c r="Q1219" s="5" t="inlineStr"/>
      <c r="R1219" s="5" t="inlineStr">
        <is>
          <t>camKirildi</t>
        </is>
      </c>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row>
    <row r="1220">
      <c r="A1220" s="5" t="inlineStr">
        <is>
          <t>b10-son-dans</t>
        </is>
      </c>
      <c r="B1220" s="5" t="n">
        <v>1</v>
      </c>
      <c r="C1220" s="6" t="inlineStr">
        <is>
          <t>Yavaş dans et</t>
        </is>
      </c>
      <c r="D1220" s="5" t="inlineStr"/>
      <c r="E1220" s="5" t="inlineStr"/>
      <c r="F1220" s="5" t="inlineStr">
        <is>
          <t>Gönül +1</t>
        </is>
      </c>
      <c r="G1220" s="6" t="inlineStr">
        <is>
          <t>Şarkı bitti, siz bitmediniz. Radyo bir şarkı daha çaldı.</t>
        </is>
      </c>
      <c r="H1220" s="6" t="inlineStr"/>
      <c r="I1220" s="6" t="inlineStr"/>
      <c r="J1220" s="6" t="inlineStr"/>
      <c r="K1220" s="6" t="inlineStr"/>
      <c r="L1220" s="6" t="inlineStr"/>
      <c r="M1220" s="5" t="inlineStr"/>
      <c r="N1220" s="5" t="inlineStr"/>
      <c r="O1220" s="6" t="inlineStr"/>
      <c r="P1220" s="6" t="inlineStr"/>
      <c r="Q1220" s="5" t="inlineStr"/>
      <c r="R1220" s="5" t="inlineStr"/>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row>
    <row r="1221">
      <c r="A1221" s="5" t="inlineStr">
        <is>
          <t>b10-son-dans</t>
        </is>
      </c>
      <c r="B1221" s="5" t="n">
        <v>2</v>
      </c>
      <c r="C1221" s="6" t="inlineStr">
        <is>
          <t>Eski kaldırış figürünü dene</t>
        </is>
      </c>
      <c r="D1221" s="5" t="inlineStr">
        <is>
          <t>Cesaret</t>
        </is>
      </c>
      <c r="E1221" s="5" t="inlineStr">
        <is>
          <t>Çok Zor</t>
        </is>
      </c>
      <c r="F1221" s="5" t="inlineStr"/>
      <c r="G1221" s="6" t="inlineStr"/>
      <c r="H1221" s="6" t="inlineStr">
        <is>
          <t>Figür tamamlandı. Eşin 'Bunu hâlâ hatırlıyorsun' dedi. Sen de şaşırdın.</t>
        </is>
      </c>
      <c r="I1221" s="6" t="inlineStr">
        <is>
          <t>Figür kusursuz. Eşin kahkahalar içinde yere indi: 'Deli misin sen?' Gözleri kırk yıl önceki gibiydi.</t>
        </is>
      </c>
      <c r="J1221" s="6" t="inlineStr">
        <is>
          <t>Figürü yarım bıraktınız. Kahkahalarınız şarkıdan uzun sürdü.</t>
        </is>
      </c>
      <c r="K1221" s="6" t="inlineStr">
        <is>
          <t>Figürün yarısında belin 'tık' etti; ikiniz birden halıya oturdunuz, kalkamadınız. Alt komşu yedek anahtarla gelene kadar şarkıyı yerde, el ele dinlediniz. Akşama bütün apartman biliyordu.</t>
        </is>
      </c>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n">
        <v>4</v>
      </c>
      <c r="Z1221" s="6" t="inlineStr">
        <is>
          <t>Eşiyle son dansında eski kaldırış figürünü denerken. Figür tamamlandı.</t>
        </is>
      </c>
      <c r="AA1221" s="5" t="inlineStr"/>
      <c r="AB1221" s="5" t="inlineStr"/>
      <c r="AC1221" s="5" t="inlineStr"/>
      <c r="AD1221" s="5" t="inlineStr"/>
      <c r="AE1221" s="5" t="inlineStr"/>
      <c r="AF1221" s="5" t="inlineStr"/>
      <c r="AG1221" s="5" t="inlineStr"/>
      <c r="AH1221" s="5" t="inlineStr"/>
      <c r="AI1221" s="5" t="inlineStr"/>
    </row>
    <row r="1222">
      <c r="A1222" s="5" t="inlineStr">
        <is>
          <t>b10-son-dans</t>
        </is>
      </c>
      <c r="B1222" s="5" t="n">
        <v>3</v>
      </c>
      <c r="C1222" s="6" t="inlineStr">
        <is>
          <t>Şarkıyı birlikte söyle</t>
        </is>
      </c>
      <c r="D1222" s="5" t="inlineStr">
        <is>
          <t>Gönül</t>
        </is>
      </c>
      <c r="E1222" s="5" t="inlineStr">
        <is>
          <t>Kolay</t>
        </is>
      </c>
      <c r="F1222" s="5" t="inlineStr"/>
      <c r="G1222" s="6" t="inlineStr"/>
      <c r="H1222" s="6" t="inlineStr">
        <is>
          <t>Sözlerin yarısı yanlış, ikisi de aynı yanlış. Uyum mükemmel.</t>
        </is>
      </c>
      <c r="I1222" s="6" t="inlineStr">
        <is>
          <t>Komşular balkona çıktı. Alt kattaki teyze nakarata katıldı, üst kattaki amca balkon demirine tempo tuttu.</t>
        </is>
      </c>
      <c r="J1222" s="6" t="inlineStr">
        <is>
          <t>Sözleri unuttun. Eşin hatırladı. Her zaman olduğu gibi.</t>
        </is>
      </c>
      <c r="K1222" s="6" t="inlineStr">
        <is>
          <t>Farklı şarkıları söylediğinizi nakaratta fark ettiniz.</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inlineStr"/>
      <c r="Z1222" s="6" t="inlineStr"/>
      <c r="AA1222" s="5" t="inlineStr"/>
      <c r="AB1222" s="5" t="inlineStr"/>
      <c r="AC1222" s="5" t="inlineStr"/>
      <c r="AD1222" s="5" t="inlineStr"/>
      <c r="AE1222" s="5" t="inlineStr"/>
      <c r="AF1222" s="5" t="inlineStr"/>
      <c r="AG1222" s="5" t="inlineStr"/>
      <c r="AH1222" s="5" t="inlineStr"/>
      <c r="AI1222" s="5" t="inlineStr"/>
    </row>
    <row r="1223">
      <c r="A1223" s="5" t="inlineStr">
        <is>
          <t>b10-yalniz-ozgur</t>
        </is>
      </c>
      <c r="B1223" s="5" t="n">
        <v>1</v>
      </c>
      <c r="C1223" s="6" t="inlineStr">
        <is>
          <t>Akşamı kendi başına geçir</t>
        </is>
      </c>
      <c r="D1223" s="5" t="inlineStr"/>
      <c r="E1223" s="5" t="inlineStr"/>
      <c r="F1223" s="5" t="inlineStr">
        <is>
          <t>Dayanıklılık +1</t>
        </is>
      </c>
      <c r="G1223" s="6" t="inlineStr">
        <is>
          <t>Dizi, çay, sessizlik. Dizinin sonunda ağladın; kimse 'Yine mi?' demedi.</t>
        </is>
      </c>
      <c r="H1223" s="6" t="inlineStr"/>
      <c r="I1223" s="6" t="inlineStr"/>
      <c r="J1223" s="6" t="inlineStr"/>
      <c r="K1223" s="6" t="inlineStr"/>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row>
    <row r="1224">
      <c r="A1224" s="5" t="inlineStr">
        <is>
          <t>b10-yalniz-ozgur</t>
        </is>
      </c>
      <c r="B1224" s="5" t="n">
        <v>2</v>
      </c>
      <c r="C1224" s="6" t="inlineStr">
        <is>
          <t>Yeni bir hobiye başla</t>
        </is>
      </c>
      <c r="D1224" s="5" t="inlineStr">
        <is>
          <t>Akıl</t>
        </is>
      </c>
      <c r="E1224" s="5" t="inlineStr">
        <is>
          <t>Orta</t>
        </is>
      </c>
      <c r="F1224" s="5" t="inlineStr"/>
      <c r="G1224" s="6" t="inlineStr"/>
      <c r="H1224" s="6" t="inlineStr">
        <is>
          <t>Sulu boya kursuna yazıldın. Üçüncü resim, eski evinin tablosu. Duvara asıldı.</t>
        </is>
      </c>
      <c r="I1224" s="6" t="inlineStr">
        <is>
          <t>Sulu boya tabloların mahalle kütüphanesinde sergilendi. Ziyaretçi defteri doldu.</t>
        </is>
      </c>
      <c r="J1224" s="6" t="inlineStr">
        <is>
          <t>Sulu boya setini açtın; ilk resim çaydanlığa benzedi. Aslında kediyi çizmiştin. Set dolaba kalktı.</t>
        </is>
      </c>
      <c r="K1224" s="6" t="inlineStr">
        <is>
          <t>Fırçayı çay bardağına daldırdın, sonra çayı içtin. Dilin üç gün mavi kaldı; bakkal her gördüğünde 'Hayırdır?' dedi.</t>
        </is>
      </c>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row>
    <row r="1225">
      <c r="A1225" s="5" t="inlineStr">
        <is>
          <t>b10-yalniz-ozgur</t>
        </is>
      </c>
      <c r="B1225" s="5" t="n">
        <v>3</v>
      </c>
      <c r="C1225" s="6" t="inlineStr">
        <is>
          <t>Eski dostlara telefon aç</t>
        </is>
      </c>
      <c r="D1225" s="5" t="inlineStr">
        <is>
          <t>Sosyal Radar</t>
        </is>
      </c>
      <c r="E1225" s="5" t="inlineStr">
        <is>
          <t>Kolay</t>
        </is>
      </c>
      <c r="F1225" s="5" t="inlineStr"/>
      <c r="G1225" s="6" t="inlineStr"/>
      <c r="H1225" s="6" t="inlineStr">
        <is>
          <t>Üç kişiyi aradın, ikisi açtı. Bir buluşma ayarlandı.</t>
        </is>
      </c>
      <c r="I1225" s="6" t="inlineStr">
        <is>
          <t>Telefon zincirin bütün eski dostları bir çay bahçesinde topladı. Yeni bir grup kuruldu.</t>
        </is>
      </c>
      <c r="J1225" s="6" t="inlineStr">
        <is>
          <t>Aradığın kişilerin yarısı telefonunu duymadı.</t>
        </is>
      </c>
      <c r="K1225" s="6" t="inlineStr">
        <is>
          <t>Defterdeki eski numarayı çevirdin; numara artık bir satış hattıymış. Kırk dakika tatlı tatlı sohbet ettin, sonunda üç taksitle bir masaj koltuğu aldın.</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row>
    <row r="1226">
      <c r="A1226" s="5" t="inlineStr">
        <is>
          <t>b10-komsu-kedisi</t>
        </is>
      </c>
      <c r="B1226" s="5" t="n">
        <v>1</v>
      </c>
      <c r="C1226" s="6" t="inlineStr">
        <is>
          <t>Mama koy</t>
        </is>
      </c>
      <c r="D1226" s="5" t="inlineStr"/>
      <c r="E1226" s="5" t="inlineStr"/>
      <c r="F1226" s="5" t="inlineStr">
        <is>
          <t>Gönül +1</t>
        </is>
      </c>
      <c r="G1226" s="6" t="inlineStr">
        <is>
          <t>Kedi mamayı yedi ve gitti. Denetim başarıyla tamamlandı.</t>
        </is>
      </c>
      <c r="H1226" s="6" t="inlineStr"/>
      <c r="I1226" s="6" t="inlineStr"/>
      <c r="J1226" s="6" t="inlineStr"/>
      <c r="K1226" s="6" t="inlineStr"/>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row>
    <row r="1227">
      <c r="A1227" s="5" t="inlineStr">
        <is>
          <t>b10-komsu-kedisi</t>
        </is>
      </c>
      <c r="B1227" s="5" t="n">
        <v>2</v>
      </c>
      <c r="C1227" s="6" t="inlineStr">
        <is>
          <t>Kediyi evlat edin</t>
        </is>
      </c>
      <c r="D1227" s="5" t="inlineStr">
        <is>
          <t>Sosyal Radar</t>
        </is>
      </c>
      <c r="E1227" s="5" t="inlineStr">
        <is>
          <t>Orta</t>
        </is>
      </c>
      <c r="F1227" s="5" t="inlineStr"/>
      <c r="G1227" s="6" t="inlineStr"/>
      <c r="H1227" s="6" t="inlineStr">
        <is>
          <t>Kedi ertesi gün yatağına geçti. Artık ev onun.</t>
        </is>
      </c>
      <c r="I1227" s="6" t="inlineStr">
        <is>
          <t>Kedi yerleşti, komşu da seni ziyarete gelmeye başladı. Bir kedi, iki dostluk.</t>
        </is>
      </c>
      <c r="J1227" s="6" t="inlineStr">
        <is>
          <t>Kedi içeri girdi, her şeyi kokladı ve çıktı. Başvurun reddedildi.</t>
        </is>
      </c>
      <c r="K1227" s="6" t="inlineStr">
        <is>
          <t>Kedi senin yerine komşuyu tercih etti ve sana bunu balkondan gösterdi.</t>
        </is>
      </c>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row>
    <row r="1228">
      <c r="A1228" s="5" t="inlineStr">
        <is>
          <t>b10-komsu-kedisi</t>
        </is>
      </c>
      <c r="B1228" s="5" t="n">
        <v>3</v>
      </c>
      <c r="C1228" s="6" t="inlineStr">
        <is>
          <t>Kediden özür dile</t>
        </is>
      </c>
      <c r="D1228" s="5" t="inlineStr"/>
      <c r="E1228" s="5" t="inlineStr"/>
      <c r="F1228" s="5" t="inlineStr">
        <is>
          <t>Gönül +2</t>
        </is>
      </c>
      <c r="G1228" s="6" t="inlineStr">
        <is>
          <t>'O vazoyu ben kırdım.' Kedi sana uzun uzun baktı, sonra kucağına yerleşti. Seksen yıl sonra biri seni affetti: bir kedi.</t>
        </is>
      </c>
      <c r="H1228" s="6" t="inlineStr"/>
      <c r="I1228" s="6" t="inlineStr"/>
      <c r="J1228" s="6" t="inlineStr"/>
      <c r="K1228" s="6" t="inlineStr"/>
      <c r="L1228" s="6" t="inlineStr"/>
      <c r="M1228" s="5" t="inlineStr"/>
      <c r="N1228" s="5" t="inlineStr"/>
      <c r="O1228" s="6" t="inlineStr"/>
      <c r="P1228" s="6" t="inlineStr"/>
      <c r="Q1228" s="5" t="inlineStr"/>
      <c r="R1228" s="5" t="inlineStr">
        <is>
          <t>kediSuclu</t>
        </is>
      </c>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row>
    <row r="1229">
      <c r="A1229" s="5" t="inlineStr">
        <is>
          <t>b10-sabah-yuruyusu</t>
        </is>
      </c>
      <c r="B1229" s="5" t="n">
        <v>1</v>
      </c>
      <c r="C1229" s="6" t="inlineStr">
        <is>
          <t>Kendi temponda yürü</t>
        </is>
      </c>
      <c r="D1229" s="5" t="inlineStr"/>
      <c r="E1229" s="5" t="inlineStr"/>
      <c r="F1229" s="5" t="inlineStr">
        <is>
          <t>Dayanıklılık +1</t>
        </is>
      </c>
      <c r="G1229" s="6" t="inlineStr">
        <is>
          <t>Grup önden gitti. Sen kendi temponda yürüdün; banka vardığında herkes sana yer açtı. Genç sayılmadın ama çay sana ilk geldi.</t>
        </is>
      </c>
      <c r="H1229" s="6" t="inlineStr"/>
      <c r="I1229" s="6" t="inlineStr"/>
      <c r="J1229" s="6" t="inlineStr"/>
      <c r="K1229" s="6" t="inlineStr"/>
      <c r="L1229" s="6" t="inlineStr"/>
      <c r="M1229" s="5" t="inlineStr"/>
      <c r="N1229" s="5" t="inlineStr"/>
      <c r="O1229" s="6" t="inlineStr"/>
      <c r="P1229" s="6" t="inlineStr"/>
      <c r="Q1229" s="5" t="inlineStr"/>
      <c r="R1229" s="5" t="inlineStr"/>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row>
    <row r="1230">
      <c r="A1230" s="5" t="inlineStr">
        <is>
          <t>b10-sabah-yuruyusu</t>
        </is>
      </c>
      <c r="B1230" s="5" t="n">
        <v>2</v>
      </c>
      <c r="C1230" s="6" t="inlineStr">
        <is>
          <t>Bastonu bırak, öne geç</t>
        </is>
      </c>
      <c r="D1230" s="5" t="inlineStr">
        <is>
          <t>Dayanıklılık</t>
        </is>
      </c>
      <c r="E1230" s="5" t="inlineStr">
        <is>
          <t>Zor</t>
        </is>
      </c>
      <c r="F1230" s="5" t="inlineStr"/>
      <c r="G1230" s="6" t="inlineStr"/>
      <c r="H1230" s="6" t="inlineStr">
        <is>
          <t>Grubun önüne geçtin. Kimse bir şey demedi, ama ertesi gün herkes erken geldi.</t>
        </is>
      </c>
      <c r="I1230" s="6" t="inlineStr">
        <is>
          <t>Önüne geçtin ve bir tur boyunca liderliği bırakmadın. Grup sana şapka hediye etti.</t>
        </is>
      </c>
      <c r="J1230" s="6" t="inlineStr">
        <is>
          <t>Önüne geçtin, ikinci köşede geri düştün. Grup sana bir kez nazikçe el salladı.</t>
        </is>
      </c>
      <c r="K1230" s="6" t="inlineStr">
        <is>
          <t>Bastonsuz hızlandın; ikinci köşede nefesin kesildi, yoldaki ilk banka çöktün. Biri kolonya döktü, biri ambulansı aradı. Ertesi gün herkes senin yanında yavaş yürüdü; en çok bu koydu.</t>
        </is>
      </c>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n">
        <v>5</v>
      </c>
      <c r="Z1230" s="6" t="inlineStr">
        <is>
          <t>Sabah yürüyüş grubunda ilk kez en öne geçtiği anda. Kupa yoktu, onur vardı.</t>
        </is>
      </c>
      <c r="AA1230" s="5" t="inlineStr"/>
      <c r="AB1230" s="5" t="inlineStr"/>
      <c r="AC1230" s="5" t="inlineStr"/>
      <c r="AD1230" s="5" t="inlineStr"/>
      <c r="AE1230" s="5" t="inlineStr"/>
      <c r="AF1230" s="5" t="inlineStr"/>
      <c r="AG1230" s="5" t="inlineStr"/>
      <c r="AH1230" s="5" t="inlineStr"/>
      <c r="AI1230" s="5" t="inlineStr"/>
    </row>
    <row r="1231">
      <c r="A1231" s="5" t="inlineStr">
        <is>
          <t>b10-sabah-yuruyusu</t>
        </is>
      </c>
      <c r="B1231" s="5" t="n">
        <v>3</v>
      </c>
      <c r="C1231" s="6" t="inlineStr">
        <is>
          <t>Köşeyi kısa kes</t>
        </is>
      </c>
      <c r="D1231" s="5" t="inlineStr"/>
      <c r="E1231" s="5" t="inlineStr"/>
      <c r="F1231" s="5" t="inlineStr">
        <is>
          <t>Kurnazlık +1</t>
        </is>
      </c>
      <c r="G1231" s="6" t="inlineStr">
        <is>
          <t>Kısa kestin, banka ilk sen vardın. Park görevlisi gördü ama saygıyla sustu; akşama kadar 'genç' sayıldın.</t>
        </is>
      </c>
      <c r="H1231" s="6" t="inlineStr"/>
      <c r="I1231" s="6" t="inlineStr"/>
      <c r="J1231" s="6" t="inlineStr"/>
      <c r="K1231" s="6" t="inlineStr"/>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inlineStr"/>
      <c r="Z1231" s="6" t="inlineStr"/>
      <c r="AA1231" s="5" t="inlineStr"/>
      <c r="AB1231" s="5" t="inlineStr"/>
      <c r="AC1231" s="5" t="inlineStr"/>
      <c r="AD1231" s="5" t="inlineStr"/>
      <c r="AE1231" s="5" t="inlineStr"/>
      <c r="AF1231" s="5" t="inlineStr"/>
      <c r="AG1231" s="5" t="inlineStr"/>
      <c r="AH1231" s="5" t="inlineStr"/>
      <c r="AI1231" s="5" t="inlineStr"/>
    </row>
    <row r="1232">
      <c r="A1232" s="5" t="inlineStr">
        <is>
          <t>b10-son-taksit</t>
        </is>
      </c>
      <c r="B1232" s="5" t="n">
        <v>1</v>
      </c>
      <c r="C1232" s="6" t="inlineStr">
        <is>
          <t>'Borcu yoktur' yazısını çerçevelet</t>
        </is>
      </c>
      <c r="D1232" s="5" t="inlineStr"/>
      <c r="E1232" s="5" t="inlineStr"/>
      <c r="F1232" s="5" t="inlineStr">
        <is>
          <t>İtibar +1</t>
        </is>
      </c>
      <c r="G1232" s="6" t="inlineStr">
        <is>
          <t>Yazı çerçevelenip salonun duvarına asıldı. Gelen misafir önce ona, sonra sana bakıyor.</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row>
    <row r="1233">
      <c r="A1233" s="5" t="inlineStr">
        <is>
          <t>b10-son-taksit</t>
        </is>
      </c>
      <c r="B1233" s="5" t="n">
        <v>2</v>
      </c>
      <c r="C1233" s="6" t="inlineStr">
        <is>
          <t>Yeni kredi teklifini kabul et</t>
        </is>
      </c>
      <c r="D1233" s="5" t="inlineStr">
        <is>
          <t>Pişkinlik</t>
        </is>
      </c>
      <c r="E1233" s="5" t="inlineStr">
        <is>
          <t>Orta</t>
        </is>
      </c>
      <c r="F1233" s="5" t="inlineStr"/>
      <c r="G1233" s="6" t="inlineStr"/>
      <c r="H1233" s="6" t="inlineStr">
        <is>
          <t>Kredi onaylandı. Bankanın risk departmanında sessiz bir toplantı yapıldı.</t>
        </is>
      </c>
      <c r="I1233" s="6" t="inlineStr">
        <is>
          <t>Otuz yıl vadeli kredi onaylandı. Banka müdürü sana saygıyla eğildi. Senin iyimserliğin onu aştı.</t>
        </is>
      </c>
      <c r="J1233" s="6" t="inlineStr">
        <is>
          <t>Başvuru 'değerlendirme aşamasında' kaldı. Değerlendirme süresi belirsiz.</t>
        </is>
      </c>
      <c r="K1233" s="6" t="inlineStr">
        <is>
          <t>Banka kefil istedi; kefil olarak yeğenini yazdın. Banka yeğenini aradı; yeğenin 'Kaç yaşında olduğunu biliyor musunuz?' dedi ve kapattı. Bayram ziyareti o yıl kısa sürdü.</t>
        </is>
      </c>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row>
    <row r="1234">
      <c r="A1234" s="5" t="inlineStr">
        <is>
          <t>b10-son-taksit</t>
        </is>
      </c>
      <c r="B1234" s="5" t="n">
        <v>3</v>
      </c>
      <c r="C1234" s="6" t="inlineStr">
        <is>
          <t>Bankaya ayrılık görüşmesine git</t>
        </is>
      </c>
      <c r="D1234" s="5" t="inlineStr"/>
      <c r="E1234" s="5" t="inlineStr"/>
      <c r="F1234" s="5" t="inlineStr">
        <is>
          <t>Çene +1</t>
        </is>
      </c>
      <c r="G1234" s="6" t="inlineStr">
        <is>
          <t>Banka müdürüne 'Sen değilsin, benim' dedin. Müdür güldü, sana bir kutu kalem verdi. Kapıdan çıkarken bir kez dönüp baktın.</t>
        </is>
      </c>
      <c r="H1234" s="6" t="inlineStr"/>
      <c r="I1234" s="6" t="inlineStr"/>
      <c r="J1234" s="6" t="inlineStr"/>
      <c r="K1234" s="6" t="inlineStr"/>
      <c r="L1234" s="6" t="inlineStr"/>
      <c r="M1234" s="5" t="inlineStr"/>
      <c r="N1234" s="5" t="inlineStr"/>
      <c r="O1234" s="6" t="inlineStr"/>
      <c r="P1234" s="6" t="inlineStr"/>
      <c r="Q1234" s="5" t="inlineStr"/>
      <c r="R1234" s="5" t="inlineStr">
        <is>
          <t>borclu</t>
        </is>
      </c>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row>
    <row r="1235">
      <c r="A1235" s="5" t="inlineStr">
        <is>
          <t>b10-ehliyet-yenileme</t>
        </is>
      </c>
      <c r="B1235" s="5" t="n">
        <v>1</v>
      </c>
      <c r="C1235" s="6" t="inlineStr">
        <is>
          <t>Arabanın anahtarını teslim et</t>
        </is>
      </c>
      <c r="D1235" s="5" t="inlineStr"/>
      <c r="E1235" s="5" t="inlineStr"/>
      <c r="F1235" s="5" t="inlineStr">
        <is>
          <t>Gönül +2</t>
        </is>
      </c>
      <c r="G1235" s="6" t="inlineStr">
        <is>
          <t>Anahtarı teslim ettin; bir an bırakmadın, sonra bıraktın. Artık ön koltuktan yol tarif ediyorsun; şoför kim olursa olsun her virajda 'Yavaş!' diyorsun.</t>
        </is>
      </c>
      <c r="H1235" s="6" t="inlineStr"/>
      <c r="I1235" s="6" t="inlineStr"/>
      <c r="J1235" s="6" t="inlineStr"/>
      <c r="K1235" s="6" t="inlineStr"/>
      <c r="L1235" s="6" t="inlineStr"/>
      <c r="M1235" s="5" t="inlineStr"/>
      <c r="N1235" s="5" t="inlineStr"/>
      <c r="O1235" s="6" t="inlineStr"/>
      <c r="P1235" s="6" t="inlineStr"/>
      <c r="Q1235" s="5" t="inlineStr"/>
      <c r="R1235" s="5" t="inlineStr"/>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row>
    <row r="1236">
      <c r="A1236" s="5" t="inlineStr">
        <is>
          <t>b10-ehliyet-yenileme</t>
        </is>
      </c>
      <c r="B1236" s="5" t="n">
        <v>2</v>
      </c>
      <c r="C1236" s="6" t="inlineStr">
        <is>
          <t>Göz testini ezberden geç</t>
        </is>
      </c>
      <c r="D1236" s="5" t="inlineStr">
        <is>
          <t>Akıl</t>
        </is>
      </c>
      <c r="E1236" s="5" t="inlineStr">
        <is>
          <t>Orta</t>
        </is>
      </c>
      <c r="F1236" s="5" t="inlineStr"/>
      <c r="G1236" s="6" t="inlineStr"/>
      <c r="H1236" s="6" t="inlineStr">
        <is>
          <t>Üçüncü satırı ezberden okudun. Muayene tamamlandı.</t>
        </is>
      </c>
      <c r="I1236" s="6" t="inlineStr">
        <is>
          <t>Doktor senin ezberini fark etti ve seni tebrik etti: 'Hafızanız gözlerinizden iyi.' Rapor imzalandı.</t>
        </is>
      </c>
      <c r="J1236" s="6" t="inlineStr">
        <is>
          <t>Doktor satırları değiştirdi. Ezber boşa gitti.</t>
        </is>
      </c>
      <c r="K1236" s="6" t="inlineStr">
        <is>
          <t>Üçüncü satırı ezberden, yüksek sesle, kendinden emin okudun. Doktor o sırada başka tabloyu gösteriyordu. Rapora 'Hafıza iyi, göz yok' yazdı.</t>
        </is>
      </c>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row>
    <row r="1237">
      <c r="A1237" s="5" t="inlineStr">
        <is>
          <t>b10-ehliyet-yenileme</t>
        </is>
      </c>
      <c r="B1237" s="5" t="n">
        <v>3</v>
      </c>
      <c r="C1237" s="6" t="inlineStr">
        <is>
          <t>Direksiyon sınavına gir</t>
        </is>
      </c>
      <c r="D1237" s="5" t="inlineStr">
        <is>
          <t>Cesaret</t>
        </is>
      </c>
      <c r="E1237" s="5" t="inlineStr">
        <is>
          <t>Zor</t>
        </is>
      </c>
      <c r="F1237" s="5" t="inlineStr"/>
      <c r="G1237" s="6" t="inlineStr"/>
      <c r="H1237" s="6" t="inlineStr">
        <is>
          <t>Sınavı geçtin. Sınav görevlisi seni kapıya kadar alkışladı.</t>
        </is>
      </c>
      <c r="I1237" s="6" t="inlineStr">
        <is>
          <t>Sınavı hatasız geçtin ve görevli sana 'Gençlere de böyle sürmeyi öğretin' dedi.</t>
        </is>
      </c>
      <c r="J1237" s="6" t="inlineStr">
        <is>
          <t>Park manevrasını dört denemede yaptın. Sınav görevlisi 'Bir dahaki sefere' dedi.</t>
        </is>
      </c>
      <c r="K1237" s="6" t="inlineStr">
        <is>
          <t>Park ederken sınav görevlisinin kendi arabasının farını kırdın. Görevli forma tek kelime yazdı: 'Hayır.' Farın parasını da senden istedi.</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n">
        <v>6</v>
      </c>
      <c r="Z1237" s="6" t="inlineStr">
        <is>
          <t>Ehliyetini yeniledikten sonra ilk kavşakta sağ şeridi seçti. Sağ şerit onu seçmedi.</t>
        </is>
      </c>
      <c r="AA1237" s="5" t="inlineStr"/>
      <c r="AB1237" s="5" t="inlineStr"/>
      <c r="AC1237" s="5" t="inlineStr"/>
      <c r="AD1237" s="5" t="inlineStr"/>
      <c r="AE1237" s="5" t="inlineStr"/>
      <c r="AF1237" s="5" t="inlineStr"/>
      <c r="AG1237" s="5" t="inlineStr"/>
      <c r="AH1237" s="5" t="inlineStr"/>
      <c r="AI1237" s="5" t="inlineStr"/>
    </row>
    <row r="1238">
      <c r="A1238" s="5" t="inlineStr">
        <is>
          <t>b10-mahallenin-en-yaslisi</t>
        </is>
      </c>
      <c r="B1238" s="5" t="n">
        <v>1</v>
      </c>
      <c r="C1238" s="6" t="inlineStr">
        <is>
          <t>Plaketi alıp teşekkür et</t>
        </is>
      </c>
      <c r="D1238" s="5" t="inlineStr"/>
      <c r="E1238" s="5" t="inlineStr"/>
      <c r="F1238" s="5" t="inlineStr">
        <is>
          <t>İtibar +1</t>
        </is>
      </c>
      <c r="G1238" s="6" t="inlineStr">
        <is>
          <t>Plaket teslim alındı, fotoğraf çekildi. Plaket buzdolabının üstüne yerleştirildi.</t>
        </is>
      </c>
      <c r="H1238" s="6" t="inlineStr"/>
      <c r="I1238" s="6" t="inlineStr"/>
      <c r="J1238" s="6" t="inlineStr"/>
      <c r="K1238" s="6" t="inlineStr"/>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inlineStr"/>
      <c r="Z1238" s="6" t="inlineStr"/>
      <c r="AA1238" s="5" t="inlineStr"/>
      <c r="AB1238" s="5" t="inlineStr"/>
      <c r="AC1238" s="5" t="inlineStr"/>
      <c r="AD1238" s="5" t="inlineStr"/>
      <c r="AE1238" s="5" t="inlineStr"/>
      <c r="AF1238" s="5" t="inlineStr"/>
      <c r="AG1238" s="5" t="inlineStr"/>
      <c r="AH1238" s="5" t="inlineStr"/>
      <c r="AI1238" s="5" t="inlineStr"/>
    </row>
    <row r="1239">
      <c r="A1239" s="5" t="inlineStr">
        <is>
          <t>b10-mahallenin-en-yaslisi</t>
        </is>
      </c>
      <c r="B1239" s="5" t="n">
        <v>2</v>
      </c>
      <c r="C1239" s="6" t="inlineStr">
        <is>
          <t>Uzun yaşamanın sırrını açıkla</t>
        </is>
      </c>
      <c r="D1239" s="5" t="inlineStr">
        <is>
          <t>İtibar</t>
        </is>
      </c>
      <c r="E1239" s="5" t="inlineStr">
        <is>
          <t>Orta</t>
        </is>
      </c>
      <c r="F1239" s="5" t="inlineStr"/>
      <c r="G1239" s="6" t="inlineStr"/>
      <c r="H1239" s="6" t="inlineStr">
        <is>
          <t>'Sabah bir kâse yoğurt, akşam üç ceviz, bir de kimseye kin tutmamak.' Ertesi gün bakkalda ceviz kalmadı.</t>
        </is>
      </c>
      <c r="I1239" s="6" t="inlineStr">
        <is>
          <t>Sırrın o kadar sevildi ki mahallede tişörtü basıldı. Satışlardan sana pay verilmedi.</t>
        </is>
      </c>
      <c r="J1239" s="6" t="inlineStr">
        <is>
          <t>Sırrı açıklamadan önce çay istedin. Çay geldi, konuşma bitti. Sır belki de buydu.</t>
        </is>
      </c>
      <c r="K1239" s="6" t="inlineStr">
        <is>
          <t>Sırrını açıkladın: 'Her sabah üç yumurta, her akşam bir tabak kızartma.' Salondaki doktor mikrofonu senden nazikçe aldı.</t>
        </is>
      </c>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row>
    <row r="1240">
      <c r="A1240" s="5" t="inlineStr">
        <is>
          <t>b10-mahallenin-en-yaslisi</t>
        </is>
      </c>
      <c r="B1240" s="5" t="n">
        <v>3</v>
      </c>
      <c r="C1240" s="6" t="inlineStr">
        <is>
          <t>Plaketi bir sonraki adaya ithaf et</t>
        </is>
      </c>
      <c r="D1240" s="5" t="inlineStr">
        <is>
          <t>Pişkinlik</t>
        </is>
      </c>
      <c r="E1240" s="5" t="inlineStr">
        <is>
          <t>Kolay</t>
        </is>
      </c>
      <c r="F1240" s="5" t="inlineStr"/>
      <c r="G1240" s="6" t="inlineStr"/>
      <c r="H1240" s="6" t="inlineStr">
        <is>
          <t>Plaketi salondaki ikinci en yaşlıya gösterdin: 'Bir sonraki sen.' Salon hem güldü hem ürperdi.</t>
        </is>
      </c>
      <c r="I1240" s="6" t="inlineStr">
        <is>
          <t>Salondaki bütün yaşlılar ayağa kalkıp birbirini gösterdi: 'Sıradaki sen!' Salon kahkahaya boğuldu, en çok da ikinci en yaşlı güldü.</t>
        </is>
      </c>
      <c r="J1240" s="6" t="inlineStr">
        <is>
          <t>İkinci en yaşlı seni duymadı. Ya da duymamış gibi yaptı.</t>
        </is>
      </c>
      <c r="K1240" s="6" t="inlineStr">
        <is>
          <t>İkinci en yaşlı ayağa kalktı: 'Ben nüfusa üç yıl geç yazıldım, asıl en yaşlı benim.' Muhtar kayıtlara baktı; plaket törenin ortasında el değiştirdi.</t>
        </is>
      </c>
      <c r="L1240" s="6" t="inlineStr"/>
      <c r="M1240" s="5" t="inlineStr"/>
      <c r="N1240" s="5" t="inlineStr"/>
      <c r="O1240" s="6" t="inlineStr"/>
      <c r="P1240" s="6" t="inlineStr"/>
      <c r="Q1240" s="5" t="inlineStr"/>
      <c r="R1240" s="5" t="inlineStr"/>
      <c r="S1240" s="5" t="inlineStr">
        <is>
          <t>Pişkinlik</t>
        </is>
      </c>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row>
    <row r="1241">
      <c r="A1241" s="5" t="inlineStr">
        <is>
          <t>b10-mezar-tasi-fotografi</t>
        </is>
      </c>
      <c r="B1241" s="5" t="n">
        <v>1</v>
      </c>
      <c r="C1241" s="6" t="inlineStr">
        <is>
          <t>Ciddi poz ver</t>
        </is>
      </c>
      <c r="D1241" s="5" t="inlineStr"/>
      <c r="E1241" s="5" t="inlineStr"/>
      <c r="F1241" s="5" t="inlineStr">
        <is>
          <t>İtibar +1</t>
        </is>
      </c>
      <c r="G1241" s="6" t="inlineStr">
        <is>
          <t>Ciddi poz verdin. Fotoğrafçı 'Tam vesikalık oldu' dedi. Gören herkes aynı şeyi söyledi: 'Nüfus cüzdanındakinin aynısı.'</t>
        </is>
      </c>
      <c r="H1241" s="6" t="inlineStr"/>
      <c r="I1241" s="6" t="inlineStr"/>
      <c r="J1241" s="6" t="inlineStr"/>
      <c r="K1241" s="6" t="inlineStr"/>
      <c r="L1241" s="6" t="inlineStr"/>
      <c r="M1241" s="5" t="inlineStr"/>
      <c r="N1241" s="5" t="inlineStr"/>
      <c r="O1241" s="6" t="inlineStr"/>
      <c r="P1241" s="6" t="inlineStr"/>
      <c r="Q1241" s="5" t="inlineStr"/>
      <c r="R1241" s="5" t="inlineStr"/>
      <c r="S1241" s="5" t="inlineStr"/>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row>
    <row r="1242">
      <c r="A1242" s="5" t="inlineStr">
        <is>
          <t>b10-mezar-tasi-fotografi</t>
        </is>
      </c>
      <c r="B1242" s="5" t="n">
        <v>2</v>
      </c>
      <c r="C1242" s="6" t="inlineStr">
        <is>
          <t>Göz kırparak poz ver</t>
        </is>
      </c>
      <c r="D1242" s="5" t="inlineStr">
        <is>
          <t>Pişkinlik</t>
        </is>
      </c>
      <c r="E1242" s="5" t="inlineStr">
        <is>
          <t>Orta</t>
        </is>
      </c>
      <c r="F1242" s="5" t="inlineStr"/>
      <c r="G1242" s="6" t="inlineStr"/>
      <c r="H1242" s="6" t="inlineStr">
        <is>
          <t>Fotoğrafta göz kırpıyorsun. Ziyarete gelen herkes önce kaşlarını çatacak, sonra gülecek.</t>
        </is>
      </c>
      <c r="I1242" s="6" t="inlineStr">
        <is>
          <t>Fotoğrafçı fotoğrafını vitrine, gelin damat fotoğraflarının yanına koydu. Mahallede artık 'vitrindeki göz kırpan' diye anılıyorsun.</t>
        </is>
      </c>
      <c r="J1242" s="6" t="inlineStr">
        <is>
          <t>Tam göz kırparken flaş patladı. İki gözün de kapalı çıktı.</t>
        </is>
      </c>
      <c r="K1242" s="6" t="inlineStr">
        <is>
          <t>Göz kırparken yüzün tuhaf kasıldı. On iki karenin on ikisinde bir gözün kapalı, ağzın yamuk. Taşa en 'doğal' olanı işlendi.</t>
        </is>
      </c>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is>
          <t>Göz Kırpan</t>
        </is>
      </c>
    </row>
    <row r="1243">
      <c r="A1243" s="5" t="inlineStr">
        <is>
          <t>b10-mezar-tasi-fotografi</t>
        </is>
      </c>
      <c r="B1243" s="5" t="n">
        <v>3</v>
      </c>
      <c r="C1243" s="6" t="inlineStr">
        <is>
          <t>Arka planı kendin seç</t>
        </is>
      </c>
      <c r="D1243" s="5" t="inlineStr">
        <is>
          <t>Sosyal Radar</t>
        </is>
      </c>
      <c r="E1243" s="5" t="inlineStr">
        <is>
          <t>Kolay</t>
        </is>
      </c>
      <c r="F1243" s="5" t="inlineStr"/>
      <c r="G1243" s="6" t="inlineStr"/>
      <c r="H1243" s="6" t="inlineStr">
        <is>
          <t>Arka planı sahil manzarası yaptın. Taş artık bir tatil kartı gibi.</t>
        </is>
      </c>
      <c r="I1243" s="6" t="inlineStr">
        <is>
          <t>Arka plan o kadar iyi oldu ki ziyaretçiler taşın önünde fotoğraf çektirmeye başladı.</t>
        </is>
      </c>
      <c r="J1243" s="6" t="inlineStr">
        <is>
          <t>Arka plan seçenekleri arasında sadece gri vardı. Seçim yapıldı.</t>
        </is>
      </c>
      <c r="K1243" s="6" t="inlineStr">
        <is>
          <t>Arka plan olarak düğün fonunu seçtin: kalpler, güvercinler, 'Sonsuza dek' yazısı. Taşın nikâh davetiyesinden farkı kalmadı.</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row>
    <row r="1244">
      <c r="A1244" s="5" t="inlineStr">
        <is>
          <t>son-soz</t>
        </is>
      </c>
      <c r="B1244" s="5" t="n">
        <v>1</v>
      </c>
      <c r="C1244" s="6" t="inlineStr">
        <is>
          <t>'Kombiyi kapattınız mı?'</t>
        </is>
      </c>
      <c r="D1244" s="5" t="inlineStr"/>
      <c r="E1244" s="5" t="inlineStr"/>
      <c r="F1244" s="5" t="inlineStr">
        <is>
          <t>Akıl +1</t>
        </is>
      </c>
      <c r="G1244" s="6" t="inlineStr">
        <is>
          <t>Herkes aynı anda kalktı.</t>
        </is>
      </c>
      <c r="H1244" s="6" t="inlineStr"/>
      <c r="I1244" s="6" t="inlineStr"/>
      <c r="J1244" s="6" t="inlineStr"/>
      <c r="K1244" s="6" t="inlineStr"/>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n">
        <v>100</v>
      </c>
      <c r="Z1244" s="6" t="inlineStr">
        <is>
          <t>Son sözü 'Kombiyi kapattınız mı?' oldu. Kapatılmıştı.</t>
        </is>
      </c>
      <c r="AA1244" s="5" t="inlineStr"/>
      <c r="AB1244" s="5" t="inlineStr"/>
      <c r="AC1244" s="5" t="inlineStr"/>
      <c r="AD1244" s="5" t="inlineStr"/>
      <c r="AE1244" s="5" t="inlineStr"/>
      <c r="AF1244" s="5" t="inlineStr"/>
      <c r="AG1244" s="5" t="inlineStr"/>
      <c r="AH1244" s="5" t="inlineStr"/>
      <c r="AI1244" s="5" t="inlineStr"/>
    </row>
    <row r="1245">
      <c r="A1245" s="5" t="inlineStr">
        <is>
          <t>son-soz</t>
        </is>
      </c>
      <c r="B1245" s="5" t="n">
        <v>2</v>
      </c>
      <c r="C1245" s="6" t="inlineStr">
        <is>
          <t>'Hepinizi seviyorum. Bazılarınızı daha çok.'</t>
        </is>
      </c>
      <c r="D1245" s="5" t="inlineStr"/>
      <c r="E1245" s="5" t="inlineStr"/>
      <c r="F1245" s="5" t="inlineStr">
        <is>
          <t>Pişkinlik +1</t>
        </is>
      </c>
      <c r="G1245" s="6" t="inlineStr">
        <is>
          <t>Oda bir an sustu, sonra herkes birbirine baktı.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'Hepinizi seviyorum. Bazılarınızı daha çok.' oldu. Liste açıklanmadı.</t>
        </is>
      </c>
      <c r="AA1245" s="5" t="inlineStr"/>
      <c r="AB1245" s="5" t="inlineStr"/>
      <c r="AC1245" s="5" t="inlineStr"/>
      <c r="AD1245" s="5" t="inlineStr"/>
      <c r="AE1245" s="5" t="inlineStr"/>
      <c r="AF1245" s="5" t="inlineStr"/>
      <c r="AG1245" s="5" t="inlineStr"/>
      <c r="AH1245" s="5" t="inlineStr"/>
      <c r="AI1245" s="5" t="inlineStr"/>
    </row>
    <row r="1246">
      <c r="A1246" s="5" t="inlineStr">
        <is>
          <t>son-soz</t>
        </is>
      </c>
      <c r="B1246" s="5" t="n">
        <v>3</v>
      </c>
      <c r="C1246" s="6" t="inlineStr">
        <is>
          <t>'İyi bir hayattı.'</t>
        </is>
      </c>
      <c r="D1246" s="5" t="inlineStr"/>
      <c r="E1246" s="5" t="inlineStr"/>
      <c r="F1246" s="5" t="inlineStr">
        <is>
          <t>İtibar +1</t>
        </is>
      </c>
      <c r="G1246" s="6" t="inlineStr">
        <is>
          <t>Kimse itiraz etmedi.</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'İyi bir hayattı' oldu. İtiraz süresi dolmuştur.</t>
        </is>
      </c>
      <c r="AA1246" s="5" t="inlineStr"/>
      <c r="AB1246" s="5" t="inlineStr"/>
      <c r="AC1246" s="5" t="inlineStr"/>
      <c r="AD1246" s="5" t="inlineStr"/>
      <c r="AE1246" s="5" t="inlineStr"/>
      <c r="AF1246" s="5" t="inlineStr"/>
      <c r="AG1246" s="5" t="inlineStr"/>
      <c r="AH1246" s="5" t="inlineStr"/>
      <c r="AI1246" s="5" t="inlineStr"/>
    </row>
    <row r="1247">
      <c r="A1247" s="5" t="inlineStr">
        <is>
          <t>son-soz</t>
        </is>
      </c>
      <c r="B1247" s="5" t="n">
        <v>4</v>
      </c>
      <c r="C1247" s="6" t="inlineStr">
        <is>
          <t>'Vazoyu ben kırdım.'</t>
        </is>
      </c>
      <c r="D1247" s="5" t="inlineStr"/>
      <c r="E1247" s="5" t="inlineStr"/>
      <c r="F1247" s="5" t="inlineStr">
        <is>
          <t>İtibar +2</t>
        </is>
      </c>
      <c r="G1247" s="6" t="inlineStr">
        <is>
          <t>Oda uzun bir süre sessiz kaldı. Sonra biri kediye baktı.</t>
        </is>
      </c>
      <c r="H1247" s="6" t="inlineStr"/>
      <c r="I1247" s="6" t="inlineStr"/>
      <c r="J1247" s="6" t="inlineStr"/>
      <c r="K1247" s="6" t="inlineStr"/>
      <c r="L1247" s="6" t="inlineStr"/>
      <c r="M1247" s="5" t="inlineStr"/>
      <c r="N1247" s="5" t="inlineStr"/>
      <c r="O1247" s="6" t="inlineStr"/>
      <c r="P1247" s="6" t="inlineStr"/>
      <c r="Q1247" s="5" t="inlineStr"/>
      <c r="R1247" s="5" t="inlineStr">
        <is>
          <t>kediSuclu</t>
        </is>
      </c>
      <c r="S1247" s="5" t="inlineStr"/>
      <c r="T1247" s="5" t="inlineStr"/>
      <c r="U1247" s="5" t="inlineStr"/>
      <c r="V1247" s="5" t="inlineStr"/>
      <c r="W1247" s="5" t="inlineStr"/>
      <c r="X1247" s="5" t="inlineStr"/>
      <c r="Y1247" s="5" t="n">
        <v>100</v>
      </c>
      <c r="Z1247" s="6" t="inlineStr">
        <is>
          <t>Son sözü 'Vazoyu ben kırdım' oldu. Kedi, uzun bir aradan sonra aklandı.</t>
        </is>
      </c>
      <c r="AA1247" s="5" t="inlineStr"/>
      <c r="AB1247" s="5" t="inlineStr"/>
      <c r="AC1247" s="5" t="inlineStr"/>
      <c r="AD1247" s="5" t="inlineStr"/>
      <c r="AE1247" s="5" t="inlineStr"/>
      <c r="AF1247" s="5" t="inlineStr"/>
      <c r="AG1247" s="5" t="inlineStr"/>
      <c r="AH1247" s="5" t="inlineStr"/>
      <c r="AI1247" s="5" t="inlineStr"/>
    </row>
    <row r="1248">
      <c r="A1248" s="5" t="inlineStr">
        <is>
          <t>son-soz</t>
        </is>
      </c>
      <c r="B1248" s="5" t="n">
        <v>5</v>
      </c>
      <c r="C1248" s="6" t="inlineStr">
        <is>
          <t>'Para...'</t>
        </is>
      </c>
      <c r="D1248" s="5" t="inlineStr"/>
      <c r="E1248" s="5" t="inlineStr"/>
      <c r="F1248" s="5" t="inlineStr">
        <is>
          <t>Kurnazlık +1</t>
        </is>
      </c>
      <c r="G1248" s="6" t="inlineStr">
        <is>
          <t>Herkes öne eğildi. Cümlenin devamı gelmedi.</t>
        </is>
      </c>
      <c r="H1248" s="6" t="inlineStr"/>
      <c r="I1248" s="6" t="inlineStr"/>
      <c r="J1248" s="6" t="inlineStr"/>
      <c r="K1248" s="6" t="inlineStr"/>
      <c r="L1248" s="6" t="inlineStr"/>
      <c r="M1248" s="5" t="inlineStr"/>
      <c r="N1248" s="5" t="inlineStr"/>
      <c r="O1248" s="6" t="inlineStr"/>
      <c r="P1248" s="6" t="inlineStr"/>
      <c r="Q1248" s="5" t="inlineStr"/>
      <c r="R1248" s="5" t="inlineStr">
        <is>
          <t>ilkKelimePara</t>
        </is>
      </c>
      <c r="S1248" s="5" t="inlineStr"/>
      <c r="T1248" s="5" t="inlineStr"/>
      <c r="U1248" s="5" t="inlineStr"/>
      <c r="V1248" s="5" t="inlineStr"/>
      <c r="W1248" s="5" t="inlineStr"/>
      <c r="X1248" s="5" t="inlineStr"/>
      <c r="Y1248" s="5" t="n">
        <v>100</v>
      </c>
      <c r="Z1248" s="6" t="inlineStr">
        <is>
          <t>İlk sözü de son sözü de 'Para' oldu. Arada yaşadıkları kayıt altındadır.</t>
        </is>
      </c>
      <c r="AA1248" s="5" t="inlineStr"/>
      <c r="AB1248" s="5" t="inlineStr"/>
      <c r="AC1248" s="5" t="inlineStr"/>
      <c r="AD1248" s="5" t="inlineStr"/>
      <c r="AE1248" s="5" t="inlineStr"/>
      <c r="AF1248" s="5" t="inlineStr"/>
      <c r="AG1248" s="5" t="inlineStr"/>
      <c r="AH1248" s="5" t="inlineStr"/>
      <c r="AI1248" s="5" t="inlineStr"/>
    </row>
    <row r="1249">
      <c r="A1249" s="5" t="inlineStr">
        <is>
          <t>son-soz</t>
        </is>
      </c>
      <c r="B1249" s="5" t="n">
        <v>6</v>
      </c>
      <c r="C1249" s="6" t="inlineStr">
        <is>
          <t>“Tutanağa geçsin.”</t>
        </is>
      </c>
      <c r="D1249" s="5" t="inlineStr"/>
      <c r="E1249" s="5" t="inlineStr"/>
      <c r="F1249" s="5" t="inlineStr">
        <is>
          <t>Sosyal Radar +1</t>
        </is>
      </c>
      <c r="G1249" s="6" t="inlineStr">
        <is>
          <t>Başucundaki biri defterini çıkarıp yazdı; saati de not etti. Bunu senden öğrenmişti.</t>
        </is>
      </c>
      <c r="H1249" s="6" t="inlineStr"/>
      <c r="I1249" s="6" t="inlineStr"/>
      <c r="J1249" s="6" t="inlineStr"/>
      <c r="K1249" s="6" t="inlineStr"/>
      <c r="L1249" s="6" t="inlineStr"/>
      <c r="M1249" s="5" t="inlineStr"/>
      <c r="N1249" s="5" t="inlineStr"/>
      <c r="O1249" s="6" t="inlineStr"/>
      <c r="P1249" s="6" t="inlineStr"/>
      <c r="Q1249" s="5" t="inlineStr"/>
      <c r="R1249" s="5" t="inlineStr">
        <is>
          <t>hat-polis</t>
        </is>
      </c>
      <c r="S1249" s="5" t="inlineStr"/>
      <c r="T1249" s="5" t="inlineStr"/>
      <c r="U1249" s="5" t="inlineStr"/>
      <c r="V1249" s="5" t="inlineStr"/>
      <c r="W1249" s="5" t="inlineStr"/>
      <c r="X1249" s="5" t="inlineStr"/>
      <c r="Y1249" s="5" t="n">
        <v>100</v>
      </c>
      <c r="Z1249" s="6" t="inlineStr">
        <is>
          <t>Son sözü “Tutanağa geçsin” oldu. Geçti.</t>
        </is>
      </c>
      <c r="AA1249" s="5" t="inlineStr"/>
      <c r="AB1249" s="5" t="inlineStr"/>
      <c r="AC1249" s="5" t="inlineStr"/>
      <c r="AD1249" s="5" t="inlineStr"/>
      <c r="AE1249" s="5" t="inlineStr"/>
      <c r="AF1249" s="5" t="inlineStr"/>
      <c r="AG1249" s="5" t="inlineStr"/>
      <c r="AH1249" s="5" t="inlineStr"/>
      <c r="AI1249" s="5" t="inlineStr"/>
    </row>
    <row r="1250">
      <c r="A1250" s="5" t="inlineStr">
        <is>
          <t>son-soz</t>
        </is>
      </c>
      <c r="B1250" s="5" t="n">
        <v>7</v>
      </c>
      <c r="C1250" s="6" t="inlineStr">
        <is>
          <t>“Karar kesindir.”</t>
        </is>
      </c>
      <c r="D1250" s="5" t="inlineStr"/>
      <c r="E1250" s="5" t="inlineStr"/>
      <c r="F1250" s="5" t="inlineStr">
        <is>
          <t>İtibar +1</t>
        </is>
      </c>
      <c r="G1250" s="6" t="inlineStr">
        <is>
          <t>Odadakiler bir an ayağa kalkmak istedi. Temyize giden olmadı.</t>
        </is>
      </c>
      <c r="H1250" s="6" t="inlineStr"/>
      <c r="I1250" s="6" t="inlineStr"/>
      <c r="J1250" s="6" t="inlineStr"/>
      <c r="K1250" s="6" t="inlineStr"/>
      <c r="L1250" s="6" t="inlineStr"/>
      <c r="M1250" s="5" t="inlineStr"/>
      <c r="N1250" s="5" t="inlineStr"/>
      <c r="O1250" s="6" t="inlineStr"/>
      <c r="P1250" s="6" t="inlineStr"/>
      <c r="Q1250" s="5" t="inlineStr"/>
      <c r="R1250" s="5" t="inlineStr">
        <is>
          <t>hat-yargi</t>
        </is>
      </c>
      <c r="S1250" s="5" t="inlineStr"/>
      <c r="T1250" s="5" t="inlineStr"/>
      <c r="U1250" s="5" t="inlineStr"/>
      <c r="V1250" s="5" t="inlineStr"/>
      <c r="W1250" s="5" t="inlineStr"/>
      <c r="X1250" s="5" t="inlineStr"/>
      <c r="Y1250" s="5" t="n">
        <v>100</v>
      </c>
      <c r="Z1250" s="6" t="inlineStr">
        <is>
          <t>Son sözü “Karar kesindir” oldu. İtiraz eden çıkmadı.</t>
        </is>
      </c>
      <c r="AA1250" s="5" t="inlineStr"/>
      <c r="AB1250" s="5" t="inlineStr"/>
      <c r="AC1250" s="5" t="inlineStr"/>
      <c r="AD1250" s="5" t="inlineStr"/>
      <c r="AE1250" s="5" t="inlineStr"/>
      <c r="AF1250" s="5" t="inlineStr"/>
      <c r="AG1250" s="5" t="inlineStr"/>
      <c r="AH1250" s="5" t="inlineStr"/>
      <c r="AI1250" s="5" t="inlineStr"/>
    </row>
    <row r="1251">
      <c r="A1251" s="5" t="inlineStr">
        <is>
          <t>son-soz</t>
        </is>
      </c>
      <c r="B1251" s="5" t="n">
        <v>8</v>
      </c>
      <c r="C1251" s="6" t="inlineStr">
        <is>
          <t>“Tansiyonunu ölçtürdün mü?”</t>
        </is>
      </c>
      <c r="D1251" s="5" t="inlineStr"/>
      <c r="E1251" s="5" t="inlineStr"/>
      <c r="F1251" s="5" t="inlineStr">
        <is>
          <t>İtibar +1</t>
        </is>
      </c>
      <c r="G1251" s="6" t="inlineStr">
        <is>
          <t>Başucundaki gözlerini kaçırdı. Ertesi gün ölçtürdü; biraz yüksekti.</t>
        </is>
      </c>
      <c r="H1251" s="6" t="inlineStr"/>
      <c r="I1251" s="6" t="inlineStr"/>
      <c r="J1251" s="6" t="inlineStr"/>
      <c r="K1251" s="6" t="inlineStr"/>
      <c r="L1251" s="6" t="inlineStr"/>
      <c r="M1251" s="5" t="inlineStr"/>
      <c r="N1251" s="5" t="inlineStr"/>
      <c r="O1251" s="6" t="inlineStr"/>
      <c r="P1251" s="6" t="inlineStr"/>
      <c r="Q1251" s="5" t="inlineStr"/>
      <c r="R1251" s="5" t="inlineStr">
        <is>
          <t>hat-hekim</t>
        </is>
      </c>
      <c r="S1251" s="5" t="inlineStr"/>
      <c r="T1251" s="5" t="inlineStr"/>
      <c r="U1251" s="5" t="inlineStr"/>
      <c r="V1251" s="5" t="inlineStr"/>
      <c r="W1251" s="5" t="inlineStr"/>
      <c r="X1251" s="5" t="inlineStr"/>
      <c r="Y1251" s="5" t="n">
        <v>100</v>
      </c>
      <c r="Z1251" s="6" t="inlineStr">
        <is>
          <t>Son sözü, başucundakine “Tansiyonunu ölçtürdün mü?” oldu. Ölçtürdü; biraz yüksekti.</t>
        </is>
      </c>
      <c r="AA1251" s="5" t="inlineStr"/>
      <c r="AB1251" s="5" t="inlineStr"/>
      <c r="AC1251" s="5" t="inlineStr"/>
      <c r="AD1251" s="5" t="inlineStr"/>
      <c r="AE1251" s="5" t="inlineStr"/>
      <c r="AF1251" s="5" t="inlineStr"/>
      <c r="AG1251" s="5" t="inlineStr"/>
      <c r="AH1251" s="5" t="inlineStr"/>
      <c r="AI1251" s="5" t="inlineStr"/>
    </row>
    <row r="1252">
      <c r="A1252" s="5" t="inlineStr">
        <is>
          <t>son-soz</t>
        </is>
      </c>
      <c r="B1252" s="5" t="n">
        <v>9</v>
      </c>
      <c r="C1252" s="6" t="inlineStr">
        <is>
          <t>“Bu soruyu sevdim.”</t>
        </is>
      </c>
      <c r="D1252" s="5" t="inlineStr"/>
      <c r="E1252" s="5" t="inlineStr"/>
      <c r="F1252" s="5" t="inlineStr">
        <is>
          <t>Çene +1</t>
        </is>
      </c>
      <c r="G1252" s="6" t="inlineStr">
        <is>
          <t>Kimse bir şey sormamıştı. Oda yine de alkışladı; alışkanlık.</t>
        </is>
      </c>
      <c r="H1252" s="6" t="inlineStr"/>
      <c r="I1252" s="6" t="inlineStr"/>
      <c r="J1252" s="6" t="inlineStr"/>
      <c r="K1252" s="6" t="inlineStr"/>
      <c r="L1252" s="6" t="inlineStr"/>
      <c r="M1252" s="5" t="inlineStr"/>
      <c r="N1252" s="5" t="inlineStr"/>
      <c r="O1252" s="6" t="inlineStr"/>
      <c r="P1252" s="6" t="inlineStr"/>
      <c r="Q1252" s="5" t="inlineStr"/>
      <c r="R1252" s="5" t="inlineStr">
        <is>
          <t>hat-politika</t>
        </is>
      </c>
      <c r="S1252" s="5" t="inlineStr"/>
      <c r="T1252" s="5" t="inlineStr"/>
      <c r="U1252" s="5" t="inlineStr"/>
      <c r="V1252" s="5" t="inlineStr"/>
      <c r="W1252" s="5" t="inlineStr"/>
      <c r="X1252" s="5" t="inlineStr"/>
      <c r="Y1252" s="5" t="n">
        <v>100</v>
      </c>
      <c r="Z1252" s="6" t="inlineStr">
        <is>
          <t>Son sözü “Bu soruyu sevdim” oldu. Soruyu kimse hatırlamıyor.</t>
        </is>
      </c>
      <c r="AA1252" s="5" t="inlineStr"/>
      <c r="AB1252" s="5" t="inlineStr"/>
      <c r="AC1252" s="5" t="inlineStr"/>
      <c r="AD1252" s="5" t="inlineStr"/>
      <c r="AE1252" s="5" t="inlineStr"/>
      <c r="AF1252" s="5" t="inlineStr"/>
      <c r="AG1252" s="5" t="inlineStr"/>
      <c r="AH1252" s="5" t="inlineStr"/>
      <c r="AI1252" s="5" t="inlineStr"/>
    </row>
    <row r="1253">
      <c r="A1253" s="5" t="inlineStr">
        <is>
          <t>son-soz</t>
        </is>
      </c>
      <c r="B1253" s="5" t="n">
        <v>10</v>
      </c>
      <c r="C1253" s="6" t="inlineStr">
        <is>
          <t>“Kimseye bir şey söylemedim.”</t>
        </is>
      </c>
      <c r="D1253" s="5" t="inlineStr"/>
      <c r="E1253" s="5" t="inlineStr"/>
      <c r="F1253" s="5" t="inlineStr">
        <is>
          <t>Cesaret +1</t>
        </is>
      </c>
      <c r="G1253" s="6" t="inlineStr">
        <is>
          <t>Kapının yanındaki iki adam birbirine baktı, omuzları indi. Doğruydu.</t>
        </is>
      </c>
      <c r="H1253" s="6" t="inlineStr"/>
      <c r="I1253" s="6" t="inlineStr"/>
      <c r="J1253" s="6" t="inlineStr"/>
      <c r="K1253" s="6" t="inlineStr"/>
      <c r="L1253" s="6" t="inlineStr"/>
      <c r="M1253" s="5" t="inlineStr"/>
      <c r="N1253" s="5" t="inlineStr"/>
      <c r="O1253" s="6" t="inlineStr"/>
      <c r="P1253" s="6" t="inlineStr"/>
      <c r="Q1253" s="5" t="inlineStr"/>
      <c r="R1253" s="5" t="inlineStr">
        <is>
          <t>hat-cete</t>
        </is>
      </c>
      <c r="S1253" s="5" t="inlineStr"/>
      <c r="T1253" s="5" t="inlineStr"/>
      <c r="U1253" s="5" t="inlineStr"/>
      <c r="V1253" s="5" t="inlineStr"/>
      <c r="W1253" s="5" t="inlineStr"/>
      <c r="X1253" s="5" t="inlineStr"/>
      <c r="Y1253" s="5" t="n">
        <v>100</v>
      </c>
      <c r="Z1253" s="6" t="inlineStr">
        <is>
          <t>Son sözü “Kimseye bir şey söylemedim” oldu. Doğruydu.</t>
        </is>
      </c>
      <c r="AA1253" s="5" t="inlineStr"/>
      <c r="AB1253" s="5" t="inlineStr"/>
      <c r="AC1253" s="5" t="inlineStr"/>
      <c r="AD1253" s="5" t="inlineStr"/>
      <c r="AE1253" s="5" t="inlineStr"/>
      <c r="AF1253" s="5" t="inlineStr"/>
      <c r="AG1253" s="5" t="inlineStr"/>
      <c r="AH1253" s="5" t="inlineStr"/>
      <c r="AI1253" s="5" t="inlineStr"/>
    </row>
    <row r="1254">
      <c r="A1254" s="5" t="inlineStr">
        <is>
          <t>son-soz</t>
        </is>
      </c>
      <c r="B1254" s="5" t="n">
        <v>11</v>
      </c>
      <c r="C1254" s="6" t="inlineStr">
        <is>
          <t>“Aslında bu da bir fırsattı.”</t>
        </is>
      </c>
      <c r="D1254" s="5" t="inlineStr"/>
      <c r="E1254" s="5" t="inlineStr"/>
      <c r="F1254" s="5" t="inlineStr">
        <is>
          <t>Kurnazlık +1</t>
        </is>
      </c>
      <c r="G1254" s="6" t="inlineStr">
        <is>
          <t>Odadakiler refleksle cüzdanlarına el attı. Kimse yatırım yapmadı.</t>
        </is>
      </c>
      <c r="H1254" s="6" t="inlineStr"/>
      <c r="I1254" s="6" t="inlineStr"/>
      <c r="J1254" s="6" t="inlineStr"/>
      <c r="K1254" s="6" t="inlineStr"/>
      <c r="L1254" s="6" t="inlineStr"/>
      <c r="M1254" s="5" t="inlineStr"/>
      <c r="N1254" s="5" t="inlineStr"/>
      <c r="O1254" s="6" t="inlineStr"/>
      <c r="P1254" s="6" t="inlineStr"/>
      <c r="Q1254" s="5" t="inlineStr"/>
      <c r="R1254" s="5" t="inlineStr">
        <is>
          <t>hat-dolandirici</t>
        </is>
      </c>
      <c r="S1254" s="5" t="inlineStr"/>
      <c r="T1254" s="5" t="inlineStr"/>
      <c r="U1254" s="5" t="inlineStr"/>
      <c r="V1254" s="5" t="inlineStr"/>
      <c r="W1254" s="5" t="inlineStr"/>
      <c r="X1254" s="5" t="inlineStr"/>
      <c r="Y1254" s="5" t="n">
        <v>100</v>
      </c>
      <c r="Z1254" s="6" t="inlineStr">
        <is>
          <t>Son sözü “Aslında bu da bir fırsattı” oldu. Kimse yatırım yapmadı.</t>
        </is>
      </c>
      <c r="AA1254" s="5" t="inlineStr"/>
      <c r="AB1254" s="5" t="inlineStr"/>
      <c r="AC1254" s="5" t="inlineStr"/>
      <c r="AD1254" s="5" t="inlineStr"/>
      <c r="AE1254" s="5" t="inlineStr"/>
      <c r="AF1254" s="5" t="inlineStr"/>
      <c r="AG1254" s="5" t="inlineStr"/>
      <c r="AH1254" s="5" t="inlineStr"/>
      <c r="AI1254" s="5" t="inlineStr"/>
    </row>
    <row r="1255">
      <c r="A1255" s="5" t="inlineStr">
        <is>
          <t>son-soz</t>
        </is>
      </c>
      <c r="B1255" s="5" t="n">
        <v>12</v>
      </c>
      <c r="C1255" s="6" t="inlineStr">
        <is>
          <t>“Kamera açık mı?”</t>
        </is>
      </c>
      <c r="D1255" s="5" t="inlineStr"/>
      <c r="E1255" s="5" t="inlineStr"/>
      <c r="F1255" s="5" t="inlineStr">
        <is>
          <t>Pişkinlik +1</t>
        </is>
      </c>
      <c r="G1255" s="6" t="inlineStr">
        <is>
          <t>Biri telefonu biraz daha yaklaştırdı. Açıktı.</t>
        </is>
      </c>
      <c r="H1255" s="6" t="inlineStr"/>
      <c r="I1255" s="6" t="inlineStr"/>
      <c r="J1255" s="6" t="inlineStr"/>
      <c r="K1255" s="6" t="inlineStr"/>
      <c r="L1255" s="6" t="inlineStr"/>
      <c r="M1255" s="5" t="inlineStr"/>
      <c r="N1255" s="5" t="inlineStr"/>
      <c r="O1255" s="6" t="inlineStr"/>
      <c r="P1255" s="6" t="inlineStr"/>
      <c r="Q1255" s="5" t="inlineStr"/>
      <c r="R1255" s="5" t="inlineStr">
        <is>
          <t>hat-sohret</t>
        </is>
      </c>
      <c r="S1255" s="5" t="inlineStr"/>
      <c r="T1255" s="5" t="inlineStr"/>
      <c r="U1255" s="5" t="inlineStr"/>
      <c r="V1255" s="5" t="inlineStr"/>
      <c r="W1255" s="5" t="inlineStr"/>
      <c r="X1255" s="5" t="inlineStr"/>
      <c r="Y1255" s="5" t="n">
        <v>100</v>
      </c>
      <c r="Z1255" s="6" t="inlineStr">
        <is>
          <t>Son sözü “Kamera açık mı?” oldu. Açıktı.</t>
        </is>
      </c>
      <c r="AA1255" s="5" t="inlineStr"/>
      <c r="AB1255" s="5" t="inlineStr"/>
      <c r="AC1255" s="5" t="inlineStr"/>
      <c r="AD1255" s="5" t="inlineStr"/>
      <c r="AE1255" s="5" t="inlineStr"/>
      <c r="AF1255" s="5" t="inlineStr"/>
      <c r="AG1255" s="5" t="inlineStr"/>
      <c r="AH1255" s="5" t="inlineStr"/>
      <c r="AI1255" s="5" t="inlineStr"/>
    </row>
    <row r="1256">
      <c r="A1256" s="5" t="inlineStr">
        <is>
          <t>son-soz</t>
        </is>
      </c>
      <c r="B1256" s="5" t="n">
        <v>13</v>
      </c>
      <c r="C1256" s="6" t="inlineStr">
        <is>
          <t>“Yatırım tavsiyesi değildir.”</t>
        </is>
      </c>
      <c r="D1256" s="5" t="inlineStr"/>
      <c r="E1256" s="5" t="inlineStr"/>
      <c r="F1256" s="5" t="inlineStr">
        <is>
          <t>Akıl +1</t>
        </is>
      </c>
      <c r="G1256" s="6" t="inlineStr">
        <is>
          <t>Kapının eşiğindeki eski ortağın sessizce güldü. Not alan olmadı.</t>
        </is>
      </c>
      <c r="H1256" s="6" t="inlineStr"/>
      <c r="I1256" s="6" t="inlineStr"/>
      <c r="J1256" s="6" t="inlineStr"/>
      <c r="K1256" s="6" t="inlineStr"/>
      <c r="L1256" s="6" t="inlineStr"/>
      <c r="M1256" s="5" t="inlineStr"/>
      <c r="N1256" s="5" t="inlineStr"/>
      <c r="O1256" s="6" t="inlineStr"/>
      <c r="P1256" s="6" t="inlineStr"/>
      <c r="Q1256" s="5" t="inlineStr"/>
      <c r="R1256" s="5" t="inlineStr">
        <is>
          <t>hat-girisimci</t>
        </is>
      </c>
      <c r="S1256" s="5" t="inlineStr"/>
      <c r="T1256" s="5" t="inlineStr"/>
      <c r="U1256" s="5" t="inlineStr"/>
      <c r="V1256" s="5" t="inlineStr"/>
      <c r="W1256" s="5" t="inlineStr"/>
      <c r="X1256" s="5" t="inlineStr"/>
      <c r="Y1256" s="5" t="n">
        <v>100</v>
      </c>
      <c r="Z1256" s="6" t="inlineStr">
        <is>
          <t>Son sözü “Yatırım tavsiyesi değildir” oldu. Hukuk departmanı rahatladı.</t>
        </is>
      </c>
      <c r="AA1256" s="5" t="inlineStr"/>
      <c r="AB1256" s="5" t="inlineStr"/>
      <c r="AC1256" s="5" t="inlineStr"/>
      <c r="AD1256" s="5" t="inlineStr"/>
      <c r="AE1256" s="5" t="inlineStr"/>
      <c r="AF1256" s="5" t="inlineStr"/>
      <c r="AG1256" s="5" t="inlineStr"/>
      <c r="AH1256" s="5" t="inlineStr"/>
      <c r="AI1256" s="5" t="inlineStr"/>
    </row>
    <row r="1257">
      <c r="A1257" s="5" t="inlineStr">
        <is>
          <t>son-soz</t>
        </is>
      </c>
      <c r="B1257" s="5" t="n">
        <v>14</v>
      </c>
      <c r="C1257" s="6" t="inlineStr">
        <is>
          <t>“Hangi dilde söyleyeyim?”</t>
        </is>
      </c>
      <c r="D1257" s="5" t="inlineStr"/>
      <c r="E1257" s="5" t="inlineStr"/>
      <c r="F1257" s="5" t="inlineStr">
        <is>
          <t>Sosyal Radar +1</t>
        </is>
      </c>
      <c r="G1257" s="6" t="inlineStr">
        <is>
          <t>İki dilde başladın; ikisi de yarım kaldı. Odadaki herkes yine de anladı.</t>
        </is>
      </c>
      <c r="H1257" s="6" t="inlineStr"/>
      <c r="I1257" s="6" t="inlineStr"/>
      <c r="J1257" s="6" t="inlineStr"/>
      <c r="K1257" s="6" t="inlineStr"/>
      <c r="L1257" s="6" t="inlineStr"/>
      <c r="M1257" s="5" t="inlineStr"/>
      <c r="N1257" s="5" t="inlineStr"/>
      <c r="O1257" s="6" t="inlineStr"/>
      <c r="P1257" s="6" t="inlineStr"/>
      <c r="Q1257" s="5" t="inlineStr"/>
      <c r="R1257" s="5" t="inlineStr">
        <is>
          <t>hat-goc</t>
        </is>
      </c>
      <c r="S1257" s="5" t="inlineStr"/>
      <c r="T1257" s="5" t="inlineStr"/>
      <c r="U1257" s="5" t="inlineStr"/>
      <c r="V1257" s="5" t="inlineStr"/>
      <c r="W1257" s="5" t="inlineStr"/>
      <c r="X1257" s="5" t="inlineStr"/>
      <c r="Y1257" s="5" t="n">
        <v>100</v>
      </c>
      <c r="Z1257" s="6" t="inlineStr">
        <is>
          <t>Son sözünü iki dilde söyledi; ikisi de yarım kaldı. Anlamı tamdı.</t>
        </is>
      </c>
      <c r="AA1257" s="5" t="inlineStr"/>
      <c r="AB1257" s="5" t="inlineStr"/>
      <c r="AC1257" s="5" t="inlineStr"/>
      <c r="AD1257" s="5" t="inlineStr"/>
      <c r="AE1257" s="5" t="inlineStr"/>
      <c r="AF1257" s="5" t="inlineStr"/>
      <c r="AG1257" s="5" t="inlineStr"/>
      <c r="AH1257" s="5" t="inlineStr"/>
      <c r="AI1257" s="5" t="inlineStr"/>
    </row>
    <row r="1258">
      <c r="A1258" s="5" t="inlineStr">
        <is>
          <t>son-soz</t>
        </is>
      </c>
      <c r="B1258" s="5" t="n">
        <v>15</v>
      </c>
      <c r="C1258" s="6" t="inlineStr">
        <is>
          <t>“Domatesleri sulayın.”</t>
        </is>
      </c>
      <c r="D1258" s="5" t="inlineStr"/>
      <c r="E1258" s="5" t="inlineStr"/>
      <c r="F1258" s="5" t="inlineStr">
        <is>
          <t>İtibar +1</t>
        </is>
      </c>
      <c r="G1258" s="6" t="inlineStr">
        <is>
          <t>Ertesi sabah üç kişi birden bahçeye, hortuma koştu. Sulandı.</t>
        </is>
      </c>
      <c r="H1258" s="6" t="inlineStr"/>
      <c r="I1258" s="6" t="inlineStr"/>
      <c r="J1258" s="6" t="inlineStr"/>
      <c r="K1258" s="6" t="inlineStr"/>
      <c r="L1258" s="6" t="inlineStr"/>
      <c r="M1258" s="5" t="inlineStr"/>
      <c r="N1258" s="5" t="inlineStr"/>
      <c r="O1258" s="6" t="inlineStr"/>
      <c r="P1258" s="6" t="inlineStr"/>
      <c r="Q1258" s="5" t="inlineStr"/>
      <c r="R1258" s="5" t="inlineStr">
        <is>
          <t>hat-koy</t>
        </is>
      </c>
      <c r="S1258" s="5" t="inlineStr"/>
      <c r="T1258" s="5" t="inlineStr"/>
      <c r="U1258" s="5" t="inlineStr"/>
      <c r="V1258" s="5" t="inlineStr"/>
      <c r="W1258" s="5" t="inlineStr"/>
      <c r="X1258" s="5" t="inlineStr"/>
      <c r="Y1258" s="5" t="n">
        <v>100</v>
      </c>
      <c r="Z1258" s="6" t="inlineStr">
        <is>
          <t>Son sözü “Domatesleri sulayın” oldu. Sulandı.</t>
        </is>
      </c>
      <c r="AA1258" s="5" t="inlineStr"/>
      <c r="AB1258" s="5" t="inlineStr"/>
      <c r="AC1258" s="5" t="inlineStr"/>
      <c r="AD1258" s="5" t="inlineStr"/>
      <c r="AE1258" s="5" t="inlineStr"/>
      <c r="AF1258" s="5" t="inlineStr"/>
      <c r="AG1258" s="5" t="inlineStr"/>
      <c r="AH1258" s="5" t="inlineStr"/>
      <c r="AI1258" s="5" t="inlineStr"/>
    </row>
    <row r="1259">
      <c r="A1259" s="5" t="inlineStr">
        <is>
          <t>son-soz</t>
        </is>
      </c>
      <c r="B1259" s="5" t="n">
        <v>16</v>
      </c>
      <c r="C1259" s="6" t="inlineStr">
        <is>
          <t>“O ses geçer.”</t>
        </is>
      </c>
      <c r="D1259" s="5" t="inlineStr"/>
      <c r="E1259" s="5" t="inlineStr"/>
      <c r="F1259" s="5" t="inlineStr">
        <is>
          <t>Akıl +1</t>
        </is>
      </c>
      <c r="G1259" s="6" t="inlineStr">
        <is>
          <t>Odada kimse bir ses duymamıştı; herkes yine de kulak kabarttı. Çırağın ertesi gün bunu dükkânın tabelasına yazdırdı.</t>
        </is>
      </c>
      <c r="H1259" s="6" t="inlineStr"/>
      <c r="I1259" s="6" t="inlineStr"/>
      <c r="J1259" s="6" t="inlineStr"/>
      <c r="K1259" s="6" t="inlineStr"/>
      <c r="L1259" s="6" t="inlineStr"/>
      <c r="M1259" s="5" t="inlineStr"/>
      <c r="N1259" s="5" t="inlineStr"/>
      <c r="O1259" s="6" t="inlineStr"/>
      <c r="P1259" s="6" t="inlineStr"/>
      <c r="Q1259" s="5" t="inlineStr"/>
      <c r="R1259" s="5" t="inlineStr">
        <is>
          <t>hat-usta</t>
        </is>
      </c>
      <c r="S1259" s="5" t="inlineStr"/>
      <c r="T1259" s="5" t="inlineStr"/>
      <c r="U1259" s="5" t="inlineStr"/>
      <c r="V1259" s="5" t="inlineStr"/>
      <c r="W1259" s="5" t="inlineStr"/>
      <c r="X1259" s="5" t="inlineStr"/>
      <c r="Y1259" s="5" t="n">
        <v>100</v>
      </c>
      <c r="Z1259" s="6" t="inlineStr">
        <is>
          <t>Son sözü “O ses geçer” oldu. Geçti.</t>
        </is>
      </c>
      <c r="AA1259" s="5" t="inlineStr"/>
      <c r="AB1259" s="5" t="inlineStr"/>
      <c r="AC1259" s="5" t="inlineStr"/>
      <c r="AD1259" s="5" t="inlineStr"/>
      <c r="AE1259" s="5" t="inlineStr"/>
      <c r="AF1259" s="5" t="inlineStr"/>
      <c r="AG1259" s="5" t="inlineStr"/>
      <c r="AH1259" s="5" t="inlineStr"/>
      <c r="AI1259" s="5" t="inlineStr"/>
    </row>
    <row r="1260">
      <c r="A1260" s="5" t="inlineStr">
        <is>
          <t>son-soz</t>
        </is>
      </c>
      <c r="B1260" s="5" t="n">
        <v>17</v>
      </c>
      <c r="C1260" s="6" t="inlineStr">
        <is>
          <t>“Evrakım eksiksizdi.”</t>
        </is>
      </c>
      <c r="D1260" s="5" t="inlineStr"/>
      <c r="E1260" s="5" t="inlineStr"/>
      <c r="F1260" s="5" t="inlineStr">
        <is>
          <t>Dayanıklılık +1</t>
        </is>
      </c>
      <c r="G1260" s="6" t="inlineStr">
        <is>
          <t>Odadakiler başını salladı. Ölüm belgesi de ilk seferde onaylandı.</t>
        </is>
      </c>
      <c r="H1260" s="6" t="inlineStr"/>
      <c r="I1260" s="6" t="inlineStr"/>
      <c r="J1260" s="6" t="inlineStr"/>
      <c r="K1260" s="6" t="inlineStr"/>
      <c r="L1260" s="6" t="inlineStr"/>
      <c r="M1260" s="5" t="inlineStr"/>
      <c r="N1260" s="5" t="inlineStr"/>
      <c r="O1260" s="6" t="inlineStr"/>
      <c r="P1260" s="6" t="inlineStr"/>
      <c r="Q1260" s="5" t="inlineStr"/>
      <c r="R1260" s="5" t="inlineStr">
        <is>
          <t>meslek-memur</t>
        </is>
      </c>
      <c r="S1260" s="5" t="inlineStr"/>
      <c r="T1260" s="5" t="inlineStr"/>
      <c r="U1260" s="5" t="inlineStr"/>
      <c r="V1260" s="5" t="inlineStr"/>
      <c r="W1260" s="5" t="inlineStr"/>
      <c r="X1260" s="5" t="inlineStr"/>
      <c r="Y1260" s="5" t="n">
        <v>100</v>
      </c>
      <c r="Z1260" s="6" t="inlineStr">
        <is>
          <t>Son sözü “Evrakım eksiksizdi” oldu. Evrakı gerçekten eksiksizdi.</t>
        </is>
      </c>
      <c r="AA1260" s="5" t="inlineStr"/>
      <c r="AB1260" s="5" t="inlineStr"/>
      <c r="AC1260" s="5" t="inlineStr"/>
      <c r="AD1260" s="5" t="inlineStr"/>
      <c r="AE1260" s="5" t="inlineStr"/>
      <c r="AF1260" s="5" t="inlineStr"/>
      <c r="AG1260" s="5" t="inlineStr"/>
      <c r="AH1260" s="5" t="inlineStr"/>
      <c r="AI1260" s="5" t="inlineStr"/>
    </row>
    <row r="1261">
      <c r="A1261" s="5" t="inlineStr">
        <is>
          <t>son-soz</t>
        </is>
      </c>
      <c r="B1261" s="5" t="n">
        <v>18</v>
      </c>
      <c r="C1261" s="6" t="inlineStr">
        <is>
          <t>“Bunu bir toplantıda konuşalım.”</t>
        </is>
      </c>
      <c r="D1261" s="5" t="inlineStr"/>
      <c r="E1261" s="5" t="inlineStr"/>
      <c r="F1261" s="5" t="inlineStr">
        <is>
          <t>Çene +1</t>
        </is>
      </c>
      <c r="G1261" s="6" t="inlineStr">
        <is>
          <t>Odadakiler refleksle takvimlerine baktı. Toplantı hiç yapılmadı.</t>
        </is>
      </c>
      <c r="H1261" s="6" t="inlineStr"/>
      <c r="I1261" s="6" t="inlineStr"/>
      <c r="J1261" s="6" t="inlineStr"/>
      <c r="K1261" s="6" t="inlineStr"/>
      <c r="L1261" s="6" t="inlineStr"/>
      <c r="M1261" s="5" t="inlineStr"/>
      <c r="N1261" s="5" t="inlineStr"/>
      <c r="O1261" s="6" t="inlineStr"/>
      <c r="P1261" s="6" t="inlineStr"/>
      <c r="Q1261" s="5" t="inlineStr"/>
      <c r="R1261" s="5" t="inlineStr">
        <is>
          <t>meslek-beyazyaka</t>
        </is>
      </c>
      <c r="S1261" s="5" t="inlineStr"/>
      <c r="T1261" s="5" t="inlineStr"/>
      <c r="U1261" s="5" t="inlineStr"/>
      <c r="V1261" s="5" t="inlineStr"/>
      <c r="W1261" s="5" t="inlineStr"/>
      <c r="X1261" s="5" t="inlineStr"/>
      <c r="Y1261" s="5" t="n">
        <v>100</v>
      </c>
      <c r="Z1261" s="6" t="inlineStr">
        <is>
          <t>Son sözü “Bunu bir toplantıda konuşalım” oldu. Toplantı ertelendi.</t>
        </is>
      </c>
      <c r="AA1261" s="5" t="inlineStr"/>
      <c r="AB1261" s="5" t="inlineStr"/>
      <c r="AC1261" s="5" t="inlineStr"/>
      <c r="AD1261" s="5" t="inlineStr"/>
      <c r="AE1261" s="5" t="inlineStr"/>
      <c r="AF1261" s="5" t="inlineStr"/>
      <c r="AG1261" s="5" t="inlineStr"/>
      <c r="AH1261" s="5" t="inlineStr"/>
      <c r="AI1261" s="5" t="inlineStr"/>
    </row>
    <row r="1262">
      <c r="A1262" s="5" t="inlineStr">
        <is>
          <t>son-soz</t>
        </is>
      </c>
      <c r="B1262" s="5" t="n">
        <v>19</v>
      </c>
      <c r="C1262" s="6" t="inlineStr">
        <is>
          <t>“Veresiye defteri üst rafta.”</t>
        </is>
      </c>
      <c r="D1262" s="5" t="inlineStr"/>
      <c r="E1262" s="5" t="inlineStr"/>
      <c r="F1262" s="5" t="inlineStr">
        <is>
          <t>Kurnazlık +1</t>
        </is>
      </c>
      <c r="G1262" s="6" t="inlineStr">
        <is>
          <t>Defter üst raftan indi. Ertesi gün mahallenin yarısı taziyeye borcunu ödemeye geldi.</t>
        </is>
      </c>
      <c r="H1262" s="6" t="inlineStr"/>
      <c r="I1262" s="6" t="inlineStr"/>
      <c r="J1262" s="6" t="inlineStr"/>
      <c r="K1262" s="6" t="inlineStr"/>
      <c r="L1262" s="6" t="inlineStr"/>
      <c r="M1262" s="5" t="inlineStr"/>
      <c r="N1262" s="5" t="inlineStr"/>
      <c r="O1262" s="6" t="inlineStr"/>
      <c r="P1262" s="6" t="inlineStr"/>
      <c r="Q1262" s="5" t="inlineStr"/>
      <c r="R1262" s="5" t="inlineStr">
        <is>
          <t>meslek-esnaf</t>
        </is>
      </c>
      <c r="S1262" s="5" t="inlineStr"/>
      <c r="T1262" s="5" t="inlineStr"/>
      <c r="U1262" s="5" t="inlineStr"/>
      <c r="V1262" s="5" t="inlineStr"/>
      <c r="W1262" s="5" t="inlineStr"/>
      <c r="X1262" s="5" t="inlineStr"/>
      <c r="Y1262" s="5" t="n">
        <v>100</v>
      </c>
      <c r="Z1262" s="6" t="inlineStr">
        <is>
          <t>Son sözü “Veresiye defteri üst rafta” oldu. Defter bulundu; tahsilat sürüyor.</t>
        </is>
      </c>
      <c r="AA1262" s="5" t="inlineStr"/>
      <c r="AB1262" s="5" t="inlineStr"/>
      <c r="AC1262" s="5" t="inlineStr"/>
      <c r="AD1262" s="5" t="inlineStr"/>
      <c r="AE1262" s="5" t="inlineStr"/>
      <c r="AF1262" s="5" t="inlineStr"/>
      <c r="AG1262" s="5" t="inlineStr"/>
      <c r="AH1262" s="5" t="inlineStr"/>
      <c r="AI1262" s="5" t="inlineStr"/>
    </row>
    <row r="1263">
      <c r="A1263" s="5" t="inlineStr">
        <is>
          <t>son-soz</t>
        </is>
      </c>
      <c r="B1263" s="5" t="n">
        <v>20</v>
      </c>
      <c r="C1263" s="6" t="inlineStr">
        <is>
          <t>“Son revizyon buydu, söz.”</t>
        </is>
      </c>
      <c r="D1263" s="5" t="inlineStr"/>
      <c r="E1263" s="5" t="inlineStr"/>
      <c r="F1263" s="5" t="inlineStr">
        <is>
          <t>Pişkinlik +1</t>
        </is>
      </c>
      <c r="G1263" s="6" t="inlineStr">
        <is>
          <t>Odadakiler gülümsedi; kimse inanmadı. Bu sefer gerçekten öyleydi.</t>
        </is>
      </c>
      <c r="H1263" s="6" t="inlineStr"/>
      <c r="I1263" s="6" t="inlineStr"/>
      <c r="J1263" s="6" t="inlineStr"/>
      <c r="K1263" s="6" t="inlineStr"/>
      <c r="L1263" s="6" t="inlineStr"/>
      <c r="M1263" s="5" t="inlineStr"/>
      <c r="N1263" s="5" t="inlineStr"/>
      <c r="O1263" s="6" t="inlineStr"/>
      <c r="P1263" s="6" t="inlineStr"/>
      <c r="Q1263" s="5" t="inlineStr"/>
      <c r="R1263" s="5" t="inlineStr">
        <is>
          <t>meslek-serbest</t>
        </is>
      </c>
      <c r="S1263" s="5" t="inlineStr"/>
      <c r="T1263" s="5" t="inlineStr"/>
      <c r="U1263" s="5" t="inlineStr"/>
      <c r="V1263" s="5" t="inlineStr"/>
      <c r="W1263" s="5" t="inlineStr"/>
      <c r="X1263" s="5" t="inlineStr"/>
      <c r="Y1263" s="5" t="n">
        <v>100</v>
      </c>
      <c r="Z1263" s="6" t="inlineStr">
        <is>
          <t>Son sözü “Son revizyon buydu, söz” oldu. Bu sefer gerçekten öyleydi.</t>
        </is>
      </c>
      <c r="AA1263" s="5" t="inlineStr"/>
      <c r="AB1263" s="5" t="inlineStr"/>
      <c r="AC1263" s="5" t="inlineStr"/>
      <c r="AD1263" s="5" t="inlineStr"/>
      <c r="AE1263" s="5" t="inlineStr"/>
      <c r="AF1263" s="5" t="inlineStr"/>
      <c r="AG1263" s="5" t="inlineStr"/>
      <c r="AH1263" s="5" t="inlineStr"/>
      <c r="AI1263" s="5" t="inlineStr"/>
    </row>
    <row r="1264">
      <c r="A1264" s="5" t="inlineStr">
        <is>
          <t>son-soz</t>
        </is>
      </c>
      <c r="B1264" s="5" t="n">
        <v>21</v>
      </c>
      <c r="C1264" s="6" t="inlineStr">
        <is>
          <t>“Dördüncü koğuşun tavla şampiyonuydum.”</t>
        </is>
      </c>
      <c r="D1264" s="5" t="inlineStr"/>
      <c r="E1264" s="5" t="inlineStr"/>
      <c r="F1264" s="5" t="inlineStr">
        <is>
          <t>Pişkinlik +1</t>
        </is>
      </c>
      <c r="G1264" s="6" t="inlineStr">
        <is>
          <t>Köşedeki eski koğuş arkadaşın başını salladı. Rövanş isteyen çıkmadı.</t>
        </is>
      </c>
      <c r="H1264" s="6" t="inlineStr"/>
      <c r="I1264" s="6" t="inlineStr"/>
      <c r="J1264" s="6" t="inlineStr"/>
      <c r="K1264" s="6" t="inlineStr"/>
      <c r="L1264" s="6" t="inlineStr"/>
      <c r="M1264" s="5" t="inlineStr"/>
      <c r="N1264" s="5" t="inlineStr"/>
      <c r="O1264" s="6" t="inlineStr"/>
      <c r="P1264" s="6" t="inlineStr"/>
      <c r="Q1264" s="5" t="inlineStr"/>
      <c r="R1264" s="5" t="inlineStr">
        <is>
          <t>eski-hukumlu</t>
        </is>
      </c>
      <c r="S1264" s="5" t="inlineStr"/>
      <c r="T1264" s="5" t="inlineStr"/>
      <c r="U1264" s="5" t="inlineStr"/>
      <c r="V1264" s="5" t="inlineStr"/>
      <c r="W1264" s="5" t="inlineStr"/>
      <c r="X1264" s="5" t="inlineStr"/>
      <c r="Y1264" s="5" t="n">
        <v>100</v>
      </c>
      <c r="Z1264" s="6" t="inlineStr">
        <is>
          <t>Son sözü “Dördüncü koğuşun tavla şampiyonuydum” oldu. Kimse itiraz etmedi; rövanş da istenmedi.</t>
        </is>
      </c>
      <c r="AA1264" s="5" t="inlineStr"/>
      <c r="AB1264" s="5" t="inlineStr"/>
      <c r="AC1264" s="5" t="inlineStr"/>
      <c r="AD1264" s="5" t="inlineStr"/>
      <c r="AE1264" s="5" t="inlineStr"/>
      <c r="AF1264" s="5" t="inlineStr"/>
      <c r="AG1264" s="5" t="inlineStr"/>
      <c r="AH1264" s="5" t="inlineStr"/>
      <c r="AI1264" s="5" t="inlineStr"/>
    </row>
    <row r="1265">
      <c r="A1265" s="5" t="inlineStr">
        <is>
          <t>son-soz</t>
        </is>
      </c>
      <c r="B1265" s="5" t="n">
        <v>22</v>
      </c>
      <c r="C1265" s="6" t="inlineStr">
        <is>
          <t>'Bu sefer son söz senin.'</t>
        </is>
      </c>
      <c r="D1265" s="5" t="inlineStr"/>
      <c r="E1265" s="5" t="inlineStr"/>
      <c r="F1265" s="5" t="inlineStr">
        <is>
          <t>Gönül +1</t>
        </is>
      </c>
      <c r="G1265" s="6" t="inlineStr">
        <is>
          <t>Eşin elini sıktı. Elli yıldır ilk kez son söz onda kaldı; ne dediğini yalnızca sen duydun.</t>
        </is>
      </c>
      <c r="H1265" s="6" t="inlineStr"/>
      <c r="I1265" s="6" t="inlineStr"/>
      <c r="J1265" s="6" t="inlineStr"/>
      <c r="K1265" s="6" t="inlineStr"/>
      <c r="L1265" s="6" t="inlineStr"/>
      <c r="M1265" s="5" t="inlineStr"/>
      <c r="N1265" s="5" t="inlineStr"/>
      <c r="O1265" s="6" t="inlineStr"/>
      <c r="P1265" s="6" t="inlineStr"/>
      <c r="Q1265" s="5" t="inlineStr"/>
      <c r="R1265" s="5" t="inlineStr">
        <is>
          <t>evli</t>
        </is>
      </c>
      <c r="S1265" s="5" t="inlineStr"/>
      <c r="T1265" s="5" t="inlineStr"/>
      <c r="U1265" s="5" t="inlineStr"/>
      <c r="V1265" s="5" t="inlineStr"/>
      <c r="W1265" s="5" t="inlineStr"/>
      <c r="X1265" s="5" t="inlineStr"/>
      <c r="Y1265" s="5" t="n">
        <v>100</v>
      </c>
      <c r="Z1265" s="6" t="inlineStr">
        <is>
          <t>Son sözü eşine bıraktı. Ne dendiğini yalnızca o duydu.</t>
        </is>
      </c>
      <c r="AA1265" s="5" t="inlineStr"/>
      <c r="AB1265" s="5" t="inlineStr"/>
      <c r="AC1265" s="5" t="inlineStr"/>
      <c r="AD1265" s="5" t="inlineStr"/>
      <c r="AE1265" s="5" t="inlineStr"/>
      <c r="AF1265" s="5" t="inlineStr"/>
      <c r="AG1265" s="5" t="inlineStr"/>
      <c r="AH1265" s="5" t="inlineStr"/>
      <c r="AI1265" s="5" t="inlineStr"/>
    </row>
    <row r="1266">
      <c r="A1266" s="5" t="inlineStr">
        <is>
          <t>son-soz</t>
        </is>
      </c>
      <c r="B1266" s="5" t="n">
        <v>23</v>
      </c>
      <c r="C1266" s="6" t="inlineStr">
        <is>
          <t>'Geliyorum.'</t>
        </is>
      </c>
      <c r="D1266" s="5" t="inlineStr"/>
      <c r="E1266" s="5" t="inlineStr"/>
      <c r="F1266" s="5" t="inlineStr">
        <is>
          <t>Gönül +1</t>
        </is>
      </c>
      <c r="G1266" s="6" t="inlineStr">
        <is>
          <t>Gözün komodindeki fotoğrafa kaydı. Odadakiler kime söylediğini sormadı.</t>
        </is>
      </c>
      <c r="H1266" s="6" t="inlineStr"/>
      <c r="I1266" s="6" t="inlineStr"/>
      <c r="J1266" s="6" t="inlineStr"/>
      <c r="K1266" s="6" t="inlineStr"/>
      <c r="L1266" s="6" t="inlineStr"/>
      <c r="M1266" s="5" t="inlineStr"/>
      <c r="N1266" s="5" t="inlineStr"/>
      <c r="O1266" s="6" t="inlineStr"/>
      <c r="P1266" s="6" t="inlineStr"/>
      <c r="Q1266" s="5" t="inlineStr"/>
      <c r="R1266" s="5" t="inlineStr">
        <is>
          <t>dul</t>
        </is>
      </c>
      <c r="S1266" s="5" t="inlineStr"/>
      <c r="T1266" s="5" t="inlineStr"/>
      <c r="U1266" s="5" t="inlineStr"/>
      <c r="V1266" s="5" t="inlineStr"/>
      <c r="W1266" s="5" t="inlineStr"/>
      <c r="X1266" s="5" t="inlineStr"/>
      <c r="Y1266" s="5" t="n">
        <v>100</v>
      </c>
      <c r="Z1266" s="6" t="inlineStr">
        <is>
          <t>Son sözü 'Geliyorum' oldu. Kime söylediğini kimse sormadı.</t>
        </is>
      </c>
      <c r="AA1266" s="5" t="inlineStr"/>
      <c r="AB1266" s="5" t="inlineStr"/>
      <c r="AC1266" s="5" t="inlineStr"/>
      <c r="AD1266" s="5" t="inlineStr"/>
      <c r="AE1266" s="5" t="inlineStr"/>
      <c r="AF1266" s="5" t="inlineStr"/>
      <c r="AG1266" s="5" t="inlineStr"/>
      <c r="AH1266" s="5" t="inlineStr"/>
      <c r="AI1266" s="5" t="inlineStr"/>
    </row>
    <row r="1267">
      <c r="A1267" s="5" t="inlineStr">
        <is>
          <t>son-soz</t>
        </is>
      </c>
      <c r="B1267" s="5" t="n">
        <v>24</v>
      </c>
      <c r="C1267" s="6" t="inlineStr">
        <is>
          <t>'Kardeşler küsmesin.'</t>
        </is>
      </c>
      <c r="D1267" s="5" t="inlineStr"/>
      <c r="E1267" s="5" t="inlineStr"/>
      <c r="F1267" s="5" t="inlineStr">
        <is>
          <t>Gönül +1</t>
        </is>
      </c>
      <c r="G1267" s="6" t="inlineStr">
        <is>
          <t>Çocukların aynı anda birbirine baktı. Mirasın paylaşımı iki yıl sürdü, ama bayramda hepsi geldi.</t>
        </is>
      </c>
      <c r="H1267" s="6" t="inlineStr"/>
      <c r="I1267" s="6" t="inlineStr"/>
      <c r="J1267" s="6" t="inlineStr"/>
      <c r="K1267" s="6" t="inlineStr"/>
      <c r="L1267" s="6" t="inlineStr"/>
      <c r="M1267" s="5" t="inlineStr"/>
      <c r="N1267" s="5" t="inlineStr"/>
      <c r="O1267" s="6" t="inlineStr"/>
      <c r="P1267" s="6" t="inlineStr"/>
      <c r="Q1267" s="5" t="inlineStr"/>
      <c r="R1267" s="5" t="inlineStr">
        <is>
          <t>cocuklu</t>
        </is>
      </c>
      <c r="S1267" s="5" t="inlineStr"/>
      <c r="T1267" s="5" t="inlineStr"/>
      <c r="U1267" s="5" t="inlineStr"/>
      <c r="V1267" s="5" t="inlineStr"/>
      <c r="W1267" s="5" t="inlineStr"/>
      <c r="X1267" s="5" t="inlineStr"/>
      <c r="Y1267" s="5" t="n">
        <v>100</v>
      </c>
      <c r="Z1267" s="6" t="inlineStr">
        <is>
          <t>Son sözü 'Kardeşler küsmesin' oldu. Bayramda hepsi geldi.</t>
        </is>
      </c>
      <c r="AA1267" s="5" t="inlineStr"/>
      <c r="AB1267" s="5" t="inlineStr"/>
      <c r="AC1267" s="5" t="inlineStr"/>
      <c r="AD1267" s="5" t="inlineStr"/>
      <c r="AE1267" s="5" t="inlineStr"/>
      <c r="AF1267" s="5" t="inlineStr"/>
      <c r="AG1267" s="5" t="inlineStr"/>
      <c r="AH1267" s="5" t="inlineStr"/>
      <c r="AI1267" s="5" t="inlineStr"/>
    </row>
    <row r="1268">
      <c r="A1268" s="5" t="inlineStr">
        <is>
          <t>sokak-mi-ekran-mi</t>
        </is>
      </c>
      <c r="B1268" s="5" t="n">
        <v>1</v>
      </c>
      <c r="C1268" s="6" t="inlineStr">
        <is>
          <t>Sokağa koş</t>
        </is>
      </c>
      <c r="D1268" s="5" t="inlineStr">
        <is>
          <t>Cesaret</t>
        </is>
      </c>
      <c r="E1268" s="5" t="inlineStr">
        <is>
          <t>Kolay</t>
        </is>
      </c>
      <c r="F1268" s="5" t="inlineStr"/>
      <c r="G1268" s="6" t="inlineStr"/>
      <c r="H1268" s="6" t="inlineStr">
        <is>
          <t>Merdivenleri ikişer ikişer indin. Akşama kadar dizlerin yara bandı, ceplerin çakıl taşı doldu.</t>
        </is>
      </c>
      <c r="I1268" s="6" t="inlineStr">
        <is>
          <t>İlk gün kaleye geçtin, ikinci gün takım kaptanı oldun. Mahalle seni adınla çağırmaya başladı.</t>
        </is>
      </c>
      <c r="J1268" s="6" t="inlineStr">
        <is>
          <t>Aşağı indin ama oyun çoktan kurulmuştu. Kenardan izledin; yine de oradaydın.</t>
        </is>
      </c>
      <c r="K1268" s="6" t="inlineStr">
        <is>
          <t>Koşarken ayakkabının teki merdivende kaldı. Mahalleye tek ayakkabıyla giriş yaptın; lakabın hazır.</t>
        </is>
      </c>
      <c r="L1268" s="6" t="inlineStr"/>
      <c r="M1268" s="5" t="inlineStr"/>
      <c r="N1268" s="5" t="inlineStr"/>
      <c r="O1268" s="6" t="inlineStr"/>
      <c r="P1268" s="6" t="inlineStr"/>
      <c r="Q1268" s="5" t="inlineStr"/>
      <c r="R1268" s="5" t="inlineStr"/>
      <c r="S1268" s="5" t="inlineStr"/>
      <c r="T1268" s="5" t="inlineStr"/>
      <c r="U1268" s="5" t="inlineStr">
        <is>
          <t>mahalle-cocugu</t>
        </is>
      </c>
      <c r="V1268" s="5" t="inlineStr"/>
      <c r="W1268" s="5" t="inlineStr"/>
      <c r="X1268" s="5" t="inlineStr"/>
      <c r="Y1268" s="5" t="inlineStr"/>
      <c r="Z1268" s="6" t="inlineStr"/>
      <c r="AA1268" s="5" t="inlineStr"/>
      <c r="AB1268" s="5" t="inlineStr"/>
      <c r="AC1268" s="5" t="inlineStr"/>
      <c r="AD1268" s="5" t="inlineStr"/>
      <c r="AE1268" s="5" t="inlineStr"/>
      <c r="AF1268" s="5" t="inlineStr"/>
      <c r="AG1268" s="5" t="inlineStr"/>
      <c r="AH1268" s="5" t="inlineStr"/>
      <c r="AI1268" s="5" t="inlineStr">
        <is>
          <t>Tek Ayakkabı</t>
        </is>
      </c>
    </row>
    <row r="1269">
      <c r="A1269" s="5" t="inlineStr">
        <is>
          <t>sokak-mi-ekran-mi</t>
        </is>
      </c>
      <c r="B1269" s="5" t="n">
        <v>2</v>
      </c>
      <c r="C1269" s="6" t="inlineStr">
        <is>
          <t>Tableti al</t>
        </is>
      </c>
      <c r="D1269" s="5" t="inlineStr">
        <is>
          <t>Kurnazlık</t>
        </is>
      </c>
      <c r="E1269" s="5" t="inlineStr">
        <is>
          <t>Kolay</t>
        </is>
      </c>
      <c r="F1269" s="5" t="inlineStr"/>
      <c r="G1269" s="6" t="inlineStr"/>
      <c r="H1269" s="6" t="inlineStr">
        <is>
          <t>Şifreyi annenden önce öğrendin. Akşam yemeğine kadar üç oyun bitirdin, birini baştan.</t>
        </is>
      </c>
      <c r="I1269" s="6" t="inlineStr">
        <is>
          <t>Ebeveyn ayarını kimse fark etmeden değiştirdin. Ekran süresini artık sen belirliyorsun.</t>
        </is>
      </c>
      <c r="J1269" s="6" t="inlineStr">
        <is>
          <t>Tablet açıldı ama şarj seni yarı yolda bıraktı. Kabloyu bulana kadar akşam oldu.</t>
        </is>
      </c>
      <c r="K1269" s="6" t="inlineStr">
        <is>
          <t>Tableti kanepeden düşürdün. Ekranın köşesinde artık bir örümcek ağı var; her açışında hatırlıyorsun.</t>
        </is>
      </c>
      <c r="L1269" s="6" t="inlineStr"/>
      <c r="M1269" s="5" t="inlineStr"/>
      <c r="N1269" s="5" t="inlineStr"/>
      <c r="O1269" s="6" t="inlineStr"/>
      <c r="P1269" s="6" t="inlineStr"/>
      <c r="Q1269" s="5" t="inlineStr"/>
      <c r="R1269" s="5" t="inlineStr"/>
      <c r="S1269" s="5" t="inlineStr"/>
      <c r="T1269" s="5" t="inlineStr"/>
      <c r="U1269" s="5" t="inlineStr">
        <is>
          <t>ekran-cocugu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row>
    <row r="1270">
      <c r="A1270" s="5" t="inlineStr">
        <is>
          <t>sokak-mi-ekran-mi</t>
        </is>
      </c>
      <c r="B1270" s="5" t="n">
        <v>3</v>
      </c>
      <c r="C1270" s="6" t="inlineStr">
        <is>
          <t>Tableti sokağa indir</t>
        </is>
      </c>
      <c r="D1270" s="5" t="inlineStr">
        <is>
          <t>Pişkinlik</t>
        </is>
      </c>
      <c r="E1270" s="5" t="inlineStr">
        <is>
          <t>Zor</t>
        </is>
      </c>
      <c r="F1270" s="5" t="inlineStr"/>
      <c r="G1270" s="6" t="inlineStr"/>
      <c r="H1270" s="6" t="inlineStr">
        <is>
          <t>Tableti aşağı indirdin; mahalle bir anda seyirciye dönüştü. Hem sokağın hem ekranın çocuğusun.</t>
        </is>
      </c>
      <c r="I1270" s="6" t="inlineStr">
        <is>
          <t>Tabletle mahallede oyun turnuvası kurdun. Giriş ücreti bir bisküvi, sıra hep sende.</t>
        </is>
      </c>
      <c r="J1270" s="6" t="inlineStr">
        <is>
          <t>Tableti indirdin ama güneş ekranı okunmaz yaptı. Herkes topa döndü, sen de.</t>
        </is>
      </c>
      <c r="K1270" s="6" t="inlineStr">
        <is>
          <t>Tablet top gibi elden ele dolaştı. Sonunda bir kedinin altında bulundu; kedi memnundu.</t>
        </is>
      </c>
      <c r="L1270" s="6" t="inlineStr"/>
      <c r="M1270" s="5" t="inlineStr"/>
      <c r="N1270" s="5" t="inlineStr"/>
      <c r="O1270" s="6" t="inlineStr"/>
      <c r="P1270" s="6" t="inlineStr"/>
      <c r="Q1270" s="5" t="inlineStr"/>
      <c r="R1270" s="5" t="inlineStr"/>
      <c r="S1270" s="5" t="inlineStr"/>
      <c r="T1270" s="5" t="inlineStr"/>
      <c r="U1270" s="5" t="inlineStr">
        <is>
          <t>mahalle-cocugu</t>
        </is>
      </c>
      <c r="V1270" s="5" t="inlineStr">
        <is>
          <t>ekran-cocugu</t>
        </is>
      </c>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row>
    <row r="1271">
      <c r="A1271" s="5" t="inlineStr">
        <is>
          <t>sokak-mi-ekran-mi</t>
        </is>
      </c>
      <c r="B1271" s="5" t="n">
        <v>4</v>
      </c>
      <c r="C1271" s="6" t="inlineStr">
        <is>
          <t>Pencereden ikisini de izle</t>
        </is>
      </c>
      <c r="D1271" s="5" t="inlineStr"/>
      <c r="E1271" s="5" t="inlineStr"/>
      <c r="F1271" s="5" t="inlineStr">
        <is>
          <t>Sosyal Radar +1</t>
        </is>
      </c>
      <c r="G1271" s="6" t="inlineStr">
        <is>
          <t>Pencerede durup hem sokağı hem ekranı izledin. İkisine de katılmadın ama ikisini de anlatabilirsin.</t>
        </is>
      </c>
      <c r="H1271" s="6" t="inlineStr"/>
      <c r="I1271" s="6" t="inlineStr"/>
      <c r="J1271" s="6" t="inlineStr"/>
      <c r="K1271" s="6" t="inlineStr"/>
      <c r="L1271" s="6" t="inlineStr"/>
      <c r="M1271" s="5" t="inlineStr"/>
      <c r="N1271" s="5" t="inlineStr"/>
      <c r="O1271" s="6" t="inlineStr"/>
      <c r="P1271" s="6" t="inlineStr"/>
      <c r="Q1271" s="5" t="inlineStr"/>
      <c r="R1271" s="5" t="inlineStr"/>
      <c r="S1271" s="5" t="inlineStr"/>
      <c r="T1271" s="5" t="inlineStr"/>
      <c r="U1271" s="5" t="inlineStr"/>
      <c r="V1271" s="5" t="inlineStr"/>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row>
    <row r="1272">
      <c r="A1272" s="5" t="inlineStr">
        <is>
          <t>b5-sehir-secimi</t>
        </is>
      </c>
      <c r="B1272" s="5" t="n">
        <v>1</v>
      </c>
      <c r="C1272" s="6" t="inlineStr">
        <is>
          <t>Başka şehri yaz</t>
        </is>
      </c>
      <c r="D1272" s="5" t="inlineStr"/>
      <c r="E1272" s="5" t="inlineStr"/>
      <c r="F1272" s="5" t="inlineStr">
        <is>
          <t>Cesaret +1, Dayanıklılık +1</t>
        </is>
      </c>
      <c r="G1272" s="6" t="inlineStr">
        <is>
          <t>Başka şehri yazdın. Annen valize üç kavanoz reçel ve bir yorgan sıkıştırdı. Yorgan valize sığdı; sen yurda sığacak mısın, bakacağız.</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is>
          <t>baska-sehir</t>
        </is>
      </c>
      <c r="V1272" s="5" t="inlineStr"/>
      <c r="W1272" s="5" t="inlineStr"/>
      <c r="X1272" s="5" t="inlineStr"/>
      <c r="Y1272" s="5" t="inlineStr"/>
      <c r="Z1272" s="6" t="inlineStr"/>
      <c r="AA1272" s="5" t="inlineStr">
        <is>
          <t>Keskin -1, Yalçın -1, Şen -1, Tan +1, Erdem +1</t>
        </is>
      </c>
      <c r="AB1272" s="5" t="inlineStr"/>
      <c r="AC1272" s="5" t="inlineStr"/>
      <c r="AD1272" s="5" t="inlineStr"/>
      <c r="AE1272" s="5" t="inlineStr"/>
      <c r="AF1272" s="5" t="inlineStr"/>
      <c r="AG1272" s="5" t="inlineStr"/>
      <c r="AH1272" s="5" t="inlineStr"/>
      <c r="AI1272" s="5" t="inlineStr"/>
    </row>
    <row r="1273">
      <c r="A1273" s="5" t="inlineStr">
        <is>
          <t>b5-sehir-secimi</t>
        </is>
      </c>
      <c r="B1273" s="5" t="n">
        <v>2</v>
      </c>
      <c r="C1273" s="6" t="inlineStr">
        <is>
          <t>Evden gidebileceğin okulu yaz</t>
        </is>
      </c>
      <c r="D1273" s="5" t="inlineStr"/>
      <c r="E1273" s="5" t="inlineStr"/>
      <c r="F1273" s="5" t="inlineStr">
        <is>
          <t>İtibar +1, Kurnazlık +1</t>
        </is>
      </c>
      <c r="G1273" s="6" t="inlineStr">
        <is>
          <t>Aynı şehri yazdın. Üniversitelisin ama sokağa çıkma saatin hâlâ 22:00. Buzdolabı en büyük bursun.</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ayni-sehir</t>
        </is>
      </c>
      <c r="V1273" s="5" t="inlineStr"/>
      <c r="W1273" s="5" t="inlineStr"/>
      <c r="X1273" s="5" t="inlineStr"/>
      <c r="Y1273" s="5" t="inlineStr"/>
      <c r="Z1273" s="6" t="inlineStr"/>
      <c r="AA1273" s="5" t="inlineStr">
        <is>
          <t>Şen +1, Yalçın +1</t>
        </is>
      </c>
      <c r="AB1273" s="5" t="inlineStr"/>
      <c r="AC1273" s="5" t="inlineStr"/>
      <c r="AD1273" s="5" t="inlineStr"/>
      <c r="AE1273" s="5" t="inlineStr"/>
      <c r="AF1273" s="5" t="inlineStr"/>
      <c r="AG1273" s="5" t="inlineStr"/>
      <c r="AH1273" s="5" t="inlineStr"/>
      <c r="AI1273" s="5" t="inlineStr"/>
    </row>
    <row r="1274">
      <c r="A1274" s="5" t="inlineStr">
        <is>
          <t>b5-sehir-secimi</t>
        </is>
      </c>
      <c r="B1274" s="5" t="n">
        <v>3</v>
      </c>
      <c r="C1274" s="6" t="inlineStr">
        <is>
          <t>Kura çek</t>
        </is>
      </c>
      <c r="D1274" s="5" t="inlineStr">
        <is>
          <t>Pişkinlik</t>
        </is>
      </c>
      <c r="E1274" s="5" t="inlineStr">
        <is>
          <t>Orta</t>
        </is>
      </c>
      <c r="F1274" s="5" t="inlineStr"/>
      <c r="G1274" s="6" t="inlineStr"/>
      <c r="H1274" s="6" t="inlineStr">
        <is>
          <t>Kura başka şehri gösterdi. Annen kâğıdı üç kez okudu, “Kader” dedi ve reçel kavanozlarını saymaya başladı.</t>
        </is>
      </c>
      <c r="I1274" s="6" t="inlineStr">
        <is>
          <t>Kura başka şehri gösterdi; ailen buna “kader” dedi ve yurt masrafını dayına kitledi.</t>
        </is>
      </c>
      <c r="J1274" s="6" t="inlineStr">
        <is>
          <t>Kura evi gösterdi. Kaderle tartışmadın; kader zaten annenin tarafındaydı.</t>
        </is>
      </c>
      <c r="K1274" s="6" t="inlineStr">
        <is>
          <t>Kurayı çekerken fark ettin: kâğıtları annen hazırlamıştı. İkisinde de aynı şehir yazıyordu.</t>
        </is>
      </c>
      <c r="L1274" s="6" t="inlineStr"/>
      <c r="M1274" s="5" t="inlineStr"/>
      <c r="N1274" s="5" t="inlineStr"/>
      <c r="O1274" s="6" t="inlineStr"/>
      <c r="P1274" s="6" t="inlineStr"/>
      <c r="Q1274" s="5" t="inlineStr"/>
      <c r="R1274" s="5" t="inlineStr"/>
      <c r="S1274" s="5" t="inlineStr"/>
      <c r="T1274" s="5" t="inlineStr"/>
      <c r="U1274" s="5" t="inlineStr"/>
      <c r="V1274" s="5" t="inlineStr">
        <is>
          <t>baska-sehir</t>
        </is>
      </c>
      <c r="W1274" s="5" t="inlineStr"/>
      <c r="X1274" s="5" t="inlineStr"/>
      <c r="Y1274" s="5" t="inlineStr"/>
      <c r="Z1274" s="6" t="inlineStr"/>
      <c r="AA1274" s="5" t="inlineStr"/>
      <c r="AB1274" s="5" t="inlineStr">
        <is>
          <t>ayni-sehir</t>
        </is>
      </c>
      <c r="AC1274" s="5" t="inlineStr"/>
      <c r="AD1274" s="5" t="inlineStr"/>
      <c r="AE1274" s="5" t="inlineStr"/>
      <c r="AF1274" s="5" t="inlineStr"/>
      <c r="AG1274" s="5" t="inlineStr"/>
      <c r="AH1274" s="5" t="inlineStr"/>
      <c r="AI1274" s="5" t="inlineStr"/>
    </row>
    <row r="1275">
      <c r="A1275" s="5" t="inlineStr">
        <is>
          <t>b5-kazanamayinca</t>
        </is>
      </c>
      <c r="B1275" s="5" t="n">
        <v>1</v>
      </c>
      <c r="C1275" s="6" t="inlineStr">
        <is>
          <t>Mezuna kal, bir yıl daha</t>
        </is>
      </c>
      <c r="D1275" s="5" t="inlineStr"/>
      <c r="E1275" s="5" t="inlineStr"/>
      <c r="F1275" s="5" t="inlineStr">
        <is>
          <t>Dayanıklılık +1, Akıl +1</t>
        </is>
      </c>
      <c r="G1275" s="6" t="inlineStr">
        <is>
          <t>Bir yıl daha dershaneye yazıldın. Resmî unvanın artık “mezun”; kimliğinde yazmıyor ama herkes biliyor.</t>
        </is>
      </c>
      <c r="H1275" s="6" t="inlineStr"/>
      <c r="I1275" s="6" t="inlineStr"/>
      <c r="J1275" s="6" t="inlineStr"/>
      <c r="K1275" s="6" t="inlineStr"/>
      <c r="L1275" s="6" t="inlineStr"/>
      <c r="M1275" s="5" t="inlineStr"/>
      <c r="N1275" s="5" t="inlineStr"/>
      <c r="O1275" s="6" t="inlineStr"/>
      <c r="P1275" s="6" t="inlineStr"/>
      <c r="Q1275" s="5" t="inlineStr"/>
      <c r="R1275" s="5" t="inlineStr"/>
      <c r="S1275" s="5" t="inlineStr"/>
      <c r="T1275" s="5" t="inlineStr"/>
      <c r="U1275" s="5" t="inlineStr">
        <is>
          <t>mezuna-kaldi</t>
        </is>
      </c>
      <c r="V1275" s="5" t="inlineStr"/>
      <c r="W1275" s="5" t="inlineStr"/>
      <c r="X1275" s="5" t="inlineStr"/>
      <c r="Y1275" s="5" t="inlineStr"/>
      <c r="Z1275" s="6" t="inlineStr"/>
      <c r="AA1275" s="5" t="inlineStr">
        <is>
          <t>Erdem +1, Tan +1</t>
        </is>
      </c>
      <c r="AB1275" s="5" t="inlineStr"/>
      <c r="AC1275" s="5" t="inlineStr"/>
      <c r="AD1275" s="5" t="inlineStr"/>
      <c r="AE1275" s="5" t="inlineStr"/>
      <c r="AF1275" s="5" t="inlineStr"/>
      <c r="AG1275" s="5" t="inlineStr"/>
      <c r="AH1275" s="5" t="inlineStr"/>
      <c r="AI1275" s="5" t="inlineStr"/>
    </row>
    <row r="1276">
      <c r="A1276" s="5" t="inlineStr">
        <is>
          <t>b5-kazanamayinca</t>
        </is>
      </c>
      <c r="B1276" s="5" t="n">
        <v>2</v>
      </c>
      <c r="C1276" s="6" t="inlineStr">
        <is>
          <t>Kuzeninin dükkânında tezgâha geç</t>
        </is>
      </c>
      <c r="D1276" s="5" t="inlineStr"/>
      <c r="E1276" s="5" t="inlineStr"/>
      <c r="F1276" s="5" t="inlineStr">
        <is>
          <t>Kurnazlık +1, Çene +1</t>
        </is>
      </c>
      <c r="G1276" s="6" t="inlineStr">
        <is>
          <t>Kuzeninin dükkânında tezgâha geçtin. İlk pazarlıkta ikinci oldun; birinci müşteriydi.</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tezgah</t>
        </is>
      </c>
      <c r="V1276" s="5" t="inlineStr"/>
      <c r="W1276" s="5" t="inlineStr"/>
      <c r="X1276" s="5" t="inlineStr"/>
      <c r="Y1276" s="5" t="inlineStr"/>
      <c r="Z1276" s="6" t="inlineStr"/>
      <c r="AA1276" s="5" t="inlineStr">
        <is>
          <t>Keskin +1, Tan -1, Erdem -1</t>
        </is>
      </c>
      <c r="AB1276" s="5" t="inlineStr"/>
      <c r="AC1276" s="5" t="inlineStr"/>
      <c r="AD1276" s="5" t="inlineStr"/>
      <c r="AE1276" s="5" t="inlineStr"/>
      <c r="AF1276" s="5" t="inlineStr"/>
      <c r="AG1276" s="5" t="inlineStr"/>
      <c r="AH1276" s="5" t="inlineStr"/>
      <c r="AI1276" s="5" t="inlineStr"/>
    </row>
    <row r="1277">
      <c r="A1277" s="5" t="inlineStr">
        <is>
          <t>b5-kazanamayinca</t>
        </is>
      </c>
      <c r="B1277" s="5" t="n">
        <v>3</v>
      </c>
      <c r="C1277" s="6" t="inlineStr">
        <is>
          <t>Erken askere git</t>
        </is>
      </c>
      <c r="D1277" s="5" t="inlineStr"/>
      <c r="E1277" s="5" t="inlineStr"/>
      <c r="F1277" s="5" t="inlineStr">
        <is>
          <t>Cesaret +1, Dayanıklılık +1</t>
        </is>
      </c>
      <c r="G1277" s="6" t="inlineStr">
        <is>
          <t>Kararsızlığı en Makaryalı yoldan çözdün: askerlik şubesine gittin. Görevli kimliğine baktı: “On sekizini doldur, öyle gel.” Doldurduğun hafta mahalle seni davulla, omuzlarda uğurladı.</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erken-askerlik</t>
        </is>
      </c>
      <c r="V1277" s="5" t="inlineStr"/>
      <c r="W1277" s="5" t="inlineStr"/>
      <c r="X1277" s="5" t="inlineStr"/>
      <c r="Y1277" s="5" t="inlineStr"/>
      <c r="Z1277" s="6" t="inlineStr"/>
      <c r="AA1277" s="5" t="inlineStr"/>
      <c r="AB1277" s="5" t="inlineStr"/>
      <c r="AC1277" s="5" t="inlineStr"/>
      <c r="AD1277" s="5" t="inlineStr"/>
      <c r="AE1277" s="5" t="inlineStr"/>
      <c r="AF1277" s="5" t="inlineStr"/>
      <c r="AG1277" s="5" t="inlineStr"/>
      <c r="AH1277" s="5" t="inlineStr"/>
      <c r="AI1277" s="5" t="inlineStr"/>
    </row>
    <row r="1278">
      <c r="A1278" s="5" t="inlineStr">
        <is>
          <t>b5-kazanamayinca</t>
        </is>
      </c>
      <c r="B1278" s="5" t="n">
        <v>4</v>
      </c>
      <c r="C1278" s="6" t="inlineStr">
        <is>
          <t>Abinin yanında işe başla</t>
        </is>
      </c>
      <c r="D1278" s="5" t="inlineStr"/>
      <c r="E1278" s="5" t="inlineStr"/>
      <c r="F1278" s="5" t="inlineStr">
        <is>
          <t>Pişkinlik +1</t>
        </is>
      </c>
      <c r="G1278" s="6" t="inlineStr">
        <is>
          <t>Abi “Sende iş var” dedi. İlk görevin çay taşımaktı; bardaklar sayılıyordu.</t>
        </is>
      </c>
      <c r="H1278" s="6" t="inlineStr"/>
      <c r="I1278" s="6" t="inlineStr"/>
      <c r="J1278" s="6" t="inlineStr"/>
      <c r="K1278" s="6" t="inlineStr"/>
      <c r="L1278" s="6" t="inlineStr"/>
      <c r="M1278" s="5" t="inlineStr"/>
      <c r="N1278" s="5" t="inlineStr"/>
      <c r="O1278" s="6" t="inlineStr"/>
      <c r="P1278" s="6" t="inlineStr"/>
      <c r="Q1278" s="5" t="inlineStr"/>
      <c r="R1278" s="5" t="inlineStr">
        <is>
          <t>mahalle-abileri</t>
        </is>
      </c>
      <c r="S1278" s="5" t="inlineStr"/>
      <c r="T1278" s="5" t="inlineStr"/>
      <c r="U1278" s="5" t="inlineStr">
        <is>
          <t>abinin-adami</t>
        </is>
      </c>
      <c r="V1278" s="5" t="inlineStr"/>
      <c r="W1278" s="5" t="inlineStr"/>
      <c r="X1278" s="5" t="inlineStr"/>
      <c r="Y1278" s="5" t="inlineStr"/>
      <c r="Z1278" s="6" t="inlineStr"/>
      <c r="AA1278" s="5" t="inlineStr">
        <is>
          <t>hepsi -1</t>
        </is>
      </c>
      <c r="AB1278" s="5" t="inlineStr"/>
      <c r="AC1278" s="5" t="inlineStr"/>
      <c r="AD1278" s="5" t="inlineStr"/>
      <c r="AE1278" s="5" t="inlineStr"/>
      <c r="AF1278" s="5" t="inlineStr"/>
      <c r="AG1278" s="5" t="inlineStr"/>
      <c r="AH1278" s="5" t="inlineStr"/>
      <c r="AI1278" s="5" t="inlineStr"/>
    </row>
    <row r="1279">
      <c r="A1279" s="5" t="inlineStr">
        <is>
          <t>b5-havalimani</t>
        </is>
      </c>
      <c r="B1279" s="5" t="n">
        <v>1</v>
      </c>
      <c r="C1279" s="6" t="inlineStr">
        <is>
          <t>Herkesle tek tek vedalaş</t>
        </is>
      </c>
      <c r="D1279" s="5" t="inlineStr"/>
      <c r="E1279" s="5" t="inlineStr"/>
      <c r="F1279" s="5" t="inlineStr">
        <is>
          <t>Sosyal Radar +1, Gönül +1</t>
        </is>
      </c>
      <c r="G1279" s="6" t="inlineStr">
        <is>
          <t>On iki akrabayla tek tek vedalaştın. Kapı kapanmak üzereyken on üçüncüsü geldi. Kim olduğunu hâlâ bilmiyorsun.</t>
        </is>
      </c>
      <c r="H1279" s="6" t="inlineStr"/>
      <c r="I1279" s="6" t="inlineStr"/>
      <c r="J1279" s="6" t="inlineStr"/>
      <c r="K1279" s="6" t="inlineStr"/>
      <c r="L1279" s="6" t="inlineStr"/>
      <c r="M1279" s="5" t="inlineStr"/>
      <c r="N1279" s="5" t="inlineStr"/>
      <c r="O1279" s="6" t="inlineStr"/>
      <c r="P1279" s="6" t="inlineStr"/>
      <c r="Q1279" s="5" t="inlineStr"/>
      <c r="R1279" s="5" t="inlineStr"/>
      <c r="S1279" s="5" t="inlineStr"/>
      <c r="T1279" s="5" t="inlineStr"/>
      <c r="U1279" s="5" t="inlineStr"/>
      <c r="V1279" s="5" t="inlineStr"/>
      <c r="W1279" s="5" t="inlineStr"/>
      <c r="X1279" s="5" t="inlineStr"/>
      <c r="Y1279" s="5" t="inlineStr"/>
      <c r="Z1279" s="6" t="inlineStr"/>
      <c r="AA1279" s="5" t="inlineStr"/>
      <c r="AB1279" s="5" t="inlineStr"/>
      <c r="AC1279" s="5" t="inlineStr"/>
      <c r="AD1279" s="5" t="inlineStr"/>
      <c r="AE1279" s="5" t="inlineStr"/>
      <c r="AF1279" s="5" t="inlineStr"/>
      <c r="AG1279" s="5" t="inlineStr"/>
      <c r="AH1279" s="5" t="inlineStr"/>
      <c r="AI1279" s="5" t="inlineStr"/>
    </row>
    <row r="1280">
      <c r="A1280" s="5" t="inlineStr">
        <is>
          <t>b5-havalimani</t>
        </is>
      </c>
      <c r="B1280" s="5" t="n">
        <v>2</v>
      </c>
      <c r="C1280" s="6" t="inlineStr">
        <is>
          <t>Ağlamamaya çalış</t>
        </is>
      </c>
      <c r="D1280" s="5" t="inlineStr">
        <is>
          <t>Dayanıklılık</t>
        </is>
      </c>
      <c r="E1280" s="5" t="inlineStr">
        <is>
          <t>Orta</t>
        </is>
      </c>
      <c r="F1280" s="5" t="inlineStr"/>
      <c r="G1280" s="6" t="inlineStr"/>
      <c r="H1280" s="6" t="inlineStr">
        <is>
          <t>Ağlamadın. Pasaport kontrolünden sonra ağladın; orada seni kimse tanımıyordu.</t>
        </is>
      </c>
      <c r="I1280" s="6" t="inlineStr">
        <is>
          <t>Ağlamadın; annenin gözyaşını da sen sildin. Babaannen “Büyümüş” dedi ve bu kez o ağladı.</t>
        </is>
      </c>
      <c r="J1280" s="6" t="inlineStr">
        <is>
          <t>Güvenlik kontrolünde ağladın. Görevli sana mendil verdi ve çantanı yine de açtı.</t>
        </is>
      </c>
      <c r="K1280" s="6" t="inlineStr">
        <is>
          <t>Herkesten önce sen ağladın. Babaannen seni teselli etmek için uçağa binmeye kalktı.</t>
        </is>
      </c>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row>
    <row r="1281">
      <c r="A1281" s="5" t="inlineStr">
        <is>
          <t>b5-havalimani</t>
        </is>
      </c>
      <c r="B1281" s="5" t="n">
        <v>3</v>
      </c>
      <c r="C1281" s="6" t="inlineStr">
        <is>
          <t>Reçelleri kabine sığdır</t>
        </is>
      </c>
      <c r="D1281" s="5" t="inlineStr">
        <is>
          <t>Kurnazlık</t>
        </is>
      </c>
      <c r="E1281" s="5" t="inlineStr">
        <is>
          <t>Orta</t>
        </is>
      </c>
      <c r="F1281" s="5" t="inlineStr"/>
      <c r="G1281" s="6" t="inlineStr"/>
      <c r="H1281" s="6" t="inlineStr">
        <is>
          <t>Üç kavanozu kabin sınırının altında paketledin. Öte Diyar'a Makarya'nın en tatlı kaçakçılığı yapıldı.</t>
        </is>
      </c>
      <c r="I1281" s="6" t="inlineStr">
        <is>
          <t>Reçeller sınıra tam sığdı; fazlalığı uçuş görevlisine hediye ettin. Koltuğun bir sınıf yükseldi.</t>
        </is>
      </c>
      <c r="J1281" s="6" t="inlineStr">
        <is>
          <t>Kavanozlardan biri güvenlikte kaldı. Görevli onu kendi masasına koydu.</t>
        </is>
      </c>
      <c r="K1281" s="6" t="inlineStr">
        <is>
          <t>Kavanoz valizde patladı. Öte Diyar'a vişne kokulu bir öğrenci indi.</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row>
    <row r="1282">
      <c r="A1282" s="5" t="inlineStr">
        <is>
          <t>b5-atolye-staji</t>
        </is>
      </c>
      <c r="B1282" s="5" t="n">
        <v>1</v>
      </c>
      <c r="C1282" s="6" t="inlineStr">
        <is>
          <t>Şefi izle</t>
        </is>
      </c>
      <c r="D1282" s="5" t="inlineStr"/>
      <c r="E1282" s="5" t="inlineStr"/>
      <c r="F1282" s="5" t="inlineStr">
        <is>
          <t>Dayanıklılık +1, Sosyal Radar +1</t>
        </is>
      </c>
      <c r="G1282" s="6" t="inlineStr">
        <is>
          <t>Bir ay izledin. Şef “Gözün alışmış” dedi; atölyede bu bir ödül.</t>
        </is>
      </c>
      <c r="H1282" s="6" t="inlineStr"/>
      <c r="I1282" s="6" t="inlineStr"/>
      <c r="J1282" s="6" t="inlineStr"/>
      <c r="K1282" s="6" t="inlineStr"/>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row>
    <row r="1283">
      <c r="A1283" s="5" t="inlineStr">
        <is>
          <t>b5-atolye-staji</t>
        </is>
      </c>
      <c r="B1283" s="5" t="n">
        <v>2</v>
      </c>
      <c r="C1283" s="6" t="inlineStr">
        <is>
          <t>Arızayı sen bul</t>
        </is>
      </c>
      <c r="D1283" s="5" t="inlineStr">
        <is>
          <t>Akıl</t>
        </is>
      </c>
      <c r="E1283" s="5" t="inlineStr">
        <is>
          <t>Orta</t>
        </is>
      </c>
      <c r="F1283" s="5" t="inlineStr"/>
      <c r="G1283" s="6" t="inlineStr"/>
      <c r="H1283" s="6" t="inlineStr">
        <is>
          <t>Şef anlatmadan arızayı buldun. Staj defterine ilk yıldızın düştü.</t>
        </is>
      </c>
      <c r="I1283" s="6" t="inlineStr">
        <is>
          <t>Arızayı buldun, parçayı değiştirdin, faturayı sen kestin. Şef seni mezuniyetten sonra işe çağırdı.</t>
        </is>
      </c>
      <c r="J1283" s="6" t="inlineStr">
        <is>
          <t>Arızayı ararken yanlış kabloyu tuttun. Işıklar bir saniye söndü; şefin sabrı biraz daha kısaldı.</t>
        </is>
      </c>
      <c r="K1283" s="6" t="inlineStr">
        <is>
          <t>Arızayı buldun sandın; aslında şefin çay makinesiydi. Atölye bir hafta çaysız kaldı.</t>
        </is>
      </c>
      <c r="L1283" s="6" t="inlineStr"/>
      <c r="M1283" s="5" t="inlineStr"/>
      <c r="N1283" s="5" t="inlineStr"/>
      <c r="O1283" s="6" t="inlineStr"/>
      <c r="P1283" s="6" t="inlineStr"/>
      <c r="Q1283" s="5" t="inlineStr"/>
      <c r="R1283" s="5" t="inlineStr"/>
      <c r="S1283" s="5" t="inlineStr"/>
      <c r="T1283" s="5" t="inlineStr"/>
      <c r="U1283" s="5" t="inlineStr"/>
      <c r="V1283" s="5" t="inlineStr">
        <is>
          <t>usta-eli</t>
        </is>
      </c>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row>
    <row r="1284">
      <c r="A1284" s="5" t="inlineStr">
        <is>
          <t>b5-atolye-staji</t>
        </is>
      </c>
      <c r="B1284" s="5" t="n">
        <v>3</v>
      </c>
      <c r="C1284" s="6" t="inlineStr">
        <is>
          <t>Artan malzemeyi biriktirip sat</t>
        </is>
      </c>
      <c r="D1284" s="5" t="inlineStr">
        <is>
          <t>Kurnazlık</t>
        </is>
      </c>
      <c r="E1284" s="5" t="inlineStr">
        <is>
          <t>Zor</t>
        </is>
      </c>
      <c r="F1284" s="5" t="inlineStr"/>
      <c r="G1284" s="6" t="inlineStr"/>
      <c r="H1284" s="6" t="inlineStr">
        <is>
          <t>Artan kabloları biriktirip sanayiye sattın. Kâr küçük ama düzenli.</t>
        </is>
      </c>
      <c r="I1284" s="6" t="inlineStr">
        <is>
          <t>Artan malzemeyle küçük bir tamir işi kurdun; mahallenin priz ustası oldun.</t>
        </is>
      </c>
      <c r="J1284" s="6" t="inlineStr">
        <is>
          <t>Malzemeyi sattın; alıcı atölye şefinin kardeşi çıktı.</t>
        </is>
      </c>
      <c r="K1284" s="6" t="inlineStr">
        <is>
          <t>Artırdığın kablolar aslında yarının işiymiş. Sayımda eksik çıktı; şef bütün atölyenin önünde çantanı açtırdı. Kablolar oradaydı, sen kıpkırmızıydın.</t>
        </is>
      </c>
      <c r="L1284" s="6" t="inlineStr"/>
      <c r="M1284" s="5" t="inlineStr"/>
      <c r="N1284" s="5" t="inlineStr"/>
      <c r="O1284" s="6" t="inlineStr"/>
      <c r="P1284" s="6" t="inlineStr"/>
      <c r="Q1284" s="5" t="inlineStr"/>
      <c r="R1284" s="5" t="inlineStr"/>
      <c r="S1284" s="5" t="inlineStr"/>
      <c r="T1284" s="5" t="inlineStr"/>
      <c r="U1284" s="5" t="inlineStr"/>
      <c r="V1284" s="5" t="inlineStr">
        <is>
          <t>teneffus-tuccari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row>
    <row r="1285">
      <c r="A1285" s="5" t="inlineStr">
        <is>
          <t>b5-cay-ocagi</t>
        </is>
      </c>
      <c r="B1285" s="5" t="n">
        <v>1</v>
      </c>
      <c r="C1285" s="6" t="inlineStr">
        <is>
          <t>Tepsiyi taşı, sus</t>
        </is>
      </c>
      <c r="D1285" s="5" t="inlineStr"/>
      <c r="E1285" s="5" t="inlineStr"/>
      <c r="F1285" s="5" t="inlineStr">
        <is>
          <t>Dayanıklılık +1</t>
        </is>
      </c>
      <c r="G1285" s="6" t="inlineStr">
        <is>
          <t>Günde üç yüz çay taşıdın. Kimse adını sormadı ama herkes şekerini nasıl içtiğini söyledi.</t>
        </is>
      </c>
      <c r="H1285" s="6" t="inlineStr"/>
      <c r="I1285" s="6" t="inlineStr"/>
      <c r="J1285" s="6" t="inlineStr"/>
      <c r="K1285" s="6" t="inlineStr"/>
      <c r="L1285" s="6" t="inlineStr"/>
      <c r="M1285" s="5" t="inlineStr"/>
      <c r="N1285" s="5" t="inlineStr"/>
      <c r="O1285" s="6" t="inlineStr"/>
      <c r="P1285" s="6" t="inlineStr"/>
      <c r="Q1285" s="5" t="inlineStr"/>
      <c r="R1285" s="5" t="inlineStr"/>
      <c r="S1285" s="5" t="inlineStr"/>
      <c r="T1285" s="5" t="inlineStr"/>
      <c r="U1285" s="5" t="inlineStr"/>
      <c r="V1285" s="5" t="inlineStr"/>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row>
    <row r="1286">
      <c r="A1286" s="5" t="inlineStr">
        <is>
          <t>b5-cay-ocagi</t>
        </is>
      </c>
      <c r="B1286" s="5" t="n">
        <v>2</v>
      </c>
      <c r="C1286" s="6" t="inlineStr">
        <is>
          <t>Kimin kime borçlu olduğunu not et</t>
        </is>
      </c>
      <c r="D1286" s="5" t="inlineStr">
        <is>
          <t>Sosyal Radar</t>
        </is>
      </c>
      <c r="E1286" s="5" t="inlineStr">
        <is>
          <t>Orta</t>
        </is>
      </c>
      <c r="F1286" s="5" t="inlineStr"/>
      <c r="G1286" s="6" t="inlineStr"/>
      <c r="H1286" s="6" t="inlineStr">
        <is>
          <t>Çay ocağında kimin kime borçlu olduğunu bir deftere yazmaya başladın. Abiler defterini merak etmeye başladı.</t>
        </is>
      </c>
      <c r="I1286" s="6" t="inlineStr">
        <is>
          <t>Defterin çarşının ikinci veresiye defteri oldu. Esnaf alacağını sormaya artık abiye değil sana geliyor; abi bile bir karar vermeden önce “Deftere bak” diyor.</t>
        </is>
      </c>
      <c r="J1286" s="6" t="inlineStr">
        <is>
          <t>Not tuttun ama isimleri karıştırdın. Borçlu biri alacaklı sanıldı; çarşı bir hafta karıştı.</t>
        </is>
      </c>
      <c r="K1286" s="6" t="inlineStr">
        <is>
          <t>Defterini tezgâhta unuttun. Akşama kadar çarşının yarısı okudu; kimin kime borçlu olduğu ortaya döküldü. İki dükkân küstü, abi defteri semaverin ateşine attı.</t>
        </is>
      </c>
      <c r="L1286" s="6" t="inlineStr"/>
      <c r="M1286" s="5" t="inlineStr"/>
      <c r="N1286" s="5" t="inlineStr"/>
      <c r="O1286" s="6" t="inlineStr"/>
      <c r="P1286" s="6" t="inlineStr"/>
      <c r="Q1286" s="5" t="inlineStr"/>
      <c r="R1286" s="5" t="inlineStr"/>
      <c r="S1286" s="5" t="inlineStr"/>
      <c r="T1286" s="5" t="inlineStr"/>
      <c r="U1286" s="5" t="inlineStr"/>
      <c r="V1286" s="5" t="inlineStr">
        <is>
          <t>abinin-adami</t>
        </is>
      </c>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row>
    <row r="1287">
      <c r="A1287" s="5" t="inlineStr">
        <is>
          <t>b5-cay-ocagi</t>
        </is>
      </c>
      <c r="B1287" s="5" t="n">
        <v>3</v>
      </c>
      <c r="C1287" s="6" t="inlineStr">
        <is>
          <t>Bahşişleri kendine sakla</t>
        </is>
      </c>
      <c r="D1287" s="5" t="inlineStr">
        <is>
          <t>Kurnazlık</t>
        </is>
      </c>
      <c r="E1287" s="5" t="inlineStr">
        <is>
          <t>Zor</t>
        </is>
      </c>
      <c r="F1287" s="5" t="inlineStr"/>
      <c r="G1287" s="6" t="inlineStr"/>
      <c r="H1287" s="6" t="inlineStr">
        <is>
          <t>Bahşişin tamamını cebe attın, abilere “Bugün kimse vermedi” dedin. Çarşı o gün cimri ilan edildi.</t>
        </is>
      </c>
      <c r="I1287" s="6" t="inlineStr">
        <is>
          <t>Bahşişleri gizlice biriktirip üç ayda bir bisiklet aldın. Abiler bisikletin nereden geldiğini hâlâ tartışıyor.</t>
        </is>
      </c>
      <c r="J1287" s="6" t="inlineStr">
        <is>
          <t>Bahşişi cebine attın ama yürürken cebin şıngırdadı. Abi tek kelime etmeden elini uzattı; sen de tek kelime etmeden verdin.</t>
        </is>
      </c>
      <c r="K1287" s="6" t="inlineStr">
        <is>
          <t>Bahşişleri tezgâhtaki şeker kavanozunun dibine sakladın. Abi o gün herkesin çayına ikişer şeker attı; bozukluklar bardaklardan çıktı. Bir ay bahşişsiz çalıştın.</t>
        </is>
      </c>
      <c r="L1287" s="6" t="inlineStr"/>
      <c r="M1287" s="5" t="inlineStr"/>
      <c r="N1287" s="5" t="inlineStr"/>
      <c r="O1287" s="6" t="inlineStr"/>
      <c r="P1287" s="6" t="inlineStr"/>
      <c r="Q1287" s="5" t="inlineStr"/>
      <c r="R1287" s="5" t="inlineStr"/>
      <c r="S1287" s="5" t="inlineStr"/>
      <c r="T1287" s="5" t="inlineStr"/>
      <c r="U1287" s="5" t="inlineStr"/>
      <c r="V1287" s="5" t="inlineStr"/>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row>
    <row r="1288">
      <c r="A1288" s="5" t="inlineStr">
        <is>
          <t>b5-sanayi-ciragi</t>
        </is>
      </c>
      <c r="B1288" s="5" t="n">
        <v>1</v>
      </c>
      <c r="C1288" s="6" t="inlineStr">
        <is>
          <t>Çay demle, izle</t>
        </is>
      </c>
      <c r="D1288" s="5" t="inlineStr"/>
      <c r="E1288" s="5" t="inlineStr"/>
      <c r="F1288" s="5" t="inlineStr">
        <is>
          <t>Dayanıklılık +1, Sosyal Radar +1</t>
        </is>
      </c>
      <c r="G1288" s="6" t="inlineStr">
        <is>
          <t>Bir ay çay demledin, bir ay izledin. Üçüncü ay usta sana ilk kez bir anahtar uzattı. Annen o akşam sofraya tatlı koydu.</t>
        </is>
      </c>
      <c r="H1288" s="6" t="inlineStr"/>
      <c r="I1288" s="6" t="inlineStr"/>
      <c r="J1288" s="6" t="inlineStr"/>
      <c r="K1288" s="6" t="inlineStr"/>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is>
          <t>hepsi +1</t>
        </is>
      </c>
      <c r="AB1288" s="5" t="inlineStr"/>
      <c r="AC1288" s="5" t="inlineStr"/>
      <c r="AD1288" s="5" t="inlineStr"/>
      <c r="AE1288" s="5" t="inlineStr"/>
      <c r="AF1288" s="5" t="inlineStr"/>
      <c r="AG1288" s="5" t="inlineStr"/>
      <c r="AH1288" s="5" t="inlineStr"/>
      <c r="AI1288" s="5" t="inlineStr"/>
    </row>
    <row r="1289">
      <c r="A1289" s="5" t="inlineStr">
        <is>
          <t>b5-sanayi-ciragi</t>
        </is>
      </c>
      <c r="B1289" s="5" t="n">
        <v>2</v>
      </c>
      <c r="C1289" s="6" t="inlineStr">
        <is>
          <t>Ustanın elinden anahtarı kap</t>
        </is>
      </c>
      <c r="D1289" s="5" t="inlineStr">
        <is>
          <t>Akıl</t>
        </is>
      </c>
      <c r="E1289" s="5" t="inlineStr">
        <is>
          <t>Orta</t>
        </is>
      </c>
      <c r="F1289" s="5" t="inlineStr"/>
      <c r="G1289" s="6" t="inlineStr"/>
      <c r="H1289" s="6" t="inlineStr">
        <is>
          <t>Usta anlatmadan arızayı sen buldun. “Sen bu işi yaparsın” dedi; sanayide bu madalya demek.</t>
        </is>
      </c>
      <c r="I1289" s="6" t="inlineStr">
        <is>
          <t>Arızayı buldun, parçayı söküp taktın. Usta seni yanına ortak alacağını söyledi; tarih vermedi.</t>
        </is>
      </c>
      <c r="J1289" s="6" t="inlineStr">
        <is>
          <t>Anahtarı kaptın, yanlış cıvatayı söktün. Usta anahtarı elinden geri aldı: “Önce çay.”</t>
        </is>
      </c>
      <c r="K1289" s="6" t="inlineStr">
        <is>
          <t>Anahtarı kaptın ve müşterinin arabasının yan aynasını söktün. Araba yalnızca yağ değişimine gelmişti. Usta aynanın parasını senin bir aylık bahşişinden kesti.</t>
        </is>
      </c>
      <c r="L1289" s="6" t="inlineStr"/>
      <c r="M1289" s="5" t="inlineStr"/>
      <c r="N1289" s="5" t="inlineStr"/>
      <c r="O1289" s="6" t="inlineStr"/>
      <c r="P1289" s="6" t="inlineStr"/>
      <c r="Q1289" s="5" t="inlineStr"/>
      <c r="R1289" s="5" t="inlineStr"/>
      <c r="S1289" s="5" t="inlineStr"/>
      <c r="T1289" s="5" t="inlineStr"/>
      <c r="U1289" s="5" t="inlineStr"/>
      <c r="V1289" s="5" t="inlineStr">
        <is>
          <t>usta-eli</t>
        </is>
      </c>
      <c r="W1289" s="5" t="inlineStr"/>
      <c r="X1289" s="5" t="inlineStr"/>
      <c r="Y1289" s="5" t="inlineStr"/>
      <c r="Z1289" s="6" t="inlineStr"/>
      <c r="AA1289" s="5" t="inlineStr"/>
      <c r="AB1289" s="5" t="inlineStr"/>
      <c r="AC1289" s="5" t="inlineStr"/>
      <c r="AD1289" s="5" t="inlineStr"/>
      <c r="AE1289" s="5" t="inlineStr"/>
      <c r="AF1289" s="5" t="inlineStr"/>
      <c r="AG1289" s="5" t="inlineStr"/>
      <c r="AH1289" s="5" t="inlineStr"/>
      <c r="AI1289" s="5" t="inlineStr"/>
    </row>
    <row r="1290">
      <c r="A1290" s="5" t="inlineStr">
        <is>
          <t>b5-sanayi-ciragi</t>
        </is>
      </c>
      <c r="B1290" s="5" t="n">
        <v>3</v>
      </c>
      <c r="C1290" s="6" t="inlineStr">
        <is>
          <t>Abilere geri dön</t>
        </is>
      </c>
      <c r="D1290" s="5" t="inlineStr"/>
      <c r="E1290" s="5" t="inlineStr"/>
      <c r="F1290" s="5" t="inlineStr">
        <is>
          <t>Pişkinlik +1</t>
        </is>
      </c>
      <c r="G1290" s="6" t="inlineStr">
        <is>
          <t>İkinci gün sanayiden kaçıp çay ocağına döndün. Abiler seni alkışladı. Annen telefonu açmadı.</t>
        </is>
      </c>
      <c r="H1290" s="6" t="inlineStr"/>
      <c r="I1290" s="6" t="inlineStr"/>
      <c r="J1290" s="6" t="inlineStr"/>
      <c r="K1290" s="6" t="inlineStr"/>
      <c r="L1290" s="6" t="inlineStr"/>
      <c r="M1290" s="5" t="inlineStr"/>
      <c r="N1290" s="5" t="inlineStr"/>
      <c r="O1290" s="6" t="inlineStr"/>
      <c r="P1290" s="6" t="inlineStr"/>
      <c r="Q1290" s="5" t="inlineStr"/>
      <c r="R1290" s="5" t="inlineStr"/>
      <c r="S1290" s="5" t="inlineStr"/>
      <c r="T1290" s="5" t="inlineStr"/>
      <c r="U1290" s="5" t="inlineStr"/>
      <c r="V1290" s="5" t="inlineStr"/>
      <c r="W1290" s="5" t="inlineStr"/>
      <c r="X1290" s="5" t="inlineStr"/>
      <c r="Y1290" s="5" t="inlineStr"/>
      <c r="Z1290" s="6" t="inlineStr"/>
      <c r="AA1290" s="5" t="inlineStr">
        <is>
          <t>hepsi -1</t>
        </is>
      </c>
      <c r="AB1290" s="5" t="inlineStr"/>
      <c r="AC1290" s="5" t="inlineStr"/>
      <c r="AD1290" s="5" t="inlineStr"/>
      <c r="AE1290" s="5" t="inlineStr"/>
      <c r="AF1290" s="5" t="inlineStr"/>
      <c r="AG1290" s="5" t="inlineStr"/>
      <c r="AH1290" s="5" t="inlineStr"/>
      <c r="AI1290" s="5" t="inlineStr"/>
    </row>
    <row r="1291">
      <c r="A1291" s="5" t="inlineStr">
        <is>
          <t>b5-bilet-karaborsasi</t>
        </is>
      </c>
      <c r="B1291" s="5" t="n">
        <v>1</v>
      </c>
      <c r="C1291" s="6" t="inlineStr">
        <is>
          <t>Abinin fiyatından sat</t>
        </is>
      </c>
      <c r="D1291" s="5" t="inlineStr">
        <is>
          <t>Çene</t>
        </is>
      </c>
      <c r="E1291" s="5" t="inlineStr">
        <is>
          <t>Orta</t>
        </is>
      </c>
      <c r="F1291" s="5" t="inlineStr"/>
      <c r="G1291" s="6" t="inlineStr"/>
      <c r="H1291" s="6" t="inlineStr">
        <is>
          <t>Yirmi bileti yarım saatte bitirdin. Abi parayı saydı, eksiksiz. Artık sana güveniyor; bu da bir tür borç.</t>
        </is>
      </c>
      <c r="I1291" s="6" t="inlineStr">
        <is>
          <t>Biletleri bitirdin, üstüne kuyrukta bekleyenlere “garantili koltuk” sattın. Koltuk yok ama kuyruk mutlu.</t>
        </is>
      </c>
      <c r="J1291" s="6" t="inlineStr">
        <is>
          <t>Biletlerin yarısını sattın. Maç başladı; kalan on bilet artık sadece hatıra.</t>
        </is>
      </c>
      <c r="K1291" s="6" t="inlineStr">
        <is>
          <t>Sattığın ilk bilet stat görevlisinin oğluna gitti. Biletler toplandı; sen de toplandın.</t>
        </is>
      </c>
      <c r="L1291" s="6" t="inlineStr"/>
      <c r="M1291" s="5" t="inlineStr"/>
      <c r="N1291" s="5" t="inlineStr"/>
      <c r="O1291" s="6" t="inlineStr"/>
      <c r="P1291" s="6" t="inlineStr"/>
      <c r="Q1291" s="5" t="inlineStr"/>
      <c r="R1291" s="5" t="inlineStr"/>
      <c r="S1291" s="5" t="inlineStr"/>
      <c r="T1291" s="5" t="inlineStr"/>
      <c r="U1291" s="5" t="inlineStr"/>
      <c r="V1291" s="5" t="inlineStr">
        <is>
          <t>abinin-adami</t>
        </is>
      </c>
      <c r="W1291" s="5" t="inlineStr"/>
      <c r="X1291" s="5" t="inlineStr"/>
      <c r="Y1291" s="5" t="inlineStr"/>
      <c r="Z1291" s="6" t="inlineStr"/>
      <c r="AA1291" s="5" t="inlineStr"/>
      <c r="AB1291" s="5" t="inlineStr"/>
      <c r="AC1291" s="5" t="inlineStr"/>
      <c r="AD1291" s="5" t="inlineStr"/>
      <c r="AE1291" s="5" t="inlineStr"/>
      <c r="AF1291" s="5" t="inlineStr"/>
      <c r="AG1291" s="5" t="inlineStr"/>
      <c r="AH1291" s="5" t="inlineStr"/>
      <c r="AI1291" s="5" t="inlineStr"/>
    </row>
    <row r="1292">
      <c r="A1292" s="5" t="inlineStr">
        <is>
          <t>b5-bilet-karaborsasi</t>
        </is>
      </c>
      <c r="B1292" s="5" t="n">
        <v>2</v>
      </c>
      <c r="C1292" s="6" t="inlineStr">
        <is>
          <t>Kendi fiyatını koy</t>
        </is>
      </c>
      <c r="D1292" s="5" t="inlineStr">
        <is>
          <t>Kurnazlık</t>
        </is>
      </c>
      <c r="E1292" s="5" t="inlineStr">
        <is>
          <t>Zor</t>
        </is>
      </c>
      <c r="F1292" s="5" t="inlineStr"/>
      <c r="G1292" s="6" t="inlineStr"/>
      <c r="H1292" s="6" t="inlineStr">
        <is>
          <t>Abinin fiyatının üstüne kendi payını ekledin. Maç berabere bitti, sen galip.</t>
        </is>
      </c>
      <c r="I1292" s="6" t="inlineStr">
        <is>
          <t>Maçtan önce fiyatı ikiye katladın, devre arasında yarıya indirdin. Abi hesabı görünce seni yanına kasa olarak aldı.</t>
        </is>
      </c>
      <c r="J1292" s="6" t="inlineStr">
        <is>
          <t>Fiyatı yükselttin, kimse almadı. Son on dakikada biletleri bedavaya dağıttın.</t>
        </is>
      </c>
      <c r="K1292" s="6" t="inlineStr">
        <is>
          <t>Kendi fiyatını koydun; abi de kendi fiyatını koydu. Onunki senin bir aylık bahşişindi.</t>
        </is>
      </c>
      <c r="L1292" s="6" t="inlineStr"/>
      <c r="M1292" s="5" t="inlineStr"/>
      <c r="N1292" s="5" t="inlineStr"/>
      <c r="O1292" s="6" t="inlineStr"/>
      <c r="P1292" s="6" t="inlineStr"/>
      <c r="Q1292" s="5" t="inlineStr"/>
      <c r="R1292" s="5" t="inlineStr"/>
      <c r="S1292" s="5" t="inlineStr"/>
      <c r="T1292" s="5" t="inlineStr"/>
      <c r="U1292" s="5" t="inlineStr"/>
      <c r="V1292" s="5" t="inlineStr">
        <is>
          <t>karaborsaci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row>
    <row r="1293">
      <c r="A1293" s="5" t="inlineStr">
        <is>
          <t>b5-bilet-karaborsasi</t>
        </is>
      </c>
      <c r="B1293" s="5" t="n">
        <v>3</v>
      </c>
      <c r="C1293" s="6" t="inlineStr">
        <is>
          <t>Biletleri geri ver, eve dön</t>
        </is>
      </c>
      <c r="D1293" s="5" t="inlineStr"/>
      <c r="E1293" s="5" t="inlineStr"/>
      <c r="F1293" s="5" t="inlineStr">
        <is>
          <t>Gönül +1</t>
        </is>
      </c>
      <c r="G1293" s="6" t="inlineStr">
        <is>
          <t>Biletleri abiye geri verdin ve eve döndün. Abi omuz silkti, annen sarıldı. Maçı televizyondan izledin; berabere bitti.</t>
        </is>
      </c>
      <c r="H1293" s="6" t="inlineStr"/>
      <c r="I1293" s="6" t="inlineStr"/>
      <c r="J1293" s="6" t="inlineStr"/>
      <c r="K1293" s="6" t="inlineStr"/>
      <c r="L1293" s="6" t="inlineStr"/>
      <c r="M1293" s="5" t="inlineStr"/>
      <c r="N1293" s="5" t="inlineStr"/>
      <c r="O1293" s="6" t="inlineStr"/>
      <c r="P1293" s="6" t="inlineStr"/>
      <c r="Q1293" s="5" t="inlineStr"/>
      <c r="R1293" s="5" t="inlineStr"/>
      <c r="S1293" s="5" t="inlineStr"/>
      <c r="T1293" s="5" t="inlineStr"/>
      <c r="U1293" s="5" t="inlineStr"/>
      <c r="V1293" s="5" t="inlineStr"/>
      <c r="W1293" s="5" t="inlineStr"/>
      <c r="X1293" s="5" t="inlineStr"/>
      <c r="Y1293" s="5" t="inlineStr"/>
      <c r="Z1293" s="6" t="inlineStr"/>
      <c r="AA1293" s="5" t="inlineStr">
        <is>
          <t>hepsi +1</t>
        </is>
      </c>
      <c r="AB1293" s="5" t="inlineStr"/>
      <c r="AC1293" s="5" t="inlineStr"/>
      <c r="AD1293" s="5" t="inlineStr"/>
      <c r="AE1293" s="5" t="inlineStr"/>
      <c r="AF1293" s="5" t="inlineStr"/>
      <c r="AG1293" s="5" t="inlineStr"/>
      <c r="AH1293" s="5" t="inlineStr"/>
      <c r="AI1293" s="5" t="inlineStr"/>
    </row>
    <row r="1294">
      <c r="A1294" s="5" t="inlineStr">
        <is>
          <t>b5-acik-lise</t>
        </is>
      </c>
      <c r="B1294" s="5" t="n">
        <v>1</v>
      </c>
      <c r="C1294" s="6" t="inlineStr">
        <is>
          <t>Kaydol, akşamları oku</t>
        </is>
      </c>
      <c r="D1294" s="5" t="inlineStr"/>
      <c r="E1294" s="5" t="inlineStr"/>
      <c r="F1294" s="5" t="inlineStr">
        <is>
          <t>Dayanıklılık +1, Akıl +1</t>
        </is>
      </c>
      <c r="G1294" s="6" t="inlineStr">
        <is>
          <t>Gündüz çalıştın, akşam okudun. Annen broşürü mıknatısla buzdolabına astı; misafir gelince ilk onu gösteriyor.</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is>
          <t>acik-lise</t>
        </is>
      </c>
      <c r="V1294" s="5" t="inlineStr"/>
      <c r="W1294" s="5" t="inlineStr"/>
      <c r="X1294" s="5" t="inlineStr">
        <is>
          <t>okulu-birakti</t>
        </is>
      </c>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row>
    <row r="1295">
      <c r="A1295" s="5" t="inlineStr">
        <is>
          <t>b5-acik-lise</t>
        </is>
      </c>
      <c r="B1295" s="5" t="n">
        <v>2</v>
      </c>
      <c r="C1295" s="6" t="inlineStr">
        <is>
          <t>Broşürü abilere göster</t>
        </is>
      </c>
      <c r="D1295" s="5" t="inlineStr">
        <is>
          <t>Pişkinlik</t>
        </is>
      </c>
      <c r="E1295" s="5" t="inlineStr">
        <is>
          <t>Orta</t>
        </is>
      </c>
      <c r="F1295" s="5" t="inlineStr"/>
      <c r="G1295" s="6" t="inlineStr"/>
      <c r="H1295" s="6" t="inlineStr">
        <is>
          <t>Broşürü abilere gösterdin; biri “Ben de kaydolsam mı?” dedi. Çarşıda eğitim reformu başladı.</t>
        </is>
      </c>
      <c r="I1295" s="6" t="inlineStr">
        <is>
          <t>Üç abi birden kaydoldu. Çay ocağında akşamları test çözülüyor.</t>
        </is>
      </c>
      <c r="J1295" s="6" t="inlineStr">
        <is>
          <t>Abiler broşürü okudu, güldü ve çay altlığı yaptı.</t>
        </is>
      </c>
      <c r="K1295" s="6" t="inlineStr">
        <is>
          <t>Abiler broşürü okudu ve sana “Okumuş” demeye başladı. Çarşıda artık çaylar “Okumuş”a söyleniyor. Okumadığın hâlde.</t>
        </is>
      </c>
      <c r="L1295" s="6" t="inlineStr"/>
      <c r="M1295" s="5" t="inlineStr"/>
      <c r="N1295" s="5" t="inlineStr"/>
      <c r="O1295" s="6" t="inlineStr"/>
      <c r="P1295" s="6" t="inlineStr"/>
      <c r="Q1295" s="5" t="inlineStr"/>
      <c r="R1295" s="5" t="inlineStr"/>
      <c r="S1295" s="5" t="inlineStr"/>
      <c r="T1295" s="5" t="inlineStr"/>
      <c r="U1295" s="5" t="inlineStr"/>
      <c r="V1295" s="5" t="inlineStr"/>
      <c r="W1295" s="5" t="inlineStr"/>
      <c r="X1295" s="5" t="inlineStr"/>
      <c r="Y1295" s="5" t="inlineStr"/>
      <c r="Z1295" s="6" t="inlineStr"/>
      <c r="AA1295" s="5" t="inlineStr"/>
      <c r="AB1295" s="5" t="inlineStr"/>
      <c r="AC1295" s="5" t="inlineStr"/>
      <c r="AD1295" s="5" t="inlineStr"/>
      <c r="AE1295" s="5" t="inlineStr"/>
      <c r="AF1295" s="5" t="inlineStr"/>
      <c r="AG1295" s="5" t="inlineStr"/>
      <c r="AH1295" s="5" t="inlineStr"/>
      <c r="AI1295" s="5" t="inlineStr"/>
    </row>
    <row r="1296">
      <c r="A1296" s="5" t="inlineStr">
        <is>
          <t>b5-acik-lise</t>
        </is>
      </c>
      <c r="B1296" s="5" t="n">
        <v>3</v>
      </c>
      <c r="C1296" s="6" t="inlineStr">
        <is>
          <t>Broşürü çöpe at</t>
        </is>
      </c>
      <c r="D1296" s="5" t="inlineStr"/>
      <c r="E1296" s="5" t="inlineStr"/>
      <c r="F1296" s="5" t="inlineStr">
        <is>
          <t>Pişkinlik +1</t>
        </is>
      </c>
      <c r="G1296" s="6" t="inlineStr">
        <is>
          <t>Broşürü çöpe attın. Annen ertesi gün onu çöpten çıkarıp yeniden masaya koydu. Masa bu konuda kararlı.</t>
        </is>
      </c>
      <c r="H1296" s="6" t="inlineStr"/>
      <c r="I1296" s="6" t="inlineStr"/>
      <c r="J1296" s="6" t="inlineStr"/>
      <c r="K1296" s="6" t="inlineStr"/>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row>
    <row r="1297">
      <c r="A1297" s="5" t="inlineStr">
        <is>
          <t>b6-askerlik-mezun</t>
        </is>
      </c>
      <c r="B1297" s="5" t="n">
        <v>1</v>
      </c>
      <c r="C1297" s="6" t="inlineStr">
        <is>
          <t>Kısa dönem git, çavuşluğa talip ol</t>
        </is>
      </c>
      <c r="D1297" s="5" t="inlineStr">
        <is>
          <t>Akıl</t>
        </is>
      </c>
      <c r="E1297" s="5" t="inlineStr">
        <is>
          <t>Orta</t>
        </is>
      </c>
      <c r="F1297" s="5" t="inlineStr"/>
      <c r="G1297" s="6" t="inlineStr"/>
      <c r="H1297" s="6" t="inlineStr">
        <is>
          <t>Altı ayda bölüğün bütün evrakı senden geçti. Çavuş oldun; yetkin, kantin sırasında öne geçmekle sınırlıydı.</t>
        </is>
      </c>
      <c r="I1297" s="6" t="inlineStr">
        <is>
          <t>Komutan seni eğitim birliğine öğretmen yaptı. Er arkadaşlarına okuma yazma öğrettin; biri sana mektup yazdı, ilk mektubuydu.</t>
        </is>
      </c>
      <c r="J1297" s="6" t="inlineStr">
        <is>
          <t>Çavuşluk başkasına gitti. Sen de altı ay boyunca başkasının çavuşluğunu dinledin.</t>
        </is>
      </c>
      <c r="K1297" s="6" t="inlineStr">
        <is>
          <t>İlk içtimada yanlış bölüğe katıldın. Bir hafta boyunca kimse fark etmedi; sonra herkes fark etti.</t>
        </is>
      </c>
      <c r="L1297" s="6" t="inlineStr"/>
      <c r="M1297" s="5" t="inlineStr"/>
      <c r="N1297" s="5" t="inlineStr"/>
      <c r="O1297" s="6" t="inlineStr"/>
      <c r="P1297" s="6" t="inlineStr"/>
      <c r="Q1297" s="5" t="inlineStr"/>
      <c r="R1297" s="5" t="inlineStr"/>
      <c r="S1297" s="5" t="inlineStr"/>
      <c r="T1297" s="5" t="inlineStr"/>
      <c r="U1297" s="5" t="inlineStr">
        <is>
          <t>askerlik-yapti</t>
        </is>
      </c>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row>
    <row r="1298">
      <c r="A1298" s="5" t="inlineStr">
        <is>
          <t>b6-askerlik-mezun</t>
        </is>
      </c>
      <c r="B1298" s="5" t="n">
        <v>2</v>
      </c>
      <c r="C1298" s="6" t="inlineStr">
        <is>
          <t>Bedelli öde</t>
        </is>
      </c>
      <c r="D1298" s="5" t="inlineStr"/>
      <c r="E1298" s="5" t="inlineStr"/>
      <c r="F1298" s="5" t="inlineStr">
        <is>
          <t>Pişkinlik +1</t>
        </is>
      </c>
      <c r="G1298" s="6" t="inlineStr">
        <is>
          <t>Parayı yatırdın, üç haftalık temel eğitime gittin, döndün. Arkadaşların “Bu da askerlik mi?” dedi. Sen de “Evet” dedin; çoğunlukla.</t>
        </is>
      </c>
      <c r="H1298" s="6" t="inlineStr"/>
      <c r="I1298" s="6" t="inlineStr"/>
      <c r="J1298" s="6" t="inlineStr"/>
      <c r="K1298" s="6" t="inlineStr"/>
      <c r="L1298" s="6" t="inlineStr"/>
      <c r="M1298" s="5" t="inlineStr"/>
      <c r="N1298" s="5" t="inlineStr"/>
      <c r="O1298" s="6" t="inlineStr"/>
      <c r="P1298" s="6" t="inlineStr"/>
      <c r="Q1298" s="5" t="inlineStr"/>
      <c r="R1298" s="5" t="inlineStr"/>
      <c r="S1298" s="5" t="inlineStr"/>
      <c r="T1298" s="5" t="inlineStr"/>
      <c r="U1298" s="5" t="inlineStr">
        <is>
          <t>bedelli</t>
        </is>
      </c>
      <c r="V1298" s="5" t="inlineStr"/>
      <c r="W1298" s="5" t="inlineStr"/>
      <c r="X1298" s="5" t="inlineStr"/>
      <c r="Y1298" s="5" t="inlineStr"/>
      <c r="Z1298" s="6" t="inlineStr"/>
      <c r="AA1298" s="5" t="inlineStr">
        <is>
          <t>Yalçın -1, Şen -1</t>
        </is>
      </c>
      <c r="AB1298" s="5" t="inlineStr"/>
      <c r="AC1298" s="5" t="inlineStr">
        <is>
          <t>Orta</t>
        </is>
      </c>
      <c r="AD1298" s="5" t="inlineStr"/>
      <c r="AE1298" s="5" t="inlineStr"/>
      <c r="AF1298" s="5" t="inlineStr"/>
      <c r="AG1298" s="5" t="inlineStr"/>
      <c r="AH1298" s="5" t="inlineStr"/>
      <c r="AI1298" s="5" t="inlineStr"/>
    </row>
    <row r="1299">
      <c r="A1299" s="5" t="inlineStr">
        <is>
          <t>b6-askerlik-mezun</t>
        </is>
      </c>
      <c r="B1299" s="5" t="n">
        <v>3</v>
      </c>
      <c r="C1299" s="6" t="inlineStr">
        <is>
          <t>Heyette düztabanlığını anlat</t>
        </is>
      </c>
      <c r="D1299" s="5" t="inlineStr">
        <is>
          <t>Kurnazlık</t>
        </is>
      </c>
      <c r="E1299" s="5" t="inlineStr">
        <is>
          <t>Zor</t>
        </is>
      </c>
      <c r="F1299" s="5" t="inlineStr"/>
      <c r="G1299" s="6" t="inlineStr"/>
      <c r="H1299" s="6" t="inlineStr">
        <is>
          <t>Heyete öyle bir düztaban hikâyesi anlattın ki doktor kendi ayağına baktı. Rapor çıktı: “Elverişsiz.”</t>
        </is>
      </c>
      <c r="I1299" s="6" t="inlineStr">
        <is>
          <t>Heyet seni dinledikten sonra bir de tabanlık markası önerdi. Rapor elinde, tabanlık ayağında; ikisi de hayatın boyunca sende.</t>
        </is>
      </c>
      <c r="J1299" s="6" t="inlineStr">
        <is>
          <t>Heyet dinledi, not aldı, seni haritanın en ucundaki birliğe yazdı. “Diplomanı da al gel” dediler; orada okuma yazma kursu varmış.</t>
        </is>
      </c>
      <c r="K1299" s="6" t="inlineStr">
        <is>
          <t>Hangi ayağın düz olduğunu karıştırdın. Heyet kâğıdına “Acil celp” yazdı; bir de altını çizdi.</t>
        </is>
      </c>
      <c r="L1299" s="6" t="inlineStr"/>
      <c r="M1299" s="5" t="inlineStr"/>
      <c r="N1299" s="5" t="inlineStr"/>
      <c r="O1299" s="6" t="inlineStr"/>
      <c r="P1299" s="6" t="inlineStr"/>
      <c r="Q1299" s="5" t="inlineStr"/>
      <c r="R1299" s="5" t="inlineStr">
        <is>
          <t>yalanci</t>
        </is>
      </c>
      <c r="S1299" s="5" t="inlineStr"/>
      <c r="T1299" s="5" t="inlineStr"/>
      <c r="U1299" s="5" t="inlineStr"/>
      <c r="V1299" s="5" t="inlineStr">
        <is>
          <t>curuk-rapor</t>
        </is>
      </c>
      <c r="W1299" s="5" t="inlineStr"/>
      <c r="X1299" s="5" t="inlineStr"/>
      <c r="Y1299" s="5" t="inlineStr"/>
      <c r="Z1299" s="6" t="inlineStr"/>
      <c r="AA1299" s="5" t="inlineStr">
        <is>
          <t>hepsi -1</t>
        </is>
      </c>
      <c r="AB1299" s="5" t="inlineStr">
        <is>
          <t>askerlik-yapti</t>
        </is>
      </c>
      <c r="AC1299" s="5" t="inlineStr"/>
      <c r="AD1299" s="5" t="inlineStr"/>
      <c r="AE1299" s="5" t="inlineStr"/>
      <c r="AF1299" s="5" t="inlineStr"/>
      <c r="AG1299" s="5" t="inlineStr"/>
      <c r="AH1299" s="5" t="inlineStr"/>
      <c r="AI1299" s="5" t="inlineStr"/>
    </row>
    <row r="1300">
      <c r="A1300" s="5" t="inlineStr">
        <is>
          <t>b6-kisla</t>
        </is>
      </c>
      <c r="B1300" s="5" t="n">
        <v>1</v>
      </c>
      <c r="C1300" s="6" t="inlineStr">
        <is>
          <t>Gece nöbetinde uyanık kal</t>
        </is>
      </c>
      <c r="D1300" s="5" t="inlineStr">
        <is>
          <t>Dayanıklılık</t>
        </is>
      </c>
      <c r="E1300" s="5" t="inlineStr">
        <is>
          <t>Zor</t>
        </is>
      </c>
      <c r="F1300" s="5" t="inlineStr"/>
      <c r="G1300" s="6" t="inlineStr"/>
      <c r="H1300" s="6" t="inlineStr">
        <is>
          <t>Saat üçte uyanıktın. Yıldızları saydın: altmış dört. Nöbeti devralan “Ben altmış üç saydım” dedi; biri uçakmış.</t>
        </is>
      </c>
      <c r="I1300" s="6" t="inlineStr">
        <is>
          <t>Tek bir kez esnemedin. Nöbet çizelgesinde adının yanına 'örnek' yazıldı. Ödülün bir nöbet daha.</t>
        </is>
      </c>
      <c r="J1300" s="6" t="inlineStr">
        <is>
          <t>Nöbette uyudun. Seni komutanın köpeği uyandırdı ve kimseye söylemedi. Sadakat.</t>
        </is>
      </c>
      <c r="K1300" s="6" t="inlineStr">
        <is>
          <t>Nöbette uyuyakaldın. Komutan seni uyandırmadı; fotoğrafını çekip annene gönderdi: “Oğlunuz burada da rahat.” Annen fotoğrafı aile grubuna attı; gururla mı, utançla mı, hâlâ belli değil.</t>
        </is>
      </c>
      <c r="L1300" s="6" t="inlineStr"/>
      <c r="M1300" s="5" t="inlineStr"/>
      <c r="N1300" s="5" t="inlineStr"/>
      <c r="O1300" s="6" t="inlineStr"/>
      <c r="P1300" s="6" t="inlineStr"/>
      <c r="Q1300" s="5" t="inlineStr"/>
      <c r="R1300" s="5" t="inlineStr"/>
      <c r="S1300" s="5" t="inlineStr"/>
      <c r="T1300" s="5" t="inlineStr">
        <is>
          <t>Nöbet Disiplini</t>
        </is>
      </c>
      <c r="U1300" s="5" t="inlineStr"/>
      <c r="V1300" s="5" t="inlineStr"/>
      <c r="W1300" s="5" t="inlineStr"/>
      <c r="X1300" s="5" t="inlineStr"/>
      <c r="Y1300" s="5" t="inlineStr"/>
      <c r="Z1300" s="6" t="inlineStr"/>
      <c r="AA1300" s="5" t="inlineStr"/>
      <c r="AB1300" s="5" t="inlineStr"/>
      <c r="AC1300" s="5" t="inlineStr"/>
      <c r="AD1300" s="5" t="inlineStr"/>
      <c r="AE1300" s="5" t="inlineStr"/>
      <c r="AF1300" s="5" t="inlineStr"/>
      <c r="AG1300" s="5" t="inlineStr"/>
      <c r="AH1300" s="5" t="inlineStr"/>
      <c r="AI1300" s="5" t="inlineStr"/>
    </row>
    <row r="1301">
      <c r="A1301" s="5" t="inlineStr">
        <is>
          <t>b6-kisla</t>
        </is>
      </c>
      <c r="B1301" s="5" t="n">
        <v>2</v>
      </c>
      <c r="C1301" s="6" t="inlineStr">
        <is>
          <t>Komutanın köpeğini gezdirmeye gönüllü ol</t>
        </is>
      </c>
      <c r="D1301" s="5" t="inlineStr">
        <is>
          <t>Sosyal Radar</t>
        </is>
      </c>
      <c r="E1301" s="5" t="inlineStr">
        <is>
          <t>Kolay</t>
        </is>
      </c>
      <c r="F1301" s="5" t="inlineStr"/>
      <c r="G1301" s="6" t="inlineStr"/>
      <c r="H1301" s="6" t="inlineStr">
        <is>
          <t>Köpek seni sevdi. Komutan da köpeğin sevdiğini sevdi. Nöbetlerin gündüze kaydı.</t>
        </is>
      </c>
      <c r="I1301" s="6" t="inlineStr">
        <is>
          <t>Köpek yalnızca seninle yürüyor. Terhis günü kapıya kadar geldi. Komutan da.</t>
        </is>
      </c>
      <c r="J1301" s="6" t="inlineStr">
        <is>
          <t>Köpek seni gezdirdi. Kışlanın çevresini üç kez koşarak turladınız.</t>
        </is>
      </c>
      <c r="K1301" s="6" t="inlineStr">
        <is>
          <t>Tasmayı bıraktın. Bütün bölük iki saat köpeği aradı. Köpek komutanın odasında uyuyordu.</t>
        </is>
      </c>
      <c r="L1301" s="6" t="inlineStr"/>
      <c r="M1301" s="5" t="inlineStr"/>
      <c r="N1301" s="5" t="inlineStr"/>
      <c r="O1301" s="6" t="inlineStr"/>
      <c r="P1301" s="6" t="inlineStr"/>
      <c r="Q1301" s="5" t="inlineStr"/>
      <c r="R1301" s="5" t="inlineStr"/>
      <c r="S1301" s="5" t="inlineStr">
        <is>
          <t>Sosyal Radar</t>
        </is>
      </c>
      <c r="T1301" s="5" t="inlineStr"/>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c r="AI1301" s="5" t="inlineStr"/>
    </row>
    <row r="1302">
      <c r="A1302" s="5" t="inlineStr">
        <is>
          <t>b6-kisla</t>
        </is>
      </c>
      <c r="B1302" s="5" t="n">
        <v>3</v>
      </c>
      <c r="C1302" s="6" t="inlineStr">
        <is>
          <t>Kantin sırasını düzene sok</t>
        </is>
      </c>
      <c r="D1302" s="5" t="inlineStr">
        <is>
          <t>Akıl</t>
        </is>
      </c>
      <c r="E1302" s="5" t="inlineStr">
        <is>
          <t>Orta</t>
        </is>
      </c>
      <c r="F1302" s="5" t="inlineStr"/>
      <c r="G1302" s="6" t="inlineStr"/>
      <c r="H1302" s="6" t="inlineStr">
        <is>
          <t>Numaratör sistemi kurdun. Bekleme yarıya indi. Kantinci sana bedava tost verdi.</t>
        </is>
      </c>
      <c r="I1302" s="6" t="inlineStr">
        <is>
          <t>Numaratör bütün kışlaya yayıldı. Bölük komutanı da tost için numara aldı; sırası gelince sana uzattı: “Bu iyi oldu asker.”</t>
        </is>
      </c>
      <c r="J1302" s="6" t="inlineStr">
        <is>
          <t>İlk gün numaralar karıştı. İki kişi aynı tostu istedi, ikisi de sana baktı.</t>
        </is>
      </c>
      <c r="K1302" s="6" t="inlineStr">
        <is>
          <t>Numara kâğıtları rüzgârda uçtu. Kantin kaosa, sen ek nöbete.</t>
        </is>
      </c>
      <c r="L1302" s="6" t="inlineStr"/>
      <c r="M1302" s="5" t="inlineStr"/>
      <c r="N1302" s="5" t="inlineStr"/>
      <c r="O1302" s="6" t="inlineStr"/>
      <c r="P1302" s="6" t="inlineStr"/>
      <c r="Q1302" s="5" t="inlineStr">
        <is>
          <t>Kuralı Koyan</t>
        </is>
      </c>
      <c r="R1302" s="5" t="inlineStr"/>
      <c r="S1302" s="5" t="inlineStr"/>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row>
    <row r="1303">
      <c r="A1303" s="5" t="inlineStr">
        <is>
          <t>b6-kisla</t>
        </is>
      </c>
      <c r="B1303" s="5" t="n">
        <v>4</v>
      </c>
      <c r="C1303" s="6" t="inlineStr">
        <is>
          <t>Yazıcılığa gönüllü ol</t>
        </is>
      </c>
      <c r="D1303" s="5" t="inlineStr">
        <is>
          <t>Kurnazlık</t>
        </is>
      </c>
      <c r="E1303" s="5" t="inlineStr">
        <is>
          <t>Orta</t>
        </is>
      </c>
      <c r="F1303" s="5" t="inlineStr"/>
      <c r="G1303" s="6" t="inlineStr"/>
      <c r="H1303" s="6" t="inlineStr">
        <is>
          <t>İzin kâğıtlarının hepsi artık senin masandan geçiyor. Bölükte herkes sana kantinden bir şey getiriyor; aç olmadığını bile bile.</t>
        </is>
      </c>
      <c r="I1303" s="6" t="inlineStr">
        <is>
          <t>Bütün bölük sana hediye getirmeye başladı. Kantinden. Tost.</t>
        </is>
      </c>
      <c r="J1303" s="6" t="inlineStr">
        <is>
          <t>Mührü ters bastın. Yüz izin belgesi yeniden basıldı.</t>
        </is>
      </c>
      <c r="K1303" s="6" t="inlineStr">
        <is>
          <t>Kendi izin belgeni yanlış tarihe bastın. Kapıdan çıktın, kapıdan geri döndün.</t>
        </is>
      </c>
      <c r="L1303" s="6" t="inlineStr"/>
      <c r="M1303" s="5" t="inlineStr"/>
      <c r="N1303" s="5" t="inlineStr"/>
      <c r="O1303" s="6" t="inlineStr"/>
      <c r="P1303" s="6" t="inlineStr"/>
      <c r="Q1303" s="5" t="inlineStr"/>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row>
    <row r="1304">
      <c r="A1304" s="5" t="inlineStr">
        <is>
          <t>b6-kisla</t>
        </is>
      </c>
      <c r="B1304" s="5" t="n">
        <v>5</v>
      </c>
      <c r="C1304" s="6" t="inlineStr">
        <is>
          <t>Nöbetleri tut, mektup yaz</t>
        </is>
      </c>
      <c r="D1304" s="5" t="inlineStr"/>
      <c r="E1304" s="5" t="inlineStr"/>
      <c r="F1304" s="5" t="inlineStr">
        <is>
          <t>Dayanıklılık +1, Gönül +1</t>
        </is>
      </c>
      <c r="G1304" s="6" t="inlineStr">
        <is>
          <t>Her nöbette bir mektup yazdın. Annen hepsini bir kutuda saklıyor. Kutunun üstünde 'Oğlumun romanı' yazıyor.</t>
        </is>
      </c>
      <c r="H1304" s="6" t="inlineStr"/>
      <c r="I1304" s="6" t="inlineStr"/>
      <c r="J1304" s="6" t="inlineStr"/>
      <c r="K1304" s="6" t="inlineStr"/>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row>
    <row r="1305">
      <c r="A1305" s="5" t="inlineStr">
        <is>
          <t>b6-erken-askerlik</t>
        </is>
      </c>
      <c r="B1305" s="5" t="n">
        <v>1</v>
      </c>
      <c r="C1305" s="6" t="inlineStr">
        <is>
          <t>Nöbetleri tut, günleri say</t>
        </is>
      </c>
      <c r="D1305" s="5" t="inlineStr"/>
      <c r="E1305" s="5" t="inlineStr"/>
      <c r="F1305" s="5" t="inlineStr">
        <is>
          <t>Dayanıklılık +1</t>
        </is>
      </c>
      <c r="G1305" s="6" t="inlineStr">
        <is>
          <t>Her gece ranzanın tahtasına yazdın: “Şafak 360”, “Şafak 359”… Terhis sabahı tahtada “Şafak 1” kaldı. Fotoğrafını annene gönderdin; annen büyütüp çerçeveletti.</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is>
          <t>askerlik-yapti</t>
        </is>
      </c>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row>
    <row r="1306">
      <c r="A1306" s="5" t="inlineStr">
        <is>
          <t>b6-erken-askerlik</t>
        </is>
      </c>
      <c r="B1306" s="5" t="n">
        <v>2</v>
      </c>
      <c r="C1306" s="6" t="inlineStr">
        <is>
          <t>Kışla arkadaşlarıyla dönüş planı kur</t>
        </is>
      </c>
      <c r="D1306" s="5" t="inlineStr">
        <is>
          <t>Çene</t>
        </is>
      </c>
      <c r="E1306" s="5" t="inlineStr">
        <is>
          <t>Orta</t>
        </is>
      </c>
      <c r="F1306" s="5" t="inlineStr"/>
      <c r="G1306" s="6" t="inlineStr"/>
      <c r="H1306" s="6" t="inlineStr">
        <is>
          <t>Nöbette dört kişi bir plan kurdunuz: dönünce birlikte iş. Kimse plana inanmadı; siz inandınız.</t>
        </is>
      </c>
      <c r="I1306" s="6" t="inlineStr">
        <is>
          <t>Planın o kadar sağlamdı ki bölük komutanı da katılmak istedi. Emekliliğine üç yıl var; bekliyorsunuz.</t>
        </is>
      </c>
      <c r="J1306" s="6" t="inlineStr">
        <is>
          <t>Plan kuruldu, sonra kantinde dağıldı. Bir kişi dayısının yanına gidecekmiş, biri evlenecekmiş.</t>
        </is>
      </c>
      <c r="K1306" s="6" t="inlineStr">
        <is>
          <t>Planı yüksek sesle anlattın. Nöbetçi subay duydu; planın ilk maddesi ek nöbet oldu.</t>
        </is>
      </c>
      <c r="L1306" s="6" t="inlineStr"/>
      <c r="M1306" s="5" t="inlineStr"/>
      <c r="N1306" s="5" t="inlineStr"/>
      <c r="O1306" s="6" t="inlineStr"/>
      <c r="P1306" s="6" t="inlineStr"/>
      <c r="Q1306" s="5" t="inlineStr"/>
      <c r="R1306" s="5" t="inlineStr"/>
      <c r="S1306" s="5" t="inlineStr"/>
      <c r="T1306" s="5" t="inlineStr"/>
      <c r="U1306" s="5" t="inlineStr">
        <is>
          <t>askerlik-yapti</t>
        </is>
      </c>
      <c r="V1306" s="5" t="inlineStr">
        <is>
          <t>kisla-kankasi</t>
        </is>
      </c>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row>
    <row r="1307">
      <c r="A1307" s="5" t="inlineStr">
        <is>
          <t>b6-erken-askerlik</t>
        </is>
      </c>
      <c r="B1307" s="5" t="n">
        <v>3</v>
      </c>
      <c r="C1307" s="6" t="inlineStr">
        <is>
          <t>Gece nöbetinde uyanık kal</t>
        </is>
      </c>
      <c r="D1307" s="5" t="inlineStr">
        <is>
          <t>Dayanıklılık</t>
        </is>
      </c>
      <c r="E1307" s="5" t="inlineStr">
        <is>
          <t>Zor</t>
        </is>
      </c>
      <c r="F1307" s="5" t="inlineStr"/>
      <c r="G1307" s="6" t="inlineStr"/>
      <c r="H1307" s="6" t="inlineStr">
        <is>
          <t>Saat üçte uyanıktın. Yıldızları saydın: altmış dört. Nöbeti devralan “Ben altmış üç saydım” dedi; biri uçakmış.</t>
        </is>
      </c>
      <c r="I1307" s="6" t="inlineStr">
        <is>
          <t>Tek bir kez esnemedin. Nöbet çizelgesinde adının yanına “örnek” yazıldı. Ödülün bir nöbet daha.</t>
        </is>
      </c>
      <c r="J1307" s="6" t="inlineStr">
        <is>
          <t>Nöbette uyudun. Seni komutanın köpeği uyandırdı ve kimseye söylemedi. Sadakat.</t>
        </is>
      </c>
      <c r="K1307" s="6" t="inlineStr">
        <is>
          <t>Nöbette uyudun. Uyandığında kulübenin önünde komutan duruyordu, yanında köpeği. Köpek ayaktaydı; sen değil. Bir ay boyunca nöbetini köpekle birlikte tuttun; o uyudu.</t>
        </is>
      </c>
      <c r="L1307" s="6" t="inlineStr"/>
      <c r="M1307" s="5" t="inlineStr"/>
      <c r="N1307" s="5" t="inlineStr"/>
      <c r="O1307" s="6" t="inlineStr"/>
      <c r="P1307" s="6" t="inlineStr"/>
      <c r="Q1307" s="5" t="inlineStr"/>
      <c r="R1307" s="5" t="inlineStr"/>
      <c r="S1307" s="5" t="inlineStr"/>
      <c r="T1307" s="5" t="inlineStr">
        <is>
          <t>Nöbet Disiplini</t>
        </is>
      </c>
      <c r="U1307" s="5" t="inlineStr">
        <is>
          <t>askerlik-yapti</t>
        </is>
      </c>
      <c r="V1307" s="5" t="inlineStr"/>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row>
    <row r="1308">
      <c r="A1308" s="5" t="inlineStr">
        <is>
          <t>b6-erken-askerlik</t>
        </is>
      </c>
      <c r="B1308" s="5" t="n">
        <v>4</v>
      </c>
      <c r="C1308" s="6" t="inlineStr">
        <is>
          <t>Komutanın köpeğini gezdirmeye gönüllü ol</t>
        </is>
      </c>
      <c r="D1308" s="5" t="inlineStr">
        <is>
          <t>Sosyal Radar</t>
        </is>
      </c>
      <c r="E1308" s="5" t="inlineStr">
        <is>
          <t>Kolay</t>
        </is>
      </c>
      <c r="F1308" s="5" t="inlineStr"/>
      <c r="G1308" s="6" t="inlineStr"/>
      <c r="H1308" s="6" t="inlineStr">
        <is>
          <t>Köpek seni sevdi, komutan da köpeğin sevdiğini. Nöbetlerin gündüze kaydı; bölükte buna “köpek torpili” diyorlar.</t>
        </is>
      </c>
      <c r="I1308" s="6" t="inlineStr">
        <is>
          <t>Köpek yalnızca seninle yürüyor. Terhis günü kapıya kadar geldi; arkasından komutan da. “Yavrum” dedi; bu sefer bağırmadı.</t>
        </is>
      </c>
      <c r="J1308" s="6" t="inlineStr">
        <is>
          <t>Köpek seni gezdirdi. Kışlanın çevresini üç kez koşarak turladınız; içtimaya nefes nefese yetiştin.</t>
        </is>
      </c>
      <c r="K1308" s="6" t="inlineStr">
        <is>
          <t>Tasmayı bıraktın. Bütün bölük iki saat köpeği aradı. Köpek komutanın odasında uyuyordu; sen o gece ek nöbetteydin.</t>
        </is>
      </c>
      <c r="L1308" s="6" t="inlineStr"/>
      <c r="M1308" s="5" t="inlineStr"/>
      <c r="N1308" s="5" t="inlineStr"/>
      <c r="O1308" s="6" t="inlineStr"/>
      <c r="P1308" s="6" t="inlineStr"/>
      <c r="Q1308" s="5" t="inlineStr"/>
      <c r="R1308" s="5" t="inlineStr"/>
      <c r="S1308" s="5" t="inlineStr">
        <is>
          <t>Sosyal Radar</t>
        </is>
      </c>
      <c r="T1308" s="5" t="inlineStr"/>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row>
    <row r="1309">
      <c r="A1309" s="5" t="inlineStr">
        <is>
          <t>b6-tezkere</t>
        </is>
      </c>
      <c r="B1309" s="5" t="n">
        <v>1</v>
      </c>
      <c r="C1309" s="6" t="inlineStr">
        <is>
          <t>Kapıda sürpriz yap</t>
        </is>
      </c>
      <c r="D1309" s="5" t="inlineStr"/>
      <c r="E1309" s="5" t="inlineStr"/>
      <c r="F1309" s="5" t="inlineStr">
        <is>
          <t>Sosyal Radar +1, Gönül +1</t>
        </is>
      </c>
      <c r="G1309" s="6" t="inlineStr">
        <is>
          <t>Kapıyı çaldın. Annen açtı, baktı, kapattı, sonra tekrar açtı. İkinci açışta ağladı. Baban “Zayıflamışsın” dedi; kendisi de zayıflamıştı.</t>
        </is>
      </c>
      <c r="H1309" s="6" t="inlineStr"/>
      <c r="I1309" s="6" t="inlineStr"/>
      <c r="J1309" s="6" t="inlineStr"/>
      <c r="K1309" s="6" t="inlineStr"/>
      <c r="L1309" s="6" t="inlineStr"/>
      <c r="M1309" s="5" t="inlineStr"/>
      <c r="N1309" s="5" t="inlineStr"/>
      <c r="O1309" s="6" t="inlineStr"/>
      <c r="P1309" s="6" t="inlineStr"/>
      <c r="Q1309" s="5" t="inlineStr"/>
      <c r="R1309" s="5" t="inlineStr"/>
      <c r="S1309" s="5" t="inlineStr"/>
      <c r="T1309" s="5" t="inlineStr"/>
      <c r="U1309" s="5" t="inlineStr"/>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row>
    <row r="1310">
      <c r="A1310" s="5" t="inlineStr">
        <is>
          <t>b6-tezkere</t>
        </is>
      </c>
      <c r="B1310" s="5" t="n">
        <v>2</v>
      </c>
      <c r="C1310" s="6" t="inlineStr">
        <is>
          <t>Kışla arkadaşlarıyla iş kur</t>
        </is>
      </c>
      <c r="D1310" s="5" t="inlineStr">
        <is>
          <t>Kurnazlık</t>
        </is>
      </c>
      <c r="E1310" s="5" t="inlineStr">
        <is>
          <t>Orta</t>
        </is>
      </c>
      <c r="F1310" s="5" t="inlineStr"/>
      <c r="G1310" s="6" t="inlineStr"/>
      <c r="H1310" s="6" t="inlineStr">
        <is>
          <t>Dört kişi bir nakliye minibüsü kiraladınız. Adı “Tezkere Taşımacılık.” İlk ay üç ev taşıdınız, bir buzdolabını kurtaramadınız.</t>
        </is>
      </c>
      <c r="I1310" s="6" t="inlineStr">
        <is>
          <t>İşler öyle iyi gitti ki ikinci minibüsü aldınız. Şoförlerin hepsi aynı bölükten; araçta marş çalıyor.</t>
        </is>
      </c>
      <c r="J1310" s="6" t="inlineStr">
        <is>
          <t>Minibüsün kirasını ödediniz, iş gelmedi. Bir ay boyunca birbirinizi taşıdınız.</t>
        </is>
      </c>
      <c r="K1310" s="6" t="inlineStr">
        <is>
          <t>İlk taşımada koltuğu merdivende sıkıştırdınız. Koltuk hâlâ orada; bina onu artık sahipleniyor.</t>
        </is>
      </c>
      <c r="L1310" s="6" t="inlineStr"/>
      <c r="M1310" s="5" t="inlineStr"/>
      <c r="N1310" s="5" t="inlineStr"/>
      <c r="O1310" s="6" t="inlineStr"/>
      <c r="P1310" s="6" t="inlineStr"/>
      <c r="Q1310" s="5" t="inlineStr"/>
      <c r="R1310" s="5" t="inlineStr">
        <is>
          <t>kisla-kankasi</t>
        </is>
      </c>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row>
    <row r="1311">
      <c r="A1311" s="5" t="inlineStr">
        <is>
          <t>b6-tezkere</t>
        </is>
      </c>
      <c r="B1311" s="5" t="n">
        <v>3</v>
      </c>
      <c r="C1311" s="6" t="inlineStr">
        <is>
          <t>Ertesi gün iş aramaya çık</t>
        </is>
      </c>
      <c r="D1311" s="5" t="inlineStr">
        <is>
          <t>Dayanıklılık</t>
        </is>
      </c>
      <c r="E1311" s="5" t="inlineStr">
        <is>
          <t>Orta</t>
        </is>
      </c>
      <c r="F1311" s="5" t="inlineStr"/>
      <c r="G1311" s="6" t="inlineStr"/>
      <c r="H1311" s="6" t="inlineStr">
        <is>
          <t>Askerliğini yapmış olman kapıları açtı. “Askerlik yapıldı mı?” sorusuna gülerek cevap verdin; işe alındın.</t>
        </is>
      </c>
      <c r="I1311" s="6" t="inlineStr">
        <is>
          <t>İlk gittiğin yerde müdür eski bölük komutanının kardeşi çıktı. İşe alındın, bir de kahve ısmarlandı.</t>
        </is>
      </c>
      <c r="J1311" s="6" t="inlineStr">
        <is>
          <t>Her yer “Tecrübe?” diye sordu. Tecrüben var: nöbet. Özgeçmişe nasıl yazılacağını kimse bilmiyor.</t>
        </is>
      </c>
      <c r="K1311" s="6" t="inlineStr">
        <is>
          <t>Mülakatçı “Rahat olun” dedi. Refleksle “Rahat!” diye bağırıp topuk vurdun. Yan odadaki herkes ayağa kalktı. Görüşme orada bitti.</t>
        </is>
      </c>
      <c r="L1311" s="6" t="inlineStr"/>
      <c r="M1311" s="5" t="inlineStr"/>
      <c r="N1311" s="5" t="inlineStr"/>
      <c r="O1311" s="6" t="inlineStr"/>
      <c r="P1311" s="6" t="inlineStr"/>
      <c r="Q1311" s="5" t="inlineStr"/>
      <c r="R1311" s="5" t="inlineStr"/>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row>
    <row r="1312">
      <c r="A1312" s="5" t="inlineStr">
        <is>
          <t>b6-ikinci-sinav</t>
        </is>
      </c>
      <c r="B1312" s="5" t="n">
        <v>1</v>
      </c>
      <c r="C1312" s="6" t="inlineStr">
        <is>
          <t>Bu sefer sırayla, sakince çöz</t>
        </is>
      </c>
      <c r="D1312" s="5" t="inlineStr">
        <is>
          <t>Akıl</t>
        </is>
      </c>
      <c r="E1312" s="5" t="inlineStr">
        <is>
          <t>Orta</t>
        </is>
      </c>
      <c r="F1312" s="5" t="inlineStr"/>
      <c r="G1312" s="6" t="inlineStr"/>
      <c r="H1312" s="6" t="inlineStr">
        <is>
          <t>Bu sefer eller titremedi. Sonuç açıklandığında adın listedeydi. Annen aynı mesajı aile grubuna iki kez gönderdi.</t>
        </is>
      </c>
      <c r="I1312" s="6" t="inlineStr">
        <is>
          <t>Geçen yılın on katı puan yaptın. Dershane seni afişe bastı; afişte “Bir yılda neler değişir?” yazıyor.</t>
        </is>
      </c>
      <c r="J1312" s="6" t="inlineStr">
        <is>
          <t>Bir yıl daha çalıştın; yine olmadı. Aile grubu bu sefer sessiz. Akşam annen odana çay getirdi, bir şey demeden bıraktı, çıktı.</t>
        </is>
      </c>
      <c r="K1312" s="6" t="inlineStr">
        <is>
          <t>Optik formu yine kaydırdın. Bu sefer iki satır. Dershane seni afişe bastı; “Yapmayın” başlığıyla.</t>
        </is>
      </c>
      <c r="L1312" s="6" t="inlineStr"/>
      <c r="M1312" s="5" t="inlineStr"/>
      <c r="N1312" s="5" t="inlineStr"/>
      <c r="O1312" s="6" t="inlineStr"/>
      <c r="P1312" s="6" t="inlineStr"/>
      <c r="Q1312" s="5" t="inlineStr"/>
      <c r="R1312" s="5" t="inlineStr"/>
      <c r="S1312" s="5" t="inlineStr"/>
      <c r="T1312" s="5" t="inlineStr"/>
      <c r="U1312" s="5" t="inlineStr"/>
      <c r="V1312" s="5" t="inlineStr">
        <is>
          <t>universiteli</t>
        </is>
      </c>
      <c r="W1312" s="5" t="inlineStr"/>
      <c r="X1312" s="5" t="inlineStr"/>
      <c r="Y1312" s="5" t="inlineStr"/>
      <c r="Z1312" s="6" t="inlineStr"/>
      <c r="AA1312" s="5" t="inlineStr">
        <is>
          <t>Erdem +1, Tan +1</t>
        </is>
      </c>
      <c r="AB1312" s="5" t="inlineStr">
        <is>
          <t>universitesiz</t>
        </is>
      </c>
      <c r="AC1312" s="5" t="inlineStr"/>
      <c r="AD1312" s="5" t="inlineStr"/>
      <c r="AE1312" s="5" t="inlineStr"/>
      <c r="AF1312" s="5" t="inlineStr"/>
      <c r="AG1312" s="5" t="inlineStr"/>
      <c r="AH1312" s="5" t="inlineStr"/>
      <c r="AI1312" s="5" t="inlineStr"/>
    </row>
    <row r="1313">
      <c r="A1313" s="5" t="inlineStr">
        <is>
          <t>b6-ikinci-sinav</t>
        </is>
      </c>
      <c r="B1313" s="5" t="n">
        <v>2</v>
      </c>
      <c r="C1313" s="6" t="inlineStr">
        <is>
          <t>Deneme tecrübene yaslan</t>
        </is>
      </c>
      <c r="D1313" s="5" t="inlineStr">
        <is>
          <t>Dayanıklılık</t>
        </is>
      </c>
      <c r="E1313" s="5" t="inlineStr">
        <is>
          <t>Kolay</t>
        </is>
      </c>
      <c r="F1313" s="5" t="inlineStr"/>
      <c r="G1313" s="6" t="inlineStr"/>
      <c r="H1313" s="6" t="inlineStr">
        <is>
          <t>Yüzlerce denemeden sonra bu sadece bir tane daha. Sonuç gecesi annen listedeki adına bakıp “Bu sen misin?” dedi; üç kez okuttu.</t>
        </is>
      </c>
      <c r="I1313" s="6" t="inlineStr">
        <is>
          <t>Salondaki gözetmen seni hatırladı: “Sen hep erken bitirirdin.” Bu sefer de erken bitirdin; bu sefer doğru.</t>
        </is>
      </c>
      <c r="J1313" s="6" t="inlineStr">
        <is>
          <t>Denemelerde tutan taktikler bu sefer tutmadı. Sınav, denemeleri okumuş.</t>
        </is>
      </c>
      <c r="K1313" s="6" t="inlineStr">
        <is>
          <t>Denemelerdeki gibi son yarım saati uyuyarak geçirdin. Denemelerde kimse seni uyandırmıyordu.</t>
        </is>
      </c>
      <c r="L1313" s="6" t="inlineStr"/>
      <c r="M1313" s="5" t="inlineStr"/>
      <c r="N1313" s="5" t="inlineStr"/>
      <c r="O1313" s="6" t="inlineStr"/>
      <c r="P1313" s="6" t="inlineStr"/>
      <c r="Q1313" s="5" t="inlineStr">
        <is>
          <t>Deneme Kurdu</t>
        </is>
      </c>
      <c r="R1313" s="5" t="inlineStr"/>
      <c r="S1313" s="5" t="inlineStr"/>
      <c r="T1313" s="5" t="inlineStr"/>
      <c r="U1313" s="5" t="inlineStr"/>
      <c r="V1313" s="5" t="inlineStr">
        <is>
          <t>universiteli</t>
        </is>
      </c>
      <c r="W1313" s="5" t="inlineStr"/>
      <c r="X1313" s="5" t="inlineStr"/>
      <c r="Y1313" s="5" t="inlineStr"/>
      <c r="Z1313" s="6" t="inlineStr"/>
      <c r="AA1313" s="5" t="inlineStr"/>
      <c r="AB1313" s="5" t="inlineStr">
        <is>
          <t>universitesiz</t>
        </is>
      </c>
      <c r="AC1313" s="5" t="inlineStr"/>
      <c r="AD1313" s="5" t="inlineStr"/>
      <c r="AE1313" s="5" t="inlineStr"/>
      <c r="AF1313" s="5" t="inlineStr"/>
      <c r="AG1313" s="5" t="inlineStr"/>
      <c r="AH1313" s="5" t="inlineStr"/>
      <c r="AI1313" s="5" t="inlineStr"/>
    </row>
    <row r="1314">
      <c r="A1314" s="5" t="inlineStr">
        <is>
          <t>b6-ikinci-sinav</t>
        </is>
      </c>
      <c r="B1314" s="5" t="n">
        <v>3</v>
      </c>
      <c r="C1314" s="6" t="inlineStr">
        <is>
          <t>Sınava girme, çalışmaya başla</t>
        </is>
      </c>
      <c r="D1314" s="5" t="inlineStr"/>
      <c r="E1314" s="5" t="inlineStr"/>
      <c r="F1314" s="5" t="inlineStr">
        <is>
          <t>Cesaret +1, Dayanıklılık +1</t>
        </is>
      </c>
      <c r="G1314" s="6" t="inlineStr">
        <is>
          <t>Sınav sabahı işe gittin. Dershane arkandan üç mesaj attı, sonra vazgeçti. Annen o akşam “Sen bilirsin” dedi; bu cümle evde en ağır cümledir.</t>
        </is>
      </c>
      <c r="H1314" s="6" t="inlineStr"/>
      <c r="I1314" s="6" t="inlineStr"/>
      <c r="J1314" s="6" t="inlineStr"/>
      <c r="K1314" s="6" t="inlineStr"/>
      <c r="L1314" s="6" t="inlineStr"/>
      <c r="M1314" s="5" t="inlineStr"/>
      <c r="N1314" s="5" t="inlineStr"/>
      <c r="O1314" s="6" t="inlineStr"/>
      <c r="P1314" s="6" t="inlineStr"/>
      <c r="Q1314" s="5" t="inlineStr"/>
      <c r="R1314" s="5" t="inlineStr"/>
      <c r="S1314" s="5" t="inlineStr"/>
      <c r="T1314" s="5" t="inlineStr"/>
      <c r="U1314" s="5" t="inlineStr">
        <is>
          <t>universitesiz</t>
        </is>
      </c>
      <c r="V1314" s="5" t="inlineStr"/>
      <c r="W1314" s="5" t="inlineStr"/>
      <c r="X1314" s="5" t="inlineStr"/>
      <c r="Y1314" s="5" t="inlineStr"/>
      <c r="Z1314" s="6" t="inlineStr"/>
      <c r="AA1314" s="5" t="inlineStr">
        <is>
          <t>Erdem -1, Tan -1</t>
        </is>
      </c>
      <c r="AB1314" s="5" t="inlineStr"/>
      <c r="AC1314" s="5" t="inlineStr"/>
      <c r="AD1314" s="5" t="inlineStr"/>
      <c r="AE1314" s="5" t="inlineStr"/>
      <c r="AF1314" s="5" t="inlineStr"/>
      <c r="AG1314" s="5" t="inlineStr"/>
      <c r="AH1314" s="5" t="inlineStr"/>
      <c r="AI1314" s="5" t="inlineStr"/>
    </row>
    <row r="1315">
      <c r="A1315" s="5" t="inlineStr">
        <is>
          <t>b6-ikinci-tercih</t>
        </is>
      </c>
      <c r="B1315" s="5" t="n">
        <v>1</v>
      </c>
      <c r="C1315" s="6" t="inlineStr">
        <is>
          <t>Hukuk</t>
        </is>
      </c>
      <c r="D1315" s="5" t="inlineStr"/>
      <c r="E1315" s="5" t="inlineStr"/>
      <c r="F1315" s="5" t="inlineStr">
        <is>
          <t>Çene +1, Akıl +1</t>
        </is>
      </c>
      <c r="G1315" s="6" t="inlineStr">
        <is>
          <t>Hukuk yazdın. Annen hemen bir akrabayı aradı: “Bizimki avukat oluyor.” Daha birinci sınıf bile değilsin; akraba ise bir davası için randevu istedi.</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bolum-hukuk</t>
        </is>
      </c>
      <c r="V1315" s="5" t="inlineStr"/>
      <c r="W1315" s="5" t="inlineStr"/>
      <c r="X1315" s="5" t="inlineStr"/>
      <c r="Y1315" s="5" t="inlineStr"/>
      <c r="Z1315" s="6" t="inlineStr"/>
      <c r="AA1315" s="5" t="inlineStr"/>
      <c r="AB1315" s="5" t="inlineStr"/>
      <c r="AC1315" s="5" t="inlineStr"/>
      <c r="AD1315" s="5" t="inlineStr"/>
      <c r="AE1315" s="5" t="inlineStr"/>
      <c r="AF1315" s="5" t="inlineStr"/>
      <c r="AG1315" s="5" t="inlineStr"/>
      <c r="AH1315" s="5" t="inlineStr"/>
      <c r="AI1315" s="5" t="inlineStr"/>
    </row>
    <row r="1316">
      <c r="A1316" s="5" t="inlineStr">
        <is>
          <t>b6-ikinci-tercih</t>
        </is>
      </c>
      <c r="B1316" s="5" t="n">
        <v>2</v>
      </c>
      <c r="C1316" s="6" t="inlineStr">
        <is>
          <t>Emniyet Akademisi</t>
        </is>
      </c>
      <c r="D1316" s="5" t="inlineStr"/>
      <c r="E1316" s="5" t="inlineStr"/>
      <c r="F1316" s="5" t="inlineStr">
        <is>
          <t>Cesaret +1, İtibar +1</t>
        </is>
      </c>
      <c r="G1316" s="6" t="inlineStr">
        <is>
          <t>Akademiyi yazdın. Baban seni ilk kez bir üniformanın içinde hayal etti ve gözleri doldu; sonra sesli olarak “Saçını kestir” dedi.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bolum-emniyet</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c r="AI1316" s="5" t="inlineStr"/>
    </row>
    <row r="1317">
      <c r="A1317" s="5" t="inlineStr">
        <is>
          <t>b6-ikinci-tercih</t>
        </is>
      </c>
      <c r="B1317" s="5" t="n">
        <v>3</v>
      </c>
      <c r="C1317" s="6" t="inlineStr">
        <is>
          <t>Mühendislik</t>
        </is>
      </c>
      <c r="D1317" s="5" t="inlineStr"/>
      <c r="E1317" s="5" t="inlineStr"/>
      <c r="F1317" s="5" t="inlineStr">
        <is>
          <t>Akıl +1, Dayanıklılık +1</t>
        </is>
      </c>
      <c r="G1317" s="6" t="inlineStr">
        <is>
          <t>Mühendislik yazdın. O günden sonra evde bozulan her şey sana soruldu. Kombi, televizyon, bir de babanın ruh hâli.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bolum-muhendislik</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c r="AI1317" s="5" t="inlineStr"/>
    </row>
    <row r="1318">
      <c r="A1318" s="5" t="inlineStr">
        <is>
          <t>b6-ikinci-tercih</t>
        </is>
      </c>
      <c r="B1318" s="5" t="n">
        <v>4</v>
      </c>
      <c r="C1318" s="6" t="inlineStr">
        <is>
          <t>İşletme</t>
        </is>
      </c>
      <c r="D1318" s="5" t="inlineStr"/>
      <c r="E1318" s="5" t="inlineStr"/>
      <c r="F1318" s="5" t="inlineStr">
        <is>
          <t>Kurnazlık +1, Akıl +1</t>
        </is>
      </c>
      <c r="G1318" s="6" t="inlineStr">
        <is>
          <t>İşletme yazdın. Amcan “İşletme ne işletir?” diye sordu. Dört yıl boyunca aynı soruyu cevaplayacaksın.</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bolum-isletme</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c r="AI1318" s="5" t="inlineStr"/>
    </row>
    <row r="1319">
      <c r="A1319" s="5" t="inlineStr">
        <is>
          <t>b6-ikinci-tercih</t>
        </is>
      </c>
      <c r="B1319" s="5" t="n">
        <v>5</v>
      </c>
      <c r="C1319" s="6" t="inlineStr">
        <is>
          <t>İletişim ya da konservatuvar</t>
        </is>
      </c>
      <c r="D1319" s="5" t="inlineStr"/>
      <c r="E1319" s="5" t="inlineStr"/>
      <c r="F1319" s="5" t="inlineStr">
        <is>
          <t>Pişkinlik +1, Çene +1</t>
        </is>
      </c>
      <c r="G1319" s="6" t="inlineStr">
        <is>
          <t>Sahneye giden yolu yazdın. Teyzen “Televizyona çıkınca bizi de söyle” dedi. Listesini şimdiden hazırlamış.</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bolum-iletisim</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row>
    <row r="1320">
      <c r="A1320" s="5" t="inlineStr">
        <is>
          <t>b6-ikinci-tercih</t>
        </is>
      </c>
      <c r="B1320" s="5" t="n">
        <v>6</v>
      </c>
      <c r="C1320" s="6" t="inlineStr">
        <is>
          <t>Tıbbı zorla</t>
        </is>
      </c>
      <c r="D1320" s="5" t="inlineStr">
        <is>
          <t>Akıl</t>
        </is>
      </c>
      <c r="E1320" s="5" t="inlineStr">
        <is>
          <t>Zor</t>
        </is>
      </c>
      <c r="F1320" s="5" t="inlineStr"/>
      <c r="G1320" s="6" t="inlineStr"/>
      <c r="H1320" s="6" t="inlineStr">
        <is>
          <t>Tıbba yerleştin. Annen haberi verirken “bir yıl kaybetti” kısmını atladı; artık “bir yıl olgunlaştı” deniyor.</t>
        </is>
      </c>
      <c r="I1320" s="6" t="inlineStr">
        <is>
          <t>Tıbbı bu sefer ilk sıralardan tutturdun. Geçen yıl “Olmadı” diyen teyzen bu yıl ilk röntgenini attı.</t>
        </is>
      </c>
      <c r="J1320" s="6" t="inlineStr">
        <is>
          <t>Puan tıbba yine yetmedi; biyolojiye yerleştin. Teyzen yine de komşulara “Bizimki doktor olacak” diyor; düzeltmekten vazgeçtin.</t>
        </is>
      </c>
      <c r="K1320" s="6" t="inlineStr">
        <is>
          <t>Sıralamayı ters girdin, diş teknikerliğine yerleştin. Aile grubunda artık herkes sana dişini gösteriyor.</t>
        </is>
      </c>
      <c r="L1320" s="6" t="inlineStr"/>
      <c r="M1320" s="5" t="inlineStr"/>
      <c r="N1320" s="5" t="inlineStr"/>
      <c r="O1320" s="6" t="inlineStr"/>
      <c r="P1320" s="6" t="inlineStr"/>
      <c r="Q1320" s="5" t="inlineStr"/>
      <c r="R1320" s="5" t="inlineStr"/>
      <c r="S1320" s="5" t="inlineStr"/>
      <c r="T1320" s="5" t="inlineStr"/>
      <c r="U1320" s="5" t="inlineStr"/>
      <c r="V1320" s="5" t="inlineStr">
        <is>
          <t>bolum-tip</t>
        </is>
      </c>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c r="AI1320" s="5" t="inlineStr"/>
    </row>
    <row r="1321">
      <c r="A1321" s="5" t="inlineStr">
        <is>
          <t>b6-tezgah-ilk-yil</t>
        </is>
      </c>
      <c r="B1321" s="5" t="n">
        <v>1</v>
      </c>
      <c r="C1321" s="6" t="inlineStr">
        <is>
          <t>Kuzeni bekle</t>
        </is>
      </c>
      <c r="D1321" s="5" t="inlineStr"/>
      <c r="E1321" s="5" t="inlineStr"/>
      <c r="F1321" s="5" t="inlineStr">
        <is>
          <t>İtibar +1, Dayanıklılık +1</t>
        </is>
      </c>
      <c r="G1321" s="6" t="inlineStr">
        <is>
          <t>Müşteriyi on dakika tuttun; hava durumunu, trafiği ve belediyeyi konuştunuz. Kuzen döndü, sattı. Sana “İyi oyaladın” dedi; ilk terfin buydu.</t>
        </is>
      </c>
      <c r="H1321" s="6" t="inlineStr"/>
      <c r="I1321" s="6" t="inlineStr"/>
      <c r="J1321" s="6" t="inlineStr"/>
      <c r="K1321" s="6" t="inlineStr"/>
      <c r="L1321" s="6" t="inlineStr"/>
      <c r="M1321" s="5" t="inlineStr"/>
      <c r="N1321" s="5" t="inlineStr"/>
      <c r="O1321" s="6" t="inlineStr"/>
      <c r="P1321" s="6" t="inlineStr"/>
      <c r="Q1321" s="5" t="inlineStr"/>
      <c r="R1321" s="5" t="inlineStr"/>
      <c r="S1321" s="5" t="inlineStr"/>
      <c r="T1321" s="5" t="inlineStr"/>
      <c r="U1321" s="5" t="inlineStr"/>
      <c r="V1321" s="5" t="inlineStr"/>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c r="AI1321" s="5" t="inlineStr"/>
    </row>
    <row r="1322">
      <c r="A1322" s="5" t="inlineStr">
        <is>
          <t>b6-tezgah-ilk-yil</t>
        </is>
      </c>
      <c r="B1322" s="5" t="n">
        <v>2</v>
      </c>
      <c r="C1322" s="6" t="inlineStr">
        <is>
          <t>Fiyatı sen söyle</t>
        </is>
      </c>
      <c r="D1322" s="5" t="inlineStr">
        <is>
          <t>Çene</t>
        </is>
      </c>
      <c r="E1322" s="5" t="inlineStr">
        <is>
          <t>Zor</t>
        </is>
      </c>
      <c r="F1322" s="5" t="inlineStr"/>
      <c r="G1322" s="6" t="inlineStr"/>
      <c r="H1322" s="6" t="inlineStr">
        <is>
          <t>Fiyatı söyledin, müşteri pazarlık etti, sen de ettin. Satış oldu. Kuzen tuvaletten çıkınca kasaya baktı, sonra sana baktı.</t>
        </is>
      </c>
      <c r="I1322" s="6" t="inlineStr">
        <is>
          <t>Müşteri iki tane aldı, bir de arkadaşını getirdi. Kuzen o akşam tezgâha ikinci bir sandalye koydu: “Bu senin.”</t>
        </is>
      </c>
      <c r="J1322" s="6" t="inlineStr">
        <is>
          <t>Fiyatı söyledin, müşteri güldü, gitti. Kuzen döndüğünde “Ne dedin?” diye sordu. Söylediğini tekrar etmedin.</t>
        </is>
      </c>
      <c r="K1322" s="6" t="inlineStr">
        <is>
          <t>Yanlışlıkla alış fiyatını söyledin. Müşteri üç kasa aldı. Kuzen o hafta seninle konuşmadı.</t>
        </is>
      </c>
      <c r="L1322" s="6" t="inlineStr"/>
      <c r="M1322" s="5" t="inlineStr"/>
      <c r="N1322" s="5" t="inlineStr"/>
      <c r="O1322" s="6" t="inlineStr"/>
      <c r="P1322" s="6" t="inlineStr"/>
      <c r="Q1322" s="5" t="inlineStr"/>
      <c r="R1322" s="5" t="inlineStr"/>
      <c r="S1322" s="5" t="inlineStr"/>
      <c r="T1322" s="5" t="inlineStr">
        <is>
          <t>Tezgâh Ağzı</t>
        </is>
      </c>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row>
    <row r="1323">
      <c r="A1323" s="5" t="inlineStr">
        <is>
          <t>b6-tezgah-ilk-yil</t>
        </is>
      </c>
      <c r="B1323" s="5" t="n">
        <v>3</v>
      </c>
      <c r="C1323" s="6" t="inlineStr">
        <is>
          <t>Kasadan “bahşiş” ayır</t>
        </is>
      </c>
      <c r="D1323" s="5" t="inlineStr">
        <is>
          <t>Kurnazlık</t>
        </is>
      </c>
      <c r="E1323" s="5" t="inlineStr">
        <is>
          <t>Orta</t>
        </is>
      </c>
      <c r="F1323" s="5" t="inlineStr"/>
      <c r="G1323" s="6" t="inlineStr"/>
      <c r="H1323" s="6" t="inlineStr">
        <is>
          <t>Günde biraz ayırdın, kimse fark etmedi. Kasa defterine kuzenin yazısıyla “Fire” diye geçti.</t>
        </is>
      </c>
      <c r="I1323" s="6" t="inlineStr">
        <is>
          <t>Öyle ustaca ayırdın ki ay sonu kasa fazla çıktı. Kuzen bunu bereket sandı; sana bir de zam yaptı.</t>
        </is>
      </c>
      <c r="J1323" s="6" t="inlineStr">
        <is>
          <t>Ayırdın, sonra vicdanın ağır bastı, geri koydun. Kuzen iki kere saydığı kasayı üçüncü kez saydı.</t>
        </is>
      </c>
      <c r="K1323" s="6" t="inlineStr">
        <is>
          <t>Kuzen kasayı sayarken cebinden bozukluklar döküldü. Şimdi tezgâhta cepsiz bir önlükle çalışıyorsun.</t>
        </is>
      </c>
      <c r="L1323" s="6" t="inlineStr"/>
      <c r="M1323" s="5" t="inlineStr"/>
      <c r="N1323" s="5" t="inlineStr"/>
      <c r="O1323" s="6" t="inlineStr"/>
      <c r="P1323" s="6" t="inlineStr"/>
      <c r="Q1323" s="5" t="inlineStr"/>
      <c r="R1323" s="5" t="inlineStr"/>
      <c r="S1323" s="5" t="inlineStr"/>
      <c r="T1323" s="5" t="inlineStr"/>
      <c r="U1323" s="5" t="inlineStr"/>
      <c r="V1323" s="5" t="inlineStr"/>
      <c r="W1323" s="5" t="inlineStr">
        <is>
          <t>yalanci</t>
        </is>
      </c>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row>
    <row r="1324">
      <c r="A1324" s="5" t="inlineStr">
        <is>
          <t>b6-abinin-cantasi</t>
        </is>
      </c>
      <c r="B1324" s="5" t="n">
        <v>1</v>
      </c>
      <c r="C1324" s="6" t="inlineStr">
        <is>
          <t>Açmadan götür</t>
        </is>
      </c>
      <c r="D1324" s="5" t="inlineStr"/>
      <c r="E1324" s="5" t="inlineStr"/>
      <c r="F1324" s="5" t="inlineStr">
        <is>
          <t>Pişkinlik +1, Dayanıklılık +1</t>
        </is>
      </c>
      <c r="G1324" s="6" t="inlineStr">
        <is>
          <t>Çantayı bıraktın, kahveci çay ısmarladı, çay bitmeden döndün. Abi “Aferin” dedi. Mahallede adın artık “Güvenilir.” Nedense bu seni sevindirmedi.</t>
        </is>
      </c>
      <c r="H1324" s="6" t="inlineStr"/>
      <c r="I1324" s="6" t="inlineStr"/>
      <c r="J1324" s="6" t="inlineStr"/>
      <c r="K1324" s="6" t="inlineStr"/>
      <c r="L1324" s="6" t="inlineStr"/>
      <c r="M1324" s="5" t="inlineStr"/>
      <c r="N1324" s="5" t="inlineStr"/>
      <c r="O1324" s="6" t="inlineStr"/>
      <c r="P1324" s="6" t="inlineStr"/>
      <c r="Q1324" s="5" t="inlineStr"/>
      <c r="R1324" s="5" t="inlineStr"/>
      <c r="S1324" s="5" t="inlineStr"/>
      <c r="T1324" s="5" t="inlineStr"/>
      <c r="U1324" s="5" t="inlineStr">
        <is>
          <t>abiye-borclu</t>
        </is>
      </c>
      <c r="V1324" s="5" t="inlineStr"/>
      <c r="W1324" s="5" t="inlineStr"/>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row>
    <row r="1325">
      <c r="A1325" s="5" t="inlineStr">
        <is>
          <t>b6-abinin-cantasi</t>
        </is>
      </c>
      <c r="B1325" s="5" t="n">
        <v>2</v>
      </c>
      <c r="C1325" s="6" t="inlineStr">
        <is>
          <t>Yolda içine bak</t>
        </is>
      </c>
      <c r="D1325" s="5" t="inlineStr">
        <is>
          <t>Kurnazlık</t>
        </is>
      </c>
      <c r="E1325" s="5" t="inlineStr">
        <is>
          <t>Orta</t>
        </is>
      </c>
      <c r="F1325" s="5" t="inlineStr"/>
      <c r="G1325" s="6" t="inlineStr"/>
      <c r="H1325" s="6" t="inlineStr">
        <is>
          <t>Çantada tapu fotokopileri, bir tespih ve yarım simit vardı. Neyin fotokopisi olduğunu okudun; şimdi abinin hangi arsalarla ilgilendiğini biliyorsun.</t>
        </is>
      </c>
      <c r="I1325" s="6" t="inlineStr">
        <is>
          <t>Fotokopileri telefonuna da çektin. Abinin bütün arsa işleri artık sende. Bunu kimseye söylemedin; henüz.</t>
        </is>
      </c>
      <c r="J1325" s="6" t="inlineStr">
        <is>
          <t>Fermuarı açarken sıkıştı. Çanta kahveye yarısı açık gitti. Kahveci sana uzun uzun baktı.</t>
        </is>
      </c>
      <c r="K1325" s="6" t="inlineStr">
        <is>
          <t>Çantayı açtığın an abinin arabası yanından geçti. Yarım simidin hesabını hâlâ soruyor.</t>
        </is>
      </c>
      <c r="L1325" s="6" t="inlineStr"/>
      <c r="M1325" s="5" t="inlineStr"/>
      <c r="N1325" s="5" t="inlineStr"/>
      <c r="O1325" s="6" t="inlineStr"/>
      <c r="P1325" s="6" t="inlineStr"/>
      <c r="Q1325" s="5" t="inlineStr"/>
      <c r="R1325" s="5" t="inlineStr"/>
      <c r="S1325" s="5" t="inlineStr"/>
      <c r="T1325" s="5" t="inlineStr"/>
      <c r="U1325" s="5" t="inlineStr"/>
      <c r="V1325" s="5" t="inlineStr">
        <is>
          <t>abiye-borclu</t>
        </is>
      </c>
      <c r="W1325" s="5" t="inlineStr">
        <is>
          <t>abiye-borclu</t>
        </is>
      </c>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row>
    <row r="1326">
      <c r="A1326" s="5" t="inlineStr">
        <is>
          <t>b6-abinin-cantasi</t>
        </is>
      </c>
      <c r="B1326" s="5" t="n">
        <v>3</v>
      </c>
      <c r="C1326" s="6" t="inlineStr">
        <is>
          <t>Çantayı karakola bırak</t>
        </is>
      </c>
      <c r="D1326" s="5" t="inlineStr">
        <is>
          <t>Cesaret</t>
        </is>
      </c>
      <c r="E1326" s="5" t="inlineStr">
        <is>
          <t>Zor</t>
        </is>
      </c>
      <c r="F1326" s="5" t="inlineStr"/>
      <c r="G1326" s="6" t="inlineStr"/>
      <c r="H1326" s="6" t="inlineStr">
        <is>
          <t>Komiser çantayı açtı, tapu fotokopilerine baktı, sana baktı. “Otur, çay iç” dedi. O günden sonra abinin kahvesine uğramadın; abi de seni aramadı.</t>
        </is>
      </c>
      <c r="I1326" s="6" t="inlineStr">
        <is>
          <t>Komiser seni bir kenara çekti: “Bizde okuyabilirsin, akademinin sınavı var.” Kartvizitini verdi. Abi olanları hiç öğrenmedi.</t>
        </is>
      </c>
      <c r="J1326" s="6" t="inlineStr">
        <is>
          <t>Karakolun kapısında döndün. Çantayı kahveye götürdün, bir saat geç. Abi saati sordu; sen “Trafik” dedin. Yürüyordun.</t>
        </is>
      </c>
      <c r="K1326" s="6" t="inlineStr">
        <is>
          <t>Komiser abinin kuzeni çıktı. Çanta abiye geri döndü; sen de sokağa. Mahallede artık iki yere de gidemiyorsun.</t>
        </is>
      </c>
      <c r="L1326" s="6" t="inlineStr"/>
      <c r="M1326" s="5" t="inlineStr"/>
      <c r="N1326" s="5" t="inlineStr"/>
      <c r="O1326" s="6" t="inlineStr"/>
      <c r="P1326" s="6" t="inlineStr"/>
      <c r="Q1326" s="5" t="inlineStr"/>
      <c r="R1326" s="5" t="inlineStr"/>
      <c r="S1326" s="5" t="inlineStr"/>
      <c r="T1326" s="5" t="inlineStr"/>
      <c r="U1326" s="5" t="inlineStr"/>
      <c r="V1326" s="5" t="inlineStr">
        <is>
          <t>komiser-tanidik</t>
        </is>
      </c>
      <c r="W1326" s="5" t="inlineStr"/>
      <c r="X1326" s="5" t="inlineStr">
        <is>
          <t>abinin-adami</t>
        </is>
      </c>
      <c r="Y1326" s="5" t="inlineStr"/>
      <c r="Z1326" s="6" t="inlineStr"/>
      <c r="AA1326" s="5" t="inlineStr">
        <is>
          <t>hepsi +1</t>
        </is>
      </c>
      <c r="AB1326" s="5" t="inlineStr"/>
      <c r="AC1326" s="5" t="inlineStr"/>
      <c r="AD1326" s="5" t="inlineStr"/>
      <c r="AE1326" s="5" t="inlineStr"/>
      <c r="AF1326" s="5" t="inlineStr"/>
      <c r="AG1326" s="5" t="inlineStr"/>
      <c r="AH1326" s="5" t="inlineStr"/>
      <c r="AI1326" s="5" t="inlineStr"/>
    </row>
    <row r="1327">
      <c r="A1327" s="5" t="inlineStr">
        <is>
          <t>b6-karakol-gecesi</t>
        </is>
      </c>
      <c r="B1327" s="5" t="n">
        <v>1</v>
      </c>
      <c r="C1327" s="6" t="inlineStr">
        <is>
          <t>Sus, sabahı bekle</t>
        </is>
      </c>
      <c r="D1327" s="5" t="inlineStr"/>
      <c r="E1327" s="5" t="inlineStr"/>
      <c r="F1327" s="5" t="inlineStr">
        <is>
          <t>Dayanıklılık +1</t>
        </is>
      </c>
      <c r="G1327" s="6" t="inlineStr">
        <is>
          <t>Sabah saat altıda kapı açıldı. “Yanlışlık olmuş” dendi. Yanlışlık gece boyunca senin yanında uyumuştu; davulcuydu.</t>
        </is>
      </c>
      <c r="H1327" s="6" t="inlineStr"/>
      <c r="I1327" s="6" t="inlineStr"/>
      <c r="J1327" s="6" t="inlineStr"/>
      <c r="K1327" s="6" t="inlineStr"/>
      <c r="L1327" s="6" t="inlineStr"/>
      <c r="M1327" s="5" t="inlineStr"/>
      <c r="N1327" s="5" t="inlineStr"/>
      <c r="O1327" s="6" t="inlineStr"/>
      <c r="P1327" s="6" t="inlineStr"/>
      <c r="Q1327" s="5" t="inlineStr"/>
      <c r="R1327" s="5" t="inlineStr"/>
      <c r="S1327" s="5" t="inlineStr"/>
      <c r="T1327" s="5" t="inlineStr"/>
      <c r="U1327" s="5" t="inlineStr"/>
      <c r="V1327" s="5" t="inlineStr"/>
      <c r="W1327" s="5" t="inlineStr"/>
      <c r="X1327" s="5" t="inlineStr"/>
      <c r="Y1327" s="5" t="inlineStr"/>
      <c r="Z1327" s="6" t="inlineStr"/>
      <c r="AA1327" s="5" t="inlineStr"/>
      <c r="AB1327" s="5" t="inlineStr"/>
      <c r="AC1327" s="5" t="inlineStr"/>
      <c r="AD1327" s="5" t="inlineStr"/>
      <c r="AE1327" s="5" t="inlineStr"/>
      <c r="AF1327" s="5" t="inlineStr"/>
      <c r="AG1327" s="5" t="inlineStr"/>
      <c r="AH1327" s="5" t="inlineStr"/>
      <c r="AI1327" s="5" t="inlineStr"/>
    </row>
    <row r="1328">
      <c r="A1328" s="5" t="inlineStr">
        <is>
          <t>b6-karakol-gecesi</t>
        </is>
      </c>
      <c r="B1328" s="5" t="n">
        <v>2</v>
      </c>
      <c r="C1328" s="6" t="inlineStr">
        <is>
          <t>Abiyi ara</t>
        </is>
      </c>
      <c r="D1328" s="5" t="inlineStr"/>
      <c r="E1328" s="5" t="inlineStr"/>
      <c r="F1328" s="5" t="inlineStr">
        <is>
          <t>Pişkinlik +1</t>
        </is>
      </c>
      <c r="G1328" s="6" t="inlineStr">
        <is>
          <t>Tek telefon hakkını abiye harcadın. Yirmi dakika sonra serbesttin. Abi seni kapıda bekliyordu: “Bunu da yazdım.”</t>
        </is>
      </c>
      <c r="H1328" s="6" t="inlineStr"/>
      <c r="I1328" s="6" t="inlineStr"/>
      <c r="J1328" s="6" t="inlineStr"/>
      <c r="K1328" s="6" t="inlineStr"/>
      <c r="L1328" s="6" t="inlineStr"/>
      <c r="M1328" s="5" t="inlineStr"/>
      <c r="N1328" s="5" t="inlineStr"/>
      <c r="O1328" s="6" t="inlineStr"/>
      <c r="P1328" s="6" t="inlineStr"/>
      <c r="Q1328" s="5" t="inlineStr"/>
      <c r="R1328" s="5" t="inlineStr">
        <is>
          <t>abinin-adami</t>
        </is>
      </c>
      <c r="S1328" s="5" t="inlineStr"/>
      <c r="T1328" s="5" t="inlineStr"/>
      <c r="U1328" s="5" t="inlineStr">
        <is>
          <t>abiye-borclu</t>
        </is>
      </c>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row>
    <row r="1329">
      <c r="A1329" s="5" t="inlineStr">
        <is>
          <t>b6-karakol-gecesi</t>
        </is>
      </c>
      <c r="B1329" s="5" t="n">
        <v>3</v>
      </c>
      <c r="C1329" s="6" t="inlineStr">
        <is>
          <t>Nöbetçi komiserle sohbet aç</t>
        </is>
      </c>
      <c r="D1329" s="5" t="inlineStr">
        <is>
          <t>Çene</t>
        </is>
      </c>
      <c r="E1329" s="5" t="inlineStr">
        <is>
          <t>Zor</t>
        </is>
      </c>
      <c r="F1329" s="5" t="inlineStr"/>
      <c r="G1329" s="6" t="inlineStr"/>
      <c r="H1329" s="6" t="inlineStr">
        <is>
          <t>Sabaha kadar konuştunuz: futbol, kira, komiserin kızının sınavı. Sabah seni kapıya kadar geçirdi. “Başın sıkışırsa ara” dedi.</t>
        </is>
      </c>
      <c r="I1329" s="6" t="inlineStr">
        <is>
          <t>Komiser o gece hayat hikâyesini anlattı, sen de dinledin. Sabah sana akademinin broşürünü verdi: “Senin gibi dinleyen lazım.”</t>
        </is>
      </c>
      <c r="J1329" s="6" t="inlineStr">
        <is>
          <t>Komiser seni dinledi ve bir cümleyle bitirdi: “Otur yerine.” Oturdun; davulcu yerini almıştı.</t>
        </is>
      </c>
      <c r="K1329" s="6" t="inlineStr">
        <is>
          <t>Sohbeti uzattıkça tutanak uzadı. Sabah çıktığında adın iki ayrı dosyadaydı.</t>
        </is>
      </c>
      <c r="L1329" s="6" t="inlineStr"/>
      <c r="M1329" s="5" t="inlineStr"/>
      <c r="N1329" s="5" t="inlineStr"/>
      <c r="O1329" s="6" t="inlineStr"/>
      <c r="P1329" s="6" t="inlineStr"/>
      <c r="Q1329" s="5" t="inlineStr"/>
      <c r="R1329" s="5" t="inlineStr"/>
      <c r="S1329" s="5" t="inlineStr"/>
      <c r="T1329" s="5" t="inlineStr"/>
      <c r="U1329" s="5" t="inlineStr"/>
      <c r="V1329" s="5" t="inlineStr">
        <is>
          <t>komiser-tanidik</t>
        </is>
      </c>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row>
    <row r="1330">
      <c r="A1330" s="5" t="inlineStr">
        <is>
          <t>b6-gurbet-ilk-kis</t>
        </is>
      </c>
      <c r="B1330" s="5" t="n">
        <v>1</v>
      </c>
      <c r="C1330" s="6" t="inlineStr">
        <is>
          <t>Memleketten gelenleri bul</t>
        </is>
      </c>
      <c r="D1330" s="5" t="inlineStr"/>
      <c r="E1330" s="5" t="inlineStr"/>
      <c r="F1330" s="5" t="inlineStr">
        <is>
          <t>İtibar +1, Sosyal Radar +1</t>
        </is>
      </c>
      <c r="G1330" s="6" t="inlineStr">
        <is>
          <t>Kampüste Makaryalı öğrencileri buldun. Her cumartesi birinin odasında çay demleniyor; pencereden bakınca kar yağıyor, içeride bayram.</t>
        </is>
      </c>
      <c r="H1330" s="6" t="inlineStr"/>
      <c r="I1330" s="6" t="inlineStr"/>
      <c r="J1330" s="6" t="inlineStr"/>
      <c r="K1330" s="6" t="inlineStr"/>
      <c r="L1330" s="6" t="inlineStr"/>
      <c r="M1330" s="5" t="inlineStr"/>
      <c r="N1330" s="5" t="inlineStr"/>
      <c r="O1330" s="6" t="inlineStr"/>
      <c r="P1330" s="6" t="inlineStr"/>
      <c r="Q1330" s="5" t="inlineStr"/>
      <c r="R1330" s="5" t="inlineStr"/>
      <c r="S1330" s="5" t="inlineStr"/>
      <c r="T1330" s="5" t="inlineStr"/>
      <c r="U1330" s="5" t="inlineStr"/>
      <c r="V1330" s="5" t="inlineStr"/>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row>
    <row r="1331">
      <c r="A1331" s="5" t="inlineStr">
        <is>
          <t>b6-gurbet-ilk-kis</t>
        </is>
      </c>
      <c r="B1331" s="5" t="n">
        <v>2</v>
      </c>
      <c r="C1331" s="6" t="inlineStr">
        <is>
          <t>Ortak mutfakta yemek yap, kokusuyla herkesi topla</t>
        </is>
      </c>
      <c r="D1331" s="5" t="inlineStr">
        <is>
          <t>Sosyal Radar</t>
        </is>
      </c>
      <c r="E1331" s="5" t="inlineStr">
        <is>
          <t>Zor</t>
        </is>
      </c>
      <c r="F1331" s="5" t="inlineStr"/>
      <c r="G1331" s="6" t="inlineStr"/>
      <c r="H1331" s="6" t="inlineStr">
        <is>
          <t>Mercimek çorbasının kokusu koridoru sardı. Üç kişi kapıyı çaldı; biri kaşığını kendisi getirmişti. Artık her perşembe çorba günü.</t>
        </is>
      </c>
      <c r="I1331" s="6" t="inlineStr">
        <is>
          <t>Mutfak senin sayende bir kulübe dönüştü. Yerli arkadaşların “Makarya” kelimesini doğru telaffuz etmeye başladı; neredeyse.</t>
        </is>
      </c>
      <c r="J1331" s="6" t="inlineStr">
        <is>
          <t>Çorbayı yaptın, koridor memleket koktu. Kimse kapıyı çalmadı. Kâseni pencerenin önünde tek başına içtin; dışarıda kar vardı.</t>
        </is>
      </c>
      <c r="K1331" s="6" t="inlineStr">
        <is>
          <t>Yangın alarmı çaldı, bütün yurt dışarıda üşüdü. Mutfak kapısına adını yazan bir uyarı asıldı. Doğru yazmışlar.</t>
        </is>
      </c>
      <c r="L1331" s="6" t="inlineStr"/>
      <c r="M1331" s="5" t="inlineStr"/>
      <c r="N1331" s="5" t="inlineStr"/>
      <c r="O1331" s="6" t="inlineStr"/>
      <c r="P1331" s="6" t="inlineStr"/>
      <c r="Q1331" s="5" t="inlineStr"/>
      <c r="R1331" s="5" t="inlineStr"/>
      <c r="S1331" s="5" t="inlineStr"/>
      <c r="T1331" s="5" t="inlineStr">
        <is>
          <t>İki Dilli Rüya</t>
        </is>
      </c>
      <c r="U1331" s="5" t="inlineStr"/>
      <c r="V1331" s="5" t="inlineStr">
        <is>
          <t>yabanci-dil</t>
        </is>
      </c>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c r="AI1331" s="5" t="inlineStr"/>
    </row>
    <row r="1332">
      <c r="A1332" s="5" t="inlineStr">
        <is>
          <t>b6-gurbet-ilk-kis</t>
        </is>
      </c>
      <c r="B1332" s="5" t="n">
        <v>3</v>
      </c>
      <c r="C1332" s="6" t="inlineStr">
        <is>
          <t>Derslere gömül</t>
        </is>
      </c>
      <c r="D1332" s="5" t="inlineStr">
        <is>
          <t>Akıl</t>
        </is>
      </c>
      <c r="E1332" s="5" t="inlineStr">
        <is>
          <t>Orta</t>
        </is>
      </c>
      <c r="F1332" s="5" t="inlineStr"/>
      <c r="G1332" s="6" t="inlineStr"/>
      <c r="H1332" s="6" t="inlineStr">
        <is>
          <t>İlk dönem notların iyi geldi. Annen telefonda “Yemek yiyor musun?” diye sordu; notları sormadı bile. Biliyordu.</t>
        </is>
      </c>
      <c r="I1332" s="6" t="inlineStr">
        <is>
          <t>Dönem birincisi oldun. Ailen bunu aile grubuna attı; teyzen “Orada da mı sınav var?” diye sordu.</t>
        </is>
      </c>
      <c r="J1332" s="6" t="inlineStr">
        <is>
          <t>Derslere gömüldün ama dil gömülmedi. Sınavda soruyu anlamak yirmi dakikanı aldı.</t>
        </is>
      </c>
      <c r="K1332" s="6" t="inlineStr">
        <is>
          <t>Kütüphanede sabahladın, sınavı uyuyarak kaçırdın. Hocan “Kültürel fark” diye not düştü.</t>
        </is>
      </c>
      <c r="L1332" s="6" t="inlineStr"/>
      <c r="M1332" s="5" t="inlineStr"/>
      <c r="N1332" s="5" t="inlineStr"/>
      <c r="O1332" s="6" t="inlineStr"/>
      <c r="P1332" s="6" t="inlineStr"/>
      <c r="Q1332" s="5" t="inlineStr"/>
      <c r="R1332" s="5" t="inlineStr"/>
      <c r="S1332" s="5" t="inlineStr"/>
      <c r="T1332" s="5" t="inlineStr"/>
      <c r="U1332" s="5" t="inlineStr"/>
      <c r="V1332" s="5" t="inlineStr"/>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row>
    <row r="1333">
      <c r="A1333" s="5" t="inlineStr">
        <is>
          <t>b6-gurbet-garson</t>
        </is>
      </c>
      <c r="B1333" s="5" t="n">
        <v>1</v>
      </c>
      <c r="C1333" s="6" t="inlineStr">
        <is>
          <t>Tabağı taşı, bahşişi topla</t>
        </is>
      </c>
      <c r="D1333" s="5" t="inlineStr"/>
      <c r="E1333" s="5" t="inlineStr"/>
      <c r="F1333" s="5" t="inlineStr">
        <is>
          <t>Dayanıklılık +1</t>
        </is>
      </c>
      <c r="G1333" s="6" t="inlineStr">
        <is>
          <t>Bir dönem boyunca tabak taşıdın. Bahşişlerle bir kış montu aldın. Mont memlekettekinden iki kat pahalı, yarısı kadar sıcak.</t>
        </is>
      </c>
      <c r="H1333" s="6" t="inlineStr"/>
      <c r="I1333" s="6" t="inlineStr"/>
      <c r="J1333" s="6" t="inlineStr"/>
      <c r="K1333" s="6" t="inlineStr"/>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row>
    <row r="1334">
      <c r="A1334" s="5" t="inlineStr">
        <is>
          <t>b6-gurbet-garson</t>
        </is>
      </c>
      <c r="B1334" s="5" t="n">
        <v>2</v>
      </c>
      <c r="C1334" s="6" t="inlineStr">
        <is>
          <t>Kahveye köpükle desen çizmeyi öğren</t>
        </is>
      </c>
      <c r="D1334" s="5" t="inlineStr">
        <is>
          <t>Akıl</t>
        </is>
      </c>
      <c r="E1334" s="5" t="inlineStr">
        <is>
          <t>Orta</t>
        </is>
      </c>
      <c r="F1334" s="5" t="inlineStr"/>
      <c r="G1334" s="6" t="inlineStr"/>
      <c r="H1334" s="6" t="inlineStr">
        <is>
          <t>Üçüncü haftada köpükle kalp çizdin. Fotoğrafını annene attın, annen aile grubuna. Teyzen “Kalp mi bu, armut mu?” diye yazdı.</t>
        </is>
      </c>
      <c r="I1334" s="6" t="inlineStr">
        <is>
          <t>Köpükle Makarya haritası çizdin. Kafe bunu menüye koydu: “Memleket.” Pahalı.</t>
        </is>
      </c>
      <c r="J1334" s="6" t="inlineStr">
        <is>
          <t>Kalp çizmeye çalıştın; çıkan şey bir patatesti. Müşteri memnun, çünkü patates severmiş.</t>
        </is>
      </c>
      <c r="K1334" s="6" t="inlineStr">
        <is>
          <t>Süt köpürtücüyle eline köpük değil süt püskürttün. Müdür seni bulaşığa aldı; orada desen yok.</t>
        </is>
      </c>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row>
    <row r="1335">
      <c r="A1335" s="5" t="inlineStr">
        <is>
          <t>b6-gurbet-garson</t>
        </is>
      </c>
      <c r="B1335" s="5" t="n">
        <v>3</v>
      </c>
      <c r="C1335" s="6" t="inlineStr">
        <is>
          <t>Müdürden daha iyi saat pazarlık et</t>
        </is>
      </c>
      <c r="D1335" s="5" t="inlineStr">
        <is>
          <t>Çene</t>
        </is>
      </c>
      <c r="E1335" s="5" t="inlineStr">
        <is>
          <t>Zor</t>
        </is>
      </c>
      <c r="F1335" s="5" t="inlineStr"/>
      <c r="G1335" s="6" t="inlineStr"/>
      <c r="H1335" s="6" t="inlineStr">
        <is>
          <t>Sınav haftası izinli, bayram sabahı da izinli. Müdür bayramın ne olduğunu sordu; anlattın. Ertesi yıl senden önce o hatırladı, bir de baklava istedi.</t>
        </is>
      </c>
      <c r="I1335" s="6" t="inlineStr">
        <is>
          <t>Müdür seni vardiya sorumlusu yaptı. Artık sen pazarlık ediliyorsun.</t>
        </is>
      </c>
      <c r="J1335" s="6" t="inlineStr">
        <is>
          <t>Müdür seni dinledi ve kafenin broşürünü uzattı: “Başka kafeler de var.”</t>
        </is>
      </c>
      <c r="K1335" s="6" t="inlineStr">
        <is>
          <t>Pazarlığın ortasında iki kelimeyi karıştırdın; “vardiya” diyecekken müdürün annesi hakkında bir şey söylemiş oldun. Önlüğü kapıda bıraktın; kafenin önünden artık karşı kaldırımdan geçiyorsun.</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row>
    <row r="1336">
      <c r="A1336" s="5" t="inlineStr">
        <is>
          <t>b6-gurbet-bayram</t>
        </is>
      </c>
      <c r="B1336" s="5" t="n">
        <v>1</v>
      </c>
      <c r="C1336" s="6" t="inlineStr">
        <is>
          <t>Herkesle tek tek konuş</t>
        </is>
      </c>
      <c r="D1336" s="5" t="inlineStr"/>
      <c r="E1336" s="5" t="inlineStr"/>
      <c r="F1336" s="5" t="inlineStr">
        <is>
          <t>Gönül +1</t>
        </is>
      </c>
      <c r="G1336" s="6" t="inlineStr">
        <is>
          <t>Kırk dakika boyunca on dört kişiyle konuştun. Dedenin eli ekrana değdi; sen de kendi ekranına. Telefonun ısındı, sen de.</t>
        </is>
      </c>
      <c r="H1336" s="6" t="inlineStr"/>
      <c r="I1336" s="6" t="inlineStr"/>
      <c r="J1336" s="6" t="inlineStr"/>
      <c r="K1336" s="6" t="inlineStr"/>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c r="AI1336" s="5" t="inlineStr"/>
    </row>
    <row r="1337">
      <c r="A1337" s="5" t="inlineStr">
        <is>
          <t>b6-gurbet-bayram</t>
        </is>
      </c>
      <c r="B1337" s="5" t="n">
        <v>2</v>
      </c>
      <c r="C1337" s="6" t="inlineStr">
        <is>
          <t>Uçak bileti bul, sürpriz yap</t>
        </is>
      </c>
      <c r="D1337" s="5" t="inlineStr">
        <is>
          <t>Kurnazlık</t>
        </is>
      </c>
      <c r="E1337" s="5" t="inlineStr">
        <is>
          <t>Zor</t>
        </is>
      </c>
      <c r="F1337" s="5" t="inlineStr"/>
      <c r="G1337" s="6" t="inlineStr"/>
      <c r="H1337" s="6" t="inlineStr">
        <is>
          <t>Gece yarısı indirimli bir bilet buldun, aktarmalı, on dokuz saat. Kapıyı çaldığında annen elindeki tabağı düşürdü; tabak kırıldı, kimse umursamadı.</t>
        </is>
      </c>
      <c r="I1337" s="6" t="inlineStr">
        <is>
          <t>Bilet o kadar ucuzdu ki bir de amcan için aldın. Bayramı iki yerde, iki kez yaşadın; biri memlekette, biri aktarmada.</t>
        </is>
      </c>
      <c r="J1337" s="6" t="inlineStr">
        <is>
          <t>Bilet aradın, bulamadın. Bulduğun tek bilet bayramdan sonraki güne. Annen “Gel yine de” dedi.</t>
        </is>
      </c>
      <c r="K1337" s="6" t="inlineStr">
        <is>
          <t>Bileti aldın, aktarmayı kaçırdın. Bayramı bir havalimanında, kendi ekranından izledin.</t>
        </is>
      </c>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row>
    <row r="1338">
      <c r="A1338" s="5" t="inlineStr">
        <is>
          <t>b6-gurbet-bayram</t>
        </is>
      </c>
      <c r="B1338" s="5" t="n">
        <v>3</v>
      </c>
      <c r="C1338" s="6" t="inlineStr">
        <is>
          <t>Aramayı kısa tut, derse dön</t>
        </is>
      </c>
      <c r="D1338" s="5" t="inlineStr"/>
      <c r="E1338" s="5" t="inlineStr"/>
      <c r="F1338" s="5" t="inlineStr">
        <is>
          <t>Akıl +1</t>
        </is>
      </c>
      <c r="G1338" s="6" t="inlineStr">
        <is>
          <t>“Sınavım var” dedin. Doğruydu; ama asıl sebep ekranda ağlayan teyzendi. Teyzen de bunu biliyordu.</t>
        </is>
      </c>
      <c r="H1338" s="6" t="inlineStr"/>
      <c r="I1338" s="6" t="inlineStr"/>
      <c r="J1338" s="6" t="inlineStr"/>
      <c r="K1338" s="6" t="inlineStr"/>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is>
          <t>Şen -1, Yalçın -1</t>
        </is>
      </c>
      <c r="AB1338" s="5" t="inlineStr"/>
      <c r="AC1338" s="5" t="inlineStr"/>
      <c r="AD1338" s="5" t="inlineStr"/>
      <c r="AE1338" s="5" t="inlineStr"/>
      <c r="AF1338" s="5" t="inlineStr"/>
      <c r="AG1338" s="5" t="inlineStr"/>
      <c r="AH1338" s="5" t="inlineStr"/>
      <c r="AI1338" s="5" t="inlineStr"/>
    </row>
    <row r="1339">
      <c r="A1339" s="5" t="inlineStr">
        <is>
          <t>b6-donus-bileti</t>
        </is>
      </c>
      <c r="B1339" s="5" t="n">
        <v>1</v>
      </c>
      <c r="C1339" s="6" t="inlineStr">
        <is>
          <t>Kal, burada iş bul</t>
        </is>
      </c>
      <c r="D1339" s="5" t="inlineStr">
        <is>
          <t>Akıl</t>
        </is>
      </c>
      <c r="E1339" s="5" t="inlineStr">
        <is>
          <t>Zor</t>
        </is>
      </c>
      <c r="F1339" s="5" t="inlineStr"/>
      <c r="G1339" s="6" t="inlineStr"/>
      <c r="H1339" s="6" t="inlineStr">
        <is>
          <t>Üç ayda on dört başvuru, bir teklif. Vizen uzatıldı. Annen haberi aldığında “Aferin” dedi, sonra telefonu kapattı ve ağladı.</t>
        </is>
      </c>
      <c r="I1339" s="6" t="inlineStr">
        <is>
          <t>İki şirket seni istedi. Pazarlık ettin ve kazandın. Maaşını memlekettekilere söylemedin; kur hesabı yapıyorlar.</t>
        </is>
      </c>
      <c r="J1339" s="6" t="inlineStr">
        <is>
          <t>İş çıkmadı ama vize uzadı. Kafeye geri döndün; bu sefer vardiya sorumlusu olarak. Kalmak da bir tür iş.</t>
        </is>
      </c>
      <c r="K1339" s="6" t="inlineStr">
        <is>
          <t>Başvuruların hiçbirine cevap gelmedi, vizen de bitmek üzere. Kafede çalışarak kalıyorsun; yarı yasal, tam yorgun.</t>
        </is>
      </c>
      <c r="L1339" s="6" t="inlineStr"/>
      <c r="M1339" s="5" t="inlineStr"/>
      <c r="N1339" s="5" t="inlineStr"/>
      <c r="O1339" s="6" t="inlineStr"/>
      <c r="P1339" s="6" t="inlineStr"/>
      <c r="Q1339" s="5" t="inlineStr"/>
      <c r="R1339" s="5" t="inlineStr"/>
      <c r="S1339" s="5" t="inlineStr"/>
      <c r="T1339" s="5" t="inlineStr"/>
      <c r="U1339" s="5" t="inlineStr"/>
      <c r="V1339" s="5" t="inlineStr">
        <is>
          <t>hat-goc, meslek-beyazyaka</t>
        </is>
      </c>
      <c r="W1339" s="5" t="inlineStr"/>
      <c r="X1339" s="5" t="inlineStr"/>
      <c r="Y1339" s="5" t="inlineStr"/>
      <c r="Z1339" s="6" t="inlineStr"/>
      <c r="AA1339" s="5" t="inlineStr">
        <is>
          <t>Varlı +1, Şen -1, Yalçın -1</t>
        </is>
      </c>
      <c r="AB1339" s="5" t="inlineStr">
        <is>
          <t>hat-goc, meslek-serbest</t>
        </is>
      </c>
      <c r="AC1339" s="5" t="inlineStr"/>
      <c r="AD1339" s="5" t="inlineStr">
        <is>
          <t>Rahat</t>
        </is>
      </c>
      <c r="AE1339" s="5" t="inlineStr"/>
      <c r="AF1339" s="5" t="inlineStr"/>
      <c r="AG1339" s="5" t="inlineStr"/>
      <c r="AH1339" s="5" t="inlineStr"/>
      <c r="AI1339" s="5" t="inlineStr"/>
    </row>
    <row r="1340">
      <c r="A1340" s="5" t="inlineStr">
        <is>
          <t>b6-donus-bileti</t>
        </is>
      </c>
      <c r="B1340" s="5" t="n">
        <v>2</v>
      </c>
      <c r="C1340" s="6" t="inlineStr">
        <is>
          <t>Buradaki dostlarının şirketine gir</t>
        </is>
      </c>
      <c r="D1340" s="5" t="inlineStr">
        <is>
          <t>Sosyal Radar</t>
        </is>
      </c>
      <c r="E1340" s="5" t="inlineStr">
        <is>
          <t>Orta</t>
        </is>
      </c>
      <c r="F1340" s="5" t="inlineStr"/>
      <c r="G1340" s="6" t="inlineStr"/>
      <c r="H1340" s="6" t="inlineStr">
        <is>
          <t>Arkadaşının şirketi seni işe aldı. İlk gün seni herkese “Bizim Makaryalı” diye tanıttılar. İsmini öğrenmeleri üç ay sürdü.</t>
        </is>
      </c>
      <c r="I1340" s="6" t="inlineStr">
        <is>
          <t>Arkadaşların seni bir kurucu olarak aldı. Hisse verdiler; değeri şimdilik bir pizza kadar, ama büyük boy.</t>
        </is>
      </c>
      <c r="J1340" s="6" t="inlineStr">
        <is>
          <t>Arkadaşının şirketi batmak üzereydi. Seni işe aldılar, maaşı sonra vereceklermiş. Sonrası hâlâ gelmedi.</t>
        </is>
      </c>
      <c r="K1340" s="6" t="inlineStr">
        <is>
          <t>Şirket seni aldığı hafta battı. Kalmayı seçtin; bu sefer kafede, bu sefer müdür arkadaşın.</t>
        </is>
      </c>
      <c r="L1340" s="6" t="inlineStr"/>
      <c r="M1340" s="5" t="inlineStr"/>
      <c r="N1340" s="5" t="inlineStr"/>
      <c r="O1340" s="6" t="inlineStr"/>
      <c r="P1340" s="6" t="inlineStr"/>
      <c r="Q1340" s="5" t="inlineStr"/>
      <c r="R1340" s="5" t="inlineStr">
        <is>
          <t>yabanci-dil</t>
        </is>
      </c>
      <c r="S1340" s="5" t="inlineStr"/>
      <c r="T1340" s="5" t="inlineStr"/>
      <c r="U1340" s="5" t="inlineStr"/>
      <c r="V1340" s="5" t="inlineStr">
        <is>
          <t>hat-goc, meslek-beyazyaka</t>
        </is>
      </c>
      <c r="W1340" s="5" t="inlineStr"/>
      <c r="X1340" s="5" t="inlineStr"/>
      <c r="Y1340" s="5" t="inlineStr"/>
      <c r="Z1340" s="6" t="inlineStr"/>
      <c r="AA1340" s="5" t="inlineStr"/>
      <c r="AB1340" s="5" t="inlineStr">
        <is>
          <t>hat-goc, meslek-serbest</t>
        </is>
      </c>
      <c r="AC1340" s="5" t="inlineStr"/>
      <c r="AD1340" s="5" t="inlineStr">
        <is>
          <t>Rahat</t>
        </is>
      </c>
      <c r="AE1340" s="5" t="inlineStr"/>
      <c r="AF1340" s="5" t="inlineStr"/>
      <c r="AG1340" s="5" t="inlineStr"/>
      <c r="AH1340" s="5" t="inlineStr"/>
      <c r="AI1340" s="5" t="inlineStr"/>
    </row>
    <row r="1341">
      <c r="A1341" s="5" t="inlineStr">
        <is>
          <t>b6-donus-bileti</t>
        </is>
      </c>
      <c r="B1341" s="5" t="n">
        <v>3</v>
      </c>
      <c r="C1341" s="6" t="inlineStr">
        <is>
          <t>Dön, diplomanla plazaya gir</t>
        </is>
      </c>
      <c r="D1341" s="5" t="inlineStr"/>
      <c r="E1341" s="5" t="inlineStr"/>
      <c r="F1341" s="5" t="inlineStr">
        <is>
          <t>İtibar +1, Çene +1</t>
        </is>
      </c>
      <c r="G1341" s="6" t="inlineStr">
        <is>
          <t>Tek yön bilet aldın. Havalimanında on iki akraba seni karşıladı; biri yalnızca havalimanını görmeye gelmişti. İki hafta sonra bir plazada başladın; koridorda adın “Öte Diyar görmüş”.</t>
        </is>
      </c>
      <c r="H1341" s="6" t="inlineStr"/>
      <c r="I1341" s="6" t="inlineStr"/>
      <c r="J1341" s="6" t="inlineStr"/>
      <c r="K1341" s="6" t="inlineStr"/>
      <c r="L1341" s="6" t="inlineStr"/>
      <c r="M1341" s="5" t="inlineStr"/>
      <c r="N1341" s="5" t="inlineStr"/>
      <c r="O1341" s="6" t="inlineStr"/>
      <c r="P1341" s="6" t="inlineStr"/>
      <c r="Q1341" s="5" t="inlineStr"/>
      <c r="R1341" s="5" t="inlineStr"/>
      <c r="S1341" s="5" t="inlineStr"/>
      <c r="T1341" s="5" t="inlineStr"/>
      <c r="U1341" s="5" t="inlineStr">
        <is>
          <t>yurtdan-dondu, meslek-beyazyaka</t>
        </is>
      </c>
      <c r="V1341" s="5" t="inlineStr"/>
      <c r="W1341" s="5" t="inlineStr"/>
      <c r="X1341" s="5" t="inlineStr"/>
      <c r="Y1341" s="5" t="inlineStr"/>
      <c r="Z1341" s="6" t="inlineStr"/>
      <c r="AA1341" s="5" t="inlineStr">
        <is>
          <t>hepsi +1</t>
        </is>
      </c>
      <c r="AB1341" s="5" t="inlineStr"/>
      <c r="AC1341" s="5" t="inlineStr"/>
      <c r="AD1341" s="5" t="inlineStr">
        <is>
          <t>Orta</t>
        </is>
      </c>
      <c r="AE1341" s="5" t="inlineStr"/>
      <c r="AF1341" s="5" t="inlineStr"/>
      <c r="AG1341" s="5" t="inlineStr"/>
      <c r="AH1341" s="5" t="inlineStr"/>
      <c r="AI1341" s="5" t="inlineStr"/>
    </row>
    <row r="1342">
      <c r="A1342" s="5" t="inlineStr">
        <is>
          <t>b6-donus-bileti</t>
        </is>
      </c>
      <c r="B1342" s="5" t="n">
        <v>4</v>
      </c>
      <c r="C1342" s="6" t="inlineStr">
        <is>
          <t>Dön, orada gördüğün işi burada kur</t>
        </is>
      </c>
      <c r="D1342" s="5" t="inlineStr">
        <is>
          <t>Kurnazlık</t>
        </is>
      </c>
      <c r="E1342" s="5" t="inlineStr">
        <is>
          <t>Zor</t>
        </is>
      </c>
      <c r="F1342" s="5" t="inlineStr"/>
      <c r="G1342" s="6" t="inlineStr"/>
      <c r="H1342" s="6" t="inlineStr">
        <is>
          <t>Öte Diyar'da her köşede olan bir işi Makarya'da ilk sen açtın. İlk ay kimse ne olduğunu anlamadı, ikinci ay kuyruk vardı.</t>
        </is>
      </c>
      <c r="I1342" s="6" t="inlineStr">
        <is>
          <t>Fikrini bir yatırımcıya anlattın; yatırımcı kendi kuzenine anlattı. Sonunda ikisi de ortağın oldu.</t>
        </is>
      </c>
      <c r="J1342" s="6" t="inlineStr">
        <is>
          <t>İşi kurdun, Makarya anlamadı. Kapattın ve bir plazaya başvurdun; özgeçmişinde “girişimcilik deneyimi” yazıyor.</t>
        </is>
      </c>
      <c r="K1342" s="6" t="inlineStr">
        <is>
          <t>Kurduğun iş, açıldığı hafta karşısında açılan bir kopyasına yenildi. Kopyanın adı seninkinden daha iyiydi.</t>
        </is>
      </c>
      <c r="L1342" s="6" t="inlineStr"/>
      <c r="M1342" s="5" t="inlineStr"/>
      <c r="N1342" s="5" t="inlineStr"/>
      <c r="O1342" s="6" t="inlineStr"/>
      <c r="P1342" s="6" t="inlineStr"/>
      <c r="Q1342" s="5" t="inlineStr"/>
      <c r="R1342" s="5" t="inlineStr"/>
      <c r="S1342" s="5" t="inlineStr"/>
      <c r="T1342" s="5" t="inlineStr"/>
      <c r="U1342" s="5" t="inlineStr"/>
      <c r="V1342" s="5" t="inlineStr">
        <is>
          <t>hat-girisimci, meslek-serbest, yurtdan-dondu</t>
        </is>
      </c>
      <c r="W1342" s="5" t="inlineStr"/>
      <c r="X1342" s="5" t="inlineStr"/>
      <c r="Y1342" s="5" t="inlineStr"/>
      <c r="Z1342" s="6" t="inlineStr"/>
      <c r="AA1342" s="5" t="inlineStr">
        <is>
          <t>hepsi +1</t>
        </is>
      </c>
      <c r="AB1342" s="5" t="inlineStr">
        <is>
          <t>yurtdan-dondu, meslek-beyazyaka</t>
        </is>
      </c>
      <c r="AC1342" s="5" t="inlineStr"/>
      <c r="AD1342" s="5" t="inlineStr">
        <is>
          <t>Orta</t>
        </is>
      </c>
      <c r="AE1342" s="5" t="inlineStr"/>
      <c r="AF1342" s="5" t="inlineStr"/>
      <c r="AG1342" s="5" t="inlineStr"/>
      <c r="AH1342" s="5" t="inlineStr"/>
      <c r="AI1342" s="5" t="inlineStr"/>
    </row>
    <row r="1343">
      <c r="A1343" s="5" t="inlineStr">
        <is>
          <t>b6-evden-okul</t>
        </is>
      </c>
      <c r="B1343" s="5" t="n">
        <v>1</v>
      </c>
      <c r="C1343" s="6" t="inlineStr">
        <is>
          <t>Kurala uy, on birde evde ol</t>
        </is>
      </c>
      <c r="D1343" s="5" t="inlineStr"/>
      <c r="E1343" s="5" t="inlineStr"/>
      <c r="F1343" s="5" t="inlineStr">
        <is>
          <t>Dayanıklılık +1, Gönül +1</t>
        </is>
      </c>
      <c r="G1343" s="6" t="inlineStr">
        <is>
          <t>Her akşam on bire beş kala anahtar kilitte döndü. Arkadaşların sana “Külkedisi” diyor. Buzdolabı dolu; Külkedisi'nin böyle bir imkânı yoktu.</t>
        </is>
      </c>
      <c r="H1343" s="6" t="inlineStr"/>
      <c r="I1343" s="6" t="inlineStr"/>
      <c r="J1343" s="6" t="inlineStr"/>
      <c r="K1343" s="6" t="inlineStr"/>
      <c r="L1343" s="6" t="inlineStr"/>
      <c r="M1343" s="5" t="inlineStr"/>
      <c r="N1343" s="5" t="inlineStr"/>
      <c r="O1343" s="6" t="inlineStr"/>
      <c r="P1343" s="6" t="inlineStr"/>
      <c r="Q1343" s="5" t="inlineStr"/>
      <c r="R1343" s="5" t="inlineStr"/>
      <c r="S1343" s="5" t="inlineStr"/>
      <c r="T1343" s="5" t="inlineStr"/>
      <c r="U1343" s="5" t="inlineStr"/>
      <c r="V1343" s="5" t="inlineStr"/>
      <c r="W1343" s="5" t="inlineStr"/>
      <c r="X1343" s="5" t="inlineStr"/>
      <c r="Y1343" s="5" t="inlineStr"/>
      <c r="Z1343" s="6" t="inlineStr"/>
      <c r="AA1343" s="5" t="inlineStr">
        <is>
          <t>hepsi +1</t>
        </is>
      </c>
      <c r="AB1343" s="5" t="inlineStr"/>
      <c r="AC1343" s="5" t="inlineStr"/>
      <c r="AD1343" s="5" t="inlineStr"/>
      <c r="AE1343" s="5" t="inlineStr"/>
      <c r="AF1343" s="5" t="inlineStr"/>
      <c r="AG1343" s="5" t="inlineStr"/>
      <c r="AH1343" s="5" t="inlineStr"/>
      <c r="AI1343" s="5" t="inlineStr"/>
    </row>
    <row r="1344">
      <c r="A1344" s="5" t="inlineStr">
        <is>
          <t>b6-evden-okul</t>
        </is>
      </c>
      <c r="B1344" s="5" t="n">
        <v>2</v>
      </c>
      <c r="C1344" s="6" t="inlineStr">
        <is>
          <t>Saati bire çıkarmak için pazarlık et</t>
        </is>
      </c>
      <c r="D1344" s="5" t="inlineStr">
        <is>
          <t>Çene</t>
        </is>
      </c>
      <c r="E1344" s="5" t="inlineStr">
        <is>
          <t>Orta</t>
        </is>
      </c>
      <c r="F1344" s="5" t="inlineStr"/>
      <c r="G1344" s="6" t="inlineStr"/>
      <c r="H1344" s="6" t="inlineStr">
        <is>
          <t>Saat yarım saat esnedi. “Kütüphane” kelimesinin evde bu kadar güçlü olduğunu bilmiyordun.</t>
        </is>
      </c>
      <c r="I1344" s="6" t="inlineStr">
        <is>
          <t>Pazarlık öyle iyi geçti ki cumartesileri saat sınırı kalktı. Annen bunu kendi fikri sandı.</t>
        </is>
      </c>
      <c r="J1344" s="6" t="inlineStr">
        <is>
          <t>Pazarlık bir saat sürdü; saat on bir olarak kaldı, üstüne bir de “Kiminlesin?” sorusu eklendi.</t>
        </is>
      </c>
      <c r="K1344" s="6" t="inlineStr">
        <is>
          <t>Pazarlığın ortasında telefonuna bir mesaj geldi: “Bu gece nereye?” Annen okudu. Saat on oldu.</t>
        </is>
      </c>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c r="AB1344" s="5" t="inlineStr"/>
      <c r="AC1344" s="5" t="inlineStr"/>
      <c r="AD1344" s="5" t="inlineStr"/>
      <c r="AE1344" s="5" t="inlineStr"/>
      <c r="AF1344" s="5" t="inlineStr"/>
      <c r="AG1344" s="5" t="inlineStr"/>
      <c r="AH1344" s="5" t="inlineStr"/>
      <c r="AI1344" s="5" t="inlineStr"/>
    </row>
    <row r="1345">
      <c r="A1345" s="5" t="inlineStr">
        <is>
          <t>b6-evden-okul</t>
        </is>
      </c>
      <c r="B1345" s="5" t="n">
        <v>3</v>
      </c>
      <c r="C1345" s="6" t="inlineStr">
        <is>
          <t>Gizlice geç gel</t>
        </is>
      </c>
      <c r="D1345" s="5" t="inlineStr">
        <is>
          <t>Kurnazlık</t>
        </is>
      </c>
      <c r="E1345" s="5" t="inlineStr">
        <is>
          <t>Zor</t>
        </is>
      </c>
      <c r="F1345" s="5" t="inlineStr"/>
      <c r="G1345" s="6" t="inlineStr"/>
      <c r="H1345" s="6" t="inlineStr">
        <is>
          <t>Anahtarı sessizce çevirmeyi, üçüncü basamağı atlamayı öğrendin. Evde bir hayalet yaşıyor; notları iyi.</t>
        </is>
      </c>
      <c r="I1345" s="6" t="inlineStr">
        <is>
          <t>Sistemin öyle sağlam ki bir gece annen senden geç geldi. İkiniz de bir şey demediniz.</t>
        </is>
      </c>
      <c r="J1345" s="6" t="inlineStr">
        <is>
          <t>Üçüncü basamak gıcırdadı. Işık yandı. Babanın sorusu kısaydı: “Saat?”</t>
        </is>
      </c>
      <c r="K1345" s="6" t="inlineStr">
        <is>
          <t>Kapıyı açtığında salonda annen, baban ve teyzen oturuyordu. Teyzen o gece sizde kalmıştı; tanık olarak.</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row>
    <row r="1346">
      <c r="A1346" s="5" t="inlineStr">
        <is>
          <t>b6-bolum-ilk-yil</t>
        </is>
      </c>
      <c r="B1346" s="5" t="n">
        <v>1</v>
      </c>
      <c r="C1346" s="6" t="inlineStr">
        <is>
          <t>Derslere gir, not al, çık</t>
        </is>
      </c>
      <c r="D1346" s="5" t="inlineStr"/>
      <c r="E1346" s="5" t="inlineStr"/>
      <c r="F1346" s="5" t="inlineStr">
        <is>
          <t>Akıl +1, Dayanıklılık +1</t>
        </is>
      </c>
      <c r="G1346" s="6" t="inlineStr">
        <is>
          <t>Bir yıl boyunca derslere girdin, çıktın. Annen notlarını sordu; “İyi” dedin. “İyi ne kadar iyi?” dedi. Orta kadar.</t>
        </is>
      </c>
      <c r="H1346" s="6" t="inlineStr"/>
      <c r="I1346" s="6" t="inlineStr"/>
      <c r="J1346" s="6" t="inlineStr"/>
      <c r="K1346" s="6" t="inlineStr"/>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row>
    <row r="1347">
      <c r="A1347" s="5" t="inlineStr">
        <is>
          <t>b6-bolum-ilk-yil</t>
        </is>
      </c>
      <c r="B1347" s="5" t="n">
        <v>2</v>
      </c>
      <c r="C1347" s="6" t="inlineStr">
        <is>
          <t>Adliyede duruşma izle</t>
        </is>
      </c>
      <c r="D1347" s="5" t="inlineStr">
        <is>
          <t>Sosyal Radar</t>
        </is>
      </c>
      <c r="E1347" s="5" t="inlineStr">
        <is>
          <t>Orta</t>
        </is>
      </c>
      <c r="F1347" s="5" t="inlineStr"/>
      <c r="G1347" s="6" t="inlineStr"/>
      <c r="H1347" s="6" t="inlineStr">
        <is>
          <t>Arka sırada üç duruşma izledin. Hâkimin kalemi masaya vurduğu an, bütün salonun nefesini tuttuğunu gördün. Bu salonu bir gün kendin susturmak istiyorsun.</t>
        </is>
      </c>
      <c r="I1347" s="6" t="inlineStr">
        <is>
          <t>Bir avukat seni fark etti ve dosyasını taşımanı istedi. Dosya ağırdı; teklifi daha da ağırdı: “Yazın stajyerim ol.”</t>
        </is>
      </c>
      <c r="J1347" s="6" t="inlineStr">
        <is>
          <t>Yanlış salona girdin. Bir boşanma davasını sonuna kadar izledin; tarafların ikisi de sana baktı.</t>
        </is>
      </c>
      <c r="K1347" s="6" t="inlineStr">
        <is>
          <t>Duruşmada telefonun çaldı. Hâkim seni “salona saygısızlık” diye uyardı. Tutanaktaki ilk adın bu.</t>
        </is>
      </c>
      <c r="L1347" s="6" t="inlineStr"/>
      <c r="M1347" s="5" t="inlineStr"/>
      <c r="N1347" s="5" t="inlineStr"/>
      <c r="O1347" s="6" t="inlineStr"/>
      <c r="P1347" s="6" t="inlineStr"/>
      <c r="Q1347" s="5" t="inlineStr"/>
      <c r="R1347" s="5" t="inlineStr">
        <is>
          <t>bolum-hukuk</t>
        </is>
      </c>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row>
    <row r="1348">
      <c r="A1348" s="5" t="inlineStr">
        <is>
          <t>b6-bolum-ilk-yil</t>
        </is>
      </c>
      <c r="B1348" s="5" t="n">
        <v>3</v>
      </c>
      <c r="C1348" s="6" t="inlineStr">
        <is>
          <t>İçtimada en önde dur</t>
        </is>
      </c>
      <c r="D1348" s="5" t="inlineStr">
        <is>
          <t>Dayanıklılık</t>
        </is>
      </c>
      <c r="E1348" s="5" t="inlineStr">
        <is>
          <t>Orta</t>
        </is>
      </c>
      <c r="F1348" s="5" t="inlineStr"/>
      <c r="G1348" s="6" t="inlineStr"/>
      <c r="H1348" s="6" t="inlineStr">
        <is>
          <t>Sabah altıda en öndeydin. Komiser amir adını sordu, ertesi gün adınla seslendi. Babana anlattın; baban o akşam iki kez sordu: “Adını mı söyledi?”</t>
        </is>
      </c>
      <c r="I1348" s="6" t="inlineStr">
        <is>
          <t>Bütün yıl hiç geç kalmadın. Tören günü sancağı sen taşıdın; annen fotoğrafı çerçevelettirdi, baban cüzdanına koydu.</t>
        </is>
      </c>
      <c r="J1348" s="6" t="inlineStr">
        <is>
          <t>En önde durdun, sonra bayıldın. Revirde uyandığında hemşire “Kahvaltı?” diye sordu. Yapmamıştın.</t>
        </is>
      </c>
      <c r="K1348" s="6" t="inlineStr">
        <is>
          <t>İçtimada yanlış tarafa döndün. Bütün sıra seninle döndü. Komiser amir “Yeni bir düzen mi?” diye sordu.</t>
        </is>
      </c>
      <c r="L1348" s="6" t="inlineStr"/>
      <c r="M1348" s="5" t="inlineStr"/>
      <c r="N1348" s="5" t="inlineStr"/>
      <c r="O1348" s="6" t="inlineStr"/>
      <c r="P1348" s="6" t="inlineStr"/>
      <c r="Q1348" s="5" t="inlineStr"/>
      <c r="R1348" s="5" t="inlineStr">
        <is>
          <t>bolum-emniyet</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row>
    <row r="1349">
      <c r="A1349" s="5" t="inlineStr">
        <is>
          <t>b6-bolum-ilk-yil</t>
        </is>
      </c>
      <c r="B1349" s="5" t="n">
        <v>4</v>
      </c>
      <c r="C1349" s="6" t="inlineStr">
        <is>
          <t>Laboratuvardaki arızayı sen çöz</t>
        </is>
      </c>
      <c r="D1349" s="5" t="inlineStr">
        <is>
          <t>Akıl</t>
        </is>
      </c>
      <c r="E1349" s="5" t="inlineStr">
        <is>
          <t>Orta</t>
        </is>
      </c>
      <c r="F1349" s="5" t="inlineStr"/>
      <c r="G1349" s="6" t="inlineStr"/>
      <c r="H1349" s="6" t="inlineStr">
        <is>
          <t>Hocanın çözemediği cihazı sen çözdün; kablo takılı değilmiş. Asistan seni o günden beri “Mühendis Bey” diye çağırıyor.</t>
        </is>
      </c>
      <c r="I1349" s="6" t="inlineStr">
        <is>
          <t>Cihazı çözdün, bir de programını düzelttin. Hoca seni araştırma grubuna aldı; maaşı yok, anahtarı var.</t>
        </is>
      </c>
      <c r="J1349" s="6" t="inlineStr">
        <is>
          <t>Cihaz açıldı, ekranda bir hata kodu belirdi. Hocaya gösterdin; hoca da çözemedi. İkiniz cihazı kapattınız ve hiç açılmamış gibi davrandınız.</t>
        </is>
      </c>
      <c r="K1349" s="6" t="inlineStr">
        <is>
          <t>Kabloyu yanlış yere taktın. Bölümün bütün sigortaları attı. Adın panoda: “Bu öğrenci prize yaklaşamaz.”</t>
        </is>
      </c>
      <c r="L1349" s="6" t="inlineStr"/>
      <c r="M1349" s="5" t="inlineStr"/>
      <c r="N1349" s="5" t="inlineStr"/>
      <c r="O1349" s="6" t="inlineStr"/>
      <c r="P1349" s="6" t="inlineStr"/>
      <c r="Q1349" s="5" t="inlineStr"/>
      <c r="R1349" s="5" t="inlineStr">
        <is>
          <t>bolum-muhendislik</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row>
    <row r="1350">
      <c r="A1350" s="5" t="inlineStr">
        <is>
          <t>b6-bolum-ilk-yil</t>
        </is>
      </c>
      <c r="B1350" s="5" t="n">
        <v>5</v>
      </c>
      <c r="C1350" s="6" t="inlineStr">
        <is>
          <t>İlk seçmeye gir</t>
        </is>
      </c>
      <c r="D1350" s="5" t="inlineStr">
        <is>
          <t>Pişkinlik</t>
        </is>
      </c>
      <c r="E1350" s="5" t="inlineStr">
        <is>
          <t>Orta</t>
        </is>
      </c>
      <c r="F1350" s="5" t="inlineStr"/>
      <c r="G1350" s="6" t="inlineStr"/>
      <c r="H1350" s="6" t="inlineStr">
        <is>
          <t>Sahnede üç dakikan vardı; iki dakika elli saniye kullandın. Jüri seni hatırladı; bir de ismini.</t>
        </is>
      </c>
      <c r="I1350" s="6" t="inlineStr">
        <is>
          <t>Jüri seni bir reklam filminin setine önerdi. İlk rolün: “Çayını yudumlayan mutlu genç.” Çay soğuktu.</t>
        </is>
      </c>
      <c r="J1350" s="6" t="inlineStr">
        <is>
          <t>Seçmede metni unuttun ve doğaçlama yaptın. Jüri “Bu metinde öyle bir sahne yok” dedi.</t>
        </is>
      </c>
      <c r="K1350" s="6" t="inlineStr">
        <is>
          <t>Sahneye çıkarken perdeye takıldın. Perde indi. Jüri bunu performans sandı, puanını yine de vermedi.</t>
        </is>
      </c>
      <c r="L1350" s="6" t="inlineStr"/>
      <c r="M1350" s="5" t="inlineStr"/>
      <c r="N1350" s="5" t="inlineStr"/>
      <c r="O1350" s="6" t="inlineStr"/>
      <c r="P1350" s="6" t="inlineStr"/>
      <c r="Q1350" s="5" t="inlineStr"/>
      <c r="R1350" s="5" t="inlineStr">
        <is>
          <t>bolum-iletisim</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row>
    <row r="1351">
      <c r="A1351" s="5" t="inlineStr">
        <is>
          <t>b6-bolum-ilk-yil</t>
        </is>
      </c>
      <c r="B1351" s="5" t="n">
        <v>6</v>
      </c>
      <c r="C1351" s="6" t="inlineStr">
        <is>
          <t>Kantinde vaka analizi yap</t>
        </is>
      </c>
      <c r="D1351" s="5" t="inlineStr">
        <is>
          <t>Kurnazlık</t>
        </is>
      </c>
      <c r="E1351" s="5" t="inlineStr">
        <is>
          <t>Orta</t>
        </is>
      </c>
      <c r="F1351" s="5" t="inlineStr"/>
      <c r="G1351" s="6" t="inlineStr"/>
      <c r="H1351" s="6" t="inlineStr">
        <is>
          <t>Kantincinin tost fiyatlarını analiz ettin ve yeni bir menü önerdin. Kantinci uyguladı; kârın yüzde onu sana tost olarak dönüyor.</t>
        </is>
      </c>
      <c r="I1351" s="6" t="inlineStr">
        <is>
          <t>Analizini ödev olarak da teslim ettin. Hoca bunu yayına çevirmek istedi; kantinci de ortaklık.</t>
        </is>
      </c>
      <c r="J1351" s="6" t="inlineStr">
        <is>
          <t>Kantinci analizini dinledi ve fiyatları artırdı. Sonucu şimdi bütün bölüm ödüyor.</t>
        </is>
      </c>
      <c r="K1351" s="6" t="inlineStr">
        <is>
          <t>Analizini kantinin duvarına astın. Ertesi gün tost fiyatı arttı ve bütün bölüm seni suçladı. Kantinci artık sana “Hocam” diyor; tostunu da en son veriyor.</t>
        </is>
      </c>
      <c r="L1351" s="6" t="inlineStr"/>
      <c r="M1351" s="5" t="inlineStr"/>
      <c r="N1351" s="5" t="inlineStr"/>
      <c r="O1351" s="6" t="inlineStr"/>
      <c r="P1351" s="6" t="inlineStr"/>
      <c r="Q1351" s="5" t="inlineStr"/>
      <c r="R1351" s="5" t="inlineStr">
        <is>
          <t>bolum-isletme</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row>
    <row r="1352">
      <c r="A1352" s="5" t="inlineStr">
        <is>
          <t>b6-bolum-ilk-yil</t>
        </is>
      </c>
      <c r="B1352" s="5" t="n">
        <v>7</v>
      </c>
      <c r="C1352" s="6" t="inlineStr">
        <is>
          <t>Kadavra dersinde ayakta kal</t>
        </is>
      </c>
      <c r="D1352" s="5" t="inlineStr">
        <is>
          <t>Dayanıklılık</t>
        </is>
      </c>
      <c r="E1352" s="5" t="inlineStr">
        <is>
          <t>Orta</t>
        </is>
      </c>
      <c r="F1352" s="5" t="inlineStr"/>
      <c r="G1352" s="6" t="inlineStr"/>
      <c r="H1352" s="6" t="inlineStr">
        <is>
          <t>Herkes birer birer dışarı çıkarken sen kaldın. Hoca sana başıyla onay verdi; tıp fakültesinde bu bir alkıştır.</t>
        </is>
      </c>
      <c r="I1352" s="6" t="inlineStr">
        <is>
          <t>Dersin sonunda hoca seni asistanı yaptı. Aile grubunda artık her semptom sana soruluyor; teyzen fotoğraf da atıyor.</t>
        </is>
      </c>
      <c r="J1352" s="6" t="inlineStr">
        <is>
          <t>Ayakta kaldın ama rengin kalmadı. Hoca seni koridora çıkardı: “Bir çay iç, sonra gel.” Gelmedin.</t>
        </is>
      </c>
      <c r="K1352" s="6" t="inlineStr">
        <is>
          <t>Bayıldın; üstelik yanındaki arkadaşının üstüne. O da bayıldı, arkasındaki de. Fakültede adın artık “Domino”.</t>
        </is>
      </c>
      <c r="L1352" s="6" t="inlineStr">
        <is>
          <t>Ayakta kaldın ama dersin yarısını tavana bakarak dinledin. Notların daha çok tavanla ilgili.</t>
        </is>
      </c>
      <c r="M1352" s="5" t="inlineStr">
        <is>
          <t>breath</t>
        </is>
      </c>
      <c r="N1352" s="5" t="inlineStr">
        <is>
          <t>Derin Nefes</t>
        </is>
      </c>
      <c r="O1352" s="6" t="inlineStr">
        <is>
          <t>Daire büyürken nefes al, küçülürken ver. Ritmi kaçırırsan yer ayağının altından kayar.</t>
        </is>
      </c>
      <c r="P1352" s="6" t="inlineStr"/>
      <c r="Q1352" s="5" t="inlineStr"/>
      <c r="R1352" s="5" t="inlineStr">
        <is>
          <t>bolum-tip</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is>
          <t>Domino</t>
        </is>
      </c>
    </row>
    <row r="1353">
      <c r="A1353" s="5" t="inlineStr">
        <is>
          <t>b6-evden-cikis</t>
        </is>
      </c>
      <c r="B1353" s="5" t="n">
        <v>1</v>
      </c>
      <c r="C1353" s="6" t="inlineStr">
        <is>
          <t>Ailenin yanında kal</t>
        </is>
      </c>
      <c r="D1353" s="5" t="inlineStr"/>
      <c r="E1353" s="5" t="inlineStr"/>
      <c r="F1353" s="5" t="inlineStr">
        <is>
          <t>Kurnazlık +1, Gönül +1</t>
        </is>
      </c>
      <c r="G1353" s="6" t="inlineStr">
        <is>
          <t>Kalmaya karar verdin. Annen o akşam en sevdiğin yemeği yaptı; baban da televizyonun kumandasını ilk kez sana uzattı. Kira yok, ama akşam dokuzda “Nereye?” var.</t>
        </is>
      </c>
      <c r="H1353" s="6" t="inlineStr"/>
      <c r="I1353" s="6" t="inlineStr"/>
      <c r="J1353" s="6" t="inlineStr"/>
      <c r="K1353" s="6" t="inlineStr"/>
      <c r="L1353" s="6" t="inlineStr"/>
      <c r="M1353" s="5" t="inlineStr"/>
      <c r="N1353" s="5" t="inlineStr"/>
      <c r="O1353" s="6" t="inlineStr"/>
      <c r="P1353" s="6" t="inlineStr"/>
      <c r="Q1353" s="5" t="inlineStr"/>
      <c r="R1353" s="5" t="inlineStr"/>
      <c r="S1353" s="5" t="inlineStr"/>
      <c r="T1353" s="5" t="inlineStr"/>
      <c r="U1353" s="5" t="inlineStr">
        <is>
          <t>evde-kaldi</t>
        </is>
      </c>
      <c r="V1353" s="5" t="inlineStr"/>
      <c r="W1353" s="5" t="inlineStr"/>
      <c r="X1353" s="5" t="inlineStr"/>
      <c r="Y1353" s="5" t="inlineStr"/>
      <c r="Z1353" s="6" t="inlineStr"/>
      <c r="AA1353" s="5" t="inlineStr">
        <is>
          <t>hepsi +1</t>
        </is>
      </c>
      <c r="AB1353" s="5" t="inlineStr"/>
      <c r="AC1353" s="5" t="inlineStr"/>
      <c r="AD1353" s="5" t="inlineStr"/>
      <c r="AE1353" s="5" t="inlineStr"/>
      <c r="AF1353" s="5" t="inlineStr"/>
      <c r="AG1353" s="5" t="inlineStr"/>
      <c r="AH1353" s="5" t="inlineStr"/>
      <c r="AI1353" s="5" t="inlineStr"/>
    </row>
    <row r="1354">
      <c r="A1354" s="5" t="inlineStr">
        <is>
          <t>b6-evden-cikis</t>
        </is>
      </c>
      <c r="B1354" s="5" t="n">
        <v>2</v>
      </c>
      <c r="C1354" s="6" t="inlineStr">
        <is>
          <t>Tek başına kiraya çık</t>
        </is>
      </c>
      <c r="D1354" s="5" t="inlineStr">
        <is>
          <t>Cesaret</t>
        </is>
      </c>
      <c r="E1354" s="5" t="inlineStr">
        <is>
          <t>Orta</t>
        </is>
      </c>
      <c r="F1354" s="5" t="inlineStr"/>
      <c r="G1354" s="6" t="inlineStr"/>
      <c r="H1354" s="6" t="inlineStr">
        <is>
          <t>Anahtarı aldın. İlk gece boş evde yankılanan kendi sesine alıştın. Buzdolabında sadece su var; su senin.</t>
        </is>
      </c>
      <c r="I1354" s="6" t="inlineStr">
        <is>
          <t>İlk ev şansına iyi çıktı: güneş alıyor, komşu sessiz, ev sahibi Öte Diyar'da. Böyle bir üçlü mahallede efsanedir; annen bile “Kıymetini bil” dedi.</t>
        </is>
      </c>
      <c r="J1354" s="6" t="inlineStr">
        <is>
          <t>Kontrat aşamasında depozito, emlakçı payı ve iki kira birden istendi. Cebine baktın; odana döndün.</t>
        </is>
      </c>
      <c r="K1354" s="6" t="inlineStr">
        <is>
          <t>Kontratı imzalamak üzereyken annen emlakçıyı aradı. Emlakçı annenin okul arkadaşı çıktı; kontrat yırtıldı, sana da çay koydular. Akşam annen odanı havalandırdı; “Ben demiştim” demedi, gözleri dedi.</t>
        </is>
      </c>
      <c r="L1354" s="6" t="inlineStr"/>
      <c r="M1354" s="5" t="inlineStr"/>
      <c r="N1354" s="5" t="inlineStr"/>
      <c r="O1354" s="6" t="inlineStr"/>
      <c r="P1354" s="6" t="inlineStr"/>
      <c r="Q1354" s="5" t="inlineStr"/>
      <c r="R1354" s="5" t="inlineStr"/>
      <c r="S1354" s="5" t="inlineStr"/>
      <c r="T1354" s="5" t="inlineStr"/>
      <c r="U1354" s="5" t="inlineStr"/>
      <c r="V1354" s="5" t="inlineStr">
        <is>
          <t>kiraci</t>
        </is>
      </c>
      <c r="W1354" s="5" t="inlineStr"/>
      <c r="X1354" s="5" t="inlineStr"/>
      <c r="Y1354" s="5" t="inlineStr"/>
      <c r="Z1354" s="6" t="inlineStr"/>
      <c r="AA1354" s="5" t="inlineStr">
        <is>
          <t>Şen -1, Yalçın -1, Tan +1</t>
        </is>
      </c>
      <c r="AB1354" s="5" t="inlineStr">
        <is>
          <t>evde-kaldi</t>
        </is>
      </c>
      <c r="AC1354" s="5" t="inlineStr">
        <is>
          <t>Kıt</t>
        </is>
      </c>
      <c r="AD1354" s="5" t="inlineStr"/>
      <c r="AE1354" s="5" t="inlineStr"/>
      <c r="AF1354" s="5" t="inlineStr"/>
      <c r="AG1354" s="5" t="inlineStr"/>
      <c r="AH1354" s="5" t="inlineStr"/>
      <c r="AI1354" s="5" t="inlineStr"/>
    </row>
    <row r="1355">
      <c r="A1355" s="5" t="inlineStr">
        <is>
          <t>b6-evden-cikis</t>
        </is>
      </c>
      <c r="B1355" s="5" t="n">
        <v>3</v>
      </c>
      <c r="C1355" s="6" t="inlineStr">
        <is>
          <t>Bir arkadaşla ev tut</t>
        </is>
      </c>
      <c r="D1355" s="5" t="inlineStr">
        <is>
          <t>Çene</t>
        </is>
      </c>
      <c r="E1355" s="5" t="inlineStr">
        <is>
          <t>Kolay</t>
        </is>
      </c>
      <c r="F1355" s="5" t="inlineStr"/>
      <c r="G1355" s="6" t="inlineStr"/>
      <c r="H1355" s="6" t="inlineStr">
        <is>
          <t>Arkadaşınla iki odalı bir yer tuttunuz. Kira yarı yarıya, buzdolabı rafı yarı yarıya; kavga tam.</t>
        </is>
      </c>
      <c r="I1355" s="6" t="inlineStr">
        <is>
          <t>Ev arkadaşın yemek yapıyor, sen bulaşığı. Annen ilk ziyarette buzdolabını açtı, uzun uzun baktı, kapattı. Hayatında ilk kez söyleyecek bir şey bulamadı.</t>
        </is>
      </c>
      <c r="J1355" s="6" t="inlineStr">
        <is>
          <t>Arkadaşın son anda sevgilisiyle taşınmaya karar verdi. Evin anahtarı elinde kaldı, kontrat onun adına. Odana döndün.</t>
        </is>
      </c>
      <c r="K1355" s="6" t="inlineStr">
        <is>
          <t>Evi tuttunuz. Arkadaşın ilk ay kirayı ödemedi, ikinci ay buzdolabındaki yoğurdunla birlikte ortadan kayboldu. Aile evine döndün; annen kapıda bir şey sormadı, sadece valizini aldı.</t>
        </is>
      </c>
      <c r="L1355" s="6" t="inlineStr"/>
      <c r="M1355" s="5" t="inlineStr"/>
      <c r="N1355" s="5" t="inlineStr"/>
      <c r="O1355" s="6" t="inlineStr"/>
      <c r="P1355" s="6" t="inlineStr"/>
      <c r="Q1355" s="5" t="inlineStr"/>
      <c r="R1355" s="5" t="inlineStr"/>
      <c r="S1355" s="5" t="inlineStr"/>
      <c r="T1355" s="5" t="inlineStr"/>
      <c r="U1355" s="5" t="inlineStr"/>
      <c r="V1355" s="5" t="inlineStr">
        <is>
          <t>ev-arkadasli</t>
        </is>
      </c>
      <c r="W1355" s="5" t="inlineStr"/>
      <c r="X1355" s="5" t="inlineStr"/>
      <c r="Y1355" s="5" t="inlineStr"/>
      <c r="Z1355" s="6" t="inlineStr"/>
      <c r="AA1355" s="5" t="inlineStr"/>
      <c r="AB1355" s="5" t="inlineStr">
        <is>
          <t>evde-kaldi</t>
        </is>
      </c>
      <c r="AC1355" s="5" t="inlineStr"/>
      <c r="AD1355" s="5" t="inlineStr"/>
      <c r="AE1355" s="5" t="inlineStr"/>
      <c r="AF1355" s="5" t="inlineStr"/>
      <c r="AG1355" s="5" t="inlineStr"/>
      <c r="AH1355" s="5" t="inlineStr"/>
      <c r="AI1355" s="5" t="inlineStr"/>
    </row>
    <row r="1356">
      <c r="A1356" s="5" t="inlineStr">
        <is>
          <t>b6-evden-cikis</t>
        </is>
      </c>
      <c r="B1356" s="5" t="n">
        <v>4</v>
      </c>
      <c r="C1356" s="6" t="inlineStr">
        <is>
          <t>Yurttan öğrenci evine geç</t>
        </is>
      </c>
      <c r="D1356" s="5" t="inlineStr"/>
      <c r="E1356" s="5" t="inlineStr"/>
      <c r="F1356" s="5" t="inlineStr">
        <is>
          <t>Sosyal Radar +1, Dayanıklılık +1</t>
        </is>
      </c>
      <c r="G1356" s="6" t="inlineStr">
        <is>
          <t>Dört kişi, üç oda, bir banyo. Salon aynı zamanda biri için yatak odası. Kapıda dört ayrı isim yazılı; posta hep başkasına gelir.</t>
        </is>
      </c>
      <c r="H1356" s="6" t="inlineStr"/>
      <c r="I1356" s="6" t="inlineStr"/>
      <c r="J1356" s="6" t="inlineStr"/>
      <c r="K1356" s="6" t="inlineStr"/>
      <c r="L1356" s="6" t="inlineStr"/>
      <c r="M1356" s="5" t="inlineStr"/>
      <c r="N1356" s="5" t="inlineStr"/>
      <c r="O1356" s="6" t="inlineStr"/>
      <c r="P1356" s="6" t="inlineStr"/>
      <c r="Q1356" s="5" t="inlineStr"/>
      <c r="R1356" s="5" t="inlineStr">
        <is>
          <t>baska-sehir</t>
        </is>
      </c>
      <c r="S1356" s="5" t="inlineStr"/>
      <c r="T1356" s="5" t="inlineStr"/>
      <c r="U1356" s="5" t="inlineStr">
        <is>
          <t>ev-arkadasli</t>
        </is>
      </c>
      <c r="V1356" s="5" t="inlineStr"/>
      <c r="W1356" s="5" t="inlineStr"/>
      <c r="X1356" s="5" t="inlineStr"/>
      <c r="Y1356" s="5" t="inlineStr"/>
      <c r="Z1356" s="6" t="inlineStr"/>
      <c r="AA1356" s="5" t="inlineStr"/>
      <c r="AB1356" s="5" t="inlineStr"/>
      <c r="AC1356" s="5" t="inlineStr"/>
      <c r="AD1356" s="5" t="inlineStr"/>
      <c r="AE1356" s="5" t="inlineStr"/>
      <c r="AF1356" s="5" t="inlineStr"/>
      <c r="AG1356" s="5" t="inlineStr"/>
      <c r="AH1356" s="5" t="inlineStr"/>
      <c r="AI1356" s="5" t="inlineStr"/>
    </row>
    <row r="1357">
      <c r="A1357" s="5" t="inlineStr">
        <is>
          <t>b6-evden-cikis</t>
        </is>
      </c>
      <c r="B1357" s="5" t="n">
        <v>5</v>
      </c>
      <c r="C1357" s="6" t="inlineStr">
        <is>
          <t>Abinin ayarladığı eve geç</t>
        </is>
      </c>
      <c r="D1357" s="5" t="inlineStr"/>
      <c r="E1357" s="5" t="inlineStr"/>
      <c r="F1357" s="5" t="inlineStr">
        <is>
          <t>Pişkinlik +1</t>
        </is>
      </c>
      <c r="G1357" s="6" t="inlineStr">
        <is>
          <t>Abi bir telefon açtı, ertesi gün anahtarın vardı. Kira yok dendi; ama her ayın biri kapına biri gelip “Abi selam söyledi” diyor.</t>
        </is>
      </c>
      <c r="H1357" s="6" t="inlineStr"/>
      <c r="I1357" s="6" t="inlineStr"/>
      <c r="J1357" s="6" t="inlineStr"/>
      <c r="K1357" s="6" t="inlineStr"/>
      <c r="L1357" s="6" t="inlineStr"/>
      <c r="M1357" s="5" t="inlineStr"/>
      <c r="N1357" s="5" t="inlineStr"/>
      <c r="O1357" s="6" t="inlineStr"/>
      <c r="P1357" s="6" t="inlineStr"/>
      <c r="Q1357" s="5" t="inlineStr"/>
      <c r="R1357" s="5" t="inlineStr">
        <is>
          <t>abinin-adami</t>
        </is>
      </c>
      <c r="S1357" s="5" t="inlineStr"/>
      <c r="T1357" s="5" t="inlineStr"/>
      <c r="U1357" s="5" t="inlineStr">
        <is>
          <t>kiraci, abiye-borclu</t>
        </is>
      </c>
      <c r="V1357" s="5" t="inlineStr"/>
      <c r="W1357" s="5" t="inlineStr"/>
      <c r="X1357" s="5" t="inlineStr"/>
      <c r="Y1357" s="5" t="inlineStr"/>
      <c r="Z1357" s="6" t="inlineStr"/>
      <c r="AA1357" s="5" t="inlineStr">
        <is>
          <t>hepsi -1</t>
        </is>
      </c>
      <c r="AB1357" s="5" t="inlineStr"/>
      <c r="AC1357" s="5" t="inlineStr"/>
      <c r="AD1357" s="5" t="inlineStr"/>
      <c r="AE1357" s="5" t="inlineStr"/>
      <c r="AF1357" s="5" t="inlineStr"/>
      <c r="AG1357" s="5" t="inlineStr"/>
      <c r="AH1357" s="5" t="inlineStr"/>
      <c r="AI1357" s="5" t="inlineStr"/>
    </row>
    <row r="1358">
      <c r="A1358" s="5" t="inlineStr">
        <is>
          <t>b6-evden-cikis</t>
        </is>
      </c>
      <c r="B1358" s="5" t="n">
        <v>6</v>
      </c>
      <c r="C1358" s="6" t="inlineStr">
        <is>
          <t>Ailenin aldığı daireye geç</t>
        </is>
      </c>
      <c r="D1358" s="5" t="inlineStr"/>
      <c r="E1358" s="5" t="inlineStr"/>
      <c r="F1358" s="5" t="inlineStr">
        <is>
          <t>Pişkinlik +1, Cesaret +1</t>
        </is>
      </c>
      <c r="G1358" s="6" t="inlineStr">
        <is>
          <t>Baban tapuyu gösterdi ama vermedi: “Tapu bende, anahtar sende.” Evinde kira yok, ama her pazar ziyaret var; habersiz.</t>
        </is>
      </c>
      <c r="H1358" s="6" t="inlineStr"/>
      <c r="I1358" s="6" t="inlineStr"/>
      <c r="J1358" s="6" t="inlineStr"/>
      <c r="K1358" s="6" t="inlineStr"/>
      <c r="L1358" s="6" t="inlineStr"/>
      <c r="M1358" s="5" t="inlineStr"/>
      <c r="N1358" s="5" t="inlineStr"/>
      <c r="O1358" s="6" t="inlineStr"/>
      <c r="P1358" s="6" t="inlineStr"/>
      <c r="Q1358" s="5" t="inlineStr"/>
      <c r="R1358" s="5" t="inlineStr"/>
      <c r="S1358" s="5" t="inlineStr"/>
      <c r="T1358" s="5" t="inlineStr"/>
      <c r="U1358" s="5" t="inlineStr">
        <is>
          <t>aile-dairesi</t>
        </is>
      </c>
      <c r="V1358" s="5" t="inlineStr"/>
      <c r="W1358" s="5" t="inlineStr"/>
      <c r="X1358" s="5" t="inlineStr"/>
      <c r="Y1358" s="5" t="inlineStr"/>
      <c r="Z1358" s="6" t="inlineStr"/>
      <c r="AA1358" s="5" t="inlineStr"/>
      <c r="AB1358" s="5" t="inlineStr"/>
      <c r="AC1358" s="5" t="inlineStr">
        <is>
          <t>Rahat</t>
        </is>
      </c>
      <c r="AD1358" s="5" t="inlineStr"/>
      <c r="AE1358" s="5" t="inlineStr"/>
      <c r="AF1358" s="5" t="inlineStr"/>
      <c r="AG1358" s="5" t="inlineStr"/>
      <c r="AH1358" s="5" t="inlineStr"/>
      <c r="AI1358" s="5" t="inlineStr"/>
    </row>
    <row r="1359">
      <c r="A1359" s="5" t="inlineStr">
        <is>
          <t>b6-evde-kalmak</t>
        </is>
      </c>
      <c r="B1359" s="5" t="n">
        <v>1</v>
      </c>
      <c r="C1359" s="6" t="inlineStr">
        <is>
          <t>Çıkartmayı sök, odayı yetişkinleştir</t>
        </is>
      </c>
      <c r="D1359" s="5" t="inlineStr"/>
      <c r="E1359" s="5" t="inlineStr"/>
      <c r="F1359" s="5" t="inlineStr">
        <is>
          <t>Cesaret +1</t>
        </is>
      </c>
      <c r="G1359" s="6" t="inlineStr">
        <is>
          <t>Çıkartmayı söktün; altından daha eski bir çıkartma çıktı. Oda sana direniyor, sen de odaya.</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c r="V1359" s="5" t="inlineStr"/>
      <c r="W1359" s="5" t="inlineStr"/>
      <c r="X1359" s="5" t="inlineStr"/>
      <c r="Y1359" s="5" t="inlineStr"/>
      <c r="Z1359" s="6" t="inlineStr"/>
      <c r="AA1359" s="5" t="inlineStr"/>
      <c r="AB1359" s="5" t="inlineStr"/>
      <c r="AC1359" s="5" t="inlineStr"/>
      <c r="AD1359" s="5" t="inlineStr"/>
      <c r="AE1359" s="5" t="inlineStr"/>
      <c r="AF1359" s="5" t="inlineStr"/>
      <c r="AG1359" s="5" t="inlineStr"/>
      <c r="AH1359" s="5" t="inlineStr"/>
      <c r="AI1359" s="5" t="inlineStr"/>
    </row>
    <row r="1360">
      <c r="A1360" s="5" t="inlineStr">
        <is>
          <t>b6-evde-kalmak</t>
        </is>
      </c>
      <c r="B1360" s="5" t="n">
        <v>2</v>
      </c>
      <c r="C1360" s="6" t="inlineStr">
        <is>
          <t>Eve katkı payı ver, söz hakkı iste</t>
        </is>
      </c>
      <c r="D1360" s="5" t="inlineStr">
        <is>
          <t>Çene</t>
        </is>
      </c>
      <c r="E1360" s="5" t="inlineStr">
        <is>
          <t>Orta</t>
        </is>
      </c>
      <c r="F1360" s="5" t="inlineStr"/>
      <c r="G1360" s="6" t="inlineStr"/>
      <c r="H1360" s="6" t="inlineStr">
        <is>
          <t>Her ay zarfı mutfak masasına bıraktın. Karşılığında akşam dokuz sorusu kalktı. Evde ilk kez bir kira sözleşmesi var; sözlü.</t>
        </is>
      </c>
      <c r="I1360" s="6" t="inlineStr">
        <is>
          <t>Katkı payını verdin, annen o parayı senin adına biriktirdi. Yıllar sonra ev peşinatın o zarftan çıkacak.</t>
        </is>
      </c>
      <c r="J1360" s="6" t="inlineStr">
        <is>
          <t>Zarfı bıraktın, annen geri verdi: “Evimizde para mı olur?” Söz hakkı da zarfla birlikte geri döndü.</t>
        </is>
      </c>
      <c r="K1360" s="6" t="inlineStr">
        <is>
          <t>Söz hakkı istedin, aile meclisi toplandı. Karar: söz hakkın var ama kullanım saati akşam dokuza kadar.</t>
        </is>
      </c>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row>
    <row r="1361">
      <c r="A1361" s="5" t="inlineStr">
        <is>
          <t>b6-evde-kalmak</t>
        </is>
      </c>
      <c r="B1361" s="5" t="n">
        <v>3</v>
      </c>
      <c r="C1361" s="6" t="inlineStr">
        <is>
          <t>Buzdolabı bursunun keyfini çıkar</t>
        </is>
      </c>
      <c r="D1361" s="5" t="inlineStr"/>
      <c r="E1361" s="5" t="inlineStr"/>
      <c r="F1361" s="5" t="inlineStr">
        <is>
          <t>Pişkinlik +1, Dayanıklılık +1</t>
        </is>
      </c>
      <c r="G1361" s="6" t="inlineStr">
        <is>
          <t>Maaşın cebinde, yemeğin masada, çamaşırın katlı. Arkadaşların kira öderken sen bir araba için para biriktiriyorsun. Kimse bunu kıskanmadığını söylüyor.</t>
        </is>
      </c>
      <c r="H1361" s="6" t="inlineStr"/>
      <c r="I1361" s="6" t="inlineStr"/>
      <c r="J1361" s="6" t="inlineStr"/>
      <c r="K1361" s="6" t="inlineStr"/>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is>
          <t>hepsi +1</t>
        </is>
      </c>
      <c r="AB1361" s="5" t="inlineStr"/>
      <c r="AC1361" s="5" t="inlineStr"/>
      <c r="AD1361" s="5" t="inlineStr"/>
      <c r="AE1361" s="5" t="inlineStr"/>
      <c r="AF1361" s="5" t="inlineStr"/>
      <c r="AG1361" s="5" t="inlineStr"/>
      <c r="AH1361" s="5" t="inlineStr"/>
      <c r="AI1361" s="5" t="inlineStr"/>
    </row>
    <row r="1362">
      <c r="A1362" s="5" t="inlineStr">
        <is>
          <t>b6-hayat-yolu</t>
        </is>
      </c>
      <c r="B1362" s="5" t="n">
        <v>1</v>
      </c>
      <c r="C1362" s="6" t="inlineStr">
        <is>
          <t>Kendi tezgâhını aç</t>
        </is>
      </c>
      <c r="D1362" s="5" t="inlineStr">
        <is>
          <t>Kurnazlık</t>
        </is>
      </c>
      <c r="E1362" s="5" t="inlineStr">
        <is>
          <t>Orta</t>
        </is>
      </c>
      <c r="F1362" s="5" t="inlineStr"/>
      <c r="G1362" s="6" t="inlineStr"/>
      <c r="H1362" s="6" t="inlineStr">
        <is>
          <t>Çarşının köşesinde küçük bir yer tuttun. Tabelayı kendin boyadın; bir harfi ters oldu. Müşteriler o harf için geliyor.</t>
        </is>
      </c>
      <c r="I1362" s="6" t="inlineStr">
        <is>
          <t>İlk haftada kira çıktı, ikinci haftada kâr. Karşı dükkân sana kendi çırağını yollayıp fiyat sordurdu.</t>
        </is>
      </c>
      <c r="J1362" s="6" t="inlineStr">
        <is>
          <t>Dükkânı açtın ama sermaye yetmedi; rafların yarısı borçla doldu. Tabela ise tam.</t>
        </is>
      </c>
      <c r="K1362" s="6" t="inlineStr">
        <is>
          <t>Açılışı yaptın, ertesi gün karşına bir zincir mağaza açıldı. Rafları borçla doldurdun; müşteriyi zincire kaptırdın.</t>
        </is>
      </c>
      <c r="L1362" s="6" t="inlineStr"/>
      <c r="M1362" s="5" t="inlineStr"/>
      <c r="N1362" s="5" t="inlineStr"/>
      <c r="O1362" s="6" t="inlineStr"/>
      <c r="P1362" s="6" t="inlineStr"/>
      <c r="Q1362" s="5" t="inlineStr"/>
      <c r="R1362" s="5" t="inlineStr"/>
      <c r="S1362" s="5" t="inlineStr"/>
      <c r="T1362" s="5" t="inlineStr"/>
      <c r="U1362" s="5" t="inlineStr"/>
      <c r="V1362" s="5" t="inlineStr">
        <is>
          <t>meslek-esnaf</t>
        </is>
      </c>
      <c r="W1362" s="5" t="inlineStr"/>
      <c r="X1362" s="5" t="inlineStr"/>
      <c r="Y1362" s="5" t="inlineStr"/>
      <c r="Z1362" s="6" t="inlineStr"/>
      <c r="AA1362" s="5" t="inlineStr">
        <is>
          <t>Keskin +1, Yalçın +1</t>
        </is>
      </c>
      <c r="AB1362" s="5" t="inlineStr">
        <is>
          <t>meslek-esnaf, borclu</t>
        </is>
      </c>
      <c r="AC1362" s="5" t="inlineStr"/>
      <c r="AD1362" s="5" t="inlineStr">
        <is>
          <t>Orta</t>
        </is>
      </c>
      <c r="AE1362" s="5" t="inlineStr"/>
      <c r="AF1362" s="5" t="inlineStr"/>
      <c r="AG1362" s="5" t="inlineStr"/>
      <c r="AH1362" s="5" t="inlineStr"/>
      <c r="AI1362" s="5" t="inlineStr"/>
    </row>
    <row r="1363">
      <c r="A1363" s="5" t="inlineStr">
        <is>
          <t>b6-hayat-yolu</t>
        </is>
      </c>
      <c r="B1363" s="5" t="n">
        <v>2</v>
      </c>
      <c r="C1363" s="6" t="inlineStr">
        <is>
          <t>Sanayide kendi ustalığını ilan et</t>
        </is>
      </c>
      <c r="D1363" s="5" t="inlineStr"/>
      <c r="E1363" s="5" t="inlineStr"/>
      <c r="F1363" s="5" t="inlineStr">
        <is>
          <t>Dayanıklılık +1, Akıl +1</t>
        </is>
      </c>
      <c r="G1363" s="6" t="inlineStr">
        <is>
          <t>Ustanın yanından ayrıldın, sanayide kendi kapını açtın. Usta kapıya bir çelenk gönderdi; üstünde “Beni unutma” yazıyor. Unutmayacaksın; çünkü müşterilerinin yarısı ondan.</t>
        </is>
      </c>
      <c r="H1363" s="6" t="inlineStr"/>
      <c r="I1363" s="6" t="inlineStr"/>
      <c r="J1363" s="6" t="inlineStr"/>
      <c r="K1363" s="6" t="inlineStr"/>
      <c r="L1363" s="6" t="inlineStr"/>
      <c r="M1363" s="5" t="inlineStr"/>
      <c r="N1363" s="5" t="inlineStr"/>
      <c r="O1363" s="6" t="inlineStr"/>
      <c r="P1363" s="6" t="inlineStr"/>
      <c r="Q1363" s="5" t="inlineStr"/>
      <c r="R1363" s="5" t="inlineStr">
        <is>
          <t>usta-eli</t>
        </is>
      </c>
      <c r="S1363" s="5" t="inlineStr"/>
      <c r="T1363" s="5" t="inlineStr"/>
      <c r="U1363" s="5" t="inlineStr">
        <is>
          <t>hat-usta, meslek-esnaf</t>
        </is>
      </c>
      <c r="V1363" s="5" t="inlineStr"/>
      <c r="W1363" s="5" t="inlineStr"/>
      <c r="X1363" s="5" t="inlineStr"/>
      <c r="Y1363" s="5" t="inlineStr"/>
      <c r="Z1363" s="6" t="inlineStr"/>
      <c r="AA1363" s="5" t="inlineStr">
        <is>
          <t>hepsi +1</t>
        </is>
      </c>
      <c r="AB1363" s="5" t="inlineStr"/>
      <c r="AC1363" s="5" t="inlineStr"/>
      <c r="AD1363" s="5" t="inlineStr">
        <is>
          <t>Orta</t>
        </is>
      </c>
      <c r="AE1363" s="5" t="inlineStr"/>
      <c r="AF1363" s="5" t="inlineStr"/>
      <c r="AG1363" s="5" t="inlineStr"/>
      <c r="AH1363" s="5" t="inlineStr"/>
      <c r="AI1363" s="5" t="inlineStr"/>
    </row>
    <row r="1364">
      <c r="A1364" s="5" t="inlineStr">
        <is>
          <t>b6-hayat-yolu</t>
        </is>
      </c>
      <c r="B1364" s="5" t="n">
        <v>3</v>
      </c>
      <c r="C1364" s="6" t="inlineStr">
        <is>
          <t>Devlet kapısı: kadro sınavına çalış</t>
        </is>
      </c>
      <c r="D1364" s="5" t="inlineStr">
        <is>
          <t>Akıl</t>
        </is>
      </c>
      <c r="E1364" s="5" t="inlineStr">
        <is>
          <t>Zor</t>
        </is>
      </c>
      <c r="F1364" s="5" t="inlineStr"/>
      <c r="G1364" s="6" t="inlineStr"/>
      <c r="H1364" s="6" t="inlineStr">
        <is>
          <t>Lise diplomasıyla sınava girdin ve geçtin. Annen komşulara bunu anlatırken “lise” kelimesini atladı.</t>
        </is>
      </c>
      <c r="I1364" s="6" t="inlineStr">
        <is>
          <t>Derece yaptın. “Okusaydın keşke” diyen teyzen aile grubuna yalnızca bir nazar boncuğu gönderdi. Teyzenden bundan büyük övgü çıkmaz.</t>
        </is>
      </c>
      <c r="J1364" s="6" t="inlineStr">
        <is>
          <t>Sınav olmadı. Çarşıda bir tezgâhın arkasına geçtin; tezgâhın sahibi seni “Memur Bey” diye çağırıyor.</t>
        </is>
      </c>
      <c r="K1364" s="6" t="inlineStr">
        <is>
          <t>Sınavda cevap kâğıdını imzalamadın. Kâğıt geçersiz sayıldı. Tezgâha döndün; orada imza yok, sadece veresiye.</t>
        </is>
      </c>
      <c r="L1364" s="6" t="inlineStr"/>
      <c r="M1364" s="5" t="inlineStr"/>
      <c r="N1364" s="5" t="inlineStr"/>
      <c r="O1364" s="6" t="inlineStr"/>
      <c r="P1364" s="6" t="inlineStr"/>
      <c r="Q1364" s="5" t="inlineStr"/>
      <c r="R1364" s="5" t="inlineStr"/>
      <c r="S1364" s="5" t="inlineStr"/>
      <c r="T1364" s="5" t="inlineStr"/>
      <c r="U1364" s="5" t="inlineStr"/>
      <c r="V1364" s="5" t="inlineStr">
        <is>
          <t>meslek-memur</t>
        </is>
      </c>
      <c r="W1364" s="5" t="inlineStr"/>
      <c r="X1364" s="5" t="inlineStr"/>
      <c r="Y1364" s="5" t="inlineStr"/>
      <c r="Z1364" s="6" t="inlineStr"/>
      <c r="AA1364" s="5" t="inlineStr">
        <is>
          <t>Erdem +1, Yalçın +1</t>
        </is>
      </c>
      <c r="AB1364" s="5" t="inlineStr">
        <is>
          <t>meslek-esnaf</t>
        </is>
      </c>
      <c r="AC1364" s="5" t="inlineStr"/>
      <c r="AD1364" s="5" t="inlineStr">
        <is>
          <t>Orta</t>
        </is>
      </c>
      <c r="AE1364" s="5" t="inlineStr"/>
      <c r="AF1364" s="5" t="inlineStr"/>
      <c r="AG1364" s="5" t="inlineStr"/>
      <c r="AH1364" s="5" t="inlineStr"/>
      <c r="AI1364" s="5" t="inlineStr"/>
    </row>
    <row r="1365">
      <c r="A1365" s="5" t="inlineStr">
        <is>
          <t>b6-hayat-yolu</t>
        </is>
      </c>
      <c r="B1365" s="5" t="n">
        <v>4</v>
      </c>
      <c r="C1365" s="6" t="inlineStr">
        <is>
          <t>Abinin işine gir</t>
        </is>
      </c>
      <c r="D1365" s="5" t="inlineStr"/>
      <c r="E1365" s="5" t="inlineStr"/>
      <c r="F1365" s="5" t="inlineStr">
        <is>
          <t>Pişkinlik +2</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row>
    <row r="1366">
      <c r="A1366" s="5" t="inlineStr">
        <is>
          <t>b6-hayat-yolu</t>
        </is>
      </c>
      <c r="B1366" s="5" t="n">
        <v>5</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Bir reklamı yanlış hesaptan paylaştın. Kedi takipçi kaybetti, sen de işi.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row>
    <row r="1367">
      <c r="A1367" s="5" t="inlineStr">
        <is>
          <t>b6-hayat-yolu</t>
        </is>
      </c>
      <c r="B1367" s="5" t="n">
        <v>6</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Kıt</t>
        </is>
      </c>
      <c r="AE1367" s="5" t="inlineStr"/>
      <c r="AF1367" s="5" t="inlineStr"/>
      <c r="AG1367" s="5" t="inlineStr"/>
      <c r="AH1367" s="5" t="inlineStr"/>
      <c r="AI1367" s="5" t="inlineStr"/>
    </row>
    <row r="1368">
      <c r="A1368" s="5" t="inlineStr">
        <is>
          <t>b6-hayat-yolu</t>
        </is>
      </c>
      <c r="B1368" s="5" t="n">
        <v>7</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row>
    <row r="1369">
      <c r="A1369" s="5" t="inlineStr">
        <is>
          <t>b6-hayat-yolu</t>
        </is>
      </c>
      <c r="B1369" s="5" t="n">
        <v>8</v>
      </c>
      <c r="C1369" s="6" t="inlineStr">
        <is>
          <t>Mahallenin kefaletiyle devlet kapısına gir</t>
        </is>
      </c>
      <c r="D1369" s="5" t="inlineStr">
        <is>
          <t>İtibar</t>
        </is>
      </c>
      <c r="E1369" s="5" t="inlineStr">
        <is>
          <t>Orta</t>
        </is>
      </c>
      <c r="F1369" s="5" t="inlineStr"/>
      <c r="G1369" s="6" t="inlineStr"/>
      <c r="H1369" s="6" t="inlineStr">
        <is>
          <t>Muhtar, mahallenin en yaşlı esnafı ve eski öğretmenin birer satır yazdı. Kadro sınavına o mektuplarla girdin; mülakatta herkes seni sordu.</t>
        </is>
      </c>
      <c r="I1369" s="6" t="inlineStr">
        <is>
          <t>Mülakat heyetindeki memur, kefil mektubundaki öğretmenin eski öğrencisiydi. Görüşme beş dakika sürdü; dördü öğretmeni anmakla geçti.</t>
        </is>
      </c>
      <c r="J1369" s="6" t="inlineStr">
        <is>
          <t>Mektuplar güzeldi, puan yetmedi. Çarşıda bir tezgâhın arkasına geçtin; mektuplar tezgâhın üstünde, çerçevede.</t>
        </is>
      </c>
      <c r="K1369" s="6" t="inlineStr">
        <is>
          <t>Kefil mektubunu yazan esnafın adı, sınav görevlisinin borç defterinde çıktı. Tezgâha döndün; mektup çöpte.</t>
        </is>
      </c>
      <c r="L1369" s="6" t="inlineStr"/>
      <c r="M1369" s="5" t="inlineStr"/>
      <c r="N1369" s="5" t="inlineStr"/>
      <c r="O1369" s="6" t="inlineStr"/>
      <c r="P1369" s="6" t="inlineStr"/>
      <c r="Q1369" s="5" t="inlineStr"/>
      <c r="R1369" s="5" t="inlineStr"/>
      <c r="S1369" s="5" t="inlineStr"/>
      <c r="T1369" s="5" t="inlineStr"/>
      <c r="U1369" s="5" t="inlineStr"/>
      <c r="V1369" s="5" t="inlineStr">
        <is>
          <t>meslek-memur</t>
        </is>
      </c>
      <c r="W1369" s="5" t="inlineStr"/>
      <c r="X1369" s="5" t="inlineStr"/>
      <c r="Y1369" s="5" t="inlineStr"/>
      <c r="Z1369" s="6" t="inlineStr"/>
      <c r="AA1369" s="5" t="inlineStr"/>
      <c r="AB1369" s="5" t="inlineStr">
        <is>
          <t>meslek-esnaf</t>
        </is>
      </c>
      <c r="AC1369" s="5" t="inlineStr"/>
      <c r="AD1369" s="5" t="inlineStr">
        <is>
          <t>Orta</t>
        </is>
      </c>
      <c r="AE1369" s="5" t="inlineStr"/>
      <c r="AF1369" s="5" t="inlineStr"/>
      <c r="AG1369" s="5" t="inlineStr"/>
      <c r="AH1369" s="5" t="inlineStr">
        <is>
          <t>İtibar 40</t>
        </is>
      </c>
      <c r="AI1369" s="5" t="inlineStr"/>
    </row>
    <row r="1370">
      <c r="A1370" s="5" t="inlineStr">
        <is>
          <t>b6-hekimlik-yolu</t>
        </is>
      </c>
      <c r="B1370" s="5" t="n">
        <v>1</v>
      </c>
      <c r="C1370" s="6" t="inlineStr">
        <is>
          <t>Devlet hastanesine, mecburi hizmete</t>
        </is>
      </c>
      <c r="D1370" s="5" t="inlineStr"/>
      <c r="E1370" s="5" t="inlineStr"/>
      <c r="F1370" s="5" t="inlineStr">
        <is>
          <t>İtibar +2</t>
        </is>
      </c>
      <c r="G1370" s="6" t="inlineStr">
        <is>
          <t>Kura çekildi, bir ilçe hastanesine düştün. Acilde tek hekimsin; gece ikide hem doktor, hem hemşire, hem de hasta yakınlarının psikoloğusun.</t>
        </is>
      </c>
      <c r="H1370" s="6" t="inlineStr"/>
      <c r="I1370" s="6" t="inlineStr"/>
      <c r="J1370" s="6" t="inlineStr"/>
      <c r="K1370" s="6" t="inlineStr"/>
      <c r="L1370" s="6" t="inlineStr"/>
      <c r="M1370" s="5" t="inlineStr"/>
      <c r="N1370" s="5" t="inlineStr"/>
      <c r="O1370" s="6" t="inlineStr"/>
      <c r="P1370" s="6" t="inlineStr"/>
      <c r="Q1370" s="5" t="inlineStr"/>
      <c r="R1370" s="5" t="inlineStr"/>
      <c r="S1370" s="5" t="inlineStr"/>
      <c r="T1370" s="5" t="inlineStr"/>
      <c r="U1370" s="5" t="inlineStr">
        <is>
          <t>hat-hekim, meslek-memur</t>
        </is>
      </c>
      <c r="V1370" s="5" t="inlineStr"/>
      <c r="W1370" s="5" t="inlineStr"/>
      <c r="X1370" s="5" t="inlineStr"/>
      <c r="Y1370" s="5" t="inlineStr"/>
      <c r="Z1370" s="6" t="inlineStr"/>
      <c r="AA1370" s="5" t="inlineStr">
        <is>
          <t>Erdem +1, Yalçın +1</t>
        </is>
      </c>
      <c r="AB1370" s="5" t="inlineStr"/>
      <c r="AC1370" s="5" t="inlineStr"/>
      <c r="AD1370" s="5" t="inlineStr">
        <is>
          <t>Orta</t>
        </is>
      </c>
      <c r="AE1370" s="5" t="inlineStr"/>
      <c r="AF1370" s="5" t="inlineStr"/>
      <c r="AG1370" s="5" t="inlineStr"/>
      <c r="AH1370" s="5" t="inlineStr"/>
      <c r="AI1370" s="5" t="inlineStr"/>
    </row>
    <row r="1371">
      <c r="A1371" s="5" t="inlineStr">
        <is>
          <t>b6-hekimlik-yolu</t>
        </is>
      </c>
      <c r="B1371" s="5" t="n">
        <v>2</v>
      </c>
      <c r="C1371" s="6" t="inlineStr">
        <is>
          <t>Uzmanlık sınavına gir</t>
        </is>
      </c>
      <c r="D1371" s="5" t="inlineStr">
        <is>
          <t>Akıl</t>
        </is>
      </c>
      <c r="E1371" s="5" t="inlineStr">
        <is>
          <t>Zor</t>
        </is>
      </c>
      <c r="F1371" s="5" t="inlineStr"/>
      <c r="G1371" s="6" t="inlineStr"/>
      <c r="H1371" s="6" t="inlineStr">
        <is>
          <t>Sınavı geçtin; istediğin branş, istediğin şehir. Beş yıllık asistanlık başlıyor; uykunu da yanında götürme.</t>
        </is>
      </c>
      <c r="I1371" s="6" t="inlineStr">
        <is>
          <t>Derece yaptın. Hocalar seni kendi kliniğine istedi. Annen bunu okuduğunda “Hangi hastalığa bakıyorsun?” diye sordu; hepsine.</t>
        </is>
      </c>
      <c r="J1371" s="6" t="inlineStr">
        <is>
          <t>Puan yetmedi. Mecburi hizmete gittin; seneye yine deneyeceksin. Sınav kitapları acildeki masanın altında.</t>
        </is>
      </c>
      <c r="K1371" s="6" t="inlineStr">
        <is>
          <t>Sınavda yanlış branşı işaretledin. Mecburi hizmete gittin; orada branş yok, herkes her şey.</t>
        </is>
      </c>
      <c r="L1371" s="6" t="inlineStr"/>
      <c r="M1371" s="5" t="inlineStr"/>
      <c r="N1371" s="5" t="inlineStr"/>
      <c r="O1371" s="6" t="inlineStr"/>
      <c r="P1371" s="6" t="inlineStr"/>
      <c r="Q1371" s="5" t="inlineStr"/>
      <c r="R1371" s="5" t="inlineStr"/>
      <c r="S1371" s="5" t="inlineStr"/>
      <c r="T1371" s="5" t="inlineStr"/>
      <c r="U1371" s="5" t="inlineStr"/>
      <c r="V1371" s="5" t="inlineStr">
        <is>
          <t>hat-hekim, meslek-memur</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row>
    <row r="1372">
      <c r="A1372" s="5" t="inlineStr">
        <is>
          <t>b6-hekimlik-yolu</t>
        </is>
      </c>
      <c r="B1372" s="5" t="n">
        <v>3</v>
      </c>
      <c r="C1372" s="6" t="inlineStr">
        <is>
          <t>Özel hastaneye geç</t>
        </is>
      </c>
      <c r="D1372" s="5" t="inlineStr">
        <is>
          <t>Çene</t>
        </is>
      </c>
      <c r="E1372" s="5" t="inlineStr">
        <is>
          <t>Orta</t>
        </is>
      </c>
      <c r="F1372" s="5" t="inlineStr"/>
      <c r="G1372" s="6" t="inlineStr"/>
      <c r="H1372" s="6" t="inlineStr">
        <is>
          <t>Özel bir hastane seni kadrosuna aldı. Odanda bitki var, hastaların randevulu. Aile grubundaki hastalar da artık randevu istiyor.</t>
        </is>
      </c>
      <c r="I1372" s="6" t="inlineStr">
        <is>
          <t>Hastane seni tanıtım filmine koydu. Gülümseyen doktor sensin; gülümsemek sözleşmede yazıyor.</t>
        </is>
      </c>
      <c r="J1372" s="6" t="inlineStr">
        <is>
          <t>Özel hastane seni aldı ama önce mecburi hizmet dedi. Bir ilçe hastanesinde iki yıl; bitki yok.</t>
        </is>
      </c>
      <c r="K1372" s="6" t="inlineStr">
        <is>
          <t>Görüşmede maaşı sordun, müdür “Biz aileyiz” dedi. Mecburi hizmete gittin; orada da aile yok, hasta var.</t>
        </is>
      </c>
      <c r="L1372" s="6" t="inlineStr"/>
      <c r="M1372" s="5" t="inlineStr"/>
      <c r="N1372" s="5" t="inlineStr"/>
      <c r="O1372" s="6" t="inlineStr"/>
      <c r="P1372" s="6" t="inlineStr"/>
      <c r="Q1372" s="5" t="inlineStr"/>
      <c r="R1372" s="5" t="inlineStr"/>
      <c r="S1372" s="5" t="inlineStr"/>
      <c r="T1372" s="5" t="inlineStr"/>
      <c r="U1372" s="5" t="inlineStr"/>
      <c r="V1372" s="5" t="inlineStr">
        <is>
          <t>hat-hekim, meslek-beyazyaka</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c r="AI1372" s="5" t="inlineStr"/>
    </row>
    <row r="1373">
      <c r="A1373" s="5" t="inlineStr">
        <is>
          <t>b6-hekimlik-yolu</t>
        </is>
      </c>
      <c r="B1373" s="5" t="n">
        <v>4</v>
      </c>
      <c r="C1373" s="6" t="inlineStr">
        <is>
          <t>Öte Diyar'da hekimlik yap</t>
        </is>
      </c>
      <c r="D1373" s="5" t="inlineStr">
        <is>
          <t>Akıl</t>
        </is>
      </c>
      <c r="E1373" s="5" t="inlineStr">
        <is>
          <t>Zor</t>
        </is>
      </c>
      <c r="F1373" s="5" t="inlineStr"/>
      <c r="G1373" s="6" t="inlineStr"/>
      <c r="H1373" s="6" t="inlineStr">
        <is>
          <t>Dil sınavı, denklik sınavı, bir de mülakat. Hepsini geçtin. Bir kış sabahı Öte Diyar'da bir hastanenin koridorundasın; kimse adını doğru okuyamıyor.</t>
        </is>
      </c>
      <c r="I1373" s="6" t="inlineStr">
        <is>
          <t>Oradaki hastane seni bir yıl içinde uzman yaptı. Memlekete her dönüşünde akrabalar sıraya giriyor; sen de tatildesin, sözde.</t>
        </is>
      </c>
      <c r="J1373" s="6" t="inlineStr">
        <is>
          <t>Denklik sınavı olmadı. Mecburi hizmete gittin. Öte Diyar'ın broşürü acil servis masanın altında.</t>
        </is>
      </c>
      <c r="K1373" s="6" t="inlineStr">
        <is>
          <t>Dil sınavında hasta rolündeki jüri üyesine “Geçmiş olsun” diyecekken başsağlığı diledin. Jüri bir an sustu, sonra kendi nabzını yokladı. Mecburi hizmete gittin; orada herkes seni anlıyor, en azından.</t>
        </is>
      </c>
      <c r="L1373" s="6" t="inlineStr"/>
      <c r="M1373" s="5" t="inlineStr"/>
      <c r="N1373" s="5" t="inlineStr"/>
      <c r="O1373" s="6" t="inlineStr"/>
      <c r="P1373" s="6" t="inlineStr"/>
      <c r="Q1373" s="5" t="inlineStr"/>
      <c r="R1373" s="5" t="inlineStr"/>
      <c r="S1373" s="5" t="inlineStr"/>
      <c r="T1373" s="5" t="inlineStr"/>
      <c r="U1373" s="5" t="inlineStr"/>
      <c r="V1373" s="5" t="inlineStr">
        <is>
          <t>hat-hekim, hat-goc, meslek-beyazyaka</t>
        </is>
      </c>
      <c r="W1373" s="5" t="inlineStr"/>
      <c r="X1373" s="5" t="inlineStr"/>
      <c r="Y1373" s="5" t="inlineStr"/>
      <c r="Z1373" s="6" t="inlineStr"/>
      <c r="AA1373" s="5" t="inlineStr">
        <is>
          <t>Varlı +1, Şen -1, Yalçın -1</t>
        </is>
      </c>
      <c r="AB1373" s="5" t="inlineStr">
        <is>
          <t>hat-hekim, meslek-memur</t>
        </is>
      </c>
      <c r="AC1373" s="5" t="inlineStr"/>
      <c r="AD1373" s="5" t="inlineStr">
        <is>
          <t>Rahat</t>
        </is>
      </c>
      <c r="AE1373" s="5" t="inlineStr"/>
      <c r="AF1373" s="5" t="inlineStr"/>
      <c r="AG1373" s="5" t="inlineStr"/>
      <c r="AH1373" s="5" t="inlineStr"/>
      <c r="AI1373" s="5" t="inlineStr"/>
    </row>
    <row r="1374">
      <c r="A1374" s="5" t="inlineStr">
        <is>
          <t>b6-polis-devriye</t>
        </is>
      </c>
      <c r="B1374" s="5" t="n">
        <v>1</v>
      </c>
      <c r="C1374" s="6" t="inlineStr">
        <is>
          <t>Kıdemlinin dediğini yap</t>
        </is>
      </c>
      <c r="D1374" s="5" t="inlineStr"/>
      <c r="E1374" s="5" t="inlineStr"/>
      <c r="F1374" s="5" t="inlineStr">
        <is>
          <t>Dayanıklılık +1, Sosyal Radar +1</t>
        </is>
      </c>
      <c r="G1374" s="6" t="inlineStr">
        <is>
          <t>Kıdemli iki manavı ayırdı, bir kasa domatesi ikiye böldü, işi bitirdi. Sana döndü: “Bu işin yarısı domates bölmektir.” Diğer yarısını sormadın.</t>
        </is>
      </c>
      <c r="H1374" s="6" t="inlineStr"/>
      <c r="I1374" s="6" t="inlineStr"/>
      <c r="J1374" s="6" t="inlineStr"/>
      <c r="K1374" s="6" t="inlineStr"/>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row>
    <row r="1375">
      <c r="A1375" s="5" t="inlineStr">
        <is>
          <t>b6-polis-devriye</t>
        </is>
      </c>
      <c r="B1375" s="5" t="n">
        <v>2</v>
      </c>
      <c r="C1375" s="6" t="inlineStr">
        <is>
          <t>Kavgayı sen çöz</t>
        </is>
      </c>
      <c r="D1375" s="5" t="inlineStr">
        <is>
          <t>Cesaret</t>
        </is>
      </c>
      <c r="E1375" s="5" t="inlineStr">
        <is>
          <t>Orta</t>
        </is>
      </c>
      <c r="F1375" s="5" t="inlineStr"/>
      <c r="G1375" s="6" t="inlineStr"/>
      <c r="H1375" s="6" t="inlineStr">
        <is>
          <t>İki manavı aynı masaya oturttun, domatesleri tarttırdın. Kavga bir kiloluk fark yüzündenmiş; kantar bozukmuş. Kantarı değiştirdiler; seni de çarşıda tanıdılar.</t>
        </is>
      </c>
      <c r="I1375" s="6" t="inlineStr">
        <is>
          <t>Manavlar barıştı, sana da birer kasa domates yolladılar. Reddettin; karakolda herkes o hafta salata yedi, isimsiz bağış olarak.</t>
        </is>
      </c>
      <c r="J1375" s="6" t="inlineStr">
        <is>
          <t>Kavgayı çözdün sandın; sen gidince yeniden başladı. Bu sefer kantarla.</t>
        </is>
      </c>
      <c r="K1375" s="6" t="inlineStr">
        <is>
          <t>Araya girdin; ilk domates ensene, ikincisi şapkana geldi. Karakola salata gibi döndün. Ertesi sabah dolabında bir kasa domates vardı; üstünde “Hoş geldin Domates” yazıyordu.</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is>
          <t>Domates</t>
        </is>
      </c>
    </row>
    <row r="1376">
      <c r="A1376" s="5" t="inlineStr">
        <is>
          <t>b6-polis-devriye</t>
        </is>
      </c>
      <c r="B1376" s="5" t="n">
        <v>3</v>
      </c>
      <c r="C1376" s="6" t="inlineStr">
        <is>
          <t>Kıdemliye usulü hatırlat</t>
        </is>
      </c>
      <c r="D1376" s="5" t="inlineStr">
        <is>
          <t>Cesaret</t>
        </is>
      </c>
      <c r="E1376" s="5" t="inlineStr">
        <is>
          <t>Zor</t>
        </is>
      </c>
      <c r="F1376" s="5" t="inlineStr"/>
      <c r="G1376" s="6" t="inlineStr"/>
      <c r="H1376" s="6" t="inlineStr">
        <is>
          <t>Tutanak tuttun, ifade aldın, usulü işlettin. Kıdemli söylenerek imzaladı; akşam amire “Bu çocuk iyi” dedi.</t>
        </is>
      </c>
      <c r="I1376" s="6" t="inlineStr">
        <is>
          <t>Tuttuğun tutanak karakolda örnek diye dolaştırıldı. Amir seni bir sonraki eğitime yazdı; kıdemli de sana çay ısmarladı, isteksizce.</t>
        </is>
      </c>
      <c r="J1376" s="6" t="inlineStr">
        <is>
          <t>Kıdemli seni dinledi ve telsizi açtı: skor soruyordu. Tutanak cebinde kaldı.</t>
        </is>
      </c>
      <c r="K1376" s="6" t="inlineStr">
        <is>
          <t>Kıdemli seni bütün karakola “Kitap” diye tanıttı. Bir hafta boyunca herkes sana usul sordu; alayla.</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row>
    <row r="1377">
      <c r="A1377" s="5" t="inlineStr">
        <is>
          <t>b6-yargi-kurs</t>
        </is>
      </c>
      <c r="B1377" s="5" t="n">
        <v>1</v>
      </c>
      <c r="C1377" s="6" t="inlineStr">
        <is>
          <t>Not al, sus, izle</t>
        </is>
      </c>
      <c r="D1377" s="5" t="inlineStr"/>
      <c r="E1377" s="5" t="inlineStr"/>
      <c r="F1377" s="5" t="inlineStr">
        <is>
          <t>Akıl +1, Sosyal Radar +1</t>
        </is>
      </c>
      <c r="G1377" s="6" t="inlineStr">
        <is>
          <t>Üç saat not aldın. Kıdemli sonunda sana döndü: “Ne gördün?” “Ceviz” dedin. Kıdemli güldü: “Doğru. Ama asıl dava ceviz değil.”</t>
        </is>
      </c>
      <c r="H1377" s="6" t="inlineStr"/>
      <c r="I1377" s="6" t="inlineStr"/>
      <c r="J1377" s="6" t="inlineStr"/>
      <c r="K1377" s="6" t="inlineStr"/>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row>
    <row r="1378">
      <c r="A1378" s="5" t="inlineStr">
        <is>
          <t>b6-yargi-kurs</t>
        </is>
      </c>
      <c r="B1378" s="5" t="n">
        <v>2</v>
      </c>
      <c r="C1378" s="6" t="inlineStr">
        <is>
          <t>Keşif için ağaca gitmeyi öner</t>
        </is>
      </c>
      <c r="D1378" s="5" t="inlineStr">
        <is>
          <t>Cesaret</t>
        </is>
      </c>
      <c r="E1378" s="5" t="inlineStr">
        <is>
          <t>Orta</t>
        </is>
      </c>
      <c r="F1378" s="5" t="inlineStr"/>
      <c r="G1378" s="6" t="inlineStr"/>
      <c r="H1378" s="6" t="inlineStr">
        <is>
          <t>Keşfe gittiniz. Ağacın dalı gerçekten sınırı geçiyor; ama kökü de öbür tarafı. Dava ikiye bölündü, komşular hâlâ konuşmuyor ama ceviz topluyor.</t>
        </is>
      </c>
      <c r="I1378" s="6" t="inlineStr">
        <is>
          <t>Keşifte iki komşu ağacın altında çocukken birlikte oynadıklarını hatırladı. Dava düştü. Kıdemli, “Senden olur” dedi.</t>
        </is>
      </c>
      <c r="J1378" s="6" t="inlineStr">
        <is>
          <t>Keşfe gittiniz; ağaç kesilmişti. Dava artık bir kütük davası.</t>
        </is>
      </c>
      <c r="K1378" s="6" t="inlineStr">
        <is>
          <t>Keşifte ceviz başına düştü. Tutanağa “Mahkeme heyetine ceviz isabet etmiştir” yazıldı; adın dipnotta.</t>
        </is>
      </c>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row>
    <row r="1379">
      <c r="A1379" s="5" t="inlineStr">
        <is>
          <t>b6-yargi-kurs</t>
        </is>
      </c>
      <c r="B1379" s="5" t="n">
        <v>3</v>
      </c>
      <c r="C1379" s="6" t="inlineStr">
        <is>
          <t>Kararı kıdemliden önce tahmin et</t>
        </is>
      </c>
      <c r="D1379" s="5" t="inlineStr">
        <is>
          <t>Akıl</t>
        </is>
      </c>
      <c r="E1379" s="5" t="inlineStr">
        <is>
          <t>Zor</t>
        </is>
      </c>
      <c r="F1379" s="5" t="inlineStr"/>
      <c r="G1379" s="6" t="inlineStr"/>
      <c r="H1379" s="6" t="inlineStr">
        <is>
          <t>Tahminin tuttu. Kıdemli karar metnini yazarken senin cümlelerinden birini kullandı. Adını anmadı; adaylar anılmaz.</t>
        </is>
      </c>
      <c r="I1379" s="6" t="inlineStr">
        <is>
          <t>Tahminin öyle isabetliydi ki kıdemli bir sonraki dosyayı sana verdi: “Taslağı sen yaz.” Taslak neredeyse hiç değişmedi.</t>
        </is>
      </c>
      <c r="J1379" s="6" t="inlineStr">
        <is>
          <t>Tahmin tutmadı. Kıdemli kararı okuduğunda senin notlarındaki cümlenin tam tersini okudu.</t>
        </is>
      </c>
      <c r="K1379" s="6" t="inlineStr">
        <is>
          <t>Tahminini koridorda yüksek sesle söyledin; taraflardan biri duydu. Duruşma bir saat bu yüzden uzadı.</t>
        </is>
      </c>
      <c r="L1379" s="6" t="inlineStr"/>
      <c r="M1379" s="5" t="inlineStr"/>
      <c r="N1379" s="5" t="inlineStr"/>
      <c r="O1379" s="6" t="inlineStr"/>
      <c r="P1379" s="6" t="inlineStr"/>
      <c r="Q1379" s="5" t="inlineStr"/>
      <c r="R1379" s="5" t="inlineStr"/>
      <c r="S1379" s="5" t="inlineStr"/>
      <c r="T1379" s="5" t="inlineStr">
        <is>
          <t>Mevzuat Kalkanı</t>
        </is>
      </c>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row>
    <row r="1380">
      <c r="A1380" s="5" t="inlineStr">
        <is>
          <t>b6-hekim-ilk-nobet</t>
        </is>
      </c>
      <c r="B1380" s="5" t="n">
        <v>1</v>
      </c>
      <c r="C1380" s="6" t="inlineStr">
        <is>
          <t>Önce amcaya çay ver</t>
        </is>
      </c>
      <c r="D1380" s="5" t="inlineStr"/>
      <c r="E1380" s="5" t="inlineStr"/>
      <c r="F1380" s="5" t="inlineStr">
        <is>
          <t>İtibar +1</t>
        </is>
      </c>
      <c r="G1380" s="6" t="inlineStr">
        <is>
          <t>Amcaya çay verdin. Amca çayı içti, iyileşti; aslında sadece yalnızmış. Diğer altı hastaya bakarken amca kapıda nöbet tuttu.</t>
        </is>
      </c>
      <c r="H1380" s="6" t="inlineStr"/>
      <c r="I1380" s="6" t="inlineStr"/>
      <c r="J1380" s="6" t="inlineStr"/>
      <c r="K1380" s="6" t="inlineStr"/>
      <c r="L1380" s="6" t="inlineStr"/>
      <c r="M1380" s="5" t="inlineStr"/>
      <c r="N1380" s="5" t="inlineStr"/>
      <c r="O1380" s="6" t="inlineStr"/>
      <c r="P1380" s="6" t="inlineStr"/>
      <c r="Q1380" s="5" t="inlineStr"/>
      <c r="R1380" s="5" t="inlineStr"/>
      <c r="S1380" s="5" t="inlineStr"/>
      <c r="T1380" s="5" t="inlineStr"/>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row>
    <row r="1381">
      <c r="A1381" s="5" t="inlineStr">
        <is>
          <t>b6-hekim-ilk-nobet</t>
        </is>
      </c>
      <c r="B1381" s="5" t="n">
        <v>2</v>
      </c>
      <c r="C1381" s="6" t="inlineStr">
        <is>
          <t>Sırayı aciliyete göre diz</t>
        </is>
      </c>
      <c r="D1381" s="5" t="inlineStr">
        <is>
          <t>Akıl</t>
        </is>
      </c>
      <c r="E1381" s="5" t="inlineStr">
        <is>
          <t>Orta</t>
        </is>
      </c>
      <c r="F1381" s="5" t="inlineStr"/>
      <c r="G1381" s="6" t="inlineStr"/>
      <c r="H1381" s="6" t="inlineStr">
        <is>
          <t>Hastaları doğru sıraya dizdin. Sabaha kadar kimse beklediği için kötüleşmedi. Başhemşire sana ilk kez adınla hitap etti.</t>
        </is>
      </c>
      <c r="I1381" s="6" t="inlineStr">
        <is>
          <t>Sabah vizitinde hoca nöbet defterine baktı ve bir kelime yazdı: “Düzgün.” Tıpta bundan büyük iltifat yok.</t>
        </is>
      </c>
      <c r="J1381" s="6" t="inlineStr">
        <is>
          <t>Sırayı dizdin ama “internette okudum” hastası sırayı üç kez bozdu. Sabah yorgundun; ama herkes hayattaydı.</t>
        </is>
      </c>
      <c r="K1381" s="6" t="inlineStr">
        <is>
          <t>Dosyaları karıştırdın; kaygılı hastaya ağrı kesici, ağrılı hastaya sakinleştirici önerdin. İkisi de iyi hissetti. Hoca hissetmedi.</t>
        </is>
      </c>
      <c r="L1381" s="6" t="inlineStr"/>
      <c r="M1381" s="5" t="inlineStr"/>
      <c r="N1381" s="5" t="inlineStr"/>
      <c r="O1381" s="6" t="inlineStr"/>
      <c r="P1381" s="6" t="inlineStr"/>
      <c r="Q1381" s="5" t="inlineStr"/>
      <c r="R1381" s="5" t="inlineStr"/>
      <c r="S1381" s="5" t="inlineStr"/>
      <c r="T1381" s="5" t="inlineStr">
        <is>
          <t>Gözüne Uyku Girmez</t>
        </is>
      </c>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row>
    <row r="1382">
      <c r="A1382" s="5" t="inlineStr">
        <is>
          <t>b6-hekim-ilk-nobet</t>
        </is>
      </c>
      <c r="B1382" s="5" t="n">
        <v>3</v>
      </c>
      <c r="C1382" s="6" t="inlineStr">
        <is>
          <t>“İnternette okudum” hastasını ikna et</t>
        </is>
      </c>
      <c r="D1382" s="5" t="inlineStr">
        <is>
          <t>Çene</t>
        </is>
      </c>
      <c r="E1382" s="5" t="inlineStr">
        <is>
          <t>Zor</t>
        </is>
      </c>
      <c r="F1382" s="5" t="inlineStr"/>
      <c r="G1382" s="6" t="inlineStr"/>
      <c r="H1382" s="6" t="inlineStr">
        <is>
          <t>Hastaya internetin neyi yanlış okuduğunu anlattın. Hasta sana teşekkür etti ve bir daha arama motoruna değil sana soracağını söyledi. Numaranı istedi; vermedin.</t>
        </is>
      </c>
      <c r="I1382" s="6" t="inlineStr">
        <is>
          <t>Hasta öyle ikna oldu ki kendi forumunda senin hakkında övgü yazdı. Ertesi hafta acile üç kişi “O doktoru” soruyordu.</t>
        </is>
      </c>
      <c r="J1382" s="6" t="inlineStr">
        <is>
          <t>Hasta seni dinledi ve sonra telefonunu açtı: “Ama burada başka yazıyor.” Sabaha kadar tartıştınız.</t>
        </is>
      </c>
      <c r="K1382" s="6" t="inlineStr">
        <is>
          <t>Hastayı ikna edemedin; o seni ikna etti. Sabaha karşı bir an kendi semptomlarını aradın.</t>
        </is>
      </c>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row>
    <row r="1383">
      <c r="A1383" s="5" t="inlineStr">
        <is>
          <t>b6-cete-paravan</t>
        </is>
      </c>
      <c r="B1383" s="5" t="n">
        <v>1</v>
      </c>
      <c r="C1383" s="6" t="inlineStr">
        <is>
          <t>Doğru defteri aç, gerisini abiye bırak</t>
        </is>
      </c>
      <c r="D1383" s="5" t="inlineStr"/>
      <c r="E1383" s="5" t="inlineStr"/>
      <c r="F1383" s="5" t="inlineStr">
        <is>
          <t>Pişkinlik +1, Dayanıklılık +1</t>
        </is>
      </c>
      <c r="G1383" s="6" t="inlineStr">
        <is>
          <t>Müfettiş vergi defterine baktı, bir çay içti, bir araba yıkattı; parasını ödedi. Abi akşam aradı: “Öğreniyorsun.” Neyi öğrendiğini düşünmek istemiyorsun.</t>
        </is>
      </c>
      <c r="H1383" s="6" t="inlineStr"/>
      <c r="I1383" s="6" t="inlineStr"/>
      <c r="J1383" s="6" t="inlineStr"/>
      <c r="K1383" s="6" t="inlineStr"/>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row>
    <row r="1384">
      <c r="A1384" s="5" t="inlineStr">
        <is>
          <t>b6-cete-paravan</t>
        </is>
      </c>
      <c r="B1384" s="5" t="n">
        <v>2</v>
      </c>
      <c r="C1384" s="6" t="inlineStr">
        <is>
          <t>Oto yıkamayı gerçekten oto yıkama yap</t>
        </is>
      </c>
      <c r="D1384" s="5" t="inlineStr">
        <is>
          <t>Akıl</t>
        </is>
      </c>
      <c r="E1384" s="5" t="inlineStr">
        <is>
          <t>Zor</t>
        </is>
      </c>
      <c r="F1384" s="5" t="inlineStr"/>
      <c r="G1384" s="6" t="inlineStr"/>
      <c r="H1384" s="6" t="inlineStr">
        <is>
          <t>Köpüklü yıkama, iç temizlik, jant parlatma. Üç ayda gerçek müşteri geldi. Abinin defteri inceldi, seninki kalınlaştı.</t>
        </is>
      </c>
      <c r="I1384" s="6" t="inlineStr">
        <is>
          <t>Dükkân o kadar iyi işledi ki abi bile arabasını getirdi; üstelik ödedi. Mahallede artık “Abinin adamı” değil, “Yıkamacı” diye biliniyorsun.</t>
        </is>
      </c>
      <c r="J1384" s="6" t="inlineStr">
        <is>
          <t>Gerçek müşteriler geldi ama abinin müşterileri de gelmeye devam etti. İki defter şimdi üç oldu.</t>
        </is>
      </c>
      <c r="K1384" s="6" t="inlineStr">
        <is>
          <t>Gerçek bir yıkama yaparken abinin arabasının bagajını açtın. Ne gördüğünü söylemeyeceksin; abi de sana söylememeni söyledi.</t>
        </is>
      </c>
      <c r="L1384" s="6" t="inlineStr"/>
      <c r="M1384" s="5" t="inlineStr"/>
      <c r="N1384" s="5" t="inlineStr"/>
      <c r="O1384" s="6" t="inlineStr"/>
      <c r="P1384" s="6" t="inlineStr"/>
      <c r="Q1384" s="5" t="inlineStr"/>
      <c r="R1384" s="5" t="inlineStr"/>
      <c r="S1384" s="5" t="inlineStr"/>
      <c r="T1384" s="5" t="inlineStr"/>
      <c r="U1384" s="5" t="inlineStr"/>
      <c r="V1384" s="5" t="inlineStr">
        <is>
          <t>abiden-koptu</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row>
    <row r="1385">
      <c r="A1385" s="5" t="inlineStr">
        <is>
          <t>b6-cete-paravan</t>
        </is>
      </c>
      <c r="B1385" s="5" t="n">
        <v>3</v>
      </c>
      <c r="C1385" s="6" t="inlineStr">
        <is>
          <t>Abinin defterini kendine sakla</t>
        </is>
      </c>
      <c r="D1385" s="5" t="inlineStr">
        <is>
          <t>Kurnazlık</t>
        </is>
      </c>
      <c r="E1385" s="5" t="inlineStr">
        <is>
          <t>Çok Zor</t>
        </is>
      </c>
      <c r="F1385" s="5" t="inlineStr"/>
      <c r="G1385" s="6" t="inlineStr"/>
      <c r="H1385" s="6" t="inlineStr">
        <is>
          <t>Abinin defterinin bir fotokopisini aldın ve bir kasaya koydun. Kasanın anahtarı ayakkabında. Artık abi senin için değil, sen abi için bir sigortasın.</t>
        </is>
      </c>
      <c r="I1385" s="6" t="inlineStr">
        <is>
          <t>Fotokopiyi gören tek kişi abinin rakibiydi; seni yemeğe çağırdı. İki masa arasında oturan tek kişi sensin. Yer rahat değil ama geniş.</t>
        </is>
      </c>
      <c r="J1385" s="6" t="inlineStr">
        <is>
          <t>Fotokopi makinesi kâğıt sıkıştırdı. Defterin üç sayfası makinenin içinde kaldı. Makine artık bir delil.</t>
        </is>
      </c>
      <c r="K1385" s="6" t="inlineStr">
        <is>
          <t>Abi, fotokopi kuyruğunda arkanda duruyordu. “Bir tane de bana çek” dedi. O günden sonra oto yıkamada kamera var.</t>
        </is>
      </c>
      <c r="L1385" s="6" t="inlineStr"/>
      <c r="M1385" s="5" t="inlineStr"/>
      <c r="N1385" s="5" t="inlineStr"/>
      <c r="O1385" s="6" t="inlineStr"/>
      <c r="P1385" s="6" t="inlineStr"/>
      <c r="Q1385" s="5" t="inlineStr"/>
      <c r="R1385" s="5" t="inlineStr"/>
      <c r="S1385" s="5" t="inlineStr"/>
      <c r="T1385" s="5" t="inlineStr"/>
      <c r="U1385" s="5" t="inlineStr"/>
      <c r="V1385" s="5" t="inlineStr">
        <is>
          <t>abiye-karsi-sigorta</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row>
    <row r="1386">
      <c r="A1386" s="5" t="inlineStr">
        <is>
          <t>b6-sohret-ilk-rol</t>
        </is>
      </c>
      <c r="B1386" s="5" t="n">
        <v>1</v>
      </c>
      <c r="C1386" s="6" t="inlineStr">
        <is>
          <t>On beşinci tekrarı çek, sesini çıkarma</t>
        </is>
      </c>
      <c r="D1386" s="5" t="inlineStr"/>
      <c r="E1386" s="5" t="inlineStr"/>
      <c r="F1386" s="5" t="inlineStr">
        <is>
          <t>Dayanıklılık +1</t>
        </is>
      </c>
      <c r="G1386" s="6" t="inlineStr">
        <is>
          <t>On beşinci tekrarda yönetmen “Tamam” dedi. Sonra aynı sahneyi başka açıdan on dört kez daha çektiniz. Hesabı kimse ödemedi.</t>
        </is>
      </c>
      <c r="H1386" s="6" t="inlineStr"/>
      <c r="I1386" s="6" t="inlineStr"/>
      <c r="J1386" s="6" t="inlineStr"/>
      <c r="K1386" s="6" t="inlineStr"/>
      <c r="L1386" s="6" t="inlineStr"/>
      <c r="M1386" s="5" t="inlineStr"/>
      <c r="N1386" s="5" t="inlineStr"/>
      <c r="O1386" s="6" t="inlineStr"/>
      <c r="P1386" s="6" t="inlineStr"/>
      <c r="Q1386" s="5" t="inlineStr"/>
      <c r="R1386" s="5" t="inlineStr"/>
      <c r="S1386" s="5" t="inlineStr"/>
      <c r="T1386" s="5" t="inlineStr"/>
      <c r="U1386" s="5" t="inlineStr"/>
      <c r="V1386" s="5" t="inlineStr"/>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row>
    <row r="1387">
      <c r="A1387" s="5" t="inlineStr">
        <is>
          <t>b6-sohret-ilk-rol</t>
        </is>
      </c>
      <c r="B1387" s="5" t="n">
        <v>2</v>
      </c>
      <c r="C1387" s="6" t="inlineStr">
        <is>
          <t>Repliğe bir doğaçlama ekle</t>
        </is>
      </c>
      <c r="D1387" s="5" t="inlineStr">
        <is>
          <t>Pişkinlik</t>
        </is>
      </c>
      <c r="E1387" s="5" t="inlineStr">
        <is>
          <t>Zor</t>
        </is>
      </c>
      <c r="F1387" s="5" t="inlineStr"/>
      <c r="G1387" s="6" t="inlineStr"/>
      <c r="H1387" s="6" t="inlineStr">
        <is>
          <t>“Hesap lütfen… bir de sizin telefonunuz.” Yönetmen güldü, sahne kaldı. Dizide ikinci bölümde de varsın.</t>
        </is>
      </c>
      <c r="I1387" s="6" t="inlineStr">
        <is>
          <t>Doğaçlama sosyal medyada kısa video oldu. İki milyon izlenme; herkes kafedeki genci soruyor. Menajerin yok; artık lazım.</t>
        </is>
      </c>
      <c r="J1387" s="6" t="inlineStr">
        <is>
          <t>Doğaçlamanı kimse sevmedi. Sahne kurgu masasında kesildi; dizide sadece ensen var.</t>
        </is>
      </c>
      <c r="K1387" s="6" t="inlineStr">
        <is>
          <t>Doğaçlama yaparken başrol oyuncusunun repliğini söyledin. Başrol seni o günden beri tanımıyor, bilerek.</t>
        </is>
      </c>
      <c r="L1387" s="6" t="inlineStr"/>
      <c r="M1387" s="5" t="inlineStr"/>
      <c r="N1387" s="5" t="inlineStr"/>
      <c r="O1387" s="6" t="inlineStr"/>
      <c r="P1387" s="6" t="inlineStr"/>
      <c r="Q1387" s="5" t="inlineStr"/>
      <c r="R1387" s="5" t="inlineStr"/>
      <c r="S1387" s="5" t="inlineStr"/>
      <c r="T1387" s="5" t="inlineStr"/>
      <c r="U1387" s="5" t="inlineStr"/>
      <c r="V1387" s="5" t="inlineStr">
        <is>
          <t>serbest-viral-oldu</t>
        </is>
      </c>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row>
    <row r="1388">
      <c r="A1388" s="5" t="inlineStr">
        <is>
          <t>b6-sohret-ilk-rol</t>
        </is>
      </c>
      <c r="B1388" s="5" t="n">
        <v>3</v>
      </c>
      <c r="C1388" s="6" t="inlineStr">
        <is>
          <t>Başrolün yanına otur, sohbet et</t>
        </is>
      </c>
      <c r="D1388" s="5" t="inlineStr">
        <is>
          <t>Sosyal Radar</t>
        </is>
      </c>
      <c r="E1388" s="5" t="inlineStr">
        <is>
          <t>Orta</t>
        </is>
      </c>
      <c r="F1388" s="5" t="inlineStr"/>
      <c r="G1388" s="6" t="inlineStr"/>
      <c r="H1388" s="6" t="inlineStr">
        <is>
          <t>Başrol oyuncusu seninle kahve içti. Sete girişin ertesi gün bir karavanla yapıldı; karavan senin değil ama kapısını açabiliyorsun.</t>
        </is>
      </c>
      <c r="I1388" s="6" t="inlineStr">
        <is>
          <t>Başrol seni menajerine tanıttı. Menajer ilk bakışta “Yüzün bir şey diyor” dedi. Ne dediğini henüz söylemedi.</t>
        </is>
      </c>
      <c r="J1388" s="6" t="inlineStr">
        <is>
          <t>Başrol oyuncusu kulaklığını çıkarmadı. Sohbet tek taraflı oldu; sen bunu da bir sahne sandın.</t>
        </is>
      </c>
      <c r="K1388" s="6" t="inlineStr">
        <is>
          <t>Başrolün kahvesini döktün. O gün sete bir “Kahve dökülmez” tabelası asıldı. Tabela sana bakıyor.</t>
        </is>
      </c>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row>
    <row r="1389">
      <c r="A1389" s="5" t="inlineStr">
        <is>
          <t>b6-koy-ilk-hasat</t>
        </is>
      </c>
      <c r="B1389" s="5" t="n">
        <v>1</v>
      </c>
      <c r="C1389" s="6" t="inlineStr">
        <is>
          <t>Komisyoncuya ver, işi bitir</t>
        </is>
      </c>
      <c r="D1389" s="5" t="inlineStr"/>
      <c r="E1389" s="5" t="inlineStr"/>
      <c r="F1389" s="5" t="inlineStr">
        <is>
          <t>Dayanıklılık +1</t>
        </is>
      </c>
      <c r="G1389" s="6" t="inlineStr">
        <is>
          <t>Komisyoncu kamyonla geldi, domatesleri tarttı, fiyatı söyledi, gitti. Aynı domatesler üç gün sonra şehirde dört katına satıldı. Deden “Hep böyleydi” dedi.</t>
        </is>
      </c>
      <c r="H1389" s="6" t="inlineStr"/>
      <c r="I1389" s="6" t="inlineStr"/>
      <c r="J1389" s="6" t="inlineStr"/>
      <c r="K1389" s="6" t="inlineStr"/>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row>
    <row r="1390">
      <c r="A1390" s="5" t="inlineStr">
        <is>
          <t>b6-koy-ilk-hasat</t>
        </is>
      </c>
      <c r="B1390" s="5" t="n">
        <v>2</v>
      </c>
      <c r="C1390" s="6" t="inlineStr">
        <is>
          <t>Şehirde pazara kendin taşı</t>
        </is>
      </c>
      <c r="D1390" s="5" t="inlineStr">
        <is>
          <t>Dayanıklılık</t>
        </is>
      </c>
      <c r="E1390" s="5" t="inlineStr">
        <is>
          <t>Zor</t>
        </is>
      </c>
      <c r="F1390" s="5" t="inlineStr"/>
      <c r="G1390" s="6" t="inlineStr"/>
      <c r="H1390" s="6" t="inlineStr">
        <is>
          <t>Sabah dörtte yola çıktın, altıda tezgâhı kurdun, öğlen bitirdin. Kazandığın para komisyoncunun verdiğinin üç katı. Belin de üç kat ağrıyor.</t>
        </is>
      </c>
      <c r="I1390" s="6" t="inlineStr">
        <is>
          <t>Pazardaki müşteriler seni “Köylü Genç” diye çağırmaya başladı. Hafta sonları kuyruk var; domates sırası.</t>
        </is>
      </c>
      <c r="J1390" s="6" t="inlineStr">
        <is>
          <t>Pazara gittin ama tezgâh yerin yoktu. Kaldırımda sattın, zabıta seni kaldırdı. Domatesler sana kaldı; salata çok.</t>
        </is>
      </c>
      <c r="K1390" s="6" t="inlineStr">
        <is>
          <t>Yolda traktör bozuldu. Domatesleri yol kenarında sattın; kamyoncular aldı. Fiyatı onlar belirledi.</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row>
    <row r="1391">
      <c r="A1391" s="5" t="inlineStr">
        <is>
          <t>b6-koy-ilk-hasat</t>
        </is>
      </c>
      <c r="B1391" s="5" t="n">
        <v>3</v>
      </c>
      <c r="C1391" s="6" t="inlineStr">
        <is>
          <t>Domatesleri internetten sat</t>
        </is>
      </c>
      <c r="D1391" s="5" t="inlineStr">
        <is>
          <t>Kurnazlık</t>
        </is>
      </c>
      <c r="E1391" s="5" t="inlineStr">
        <is>
          <t>Orta</t>
        </is>
      </c>
      <c r="F1391" s="5" t="inlineStr"/>
      <c r="G1391" s="6" t="inlineStr"/>
      <c r="H1391" s="6" t="inlineStr">
        <is>
          <t>Domateslerin fotoğrafını çektin, “Köyden sofraya” yazdın. Şehirden sipariş yağdı. Kargo pahalı ama domatesin fiyatı daha pahalı.</t>
        </is>
      </c>
      <c r="I1391" s="6" t="inlineStr">
        <is>
          <t>Siparişler o kadar arttı ki komşu köylülerin domateslerini de satmaya başladın. Köyde artık sana “Aracı” diyorlar; ama kibarca.</t>
        </is>
      </c>
      <c r="J1391" s="6" t="inlineStr">
        <is>
          <t>Siparişler geldi, kargo gecikti. Domatesler müşterilere salça olarak ulaştı. Yorumlar karışık.</t>
        </is>
      </c>
      <c r="K1391" s="6" t="inlineStr">
        <is>
          <t>Fotoğraftaki domatesler internetten bulduğun bir görselmiş. Gelen yorumlar domates kadar kırmızı.</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row>
    <row r="1392">
      <c r="A1392" s="5" t="inlineStr">
        <is>
          <t>b6-usta-kendi-tezgahi</t>
        </is>
      </c>
      <c r="B1392" s="5" t="n">
        <v>1</v>
      </c>
      <c r="C1392" s="6" t="inlineStr">
        <is>
          <t>Ustanı ara, sor</t>
        </is>
      </c>
      <c r="D1392" s="5" t="inlineStr"/>
      <c r="E1392" s="5" t="inlineStr"/>
      <c r="F1392" s="5" t="inlineStr">
        <is>
          <t>İtibar +1, Sosyal Radar +1</t>
        </is>
      </c>
      <c r="G1392" s="6" t="inlineStr">
        <is>
          <t>Ustan telefonda sesi dinledi: “Triger.” Haklıydı. Taksici sana teşekkür etti; ustana da bir kutu lokum götürdü. Hesap böyle kapanır.</t>
        </is>
      </c>
      <c r="H1392" s="6" t="inlineStr"/>
      <c r="I1392" s="6" t="inlineStr"/>
      <c r="J1392" s="6" t="inlineStr"/>
      <c r="K1392" s="6" t="inlineStr"/>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row>
    <row r="1393">
      <c r="A1393" s="5" t="inlineStr">
        <is>
          <t>b6-usta-kendi-tezgahi</t>
        </is>
      </c>
      <c r="B1393" s="5" t="n">
        <v>2</v>
      </c>
      <c r="C1393" s="6" t="inlineStr">
        <is>
          <t>Sesi kendin bul</t>
        </is>
      </c>
      <c r="D1393" s="5" t="inlineStr">
        <is>
          <t>Akıl</t>
        </is>
      </c>
      <c r="E1393" s="5" t="inlineStr">
        <is>
          <t>Orta</t>
        </is>
      </c>
      <c r="F1393" s="5" t="inlineStr"/>
      <c r="G1393" s="6" t="inlineStr"/>
      <c r="H1393" s="6" t="inlineStr">
        <is>
          <t>Kaputu açtın, dinledin, buldun. Taksici arabayı çalıştırdığında ses yoktu. Taksi durağında adın bir hafta içinde yayıldı.</t>
        </is>
      </c>
      <c r="I1393" s="6" t="inlineStr">
        <is>
          <t>Sesi buldun, bir de taksicinin fark etmediği ikinci arızayı. Taksi durağı artık sana geliyor; sanayide kıskananlar da.</t>
        </is>
      </c>
      <c r="J1393" s="6" t="inlineStr">
        <is>
          <t>Üç parça söktün, ses devam etti. Dördüncüyü sökünce ses durdu, araba da durdu.</t>
        </is>
      </c>
      <c r="K1393" s="6" t="inlineStr">
        <is>
          <t>Parçayı yanlış taktın. Ses değişti: “Vıyyy, sonra tık tık tık.” Taksici bunu da kaydetti.</t>
        </is>
      </c>
      <c r="L1393" s="6" t="inlineStr"/>
      <c r="M1393" s="5" t="inlineStr"/>
      <c r="N1393" s="5" t="inlineStr"/>
      <c r="O1393" s="6" t="inlineStr"/>
      <c r="P1393" s="6" t="inlineStr"/>
      <c r="Q1393" s="5" t="inlineStr"/>
      <c r="R1393" s="5" t="inlineStr"/>
      <c r="S1393" s="5" t="inlineStr"/>
      <c r="T1393" s="5" t="inlineStr">
        <is>
          <t>Kilit Kırıcı</t>
        </is>
      </c>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row>
    <row r="1394">
      <c r="A1394" s="5" t="inlineStr">
        <is>
          <t>b6-usta-kendi-tezgahi</t>
        </is>
      </c>
      <c r="B1394" s="5" t="n">
        <v>3</v>
      </c>
      <c r="C1394" s="6" t="inlineStr">
        <is>
          <t>Pazarlıkla işi büyüt</t>
        </is>
      </c>
      <c r="D1394" s="5" t="inlineStr">
        <is>
          <t>Çene</t>
        </is>
      </c>
      <c r="E1394" s="5" t="inlineStr">
        <is>
          <t>Orta</t>
        </is>
      </c>
      <c r="F1394" s="5" t="inlineStr"/>
      <c r="G1394" s="6" t="inlineStr"/>
      <c r="H1394" s="6" t="inlineStr">
        <is>
          <t>Taksiciye bütün durağın bakımını üstlenmeyi önerdin. Kabul etti. İlk ayın garanti.</t>
        </is>
      </c>
      <c r="I1394" s="6" t="inlineStr">
        <is>
          <t>Durak kabul etti, bir de karşı durak. Dükkânın önünde sabah taksi kuyruğu var; sanayinin en kalabalık kapısı senin.</t>
        </is>
      </c>
      <c r="J1394" s="6" t="inlineStr">
        <is>
          <t>Taksici “Önce bunu yap, sonra konuşuruz” dedi. Konuşmak hâlâ sırada.</t>
        </is>
      </c>
      <c r="K1394" s="6" t="inlineStr">
        <is>
          <t>Pazarlıkta fazla indirim yaptın. Bütün durak geldi; zararına çalışıyorsun ama çok çalışıyorsun.</t>
        </is>
      </c>
      <c r="L1394" s="6" t="inlineStr"/>
      <c r="M1394" s="5" t="inlineStr"/>
      <c r="N1394" s="5" t="inlineStr"/>
      <c r="O1394" s="6" t="inlineStr"/>
      <c r="P1394" s="6" t="inlineStr"/>
      <c r="Q1394" s="5" t="inlineStr"/>
      <c r="R1394" s="5" t="inlineStr"/>
      <c r="S1394" s="5" t="inlineStr"/>
      <c r="T1394" s="5" t="inlineStr"/>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row>
    <row r="1395">
      <c r="A1395" s="5" t="inlineStr">
        <is>
          <t>b6-dolandirici-ilk-is</t>
        </is>
      </c>
      <c r="B1395" s="5" t="n">
        <v>1</v>
      </c>
      <c r="C1395" s="6" t="inlineStr">
        <is>
          <t>Telefonu kapat, bu kişiyi arama</t>
        </is>
      </c>
      <c r="D1395" s="5" t="inlineStr"/>
      <c r="E1395" s="5" t="inlineStr"/>
      <c r="F1395" s="5" t="inlineStr">
        <is>
          <t>İtibar +2</t>
        </is>
      </c>
      <c r="G1395" s="6" t="inlineStr">
        <is>
          <t>Telefonu kapattın. Bütün gün posterdeki “Başarı” yazısına baktın. Akşam anneni aradın; sebepsizce. Annen de sebebini sormadı.</t>
        </is>
      </c>
      <c r="H1395" s="6" t="inlineStr"/>
      <c r="I1395" s="6" t="inlineStr"/>
      <c r="J1395" s="6" t="inlineStr"/>
      <c r="K1395" s="6" t="inlineStr"/>
      <c r="L1395" s="6" t="inlineStr"/>
      <c r="M1395" s="5" t="inlineStr"/>
      <c r="N1395" s="5" t="inlineStr"/>
      <c r="O1395" s="6" t="inlineStr"/>
      <c r="P1395" s="6" t="inlineStr"/>
      <c r="Q1395" s="5" t="inlineStr"/>
      <c r="R1395" s="5" t="inlineStr"/>
      <c r="S1395" s="5" t="inlineStr"/>
      <c r="T1395" s="5" t="inlineStr"/>
      <c r="U1395" s="5" t="inlineStr">
        <is>
          <t>vicdan-sesi</t>
        </is>
      </c>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row>
    <row r="1396">
      <c r="A1396" s="5" t="inlineStr">
        <is>
          <t>b6-dolandirici-ilk-is</t>
        </is>
      </c>
      <c r="B1396" s="5" t="n">
        <v>2</v>
      </c>
      <c r="C1396" s="6" t="inlineStr">
        <is>
          <t>Senaryoyu oku, kapat</t>
        </is>
      </c>
      <c r="D1396" s="5" t="inlineStr">
        <is>
          <t>Pişkinlik</t>
        </is>
      </c>
      <c r="E1396" s="5" t="inlineStr">
        <is>
          <t>Zor</t>
        </is>
      </c>
      <c r="F1396" s="5" t="inlineStr"/>
      <c r="G1396" s="6" t="inlineStr"/>
      <c r="H1396" s="6" t="inlineStr">
        <is>
          <t>Senaryoyu okudun, öğretmen “Düşüneyim” dedi, sonra aradı: “Tamam.” Ayın en büyük satışı senin. Posterin altında fotoğrafın asılı.</t>
        </is>
      </c>
      <c r="I1396" s="6" t="inlineStr">
        <is>
          <t>Öğretmen iki arkadaşını da önerdi. Ayın rekoru kırıldı. Kutlamada herkes sana kadeh kaldırdı; kimse öğretmenin adını söylemedi.</t>
        </is>
      </c>
      <c r="J1396" s="6" t="inlineStr">
        <is>
          <t>Öğretmen senaryonun ortasında durdu: “Evladım, sen bu işi sevmiyorsun.” Kapattı. Haklıydı.</t>
        </is>
      </c>
      <c r="K1396" s="6" t="inlineStr">
        <is>
          <t>Öğretmen konuşmayı kaydetmiş ve yerel bir tüketici grubuna göndermiş. Sesin bir haber sitesinde. Adın yok; sesin var.</t>
        </is>
      </c>
      <c r="L1396" s="6" t="inlineStr"/>
      <c r="M1396" s="5" t="inlineStr"/>
      <c r="N1396" s="5" t="inlineStr"/>
      <c r="O1396" s="6" t="inlineStr"/>
      <c r="P1396" s="6" t="inlineStr"/>
      <c r="Q1396" s="5" t="inlineStr"/>
      <c r="R1396" s="5" t="inlineStr"/>
      <c r="S1396" s="5" t="inlineStr"/>
      <c r="T1396" s="5" t="inlineStr"/>
      <c r="U1396" s="5" t="inlineStr"/>
      <c r="V1396" s="5" t="inlineStr"/>
      <c r="W1396" s="5" t="inlineStr">
        <is>
          <t>ifsa-oldu</t>
        </is>
      </c>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row>
    <row r="1397">
      <c r="A1397" s="5" t="inlineStr">
        <is>
          <t>b6-dolandirici-ilk-is</t>
        </is>
      </c>
      <c r="B1397" s="5" t="n">
        <v>3</v>
      </c>
      <c r="C1397" s="6" t="inlineStr">
        <is>
          <t>Ona gerçek bir tavsiye ver</t>
        </is>
      </c>
      <c r="D1397" s="5" t="inlineStr">
        <is>
          <t>Akıl</t>
        </is>
      </c>
      <c r="E1397" s="5" t="inlineStr">
        <is>
          <t>Orta</t>
        </is>
      </c>
      <c r="F1397" s="5" t="inlineStr"/>
      <c r="G1397" s="6" t="inlineStr"/>
      <c r="H1397" s="6" t="inlineStr">
        <is>
          <t>Öğretmene birikimini devlet tahviline koymasını söyledin. Teşekkür etti. Patron kaydı dinledi ve seni “eğitim”e aldı.</t>
        </is>
      </c>
      <c r="I1397" s="6" t="inlineStr">
        <is>
          <t>Öğretmen sana o kadar güvendi ki bütün öğretmenler odasını yönlendirdi. Artık gerçek bir danışman olmak için sınava hazırlanıyorsun.</t>
        </is>
      </c>
      <c r="J1397" s="6" t="inlineStr">
        <is>
          <t>Tavsiyeni verdin, öğretmen anlamadı. Patron anladı. Bir hafta ücretsiz izne çıkarıldın.</t>
        </is>
      </c>
      <c r="K1397" s="6" t="inlineStr">
        <is>
          <t>Gerçek tavsiyeyi kayıtlı hattan verdin. Patron seni kovdu, öğretmen seni aradı: “İyi misin evladım?”</t>
        </is>
      </c>
      <c r="L1397" s="6" t="inlineStr"/>
      <c r="M1397" s="5" t="inlineStr"/>
      <c r="N1397" s="5" t="inlineStr"/>
      <c r="O1397" s="6" t="inlineStr"/>
      <c r="P1397" s="6" t="inlineStr"/>
      <c r="Q1397" s="5" t="inlineStr"/>
      <c r="R1397" s="5" t="inlineStr"/>
      <c r="S1397" s="5" t="inlineStr"/>
      <c r="T1397" s="5" t="inlineStr"/>
      <c r="U1397" s="5" t="inlineStr"/>
      <c r="V1397" s="5" t="inlineStr">
        <is>
          <t>vicdan-sesi</t>
        </is>
      </c>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row>
    <row r="1398">
      <c r="A1398" s="5" t="inlineStr">
        <is>
          <t>b6-girisim-sunumu</t>
        </is>
      </c>
      <c r="B1398" s="5" t="n">
        <v>1</v>
      </c>
      <c r="C1398" s="6" t="inlineStr">
        <is>
          <t>Dürüst ol: “Henüz müşterimiz yok”</t>
        </is>
      </c>
      <c r="D1398" s="5" t="inlineStr"/>
      <c r="E1398" s="5" t="inlineStr"/>
      <c r="F1398" s="5" t="inlineStr">
        <is>
          <t>İtibar +1, Cesaret +1</t>
        </is>
      </c>
      <c r="G1398" s="6" t="inlineStr">
        <is>
          <t>Dürüstlüğün salonu şaşırttı. Yatırımcılardan biri telefonu bıraktı: “İlk kez biri bunu söyledi.” Para vermedi ama akıl verdi; ücretsiz ve bol.</t>
        </is>
      </c>
      <c r="H1398" s="6" t="inlineStr"/>
      <c r="I1398" s="6" t="inlineStr"/>
      <c r="J1398" s="6" t="inlineStr"/>
      <c r="K1398" s="6" t="inlineStr"/>
      <c r="L1398" s="6" t="inlineStr"/>
      <c r="M1398" s="5" t="inlineStr"/>
      <c r="N1398" s="5" t="inlineStr"/>
      <c r="O1398" s="6" t="inlineStr"/>
      <c r="P1398" s="6" t="inlineStr"/>
      <c r="Q1398" s="5" t="inlineStr"/>
      <c r="R1398" s="5" t="inlineStr"/>
      <c r="S1398" s="5" t="inlineStr"/>
      <c r="T1398" s="5" t="inlineStr"/>
      <c r="U1398" s="5" t="inlineStr"/>
      <c r="V1398" s="5" t="inlineStr"/>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row>
    <row r="1399">
      <c r="A1399" s="5" t="inlineStr">
        <is>
          <t>b6-girisim-sunumu</t>
        </is>
      </c>
      <c r="B1399" s="5" t="n">
        <v>2</v>
      </c>
      <c r="C1399" s="6" t="inlineStr">
        <is>
          <t>Rakamları “iyimser” göster</t>
        </is>
      </c>
      <c r="D1399" s="5" t="inlineStr">
        <is>
          <t>Pişkinlik</t>
        </is>
      </c>
      <c r="E1399" s="5" t="inlineStr">
        <is>
          <t>Zor</t>
        </is>
      </c>
      <c r="F1399" s="5" t="inlineStr"/>
      <c r="G1399" s="6" t="inlineStr"/>
      <c r="H1399" s="6" t="inlineStr">
        <is>
          <t>Grafik yukarı gidiyordu; biraz fazla yukarı. Yatırımcılar ikna oldu. Şimdi o grafiği gerçekleştirmen gerekiyor.</t>
        </is>
      </c>
      <c r="I1399" s="6" t="inlineStr">
        <is>
          <t>Bir yatırımcı hemen imza attı, diğer ikisi de kaçırmamak için. Şirketin değeri bir sabahta ikiye katlandı; sen hâlâ aynı sandalyedesin.</t>
        </is>
      </c>
      <c r="J1399" s="6" t="inlineStr">
        <is>
          <t>Yatırımcılardan biri grafiğin eksenini sordu. Eksen yoktu. Toplantı kısa sürdü.</t>
        </is>
      </c>
      <c r="K1399" s="6" t="inlineStr">
        <is>
          <t>Yatırımcılardan biri geçen ay aynı grafiği başka bir girişimden görmüştü. Aynı şablondu. Salonda bir sessizlik oldu; senin sessizliğin.</t>
        </is>
      </c>
      <c r="L1399" s="6" t="inlineStr"/>
      <c r="M1399" s="5" t="inlineStr"/>
      <c r="N1399" s="5" t="inlineStr"/>
      <c r="O1399" s="6" t="inlineStr"/>
      <c r="P1399" s="6" t="inlineStr"/>
      <c r="Q1399" s="5" t="inlineStr"/>
      <c r="R1399" s="5" t="inlineStr"/>
      <c r="S1399" s="5" t="inlineStr"/>
      <c r="T1399" s="5" t="inlineStr"/>
      <c r="U1399" s="5" t="inlineStr"/>
      <c r="V1399" s="5" t="inlineStr">
        <is>
          <t>borclu</t>
        </is>
      </c>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row>
    <row r="1400">
      <c r="A1400" s="5" t="inlineStr">
        <is>
          <t>b6-girisim-sunumu</t>
        </is>
      </c>
      <c r="B1400" s="5" t="n">
        <v>3</v>
      </c>
      <c r="C1400" s="6" t="inlineStr">
        <is>
          <t>Ürünü canlı göster</t>
        </is>
      </c>
      <c r="D1400" s="5" t="inlineStr">
        <is>
          <t>Akıl</t>
        </is>
      </c>
      <c r="E1400" s="5" t="inlineStr">
        <is>
          <t>Orta</t>
        </is>
      </c>
      <c r="F1400" s="5" t="inlineStr"/>
      <c r="G1400" s="6" t="inlineStr"/>
      <c r="H1400" s="6" t="inlineStr">
        <is>
          <t>Ürün çalıştı. Yatırımcılar ilk kez başlarını kaldırdı. Birisi “Tekrar göster” dedi; bir daha çalıştı.</t>
        </is>
      </c>
      <c r="I1400" s="6" t="inlineStr">
        <is>
          <t>Canlı gösterimde yatırımcılardan biri ürünü kendi telefonunda denedi ve sunumun ortasında kullanmaya başladı. Anlaşma o akşam yapıldı.</t>
        </is>
      </c>
      <c r="J1400" s="6" t="inlineStr">
        <is>
          <t>Ürün yavaş açıldı. Açılırken bir fıkra anlattın. Fıkra ürünü kurtarmadı.</t>
        </is>
      </c>
      <c r="K1400" s="6" t="inlineStr">
        <is>
          <t>Ürün canlı gösterimde çöktü; ekranda test için yazdığın mesaj belirdi: “Bu yatırımcılar bir şey anlamaz.” Okudular. Üçü de.</t>
        </is>
      </c>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row>
    <row r="1401">
      <c r="A1401" s="5" t="inlineStr">
        <is>
          <t>b6-goc-ilk-kira</t>
        </is>
      </c>
      <c r="B1401" s="5" t="n">
        <v>1</v>
      </c>
      <c r="C1401" s="6" t="inlineStr">
        <is>
          <t>Hepsini oku, imzala</t>
        </is>
      </c>
      <c r="D1401" s="5" t="inlineStr"/>
      <c r="E1401" s="5" t="inlineStr"/>
      <c r="F1401" s="5" t="inlineStr">
        <is>
          <t>Akıl +1, Dayanıklılık +1</t>
        </is>
      </c>
      <c r="G1401" s="6" t="inlineStr">
        <is>
          <t>Otuz dört sayfayı okudun. Çöpü dört renge ayırıyorsun; komşuların beş. Balkon var ama mangal yok; annen bunu hâlâ kabullenmedi.</t>
        </is>
      </c>
      <c r="H1401" s="6" t="inlineStr"/>
      <c r="I1401" s="6" t="inlineStr"/>
      <c r="J1401" s="6" t="inlineStr"/>
      <c r="K1401" s="6" t="inlineStr"/>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row>
    <row r="1402">
      <c r="A1402" s="5" t="inlineStr">
        <is>
          <t>b6-goc-ilk-kira</t>
        </is>
      </c>
      <c r="B1402" s="5" t="n">
        <v>2</v>
      </c>
      <c r="C1402" s="6" t="inlineStr">
        <is>
          <t>Memleketten gelenlerle ev tut</t>
        </is>
      </c>
      <c r="D1402" s="5" t="inlineStr">
        <is>
          <t>Sosyal Radar</t>
        </is>
      </c>
      <c r="E1402" s="5" t="inlineStr">
        <is>
          <t>Orta</t>
        </is>
      </c>
      <c r="F1402" s="5" t="inlineStr"/>
      <c r="G1402" s="6" t="inlineStr"/>
      <c r="H1402" s="6" t="inlineStr">
        <is>
          <t>Üç Makaryalı, bir apartman dairesi. Evde çay hiç bitmiyor, bayramlar kalabalık. Öte Diyar'ın ortasında küçük bir mahalle kurdunuz.</t>
        </is>
      </c>
      <c r="I1402" s="6" t="inlineStr">
        <is>
          <t>Ev o kadar sevildi ki mahalledeki bütün Makaryalılar pazar kahvaltısına geliyor. Bir derneğin başkanı gibisin; ama ücretsiz.</t>
        </is>
      </c>
      <c r="J1402" s="6" t="inlineStr">
        <is>
          <t>Ev tuttunuz; ev arkadaşlarından biri her gece memleketi aradı, hoparlörden. Uyku artık bir lüks.</t>
        </is>
      </c>
      <c r="K1402" s="6" t="inlineStr">
        <is>
          <t>Ev arkadaşları balkonda mangal yaktı. Sözleşmenin yirminci sayfası devreye girdi. Hepiniz yeni ev arıyorsunuz.</t>
        </is>
      </c>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row>
    <row r="1403">
      <c r="A1403" s="5" t="inlineStr">
        <is>
          <t>b6-goc-ilk-kira</t>
        </is>
      </c>
      <c r="B1403" s="5" t="n">
        <v>3</v>
      </c>
      <c r="C1403" s="6" t="inlineStr">
        <is>
          <t>Yerel mahallede tek başına yaşa</t>
        </is>
      </c>
      <c r="D1403" s="5" t="inlineStr">
        <is>
          <t>Cesaret</t>
        </is>
      </c>
      <c r="E1403" s="5" t="inlineStr">
        <is>
          <t>Zor</t>
        </is>
      </c>
      <c r="F1403" s="5" t="inlineStr"/>
      <c r="G1403" s="6" t="inlineStr"/>
      <c r="H1403" s="6" t="inlineStr">
        <is>
          <t>Tek Makaryalı sensin; komşular önce çekindi, sonra kapını çaldı. Şimdi apartmanın yaz şenliğinde senin baklavan var.</t>
        </is>
      </c>
      <c r="I1403" s="6" t="inlineStr">
        <is>
          <t>Komşuların seni öyle benimsedi ki apartman yönetimine seçildin. Aidat tahsil ediyorsun; bir dilde, iki aksanla.</t>
        </is>
      </c>
      <c r="J1403" s="6" t="inlineStr">
        <is>
          <t>Komşular kibar: asansörde selam veriyor, kapıyı tutuyor. Bütün kış kimse kapını çalmadı. Memlekette kapının çalınmadığı tek bir gün olmazdı.</t>
        </is>
      </c>
      <c r="K1403" s="6" t="inlineStr">
        <is>
          <t>Komşunun çöpünü yanlış renge attın. Apartman toplantısında gündemin ilk maddesi sendin.</t>
        </is>
      </c>
      <c r="L1403" s="6" t="inlineStr"/>
      <c r="M1403" s="5" t="inlineStr"/>
      <c r="N1403" s="5" t="inlineStr"/>
      <c r="O1403" s="6" t="inlineStr"/>
      <c r="P1403" s="6" t="inlineStr"/>
      <c r="Q1403" s="5" t="inlineStr"/>
      <c r="R1403" s="5" t="inlineStr"/>
      <c r="S1403" s="5" t="inlineStr"/>
      <c r="T1403" s="5" t="inlineStr">
        <is>
          <t>İki Dilli Rüya</t>
        </is>
      </c>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row>
    <row r="1404">
      <c r="A1404" s="5" t="inlineStr">
        <is>
          <t>b7-polis-asayis</t>
        </is>
      </c>
      <c r="B1404" s="5" t="n">
        <v>1</v>
      </c>
      <c r="C1404" s="6" t="inlineStr">
        <is>
          <t>Kayıtları baştan tara</t>
        </is>
      </c>
      <c r="D1404" s="5" t="inlineStr"/>
      <c r="E1404" s="5" t="inlineStr"/>
      <c r="F1404" s="5" t="inlineStr">
        <is>
          <t>Akıl +1, Dayanıklılık +1</t>
        </is>
      </c>
      <c r="G1404" s="6" t="inlineStr">
        <is>
          <t>Üç gece kayıt taradın. Bisikletlerin hepsi aynı saatte kaybolmuş: pazar kurulurken. Dosyayı amire verdin; amir “Pazarı mı gözaltına alalım?” dedi.</t>
        </is>
      </c>
      <c r="H1404" s="6" t="inlineStr"/>
      <c r="I1404" s="6" t="inlineStr"/>
      <c r="J1404" s="6" t="inlineStr"/>
      <c r="K1404" s="6" t="inlineStr"/>
      <c r="L1404" s="6" t="inlineStr"/>
      <c r="M1404" s="5" t="inlineStr"/>
      <c r="N1404" s="5" t="inlineStr"/>
      <c r="O1404" s="6" t="inlineStr"/>
      <c r="P1404" s="6" t="inlineStr"/>
      <c r="Q1404" s="5" t="inlineStr"/>
      <c r="R1404" s="5" t="inlineStr"/>
      <c r="S1404" s="5" t="inlineStr"/>
      <c r="T1404" s="5" t="inlineStr"/>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row>
    <row r="1405">
      <c r="A1405" s="5" t="inlineStr">
        <is>
          <t>b7-polis-asayis</t>
        </is>
      </c>
      <c r="B1405" s="5" t="n">
        <v>2</v>
      </c>
      <c r="C1405" s="6" t="inlineStr">
        <is>
          <t>Simitçiyle dost ol</t>
        </is>
      </c>
      <c r="D1405" s="5" t="inlineStr">
        <is>
          <t>Sosyal Radar</t>
        </is>
      </c>
      <c r="E1405" s="5" t="inlineStr">
        <is>
          <t>Orta</t>
        </is>
      </c>
      <c r="F1405" s="5" t="inlineStr"/>
      <c r="G1405" s="6" t="inlineStr"/>
      <c r="H1405" s="6" t="inlineStr">
        <is>
          <t>Bir hafta her sabah simit aldın. Sekizinci gün simitçi fısıldadı: “Kırmızı kamyonet.” Bisikletler bir depoda bulundu; simitçi de artık senin adamın.</t>
        </is>
      </c>
      <c r="I1405" s="6" t="inlineStr">
        <is>
          <t>Simitçi kamyoneti de verdi, şoförün yeğeninin düğün tarihini de. Hepsini düğünde topladınız; pasta kesilmeden.</t>
        </is>
      </c>
      <c r="J1405" s="6" t="inlineStr">
        <is>
          <t>Bir hafta simit aldın, simitçi tek kelime etmedi. Dosya kapanmadı; sen iki kilo aldın.</t>
        </is>
      </c>
      <c r="K1405" s="6" t="inlineStr">
        <is>
          <t>Simitçiye fazla soru sordun; o da seni mahallede muhbir diye tanıttı. Artık simitçi senden kaçıyor, bisikletler de.</t>
        </is>
      </c>
      <c r="L1405" s="6" t="inlineStr"/>
      <c r="M1405" s="5" t="inlineStr"/>
      <c r="N1405" s="5" t="inlineStr"/>
      <c r="O1405" s="6" t="inlineStr"/>
      <c r="P1405" s="6" t="inlineStr"/>
      <c r="Q1405" s="5" t="inlineStr"/>
      <c r="R1405" s="5" t="inlineStr"/>
      <c r="S1405" s="5" t="inlineStr"/>
      <c r="T1405" s="5" t="inlineStr"/>
      <c r="U1405" s="5" t="inlineStr"/>
      <c r="V1405" s="5" t="inlineStr">
        <is>
          <t>polis-muhbir</t>
        </is>
      </c>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row>
    <row r="1406">
      <c r="A1406" s="5" t="inlineStr">
        <is>
          <t>b7-polis-asayis</t>
        </is>
      </c>
      <c r="B1406" s="5" t="n">
        <v>3</v>
      </c>
      <c r="C1406" s="6" t="inlineStr">
        <is>
          <t>Pazar sabahı pusu kur</t>
        </is>
      </c>
      <c r="D1406" s="5" t="inlineStr">
        <is>
          <t>Cesaret</t>
        </is>
      </c>
      <c r="E1406" s="5" t="inlineStr">
        <is>
          <t>Zor</t>
        </is>
      </c>
      <c r="F1406" s="5" t="inlineStr"/>
      <c r="G1406" s="6" t="inlineStr"/>
      <c r="H1406" s="6" t="inlineStr">
        <is>
          <t>Pazar sabahı bir tentenin arkasında dört saat bekledin. Kamyonet geldi, sen çıktın, şoför teslim oldu. Elinde hâlâ bir demet maydanoz vardı.</t>
        </is>
      </c>
      <c r="I1406" s="6" t="inlineStr">
        <is>
          <t>Pusu öyle kusursuzdu ki şoför seni pazarcı sanıp kamyoneti sana emanet etti. Dosya ve kamyonet aynı gün teslim.</t>
        </is>
      </c>
      <c r="J1406" s="6" t="inlineStr">
        <is>
          <t>Dört saat bekledin; kamyonet o hafta gelmedi. Tente sahibi sana iki kasa limon sattı; nasıl olduğunu anlamadın.</t>
        </is>
      </c>
      <c r="K1406" s="6" t="inlineStr">
        <is>
          <t>Yanlış tentenin arkasına saklandın; tente çöktü. Kamyonet önünden geçti, şoför el salladı.</t>
        </is>
      </c>
      <c r="L1406" s="6" t="inlineStr"/>
      <c r="M1406" s="5" t="inlineStr"/>
      <c r="N1406" s="5" t="inlineStr"/>
      <c r="O1406" s="6" t="inlineStr"/>
      <c r="P1406" s="6" t="inlineStr"/>
      <c r="Q1406" s="5" t="inlineStr"/>
      <c r="R1406" s="5" t="inlineStr"/>
      <c r="S1406" s="5" t="inlineStr"/>
      <c r="T1406" s="5" t="inlineStr">
        <is>
          <t>Nöbet Disiplini</t>
        </is>
      </c>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row>
    <row r="1407">
      <c r="A1407" s="5" t="inlineStr">
        <is>
          <t>b7-polis-komiserlik</t>
        </is>
      </c>
      <c r="B1407" s="5" t="n">
        <v>1</v>
      </c>
      <c r="C1407" s="6" t="inlineStr">
        <is>
          <t>Üçünün de ifadesini al</t>
        </is>
      </c>
      <c r="D1407" s="5" t="inlineStr"/>
      <c r="E1407" s="5" t="inlineStr"/>
      <c r="F1407" s="5" t="inlineStr">
        <is>
          <t>Sosyal Radar +1, Dayanıklılık +1</t>
        </is>
      </c>
      <c r="G1407" s="6" t="inlineStr">
        <is>
          <t>Dokuz saat ifade aldın. Üçü birbirini gösterdi, sonra hep birlikte seni. Dosyayı “faili meçhul pasta” diye kapattın; tutanakta krema lekesi var.</t>
        </is>
      </c>
      <c r="H1407" s="6" t="inlineStr"/>
      <c r="I1407" s="6" t="inlineStr"/>
      <c r="J1407" s="6" t="inlineStr"/>
      <c r="K1407" s="6" t="inlineStr"/>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row>
    <row r="1408">
      <c r="A1408" s="5" t="inlineStr">
        <is>
          <t>b7-polis-komiserlik</t>
        </is>
      </c>
      <c r="B1408" s="5" t="n">
        <v>2</v>
      </c>
      <c r="C1408" s="6" t="inlineStr">
        <is>
          <t>Pastacının dükkânını ara</t>
        </is>
      </c>
      <c r="D1408" s="5" t="inlineStr">
        <is>
          <t>Cesaret</t>
        </is>
      </c>
      <c r="E1408" s="5" t="inlineStr">
        <is>
          <t>Orta</t>
        </is>
      </c>
      <c r="F1408" s="5" t="inlineStr"/>
      <c r="G1408" s="6" t="inlineStr"/>
      <c r="H1408" s="6" t="inlineStr">
        <is>
          <t>Dükkânın arkasında pastayı buldun, üstünde isimler duruyordu. Pastacı itiraf etti: ödeme yapılmamış. Dosya bir fatura davasına dönüştü.</t>
        </is>
      </c>
      <c r="I1408" s="6" t="inlineStr">
        <is>
          <t>Pastayı da faturayı da buldun, iki anneyi pastacıyla barıştırdın. Düğün bir hafta sonra yeniden yapıldı; masan pastanın hemen yanında.</t>
        </is>
      </c>
      <c r="J1408" s="6" t="inlineStr">
        <is>
          <t>Dükkânda yalnızca un buldun. Pastacı seni kapıya kadar geçirip bir kurabiye verdi. Delil değil, ikram.</t>
        </is>
      </c>
      <c r="K1408" s="6" t="inlineStr">
        <is>
          <t>Aramada yanlış kapıyı açıp soğuk hava deposunda kaldın. Seni pastacı çıkardı; tutanağa kurtarıcının adını yazdın.</t>
        </is>
      </c>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row>
    <row r="1409">
      <c r="A1409" s="5" t="inlineStr">
        <is>
          <t>b7-polis-komiserlik</t>
        </is>
      </c>
      <c r="B1409" s="5" t="n">
        <v>3</v>
      </c>
      <c r="C1409" s="6" t="inlineStr">
        <is>
          <t>Yüzlerini oku, blöf yap</t>
        </is>
      </c>
      <c r="D1409" s="5" t="inlineStr">
        <is>
          <t>Sosyal Radar</t>
        </is>
      </c>
      <c r="E1409" s="5" t="inlineStr">
        <is>
          <t>Zor</t>
        </is>
      </c>
      <c r="F1409" s="5" t="inlineStr"/>
      <c r="G1409" s="6" t="inlineStr"/>
      <c r="H1409" s="6" t="inlineStr">
        <is>
          <t>“Pastacı her şeyi anlattı” dedin. Damadın annesi atıldı: “Yalan, ben sadece sakladım!” Dosya on dakikada kapandı; ekip seni ilk kez alkışladı.</t>
        </is>
      </c>
      <c r="I1409" s="6" t="inlineStr">
        <is>
          <t>Blöfün öyle tuttu ki üç şüpheli birbirinin payını itiraf etti; hepsi tutarlı. Amir “Bunun gözünden hiçbir şey kaçmıyor” deyip seni dedektif kursuna yazdı.</t>
        </is>
      </c>
      <c r="J1409" s="6" t="inlineStr">
        <is>
          <t>Blöf yaptın, kimse yutmadı. Gelinin annesi sana “Evladım, sen evli misin?” diye sordu; sorgu el değiştirdi.</t>
        </is>
      </c>
      <c r="K1409" s="6" t="inlineStr">
        <is>
          <t>Blöfün ortasında kendi yüzün kızardı. Üç şüpheli aynı anda sustu, sonra aynı anda güldü. Karakolda adın “Pancar.”</t>
        </is>
      </c>
      <c r="L1409" s="6" t="inlineStr">
        <is>
          <t>Blöf yarıya kadar tuttu. Damadın annesi bir şey diyecekti, gelinin annesi elini tuttu. Dosya bir hafta daha açık.</t>
        </is>
      </c>
      <c r="M1409" s="5" t="inlineStr">
        <is>
          <t>poker</t>
        </is>
      </c>
      <c r="N1409" s="5" t="inlineStr">
        <is>
          <t>Sorgu Yüzü</t>
        </is>
      </c>
      <c r="O1409" s="6" t="inlineStr">
        <is>
          <t>“Pastacı her şeyi anlattı” de ve gözünü kırpma. Parmağını dairenin içinde tut; üç şüpheli yüzünü okuyor.</t>
        </is>
      </c>
      <c r="P1409" s="6" t="inlineStr"/>
      <c r="Q1409" s="5" t="inlineStr"/>
      <c r="R1409" s="5" t="inlineStr"/>
      <c r="S1409" s="5" t="inlineStr"/>
      <c r="T1409" s="5" t="inlineStr">
        <is>
          <t>Odayı Okur</t>
        </is>
      </c>
      <c r="U1409" s="5" t="inlineStr"/>
      <c r="V1409" s="5" t="inlineStr">
        <is>
          <t>polis-yuz-okur</t>
        </is>
      </c>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is>
          <t>Pancar</t>
        </is>
      </c>
    </row>
    <row r="1410">
      <c r="A1410" s="5" t="inlineStr">
        <is>
          <t>b7-polis-ekip</t>
        </is>
      </c>
      <c r="B1410" s="5" t="n">
        <v>1</v>
      </c>
      <c r="C1410" s="6" t="inlineStr">
        <is>
          <t>Kısa tut, işe dön</t>
        </is>
      </c>
      <c r="D1410" s="5" t="inlineStr"/>
      <c r="E1410" s="5" t="inlineStr"/>
      <c r="F1410" s="5" t="inlineStr">
        <is>
          <t>Cesaret +1, Sosyal Radar +1</t>
        </is>
      </c>
      <c r="G1410" s="6" t="inlineStr">
        <is>
          <t>“Herkes işinin başına” dedin, toplantı iki dakika sürdü. Ekip bunu sevdi. Kedi de; masanı resmen işgal etti.</t>
        </is>
      </c>
      <c r="H1410" s="6" t="inlineStr"/>
      <c r="I1410" s="6" t="inlineStr"/>
      <c r="J1410" s="6" t="inlineStr"/>
      <c r="K1410" s="6" t="inlineStr"/>
      <c r="L1410" s="6" t="inlineStr"/>
      <c r="M1410" s="5" t="inlineStr"/>
      <c r="N1410" s="5" t="inlineStr"/>
      <c r="O1410" s="6" t="inlineStr"/>
      <c r="P1410" s="6" t="inlineStr"/>
      <c r="Q1410" s="5" t="inlineStr"/>
      <c r="R1410" s="5" t="inlineStr"/>
      <c r="S1410" s="5" t="inlineStr"/>
      <c r="T1410" s="5" t="inlineStr"/>
      <c r="U1410" s="5" t="inlineStr"/>
      <c r="V1410" s="5" t="inlineStr"/>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row>
    <row r="1411">
      <c r="A1411" s="5" t="inlineStr">
        <is>
          <t>b7-polis-ekip</t>
        </is>
      </c>
      <c r="B1411" s="5" t="n">
        <v>2</v>
      </c>
      <c r="C1411" s="6" t="inlineStr">
        <is>
          <t>Herkesle tek tek konuş</t>
        </is>
      </c>
      <c r="D1411" s="5" t="inlineStr">
        <is>
          <t>Sosyal Radar</t>
        </is>
      </c>
      <c r="E1411" s="5" t="inlineStr">
        <is>
          <t>Orta</t>
        </is>
      </c>
      <c r="F1411" s="5" t="inlineStr"/>
      <c r="G1411" s="6" t="inlineStr"/>
      <c r="H1411" s="6" t="inlineStr">
        <is>
          <t>Altı polisi tek tek dinledin. Biri tayin, biri izin, biri sadece çay istiyordu. Hepsini çözdün; ekip artık “Amirim” derken gülmüyor.</t>
        </is>
      </c>
      <c r="I1411" s="6" t="inlineStr">
        <is>
          <t>Konuşmalardan sonra ekip sana söz verdi: “Nereye gidersen oraya.” Çaycı bile seninle birlikte tayin istedi.</t>
        </is>
      </c>
      <c r="J1411" s="6" t="inlineStr">
        <is>
          <t>Konuştun ama herkes aynı şeyi istedi: eski amir gibi olmaman. Eski amiri tanımıyorsun.</t>
        </is>
      </c>
      <c r="K1411" s="6" t="inlineStr">
        <is>
          <t>Konuşmaları deftere not ettin, defter kayboldu. Bir hafta sonra panoda asılı bulundu; bütün ekip seni okudu.</t>
        </is>
      </c>
      <c r="L1411" s="6" t="inlineStr"/>
      <c r="M1411" s="5" t="inlineStr"/>
      <c r="N1411" s="5" t="inlineStr"/>
      <c r="O1411" s="6" t="inlineStr"/>
      <c r="P1411" s="6" t="inlineStr"/>
      <c r="Q1411" s="5" t="inlineStr"/>
      <c r="R1411" s="5" t="inlineStr"/>
      <c r="S1411" s="5" t="inlineStr"/>
      <c r="T1411" s="5" t="inlineStr"/>
      <c r="U1411" s="5" t="inlineStr"/>
      <c r="V1411" s="5" t="inlineStr">
        <is>
          <t>polis-sadik-ekip</t>
        </is>
      </c>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row>
    <row r="1412">
      <c r="A1412" s="5" t="inlineStr">
        <is>
          <t>b7-polis-ekip</t>
        </is>
      </c>
      <c r="B1412" s="5" t="n">
        <v>3</v>
      </c>
      <c r="C1412" s="6" t="inlineStr">
        <is>
          <t>Tozlu bir dosyayı ekiple kapat</t>
        </is>
      </c>
      <c r="D1412" s="5" t="inlineStr">
        <is>
          <t>Cesaret</t>
        </is>
      </c>
      <c r="E1412" s="5" t="inlineStr">
        <is>
          <t>Zor</t>
        </is>
      </c>
      <c r="F1412" s="5" t="inlineStr"/>
      <c r="G1412" s="6" t="inlineStr"/>
      <c r="H1412" s="6" t="inlineStr">
        <is>
          <t>Aylardır açık kalan jant kapağı dosyasını bir haftada kapattınız. Şüpheli kapakları çalmıyormuş; parlatıp geri takıyormuş, ücretsiz.</t>
        </is>
      </c>
      <c r="I1412" s="6" t="inlineStr">
        <is>
          <t>Dosya kapandı, emniyet bülteninde ekip fotoğrafınız çıktı. Kedi de karede; bülten en çok onu konuştu.</t>
        </is>
      </c>
      <c r="J1412" s="6" t="inlineStr">
        <is>
          <t>Dosya kapanmadı ama ekip bir haftayı birlikte geçirdi. Artık herkes birbirinin çayını biliyor.</t>
        </is>
      </c>
      <c r="K1412" s="6" t="inlineStr">
        <is>
          <t>Baskını yanlış adrese yaptınız; ev sahibi size börek ikram etti. Tutanağa börekli bir özür girdi.</t>
        </is>
      </c>
      <c r="L1412" s="6" t="inlineStr"/>
      <c r="M1412" s="5" t="inlineStr"/>
      <c r="N1412" s="5" t="inlineStr"/>
      <c r="O1412" s="6" t="inlineStr"/>
      <c r="P1412" s="6" t="inlineStr"/>
      <c r="Q1412" s="5" t="inlineStr"/>
      <c r="R1412" s="5" t="inlineStr"/>
      <c r="S1412" s="5" t="inlineStr"/>
      <c r="T1412" s="5" t="inlineStr">
        <is>
          <t>Gözüne Uyku Girmez</t>
        </is>
      </c>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row>
    <row r="1413">
      <c r="A1413" s="5" t="inlineStr">
        <is>
          <t>b8-polis-mudurluk</t>
        </is>
      </c>
      <c r="B1413" s="5" t="n">
        <v>1</v>
      </c>
      <c r="C1413" s="6" t="inlineStr">
        <is>
          <t>Dosyanı anlat, abartma</t>
        </is>
      </c>
      <c r="D1413" s="5" t="inlineStr"/>
      <c r="E1413" s="5" t="inlineStr"/>
      <c r="F1413" s="5" t="inlineStr">
        <is>
          <t>Akıl +1, İtibar +1</t>
        </is>
      </c>
      <c r="G1413" s="6" t="inlineStr">
        <is>
          <t>Yaptıklarını sade sade anlattın. Başkan “Az konuşan polis az bulunur” diye not aldı. Kadro bu dönem başkasına gitti; not dosyanda kaldı.</t>
        </is>
      </c>
      <c r="H1413" s="6" t="inlineStr"/>
      <c r="I1413" s="6" t="inlineStr"/>
      <c r="J1413" s="6" t="inlineStr"/>
      <c r="K1413" s="6" t="inlineStr"/>
      <c r="L1413" s="6" t="inlineStr"/>
      <c r="M1413" s="5" t="inlineStr"/>
      <c r="N1413" s="5" t="inlineStr"/>
      <c r="O1413" s="6" t="inlineStr"/>
      <c r="P1413" s="6" t="inlineStr"/>
      <c r="Q1413" s="5" t="inlineStr"/>
      <c r="R1413" s="5" t="inlineStr"/>
      <c r="S1413" s="5" t="inlineStr"/>
      <c r="T1413" s="5" t="inlineStr"/>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row>
    <row r="1414">
      <c r="A1414" s="5" t="inlineStr">
        <is>
          <t>b8-polis-mudurluk</t>
        </is>
      </c>
      <c r="B1414" s="5" t="n">
        <v>2</v>
      </c>
      <c r="C1414" s="6" t="inlineStr">
        <is>
          <t>Kurulun havasını oku</t>
        </is>
      </c>
      <c r="D1414" s="5" t="inlineStr">
        <is>
          <t>Sosyal Radar</t>
        </is>
      </c>
      <c r="E1414" s="5" t="inlineStr">
        <is>
          <t>Orta</t>
        </is>
      </c>
      <c r="F1414" s="5" t="inlineStr"/>
      <c r="G1414" s="6" t="inlineStr"/>
      <c r="H1414" s="6" t="inlineStr">
        <is>
          <t>Kurulda biri balıkçı, biri torun sahibi, biri emekliliğe altı ay. Her birine kendi dilinden cevap verdin. Emniyet müdürü oldun; ilk tebrik vantilatörden.</t>
        </is>
      </c>
      <c r="I1414" s="6" t="inlineStr">
        <is>
          <t>Mülakat sohbete, sohbet balık tarifine döndü. Müdür oldun; başkan hâlâ arayıp tarifi soruyor.</t>
        </is>
      </c>
      <c r="J1414" s="6" t="inlineStr">
        <is>
          <t>Havayı okudun ama yanlış sayfadan: balıkçıya torun, torunluya balık anlattın. Kadro başkasına gitti.</t>
        </is>
      </c>
      <c r="K1414" s="6" t="inlineStr">
        <is>
          <t>Başkana “Sizi bir yerden tanıyorum” dedin. Tanıyormuşsun: yirmi yıl önce ona park cezası yazmışsın. Mülakat orada bitti.</t>
        </is>
      </c>
      <c r="L1414" s="6" t="inlineStr"/>
      <c r="M1414" s="5" t="inlineStr"/>
      <c r="N1414" s="5" t="inlineStr"/>
      <c r="O1414" s="6" t="inlineStr"/>
      <c r="P1414" s="6" t="inlineStr"/>
      <c r="Q1414" s="5" t="inlineStr"/>
      <c r="R1414" s="5" t="inlineStr"/>
      <c r="S1414" s="5" t="inlineStr"/>
      <c r="T1414" s="5" t="inlineStr"/>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row>
    <row r="1415">
      <c r="A1415" s="5" t="inlineStr">
        <is>
          <t>b8-polis-mudurluk</t>
        </is>
      </c>
      <c r="B1415" s="5" t="n">
        <v>3</v>
      </c>
      <c r="C1415" s="6" t="inlineStr">
        <is>
          <t>Teşkilatın aksayan yanlarını söyle</t>
        </is>
      </c>
      <c r="D1415" s="5" t="inlineStr">
        <is>
          <t>Cesaret</t>
        </is>
      </c>
      <c r="E1415" s="5" t="inlineStr">
        <is>
          <t>Zor</t>
        </is>
      </c>
      <c r="F1415" s="5" t="inlineStr"/>
      <c r="G1415" s="6" t="inlineStr"/>
      <c r="H1415" s="6" t="inlineStr">
        <is>
          <t>Kurula tek tek anlattın: bozuk telsizler, eski araçlar, çay ocağının sigortası. Sessizlik oldu. Müdür oldun; ilk iş sigortayı değiştirdin.</t>
        </is>
      </c>
      <c r="I1415" s="6" t="inlineStr">
        <is>
          <t>Konuşman öyle yerindeydi ki kurul raporuna aynen girdi. Müdür oldun; bütün karakolların telsizi yenilendi, maç skoru daha net duyuluyor.</t>
        </is>
      </c>
      <c r="J1415" s="6" t="inlineStr">
        <is>
          <t>Söyledin; kurul not aldı, kadroyu da daha az konuşan birine verdi. Telsizler bozuk, sen yerindesin.</t>
        </is>
      </c>
      <c r="K1415" s="6" t="inlineStr">
        <is>
          <t>Konuşurken çay ocağını örnek verdin; başkanın kayınbiraderi o ocağı kurmuş. Kadro gitti, çay da acılaştı.</t>
        </is>
      </c>
      <c r="L1415" s="6" t="inlineStr"/>
      <c r="M1415" s="5" t="inlineStr"/>
      <c r="N1415" s="5" t="inlineStr"/>
      <c r="O1415" s="6" t="inlineStr"/>
      <c r="P1415" s="6" t="inlineStr"/>
      <c r="Q1415" s="5" t="inlineStr"/>
      <c r="R1415" s="5" t="inlineStr"/>
      <c r="S1415" s="5" t="inlineStr"/>
      <c r="T1415" s="5" t="inlineStr">
        <is>
          <t>Son Sözü Söyler</t>
        </is>
      </c>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row>
    <row r="1416">
      <c r="A1416" s="5" t="inlineStr">
        <is>
          <t>b8-polis-mudurluk</t>
        </is>
      </c>
      <c r="B1416" s="5" t="n">
        <v>4</v>
      </c>
      <c r="C1416" s="6" t="inlineStr">
        <is>
          <t>Kurulun yüzünden soruları oku</t>
        </is>
      </c>
      <c r="D1416" s="5" t="inlineStr">
        <is>
          <t>Sosyal Radar</t>
        </is>
      </c>
      <c r="E1416" s="5" t="inlineStr">
        <is>
          <t>Kolay</t>
        </is>
      </c>
      <c r="F1416" s="5" t="inlineStr"/>
      <c r="G1416" s="6" t="inlineStr"/>
      <c r="H1416" s="6" t="inlineStr">
        <is>
          <t>Soruları sorulmadan önce yüzlerinden okudun; cevaplar hazırdı. Müdür oldun. Başkan çıkışta sordu: “Beni de okudun mu?” Okumuştun.</t>
        </is>
      </c>
      <c r="I1416" s="6" t="inlineStr">
        <is>
          <t>Beş kişiyi de okudun, beşinin de kafasındaki adayı sen oldun. Müdürlük kararı aynı gün çıktı; vantilatör de kapandı.</t>
        </is>
      </c>
      <c r="J1416" s="6" t="inlineStr">
        <is>
          <t>Yüzleri okudun ama başkan gözlüğünü hiç çıkarmadı. Kadro bu dönem başkasına gitti.</t>
        </is>
      </c>
      <c r="K1416" s="6" t="inlineStr">
        <is>
          <t>Yüz okurken fazla dik baktın; başkan rahatsız oldu, mülakatı kısa kesti. Kadro gitti, bakışın dosyana yazıldı.</t>
        </is>
      </c>
      <c r="L1416" s="6" t="inlineStr"/>
      <c r="M1416" s="5" t="inlineStr"/>
      <c r="N1416" s="5" t="inlineStr"/>
      <c r="O1416" s="6" t="inlineStr"/>
      <c r="P1416" s="6" t="inlineStr"/>
      <c r="Q1416" s="5" t="inlineStr"/>
      <c r="R1416" s="5" t="inlineStr">
        <is>
          <t>polis-yuz-okur</t>
        </is>
      </c>
      <c r="S1416" s="5" t="inlineStr"/>
      <c r="T1416" s="5" t="inlineStr"/>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row>
    <row r="1417">
      <c r="A1417" s="5" t="inlineStr">
        <is>
          <t>b8-polis-teftis</t>
        </is>
      </c>
      <c r="B1417" s="5" t="n">
        <v>1</v>
      </c>
      <c r="C1417" s="6" t="inlineStr">
        <is>
          <t>Arşivi aç, çay koy, bekle</t>
        </is>
      </c>
      <c r="D1417" s="5" t="inlineStr"/>
      <c r="E1417" s="5" t="inlineStr"/>
      <c r="F1417" s="5" t="inlineStr">
        <is>
          <t>İtibar +1, Dayanıklılık +1</t>
        </is>
      </c>
      <c r="G1417" s="6" t="inlineStr">
        <is>
          <t>Arşivi açtın, müfettişe çay koydun, bekledin. Üç hafta sürdü. Rapor tek bir eksik buldu: çay ocağının ruhsatı.</t>
        </is>
      </c>
      <c r="H1417" s="6" t="inlineStr"/>
      <c r="I1417" s="6" t="inlineStr"/>
      <c r="J1417" s="6" t="inlineStr"/>
      <c r="K1417" s="6" t="inlineStr"/>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row>
    <row r="1418">
      <c r="A1418" s="5" t="inlineStr">
        <is>
          <t>b8-polis-teftis</t>
        </is>
      </c>
      <c r="B1418" s="5" t="n">
        <v>2</v>
      </c>
      <c r="C1418" s="6" t="inlineStr">
        <is>
          <t>Eksiklerini önce sen söyle</t>
        </is>
      </c>
      <c r="D1418" s="5" t="inlineStr">
        <is>
          <t>Cesaret</t>
        </is>
      </c>
      <c r="E1418" s="5" t="inlineStr">
        <is>
          <t>Orta</t>
        </is>
      </c>
      <c r="F1418" s="5" t="inlineStr"/>
      <c r="G1418" s="6" t="inlineStr"/>
      <c r="H1418" s="6" t="inlineStr">
        <is>
          <t>Müfettiş sormadan eksiklerini listeledin. Müfettiş listeye bir madde ekledi, raporu kısalttı. Aranızda saygıya benzer bir şey oldu.</t>
        </is>
      </c>
      <c r="I1418" s="6" t="inlineStr">
        <is>
          <t>Listen öyle dürüsttü ki müfettiş onu başka karakollara örnek diye gönderdi. Başka karakollar sana kızgın.</t>
        </is>
      </c>
      <c r="J1418" s="6" t="inlineStr">
        <is>
          <t>Eksiklerini söyledin; müfettiş “Bunları zaten biliyordum” dedi. Liste dosyaya girdi, biraz da utancın.</t>
        </is>
      </c>
      <c r="K1418" s="6" t="inlineStr">
        <is>
          <t>Eksik listen o kadar uzun çıktı ki müfettiş iki hafta fazla kaldı. Karakol seni affetmedi; çaycı hariç.</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row>
    <row r="1419">
      <c r="A1419" s="5" t="inlineStr">
        <is>
          <t>b8-polis-teftis</t>
        </is>
      </c>
      <c r="B1419" s="5" t="n">
        <v>3</v>
      </c>
      <c r="C1419" s="6" t="inlineStr">
        <is>
          <t>Müfettişin neyi aradığını sez</t>
        </is>
      </c>
      <c r="D1419" s="5" t="inlineStr">
        <is>
          <t>Sosyal Radar</t>
        </is>
      </c>
      <c r="E1419" s="5" t="inlineStr">
        <is>
          <t>Orta</t>
        </is>
      </c>
      <c r="F1419" s="5" t="inlineStr"/>
      <c r="G1419" s="6" t="inlineStr"/>
      <c r="H1419" s="6" t="inlineStr">
        <is>
          <t>Müfettişin iki kez aynı klasöre döndüğünü fark ettin, klasörü önceden düzenlemiştin. Rapor temiz çıktı; müfettiş ilk kez gülümsedi, yarım.</t>
        </is>
      </c>
      <c r="I1419" s="6" t="inlineStr">
        <is>
          <t>Neyi arayacağını bildin, bulacağını da. Müfettiş teftişi iki günde bitirip sana “Keşke her yer böyle olsa” dedi. Her yer duydu.</t>
        </is>
      </c>
      <c r="J1419" s="6" t="inlineStr">
        <is>
          <t>Sezdin ama yanlış klasörü düzenledin. Müfettiş düzenlemediğin tek klasörü açtı.</t>
        </is>
      </c>
      <c r="K1419" s="6" t="inlineStr">
        <is>
          <t>Müfettişin aradığını sezdin ve yüksek sesle söyledin. Müfettiş “Ben öyle bir şey aramıyordum” dedi; o andan sonra aradı.</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row>
    <row r="1420">
      <c r="A1420" s="5" t="inlineStr">
        <is>
          <t>b8-polis-teftis</t>
        </is>
      </c>
      <c r="B1420" s="5" t="n">
        <v>4</v>
      </c>
      <c r="C1420" s="6" t="inlineStr">
        <is>
          <t>Eski zarfın izini sil</t>
        </is>
      </c>
      <c r="D1420" s="5" t="inlineStr">
        <is>
          <t>Kurnazlık</t>
        </is>
      </c>
      <c r="E1420" s="5" t="inlineStr">
        <is>
          <t>Zor</t>
        </is>
      </c>
      <c r="F1420" s="5" t="inlineStr"/>
      <c r="G1420" s="6" t="inlineStr"/>
      <c r="H1420" s="6" t="inlineStr">
        <is>
          <t>O yılın klasörü bir su baskınında ıslanmış. Kurusun diye kaloriferin üstüne bıraktın; kuruyunca okunmaz oldu. Müfettiş “Talihsiz” dedi.</t>
        </is>
      </c>
      <c r="I1420" s="6" t="inlineStr">
        <is>
          <t>İz silmene gerek kalmadı: zarfı veren adam çoktan Öte Diyar'a taşınmış, dosyası da onunla. On üç yıl sonra ilk kez deliksiz uyudun.</t>
        </is>
      </c>
      <c r="J1420" s="6" t="inlineStr">
        <is>
          <t>Klasörü aradın ama müfettiş senden önce bulmuştu. Hiçbir şey sormadı; sadece bir not aldı. Uykuların kısaldı.</t>
        </is>
      </c>
      <c r="K1420" s="6" t="inlineStr">
        <is>
          <t>Klasörü gece almaya gittin; müfettiş arşivde kitap okuyordu. Konuşmanız kısa sürdü, dava uzun.</t>
        </is>
      </c>
      <c r="L1420" s="6" t="inlineStr"/>
      <c r="M1420" s="5" t="inlineStr"/>
      <c r="N1420" s="5" t="inlineStr"/>
      <c r="O1420" s="6" t="inlineStr"/>
      <c r="P1420" s="6" t="inlineStr"/>
      <c r="Q1420" s="5" t="inlineStr"/>
      <c r="R1420" s="5" t="inlineStr">
        <is>
          <t>zarf-aldi</t>
        </is>
      </c>
      <c r="S1420" s="5" t="inlineStr"/>
      <c r="T1420" s="5" t="inlineStr"/>
      <c r="U1420" s="5" t="inlineStr"/>
      <c r="V1420" s="5" t="inlineStr"/>
      <c r="W1420" s="5" t="inlineStr">
        <is>
          <t>hapis</t>
        </is>
      </c>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row>
    <row r="1421">
      <c r="A1421" s="5" t="inlineStr">
        <is>
          <t>b9-polis-veda</t>
        </is>
      </c>
      <c r="B1421" s="5" t="n">
        <v>1</v>
      </c>
      <c r="C1421" s="6" t="inlineStr">
        <is>
          <t>Kısa bir teşekkür et</t>
        </is>
      </c>
      <c r="D1421" s="5" t="inlineStr"/>
      <c r="E1421" s="5" t="inlineStr"/>
      <c r="F1421" s="5" t="inlineStr">
        <is>
          <t>İtibar +1, Sosyal Radar +1</t>
        </is>
      </c>
      <c r="G1421" s="6" t="inlineStr">
        <is>
          <t>“Sağ olun” dedin, kürsüden indin. Tören planlanandan yirmi dakika erken bitti; en büyük alkışı bu aldı.</t>
        </is>
      </c>
      <c r="H1421" s="6" t="inlineStr"/>
      <c r="I1421" s="6" t="inlineStr"/>
      <c r="J1421" s="6" t="inlineStr"/>
      <c r="K1421" s="6" t="inlineStr"/>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row>
    <row r="1422">
      <c r="A1422" s="5" t="inlineStr">
        <is>
          <t>b9-polis-veda</t>
        </is>
      </c>
      <c r="B1422" s="5" t="n">
        <v>2</v>
      </c>
      <c r="C1422" s="6" t="inlineStr">
        <is>
          <t>Otuz yılı anlat</t>
        </is>
      </c>
      <c r="D1422" s="5" t="inlineStr">
        <is>
          <t>Çene</t>
        </is>
      </c>
      <c r="E1422" s="5" t="inlineStr">
        <is>
          <t>Orta</t>
        </is>
      </c>
      <c r="F1422" s="5" t="inlineStr"/>
      <c r="G1422" s="6" t="inlineStr"/>
      <c r="H1422" s="6" t="inlineStr">
        <is>
          <t>Domatesli ilk devriyeden son teftişe kadar anlattın. Beş dakika yirmi oldu ama kimse saate bakmadı. Plaketi alırken salon ayaktaydı.</t>
        </is>
      </c>
      <c r="I1422" s="6" t="inlineStr">
        <is>
          <t>Anlattıkların öyle tuttu ki tören kaydı eğitimde gösterilmeye başladı. Yeni polisler seni “Domates Hikâyesi” diye tanıyor.</t>
        </is>
      </c>
      <c r="J1422" s="6" t="inlineStr">
        <is>
          <t>Anlatmaya başladın, yarısında bir isim unuttun, sonra bir yıl. Konuşma yarım kaldı; alkış tam.</t>
        </is>
      </c>
      <c r="K1422" s="6" t="inlineStr">
        <is>
          <t>Mikrofon yirminci dakikada kapandı; sen kırkıncıya kadar konuştun. Son yirmi dakikayı yalnızca ön sıra duydu.</t>
        </is>
      </c>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row>
    <row r="1423">
      <c r="A1423" s="5" t="inlineStr">
        <is>
          <t>b9-polis-veda</t>
        </is>
      </c>
      <c r="B1423" s="5" t="n">
        <v>3</v>
      </c>
      <c r="C1423" s="6" t="inlineStr">
        <is>
          <t>Son bir dosyayı kapat</t>
        </is>
      </c>
      <c r="D1423" s="5" t="inlineStr">
        <is>
          <t>Cesaret</t>
        </is>
      </c>
      <c r="E1423" s="5" t="inlineStr">
        <is>
          <t>Zor</t>
        </is>
      </c>
      <c r="F1423" s="5" t="inlineStr"/>
      <c r="G1423" s="6" t="inlineStr"/>
      <c r="H1423" s="6" t="inlineStr">
        <is>
          <t>Törenden bir gün önce yıllardır açık duran kayıp bisiklet dosyasını kapattın. Bisiklet bir bodrumdaymış; sahibi artık dede, torununa verdi.</t>
        </is>
      </c>
      <c r="I1423" s="6" t="inlineStr">
        <is>
          <t>Son dosyayı kapattın, üstüne bir de kayıp kediyi buldun. Tören ertelendi; önce kedi sahibine teslim edildi, alkışla.</t>
        </is>
      </c>
      <c r="J1423" s="6" t="inlineStr">
        <is>
          <t>Dosyayı açtın, bir gün uğraştın, kapatamadın. Masana bıraktın; halefin açacak, belki onun halefi.</t>
        </is>
      </c>
      <c r="K1423" s="6" t="inlineStr">
        <is>
          <t>Son baskında bodruma indin, kapı arkandan kilitlendi. Törene çilingirle geldin; plaketi çilingir tuttu.</t>
        </is>
      </c>
      <c r="L1423" s="6" t="inlineStr"/>
      <c r="M1423" s="5" t="inlineStr"/>
      <c r="N1423" s="5" t="inlineStr"/>
      <c r="O1423" s="6" t="inlineStr"/>
      <c r="P1423" s="6" t="inlineStr"/>
      <c r="Q1423" s="5" t="inlineStr"/>
      <c r="R1423" s="5" t="inlineStr"/>
      <c r="S1423" s="5" t="inlineStr"/>
      <c r="T1423" s="5" t="inlineStr">
        <is>
          <t>Kendine Gülebilir</t>
        </is>
      </c>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row>
    <row r="1424">
      <c r="A1424" s="5" t="inlineStr">
        <is>
          <t>b7-yargi-horoz</t>
        </is>
      </c>
      <c r="B1424" s="5" t="n">
        <v>1</v>
      </c>
      <c r="C1424" s="6" t="inlineStr">
        <is>
          <t>Uzlaşmaya gönder</t>
        </is>
      </c>
      <c r="D1424" s="5" t="inlineStr"/>
      <c r="E1424" s="5" t="inlineStr"/>
      <c r="F1424" s="5" t="inlineStr">
        <is>
          <t>İtibar +1, Sosyal Radar +1</t>
        </is>
      </c>
      <c r="G1424" s="6" t="inlineStr">
        <is>
          <t>Tarafları uzlaşmaya gönderdin. Horozun sahibi komşuya kulak tıkacı hediye etti, barıştılar. Horoz uzlaşmayı imzalamadı.</t>
        </is>
      </c>
      <c r="H1424" s="6" t="inlineStr"/>
      <c r="I1424" s="6" t="inlineStr"/>
      <c r="J1424" s="6" t="inlineStr"/>
      <c r="K1424" s="6" t="inlineStr"/>
      <c r="L1424" s="6" t="inlineStr"/>
      <c r="M1424" s="5" t="inlineStr"/>
      <c r="N1424" s="5" t="inlineStr"/>
      <c r="O1424" s="6" t="inlineStr"/>
      <c r="P1424" s="6" t="inlineStr"/>
      <c r="Q1424" s="5" t="inlineStr"/>
      <c r="R1424" s="5" t="inlineStr"/>
      <c r="S1424" s="5" t="inlineStr"/>
      <c r="T1424" s="5" t="inlineStr"/>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row>
    <row r="1425">
      <c r="A1425" s="5" t="inlineStr">
        <is>
          <t>b7-yargi-horoz</t>
        </is>
      </c>
      <c r="B1425" s="5" t="n">
        <v>2</v>
      </c>
      <c r="C1425" s="6" t="inlineStr">
        <is>
          <t>Horozu bilirkişiye incelet</t>
        </is>
      </c>
      <c r="D1425" s="5" t="inlineStr">
        <is>
          <t>Akıl</t>
        </is>
      </c>
      <c r="E1425" s="5" t="inlineStr">
        <is>
          <t>Orta</t>
        </is>
      </c>
      <c r="F1425" s="5" t="inlineStr"/>
      <c r="G1425" s="6" t="inlineStr"/>
      <c r="H1425" s="6" t="inlineStr">
        <is>
          <t>Bilirkişi bir hafta dinledi: horoz dörtte değil, dördü on geçe ötüyormuş. Kararını o on dakikanın üstüne kurdun; bir hukuk dergisi yayımladı.</t>
        </is>
      </c>
      <c r="I1425" s="6" t="inlineStr">
        <is>
          <t>Karar öyle titiz çıktı ki fakültede ders oldu. Herkes “Horoz Kararı” diyor; horozun adı hiç geçmiyor, senin adın her yerde.</t>
        </is>
      </c>
      <c r="J1425" s="6" t="inlineStr">
        <is>
          <t>Bilirkişi geldiğinde horoz bir hafta boyunca tek kez ötmedi. Dava ertelendi; horoz ertesi sabah dörtte kaldığı yerden devam etti.</t>
        </is>
      </c>
      <c r="K1425" s="6" t="inlineStr">
        <is>
          <t>Bilirkişi horoz yerine komşunun kendi çalar saatini kaydetmiş. Rapor salonda okundu; komşu kıpkırmızı, sen daha kırmızı.</t>
        </is>
      </c>
      <c r="L1425" s="6" t="inlineStr"/>
      <c r="M1425" s="5" t="inlineStr"/>
      <c r="N1425" s="5" t="inlineStr"/>
      <c r="O1425" s="6" t="inlineStr"/>
      <c r="P1425" s="6" t="inlineStr"/>
      <c r="Q1425" s="5" t="inlineStr"/>
      <c r="R1425" s="5" t="inlineStr"/>
      <c r="S1425" s="5" t="inlineStr"/>
      <c r="T1425" s="5" t="inlineStr"/>
      <c r="U1425" s="5" t="inlineStr"/>
      <c r="V1425" s="5" t="inlineStr">
        <is>
          <t>yargi-horoz-karari</t>
        </is>
      </c>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row>
    <row r="1426">
      <c r="A1426" s="5" t="inlineStr">
        <is>
          <t>b7-yargi-horoz</t>
        </is>
      </c>
      <c r="B1426" s="5" t="n">
        <v>3</v>
      </c>
      <c r="C1426" s="6" t="inlineStr">
        <is>
          <t>Duruşmayı sabah dörtte yap</t>
        </is>
      </c>
      <c r="D1426" s="5" t="inlineStr">
        <is>
          <t>Cesaret</t>
        </is>
      </c>
      <c r="E1426" s="5" t="inlineStr">
        <is>
          <t>Zor</t>
        </is>
      </c>
      <c r="F1426" s="5" t="inlineStr"/>
      <c r="G1426" s="6" t="inlineStr"/>
      <c r="H1426" s="6" t="inlineStr">
        <is>
          <t>Salonu sabah dörtte açtın. Horoz tam vaktinde öttü, komşu haklı çıktı, kümese kalın bir duvar örüldü. Kasaba bu duruşmayı yıllarca anlattı.</t>
        </is>
      </c>
      <c r="I1426" s="6" t="inlineStr">
        <is>
          <t>Sabah dörtte herkes geldi; horoz öttü, ardından kasabanın bütün horozları. Kasabanın ilk ses yalıtımı projesi o sabah başladı.</t>
        </is>
      </c>
      <c r="J1426" s="6" t="inlineStr">
        <is>
          <t>Sabah dörtte salonda yalnızca sen, zabıt kâtibi ve horoz vardı. Taraflar uyuyakalmış. Horoz haklıydı.</t>
        </is>
      </c>
      <c r="K1426" s="6" t="inlineStr">
        <is>
          <t>Sabah dörtte geldin, salon kilitli. Anahtar kâtipte, kâtip uykuda. Kapının önünde horozu dinledin; ikna oldun.</t>
        </is>
      </c>
      <c r="L1426" s="6" t="inlineStr"/>
      <c r="M1426" s="5" t="inlineStr"/>
      <c r="N1426" s="5" t="inlineStr"/>
      <c r="O1426" s="6" t="inlineStr"/>
      <c r="P1426" s="6" t="inlineStr"/>
      <c r="Q1426" s="5" t="inlineStr"/>
      <c r="R1426" s="5" t="inlineStr"/>
      <c r="S1426" s="5" t="inlineStr"/>
      <c r="T1426" s="5" t="inlineStr">
        <is>
          <t>Nöbet Disiplini</t>
        </is>
      </c>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row>
    <row r="1427">
      <c r="A1427" s="5" t="inlineStr">
        <is>
          <t>b7-yargi-aidat</t>
        </is>
      </c>
      <c r="B1427" s="5" t="n">
        <v>1</v>
      </c>
      <c r="C1427" s="6" t="inlineStr">
        <is>
          <t>Sırayla, dosya dosya ilerle</t>
        </is>
      </c>
      <c r="D1427" s="5" t="inlineStr"/>
      <c r="E1427" s="5" t="inlineStr"/>
      <c r="F1427" s="5" t="inlineStr">
        <is>
          <t>Akıl +1, Dayanıklılık +1</t>
        </is>
      </c>
      <c r="G1427" s="6" t="inlineStr">
        <is>
          <t>Her sabah on dosya okudun. Altı ayda iki yüz dosya kapattın. Sıradaki aidat davası; asansör de, galiba.</t>
        </is>
      </c>
      <c r="H1427" s="6" t="inlineStr"/>
      <c r="I1427" s="6" t="inlineStr"/>
      <c r="J1427" s="6" t="inlineStr"/>
      <c r="K1427" s="6" t="inlineStr"/>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row>
    <row r="1428">
      <c r="A1428" s="5" t="inlineStr">
        <is>
          <t>b7-yargi-aidat</t>
        </is>
      </c>
      <c r="B1428" s="5" t="n">
        <v>2</v>
      </c>
      <c r="C1428" s="6" t="inlineStr">
        <is>
          <t>Aidat davasını öne al</t>
        </is>
      </c>
      <c r="D1428" s="5" t="inlineStr">
        <is>
          <t>Akıl</t>
        </is>
      </c>
      <c r="E1428" s="5" t="inlineStr">
        <is>
          <t>Orta</t>
        </is>
      </c>
      <c r="F1428" s="5" t="inlineStr"/>
      <c r="G1428" s="6" t="inlineStr"/>
      <c r="H1428" s="6" t="inlineStr">
        <is>
          <t>Yönetici on bir yıldır aynı toplantı tutanağını fotokopiyle çoğaltmış. Davayı iki celsede bitirdin. Asansör tamir edildi; ilk binen sen oldun.</t>
        </is>
      </c>
      <c r="I1428" s="6" t="inlineStr">
        <is>
          <t>Kararın öyle net çıktı ki şehirdeki altı aidat davası kendiliğinden uzlaştı. Koridorda sana “Aidat Hâkimi” diyorlar; iltifat mı, bilmiyorsun.</t>
        </is>
      </c>
      <c r="J1428" s="6" t="inlineStr">
        <is>
          <t>Dosyayı açtın, içinden başka bir apartmanın dosyası çıktı. Asıl dosya kayıp. On bir yıl, on iki olacak.</t>
        </is>
      </c>
      <c r="K1428" s="6" t="inlineStr">
        <is>
          <t>Keşif için apartmana gittin, asansöre bindin. Asansör bozuktu; iki saat kaldın. Ara kararı içeriden, sesli verdin.</t>
        </is>
      </c>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is>
          <t>Asansör Hâkimi</t>
        </is>
      </c>
    </row>
    <row r="1429">
      <c r="A1429" s="5" t="inlineStr">
        <is>
          <t>b7-yargi-aidat</t>
        </is>
      </c>
      <c r="B1429" s="5" t="n">
        <v>3</v>
      </c>
      <c r="C1429" s="6" t="inlineStr">
        <is>
          <t>Kırk daireyi aynı masaya oturt</t>
        </is>
      </c>
      <c r="D1429" s="5" t="inlineStr">
        <is>
          <t>İtibar</t>
        </is>
      </c>
      <c r="E1429" s="5" t="inlineStr">
        <is>
          <t>Zor</t>
        </is>
      </c>
      <c r="F1429" s="5" t="inlineStr"/>
      <c r="G1429" s="6" t="inlineStr"/>
      <c r="H1429" s="6" t="inlineStr">
        <is>
          <t>Kırk daire sakinini aynı salona sığdırdın. Üç saat bağırıştılar, sonra biri çay getirdi. Borç ikiye bölündü, asansör üçe.</t>
        </is>
      </c>
      <c r="I1429" s="6" t="inlineStr">
        <is>
          <t>Toplantı bir apartman barışına döndü; yaz sonunda sana mangal davetiyesi geldi. Hâkimler gitmez, gitmedin. Davetiye çerçevede.</t>
        </is>
      </c>
      <c r="J1429" s="6" t="inlineStr">
        <is>
          <t>Taraflar masaya oturdu, sonra masadan kalktı, sonra masa hakkında dava açtı.</t>
        </is>
      </c>
      <c r="K1429" s="6" t="inlineStr">
        <is>
          <t>Uzlaşma toplantısında yönetici seçimi yapıldı ve sen seçildin. Görevden çekildin; aidat makbuzları hâlâ sana geliyor.</t>
        </is>
      </c>
      <c r="L1429" s="6" t="inlineStr"/>
      <c r="M1429" s="5" t="inlineStr"/>
      <c r="N1429" s="5" t="inlineStr"/>
      <c r="O1429" s="6" t="inlineStr"/>
      <c r="P1429" s="6" t="inlineStr"/>
      <c r="Q1429" s="5" t="inlineStr"/>
      <c r="R1429" s="5" t="inlineStr"/>
      <c r="S1429" s="5" t="inlineStr"/>
      <c r="T1429" s="5" t="inlineStr">
        <is>
          <t>Mevzuat Kalkanı</t>
        </is>
      </c>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row>
    <row r="1430">
      <c r="A1430" s="5" t="inlineStr">
        <is>
          <t>b7-yargi-kedi</t>
        </is>
      </c>
      <c r="B1430" s="5" t="n">
        <v>1</v>
      </c>
      <c r="C1430" s="6" t="inlineStr">
        <is>
          <t>Dönüşümlü bakım kararı ver</t>
        </is>
      </c>
      <c r="D1430" s="5" t="inlineStr"/>
      <c r="E1430" s="5" t="inlineStr"/>
      <c r="F1430" s="5" t="inlineStr">
        <is>
          <t>İtibar +1, Akıl +1</t>
        </is>
      </c>
      <c r="G1430" s="6" t="inlineStr">
        <is>
          <t>Hafta içi Pamuk, hafta sonu Paşa kararı verdin. Kedi iki ismi de umursamadı; iki kap mamayı da boş bırakmadı.</t>
        </is>
      </c>
      <c r="H1430" s="6" t="inlineStr"/>
      <c r="I1430" s="6" t="inlineStr"/>
      <c r="J1430" s="6" t="inlineStr"/>
      <c r="K1430" s="6" t="inlineStr"/>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row>
    <row r="1431">
      <c r="A1431" s="5" t="inlineStr">
        <is>
          <t>b7-yargi-kedi</t>
        </is>
      </c>
      <c r="B1431" s="5" t="n">
        <v>2</v>
      </c>
      <c r="C1431" s="6" t="inlineStr">
        <is>
          <t>Kediyi ortaya bırak, seçsin</t>
        </is>
      </c>
      <c r="D1431" s="5" t="inlineStr">
        <is>
          <t>Sosyal Radar</t>
        </is>
      </c>
      <c r="E1431" s="5" t="inlineStr">
        <is>
          <t>Orta</t>
        </is>
      </c>
      <c r="F1431" s="5" t="inlineStr"/>
      <c r="G1431" s="6" t="inlineStr"/>
      <c r="H1431" s="6" t="inlineStr">
        <is>
          <t>Kedi önce birine, sonra öbürüne gitti, sonra ikisinin arasına yattı. Ortak velayete karar verdin; komşular aynı bankta oturmaya başladı.</t>
        </is>
      </c>
      <c r="I1431" s="6" t="inlineStr">
        <is>
          <t>Kedi iki komşunun arasına oturup ikisinin elini birden patiledi. Salon sustu. O akşam iki komşu birlikte mama almaya gitti.</t>
        </is>
      </c>
      <c r="J1431" s="6" t="inlineStr">
        <is>
          <t>Kedi ikisine de gitmedi, mübaşirin kucağına atladı. Dava ertelendi; kedi geçici olarak mübaşirde.</t>
        </is>
      </c>
      <c r="K1431" s="6" t="inlineStr">
        <is>
          <t>Kedi kürsüye atladı, mürekkebi devirdi, kararın üstünden yürüdü. Karar patili çıktı; üst mahkeme geri gönderdi. Gerekçe: “İmza okunmuyor.”</t>
        </is>
      </c>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row>
    <row r="1432">
      <c r="A1432" s="5" t="inlineStr">
        <is>
          <t>b7-yargi-kedi</t>
        </is>
      </c>
      <c r="B1432" s="5" t="n">
        <v>3</v>
      </c>
      <c r="C1432" s="6" t="inlineStr">
        <is>
          <t>Veteriner kayıtlarını getirt</t>
        </is>
      </c>
      <c r="D1432" s="5" t="inlineStr">
        <is>
          <t>Akıl</t>
        </is>
      </c>
      <c r="E1432" s="5" t="inlineStr">
        <is>
          <t>Zor</t>
        </is>
      </c>
      <c r="F1432" s="5" t="inlineStr"/>
      <c r="G1432" s="6" t="inlineStr"/>
      <c r="H1432" s="6" t="inlineStr">
        <is>
          <t>Kayıtlara göre aşıya hep biri götürmüş, mamayı hep öbürü almış. İkisine de hak verip gerekçeli ortak velayet kararı yazdın. Karar dergilere girdi.</t>
        </is>
      </c>
      <c r="I1432" s="6" t="inlineStr">
        <is>
          <t>Gerekçen öyle sağlam çıktı ki şehirdeki bütün kedi davaları senin kararına bakılarak çözülüyor. Adliye kedileri sana selam veriyor.</t>
        </is>
      </c>
      <c r="J1432" s="6" t="inlineStr">
        <is>
          <t>Kayıtlar geldi; kedi iki farklı isimle iki farklı veterinere gitmiş. Dosya iki kat kalınlaştı.</t>
        </is>
      </c>
      <c r="K1432" s="6" t="inlineStr">
        <is>
          <t>Kayıtları okurken fark ettin: kedi aslında üçüncü bir komşuda da kalıyormuş. Dava üç taraflı oldu, sen iki kat yorgun.</t>
        </is>
      </c>
      <c r="L1432" s="6" t="inlineStr"/>
      <c r="M1432" s="5" t="inlineStr"/>
      <c r="N1432" s="5" t="inlineStr"/>
      <c r="O1432" s="6" t="inlineStr"/>
      <c r="P1432" s="6" t="inlineStr"/>
      <c r="Q1432" s="5" t="inlineStr"/>
      <c r="R1432" s="5" t="inlineStr"/>
      <c r="S1432" s="5" t="inlineStr"/>
      <c r="T1432" s="5" t="inlineStr">
        <is>
          <t>Ukala Ama Haklı</t>
        </is>
      </c>
      <c r="U1432" s="5" t="inlineStr"/>
      <c r="V1432" s="5" t="inlineStr">
        <is>
          <t>yargi-kedi-karari</t>
        </is>
      </c>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row>
    <row r="1433">
      <c r="A1433" s="5" t="inlineStr">
        <is>
          <t>b8-yargi-yuksek</t>
        </is>
      </c>
      <c r="B1433" s="5" t="n">
        <v>1</v>
      </c>
      <c r="C1433" s="6" t="inlineStr">
        <is>
          <t>Sade klasörü sun</t>
        </is>
      </c>
      <c r="D1433" s="5" t="inlineStr"/>
      <c r="E1433" s="5" t="inlineStr"/>
      <c r="F1433" s="5" t="inlineStr">
        <is>
          <t>Akıl +1, İtibar +1</t>
        </is>
      </c>
      <c r="G1433" s="6" t="inlineStr">
        <is>
          <t>Sade, sağlam kararlarını sundun. Kurul beğendi ama seçmedi: “Bir dahaki sefere.” Dosyan sıraya girdi; sıra uzun.</t>
        </is>
      </c>
      <c r="H1433" s="6" t="inlineStr"/>
      <c r="I1433" s="6" t="inlineStr"/>
      <c r="J1433" s="6" t="inlineStr"/>
      <c r="K1433" s="6" t="inlineStr"/>
      <c r="L1433" s="6" t="inlineStr"/>
      <c r="M1433" s="5" t="inlineStr"/>
      <c r="N1433" s="5" t="inlineStr"/>
      <c r="O1433" s="6" t="inlineStr"/>
      <c r="P1433" s="6" t="inlineStr"/>
      <c r="Q1433" s="5" t="inlineStr"/>
      <c r="R1433" s="5" t="inlineStr"/>
      <c r="S1433" s="5" t="inlineStr"/>
      <c r="T1433" s="5" t="inlineStr"/>
      <c r="U1433" s="5" t="inlineStr"/>
      <c r="V1433" s="5" t="inlineStr"/>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row>
    <row r="1434">
      <c r="A1434" s="5" t="inlineStr">
        <is>
          <t>b8-yargi-yuksek</t>
        </is>
      </c>
      <c r="B1434" s="5" t="n">
        <v>2</v>
      </c>
      <c r="C1434" s="6" t="inlineStr">
        <is>
          <t>Tuhaf davaları anlat</t>
        </is>
      </c>
      <c r="D1434" s="5" t="inlineStr">
        <is>
          <t>Çene</t>
        </is>
      </c>
      <c r="E1434" s="5" t="inlineStr">
        <is>
          <t>Orta</t>
        </is>
      </c>
      <c r="F1434" s="5" t="inlineStr"/>
      <c r="G1434" s="6" t="inlineStr"/>
      <c r="H1434" s="6" t="inlineStr">
        <is>
          <t>Horoz, aidat, kedi... Kurul güldü, sonra düşündü: hukuk en küçük davada da hukuktu. Üye seçildin.</t>
        </is>
      </c>
      <c r="I1434" s="6" t="inlineStr">
        <is>
          <t>Kurul o kadar etkilendi ki seni oy birliğiyle seçti. Başkan açılış konuşmasında kedi davandan söz etti; adını yanlış söyledi ama.</t>
        </is>
      </c>
      <c r="J1434" s="6" t="inlineStr">
        <is>
          <t>Kurul güldü, güldü, sonra bir sonraki adaya geçti. Hikâyelerin koridora yayıldı; koltuk yayılmadı.</t>
        </is>
      </c>
      <c r="K1434" s="6" t="inlineStr">
        <is>
          <t>Kedi davasını anlatırken Pamuk ile Paşa'yı karıştırdın. Kurul başkanı Paşacıymış. Seçilemedin.</t>
        </is>
      </c>
      <c r="L1434" s="6" t="inlineStr"/>
      <c r="M1434" s="5" t="inlineStr"/>
      <c r="N1434" s="5" t="inlineStr"/>
      <c r="O1434" s="6" t="inlineStr"/>
      <c r="P1434" s="6" t="inlineStr"/>
      <c r="Q1434" s="5" t="inlineStr"/>
      <c r="R1434" s="5" t="inlineStr"/>
      <c r="S1434" s="5" t="inlineStr"/>
      <c r="T1434" s="5" t="inlineStr"/>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row>
    <row r="1435">
      <c r="A1435" s="5" t="inlineStr">
        <is>
          <t>b8-yargi-yuksek</t>
        </is>
      </c>
      <c r="B1435" s="5" t="n">
        <v>3</v>
      </c>
      <c r="C1435" s="6" t="inlineStr">
        <is>
          <t>Bozulan kararlarını da anlat</t>
        </is>
      </c>
      <c r="D1435" s="5" t="inlineStr">
        <is>
          <t>İtibar</t>
        </is>
      </c>
      <c r="E1435" s="5" t="inlineStr">
        <is>
          <t>Zor</t>
        </is>
      </c>
      <c r="F1435" s="5" t="inlineStr"/>
      <c r="G1435" s="6" t="inlineStr"/>
      <c r="H1435" s="6" t="inlineStr">
        <is>
          <t>Bozulan kararlarını ve neden bozulduklarını anlattın. Kurul bunu hiçbir adaydan duymamıştı. Üye seçildin; ilk dosyan başkasının hatası.</t>
        </is>
      </c>
      <c r="I1435" s="6" t="inlineStr">
        <is>
          <t>Kurul dürüstlüğünü öyle sevdi ki seni seçti ve konuşmanı yeni hâkimlere okuttu. Artık bütün adaylar hatalarını anlatıyor; senin kadar iyi değil.</t>
        </is>
      </c>
      <c r="J1435" s="6" t="inlineStr">
        <is>
          <t>Hatalarını anlattın; kurul dinledi ve hatasız görünen bir adayı seçti. Sen yerinde kaldın, vicdanın hafifledi.</t>
        </is>
      </c>
      <c r="K1435" s="6" t="inlineStr">
        <is>
          <t>Hatalarını anlatmaya başladın, liste uzadı, zaman bitti. Kurul iyi kararlarına hiç gelemedi.</t>
        </is>
      </c>
      <c r="L1435" s="6" t="inlineStr"/>
      <c r="M1435" s="5" t="inlineStr"/>
      <c r="N1435" s="5" t="inlineStr"/>
      <c r="O1435" s="6" t="inlineStr"/>
      <c r="P1435" s="6" t="inlineStr"/>
      <c r="Q1435" s="5" t="inlineStr"/>
      <c r="R1435" s="5" t="inlineStr"/>
      <c r="S1435" s="5" t="inlineStr"/>
      <c r="T1435" s="5" t="inlineStr">
        <is>
          <t>Kendine Gülebilir</t>
        </is>
      </c>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row>
    <row r="1436">
      <c r="A1436" s="5" t="inlineStr">
        <is>
          <t>b8-yargi-yuksek</t>
        </is>
      </c>
      <c r="B1436" s="5" t="n">
        <v>4</v>
      </c>
      <c r="C1436" s="6" t="inlineStr">
        <is>
          <t>Horoz Kararı'nı öne çıkar</t>
        </is>
      </c>
      <c r="D1436" s="5" t="inlineStr">
        <is>
          <t>Akıl</t>
        </is>
      </c>
      <c r="E1436" s="5" t="inlineStr">
        <is>
          <t>Kolay</t>
        </is>
      </c>
      <c r="F1436" s="5" t="inlineStr"/>
      <c r="G1436" s="6" t="inlineStr"/>
      <c r="H1436" s="6" t="inlineStr">
        <is>
          <t>Kurulun yarısı Horoz Kararı'nı fakültede okumuş. Biri “Horozcu hâkim bu mu?” diye fısıldadı. Üye seçildin; ilk günün sabah dörtte başladı.</t>
        </is>
      </c>
      <c r="I1436" s="6" t="inlineStr">
        <is>
          <t>Kurul başkanı Horoz Kararı'nın çerçeveli bir kopyasını getirmişti; imzalamanı istedi. Oy birliğiyle üye seçildin.</t>
        </is>
      </c>
      <c r="J1436" s="6" t="inlineStr">
        <is>
          <t>Horoz Kararı'nı herkes biliyordu ama kurul “Başka ne yaptınız?” diye sordu. Cevabın horozdan kısa sürdü.</t>
        </is>
      </c>
      <c r="K1436" s="6" t="inlineStr">
        <is>
          <t>Kararı anlatırken horoz taklidi yaptın. Salon güldü, kurul gülmedi. Dosyan sıranın sonuna gitti.</t>
        </is>
      </c>
      <c r="L1436" s="6" t="inlineStr"/>
      <c r="M1436" s="5" t="inlineStr"/>
      <c r="N1436" s="5" t="inlineStr"/>
      <c r="O1436" s="6" t="inlineStr"/>
      <c r="P1436" s="6" t="inlineStr"/>
      <c r="Q1436" s="5" t="inlineStr"/>
      <c r="R1436" s="5" t="inlineStr">
        <is>
          <t>yargi-horoz-karari</t>
        </is>
      </c>
      <c r="S1436" s="5" t="inlineStr"/>
      <c r="T1436" s="5" t="inlineStr"/>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row>
    <row r="1437">
      <c r="A1437" s="5" t="inlineStr">
        <is>
          <t>b8-yargi-denetim</t>
        </is>
      </c>
      <c r="B1437" s="5" t="n">
        <v>1</v>
      </c>
      <c r="C1437" s="6" t="inlineStr">
        <is>
          <t>Her soruya dosyayla cevap ver</t>
        </is>
      </c>
      <c r="D1437" s="5" t="inlineStr"/>
      <c r="E1437" s="5" t="inlineStr"/>
      <c r="F1437" s="5" t="inlineStr">
        <is>
          <t>Akıl +1, Dayanıklılık +1</t>
        </is>
      </c>
      <c r="G1437" s="6" t="inlineStr">
        <is>
          <t>Her soruya dosyadan bir sayfa gösterdin. İnceleme üç hafta sürdü. Raporda tek eleştiri: “Gerekçeler gereğinden uzun.”</t>
        </is>
      </c>
      <c r="H1437" s="6" t="inlineStr"/>
      <c r="I1437" s="6" t="inlineStr"/>
      <c r="J1437" s="6" t="inlineStr"/>
      <c r="K1437" s="6" t="inlineStr"/>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row>
    <row r="1438">
      <c r="A1438" s="5" t="inlineStr">
        <is>
          <t>b8-yargi-denetim</t>
        </is>
      </c>
      <c r="B1438" s="5" t="n">
        <v>2</v>
      </c>
      <c r="C1438" s="6" t="inlineStr">
        <is>
          <t>Kalın dosyayı birlikte oku</t>
        </is>
      </c>
      <c r="D1438" s="5" t="inlineStr">
        <is>
          <t>Akıl</t>
        </is>
      </c>
      <c r="E1438" s="5" t="inlineStr">
        <is>
          <t>Orta</t>
        </is>
      </c>
      <c r="F1438" s="5" t="inlineStr"/>
      <c r="G1438" s="6" t="inlineStr"/>
      <c r="H1438" s="6" t="inlineStr">
        <is>
          <t>Kalın dosyayı müfettişle sayfa sayfa okudun; her kararın bir gerekçesi vardı. Müfettiş dosyayı kapattı: “Temiz.”</t>
        </is>
      </c>
      <c r="I1438" s="6" t="inlineStr">
        <is>
          <t>Dosyayı öyle anlattın ki müfettiş kendi notlarını silip senin gerekçeni rapora kopyaladı. Raporun en iyi sayfası senin; altında onun imzası.</t>
        </is>
      </c>
      <c r="J1438" s="6" t="inlineStr">
        <is>
          <t>Okudunuz ama müfettiş üçüncü sayfada takıldı, bir daha çıkamadı. İnceleme bir ay uzadı.</t>
        </is>
      </c>
      <c r="K1438" s="6" t="inlineStr">
        <is>
          <t>Kalın dosyayı okurken kendi el yazını çözemedin. Müfettiş de çözemedi. Raporda “okunaksız gerekçe” notu var.</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row>
    <row r="1439">
      <c r="A1439" s="5" t="inlineStr">
        <is>
          <t>b8-yargi-denetim</t>
        </is>
      </c>
      <c r="B1439" s="5" t="n">
        <v>3</v>
      </c>
      <c r="C1439" s="6" t="inlineStr">
        <is>
          <t>Müfettişin endişesini sez</t>
        </is>
      </c>
      <c r="D1439" s="5" t="inlineStr">
        <is>
          <t>Sosyal Radar</t>
        </is>
      </c>
      <c r="E1439" s="5" t="inlineStr">
        <is>
          <t>Orta</t>
        </is>
      </c>
      <c r="F1439" s="5" t="inlineStr"/>
      <c r="G1439" s="6" t="inlineStr"/>
      <c r="H1439" s="6" t="inlineStr">
        <is>
          <t>Müfettişin derdinin senin kararların değil, koridordaki dosya yığını olduğunu anladın. Birlikte saydınız: dört bin iki yüz. Müfettiş raporuna seni değil, koridoru yazdı.</t>
        </is>
      </c>
      <c r="I1439" s="6" t="inlineStr">
        <is>
          <t>Müfettişle birlikte yazdığınız rapor adliyeye üç yeni hâkim kazandırdı. Müfettiş giderken kapıda döndü: “Yıllardır ilk kez biri bana hâlimi sordu.”</t>
        </is>
      </c>
      <c r="J1439" s="6" t="inlineStr">
        <is>
          <t>Sezdin ama müfettiş kişisel bir şey konuşmaya hiç niyetli değildi. İnceleme kitabına göre sürdü.</t>
        </is>
      </c>
      <c r="K1439" s="6" t="inlineStr">
        <is>
          <t>Müfettişe hâlini hatırını sordun; müfettiş bunu baskı saydı ve tutanağa yazdı. Hatır sormak da dosyaya girdi.</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row>
    <row r="1440">
      <c r="A1440" s="5" t="inlineStr">
        <is>
          <t>b8-yargi-denetim</t>
        </is>
      </c>
      <c r="B1440" s="5" t="n">
        <v>4</v>
      </c>
      <c r="C1440" s="6" t="inlineStr">
        <is>
          <t>Kalın dosyayı sessizce geri çek</t>
        </is>
      </c>
      <c r="D1440" s="5" t="inlineStr">
        <is>
          <t>Kurnazlık</t>
        </is>
      </c>
      <c r="E1440" s="5" t="inlineStr">
        <is>
          <t>Zor</t>
        </is>
      </c>
      <c r="F1440" s="5" t="inlineStr"/>
      <c r="G1440" s="6" t="inlineStr"/>
      <c r="H1440" s="6" t="inlineStr">
        <is>
          <t>Dosyayı “eksik evrak” diye kaleme geri gönderdin. Kalem dosyayı başka bir rafa koydu; o raf, adliyenin unuttuğu raf.</t>
        </is>
      </c>
      <c r="I1440" s="6" t="inlineStr">
        <is>
          <t>Dosya geri çekildi, sonra adliye taşındı, sonra dosya yeni binaya hiç gelmedi. Yıllardır ilk kez rahat nefes aldın.</t>
        </is>
      </c>
      <c r="J1440" s="6" t="inlineStr">
        <is>
          <t>Dosyayı geri çekmeye çalıştın; kalem müdürü “Müfettiş istedi, veremem” dedi. Dosya masada kaldı; sen de karşısında, ter içinde.</t>
        </is>
      </c>
      <c r="K1440" s="6" t="inlineStr">
        <is>
          <t>Dosyayı akşam çantana koydun; çıkışta güvenlik kontrolü yeni başlamıştı. Soruşturma o gece açıldı.</t>
        </is>
      </c>
      <c r="L1440" s="6" t="inlineStr"/>
      <c r="M1440" s="5" t="inlineStr"/>
      <c r="N1440" s="5" t="inlineStr"/>
      <c r="O1440" s="6" t="inlineStr"/>
      <c r="P1440" s="6" t="inlineStr"/>
      <c r="Q1440" s="5" t="inlineStr"/>
      <c r="R1440" s="5" t="inlineStr">
        <is>
          <t>yargi-leke</t>
        </is>
      </c>
      <c r="S1440" s="5" t="inlineStr"/>
      <c r="T1440" s="5" t="inlineStr"/>
      <c r="U1440" s="5" t="inlineStr"/>
      <c r="V1440" s="5" t="inlineStr"/>
      <c r="W1440" s="5" t="inlineStr">
        <is>
          <t>hapis</t>
        </is>
      </c>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row>
    <row r="1441">
      <c r="A1441" s="5" t="inlineStr">
        <is>
          <t>b9-yargi-ceviz</t>
        </is>
      </c>
      <c r="B1441" s="5" t="n">
        <v>1</v>
      </c>
      <c r="C1441" s="6" t="inlineStr">
        <is>
          <t>Kararı yaz, cübbeyi as</t>
        </is>
      </c>
      <c r="D1441" s="5" t="inlineStr"/>
      <c r="E1441" s="5" t="inlineStr"/>
      <c r="F1441" s="5" t="inlineStr">
        <is>
          <t>Akıl +1, İtibar +1</t>
        </is>
      </c>
      <c r="G1441" s="6" t="inlineStr">
        <is>
          <t>Otuz beş yıllık davaya iki sayfalık bir karar yazdın, cübbeni astın. Çıkarken kapında bir torba ceviz vardı; kimden, yazmıyor.</t>
        </is>
      </c>
      <c r="H1441" s="6" t="inlineStr"/>
      <c r="I1441" s="6" t="inlineStr"/>
      <c r="J1441" s="6" t="inlineStr"/>
      <c r="K1441" s="6" t="inlineStr"/>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row>
    <row r="1442">
      <c r="A1442" s="5" t="inlineStr">
        <is>
          <t>b9-yargi-ceviz</t>
        </is>
      </c>
      <c r="B1442" s="5" t="n">
        <v>2</v>
      </c>
      <c r="C1442" s="6" t="inlineStr">
        <is>
          <t>Torunları ağacın altında buluştur</t>
        </is>
      </c>
      <c r="D1442" s="5" t="inlineStr">
        <is>
          <t>İtibar</t>
        </is>
      </c>
      <c r="E1442" s="5" t="inlineStr">
        <is>
          <t>Orta</t>
        </is>
      </c>
      <c r="F1442" s="5" t="inlineStr"/>
      <c r="G1442" s="6" t="inlineStr"/>
      <c r="H1442" s="6" t="inlineStr">
        <is>
          <t>İki torunu ağacın altında buluşturdun. Dedelerinin aynı ağaçtan düştüğünü öğrendiler; ikisinin de. Dava geri çekildi, ağacın altına bank kondu.</t>
        </is>
      </c>
      <c r="I1442" s="6" t="inlineStr">
        <is>
          <t>Torunlar ağacın altında tanıştı, sonra bir daha tanıştı, sonra nişanlandı. Düğüne seni de çağırdılar; ceviz dağıtıldı.</t>
        </is>
      </c>
      <c r="J1442" s="6" t="inlineStr">
        <is>
          <t>Torunlar ağacın altında dedeleri gibi kavga etti. Kin de ağaç gibi köklüymüş. Kararı sen verdin, mecburen.</t>
        </is>
      </c>
      <c r="K1442" s="6" t="inlineStr">
        <is>
          <t>Keşifte ceviz başına düştü. Otuz beş yıl önceki tutanak da aynı cümleyle bitiyordu; kâtip ikisini yan yana dosyaladı.</t>
        </is>
      </c>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row>
    <row r="1443">
      <c r="A1443" s="5" t="inlineStr">
        <is>
          <t>b9-yargi-ceviz</t>
        </is>
      </c>
      <c r="B1443" s="5" t="n">
        <v>3</v>
      </c>
      <c r="C1443" s="6" t="inlineStr">
        <is>
          <t>Son kararına bir paragraf ekle</t>
        </is>
      </c>
      <c r="D1443" s="5" t="inlineStr">
        <is>
          <t>Akıl</t>
        </is>
      </c>
      <c r="E1443" s="5" t="inlineStr">
        <is>
          <t>Zor</t>
        </is>
      </c>
      <c r="F1443" s="5" t="inlineStr"/>
      <c r="G1443" s="6" t="inlineStr"/>
      <c r="H1443" s="6" t="inlineStr">
        <is>
          <t>Kararın sonuna bir paragraf ekledin: ağaç yüz yıl yaşar, kin bir ömür; hangisini miras bırakacağınıza siz karar verin. Paragraf fakülte kitabına girdi.</t>
        </is>
      </c>
      <c r="I1443" s="6" t="inlineStr">
        <is>
          <t>Paragraf öyle sevildi ki kasabada ağacın altına taşa kazındı. Taraflar her okuyuşta biraz utanıyor, biraz ceviz topluyor.</t>
        </is>
      </c>
      <c r="J1443" s="6" t="inlineStr">
        <is>
          <t>Paragrafı yazdın, sildin, yeniden yazdın. Karar çıktı; paragraf çekmecende kaldı.</t>
        </is>
      </c>
      <c r="K1443" s="6" t="inlineStr">
        <is>
          <t>Paragraf öyle uzadı ki karar iki cilt oldu. Taraflar okumaktan bıkıp uzlaştı; ama yanlış sebepten.</t>
        </is>
      </c>
      <c r="L1443" s="6" t="inlineStr"/>
      <c r="M1443" s="5" t="inlineStr"/>
      <c r="N1443" s="5" t="inlineStr"/>
      <c r="O1443" s="6" t="inlineStr"/>
      <c r="P1443" s="6" t="inlineStr"/>
      <c r="Q1443" s="5" t="inlineStr"/>
      <c r="R1443" s="5" t="inlineStr"/>
      <c r="S1443" s="5" t="inlineStr"/>
      <c r="T1443" s="5" t="inlineStr">
        <is>
          <t>Bahçe Filozofu</t>
        </is>
      </c>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row>
    <row r="1444">
      <c r="A1444" s="5" t="inlineStr">
        <is>
          <t>b7-hekim-ilce</t>
        </is>
      </c>
      <c r="B1444" s="5" t="n">
        <v>1</v>
      </c>
      <c r="C1444" s="6" t="inlineStr">
        <is>
          <t>Kapıya mesai saatini as</t>
        </is>
      </c>
      <c r="D1444" s="5" t="inlineStr"/>
      <c r="E1444" s="5" t="inlineStr"/>
      <c r="F1444" s="5" t="inlineStr">
        <is>
          <t>Dayanıklılık +1, Akıl +1</t>
        </is>
      </c>
      <c r="G1444" s="6" t="inlineStr">
        <is>
          <t>Kapıya mesai saatlerini yazan bir tabela astın. Ertesi gün tabelanın altına biri ekleme yapmış: “Acilse evine gidin.” Adresin de yazılı.</t>
        </is>
      </c>
      <c r="H1444" s="6" t="inlineStr"/>
      <c r="I1444" s="6" t="inlineStr"/>
      <c r="J1444" s="6" t="inlineStr"/>
      <c r="K1444" s="6" t="inlineStr"/>
      <c r="L1444" s="6" t="inlineStr"/>
      <c r="M1444" s="5" t="inlineStr"/>
      <c r="N1444" s="5" t="inlineStr"/>
      <c r="O1444" s="6" t="inlineStr"/>
      <c r="P1444" s="6" t="inlineStr"/>
      <c r="Q1444" s="5" t="inlineStr"/>
      <c r="R1444" s="5" t="inlineStr"/>
      <c r="S1444" s="5" t="inlineStr"/>
      <c r="T1444" s="5" t="inlineStr"/>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row>
    <row r="1445">
      <c r="A1445" s="5" t="inlineStr">
        <is>
          <t>b7-hekim-ilce</t>
        </is>
      </c>
      <c r="B1445" s="5" t="n">
        <v>2</v>
      </c>
      <c r="C1445" s="6" t="inlineStr">
        <is>
          <t>Pazar yerine sağlık masası kur</t>
        </is>
      </c>
      <c r="D1445" s="5" t="inlineStr">
        <is>
          <t>Dayanıklılık</t>
        </is>
      </c>
      <c r="E1445" s="5" t="inlineStr">
        <is>
          <t>Orta</t>
        </is>
      </c>
      <c r="F1445" s="5" t="inlineStr"/>
      <c r="G1445" s="6" t="inlineStr"/>
      <c r="H1445" s="6" t="inlineStr">
        <is>
          <t>Pazarın ortasına masa kurdun, akşama kadar tansiyon ölçtün. Karşılığında domates, peynir, bir kavanoz reçel. İlçe seni evlat bildi.</t>
        </is>
      </c>
      <c r="I1445" s="6" t="inlineStr">
        <is>
          <t>Pazar masası öyle tuttu ki ilçe dergisi kapak yaptı: “Bizim Doktor.” Başhekim kıskandı; başhekim sensin.</t>
        </is>
      </c>
      <c r="J1445" s="6" t="inlineStr">
        <is>
          <t>Masa kurdun; herkes kendi tansiyonunu değil, bir akrabasının tahlilini getirdi. Akşama kadar başkalarının kâğıdını okudun.</t>
        </is>
      </c>
      <c r="K1445" s="6" t="inlineStr">
        <is>
          <t>Pazarcılar masanı tezgâh sandı, zabıta da. Akşama kadar domates tarttın; işgaliye cezasını ilçenin tek doktoru ödedi.</t>
        </is>
      </c>
      <c r="L1445" s="6" t="inlineStr"/>
      <c r="M1445" s="5" t="inlineStr"/>
      <c r="N1445" s="5" t="inlineStr"/>
      <c r="O1445" s="6" t="inlineStr"/>
      <c r="P1445" s="6" t="inlineStr"/>
      <c r="Q1445" s="5" t="inlineStr"/>
      <c r="R1445" s="5" t="inlineStr"/>
      <c r="S1445" s="5" t="inlineStr"/>
      <c r="T1445" s="5" t="inlineStr"/>
      <c r="U1445" s="5" t="inlineStr"/>
      <c r="V1445" s="5" t="inlineStr">
        <is>
          <t>hekim-ilce-sevgisi</t>
        </is>
      </c>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row>
    <row r="1446">
      <c r="A1446" s="5" t="inlineStr">
        <is>
          <t>b7-hekim-ilce</t>
        </is>
      </c>
      <c r="B1446" s="5" t="n">
        <v>3</v>
      </c>
      <c r="C1446" s="6" t="inlineStr">
        <is>
          <t>Aile grubuna kural koy</t>
        </is>
      </c>
      <c r="D1446" s="5" t="inlineStr">
        <is>
          <t>Pişkinlik</t>
        </is>
      </c>
      <c r="E1446" s="5" t="inlineStr">
        <is>
          <t>Zor</t>
        </is>
      </c>
      <c r="F1446" s="5" t="inlineStr"/>
      <c r="G1446" s="6" t="inlineStr"/>
      <c r="H1446" s="6" t="inlineStr">
        <is>
          <t>Gruba yazdın: “Fotoğraf değil, randevu.” Grup iki gün sustu. Üçüncü gün teyzen randevu aldı; dizinin fotoğrafını da getirdi, kâğıda basılı.</t>
        </is>
      </c>
      <c r="I1446" s="6" t="inlineStr">
        <is>
          <t>Kuralın tuttu; grup artık yalnızca bayram mesajı atıyor. Bir amcan telefonuna seni “Grubun Şerifi” diye kaydetmiş.</t>
        </is>
      </c>
      <c r="J1446" s="6" t="inlineStr">
        <is>
          <t>Kuralı yazdın. Bir dakika sonra bir kuzen sordu: “Bu kural dizler için de geçerli mi?”</t>
        </is>
      </c>
      <c r="K1446" s="6" t="inlineStr">
        <is>
          <t>Kuralı yanlışlıkla ilçe muhtarlar grubuna attın. Muhtarlar artık randevuyla konuşuyor; seninle bile.</t>
        </is>
      </c>
      <c r="L1446" s="6" t="inlineStr"/>
      <c r="M1446" s="5" t="inlineStr"/>
      <c r="N1446" s="5" t="inlineStr"/>
      <c r="O1446" s="6" t="inlineStr"/>
      <c r="P1446" s="6" t="inlineStr"/>
      <c r="Q1446" s="5" t="inlineStr"/>
      <c r="R1446" s="5" t="inlineStr"/>
      <c r="S1446" s="5" t="inlineStr"/>
      <c r="T1446" s="5" t="inlineStr">
        <is>
          <t>Son Sözü Söyler</t>
        </is>
      </c>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row>
    <row r="1447">
      <c r="A1447" s="5" t="inlineStr">
        <is>
          <t>b7-hekim-uzmanlik</t>
        </is>
      </c>
      <c r="B1447" s="5" t="n">
        <v>1</v>
      </c>
      <c r="C1447" s="6" t="inlineStr">
        <is>
          <t>“Bakıp söyleyeceğim” de</t>
        </is>
      </c>
      <c r="D1447" s="5" t="inlineStr"/>
      <c r="E1447" s="5" t="inlineStr"/>
      <c r="F1447" s="5" t="inlineStr">
        <is>
          <t>İtibar +1, Akıl +1</t>
        </is>
      </c>
      <c r="G1447" s="6" t="inlineStr">
        <is>
          <t>“Emin değilim hocam, bakıp söyleyeceğim” dedin. Hoca bir an sustu: “Bunu diyen üçüncü asistansın. Öbür ikisi profesör oldu.”</t>
        </is>
      </c>
      <c r="H1447" s="6" t="inlineStr"/>
      <c r="I1447" s="6" t="inlineStr"/>
      <c r="J1447" s="6" t="inlineStr"/>
      <c r="K1447" s="6" t="inlineStr"/>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row>
    <row r="1448">
      <c r="A1448" s="5" t="inlineStr">
        <is>
          <t>b7-hekim-uzmanlik</t>
        </is>
      </c>
      <c r="B1448" s="5" t="n">
        <v>2</v>
      </c>
      <c r="C1448" s="6" t="inlineStr">
        <is>
          <t>Ayırıcı tanıları sırala</t>
        </is>
      </c>
      <c r="D1448" s="5" t="inlineStr">
        <is>
          <t>Akıl</t>
        </is>
      </c>
      <c r="E1448" s="5" t="inlineStr">
        <is>
          <t>Orta</t>
        </is>
      </c>
      <c r="F1448" s="5" t="inlineStr"/>
      <c r="G1448" s="6" t="inlineStr"/>
      <c r="H1448" s="6" t="inlineStr">
        <is>
          <t>Dokuz ihtimal saydın, sekizini tek tek eledin. Hoca başını salladı. Hasta da salladı; o da ikna olmuş.</t>
        </is>
      </c>
      <c r="I1448" s="6" t="inlineStr">
        <is>
          <t>Sıralaman öyle temizdi ki hoca vizitten sonra seni makale ekibine aldı. Makale senin uykusuzluğun hakkında değil, neyse ki.</t>
        </is>
      </c>
      <c r="J1448" s="6" t="inlineStr">
        <is>
          <t>Sekiz ihtimal saydın, dokuzuncuyu unuttun. Hoca dokuzuncuyu söyledi. Doğrusu oymuş.</t>
        </is>
      </c>
      <c r="K1448" s="6" t="inlineStr">
        <is>
          <t>Ayırıcı tanıları eksiksiz saydın, ama yan yataktaki hastanın. Teyze nazikçe düzeltti: “Evladım, ben o değilim. O yandaki.” Otuz kişi aynı anda yan yatağa döndü.</t>
        </is>
      </c>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row>
    <row r="1449">
      <c r="A1449" s="5" t="inlineStr">
        <is>
          <t>b7-hekim-uzmanlik</t>
        </is>
      </c>
      <c r="B1449" s="5" t="n">
        <v>3</v>
      </c>
      <c r="C1449" s="6" t="inlineStr">
        <is>
          <t>Uykusuz ama dimdik cevap ver</t>
        </is>
      </c>
      <c r="D1449" s="5" t="inlineStr">
        <is>
          <t>Dayanıklılık</t>
        </is>
      </c>
      <c r="E1449" s="5" t="inlineStr">
        <is>
          <t>Zor</t>
        </is>
      </c>
      <c r="F1449" s="5" t="inlineStr"/>
      <c r="G1449" s="6" t="inlineStr"/>
      <c r="H1449" s="6" t="inlineStr">
        <is>
          <t>Otuz altı saatlik uykusuzlukla cümleleri sendelemeden dizdin. Vizit bitince koridorda ayakta uyudun; kimse fark etmedi.</t>
        </is>
      </c>
      <c r="I1449" s="6" t="inlineStr">
        <is>
          <t>Cevabın kusursuzdu; hoca “Bu çocuk hiç uyumuyor mu?” diye sordu, övgü olarak. Ertesi ay baş asistan oldun; daha da az uyuyacaksın.</t>
        </is>
      </c>
      <c r="J1449" s="6" t="inlineStr">
        <is>
          <t>Cevabın ortasında bir kelime aradın, bulamadın. Hoca kelimeyi söyledi; sen de ekledin: “Aynen.”</t>
        </is>
      </c>
      <c r="K1449" s="6" t="inlineStr">
        <is>
          <t>Cevap verirken gözlerin kapandı. Uyandığında vizit iki oda ilerdeydi; hasta üstüne battaniye örtmüştü.</t>
        </is>
      </c>
      <c r="L1449" s="6" t="inlineStr"/>
      <c r="M1449" s="5" t="inlineStr"/>
      <c r="N1449" s="5" t="inlineStr"/>
      <c r="O1449" s="6" t="inlineStr"/>
      <c r="P1449" s="6" t="inlineStr"/>
      <c r="Q1449" s="5" t="inlineStr"/>
      <c r="R1449" s="5" t="inlineStr"/>
      <c r="S1449" s="5" t="inlineStr"/>
      <c r="T1449" s="5" t="inlineStr">
        <is>
          <t>Nöbet Disiplini</t>
        </is>
      </c>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row>
    <row r="1450">
      <c r="A1450" s="5" t="inlineStr">
        <is>
          <t>b7-hekim-hasta-yakini</t>
        </is>
      </c>
      <c r="B1450" s="5" t="n">
        <v>1</v>
      </c>
      <c r="C1450" s="6" t="inlineStr">
        <is>
          <t>Saat beşte tek bilgilendirme yap</t>
        </is>
      </c>
      <c r="D1450" s="5" t="inlineStr"/>
      <c r="E1450" s="5" t="inlineStr"/>
      <c r="F1450" s="5" t="inlineStr">
        <is>
          <t>Dayanıklılık +1, Sosyal Radar +1</t>
        </is>
      </c>
      <c r="G1450" s="6" t="inlineStr">
        <is>
          <t>Saat beşte koridorda tek bir bilgilendirme yaptın. On bir kişi dinledi, on ikincisi hoparlörden. Sonra hepsi tek tek gelip aynı soruyu sordu.</t>
        </is>
      </c>
      <c r="H1450" s="6" t="inlineStr"/>
      <c r="I1450" s="6" t="inlineStr"/>
      <c r="J1450" s="6" t="inlineStr"/>
      <c r="K1450" s="6" t="inlineStr"/>
      <c r="L1450" s="6" t="inlineStr"/>
      <c r="M1450" s="5" t="inlineStr"/>
      <c r="N1450" s="5" t="inlineStr"/>
      <c r="O1450" s="6" t="inlineStr"/>
      <c r="P1450" s="6" t="inlineStr"/>
      <c r="Q1450" s="5" t="inlineStr"/>
      <c r="R1450" s="5" t="inlineStr"/>
      <c r="S1450" s="5" t="inlineStr"/>
      <c r="T1450" s="5" t="inlineStr"/>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row>
    <row r="1451">
      <c r="A1451" s="5" t="inlineStr">
        <is>
          <t>b7-hekim-hasta-yakini</t>
        </is>
      </c>
      <c r="B1451" s="5" t="n">
        <v>2</v>
      </c>
      <c r="C1451" s="6" t="inlineStr">
        <is>
          <t>Aileden bir sözcü seç</t>
        </is>
      </c>
      <c r="D1451" s="5" t="inlineStr">
        <is>
          <t>Akıl</t>
        </is>
      </c>
      <c r="E1451" s="5" t="inlineStr">
        <is>
          <t>Orta</t>
        </is>
      </c>
      <c r="F1451" s="5" t="inlineStr"/>
      <c r="G1451" s="6" t="inlineStr"/>
      <c r="H1451" s="6" t="inlineStr">
        <is>
          <t>Aileden en sakin olanı sözcü yaptın. Bilgi ondan ötekilere aktı, koridor boşaldı. Sözcü de artık ailenin küçük doktoru.</t>
        </is>
      </c>
      <c r="I1451" s="6" t="inlineStr">
        <is>
          <t>Sözcü öyle iyi çıktı ki servis bu usulü bütün hasta aileleri için kural yaptı. Amca taburcu olurken sana değil sözcüye teşekkür etti.</t>
        </is>
      </c>
      <c r="J1451" s="6" t="inlineStr">
        <is>
          <t>Sözcüyü seçtin; öbür on kişi sözcüye güvenmedi. Artık on bir kişi artı bir sözcü var.</t>
        </is>
      </c>
      <c r="K1451" s="6" t="inlineStr">
        <is>
          <t>Sözcü seçtiğin kişi aileden değilmiş, yan odanın yakınıymış. İki aile birbirinin haberini aldı; yanlış haberleri.</t>
        </is>
      </c>
      <c r="L1451" s="6" t="inlineStr"/>
      <c r="M1451" s="5" t="inlineStr"/>
      <c r="N1451" s="5" t="inlineStr"/>
      <c r="O1451" s="6" t="inlineStr"/>
      <c r="P1451" s="6" t="inlineStr"/>
      <c r="Q1451" s="5" t="inlineStr"/>
      <c r="R1451" s="5" t="inlineStr"/>
      <c r="S1451" s="5" t="inlineStr"/>
      <c r="T1451" s="5" t="inlineStr"/>
      <c r="U1451" s="5" t="inlineStr"/>
      <c r="V1451" s="5" t="inlineStr">
        <is>
          <t>hekim-sozcu-usulu</t>
        </is>
      </c>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row>
    <row r="1452">
      <c r="A1452" s="5" t="inlineStr">
        <is>
          <t>b7-hekim-hasta-yakini</t>
        </is>
      </c>
      <c r="B1452" s="5" t="n">
        <v>3</v>
      </c>
      <c r="C1452" s="6" t="inlineStr">
        <is>
          <t>Nöbet sonrası herkese tek tek dön</t>
        </is>
      </c>
      <c r="D1452" s="5" t="inlineStr">
        <is>
          <t>Dayanıklılık</t>
        </is>
      </c>
      <c r="E1452" s="5" t="inlineStr">
        <is>
          <t>Zor</t>
        </is>
      </c>
      <c r="F1452" s="5" t="inlineStr"/>
      <c r="G1452" s="6" t="inlineStr"/>
      <c r="H1452" s="6" t="inlineStr">
        <is>
          <t>Nöbetten çıkıp on iki kişiyi tek tek aradın. Sabaha karşı sonuncusu teşekkür etti. Uyumadın ama koridor sana bir hafta tatlı getirdi.</t>
        </is>
      </c>
      <c r="I1452" s="6" t="inlineStr">
        <is>
          <t>On iki telefonun hepsi teşekkürle bitti. Aile hastaneye bir yazı gönderdi; başhekim yazıyı panoya astı, altına senin adın.</t>
        </is>
      </c>
      <c r="J1452" s="6" t="inlineStr">
        <is>
          <t>Aramaya başladın; dördüncüde uyuyakaldın. Kalan sekiz kişi sabah hep birlikte geldi.</t>
        </is>
      </c>
      <c r="K1452" s="6" t="inlineStr">
        <is>
          <t>Aramaları yaptın ama yanlış listeden; başka bir hastanın yakınlarını bilgilendirdin. Onlar da çok memnun kaldı, ne yazık ki.</t>
        </is>
      </c>
      <c r="L1452" s="6" t="inlineStr"/>
      <c r="M1452" s="5" t="inlineStr"/>
      <c r="N1452" s="5" t="inlineStr"/>
      <c r="O1452" s="6" t="inlineStr"/>
      <c r="P1452" s="6" t="inlineStr"/>
      <c r="Q1452" s="5" t="inlineStr"/>
      <c r="R1452" s="5" t="inlineStr"/>
      <c r="S1452" s="5" t="inlineStr"/>
      <c r="T1452" s="5" t="inlineStr">
        <is>
          <t>Gözüne Uyku Girmez</t>
        </is>
      </c>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row>
    <row r="1453">
      <c r="A1453" s="5" t="inlineStr">
        <is>
          <t>b8-hekim-profesorluk</t>
        </is>
      </c>
      <c r="B1453" s="5" t="n">
        <v>1</v>
      </c>
      <c r="C1453" s="6" t="inlineStr">
        <is>
          <t>Makaleyi hafta sonları yaz</t>
        </is>
      </c>
      <c r="D1453" s="5" t="inlineStr"/>
      <c r="E1453" s="5" t="inlineStr"/>
      <c r="F1453" s="5" t="inlineStr">
        <is>
          <t>Akıl +1, Dayanıklılık +1</t>
        </is>
      </c>
      <c r="G1453" s="6" t="inlineStr">
        <is>
          <t>Üç ay hafta sonu yazdın. Makale bitti; jüri bir sonraki döneme kaldı. Aile grubuna “Değişen bir şey yok” yazdın; doğruydu.</t>
        </is>
      </c>
      <c r="H1453" s="6" t="inlineStr"/>
      <c r="I1453" s="6" t="inlineStr"/>
      <c r="J1453" s="6" t="inlineStr"/>
      <c r="K1453" s="6" t="inlineStr"/>
      <c r="L1453" s="6" t="inlineStr"/>
      <c r="M1453" s="5" t="inlineStr"/>
      <c r="N1453" s="5" t="inlineStr"/>
      <c r="O1453" s="6" t="inlineStr"/>
      <c r="P1453" s="6" t="inlineStr"/>
      <c r="Q1453" s="5" t="inlineStr"/>
      <c r="R1453" s="5" t="inlineStr"/>
      <c r="S1453" s="5" t="inlineStr"/>
      <c r="T1453" s="5" t="inlineStr"/>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row>
    <row r="1454">
      <c r="A1454" s="5" t="inlineStr">
        <is>
          <t>b8-hekim-profesorluk</t>
        </is>
      </c>
      <c r="B1454" s="5" t="n">
        <v>2</v>
      </c>
      <c r="C1454" s="6" t="inlineStr">
        <is>
          <t>Asistanlarla ortak çalış</t>
        </is>
      </c>
      <c r="D1454" s="5" t="inlineStr">
        <is>
          <t>Sosyal Radar</t>
        </is>
      </c>
      <c r="E1454" s="5" t="inlineStr">
        <is>
          <t>Orta</t>
        </is>
      </c>
      <c r="F1454" s="5" t="inlineStr"/>
      <c r="G1454" s="6" t="inlineStr"/>
      <c r="H1454" s="6" t="inlineStr">
        <is>
          <t>Dört asistana birer bölüm verdin, akşamları birleştirdiniz. Makale zamanında çıktı; profesör oldun. Asistanlar da ilk makalelerini kazandı.</t>
        </is>
      </c>
      <c r="I1454" s="6" t="inlineStr">
        <is>
          <t>Ekip öyle uyumlu çalıştı ki bir makale yerine iki çıktı. Jüri seni oy birliğiyle profesör yaptı; asistanlar pasta aldı, üstünde senin adın yanlış.</t>
        </is>
      </c>
      <c r="J1454" s="6" t="inlineStr">
        <is>
          <t>Asistanlar bölümleri yazdı ama her biri ayrı bir dille. Birleştirmek üç ay daha sürdü; jüri bekleyemedi.</t>
        </is>
      </c>
      <c r="K1454" s="6" t="inlineStr">
        <is>
          <t>Asistanlardan biri makaleyi kendi adıyla bir dergiye yollamış. Dergi kabul etti. Tebrik ettin, dişlerini sıkarak.</t>
        </is>
      </c>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row>
    <row r="1455">
      <c r="A1455" s="5" t="inlineStr">
        <is>
          <t>b8-hekim-profesorluk</t>
        </is>
      </c>
      <c r="B1455" s="5" t="n">
        <v>3</v>
      </c>
      <c r="C1455" s="6" t="inlineStr">
        <is>
          <t>Tek başına büyük çalışmayı bitir</t>
        </is>
      </c>
      <c r="D1455" s="5" t="inlineStr">
        <is>
          <t>Akıl</t>
        </is>
      </c>
      <c r="E1455" s="5" t="inlineStr">
        <is>
          <t>Zor</t>
        </is>
      </c>
      <c r="F1455" s="5" t="inlineStr"/>
      <c r="G1455" s="6" t="inlineStr"/>
      <c r="H1455" s="6" t="inlineStr">
        <is>
          <t>Üç ay gece gündüz çalıştın, büyük çalışmayı tek başına bitirdin. Jüri sorularını beş dakikada bitirdi; profesör oldun.</t>
        </is>
      </c>
      <c r="I1455" s="6" t="inlineStr">
        <is>
          <t>Çalışma yurt dışı bir dergide çıktı, Öte Diyar'dan bir hoca bile tebrik yazdı. Profesör oldun; aile grubu da “Artık bedava muayene mi?” diye sordu.</t>
        </is>
      </c>
      <c r="J1455" s="6" t="inlineStr">
        <is>
          <t>Çalışma bitti ama bir istatistik hatası çıktı. Düzeltmek bir dönem sürdü; jüri seni bir sonraki takvime yazdı.</t>
        </is>
      </c>
      <c r="K1455" s="6" t="inlineStr">
        <is>
          <t>Bütün verileri tek bilgisayarda tuttun. Asistan bilgisayarın üstüne çay döktü. Çalışmaya sıfırdan başladın; asistan o günden beri çayını karton bardakta içiyor.</t>
        </is>
      </c>
      <c r="L1455" s="6" t="inlineStr"/>
      <c r="M1455" s="5" t="inlineStr"/>
      <c r="N1455" s="5" t="inlineStr"/>
      <c r="O1455" s="6" t="inlineStr"/>
      <c r="P1455" s="6" t="inlineStr"/>
      <c r="Q1455" s="5" t="inlineStr"/>
      <c r="R1455" s="5" t="inlineStr"/>
      <c r="S1455" s="5" t="inlineStr"/>
      <c r="T1455" s="5" t="inlineStr">
        <is>
          <t>Ukala Ama Haklı</t>
        </is>
      </c>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row>
    <row r="1456">
      <c r="A1456" s="5" t="inlineStr">
        <is>
          <t>b8-hekim-profesorluk</t>
        </is>
      </c>
      <c r="B1456" s="5" t="n">
        <v>4</v>
      </c>
      <c r="C1456" s="6" t="inlineStr">
        <is>
          <t>Kliniğin yıllık verisini topla</t>
        </is>
      </c>
      <c r="D1456" s="5" t="inlineStr">
        <is>
          <t>Dayanıklılık</t>
        </is>
      </c>
      <c r="E1456" s="5" t="inlineStr">
        <is>
          <t>Kolay</t>
        </is>
      </c>
      <c r="F1456" s="5" t="inlineStr"/>
      <c r="G1456" s="6" t="inlineStr"/>
      <c r="H1456" s="6" t="inlineStr">
        <is>
          <t>Klinik şefi olarak on yıllık veriye zaten sahiptin. Bir ayda topladın, iki ayda yazdın. Jüri toplanmadan profesör oldun.</t>
        </is>
      </c>
      <c r="I1456" s="6" t="inlineStr">
        <is>
          <t>Verin öyle zengin çıktı ki üç makale birden yazdın. Jüri “Bu kadarı fazla” dedi, yine de profesör yaptı.</t>
        </is>
      </c>
      <c r="J1456" s="6" t="inlineStr">
        <is>
          <t>Verileri topladın ama arşivin yarısı eski kâğıt dosyalardaymış. Jüri tarihine yetişemedin.</t>
        </is>
      </c>
      <c r="K1456" s="6" t="inlineStr">
        <is>
          <t>Veri toplarken arşivde bir raf üstüne devrildi. Makale yerine arşiv düzenleme raporu yazdın.</t>
        </is>
      </c>
      <c r="L1456" s="6" t="inlineStr"/>
      <c r="M1456" s="5" t="inlineStr"/>
      <c r="N1456" s="5" t="inlineStr"/>
      <c r="O1456" s="6" t="inlineStr"/>
      <c r="P1456" s="6" t="inlineStr"/>
      <c r="Q1456" s="5" t="inlineStr"/>
      <c r="R1456" s="5" t="inlineStr">
        <is>
          <t>klinik-sefi</t>
        </is>
      </c>
      <c r="S1456" s="5" t="inlineStr"/>
      <c r="T1456" s="5" t="inlineStr"/>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row>
    <row r="1457">
      <c r="A1457" s="5" t="inlineStr">
        <is>
          <t>b8-hekim-aile-grubu</t>
        </is>
      </c>
      <c r="B1457" s="5" t="n">
        <v>1</v>
      </c>
      <c r="C1457" s="6" t="inlineStr">
        <is>
          <t>Hepsine “Hastaneye gel” yaz</t>
        </is>
      </c>
      <c r="D1457" s="5" t="inlineStr"/>
      <c r="E1457" s="5" t="inlineStr"/>
      <c r="F1457" s="5" t="inlineStr">
        <is>
          <t>İtibar +1, Dayanıklılık +1</t>
        </is>
      </c>
      <c r="G1457" s="6" t="inlineStr">
        <is>
          <t>Hepsine aynı cevabı yazdın: “Hastaneye gel.” Ertesi gün poliklinik kapında sekiz akraba; biri kek getirmiş, kimse randevu almamış.</t>
        </is>
      </c>
      <c r="H1457" s="6" t="inlineStr"/>
      <c r="I1457" s="6" t="inlineStr"/>
      <c r="J1457" s="6" t="inlineStr"/>
      <c r="K1457" s="6" t="inlineStr"/>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row>
    <row r="1458">
      <c r="A1458" s="5" t="inlineStr">
        <is>
          <t>b8-hekim-aile-grubu</t>
        </is>
      </c>
      <c r="B1458" s="5" t="n">
        <v>2</v>
      </c>
      <c r="C1458" s="6" t="inlineStr">
        <is>
          <t>Haftalık soru-cevap saati aç</t>
        </is>
      </c>
      <c r="D1458" s="5" t="inlineStr">
        <is>
          <t>Çene</t>
        </is>
      </c>
      <c r="E1458" s="5" t="inlineStr">
        <is>
          <t>Orta</t>
        </is>
      </c>
      <c r="F1458" s="5" t="inlineStr"/>
      <c r="G1458" s="6" t="inlineStr"/>
      <c r="H1458" s="6" t="inlineStr">
        <is>
          <t>Her pazar akşamı bir saat soru-cevap açtın; gerisi yasak. Grup kurala uydu. Pazar akşamları aile artık seni dinlemek için toplanıyor.</t>
        </is>
      </c>
      <c r="I1458" s="6" t="inlineStr">
        <is>
          <t>Pazar saati öyle sevildi ki öbür aileler de katılmak istedi. Teyzenin komşuları seni pazar sunucusu sanıyor.</t>
        </is>
      </c>
      <c r="J1458" s="6" t="inlineStr">
        <is>
          <t>Soru-cevap saati açtın; sorular saat dışında da geldi, bu sefer “Saatin dışında ama...” diye başlayarak.</t>
        </is>
      </c>
      <c r="K1458" s="6" t="inlineStr">
        <is>
          <t>İlk soru-cevap saatinde kırk kişi aynı anda yazdı; telefonun ısındı, kapandı. Grupta üç saat “Doktora bir şey oldu” paniği yaşandı. Halan ambulans çağırmış; adresi senin hastanen.</t>
        </is>
      </c>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row>
    <row r="1459">
      <c r="A1459" s="5" t="inlineStr">
        <is>
          <t>b8-hekim-aile-grubu</t>
        </is>
      </c>
      <c r="B1459" s="5" t="n">
        <v>3</v>
      </c>
      <c r="C1459" s="6" t="inlineStr">
        <is>
          <t>Aile grubuna da sözcü seç</t>
        </is>
      </c>
      <c r="D1459" s="5" t="inlineStr">
        <is>
          <t>Sosyal Radar</t>
        </is>
      </c>
      <c r="E1459" s="5" t="inlineStr">
        <is>
          <t>Kolay</t>
        </is>
      </c>
      <c r="F1459" s="5" t="inlineStr"/>
      <c r="G1459" s="6" t="inlineStr"/>
      <c r="H1459" s="6" t="inlineStr">
        <is>
          <t>Hastanedeki sözcü usulünü aileye uyguladın: sorular önce kuzenine gidiyor, o süzüp sana getiriyor. Günde yüz mesaj, üçe indi.</t>
        </is>
      </c>
      <c r="I1459" s="6" t="inlineStr">
        <is>
          <t>Kuzenin sözcülükte öyle ustalaştı ki artık yarı doktor gibi konuşuyor. Aile ona soruyor, o sana; sen de sonunda uyuyorsun.</t>
        </is>
      </c>
      <c r="J1459" s="6" t="inlineStr">
        <is>
          <t>Sözcüyü seçtin; aile sözcünün de bir akraba olduğunu hatırlayıp ona da güvenmedi.</t>
        </is>
      </c>
      <c r="K1459" s="6" t="inlineStr">
        <is>
          <t>Sözcü seçtiğin kuzen ilk gün kendi teşhisini koymaya başladı. Şimdi iki doktorlu bir grubunuz var; biri değil.</t>
        </is>
      </c>
      <c r="L1459" s="6" t="inlineStr"/>
      <c r="M1459" s="5" t="inlineStr"/>
      <c r="N1459" s="5" t="inlineStr"/>
      <c r="O1459" s="6" t="inlineStr"/>
      <c r="P1459" s="6" t="inlineStr"/>
      <c r="Q1459" s="5" t="inlineStr"/>
      <c r="R1459" s="5" t="inlineStr">
        <is>
          <t>hekim-sozcu-usulu</t>
        </is>
      </c>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row>
    <row r="1460">
      <c r="A1460" s="5" t="inlineStr">
        <is>
          <t>b8-hekim-aile-grubu</t>
        </is>
      </c>
      <c r="B1460" s="5" t="n">
        <v>4</v>
      </c>
      <c r="C1460" s="6" t="inlineStr">
        <is>
          <t>Grubu sessize al</t>
        </is>
      </c>
      <c r="D1460" s="5" t="inlineStr">
        <is>
          <t>Pişkinlik</t>
        </is>
      </c>
      <c r="E1460" s="5" t="inlineStr">
        <is>
          <t>Zor</t>
        </is>
      </c>
      <c r="F1460" s="5" t="inlineStr"/>
      <c r="G1460" s="6" t="inlineStr"/>
      <c r="H1460" s="6" t="inlineStr">
        <is>
          <t>Grubu sessize aldın. Üç gün kimse fark etmedi; dördüncü gün teyzen hastaneye gelip seni buldu: “Görmüyor musun?” Görmüyordun, rahattın.</t>
        </is>
      </c>
      <c r="I1460" s="6" t="inlineStr">
        <is>
          <t>Sessize aldın ve kimse fark etmedi. Grup kendi kendine bir ay yaşadı; sen sadece bayramda bir mesaj attın, tüm aile duygulandı.</t>
        </is>
      </c>
      <c r="J1460" s="6" t="inlineStr">
        <is>
          <t>Sessize aldın ama bir saat sonra dayanamayıp açtın. Kırk yeni mesaj, biri dizin fotoğrafı.</t>
        </is>
      </c>
      <c r="K1460" s="6" t="inlineStr">
        <is>
          <t>Sessize alırken yanlışlıkla gruptan çıktın. Ekranda tek satır belirdi: “Doktor gruptan ayrıldı.” Yarım saatte annen ağlayarak aradı; bir saat sonra teyzen börekle kapındaydı: “Biz sana ne yaptık?”</t>
        </is>
      </c>
      <c r="L1460" s="6" t="inlineStr"/>
      <c r="M1460" s="5" t="inlineStr"/>
      <c r="N1460" s="5" t="inlineStr"/>
      <c r="O1460" s="6" t="inlineStr"/>
      <c r="P1460" s="6" t="inlineStr"/>
      <c r="Q1460" s="5" t="inlineStr"/>
      <c r="R1460" s="5" t="inlineStr"/>
      <c r="S1460" s="5" t="inlineStr"/>
      <c r="T1460" s="5" t="inlineStr">
        <is>
          <t>Sessize Alma Ustası</t>
        </is>
      </c>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row>
    <row r="1461">
      <c r="A1461" s="5" t="inlineStr">
        <is>
          <t>b9-hekim-son-vizit</t>
        </is>
      </c>
      <c r="B1461" s="5" t="n">
        <v>1</v>
      </c>
      <c r="C1461" s="6" t="inlineStr">
        <is>
          <t>Bir asistana fikrini sor</t>
        </is>
      </c>
      <c r="D1461" s="5" t="inlineStr"/>
      <c r="E1461" s="5" t="inlineStr"/>
      <c r="F1461" s="5" t="inlineStr">
        <is>
          <t>Akıl +1, İtibar +1</t>
        </is>
      </c>
      <c r="G1461" s="6" t="inlineStr">
        <is>
          <t>Bir asistana döndün: “Bu hastada ne düşünüyorsun?” “Emin değilim hocam, bakıp söyleyeceğim” dedi. Gülümsedin; bu da profesör olur.</t>
        </is>
      </c>
      <c r="H1461" s="6" t="inlineStr"/>
      <c r="I1461" s="6" t="inlineStr"/>
      <c r="J1461" s="6" t="inlineStr"/>
      <c r="K1461" s="6" t="inlineStr"/>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row>
    <row r="1462">
      <c r="A1462" s="5" t="inlineStr">
        <is>
          <t>b9-hekim-son-vizit</t>
        </is>
      </c>
      <c r="B1462" s="5" t="n">
        <v>2</v>
      </c>
      <c r="C1462" s="6" t="inlineStr">
        <is>
          <t>Hastayla uzun uzun sohbet et</t>
        </is>
      </c>
      <c r="D1462" s="5" t="inlineStr">
        <is>
          <t>İtibar</t>
        </is>
      </c>
      <c r="E1462" s="5" t="inlineStr">
        <is>
          <t>Orta</t>
        </is>
      </c>
      <c r="F1462" s="5" t="inlineStr"/>
      <c r="G1462" s="6" t="inlineStr"/>
      <c r="H1462" s="6" t="inlineStr">
        <is>
          <t>Vizit durdu; hastayla torunlarından, bahçesinden konuştun. Asistanlar not aldı; sonra neden not aldıklarını anladılar.</t>
        </is>
      </c>
      <c r="I1462" s="6" t="inlineStr">
        <is>
          <t>Hastayla sohbet öyle güzel geçti ki hasta seni bahçesine davet etti, asistanlar da kendilerini. Vizit bir piknikle sona erdi, taburcu olunca.</t>
        </is>
      </c>
      <c r="J1462" s="6" t="inlineStr">
        <is>
          <t>Sohbete başladın; hasta uykuya daldı. Asistanlar sessizce bekledi. Son vizit en sessiz vizitin oldu.</t>
        </is>
      </c>
      <c r="K1462" s="6" t="inlineStr">
        <is>
          <t>Hastaya hayatını anlattın, sonra kendi hayatını. Hasta sonunda sana “Siz iyi misiniz hocam?” diye sordu.</t>
        </is>
      </c>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row>
    <row r="1463">
      <c r="A1463" s="5" t="inlineStr">
        <is>
          <t>b9-hekim-son-vizit</t>
        </is>
      </c>
      <c r="B1463" s="5" t="n">
        <v>3</v>
      </c>
      <c r="C1463" s="6" t="inlineStr">
        <is>
          <t>Son bir zor vakayı çöz</t>
        </is>
      </c>
      <c r="D1463" s="5" t="inlineStr">
        <is>
          <t>Akıl</t>
        </is>
      </c>
      <c r="E1463" s="5" t="inlineStr">
        <is>
          <t>Zor</t>
        </is>
      </c>
      <c r="F1463" s="5" t="inlineStr"/>
      <c r="G1463" s="6" t="inlineStr"/>
      <c r="H1463" s="6" t="inlineStr">
        <is>
          <t>Kimsenin çözemediği bir vakayı yatak başında on dakikada bağladın. Asistanlar alkışlamak istedi; hastanede alkış olmaz, yerlerinde kıpırdandılar.</t>
        </is>
      </c>
      <c r="I1463" s="6" t="inlineStr">
        <is>
          <t>Vakayı çözdün, hasta ertesi hafta taburcu oldu. Olgu sunumu asistanların ilk makalesi oldu; teşekkür kısmı bir sayfa.</t>
        </is>
      </c>
      <c r="J1463" s="6" t="inlineStr">
        <is>
          <t>Vakayı çözemedin; bir asistan çözdü. Onu tebrik ettin. İçinden de biraz kendini.</t>
        </is>
      </c>
      <c r="K1463" s="6" t="inlineStr">
        <is>
          <t>Vakayı çözerken eski bir bilgiyi yeni sandın. En genç asistan nazikçe düzeltti. Emekliliğin tam vaktinde geldi.</t>
        </is>
      </c>
      <c r="L1463" s="6" t="inlineStr"/>
      <c r="M1463" s="5" t="inlineStr"/>
      <c r="N1463" s="5" t="inlineStr"/>
      <c r="O1463" s="6" t="inlineStr"/>
      <c r="P1463" s="6" t="inlineStr"/>
      <c r="Q1463" s="5" t="inlineStr"/>
      <c r="R1463" s="5" t="inlineStr"/>
      <c r="S1463" s="5" t="inlineStr"/>
      <c r="T1463" s="5" t="inlineStr">
        <is>
          <t>Odayı Okur</t>
        </is>
      </c>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row>
    <row r="1464">
      <c r="A1464" s="5" t="inlineStr">
        <is>
          <t>k10-polis</t>
        </is>
      </c>
      <c r="B1464" s="5" t="n">
        <v>1</v>
      </c>
      <c r="C1464" s="6" t="inlineStr">
        <is>
          <t>Zarfı reddet</t>
        </is>
      </c>
      <c r="D1464" s="5" t="inlineStr"/>
      <c r="E1464" s="5" t="inlineStr"/>
      <c r="F1464" s="5" t="inlineStr">
        <is>
          <t>İtibar +1, Cesaret +1</t>
        </is>
      </c>
      <c r="G1464" s="6" t="inlineStr">
        <is>
          <t>Zarfı fincanla birlikte adama geri gönderdin, üstüne tutanak ekledin. Müteahhit dosyayı başka karakola taşıyamadı; dosya sende, sen yerinde.</t>
        </is>
      </c>
      <c r="H1464" s="6" t="inlineStr"/>
      <c r="I1464" s="6" t="inlineStr"/>
      <c r="J1464" s="6" t="inlineStr"/>
      <c r="K1464" s="6" t="inlineStr"/>
      <c r="L1464" s="6" t="inlineStr"/>
      <c r="M1464" s="5" t="inlineStr"/>
      <c r="N1464" s="5" t="inlineStr"/>
      <c r="O1464" s="6" t="inlineStr"/>
      <c r="P1464" s="6" t="inlineStr"/>
      <c r="Q1464" s="5" t="inlineStr"/>
      <c r="R1464" s="5" t="inlineStr"/>
      <c r="S1464" s="5" t="inlineStr"/>
      <c r="T1464" s="5" t="inlineStr"/>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row>
    <row r="1465">
      <c r="A1465" s="5" t="inlineStr">
        <is>
          <t>k10-polis</t>
        </is>
      </c>
      <c r="B1465" s="5" t="n">
        <v>2</v>
      </c>
      <c r="C1465" s="6" t="inlineStr">
        <is>
          <t>Zarfı al</t>
        </is>
      </c>
      <c r="D1465" s="5" t="inlineStr">
        <is>
          <t>Kurnazlık</t>
        </is>
      </c>
      <c r="E1465" s="5" t="inlineStr">
        <is>
          <t>Zor</t>
        </is>
      </c>
      <c r="F1465" s="5" t="inlineStr"/>
      <c r="G1465" s="6" t="inlineStr"/>
      <c r="H1465" s="6" t="inlineStr">
        <is>
          <t>Zarfı çekmeceye koydun, dosya yavaşladı, kimse bir şey sormadı. Evde yeni bir koltuk var; oturunca biraz batıyor.</t>
        </is>
      </c>
      <c r="I1465" s="6" t="inlineStr">
        <is>
          <t>Zarf sessizce geldi, sessizce eridi; müteahhit bile unuttu. Hayatın rahat. Vicdanın ara sıra kapıyı çalıyor, açmıyorsun.</t>
        </is>
      </c>
      <c r="J1465" s="6" t="inlineStr">
        <is>
          <t>Zarfı koyduğun çekmece, iç denetimin o hafta açtığı ilk çekmeceymiş. Nezarethaneyi bu sefer içeriden gördün.</t>
        </is>
      </c>
      <c r="K1465" s="6" t="inlineStr">
        <is>
          <t>Zarfı sayarken kamera açıktı; kamerayı sen taktırmıştın, geçen yıl. Dava kısa sürdü, ceza uzun.</t>
        </is>
      </c>
      <c r="L1465" s="6" t="inlineStr"/>
      <c r="M1465" s="5" t="inlineStr"/>
      <c r="N1465" s="5" t="inlineStr"/>
      <c r="O1465" s="6" t="inlineStr"/>
      <c r="P1465" s="6" t="inlineStr"/>
      <c r="Q1465" s="5" t="inlineStr"/>
      <c r="R1465" s="5" t="inlineStr"/>
      <c r="S1465" s="5" t="inlineStr"/>
      <c r="T1465" s="5" t="inlineStr"/>
      <c r="U1465" s="5" t="inlineStr"/>
      <c r="V1465" s="5" t="inlineStr">
        <is>
          <t>zarf-aldi</t>
        </is>
      </c>
      <c r="W1465" s="5" t="inlineStr"/>
      <c r="X1465" s="5" t="inlineStr"/>
      <c r="Y1465" s="5" t="inlineStr"/>
      <c r="Z1465" s="6" t="inlineStr"/>
      <c r="AA1465" s="5" t="inlineStr"/>
      <c r="AB1465" s="5" t="inlineStr">
        <is>
          <t>hapis</t>
        </is>
      </c>
      <c r="AC1465" s="5" t="inlineStr"/>
      <c r="AD1465" s="5" t="inlineStr">
        <is>
          <t>Rahat</t>
        </is>
      </c>
      <c r="AE1465" s="5" t="inlineStr"/>
      <c r="AF1465" s="5" t="inlineStr"/>
      <c r="AG1465" s="5" t="inlineStr"/>
      <c r="AH1465" s="5" t="inlineStr"/>
      <c r="AI1465" s="5" t="inlineStr"/>
    </row>
    <row r="1466">
      <c r="A1466" s="5" t="inlineStr">
        <is>
          <t>k10-polis</t>
        </is>
      </c>
      <c r="B1466" s="5" t="n">
        <v>3</v>
      </c>
      <c r="C1466" s="6" t="inlineStr">
        <is>
          <t>Karşı tarafa geç</t>
        </is>
      </c>
      <c r="D1466" s="5" t="inlineStr">
        <is>
          <t>Kurnazlık</t>
        </is>
      </c>
      <c r="E1466" s="5" t="inlineStr">
        <is>
          <t>Zor</t>
        </is>
      </c>
      <c r="F1466" s="5" t="inlineStr"/>
      <c r="G1466" s="6" t="inlineStr"/>
      <c r="H1466" s="6" t="inlineStr">
        <is>
          <t>Zarfı değil, teklifin tamamını aldın: rozeti bırakıp müteahhidin “güvenlik danışmanı” oldun. Maaş üç katı; eski ekibin selamı kesti.</t>
        </is>
      </c>
      <c r="I1466" s="6" t="inlineStr">
        <is>
          <t>Rozeti bıraktın, müteahhidin sağ kolu oldun. Arabalar, ofis, adını fısıldayan adamlar. Annen telefonu açmıyor.</t>
        </is>
      </c>
      <c r="J1466" s="6" t="inlineStr">
        <is>
          <t>İstifa dilekçeni yazdın ama müteahhidin adamı ortadan kayboldu. Rozet hâlâ sende; artık her adımını bir üst makam izliyor.</t>
        </is>
      </c>
      <c r="K1466" s="6" t="inlineStr">
        <is>
          <t>Müteahhidin adamı numaranı telefonuna “Polis Abi – Zarf” diye kaydetmiş. Telefon iç denetimin elinde açıldı. İstifan kabul edilmedi; çayını artık amirin getiriyor, gözünü senden ayırmadan.</t>
        </is>
      </c>
      <c r="L1466" s="6" t="inlineStr"/>
      <c r="M1466" s="5" t="inlineStr"/>
      <c r="N1466" s="5" t="inlineStr"/>
      <c r="O1466" s="6" t="inlineStr"/>
      <c r="P1466" s="6" t="inlineStr"/>
      <c r="Q1466" s="5" t="inlineStr"/>
      <c r="R1466" s="5" t="inlineStr"/>
      <c r="S1466" s="5" t="inlineStr"/>
      <c r="T1466" s="5" t="inlineStr"/>
      <c r="U1466" s="5" t="inlineStr"/>
      <c r="V1466" s="5" t="inlineStr">
        <is>
          <t>-hat-dolandirici, -hat-girisimci, -hat-goc, -hat-hekim, -hat-koy, -hat-polis, -hat-politika, -hat-sohret, -hat-usta, -hat-yargi, -meslek-beyazyaka, -meslek-memur, -meslek-serbest, hat-cete, meslek-esnaf</t>
        </is>
      </c>
      <c r="W1466" s="5" t="inlineStr"/>
      <c r="X1466" s="5" t="inlineStr"/>
      <c r="Y1466" s="5" t="inlineStr"/>
      <c r="Z1466" s="6" t="inlineStr"/>
      <c r="AA1466" s="5" t="inlineStr">
        <is>
          <t>hepsi -1</t>
        </is>
      </c>
      <c r="AB1466" s="5" t="inlineStr">
        <is>
          <t>polis-gozetim</t>
        </is>
      </c>
      <c r="AC1466" s="5" t="inlineStr"/>
      <c r="AD1466" s="5" t="inlineStr">
        <is>
          <t>Rahat</t>
        </is>
      </c>
      <c r="AE1466" s="5" t="inlineStr"/>
      <c r="AF1466" s="5" t="inlineStr"/>
      <c r="AG1466" s="5" t="inlineStr"/>
      <c r="AH1466" s="5" t="inlineStr"/>
      <c r="AI1466" s="5" t="inlineStr"/>
    </row>
    <row r="1467">
      <c r="A1467" s="5" t="inlineStr">
        <is>
          <t>k10-polis</t>
        </is>
      </c>
      <c r="B1467" s="5" t="n">
        <v>4</v>
      </c>
      <c r="C1467" s="6" t="inlineStr">
        <is>
          <t>İhbar et</t>
        </is>
      </c>
      <c r="D1467" s="5" t="inlineStr">
        <is>
          <t>Cesaret</t>
        </is>
      </c>
      <c r="E1467" s="5" t="inlineStr">
        <is>
          <t>Zor</t>
        </is>
      </c>
      <c r="F1467" s="5" t="inlineStr"/>
      <c r="G1467" s="6" t="inlineStr"/>
      <c r="H1467" s="6" t="inlineStr">
        <is>
          <t>Zarfı delil torbasına koyup başsavcılığa götürdün. Müteahhit, üç memur ve bir fincan gözaltında. Haberlerde adın geçti; ertesi gün bir parti kapını çaldı: “Aday olur musun?”</t>
        </is>
      </c>
      <c r="I1467" s="6" t="inlineStr">
        <is>
          <t>Kahraman ilan edildin; bir parti seni listenin başına yazdı. Rozetini çerçeveletip Makarya Meclisi yolunu tuttun.</t>
        </is>
      </c>
      <c r="J1467" s="6" t="inlineStr">
        <is>
          <t>İhbar ettin; dosya bir masadan öbürüne, sonra hiçbir masaya gitti. Bir ay sonra tayinin çıktı: haritada ilk kez gördüğün bir ilçe. Rozet hâlâ sende.</t>
        </is>
      </c>
      <c r="K1467" s="6" t="inlineStr">
        <is>
          <t>İhbarın ertesi günü müteahhidin kuzeni amirin oldu. Tayinin uzak bir dağ ilçesine; karakolun tek aracı bir traktör.</t>
        </is>
      </c>
      <c r="L1467" s="6" t="inlineStr"/>
      <c r="M1467" s="5" t="inlineStr"/>
      <c r="N1467" s="5" t="inlineStr"/>
      <c r="O1467" s="6" t="inlineStr"/>
      <c r="P1467" s="6" t="inlineStr"/>
      <c r="Q1467" s="5" t="inlineStr"/>
      <c r="R1467" s="5" t="inlineStr"/>
      <c r="S1467" s="5" t="inlineStr"/>
      <c r="T1467" s="5" t="inlineStr"/>
      <c r="U1467" s="5" t="inlineStr"/>
      <c r="V1467" s="5" t="inlineStr">
        <is>
          <t>-hat-cete, -hat-dolandirici, -hat-girisimci, -hat-goc, -hat-hekim, -hat-koy, -hat-polis, -hat-sohret, -hat-usta, -hat-yargi, -meslek-beyazyaka, -meslek-esnaf, -meslek-memur, -meslek-serbest, hat-politika</t>
        </is>
      </c>
      <c r="W1467" s="5" t="inlineStr"/>
      <c r="X1467" s="5" t="inlineStr"/>
      <c r="Y1467" s="5" t="inlineStr"/>
      <c r="Z1467" s="6" t="inlineStr"/>
      <c r="AA1467" s="5" t="inlineStr"/>
      <c r="AB1467" s="5" t="inlineStr">
        <is>
          <t>polis-surgun</t>
        </is>
      </c>
      <c r="AC1467" s="5" t="inlineStr"/>
      <c r="AD1467" s="5" t="inlineStr"/>
      <c r="AE1467" s="5" t="inlineStr"/>
      <c r="AF1467" s="5" t="inlineStr"/>
      <c r="AG1467" s="5" t="inlineStr"/>
      <c r="AH1467" s="5" t="inlineStr"/>
      <c r="AI1467" s="5" t="inlineStr"/>
    </row>
    <row r="1468">
      <c r="A1468" s="5" t="inlineStr">
        <is>
          <t>k10-yargi</t>
        </is>
      </c>
      <c r="B1468" s="5" t="n">
        <v>1</v>
      </c>
      <c r="C1468" s="6" t="inlineStr">
        <is>
          <t>Dosyaya göre karar ver</t>
        </is>
      </c>
      <c r="D1468" s="5" t="inlineStr"/>
      <c r="E1468" s="5" t="inlineStr"/>
      <c r="F1468" s="5" t="inlineStr">
        <is>
          <t>Akıl +1, İtibar +1</t>
        </is>
      </c>
      <c r="G1468" s="6" t="inlineStr">
        <is>
          <t>Dosyayı okudun, bilirkişiyi dinledin, kararı verdin: çınar da park da kalıyor. Telefonun bir hafta çaldı, sonra sustu.</t>
        </is>
      </c>
      <c r="H1468" s="6" t="inlineStr"/>
      <c r="I1468" s="6" t="inlineStr"/>
      <c r="J1468" s="6" t="inlineStr"/>
      <c r="K1468" s="6" t="inlineStr"/>
      <c r="L1468" s="6" t="inlineStr"/>
      <c r="M1468" s="5" t="inlineStr"/>
      <c r="N1468" s="5" t="inlineStr"/>
      <c r="O1468" s="6" t="inlineStr"/>
      <c r="P1468" s="6" t="inlineStr"/>
      <c r="Q1468" s="5" t="inlineStr"/>
      <c r="R1468" s="5" t="inlineStr"/>
      <c r="S1468" s="5" t="inlineStr"/>
      <c r="T1468" s="5" t="inlineStr"/>
      <c r="U1468" s="5" t="inlineStr"/>
      <c r="V1468" s="5" t="inlineStr"/>
      <c r="W1468" s="5" t="inlineStr"/>
      <c r="X1468" s="5" t="inlineStr"/>
      <c r="Y1468" s="5" t="inlineStr"/>
      <c r="Z1468" s="6" t="inlineStr"/>
      <c r="AA1468" s="5" t="inlineStr"/>
      <c r="AB1468" s="5" t="inlineStr"/>
      <c r="AC1468" s="5" t="inlineStr"/>
      <c r="AD1468" s="5" t="inlineStr"/>
      <c r="AE1468" s="5" t="inlineStr"/>
      <c r="AF1468" s="5" t="inlineStr"/>
      <c r="AG1468" s="5" t="inlineStr"/>
      <c r="AH1468" s="5" t="inlineStr"/>
      <c r="AI1468" s="5" t="inlineStr"/>
    </row>
    <row r="1469">
      <c r="A1469" s="5" t="inlineStr">
        <is>
          <t>k10-yargi</t>
        </is>
      </c>
      <c r="B1469" s="5" t="n">
        <v>2</v>
      </c>
      <c r="C1469" s="6" t="inlineStr">
        <is>
          <t>Baskıya boyun eğ</t>
        </is>
      </c>
      <c r="D1469" s="5" t="inlineStr">
        <is>
          <t>Kurnazlık</t>
        </is>
      </c>
      <c r="E1469" s="5" t="inlineStr">
        <is>
          <t>Zor</t>
        </is>
      </c>
      <c r="F1469" s="5" t="inlineStr"/>
      <c r="G1469" s="6" t="inlineStr"/>
      <c r="H1469" s="6" t="inlineStr">
        <is>
          <t>Kararı istedikleri gibi yazdın, gerekçeyi kimsenin okumayacağı kadar uzattın. Çınar gitti; sana şehir dışında bir yazlık kaldı, kimin adına olduğu belirsiz.</t>
        </is>
      </c>
      <c r="I1469" s="6" t="inlineStr">
        <is>
          <t>Karar sessizce kesinleşti, kimse itiraz etmedi. Yazlığın denize bakıyor. Çınarın yerinde bir otopark; oraya hiç park etmiyorsun.</t>
        </is>
      </c>
      <c r="J1469" s="6" t="inlineStr">
        <is>
          <t>Kararı yazdın; ertesi gün mesajların bir gazetede çıktı. Önce kurul dinledi, sonra savcılık. Cübbe askıda, sen içeride.</t>
        </is>
      </c>
      <c r="K1469" s="6" t="inlineStr">
        <is>
          <t>Mesajları sileyim derken adliyenin ortak grubuna ilettin. Soruşturma bir öğleden sonrada bitti.</t>
        </is>
      </c>
      <c r="L1469" s="6" t="inlineStr"/>
      <c r="M1469" s="5" t="inlineStr"/>
      <c r="N1469" s="5" t="inlineStr"/>
      <c r="O1469" s="6" t="inlineStr"/>
      <c r="P1469" s="6" t="inlineStr"/>
      <c r="Q1469" s="5" t="inlineStr"/>
      <c r="R1469" s="5" t="inlineStr"/>
      <c r="S1469" s="5" t="inlineStr"/>
      <c r="T1469" s="5" t="inlineStr"/>
      <c r="U1469" s="5" t="inlineStr"/>
      <c r="V1469" s="5" t="inlineStr">
        <is>
          <t>yargi-leke</t>
        </is>
      </c>
      <c r="W1469" s="5" t="inlineStr"/>
      <c r="X1469" s="5" t="inlineStr"/>
      <c r="Y1469" s="5" t="inlineStr"/>
      <c r="Z1469" s="6" t="inlineStr"/>
      <c r="AA1469" s="5" t="inlineStr"/>
      <c r="AB1469" s="5" t="inlineStr">
        <is>
          <t>hapis</t>
        </is>
      </c>
      <c r="AC1469" s="5" t="inlineStr"/>
      <c r="AD1469" s="5" t="inlineStr">
        <is>
          <t>Rahat</t>
        </is>
      </c>
      <c r="AE1469" s="5" t="inlineStr"/>
      <c r="AF1469" s="5" t="inlineStr"/>
      <c r="AG1469" s="5" t="inlineStr"/>
      <c r="AH1469" s="5" t="inlineStr"/>
      <c r="AI1469" s="5" t="inlineStr"/>
    </row>
    <row r="1470">
      <c r="A1470" s="5" t="inlineStr">
        <is>
          <t>k10-yargi</t>
        </is>
      </c>
      <c r="B1470" s="5" t="n">
        <v>3</v>
      </c>
      <c r="C1470" s="6" t="inlineStr">
        <is>
          <t>Cübbeyi bırak, avukat ol</t>
        </is>
      </c>
      <c r="D1470" s="5" t="inlineStr">
        <is>
          <t>Çene</t>
        </is>
      </c>
      <c r="E1470" s="5" t="inlineStr">
        <is>
          <t>Orta</t>
        </is>
      </c>
      <c r="F1470" s="5" t="inlineStr"/>
      <c r="G1470" s="6" t="inlineStr"/>
      <c r="H1470" s="6" t="inlineStr">
        <is>
          <t>Dosyadan çekilip istifanı verdin, bir hukuk bürosu açtın. İlk müvekkilin çınarı savunan mahalle derneği; ücret bir kasa ceviz. Sonrakiler nakit ödüyor.</t>
        </is>
      </c>
      <c r="I1470" s="6" t="inlineStr">
        <is>
          <t>Büronun kapısında sıra var; hâkimken tanıdığın herkes davasını sana getiriyor. Tabelada “Eski Hâkim” yazıyor; müşteri ona geliyor.</t>
        </is>
      </c>
      <c r="J1470" s="6" t="inlineStr">
        <is>
          <t>İstifa dilekçeni yazdın ama baro kaydın aylarca sürecekti. Dilekçeyi çekmeceye koydun; cübbe hâlâ üstünde.</t>
        </is>
      </c>
      <c r="K1470" s="6" t="inlineStr">
        <is>
          <t>Büro kiraladın, tabela astırdın, istifa dilekçesini vermeyi unuttun. Hâkimken avukat tabelası asmanın bir disiplin cezası varmış. Tabela indi, sen kaldın.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-hat-politika, -hat-sohret, -hat-usta, -hat-yargi, -meslek-esnaf, -meslek-memur, -meslek-serbest, meslek-beyazyaka</t>
        </is>
      </c>
      <c r="W1470" s="5" t="inlineStr"/>
      <c r="X1470" s="5" t="inlineStr"/>
      <c r="Y1470" s="5" t="inlineStr"/>
      <c r="Z1470" s="6" t="inlineStr"/>
      <c r="AA1470" s="5" t="inlineStr"/>
      <c r="AB1470" s="5" t="inlineStr"/>
      <c r="AC1470" s="5" t="inlineStr"/>
      <c r="AD1470" s="5" t="inlineStr">
        <is>
          <t>Rahat</t>
        </is>
      </c>
      <c r="AE1470" s="5" t="inlineStr"/>
      <c r="AF1470" s="5" t="inlineStr"/>
      <c r="AG1470" s="5" t="inlineStr"/>
      <c r="AH1470" s="5" t="inlineStr"/>
      <c r="AI1470" s="5" t="inlineStr"/>
    </row>
    <row r="1471">
      <c r="A1471" s="5" t="inlineStr">
        <is>
          <t>k10-yargi</t>
        </is>
      </c>
      <c r="B1471" s="5" t="n">
        <v>4</v>
      </c>
      <c r="C1471" s="6" t="inlineStr">
        <is>
          <t>Siyasete atıl</t>
        </is>
      </c>
      <c r="D1471" s="5" t="inlineStr">
        <is>
          <t>Çene</t>
        </is>
      </c>
      <c r="E1471" s="5" t="inlineStr">
        <is>
          <t>Zor</t>
        </is>
      </c>
      <c r="F1471" s="5" t="inlineStr"/>
      <c r="G1471" s="6" t="inlineStr"/>
      <c r="H1471" s="6" t="inlineStr">
        <is>
          <t>Çınar kararını verdin, ertesi gün cübbeni astın. Mahalle seni omuzlarda taşıdı, bir parti de listesinin başına. Makarya Meclisi'nin kapısı aralandı.</t>
        </is>
      </c>
      <c r="I1471" s="6" t="inlineStr">
        <is>
          <t>“Çınarı Kurtaran Hâkim” diye afişlere çıktın. Parti seni aday yaptı, anketler seni ilk sıraya yazdı. Cübbe dolapta, naftalinle.</t>
        </is>
      </c>
      <c r="J1471" s="6" t="inlineStr">
        <is>
          <t>Parti seni aday yapmayı düşündü, bir anket yaptı, düşünmekten vazgeçti. Cübbe hâlâ üstünde, çınar hâlâ yerinde.</t>
        </is>
      </c>
      <c r="K1471" s="6" t="inlineStr">
        <is>
          <t>Adaylık konuşmanı adliye merdivenlerinde yaptın; kurul da dinledi. Aday olamadın; iki ay maaş kesintisiyle cübbeye döndün.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-hat-sohret, -hat-usta, -hat-yargi, -meslek-beyazyaka, -meslek-esnaf, -meslek-memur, -meslek-serbest, hat-politika</t>
        </is>
      </c>
      <c r="W1471" s="5" t="inlineStr"/>
      <c r="X1471" s="5" t="inlineStr"/>
      <c r="Y1471" s="5" t="inlineStr"/>
      <c r="Z1471" s="6" t="inlineStr"/>
      <c r="AA1471" s="5" t="inlineStr"/>
      <c r="AB1471" s="5" t="inlineStr"/>
      <c r="AC1471" s="5" t="inlineStr"/>
      <c r="AD1471" s="5" t="inlineStr"/>
      <c r="AE1471" s="5" t="inlineStr"/>
      <c r="AF1471" s="5" t="inlineStr"/>
      <c r="AG1471" s="5" t="inlineStr"/>
      <c r="AH1471" s="5" t="inlineStr"/>
      <c r="AI1471" s="5" t="inlineStr"/>
    </row>
    <row r="1472">
      <c r="A1472" s="5" t="inlineStr">
        <is>
          <t>k10-hekim</t>
        </is>
      </c>
      <c r="B1472" s="5" t="n">
        <v>1</v>
      </c>
      <c r="C1472" s="6" t="inlineStr">
        <is>
          <t>Klinik şefliğine oyna</t>
        </is>
      </c>
      <c r="D1472" s="5" t="inlineStr">
        <is>
          <t>Akıl</t>
        </is>
      </c>
      <c r="E1472" s="5" t="inlineStr">
        <is>
          <t>Zor</t>
        </is>
      </c>
      <c r="F1472" s="5" t="inlineStr"/>
      <c r="G1472" s="6" t="inlineStr"/>
      <c r="H1472" s="6" t="inlineStr">
        <is>
          <t>Sınava üç ay çalıştın: nöbetten sonra, nöbetten önce. Şef oldun; odan pencereli, telefonun susmuyor.</t>
        </is>
      </c>
      <c r="I1472" s="6" t="inlineStr">
        <is>
          <t>Sınavda en yüksek puan senin. İlk gün servis seni alkışla karşıladı; ikinci gün aynı servis sana yirmi dilekçe verdi.</t>
        </is>
      </c>
      <c r="J1472" s="6" t="inlineStr">
        <is>
          <t>Sınavdan iki puanla kaldın. Şef, senden bir yıl sonra uzman olan meslektaşın oldu. Sana çay getirdi, saygıyla.</t>
        </is>
      </c>
      <c r="K1472" s="6" t="inlineStr">
        <is>
          <t>Sınava nöbetten çıkıp girdin, ilk soruda uyuyakaldın. Gözetmen omzuna dokununca refleksle “Serumu tak, tansiyonu ölç” dedin. Salon güldü; kâğıdında yalnızca adın var.</t>
        </is>
      </c>
      <c r="L1472" s="6" t="inlineStr"/>
      <c r="M1472" s="5" t="inlineStr"/>
      <c r="N1472" s="5" t="inlineStr"/>
      <c r="O1472" s="6" t="inlineStr"/>
      <c r="P1472" s="6" t="inlineStr"/>
      <c r="Q1472" s="5" t="inlineStr"/>
      <c r="R1472" s="5" t="inlineStr"/>
      <c r="S1472" s="5" t="inlineStr"/>
      <c r="T1472" s="5" t="inlineStr"/>
      <c r="U1472" s="5" t="inlineStr"/>
      <c r="V1472" s="5" t="inlineStr">
        <is>
          <t>klinik-sefi</t>
        </is>
      </c>
      <c r="W1472" s="5" t="inlineStr"/>
      <c r="X1472" s="5" t="inlineStr"/>
      <c r="Y1472" s="5" t="inlineStr"/>
      <c r="Z1472" s="6" t="inlineStr"/>
      <c r="AA1472" s="5" t="inlineStr"/>
      <c r="AB1472" s="5" t="inlineStr"/>
      <c r="AC1472" s="5" t="inlineStr"/>
      <c r="AD1472" s="5" t="inlineStr">
        <is>
          <t>Rahat</t>
        </is>
      </c>
      <c r="AE1472" s="5" t="inlineStr"/>
      <c r="AF1472" s="5" t="inlineStr"/>
      <c r="AG1472" s="5" t="inlineStr"/>
      <c r="AH1472" s="5" t="inlineStr"/>
      <c r="AI1472" s="5" t="inlineStr"/>
    </row>
    <row r="1473">
      <c r="A1473" s="5" t="inlineStr">
        <is>
          <t>k10-hekim</t>
        </is>
      </c>
      <c r="B1473" s="5" t="n">
        <v>2</v>
      </c>
      <c r="C1473" s="6" t="inlineStr">
        <is>
          <t>Kendi kliniğini aç</t>
        </is>
      </c>
      <c r="D1473" s="5" t="inlineStr">
        <is>
          <t>Kurnazlık</t>
        </is>
      </c>
      <c r="E1473" s="5" t="inlineStr">
        <is>
          <t>Zor</t>
        </is>
      </c>
      <c r="F1473" s="5" t="inlineStr"/>
      <c r="G1473" s="6" t="inlineStr"/>
      <c r="H1473" s="6" t="inlineStr">
        <is>
          <t>Yatırımcıyla anlaştın, sözleşmeyi satır satır okudun, tabelayı sen seçtin. Klinik açıldı; bekleme salonunda yedi akraba, hepsi indirim bekliyor.</t>
        </is>
      </c>
      <c r="I1473" s="6" t="inlineStr">
        <is>
          <t>Klinik ilk yılında şube açtı. Hastanedeki eski hocan randevu almak için seni aradı; sekreterin onu bekletti.</t>
        </is>
      </c>
      <c r="J1473" s="6" t="inlineStr">
        <is>
          <t>Yatırımcı sözleşmenin son sayfasında kliniğe kendi köpeğinin adını vermiş. Masadan kalktın; hastanedeki kadron hâlâ senin.</t>
        </is>
      </c>
      <c r="K1473" s="6" t="inlineStr">
        <is>
          <t>Bir imza kalmışken yatırımcı ortadan kayboldu, kiraladığın yer düğün salonu oldu. Hastaneye döndün; nöbet listesi seni bekliyordu.</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-hat-goc, -hat-hekim, -hat-koy, -hat-polis, -hat-politika, -hat-sohret, -hat-usta, -hat-yargi, -meslek-beyazyaka, -meslek-esnaf, -meslek-memur, hat-girisimci, meslek-serbest</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c r="AI1473" s="5" t="inlineStr"/>
    </row>
    <row r="1474">
      <c r="A1474" s="5" t="inlineStr">
        <is>
          <t>k10-hekim</t>
        </is>
      </c>
      <c r="B1474" s="5" t="n">
        <v>3</v>
      </c>
      <c r="C1474" s="6" t="inlineStr">
        <is>
          <t>Televizyon doktoru ol</t>
        </is>
      </c>
      <c r="D1474" s="5" t="inlineStr">
        <is>
          <t>Pişkinlik</t>
        </is>
      </c>
      <c r="E1474" s="5" t="inlineStr">
        <is>
          <t>Zor</t>
        </is>
      </c>
      <c r="F1474" s="5" t="inlineStr"/>
      <c r="G1474" s="6" t="inlineStr"/>
      <c r="H1474" s="6" t="inlineStr">
        <is>
          <t>İlk konukluğunda kameraya baktın, tansiyonu üç cümlede anlattın. Program seni haftada bir değil, her gün istedi. Önlük artık stüdyo askısında.</t>
        </is>
      </c>
      <c r="I1474" s="6" t="inlineStr">
        <is>
          <t>Bir ay sonra kendi programın başladı. Pazarda teyzeler seni ekrandaki gibi selamlıyor, sen de ekrandaki gibi gülümsüyorsun.</t>
        </is>
      </c>
      <c r="J1474" s="6" t="inlineStr">
        <is>
          <t>Canlı yayında sunucu “Doktor bey, biz de öleceğiz mi?” diye sordu; dondun. Bir daha çağırmadılar; nöbetine döndün.</t>
        </is>
      </c>
      <c r="K1474" s="6" t="inlineStr">
        <is>
          <t>Işıklar altında terledin, pudraladılar, daha çok terledin. Yayın “Terleyen Doktor” diye dolaştı; hastanede hastalar seni oradan tanıyor.</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-hat-goc, -hat-hekim, -hat-koy, -hat-polis, -hat-politika, -hat-usta, -hat-yargi, -meslek-beyazyaka, -meslek-esnaf, -meslek-memur, hat-sohret, meslek-serbest</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is>
          <t>Terleyen Doktor</t>
        </is>
      </c>
    </row>
    <row r="1475">
      <c r="A1475" s="5" t="inlineStr">
        <is>
          <t>k10-hekim</t>
        </is>
      </c>
      <c r="B1475" s="5" t="n">
        <v>4</v>
      </c>
      <c r="C1475" s="6" t="inlineStr">
        <is>
          <t>Öte Diyar'da hekimlik</t>
        </is>
      </c>
      <c r="D1475" s="5" t="inlineStr">
        <is>
          <t>Akıl</t>
        </is>
      </c>
      <c r="E1475" s="5" t="inlineStr">
        <is>
          <t>Zor</t>
        </is>
      </c>
      <c r="F1475" s="5" t="inlineStr"/>
      <c r="G1475" s="6" t="inlineStr"/>
      <c r="H1475" s="6" t="inlineStr">
        <is>
          <t>Dil, denklik, mülakat: üç kapıyı da geçtin. Öte Diyar'da bir hastanede kimse adını doğru okuyamıyor; maaş bordron ise gayet okunaklı.</t>
        </is>
      </c>
      <c r="I1475" s="6" t="inlineStr">
        <is>
          <t>Öte Diyar'daki hastane seni iki yılda bölüm sorumlusu yaptı. Aile grubu hâlâ diz röntgeni yolluyor; saat farkıyla, gece üçte.</t>
        </is>
      </c>
      <c r="J1475" s="6" t="inlineStr">
        <is>
          <t>Denklik sınavından tek soruyla kaldın. İlan seneye yeniden çıkacak; sen o arada yine burada nöbet tutuyorsun.</t>
        </is>
      </c>
      <c r="K1475" s="6" t="inlineStr">
        <is>
          <t>Sınavda “nöbet” kelimesinin karşılığını aradın; oralarda öyle bir kelime yokmuş. Kâğıt boş kaldı, sen burada kaldın.</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-hat-hekim, -hat-koy, -hat-polis, -hat-politika, -hat-sohret, -hat-usta, -hat-yargi, -meslek-esnaf, -meslek-memur, -meslek-serbest, hat-goc, meslek-beyazyaka</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row>
    <row r="1476">
      <c r="A1476" s="5" t="inlineStr">
        <is>
          <t>k10-hekim</t>
        </is>
      </c>
      <c r="B1476" s="5" t="n">
        <v>5</v>
      </c>
      <c r="C1476" s="6" t="inlineStr">
        <is>
          <t>Serviste kal, asistanların hocası ol</t>
        </is>
      </c>
      <c r="D1476" s="5" t="inlineStr"/>
      <c r="E1476" s="5" t="inlineStr"/>
      <c r="F1476" s="5" t="inlineStr">
        <is>
          <t>Gönül +1, Dayanıklılık +1</t>
        </is>
      </c>
      <c r="G1476" s="6" t="inlineStr">
        <is>
          <t>Üç teklife de “Sağ olun” dedin. Asistanlar sana “Hocam” demeye başladı; ilk hafta yirmi soru, ikinci hafta yirmi çay. Önlüğün cebinde artık bir hastanın çocuğunun çizdiği resim var.</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row>
    <row r="1477">
      <c r="A1477" s="5" t="inlineStr">
        <is>
          <t>k10-memur</t>
        </is>
      </c>
      <c r="B1477" s="5" t="n">
        <v>1</v>
      </c>
      <c r="C1477" s="6" t="inlineStr">
        <is>
          <t>Memlekete tayin</t>
        </is>
      </c>
      <c r="D1477" s="5" t="inlineStr"/>
      <c r="E1477" s="5" t="inlineStr"/>
      <c r="F1477" s="5" t="inlineStr">
        <is>
          <t>İtibar +1, Sosyal Radar +1</t>
        </is>
      </c>
      <c r="G1477" s="6" t="inlineStr">
        <is>
          <t>Memleketine döndün. Daire aynı, çay ocağı aynı, müdür ilkokul arkadaşın. İlk gün “Hoş geldin” dedi, ikinci gün çay borcunu hatırlattı.</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row>
    <row r="1478">
      <c r="A1478" s="5" t="inlineStr">
        <is>
          <t>k10-memur</t>
        </is>
      </c>
      <c r="B1478" s="5" t="n">
        <v>2</v>
      </c>
      <c r="C1478" s="6" t="inlineStr">
        <is>
          <t>Terfiyi seç</t>
        </is>
      </c>
      <c r="D1478" s="5" t="inlineStr">
        <is>
          <t>Akıl</t>
        </is>
      </c>
      <c r="E1478" s="5" t="inlineStr">
        <is>
          <t>Orta</t>
        </is>
      </c>
      <c r="F1478" s="5" t="inlineStr"/>
      <c r="G1478" s="6" t="inlineStr"/>
      <c r="H1478" s="6" t="inlineStr">
        <is>
          <t>Sınavı geçip şube müdürü oldun. Artık bir masan değil bir odan var; odada bir masa, masada başkalarının sana getirdiği kâğıtlar.</t>
        </is>
      </c>
      <c r="I1478" s="6" t="inlineStr">
        <is>
          <t>Sınavı birincilikle geçtin, genel müdürlük seni gözüne kestirdi. Kapında isim tabelası var; harfleri de doğru.</t>
        </is>
      </c>
      <c r="J1478" s="6" t="inlineStr">
        <is>
          <t>Sınavdan bir puanla kaldın. O puanı köy şubesinin mektubunu okurken kaybettiğini düşünüyorsun; köy şubesi biraz daha yaşadı.</t>
        </is>
      </c>
      <c r="K1478" s="6" t="inlineStr">
        <is>
          <t>Sınav salonunu yanlış binada aradın; genel müdürlüğün iki binası varmış. Doğrusunu bulduğunda kapı kapanmıştı.</t>
        </is>
      </c>
      <c r="L1478" s="6" t="inlineStr"/>
      <c r="M1478" s="5" t="inlineStr"/>
      <c r="N1478" s="5" t="inlineStr"/>
      <c r="O1478" s="6" t="inlineStr"/>
      <c r="P1478" s="6" t="inlineStr"/>
      <c r="Q1478" s="5" t="inlineStr"/>
      <c r="R1478" s="5" t="inlineStr"/>
      <c r="S1478" s="5" t="inlineStr"/>
      <c r="T1478" s="5" t="inlineStr"/>
      <c r="U1478" s="5" t="inlineStr"/>
      <c r="V1478" s="5" t="inlineStr">
        <is>
          <t>memur-terfi</t>
        </is>
      </c>
      <c r="W1478" s="5" t="inlineStr"/>
      <c r="X1478" s="5" t="inlineStr"/>
      <c r="Y1478" s="5" t="inlineStr"/>
      <c r="Z1478" s="6" t="inlineStr"/>
      <c r="AA1478" s="5" t="inlineStr"/>
      <c r="AB1478" s="5" t="inlineStr"/>
      <c r="AC1478" s="5" t="inlineStr"/>
      <c r="AD1478" s="5" t="inlineStr">
        <is>
          <t>Rahat</t>
        </is>
      </c>
      <c r="AE1478" s="5" t="inlineStr"/>
      <c r="AF1478" s="5" t="inlineStr"/>
      <c r="AG1478" s="5" t="inlineStr"/>
      <c r="AH1478" s="5" t="inlineStr"/>
      <c r="AI1478" s="5" t="inlineStr"/>
    </row>
    <row r="1479">
      <c r="A1479" s="5" t="inlineStr">
        <is>
          <t>k10-memur</t>
        </is>
      </c>
      <c r="B1479" s="5" t="n">
        <v>3</v>
      </c>
      <c r="C1479" s="6" t="inlineStr">
        <is>
          <t>Köy şubesinde kal</t>
        </is>
      </c>
      <c r="D1479" s="5" t="inlineStr">
        <is>
          <t>İtibar</t>
        </is>
      </c>
      <c r="E1479" s="5" t="inlineStr">
        <is>
          <t>Zor</t>
        </is>
      </c>
      <c r="F1479" s="5" t="inlineStr"/>
      <c r="G1479" s="6" t="inlineStr"/>
      <c r="H1479" s="6" t="inlineStr">
        <is>
          <t>Şube yine de kapandı; sen kapanmadın. Kadroyu bırakıp köyde kaldın. Muhtar sana bir tarla gösterdi: “Memurluk bitti, toprak başladı.”</t>
        </is>
      </c>
      <c r="I1479" s="6" t="inlineStr">
        <is>
          <t>Kadroyu bıraktın, köy seni bağrına bastı. Eski şube binası şimdi kooperatif; müdürü sensin, maaşın domates.</t>
        </is>
      </c>
      <c r="J1479" s="6" t="inlineStr">
        <is>
          <t>Kalmak istedin ama dilekçen üç masada bekledi. Sonunda seni merkeze çektiler. Köyün mektubunu masa camının altına koydun.</t>
        </is>
      </c>
      <c r="K1479" s="6" t="inlineStr">
        <is>
          <t>Kalmak için dilekçe yazdın; dilekçe kayboldu, sen merkeze atandın. Köy şubesinin anahtarı hâlâ cebinde.</t>
        </is>
      </c>
      <c r="L1479" s="6" t="inlineStr"/>
      <c r="M1479" s="5" t="inlineStr"/>
      <c r="N1479" s="5" t="inlineStr"/>
      <c r="O1479" s="6" t="inlineStr"/>
      <c r="P1479" s="6" t="inlineStr"/>
      <c r="Q1479" s="5" t="inlineStr"/>
      <c r="R1479" s="5" t="inlineStr"/>
      <c r="S1479" s="5" t="inlineStr"/>
      <c r="T1479" s="5" t="inlineStr"/>
      <c r="U1479" s="5" t="inlineStr"/>
      <c r="V1479" s="5" t="inlineStr">
        <is>
          <t>-hat-cete, -hat-dolandirici, -hat-girisimci, -hat-goc, -hat-hekim, -hat-polis, -hat-politika, -hat-sohret, -hat-usta, -hat-yargi, -meslek-beyazyaka, -meslek-memur, -meslek-serbest, hat-koy, meslek-esnaf</t>
        </is>
      </c>
      <c r="W1479" s="5" t="inlineStr"/>
      <c r="X1479" s="5" t="inlineStr"/>
      <c r="Y1479" s="5" t="inlineStr"/>
      <c r="Z1479" s="6" t="inlineStr"/>
      <c r="AA1479" s="5" t="inlineStr"/>
      <c r="AB1479" s="5" t="inlineStr"/>
      <c r="AC1479" s="5" t="inlineStr"/>
      <c r="AD1479" s="5" t="inlineStr"/>
      <c r="AE1479" s="5" t="inlineStr"/>
      <c r="AF1479" s="5" t="inlineStr"/>
      <c r="AG1479" s="5" t="inlineStr"/>
      <c r="AH1479" s="5" t="inlineStr"/>
      <c r="AI1479" s="5" t="inlineStr"/>
    </row>
    <row r="1480">
      <c r="A1480" s="5" t="inlineStr">
        <is>
          <t>k10-beyazyaka</t>
        </is>
      </c>
      <c r="B1480" s="5" t="n">
        <v>1</v>
      </c>
      <c r="C1480" s="6" t="inlineStr">
        <is>
          <t>Maaş kesintisini kabul et</t>
        </is>
      </c>
      <c r="D1480" s="5" t="inlineStr"/>
      <c r="E1480" s="5" t="inlineStr"/>
      <c r="F1480" s="5" t="inlineStr">
        <is>
          <t>Dayanıklılık +1, Sosyal Radar +1</t>
        </is>
      </c>
      <c r="G1480" s="6" t="inlineStr">
        <is>
          <t>Kalanlara teklif edilen maaş kesintisini imzaladın. Masan duruyor, kupan duruyor; maaş bordrosu biraz eridi.</t>
        </is>
      </c>
      <c r="H1480" s="6" t="inlineStr"/>
      <c r="I1480" s="6" t="inlineStr"/>
      <c r="J1480" s="6" t="inlineStr"/>
      <c r="K1480" s="6" t="inlineStr"/>
      <c r="L1480" s="6" t="inlineStr"/>
      <c r="M1480" s="5" t="inlineStr"/>
      <c r="N1480" s="5" t="inlineStr"/>
      <c r="O1480" s="6" t="inlineStr"/>
      <c r="P1480" s="6" t="inlineStr"/>
      <c r="Q1480" s="5" t="inlineStr"/>
      <c r="R1480" s="5" t="inlineStr"/>
      <c r="S1480" s="5" t="inlineStr"/>
      <c r="T1480" s="5" t="inlineStr"/>
      <c r="U1480" s="5" t="inlineStr"/>
      <c r="V1480" s="5" t="inlineStr"/>
      <c r="W1480" s="5" t="inlineStr"/>
      <c r="X1480" s="5" t="inlineStr"/>
      <c r="Y1480" s="5" t="inlineStr"/>
      <c r="Z1480" s="6" t="inlineStr"/>
      <c r="AA1480" s="5" t="inlineStr"/>
      <c r="AB1480" s="5" t="inlineStr"/>
      <c r="AC1480" s="5" t="inlineStr"/>
      <c r="AD1480" s="5" t="inlineStr"/>
      <c r="AE1480" s="5" t="inlineStr"/>
      <c r="AF1480" s="5" t="n">
        <v>1</v>
      </c>
      <c r="AG1480" s="5" t="inlineStr"/>
      <c r="AH1480" s="5" t="inlineStr"/>
      <c r="AI1480" s="5" t="inlineStr"/>
    </row>
    <row r="1481">
      <c r="A1481" s="5" t="inlineStr">
        <is>
          <t>k10-beyazyaka</t>
        </is>
      </c>
      <c r="B1481" s="5" t="n">
        <v>2</v>
      </c>
      <c r="C1481" s="6" t="inlineStr">
        <is>
          <t>Küçülmeden sağ çık</t>
        </is>
      </c>
      <c r="D1481" s="5" t="inlineStr">
        <is>
          <t>Sosyal Radar</t>
        </is>
      </c>
      <c r="E1481" s="5" t="inlineStr">
        <is>
          <t>Orta</t>
        </is>
      </c>
      <c r="F1481" s="5" t="inlineStr"/>
      <c r="G1481" s="6" t="inlineStr"/>
      <c r="H1481" s="6" t="inlineStr">
        <is>
          <t>Hangi toplantıya girmeyeceğini, hangi sunumda görüneceğini bildin. Kat yarıya indi; sen hâlâ oradasın, üstelik pencere kenarında.</t>
        </is>
      </c>
      <c r="I1481" s="6" t="inlineStr">
        <is>
          <t>Dalgadan hem sağ çıktın hem terfi aldın; boşalan iki masanın işi sana verildi. Maaş bir buçuk, iş üç.</t>
        </is>
      </c>
      <c r="J1481" s="6" t="inlineStr">
        <is>
          <t>Doğru toplantılara girdin ama liste başka bir kattan hazırlanmış. Kutuna saksını, kupanı ve on yılını koydun.</t>
        </is>
      </c>
      <c r="K1481" s="6" t="inlineStr">
        <is>
          <t>Yeniden yapılanma sunumunu sen hazırladın; son slaytta kendi adın vardı. Fark etmeden sundun.</t>
        </is>
      </c>
      <c r="L1481" s="6" t="inlineStr"/>
      <c r="M1481" s="5" t="inlineStr"/>
      <c r="N1481" s="5" t="inlineStr"/>
      <c r="O1481" s="6" t="inlineStr"/>
      <c r="P1481" s="6" t="inlineStr"/>
      <c r="Q1481" s="5" t="inlineStr"/>
      <c r="R1481" s="5" t="inlineStr"/>
      <c r="S1481" s="5" t="inlineStr"/>
      <c r="T1481" s="5" t="inlineStr"/>
      <c r="U1481" s="5" t="inlineStr"/>
      <c r="V1481" s="5" t="inlineStr">
        <is>
          <t>beyazyaka-sag-kaldi</t>
        </is>
      </c>
      <c r="W1481" s="5" t="inlineStr"/>
      <c r="X1481" s="5" t="inlineStr"/>
      <c r="Y1481" s="5" t="inlineStr"/>
      <c r="Z1481" s="6" t="inlineStr"/>
      <c r="AA1481" s="5" t="inlineStr"/>
      <c r="AB1481" s="5" t="inlineStr">
        <is>
          <t>kriz-isten-cikti</t>
        </is>
      </c>
      <c r="AC1481" s="5" t="inlineStr"/>
      <c r="AD1481" s="5" t="inlineStr">
        <is>
          <t>Rahat</t>
        </is>
      </c>
      <c r="AE1481" s="5" t="inlineStr"/>
      <c r="AF1481" s="5" t="inlineStr"/>
      <c r="AG1481" s="5" t="inlineStr"/>
      <c r="AH1481" s="5" t="inlineStr"/>
      <c r="AI1481" s="5" t="inlineStr"/>
    </row>
    <row r="1482">
      <c r="A1482" s="5" t="inlineStr">
        <is>
          <t>k10-beyazyaka</t>
        </is>
      </c>
      <c r="B1482" s="5" t="n">
        <v>3</v>
      </c>
      <c r="C1482" s="6" t="inlineStr">
        <is>
          <t>Tazminatla şirket kur</t>
        </is>
      </c>
      <c r="D1482" s="5" t="inlineStr">
        <is>
          <t>Cesaret</t>
        </is>
      </c>
      <c r="E1482" s="5" t="inlineStr">
        <is>
          <t>Zor</t>
        </is>
      </c>
      <c r="F1482" s="5" t="inlineStr"/>
      <c r="G1482" s="6" t="inlineStr"/>
      <c r="H1482" s="6" t="inlineStr">
        <is>
          <t>Tazminatı alıp kapıdan çıktın, ertesi gün şirketini kurdun. Ofisin bir kafenin köşe masası; patron sensin, stajyer de.</t>
        </is>
      </c>
      <c r="I1482" s="6" t="inlineStr">
        <is>
          <t>Şirketin ilk yılında eski işyerin senden hizmet aldı. Faturayı eski müdürüne sen kestin; iki kez okudun.</t>
        </is>
      </c>
      <c r="J1482" s="6" t="inlineStr">
        <is>
          <t>Tazminat hesabını bir daha yaptın; cesaretin hesaba sığmadı. İstifa taslağı taslaklarda kaldı, sen masanda.</t>
        </is>
      </c>
      <c r="K1482" s="6" t="inlineStr">
        <is>
          <t>İnsan kaynaklarına gidip “Ben de gitmek istiyorum” dedin. Listede yokmuşsun; tazminat yalnızca listedekilere. Masana döndün; kutunu çoktan toplamıştın, geri açtın.</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-hat-goc, -hat-hekim, -hat-koy, -hat-polis, -hat-politika, -hat-sohret, -hat-usta, -hat-yargi, -meslek-beyazyaka, -meslek-esnaf, -meslek-memur, hat-girisimci, meslek-serbest</t>
        </is>
      </c>
      <c r="W1482" s="5" t="inlineStr"/>
      <c r="X1482" s="5" t="inlineStr"/>
      <c r="Y1482" s="5" t="inlineStr"/>
      <c r="Z1482" s="6" t="inlineStr"/>
      <c r="AA1482" s="5" t="inlineStr"/>
      <c r="AB1482" s="5" t="inlineStr"/>
      <c r="AC1482" s="5" t="inlineStr"/>
      <c r="AD1482" s="5" t="inlineStr"/>
      <c r="AE1482" s="5" t="inlineStr"/>
      <c r="AF1482" s="5" t="inlineStr"/>
      <c r="AG1482" s="5" t="inlineStr"/>
      <c r="AH1482" s="5" t="inlineStr"/>
      <c r="AI1482" s="5" t="inlineStr"/>
    </row>
    <row r="1483">
      <c r="A1483" s="5" t="inlineStr">
        <is>
          <t>k10-beyazyaka</t>
        </is>
      </c>
      <c r="B1483" s="5" t="n">
        <v>4</v>
      </c>
      <c r="C1483" s="6" t="inlineStr">
        <is>
          <t>Öte Diyar ofisine transfer</t>
        </is>
      </c>
      <c r="D1483" s="5" t="inlineStr">
        <is>
          <t>Akıl</t>
        </is>
      </c>
      <c r="E1483" s="5" t="inlineStr">
        <is>
          <t>Zor</t>
        </is>
      </c>
      <c r="F1483" s="5" t="inlineStr"/>
      <c r="G1483" s="6" t="inlineStr"/>
      <c r="H1483" s="6" t="inlineStr">
        <is>
          <t>İç ilana başvurdun, üç tur mülakatı geçtin. Dalga kıyıya vururken sen havalimanındaydın. Öte Diyar ofisinde kahve makinesi bile başka dil konuşuyor.</t>
        </is>
      </c>
      <c r="I1483" s="6" t="inlineStr">
        <is>
          <t>Transferle birlikte bir kademe terfi geldi. Öte Diyar'daki ilk sunumunda kimse slaytlarını anlamadı; herkes alkışladı.</t>
        </is>
      </c>
      <c r="J1483" s="6" t="inlineStr">
        <is>
          <t>Son turda oranın müdürü “Burada kış altı ay” dedi, sen irkildin, o da gördü. Transfer olmadı; sen buradasın, dalga da.</t>
        </is>
      </c>
      <c r="K1483" s="6" t="inlineStr">
        <is>
          <t>Mülakata yanlış saat diliminde bağlandın; karşında boş bir toplantı odası. Transfer yok, bir de “ilgisiz aday” notu var.</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-hat-girisimci, -hat-hekim, -hat-koy, -hat-polis, -hat-politika, -hat-sohret, -hat-usta, -hat-yargi, -meslek-esnaf, -meslek-memur, -meslek-serbest, hat-goc, meslek-beyazyaka</t>
        </is>
      </c>
      <c r="W1483" s="5" t="inlineStr"/>
      <c r="X1483" s="5" t="inlineStr"/>
      <c r="Y1483" s="5" t="inlineStr"/>
      <c r="Z1483" s="6" t="inlineStr"/>
      <c r="AA1483" s="5" t="inlineStr"/>
      <c r="AB1483" s="5" t="inlineStr"/>
      <c r="AC1483" s="5" t="inlineStr"/>
      <c r="AD1483" s="5" t="inlineStr">
        <is>
          <t>Rahat</t>
        </is>
      </c>
      <c r="AE1483" s="5" t="inlineStr"/>
      <c r="AF1483" s="5" t="inlineStr"/>
      <c r="AG1483" s="5" t="inlineStr"/>
      <c r="AH1483" s="5" t="inlineStr"/>
      <c r="AI1483" s="5" t="inlineStr"/>
    </row>
    <row r="1484">
      <c r="A1484" s="5" t="inlineStr">
        <is>
          <t>b7-cete-tahsilat</t>
        </is>
      </c>
      <c r="B1484" s="5" t="n">
        <v>1</v>
      </c>
      <c r="C1484" s="6" t="inlineStr">
        <is>
          <t>Borcu lahmacunla tahsil et</t>
        </is>
      </c>
      <c r="D1484" s="5" t="inlineStr"/>
      <c r="E1484" s="5" t="inlineStr"/>
      <c r="F1484" s="5" t="inlineStr">
        <is>
          <t>Pişkinlik +1, Dayanıklılık +1</t>
        </is>
      </c>
      <c r="G1484" s="6" t="inlineStr">
        <is>
          <t>Üç ayın karşılığı kırk iki lahmacun. Abiye götürdün; abi tek tek saydı, birini yedi, “Eksik” dedi.</t>
        </is>
      </c>
      <c r="H1484" s="6" t="inlineStr"/>
      <c r="I1484" s="6" t="inlineStr"/>
      <c r="J1484" s="6" t="inlineStr"/>
      <c r="K1484" s="6" t="inlineStr"/>
      <c r="L1484" s="6" t="inlineStr"/>
      <c r="M1484" s="5" t="inlineStr"/>
      <c r="N1484" s="5" t="inlineStr"/>
      <c r="O1484" s="6" t="inlineStr"/>
      <c r="P1484" s="6" t="inlineStr"/>
      <c r="Q1484" s="5" t="inlineStr"/>
      <c r="R1484" s="5" t="inlineStr"/>
      <c r="S1484" s="5" t="inlineStr"/>
      <c r="T1484" s="5" t="inlineStr"/>
      <c r="U1484" s="5" t="inlineStr"/>
      <c r="V1484" s="5" t="inlineStr"/>
      <c r="W1484" s="5" t="inlineStr"/>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row>
    <row r="1485">
      <c r="A1485" s="5" t="inlineStr">
        <is>
          <t>b7-cete-tahsilat</t>
        </is>
      </c>
      <c r="B1485" s="5" t="n">
        <v>2</v>
      </c>
      <c r="C1485" s="6" t="inlineStr">
        <is>
          <t>Nurettin'le ödeme planı yap</t>
        </is>
      </c>
      <c r="D1485" s="5" t="inlineStr">
        <is>
          <t>Çene</t>
        </is>
      </c>
      <c r="E1485" s="5" t="inlineStr">
        <is>
          <t>Orta</t>
        </is>
      </c>
      <c r="F1485" s="5" t="inlineStr"/>
      <c r="G1485" s="6" t="inlineStr"/>
      <c r="H1485" s="6" t="inlineStr">
        <is>
          <t>Nurettin her cuma bir miktar bırakacak. Abi planı beğendi; sen de ilk kez bir işi konuşarak bitirdin.</t>
        </is>
      </c>
      <c r="I1485" s="6" t="inlineStr">
        <is>
          <t>Nurettin borcunu kapattı, üstüne tabelasına senin adını yazdırdı: “Tahsilat ortağımız.” Abi tabelayı sökmedi.</t>
        </is>
      </c>
      <c r="J1485" s="6" t="inlineStr">
        <is>
          <t>Nurettin planı dinledi, başını salladı, sana bir ayran ikram etti. Ayranı içtin; plan tezgâhta kaldı.</t>
        </is>
      </c>
      <c r="K1485" s="6" t="inlineStr">
        <is>
          <t>Konuşurken Nurettin'in borcu bir şekilde senin borcuna dönüştü. Nasıl olduğunu ikiniz de anlamadınız; abi anladı.</t>
        </is>
      </c>
      <c r="L1485" s="6" t="inlineStr"/>
      <c r="M1485" s="5" t="inlineStr"/>
      <c r="N1485" s="5" t="inlineStr"/>
      <c r="O1485" s="6" t="inlineStr"/>
      <c r="P1485" s="6" t="inlineStr"/>
      <c r="Q1485" s="5" t="inlineStr"/>
      <c r="R1485" s="5" t="inlineStr"/>
      <c r="S1485" s="5" t="inlineStr"/>
      <c r="T1485" s="5" t="inlineStr"/>
      <c r="U1485" s="5" t="inlineStr"/>
      <c r="V1485" s="5" t="inlineStr"/>
      <c r="W1485" s="5" t="inlineStr">
        <is>
          <t>abiye-borclu</t>
        </is>
      </c>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row>
    <row r="1486">
      <c r="A1486" s="5" t="inlineStr">
        <is>
          <t>b7-cete-tahsilat</t>
        </is>
      </c>
      <c r="B1486" s="5" t="n">
        <v>3</v>
      </c>
      <c r="C1486" s="6" t="inlineStr">
        <is>
          <t>Abiye “Bu adam zaten batık” de</t>
        </is>
      </c>
      <c r="D1486" s="5" t="inlineStr">
        <is>
          <t>Cesaret</t>
        </is>
      </c>
      <c r="E1486" s="5" t="inlineStr">
        <is>
          <t>Zor</t>
        </is>
      </c>
      <c r="F1486" s="5" t="inlineStr"/>
      <c r="G1486" s="6" t="inlineStr"/>
      <c r="H1486" s="6" t="inlineStr">
        <is>
          <t>Abi uzun uzun baktı, sonra Nurettin'in kâğıdını çöpe attı. “Senin gözün var” dedi. Yeni görevin: kimin batık olduğunu önceden söylemek.</t>
        </is>
      </c>
      <c r="I1486" s="6" t="inlineStr">
        <is>
          <t>Tahsilat listesini artık sen hazırlıyorsun. Nurettin her hafta sana bedava ayran gönderiyor; sebebini kimse bilmiyor.</t>
        </is>
      </c>
      <c r="J1486" s="6" t="inlineStr">
        <is>
          <t>Abi “Batık olan da borcunu öder” dedi. Seni kebapçıya geri yolladı; bu sefer iki selamla.</t>
        </is>
      </c>
      <c r="K1486" s="6" t="inlineStr">
        <is>
          <t>Abi Nurettin'in borcunu sana devretti. Artık ayda bir kendi kapına tahsilata geliyorsun.</t>
        </is>
      </c>
      <c r="L1486" s="6" t="inlineStr"/>
      <c r="M1486" s="5" t="inlineStr"/>
      <c r="N1486" s="5" t="inlineStr"/>
      <c r="O1486" s="6" t="inlineStr"/>
      <c r="P1486" s="6" t="inlineStr"/>
      <c r="Q1486" s="5" t="inlineStr"/>
      <c r="R1486" s="5" t="inlineStr"/>
      <c r="S1486" s="5" t="inlineStr"/>
      <c r="T1486" s="5" t="inlineStr">
        <is>
          <t>Odayı Okur</t>
        </is>
      </c>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row>
    <row r="1487">
      <c r="A1487" s="5" t="inlineStr">
        <is>
          <t>b7-cete-tahsilat</t>
        </is>
      </c>
      <c r="B1487" s="5" t="n">
        <v>4</v>
      </c>
      <c r="C1487" s="6" t="inlineStr">
        <is>
          <t>Kasadaki fotokopiyi ima et</t>
        </is>
      </c>
      <c r="D1487" s="5" t="inlineStr"/>
      <c r="E1487" s="5" t="inlineStr"/>
      <c r="F1487" s="5" t="inlineStr">
        <is>
          <t>Kurnazlık +1</t>
        </is>
      </c>
      <c r="G1487" s="6" t="inlineStr">
        <is>
          <t>Kasadan hiç bahsetmedin; yalnızca anahtarlığını çevirdin. Ertesi gün tahsilata başkası gitti, sana yıkamanın kasası kaldı.</t>
        </is>
      </c>
      <c r="H1487" s="6" t="inlineStr"/>
      <c r="I1487" s="6" t="inlineStr"/>
      <c r="J1487" s="6" t="inlineStr"/>
      <c r="K1487" s="6" t="inlineStr"/>
      <c r="L1487" s="6" t="inlineStr"/>
      <c r="M1487" s="5" t="inlineStr"/>
      <c r="N1487" s="5" t="inlineStr"/>
      <c r="O1487" s="6" t="inlineStr"/>
      <c r="P1487" s="6" t="inlineStr"/>
      <c r="Q1487" s="5" t="inlineStr"/>
      <c r="R1487" s="5" t="inlineStr">
        <is>
          <t>abiye-karsi-sigorta</t>
        </is>
      </c>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row>
    <row r="1488">
      <c r="A1488" s="5" t="inlineStr">
        <is>
          <t>b7-cete-tefeci</t>
        </is>
      </c>
      <c r="B1488" s="5" t="n">
        <v>1</v>
      </c>
      <c r="C1488" s="6" t="inlineStr">
        <is>
          <t>Hatır için ver, deftere isim yaz</t>
        </is>
      </c>
      <c r="D1488" s="5" t="inlineStr"/>
      <c r="E1488" s="5" t="inlineStr"/>
      <c r="F1488" s="5" t="inlineStr">
        <is>
          <t>İtibar +1, Sosyal Radar +1</t>
        </is>
      </c>
      <c r="G1488" s="6" t="inlineStr">
        <is>
          <t>Deftere rakam yerine isim yazdın. Paranın yarısı geri geldi, gerisi bayramlarda baklava olarak. Mahalle seni seviyor; kasa sevmiyor.</t>
        </is>
      </c>
      <c r="H1488" s="6" t="inlineStr"/>
      <c r="I1488" s="6" t="inlineStr"/>
      <c r="J1488" s="6" t="inlineStr"/>
      <c r="K1488" s="6" t="inlineStr"/>
      <c r="L1488" s="6" t="inlineStr"/>
      <c r="M1488" s="5" t="inlineStr"/>
      <c r="N1488" s="5" t="inlineStr"/>
      <c r="O1488" s="6" t="inlineStr"/>
      <c r="P1488" s="6" t="inlineStr"/>
      <c r="Q1488" s="5" t="inlineStr"/>
      <c r="R1488" s="5" t="inlineStr"/>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row>
    <row r="1489">
      <c r="A1489" s="5" t="inlineStr">
        <is>
          <t>b7-cete-tefeci</t>
        </is>
      </c>
      <c r="B1489" s="5" t="n">
        <v>2</v>
      </c>
      <c r="C1489" s="6" t="inlineStr">
        <is>
          <t>Mahallenin yarısını deftere yaz</t>
        </is>
      </c>
      <c r="D1489" s="5" t="inlineStr">
        <is>
          <t>Kurnazlık</t>
        </is>
      </c>
      <c r="E1489" s="5" t="inlineStr">
        <is>
          <t>Orta</t>
        </is>
      </c>
      <c r="F1489" s="5" t="inlineStr"/>
      <c r="G1489" s="6" t="inlineStr"/>
      <c r="H1489" s="6" t="inlineStr">
        <is>
          <t>İki yılda mahallenin yarısı deftere girdi. Sokakta herkes selam veriyor; bazıları karşı kaldırıma geçerek.</t>
        </is>
      </c>
      <c r="I1489" s="6" t="inlineStr">
        <is>
          <t>Defter öyle kalınlaştı ki abi bile göz attı: “Bunu ben de yapamazdım.” Kendi adını da gördü, sesini çıkarmadı.</t>
        </is>
      </c>
      <c r="J1489" s="6" t="inlineStr">
        <is>
          <t>Borç verdiğin herkes aynı hafta araba yıkatmayı bıraktı. Kasa boş, köpük makinesi boş, defter dolu.</t>
        </is>
      </c>
      <c r="K1489" s="6" t="inlineStr">
        <is>
          <t>Hesap makinesinin basmayan tuşlarından biri sıfırmış. Deftere kimse inanmıyor; sen de artık emin değilsin.</t>
        </is>
      </c>
      <c r="L1489" s="6" t="inlineStr"/>
      <c r="M1489" s="5" t="inlineStr"/>
      <c r="N1489" s="5" t="inlineStr"/>
      <c r="O1489" s="6" t="inlineStr"/>
      <c r="P1489" s="6" t="inlineStr"/>
      <c r="Q1489" s="5" t="inlineStr"/>
      <c r="R1489" s="5" t="inlineStr"/>
      <c r="S1489" s="5" t="inlineStr"/>
      <c r="T1489" s="5" t="inlineStr"/>
      <c r="U1489" s="5" t="inlineStr"/>
      <c r="V1489" s="5" t="inlineStr">
        <is>
          <t>tefeci-defteri</t>
        </is>
      </c>
      <c r="W1489" s="5" t="inlineStr"/>
      <c r="X1489" s="5" t="inlineStr"/>
      <c r="Y1489" s="5" t="inlineStr"/>
      <c r="Z1489" s="6" t="inlineStr"/>
      <c r="AA1489" s="5" t="inlineStr"/>
      <c r="AB1489" s="5" t="inlineStr"/>
      <c r="AC1489" s="5" t="inlineStr"/>
      <c r="AD1489" s="5" t="inlineStr">
        <is>
          <t>Rahat</t>
        </is>
      </c>
      <c r="AE1489" s="5" t="inlineStr"/>
      <c r="AF1489" s="5" t="inlineStr"/>
      <c r="AG1489" s="5" t="inlineStr"/>
      <c r="AH1489" s="5" t="inlineStr"/>
      <c r="AI1489" s="5" t="inlineStr"/>
    </row>
    <row r="1490">
      <c r="A1490" s="5" t="inlineStr">
        <is>
          <t>b7-cete-tefeci</t>
        </is>
      </c>
      <c r="B1490" s="5" t="n">
        <v>3</v>
      </c>
      <c r="C1490" s="6" t="inlineStr">
        <is>
          <t>Abinin müşterilerini kendi defterine geçir</t>
        </is>
      </c>
      <c r="D1490" s="5" t="inlineStr">
        <is>
          <t>Cesaret</t>
        </is>
      </c>
      <c r="E1490" s="5" t="inlineStr">
        <is>
          <t>Zor</t>
        </is>
      </c>
      <c r="F1490" s="5" t="inlineStr"/>
      <c r="G1490" s="6" t="inlineStr"/>
      <c r="H1490" s="6" t="inlineStr">
        <is>
          <t>Abinin üç müşterisi artık sana geliyor. Abi fark etti, bir şey demedi; sana yeni bir hesap makinesi gönderdi. Bütün tuşları basıyor.</t>
        </is>
      </c>
      <c r="I1490" s="6" t="inlineStr">
        <is>
          <t>Abinin müşterilerinin yarısı sana geçti. Abi seni yemeğe çağırdı, hesabı sana bıraktı; bu bir terfi sayılır.</t>
        </is>
      </c>
      <c r="J1490" s="6" t="inlineStr">
        <is>
          <t>Müşteriler iki defter arasında kaldı; ikisine de ödemediler. Abi sana bir hafta selam vermedi.</t>
        </is>
      </c>
      <c r="K1490" s="6" t="inlineStr">
        <is>
          <t>Eski müşterilerden biri defterini karakola götürdü; üstünde senin el yazın var. Hâkim yazının güzel olduğunu söyledi, sonra kararı okudu.</t>
        </is>
      </c>
      <c r="L1490" s="6" t="inlineStr"/>
      <c r="M1490" s="5" t="inlineStr"/>
      <c r="N1490" s="5" t="inlineStr"/>
      <c r="O1490" s="6" t="inlineStr"/>
      <c r="P1490" s="6" t="inlineStr"/>
      <c r="Q1490" s="5" t="inlineStr"/>
      <c r="R1490" s="5" t="inlineStr"/>
      <c r="S1490" s="5" t="inlineStr"/>
      <c r="T1490" s="5" t="inlineStr">
        <is>
          <t>Pazarlık Duayeni</t>
        </is>
      </c>
      <c r="U1490" s="5" t="inlineStr"/>
      <c r="V1490" s="5" t="inlineStr">
        <is>
          <t>tefeci-defteri</t>
        </is>
      </c>
      <c r="W1490" s="5" t="inlineStr">
        <is>
          <t>hapis</t>
        </is>
      </c>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row>
    <row r="1491">
      <c r="A1491" s="5" t="inlineStr">
        <is>
          <t>b7-cete-rakip</t>
        </is>
      </c>
      <c r="B1491" s="5" t="n">
        <v>1</v>
      </c>
      <c r="C1491" s="6" t="inlineStr">
        <is>
          <t>Çay gönder, masaya çağır</t>
        </is>
      </c>
      <c r="D1491" s="5" t="inlineStr"/>
      <c r="E1491" s="5" t="inlineStr"/>
      <c r="F1491" s="5" t="inlineStr">
        <is>
          <t>Sosyal Radar +1, Çene +1</t>
        </is>
      </c>
      <c r="G1491" s="6" t="inlineStr">
        <is>
          <t>Yeğen çayı içti, masaya oturdu, bir saat dinledi. Ertesi gün tabelasındaki fazla harfi söktü. Arada bir sana müşteri gönderiyor.</t>
        </is>
      </c>
      <c r="H1491" s="6" t="inlineStr"/>
      <c r="I1491" s="6" t="inlineStr"/>
      <c r="J1491" s="6" t="inlineStr"/>
      <c r="K1491" s="6" t="inlineStr"/>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row>
    <row r="1492">
      <c r="A1492" s="5" t="inlineStr">
        <is>
          <t>b7-cete-rakip</t>
        </is>
      </c>
      <c r="B1492" s="5" t="n">
        <v>2</v>
      </c>
      <c r="C1492" s="6" t="inlineStr">
        <is>
          <t>Fiyat savaşına gir</t>
        </is>
      </c>
      <c r="D1492" s="5" t="inlineStr">
        <is>
          <t>Kurnazlık</t>
        </is>
      </c>
      <c r="E1492" s="5" t="inlineStr">
        <is>
          <t>Orta</t>
        </is>
      </c>
      <c r="F1492" s="5" t="inlineStr"/>
      <c r="G1492" s="6" t="inlineStr"/>
      <c r="H1492" s="6" t="inlineStr">
        <is>
          <t>Yıkamayı ucuzlattın, cilayı bedava yaptın. Üç ayda karşı kaldırım kepenk indirdi; sen de bedava cilayı bir türlü kaldıramadın.</t>
        </is>
      </c>
      <c r="I1492" s="6" t="inlineStr">
        <is>
          <t>Yeğen dükkânını kapatıp sana eleman olarak geldi. Çayları o dağıtıyor, seni “Abi” diye çağırıyor.</t>
        </is>
      </c>
      <c r="J1492" s="6" t="inlineStr">
        <is>
          <t>İkiniz de fiyat indirdiniz. Mahallenin arabaları hiç bu kadar temiz, siz hiç bu kadar yorgun olmamıştınız.</t>
        </is>
      </c>
      <c r="K1492" s="6" t="inlineStr">
        <is>
          <t>Savaş öyle kızıştı ki bir gün müşteriye para ödeyerek araba yıkadın. Müşteri ertesi gün yine geldi.</t>
        </is>
      </c>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row>
    <row r="1493">
      <c r="A1493" s="5" t="inlineStr">
        <is>
          <t>b7-cete-rakip</t>
        </is>
      </c>
      <c r="B1493" s="5" t="n">
        <v>3</v>
      </c>
      <c r="C1493" s="6" t="inlineStr">
        <is>
          <t>Karşıya git, dükkânında yüzleş</t>
        </is>
      </c>
      <c r="D1493" s="5" t="inlineStr">
        <is>
          <t>Cesaret</t>
        </is>
      </c>
      <c r="E1493" s="5" t="inlineStr">
        <is>
          <t>Zor</t>
        </is>
      </c>
      <c r="F1493" s="5" t="inlineStr"/>
      <c r="G1493" s="6" t="inlineStr"/>
      <c r="H1493" s="6" t="inlineStr">
        <is>
          <t>Yeğenin dükkânında bir araba yıkattın, yüksek bahşiş bırakıp çıktın. Mesaj alındı; ertesi hafta tabelasını değiştirdi.</t>
        </is>
      </c>
      <c r="I1493" s="6" t="inlineStr">
        <is>
          <t>Yüzleşme o kadar sakin geçti ki yeğen kira sözleşmesini sana devretti. Artık iki kaldırımda da köpük senin.</t>
        </is>
      </c>
      <c r="J1493" s="6" t="inlineStr">
        <is>
          <t>Yeğen seni tanımadı, sıraya aldı. Kırk dakika bekledin; araban hiç bu kadar parlamamıştı.</t>
        </is>
      </c>
      <c r="K1493" s="6" t="inlineStr">
        <is>
          <t>Yeğen seni tanıdı ve seninle fotoğraf çektirdi: “Rakibimle.” Fotoğraf şimdi onun tabelasında asılı.</t>
        </is>
      </c>
      <c r="L1493" s="6" t="inlineStr"/>
      <c r="M1493" s="5" t="inlineStr"/>
      <c r="N1493" s="5" t="inlineStr"/>
      <c r="O1493" s="6" t="inlineStr"/>
      <c r="P1493" s="6" t="inlineStr"/>
      <c r="Q1493" s="5" t="inlineStr"/>
      <c r="R1493" s="5" t="inlineStr"/>
      <c r="S1493" s="5" t="inlineStr"/>
      <c r="T1493" s="5" t="inlineStr">
        <is>
          <t>Son Sözü Söyler</t>
        </is>
      </c>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row>
    <row r="1494">
      <c r="A1494" s="5" t="inlineStr">
        <is>
          <t>b7-cete-rakip</t>
        </is>
      </c>
      <c r="B1494" s="5" t="n">
        <v>4</v>
      </c>
      <c r="C1494" s="6" t="inlineStr">
        <is>
          <t>Kışla arkadaşlarını çağır</t>
        </is>
      </c>
      <c r="D1494" s="5" t="inlineStr">
        <is>
          <t>Cesaret</t>
        </is>
      </c>
      <c r="E1494" s="5" t="inlineStr">
        <is>
          <t>Orta</t>
        </is>
      </c>
      <c r="F1494" s="5" t="inlineStr"/>
      <c r="G1494" s="6" t="inlineStr"/>
      <c r="H1494" s="6" t="inlineStr">
        <is>
          <t>Üç kışla arkadaşın karşı kaldırıma sandalye çekip bütün gün yalnızca çay içti. Yeğen üçüncü gün pes etti.</t>
        </is>
      </c>
      <c r="I1494" s="6" t="inlineStr">
        <is>
          <t>Arkadaşların yeğeni kışla hikâyeleriyle ikna etti. Karşı dükkân artık senin şuben.</t>
        </is>
      </c>
      <c r="J1494" s="6" t="inlineStr">
        <is>
          <t>Arkadaşların geldi, karşı dükkânda araba yıkatıp gittiler. İndirimliymiş.</t>
        </is>
      </c>
      <c r="K1494" s="6" t="inlineStr">
        <is>
          <t>Arkadaşların karşı kaldırıma oturdu; yeğenin annesi çay getirdi, börek getirdi. Akşama kadar onun dükkânını övdüler. Dördüncü gün biri orada çalışmaya başladı.</t>
        </is>
      </c>
      <c r="L1494" s="6" t="inlineStr"/>
      <c r="M1494" s="5" t="inlineStr"/>
      <c r="N1494" s="5" t="inlineStr"/>
      <c r="O1494" s="6" t="inlineStr"/>
      <c r="P1494" s="6" t="inlineStr"/>
      <c r="Q1494" s="5" t="inlineStr"/>
      <c r="R1494" s="5" t="inlineStr">
        <is>
          <t>kisla-kankasi</t>
        </is>
      </c>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row>
    <row r="1495">
      <c r="A1495" s="5" t="inlineStr">
        <is>
          <t>b8-cete-hatir-masasi</t>
        </is>
      </c>
      <c r="B1495" s="5" t="n">
        <v>1</v>
      </c>
      <c r="C1495" s="6" t="inlineStr">
        <is>
          <t>Yazı tura at</t>
        </is>
      </c>
      <c r="D1495" s="5" t="inlineStr"/>
      <c r="E1495" s="5" t="inlineStr"/>
      <c r="F1495" s="5" t="inlineStr">
        <is>
          <t>Pişkinlik +1, Cesaret +1</t>
        </is>
      </c>
      <c r="G1495" s="6" t="inlineStr">
        <is>
          <t>Parayı attın, masanın altına kaçtı. İki aile beraber eğildi, beraber kalktı; düğünü ortak yapmaya karar verdiler. Halay iki saat sürdü.</t>
        </is>
      </c>
      <c r="H1495" s="6" t="inlineStr"/>
      <c r="I1495" s="6" t="inlineStr"/>
      <c r="J1495" s="6" t="inlineStr"/>
      <c r="K1495" s="6" t="inlineStr"/>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row>
    <row r="1496">
      <c r="A1496" s="5" t="inlineStr">
        <is>
          <t>b8-cete-hatir-masasi</t>
        </is>
      </c>
      <c r="B1496" s="5" t="n">
        <v>2</v>
      </c>
      <c r="C1496" s="6" t="inlineStr">
        <is>
          <t>İki damadı da dinle</t>
        </is>
      </c>
      <c r="D1496" s="5" t="inlineStr">
        <is>
          <t>Sosyal Radar</t>
        </is>
      </c>
      <c r="E1496" s="5" t="inlineStr">
        <is>
          <t>Orta</t>
        </is>
      </c>
      <c r="F1496" s="5" t="inlineStr"/>
      <c r="G1496" s="6" t="inlineStr"/>
      <c r="H1496" s="6" t="inlineStr">
        <is>
          <t>Damatlardan biri aslında perşembeyi istiyormuş, söylemeye çekiniyormuş. Mesele çay bitmeden çözüldü.</t>
        </is>
      </c>
      <c r="I1496" s="6" t="inlineStr">
        <is>
          <t>Dinledikçe iki ailenin akraba olduğu ortaya çıktı. Düğün birleşti, seni nikâh şahidi yaptılar; iki kez imza attın.</t>
        </is>
      </c>
      <c r="J1496" s="6" t="inlineStr">
        <is>
          <t>Dinledin, dinledin; damatlar birbirini ikna etti, seni değil. Masadan sensiz kalktılar.</t>
        </is>
      </c>
      <c r="K1496" s="6" t="inlineStr">
        <is>
          <t>Bir tarafa hafifçe başını salladın. Öbür aile bunu gördü; düğünlerinde adın anılmadı, pastadan da pay yok.</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row>
    <row r="1497">
      <c r="A1497" s="5" t="inlineStr">
        <is>
          <t>b8-cete-hatir-masasi</t>
        </is>
      </c>
      <c r="B1497" s="5" t="n">
        <v>3</v>
      </c>
      <c r="C1497" s="6" t="inlineStr">
        <is>
          <t>Salon sahibini depodan çıkar</t>
        </is>
      </c>
      <c r="D1497" s="5" t="inlineStr">
        <is>
          <t>Kurnazlık</t>
        </is>
      </c>
      <c r="E1497" s="5" t="inlineStr">
        <is>
          <t>Orta</t>
        </is>
      </c>
      <c r="F1497" s="5" t="inlineStr"/>
      <c r="G1497" s="6" t="inlineStr"/>
      <c r="H1497" s="6" t="inlineStr">
        <is>
          <t>Salon sahibi depodan çıktı, ikinci bir salonu olduğunu itiraf etti. Mesele bitti; adam sana bir düğün borçlu.</t>
        </is>
      </c>
      <c r="I1497" s="6" t="inlineStr">
        <is>
          <t>Salon sahibi iki aileye indirim yaptı, sana da salonda ömürlük bir masa ayırdı. Masanın üstünde adın yazıyor.</t>
        </is>
      </c>
      <c r="J1497" s="6" t="inlineStr">
        <is>
          <t>Depoya seslendin; cevap gelmedi. Depodan yalnızca bir telefon zil sesi geliyordu.</t>
        </is>
      </c>
      <c r="K1497" s="6" t="inlineStr">
        <is>
          <t>Salon sahibi çıktı ve aynı cumartesiye üçüncü bir aileyi de yazdığını itiraf etti. Üç damat, üç kayınpeder, bir masa. Bütün çayları sen ödedin; üç düğünün hiçbirine çağrılmadın.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row>
    <row r="1498">
      <c r="A1498" s="5" t="inlineStr">
        <is>
          <t>b8-cete-hatir-masasi</t>
        </is>
      </c>
      <c r="B1498" s="5" t="n">
        <v>4</v>
      </c>
      <c r="C1498" s="6" t="inlineStr">
        <is>
          <t>Komiser dostunu iki düğüne de davet ettir</t>
        </is>
      </c>
      <c r="D1498" s="5" t="inlineStr"/>
      <c r="E1498" s="5" t="inlineStr"/>
      <c r="F1498" s="5" t="inlineStr">
        <is>
          <t>Sosyal Radar +1</t>
        </is>
      </c>
      <c r="G1498" s="6" t="inlineStr">
        <is>
          <t>Komiser iki düğüne de davetli çıktı; hangisine gideceğini sana sordu. “İkisine de git” dedin. Gitti, iki salonda da halaya kalktı; o gece kimse kimseyle kavga etmedi.</t>
        </is>
      </c>
      <c r="H1498" s="6" t="inlineStr"/>
      <c r="I1498" s="6" t="inlineStr"/>
      <c r="J1498" s="6" t="inlineStr"/>
      <c r="K1498" s="6" t="inlineStr"/>
      <c r="L1498" s="6" t="inlineStr"/>
      <c r="M1498" s="5" t="inlineStr"/>
      <c r="N1498" s="5" t="inlineStr"/>
      <c r="O1498" s="6" t="inlineStr"/>
      <c r="P1498" s="6" t="inlineStr"/>
      <c r="Q1498" s="5" t="inlineStr"/>
      <c r="R1498" s="5" t="inlineStr">
        <is>
          <t>komiser-tanidik</t>
        </is>
      </c>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row>
    <row r="1499">
      <c r="A1499" s="5" t="inlineStr">
        <is>
          <t>b8-cete-abinin-emekliligi</t>
        </is>
      </c>
      <c r="B1499" s="5" t="n">
        <v>1</v>
      </c>
      <c r="C1499" s="6" t="inlineStr">
        <is>
          <t>Payını al, işleri yeğene bırak</t>
        </is>
      </c>
      <c r="D1499" s="5" t="inlineStr"/>
      <c r="E1499" s="5" t="inlineStr"/>
      <c r="F1499" s="5" t="inlineStr">
        <is>
          <t>İtibar +1, Dayanıklılık +1</t>
        </is>
      </c>
      <c r="G1499" s="6" t="inlineStr">
        <is>
          <t>Abiye bir tespih, yeğene anahtarları verdin; sen oto yıkamada kaldın. Akşamları kahvede oturuyorsun, işler sana sorulmadan dönüyor.</t>
        </is>
      </c>
      <c r="H1499" s="6" t="inlineStr"/>
      <c r="I1499" s="6" t="inlineStr"/>
      <c r="J1499" s="6" t="inlineStr"/>
      <c r="K1499" s="6" t="inlineStr"/>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row>
    <row r="1500">
      <c r="A1500" s="5" t="inlineStr">
        <is>
          <t>b8-cete-abinin-emekliligi</t>
        </is>
      </c>
      <c r="B1500" s="5" t="n">
        <v>2</v>
      </c>
      <c r="C1500" s="6" t="inlineStr">
        <is>
          <t>Yeğenle ortak ol</t>
        </is>
      </c>
      <c r="D1500" s="5" t="inlineStr">
        <is>
          <t>Çene</t>
        </is>
      </c>
      <c r="E1500" s="5" t="inlineStr">
        <is>
          <t>Orta</t>
        </is>
      </c>
      <c r="F1500" s="5" t="inlineStr"/>
      <c r="G1500" s="6" t="inlineStr"/>
      <c r="H1500" s="6" t="inlineStr">
        <is>
          <t>Yeğen rakamları, sen insanları yönetiyorsun. İlk toplantıda anlaştınız; ikincide telefonunu cebine koydu.</t>
        </is>
      </c>
      <c r="I1500" s="6" t="inlineStr">
        <is>
          <t>Yeğen seni öyle sevdi ki kartvizitine “Öğrencisi” yazdırdı. Abi bunu görünce yıllardır ilk kez güldü.</t>
        </is>
      </c>
      <c r="J1500" s="6" t="inlineStr">
        <is>
          <t>Ortaklık sözleşmesini yeğen hazırladı. Üç sayfa; senin adın yalnızca imza yerinde.</t>
        </is>
      </c>
      <c r="K1500" s="6" t="inlineStr">
        <is>
          <t>Ortaklığın ilk ayında yeğen masaları değiştirdi. Kahvedeki yerin artık kapının yanı; cereyan var.</t>
        </is>
      </c>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row>
    <row r="1501">
      <c r="A1501" s="5" t="inlineStr">
        <is>
          <t>b8-cete-abinin-emekliligi</t>
        </is>
      </c>
      <c r="B1501" s="5" t="n">
        <v>3</v>
      </c>
      <c r="C1501" s="6" t="inlineStr">
        <is>
          <t>Bütün işi tek başına devral</t>
        </is>
      </c>
      <c r="D1501" s="5" t="inlineStr">
        <is>
          <t>Cesaret</t>
        </is>
      </c>
      <c r="E1501" s="5" t="inlineStr">
        <is>
          <t>Zor</t>
        </is>
      </c>
      <c r="F1501" s="5" t="inlineStr"/>
      <c r="G1501" s="6" t="inlineStr"/>
      <c r="H1501" s="6" t="inlineStr">
        <is>
          <t>Abinin defterleri, masaları, kahvedeki pencere kenarı artık senin. Yeğen sana ilk kez “Abi” dedi; sesi titrek.</t>
        </is>
      </c>
      <c r="I1501" s="6" t="inlineStr">
        <is>
          <t>Devir öyle pürüzsüz oldu ki abi bile sana danışmaya başladı. Bayramda elini öpmeye gelenlerin sırası kapıdan taşıyor.</t>
        </is>
      </c>
      <c r="J1501" s="6" t="inlineStr">
        <is>
          <t>Yeğen ayak diredi, abi araya girdi. İşler ikiye bölündü; masanın yarısı senin, çayın tamamı ortak.</t>
        </is>
      </c>
      <c r="K1501" s="6" t="inlineStr">
        <is>
          <t>Devraldığın defterlerde abinin otuz yıllık hesapları da vardı. Savcılık onları senden önce okudu; şimdi hepsinin sahibi sensin.</t>
        </is>
      </c>
      <c r="L1501" s="6" t="inlineStr"/>
      <c r="M1501" s="5" t="inlineStr"/>
      <c r="N1501" s="5" t="inlineStr"/>
      <c r="O1501" s="6" t="inlineStr"/>
      <c r="P1501" s="6" t="inlineStr"/>
      <c r="Q1501" s="5" t="inlineStr"/>
      <c r="R1501" s="5" t="inlineStr"/>
      <c r="S1501" s="5" t="inlineStr"/>
      <c r="T1501" s="5" t="inlineStr">
        <is>
          <t>Mevzuat Kalkanı</t>
        </is>
      </c>
      <c r="U1501" s="5" t="inlineStr"/>
      <c r="V1501" s="5" t="inlineStr">
        <is>
          <t>mahalle-babasi</t>
        </is>
      </c>
      <c r="W1501" s="5" t="inlineStr">
        <is>
          <t>hapis</t>
        </is>
      </c>
      <c r="X1501" s="5" t="inlineStr"/>
      <c r="Y1501" s="5" t="inlineStr"/>
      <c r="Z1501" s="6" t="inlineStr"/>
      <c r="AA1501" s="5" t="inlineStr"/>
      <c r="AB1501" s="5" t="inlineStr"/>
      <c r="AC1501" s="5" t="inlineStr"/>
      <c r="AD1501" s="5" t="inlineStr">
        <is>
          <t>Varlıklı</t>
        </is>
      </c>
      <c r="AE1501" s="5" t="inlineStr"/>
      <c r="AF1501" s="5" t="inlineStr"/>
      <c r="AG1501" s="5" t="inlineStr"/>
      <c r="AH1501" s="5" t="inlineStr"/>
      <c r="AI1501" s="5" t="inlineStr"/>
    </row>
    <row r="1502">
      <c r="A1502" s="5" t="inlineStr">
        <is>
          <t>b8-cete-abinin-emekliligi</t>
        </is>
      </c>
      <c r="B1502" s="5" t="n">
        <v>4</v>
      </c>
      <c r="C1502" s="6" t="inlineStr">
        <is>
          <t>Fotokopiyi abiye hediye et</t>
        </is>
      </c>
      <c r="D1502" s="5" t="inlineStr"/>
      <c r="E1502" s="5" t="inlineStr"/>
      <c r="F1502" s="5" t="inlineStr">
        <is>
          <t>Kurnazlık +1, İtibar +1</t>
        </is>
      </c>
      <c r="G1502" s="6" t="inlineStr">
        <is>
          <t>Fotokopiyi kurdeleyle paketledin. Abi gözlüğünü takıp bir sayfa okudu, güldü: “Bende aslı bile yok artık.” İkiniz de rahatladınız.</t>
        </is>
      </c>
      <c r="H1502" s="6" t="inlineStr"/>
      <c r="I1502" s="6" t="inlineStr"/>
      <c r="J1502" s="6" t="inlineStr"/>
      <c r="K1502" s="6" t="inlineStr"/>
      <c r="L1502" s="6" t="inlineStr"/>
      <c r="M1502" s="5" t="inlineStr"/>
      <c r="N1502" s="5" t="inlineStr"/>
      <c r="O1502" s="6" t="inlineStr"/>
      <c r="P1502" s="6" t="inlineStr"/>
      <c r="Q1502" s="5" t="inlineStr"/>
      <c r="R1502" s="5" t="inlineStr">
        <is>
          <t>abiye-karsi-sigorta</t>
        </is>
      </c>
      <c r="S1502" s="5" t="inlineStr"/>
      <c r="T1502" s="5" t="inlineStr"/>
      <c r="U1502" s="5" t="inlineStr">
        <is>
          <t>-abiye-karsi-sigorta</t>
        </is>
      </c>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row>
    <row r="1503">
      <c r="A1503" s="5" t="inlineStr">
        <is>
          <t>b9-cete-kahvehane</t>
        </is>
      </c>
      <c r="B1503" s="5" t="n">
        <v>1</v>
      </c>
      <c r="C1503" s="6" t="inlineStr">
        <is>
          <t>Hikâyeyi olduğu gibi anlat</t>
        </is>
      </c>
      <c r="D1503" s="5" t="inlineStr"/>
      <c r="E1503" s="5" t="inlineStr"/>
      <c r="F1503" s="5" t="inlineStr">
        <is>
          <t>İtibar +1, Çene +1</t>
        </is>
      </c>
      <c r="G1503" s="6" t="inlineStr">
        <is>
          <t>Gerçeği anlattın: az para, çok çay, bol köpük. Gençler hayal kırıklığıyla dağıldı; biri kaldı, oto yıkamaya çırak oldu.</t>
        </is>
      </c>
      <c r="H1503" s="6" t="inlineStr"/>
      <c r="I1503" s="6" t="inlineStr"/>
      <c r="J1503" s="6" t="inlineStr"/>
      <c r="K1503" s="6" t="inlineStr"/>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row>
    <row r="1504">
      <c r="A1504" s="5" t="inlineStr">
        <is>
          <t>b9-cete-kahvehane</t>
        </is>
      </c>
      <c r="B1504" s="5" t="n">
        <v>2</v>
      </c>
      <c r="C1504" s="6" t="inlineStr">
        <is>
          <t>Tavlada meydan oku</t>
        </is>
      </c>
      <c r="D1504" s="5" t="inlineStr">
        <is>
          <t>Kurnazlık</t>
        </is>
      </c>
      <c r="E1504" s="5" t="inlineStr">
        <is>
          <t>Orta</t>
        </is>
      </c>
      <c r="F1504" s="5" t="inlineStr"/>
      <c r="G1504" s="6" t="inlineStr"/>
      <c r="H1504" s="6" t="inlineStr">
        <is>
          <t>Mahallenin en iddialı gencini üç el üst üste yendin. Pulları toplarken “Bu işin yarısı zar, yarısı sabır” dedin; hangi iş, soran olmadı.</t>
        </is>
      </c>
      <c r="I1504" s="6" t="inlineStr">
        <is>
          <t>Mars ettin; genç kalkıp elini öptü. Kahvedeki tavlanın kapağına adın yazıldı; tükenmez kalemle.</t>
        </is>
      </c>
      <c r="J1504" s="6" t="inlineStr">
        <is>
          <t>Genç seni yendi. Mahallede ilk kez biri sana “Amca” dedi; mağlubiyetten ağır geldi.</t>
        </is>
      </c>
      <c r="K1504" s="6" t="inlineStr">
        <is>
          <t>Mars olmamak için zarı avucunda tuttun, 'Kaydı' dedin. Genç videoya almış; akşam mahallenin bütün telefonlarında 'Abinin zarı' dönüyordu.</t>
        </is>
      </c>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row>
    <row r="1505">
      <c r="A1505" s="5" t="inlineStr">
        <is>
          <t>b9-cete-kahvehane</t>
        </is>
      </c>
      <c r="B1505" s="5" t="n">
        <v>3</v>
      </c>
      <c r="C1505" s="6" t="inlineStr">
        <is>
          <t>Son bir hatır masası kur</t>
        </is>
      </c>
      <c r="D1505" s="5" t="inlineStr">
        <is>
          <t>Cesaret</t>
        </is>
      </c>
      <c r="E1505" s="5" t="inlineStr">
        <is>
          <t>Zor</t>
        </is>
      </c>
      <c r="F1505" s="5" t="inlineStr"/>
      <c r="G1505" s="6" t="inlineStr"/>
      <c r="H1505" s="6" t="inlineStr">
        <is>
          <t>İki gencin otopark kavgasını çayın ilk yudumunda bitirdin. Birinin arabasını yıkattın, ötekine park ettirdin; mantığını soran olmadı.</t>
        </is>
      </c>
      <c r="I1505" s="6" t="inlineStr">
        <is>
          <t>Kavga bitti, gençler ortak oldu; açtıkları dükkânın adı senin adın. Tabelada bir harf ters; bilerek.</t>
        </is>
      </c>
      <c r="J1505" s="6" t="inlineStr">
        <is>
          <t>Gençler seni dinledi, sonra telefondan bir video açıp kendi aralarında çözdüler. Artık danışman değil, izleyicisin.</t>
        </is>
      </c>
      <c r="K1505" s="6" t="inlineStr">
        <is>
          <t>Araya girerken ikisinin de babasının sana borçlu olduğunu hatırlattın. Kavga bitti; iki aile seni bayram listesinden sildi.</t>
        </is>
      </c>
      <c r="L1505" s="6" t="inlineStr"/>
      <c r="M1505" s="5" t="inlineStr"/>
      <c r="N1505" s="5" t="inlineStr"/>
      <c r="O1505" s="6" t="inlineStr"/>
      <c r="P1505" s="6" t="inlineStr"/>
      <c r="Q1505" s="5" t="inlineStr"/>
      <c r="R1505" s="5" t="inlineStr"/>
      <c r="S1505" s="5" t="inlineStr"/>
      <c r="T1505" s="5" t="inlineStr">
        <is>
          <t>Bahçe Filozofu</t>
        </is>
      </c>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row>
    <row r="1506">
      <c r="A1506" s="5" t="inlineStr">
        <is>
          <t>b7-dolandirici-ilan</t>
        </is>
      </c>
      <c r="B1506" s="5" t="n">
        <v>1</v>
      </c>
      <c r="C1506" s="6" t="inlineStr">
        <is>
          <t>İlanı kaldır, eski buzdolabını sat</t>
        </is>
      </c>
      <c r="D1506" s="5" t="inlineStr"/>
      <c r="E1506" s="5" t="inlineStr"/>
      <c r="F1506" s="5" t="inlineStr">
        <is>
          <t>İtibar +1, Akıl +1</t>
        </is>
      </c>
      <c r="G1506" s="6" t="inlineStr">
        <is>
          <t>Manzarayı kaldırıp gerçek buzdolabını koydun. Alıcı kamyonla geldi, buzdolabını aldı, manzaraya da bir kez baktı; bedavaya.</t>
        </is>
      </c>
      <c r="H1506" s="6" t="inlineStr"/>
      <c r="I1506" s="6" t="inlineStr"/>
      <c r="J1506" s="6" t="inlineStr"/>
      <c r="K1506" s="6" t="inlineStr"/>
      <c r="L1506" s="6" t="inlineStr"/>
      <c r="M1506" s="5" t="inlineStr"/>
      <c r="N1506" s="5" t="inlineStr"/>
      <c r="O1506" s="6" t="inlineStr"/>
      <c r="P1506" s="6" t="inlineStr"/>
      <c r="Q1506" s="5" t="inlineStr"/>
      <c r="R1506" s="5" t="inlineStr"/>
      <c r="S1506" s="5" t="inlineStr"/>
      <c r="T1506" s="5" t="inlineStr"/>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row>
    <row r="1507">
      <c r="A1507" s="5" t="inlineStr">
        <is>
          <t>b7-dolandirici-ilan</t>
        </is>
      </c>
      <c r="B1507" s="5" t="n">
        <v>2</v>
      </c>
      <c r="C1507" s="6" t="inlineStr">
        <is>
          <t>Manzarayı “pazar günleri kiralık” yap</t>
        </is>
      </c>
      <c r="D1507" s="5" t="inlineStr">
        <is>
          <t>Pişkinlik</t>
        </is>
      </c>
      <c r="E1507" s="5" t="inlineStr">
        <is>
          <t>Orta</t>
        </is>
      </c>
      <c r="F1507" s="5" t="inlineStr"/>
      <c r="G1507" s="6" t="inlineStr"/>
      <c r="H1507" s="6" t="inlineStr">
        <is>
          <t>Alıcı her pazar balkonuna gelip bir saat denize bakıyor; parasını peşin ödedi. Çekirdek kabukları senin.</t>
        </is>
      </c>
      <c r="I1507" s="6" t="inlineStr">
        <is>
          <t>Alıcı arkadaşlarına da önerdi; pazar günleri balkonda sıra var. Komşu da kendi balkonunda “benzer manzara” açtı.</t>
        </is>
      </c>
      <c r="J1507" s="6" t="inlineStr">
        <is>
          <t>Alıcı balkona çıktı, denize baktı, sana baktı: “Deniz nerede?” Gösterdin; parmak kadar. Gitti.</t>
        </is>
      </c>
      <c r="K1507" s="6" t="inlineStr">
        <is>
          <t>Alıcı ilanı apartman grubuna attı. Artık sana “Manzaracı” diyorlar; yönetici aidata manzara farkı ekledi.</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is>
          <t>yalanci</t>
        </is>
      </c>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is>
          <t>Manzaracı</t>
        </is>
      </c>
    </row>
    <row r="1508">
      <c r="A1508" s="5" t="inlineStr">
        <is>
          <t>b7-dolandirici-ilan</t>
        </is>
      </c>
      <c r="B1508" s="5" t="n">
        <v>3</v>
      </c>
      <c r="C1508" s="6" t="inlineStr">
        <is>
          <t>Kamyoncuyu başka işe yönlendir</t>
        </is>
      </c>
      <c r="D1508" s="5" t="inlineStr">
        <is>
          <t>Kurnazlık</t>
        </is>
      </c>
      <c r="E1508" s="5" t="inlineStr">
        <is>
          <t>Orta</t>
        </is>
      </c>
      <c r="F1508" s="5" t="inlineStr"/>
      <c r="G1508" s="6" t="inlineStr"/>
      <c r="H1508" s="6" t="inlineStr">
        <is>
          <t>Kamyoncuyu komşunun taşınmasına yönlendirdin. Komşu memnun, kamyoncu memnun; sen aracılık ücretini aldın. İlk dürüst paran.</t>
        </is>
      </c>
      <c r="I1508" s="6" t="inlineStr">
        <is>
          <t>Kamyoncuyla ortak nakliye ilanı açtınız. İş gerçek, kamyon gerçek; bir tek ilandaki adın uydurma.</t>
        </is>
      </c>
      <c r="J1508" s="6" t="inlineStr">
        <is>
          <t>Kamyoncu seni dinlemedi, balkon korkuluğunu ölçmeye başladı. Şerit metreyle peşinden koştun.</t>
        </is>
      </c>
      <c r="K1508" s="6" t="inlineStr">
        <is>
          <t>Kamyoncu manzarayı sökemeyince balkondaki saksıları yükledi. Nakliye ücretini de sen ödedin.</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row>
    <row r="1509">
      <c r="A1509" s="5" t="inlineStr">
        <is>
          <t>b7-dolandirici-kurs</t>
        </is>
      </c>
      <c r="B1509" s="5" t="n">
        <v>1</v>
      </c>
      <c r="C1509" s="6" t="inlineStr">
        <is>
          <t>Kürsüye çık: “Kolay para yok”</t>
        </is>
      </c>
      <c r="D1509" s="5" t="inlineStr"/>
      <c r="E1509" s="5" t="inlineStr"/>
      <c r="F1509" s="5" t="inlineStr">
        <is>
          <t>İtibar +1, Cesaret +1</t>
        </is>
      </c>
      <c r="G1509" s="6" t="inlineStr">
        <is>
          <t>“Kolay para yok” dedin, indin. Salon üç saniye sustu, sonra alkışladı; ders buymuş sandılar. Biletleri iade ettin; teyze defterine yalnızca bunu yazdı.</t>
        </is>
      </c>
      <c r="H1509" s="6" t="inlineStr"/>
      <c r="I1509" s="6" t="inlineStr"/>
      <c r="J1509" s="6" t="inlineStr"/>
      <c r="K1509" s="6" t="inlineStr"/>
      <c r="L1509" s="6" t="inlineStr"/>
      <c r="M1509" s="5" t="inlineStr"/>
      <c r="N1509" s="5" t="inlineStr"/>
      <c r="O1509" s="6" t="inlineStr"/>
      <c r="P1509" s="6" t="inlineStr"/>
      <c r="Q1509" s="5" t="inlineStr"/>
      <c r="R1509" s="5" t="inlineStr"/>
      <c r="S1509" s="5" t="inlineStr"/>
      <c r="T1509" s="5" t="inlineStr"/>
      <c r="U1509" s="5" t="inlineStr">
        <is>
          <t>vicdan-sesi</t>
        </is>
      </c>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row>
    <row r="1510">
      <c r="A1510" s="5" t="inlineStr">
        <is>
          <t>b7-dolandirici-kurs</t>
        </is>
      </c>
      <c r="B1510" s="5" t="n">
        <v>2</v>
      </c>
      <c r="C1510" s="6" t="inlineStr">
        <is>
          <t>Sahnede motivasyon yağdır</t>
        </is>
      </c>
      <c r="D1510" s="5" t="inlineStr">
        <is>
          <t>Pişkinlik</t>
        </is>
      </c>
      <c r="E1510" s="5" t="inlineStr">
        <is>
          <t>Zor</t>
        </is>
      </c>
      <c r="F1510" s="5" t="inlineStr"/>
      <c r="G1510" s="6" t="inlineStr"/>
      <c r="H1510" s="6" t="inlineStr">
        <is>
          <t>Üç saat konuştun, hiçbir şey söylemedin, herkes not aldı. Çıkışta imza kuyruğu oluştu; imzaladığın şey kendi fotoğrafın.</t>
        </is>
      </c>
      <c r="I1510" s="6" t="inlineStr">
        <is>
          <t>Salon ayağa kalktı, biri “Hocam!” diye bağırdı. Ertesi hafta iki salon kiraladın; ikincisinde sen yoksun, fotoğrafın var.</t>
        </is>
      </c>
      <c r="J1510" s="6" t="inlineStr">
        <is>
          <t>Motivasyon cümleleri bitti, süre bitmedi. Son saati “Soru var mı?” diyerek geçirdin; soru yoktu.</t>
        </is>
      </c>
      <c r="K1510" s="6" t="inlineStr">
        <is>
          <t>Teyze kursu telefonundan canlı yayınladı. Ertesi gün bir haber sitesinde: “Akademinin içi boş çıktı.” Sesin yine tanıdık.</t>
        </is>
      </c>
      <c r="L1510" s="6" t="inlineStr"/>
      <c r="M1510" s="5" t="inlineStr"/>
      <c r="N1510" s="5" t="inlineStr"/>
      <c r="O1510" s="6" t="inlineStr"/>
      <c r="P1510" s="6" t="inlineStr"/>
      <c r="Q1510" s="5" t="inlineStr"/>
      <c r="R1510" s="5" t="inlineStr"/>
      <c r="S1510" s="5" t="inlineStr"/>
      <c r="T1510" s="5" t="inlineStr">
        <is>
          <t>Sahne Sever</t>
        </is>
      </c>
      <c r="U1510" s="5" t="inlineStr"/>
      <c r="V1510" s="5" t="inlineStr">
        <is>
          <t>kolay-para-gurusu</t>
        </is>
      </c>
      <c r="W1510" s="5" t="inlineStr">
        <is>
          <t>ifsa-oldu</t>
        </is>
      </c>
      <c r="X1510" s="5" t="inlineStr"/>
      <c r="Y1510" s="5" t="inlineStr"/>
      <c r="Z1510" s="6" t="inlineStr"/>
      <c r="AA1510" s="5" t="inlineStr"/>
      <c r="AB1510" s="5" t="inlineStr"/>
      <c r="AC1510" s="5" t="inlineStr"/>
      <c r="AD1510" s="5" t="inlineStr">
        <is>
          <t>Rahat</t>
        </is>
      </c>
      <c r="AE1510" s="5" t="inlineStr"/>
      <c r="AF1510" s="5" t="inlineStr"/>
      <c r="AG1510" s="5" t="inlineStr"/>
      <c r="AH1510" s="5" t="inlineStr"/>
      <c r="AI1510" s="5" t="inlineStr"/>
    </row>
    <row r="1511">
      <c r="A1511" s="5" t="inlineStr">
        <is>
          <t>b7-dolandirici-kurs</t>
        </is>
      </c>
      <c r="B1511" s="5" t="n">
        <v>3</v>
      </c>
      <c r="C1511" s="6" t="inlineStr">
        <is>
          <t>Kursu kameraya çekip sat</t>
        </is>
      </c>
      <c r="D1511" s="5" t="inlineStr">
        <is>
          <t>Kurnazlık</t>
        </is>
      </c>
      <c r="E1511" s="5" t="inlineStr">
        <is>
          <t>Orta</t>
        </is>
      </c>
      <c r="F1511" s="5" t="inlineStr"/>
      <c r="G1511" s="6" t="inlineStr"/>
      <c r="H1511" s="6" t="inlineStr">
        <is>
          <t>Kursu kameraya çektin, internetten sattın. Salon kirası yok, teyze yok, soru yok; yorumların hepsi dört yıldız.</t>
        </is>
      </c>
      <c r="I1511" s="6" t="inlineStr">
        <is>
          <t>Video öyle yayıldı ki biri senin kursunu kopyalayıp satmaya başladı. Kolay parayı senden kolayca aldı.</t>
        </is>
      </c>
      <c r="J1511" s="6" t="inlineStr">
        <is>
          <t>Çekim sırasında pankartın yarısı düştü; geriye “Para Akademisi” kaldı. Fazla ciddi durdu, satmadı.</t>
        </is>
      </c>
      <c r="K1511" s="6" t="inlineStr">
        <is>
          <t>Kamerayı ters tuttun. Üç saatlik kursun tamamı tavan. Yorumlar tavanı beğendi.</t>
        </is>
      </c>
      <c r="L1511" s="6" t="inlineStr"/>
      <c r="M1511" s="5" t="inlineStr"/>
      <c r="N1511" s="5" t="inlineStr"/>
      <c r="O1511" s="6" t="inlineStr"/>
      <c r="P1511" s="6" t="inlineStr"/>
      <c r="Q1511" s="5" t="inlineStr"/>
      <c r="R1511" s="5" t="inlineStr"/>
      <c r="S1511" s="5" t="inlineStr"/>
      <c r="T1511" s="5" t="inlineStr"/>
      <c r="U1511" s="5" t="inlineStr"/>
      <c r="V1511" s="5" t="inlineStr">
        <is>
          <t>kolay-para-gurusu</t>
        </is>
      </c>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row>
    <row r="1512">
      <c r="A1512" s="5" t="inlineStr">
        <is>
          <t>b7-dolandirici-kurs</t>
        </is>
      </c>
      <c r="B1512" s="5" t="n">
        <v>4</v>
      </c>
      <c r="C1512" s="6" t="inlineStr">
        <is>
          <t>Ara verip teyzeyle konuş</t>
        </is>
      </c>
      <c r="D1512" s="5" t="inlineStr">
        <is>
          <t>Sosyal Radar</t>
        </is>
      </c>
      <c r="E1512" s="5" t="inlineStr">
        <is>
          <t>Orta</t>
        </is>
      </c>
      <c r="F1512" s="5" t="inlineStr"/>
      <c r="G1512" s="6" t="inlineStr"/>
      <c r="H1512" s="6" t="inlineStr">
        <is>
          <t>Teyze, telefonu kapattığın emekli öğretmenin arkadaşıymış: “O seni anlatmıştı.” Kursu yarıda kesip teyzeye çay ısmarladın.</t>
        </is>
      </c>
      <c r="I1512" s="6" t="inlineStr">
        <is>
          <t>Teyze kürsüye çıkıp salona gerçek bir birikim dersi verdi. Sen arka sırada not aldın; ilk kez.</t>
        </is>
      </c>
      <c r="J1512" s="6" t="inlineStr">
        <is>
          <t>Teyzeyle konuştun ama salon bekliyordu. Kürsüye döndüğünde ne diyeceğini unutmuştun; kimse fark etmedi.</t>
        </is>
      </c>
      <c r="K1512" s="6" t="inlineStr">
        <is>
          <t>Teyze seni tanıdı: “Sen o telefondaki çocuksun!” Salonun yarısı ona döndü, yarısı sana. Kalan yarım saat karışık geçti.</t>
        </is>
      </c>
      <c r="L1512" s="6" t="inlineStr"/>
      <c r="M1512" s="5" t="inlineStr"/>
      <c r="N1512" s="5" t="inlineStr"/>
      <c r="O1512" s="6" t="inlineStr"/>
      <c r="P1512" s="6" t="inlineStr"/>
      <c r="Q1512" s="5" t="inlineStr"/>
      <c r="R1512" s="5" t="inlineStr">
        <is>
          <t>vicdan-sesi</t>
        </is>
      </c>
      <c r="S1512" s="5" t="inlineStr"/>
      <c r="T1512" s="5" t="inlineStr"/>
      <c r="U1512" s="5" t="inlineStr"/>
      <c r="V1512" s="5" t="inlineStr"/>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row>
    <row r="1513">
      <c r="A1513" s="5" t="inlineStr">
        <is>
          <t>b7-dolandirici-kulup</t>
        </is>
      </c>
      <c r="B1513" s="5" t="n">
        <v>1</v>
      </c>
      <c r="C1513" s="6" t="inlineStr">
        <is>
          <t>Kulübü dağıt, kasayı paylaştır</t>
        </is>
      </c>
      <c r="D1513" s="5" t="inlineStr"/>
      <c r="E1513" s="5" t="inlineStr"/>
      <c r="F1513" s="5" t="inlineStr">
        <is>
          <t>İtibar +1, Akıl +1</t>
        </is>
      </c>
      <c r="G1513" s="6" t="inlineStr">
        <is>
          <t>Kasadakini üyelere paylaştırdın; herkese biraz eksik düştü. Kulüp dağıldı, mesaj grubu dağılmadı. Her sabah biri “Günaydın” yazıyor.</t>
        </is>
      </c>
      <c r="H1513" s="6" t="inlineStr"/>
      <c r="I1513" s="6" t="inlineStr"/>
      <c r="J1513" s="6" t="inlineStr"/>
      <c r="K1513" s="6" t="inlineStr"/>
      <c r="L1513" s="6" t="inlineStr"/>
      <c r="M1513" s="5" t="inlineStr"/>
      <c r="N1513" s="5" t="inlineStr"/>
      <c r="O1513" s="6" t="inlineStr"/>
      <c r="P1513" s="6" t="inlineStr"/>
      <c r="Q1513" s="5" t="inlineStr"/>
      <c r="R1513" s="5" t="inlineStr"/>
      <c r="S1513" s="5" t="inlineStr"/>
      <c r="T1513" s="5" t="inlineStr"/>
      <c r="U1513" s="5" t="inlineStr">
        <is>
          <t>paralari-iade</t>
        </is>
      </c>
      <c r="V1513" s="5" t="inlineStr"/>
      <c r="W1513" s="5" t="inlineStr"/>
      <c r="X1513" s="5" t="inlineStr"/>
      <c r="Y1513" s="5" t="inlineStr"/>
      <c r="Z1513" s="6" t="inlineStr"/>
      <c r="AA1513" s="5" t="inlineStr"/>
      <c r="AB1513" s="5" t="inlineStr"/>
      <c r="AC1513" s="5" t="inlineStr"/>
      <c r="AD1513" s="5" t="inlineStr"/>
      <c r="AE1513" s="5" t="inlineStr"/>
      <c r="AF1513" s="5" t="n">
        <v>1</v>
      </c>
      <c r="AG1513" s="5" t="inlineStr"/>
      <c r="AH1513" s="5" t="inlineStr"/>
      <c r="AI1513" s="5" t="inlineStr"/>
    </row>
    <row r="1514">
      <c r="A1514" s="5" t="inlineStr">
        <is>
          <t>b7-dolandirici-kulup</t>
        </is>
      </c>
      <c r="B1514" s="5" t="n">
        <v>2</v>
      </c>
      <c r="C1514" s="6" t="inlineStr">
        <is>
          <t>Peçeteyi büyük ekrana yansıt</t>
        </is>
      </c>
      <c r="D1514" s="5" t="inlineStr">
        <is>
          <t>Pişkinlik</t>
        </is>
      </c>
      <c r="E1514" s="5" t="inlineStr">
        <is>
          <t>Orta</t>
        </is>
      </c>
      <c r="F1514" s="5" t="inlineStr"/>
      <c r="G1514" s="6" t="inlineStr"/>
      <c r="H1514" s="6" t="inlineStr">
        <is>
          <t>Peçete dev ekranda bir yatırım tablosuna benzedi. Üyeler güneşe bakıp ikna oldu; toplantı alkışla bitti.</t>
        </is>
      </c>
      <c r="I1514" s="6" t="inlineStr">
        <is>
          <t>Üyelerden biri peçeteyi çerçevelemek için satın aldı. Kulübün bu ayki tek kârı buydu ve fena değildi.</t>
        </is>
      </c>
      <c r="J1514" s="6" t="inlineStr">
        <is>
          <t>Ekran peçetenin arkasını gösterdi: kafenin adı ve bir telefon numarası. Numarayı birkaç kişi kaydetti.</t>
        </is>
      </c>
      <c r="K1514" s="6" t="inlineStr">
        <is>
          <t>Peçetenin köşesinde alışveriş listen vardı. En alttaki satır: “Bavul.” Altı çizili.</t>
        </is>
      </c>
      <c r="L1514" s="6" t="inlineStr"/>
      <c r="M1514" s="5" t="inlineStr"/>
      <c r="N1514" s="5" t="inlineStr"/>
      <c r="O1514" s="6" t="inlineStr"/>
      <c r="P1514" s="6" t="inlineStr"/>
      <c r="Q1514" s="5" t="inlineStr"/>
      <c r="R1514" s="5" t="inlineStr"/>
      <c r="S1514" s="5" t="inlineStr"/>
      <c r="T1514" s="5" t="inlineStr"/>
      <c r="U1514" s="5" t="inlineStr"/>
      <c r="V1514" s="5" t="inlineStr"/>
      <c r="W1514" s="5" t="inlineStr"/>
      <c r="X1514" s="5" t="inlineStr"/>
      <c r="Y1514" s="5" t="inlineStr"/>
      <c r="Z1514" s="6" t="inlineStr"/>
      <c r="AA1514" s="5" t="inlineStr"/>
      <c r="AB1514" s="5" t="inlineStr"/>
      <c r="AC1514" s="5" t="inlineStr"/>
      <c r="AD1514" s="5" t="inlineStr"/>
      <c r="AE1514" s="5" t="inlineStr"/>
      <c r="AF1514" s="5" t="inlineStr"/>
      <c r="AG1514" s="5" t="inlineStr"/>
      <c r="AH1514" s="5" t="inlineStr"/>
      <c r="AI1514" s="5" t="inlineStr"/>
    </row>
    <row r="1515">
      <c r="A1515" s="5" t="inlineStr">
        <is>
          <t>b7-dolandirici-kulup</t>
        </is>
      </c>
      <c r="B1515" s="5" t="n">
        <v>3</v>
      </c>
      <c r="C1515" s="6" t="inlineStr">
        <is>
          <t>Büyük bir “yeni fırsat” duyur</t>
        </is>
      </c>
      <c r="D1515" s="5" t="inlineStr">
        <is>
          <t>Kurnazlık</t>
        </is>
      </c>
      <c r="E1515" s="5" t="inlineStr">
        <is>
          <t>Zor</t>
        </is>
      </c>
      <c r="F1515" s="5" t="inlineStr"/>
      <c r="G1515" s="6" t="inlineStr"/>
      <c r="H1515" s="6" t="inlineStr">
        <is>
          <t>Yeni fırsatın adını söyledin; ne olduğunu kimse sormadı, herkes katıldı. Toplantı bitmeden kulübün adı “Altın Dal” oldu.</t>
        </is>
      </c>
      <c r="I1515" s="6" t="inlineStr">
        <is>
          <t>Kafenin sahibi de üye oldu; toplantıların çayı artık bedava. Kulüp büyüdü; neden büyüdüğünü kimse sormuyor.</t>
        </is>
      </c>
      <c r="J1515" s="6" t="inlineStr">
        <is>
          <t>“Yeni fırsat” dediğin anda garson “Bu ay üçüncü” dedi. Üyeler dağıldı; hesap sana kaldı.</t>
        </is>
      </c>
      <c r="K1515" s="6" t="inlineStr">
        <is>
          <t>“Yeni fırsat” dediğin anda üyelerden birinin annesi ayağa kalktı: “Oğlum, bu adam bizim bakkala da aynı fırsatı anlattı.” Bakkal da üyeymiş; şikâyetçi de o. Bir sonraki toplantı adliye koridorunda.</t>
        </is>
      </c>
      <c r="L1515" s="6" t="inlineStr"/>
      <c r="M1515" s="5" t="inlineStr"/>
      <c r="N1515" s="5" t="inlineStr"/>
      <c r="O1515" s="6" t="inlineStr"/>
      <c r="P1515" s="6" t="inlineStr"/>
      <c r="Q1515" s="5" t="inlineStr"/>
      <c r="R1515" s="5" t="inlineStr"/>
      <c r="S1515" s="5" t="inlineStr"/>
      <c r="T1515" s="5" t="inlineStr">
        <is>
          <t>Tablo Ustası</t>
        </is>
      </c>
      <c r="U1515" s="5" t="inlineStr"/>
      <c r="V1515" s="5" t="inlineStr"/>
      <c r="W1515" s="5" t="inlineStr">
        <is>
          <t>hapis</t>
        </is>
      </c>
      <c r="X1515" s="5" t="inlineStr"/>
      <c r="Y1515" s="5" t="inlineStr"/>
      <c r="Z1515" s="6" t="inlineStr"/>
      <c r="AA1515" s="5" t="inlineStr"/>
      <c r="AB1515" s="5" t="inlineStr"/>
      <c r="AC1515" s="5" t="inlineStr"/>
      <c r="AD1515" s="5" t="inlineStr">
        <is>
          <t>Rahat</t>
        </is>
      </c>
      <c r="AE1515" s="5" t="inlineStr"/>
      <c r="AF1515" s="5" t="inlineStr"/>
      <c r="AG1515" s="5" t="inlineStr"/>
      <c r="AH1515" s="5" t="inlineStr"/>
      <c r="AI1515" s="5" t="inlineStr"/>
    </row>
    <row r="1516">
      <c r="A1516" s="5" t="inlineStr">
        <is>
          <t>b8-dolandirici-kitap</t>
        </is>
      </c>
      <c r="B1516" s="5" t="n">
        <v>1</v>
      </c>
      <c r="C1516" s="6" t="inlineStr">
        <is>
          <t>Boş sayfaları “düşünme alanı” diye anlat</t>
        </is>
      </c>
      <c r="D1516" s="5" t="inlineStr"/>
      <c r="E1516" s="5" t="inlineStr"/>
      <c r="F1516" s="5" t="inlineStr">
        <is>
          <t>Pişkinlik +1, Çene +1</t>
        </is>
      </c>
      <c r="G1516" s="6" t="inlineStr">
        <is>
          <t>“O sayfalar okurun kendi yolu” dedin. Sunucu etkilendi, kitap ikinci baskıya girdi. İkinci baskıda boş sayfa sayısı arttı.</t>
        </is>
      </c>
      <c r="H1516" s="6" t="inlineStr"/>
      <c r="I1516" s="6" t="inlineStr"/>
      <c r="J1516" s="6" t="inlineStr"/>
      <c r="K1516" s="6" t="inlineStr"/>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row>
    <row r="1517">
      <c r="A1517" s="5" t="inlineStr">
        <is>
          <t>b8-dolandirici-kitap</t>
        </is>
      </c>
      <c r="B1517" s="5" t="n">
        <v>2</v>
      </c>
      <c r="C1517" s="6" t="inlineStr">
        <is>
          <t>Yedi yolu canlı yayında uydur</t>
        </is>
      </c>
      <c r="D1517" s="5" t="inlineStr">
        <is>
          <t>Çene</t>
        </is>
      </c>
      <c r="E1517" s="5" t="inlineStr">
        <is>
          <t>Orta</t>
        </is>
      </c>
      <c r="F1517" s="5" t="inlineStr"/>
      <c r="G1517" s="6" t="inlineStr"/>
      <c r="H1517" s="6" t="inlineStr">
        <is>
          <t>Yedi yolu tek tek uydurdun; beşincide sunucu not almaya başladı. Yeni baskıda o yollar var, senin bile hatırlamadığın.</t>
        </is>
      </c>
      <c r="I1517" s="6" t="inlineStr">
        <is>
          <t>Uydurduğun yedinci yol “Erken kalk” oldu. İzleyiciler sabah beşte uyanmaya başladı; kitap tükendi.</t>
        </is>
      </c>
      <c r="J1517" s="6" t="inlineStr">
        <is>
          <t>Üçüncü yolda takıldın, dördüncüyü birincinin tekrarı yaptın. Sunucu “Yedi değil, üç” diye özetledi.</t>
        </is>
      </c>
      <c r="K1517" s="6" t="inlineStr">
        <is>
          <t>Yollardan biri “Borç al, sonra düşün” oldu. Yayından sonra bankalar kitabı tavsiye etti; okurlar etmedi.</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row>
    <row r="1518">
      <c r="A1518" s="5" t="inlineStr">
        <is>
          <t>b8-dolandirici-kitap</t>
        </is>
      </c>
      <c r="B1518" s="5" t="n">
        <v>3</v>
      </c>
      <c r="C1518" s="6" t="inlineStr">
        <is>
          <t>Reklam arasında sunucuya kurs sat</t>
        </is>
      </c>
      <c r="D1518" s="5" t="inlineStr">
        <is>
          <t>Kurnazlık</t>
        </is>
      </c>
      <c r="E1518" s="5" t="inlineStr">
        <is>
          <t>Orta</t>
        </is>
      </c>
      <c r="F1518" s="5" t="inlineStr"/>
      <c r="G1518" s="6" t="inlineStr"/>
      <c r="H1518" s="6" t="inlineStr">
        <is>
          <t>Reklam arasında sunucuya kursu anlattın; ertesi gün kayıt oldu. Programın bütün ekibi artık öğrencin, kameraman hariç.</t>
        </is>
      </c>
      <c r="I1518" s="6" t="inlineStr">
        <is>
          <t>Sunucu kursu kendi programında övdü. Kameraman da kaydoldu; artık kimse çekmiyor.</t>
        </is>
      </c>
      <c r="J1518" s="6" t="inlineStr">
        <is>
          <t>Sunucu dinledi, “Bizim kanalın da böyle bir kursu var” dedi. Onunki daha pahalıymış.</t>
        </is>
      </c>
      <c r="K1518" s="6" t="inlineStr">
        <is>
          <t>Reklam arası sandığın an canlı yayındaymış. Kursun fiyatını bütün ülke duydu; kayıt olan tek kişi annen.</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row>
    <row r="1519">
      <c r="A1519" s="5" t="inlineStr">
        <is>
          <t>b8-dolandirici-kitap</t>
        </is>
      </c>
      <c r="B1519" s="5" t="n">
        <v>4</v>
      </c>
      <c r="C1519" s="6" t="inlineStr">
        <is>
          <t>Canlı yayında itiraf et</t>
        </is>
      </c>
      <c r="D1519" s="5" t="inlineStr">
        <is>
          <t>Cesaret</t>
        </is>
      </c>
      <c r="E1519" s="5" t="inlineStr">
        <is>
          <t>Zor</t>
        </is>
      </c>
      <c r="F1519" s="5" t="inlineStr"/>
      <c r="G1519" s="6" t="inlineStr"/>
      <c r="H1519" s="6" t="inlineStr">
        <is>
          <t>“Kolay para yok, kitap da boş” dedin. Stüdyo sustu, telefonlar kilitlendi. Ertesi hafta satışları iade ettin; kitap koleksiyon parçası oldu.</t>
        </is>
      </c>
      <c r="I1519" s="6" t="inlineStr">
        <is>
          <t>İtirafın günün en çok izlenen anı oldu. Sunucu seni her hafta “dürüstlük köşesi”ne çağırıyor; ilk kez gerçek bir işin var.</t>
        </is>
      </c>
      <c r="J1519" s="6" t="inlineStr">
        <is>
          <t>İtirafa başladın, reklam girdi. Dönüşte sunucu konuyu hava durumuna bağladı.</t>
        </is>
      </c>
      <c r="K1519" s="6" t="inlineStr">
        <is>
          <t>Sunucu itirafını da bir satış tekniği sandı. Üçüncü baskıya “İtiraf Bölümü” eklendi; o da boş.</t>
        </is>
      </c>
      <c r="L1519" s="6" t="inlineStr"/>
      <c r="M1519" s="5" t="inlineStr"/>
      <c r="N1519" s="5" t="inlineStr"/>
      <c r="O1519" s="6" t="inlineStr"/>
      <c r="P1519" s="6" t="inlineStr"/>
      <c r="Q1519" s="5" t="inlineStr"/>
      <c r="R1519" s="5" t="inlineStr">
        <is>
          <t>vicdan-sesi</t>
        </is>
      </c>
      <c r="S1519" s="5" t="inlineStr"/>
      <c r="T1519" s="5" t="inlineStr">
        <is>
          <t>Kendine Gülebilir</t>
        </is>
      </c>
      <c r="U1519" s="5" t="inlineStr"/>
      <c r="V1519" s="5" t="inlineStr">
        <is>
          <t>paralari-iade</t>
        </is>
      </c>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row>
    <row r="1520">
      <c r="A1520" s="5" t="inlineStr">
        <is>
          <t>b8-dolandirici-mektup</t>
        </is>
      </c>
      <c r="B1520" s="5" t="n">
        <v>1</v>
      </c>
      <c r="C1520" s="6" t="inlineStr">
        <is>
          <t>Dürüst bir cevap yaz</t>
        </is>
      </c>
      <c r="D1520" s="5" t="inlineStr"/>
      <c r="E1520" s="5" t="inlineStr"/>
      <c r="F1520" s="5" t="inlineStr">
        <is>
          <t>İtibar +2</t>
        </is>
      </c>
      <c r="G1520" s="6" t="inlineStr">
        <is>
          <t>İki sayfa yazdın, üç kez yırttın, dördüncüyü gönderdin. Cevap bir hafta sonra geldi: “Hiç geç değil.” Altında bir reçel tarifi.</t>
        </is>
      </c>
      <c r="H1520" s="6" t="inlineStr"/>
      <c r="I1520" s="6" t="inlineStr"/>
      <c r="J1520" s="6" t="inlineStr"/>
      <c r="K1520" s="6" t="inlineStr"/>
      <c r="L1520" s="6" t="inlineStr"/>
      <c r="M1520" s="5" t="inlineStr"/>
      <c r="N1520" s="5" t="inlineStr"/>
      <c r="O1520" s="6" t="inlineStr"/>
      <c r="P1520" s="6" t="inlineStr"/>
      <c r="Q1520" s="5" t="inlineStr"/>
      <c r="R1520" s="5" t="inlineStr"/>
      <c r="S1520" s="5" t="inlineStr"/>
      <c r="T1520" s="5" t="inlineStr"/>
      <c r="U1520" s="5" t="inlineStr"/>
      <c r="V1520" s="5" t="inlineStr"/>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row>
    <row r="1521">
      <c r="A1521" s="5" t="inlineStr">
        <is>
          <t>b8-dolandirici-mektup</t>
        </is>
      </c>
      <c r="B1521" s="5" t="n">
        <v>2</v>
      </c>
      <c r="C1521" s="6" t="inlineStr">
        <is>
          <t>Herkese parasını geri öde</t>
        </is>
      </c>
      <c r="D1521" s="5" t="inlineStr">
        <is>
          <t>İtibar</t>
        </is>
      </c>
      <c r="E1521" s="5" t="inlineStr">
        <is>
          <t>Orta</t>
        </is>
      </c>
      <c r="F1521" s="5" t="inlineStr"/>
      <c r="G1521" s="6" t="inlineStr"/>
      <c r="H1521" s="6" t="inlineStr">
        <is>
          <t>Eski defterlerden isimleri tek tek buldun, parayı tek tek gönderdin. Hesabın boşaldı; telefonun ilk kez sevinçle çalıyor.</t>
        </is>
      </c>
      <c r="I1521" s="6" t="inlineStr">
        <is>
          <t>Parasını geri alanlardan biri seni işe çağırdı: gerçek bir danışmanlık bürosu. Maaş az ama kimse seni haber sitesinde aramıyor.</t>
        </is>
      </c>
      <c r="J1521" s="6" t="inlineStr">
        <is>
          <t>İsimlerin yarısını buldun; yarısı taşınmış. Kalan paralar bir zarfta, çekmecende. Her gece zarfa bakıp öyle yatıyorsun.</t>
        </is>
      </c>
      <c r="K1521" s="6" t="inlineStr">
        <is>
          <t>İade için açtığın hesabı biri sahte sanıp ihbar etti. Hayatının ilk dürüst işini anlatmak için karakolda üç saat oturdun.</t>
        </is>
      </c>
      <c r="L1521" s="6" t="inlineStr"/>
      <c r="M1521" s="5" t="inlineStr"/>
      <c r="N1521" s="5" t="inlineStr"/>
      <c r="O1521" s="6" t="inlineStr"/>
      <c r="P1521" s="6" t="inlineStr"/>
      <c r="Q1521" s="5" t="inlineStr"/>
      <c r="R1521" s="5" t="inlineStr"/>
      <c r="S1521" s="5" t="inlineStr"/>
      <c r="T1521" s="5" t="inlineStr"/>
      <c r="U1521" s="5" t="inlineStr"/>
      <c r="V1521" s="5" t="inlineStr">
        <is>
          <t>paralari-iade</t>
        </is>
      </c>
      <c r="W1521" s="5" t="inlineStr"/>
      <c r="X1521" s="5" t="inlineStr"/>
      <c r="Y1521" s="5" t="inlineStr"/>
      <c r="Z1521" s="6" t="inlineStr"/>
      <c r="AA1521" s="5" t="inlineStr"/>
      <c r="AB1521" s="5" t="inlineStr"/>
      <c r="AC1521" s="5" t="inlineStr"/>
      <c r="AD1521" s="5" t="inlineStr"/>
      <c r="AE1521" s="5" t="inlineStr"/>
      <c r="AF1521" s="5" t="n">
        <v>1</v>
      </c>
      <c r="AG1521" s="5" t="inlineStr"/>
      <c r="AH1521" s="5" t="inlineStr"/>
      <c r="AI1521" s="5" t="inlineStr"/>
    </row>
    <row r="1522">
      <c r="A1522" s="5" t="inlineStr">
        <is>
          <t>b8-dolandirici-mektup</t>
        </is>
      </c>
      <c r="B1522" s="5" t="n">
        <v>3</v>
      </c>
      <c r="C1522" s="6" t="inlineStr">
        <is>
          <t>Öğretmene yeni bir “fırsat” gönder</t>
        </is>
      </c>
      <c r="D1522" s="5" t="inlineStr">
        <is>
          <t>Pişkinlik</t>
        </is>
      </c>
      <c r="E1522" s="5" t="inlineStr">
        <is>
          <t>Zor</t>
        </is>
      </c>
      <c r="F1522" s="5" t="inlineStr"/>
      <c r="G1522" s="6" t="inlineStr"/>
      <c r="H1522" s="6" t="inlineStr">
        <is>
          <t>Cevabına bir broşür ekledin. Öğretmen yazmadı ama komşusu yazdı, broşürü de dağıttı. Bu ay rekor; içinde bir taş.</t>
        </is>
      </c>
      <c r="I1522" s="6" t="inlineStr">
        <is>
          <t>Broşür emekliler derneğine kadar ulaştı. Ayın rekoru kırıldı; mektubu çekmeceye kilitledin, açmıyorsun.</t>
        </is>
      </c>
      <c r="J1522" s="6" t="inlineStr">
        <is>
          <t>Öğretmen broşürü geri gönderdi; kırmızı kalemle düzeltilmiş. Üç yazım hatası ve bir “Yazıklar olsun.”</t>
        </is>
      </c>
      <c r="K1522" s="6" t="inlineStr">
        <is>
          <t>Öğretmen broşürü doğrudan savcılığa göndermiş, kırmızı kalemle düzelterek. Dosyada imla hataların da var.</t>
        </is>
      </c>
      <c r="L1522" s="6" t="inlineStr"/>
      <c r="M1522" s="5" t="inlineStr"/>
      <c r="N1522" s="5" t="inlineStr"/>
      <c r="O1522" s="6" t="inlineStr"/>
      <c r="P1522" s="6" t="inlineStr"/>
      <c r="Q1522" s="5" t="inlineStr"/>
      <c r="R1522" s="5" t="inlineStr"/>
      <c r="S1522" s="5" t="inlineStr"/>
      <c r="T1522" s="5" t="inlineStr"/>
      <c r="U1522" s="5" t="inlineStr"/>
      <c r="V1522" s="5" t="inlineStr"/>
      <c r="W1522" s="5" t="inlineStr">
        <is>
          <t>hapis</t>
        </is>
      </c>
      <c r="X1522" s="5" t="inlineStr"/>
      <c r="Y1522" s="5" t="inlineStr"/>
      <c r="Z1522" s="6" t="inlineStr"/>
      <c r="AA1522" s="5" t="inlineStr"/>
      <c r="AB1522" s="5" t="inlineStr"/>
      <c r="AC1522" s="5" t="inlineStr"/>
      <c r="AD1522" s="5" t="inlineStr">
        <is>
          <t>Rahat</t>
        </is>
      </c>
      <c r="AE1522" s="5" t="inlineStr"/>
      <c r="AF1522" s="5" t="inlineStr"/>
      <c r="AG1522" s="5" t="inlineStr"/>
      <c r="AH1522" s="5" t="inlineStr"/>
      <c r="AI1522" s="5" t="inlineStr"/>
    </row>
    <row r="1523">
      <c r="A1523" s="5" t="inlineStr">
        <is>
          <t>b9-dolandirici-son-numara</t>
        </is>
      </c>
      <c r="B1523" s="5" t="n">
        <v>1</v>
      </c>
      <c r="C1523" s="6" t="inlineStr">
        <is>
          <t>Kremin satıcısını kenara çekip uyar</t>
        </is>
      </c>
      <c r="D1523" s="5" t="inlineStr"/>
      <c r="E1523" s="5" t="inlineStr"/>
      <c r="F1523" s="5" t="inlineStr">
        <is>
          <t>İtibar +1, Sosyal Radar +1</t>
        </is>
      </c>
      <c r="G1523" s="6" t="inlineStr">
        <is>
          <t>Satıcıyı kenara çektin: 'Bu işi senden önce ben yaptım, sonunu da gördüm.' Kavanozlarını topladı; giderken sana bir tane hediye bıraktı.</t>
        </is>
      </c>
      <c r="H1523" s="6" t="inlineStr"/>
      <c r="I1523" s="6" t="inlineStr"/>
      <c r="J1523" s="6" t="inlineStr"/>
      <c r="K1523" s="6" t="inlineStr"/>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row>
    <row r="1524">
      <c r="A1524" s="5" t="inlineStr">
        <is>
          <t>b9-dolandirici-son-numara</t>
        </is>
      </c>
      <c r="B1524" s="5" t="n">
        <v>2</v>
      </c>
      <c r="C1524" s="6" t="inlineStr">
        <is>
          <t>Emeklilere bu işlerin sonunu anlat</t>
        </is>
      </c>
      <c r="D1524" s="5" t="inlineStr">
        <is>
          <t>Çene</t>
        </is>
      </c>
      <c r="E1524" s="5" t="inlineStr">
        <is>
          <t>Orta</t>
        </is>
      </c>
      <c r="F1524" s="5" t="inlineStr"/>
      <c r="G1524" s="6" t="inlineStr"/>
      <c r="H1524" s="6" t="inlineStr">
        <is>
          <t>Hiçbir numaranın nasıl yapıldığını değil, nasıl bittiğini anlattın. Emekliler krem yerine simit aldı.</t>
        </is>
      </c>
      <c r="I1524" s="6" t="inlineStr">
        <is>
          <t>Her salı parkta “Dikkat Et” sohbeti yapıyorsun. Hayatının ilk seminerinde bilet yok, dinleyici çok.</t>
        </is>
      </c>
      <c r="J1524" s="6" t="inlineStr">
        <is>
          <t>Anlatırken araya kendi başarılarını da kattın. Emekliler kremi aldı; senin tavsiyenle sandılar.</t>
        </is>
      </c>
      <c r="K1524" s="6" t="inlineStr">
        <is>
          <t>Öyle parladın ki biri sana para uzattı: “Hocam, bizi de bir kulübe yaz.” Kulüp yok; bekleyen var.</t>
        </is>
      </c>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row>
    <row r="1525">
      <c r="A1525" s="5" t="inlineStr">
        <is>
          <t>b9-dolandirici-son-numara</t>
        </is>
      </c>
      <c r="B1525" s="5" t="n">
        <v>3</v>
      </c>
      <c r="C1525" s="6" t="inlineStr">
        <is>
          <t>Kremi satıcıya geri sat</t>
        </is>
      </c>
      <c r="D1525" s="5" t="inlineStr">
        <is>
          <t>Kurnazlık</t>
        </is>
      </c>
      <c r="E1525" s="5" t="inlineStr">
        <is>
          <t>Zor</t>
        </is>
      </c>
      <c r="F1525" s="5" t="inlineStr"/>
      <c r="G1525" s="6" t="inlineStr"/>
      <c r="H1525" s="6" t="inlineStr">
        <is>
          <t>Satıcının kavanozlarını ucuza alıp ona pahalıya geri sattın. Emekliler alkışladı; kavanozlar hiç açılmadı.</t>
        </is>
      </c>
      <c r="I1525" s="6" t="inlineStr">
        <is>
          <t>Satıcı kavanozları geri alırken senden kurs istedi. Kabul etmedin; kariyerindeki ilk ret.</t>
        </is>
      </c>
      <c r="J1525" s="6" t="inlineStr">
        <is>
          <t>Satıcı pazarlığı anladı, kavanozları sana bıraktı. Balkonunda kırk kavanoz krem var.</t>
        </is>
      </c>
      <c r="K1525" s="6" t="inlineStr">
        <is>
          <t>Pazarlıkta bir kavanozu denedin. Yüzün yeşerdi; emekliler bunu gençlik belirtisi sanıp sıraya girdi.</t>
        </is>
      </c>
      <c r="L1525" s="6" t="inlineStr"/>
      <c r="M1525" s="5" t="inlineStr"/>
      <c r="N1525" s="5" t="inlineStr"/>
      <c r="O1525" s="6" t="inlineStr"/>
      <c r="P1525" s="6" t="inlineStr"/>
      <c r="Q1525" s="5" t="inlineStr"/>
      <c r="R1525" s="5" t="inlineStr"/>
      <c r="S1525" s="5" t="inlineStr"/>
      <c r="T1525" s="5" t="inlineStr">
        <is>
          <t>Pazarlık Duayeni</t>
        </is>
      </c>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row>
    <row r="1526">
      <c r="A1526" s="5" t="inlineStr">
        <is>
          <t>k10-cete</t>
        </is>
      </c>
      <c r="B1526" s="5" t="n">
        <v>1</v>
      </c>
      <c r="C1526" s="6" t="inlineStr">
        <is>
          <t>Büyük işi yap</t>
        </is>
      </c>
      <c r="D1526" s="5" t="inlineStr">
        <is>
          <t>Cesaret</t>
        </is>
      </c>
      <c r="E1526" s="5" t="inlineStr">
        <is>
          <t>Zor</t>
        </is>
      </c>
      <c r="F1526" s="5" t="inlineStr"/>
      <c r="G1526" s="6" t="inlineStr"/>
      <c r="H1526" s="6" t="inlineStr">
        <is>
          <t>İş bitti; nasıl bittiğini kimse anlatmıyor, sen de. Ertesi sabah kahvede senin çayın herkesinkinden önce geldi. Mahalle artık senin.</t>
        </is>
      </c>
      <c r="I1526" s="6" t="inlineStr">
        <is>
          <t>İş öyle temiz bitti ki abi bile nasıl olduğunu sordu. Söylemedin. Mahallenin anahtarı sende; abinin yedeği de.</t>
        </is>
      </c>
      <c r="J1526" s="6" t="inlineStr">
        <is>
          <t>Kapıda bir ekip bekliyordu; haritayı ters tuttuğunu görünce güldüler. Gülüşleri de tutanağa girdi.</t>
        </is>
      </c>
      <c r="K1526" s="6" t="inlineStr">
        <is>
          <t>Baskın sabah altıda geldi. Kapıyı elinde köpük hortumuyla açtın. Tutanakta: “Direnme yok, köpük var.”</t>
        </is>
      </c>
      <c r="L1526" s="6" t="inlineStr"/>
      <c r="M1526" s="5" t="inlineStr"/>
      <c r="N1526" s="5" t="inlineStr"/>
      <c r="O1526" s="6" t="inlineStr"/>
      <c r="P1526" s="6" t="inlineStr"/>
      <c r="Q1526" s="5" t="inlineStr"/>
      <c r="R1526" s="5" t="inlineStr"/>
      <c r="S1526" s="5" t="inlineStr"/>
      <c r="T1526" s="5" t="inlineStr"/>
      <c r="U1526" s="5" t="inlineStr"/>
      <c r="V1526" s="5" t="inlineStr">
        <is>
          <t>mahalle-babasi</t>
        </is>
      </c>
      <c r="W1526" s="5" t="inlineStr">
        <is>
          <t>hapis</t>
        </is>
      </c>
      <c r="X1526" s="5" t="inlineStr"/>
      <c r="Y1526" s="5" t="n">
        <v>2</v>
      </c>
      <c r="Z1526" s="6" t="inlineStr">
        <is>
          <t>Abinin “Büyük iş bu” dediği gece. Haritayı hâlâ ters tutuyordu.</t>
        </is>
      </c>
      <c r="AA1526" s="5" t="inlineStr"/>
      <c r="AB1526" s="5" t="inlineStr">
        <is>
          <t>hapis</t>
        </is>
      </c>
      <c r="AC1526" s="5" t="inlineStr"/>
      <c r="AD1526" s="5" t="inlineStr">
        <is>
          <t>Varlıklı</t>
        </is>
      </c>
      <c r="AE1526" s="5" t="inlineStr"/>
      <c r="AF1526" s="5" t="inlineStr"/>
      <c r="AG1526" s="5" t="inlineStr"/>
      <c r="AH1526" s="5" t="inlineStr"/>
      <c r="AI1526" s="5" t="inlineStr">
        <is>
          <t>Köpük</t>
        </is>
      </c>
    </row>
    <row r="1527">
      <c r="A1527" s="5" t="inlineStr">
        <is>
          <t>k10-cete</t>
        </is>
      </c>
      <c r="B1527" s="5" t="n">
        <v>2</v>
      </c>
      <c r="C1527" s="6" t="inlineStr">
        <is>
          <t>Sessizce çekil, dükkânı gerçekten işlet</t>
        </is>
      </c>
      <c r="D1527" s="5" t="inlineStr"/>
      <c r="E1527" s="5" t="inlineStr"/>
      <c r="F1527" s="5" t="inlineStr">
        <is>
          <t>İtibar +1, Dayanıklılık +1</t>
        </is>
      </c>
      <c r="G1527" s="6" t="inlineStr">
        <is>
          <t>Anahtarı ve tespihi abiye geri uzattın. Ertesi gün yıkamaya gerçek bir fiyat listesi astın. Abi bir hafta küstü, sonra arabasını yıkatmaya geldi; parasını da ödedi.</t>
        </is>
      </c>
      <c r="H1527" s="6" t="inlineStr"/>
      <c r="I1527" s="6" t="inlineStr"/>
      <c r="J1527" s="6" t="inlineStr"/>
      <c r="K1527" s="6" t="inlineStr"/>
      <c r="L1527" s="6" t="inlineStr"/>
      <c r="M1527" s="5" t="inlineStr"/>
      <c r="N1527" s="5" t="inlineStr"/>
      <c r="O1527" s="6" t="inlineStr"/>
      <c r="P1527" s="6" t="inlineStr"/>
      <c r="Q1527" s="5" t="inlineStr"/>
      <c r="R1527" s="5" t="inlineStr"/>
      <c r="S1527" s="5" t="inlineStr"/>
      <c r="T1527" s="5" t="inlineStr"/>
      <c r="U1527" s="5" t="inlineStr">
        <is>
          <t>-hat-cete, -hat-dolandirici, -hat-girisimci, -hat-goc, -hat-hekim, -hat-koy, -hat-polis, -hat-politika, -hat-sohret, -hat-usta, -hat-yargi, -meslek-beyazyaka, -meslek-memur, -meslek-serbest, meslek-esnaf</t>
        </is>
      </c>
      <c r="V1527" s="5" t="inlineStr"/>
      <c r="W1527" s="5" t="inlineStr"/>
      <c r="X1527" s="5" t="inlineStr"/>
      <c r="Y1527" s="5" t="inlineStr"/>
      <c r="Z1527" s="6" t="inlineStr"/>
      <c r="AA1527" s="5" t="inlineStr">
        <is>
          <t>hepsi +1</t>
        </is>
      </c>
      <c r="AB1527" s="5" t="inlineStr"/>
      <c r="AC1527" s="5" t="inlineStr"/>
      <c r="AD1527" s="5" t="inlineStr"/>
      <c r="AE1527" s="5" t="inlineStr"/>
      <c r="AF1527" s="5" t="inlineStr"/>
      <c r="AG1527" s="5" t="inlineStr"/>
      <c r="AH1527" s="5" t="inlineStr"/>
      <c r="AI1527" s="5" t="inlineStr"/>
    </row>
    <row r="1528">
      <c r="A1528" s="5" t="inlineStr">
        <is>
          <t>k10-cete</t>
        </is>
      </c>
      <c r="B1528" s="5" t="n">
        <v>3</v>
      </c>
      <c r="C1528" s="6" t="inlineStr">
        <is>
          <t>Muhbir ol</t>
        </is>
      </c>
      <c r="D1528" s="5" t="inlineStr">
        <is>
          <t>Sosyal Radar</t>
        </is>
      </c>
      <c r="E1528" s="5" t="inlineStr">
        <is>
          <t>Zor</t>
        </is>
      </c>
      <c r="F1528" s="5" t="inlineStr"/>
      <c r="G1528" s="6" t="inlineStr"/>
      <c r="H1528" s="6" t="inlineStr">
        <is>
          <t>Komisere her şeyi anlattın. İki ay sonra Öte Diyar'da, yeni bir adla, bir oto yıkamada çalışıyorsun. Köpük aynı köpük.</t>
        </is>
      </c>
      <c r="I1528" s="6" t="inlineStr">
        <is>
          <t>Yeni adın, yeni pasaportun, Öte Diyar'da bir dairen var. Komşular sana “Sessiz Bey” diyor; hiç bu kadar isabetli bir lakabın olmamıştı.</t>
        </is>
      </c>
      <c r="J1528" s="6" t="inlineStr">
        <is>
          <t>Komisere anlattın ama anlattıklarında en çok senin adın geçiyordu. Anlaşma olmadı; dosya oldu.</t>
        </is>
      </c>
      <c r="K1528" s="6" t="inlineStr">
        <is>
          <t>Görüşmeyi kahvenin arka odasından telefonla yaptın; abi yan masadaydı. Önce abi küstü, sonra devlet seni misafir etti.</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c r="AE1528" s="5" t="inlineStr"/>
      <c r="AF1528" s="5" t="inlineStr"/>
      <c r="AG1528" s="5" t="inlineStr"/>
      <c r="AH1528" s="5" t="inlineStr"/>
      <c r="AI1528" s="5" t="inlineStr"/>
    </row>
    <row r="1529">
      <c r="A1529" s="5" t="inlineStr">
        <is>
          <t>k10-dolandirici</t>
        </is>
      </c>
      <c r="B1529" s="5" t="n">
        <v>1</v>
      </c>
      <c r="C1529" s="6" t="inlineStr">
        <is>
          <t>Vurgunu yap, Öte Diyar'a kaç</t>
        </is>
      </c>
      <c r="D1529" s="5" t="inlineStr">
        <is>
          <t>Kurnazlık</t>
        </is>
      </c>
      <c r="E1529" s="5" t="inlineStr">
        <is>
          <t>Zor</t>
        </is>
      </c>
      <c r="F1529" s="5" t="inlineStr"/>
      <c r="G1529" s="6" t="inlineStr"/>
      <c r="H1529" s="6" t="inlineStr">
        <is>
          <t>Havalimanında kimse bir şey sormadı. Öte Diyar'da denize bakan küçük bir dairen var. Deniz bu sefer gerçekten deniz.</t>
        </is>
      </c>
      <c r="I1529" s="6" t="inlineStr">
        <is>
          <t>Öte Diyar'da yeni bir isim, yeni bir dil. Komşular seni emekli bir öğretmen sanıyor; düzeltmiyorsun.</t>
        </is>
      </c>
      <c r="J1529" s="6" t="inlineStr">
        <is>
          <t>Bavulun tartıya sığmadı. Fazla bagaj ücretini kulübün kartıyla ödemeye kalkınca kasadan açıklama istediler.</t>
        </is>
      </c>
      <c r="K1529" s="6" t="inlineStr">
        <is>
          <t>Uçağa bindin, kemerini taktın; uçak kalkmadı. Kapıda iki memur bekliyordu; biri kulübün üyesiymiş.</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is>
          <t>Rahat</t>
        </is>
      </c>
      <c r="AE1529" s="5" t="inlineStr"/>
      <c r="AF1529" s="5" t="inlineStr"/>
      <c r="AG1529" s="5" t="inlineStr"/>
      <c r="AH1529" s="5" t="inlineStr"/>
      <c r="AI1529" s="5" t="inlineStr"/>
    </row>
    <row r="1530">
      <c r="A1530" s="5" t="inlineStr">
        <is>
          <t>k10-dolandirici</t>
        </is>
      </c>
      <c r="B1530" s="5" t="n">
        <v>2</v>
      </c>
      <c r="C1530" s="6" t="inlineStr">
        <is>
          <t>Siyasete sız</t>
        </is>
      </c>
      <c r="D1530" s="5" t="inlineStr">
        <is>
          <t>Pişkinlik</t>
        </is>
      </c>
      <c r="E1530" s="5" t="inlineStr">
        <is>
          <t>Zor</t>
        </is>
      </c>
      <c r="F1530" s="5" t="inlineStr"/>
      <c r="G1530" s="6" t="inlineStr"/>
      <c r="H1530" s="6" t="inlineStr">
        <is>
          <t>Açılış yemeğinde öyle bir konuşma yaptın ki sabah seni ilçe başkan yardımcısı yaptılar. Kulüp üyeleri artık seçmenin.</t>
        </is>
      </c>
      <c r="I1530" s="6" t="inlineStr">
        <is>
          <t>Parti seni aday listesine, üst sıralara yazdı. Afişte gülüyorsun; kulüp üyeleri önünden geçerken durup düşünüyor.</t>
        </is>
      </c>
      <c r="J1530" s="6" t="inlineStr">
        <is>
          <t>Yemekte konuştun ama tatlı servisi başlamıştı; kimse dinlemedi. Kulübe döndün; kasa orada, üyeler de.</t>
        </is>
      </c>
      <c r="K1530" s="6" t="inlineStr">
        <is>
          <t>Konuşmanın ortasında bir kulüp üyesi kalkıp kâr payını sordu. Salon alkışladı, sen masana döndün. Siyaset olmadı, soru kaldı.</t>
        </is>
      </c>
      <c r="L1530" s="6" t="inlineStr"/>
      <c r="M1530" s="5" t="inlineStr"/>
      <c r="N1530" s="5" t="inlineStr"/>
      <c r="O1530" s="6" t="inlineStr"/>
      <c r="P1530" s="6" t="inlineStr"/>
      <c r="Q1530" s="5" t="inlineStr"/>
      <c r="R1530" s="5" t="inlineStr"/>
      <c r="S1530" s="5" t="inlineStr"/>
      <c r="T1530" s="5" t="inlineStr">
        <is>
          <t>Plaza Diplomatı</t>
        </is>
      </c>
      <c r="U1530" s="5" t="inlineStr"/>
      <c r="V1530" s="5" t="inlineStr">
        <is>
          <t>-hat-cete, -hat-dolandirici, -hat-girisimci, -hat-goc, -hat-hekim, -hat-koy, -hat-polis, -hat-sohret, -hat-usta, -hat-yargi, -meslek-beyazyaka, -meslek-esnaf, -meslek-memur, -meslek-serbest, hat-politika</t>
        </is>
      </c>
      <c r="W1530" s="5" t="inlineStr"/>
      <c r="X1530" s="5" t="inlineStr"/>
      <c r="Y1530" s="5" t="inlineStr"/>
      <c r="Z1530" s="6" t="inlineStr"/>
      <c r="AA1530" s="5" t="inlineStr"/>
      <c r="AB1530" s="5" t="inlineStr"/>
      <c r="AC1530" s="5" t="inlineStr"/>
      <c r="AD1530" s="5" t="inlineStr"/>
      <c r="AE1530" s="5" t="inlineStr"/>
      <c r="AF1530" s="5" t="inlineStr"/>
      <c r="AG1530" s="5" t="inlineStr"/>
      <c r="AH1530" s="5" t="inlineStr"/>
      <c r="AI1530" s="5" t="inlineStr"/>
    </row>
    <row r="1531">
      <c r="A1531" s="5" t="inlineStr">
        <is>
          <t>k10-dolandirici</t>
        </is>
      </c>
      <c r="B1531" s="5" t="n">
        <v>3</v>
      </c>
      <c r="C1531" s="6" t="inlineStr">
        <is>
          <t>Bırak, dürüst iş bul</t>
        </is>
      </c>
      <c r="D1531" s="5" t="inlineStr"/>
      <c r="E1531" s="5" t="inlineStr"/>
      <c r="F1531" s="5" t="inlineStr">
        <is>
          <t>İtibar +2</t>
        </is>
      </c>
      <c r="G1531" s="6" t="inlineStr">
        <is>
          <t>Kasayı üyelere paylaştırıp telefonu açtın. Annen “Sesin iyi geliyor” dedi. Ertesi hafta bir kargo deposunda sabah vardiyasına başladın; paketlerin hepsi gerçek.</t>
        </is>
      </c>
      <c r="H1531" s="6" t="inlineStr"/>
      <c r="I1531" s="6" t="inlineStr"/>
      <c r="J1531" s="6" t="inlineStr"/>
      <c r="K1531" s="6" t="inlineStr"/>
      <c r="L1531" s="6" t="inlineStr"/>
      <c r="M1531" s="5" t="inlineStr"/>
      <c r="N1531" s="5" t="inlineStr"/>
      <c r="O1531" s="6" t="inlineStr"/>
      <c r="P1531" s="6" t="inlineStr"/>
      <c r="Q1531" s="5" t="inlineStr"/>
      <c r="R1531" s="5" t="inlineStr"/>
      <c r="S1531" s="5" t="inlineStr"/>
      <c r="T1531" s="5" t="inlineStr"/>
      <c r="U1531" s="5" t="inlineStr">
        <is>
          <t>-hat-cete, -hat-dolandirici, -hat-girisimci, -hat-goc, -hat-hekim, -hat-koy, -hat-polis, -hat-politika, -hat-sohret, -hat-usta, -hat-yargi, -meslek-beyazyaka, -meslek-esnaf, -meslek-memur, meslek-serbest</t>
        </is>
      </c>
      <c r="V1531" s="5" t="inlineStr"/>
      <c r="W1531" s="5" t="inlineStr"/>
      <c r="X1531" s="5" t="inlineStr"/>
      <c r="Y1531" s="5" t="inlineStr"/>
      <c r="Z1531" s="6" t="inlineStr"/>
      <c r="AA1531" s="5" t="inlineStr">
        <is>
          <t>hepsi +1</t>
        </is>
      </c>
      <c r="AB1531" s="5" t="inlineStr"/>
      <c r="AC1531" s="5" t="inlineStr"/>
      <c r="AD1531" s="5" t="inlineStr"/>
      <c r="AE1531" s="5" t="inlineStr"/>
      <c r="AF1531" s="5" t="inlineStr"/>
      <c r="AG1531" s="5" t="inlineStr"/>
      <c r="AH1531" s="5" t="inlineStr"/>
      <c r="AI1531" s="5" t="inlineStr"/>
    </row>
    <row r="1532">
      <c r="A1532" s="5" t="inlineStr">
        <is>
          <t>k10-esnaf</t>
        </is>
      </c>
      <c r="B1532" s="5" t="n">
        <v>1</v>
      </c>
      <c r="C1532" s="6" t="inlineStr">
        <is>
          <t>Markete diren</t>
        </is>
      </c>
      <c r="D1532" s="5" t="inlineStr">
        <is>
          <t>Çene</t>
        </is>
      </c>
      <c r="E1532" s="5" t="inlineStr">
        <is>
          <t>Orta</t>
        </is>
      </c>
      <c r="F1532" s="5" t="inlineStr"/>
      <c r="G1532" s="6" t="inlineStr"/>
      <c r="H1532" s="6" t="inlineStr">
        <is>
          <t>Veresiye defterini açtın, müşterilerin adlarını tek tek andın. Mahalle geri döndü; markette ekmek var, sende hatır.</t>
        </is>
      </c>
      <c r="I1532" s="6" t="inlineStr">
        <is>
          <t>Mahalleli senin için bir “Esnafa Sahip Çık” günü düzenledi. Kuyruk marketin kapısına dayandı; müdür de sıraya girdi.</t>
        </is>
      </c>
      <c r="J1532" s="6" t="inlineStr">
        <is>
          <t>Dükkân açık ama müşteri yarıya indi. Akşamları karşının ışıklarına bakıyorsun; seninki daha sıcak.</t>
        </is>
      </c>
      <c r="K1532" s="6" t="inlineStr">
        <is>
          <t>Fiyatı indirdin; market ertesi sabah yarısına indirdi. Müşteriler artık senden veresiye, karşıdan peşin alıyor. Defter kalınlaştı, kasa inceldi.</t>
        </is>
      </c>
      <c r="L1532" s="6" t="inlineStr"/>
      <c r="M1532" s="5" t="inlineStr"/>
      <c r="N1532" s="5" t="inlineStr"/>
      <c r="O1532" s="6" t="inlineStr"/>
      <c r="P1532" s="6" t="inlineStr"/>
      <c r="Q1532" s="5" t="inlineStr"/>
      <c r="R1532" s="5" t="inlineStr"/>
      <c r="S1532" s="5" t="inlineStr"/>
      <c r="T1532" s="5" t="inlineStr"/>
      <c r="U1532" s="5" t="inlineStr"/>
      <c r="V1532" s="5" t="inlineStr">
        <is>
          <t>esnaf-direndi</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row>
    <row r="1533">
      <c r="A1533" s="5" t="inlineStr">
        <is>
          <t>k10-esnaf</t>
        </is>
      </c>
      <c r="B1533" s="5" t="n">
        <v>2</v>
      </c>
      <c r="C1533" s="6" t="inlineStr">
        <is>
          <t>Dükkânı sat, markette reyon şefi ol</t>
        </is>
      </c>
      <c r="D1533" s="5" t="inlineStr">
        <is>
          <t>Çene</t>
        </is>
      </c>
      <c r="E1533" s="5" t="inlineStr">
        <is>
          <t>Orta</t>
        </is>
      </c>
      <c r="F1533" s="5" t="inlineStr"/>
      <c r="G1533" s="6" t="inlineStr"/>
      <c r="H1533" s="6" t="inlineStr">
        <is>
          <t>Kepengi son kez indirip karşıya geçtin. Reyon şefi yeleğin yeşil; eski müşterilerin sana hâlâ “Usta” diyor, müdür bundan hoşlanmıyor.</t>
        </is>
      </c>
      <c r="I1533" s="6" t="inlineStr">
        <is>
          <t>Market seni reyon şefi olarak aldı ve eski müşterilerin seni takip etti. Artık zincirin en çok satan reyonu senin; veresiye hariç.</t>
        </is>
      </c>
      <c r="J1533" s="6" t="inlineStr">
        <is>
          <t>Dükkânı satmak istedin; alıcılar karşıdaki markete bakıp fiyat kırdı. Satmadın, dükkânında kaldın. Kepenk yerinde; sen de.</t>
        </is>
      </c>
      <c r="K1533" s="6" t="inlineStr">
        <is>
          <t>Market mülakatında eski müşterilerine veresiye verdiğini anlattın. Müdür bunu bir risk olarak not etti. Dükkânına döndün; defter seni bekliyordu.</t>
        </is>
      </c>
      <c r="L1533" s="6" t="inlineStr"/>
      <c r="M1533" s="5" t="inlineStr"/>
      <c r="N1533" s="5" t="inlineStr"/>
      <c r="O1533" s="6" t="inlineStr"/>
      <c r="P1533" s="6" t="inlineStr"/>
      <c r="Q1533" s="5" t="inlineStr"/>
      <c r="R1533" s="5" t="inlineStr"/>
      <c r="S1533" s="5" t="inlineStr"/>
      <c r="T1533" s="5" t="inlineStr"/>
      <c r="U1533" s="5" t="inlineStr"/>
      <c r="V1533" s="5" t="inlineStr">
        <is>
          <t>-hat-cete, -hat-dolandirici, -hat-girisimci, -hat-goc, -hat-hekim, -hat-koy, -hat-polis, -hat-politika, -hat-sohret, -hat-usta, -hat-yargi, -meslek-esnaf, -meslek-memur, -meslek-serbest, meslek-beyazyaka</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row>
    <row r="1534">
      <c r="A1534" s="5" t="inlineStr">
        <is>
          <t>k10-esnaf</t>
        </is>
      </c>
      <c r="B1534" s="5" t="n">
        <v>3</v>
      </c>
      <c r="C1534" s="6" t="inlineStr">
        <is>
          <t>Markete “koruma” ortaklığı sat</t>
        </is>
      </c>
      <c r="D1534" s="5" t="inlineStr">
        <is>
          <t>Kurnazlık</t>
        </is>
      </c>
      <c r="E1534" s="5" t="inlineStr">
        <is>
          <t>Zor</t>
        </is>
      </c>
      <c r="F1534" s="5" t="inlineStr"/>
      <c r="G1534" s="6" t="inlineStr"/>
      <c r="H1534" s="6" t="inlineStr">
        <is>
          <t>Müdüre “Bu mahallenin dengeleri var” dedin; dengeleri kimse görmedi ama müdür ikna oldu. Her ay bir zarf; ailen bundan hoşlanmadı.</t>
        </is>
      </c>
      <c r="I1534" s="6" t="inlineStr">
        <is>
          <t>Müdür öyle ciddiye aldı ki öbür şubeler de aradı. Artık bir dükkânın değil, bir “danışmanlık” masan var; ailen sofraya çağırmıyor.</t>
        </is>
      </c>
      <c r="J1534" s="6" t="inlineStr">
        <is>
          <t>Müdür seni dinledi, sonra güvenliğe “Beyefendiye kapıyı gösterin” dedi. Dükkânına döndün; tezgâh hâlâ senin.</t>
        </is>
      </c>
      <c r="K1534" s="6" t="inlineStr">
        <is>
          <t>Konuşmanı mağazanın kamerası sesiyle kaydetti. Görüntü mahalle grubunda; dükkânına müşteri değil, meraklı geliyor.</t>
        </is>
      </c>
      <c r="L1534" s="6" t="inlineStr"/>
      <c r="M1534" s="5" t="inlineStr"/>
      <c r="N1534" s="5" t="inlineStr"/>
      <c r="O1534" s="6" t="inlineStr"/>
      <c r="P1534" s="6" t="inlineStr"/>
      <c r="Q1534" s="5" t="inlineStr"/>
      <c r="R1534" s="5" t="inlineStr"/>
      <c r="S1534" s="5" t="inlineStr"/>
      <c r="T1534" s="5" t="inlineStr"/>
      <c r="U1534" s="5" t="inlineStr"/>
      <c r="V1534" s="5" t="inlineStr">
        <is>
          <t>-hat-dolandirici, -hat-girisimci, -hat-goc, -hat-hekim, -hat-koy, -hat-polis, -hat-politika, -hat-sohret, -hat-usta, -hat-yargi, -meslek-beyazyaka, -meslek-memur, -meslek-serbest, hat-cete, meslek-esnaf</t>
        </is>
      </c>
      <c r="W1534" s="5" t="inlineStr"/>
      <c r="X1534" s="5" t="inlineStr"/>
      <c r="Y1534" s="5" t="inlineStr"/>
      <c r="Z1534" s="6" t="inlineStr"/>
      <c r="AA1534" s="5" t="inlineStr">
        <is>
          <t>hepsi -1</t>
        </is>
      </c>
      <c r="AB1534" s="5" t="inlineStr"/>
      <c r="AC1534" s="5" t="inlineStr"/>
      <c r="AD1534" s="5" t="inlineStr">
        <is>
          <t>Rahat</t>
        </is>
      </c>
      <c r="AE1534" s="5" t="inlineStr"/>
      <c r="AF1534" s="5" t="inlineStr"/>
      <c r="AG1534" s="5" t="inlineStr"/>
      <c r="AH1534" s="5" t="inlineStr"/>
      <c r="AI1534" s="5" t="inlineStr"/>
    </row>
    <row r="1535">
      <c r="A1535" s="5" t="inlineStr">
        <is>
          <t>k10-serbest</t>
        </is>
      </c>
      <c r="B1535" s="5" t="n">
        <v>1</v>
      </c>
      <c r="C1535" s="6" t="inlineStr">
        <is>
          <t>Kameraya geç</t>
        </is>
      </c>
      <c r="D1535" s="5" t="inlineStr">
        <is>
          <t>Pişkinlik</t>
        </is>
      </c>
      <c r="E1535" s="5" t="inlineStr">
        <is>
          <t>Zor</t>
        </is>
      </c>
      <c r="F1535" s="5" t="inlineStr"/>
      <c r="G1535" s="6" t="inlineStr"/>
      <c r="H1535" s="6" t="inlineStr">
        <is>
          <t>Cümleyi her gün başka bir tonla söyledin. Bir ay sonra bir televizyon programı aradı; artık bir “yüz”sün.</t>
        </is>
      </c>
      <c r="I1535" s="6" t="inlineStr">
        <is>
          <t>Cümle bir reklam şarkısı oldu, sen de reklamın yüzü. Sokakta çocuklar cümleyi bağırıyor; sen her seferinde tamamlıyorsun.</t>
        </is>
      </c>
      <c r="J1535" s="6" t="inlineStr">
        <is>
          <t>İkinci video tutmadı, üçüncüsünü kimse izlemedi. İşine döndün; komşunun oğlu artık başkasını çekiyor.</t>
        </is>
      </c>
      <c r="K1535" s="6" t="inlineStr">
        <is>
          <t>İkinci videoda cümleyi yanlış söyledin. Yanlışı daha çok yayıldı. İşine döndün; iş yerinde herkes sana yanlışını söylüyor, düzelttikçe daha çok gülüyorlar.</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-hat-girisimci, -hat-goc, -hat-hekim, -hat-koy, -hat-polis, -hat-politika, -hat-usta, -hat-yargi, -meslek-beyazyaka, -meslek-esnaf, -meslek-memur, hat-sohret,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row>
    <row r="1536">
      <c r="A1536" s="5" t="inlineStr">
        <is>
          <t>k10-serbest</t>
        </is>
      </c>
      <c r="B1536" s="5" t="n">
        <v>2</v>
      </c>
      <c r="C1536" s="6" t="inlineStr">
        <is>
          <t>Viral işinden ajans kur</t>
        </is>
      </c>
      <c r="D1536" s="5" t="inlineStr">
        <is>
          <t>Akıl</t>
        </is>
      </c>
      <c r="E1536" s="5" t="inlineStr">
        <is>
          <t>Orta</t>
        </is>
      </c>
      <c r="F1536" s="5" t="inlineStr"/>
      <c r="G1536" s="6" t="inlineStr"/>
      <c r="H1536" s="6" t="inlineStr">
        <is>
          <t>Viral olmayı bilmiyordun ama bilmeyenlere anlatmayı bildin. Ajansının ilk üç müşterisi var; biri komşunun oğlu.</t>
        </is>
      </c>
      <c r="I1536" s="6" t="inlineStr">
        <is>
          <t>İlk yılda on iki kişiyi viral yaptın. Kendi cümlen hâlâ en büyüğü; ofisin duvarına yazdırdın.</t>
        </is>
      </c>
      <c r="J1536" s="6" t="inlineStr">
        <is>
          <t>Logoyu bitirene kadar viral dalga çoktan geçmişti. Logo güzel oldu, müşteri yok. Eski işine döndün.</t>
        </is>
      </c>
      <c r="K1536" s="6" t="inlineStr">
        <is>
          <t>İlk müşterin viral cümleni tişörtlere bastırıp sattı; sana tek kuruş ödemeden. Tişörtten sen de bir tane aldın, indirimli. Eski işine döndün.</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-hat-goc, -hat-hekim, -hat-koy, -hat-polis, -hat-politika, -hat-sohret, -hat-usta, -hat-yargi, -meslek-beyazyaka, -meslek-esnaf, -meslek-memur, hat-girisimci,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row>
    <row r="1537">
      <c r="A1537" s="5" t="inlineStr">
        <is>
          <t>k10-serbest</t>
        </is>
      </c>
      <c r="B1537" s="5" t="n">
        <v>3</v>
      </c>
      <c r="C1537" s="6" t="inlineStr">
        <is>
          <t>Viral geçsin, işine dön</t>
        </is>
      </c>
      <c r="D1537" s="5" t="inlineStr"/>
      <c r="E1537" s="5" t="inlineStr"/>
      <c r="F1537" s="5" t="inlineStr">
        <is>
          <t>Dayanıklılık +1, İtibar +1</t>
        </is>
      </c>
      <c r="G1537" s="6" t="inlineStr">
        <is>
          <t>Telefonu sessize alıp işine döndün. İki hafta sonra kimse cümleyi hatırlamıyordu; bir tek annen, her telefonda onu söylüyor.</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row>
    <row r="1538">
      <c r="A1538" s="5" t="inlineStr">
        <is>
          <t>b7-hapis-kogus-ilk-gun</t>
        </is>
      </c>
      <c r="B1538" s="5" t="n">
        <v>1</v>
      </c>
      <c r="C1538" s="6" t="inlineStr">
        <is>
          <t>“Nasıl gelirse” de</t>
        </is>
      </c>
      <c r="D1538" s="5" t="inlineStr"/>
      <c r="E1538" s="5" t="inlineStr"/>
      <c r="F1538" s="5" t="inlineStr">
        <is>
          <t>Dayanıklılık +1, Sosyal Radar +1</t>
        </is>
      </c>
      <c r="G1538" s="6" t="inlineStr">
        <is>
          <t>Çaycı uzun uzun baktı, bardağını yarım şekerli doldurdu. Koğuşta adın “Nasıl Gelirse” oldu; en az tartışılan isim.</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row>
    <row r="1539">
      <c r="A1539" s="5" t="inlineStr">
        <is>
          <t>b7-hapis-kogus-ilk-gun</t>
        </is>
      </c>
      <c r="B1539" s="5" t="n">
        <v>2</v>
      </c>
      <c r="C1539" s="6" t="inlineStr">
        <is>
          <t>Tavla hiyerarşisine meydan oku</t>
        </is>
      </c>
      <c r="D1539" s="5" t="inlineStr">
        <is>
          <t>Kurnazlık</t>
        </is>
      </c>
      <c r="E1539" s="5" t="inlineStr">
        <is>
          <t>Orta</t>
        </is>
      </c>
      <c r="F1539" s="5" t="inlineStr"/>
      <c r="G1539" s="6" t="inlineStr"/>
      <c r="H1539" s="6" t="inlineStr">
        <is>
          <t>Koğuşun tavla şampiyonunu ilk gece yendin. Ertesi sabah yatağın pencere kenarına taşındı; güneş de sana geçti.</t>
        </is>
      </c>
      <c r="I1539" s="6" t="inlineStr">
        <is>
          <t>Şampiyonu mars ettin; şampiyon kendi zarlarını sana hediye etti. Koğuşta sana artık kimse “yeni” demiyor.</t>
        </is>
      </c>
      <c r="J1539" s="6" t="inlineStr">
        <is>
          <t>Şampiyon seni üç elde yendi, sonra pulları nasıl dizeceğini anlattı. Ücretsiz ders; bedeli bulaşık.</t>
        </is>
      </c>
      <c r="K1539" s="6" t="inlineStr">
        <is>
          <t>Zarı yatağın altına düşürdün. Aramaya eğildiğinde yatağını başkası almıştı.</t>
        </is>
      </c>
      <c r="L1539" s="6" t="inlineStr"/>
      <c r="M1539" s="5" t="inlineStr"/>
      <c r="N1539" s="5" t="inlineStr"/>
      <c r="O1539" s="6" t="inlineStr"/>
      <c r="P1539" s="6" t="inlineStr"/>
      <c r="Q1539" s="5" t="inlineStr"/>
      <c r="R1539" s="5" t="inlineStr"/>
      <c r="S1539" s="5" t="inlineStr"/>
      <c r="T1539" s="5" t="inlineStr"/>
      <c r="U1539" s="5" t="inlineStr"/>
      <c r="V1539" s="5" t="inlineStr">
        <is>
          <t>kogus-dostu</t>
        </is>
      </c>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row>
    <row r="1540">
      <c r="A1540" s="5" t="inlineStr">
        <is>
          <t>b7-hapis-kogus-ilk-gun</t>
        </is>
      </c>
      <c r="B1540" s="5" t="n">
        <v>3</v>
      </c>
      <c r="C1540" s="6" t="inlineStr">
        <is>
          <t>Çay ocağına gönüllü ol</t>
        </is>
      </c>
      <c r="D1540" s="5" t="inlineStr">
        <is>
          <t>Çene</t>
        </is>
      </c>
      <c r="E1540" s="5" t="inlineStr">
        <is>
          <t>Orta</t>
        </is>
      </c>
      <c r="F1540" s="5" t="inlineStr"/>
      <c r="G1540" s="6" t="inlineStr"/>
      <c r="H1540" s="6" t="inlineStr">
        <is>
          <t>Ocağa girdin; artık herkesin şeker sayısını ve derdini biliyorsun. Koğuşta çay kimdeyse söz de onda.</t>
        </is>
      </c>
      <c r="I1540" s="6" t="inlineStr">
        <is>
          <t>Çayın o kadar iyi ki gardiyanlar da mola saatinde uğruyor. Ocak artık senin; kapının yanında bir de taburen var.</t>
        </is>
      </c>
      <c r="J1540" s="6" t="inlineStr">
        <is>
          <t>Sabırsızlanıp çayı erken koydun. Koğuş sana bir hafta “Açık Çay” dedi.</t>
        </is>
      </c>
      <c r="K1540" s="6" t="inlineStr">
        <is>
          <t>Demliği devirdin, şeker listesi ıslandı. Kimin kaç şeker içtiği artık bilinmiyor; koğuş bir hafta küs.</t>
        </is>
      </c>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row>
    <row r="1541">
      <c r="A1541" s="5" t="inlineStr">
        <is>
          <t>b7-hapis-gorus-gunu</t>
        </is>
      </c>
      <c r="B1541" s="5" t="n">
        <v>1</v>
      </c>
      <c r="C1541" s="6" t="inlineStr">
        <is>
          <t>Yirmi dakikayı dinleyerek geçir</t>
        </is>
      </c>
      <c r="D1541" s="5" t="inlineStr"/>
      <c r="E1541" s="5" t="inlineStr"/>
      <c r="F1541" s="5" t="inlineStr">
        <is>
          <t>Sosyal Radar +1, Gönül +1</t>
        </is>
      </c>
      <c r="G1541" s="6" t="inlineStr">
        <is>
          <t>Hiç konuşmadın; annen mahallenin bütün haberlerini anlattı. Sonunda “Sen de bir şey söyle” dedi. “Yemekler güzel” dedin; ağladı.</t>
        </is>
      </c>
      <c r="H1541" s="6" t="inlineStr"/>
      <c r="I1541" s="6" t="inlineStr"/>
      <c r="J1541" s="6" t="inlineStr"/>
      <c r="K1541" s="6" t="inlineStr"/>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row>
    <row r="1542">
      <c r="A1542" s="5" t="inlineStr">
        <is>
          <t>b7-hapis-gorus-gunu</t>
        </is>
      </c>
      <c r="B1542" s="5" t="n">
        <v>2</v>
      </c>
      <c r="C1542" s="6" t="inlineStr">
        <is>
          <t>Her şey yolunda gibi göster</t>
        </is>
      </c>
      <c r="D1542" s="5" t="inlineStr">
        <is>
          <t>Pişkinlik</t>
        </is>
      </c>
      <c r="E1542" s="5" t="inlineStr">
        <is>
          <t>Orta</t>
        </is>
      </c>
      <c r="F1542" s="5" t="inlineStr"/>
      <c r="G1542" s="6" t="inlineStr"/>
      <c r="H1542" s="6" t="inlineStr">
        <is>
          <t>Koğuşu bir yurt gibi anlattın: tavla, çay, sohbet. Annen rahatladı: “Bari arkadaş edinmişsin.”</t>
        </is>
      </c>
      <c r="I1542" s="6" t="inlineStr">
        <is>
          <t>Öyle anlattın ki annen bir sonraki görüşe arkadaşların için de börek getirdi. Koğuşta itibarın iki tepsi arttı.</t>
        </is>
      </c>
      <c r="J1542" s="6" t="inlineStr">
        <is>
          <t>“Her şey yolunda” derken arkandan “Süre bitti” sesi geldi. Cümlen yarım kaldı; annen yarısına inandı.</t>
        </is>
      </c>
      <c r="K1542" s="6" t="inlineStr">
        <is>
          <t>Ahize elinden kaydı; kalan on dakikayı işaretle anlaştınız. Annen “Çorap” anladı; gelecek ay otuz çift çorap geldi.</t>
        </is>
      </c>
      <c r="L1542" s="6" t="inlineStr">
        <is>
          <t>Yüzün tuttu, sesin tutmadı. Annen “İyiyim” kelimesine inandı, titremesine inanmadı.</t>
        </is>
      </c>
      <c r="M1542" s="5" t="inlineStr">
        <is>
          <t>poker</t>
        </is>
      </c>
      <c r="N1542" s="5" t="inlineStr">
        <is>
          <t>Görüş Camı</t>
        </is>
      </c>
      <c r="O1542" s="6" t="inlineStr">
        <is>
          <t>Parmağını dairenin içinde tut. Annen camın öbür tarafından yüzüne bakıyor; kıpırdarsan anlar.</t>
        </is>
      </c>
      <c r="P1542" s="6" t="inlineStr">
        <is>
          <t>{"questions": ["Yemek veriyorlar mı?", "Üşüyor musun?", "Neden zayıfladın?", "Arkadaşların iyi mi?", "Bana bak bakayım."]}</t>
        </is>
      </c>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row>
    <row r="1543">
      <c r="A1543" s="5" t="inlineStr">
        <is>
          <t>b7-hapis-gorus-gunu</t>
        </is>
      </c>
      <c r="B1543" s="5" t="n">
        <v>3</v>
      </c>
      <c r="C1543" s="6" t="inlineStr">
        <is>
          <t>Dışarıdaki işleri ahizeden yönet</t>
        </is>
      </c>
      <c r="D1543" s="5" t="inlineStr">
        <is>
          <t>Kurnazlık</t>
        </is>
      </c>
      <c r="E1543" s="5" t="inlineStr">
        <is>
          <t>Orta</t>
        </is>
      </c>
      <c r="F1543" s="5" t="inlineStr"/>
      <c r="G1543" s="6" t="inlineStr"/>
      <c r="H1543" s="6" t="inlineStr">
        <is>
          <t>Annene üç talimat verdin: kira, sigorta, bir de dükkânın kepengi. Annen hepsini bir kâğıda yazıp buzdolabına astı.</t>
        </is>
      </c>
      <c r="I1543" s="6" t="inlineStr">
        <is>
          <t>Annen talimatları öyle iyi uyguladı ki dışarıda işler senin zamanından düzgün dönüyor. Çıkınca yerin olacak mı, emin değilsin.</t>
        </is>
      </c>
      <c r="J1543" s="6" t="inlineStr">
        <is>
          <t>Talimatları verdin; hat cızırdıyordu. Annen tek cümle duydu: “Sen üşüme yeter.”</t>
        </is>
      </c>
      <c r="K1543" s="6" t="inlineStr">
        <is>
          <t>Talimatların arasında bir kasa şifresi söyledin; yanlışını. Annen bir ay kasayla uğraştı; çilingir de artık seni tanıyor.</t>
        </is>
      </c>
      <c r="L1543" s="6" t="inlineStr"/>
      <c r="M1543" s="5" t="inlineStr"/>
      <c r="N1543" s="5" t="inlineStr"/>
      <c r="O1543" s="6" t="inlineStr"/>
      <c r="P1543" s="6" t="inlineStr"/>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row>
    <row r="1544">
      <c r="A1544" s="5" t="inlineStr">
        <is>
          <t>b7-hapis-gorus-gunu</t>
        </is>
      </c>
      <c r="B1544" s="5" t="n">
        <v>4</v>
      </c>
      <c r="C1544" s="6" t="inlineStr">
        <is>
          <t>Çocuğa bir masal anlat</t>
        </is>
      </c>
      <c r="D1544" s="5" t="inlineStr"/>
      <c r="E1544" s="5" t="inlineStr"/>
      <c r="F1544" s="5" t="inlineStr">
        <is>
          <t>Gönül +1</t>
        </is>
      </c>
      <c r="G1544" s="6" t="inlineStr">
        <is>
          <t>Yirmi dakikanın on beşini bir masala verdin: bir kral bir süre sarayda tatil yapıyormuş. Çocuk sonunu sordu. “Bir sonraki görüşte” dedin; söz verdin.</t>
        </is>
      </c>
      <c r="H1544" s="6" t="inlineStr"/>
      <c r="I1544" s="6" t="inlineStr"/>
      <c r="J1544" s="6" t="inlineStr"/>
      <c r="K1544" s="6" t="inlineStr"/>
      <c r="L1544" s="6" t="inlineStr"/>
      <c r="M1544" s="5" t="inlineStr"/>
      <c r="N1544" s="5" t="inlineStr"/>
      <c r="O1544" s="6" t="inlineStr"/>
      <c r="P1544" s="6" t="inlineStr"/>
      <c r="Q1544" s="5" t="inlineStr"/>
      <c r="R1544" s="5" t="inlineStr">
        <is>
          <t>cocuklu</t>
        </is>
      </c>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row>
    <row r="1545">
      <c r="A1545" s="5" t="inlineStr">
        <is>
          <t>b7-hapis-islah-kursu</t>
        </is>
      </c>
      <c r="B1545" s="5" t="n">
        <v>1</v>
      </c>
      <c r="C1545" s="6" t="inlineStr">
        <is>
          <t>Sabun yapımına yazıl</t>
        </is>
      </c>
      <c r="D1545" s="5" t="inlineStr"/>
      <c r="E1545" s="5" t="inlineStr"/>
      <c r="F1545" s="5" t="inlineStr">
        <is>
          <t>Dayanıklılık +1, Akıl +1</t>
        </is>
      </c>
      <c r="G1545" s="6" t="inlineStr">
        <is>
          <t>Üç ayda lavanta kokulu kırk sabun yaptın. Sertifikan var; koğuş da artık lavanta kokuyor. Kokuya en çok gardiyan alıştı.</t>
        </is>
      </c>
      <c r="H1545" s="6" t="inlineStr"/>
      <c r="I1545" s="6" t="inlineStr"/>
      <c r="J1545" s="6" t="inlineStr"/>
      <c r="K1545" s="6" t="inlineStr"/>
      <c r="L1545" s="6" t="inlineStr"/>
      <c r="M1545" s="5" t="inlineStr"/>
      <c r="N1545" s="5" t="inlineStr"/>
      <c r="O1545" s="6" t="inlineStr"/>
      <c r="P1545" s="6" t="inlineStr"/>
      <c r="Q1545" s="5" t="inlineStr"/>
      <c r="R1545" s="5" t="inlineStr"/>
      <c r="S1545" s="5" t="inlineStr"/>
      <c r="T1545" s="5" t="inlineStr"/>
      <c r="U1545" s="5" t="inlineStr">
        <is>
          <t>islah-sertifikasi</t>
        </is>
      </c>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row>
    <row r="1546">
      <c r="A1546" s="5" t="inlineStr">
        <is>
          <t>b7-hapis-islah-kursu</t>
        </is>
      </c>
      <c r="B1546" s="5" t="n">
        <v>2</v>
      </c>
      <c r="C1546" s="6" t="inlineStr">
        <is>
          <t>Ahşap oymacılığında ustalaş</t>
        </is>
      </c>
      <c r="D1546" s="5" t="inlineStr">
        <is>
          <t>Dayanıklılık</t>
        </is>
      </c>
      <c r="E1546" s="5" t="inlineStr">
        <is>
          <t>Orta</t>
        </is>
      </c>
      <c r="F1546" s="5" t="inlineStr"/>
      <c r="G1546" s="6" t="inlineStr"/>
      <c r="H1546" s="6" t="inlineStr">
        <is>
          <t>İlk kaşık yamuk, ikincisi tahta, üçüncüsü kaşık. Sertifika töreninde müdür kaşığını evine götürdü.</t>
        </is>
      </c>
      <c r="I1546" s="6" t="inlineStr">
        <is>
          <t>Oyduğun tavla takımı cezaevi sergisinde birinci oldu. Koğuşun turnuvası artık senin tahtanda oynanıyor.</t>
        </is>
      </c>
      <c r="J1546" s="6" t="inlineStr">
        <is>
          <t>Kaşık olacaktı, kürdan oldu. Kürdanları koğuşa dağıttın; herkes seni sevdi ama sertifika yok.</t>
        </is>
      </c>
      <c r="K1546" s="6" t="inlineStr">
        <is>
          <t>Tahtayı yanlış yerinden oydun; elinde bir “eser” kaldı. Hoca adını “Soyut Dönem” koydu; koğuşta öyle çağrılıyorsun.</t>
        </is>
      </c>
      <c r="L1546" s="6" t="inlineStr"/>
      <c r="M1546" s="5" t="inlineStr"/>
      <c r="N1546" s="5" t="inlineStr"/>
      <c r="O1546" s="6" t="inlineStr"/>
      <c r="P1546" s="6" t="inlineStr"/>
      <c r="Q1546" s="5" t="inlineStr"/>
      <c r="R1546" s="5" t="inlineStr"/>
      <c r="S1546" s="5" t="inlineStr"/>
      <c r="T1546" s="5" t="inlineStr"/>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is>
          <t>Soyut Dönem</t>
        </is>
      </c>
    </row>
    <row r="1547">
      <c r="A1547" s="5" t="inlineStr">
        <is>
          <t>b7-hapis-islah-kursu</t>
        </is>
      </c>
      <c r="B1547" s="5" t="n">
        <v>3</v>
      </c>
      <c r="C1547" s="6" t="inlineStr">
        <is>
          <t>Kişisel gelişim kursunu devral</t>
        </is>
      </c>
      <c r="D1547" s="5" t="inlineStr">
        <is>
          <t>Pişkinlik</t>
        </is>
      </c>
      <c r="E1547" s="5" t="inlineStr">
        <is>
          <t>Zor</t>
        </is>
      </c>
      <c r="F1547" s="5" t="inlineStr"/>
      <c r="G1547" s="6" t="inlineStr"/>
      <c r="H1547" s="6" t="inlineStr">
        <is>
          <t>Hocayı bir haftada koltuğundan ettin; derse artık sen giriyorsun. Konu: “Koğuşta Verimlilik.” Katılım zorunlu değil ama başka program yok.</t>
        </is>
      </c>
      <c r="I1547" s="6" t="inlineStr">
        <is>
          <t>Derslerin öyle tuttu ki öbür koğuşlar da istedi. Müdür dosyana “örnek kursiyer” yazdı; af söylentilerinde adın geçiyor.</t>
        </is>
      </c>
      <c r="J1547" s="6" t="inlineStr">
        <is>
          <t>Hoca seni ön sıraya oturtup bütün dönem yalnızca sana soru sordu. Kişisel gelişimin boyun tutulması oldu.</t>
        </is>
      </c>
      <c r="K1547" s="6" t="inlineStr">
        <is>
          <t>Derste eski hocayı taklit ettin, o da seni. Koğuş ikinizi karıştırıyor; mektupların ona gidiyor.</t>
        </is>
      </c>
      <c r="L1547" s="6" t="inlineStr"/>
      <c r="M1547" s="5" t="inlineStr"/>
      <c r="N1547" s="5" t="inlineStr"/>
      <c r="O1547" s="6" t="inlineStr"/>
      <c r="P1547" s="6" t="inlineStr"/>
      <c r="Q1547" s="5" t="inlineStr"/>
      <c r="R1547" s="5" t="inlineStr"/>
      <c r="S1547" s="5" t="inlineStr"/>
      <c r="T1547" s="5" t="inlineStr">
        <is>
          <t>Tezgâh Ağzı</t>
        </is>
      </c>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row>
    <row r="1548">
      <c r="A1548" s="5" t="inlineStr">
        <is>
          <t>b7-hapis-af-soylentisi</t>
        </is>
      </c>
      <c r="B1548" s="5" t="n">
        <v>1</v>
      </c>
      <c r="C1548" s="6" t="inlineStr">
        <is>
          <t>Söylentiye inanma, günleri say</t>
        </is>
      </c>
      <c r="D1548" s="5" t="inlineStr"/>
      <c r="E1548" s="5" t="inlineStr"/>
      <c r="F1548" s="5" t="inlineStr">
        <is>
          <t>Dayanıklılık +1</t>
        </is>
      </c>
      <c r="G1548" s="6" t="inlineStr">
        <is>
          <t>Duvara çizgiler çektin; söylentiye değil çizgilere güvendin. Af çıkmadı; çizgilerin doğru çıktı.</t>
        </is>
      </c>
      <c r="H1548" s="6" t="inlineStr"/>
      <c r="I1548" s="6" t="inlineStr"/>
      <c r="J1548" s="6" t="inlineStr"/>
      <c r="K1548" s="6" t="inlineStr"/>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row>
    <row r="1549">
      <c r="A1549" s="5" t="inlineStr">
        <is>
          <t>b7-hapis-af-soylentisi</t>
        </is>
      </c>
      <c r="B1549" s="5" t="n">
        <v>2</v>
      </c>
      <c r="C1549" s="6" t="inlineStr">
        <is>
          <t>Söylentiyi büyüt</t>
        </is>
      </c>
      <c r="D1549" s="5" t="inlineStr">
        <is>
          <t>Çene</t>
        </is>
      </c>
      <c r="E1549" s="5" t="inlineStr">
        <is>
          <t>Orta</t>
        </is>
      </c>
      <c r="F1549" s="5" t="inlineStr"/>
      <c r="G1549" s="6" t="inlineStr"/>
      <c r="H1549" s="6" t="inlineStr">
        <is>
          <t>Söylentiye bir tarih, bir madde numarası ve bir “kaynak” ekledin. Koğuş iki hafta mutlu yaşadı; iki hafta az değil.</t>
        </is>
      </c>
      <c r="I1549" s="6" t="inlineStr">
        <is>
          <t>Söylentin öyle sağlam oldu ki öbür koğuşlar tarihi senden teyit ediyor. Af çıkmadı ama kaynak olarak ünlüsün.</t>
        </is>
      </c>
      <c r="J1549" s="6" t="inlineStr">
        <is>
          <t>Söylentiyi büyütmek istedin; çaycı düzeltti: “O madde geçen yıl konuşuldu.” Kaynaklık çaycıda kaldı.</t>
        </is>
      </c>
      <c r="K1549" s="6" t="inlineStr">
        <is>
          <t>Söylentin gardiyanlara kadar ulaştı; onlar da inanıp izin planı yaptı. Af çıkmayınca kimse sana çay vermedi.</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row>
    <row r="1550">
      <c r="A1550" s="5" t="inlineStr">
        <is>
          <t>b7-hapis-af-soylentisi</t>
        </is>
      </c>
      <c r="B1550" s="5" t="n">
        <v>3</v>
      </c>
      <c r="C1550" s="6" t="inlineStr">
        <is>
          <t>Avukata mektup yaz</t>
        </is>
      </c>
      <c r="D1550" s="5" t="inlineStr">
        <is>
          <t>Akıl</t>
        </is>
      </c>
      <c r="E1550" s="5" t="inlineStr">
        <is>
          <t>Orta</t>
        </is>
      </c>
      <c r="F1550" s="5" t="inlineStr"/>
      <c r="G1550" s="6" t="inlineStr"/>
      <c r="H1550" s="6" t="inlineStr">
        <is>
          <t>Mektubu madde numaralarıyla üç kez yazdın. Avukat cevap verdi: “Dosyanda iyi hâl indirimi var.” Çıkış tarihini takvime işledin.</t>
        </is>
      </c>
      <c r="I1550" s="6" t="inlineStr">
        <is>
          <t>Avukat mektubunu öbür müvekkillerine örnek gösteriyor. İyi hâl dosyan kalınlaştı; kapı görünür oldu.</t>
        </is>
      </c>
      <c r="J1550" s="6" t="inlineStr">
        <is>
          <t>Avukat cevap vermedi; mektubu yanlış adrese göndermişsin. Başka bir avukat okudu, kartvizit yolladı.</t>
        </is>
      </c>
      <c r="K1550" s="6" t="inlineStr">
        <is>
          <t>Avukatın adını yanlış yazdın. Cevap geldi: “Ben o değilim ama geçmiş olsun.” Bir de fatura.</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row>
    <row r="1551">
      <c r="A1551" s="5" t="inlineStr">
        <is>
          <t>b7-cezaevi-kapisi</t>
        </is>
      </c>
      <c r="B1551" s="5" t="n">
        <v>1</v>
      </c>
      <c r="C1551" s="6" t="inlineStr">
        <is>
          <t>Islah kursundan esnaflığa geç</t>
        </is>
      </c>
      <c r="D1551" s="5" t="inlineStr"/>
      <c r="E1551" s="5" t="inlineStr"/>
      <c r="F1551" s="5" t="inlineStr">
        <is>
          <t>Dayanıklılık +1, İtibar +1</t>
        </is>
      </c>
      <c r="G1551" s="6" t="inlineStr">
        <is>
          <t>Mahallede küçük bir dükkân kiraladın; tabelaya “Kursta öğrendim” yazdırdın. İlk gün annen kapıya bir saksı fesleğen koydu: “Nazar değmesin.”</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-hat-cete, -hat-dolandirici, -hat-girisimci, -hat-goc, -hat-hekim, -hat-koy, -hat-polis, -hat-politika, -hat-sohret, -hat-usta, -hat-yargi, -meslek-beyazyaka, -meslek-memur, -meslek-serbest, meslek-esnaf, -hapis, eski-hukumlu</t>
        </is>
      </c>
      <c r="V1551" s="5" t="inlineStr"/>
      <c r="W1551" s="5" t="inlineStr"/>
      <c r="X1551" s="5" t="inlineStr"/>
      <c r="Y1551" s="5" t="inlineStr"/>
      <c r="Z1551" s="6" t="inlineStr"/>
      <c r="AA1551" s="5" t="inlineStr"/>
      <c r="AB1551" s="5" t="inlineStr"/>
      <c r="AC1551" s="5" t="inlineStr"/>
      <c r="AD1551" s="5" t="inlineStr">
        <is>
          <t>Kıt</t>
        </is>
      </c>
      <c r="AE1551" s="5" t="inlineStr"/>
      <c r="AF1551" s="5" t="inlineStr"/>
      <c r="AG1551" s="5" t="inlineStr"/>
      <c r="AH1551" s="5" t="inlineStr"/>
      <c r="AI1551" s="5" t="inlineStr"/>
    </row>
    <row r="1552">
      <c r="A1552" s="5" t="inlineStr">
        <is>
          <t>b7-cezaevi-kapisi</t>
        </is>
      </c>
      <c r="B1552" s="5" t="n">
        <v>2</v>
      </c>
      <c r="C1552" s="6" t="inlineStr">
        <is>
          <t>Eski işine dön</t>
        </is>
      </c>
      <c r="D1552" s="5" t="inlineStr"/>
      <c r="E1552" s="5" t="inlineStr"/>
      <c r="F1552" s="5" t="inlineStr">
        <is>
          <t>Pişkinlik +1, Cesaret +1</t>
        </is>
      </c>
      <c r="G1552" s="6" t="inlineStr">
        <is>
          <t>Eski telefonunu açtın: kırk iki cevapsız arama. Hiçbiri seni özlememiş, hepsi işi soruyor. Kaldığın yerden devam; biraz daha dikkatli.</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-hapis, eski-hukumlu</t>
        </is>
      </c>
      <c r="V1552" s="5" t="inlineStr"/>
      <c r="W1552" s="5" t="inlineStr"/>
      <c r="X1552" s="5" t="inlineStr"/>
      <c r="Y1552" s="5" t="inlineStr"/>
      <c r="Z1552" s="6" t="inlineStr"/>
      <c r="AA1552" s="5" t="inlineStr"/>
      <c r="AB1552" s="5" t="inlineStr"/>
      <c r="AC1552" s="5" t="inlineStr"/>
      <c r="AD1552" s="5" t="inlineStr"/>
      <c r="AE1552" s="5" t="inlineStr"/>
      <c r="AF1552" s="5" t="inlineStr"/>
      <c r="AG1552" s="5" t="inlineStr"/>
      <c r="AH1552" s="5" t="inlineStr"/>
      <c r="AI1552" s="5" t="inlineStr"/>
    </row>
    <row r="1553">
      <c r="A1553" s="5" t="inlineStr">
        <is>
          <t>b7-cezaevi-kapisi</t>
        </is>
      </c>
      <c r="B1553" s="5" t="n">
        <v>3</v>
      </c>
      <c r="C1553" s="6" t="inlineStr">
        <is>
          <t>Koğuş anılarını kitap yap</t>
        </is>
      </c>
      <c r="D1553" s="5" t="inlineStr">
        <is>
          <t>Çene</t>
        </is>
      </c>
      <c r="E1553" s="5" t="inlineStr">
        <is>
          <t>Zor</t>
        </is>
      </c>
      <c r="F1553" s="5" t="inlineStr"/>
      <c r="G1553" s="6" t="inlineStr"/>
      <c r="H1553" s="6" t="inlineStr">
        <is>
          <t>“Koğuşta Çay Nasıl Demlenir” çıktı. İlk imza gününe çaycı da geldi; kitaba bakmadan “Şekeri az yazmışsın” dedi.</t>
        </is>
      </c>
      <c r="I1553" s="6" t="inlineStr">
        <is>
          <t>Kitap çok satanlar rafında. Bir yapımcı dizisini çekmek istiyor; sen kendi rolünü oynamak istedin, kabul etti.</t>
        </is>
      </c>
      <c r="J1553" s="6" t="inlineStr">
        <is>
          <t>Kitabı yazdın, yayınevi “Bu fazla gerçekçi” dedi. Taslak çekmecede; sen eski hayatına dönüyorsun.</t>
        </is>
      </c>
      <c r="K1553" s="6" t="inlineStr">
        <is>
          <t>Kitaba bütün koğuşun lakaplarını yazdın. Basılmadı ama koğuşta okundu; kırk mektup geldi, hepsi düzeltme istiyor.</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-hat-politika, -hat-usta, -hat-yargi, -meslek-beyazyaka, -meslek-esnaf, -meslek-memur, hat-sohret, meslek-serbest,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row>
    <row r="1554">
      <c r="A1554" s="5" t="inlineStr">
        <is>
          <t>b7-cezaevi-kapisi</t>
        </is>
      </c>
      <c r="B1554" s="5" t="n">
        <v>4</v>
      </c>
      <c r="C1554" s="6" t="inlineStr">
        <is>
          <t>“Sistemi içeriden tanıyorum” diye siyasete gir</t>
        </is>
      </c>
      <c r="D1554" s="5" t="inlineStr">
        <is>
          <t>Pişkinlik</t>
        </is>
      </c>
      <c r="E1554" s="5" t="inlineStr">
        <is>
          <t>Zor</t>
        </is>
      </c>
      <c r="F1554" s="5" t="inlineStr"/>
      <c r="G1554" s="6" t="inlineStr"/>
      <c r="H1554" s="6" t="inlineStr">
        <is>
          <t>Slogan tuttu. Bir partinin ilçe teşkilatı seni kapıda karşıladı; ilk mitingde en önde koğuştan çıkmış arkadaşların alkışlıyordu.</t>
        </is>
      </c>
      <c r="I1554" s="6" t="inlineStr">
        <is>
          <t>Sloganın afişlere basıldı. Rakiplerinin geçmişi sorulunca “Benimki belli” diyorsun; salon ayağa kalkıyor.</t>
        </is>
      </c>
      <c r="J1554" s="6" t="inlineStr">
        <is>
          <t>Parti binasında sloganını söyledin. Kapıdaki görevli “İçeriyi bilmeyen yok zaten” dedi. Eski hayatına döndün.</t>
        </is>
      </c>
      <c r="K1554" s="6" t="inlineStr">
        <is>
          <t>Eski hayatına döndün; ama önce kürsüde “Sistemi içeriden tanıyorum” dedin ve arkadan biri bağırdı: “Biz de seni içeriden tanıyoruz.”</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-hat-sohret, -hat-usta, -hat-yargi, -meslek-beyazyaka, -meslek-esnaf, -meslek-memur, -meslek-serbest, hat-politika,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row>
    <row r="1555">
      <c r="A1555" s="5" t="inlineStr">
        <is>
          <t>b7-cezaevi-kapisi</t>
        </is>
      </c>
      <c r="B1555" s="5" t="n">
        <v>5</v>
      </c>
      <c r="C1555" s="6" t="inlineStr">
        <is>
          <t>Mahallenin kefaletiyle iş bul</t>
        </is>
      </c>
      <c r="D1555" s="5" t="inlineStr"/>
      <c r="E1555" s="5" t="inlineStr"/>
      <c r="F1555" s="5" t="inlineStr">
        <is>
          <t>İtibar +1, Dayanıklılık +1</t>
        </is>
      </c>
      <c r="G1555" s="6" t="inlineStr">
        <is>
          <t>Kapıda seni çarşının en eski esnafı bekliyordu: “Senin için söz verdim, dükkânın arka tarafı senin.” Mahallede kimse geçmişini sormadı; sordurmadılar.</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is>
          <t>-hat-cete, -hat-dolandirici, -hat-girisimci, -hat-goc, -hat-hekim, -hat-koy, -hat-polis, -hat-politika, -hat-sohret, -hat-usta, -hat-yargi, -meslek-beyazyaka, -meslek-memur, -meslek-serbest, meslek-esnaf, -hapis, eski-hukumlu, -ceza-indirimi</t>
        </is>
      </c>
      <c r="V1555" s="5" t="inlineStr"/>
      <c r="W1555" s="5" t="inlineStr"/>
      <c r="X1555" s="5" t="inlineStr"/>
      <c r="Y1555" s="5" t="inlineStr"/>
      <c r="Z1555" s="6" t="inlineStr"/>
      <c r="AA1555" s="5" t="inlineStr"/>
      <c r="AB1555" s="5" t="inlineStr"/>
      <c r="AC1555" s="5" t="inlineStr"/>
      <c r="AD1555" s="5" t="inlineStr">
        <is>
          <t>Kıt</t>
        </is>
      </c>
      <c r="AE1555" s="5" t="inlineStr"/>
      <c r="AF1555" s="5" t="inlineStr"/>
      <c r="AG1555" s="5" t="inlineStr"/>
      <c r="AH1555" s="5" t="inlineStr">
        <is>
          <t>İtibar 43</t>
        </is>
      </c>
      <c r="AI1555" s="5" t="inlineStr"/>
    </row>
    <row r="1556">
      <c r="A1556" s="5" t="inlineStr">
        <is>
          <t>b8-hapis-tavla-turnuvasi</t>
        </is>
      </c>
      <c r="B1556" s="5" t="n">
        <v>1</v>
      </c>
      <c r="C1556" s="6" t="inlineStr">
        <is>
          <t>Hikmet Amca'ya kazandır</t>
        </is>
      </c>
      <c r="D1556" s="5" t="inlineStr"/>
      <c r="E1556" s="5" t="inlineStr"/>
      <c r="F1556" s="5" t="inlineStr">
        <is>
          <t>İtibar +1, Sosyal Radar +1</t>
        </is>
      </c>
      <c r="G1556" s="6" t="inlineStr">
        <is>
          <t>Son elde bir pulu bile bile açık bıraktın. Hikmet Amca kazandı, Fikriye'yi öptü. Akşam koğuşuna bir tepsi revani geldi; notta tek kelime: “Gördüm.”</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c r="V1556" s="5" t="inlineStr"/>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row>
    <row r="1557">
      <c r="A1557" s="5" t="inlineStr">
        <is>
          <t>b8-hapis-tavla-turnuvasi</t>
        </is>
      </c>
      <c r="B1557" s="5" t="n">
        <v>2</v>
      </c>
      <c r="C1557" s="6" t="inlineStr">
        <is>
          <t>Kazanmak için oyna</t>
        </is>
      </c>
      <c r="D1557" s="5" t="inlineStr">
        <is>
          <t>Kurnazlık</t>
        </is>
      </c>
      <c r="E1557" s="5" t="inlineStr">
        <is>
          <t>Zor</t>
        </is>
      </c>
      <c r="F1557" s="5" t="inlineStr"/>
      <c r="G1557" s="6" t="inlineStr"/>
      <c r="H1557" s="6" t="inlineStr">
        <is>
          <t>Üç elin ikisini aldın. Hikmet Amca elini sıktı: “Nuriye bugün küstü.” Kupa, boş bir reçel kavanozu, artık pencerende.</t>
        </is>
      </c>
      <c r="I1557" s="6" t="inlineStr">
        <is>
          <t>Mars! Hikmet Amca zarlarından birini sana verdi: “Nuriye artık senin.” Koğuşta sana kimse yenilgi hatırlatamaz.</t>
        </is>
      </c>
      <c r="J1557" s="6" t="inlineStr">
        <is>
          <t>Hikmet Amca seni sakin sakin yendi. Kupayı aldı, sonra sana verdi: “Bende otuz tane var.”</t>
        </is>
      </c>
      <c r="K1557" s="6" t="inlineStr">
        <is>
          <t>Zarı öyle hırsla attın ki Hikmet Amca'nın çay bardağına düştü. Altı geldi. Hikmet Amca “Çaydan gelen sayılmaz” dedi; koğuş ikiye bölündü, Hikmet Amca bir ay konuşmadı.</t>
        </is>
      </c>
      <c r="L1557" s="6" t="inlineStr"/>
      <c r="M1557" s="5" t="inlineStr"/>
      <c r="N1557" s="5" t="inlineStr"/>
      <c r="O1557" s="6" t="inlineStr"/>
      <c r="P1557" s="6" t="inlineStr"/>
      <c r="Q1557" s="5" t="inlineStr"/>
      <c r="R1557" s="5" t="inlineStr"/>
      <c r="S1557" s="5" t="inlineStr"/>
      <c r="T1557" s="5" t="inlineStr">
        <is>
          <t>Tavla Kurdu</t>
        </is>
      </c>
      <c r="U1557" s="5" t="inlineStr"/>
      <c r="V1557" s="5" t="inlineStr">
        <is>
          <t>kogus-dostu</t>
        </is>
      </c>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row>
    <row r="1558">
      <c r="A1558" s="5" t="inlineStr">
        <is>
          <t>b8-hapis-tavla-turnuvasi</t>
        </is>
      </c>
      <c r="B1558" s="5" t="n">
        <v>3</v>
      </c>
      <c r="C1558" s="6" t="inlineStr">
        <is>
          <t>Turnuvanın hakemi ol</t>
        </is>
      </c>
      <c r="D1558" s="5" t="inlineStr">
        <is>
          <t>Sosyal Radar</t>
        </is>
      </c>
      <c r="E1558" s="5" t="inlineStr">
        <is>
          <t>Orta</t>
        </is>
      </c>
      <c r="F1558" s="5" t="inlineStr"/>
      <c r="G1558" s="6" t="inlineStr"/>
      <c r="H1558" s="6" t="inlineStr">
        <is>
          <t>İki itiraz, bir zar kontrolü, sıfır kavga. Müdür raporuna turnuvanın bu yıl “sakin” geçtiğini yazdı.</t>
        </is>
      </c>
      <c r="I1558" s="6" t="inlineStr">
        <is>
          <t>Öyle tarafsızdın ki gardiyanlar da kendi turnuvalarına seni çağırdı. Koyduğun kurallar hâlâ geçerli.</t>
        </is>
      </c>
      <c r="J1558" s="6" t="inlineStr">
        <is>
          <t>Bir itirazda “Tekrar atın” dedin; iki taraf da kızdı. Kalan maçları çaycı yönetti.</t>
        </is>
      </c>
      <c r="K1558" s="6" t="inlineStr">
        <is>
          <t>Finalde “Kırık zar, yeniden atın!” dedin. Zar dümdüz duruyordu; Hikmet Amca'nın Nuriye'siydi. İki koğuş birden sana döndü; bir hafta yemekhanede tek başına oturdun.</t>
        </is>
      </c>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row>
    <row r="1559">
      <c r="A1559" s="5" t="inlineStr">
        <is>
          <t>b8-hapis-mektup</t>
        </is>
      </c>
      <c r="B1559" s="5" t="n">
        <v>1</v>
      </c>
      <c r="C1559" s="6" t="inlineStr">
        <is>
          <t>Önce kendi ailene yaz</t>
        </is>
      </c>
      <c r="D1559" s="5" t="inlineStr"/>
      <c r="E1559" s="5" t="inlineStr"/>
      <c r="F1559" s="5" t="inlineStr">
        <is>
          <t>Dayanıklılık +1, Gönül +1</t>
        </is>
      </c>
      <c r="G1559" s="6" t="inlineStr">
        <is>
          <t>Üç sayfa yazdın; ikisi hava durumuydu. Cevap iki ay sonra geldi: “Hava burada da öyle.” Satır arasını anladın.</t>
        </is>
      </c>
      <c r="H1559" s="6" t="inlineStr"/>
      <c r="I1559" s="6" t="inlineStr"/>
      <c r="J1559" s="6" t="inlineStr"/>
      <c r="K1559" s="6" t="inlineStr"/>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row>
    <row r="1560">
      <c r="A1560" s="5" t="inlineStr">
        <is>
          <t>b8-hapis-mektup</t>
        </is>
      </c>
      <c r="B1560" s="5" t="n">
        <v>2</v>
      </c>
      <c r="C1560" s="6" t="inlineStr">
        <is>
          <t>Koğuşun mektup kâtibi ol</t>
        </is>
      </c>
      <c r="D1560" s="5" t="inlineStr">
        <is>
          <t>Çene</t>
        </is>
      </c>
      <c r="E1560" s="5" t="inlineStr">
        <is>
          <t>Orta</t>
        </is>
      </c>
      <c r="F1560" s="5" t="inlineStr"/>
      <c r="G1560" s="6" t="inlineStr"/>
      <c r="H1560" s="6" t="inlineStr">
        <is>
          <t>Bir ayda kırk mektup yazdın. Delikanlının annesi cevap verdi, sana da selam yolladı. Koğuşta adın artık “Kâtip.”</t>
        </is>
      </c>
      <c r="I1560" s="6" t="inlineStr">
        <is>
          <t>Yaşlı adamın eski sevgilisi cevap yazdı; görüşe geliyor. Koğuş bir hafta boyunca adamın saçını taradı.</t>
        </is>
      </c>
      <c r="J1560" s="6" t="inlineStr">
        <is>
          <t>Zarfları karıştırdın; vergi dairesinin mektubu delikanlının annesine gitti. Kadın oğlunun borcu sanıp ödedi. Borç başkasınınmış; o da şimdi teşekkür mektubu istiyor.</t>
        </is>
      </c>
      <c r="K1560" s="6" t="inlineStr">
        <is>
          <t>Delikanlının mektubunu fazla süsledin. Annesi “Bunu sen yazmamışsın” diye cevap verdi; delikanlı bir hafta seninle konuşmadı.</t>
        </is>
      </c>
      <c r="L1560" s="6" t="inlineStr"/>
      <c r="M1560" s="5" t="inlineStr"/>
      <c r="N1560" s="5" t="inlineStr"/>
      <c r="O1560" s="6" t="inlineStr"/>
      <c r="P1560" s="6" t="inlineStr"/>
      <c r="Q1560" s="5" t="inlineStr"/>
      <c r="R1560" s="5" t="inlineStr"/>
      <c r="S1560" s="5" t="inlineStr"/>
      <c r="T1560" s="5" t="inlineStr"/>
      <c r="U1560" s="5" t="inlineStr"/>
      <c r="V1560" s="5" t="inlineStr">
        <is>
          <t>kogus-dostu</t>
        </is>
      </c>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row>
    <row r="1561">
      <c r="A1561" s="5" t="inlineStr">
        <is>
          <t>b8-hapis-mektup</t>
        </is>
      </c>
      <c r="B1561" s="5" t="n">
        <v>3</v>
      </c>
      <c r="C1561" s="6" t="inlineStr">
        <is>
          <t>Vergi dairesinin mektubunu üstlen</t>
        </is>
      </c>
      <c r="D1561" s="5" t="inlineStr">
        <is>
          <t>Kurnazlık</t>
        </is>
      </c>
      <c r="E1561" s="5" t="inlineStr">
        <is>
          <t>Orta</t>
        </is>
      </c>
      <c r="F1561" s="5" t="inlineStr"/>
      <c r="G1561" s="6" t="inlineStr"/>
      <c r="H1561" s="6" t="inlineStr">
        <is>
          <t>Öyle kibar bir mektup yazdın ki cevap geldi: gecikme faizi silinmiş. Koğuşta artık danışman sayılıyorsun.</t>
        </is>
      </c>
      <c r="I1561" s="6" t="inlineStr">
        <is>
          <t>Mektup öyle resmî oldu ki daire aynı şablonu istedi. Artık dışarıya form yazıyorsun; ücretsiz ama itibarlı.</t>
        </is>
      </c>
      <c r="J1561" s="6" t="inlineStr">
        <is>
          <t>Daire “Dilekçenizi şahsen veriniz” diye cevap yazdı. Şahsen gitmek şu an biraz zor.</t>
        </is>
      </c>
      <c r="K1561" s="6" t="inlineStr">
        <is>
          <t>Dosya numarasını yanlış yazdın; başka birinin borcu da koğuş arkadaşına geldi. Adam iki kişinin borcunu ödüyor, seni affetmiyor.</t>
        </is>
      </c>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row>
    <row r="1562">
      <c r="A1562" s="5" t="inlineStr">
        <is>
          <t>b8-hapis-cay-ocagi</t>
        </is>
      </c>
      <c r="B1562" s="5" t="n">
        <v>1</v>
      </c>
      <c r="C1562" s="6" t="inlineStr">
        <is>
          <t>Demliği Erol'a bırak</t>
        </is>
      </c>
      <c r="D1562" s="5" t="inlineStr"/>
      <c r="E1562" s="5" t="inlineStr"/>
      <c r="F1562" s="5" t="inlineStr">
        <is>
          <t>İtibar +1, Sosyal Radar +1</t>
        </is>
      </c>
      <c r="G1562" s="6" t="inlineStr">
        <is>
          <t>“Genç öğrensin” dedin. Erol ilk hafta çayı acı demledi, ikinci hafta öğrendi. Senin bardağın her sabah ilk dolan.</t>
        </is>
      </c>
      <c r="H1562" s="6" t="inlineStr"/>
      <c r="I1562" s="6" t="inlineStr"/>
      <c r="J1562" s="6" t="inlineStr"/>
      <c r="K1562" s="6" t="inlineStr"/>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row>
    <row r="1563">
      <c r="A1563" s="5" t="inlineStr">
        <is>
          <t>b8-hapis-cay-ocagi</t>
        </is>
      </c>
      <c r="B1563" s="5" t="n">
        <v>2</v>
      </c>
      <c r="C1563" s="6" t="inlineStr">
        <is>
          <t>Erol'la demleme yarışına gir</t>
        </is>
      </c>
      <c r="D1563" s="5" t="inlineStr">
        <is>
          <t>Dayanıklılık</t>
        </is>
      </c>
      <c r="E1563" s="5" t="inlineStr">
        <is>
          <t>Orta</t>
        </is>
      </c>
      <c r="F1563" s="5" t="inlineStr"/>
      <c r="G1563" s="6" t="inlineStr"/>
      <c r="H1563" s="6" t="inlineStr">
        <is>
          <t>Üç demlik, üç tur, jüri bütün koğuş. Kazandın. Erol bardağını uzattı: “Bir tane daha koy; nasıl yaptığını hâlâ anlamadım.”</t>
        </is>
      </c>
      <c r="I1563" s="6" t="inlineStr">
        <is>
          <t>Çayın öyle iyi oldu ki eski çaycı tahliyesini bir gün erteletmek istedi. Olmadı; gönlü sende kaldı, demlik de.</t>
        </is>
      </c>
      <c r="J1563" s="6" t="inlineStr">
        <is>
          <t>Erol kazandı. Çayı gerçekten iyiydi; sen de kabul ettin, bir bardak daha isteyerek.</t>
        </is>
      </c>
      <c r="K1563" s="6" t="inlineStr">
        <is>
          <t>Demliği ocakta unuttun, çay kömüre döndü. Koğuş bütün öğleden sonra yanık koktu; eski çaycı kapıdan çıkarken dönüp tek kelime söyledi: “Kömür.”</t>
        </is>
      </c>
      <c r="L1563" s="6" t="inlineStr">
        <is>
          <t>Çayın tavşan kanı olmadı ama içilir oldu. Jüri ikiye bölündü; sabah çayını sen, akşamkini Erol demleyecek.</t>
        </is>
      </c>
      <c r="M1563" s="5" t="inlineStr">
        <is>
          <t>hold</t>
        </is>
      </c>
      <c r="N1563" s="5" t="inlineStr">
        <is>
          <t>Tavşan Kanı</t>
        </is>
      </c>
      <c r="O1563" s="6" t="inlineStr">
        <is>
          <t>Basılı tut; çay tavşan kanına dönünce bırak. Erken bırakırsan açık, geç kalırsan kömür.</t>
        </is>
      </c>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is>
          <t>Kömür</t>
        </is>
      </c>
    </row>
    <row r="1564">
      <c r="A1564" s="5" t="inlineStr">
        <is>
          <t>b8-hapis-cay-ocagi</t>
        </is>
      </c>
      <c r="B1564" s="5" t="n">
        <v>3</v>
      </c>
      <c r="C1564" s="6" t="inlineStr">
        <is>
          <t>Ocağı bir düzene bağla</t>
        </is>
      </c>
      <c r="D1564" s="5" t="inlineStr">
        <is>
          <t>Akıl</t>
        </is>
      </c>
      <c r="E1564" s="5" t="inlineStr">
        <is>
          <t>Orta</t>
        </is>
      </c>
      <c r="F1564" s="5" t="inlineStr"/>
      <c r="G1564" s="6" t="inlineStr"/>
      <c r="H1564" s="6" t="inlineStr">
        <is>
          <t>Şeker listesini deftere geçirdin, sıra çizelgesi astın. İlk kez çay kavgası çıkmadı; herkes düzenden şikâyetçi ama sırasını bekliyor.</t>
        </is>
      </c>
      <c r="I1564" s="6" t="inlineStr">
        <is>
          <t>Düzenin öyle tuttu ki müdür bütün koğuşlara dağıttı. Çizelgenin altında adın yazıyor; yanlış yazılmış ama olsun.</t>
        </is>
      </c>
      <c r="J1564" s="6" t="inlineStr">
        <is>
          <t>Çizelgeyi astın; kimse okumadı. Çay yine en yüksek sesle isteyene gitti.</t>
        </is>
      </c>
      <c r="K1564" s="6" t="inlineStr">
        <is>
          <t>Çizelgede kendini ilk sıraya yazdın. Koğuş fark etti; bir hafta herkes senden önce içti, sana sıra hiç gelmedi.</t>
        </is>
      </c>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row>
    <row r="1565">
      <c r="A1565" s="5" t="inlineStr">
        <is>
          <t>b8-hapis-gorus-gunu</t>
        </is>
      </c>
      <c r="B1565" s="5" t="n">
        <v>1</v>
      </c>
      <c r="C1565" s="6" t="inlineStr">
        <is>
          <t>Albümü sayfa sayfa gez</t>
        </is>
      </c>
      <c r="D1565" s="5" t="inlineStr"/>
      <c r="E1565" s="5" t="inlineStr"/>
      <c r="F1565" s="5" t="inlineStr">
        <is>
          <t>Dayanıklılık +1, Gönül +1</t>
        </is>
      </c>
      <c r="G1565" s="6" t="inlineStr">
        <is>
          <t>Yirmi dakikada iki düğün, bir mezuniyet, üç bayram gördün. Hepsinde kenarda boş bir sandalye vardı; senin için koymuşlar.</t>
        </is>
      </c>
      <c r="H1565" s="6" t="inlineStr"/>
      <c r="I1565" s="6" t="inlineStr"/>
      <c r="J1565" s="6" t="inlineStr"/>
      <c r="K1565" s="6" t="inlineStr"/>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row>
    <row r="1566">
      <c r="A1566" s="5" t="inlineStr">
        <is>
          <t>b8-hapis-gorus-gunu</t>
        </is>
      </c>
      <c r="B1566" s="5" t="n">
        <v>2</v>
      </c>
      <c r="C1566" s="6" t="inlineStr">
        <is>
          <t>Çıkınca yapacaklarını anlat</t>
        </is>
      </c>
      <c r="D1566" s="5" t="inlineStr">
        <is>
          <t>Çene</t>
        </is>
      </c>
      <c r="E1566" s="5" t="inlineStr">
        <is>
          <t>Orta</t>
        </is>
      </c>
      <c r="F1566" s="5" t="inlineStr"/>
      <c r="G1566" s="6" t="inlineStr"/>
      <c r="H1566" s="6" t="inlineStr">
        <is>
          <t>Planlarını öyle anlattın ki ziyaretçin not aldı. Çıkınca tek tek kontrol edecekmiş; sevgiyle.</t>
        </is>
      </c>
      <c r="I1566" s="6" t="inlineStr">
        <is>
          <t>Anlattığın plan öyle iyiydi ki dışarıda hazırlık başladı. Çıktığında bir iş, bir oda ve demlenmiş bir çay bekliyor.</t>
        </is>
      </c>
      <c r="J1566" s="6" t="inlineStr">
        <is>
          <t>Planları anlatırken süre doldu. Son kelimen “Bir de…” oldu; ne olduğunu ikiniz de merak ediyorsunuz.</t>
        </is>
      </c>
      <c r="K1566" s="6" t="inlineStr">
        <is>
          <t>Planlarını anlattın; ziyaretçin hepsinin daha önce de söylendiğini yıl yıl hatırlattı. Liste uzundu, süre kısa.</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row>
    <row r="1567">
      <c r="A1567" s="5" t="inlineStr">
        <is>
          <t>b8-hapis-gorus-gunu</t>
        </is>
      </c>
      <c r="B1567" s="5" t="n">
        <v>3</v>
      </c>
      <c r="C1567" s="6" t="inlineStr">
        <is>
          <t>Yan kabindeki teyzeye yardım et</t>
        </is>
      </c>
      <c r="D1567" s="5" t="inlineStr">
        <is>
          <t>Sosyal Radar</t>
        </is>
      </c>
      <c r="E1567" s="5" t="inlineStr">
        <is>
          <t>Orta</t>
        </is>
      </c>
      <c r="F1567" s="5" t="inlineStr"/>
      <c r="G1567" s="6" t="inlineStr"/>
      <c r="H1567" s="6" t="inlineStr">
        <is>
          <t>Yan kabindeki teyze ahizeyi ters tutuyordu. Düzelttin; oğluyla ilk kez net konuştu. Sana bir poşet kurabiye bıraktı.</t>
        </is>
      </c>
      <c r="I1567" s="6" t="inlineStr">
        <is>
          <t>Teyzenin oğlu koğuş arkadaşın çıktı. Artık iki ailen var; kurabiye de iki kat.</t>
        </is>
      </c>
      <c r="J1567" s="6" t="inlineStr">
        <is>
          <t>Yardım ederken kendi süren bitti. Teyze teşekkür etti; senin ziyaretçin camın ardından el salladı.</t>
        </is>
      </c>
      <c r="K1567" s="6" t="inlineStr">
        <is>
          <t>Ahizeleri karıştırdınız. Teyze senin ziyaretçine oğlunun bütün marifetlerini anlattı, senin ziyaretçin de teyzeye seninkileri. Süre bitince ikisi kapıda kol kola çıktı; sana el sallamayı unuttular.</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row>
    <row r="1568">
      <c r="A1568" s="5" t="inlineStr">
        <is>
          <t>b8-cezaevi-kapisi</t>
        </is>
      </c>
      <c r="B1568" s="5" t="n">
        <v>1</v>
      </c>
      <c r="C1568" s="6" t="inlineStr">
        <is>
          <t>Kursta öğrendiğinle esnaf ol</t>
        </is>
      </c>
      <c r="D1568" s="5" t="inlineStr"/>
      <c r="E1568" s="5" t="inlineStr"/>
      <c r="F1568" s="5" t="inlineStr">
        <is>
          <t>Dayanıklılık +1, Akıl +1</t>
        </is>
      </c>
      <c r="G1568" s="6" t="inlineStr">
        <is>
          <t>Sanayinin ucunda küçük bir dükkân tuttun; içeride öğrendiğin sabunu yapıyorsun. İlk müşterin emekli olmuş eski gardiyandı. Pazarlık etmedi, iki tane aldı.</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-hat-cete, -hat-dolandirici, -hat-girisimci, -hat-goc, -hat-hekim, -hat-koy, -hat-polis, -hat-politika, -hat-sohret, -hat-usta, -hat-yargi, -meslek-beyazyaka, -meslek-memur, -meslek-serbest, meslek-esnaf, -hapis, eski-hukumlu</t>
        </is>
      </c>
      <c r="V1568" s="5" t="inlineStr"/>
      <c r="W1568" s="5" t="inlineStr"/>
      <c r="X1568" s="5" t="inlineStr"/>
      <c r="Y1568" s="5" t="inlineStr"/>
      <c r="Z1568" s="6" t="inlineStr"/>
      <c r="AA1568" s="5" t="inlineStr"/>
      <c r="AB1568" s="5" t="inlineStr"/>
      <c r="AC1568" s="5" t="inlineStr"/>
      <c r="AD1568" s="5" t="inlineStr">
        <is>
          <t>Kıt</t>
        </is>
      </c>
      <c r="AE1568" s="5" t="inlineStr"/>
      <c r="AF1568" s="5" t="inlineStr"/>
      <c r="AG1568" s="5" t="inlineStr"/>
      <c r="AH1568" s="5" t="inlineStr"/>
      <c r="AI1568" s="5" t="inlineStr"/>
    </row>
    <row r="1569">
      <c r="A1569" s="5" t="inlineStr">
        <is>
          <t>b8-cezaevi-kapisi</t>
        </is>
      </c>
      <c r="B1569" s="5" t="n">
        <v>2</v>
      </c>
      <c r="C1569" s="6" t="inlineStr">
        <is>
          <t>Eski işine dön</t>
        </is>
      </c>
      <c r="D1569" s="5" t="inlineStr"/>
      <c r="E1569" s="5" t="inlineStr"/>
      <c r="F1569" s="5" t="inlineStr">
        <is>
          <t>Pişkinlik +1, Kurnazlık +1</t>
        </is>
      </c>
      <c r="G1569" s="6" t="inlineStr">
        <is>
          <t>Eski defterini açtın; numaraların yarısı artık kullanılmıyor, kalanlar seni tanımadı. Masanı yeniden kurdun; ilk işin yeni telefonun nasıl açıldığını öğrenmek oldu.</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-hapis, eski-hukumlu</t>
        </is>
      </c>
      <c r="V1569" s="5" t="inlineStr"/>
      <c r="W1569" s="5" t="inlineStr"/>
      <c r="X1569" s="5" t="inlineStr"/>
      <c r="Y1569" s="5" t="inlineStr"/>
      <c r="Z1569" s="6" t="inlineStr"/>
      <c r="AA1569" s="5" t="inlineStr"/>
      <c r="AB1569" s="5" t="inlineStr"/>
      <c r="AC1569" s="5" t="inlineStr"/>
      <c r="AD1569" s="5" t="inlineStr"/>
      <c r="AE1569" s="5" t="inlineStr"/>
      <c r="AF1569" s="5" t="inlineStr"/>
      <c r="AG1569" s="5" t="inlineStr"/>
      <c r="AH1569" s="5" t="inlineStr"/>
      <c r="AI1569" s="5" t="inlineStr"/>
    </row>
    <row r="1570">
      <c r="A1570" s="5" t="inlineStr">
        <is>
          <t>b8-cezaevi-kapisi</t>
        </is>
      </c>
      <c r="B1570" s="5" t="n">
        <v>3</v>
      </c>
      <c r="C1570" s="6" t="inlineStr">
        <is>
          <t>Uzun yılları kitap yap</t>
        </is>
      </c>
      <c r="D1570" s="5" t="inlineStr">
        <is>
          <t>Çene</t>
        </is>
      </c>
      <c r="E1570" s="5" t="inlineStr">
        <is>
          <t>Zor</t>
        </is>
      </c>
      <c r="F1570" s="5" t="inlineStr"/>
      <c r="G1570" s="6" t="inlineStr"/>
      <c r="H1570" s="6" t="inlineStr">
        <is>
          <t>“Uzun Koğuş” adlı kitabın çıktı. Bir haber programı seni “yaşayan tanık” diye çağırdı; canlı yayında koğuşa selam gönderdin.</t>
        </is>
      </c>
      <c r="I1570" s="6" t="inlineStr">
        <is>
          <t>Kitap her yerde konuşuluyor; söyleşilerin biletleri tükeniyor. Koğuşa imzalı bir kutu kitap yolladın; en çok çaycı okudu.</t>
        </is>
      </c>
      <c r="J1570" s="6" t="inlineStr">
        <is>
          <t>Yayınevi “Anılar çok uzun, okur kısa” dedi. Taslağı dolaba kaldırdın, eski defterini çıkardın.</t>
        </is>
      </c>
      <c r="K1570" s="6" t="inlineStr">
        <is>
          <t>Eski yoluna döndün. Yayınevi kitabını basmış ama kapağa başkasının fotoğrafını koymuştu. İmza gününe gittin; seni içeri almadılar.</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-hat-politika, -hat-usta, -hat-yargi, -meslek-beyazyaka, -meslek-esnaf, -meslek-memur, hat-sohret, meslek-serbest,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row>
    <row r="1571">
      <c r="A1571" s="5" t="inlineStr">
        <is>
          <t>b8-cezaevi-kapisi</t>
        </is>
      </c>
      <c r="B1571" s="5" t="n">
        <v>4</v>
      </c>
      <c r="C1571" s="6" t="inlineStr">
        <is>
          <t>“İçeriyi ben gördüm” de, siyasete gir</t>
        </is>
      </c>
      <c r="D1571" s="5" t="inlineStr">
        <is>
          <t>Pişkinlik</t>
        </is>
      </c>
      <c r="E1571" s="5" t="inlineStr">
        <is>
          <t>Zor</t>
        </is>
      </c>
      <c r="F1571" s="5" t="inlineStr"/>
      <c r="G1571" s="6" t="inlineStr"/>
      <c r="H1571" s="6" t="inlineStr">
        <is>
          <t>Afişindeki cümle kısaydı: “Ben içeriyi gördüm.” Mahalle seni meclis yolunda destekliyor; koğuş da, mektupla.</t>
        </is>
      </c>
      <c r="I1571" s="6" t="inlineStr">
        <is>
          <t>Parti seni cezaevleriyle ilgili bir komisyona önerdi. İlk toplantıda çay ocaklarının yerini değiştirdin; herkes daha rahat, kimse nedenini bilmiyor.</t>
        </is>
      </c>
      <c r="J1571" s="6" t="inlineStr">
        <is>
          <t>Başvuru formunda “Son on yılınızı anlatınız” diye bir kutu vardı. Kutu küçük kaldı. Formu katlayıp cebine koydun; o akşam eski telefon defterini açtın.</t>
        </is>
      </c>
      <c r="K1571" s="6" t="inlineStr">
        <is>
          <t>Eski yoluna döndün. İlk mitingde kalabalığı “Arkadaşlar, sayım var!” diye topladın; yarısı dağıldı, kalan yarısı eski koğuş arkadaşlarındı.</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-hat-sohret, -hat-usta, -hat-yargi, -meslek-beyazyaka, -meslek-esnaf, -meslek-memur, -meslek-serbest, hat-politika,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row>
    <row r="1572">
      <c r="A1572" s="5" t="inlineStr">
        <is>
          <t>b8-cezaevi-kapisi</t>
        </is>
      </c>
      <c r="B1572" s="5" t="n">
        <v>5</v>
      </c>
      <c r="C1572" s="6" t="inlineStr">
        <is>
          <t>Bakkalın arka deposunda başla</t>
        </is>
      </c>
      <c r="D1572" s="5" t="inlineStr"/>
      <c r="E1572" s="5" t="inlineStr"/>
      <c r="F1572" s="5" t="inlineStr">
        <is>
          <t>İtibar +1, Dayanıklılık +1</t>
        </is>
      </c>
      <c r="G1572" s="6" t="inlineStr">
        <is>
          <t>Mahalleye döndüğün akşam bakkal kepengi yarıya indirip çıktı, eline bir anahtar tutuşturdu: “Arka depo senin, kirası sonra.” Kimse geçmişini sormadı; bakkal sordurmadı.</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 -ceza-indirimi</t>
        </is>
      </c>
      <c r="V1572" s="5" t="inlineStr"/>
      <c r="W1572" s="5" t="inlineStr"/>
      <c r="X1572" s="5" t="inlineStr"/>
      <c r="Y1572" s="5" t="inlineStr"/>
      <c r="Z1572" s="6" t="inlineStr"/>
      <c r="AA1572" s="5" t="inlineStr"/>
      <c r="AB1572" s="5" t="inlineStr"/>
      <c r="AC1572" s="5" t="inlineStr"/>
      <c r="AD1572" s="5" t="inlineStr">
        <is>
          <t>Kıt</t>
        </is>
      </c>
      <c r="AE1572" s="5" t="inlineStr"/>
      <c r="AF1572" s="5" t="inlineStr"/>
      <c r="AG1572" s="5" t="inlineStr"/>
      <c r="AH1572" s="5" t="inlineStr">
        <is>
          <t>İtibar 43</t>
        </is>
      </c>
      <c r="AI1572" s="5" t="inlineStr"/>
    </row>
    <row r="1573">
      <c r="A1573" s="5" t="inlineStr">
        <is>
          <t>b9-cezaevi-kapisi</t>
        </is>
      </c>
      <c r="B1573" s="5" t="n">
        <v>1</v>
      </c>
      <c r="C1573" s="6" t="inlineStr">
        <is>
          <t>Mahallede küçük bir tamirci aç</t>
        </is>
      </c>
      <c r="D1573" s="5" t="inlineStr"/>
      <c r="E1573" s="5" t="inlineStr"/>
      <c r="F1573" s="5" t="inlineStr">
        <is>
          <t>Dayanıklılık +1, Sosyal Radar +1</t>
        </is>
      </c>
      <c r="G1573" s="6" t="inlineStr">
        <is>
          <t>Saat, radyo, bir de gönül tamiri. Müşterilerin çoğu emekli; sohbet uzun, iş kısa. Kimse acele etmiyor, en çok da sen.</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c r="AI1573" s="5" t="inlineStr"/>
    </row>
    <row r="1574">
      <c r="A1574" s="5" t="inlineStr">
        <is>
          <t>b9-cezaevi-kapisi</t>
        </is>
      </c>
      <c r="B1574" s="5" t="n">
        <v>2</v>
      </c>
      <c r="C1574" s="6" t="inlineStr">
        <is>
          <t>Eski işine dön</t>
        </is>
      </c>
      <c r="D1574" s="5" t="inlineStr"/>
      <c r="E1574" s="5" t="inlineStr"/>
      <c r="F1574" s="5" t="inlineStr">
        <is>
          <t>Pişkinlik +1, Cesaret +1</t>
        </is>
      </c>
      <c r="G1574" s="6" t="inlineStr">
        <is>
          <t>Eski çevreni aradın; çoğu emekli olmuş, birkaçı torun bakıyor. İşi kaldığı yerden sürdürüyorsun; öğle uykusuna ara vererek.</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-hapis, eski-hukumlu</t>
        </is>
      </c>
      <c r="V1574" s="5" t="inlineStr"/>
      <c r="W1574" s="5" t="inlineStr"/>
      <c r="X1574" s="5" t="inlineStr"/>
      <c r="Y1574" s="5" t="inlineStr"/>
      <c r="Z1574" s="6" t="inlineStr"/>
      <c r="AA1574" s="5" t="inlineStr"/>
      <c r="AB1574" s="5" t="inlineStr"/>
      <c r="AC1574" s="5" t="inlineStr"/>
      <c r="AD1574" s="5" t="inlineStr"/>
      <c r="AE1574" s="5" t="inlineStr"/>
      <c r="AF1574" s="5" t="inlineStr"/>
      <c r="AG1574" s="5" t="inlineStr"/>
      <c r="AH1574" s="5" t="inlineStr"/>
      <c r="AI1574" s="5" t="inlineStr"/>
    </row>
    <row r="1575">
      <c r="A1575" s="5" t="inlineStr">
        <is>
          <t>b9-cezaevi-kapisi</t>
        </is>
      </c>
      <c r="B1575" s="5" t="n">
        <v>3</v>
      </c>
      <c r="C1575" s="6" t="inlineStr">
        <is>
          <t>Koğuş yıllarını kitap yap</t>
        </is>
      </c>
      <c r="D1575" s="5" t="inlineStr">
        <is>
          <t>Çene</t>
        </is>
      </c>
      <c r="E1575" s="5" t="inlineStr">
        <is>
          <t>Zor</t>
        </is>
      </c>
      <c r="F1575" s="5" t="inlineStr"/>
      <c r="G1575" s="6" t="inlineStr"/>
      <c r="H1575" s="6" t="inlineStr">
        <is>
          <t>“Altmışa Doğru Koğuş” emekliler arasında elden ele dolaşıyor. Parkta imza günü yapıyorsun; kuyruk bankın öbür ucunda bitiyor.</t>
        </is>
      </c>
      <c r="I1575" s="6" t="inlineStr">
        <is>
          <t>Kitap bir tiyatro oyunu oldu. Galaya koğuştan çıkmış iki arkadaşın geldi; en çok onlar güldü, kendi repliklerine.</t>
        </is>
      </c>
      <c r="J1575" s="6" t="inlineStr">
        <is>
          <t>El yazını kimse okuyamadı. Mahalleden bir genç bilgisayara geçirecekti; henüz geçirmedi. Eski yoluna döndün.</t>
        </is>
      </c>
      <c r="K1575" s="6" t="inlineStr">
        <is>
          <t>Taslağı otobüste unuttun. Şoför okudu, beğendi, kendi adıyla yarışmaya gönderdi; ödül aldı. Sen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-hat-politika, -hat-usta, -hat-yargi, -meslek-beyazyaka, -meslek-esnaf, -meslek-memur, hat-sohret, meslek-serbest,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row>
    <row r="1576">
      <c r="A1576" s="5" t="inlineStr">
        <is>
          <t>b9-cezaevi-kapisi</t>
        </is>
      </c>
      <c r="B1576" s="5" t="n">
        <v>4</v>
      </c>
      <c r="C1576" s="6" t="inlineStr">
        <is>
          <t>“Geç kaldım ama gördüm” diye siyasete gir</t>
        </is>
      </c>
      <c r="D1576" s="5" t="inlineStr">
        <is>
          <t>Pişkinlik</t>
        </is>
      </c>
      <c r="E1576" s="5" t="inlineStr">
        <is>
          <t>Zor</t>
        </is>
      </c>
      <c r="F1576" s="5" t="inlineStr"/>
      <c r="G1576" s="6" t="inlineStr"/>
      <c r="H1576" s="6" t="inlineStr">
        <is>
          <t>Sloganınla bir partinin emekliler kolunda göreve başladın. Toplantılar çay ocağı gibi: herkes konuşuyor, sen demliyorsun.</t>
        </is>
      </c>
      <c r="I1576" s="6" t="inlineStr">
        <is>
          <t>Mahalle seni muhtarlığa, parti de meclise aday gösterdi. Afişindeki fotoğraf cezaevi kapısında çekildi; bilerek.</t>
        </is>
      </c>
      <c r="J1576" s="6" t="inlineStr">
        <is>
          <t>Başvurun komisyonda kaldı. Komisyon toplanmadı; sen de beklemedin, eski yoluna döndün.</t>
        </is>
      </c>
      <c r="K1576" s="6" t="inlineStr">
        <is>
          <t>İlk konuşmanda mikrofonu tavla zarı gibi salladın. Salon güldü, seçim kurulu gülmedi.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-hat-sohret, -hat-usta, -hat-yargi, -meslek-beyazyaka, -meslek-esnaf, -meslek-memur, -meslek-serbest, hat-politika,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row>
    <row r="1577">
      <c r="A1577" s="5" t="inlineStr">
        <is>
          <t>b9-cezaevi-kapisi</t>
        </is>
      </c>
      <c r="B1577" s="5" t="n">
        <v>5</v>
      </c>
      <c r="C1577" s="6" t="inlineStr">
        <is>
          <t>Mahallenin kefaletiyle iş bul</t>
        </is>
      </c>
      <c r="D1577" s="5" t="inlineStr"/>
      <c r="E1577" s="5" t="inlineStr"/>
      <c r="F1577" s="5" t="inlineStr">
        <is>
          <t>İtibar +1, Dayanıklılık +1</t>
        </is>
      </c>
      <c r="G1577" s="6" t="inlineStr">
        <is>
          <t>Kapıda seni çarşının en eski esnafı bekliyordu: “Senin için söz verdim, dükkânın arka tarafı senin.” Mahallede kimse geçmişini sormadı; sordurmadılar.</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is>
          <t>-hat-cete, -hat-dolandirici, -hat-girisimci, -hat-goc, -hat-hekim, -hat-koy, -hat-polis, -hat-politika, -hat-sohret, -hat-usta, -hat-yargi, -meslek-beyazyaka, -meslek-memur, -meslek-serbest, meslek-esnaf, -hapis, eski-hukumlu, -ceza-indirimi</t>
        </is>
      </c>
      <c r="V1577" s="5" t="inlineStr"/>
      <c r="W1577" s="5" t="inlineStr"/>
      <c r="X1577" s="5" t="inlineStr"/>
      <c r="Y1577" s="5" t="inlineStr"/>
      <c r="Z1577" s="6" t="inlineStr"/>
      <c r="AA1577" s="5" t="inlineStr"/>
      <c r="AB1577" s="5" t="inlineStr"/>
      <c r="AC1577" s="5" t="inlineStr"/>
      <c r="AD1577" s="5" t="inlineStr">
        <is>
          <t>Kıt</t>
        </is>
      </c>
      <c r="AE1577" s="5" t="inlineStr"/>
      <c r="AF1577" s="5" t="inlineStr"/>
      <c r="AG1577" s="5" t="inlineStr"/>
      <c r="AH1577" s="5" t="inlineStr">
        <is>
          <t>İtibar 45</t>
        </is>
      </c>
      <c r="AI1577" s="5" t="inlineStr"/>
    </row>
    <row r="1578">
      <c r="A1578" s="5" t="inlineStr">
        <is>
          <t>b7-sohret-secmeler</t>
        </is>
      </c>
      <c r="B1578" s="5" t="n">
        <v>1</v>
      </c>
      <c r="C1578" s="6" t="inlineStr">
        <is>
          <t>Metni yazıldığı gibi, kusursuz oku</t>
        </is>
      </c>
      <c r="D1578" s="5" t="inlineStr"/>
      <c r="E1578" s="5" t="inlineStr"/>
      <c r="F1578" s="5" t="inlineStr">
        <is>
          <t>Akıl +1, Dayanıklılık +1</t>
        </is>
      </c>
      <c r="G1578" s="6" t="inlineStr">
        <is>
          <t>Metni tek hata yapmadan okudun. Yapımcı “Teşekkürler” dedi. Rol, sandviç bitmeden okuyan birine gitti.</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c r="V1578" s="5" t="inlineStr"/>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row>
    <row r="1579">
      <c r="A1579" s="5" t="inlineStr">
        <is>
          <t>b7-sohret-secmeler</t>
        </is>
      </c>
      <c r="B1579" s="5" t="n">
        <v>2</v>
      </c>
      <c r="C1579" s="6" t="inlineStr">
        <is>
          <t>Repliği bağırarak, gözyaşıyla oyna</t>
        </is>
      </c>
      <c r="D1579" s="5" t="inlineStr">
        <is>
          <t>Pişkinlik</t>
        </is>
      </c>
      <c r="E1579" s="5" t="inlineStr">
        <is>
          <t>Orta</t>
        </is>
      </c>
      <c r="F1579" s="5" t="inlineStr"/>
      <c r="G1579" s="6" t="inlineStr"/>
      <c r="H1579" s="6" t="inlineStr">
        <is>
          <t>Koridordaki kırk kişi sustu. Yapımcı sandviçi bıraktı: “Arsa meselesine inandım.” Dizide küçük kardeşsin; arsa yine ağabeyin.</t>
        </is>
      </c>
      <c r="I1579" s="6" t="inlineStr">
        <is>
          <t>Yapımcı ağladı, kameraman ağladı, sandviç ıslandı. Rol senin; senaristler arsayı sana vermek için yeni bölüm yazıyor.</t>
        </is>
      </c>
      <c r="J1579" s="6" t="inlineStr">
        <is>
          <t>Bağırdın ama gözyaşı gelmedi. Yapımcı “Kuru ağlama da bir tarz” dedi ve sıradakini çağırdı.</t>
        </is>
      </c>
      <c r="K1579" s="6" t="inlineStr">
        <is>
          <t>O kadar bağırdın ki güvenlik geldi. Binadan dışarı eşlik edildin; koridordaki kırk kişi seni alkışladı, sen gidince.</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row>
    <row r="1580">
      <c r="A1580" s="5" t="inlineStr">
        <is>
          <t>b7-sohret-secmeler</t>
        </is>
      </c>
      <c r="B1580" s="5" t="n">
        <v>3</v>
      </c>
      <c r="C1580" s="6" t="inlineStr">
        <is>
          <t>Yapımcının sandviçine laf at, buzu kır</t>
        </is>
      </c>
      <c r="D1580" s="5" t="inlineStr">
        <is>
          <t>Sosyal Radar</t>
        </is>
      </c>
      <c r="E1580" s="5" t="inlineStr">
        <is>
          <t>Orta</t>
        </is>
      </c>
      <c r="F1580" s="5" t="inlineStr"/>
      <c r="G1580" s="6" t="inlineStr"/>
      <c r="H1580" s="6" t="inlineStr">
        <is>
          <t>“Kaşarlı mı?” dedin. Güldü. Kardeş rolü başkasına gitti ama sana kahveciyi verdi. Kahveci her bölümde var.</t>
        </is>
      </c>
      <c r="I1580" s="6" t="inlineStr">
        <is>
          <t>Sandviç muhabbeti uzadı; aynı fırından ekmek aldığınız çıktı. Kahveci rolü yeniden yazıldı, adı da seninki oldu.</t>
        </is>
      </c>
      <c r="J1580" s="6" t="inlineStr">
        <is>
          <t>Sandviçe laf attın; yapımcı diyette çıktı. Sandviç de sohbet de orada bitti.</t>
        </is>
      </c>
      <c r="K1580" s="6" t="inlineStr">
        <is>
          <t>Yapımcı sandviçi sana uzattı: “Madem merak ettin.” Repliği ağzın dolu okudun. Kayıt hâlâ dolaşıyor.</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is>
          <t>Ağzı Dolu</t>
        </is>
      </c>
    </row>
    <row r="1581">
      <c r="A1581" s="5" t="inlineStr">
        <is>
          <t>b7-sohret-reklam</t>
        </is>
      </c>
      <c r="B1581" s="5" t="n">
        <v>1</v>
      </c>
      <c r="C1581" s="6" t="inlineStr">
        <is>
          <t>Sözleşmeyi imzala, lekesiz yaşa</t>
        </is>
      </c>
      <c r="D1581" s="5" t="inlineStr"/>
      <c r="E1581" s="5" t="inlineStr"/>
      <c r="F1581" s="5" t="inlineStr">
        <is>
          <t>Pişkinlik +1, Dayanıklılık +1</t>
        </is>
      </c>
      <c r="G1581" s="6" t="inlineStr">
        <is>
          <t>Otobüs duraklarında gülümseyen dev bir sen var. Bir gün pantolonuna çay döküldü; üç kişi fotoğrafını çekti.</t>
        </is>
      </c>
      <c r="H1581" s="6" t="inlineStr"/>
      <c r="I1581" s="6" t="inlineStr"/>
      <c r="J1581" s="6" t="inlineStr"/>
      <c r="K1581" s="6" t="inlineStr"/>
      <c r="L1581" s="6" t="inlineStr"/>
      <c r="M1581" s="5" t="inlineStr"/>
      <c r="N1581" s="5" t="inlineStr"/>
      <c r="O1581" s="6" t="inlineStr"/>
      <c r="P1581" s="6" t="inlineStr"/>
      <c r="Q1581" s="5" t="inlineStr"/>
      <c r="R1581" s="5" t="inlineStr"/>
      <c r="S1581" s="5" t="inlineStr"/>
      <c r="T1581" s="5" t="inlineStr"/>
      <c r="U1581" s="5" t="inlineStr">
        <is>
          <t>sohret-reklam-yuzu</t>
        </is>
      </c>
      <c r="V1581" s="5" t="inlineStr"/>
      <c r="W1581" s="5" t="inlineStr"/>
      <c r="X1581" s="5" t="inlineStr"/>
      <c r="Y1581" s="5" t="inlineStr"/>
      <c r="Z1581" s="6" t="inlineStr"/>
      <c r="AA1581" s="5" t="inlineStr"/>
      <c r="AB1581" s="5" t="inlineStr"/>
      <c r="AC1581" s="5" t="inlineStr"/>
      <c r="AD1581" s="5" t="inlineStr">
        <is>
          <t>Orta</t>
        </is>
      </c>
      <c r="AE1581" s="5" t="inlineStr"/>
      <c r="AF1581" s="5" t="inlineStr"/>
      <c r="AG1581" s="5" t="inlineStr"/>
      <c r="AH1581" s="5" t="inlineStr"/>
      <c r="AI1581" s="5" t="inlineStr"/>
    </row>
    <row r="1582">
      <c r="A1582" s="5" t="inlineStr">
        <is>
          <t>b7-sohret-reklam</t>
        </is>
      </c>
      <c r="B1582" s="5" t="n">
        <v>2</v>
      </c>
      <c r="C1582" s="6" t="inlineStr">
        <is>
          <t>Cümleni tişörte, kupaya bas</t>
        </is>
      </c>
      <c r="D1582" s="5" t="inlineStr">
        <is>
          <t>Sosyal Radar</t>
        </is>
      </c>
      <c r="E1582" s="5" t="inlineStr">
        <is>
          <t>Orta</t>
        </is>
      </c>
      <c r="F1582" s="5" t="inlineStr"/>
      <c r="G1582" s="6" t="inlineStr"/>
      <c r="H1582" s="6" t="inlineStr">
        <is>
          <t>Cümleni tişörte, kupaya, anahtarlığa bastın. Mahallenin bakkalı bile satıyor; sana pay vermeden.</t>
        </is>
      </c>
      <c r="I1582" s="6" t="inlineStr">
        <is>
          <t>Cümlen okullarda söylenmeye başladı; öğretmenler yasakladı, tişörtler tükendi. Yasak en iyi reklamın oldu.</t>
        </is>
      </c>
      <c r="J1582" s="6" t="inlineStr">
        <is>
          <t>Kupalar geldi; cümlen yanlış basılmış. Kimse almadı. Evde çayı yanlış cümleden içiyorsun.</t>
        </is>
      </c>
      <c r="K1582" s="6" t="inlineStr">
        <is>
          <t>Cümlenin hakkını senden önce başkası almış. Kendi cümleni kullandığın için ondan ihtar yedin.</t>
        </is>
      </c>
      <c r="L1582" s="6" t="inlineStr"/>
      <c r="M1582" s="5" t="inlineStr"/>
      <c r="N1582" s="5" t="inlineStr"/>
      <c r="O1582" s="6" t="inlineStr"/>
      <c r="P1582" s="6" t="inlineStr"/>
      <c r="Q1582" s="5" t="inlineStr"/>
      <c r="R1582" s="5" t="inlineStr"/>
      <c r="S1582" s="5" t="inlineStr"/>
      <c r="T1582" s="5" t="inlineStr"/>
      <c r="U1582" s="5" t="inlineStr"/>
      <c r="V1582" s="5" t="inlineStr">
        <is>
          <t>fenomen</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row>
    <row r="1583">
      <c r="A1583" s="5" t="inlineStr">
        <is>
          <t>b7-sohret-reklam</t>
        </is>
      </c>
      <c r="B1583" s="5" t="n">
        <v>3</v>
      </c>
      <c r="C1583" s="6" t="inlineStr">
        <is>
          <t>Reklamda senaryoyu bırak, doğaçla</t>
        </is>
      </c>
      <c r="D1583" s="5" t="inlineStr">
        <is>
          <t>Pişkinlik</t>
        </is>
      </c>
      <c r="E1583" s="5" t="inlineStr">
        <is>
          <t>Zor</t>
        </is>
      </c>
      <c r="F1583" s="5" t="inlineStr"/>
      <c r="G1583" s="6" t="inlineStr"/>
      <c r="H1583" s="6" t="inlineStr">
        <is>
          <t>Senaryoda “Mis gibi” yazıyordu; sen “Annem bile şaşırdı” dedin. Reklam tuttu. Annen hâlâ neye şaşırdığını soruyor.</t>
        </is>
      </c>
      <c r="I1583" s="6" t="inlineStr">
        <is>
          <t>Doğaçlaman reklam ödülü aldı. Firma yeni reklamların senaryosunu sana soruyor; deterjanını hâlâ markette parayla alıyorsun.</t>
        </is>
      </c>
      <c r="J1583" s="6" t="inlineStr">
        <is>
          <t>Doğaçlama kurguda kesildi. Reklamda yalnızca çamaşır makinesini açan elin var. El olarak iyi para.</t>
        </is>
      </c>
      <c r="K1583" s="6" t="inlineStr">
        <is>
          <t>Doğaçlarken rakip firmanın adını andın. Reklam yayından kalktı; sen de sözleşmeden.</t>
        </is>
      </c>
      <c r="L1583" s="6" t="inlineStr"/>
      <c r="M1583" s="5" t="inlineStr"/>
      <c r="N1583" s="5" t="inlineStr"/>
      <c r="O1583" s="6" t="inlineStr"/>
      <c r="P1583" s="6" t="inlineStr"/>
      <c r="Q1583" s="5" t="inlineStr"/>
      <c r="R1583" s="5" t="inlineStr"/>
      <c r="S1583" s="5" t="inlineStr"/>
      <c r="T1583" s="5" t="inlineStr">
        <is>
          <t>Sahne Sever</t>
        </is>
      </c>
      <c r="U1583" s="5" t="inlineStr"/>
      <c r="V1583" s="5" t="inlineStr">
        <is>
          <t>sohret-reklam-yuzu</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row>
    <row r="1584">
      <c r="A1584" s="5" t="inlineStr">
        <is>
          <t>b7-sohret-taninma</t>
        </is>
      </c>
      <c r="B1584" s="5" t="n">
        <v>1</v>
      </c>
      <c r="C1584" s="6" t="inlineStr">
        <is>
          <t>“Bankadaki arkadaşıyım” de, geç</t>
        </is>
      </c>
      <c r="D1584" s="5" t="inlineStr"/>
      <c r="E1584" s="5" t="inlineStr"/>
      <c r="F1584" s="5" t="inlineStr">
        <is>
          <t>Kurnazlık +1, Dayanıklılık +1</t>
        </is>
      </c>
      <c r="G1584" s="6" t="inlineStr">
        <is>
          <t>Teyze memnun oldu, sıra ilerledi. Ertesi hafta damadı bankada seni sormuş. Artık bir bankada bir arkadaşın var.</t>
        </is>
      </c>
      <c r="H1584" s="6" t="inlineStr"/>
      <c r="I1584" s="6" t="inlineStr"/>
      <c r="J1584" s="6" t="inlineStr"/>
      <c r="K1584" s="6" t="inlineStr"/>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row>
    <row r="1585">
      <c r="A1585" s="5" t="inlineStr">
        <is>
          <t>b7-sohret-taninma</t>
        </is>
      </c>
      <c r="B1585" s="5" t="n">
        <v>2</v>
      </c>
      <c r="C1585" s="6" t="inlineStr">
        <is>
          <t>Dizideki repliğini orada söyle</t>
        </is>
      </c>
      <c r="D1585" s="5" t="inlineStr">
        <is>
          <t>Pişkinlik</t>
        </is>
      </c>
      <c r="E1585" s="5" t="inlineStr">
        <is>
          <t>Orta</t>
        </is>
      </c>
      <c r="F1585" s="5" t="inlineStr"/>
      <c r="G1585" s="6" t="inlineStr"/>
      <c r="H1585" s="6" t="inlineStr">
        <is>
          <t>Repliği söyledin; kasiyer de tanıdı, sıra alkışladı. Teyze fotoğraf çekti, damadına gönderdi.</t>
        </is>
      </c>
      <c r="I1585" s="6" t="inlineStr">
        <is>
          <t>Market müdürü anonsla seni kasaya çağırdı, alışverişin hediye oldu. Karşılığında raflar arasında on fotoğraf verdin.</t>
        </is>
      </c>
      <c r="J1585" s="6" t="inlineStr">
        <is>
          <t>Repliği söyledin; teyze “Yok, o değil” dedi. Kasiyer “Ben biliyorum, siz bankadakisiniz” dedi. Poşetlerini aldın, bankacı olarak çıktın.</t>
        </is>
      </c>
      <c r="K1585" s="6" t="inlineStr">
        <is>
          <t>Teyze seni başka dizideki kötü adam sandı, onun yaptıkları için sana kızdı. Sırada kendini savundun, kaybettin.</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row>
    <row r="1586">
      <c r="A1586" s="5" t="inlineStr">
        <is>
          <t>b7-sohret-taninma</t>
        </is>
      </c>
      <c r="B1586" s="5" t="n">
        <v>3</v>
      </c>
      <c r="C1586" s="6" t="inlineStr">
        <is>
          <t>Sırayı imza dağıtarak hızlandır</t>
        </is>
      </c>
      <c r="D1586" s="5" t="inlineStr">
        <is>
          <t>Sosyal Radar</t>
        </is>
      </c>
      <c r="E1586" s="5" t="inlineStr">
        <is>
          <t>Orta</t>
        </is>
      </c>
      <c r="F1586" s="5" t="inlineStr"/>
      <c r="G1586" s="6" t="inlineStr"/>
      <c r="H1586" s="6" t="inlineStr">
        <is>
          <t>Fişlerin arkasını imzaladın. Sıra hızlandı, herkes mutlu. Kasiyer imzalı fişi vitrine astı.</t>
        </is>
      </c>
      <c r="I1586" s="6" t="inlineStr">
        <is>
          <t>İmza dağıtırken kasiyerin de oyuncu olmak istediğini öğrendin, yapımcıya önerdin. Seçildi. Mahallenin ikinci ünlüsü senin keşfin.</t>
        </is>
      </c>
      <c r="J1586" s="6" t="inlineStr">
        <is>
          <t>Bir amca imzayı fişin önüne attırdı; fiş geçersiz oldu. İade kuyruğu senden sorumlu.</t>
        </is>
      </c>
      <c r="K1586" s="6" t="inlineStr">
        <is>
          <t>Kalemin mürekkebi patladı, teyzenin paltosu lekelendi. Deterjan reklamlarındaki gibi çıkmadı.</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row>
    <row r="1587">
      <c r="A1587" s="5" t="inlineStr">
        <is>
          <t>b7-sohret-taninma</t>
        </is>
      </c>
      <c r="B1587" s="5" t="n">
        <v>4</v>
      </c>
      <c r="C1587" s="6" t="inlineStr">
        <is>
          <t>Canlı yayın aç, kasa sırasını yayına al</t>
        </is>
      </c>
      <c r="D1587" s="5" t="inlineStr">
        <is>
          <t>Pişkinlik</t>
        </is>
      </c>
      <c r="E1587" s="5" t="inlineStr">
        <is>
          <t>Zor</t>
        </is>
      </c>
      <c r="F1587" s="5" t="inlineStr"/>
      <c r="G1587" s="6" t="inlineStr"/>
      <c r="H1587" s="6" t="inlineStr">
        <is>
          <t>Kırk bin kişi kasa sırasını canlı izledi. Teyze yorumlarda tanındı; damadı da kendini gösterdi.</t>
        </is>
      </c>
      <c r="I1587" s="6" t="inlineStr">
        <is>
          <t>Yayın o kadar izlendi ki market zinciri seni “kasa sırası elçisi” yaptı. Sıra artık senin için bekliyor.</t>
        </is>
      </c>
      <c r="J1587" s="6" t="inlineStr">
        <is>
          <t>Yayını açtın; marketin interneti çekmedi. Sırada tek başına kameraya konuşan adam oldun.</t>
        </is>
      </c>
      <c r="K1587" s="6" t="inlineStr">
        <is>
          <t>Yayında teyze sana hayat dersi verdi; yorumlar onu tuttu. Teyzenin artık senden çok takipçisi var.</t>
        </is>
      </c>
      <c r="L1587" s="6" t="inlineStr"/>
      <c r="M1587" s="5" t="inlineStr"/>
      <c r="N1587" s="5" t="inlineStr"/>
      <c r="O1587" s="6" t="inlineStr"/>
      <c r="P1587" s="6" t="inlineStr"/>
      <c r="Q1587" s="5" t="inlineStr"/>
      <c r="R1587" s="5" t="inlineStr">
        <is>
          <t>fenomen</t>
        </is>
      </c>
      <c r="S1587" s="5" t="inlineStr"/>
      <c r="T1587" s="5" t="inlineStr">
        <is>
          <t>Odayı Okur</t>
        </is>
      </c>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row>
    <row r="1588">
      <c r="A1588" s="5" t="inlineStr">
        <is>
          <t>b8-sohret-kapak</t>
        </is>
      </c>
      <c r="B1588" s="5" t="n">
        <v>1</v>
      </c>
      <c r="C1588" s="6" t="inlineStr">
        <is>
          <t>Başlığı editöre bırak</t>
        </is>
      </c>
      <c r="D1588" s="5" t="inlineStr"/>
      <c r="E1588" s="5" t="inlineStr"/>
      <c r="F1588" s="5" t="inlineStr">
        <is>
          <t>Dayanıklılık +1, Sosyal Radar +1</t>
        </is>
      </c>
      <c r="G1588" s="6" t="inlineStr">
        <is>
          <t>Başlık çıktı: “Hiç bu kadar samimi olmamıştı.” Röportajda üç cümle kurdun; ikisi senin değil.</t>
        </is>
      </c>
      <c r="H1588" s="6" t="inlineStr"/>
      <c r="I1588" s="6" t="inlineStr"/>
      <c r="J1588" s="6" t="inlineStr"/>
      <c r="K1588" s="6" t="inlineStr"/>
      <c r="L1588" s="6" t="inlineStr"/>
      <c r="M1588" s="5" t="inlineStr"/>
      <c r="N1588" s="5" t="inlineStr"/>
      <c r="O1588" s="6" t="inlineStr"/>
      <c r="P1588" s="6" t="inlineStr"/>
      <c r="Q1588" s="5" t="inlineStr"/>
      <c r="R1588" s="5" t="inlineStr"/>
      <c r="S1588" s="5" t="inlineStr"/>
      <c r="T1588" s="5" t="inlineStr"/>
      <c r="U1588" s="5" t="inlineStr">
        <is>
          <t>sohret-kapak-oldu</t>
        </is>
      </c>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row>
    <row r="1589">
      <c r="A1589" s="5" t="inlineStr">
        <is>
          <t>b8-sohret-kapak</t>
        </is>
      </c>
      <c r="B1589" s="5" t="n">
        <v>2</v>
      </c>
      <c r="C1589" s="6" t="inlineStr">
        <is>
          <t>Röportajda itiraf gibi bir şey söyle</t>
        </is>
      </c>
      <c r="D1589" s="5" t="inlineStr">
        <is>
          <t>Pişkinlik</t>
        </is>
      </c>
      <c r="E1589" s="5" t="inlineStr">
        <is>
          <t>Orta</t>
        </is>
      </c>
      <c r="F1589" s="5" t="inlineStr"/>
      <c r="G1589" s="6" t="inlineStr"/>
      <c r="H1589" s="6" t="inlineStr">
        <is>
          <t>“Aslında çok utangacım” dedin. Başlık bu oldu. Dergi tükendi; utangaçlığın kırk bin nüsha sattı.</t>
        </is>
      </c>
      <c r="I1589" s="6" t="inlineStr">
        <is>
          <t>İtirafın o kadar konuşuldu ki bütün akşam programları seni istedi. Utangaçlık turuna çıktın, her kanalda.</t>
        </is>
      </c>
      <c r="J1589" s="6" t="inlineStr">
        <is>
          <t>İtiraf gibi bir şey söyledin ama editör anlamadı. Başlık: “Yeni projeler yolda.” Yolda olan yok.</t>
        </is>
      </c>
      <c r="K1589" s="6" t="inlineStr">
        <is>
          <t>İtiraf diye çocukken komşunun erik ağacına tırmandığını anlattın. Komşu dergiyi okudu, erik parasını istiyor.</t>
        </is>
      </c>
      <c r="L1589" s="6" t="inlineStr"/>
      <c r="M1589" s="5" t="inlineStr"/>
      <c r="N1589" s="5" t="inlineStr"/>
      <c r="O1589" s="6" t="inlineStr"/>
      <c r="P1589" s="6" t="inlineStr"/>
      <c r="Q1589" s="5" t="inlineStr"/>
      <c r="R1589" s="5" t="inlineStr"/>
      <c r="S1589" s="5" t="inlineStr"/>
      <c r="T1589" s="5" t="inlineStr"/>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is>
          <t>Erik Hırsızı</t>
        </is>
      </c>
    </row>
    <row r="1590">
      <c r="A1590" s="5" t="inlineStr">
        <is>
          <t>b8-sohret-kapak</t>
        </is>
      </c>
      <c r="B1590" s="5" t="n">
        <v>3</v>
      </c>
      <c r="C1590" s="6" t="inlineStr">
        <is>
          <t>Fotoğrafçıya doğal pozu sen göster</t>
        </is>
      </c>
      <c r="D1590" s="5" t="inlineStr">
        <is>
          <t>Sosyal Radar</t>
        </is>
      </c>
      <c r="E1590" s="5" t="inlineStr">
        <is>
          <t>Zor</t>
        </is>
      </c>
      <c r="F1590" s="5" t="inlineStr"/>
      <c r="G1590" s="6" t="inlineStr"/>
      <c r="H1590" s="6" t="inlineStr">
        <is>
          <t>Ceketlerin ikisini çıkardın, balkonda çay içerken çekildin. Kapak “yılın en doğal kapağı” seçildi; çay soğudu.</t>
        </is>
      </c>
      <c r="I1590" s="6" t="inlineStr">
        <is>
          <t>Balkon fotoğrafı öyle sevildi ki ceketin markası sana teşekkür yazdı; o ceketi giymemişken. Stilist küs.</t>
        </is>
      </c>
      <c r="J1590" s="6" t="inlineStr">
        <is>
          <t>Pozu gösterdin; fotoğrafçı “Bu doğal değil, yorgun” dedi. Üç ceketle çekildin; kapakta terlisin.</t>
        </is>
      </c>
      <c r="K1590" s="6" t="inlineStr">
        <is>
          <t>Doğal olmak için ceketleri çıkardın; kapağa atletle çıktın. Annen dergileri topluyor, komşular buluyor.</t>
        </is>
      </c>
      <c r="L1590" s="6" t="inlineStr"/>
      <c r="M1590" s="5" t="inlineStr"/>
      <c r="N1590" s="5" t="inlineStr"/>
      <c r="O1590" s="6" t="inlineStr"/>
      <c r="P1590" s="6" t="inlineStr"/>
      <c r="Q1590" s="5" t="inlineStr"/>
      <c r="R1590" s="5" t="inlineStr"/>
      <c r="S1590" s="5" t="inlineStr"/>
      <c r="T1590" s="5" t="inlineStr">
        <is>
          <t>Odayı Okur</t>
        </is>
      </c>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row>
    <row r="1591">
      <c r="A1591" s="5" t="inlineStr">
        <is>
          <t>b8-sohret-program</t>
        </is>
      </c>
      <c r="B1591" s="5" t="n">
        <v>1</v>
      </c>
      <c r="C1591" s="6" t="inlineStr">
        <is>
          <t>İlk konuk olarak anneni çağır</t>
        </is>
      </c>
      <c r="D1591" s="5" t="inlineStr"/>
      <c r="E1591" s="5" t="inlineStr"/>
      <c r="F1591" s="5" t="inlineStr">
        <is>
          <t>Sosyal Radar +1, Gönül +1</t>
        </is>
      </c>
      <c r="G1591" s="6" t="inlineStr">
        <is>
          <t>Annen stüdyoya börekle geldi, çocukluğunu anlattı. Reyting iyi; ikinci bölüme de o gelmek istiyor, börekle.</t>
        </is>
      </c>
      <c r="H1591" s="6" t="inlineStr"/>
      <c r="I1591" s="6" t="inlineStr"/>
      <c r="J1591" s="6" t="inlineStr"/>
      <c r="K1591" s="6" t="inlineStr"/>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row>
    <row r="1592">
      <c r="A1592" s="5" t="inlineStr">
        <is>
          <t>b8-sohret-program</t>
        </is>
      </c>
      <c r="B1592" s="5" t="n">
        <v>2</v>
      </c>
      <c r="C1592" s="6" t="inlineStr">
        <is>
          <t>Konuğu sert sorularla sıkıştır</t>
        </is>
      </c>
      <c r="D1592" s="5" t="inlineStr">
        <is>
          <t>Cesaret</t>
        </is>
      </c>
      <c r="E1592" s="5" t="inlineStr">
        <is>
          <t>Orta</t>
        </is>
      </c>
      <c r="F1592" s="5" t="inlineStr"/>
      <c r="G1592" s="6" t="inlineStr"/>
      <c r="H1592" s="6" t="inlineStr">
        <is>
          <t>Konuğun ter döktü, reyting yükseldi. Programın adı “Sıcak Koltuk” oldu; koltuk gerçekten ısınıyor.</t>
        </is>
      </c>
      <c r="I1592" s="6" t="inlineStr">
        <is>
          <t>Sert sorun ertesi gün bütün sabah programlarında konuşuldu. Kanal seni hafta sonuna da istiyor; hafta sonun gidiyor.</t>
        </is>
      </c>
      <c r="J1592" s="6" t="inlineStr">
        <is>
          <t>Sert soruyu sordun; konuk güldü, cevap vermedi. Kalan kırk dakikayı sehpadaki suyla doldurdun.</t>
        </is>
      </c>
      <c r="K1592" s="6" t="inlineStr">
        <is>
          <t>Sert soruyu sordun; konuk canlı yayında ağlamaya başladı. Peçeteyi ona sen uzattın, kamera da seni çekti. Yayın bitmeden annen aradı: “Ayıp ettin.”</t>
        </is>
      </c>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row>
    <row r="1593">
      <c r="A1593" s="5" t="inlineStr">
        <is>
          <t>b8-sohret-program</t>
        </is>
      </c>
      <c r="B1593" s="5" t="n">
        <v>3</v>
      </c>
      <c r="C1593" s="6" t="inlineStr">
        <is>
          <t>Programı kendi hikâyenle aç</t>
        </is>
      </c>
      <c r="D1593" s="5" t="inlineStr">
        <is>
          <t>Pişkinlik</t>
        </is>
      </c>
      <c r="E1593" s="5" t="inlineStr">
        <is>
          <t>Zor</t>
        </is>
      </c>
      <c r="F1593" s="5" t="inlineStr"/>
      <c r="G1593" s="6" t="inlineStr"/>
      <c r="H1593" s="6" t="inlineStr">
        <is>
          <t>Hayatını on dakikada anlattın; stüdyo sustu, sonra alkışladı. Program tuttu. Sahte kütüphaneye gerçek kitaplar geldi.</t>
        </is>
      </c>
      <c r="I1593" s="6" t="inlineStr">
        <is>
          <t>İlk bölüm öyle izlendi ki sokakta insanlar sana dert anlatıyor. Programın bir çeşit mahalle muhtarlığına döndü.</t>
        </is>
      </c>
      <c r="J1593" s="6" t="inlineStr">
        <is>
          <t>Hikâyeni anlattın; reji tam o sırada reklama girdi. İzleyici sonunu bilmiyor, sen de artık hatırlamıyorsun.</t>
        </is>
      </c>
      <c r="K1593" s="6" t="inlineStr">
        <is>
          <t>Anlatırken sahte kütüphaneye yaslandın; kütüphane devrildi. Programın ilk anı o oldu, sonrakiler de.</t>
        </is>
      </c>
      <c r="L1593" s="6" t="inlineStr"/>
      <c r="M1593" s="5" t="inlineStr"/>
      <c r="N1593" s="5" t="inlineStr"/>
      <c r="O1593" s="6" t="inlineStr"/>
      <c r="P1593" s="6" t="inlineStr"/>
      <c r="Q1593" s="5" t="inlineStr"/>
      <c r="R1593" s="5" t="inlineStr"/>
      <c r="S1593" s="5" t="inlineStr"/>
      <c r="T1593" s="5" t="inlineStr">
        <is>
          <t>Son Sözü Söyler</t>
        </is>
      </c>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row>
    <row r="1594">
      <c r="A1594" s="5" t="inlineStr">
        <is>
          <t>b8-sohret-program</t>
        </is>
      </c>
      <c r="B1594" s="5" t="n">
        <v>4</v>
      </c>
      <c r="C1594" s="6" t="inlineStr">
        <is>
          <t>Seyirciyle şarkı söyleyerek aç</t>
        </is>
      </c>
      <c r="D1594" s="5" t="inlineStr">
        <is>
          <t>Sosyal Radar</t>
        </is>
      </c>
      <c r="E1594" s="5" t="inlineStr">
        <is>
          <t>Orta</t>
        </is>
      </c>
      <c r="F1594" s="5" t="inlineStr"/>
      <c r="G1594" s="6" t="inlineStr"/>
      <c r="H1594" s="6" t="inlineStr">
        <is>
          <t>Açılışta seyirciyle şarkı söyledin. Program müzikli sohbete döndü; konuklar gelmeden önce ses açıyor.</t>
        </is>
      </c>
      <c r="I1594" s="6" t="inlineStr">
        <is>
          <t>Açılış şarkın o kadar sevildi ki düğünlerde çalınıyor. Düğünlere davet ediliyorsun; gelinle damat seni tanımıyor.</t>
        </is>
      </c>
      <c r="J1594" s="6" t="inlineStr">
        <is>
          <t>Seyirci şarkıyı bilmiyordu; tek başına söyledin. Reji sesini kıstı, alkış da kısık geldi.</t>
        </is>
      </c>
      <c r="K1594" s="6" t="inlineStr">
        <is>
          <t>Şarkıya yanlış tondan girdin; orkestra nezaketen seni takip etti, seyirci etmedi. Ertesi hafta orkestra gelmedi; program o günden beri yalnızca senin sesinle açılıyor.</t>
        </is>
      </c>
      <c r="L1594" s="6" t="inlineStr"/>
      <c r="M1594" s="5" t="inlineStr"/>
      <c r="N1594" s="5" t="inlineStr"/>
      <c r="O1594" s="6" t="inlineStr"/>
      <c r="P1594" s="6" t="inlineStr"/>
      <c r="Q1594" s="5" t="inlineStr">
        <is>
          <t>Sahne Sever</t>
        </is>
      </c>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row>
    <row r="1595">
      <c r="A1595" s="5" t="inlineStr">
        <is>
          <t>b9-sohret-juri</t>
        </is>
      </c>
      <c r="B1595" s="5" t="n">
        <v>1</v>
      </c>
      <c r="C1595" s="6" t="inlineStr">
        <is>
          <t>Nazikçe düzelt, puanını ver</t>
        </is>
      </c>
      <c r="D1595" s="5" t="inlineStr"/>
      <c r="E1595" s="5" t="inlineStr"/>
      <c r="F1595" s="5" t="inlineStr">
        <is>
          <t>İtibar +1, Akıl +1</t>
        </is>
      </c>
      <c r="G1595" s="6" t="inlineStr">
        <is>
          <t>Repliği düzelttin; yarışmacı teşekkür etti, yine yanlış okudu. Puanını verdin. Yirmi beş yıl önce seni de kimse düzeltmemişti.</t>
        </is>
      </c>
      <c r="H1595" s="6" t="inlineStr"/>
      <c r="I1595" s="6" t="inlineStr"/>
      <c r="J1595" s="6" t="inlineStr"/>
      <c r="K1595" s="6" t="inlineStr"/>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row>
    <row r="1596">
      <c r="A1596" s="5" t="inlineStr">
        <is>
          <t>b9-sohret-juri</t>
        </is>
      </c>
      <c r="B1596" s="5" t="n">
        <v>2</v>
      </c>
      <c r="C1596" s="6" t="inlineStr">
        <is>
          <t>Sert jüri ol, masaya damga vur</t>
        </is>
      </c>
      <c r="D1596" s="5" t="inlineStr">
        <is>
          <t>Pişkinlik</t>
        </is>
      </c>
      <c r="E1596" s="5" t="inlineStr">
        <is>
          <t>Orta</t>
        </is>
      </c>
      <c r="F1596" s="5" t="inlineStr"/>
      <c r="G1596" s="6" t="inlineStr"/>
      <c r="H1596" s="6" t="inlineStr">
        <is>
          <t>“Bu replik senin değil, benim” dedin. Salon alkışladı. Program sana “Demir Jüri” dedi; mahallenin çocukları seni sokakta bu adla çağırıyor.</t>
        </is>
      </c>
      <c r="I1596" s="6" t="inlineStr">
        <is>
          <t>Sert yorumun kısa video uygulamasında milyonlarca izlendi. Gençler seni ilk kez tanıdı, eski dizini baştan izliyorlar.</t>
        </is>
      </c>
      <c r="J1596" s="6" t="inlineStr">
        <is>
          <t>Sert konuştun; yarışmacı ağladı, seyirci onu tuttu. Program seni “duygusuz jüri” diye tanıtmaya başladı.</t>
        </is>
      </c>
      <c r="K1596" s="6" t="inlineStr">
        <is>
          <t>Ayağa kalkarken mikrofon kablosuna takıldın, jüri masasını devirdin. Program o anı jeneriğe koydu.</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row>
    <row r="1597">
      <c r="A1597" s="5" t="inlineStr">
        <is>
          <t>b9-sohret-juri</t>
        </is>
      </c>
      <c r="B1597" s="5" t="n">
        <v>3</v>
      </c>
      <c r="C1597" s="6" t="inlineStr">
        <is>
          <t>“Nerede O Eski Yıldızlar”da anılarını anlat</t>
        </is>
      </c>
      <c r="D1597" s="5" t="inlineStr">
        <is>
          <t>Sosyal Radar</t>
        </is>
      </c>
      <c r="E1597" s="5" t="inlineStr">
        <is>
          <t>Orta</t>
        </is>
      </c>
      <c r="F1597" s="5" t="inlineStr"/>
      <c r="G1597" s="6" t="inlineStr"/>
      <c r="H1597" s="6" t="inlineStr">
        <is>
          <t>Eski setleri anlattın; stüdyo kahkahaya boğuldu. Eski rol arkadaşların aradı, bir araya gelme planı yapılıyor.</t>
        </is>
      </c>
      <c r="I1597" s="6" t="inlineStr">
        <is>
          <t>Anıların öyle sevildi ki eski dizinin devamı çekilecek. Rolün aynı, sadece artık dede; yapımcı yine sandviç yiyor.</t>
        </is>
      </c>
      <c r="J1597" s="6" t="inlineStr">
        <is>
          <t>Anılarını anlattın; sunucu her cümlenin ortasında reklama girdi. Hiçbir anı bitmedi.</t>
        </is>
      </c>
      <c r="K1597" s="6" t="inlineStr">
        <is>
          <t>Anlattığın anı başka bir oyuncuya aitmiş; o da izliyormuş. Ertesi gün canlı bağlandı, düzeltti.</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row>
    <row r="1598">
      <c r="A1598" s="5" t="inlineStr">
        <is>
          <t>b9-sohret-juri</t>
        </is>
      </c>
      <c r="B1598" s="5" t="n">
        <v>4</v>
      </c>
      <c r="C1598" s="6" t="inlineStr">
        <is>
          <t>Eski kapak fotoğrafını yeniden çektir</t>
        </is>
      </c>
      <c r="D1598" s="5" t="inlineStr">
        <is>
          <t>Pişkinlik</t>
        </is>
      </c>
      <c r="E1598" s="5" t="inlineStr">
        <is>
          <t>Zor</t>
        </is>
      </c>
      <c r="F1598" s="5" t="inlineStr"/>
      <c r="G1598" s="6" t="inlineStr"/>
      <c r="H1598" s="6" t="inlineStr">
        <is>
          <t>Yıllar önceki kapağının aynısını çektin. Dergi ikisini yan yana bastı; okurlar farkı değil, benzerliği konuştu.</t>
        </is>
      </c>
      <c r="I1598" s="6" t="inlineStr">
        <is>
          <t>Eski ve yeni kapak yan yana satışa çıktı; iki dergi birden tükendi. Editör üçüncüsü için tarih istiyor.</t>
        </is>
      </c>
      <c r="J1598" s="6" t="inlineStr">
        <is>
          <t>Aynı pozu verdin; fotoğrafçı “Tamam, şimdi rahat durun” dedi. Rahat durdun; o kare kullanıldı.</t>
        </is>
      </c>
      <c r="K1598" s="6" t="inlineStr">
        <is>
          <t>Aynı pozu verirken belin tuttu. Kapakta pozun yarısı çıktı; başlık: “Yepyeni bir duruş.”</t>
        </is>
      </c>
      <c r="L1598" s="6" t="inlineStr"/>
      <c r="M1598" s="5" t="inlineStr"/>
      <c r="N1598" s="5" t="inlineStr"/>
      <c r="O1598" s="6" t="inlineStr"/>
      <c r="P1598" s="6" t="inlineStr"/>
      <c r="Q1598" s="5" t="inlineStr"/>
      <c r="R1598" s="5" t="inlineStr">
        <is>
          <t>sohret-kapak-oldu</t>
        </is>
      </c>
      <c r="S1598" s="5" t="inlineStr"/>
      <c r="T1598" s="5" t="inlineStr">
        <is>
          <t>Kendine Gülebilir</t>
        </is>
      </c>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row>
    <row r="1599">
      <c r="A1599" s="5" t="inlineStr">
        <is>
          <t>b7-girisim-garaj</t>
        </is>
      </c>
      <c r="B1599" s="5" t="n">
        <v>1</v>
      </c>
      <c r="C1599" s="6" t="inlineStr">
        <is>
          <t>Kuzene hisse ver, arabayı unutsun</t>
        </is>
      </c>
      <c r="D1599" s="5" t="inlineStr"/>
      <c r="E1599" s="5" t="inlineStr"/>
      <c r="F1599" s="5" t="inlineStr">
        <is>
          <t>Kurnazlık +1, Sosyal Radar +1</t>
        </is>
      </c>
      <c r="G1599" s="6" t="inlineStr">
        <is>
          <t>Kuzen yüzde beşi aldı, arabayı unuttu. Artık her bayram sofrasında seni “ortağım” diye tanıştırıyor.</t>
        </is>
      </c>
      <c r="H1599" s="6" t="inlineStr"/>
      <c r="I1599" s="6" t="inlineStr"/>
      <c r="J1599" s="6" t="inlineStr"/>
      <c r="K1599" s="6" t="inlineStr"/>
      <c r="L1599" s="6" t="inlineStr"/>
      <c r="M1599" s="5" t="inlineStr"/>
      <c r="N1599" s="5" t="inlineStr"/>
      <c r="O1599" s="6" t="inlineStr"/>
      <c r="P1599" s="6" t="inlineStr"/>
      <c r="Q1599" s="5" t="inlineStr"/>
      <c r="R1599" s="5" t="inlineStr"/>
      <c r="S1599" s="5" t="inlineStr"/>
      <c r="T1599" s="5" t="inlineStr"/>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row>
    <row r="1600">
      <c r="A1600" s="5" t="inlineStr">
        <is>
          <t>b7-girisim-garaj</t>
        </is>
      </c>
      <c r="B1600" s="5" t="n">
        <v>2</v>
      </c>
      <c r="C1600" s="6" t="inlineStr">
        <is>
          <t>İlk müşteriyi kapı kapı bul</t>
        </is>
      </c>
      <c r="D1600" s="5" t="inlineStr">
        <is>
          <t>Cesaret</t>
        </is>
      </c>
      <c r="E1600" s="5" t="inlineStr">
        <is>
          <t>Orta</t>
        </is>
      </c>
      <c r="F1600" s="5" t="inlineStr"/>
      <c r="G1600" s="6" t="inlineStr"/>
      <c r="H1600" s="6" t="inlineStr">
        <is>
          <t>On dokuzuncu kapıda bir kırtasiyeci “Deneyelim” dedi. İlk müşterin oldu. Ödemeyi kalemle yaptı; ama yaptı.</t>
        </is>
      </c>
      <c r="I1600" s="6" t="inlineStr">
        <is>
          <t>Kırtasiyeci ürünü bütün esnaf derneğine anlattı. Garajın önünde kuyruk var; baban arabayı çıkaramıyor.</t>
        </is>
      </c>
      <c r="J1600" s="6" t="inlineStr">
        <is>
          <t>Kırk kapı çaldın; otuz dokuzu “Biz kâğıtla idare ediyoruz” dedi, biri köpeğini gönderdi. Köpek sadece baktı.</t>
        </is>
      </c>
      <c r="K1600" s="6" t="inlineStr">
        <is>
          <t>Site yöneticisi seni seyyar satıcı sandı. Site grubunda fotoğrafın dolaşıyor: “Dikkat!”</t>
        </is>
      </c>
      <c r="L1600" s="6" t="inlineStr"/>
      <c r="M1600" s="5" t="inlineStr"/>
      <c r="N1600" s="5" t="inlineStr"/>
      <c r="O1600" s="6" t="inlineStr"/>
      <c r="P1600" s="6" t="inlineStr"/>
      <c r="Q1600" s="5" t="inlineStr"/>
      <c r="R1600" s="5" t="inlineStr"/>
      <c r="S1600" s="5" t="inlineStr"/>
      <c r="T1600" s="5" t="inlineStr"/>
      <c r="U1600" s="5" t="inlineStr"/>
      <c r="V1600" s="5" t="inlineStr">
        <is>
          <t>girisim-ilk-musteri</t>
        </is>
      </c>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row>
    <row r="1601">
      <c r="A1601" s="5" t="inlineStr">
        <is>
          <t>b7-girisim-garaj</t>
        </is>
      </c>
      <c r="B1601" s="5" t="n">
        <v>3</v>
      </c>
      <c r="C1601" s="6" t="inlineStr">
        <is>
          <t>Buzdolabındaki sunucuyu hızlandır</t>
        </is>
      </c>
      <c r="D1601" s="5" t="inlineStr">
        <is>
          <t>Akıl</t>
        </is>
      </c>
      <c r="E1601" s="5" t="inlineStr">
        <is>
          <t>Zor</t>
        </is>
      </c>
      <c r="F1601" s="5" t="inlineStr"/>
      <c r="G1601" s="6" t="inlineStr"/>
      <c r="H1601" s="6" t="inlineStr">
        <is>
          <t>Sunucuyu soğusun diye buzdolabının içine aldın. Hız iki katına çıktı. Annenin dolmaları artık bulutta.</t>
        </is>
      </c>
      <c r="I1601" s="6" t="inlineStr">
        <is>
          <t>Buzdolabı sunucunu bir teknoloji dergisi yazdı. Garaja ziyaretçi akıyor; şirketin ürünü yok ama turistik yeri var.</t>
        </is>
      </c>
      <c r="J1601" s="6" t="inlineStr">
        <is>
          <t>Hızlandırırken buzdolabı buz çözme moduna girdi. Veriler kurtuldu, dondurmalar kurtulmadı.</t>
        </is>
      </c>
      <c r="K1601" s="6" t="inlineStr">
        <is>
          <t>Kabloları ters bağladın; sokağın elektriği gitti. Bütün mahalle kapı önünde garaja bakıyor.</t>
        </is>
      </c>
      <c r="L1601" s="6" t="inlineStr"/>
      <c r="M1601" s="5" t="inlineStr"/>
      <c r="N1601" s="5" t="inlineStr"/>
      <c r="O1601" s="6" t="inlineStr"/>
      <c r="P1601" s="6" t="inlineStr"/>
      <c r="Q1601" s="5" t="inlineStr"/>
      <c r="R1601" s="5" t="inlineStr"/>
      <c r="S1601" s="5" t="inlineStr"/>
      <c r="T1601" s="5" t="inlineStr">
        <is>
          <t>Ukala Ama Haklı</t>
        </is>
      </c>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row>
    <row r="1602">
      <c r="A1602" s="5" t="inlineStr">
        <is>
          <t>b7-girisim-pivot</t>
        </is>
      </c>
      <c r="B1602" s="5" t="n">
        <v>1</v>
      </c>
      <c r="C1602" s="6" t="inlineStr">
        <is>
          <t>Dönme; ürünü daha iyi yap</t>
        </is>
      </c>
      <c r="D1602" s="5" t="inlineStr"/>
      <c r="E1602" s="5" t="inlineStr"/>
      <c r="F1602" s="5" t="inlineStr">
        <is>
          <t>İtibar +1, Dayanıklılık +1</t>
        </is>
      </c>
      <c r="G1602" s="6" t="inlineStr">
        <is>
          <t>Pivot yapmadın, ürünü düzelttin. Yatırımcı seni “inatçı” diye anlatıyor, müşteriler “düzgün” diye. İkisi de doğru.</t>
        </is>
      </c>
      <c r="H1602" s="6" t="inlineStr"/>
      <c r="I1602" s="6" t="inlineStr"/>
      <c r="J1602" s="6" t="inlineStr"/>
      <c r="K1602" s="6" t="inlineStr"/>
      <c r="L1602" s="6" t="inlineStr"/>
      <c r="M1602" s="5" t="inlineStr"/>
      <c r="N1602" s="5" t="inlineStr"/>
      <c r="O1602" s="6" t="inlineStr"/>
      <c r="P1602" s="6" t="inlineStr"/>
      <c r="Q1602" s="5" t="inlineStr"/>
      <c r="R1602" s="5" t="inlineStr"/>
      <c r="S1602" s="5" t="inlineStr"/>
      <c r="T1602" s="5" t="inlineStr"/>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row>
    <row r="1603">
      <c r="A1603" s="5" t="inlineStr">
        <is>
          <t>b7-girisim-pivot</t>
        </is>
      </c>
      <c r="B1603" s="5" t="n">
        <v>2</v>
      </c>
      <c r="C1603" s="6" t="inlineStr">
        <is>
          <t>Şirketi bir gecede yapay zekâ şirketi yap</t>
        </is>
      </c>
      <c r="D1603" s="5" t="inlineStr">
        <is>
          <t>Pişkinlik</t>
        </is>
      </c>
      <c r="E1603" s="5" t="inlineStr">
        <is>
          <t>Orta</t>
        </is>
      </c>
      <c r="F1603" s="5" t="inlineStr"/>
      <c r="G1603" s="6" t="inlineStr"/>
      <c r="H1603" s="6" t="inlineStr">
        <is>
          <t>Logoya bir yıldız, adına “Zekâ” ekledin. Ürün aynı, şirketin değeri üç katı. Kimse içini açıp bakmadı.</t>
        </is>
      </c>
      <c r="I1603" s="6" t="inlineStr">
        <is>
          <t>Ekosistem etkinliklerinde ana konuşmacı oldun. Yapay zekân hakkında konuşuyorsun; ürünü hâlâ kuzen elle çalıştırıyor.</t>
        </is>
      </c>
      <c r="J1603" s="6" t="inlineStr">
        <is>
          <t>Logoyu değiştirdin; yatırımcı ürünün aynı olduğunu fark etti. Yıldız logodan silindi, yatırımcı toplantıdan.</t>
        </is>
      </c>
      <c r="K1603" s="6" t="inlineStr">
        <is>
          <t>Sunumda “yapay zekâmız” dediğin anda ekranda kuzenin elle cevap yazdığı görüntü açıldı. Canlı.</t>
        </is>
      </c>
      <c r="L1603" s="6" t="inlineStr"/>
      <c r="M1603" s="5" t="inlineStr"/>
      <c r="N1603" s="5" t="inlineStr"/>
      <c r="O1603" s="6" t="inlineStr"/>
      <c r="P1603" s="6" t="inlineStr"/>
      <c r="Q1603" s="5" t="inlineStr"/>
      <c r="R1603" s="5" t="inlineStr"/>
      <c r="S1603" s="5" t="inlineStr"/>
      <c r="T1603" s="5" t="inlineStr"/>
      <c r="U1603" s="5" t="inlineStr"/>
      <c r="V1603" s="5" t="inlineStr">
        <is>
          <t>girisim-pivotcu</t>
        </is>
      </c>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is>
          <t>Yapay Kuzen</t>
        </is>
      </c>
    </row>
    <row r="1604">
      <c r="A1604" s="5" t="inlineStr">
        <is>
          <t>b7-girisim-pivot</t>
        </is>
      </c>
      <c r="B1604" s="5" t="n">
        <v>3</v>
      </c>
      <c r="C1604" s="6" t="inlineStr">
        <is>
          <t>Rakibin mühendislerini kendi tarafına çek</t>
        </is>
      </c>
      <c r="D1604" s="5" t="inlineStr">
        <is>
          <t>Cesaret</t>
        </is>
      </c>
      <c r="E1604" s="5" t="inlineStr">
        <is>
          <t>Orta</t>
        </is>
      </c>
      <c r="F1604" s="5" t="inlineStr"/>
      <c r="G1604" s="6" t="inlineStr"/>
      <c r="H1604" s="6" t="inlineStr">
        <is>
          <t>İki mühendisi kahveye çağırdın, üçüncü kahvede ikna ettin. Rakip bir hafta ürününü güncelleyemedi.</t>
        </is>
      </c>
      <c r="I1604" s="6" t="inlineStr">
        <is>
          <t>Rakibin bütün ekibi sana geçti; bir hafta sonra kurucusu da. Şimdi ürün müdürün; her toplantıda yapay zekâdan bahsediyor.</t>
        </is>
      </c>
      <c r="J1604" s="6" t="inlineStr">
        <is>
          <t>Mühendisler kahveyi içti, gelmedi. Hesabı sen ödedin: üç kahve, iki poğaça.</t>
        </is>
      </c>
      <c r="K1604" s="6" t="inlineStr">
        <is>
          <t>Mühendislere yüksek bir maaş teklif ettin. Gelmediler; ama rakamı senin ekibin duydu. Ertesi sabah bütün ekibin aynı maaşı istedi.</t>
        </is>
      </c>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row>
    <row r="1605">
      <c r="A1605" s="5" t="inlineStr">
        <is>
          <t>b7-girisim-ekosistem</t>
        </is>
      </c>
      <c r="B1605" s="5" t="n">
        <v>1</v>
      </c>
      <c r="C1605" s="6" t="inlineStr">
        <is>
          <t>Dürüstçe “Şans” de</t>
        </is>
      </c>
      <c r="D1605" s="5" t="inlineStr"/>
      <c r="E1605" s="5" t="inlineStr"/>
      <c r="F1605" s="5" t="inlineStr">
        <is>
          <t>İtibar +1, Sosyal Radar +1</t>
        </is>
      </c>
      <c r="G1605" s="6" t="inlineStr">
        <is>
          <t>“Şans” dedin. Salon güldü, sonra not aldı. Ertesi hafta biri “şans odaklı büyüme” eğitimi satmaya başladı.</t>
        </is>
      </c>
      <c r="H1605" s="6" t="inlineStr"/>
      <c r="I1605" s="6" t="inlineStr"/>
      <c r="J1605" s="6" t="inlineStr"/>
      <c r="K1605" s="6" t="inlineStr"/>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row>
    <row r="1606">
      <c r="A1606" s="5" t="inlineStr">
        <is>
          <t>b7-girisim-ekosistem</t>
        </is>
      </c>
      <c r="B1606" s="5" t="n">
        <v>2</v>
      </c>
      <c r="C1606" s="6" t="inlineStr">
        <is>
          <t>Yöntemine bir ad koy, kitap sözü ver</t>
        </is>
      </c>
      <c r="D1606" s="5" t="inlineStr">
        <is>
          <t>Çene</t>
        </is>
      </c>
      <c r="E1606" s="5" t="inlineStr">
        <is>
          <t>Orta</t>
        </is>
      </c>
      <c r="F1606" s="5" t="inlineStr"/>
      <c r="G1606" s="6" t="inlineStr"/>
      <c r="H1606" s="6" t="inlineStr">
        <is>
          <t>“Garaj Metodu” dedin. Salon alkışladı, üç yayınevi aradı. Metodun içini henüz doldurmadın.</t>
        </is>
      </c>
      <c r="I1606" s="6" t="inlineStr">
        <is>
          <t>Garaj Metodu daha yazılmadan ön siparişte en çok satanlara girdi. Şimdi kitabı yazman lazım.</t>
        </is>
      </c>
      <c r="J1606" s="6" t="inlineStr">
        <is>
          <t>Yöntemine ad koydun; salondan biri aynı adla kurs verdiğini söyledi. Kartvizitini değil, kurs broşürünü dağıttı.</t>
        </is>
      </c>
      <c r="K1606" s="6" t="inlineStr">
        <is>
          <t>Anlatırken slaytlar karıştı; ekrana tatil fotoğrafların geldi. Yöntemin “Tatil Metodu” diye anıldı.</t>
        </is>
      </c>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row>
    <row r="1607">
      <c r="A1607" s="5" t="inlineStr">
        <is>
          <t>b7-girisim-ekosistem</t>
        </is>
      </c>
      <c r="B1607" s="5" t="n">
        <v>3</v>
      </c>
      <c r="C1607" s="6" t="inlineStr">
        <is>
          <t>Mikrofonu bırakma, yeni fikrini sat</t>
        </is>
      </c>
      <c r="D1607" s="5" t="inlineStr">
        <is>
          <t>Cesaret</t>
        </is>
      </c>
      <c r="E1607" s="5" t="inlineStr">
        <is>
          <t>Zor</t>
        </is>
      </c>
      <c r="F1607" s="5" t="inlineStr"/>
      <c r="G1607" s="6" t="inlineStr"/>
      <c r="H1607" s="6" t="inlineStr">
        <is>
          <t>Mikrofonu bırakmadan yeni fikrini anlattın. Buluşma bitmeden iki yatırımcı seni kahveye çağırdı; hesabı onlar ödedi.</t>
        </is>
      </c>
      <c r="I1607" s="6" t="inlineStr">
        <is>
          <t>Bir yatırımcı ayağa kalkıp “Varım” dedi, diğerleri kaçırmamak için peşinden. Fikrin henüz bir cümle; değeri bir apartman.</t>
        </is>
      </c>
      <c r="J1607" s="6" t="inlineStr">
        <is>
          <t>Moderatör süre dolduğunu söyleyip mikrofonu aldı. Fikrin koridorda devam etti; koridor boştu.</t>
        </is>
      </c>
      <c r="K1607" s="6" t="inlineStr">
        <is>
          <t>Anlattığın fikir, ön sıradaki gencin geçen ay kurduğu şirketin ta kendisiymiş. Genç el kaldırıp teşekkür etti.</t>
        </is>
      </c>
      <c r="L1607" s="6" t="inlineStr"/>
      <c r="M1607" s="5" t="inlineStr"/>
      <c r="N1607" s="5" t="inlineStr"/>
      <c r="O1607" s="6" t="inlineStr"/>
      <c r="P1607" s="6" t="inlineStr"/>
      <c r="Q1607" s="5" t="inlineStr"/>
      <c r="R1607" s="5" t="inlineStr"/>
      <c r="S1607" s="5" t="inlineStr"/>
      <c r="T1607" s="5" t="inlineStr">
        <is>
          <t>Kendi Patronu</t>
        </is>
      </c>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row>
    <row r="1608">
      <c r="A1608" s="5" t="inlineStr">
        <is>
          <t>b8-girisim-kurul</t>
        </is>
      </c>
      <c r="B1608" s="5" t="n">
        <v>1</v>
      </c>
      <c r="C1608" s="6" t="inlineStr">
        <is>
          <t>Masa tenisinde çalışanlarla tanış</t>
        </is>
      </c>
      <c r="D1608" s="5" t="inlineStr"/>
      <c r="E1608" s="5" t="inlineStr"/>
      <c r="F1608" s="5" t="inlineStr">
        <is>
          <t>Sosyal Radar +1, Dayanıklılık +1</t>
        </is>
      </c>
      <c r="G1608" s="6" t="inlineStr">
        <is>
          <t>On ikisini yendin, yirmisine yenildin. Artık adlarını biliyorsun; onlar da senin servisini.</t>
        </is>
      </c>
      <c r="H1608" s="6" t="inlineStr"/>
      <c r="I1608" s="6" t="inlineStr"/>
      <c r="J1608" s="6" t="inlineStr"/>
      <c r="K1608" s="6" t="inlineStr"/>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row>
    <row r="1609">
      <c r="A1609" s="5" t="inlineStr">
        <is>
          <t>b8-girisim-kurul</t>
        </is>
      </c>
      <c r="B1609" s="5" t="n">
        <v>2</v>
      </c>
      <c r="C1609" s="6" t="inlineStr">
        <is>
          <t>Kurulda “tarihî” olmadığını kanıtla</t>
        </is>
      </c>
      <c r="D1609" s="5" t="inlineStr">
        <is>
          <t>Akıl</t>
        </is>
      </c>
      <c r="E1609" s="5" t="inlineStr">
        <is>
          <t>Orta</t>
        </is>
      </c>
      <c r="F1609" s="5" t="inlineStr"/>
      <c r="G1609" s="6" t="inlineStr"/>
      <c r="H1609" s="6" t="inlineStr">
        <is>
          <t>Rakamları ezberden okudun, kurul şaşırdı. Fotoğrafının altındaki yazı “Kurucu (hâlâ)” oldu.</t>
        </is>
      </c>
      <c r="I1609" s="6" t="inlineStr">
        <is>
          <t>Sunumu devraldın, kırk dakika konuştun, kurul planı değiştirdi. Kültür sunumunu yapan genç çıkışta yanına geldi: “Slayttaki fotoğrafı değiştiriyorum.”</t>
        </is>
      </c>
      <c r="J1609" s="6" t="inlineStr">
        <is>
          <t>Rakamlarla konuştun; kurul yeni finans müdürünün rakamlarına daha çok güvendi. Seninkiler de doğruydu, sadece eskiydi.</t>
        </is>
      </c>
      <c r="K1609" s="6" t="inlineStr">
        <is>
          <t>Rakamları okurken geçen yılın dosyasını açtın. Kurul, şirketin geçen yıl daha iyi olduğunu senden öğrendi.</t>
        </is>
      </c>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row>
    <row r="1610">
      <c r="A1610" s="5" t="inlineStr">
        <is>
          <t>b8-girisim-kurul</t>
        </is>
      </c>
      <c r="B1610" s="5" t="n">
        <v>3</v>
      </c>
      <c r="C1610" s="6" t="inlineStr">
        <is>
          <t>Kurulu dağıt, herkesi garaja götür</t>
        </is>
      </c>
      <c r="D1610" s="5" t="inlineStr">
        <is>
          <t>Cesaret</t>
        </is>
      </c>
      <c r="E1610" s="5" t="inlineStr">
        <is>
          <t>Zor</t>
        </is>
      </c>
      <c r="F1610" s="5" t="inlineStr"/>
      <c r="G1610" s="6" t="inlineStr"/>
      <c r="H1610" s="6" t="inlineStr">
        <is>
          <t>Bir haftalığına herkesi garaja taşıdın. Ürün iki haftada yenilendi; masa tenisi ofiste yalnız kaldı.</t>
        </is>
      </c>
      <c r="I1610" s="6" t="inlineStr">
        <is>
          <t>Garaj haftası efsane oldu; rakipler de çalışanlarını garaja taşıdı. Babanın garajının önünde artık kuyruk var; baban kapıda bilet kesiyor.</t>
        </is>
      </c>
      <c r="J1610" s="6" t="inlineStr">
        <is>
          <t>Kırk kişi garaja sığmadı. Toplantı kaldırımda yapıldı, zabıta gelince bitti.</t>
        </is>
      </c>
      <c r="K1610" s="6" t="inlineStr">
        <is>
          <t>Kurul garaj fikrine karşı oy verdi; lehte tek oy seninki. Çıkarken kapı kartın çalışmadı.</t>
        </is>
      </c>
      <c r="L1610" s="6" t="inlineStr"/>
      <c r="M1610" s="5" t="inlineStr"/>
      <c r="N1610" s="5" t="inlineStr"/>
      <c r="O1610" s="6" t="inlineStr"/>
      <c r="P1610" s="6" t="inlineStr"/>
      <c r="Q1610" s="5" t="inlineStr"/>
      <c r="R1610" s="5" t="inlineStr"/>
      <c r="S1610" s="5" t="inlineStr"/>
      <c r="T1610" s="5" t="inlineStr">
        <is>
          <t>Geri Adım Atmaz</t>
        </is>
      </c>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row>
    <row r="1611">
      <c r="A1611" s="5" t="inlineStr">
        <is>
          <t>b8-girisim-kader</t>
        </is>
      </c>
      <c r="B1611" s="5" t="n">
        <v>1</v>
      </c>
      <c r="C1611" s="6" t="inlineStr">
        <is>
          <t>Küçül ama kimseyi kovma</t>
        </is>
      </c>
      <c r="D1611" s="5" t="inlineStr"/>
      <c r="E1611" s="5" t="inlineStr"/>
      <c r="F1611" s="5" t="inlineStr">
        <is>
          <t>İtibar +2</t>
        </is>
      </c>
      <c r="G1611" s="6" t="inlineStr">
        <is>
          <t>Şirket yarıya indi, kimse kovulmadı. Bayramda kırk çalışandan mesaj geldi; kırkına da cevap yazdın, tek tek.</t>
        </is>
      </c>
      <c r="H1611" s="6" t="inlineStr"/>
      <c r="I1611" s="6" t="inlineStr"/>
      <c r="J1611" s="6" t="inlineStr"/>
      <c r="K1611" s="6" t="inlineStr"/>
      <c r="L1611" s="6" t="inlineStr"/>
      <c r="M1611" s="5" t="inlineStr"/>
      <c r="N1611" s="5" t="inlineStr"/>
      <c r="O1611" s="6" t="inlineStr"/>
      <c r="P1611" s="6" t="inlineStr"/>
      <c r="Q1611" s="5" t="inlineStr"/>
      <c r="R1611" s="5" t="inlineStr"/>
      <c r="S1611" s="5" t="inlineStr"/>
      <c r="T1611" s="5" t="inlineStr"/>
      <c r="U1611" s="5" t="inlineStr"/>
      <c r="V1611" s="5" t="inlineStr"/>
      <c r="W1611" s="5" t="inlineStr"/>
      <c r="X1611" s="5" t="inlineStr"/>
      <c r="Y1611" s="5" t="inlineStr"/>
      <c r="Z1611" s="6" t="inlineStr"/>
      <c r="AA1611" s="5" t="inlineStr"/>
      <c r="AB1611" s="5" t="inlineStr"/>
      <c r="AC1611" s="5" t="inlineStr"/>
      <c r="AD1611" s="5" t="inlineStr"/>
      <c r="AE1611" s="5" t="inlineStr"/>
      <c r="AF1611" s="5" t="n">
        <v>1</v>
      </c>
      <c r="AG1611" s="5" t="inlineStr"/>
      <c r="AH1611" s="5" t="inlineStr"/>
      <c r="AI1611" s="5" t="inlineStr"/>
    </row>
    <row r="1612">
      <c r="A1612" s="5" t="inlineStr">
        <is>
          <t>b8-girisim-kader</t>
        </is>
      </c>
      <c r="B1612" s="5" t="n">
        <v>2</v>
      </c>
      <c r="C1612" s="6" t="inlineStr">
        <is>
          <t>Holdingi kur, bir de otel al</t>
        </is>
      </c>
      <c r="D1612" s="5" t="inlineStr">
        <is>
          <t>Cesaret</t>
        </is>
      </c>
      <c r="E1612" s="5" t="inlineStr">
        <is>
          <t>Zor</t>
        </is>
      </c>
      <c r="F1612" s="5" t="inlineStr"/>
      <c r="G1612" s="6" t="inlineStr"/>
      <c r="H1612" s="6" t="inlineStr">
        <is>
          <t>Grup şirketleri dosyası kazandı. Holdingin var: bir yazılım şirketi, bir kafe zinciri ve nedenini bilmediğin bir otel.</t>
        </is>
      </c>
      <c r="I1612" s="6" t="inlineStr">
        <is>
          <t>Holdingin logosu bir gökdelende yanıyor. Otelin en üst katı senin; kuzen hâlâ şirket arabası istiyor, artık filo var.</t>
        </is>
      </c>
      <c r="J1612" s="6" t="inlineStr">
        <is>
          <t>Otel teklifi reddedildi, kredi de. Karton bardakta çay içmeye devam; borç bardaktan taştı.</t>
        </is>
      </c>
      <c r="K1612" s="6" t="inlineStr">
        <is>
          <t>Oteli aldın; ilk yağmurda lobide kurbağalar öttü. Temel bataklıkmış. Holding bir hafta sürdü; kurbağalar hâlâ orada, borç da.</t>
        </is>
      </c>
      <c r="L1612" s="6" t="inlineStr"/>
      <c r="M1612" s="5" t="inlineStr"/>
      <c r="N1612" s="5" t="inlineStr"/>
      <c r="O1612" s="6" t="inlineStr"/>
      <c r="P1612" s="6" t="inlineStr"/>
      <c r="Q1612" s="5" t="inlineStr"/>
      <c r="R1612" s="5" t="inlineStr"/>
      <c r="S1612" s="5" t="inlineStr"/>
      <c r="T1612" s="5" t="inlineStr"/>
      <c r="U1612" s="5" t="inlineStr"/>
      <c r="V1612" s="5" t="inlineStr">
        <is>
          <t>holding</t>
        </is>
      </c>
      <c r="W1612" s="5" t="inlineStr"/>
      <c r="X1612" s="5" t="inlineStr"/>
      <c r="Y1612" s="5" t="inlineStr"/>
      <c r="Z1612" s="6" t="inlineStr"/>
      <c r="AA1612" s="5" t="inlineStr"/>
      <c r="AB1612" s="5" t="inlineStr">
        <is>
          <t>borclu</t>
        </is>
      </c>
      <c r="AC1612" s="5" t="inlineStr"/>
      <c r="AD1612" s="5" t="inlineStr">
        <is>
          <t>Varlıklı</t>
        </is>
      </c>
      <c r="AE1612" s="5" t="inlineStr"/>
      <c r="AF1612" s="5" t="inlineStr"/>
      <c r="AG1612" s="5" t="inlineStr"/>
      <c r="AH1612" s="5" t="inlineStr"/>
      <c r="AI1612" s="5" t="inlineStr"/>
    </row>
    <row r="1613">
      <c r="A1613" s="5" t="inlineStr">
        <is>
          <t>b8-girisim-kader</t>
        </is>
      </c>
      <c r="B1613" s="5" t="n">
        <v>3</v>
      </c>
      <c r="C1613" s="6" t="inlineStr">
        <is>
          <t>Müdürü ikna et, vade uzasın</t>
        </is>
      </c>
      <c r="D1613" s="5" t="inlineStr">
        <is>
          <t>Çene</t>
        </is>
      </c>
      <c r="E1613" s="5" t="inlineStr">
        <is>
          <t>Orta</t>
        </is>
      </c>
      <c r="F1613" s="5" t="inlineStr"/>
      <c r="G1613" s="6" t="inlineStr"/>
      <c r="H1613" s="6" t="inlineStr">
        <is>
          <t>Müdürle kırk dakika konuştun; vade bir yıl uzadı. Çıkarken bardağın da cam oldu.</t>
        </is>
      </c>
      <c r="I1613" s="6" t="inlineStr">
        <is>
          <t>Müdür o kadar ikna oldu ki kendi birikimini şirketine yatırdı. Artık her toplantıya o da geliyor, kendi çayıyla.</t>
        </is>
      </c>
      <c r="J1613" s="6" t="inlineStr">
        <is>
          <t>Müdür dinledi, sonra “Genel müdürlüğe soralım” dedi. Genel müdürlük hâlâ düşünüyor.</t>
        </is>
      </c>
      <c r="K1613" s="6" t="inlineStr">
        <is>
          <t>İkna ederken heyecanla masaya vurdun; müdürün cam bardağı devrildi, çay dosyalara aktı. Islanan dosya seninkiydi. Vade kısaldı; bardağın yine karton.</t>
        </is>
      </c>
      <c r="L1613" s="6" t="inlineStr"/>
      <c r="M1613" s="5" t="inlineStr"/>
      <c r="N1613" s="5" t="inlineStr"/>
      <c r="O1613" s="6" t="inlineStr"/>
      <c r="P1613" s="6" t="inlineStr"/>
      <c r="Q1613" s="5" t="inlineStr"/>
      <c r="R1613" s="5" t="inlineStr"/>
      <c r="S1613" s="5" t="inlineStr"/>
      <c r="T1613" s="5" t="inlineStr"/>
      <c r="U1613" s="5" t="inlineStr"/>
      <c r="V1613" s="5" t="inlineStr"/>
      <c r="W1613" s="5" t="inlineStr">
        <is>
          <t>borclu</t>
        </is>
      </c>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row>
    <row r="1614">
      <c r="A1614" s="5" t="inlineStr">
        <is>
          <t>b9-girisim-nasihat</t>
        </is>
      </c>
      <c r="B1614" s="5" t="n">
        <v>1</v>
      </c>
      <c r="C1614" s="6" t="inlineStr">
        <is>
          <t>Garaj hikâyeni olduğu gibi anlat</t>
        </is>
      </c>
      <c r="D1614" s="5" t="inlineStr"/>
      <c r="E1614" s="5" t="inlineStr"/>
      <c r="F1614" s="5" t="inlineStr">
        <is>
          <t>İtibar +1, Çene +1</t>
        </is>
      </c>
      <c r="G1614" s="6" t="inlineStr">
        <is>
          <t>Buzdolabını, kuzeni, kırtasiyeciyi anlattın. Gençler not almadı, güldü. Çıkışta biri garajının adresini verdi: “Bakar mısınız?”</t>
        </is>
      </c>
      <c r="H1614" s="6" t="inlineStr"/>
      <c r="I1614" s="6" t="inlineStr"/>
      <c r="J1614" s="6" t="inlineStr"/>
      <c r="K1614" s="6" t="inlineStr"/>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row>
    <row r="1615">
      <c r="A1615" s="5" t="inlineStr">
        <is>
          <t>b9-girisim-nasihat</t>
        </is>
      </c>
      <c r="B1615" s="5" t="n">
        <v>2</v>
      </c>
      <c r="C1615" s="6" t="inlineStr">
        <is>
          <t>Soran gencin uygulamasına yatırım yap</t>
        </is>
      </c>
      <c r="D1615" s="5" t="inlineStr">
        <is>
          <t>Akıl</t>
        </is>
      </c>
      <c r="E1615" s="5" t="inlineStr">
        <is>
          <t>Orta</t>
        </is>
      </c>
      <c r="F1615" s="5" t="inlineStr"/>
      <c r="G1615" s="6" t="inlineStr"/>
      <c r="H1615" s="6" t="inlineStr">
        <is>
          <t>Emeklilik uygulamasına küçük bir yatırım yaptın. İlk kullanıcısı da sen oldun; seni “çok aktif” buldu.</t>
        </is>
      </c>
      <c r="I1615" s="6" t="inlineStr">
        <is>
          <t>Genç iki yılda şirketini büyüttü, sana yönetim kurulunda yer açtı. Emekliliğin yine toplantıyla geçiyor.</t>
        </is>
      </c>
      <c r="J1615" s="6" t="inlineStr">
        <is>
          <t>Bir ay sonra genç pivot yaptı; uygulama köpek gezdirme işine döndü. Senin köpeğin yok.</t>
        </is>
      </c>
      <c r="K1615" s="6" t="inlineStr">
        <is>
          <t>Genç parayla ofise masa tenisi aldı. Ürün yok, masa tenisi var. Bu sahneyi bir yerden hatırlıyorsun.</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row>
    <row r="1616">
      <c r="A1616" s="5" t="inlineStr">
        <is>
          <t>b9-girisim-nasihat</t>
        </is>
      </c>
      <c r="B1616" s="5" t="n">
        <v>3</v>
      </c>
      <c r="C1616" s="6" t="inlineStr">
        <is>
          <t>“Asla pes etmeyin” deme, gerçeği söyle</t>
        </is>
      </c>
      <c r="D1616" s="5" t="inlineStr">
        <is>
          <t>Cesaret</t>
        </is>
      </c>
      <c r="E1616" s="5" t="inlineStr">
        <is>
          <t>Orta</t>
        </is>
      </c>
      <c r="F1616" s="5" t="inlineStr"/>
      <c r="G1616" s="6" t="inlineStr"/>
      <c r="H1616" s="6" t="inlineStr">
        <is>
          <t>“Çoğunuz batacak, bu normal” dedin. Salon sustu, sonra ayağa kalktı. Alkış bu kez gerçekti.</t>
        </is>
      </c>
      <c r="I1616" s="6" t="inlineStr">
        <is>
          <t>Konuşman üniversitenin ders programına girdi: “Batmayı Öğrenmek.” Dersi sen veriyorsun; kontenjan doldu.</t>
        </is>
      </c>
      <c r="J1616" s="6" t="inlineStr">
        <is>
          <t>Gerçeği söyledin; moderatör araya girip “Ama umut da önemli” dedi. Salon moderatörü alkışladı.</t>
        </is>
      </c>
      <c r="K1616" s="6" t="inlineStr">
        <is>
          <t>Ön sıradaki genç ağladı. Onun şirketini, senin yatırımcı olduğun bir fon alıp kapatmış; ikiniz de şimdi öğrendiniz.</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row>
    <row r="1617">
      <c r="A1617" s="5" t="inlineStr">
        <is>
          <t>b9-girisim-nasihat</t>
        </is>
      </c>
      <c r="B1617" s="5" t="n">
        <v>4</v>
      </c>
      <c r="C1617" s="6" t="inlineStr">
        <is>
          <t>Holdingde staj programı aç</t>
        </is>
      </c>
      <c r="D1617" s="5" t="inlineStr">
        <is>
          <t>Sosyal Radar</t>
        </is>
      </c>
      <c r="E1617" s="5" t="inlineStr">
        <is>
          <t>Zor</t>
        </is>
      </c>
      <c r="F1617" s="5" t="inlineStr"/>
      <c r="G1617" s="6" t="inlineStr"/>
      <c r="H1617" s="6" t="inlineStr">
        <is>
          <t>Staj programını anlattın; salondaki yüz gencin doksanı başvurdu. Başvuruları bir yapay zekâ ayıklıyor.</t>
        </is>
      </c>
      <c r="I1617" s="6" t="inlineStr">
        <is>
          <t>Stajyerlerden biri holdingin en kârlı birimini kurdu. Sana “Kurucu (tarihî)” diyor; bu sefer saygıyla.</t>
        </is>
      </c>
      <c r="J1617" s="6" t="inlineStr">
        <is>
          <t>Gençler yazılım yerine holdingin kafe zincirinde staj yapmayı seçti. Kafeler doldu, yazılım boş.</t>
        </is>
      </c>
      <c r="K1617" s="6" t="inlineStr">
        <is>
          <t>Anlatırken insan kaynakları aradı: program bütçeden çıkarılmış. Salonda yüz genç, sende bir özür.</t>
        </is>
      </c>
      <c r="L1617" s="6" t="inlineStr"/>
      <c r="M1617" s="5" t="inlineStr"/>
      <c r="N1617" s="5" t="inlineStr"/>
      <c r="O1617" s="6" t="inlineStr"/>
      <c r="P1617" s="6" t="inlineStr"/>
      <c r="Q1617" s="5" t="inlineStr"/>
      <c r="R1617" s="5" t="inlineStr">
        <is>
          <t>holding</t>
        </is>
      </c>
      <c r="S1617" s="5" t="inlineStr"/>
      <c r="T1617" s="5" t="inlineStr">
        <is>
          <t>Plaza Diplomatı</t>
        </is>
      </c>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row>
    <row r="1618">
      <c r="A1618" s="5" t="inlineStr">
        <is>
          <t>b7-politika-cay</t>
        </is>
      </c>
      <c r="B1618" s="5" t="n">
        <v>1</v>
      </c>
      <c r="C1618" s="6" t="inlineStr">
        <is>
          <t>Çayı mahalledeki kahveden ısmarla</t>
        </is>
      </c>
      <c r="D1618" s="5" t="inlineStr"/>
      <c r="E1618" s="5" t="inlineStr"/>
      <c r="F1618" s="5" t="inlineStr">
        <is>
          <t>Kurnazlık +1, Sosyal Radar +1</t>
        </is>
      </c>
      <c r="G1618" s="6" t="inlineStr">
        <is>
          <t>Kahveci iki yüz çayı getirdi, faturayı partiye kesti. Mitinge en çok kahvedekiler geldi; çay bitince gittiler.</t>
        </is>
      </c>
      <c r="H1618" s="6" t="inlineStr"/>
      <c r="I1618" s="6" t="inlineStr"/>
      <c r="J1618" s="6" t="inlineStr"/>
      <c r="K1618" s="6" t="inlineStr"/>
      <c r="L1618" s="6" t="inlineStr"/>
      <c r="M1618" s="5" t="inlineStr"/>
      <c r="N1618" s="5" t="inlineStr"/>
      <c r="O1618" s="6" t="inlineStr"/>
      <c r="P1618" s="6" t="inlineStr"/>
      <c r="Q1618" s="5" t="inlineStr"/>
      <c r="R1618" s="5" t="inlineStr"/>
      <c r="S1618" s="5" t="inlineStr"/>
      <c r="T1618" s="5" t="inlineStr"/>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row>
    <row r="1619">
      <c r="A1619" s="5" t="inlineStr">
        <is>
          <t>b7-politika-cay</t>
        </is>
      </c>
      <c r="B1619" s="5" t="n">
        <v>2</v>
      </c>
      <c r="C1619" s="6" t="inlineStr">
        <is>
          <t>İki yüz çayı semaverle sen yetiştir</t>
        </is>
      </c>
      <c r="D1619" s="5" t="inlineStr">
        <is>
          <t>Dayanıklılık</t>
        </is>
      </c>
      <c r="E1619" s="5" t="inlineStr">
        <is>
          <t>Orta</t>
        </is>
      </c>
      <c r="F1619" s="5" t="inlineStr"/>
      <c r="G1619" s="6" t="inlineStr"/>
      <c r="H1619" s="6" t="inlineStr">
        <is>
          <t>Dört saat semaver başında durdun; iki yüz çay, sıfır şikâyet. İl başkanı adını sordu. Bir dahakine yine soracak.</t>
        </is>
      </c>
      <c r="I1619" s="6" t="inlineStr">
        <is>
          <t>Çayın o kadar övüldü ki seni il yöneticisi yaptılar. Görev tanımında hâlâ “çay” yazıyor; ama büyük harfle.</t>
        </is>
      </c>
      <c r="J1619" s="6" t="inlineStr">
        <is>
          <t>Semaver yetişmedi; son elli kişi çayı soğuk içti. Miting de biraz soğudu.</t>
        </is>
      </c>
      <c r="K1619" s="6" t="inlineStr">
        <is>
          <t>Semaver taştı, pankart ıslandı. “Yeşil Balkon” yazısı “Yeş Bal” oldu; fotoğraflar çoktan çekilmişti.</t>
        </is>
      </c>
      <c r="L1619" s="6" t="inlineStr">
        <is>
          <t>İki yüz çayın yarısı tavşan kanı, yarısı açık. Miting de yarı yarıya ısındı.</t>
        </is>
      </c>
      <c r="M1619" s="5" t="inlineStr">
        <is>
          <t>hold</t>
        </is>
      </c>
      <c r="N1619" s="5" t="inlineStr">
        <is>
          <t>Semaver Demi</t>
        </is>
      </c>
      <c r="O1619" s="6" t="inlineStr">
        <is>
          <t>Basılı tut; çay tavşan kanına dönünce bırak. Erken bırakırsan açık, geç kalırsan semaver taşar.</t>
        </is>
      </c>
      <c r="P1619" s="6" t="inlineStr"/>
      <c r="Q1619" s="5" t="inlineStr"/>
      <c r="R1619" s="5" t="inlineStr"/>
      <c r="S1619" s="5" t="inlineStr"/>
      <c r="T1619" s="5" t="inlineStr"/>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is>
          <t>Yeş Bal</t>
        </is>
      </c>
    </row>
    <row r="1620">
      <c r="A1620" s="5" t="inlineStr">
        <is>
          <t>b7-politika-cay</t>
        </is>
      </c>
      <c r="B1620" s="5" t="n">
        <v>3</v>
      </c>
      <c r="C1620" s="6" t="inlineStr">
        <is>
          <t>Çayı bırak, il başkanı gelmeden kürsüye çık</t>
        </is>
      </c>
      <c r="D1620" s="5" t="inlineStr">
        <is>
          <t>Cesaret</t>
        </is>
      </c>
      <c r="E1620" s="5" t="inlineStr">
        <is>
          <t>Zor</t>
        </is>
      </c>
      <c r="F1620" s="5" t="inlineStr"/>
      <c r="G1620" s="6" t="inlineStr"/>
      <c r="H1620" s="6" t="inlineStr">
        <is>
          <t>Başkan gecikince mikrofonu aldın, kalabalığı ısıttın. O geldiğinde miting bitmişti; seni il yöneticisi yaptı, mecburen.</t>
        </is>
      </c>
      <c r="I1620" s="6" t="inlineStr">
        <is>
          <t>Kalabalık il başkanını değil seni istedi. Başkan seni yanına aldı, kulağına tek kelime söyledi: “Yavaş.”</t>
        </is>
      </c>
      <c r="J1620" s="6" t="inlineStr">
        <is>
          <t>Mikrofon açılmadı. On dakika kalabalığa dudak okuttun. Sonra çay dağıttın; ondan kaçış yok.</t>
        </is>
      </c>
      <c r="K1620" s="6" t="inlineStr">
        <is>
          <t>Kürsüde il başkanının adını üç kez yanlış söyledin. Başkan geldiğinde kalabalık onu o adla karşıladı.</t>
        </is>
      </c>
      <c r="L1620" s="6" t="inlineStr"/>
      <c r="M1620" s="5" t="inlineStr"/>
      <c r="N1620" s="5" t="inlineStr"/>
      <c r="O1620" s="6" t="inlineStr"/>
      <c r="P1620" s="6" t="inlineStr"/>
      <c r="Q1620" s="5" t="inlineStr"/>
      <c r="R1620" s="5" t="inlineStr"/>
      <c r="S1620" s="5" t="inlineStr"/>
      <c r="T1620" s="5" t="inlineStr">
        <is>
          <t>Teneffüs Başkanı</t>
        </is>
      </c>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row>
    <row r="1621">
      <c r="A1621" s="5" t="inlineStr">
        <is>
          <t>b7-politika-kaldirim</t>
        </is>
      </c>
      <c r="B1621" s="5" t="n">
        <v>1</v>
      </c>
      <c r="C1621" s="6" t="inlineStr">
        <is>
          <t>Kaldırımın taşını kendin döşe</t>
        </is>
      </c>
      <c r="D1621" s="5" t="inlineStr"/>
      <c r="E1621" s="5" t="inlineStr"/>
      <c r="F1621" s="5" t="inlineStr">
        <is>
          <t>Dayanıklılık +1, İtibar +1</t>
        </is>
      </c>
      <c r="G1621" s="6" t="inlineStr">
        <is>
          <t>Bir hafta sonu tek başına on metre kaldırım döşedin. Seçimi o on metre kazandırmadı ama mahalle oradan yürüyor, adını anarak.</t>
        </is>
      </c>
      <c r="H1621" s="6" t="inlineStr"/>
      <c r="I1621" s="6" t="inlineStr"/>
      <c r="J1621" s="6" t="inlineStr"/>
      <c r="K1621" s="6" t="inlineStr"/>
      <c r="L1621" s="6" t="inlineStr"/>
      <c r="M1621" s="5" t="inlineStr"/>
      <c r="N1621" s="5" t="inlineStr"/>
      <c r="O1621" s="6" t="inlineStr"/>
      <c r="P1621" s="6" t="inlineStr"/>
      <c r="Q1621" s="5" t="inlineStr"/>
      <c r="R1621" s="5" t="inlineStr"/>
      <c r="S1621" s="5" t="inlineStr"/>
      <c r="T1621" s="5" t="inlineStr"/>
      <c r="U1621" s="5" t="inlineStr"/>
      <c r="V1621" s="5" t="inlineStr"/>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row>
    <row r="1622">
      <c r="A1622" s="5" t="inlineStr">
        <is>
          <t>b7-politika-kaldirim</t>
        </is>
      </c>
      <c r="B1622" s="5" t="n">
        <v>2</v>
      </c>
      <c r="C1622" s="6" t="inlineStr">
        <is>
          <t>Rakibi aş: kaldırıma bank ve ağaç da koy</t>
        </is>
      </c>
      <c r="D1622" s="5" t="inlineStr">
        <is>
          <t>Çene</t>
        </is>
      </c>
      <c r="E1622" s="5" t="inlineStr">
        <is>
          <t>Orta</t>
        </is>
      </c>
      <c r="F1622" s="5" t="inlineStr"/>
      <c r="G1622" s="6" t="inlineStr"/>
      <c r="H1622" s="6" t="inlineStr">
        <is>
          <t>“Kaldırım, bank ve ağaç” dedin. Mahalle ağaca ikna oldu. Meclis üyesi seçildin; fidan yolda.</t>
        </is>
      </c>
      <c r="I1622" s="6" t="inlineStr">
        <is>
          <t>Vaadin o kadar sevildi ki rakip aday bile sana oy verdiğini söyledi. Seçildin; kaldırıma şimdiden adın konmak isteniyor.</t>
        </is>
      </c>
      <c r="J1622" s="6" t="inlineStr">
        <is>
          <t>Sen bank dedin, rakip “Bank ve çardak” dedi. Seçim açık artırmaya döndü; çardak kazandı.</t>
        </is>
      </c>
      <c r="K1622" s="6" t="inlineStr">
        <is>
          <t>Vaatler öyle uzadı ki biri haritada kaldırıma yer kalmadığını gösterdi. Afişlerin kaldırımın üstünde; yürünmüyor.</t>
        </is>
      </c>
      <c r="L1622" s="6" t="inlineStr"/>
      <c r="M1622" s="5" t="inlineStr"/>
      <c r="N1622" s="5" t="inlineStr"/>
      <c r="O1622" s="6" t="inlineStr"/>
      <c r="P1622" s="6" t="inlineStr"/>
      <c r="Q1622" s="5" t="inlineStr"/>
      <c r="R1622" s="5" t="inlineStr"/>
      <c r="S1622" s="5" t="inlineStr"/>
      <c r="T1622" s="5" t="inlineStr"/>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row>
    <row r="1623">
      <c r="A1623" s="5" t="inlineStr">
        <is>
          <t>b7-politika-kaldirim</t>
        </is>
      </c>
      <c r="B1623" s="5" t="n">
        <v>3</v>
      </c>
      <c r="C1623" s="6" t="inlineStr">
        <is>
          <t>Rakiple yerel kanalda kaldırım tartış</t>
        </is>
      </c>
      <c r="D1623" s="5" t="inlineStr">
        <is>
          <t>Pişkinlik</t>
        </is>
      </c>
      <c r="E1623" s="5" t="inlineStr">
        <is>
          <t>Zor</t>
        </is>
      </c>
      <c r="F1623" s="5" t="inlineStr"/>
      <c r="G1623" s="6" t="inlineStr"/>
      <c r="H1623" s="6" t="inlineStr">
        <is>
          <t>Kırk dakika kaldırım konuştunuz. Sen “Yürüdüm, biliyorum” dedin; rakip yürümemişti. Meclis üyesi seçildin.</t>
        </is>
      </c>
      <c r="I1623" s="6" t="inlineStr">
        <is>
          <t>Rakibin ayakkabı tabanlarının hiç aşınmadığını kameraya gösterdin. Oyların üçte ikisi seninki.</t>
        </is>
      </c>
      <c r="J1623" s="6" t="inlineStr">
        <is>
          <t>Rakip kaldırımın metrekare fiyatını ezbere bildi, sen bilmedin. Seçimi o kazandı; kaldırım hâlâ yok.</t>
        </is>
      </c>
      <c r="K1623" s="6" t="inlineStr">
        <is>
          <t>Yayında kaldırıma “yaya yolu”, sonra “şu taşlı yer” dedin. Yerel kanal seni hâlâ “Şu Taşlı Yer” diye anıyor.</t>
        </is>
      </c>
      <c r="L1623" s="6" t="inlineStr"/>
      <c r="M1623" s="5" t="inlineStr"/>
      <c r="N1623" s="5" t="inlineStr"/>
      <c r="O1623" s="6" t="inlineStr"/>
      <c r="P1623" s="6" t="inlineStr"/>
      <c r="Q1623" s="5" t="inlineStr"/>
      <c r="R1623" s="5" t="inlineStr"/>
      <c r="S1623" s="5" t="inlineStr"/>
      <c r="T1623" s="5" t="inlineStr">
        <is>
          <t>Son Sözü Söyler</t>
        </is>
      </c>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is>
          <t>Şu Taşlı Yer</t>
        </is>
      </c>
    </row>
    <row r="1624">
      <c r="A1624" s="5" t="inlineStr">
        <is>
          <t>b8-politika-otobus</t>
        </is>
      </c>
      <c r="B1624" s="5" t="n">
        <v>1</v>
      </c>
      <c r="C1624" s="6" t="inlineStr">
        <is>
          <t>Otobüsten in, yürüyerek gez</t>
        </is>
      </c>
      <c r="D1624" s="5" t="inlineStr"/>
      <c r="E1624" s="5" t="inlineStr"/>
      <c r="F1624" s="5" t="inlineStr">
        <is>
          <t>Dayanıklılık +1, Sosyal Radar +1</t>
        </is>
      </c>
      <c r="G1624" s="6" t="inlineStr">
        <is>
          <t>Otobüs arkandan boş geldi, hoparlör sana şarkı söyledi. Günde üç mahalle gezdin ama her kapıda çay içtin. Her çay yarım oy.</t>
        </is>
      </c>
      <c r="H1624" s="6" t="inlineStr"/>
      <c r="I1624" s="6" t="inlineStr"/>
      <c r="J1624" s="6" t="inlineStr"/>
      <c r="K1624" s="6" t="inlineStr"/>
      <c r="L1624" s="6" t="inlineStr"/>
      <c r="M1624" s="5" t="inlineStr"/>
      <c r="N1624" s="5" t="inlineStr"/>
      <c r="O1624" s="6" t="inlineStr"/>
      <c r="P1624" s="6" t="inlineStr"/>
      <c r="Q1624" s="5" t="inlineStr"/>
      <c r="R1624" s="5" t="inlineStr"/>
      <c r="S1624" s="5" t="inlineStr"/>
      <c r="T1624" s="5" t="inlineStr"/>
      <c r="U1624" s="5" t="inlineStr"/>
      <c r="V1624" s="5" t="inlineStr"/>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row>
    <row r="1625">
      <c r="A1625" s="5" t="inlineStr">
        <is>
          <t>b8-politika-otobus</t>
        </is>
      </c>
      <c r="B1625" s="5" t="n">
        <v>2</v>
      </c>
      <c r="C1625" s="6" t="inlineStr">
        <is>
          <t>Hoparlörden kendin konuş</t>
        </is>
      </c>
      <c r="D1625" s="5" t="inlineStr">
        <is>
          <t>Çene</t>
        </is>
      </c>
      <c r="E1625" s="5" t="inlineStr">
        <is>
          <t>Orta</t>
        </is>
      </c>
      <c r="F1625" s="5" t="inlineStr"/>
      <c r="G1625" s="6" t="inlineStr"/>
      <c r="H1625" s="6" t="inlineStr">
        <is>
          <t>Mahalle mahalle isim sayarak konuştun. Herkes adını duydu; seçimi kazandın. Şarkıyı kimse özlemedi.</t>
        </is>
      </c>
      <c r="I1625" s="6" t="inlineStr">
        <is>
          <t>Anonsların öyle sevildi ki seçimden sonra da çalınmasını istediler. Belediye başkanısın; sesin hâlâ sokakta.</t>
        </is>
      </c>
      <c r="J1625" s="6" t="inlineStr">
        <is>
          <t>Otobüs alt geçide girince sesin yankılandı, kimse anlamadı. Seçimi çok az farkla kaybettin.</t>
        </is>
      </c>
      <c r="K1625" s="6" t="inlineStr">
        <is>
          <t>Hoparlörü kapatmayı unuttun; şoförle klima kavgan bütün mahalleye yayınlandı. Klima oy kaybettirdi.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row>
    <row r="1626">
      <c r="A1626" s="5" t="inlineStr">
        <is>
          <t>b8-politika-otobus</t>
        </is>
      </c>
      <c r="B1626" s="5" t="n">
        <v>3</v>
      </c>
      <c r="C1626" s="6" t="inlineStr">
        <is>
          <t>Rakibin otobüsüyle aynı caddede yarış</t>
        </is>
      </c>
      <c r="D1626" s="5" t="inlineStr">
        <is>
          <t>Cesaret</t>
        </is>
      </c>
      <c r="E1626" s="5" t="inlineStr">
        <is>
          <t>Zor</t>
        </is>
      </c>
      <c r="F1626" s="5" t="inlineStr"/>
      <c r="G1626" s="6" t="inlineStr"/>
      <c r="H1626" s="6" t="inlineStr">
        <is>
          <t>İki otobüs yan yana durdu; senin şoförün önce korna çaldı. Mahalle kornayı sevdi, seni seçti.</t>
        </is>
      </c>
      <c r="I1626" s="6" t="inlineStr">
        <is>
          <t>Rakibin otobüsü bozuldu; durup onu da kendi otobüsüne aldın. Fotoğraf her yerde. Başkansın; rakip yardımcın.</t>
        </is>
      </c>
      <c r="J1626" s="6" t="inlineStr">
        <is>
          <t>İki otobüs dar sokağa sıkıştı. Seçmen iki adayı da yaya gördü, kararsız kaldı. Kararsızlık kazandı.</t>
        </is>
      </c>
      <c r="K1626" s="6" t="inlineStr">
        <is>
          <t>Rakibi geçerken hoparlörün yanlışlıkla onun şarkısını çaldı. Mahallenin kafası karıştı, oyunu ona verdi.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row>
    <row r="1627">
      <c r="A1627" s="5" t="inlineStr">
        <is>
          <t>b8-politika-tartisma</t>
        </is>
      </c>
      <c r="B1627" s="5" t="n">
        <v>1</v>
      </c>
      <c r="C1627" s="6" t="inlineStr">
        <is>
          <t>İki tarafı da haklı bul</t>
        </is>
      </c>
      <c r="D1627" s="5" t="inlineStr"/>
      <c r="E1627" s="5" t="inlineStr"/>
      <c r="F1627" s="5" t="inlineStr">
        <is>
          <t>Sosyal Radar +1, İtibar +1</t>
        </is>
      </c>
      <c r="G1627" s="6" t="inlineStr">
        <is>
          <t>“Göbek de güzel, ışık da” dedin. Program seni “uzlaşmacı” diye tanıttı; bir daha çağırmadı.</t>
        </is>
      </c>
      <c r="H1627" s="6" t="inlineStr"/>
      <c r="I1627" s="6" t="inlineStr"/>
      <c r="J1627" s="6" t="inlineStr"/>
      <c r="K1627" s="6" t="inlineStr"/>
      <c r="L1627" s="6" t="inlineStr"/>
      <c r="M1627" s="5" t="inlineStr"/>
      <c r="N1627" s="5" t="inlineStr"/>
      <c r="O1627" s="6" t="inlineStr"/>
      <c r="P1627" s="6" t="inlineStr"/>
      <c r="Q1627" s="5" t="inlineStr"/>
      <c r="R1627" s="5" t="inlineStr"/>
      <c r="S1627" s="5" t="inlineStr"/>
      <c r="T1627" s="5" t="inlineStr"/>
      <c r="U1627" s="5" t="inlineStr"/>
      <c r="V1627" s="5" t="inlineStr"/>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row>
    <row r="1628">
      <c r="A1628" s="5" t="inlineStr">
        <is>
          <t>b8-politika-tartisma</t>
        </is>
      </c>
      <c r="B1628" s="5" t="n">
        <v>2</v>
      </c>
      <c r="C1628" s="6" t="inlineStr">
        <is>
          <t>Göbeği ondan yüksek sesle savun</t>
        </is>
      </c>
      <c r="D1628" s="5" t="inlineStr">
        <is>
          <t>Çene</t>
        </is>
      </c>
      <c r="E1628" s="5" t="inlineStr">
        <is>
          <t>Orta</t>
        </is>
      </c>
      <c r="F1628" s="5" t="inlineStr"/>
      <c r="G1628" s="6" t="inlineStr"/>
      <c r="H1628" s="6" t="inlineStr">
        <is>
          <t>Göbeği öyle savundun ki karşındaki konuk ışığa geçti. Sunucu zili çaldı; alkış bitmedi.</t>
        </is>
      </c>
      <c r="I1628" s="6" t="inlineStr">
        <is>
          <t>Gecenin en çok izlenen yayını oldu. Kanal seni her salı istiyor; göbek konusu tükendi, sırada rampalar var.</t>
        </is>
      </c>
      <c r="J1628" s="6" t="inlineStr">
        <is>
          <t>Karşındaki de göbeği savunuyormuş, anlaşılmamış. Tartışma değil mutabakat oldu; zil çalmadı.</t>
        </is>
      </c>
      <c r="K1628" s="6" t="inlineStr">
        <is>
          <t>Heyecanla masaya vurdun; tek bardak su sunucunun kucağına döküldü. Zil bu kez senin için çaldı; reklama girildi.</t>
        </is>
      </c>
      <c r="L1628" s="6" t="inlineStr"/>
      <c r="M1628" s="5" t="inlineStr"/>
      <c r="N1628" s="5" t="inlineStr"/>
      <c r="O1628" s="6" t="inlineStr"/>
      <c r="P1628" s="6" t="inlineStr"/>
      <c r="Q1628" s="5" t="inlineStr"/>
      <c r="R1628" s="5" t="inlineStr"/>
      <c r="S1628" s="5" t="inlineStr"/>
      <c r="T1628" s="5" t="inlineStr"/>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row>
    <row r="1629">
      <c r="A1629" s="5" t="inlineStr">
        <is>
          <t>b8-politika-tartisma</t>
        </is>
      </c>
      <c r="B1629" s="5" t="n">
        <v>3</v>
      </c>
      <c r="C1629" s="6" t="inlineStr">
        <is>
          <t>Sunucunun zilini ele geçir</t>
        </is>
      </c>
      <c r="D1629" s="5" t="inlineStr">
        <is>
          <t>Pişkinlik</t>
        </is>
      </c>
      <c r="E1629" s="5" t="inlineStr">
        <is>
          <t>Zor</t>
        </is>
      </c>
      <c r="F1629" s="5" t="inlineStr"/>
      <c r="G1629" s="6" t="inlineStr"/>
      <c r="H1629" s="6" t="inlineStr">
        <is>
          <t>Zili aldın, sözün her kesildiğinde çaldın. Salon güldü, konuklar sustu. Son sözü sen söyledin; zille.</t>
        </is>
      </c>
      <c r="I1629" s="6" t="inlineStr">
        <is>
          <t>Zil sahnesi kısa video uygulamasında milyonlarca izlendi. Parti seçim şarkısına zil sesi ekledi.</t>
        </is>
      </c>
      <c r="J1629" s="6" t="inlineStr">
        <is>
          <t>Zile uzandın; sunucu elini çekmedi. Canlı yayında iki yetişkin bir zili paylaştı; kimse kazanmadı.</t>
        </is>
      </c>
      <c r="K1629" s="6" t="inlineStr">
        <is>
          <t>Zil elinden kaydı, masanın altına yuvarlandı. Programın kalanını masanın altından konuştun.</t>
        </is>
      </c>
      <c r="L1629" s="6" t="inlineStr">
        <is>
          <t>Zil bir sende kaldı, bir sunucuda. Konuklar sustu; seyirci kimin kazandığını hâlâ tartışıyor.</t>
        </is>
      </c>
      <c r="M1629" s="5" t="inlineStr">
        <is>
          <t>race</t>
        </is>
      </c>
      <c r="N1629" s="5" t="inlineStr">
        <is>
          <t>Zil Kapışması</t>
        </is>
      </c>
      <c r="O1629" s="6" t="inlineStr">
        <is>
          <t>Beş saniye. Sunucudan hızlı dokun; zil kimdeyse söz onda.</t>
        </is>
      </c>
      <c r="P1629" s="6" t="inlineStr"/>
      <c r="Q1629" s="5" t="inlineStr"/>
      <c r="R1629" s="5" t="inlineStr"/>
      <c r="S1629" s="5" t="inlineStr"/>
      <c r="T1629" s="5" t="inlineStr">
        <is>
          <t>Yüzü Kızarmaz</t>
        </is>
      </c>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row>
    <row r="1630">
      <c r="A1630" s="5" t="inlineStr">
        <is>
          <t>b8-politika-kurdele</t>
        </is>
      </c>
      <c r="B1630" s="5" t="n">
        <v>1</v>
      </c>
      <c r="C1630" s="6" t="inlineStr">
        <is>
          <t>Makası bırak, kurdeleyi düğümünden çöz</t>
        </is>
      </c>
      <c r="D1630" s="5" t="inlineStr"/>
      <c r="E1630" s="5" t="inlineStr"/>
      <c r="F1630" s="5" t="inlineStr">
        <is>
          <t>Kurnazlık +1, Dayanıklılık +1</t>
        </is>
      </c>
      <c r="G1630" s="6" t="inlineStr">
        <is>
          <t>Kurdeleyi düğümünden çözdün. Kimse kesilmediğini fark etmedi; fotoğrafta bir makas var, yeter.</t>
        </is>
      </c>
      <c r="H1630" s="6" t="inlineStr"/>
      <c r="I1630" s="6" t="inlineStr"/>
      <c r="J1630" s="6" t="inlineStr"/>
      <c r="K1630" s="6" t="inlineStr"/>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row>
    <row r="1631">
      <c r="A1631" s="5" t="inlineStr">
        <is>
          <t>b8-politika-kurdele</t>
        </is>
      </c>
      <c r="B1631" s="5" t="n">
        <v>2</v>
      </c>
      <c r="C1631" s="6" t="inlineStr">
        <is>
          <t>Kesmeden önce uzun bir konuşma yap</t>
        </is>
      </c>
      <c r="D1631" s="5" t="inlineStr">
        <is>
          <t>Çene</t>
        </is>
      </c>
      <c r="E1631" s="5" t="inlineStr">
        <is>
          <t>Orta</t>
        </is>
      </c>
      <c r="F1631" s="5" t="inlineStr"/>
      <c r="G1631" s="6" t="inlineStr"/>
      <c r="H1631" s="6" t="inlineStr">
        <is>
          <t>Çeşmenin tarihini anlattın; çeşme dün yapılmıştı. Yine de alkış aldın, kurdele de kesildi.</t>
        </is>
      </c>
      <c r="I1631" s="6" t="inlineStr">
        <is>
          <t>Konuşman biterken çeşmeden su aktı; zamanlama kusursuzdu. Kalabalık bunu senin başarın saydı. Sen de.</t>
        </is>
      </c>
      <c r="J1631" s="6" t="inlineStr">
        <is>
          <t>Konuşma uzadı, kalabalık dağıldı, kurdeleyi bir çocuk kopardı. Fotoğrafta çocuk var.</t>
        </is>
      </c>
      <c r="K1631" s="6" t="inlineStr">
        <is>
          <t>Tam doruk noktasında çeşme çalıştı; basınç fazlaydı. Ön sıra, sen ve kurdele ıslandınız. Açılışa “sağanak” dendi.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row>
    <row r="1632">
      <c r="A1632" s="5" t="inlineStr">
        <is>
          <t>b8-politika-kurdele</t>
        </is>
      </c>
      <c r="B1632" s="5" t="n">
        <v>3</v>
      </c>
      <c r="C1632" s="6" t="inlineStr">
        <is>
          <t>Kör makası kameraya göster, şakaya vur</t>
        </is>
      </c>
      <c r="D1632" s="5" t="inlineStr">
        <is>
          <t>Pişkinlik</t>
        </is>
      </c>
      <c r="E1632" s="5" t="inlineStr">
        <is>
          <t>Orta</t>
        </is>
      </c>
      <c r="F1632" s="5" t="inlineStr"/>
      <c r="G1632" s="6" t="inlineStr"/>
      <c r="H1632" s="6" t="inlineStr">
        <is>
          <t>“Bu makas da seçim vaadi gibi, kesiyormuş gibi yapıyor” dedin. Herkes güldü; espri kurdeleden uzun yaşadı.</t>
        </is>
      </c>
      <c r="I1632" s="6" t="inlineStr">
        <is>
          <t>Esprin haberlere çıktı; bir makas firması sana yeni makas yolladı. Açılış davetlerin ikiye katlandı.</t>
        </is>
      </c>
      <c r="J1632" s="6" t="inlineStr">
        <is>
          <t>Makası getiren görevli bozuldu; makas babasından kalmaymış. Kurdeleyi elinden alıp kendisi kesti, iki hamlede.</t>
        </is>
      </c>
      <c r="K1632" s="6" t="inlineStr">
        <is>
          <t>Makası sallarken kurdeleyi değil mikrofon kablosunu kestin. Açılışın sesi orada bitti.</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row>
    <row r="1633">
      <c r="A1633" s="5" t="inlineStr">
        <is>
          <t>b8-politika-kurdele</t>
        </is>
      </c>
      <c r="B1633" s="5" t="n">
        <v>4</v>
      </c>
      <c r="C1633" s="6" t="inlineStr">
        <is>
          <t>Açılışı bırak, Meclis'e yetiş, kürsüye çık</t>
        </is>
      </c>
      <c r="D1633" s="5" t="inlineStr">
        <is>
          <t>Cesaret</t>
        </is>
      </c>
      <c r="E1633" s="5" t="inlineStr">
        <is>
          <t>Zor</t>
        </is>
      </c>
      <c r="F1633" s="5" t="inlineStr"/>
      <c r="G1633" s="6" t="inlineStr"/>
      <c r="H1633" s="6" t="inlineStr">
        <is>
          <t>Kürsüdeki ilk konuşmanda çeşmeyi anlattın. Meclis güldü, sonra alkışladı. Tutanakta iki kez “(Alkışlar)” yazıyor.</t>
        </is>
      </c>
      <c r="I1633" s="6" t="inlineStr">
        <is>
          <t>İlk konuşmanı her sıradan vekil ayakta alkışladı. Kantinde tost sana ikram edildi; ayran da.</t>
        </is>
      </c>
      <c r="J1633" s="6" t="inlineStr">
        <is>
          <t>Süren yirmi saniyeydi, ilk cümlen otuz. Tutanakta yalnızca “Sayın Başkan” yazıyor.</t>
        </is>
      </c>
      <c r="K1633" s="6" t="inlineStr">
        <is>
          <t>Kurdele ceketine takılı kalmış. Konuşman unutuldu; kurdeleli fotoğrafın kaldı.</t>
        </is>
      </c>
      <c r="L1633" s="6" t="inlineStr"/>
      <c r="M1633" s="5" t="inlineStr"/>
      <c r="N1633" s="5" t="inlineStr"/>
      <c r="O1633" s="6" t="inlineStr"/>
      <c r="P1633" s="6" t="inlineStr"/>
      <c r="Q1633" s="5" t="inlineStr"/>
      <c r="R1633" s="5" t="inlineStr">
        <is>
          <t>secim-kazandi</t>
        </is>
      </c>
      <c r="S1633" s="5" t="inlineStr"/>
      <c r="T1633" s="5" t="inlineStr">
        <is>
          <t>Sözünü Geçirir</t>
        </is>
      </c>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row>
    <row r="1634">
      <c r="A1634" s="5" t="inlineStr">
        <is>
          <t>b9-politika-ani</t>
        </is>
      </c>
      <c r="B1634" s="5" t="n">
        <v>1</v>
      </c>
      <c r="C1634" s="6" t="inlineStr">
        <is>
          <t>Her şeyi olduğu gibi yaz</t>
        </is>
      </c>
      <c r="D1634" s="5" t="inlineStr"/>
      <c r="E1634" s="5" t="inlineStr"/>
      <c r="F1634" s="5" t="inlineStr">
        <is>
          <t>İtibar +1, Akıl +1</t>
        </is>
      </c>
      <c r="G1634" s="6" t="inlineStr">
        <is>
          <t>Kitap dürüst oldu; kırk iki tane sattı. Otuzunu akrabalar aldı. Birini eski rakibin aldı, altını çize çize okuyor.</t>
        </is>
      </c>
      <c r="H1634" s="6" t="inlineStr"/>
      <c r="I1634" s="6" t="inlineStr"/>
      <c r="J1634" s="6" t="inlineStr"/>
      <c r="K1634" s="6" t="inlineStr"/>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row>
    <row r="1635">
      <c r="A1635" s="5" t="inlineStr">
        <is>
          <t>b9-politika-ani</t>
        </is>
      </c>
      <c r="B1635" s="5" t="n">
        <v>2</v>
      </c>
      <c r="C1635" s="6" t="inlineStr">
        <is>
          <t>Küçük bir sır uydur</t>
        </is>
      </c>
      <c r="D1635" s="5" t="inlineStr">
        <is>
          <t>Pişkinlik</t>
        </is>
      </c>
      <c r="E1635" s="5" t="inlineStr">
        <is>
          <t>Orta</t>
        </is>
      </c>
      <c r="F1635" s="5" t="inlineStr"/>
      <c r="G1635" s="6" t="inlineStr"/>
      <c r="H1635" s="6" t="inlineStr">
        <is>
          <t>“Semaverin gizli tarifi” diye bir bölüm ekledin. Kitap okundu; tarif denendi, tutmadı. Kimse şikâyet etmedi.</t>
        </is>
      </c>
      <c r="I1635" s="6" t="inlineStr">
        <is>
          <t>Uydurduğun sır bir televizyon programına konu oldu. Doğrulaman için çağrıldın; doğruladın.</t>
        </is>
      </c>
      <c r="J1635" s="6" t="inlineStr">
        <is>
          <t>Editör “Bu sırrı biri daha önce yazmış” dedi. Yazan, eski il başkanın.</t>
        </is>
      </c>
      <c r="K1635" s="6" t="inlineStr">
        <is>
          <t>Sırrın kahramanı eski bir parti arkadaşın; kitabı okumuş. Fuarda imza masana geldi, kitabı imzalattı, sonra konuştu.</t>
        </is>
      </c>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row>
    <row r="1636">
      <c r="A1636" s="5" t="inlineStr">
        <is>
          <t>b9-politika-ani</t>
        </is>
      </c>
      <c r="B1636" s="5" t="n">
        <v>3</v>
      </c>
      <c r="C1636" s="6" t="inlineStr">
        <is>
          <t>Eski rakibinle ortak kitap yaz</t>
        </is>
      </c>
      <c r="D1636" s="5" t="inlineStr">
        <is>
          <t>Sosyal Radar</t>
        </is>
      </c>
      <c r="E1636" s="5" t="inlineStr">
        <is>
          <t>Zor</t>
        </is>
      </c>
      <c r="F1636" s="5" t="inlineStr"/>
      <c r="G1636" s="6" t="inlineStr"/>
      <c r="H1636" s="6" t="inlineStr">
        <is>
          <t>Her bölümü ikişer kez yazdınız, bir kez kavga ettiniz. Kitap “uzlaşmanın anıları” diye satıldı.</t>
        </is>
      </c>
      <c r="I1636" s="6" t="inlineStr">
        <is>
          <t>İmza gününde ikiniz aynı kalemi kullandınız. Fotoğraf ders kitaplarına girdi, “Nezaket” başlığının altına.</t>
        </is>
      </c>
      <c r="J1636" s="6" t="inlineStr">
        <is>
          <t>Anlaşamadınız; aynı kapakla iki ayrı kitap çıktı. Kitapçılar yan yana dizdi.</t>
        </is>
      </c>
      <c r="K1636" s="6" t="inlineStr">
        <is>
          <t>Önsözde anlaşamadınız; önsöz iki yüz sayfa oldu. Kitap önsözden ibaret.</t>
        </is>
      </c>
      <c r="L1636" s="6" t="inlineStr"/>
      <c r="M1636" s="5" t="inlineStr"/>
      <c r="N1636" s="5" t="inlineStr"/>
      <c r="O1636" s="6" t="inlineStr"/>
      <c r="P1636" s="6" t="inlineStr"/>
      <c r="Q1636" s="5" t="inlineStr"/>
      <c r="R1636" s="5" t="inlineStr"/>
      <c r="S1636" s="5" t="inlineStr"/>
      <c r="T1636" s="5" t="inlineStr">
        <is>
          <t>Odayı Okur</t>
        </is>
      </c>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row>
    <row r="1637">
      <c r="A1637" s="5" t="inlineStr">
        <is>
          <t>b9-politika-kahve</t>
        </is>
      </c>
      <c r="B1637" s="5" t="n">
        <v>1</v>
      </c>
      <c r="C1637" s="6" t="inlineStr">
        <is>
          <t>Hepsini dinle, önce kediyle ilgilen</t>
        </is>
      </c>
      <c r="D1637" s="5" t="inlineStr"/>
      <c r="E1637" s="5" t="inlineStr"/>
      <c r="F1637" s="5" t="inlineStr">
        <is>
          <t>İtibar +1, Sosyal Radar +1</t>
        </is>
      </c>
      <c r="G1637" s="6" t="inlineStr">
        <is>
          <t>Kediyi belediyeye götürdün; ceza çöp kutusunu devirmekten. Cezayı ödedin. Kedi artık kahvede, senin masanda uyuyor.</t>
        </is>
      </c>
      <c r="H1637" s="6" t="inlineStr"/>
      <c r="I1637" s="6" t="inlineStr"/>
      <c r="J1637" s="6" t="inlineStr"/>
      <c r="K1637" s="6" t="inlineStr"/>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row>
    <row r="1638">
      <c r="A1638" s="5" t="inlineStr">
        <is>
          <t>b9-politika-kahve</t>
        </is>
      </c>
      <c r="B1638" s="5" t="n">
        <v>2</v>
      </c>
      <c r="C1638" s="6" t="inlineStr">
        <is>
          <t>Eski telefon defterini aç, birkaç yeri ara</t>
        </is>
      </c>
      <c r="D1638" s="5" t="inlineStr">
        <is>
          <t>Çene</t>
        </is>
      </c>
      <c r="E1638" s="5" t="inlineStr">
        <is>
          <t>Orta</t>
        </is>
      </c>
      <c r="F1638" s="5" t="inlineStr"/>
      <c r="G1638" s="6" t="inlineStr"/>
      <c r="H1638" s="6" t="inlineStr">
        <is>
          <t>Üç yeri aradın, ikisi açtı, biri seni hatırladı. Kaldırım programa alındı; beş yıl sonrasına ama alındı.</t>
        </is>
      </c>
      <c r="I1638" s="6" t="inlineStr">
        <is>
          <t>Aradığın herkes hatırladı: torun işe girdi, kaldırım döküldü, kedinin cezası silindi. Bütün gün çayın ısmarlandı.</t>
        </is>
      </c>
      <c r="J1638" s="6" t="inlineStr">
        <is>
          <t>Numaraların yarısı başkasına geçmiş. Biri pizzacı çıktı; mecburen bir şey sipariş ettin.</t>
        </is>
      </c>
      <c r="K1638" s="6" t="inlineStr">
        <is>
          <t>Yanlış numarayı aradın; eski rakibin açtı. Ricayı dinledi, kaldırımı kendisi yaptırdı. Kahve artık onu seviyor.</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row>
    <row r="1639">
      <c r="A1639" s="5" t="inlineStr">
        <is>
          <t>b9-politika-kahve</t>
        </is>
      </c>
      <c r="B1639" s="5" t="n">
        <v>3</v>
      </c>
      <c r="C1639" s="6" t="inlineStr">
        <is>
          <t>Ricaları bir mahalle toplantısına çevir</t>
        </is>
      </c>
      <c r="D1639" s="5" t="inlineStr">
        <is>
          <t>Pişkinlik</t>
        </is>
      </c>
      <c r="E1639" s="5" t="inlineStr">
        <is>
          <t>Orta</t>
        </is>
      </c>
      <c r="F1639" s="5" t="inlineStr"/>
      <c r="G1639" s="6" t="inlineStr"/>
      <c r="H1639" s="6" t="inlineStr">
        <is>
          <t>Masaları birleştirdin, kahveyi mahalle meclisine çevirdin. Kaldırım için imza toplandı; kedi de patisini bastı.</t>
        </is>
      </c>
      <c r="I1639" s="6" t="inlineStr">
        <is>
          <t>Toplantılar öyle sevildi ki belediye her ay birini gönderiyor. Yine “Başkanım”sın; bu sefer bir sebebi var.</t>
        </is>
      </c>
      <c r="J1639" s="6" t="inlineStr">
        <is>
          <t>Toplantıya kimse gelmedi; tavla turnuvası vardı. Sen de oynadın, kaybettin.</t>
        </is>
      </c>
      <c r="K1639" s="6" t="inlineStr">
        <is>
          <t>Kaldırımcıyla kedi sahibi kavgaya tutuştu; kedi çöp kutusunu yine devirdi. Ceza bu kez senin adına kesildi.</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row>
    <row r="1640">
      <c r="A1640" s="5" t="inlineStr">
        <is>
          <t>b9-politika-kahve</t>
        </is>
      </c>
      <c r="B1640" s="5" t="n">
        <v>4</v>
      </c>
      <c r="C1640" s="6" t="inlineStr">
        <is>
          <t>“Eski Meclis üyesi” kartını çıkar</t>
        </is>
      </c>
      <c r="D1640" s="5" t="inlineStr">
        <is>
          <t>Pişkinlik</t>
        </is>
      </c>
      <c r="E1640" s="5" t="inlineStr">
        <is>
          <t>Zor</t>
        </is>
      </c>
      <c r="F1640" s="5" t="inlineStr"/>
      <c r="G1640" s="6" t="inlineStr"/>
      <c r="H1640" s="6" t="inlineStr">
        <is>
          <t>Kartı gösterdin; belediyede kapılar açıldı. Kedinin cezası “sehven” diye silindi. Kedi de sehven sevindi.</t>
        </is>
      </c>
      <c r="I1640" s="6" t="inlineStr">
        <is>
          <t>Başkan yardımcısı eski stajyerin çıktı. Kaldırım bir haftada döküldü; adı “Vekil Yolu” oldu.</t>
        </is>
      </c>
      <c r="J1640" s="6" t="inlineStr">
        <is>
          <t>Güvenlikteki genç kartının süresinin çoktan dolduğunu söyledi. Ziyaretçi kartıyla girdin.</t>
        </is>
      </c>
      <c r="K1640" s="6" t="inlineStr">
        <is>
          <t>Kartı çıkarırken cüzdandan eski miting fotoğrafların döküldü; bekleme salonu tek tek inceledi. Cezayı ödeyip çıktın.</t>
        </is>
      </c>
      <c r="L1640" s="6" t="inlineStr"/>
      <c r="M1640" s="5" t="inlineStr"/>
      <c r="N1640" s="5" t="inlineStr"/>
      <c r="O1640" s="6" t="inlineStr"/>
      <c r="P1640" s="6" t="inlineStr"/>
      <c r="Q1640" s="5" t="inlineStr"/>
      <c r="R1640" s="5" t="inlineStr">
        <is>
          <t>secim-kazandi</t>
        </is>
      </c>
      <c r="S1640" s="5" t="inlineStr"/>
      <c r="T1640" s="5" t="inlineStr">
        <is>
          <t>Kendine Gülebilir</t>
        </is>
      </c>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row>
    <row r="1641">
      <c r="A1641" s="5" t="inlineStr">
        <is>
          <t>k10-sohret</t>
        </is>
      </c>
      <c r="B1641" s="5" t="n">
        <v>1</v>
      </c>
      <c r="C1641" s="6" t="inlineStr">
        <is>
          <t>Özür videosu çek</t>
        </is>
      </c>
      <c r="D1641" s="5" t="inlineStr">
        <is>
          <t>Çene</t>
        </is>
      </c>
      <c r="E1641" s="5" t="inlineStr">
        <is>
          <t>Orta</t>
        </is>
      </c>
      <c r="F1641" s="5" t="inlineStr"/>
      <c r="G1641" s="6" t="inlineStr"/>
      <c r="H1641" s="6" t="inlineStr">
        <is>
          <t>Beyaz tişört, sade duvar, titrek ses. Özrün kabul edildi; garson bile yorum yazdı: “Tamam abi.” Sponsorlar döndü.</t>
        </is>
      </c>
      <c r="I1641" s="6" t="inlineStr">
        <is>
          <t>Özür videon, olay videosundan çok izlendi. Garsonla birlikte reklam çektiniz. Artık garsonu da herkes tanıyor.</t>
        </is>
      </c>
      <c r="J1641" s="6" t="inlineStr">
        <is>
          <t>Işık kötüydü, sesin fazla prova edilmişti. Yorumlar “Oyunculuk bu mu?” diyor. Kimse affetmedi; bekliyorlar.</t>
        </is>
      </c>
      <c r="K1641" s="6" t="inlineStr">
        <is>
          <t>Videonun sonunda “Beni tanıyanlar bilir” dedin. Aynı cümle. İkinci video da her yerde.</t>
        </is>
      </c>
      <c r="L1641" s="6" t="inlineStr"/>
      <c r="M1641" s="5" t="inlineStr"/>
      <c r="N1641" s="5" t="inlineStr"/>
      <c r="O1641" s="6" t="inlineStr"/>
      <c r="P1641" s="6" t="inlineStr"/>
      <c r="Q1641" s="5" t="inlineStr"/>
      <c r="R1641" s="5" t="inlineStr"/>
      <c r="S1641" s="5" t="inlineStr"/>
      <c r="T1641" s="5" t="inlineStr"/>
      <c r="U1641" s="5" t="inlineStr"/>
      <c r="V1641" s="5" t="inlineStr"/>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row>
    <row r="1642">
      <c r="A1642" s="5" t="inlineStr">
        <is>
          <t>k10-sohret</t>
        </is>
      </c>
      <c r="B1642" s="5" t="n">
        <v>2</v>
      </c>
      <c r="C1642" s="6" t="inlineStr">
        <is>
          <t>Sessiz kal, geri dönüşü bekle</t>
        </is>
      </c>
      <c r="D1642" s="5" t="inlineStr">
        <is>
          <t>Dayanıklılık</t>
        </is>
      </c>
      <c r="E1642" s="5" t="inlineStr">
        <is>
          <t>Zor</t>
        </is>
      </c>
      <c r="F1642" s="5" t="inlineStr"/>
      <c r="G1642" s="6" t="inlineStr"/>
      <c r="H1642" s="6" t="inlineStr">
        <is>
          <t>Altı ay tek kelime etmedin. Sonra bir yarışma programında bir kez gülümsedin. Herkes affetti; neyi affettiğini kimse hatırlamıyor.</t>
        </is>
      </c>
      <c r="I1642" s="6" t="inlineStr">
        <is>
          <t>Sessizliğin öyle uzun sürdü ki gizemli bir figüre dönüştün. Dönüş röportajın için üç kanal yarıştı.</t>
        </is>
      </c>
      <c r="J1642" s="6" t="inlineStr">
        <is>
          <t>Sessiz kaldın; seni herkes unuttu, skandal da dahil. Geri dönmek için önce hatırlanman lazım.</t>
        </is>
      </c>
      <c r="K1642" s="6" t="inlineStr">
        <is>
          <t>Sessizliğinin üçüncü ayında yanlışlıkla canlı yayın açtın; kırk dakika buzdolabına baktın. Bu da yeni skandal sayıldı.</t>
        </is>
      </c>
      <c r="L1642" s="6" t="inlineStr"/>
      <c r="M1642" s="5" t="inlineStr"/>
      <c r="N1642" s="5" t="inlineStr"/>
      <c r="O1642" s="6" t="inlineStr"/>
      <c r="P1642" s="6" t="inlineStr"/>
      <c r="Q1642" s="5" t="inlineStr"/>
      <c r="R1642" s="5" t="inlineStr"/>
      <c r="S1642" s="5" t="inlineStr"/>
      <c r="T1642" s="5" t="inlineStr"/>
      <c r="U1642" s="5" t="inlineStr"/>
      <c r="V1642" s="5" t="inlineStr">
        <is>
          <t>sohret-donus</t>
        </is>
      </c>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row>
    <row r="1643">
      <c r="A1643" s="5" t="inlineStr">
        <is>
          <t>k10-sohret</t>
        </is>
      </c>
      <c r="B1643" s="5" t="n">
        <v>3</v>
      </c>
      <c r="C1643" s="6" t="inlineStr">
        <is>
          <t>Her şeyi bırak, köye çekil</t>
        </is>
      </c>
      <c r="D1643" s="5" t="inlineStr"/>
      <c r="E1643" s="5" t="inlineStr"/>
      <c r="F1643" s="5" t="inlineStr">
        <is>
          <t>İtibar +1, Dayanıklılık +1</t>
        </is>
      </c>
      <c r="G1643" s="6" t="inlineStr">
        <is>
          <t>Telefonu kapattın, köye yerleştin. Köyde seni kimse tanımıyor; bir teyze hariç. O da garsonun annesi.</t>
        </is>
      </c>
      <c r="H1643" s="6" t="inlineStr"/>
      <c r="I1643" s="6" t="inlineStr"/>
      <c r="J1643" s="6" t="inlineStr"/>
      <c r="K1643" s="6" t="inlineStr"/>
      <c r="L1643" s="6" t="inlineStr"/>
      <c r="M1643" s="5" t="inlineStr"/>
      <c r="N1643" s="5" t="inlineStr"/>
      <c r="O1643" s="6" t="inlineStr"/>
      <c r="P1643" s="6" t="inlineStr"/>
      <c r="Q1643" s="5" t="inlineStr"/>
      <c r="R1643" s="5" t="inlineStr"/>
      <c r="S1643" s="5" t="inlineStr"/>
      <c r="T1643" s="5" t="inlineStr"/>
      <c r="U1643" s="5" t="inlineStr">
        <is>
          <t>-hat-cete, -hat-dolandirici, -hat-girisimci, -hat-goc, -hat-hekim, -hat-polis, -hat-politika, -hat-sohret, -hat-usta, -hat-yargi, -meslek-beyazyaka, -meslek-memur, -meslek-serbest, hat-koy, meslek-esnaf</t>
        </is>
      </c>
      <c r="V1643" s="5" t="inlineStr"/>
      <c r="W1643" s="5" t="inlineStr"/>
      <c r="X1643" s="5" t="inlineStr"/>
      <c r="Y1643" s="5" t="inlineStr"/>
      <c r="Z1643" s="6" t="inlineStr"/>
      <c r="AA1643" s="5" t="inlineStr"/>
      <c r="AB1643" s="5" t="inlineStr"/>
      <c r="AC1643" s="5" t="inlineStr"/>
      <c r="AD1643" s="5" t="inlineStr"/>
      <c r="AE1643" s="5" t="inlineStr"/>
      <c r="AF1643" s="5" t="inlineStr"/>
      <c r="AG1643" s="5" t="inlineStr"/>
      <c r="AH1643" s="5" t="inlineStr"/>
      <c r="AI1643" s="5" t="inlineStr"/>
    </row>
    <row r="1644">
      <c r="A1644" s="5" t="inlineStr">
        <is>
          <t>k10-girisimci</t>
        </is>
      </c>
      <c r="B1644" s="5" t="n">
        <v>1</v>
      </c>
      <c r="C1644" s="6" t="inlineStr">
        <is>
          <t>Büyü: parayı al, üç şehre birden açıl</t>
        </is>
      </c>
      <c r="D1644" s="5" t="inlineStr">
        <is>
          <t>Akıl</t>
        </is>
      </c>
      <c r="E1644" s="5" t="inlineStr">
        <is>
          <t>Zor</t>
        </is>
      </c>
      <c r="F1644" s="5" t="inlineStr"/>
      <c r="G1644" s="6" t="inlineStr"/>
      <c r="H1644" s="6" t="inlineStr">
        <is>
          <t>Üç şehre açıldın, üçünde de tuttu. Şirketin adı artık sonuna “Grup” alıyor. Kuzen arabasını aldı.</t>
        </is>
      </c>
      <c r="I1644" s="6" t="inlineStr">
        <is>
          <t>Fon ikinci turu sen istemeden verdi. Yeni binanın tabelası iki kat; adın en üstte.</t>
        </is>
      </c>
      <c r="J1644" s="6" t="inlineStr">
        <is>
          <t>Üç şehrin birinde tuttu, ikisinde battı. Fon parayı istemiyor ama banka istiyor. Borç senin adına.</t>
        </is>
      </c>
      <c r="K1644" s="6" t="inlineStr">
        <is>
          <t>Açıldığın şehirlerden birinde şirketin adı yerel bir küfre denk geldi. Şube kapandı; borç açık kaldı.</t>
        </is>
      </c>
      <c r="L1644" s="6" t="inlineStr"/>
      <c r="M1644" s="5" t="inlineStr"/>
      <c r="N1644" s="5" t="inlineStr"/>
      <c r="O1644" s="6" t="inlineStr"/>
      <c r="P1644" s="6" t="inlineStr"/>
      <c r="Q1644" s="5" t="inlineStr"/>
      <c r="R1644" s="5" t="inlineStr"/>
      <c r="S1644" s="5" t="inlineStr"/>
      <c r="T1644" s="5" t="inlineStr"/>
      <c r="U1644" s="5" t="inlineStr"/>
      <c r="V1644" s="5" t="inlineStr">
        <is>
          <t>holding</t>
        </is>
      </c>
      <c r="W1644" s="5" t="inlineStr"/>
      <c r="X1644" s="5" t="inlineStr"/>
      <c r="Y1644" s="5" t="inlineStr"/>
      <c r="Z1644" s="6" t="inlineStr"/>
      <c r="AA1644" s="5" t="inlineStr"/>
      <c r="AB1644" s="5" t="inlineStr">
        <is>
          <t>borclu</t>
        </is>
      </c>
      <c r="AC1644" s="5" t="inlineStr"/>
      <c r="AD1644" s="5" t="inlineStr">
        <is>
          <t>Varlıklı</t>
        </is>
      </c>
      <c r="AE1644" s="5" t="inlineStr"/>
      <c r="AF1644" s="5" t="inlineStr"/>
      <c r="AG1644" s="5" t="inlineStr"/>
      <c r="AH1644" s="5" t="inlineStr"/>
      <c r="AI1644" s="5" t="inlineStr"/>
    </row>
    <row r="1645">
      <c r="A1645" s="5" t="inlineStr">
        <is>
          <t>k10-girisimci</t>
        </is>
      </c>
      <c r="B1645" s="5" t="n">
        <v>2</v>
      </c>
      <c r="C1645" s="6" t="inlineStr">
        <is>
          <t>Şirketi holdinge sat</t>
        </is>
      </c>
      <c r="D1645" s="5" t="inlineStr"/>
      <c r="E1645" s="5" t="inlineStr"/>
      <c r="F1645" s="5" t="inlineStr">
        <is>
          <t>Akıl +1, Kurnazlık +1</t>
        </is>
      </c>
      <c r="G1645" s="6" t="inlineStr">
        <is>
          <t>Holding şirketi aldı, adını kapıdan söktü. Hesabında hiç görmediğin bir rakam var. Kuzen de payını aldı; artık iki araba istiyor.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sirketi-satti</t>
        </is>
      </c>
      <c r="V1645" s="5" t="inlineStr"/>
      <c r="W1645" s="5" t="inlineStr"/>
      <c r="X1645" s="5" t="inlineStr"/>
      <c r="Y1645" s="5" t="inlineStr"/>
      <c r="Z1645" s="6" t="inlineStr"/>
      <c r="AA1645" s="5" t="inlineStr"/>
      <c r="AB1645" s="5" t="inlineStr"/>
      <c r="AC1645" s="5" t="inlineStr"/>
      <c r="AD1645" s="5" t="inlineStr">
        <is>
          <t>Rahat</t>
        </is>
      </c>
      <c r="AE1645" s="5" t="inlineStr"/>
      <c r="AF1645" s="5" t="inlineStr"/>
      <c r="AG1645" s="5" t="inlineStr"/>
      <c r="AH1645" s="5" t="inlineStr"/>
      <c r="AI1645" s="5" t="inlineStr"/>
    </row>
    <row r="1646">
      <c r="A1646" s="5" t="inlineStr">
        <is>
          <t>k10-girisimci</t>
        </is>
      </c>
      <c r="B1646" s="5" t="n">
        <v>3</v>
      </c>
      <c r="C1646" s="6" t="inlineStr">
        <is>
          <t>Batmadan kapat, köye dön</t>
        </is>
      </c>
      <c r="D1646" s="5" t="inlineStr"/>
      <c r="E1646" s="5" t="inlineStr"/>
      <c r="F1646" s="5" t="inlineStr">
        <is>
          <t>İtibar +1, Dayanıklılık +1</t>
        </is>
      </c>
      <c r="G1646" s="6" t="inlineStr">
        <is>
          <t>Şirketi kapattın, borçları ödedin, kalanla köye döndün. Garajdaki buzdolabı yeniden dolma saklıyor.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-hat-cete, -hat-dolandirici, -hat-girisimci, -hat-goc, -hat-hekim, -hat-polis, -hat-politika, -hat-sohret, -hat-usta, -hat-yargi, -meslek-beyazyaka, -meslek-memur, -meslek-serbest, hat-koy, meslek-esnaf</t>
        </is>
      </c>
      <c r="V1646" s="5" t="inlineStr"/>
      <c r="W1646" s="5" t="inlineStr"/>
      <c r="X1646" s="5" t="inlineStr"/>
      <c r="Y1646" s="5" t="inlineStr"/>
      <c r="Z1646" s="6" t="inlineStr"/>
      <c r="AA1646" s="5" t="inlineStr"/>
      <c r="AB1646" s="5" t="inlineStr"/>
      <c r="AC1646" s="5" t="inlineStr"/>
      <c r="AD1646" s="5" t="inlineStr"/>
      <c r="AE1646" s="5" t="inlineStr"/>
      <c r="AF1646" s="5" t="n">
        <v>1</v>
      </c>
      <c r="AG1646" s="5" t="inlineStr"/>
      <c r="AH1646" s="5" t="inlineStr"/>
      <c r="AI1646" s="5" t="inlineStr"/>
    </row>
    <row r="1647">
      <c r="A1647" s="5" t="inlineStr">
        <is>
          <t>k10-politika</t>
        </is>
      </c>
      <c r="B1647" s="5" t="n">
        <v>1</v>
      </c>
      <c r="C1647" s="6" t="inlineStr">
        <is>
          <t>Kazanmak için son mitingi yap</t>
        </is>
      </c>
      <c r="D1647" s="5" t="inlineStr">
        <is>
          <t>Çene</t>
        </is>
      </c>
      <c r="E1647" s="5" t="inlineStr">
        <is>
          <t>Zor</t>
        </is>
      </c>
      <c r="F1647" s="5" t="inlineStr"/>
      <c r="G1647" s="6" t="inlineStr"/>
      <c r="H1647" s="6" t="inlineStr">
        <is>
          <t>Son miting meydanı doldurdu; çay yetmedi, oylar yetti. Seçim gecesi sonuç geldi: Makarya Meclisi'ndesin.</t>
        </is>
      </c>
      <c r="I1647" s="6" t="inlineStr">
        <is>
          <t>Öyle konuştun ki rakip bile videonu paylaştı. Rekor oyla seçildin; seçim otobüsü müzeye kaldırıldı.</t>
        </is>
      </c>
      <c r="J1647" s="6" t="inlineStr">
        <is>
          <t>Miting güzeldi, sonuç değil. Kaybettin. Ertesi gün bir kanal aradı: “Seçim yorumcusu olur musunuz?” Artık ekranda kaynak kişisin.</t>
        </is>
      </c>
      <c r="K1647" s="6" t="inlineStr">
        <is>
          <t>Mikrofon rakip mitingin hoparlörüne bağlanmış; bütün konuşman karşı meydanda çaldı. Rakip kazandı, sana teşekkür plaketi yolladı. Kanallar seni yine yorumcu olarak çağırıyor; her yayın “O mikrofon…” sorusuyla açılıyor.</t>
        </is>
      </c>
      <c r="L1647" s="6" t="inlineStr"/>
      <c r="M1647" s="5" t="inlineStr"/>
      <c r="N1647" s="5" t="inlineStr"/>
      <c r="O1647" s="6" t="inlineStr"/>
      <c r="P1647" s="6" t="inlineStr"/>
      <c r="Q1647" s="5" t="inlineStr"/>
      <c r="R1647" s="5" t="inlineStr"/>
      <c r="S1647" s="5" t="inlineStr"/>
      <c r="T1647" s="5" t="inlineStr"/>
      <c r="U1647" s="5" t="inlineStr"/>
      <c r="V1647" s="5" t="inlineStr">
        <is>
          <t>secim-kazandi</t>
        </is>
      </c>
      <c r="W1647" s="5" t="inlineStr"/>
      <c r="X1647" s="5" t="inlineStr"/>
      <c r="Y1647" s="5" t="inlineStr"/>
      <c r="Z1647" s="6" t="inlineStr"/>
      <c r="AA1647" s="5" t="inlineStr"/>
      <c r="AB1647" s="5" t="inlineStr">
        <is>
          <t>-hat-cete, -hat-dolandirici, -hat-girisimci, -hat-goc, -hat-hekim, -hat-koy, -hat-polis, -hat-politika, -hat-usta, -hat-yargi, -meslek-beyazyaka, -meslek-esnaf, -meslek-memur, hat-sohret, meslek-serbest</t>
        </is>
      </c>
      <c r="AC1647" s="5" t="inlineStr"/>
      <c r="AD1647" s="5" t="inlineStr">
        <is>
          <t>Rahat</t>
        </is>
      </c>
      <c r="AE1647" s="5" t="inlineStr"/>
      <c r="AF1647" s="5" t="inlineStr"/>
      <c r="AG1647" s="5" t="inlineStr"/>
      <c r="AH1647" s="5" t="inlineStr"/>
      <c r="AI1647" s="5" t="inlineStr"/>
    </row>
    <row r="1648">
      <c r="A1648" s="5" t="inlineStr">
        <is>
          <t>k10-politika</t>
        </is>
      </c>
      <c r="B1648" s="5" t="n">
        <v>2</v>
      </c>
      <c r="C1648" s="6" t="inlineStr">
        <is>
          <t>İhale teklifini kabul et</t>
        </is>
      </c>
      <c r="D1648" s="5" t="inlineStr">
        <is>
          <t>Kurnazlık</t>
        </is>
      </c>
      <c r="E1648" s="5" t="inlineStr">
        <is>
          <t>Zor</t>
        </is>
      </c>
      <c r="F1648" s="5" t="inlineStr"/>
      <c r="G1648" s="6" t="inlineStr"/>
      <c r="H1648" s="6" t="inlineStr">
        <is>
          <t>Müteahhitle bir çay içtin; kâğıtlar tertemiz göründü. Seçim sonucu önemini yitirdi, hesabın kazandı. Ailen bayramda aramadı.</t>
        </is>
      </c>
      <c r="I1648" s="6" t="inlineStr">
        <is>
          <t>İhale öyle sessiz kapandı ki kimse bir şey sormadı. Müteahhit teşekkür için bir köprü açtı, kurdelesini sen kestin. Ailen izlemedi.</t>
        </is>
      </c>
      <c r="J1648" s="6" t="inlineStr">
        <is>
          <t>Çay içtiğiniz masanın altında bir mikrofon varmış; kaşık sesleri bile kayıtta. Seçim gecesini karakolda, sonrasını içeride geçirdin.</t>
        </is>
      </c>
      <c r="K1648" s="6" t="inlineStr">
        <is>
          <t>İhale dosyasını yanlışlıkla parti grubuna gönderdin. Sonuçlardan önce savcılık geldi; seçim gecesini içeride izledin.</t>
        </is>
      </c>
      <c r="L1648" s="6" t="inlineStr"/>
      <c r="M1648" s="5" t="inlineStr"/>
      <c r="N1648" s="5" t="inlineStr"/>
      <c r="O1648" s="6" t="inlineStr"/>
      <c r="P1648" s="6" t="inlineStr"/>
      <c r="Q1648" s="5" t="inlineStr"/>
      <c r="R1648" s="5" t="inlineStr"/>
      <c r="S1648" s="5" t="inlineStr"/>
      <c r="T1648" s="5" t="inlineStr"/>
      <c r="U1648" s="5" t="inlineStr"/>
      <c r="V1648" s="5" t="inlineStr">
        <is>
          <t>ihaleci</t>
        </is>
      </c>
      <c r="W1648" s="5" t="inlineStr"/>
      <c r="X1648" s="5" t="inlineStr"/>
      <c r="Y1648" s="5" t="inlineStr"/>
      <c r="Z1648" s="6" t="inlineStr"/>
      <c r="AA1648" s="5" t="inlineStr">
        <is>
          <t>hepsi -1</t>
        </is>
      </c>
      <c r="AB1648" s="5" t="inlineStr">
        <is>
          <t>hapis</t>
        </is>
      </c>
      <c r="AC1648" s="5" t="inlineStr"/>
      <c r="AD1648" s="5" t="inlineStr">
        <is>
          <t>Varlıklı</t>
        </is>
      </c>
      <c r="AE1648" s="5" t="inlineStr"/>
      <c r="AF1648" s="5" t="inlineStr"/>
      <c r="AG1648" s="5" t="inlineStr"/>
      <c r="AH1648" s="5" t="inlineStr"/>
      <c r="AI1648" s="5" t="inlineStr"/>
    </row>
    <row r="1649">
      <c r="A1649" s="5" t="inlineStr">
        <is>
          <t>k10-politika</t>
        </is>
      </c>
      <c r="B1649" s="5" t="n">
        <v>3</v>
      </c>
      <c r="C1649" s="6" t="inlineStr">
        <is>
          <t>Adaylıktan çekil, danışman ol</t>
        </is>
      </c>
      <c r="D1649" s="5" t="inlineStr"/>
      <c r="E1649" s="5" t="inlineStr"/>
      <c r="F1649" s="5" t="inlineStr">
        <is>
          <t>Akıl +1, Sosyal Radar +1</t>
        </is>
      </c>
      <c r="G1649" s="6" t="inlineStr">
        <is>
          <t>Adaylıktan çekildin, kazanan adayın danışmanı oldun. Meclis'e her gün giriyorsun; oy vermiyorsun, tost yiyorsun.</t>
        </is>
      </c>
      <c r="H1649" s="6" t="inlineStr"/>
      <c r="I1649" s="6" t="inlineStr"/>
      <c r="J1649" s="6" t="inlineStr"/>
      <c r="K1649" s="6" t="inlineStr"/>
      <c r="L1649" s="6" t="inlineStr"/>
      <c r="M1649" s="5" t="inlineStr"/>
      <c r="N1649" s="5" t="inlineStr"/>
      <c r="O1649" s="6" t="inlineStr"/>
      <c r="P1649" s="6" t="inlineStr"/>
      <c r="Q1649" s="5" t="inlineStr"/>
      <c r="R1649" s="5" t="inlineStr"/>
      <c r="S1649" s="5" t="inlineStr"/>
      <c r="T1649" s="5" t="inlineStr"/>
      <c r="U1649" s="5" t="inlineStr"/>
      <c r="V1649" s="5" t="inlineStr"/>
      <c r="W1649" s="5" t="inlineStr"/>
      <c r="X1649" s="5" t="inlineStr"/>
      <c r="Y1649" s="5" t="inlineStr"/>
      <c r="Z1649" s="6" t="inlineStr"/>
      <c r="AA1649" s="5" t="inlineStr"/>
      <c r="AB1649" s="5" t="inlineStr"/>
      <c r="AC1649" s="5" t="inlineStr"/>
      <c r="AD1649" s="5" t="inlineStr"/>
      <c r="AE1649" s="5" t="inlineStr"/>
      <c r="AF1649" s="5" t="inlineStr"/>
      <c r="AG1649" s="5" t="inlineStr"/>
      <c r="AH1649" s="5" t="inlineStr"/>
      <c r="AI1649" s="5" t="inlineStr"/>
    </row>
    <row r="1650">
      <c r="A1650" s="5" t="inlineStr">
        <is>
          <t>k10-politika</t>
        </is>
      </c>
      <c r="B1650" s="5" t="n">
        <v>4</v>
      </c>
      <c r="C1650" s="6" t="inlineStr">
        <is>
          <t>Mahallenin adayı ol</t>
        </is>
      </c>
      <c r="D1650" s="5" t="inlineStr">
        <is>
          <t>İtibar</t>
        </is>
      </c>
      <c r="E1650" s="5" t="inlineStr">
        <is>
          <t>Zor</t>
        </is>
      </c>
      <c r="F1650" s="5" t="inlineStr"/>
      <c r="G1650" s="6" t="inlineStr"/>
      <c r="H1650" s="6" t="inlineStr">
        <is>
          <t>Afişe gerek kalmadı; mahalle seni zaten tanıyordu. Seçim gecesi kahvede sayım yapıldı, sonuç sokakta kutlandı.</t>
        </is>
      </c>
      <c r="I1650" s="6" t="inlineStr">
        <is>
          <t>Rakip parti bile seni tebrik etti; “Sizin mahallede bizim adayımız da size oy verdi” dediler.</t>
        </is>
      </c>
      <c r="J1650" s="6" t="inlineStr">
        <is>
          <t>Mahalle sana oy verdi, ilçe vermedi. Kaybettin ama ertesi sabah kapına üç tencere yemek geldi.</t>
        </is>
      </c>
      <c r="K1650" s="6" t="inlineStr">
        <is>
          <t>Seçim gecesi mahalle sana o kadar güvendi ki kimse sandığa gitmedi: “Nasılsa kazanır.” Kaybettin.</t>
        </is>
      </c>
      <c r="L1650" s="6" t="inlineStr"/>
      <c r="M1650" s="5" t="inlineStr"/>
      <c r="N1650" s="5" t="inlineStr"/>
      <c r="O1650" s="6" t="inlineStr"/>
      <c r="P1650" s="6" t="inlineStr"/>
      <c r="Q1650" s="5" t="inlineStr"/>
      <c r="R1650" s="5" t="inlineStr"/>
      <c r="S1650" s="5" t="inlineStr"/>
      <c r="T1650" s="5" t="inlineStr"/>
      <c r="U1650" s="5" t="inlineStr"/>
      <c r="V1650" s="5" t="inlineStr">
        <is>
          <t>secim-kazandi</t>
        </is>
      </c>
      <c r="W1650" s="5" t="inlineStr"/>
      <c r="X1650" s="5" t="inlineStr"/>
      <c r="Y1650" s="5" t="inlineStr"/>
      <c r="Z1650" s="6" t="inlineStr"/>
      <c r="AA1650" s="5" t="inlineStr"/>
      <c r="AB1650" s="5" t="inlineStr"/>
      <c r="AC1650" s="5" t="inlineStr"/>
      <c r="AD1650" s="5" t="inlineStr">
        <is>
          <t>Rahat</t>
        </is>
      </c>
      <c r="AE1650" s="5" t="inlineStr"/>
      <c r="AF1650" s="5" t="inlineStr"/>
      <c r="AG1650" s="5" t="inlineStr"/>
      <c r="AH1650" s="5" t="inlineStr">
        <is>
          <t>İtibar 43</t>
        </is>
      </c>
      <c r="AI1650" s="5" t="inlineStr"/>
    </row>
    <row r="1651">
      <c r="A1651" s="5" t="inlineStr">
        <is>
          <t>b7-goc-oturma-izni</t>
        </is>
      </c>
      <c r="B1651" s="5" t="n">
        <v>1</v>
      </c>
      <c r="C1651" s="6" t="inlineStr">
        <is>
          <t>Sabah beşte kapıda sıraya gir</t>
        </is>
      </c>
      <c r="D1651" s="5" t="inlineStr"/>
      <c r="E1651" s="5" t="inlineStr"/>
      <c r="F1651" s="5" t="inlineStr">
        <is>
          <t>Dayanıklılık +1</t>
        </is>
      </c>
      <c r="G1651" s="6" t="inlineStr">
        <is>
          <t>Sabah beşte kapıdaydın; önünde on bir kişi vardı, üçü Makaryalı. Sırada termos çay döndü. Randevusuz içeri girdin; çay sayesinde değil ama çay da iyiydi.</t>
        </is>
      </c>
      <c r="H1651" s="6" t="inlineStr"/>
      <c r="I1651" s="6" t="inlineStr"/>
      <c r="J1651" s="6" t="inlineStr"/>
      <c r="K1651" s="6" t="inlineStr"/>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row>
    <row r="1652">
      <c r="A1652" s="5" t="inlineStr">
        <is>
          <t>b7-goc-oturma-izni</t>
        </is>
      </c>
      <c r="B1652" s="5" t="n">
        <v>2</v>
      </c>
      <c r="C1652" s="6" t="inlineStr">
        <is>
          <t>Babana ikinci bir ad bul, formu eksiksiz doldur</t>
        </is>
      </c>
      <c r="D1652" s="5" t="inlineStr">
        <is>
          <t>Akıl</t>
        </is>
      </c>
      <c r="E1652" s="5" t="inlineStr">
        <is>
          <t>Orta</t>
        </is>
      </c>
      <c r="F1652" s="5" t="inlineStr"/>
      <c r="G1652" s="6" t="inlineStr"/>
      <c r="H1652" s="6" t="inlineStr">
        <is>
          <t>Dedesinin adını yazdın, nüfus belgesiyle destekledin. İzin iki yıl uzadı. Baban telefonda yeni adını sordu; beğendi.</t>
        </is>
      </c>
      <c r="I1652" s="6" t="inlineStr">
        <is>
          <t>Formu öyle düzgün doldurdun ki memur onu “örnek dosya” diye panoya astı. İzin beş yıl uzadı; senin dosyan artık duvarda.</t>
        </is>
      </c>
      <c r="J1652" s="6" t="inlineStr">
        <is>
          <t>Babanın ikinci adını yazdın ama nüfus kaydında yok. Dosya “eksik” damgası yedi; damga iki dilliydi.</t>
        </is>
      </c>
      <c r="K1652" s="6" t="inlineStr">
        <is>
          <t>Kutuya babanın mahalledeki lakabını yazdın. Dosyan “Babanızın adı: Kasap” diye işlendi. Düzeltme randevusu dört ay sonra.</t>
        </is>
      </c>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row>
    <row r="1653">
      <c r="A1653" s="5" t="inlineStr">
        <is>
          <t>b7-goc-oturma-izni</t>
        </is>
      </c>
      <c r="B1653" s="5" t="n">
        <v>3</v>
      </c>
      <c r="C1653" s="6" t="inlineStr">
        <is>
          <t>Memura kutunun gereksiz olduğunu anlat</t>
        </is>
      </c>
      <c r="D1653" s="5" t="inlineStr">
        <is>
          <t>Çene</t>
        </is>
      </c>
      <c r="E1653" s="5" t="inlineStr">
        <is>
          <t>Zor</t>
        </is>
      </c>
      <c r="F1653" s="5" t="inlineStr"/>
      <c r="G1653" s="6" t="inlineStr"/>
      <c r="H1653" s="6" t="inlineStr">
        <is>
          <t>Yönetmeliğin kendi dipnotunu gösterdin: kutu isteğe bağlıymış. Memur dipnotu okudu, iç çekti, damgayı bastı.</t>
        </is>
      </c>
      <c r="I1653" s="6" t="inlineStr">
        <is>
          <t>Memur seni amirine götürdü, amir not aldı. Yedinci kutu gelecek yıl formdan kalkıyor; kimse senin sayende olduğunu bilmeyecek.</t>
        </is>
      </c>
      <c r="J1653" s="6" t="inlineStr">
        <is>
          <t>Anlattın; memur dinledi ve “Kutu kutudur” dedi. Bu cümle iki dilde de aynı çalışıyor.</t>
        </is>
      </c>
      <c r="K1653" s="6" t="inlineStr">
        <is>
          <t>Tartışma uzadı, sıran geçti. Arkandaki Makaryalı amca sana memleket dilinde laf söyledi; memur da anladı.</t>
        </is>
      </c>
      <c r="L1653" s="6" t="inlineStr"/>
      <c r="M1653" s="5" t="inlineStr"/>
      <c r="N1653" s="5" t="inlineStr"/>
      <c r="O1653" s="6" t="inlineStr"/>
      <c r="P1653" s="6" t="inlineStr"/>
      <c r="Q1653" s="5" t="inlineStr"/>
      <c r="R1653" s="5" t="inlineStr"/>
      <c r="S1653" s="5" t="inlineStr"/>
      <c r="T1653" s="5" t="inlineStr">
        <is>
          <t>Mevzuat Kalkanı</t>
        </is>
      </c>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row>
    <row r="1654">
      <c r="A1654" s="5" t="inlineStr">
        <is>
          <t>b7-goc-akrabalar</t>
        </is>
      </c>
      <c r="B1654" s="5" t="n">
        <v>1</v>
      </c>
      <c r="C1654" s="6" t="inlineStr">
        <is>
          <t>Valizdeki çikolataları eşit dağıt</t>
        </is>
      </c>
      <c r="D1654" s="5" t="inlineStr"/>
      <c r="E1654" s="5" t="inlineStr"/>
      <c r="F1654" s="5" t="inlineStr">
        <is>
          <t>İtibar +1, Sosyal Radar +1</t>
        </is>
      </c>
      <c r="G1654" s="6" t="inlineStr">
        <is>
          <t>Her akrabaya bir kutu çikolata verdin. Sayılar tuttu, kutular tutmadı: teyzeninki büyüktü. Bayrama kadar bu konuşulacak.</t>
        </is>
      </c>
      <c r="H1654" s="6" t="inlineStr"/>
      <c r="I1654" s="6" t="inlineStr"/>
      <c r="J1654" s="6" t="inlineStr"/>
      <c r="K1654" s="6" t="inlineStr"/>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row>
    <row r="1655">
      <c r="A1655" s="5" t="inlineStr">
        <is>
          <t>b7-goc-akrabalar</t>
        </is>
      </c>
      <c r="B1655" s="5" t="n">
        <v>2</v>
      </c>
      <c r="C1655" s="6" t="inlineStr">
        <is>
          <t>Maaşını kira ve faturalarla birlikte anlat</t>
        </is>
      </c>
      <c r="D1655" s="5" t="inlineStr">
        <is>
          <t>Akıl</t>
        </is>
      </c>
      <c r="E1655" s="5" t="inlineStr">
        <is>
          <t>Orta</t>
        </is>
      </c>
      <c r="F1655" s="5" t="inlineStr"/>
      <c r="G1655" s="6" t="inlineStr"/>
      <c r="H1655" s="6" t="inlineStr">
        <is>
          <t>Kirayı, vergiyi, kışın ısınma faturasını hesapladın. Sofra sustu. Amcan “Burada kalsaydın ya” dedi; ilk kez merak ederek.</t>
        </is>
      </c>
      <c r="I1655" s="6" t="inlineStr">
        <is>
          <t>Öyle iyi anlattın ki kuzen iş fikrinden vazgeçti, teyzen sana harçlık uzattı. Almadın; cebine kendisi koydu.</t>
        </is>
      </c>
      <c r="J1655" s="6" t="inlineStr">
        <is>
          <t>Hesapları anlattın, kimse inanmadı. “Alçakgönüllülük yapıyor” dendi. Üstüne bir de takdir aldın.</t>
        </is>
      </c>
      <c r="K1655" s="6" t="inlineStr">
        <is>
          <t>Rakamları memleket parasına çevirirken bir sıfır fazla koydun. Akraba grubunda artık “milyoner kuzen” diye geçiyorsun.</t>
        </is>
      </c>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row>
    <row r="1656">
      <c r="A1656" s="5" t="inlineStr">
        <is>
          <t>b7-goc-akrabalar</t>
        </is>
      </c>
      <c r="B1656" s="5" t="n">
        <v>3</v>
      </c>
      <c r="C1656" s="6" t="inlineStr">
        <is>
          <t>Memlekette küçük bir ev al</t>
        </is>
      </c>
      <c r="D1656" s="5" t="inlineStr">
        <is>
          <t>Kurnazlık</t>
        </is>
      </c>
      <c r="E1656" s="5" t="inlineStr">
        <is>
          <t>Zor</t>
        </is>
      </c>
      <c r="F1656" s="5" t="inlineStr"/>
      <c r="G1656" s="6" t="inlineStr"/>
      <c r="H1656" s="6" t="inlineStr">
        <is>
          <t>Deniz görmeyen ama dağ gören bir ev buldun, pazarlıkla aldın. Anahtar annende; her hafta perdeleri açıp kapatıyor.</t>
        </is>
      </c>
      <c r="I1656" s="6" t="inlineStr">
        <is>
          <t>Ev sahibi eski sınıf arkadaşının babası çıktı; fiyat düştü, bahçedeki erik ağacı da senin oldu. Eriğin henüz haberi yok.</t>
        </is>
      </c>
      <c r="J1656" s="6" t="inlineStr">
        <is>
          <t>Evi gezdin, fiyat her gezişte arttı. Emlakçı “gurbetçi fiyatı” demedi; gözleri dedi.</t>
        </is>
      </c>
      <c r="K1656" s="6" t="inlineStr">
        <is>
          <t>Kaparoyu verdin, ev sahibi vazgeçti. Kaparo geri döndü, eksik döndü. Kalanı “masraf” diye anlatıldı.</t>
        </is>
      </c>
      <c r="L1656" s="6" t="inlineStr">
        <is>
          <t>Fiyatı biraz indirdin. Ev senin ama bahçedeki erik ağacı “ayrıca konuşulacak”.</t>
        </is>
      </c>
      <c r="M1656" s="5" t="inlineStr">
        <is>
          <t>bargain</t>
        </is>
      </c>
      <c r="N1656" s="5" t="inlineStr">
        <is>
          <t>Gurbetçi Fiyatı</t>
        </is>
      </c>
      <c r="O1656" s="6" t="inlineStr">
        <is>
          <t>Emlakçının sabrı bitmeden makul fiyatı bul. Plakanı görünce fiyat zaten bir kez arttı.</t>
        </is>
      </c>
      <c r="P1656" s="6" t="inlineStr">
        <is>
          <t>{"item": "memlekette ev", "mode": "buy"}</t>
        </is>
      </c>
      <c r="Q1656" s="5" t="inlineStr"/>
      <c r="R1656" s="5" t="inlineStr"/>
      <c r="S1656" s="5" t="inlineStr"/>
      <c r="T1656" s="5" t="inlineStr">
        <is>
          <t>Pazarlık Duayeni</t>
        </is>
      </c>
      <c r="U1656" s="5" t="inlineStr"/>
      <c r="V1656" s="5" t="inlineStr">
        <is>
          <t>memlekette-ev</t>
        </is>
      </c>
      <c r="W1656" s="5" t="inlineStr"/>
      <c r="X1656" s="5" t="inlineStr"/>
      <c r="Y1656" s="5" t="inlineStr"/>
      <c r="Z1656" s="6" t="inlineStr"/>
      <c r="AA1656" s="5" t="inlineStr"/>
      <c r="AB1656" s="5" t="inlineStr"/>
      <c r="AC1656" s="5" t="inlineStr"/>
      <c r="AD1656" s="5" t="inlineStr"/>
      <c r="AE1656" s="5" t="inlineStr"/>
      <c r="AF1656" s="5" t="n">
        <v>1</v>
      </c>
      <c r="AG1656" s="5" t="inlineStr"/>
      <c r="AH1656" s="5" t="inlineStr"/>
      <c r="AI1656" s="5" t="inlineStr"/>
    </row>
    <row r="1657">
      <c r="A1657" s="5" t="inlineStr">
        <is>
          <t>b7-goc-bayram-sofrasi</t>
        </is>
      </c>
      <c r="B1657" s="5" t="n">
        <v>1</v>
      </c>
      <c r="C1657" s="6" t="inlineStr">
        <is>
          <t>Telefonu sofranın başına koy</t>
        </is>
      </c>
      <c r="D1657" s="5" t="inlineStr"/>
      <c r="E1657" s="5" t="inlineStr"/>
      <c r="F1657" s="5" t="inlineStr">
        <is>
          <t>Dayanıklılık +1, Gönül +1</t>
        </is>
      </c>
      <c r="G1657" s="6" t="inlineStr">
        <is>
          <t>Telefonu şekerliğe yasladın. Annen bütün sofrayı yönetti: kim ne yiyecek, komşu neden az yiyor. Komşu ikinci tabağı annenden çekindiği için aldı.</t>
        </is>
      </c>
      <c r="H1657" s="6" t="inlineStr"/>
      <c r="I1657" s="6" t="inlineStr"/>
      <c r="J1657" s="6" t="inlineStr"/>
      <c r="K1657" s="6" t="inlineStr"/>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row>
    <row r="1658">
      <c r="A1658" s="5" t="inlineStr">
        <is>
          <t>b7-goc-bayram-sofrasi</t>
        </is>
      </c>
      <c r="B1658" s="5" t="n">
        <v>2</v>
      </c>
      <c r="C1658" s="6" t="inlineStr">
        <is>
          <t>Komşulara bayramı iki dilde anlat</t>
        </is>
      </c>
      <c r="D1658" s="5" t="inlineStr">
        <is>
          <t>Akıl</t>
        </is>
      </c>
      <c r="E1658" s="5" t="inlineStr">
        <is>
          <t>Orta</t>
        </is>
      </c>
      <c r="F1658" s="5" t="inlineStr"/>
      <c r="G1658" s="6" t="inlineStr"/>
      <c r="H1658" s="6" t="inlineStr">
        <is>
          <t>El öpmeyi, harçlığı, kolonyayı anlattın. Komşunun çocuğu hemen elini öpmek istedi; harçlık kısmını daha iyi anlamıştı.</t>
        </is>
      </c>
      <c r="I1658" s="6" t="inlineStr">
        <is>
          <t>Öyle sevildi ki apartman gelecek bayramı ortak kutlamaya karar verdi. Yönetim bütçeye bir kalem ekledi: kolonya.</t>
        </is>
      </c>
      <c r="J1658" s="6" t="inlineStr">
        <is>
          <t>“Bayram” kelimesinin karşılığı yok. Üç kelime denedin; komşular sonunda bunu bir çeşit doğum günü sandı.</t>
        </is>
      </c>
      <c r="K1658" s="6" t="inlineStr">
        <is>
          <t>Kolonyayı gösterirken şişe elinden kaydı, komşunun halısına döküldü. Halı üç gün bayram koktu; komşu şikâyet formu doldurdu.</t>
        </is>
      </c>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row>
    <row r="1659">
      <c r="A1659" s="5" t="inlineStr">
        <is>
          <t>b7-goc-bayram-sofrasi</t>
        </is>
      </c>
      <c r="B1659" s="5" t="n">
        <v>3</v>
      </c>
      <c r="C1659" s="6" t="inlineStr">
        <is>
          <t>Dükkânda gurbetçilere bayram tatlısı sat</t>
        </is>
      </c>
      <c r="D1659" s="5" t="inlineStr">
        <is>
          <t>Kurnazlık</t>
        </is>
      </c>
      <c r="E1659" s="5" t="inlineStr">
        <is>
          <t>Orta</t>
        </is>
      </c>
      <c r="F1659" s="5" t="inlineStr"/>
      <c r="G1659" s="6" t="inlineStr"/>
      <c r="H1659" s="6" t="inlineStr">
        <is>
          <t>Dükkânın önünde kuyruk oluştu. Baklavayı tanesiyle sattın; Makaryalılar pahalı buldu, yine de ikişer kutu aldı.</t>
        </is>
      </c>
      <c r="I1659" s="6" t="inlineStr">
        <is>
          <t>Öte Diyarlılar da kuyruğa girdi. Yerel gazete seni “bayram tatlıcısı” diye yazdı; fotoğrafta baklavaya ters bakıyorsun.</t>
        </is>
      </c>
      <c r="J1659" s="6" t="inlineStr">
        <is>
          <t>Tatlıları hazırladın ama bayram bu yıl hafta içine denk geldi. Herkes işteydi; baklavaları sen yedin.</t>
        </is>
      </c>
      <c r="K1659" s="6" t="inlineStr">
        <is>
          <t>Şerbet ayarını tutturamadın; baklavalar kutuda yüzdü. Müşteriler kaşıkla yiyip yorum yazdı: “Çorba güzeldi.”</t>
        </is>
      </c>
      <c r="L1659" s="6" t="inlineStr"/>
      <c r="M1659" s="5" t="inlineStr"/>
      <c r="N1659" s="5" t="inlineStr"/>
      <c r="O1659" s="6" t="inlineStr"/>
      <c r="P1659" s="6" t="inlineStr"/>
      <c r="Q1659" s="5" t="inlineStr"/>
      <c r="R1659" s="5" t="inlineStr">
        <is>
          <t>ote-diyar-dukkani</t>
        </is>
      </c>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is>
          <t>Rahat</t>
        </is>
      </c>
      <c r="AE1659" s="5" t="inlineStr"/>
      <c r="AF1659" s="5" t="inlineStr"/>
      <c r="AG1659" s="5" t="inlineStr"/>
      <c r="AH1659" s="5" t="inlineStr"/>
      <c r="AI1659" s="5" t="inlineStr"/>
    </row>
    <row r="1660">
      <c r="A1660" s="5" t="inlineStr">
        <is>
          <t>b7-goc-bayram-sofrasi</t>
        </is>
      </c>
      <c r="B1660" s="5" t="n">
        <v>4</v>
      </c>
      <c r="C1660" s="6" t="inlineStr">
        <is>
          <t>Gece uçağıyla memlekete uç, sürpriz yap</t>
        </is>
      </c>
      <c r="D1660" s="5" t="inlineStr">
        <is>
          <t>Dayanıklılık</t>
        </is>
      </c>
      <c r="E1660" s="5" t="inlineStr">
        <is>
          <t>Orta</t>
        </is>
      </c>
      <c r="F1660" s="5" t="inlineStr"/>
      <c r="G1660" s="6" t="inlineStr"/>
      <c r="H1660" s="6" t="inlineStr">
        <is>
          <t>Aktarmalı on sekiz saat. Kapıyı çaldığında annen önce ekrana baktı, sonra kapıya. İkisinde de sen vardın; ekranı kapattı.</t>
        </is>
      </c>
      <c r="I1660" s="6" t="inlineStr">
        <is>
          <t>Uçakta yanındaki amca aynı mahalleden çıktı, seni kapına kadar bıraktı. Sonra kendi kapısını unuttu; bayramı sizde geçirdi.</t>
        </is>
      </c>
      <c r="J1660" s="6" t="inlineStr">
        <is>
          <t>Uçuş ertelendi. Bayramı havalimanında başka bir ülkenin gurbetçileriyle kutladın. Onların da baklavası vardı.</t>
        </is>
      </c>
      <c r="K1660" s="6" t="inlineStr">
        <is>
          <t>Aktarmada uyuyakaldın. Uyandığında uçak da bayram da gitmişti; geriye annenin sesli mesajı kaldı: dokuz dakika.</t>
        </is>
      </c>
      <c r="L1660" s="6" t="inlineStr">
        <is>
          <t>Uçağa son anda yetiştin, valizin yetişmedi. Bayramı babanın pijamasıyla geçirdin; annen bundan memnun.</t>
        </is>
      </c>
      <c r="M1660" s="5" t="inlineStr">
        <is>
          <t>lanes</t>
        </is>
      </c>
      <c r="N1660" s="5" t="inlineStr">
        <is>
          <t>Aktarma Koşusu</t>
        </is>
      </c>
      <c r="O1660" s="6" t="inlineStr">
        <is>
          <t>Sağa sola kay; valizlere, kuyruklara ve temizlik arabasına çarpmadan kapıya yetiş.</t>
        </is>
      </c>
      <c r="P1660" s="6" t="inlineStr">
        <is>
          <t>{"obstacles": ["🧳", "🛒", "🚶", "🧹"]}</t>
        </is>
      </c>
      <c r="Q1660" s="5" t="inlineStr"/>
      <c r="R1660" s="5" t="inlineStr"/>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c r="AE1660" s="5" t="inlineStr"/>
      <c r="AF1660" s="5" t="inlineStr"/>
      <c r="AG1660" s="5" t="inlineStr"/>
      <c r="AH1660" s="5" t="inlineStr"/>
      <c r="AI1660" s="5" t="inlineStr"/>
    </row>
    <row r="1661">
      <c r="A1661" s="5" t="inlineStr">
        <is>
          <t>k10-goc</t>
        </is>
      </c>
      <c r="B1661" s="5" t="n">
        <v>1</v>
      </c>
      <c r="C1661" s="6" t="inlineStr">
        <is>
          <t>Vatandaşlığa başvur, kal</t>
        </is>
      </c>
      <c r="D1661" s="5" t="inlineStr">
        <is>
          <t>Akıl</t>
        </is>
      </c>
      <c r="E1661" s="5" t="inlineStr">
        <is>
          <t>Zor</t>
        </is>
      </c>
      <c r="F1661" s="5" t="inlineStr"/>
      <c r="G1661" s="6" t="inlineStr"/>
      <c r="H1661" s="6" t="inlineStr">
        <is>
          <t>Kırk iki sayfa, bir dil sınavı, Öte Diyar tarihinden otuz soru. Hepsini geçtin. Törende sana bir fidan verdiler; balkonda, mangalın yasak olduğu yerde büyüyor.</t>
        </is>
      </c>
      <c r="I1661" s="6" t="inlineStr">
        <is>
          <t>Tarih sorularını yerlilerden iyi yaptın; memur sonucu iki kez kontrol etti. Pasaportun geldi; fotoğrafta gülüyorsun, kurallara aykırıymış.</t>
        </is>
      </c>
      <c r="J1661" s="6" t="inlineStr">
        <is>
          <t>Başvuru “eksik belge” diye döndü; eksik belge, bir önceki eksik belgenin tercümesiydi. İznin uzadı; kalıyorsun ama misafir olarak.</t>
        </is>
      </c>
      <c r="K1661" s="6" t="inlineStr">
        <is>
          <t>Sınava yanlış günde gittin; o gün ehliyet sınavı vardı. Ehliyet sınavını geçtin. Vatandaşlık başvurun bir yıl ertelendi.</t>
        </is>
      </c>
      <c r="L1661" s="6" t="inlineStr"/>
      <c r="M1661" s="5" t="inlineStr"/>
      <c r="N1661" s="5" t="inlineStr"/>
      <c r="O1661" s="6" t="inlineStr"/>
      <c r="P1661" s="6" t="inlineStr"/>
      <c r="Q1661" s="5" t="inlineStr"/>
      <c r="R1661" s="5" t="inlineStr"/>
      <c r="S1661" s="5" t="inlineStr"/>
      <c r="T1661" s="5" t="inlineStr"/>
      <c r="U1661" s="5" t="inlineStr"/>
      <c r="V1661" s="5" t="inlineStr">
        <is>
          <t>ote-diyar-vatandasi</t>
        </is>
      </c>
      <c r="W1661" s="5" t="inlineStr"/>
      <c r="X1661" s="5" t="inlineStr"/>
      <c r="Y1661" s="5" t="inlineStr"/>
      <c r="Z1661" s="6" t="inlineStr"/>
      <c r="AA1661" s="5" t="inlineStr"/>
      <c r="AB1661" s="5" t="inlineStr"/>
      <c r="AC1661" s="5" t="inlineStr"/>
      <c r="AD1661" s="5" t="inlineStr">
        <is>
          <t>Rahat</t>
        </is>
      </c>
      <c r="AE1661" s="5" t="inlineStr"/>
      <c r="AF1661" s="5" t="inlineStr"/>
      <c r="AG1661" s="5" t="inlineStr"/>
      <c r="AH1661" s="5" t="inlineStr"/>
      <c r="AI1661" s="5" t="inlineStr"/>
    </row>
    <row r="1662">
      <c r="A1662" s="5" t="inlineStr">
        <is>
          <t>k10-goc</t>
        </is>
      </c>
      <c r="B1662" s="5" t="n">
        <v>2</v>
      </c>
      <c r="C1662" s="6" t="inlineStr">
        <is>
          <t>Dön, memlekette plazaya gir</t>
        </is>
      </c>
      <c r="D1662" s="5" t="inlineStr">
        <is>
          <t>Çene</t>
        </is>
      </c>
      <c r="E1662" s="5" t="inlineStr">
        <is>
          <t>Orta</t>
        </is>
      </c>
      <c r="F1662" s="5" t="inlineStr"/>
      <c r="G1662" s="6" t="inlineStr"/>
      <c r="H1662" s="6" t="inlineStr">
        <is>
          <t>Tek yön bilet aldın. Havalimanında annen pankart tutuyordu; adını Öte Diyar harfleriyle, doğru yazmış. İki hafta sonra bir plazada “Öte Diyar görmüş” diye anılmaya başladın.</t>
        </is>
      </c>
      <c r="I1662" s="6" t="inlineStr">
        <is>
          <t>Havalimanında on dört akraba ve bir kutu lokum seni bekliyordu. Plazada da karşılama eksik olmadı: “Öte Diyar'da biz böyle yapıyorduk” cümlen ilk ay toplantıların en çok alıntılanan cümlesi oldu.</t>
        </is>
      </c>
      <c r="J1662" s="6" t="inlineStr">
        <is>
          <t>Bilet aldın, valizi hazırladın; memlekette seni bekleyen iş son anda başkasına verildi. Öte Diyar'da kaldın; bilet çerçevede.</t>
        </is>
      </c>
      <c r="K1662" s="6" t="inlineStr">
        <is>
          <t>Döndün ve iki hafta işsiz kaldın; sonra geri uçtun. Annen seni iki kez uğurladı, bir kez karşıladı, sayıyı tutuyor.</t>
        </is>
      </c>
      <c r="L1662" s="6" t="inlineStr"/>
      <c r="M1662" s="5" t="inlineStr"/>
      <c r="N1662" s="5" t="inlineStr"/>
      <c r="O1662" s="6" t="inlineStr"/>
      <c r="P1662" s="6" t="inlineStr"/>
      <c r="Q1662" s="5" t="inlineStr"/>
      <c r="R1662" s="5" t="inlineStr"/>
      <c r="S1662" s="5" t="inlineStr"/>
      <c r="T1662" s="5" t="inlineStr"/>
      <c r="U1662" s="5" t="inlineStr"/>
      <c r="V1662" s="5" t="inlineStr">
        <is>
          <t>-hat-cete, -hat-dolandirici, -hat-girisimci, -hat-goc, -hat-hekim, -hat-koy, -hat-polis, -hat-politika, -hat-sohret, -hat-usta, -hat-yargi, -meslek-esnaf, -meslek-memur, -meslek-serbest, meslek-beyazyaka, yurtdan-dondu</t>
        </is>
      </c>
      <c r="W1662" s="5" t="inlineStr"/>
      <c r="X1662" s="5" t="inlineStr"/>
      <c r="Y1662" s="5" t="inlineStr"/>
      <c r="Z1662" s="6" t="inlineStr"/>
      <c r="AA1662" s="5" t="inlineStr">
        <is>
          <t>hepsi +1</t>
        </is>
      </c>
      <c r="AB1662" s="5" t="inlineStr"/>
      <c r="AC1662" s="5" t="inlineStr"/>
      <c r="AD1662" s="5" t="inlineStr"/>
      <c r="AE1662" s="5" t="inlineStr"/>
      <c r="AF1662" s="5" t="inlineStr"/>
      <c r="AG1662" s="5" t="inlineStr"/>
      <c r="AH1662" s="5" t="inlineStr"/>
      <c r="AI1662" s="5" t="inlineStr"/>
    </row>
    <row r="1663">
      <c r="A1663" s="5" t="inlineStr">
        <is>
          <t>k10-goc</t>
        </is>
      </c>
      <c r="B1663" s="5" t="n">
        <v>3</v>
      </c>
      <c r="C1663" s="6" t="inlineStr">
        <is>
          <t>Öte Diyar'da kendi dükkânını aç</t>
        </is>
      </c>
      <c r="D1663" s="5" t="inlineStr">
        <is>
          <t>Kurnazlık</t>
        </is>
      </c>
      <c r="E1663" s="5" t="inlineStr">
        <is>
          <t>Zor</t>
        </is>
      </c>
      <c r="F1663" s="5" t="inlineStr"/>
      <c r="G1663" s="6" t="inlineStr"/>
      <c r="H1663" s="6" t="inlineStr">
        <is>
          <t>Arkadaşının dükkânını devraldın, tabelaya iki dilde ad yazdın. Yerliler çay için, Makaryalılar sohbet için geliyor. Kasa ikisinden de doluyor.</t>
        </is>
      </c>
      <c r="I1663" s="6" t="inlineStr">
        <is>
          <t>Dükkân açıldığı ay mahallenin “en iyi yeni işletmesi” seçildi. Belediye plaket yolladı; adın yanlış yazılmış, yine de çerçeveledin.</t>
        </is>
      </c>
      <c r="J1663" s="6" t="inlineStr">
        <is>
          <t>İzin başvurusu yaptın; izin dairesi seni başka bir izin dairesine yolladı. Plazadaki masana döndün; dükkân fikri çekmecede.</t>
        </is>
      </c>
      <c r="K1663" s="6" t="inlineStr">
        <is>
          <t>Kaporayı verdin, dükkân sahibi fikrini değiştirdi. Sözleşme iki dilliydi: senin okuduğun dilde “iade edilir”, onun okuduğu dilde “edilmez” yazıyordu.</t>
        </is>
      </c>
      <c r="L1663" s="6" t="inlineStr"/>
      <c r="M1663" s="5" t="inlineStr"/>
      <c r="N1663" s="5" t="inlineStr"/>
      <c r="O1663" s="6" t="inlineStr"/>
      <c r="P1663" s="6" t="inlineStr"/>
      <c r="Q1663" s="5" t="inlineStr"/>
      <c r="R1663" s="5" t="inlineStr"/>
      <c r="S1663" s="5" t="inlineStr"/>
      <c r="T1663" s="5" t="inlineStr"/>
      <c r="U1663" s="5" t="inlineStr"/>
      <c r="V1663" s="5" t="inlineStr">
        <is>
          <t>ote-diyar-dukkani</t>
        </is>
      </c>
      <c r="W1663" s="5" t="inlineStr"/>
      <c r="X1663" s="5" t="inlineStr"/>
      <c r="Y1663" s="5" t="inlineStr"/>
      <c r="Z1663" s="6" t="inlineStr"/>
      <c r="AA1663" s="5" t="inlineStr"/>
      <c r="AB1663" s="5" t="inlineStr"/>
      <c r="AC1663" s="5" t="inlineStr"/>
      <c r="AD1663" s="5" t="inlineStr">
        <is>
          <t>Rahat</t>
        </is>
      </c>
      <c r="AE1663" s="5" t="inlineStr"/>
      <c r="AF1663" s="5" t="inlineStr"/>
      <c r="AG1663" s="5" t="inlineStr"/>
      <c r="AH1663" s="5" t="inlineStr"/>
      <c r="AI1663" s="5" t="inlineStr"/>
    </row>
    <row r="1664">
      <c r="A1664" s="5" t="inlineStr">
        <is>
          <t>b8-goc-dil-okulu</t>
        </is>
      </c>
      <c r="B1664" s="5" t="n">
        <v>1</v>
      </c>
      <c r="C1664" s="6" t="inlineStr">
        <is>
          <t>Tahtaya memleketten fotoğraflar as</t>
        </is>
      </c>
      <c r="D1664" s="5" t="inlineStr"/>
      <c r="E1664" s="5" t="inlineStr"/>
      <c r="F1664" s="5" t="inlineStr">
        <is>
          <t>İtibar +1, Sosyal Radar +1</t>
        </is>
      </c>
      <c r="G1664" s="6" t="inlineStr">
        <is>
          <t>Dedenin kahvesini, mahalle fırınını, bir de dolmuşu astın. Çocuklar en çok dolmuşu sordu: “Neden herkes parayı öne uzatıyor?”</t>
        </is>
      </c>
      <c r="H1664" s="6" t="inlineStr"/>
      <c r="I1664" s="6" t="inlineStr"/>
      <c r="J1664" s="6" t="inlineStr"/>
      <c r="K1664" s="6" t="inlineStr"/>
      <c r="L1664" s="6" t="inlineStr"/>
      <c r="M1664" s="5" t="inlineStr"/>
      <c r="N1664" s="5" t="inlineStr"/>
      <c r="O1664" s="6" t="inlineStr"/>
      <c r="P1664" s="6" t="inlineStr"/>
      <c r="Q1664" s="5" t="inlineStr"/>
      <c r="R1664" s="5" t="inlineStr"/>
      <c r="S1664" s="5" t="inlineStr"/>
      <c r="T1664" s="5" t="inlineStr"/>
      <c r="U1664" s="5" t="inlineStr"/>
      <c r="V1664" s="5" t="inlineStr"/>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row>
    <row r="1665">
      <c r="A1665" s="5" t="inlineStr">
        <is>
          <t>b8-goc-dil-okulu</t>
        </is>
      </c>
      <c r="B1665" s="5" t="n">
        <v>2</v>
      </c>
      <c r="C1665" s="6" t="inlineStr">
        <is>
          <t>Dersi dilbilgisiyle, sırayla anlat</t>
        </is>
      </c>
      <c r="D1665" s="5" t="inlineStr">
        <is>
          <t>Akıl</t>
        </is>
      </c>
      <c r="E1665" s="5" t="inlineStr">
        <is>
          <t>Orta</t>
        </is>
      </c>
      <c r="F1665" s="5" t="inlineStr"/>
      <c r="G1665" s="6" t="inlineStr"/>
      <c r="H1665" s="6" t="inlineStr">
        <is>
          <t>Üç ayda çocuklar ekleri öğrendi. Biri annesine “Geliyorumdumuş” diye mesaj attı; yanlış ama çok Makaryalı.</t>
        </is>
      </c>
      <c r="I1665" s="6" t="inlineStr">
        <is>
          <t>Dönem sonunda çocuklar memleketteki büyükannelerine mektup yazdı. Büyükanneler teşekkür için derneğe üç kilo pestil yolladı.</t>
        </is>
      </c>
      <c r="J1665" s="6" t="inlineStr">
        <is>
          <t>Ekleri anlattın, çocuklar ekleri saydı: kırk yedi. Biri ağladı, biri de okuldan istifa etti.</t>
        </is>
      </c>
      <c r="K1665" s="6" t="inlineStr">
        <is>
          <t>Dersin ortasında bir kelimeyi hatırlayamadın ve Öte Diyar dilinde söyledin. Sınıf bunu fark etti; sana ilk kez güldüler.</t>
        </is>
      </c>
      <c r="L1665" s="6" t="inlineStr"/>
      <c r="M1665" s="5" t="inlineStr"/>
      <c r="N1665" s="5" t="inlineStr"/>
      <c r="O1665" s="6" t="inlineStr"/>
      <c r="P1665" s="6" t="inlineStr"/>
      <c r="Q1665" s="5" t="inlineStr"/>
      <c r="R1665" s="5" t="inlineStr"/>
      <c r="S1665" s="5" t="inlineStr"/>
      <c r="T1665" s="5" t="inlineStr"/>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row>
    <row r="1666">
      <c r="A1666" s="5" t="inlineStr">
        <is>
          <t>b8-goc-dil-okulu</t>
        </is>
      </c>
      <c r="B1666" s="5" t="n">
        <v>3</v>
      </c>
      <c r="C1666" s="6" t="inlineStr">
        <is>
          <t>Her ders sonunda çocuklarla memleket yemeği yap</t>
        </is>
      </c>
      <c r="D1666" s="5" t="inlineStr">
        <is>
          <t>Dayanıklılık</t>
        </is>
      </c>
      <c r="E1666" s="5" t="inlineStr">
        <is>
          <t>Zor</t>
        </is>
      </c>
      <c r="F1666" s="5" t="inlineStr"/>
      <c r="G1666" s="6" t="inlineStr"/>
      <c r="H1666" s="6" t="inlineStr">
        <is>
          <t>Mantı günü: dokuz çocuk, dokuz yüz mantı. Un bodrumdan merdivene taştı. Çocuklar “hamur” kelimesini hiç unutmayacak.</t>
        </is>
      </c>
      <c r="I1666" s="6" t="inlineStr">
        <is>
          <t>Bütün aileler geldi, bodrum bayram yerine döndü. Dernek okulun adını değiştirdi: “Mantı Okulu.” İtiraz eden olmadı.</t>
        </is>
      </c>
      <c r="J1666" s="6" t="inlineStr">
        <is>
          <t>Yemek güzeldi ama derse vakit kalmadı. Çocuklar dört ayda tek kelime öğrendi: “Doydum.”</t>
        </is>
      </c>
      <c r="K1666" s="6" t="inlineStr">
        <is>
          <t>Börek fırında yandı, yangın alarmı çaldı, itfaiye geldi. Dokuz çocuk itfaiyecilere bildikleri tek memleket kelimesini öğretti: “Yandık!” Dernek mutfağın anahtarını senden geri aldı.</t>
        </is>
      </c>
      <c r="L1666" s="6" t="inlineStr"/>
      <c r="M1666" s="5" t="inlineStr"/>
      <c r="N1666" s="5" t="inlineStr"/>
      <c r="O1666" s="6" t="inlineStr"/>
      <c r="P1666" s="6" t="inlineStr"/>
      <c r="Q1666" s="5" t="inlineStr"/>
      <c r="R1666" s="5" t="inlineStr"/>
      <c r="S1666" s="5" t="inlineStr"/>
      <c r="T1666" s="5" t="inlineStr">
        <is>
          <t>İki Dilli Rüya</t>
        </is>
      </c>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row>
    <row r="1667">
      <c r="A1667" s="5" t="inlineStr">
        <is>
          <t>b8-goc-donsem-mi</t>
        </is>
      </c>
      <c r="B1667" s="5" t="n">
        <v>1</v>
      </c>
      <c r="C1667" s="6" t="inlineStr">
        <is>
          <t>Her yaz bir ay git, soruyu ertele</t>
        </is>
      </c>
      <c r="D1667" s="5" t="inlineStr"/>
      <c r="E1667" s="5" t="inlineStr"/>
      <c r="F1667" s="5" t="inlineStr">
        <is>
          <t>Dayanıklılık +1, Gönül +1</t>
        </is>
      </c>
      <c r="G1667" s="6" t="inlineStr">
        <is>
          <t>Bu yıl da bir ay gittin, döndün. Gidişte valizde çikolata, dönüşte annenin salçası ve bir kavanoz tarhana; havalimanında ikisinde de ağladın. Hangi tarafın gurbet olduğu artık mevsime bağlı.</t>
        </is>
      </c>
      <c r="H1667" s="6" t="inlineStr"/>
      <c r="I1667" s="6" t="inlineStr"/>
      <c r="J1667" s="6" t="inlineStr"/>
      <c r="K1667" s="6" t="inlineStr"/>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row>
    <row r="1668">
      <c r="A1668" s="5" t="inlineStr">
        <is>
          <t>b8-goc-donsem-mi</t>
        </is>
      </c>
      <c r="B1668" s="5" t="n">
        <v>2</v>
      </c>
      <c r="C1668" s="6" t="inlineStr">
        <is>
          <t>Artıları ve eksileri iki dilde tabloya dök</t>
        </is>
      </c>
      <c r="D1668" s="5" t="inlineStr">
        <is>
          <t>Akıl</t>
        </is>
      </c>
      <c r="E1668" s="5" t="inlineStr">
        <is>
          <t>Orta</t>
        </is>
      </c>
      <c r="F1668" s="5" t="inlineStr"/>
      <c r="G1668" s="6" t="inlineStr"/>
      <c r="H1668" s="6" t="inlineStr">
        <is>
          <t>Tablo bitti: iki sütun, eşit uzunlukta. Bir satır ekledin: “Fırın kokusu.” Tablo tek satırla memleketten yana döndü.</t>
        </is>
      </c>
      <c r="I1668" s="6" t="inlineStr">
        <is>
          <t>Tabloyu gören herkes kendi tablosunu istedi. Dernekte “Dönsem mi?” danışmanlığı yapıyorsun; ücretsiz, çay onlardan.</t>
        </is>
      </c>
      <c r="J1668" s="6" t="inlineStr">
        <is>
          <t>Tablo o kadar uzadı ki yazıcının kâğıdı bitti. Karar yine kışa kaldı.</t>
        </is>
      </c>
      <c r="K1668" s="6" t="inlineStr">
        <is>
          <t>Tabloyu yanlışlıkla aile grubuna attın. Annen “Eksiler” sütununu okudu; iki gündür telefonu açmıyor.</t>
        </is>
      </c>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row>
    <row r="1669">
      <c r="A1669" s="5" t="inlineStr">
        <is>
          <t>b8-goc-donsem-mi</t>
        </is>
      </c>
      <c r="B1669" s="5" t="n">
        <v>3</v>
      </c>
      <c r="C1669" s="6" t="inlineStr">
        <is>
          <t>Memleketteki evi onart, dönüşe hazırla</t>
        </is>
      </c>
      <c r="D1669" s="5" t="inlineStr">
        <is>
          <t>Dayanıklılık</t>
        </is>
      </c>
      <c r="E1669" s="5" t="inlineStr">
        <is>
          <t>Zor</t>
        </is>
      </c>
      <c r="F1669" s="5" t="inlineStr"/>
      <c r="G1669" s="6" t="inlineStr"/>
      <c r="H1669" s="6" t="inlineStr">
        <is>
          <t>Uzaktan usta tuttun, görüntülü aramayla boyattın. Duvarlar senin seçtiğin renk, fayanslar ustanın. Ev hazır; sen yarı hazırsın.</t>
        </is>
      </c>
      <c r="I1669" s="6" t="inlineStr">
        <is>
          <t>Usta öyle iyi çalıştı ki komşular da onu istedi. Ev yenilendi; erik ağacı budandı ve ilk kez meyve verdi.</t>
        </is>
      </c>
      <c r="J1669" s="6" t="inlineStr">
        <is>
          <t>Tamir başladı, sonra usta kayboldu. Duvarların yarısı boyalı; annen “Bu da moda” diyor.</t>
        </is>
      </c>
      <c r="K1669" s="6" t="inlineStr">
        <is>
          <t>Görüntülü aramada yanlış duvarı gösterdin; usta komşunun bahçe duvarını yıktı. Komşu annene “Gurbetçi parası duvar yıkar” dedi. Annen bir hafta pazara çıkamadı.</t>
        </is>
      </c>
      <c r="L1669" s="6" t="inlineStr"/>
      <c r="M1669" s="5" t="inlineStr"/>
      <c r="N1669" s="5" t="inlineStr"/>
      <c r="O1669" s="6" t="inlineStr"/>
      <c r="P1669" s="6" t="inlineStr"/>
      <c r="Q1669" s="5" t="inlineStr"/>
      <c r="R1669" s="5" t="inlineStr">
        <is>
          <t>memlekette-ev</t>
        </is>
      </c>
      <c r="S1669" s="5" t="inlineStr"/>
      <c r="T1669" s="5" t="inlineStr"/>
      <c r="U1669" s="5" t="inlineStr"/>
      <c r="V1669" s="5" t="inlineStr">
        <is>
          <t>donuse-hazir</t>
        </is>
      </c>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row>
    <row r="1670">
      <c r="A1670" s="5" t="inlineStr">
        <is>
          <t>b8-goc-donsem-mi</t>
        </is>
      </c>
      <c r="B1670" s="5" t="n">
        <v>4</v>
      </c>
      <c r="C1670" s="6" t="inlineStr">
        <is>
          <t>Memlekettekileri arayıp nabız yokla</t>
        </is>
      </c>
      <c r="D1670" s="5" t="inlineStr">
        <is>
          <t>Sosyal Radar</t>
        </is>
      </c>
      <c r="E1670" s="5" t="inlineStr">
        <is>
          <t>Orta</t>
        </is>
      </c>
      <c r="F1670" s="5" t="inlineStr"/>
      <c r="G1670" s="6" t="inlineStr"/>
      <c r="H1670" s="6" t="inlineStr">
        <is>
          <t>Beş arkadaşını aradın. Üçü “Gel” dedi, ikisi “Sakın gelme”, biri de senden iş istedi. Hepsi telefonu aynı soruyla kapattı: “Annen nasıl?”</t>
        </is>
      </c>
      <c r="I1670" s="6" t="inlineStr">
        <is>
          <t>Arkadaşların karşılama komitesi bile kurdu. Dönmesen de gelecek yıl havalimanına gelecekler; tatbikat için.</t>
        </is>
      </c>
      <c r="J1670" s="6" t="inlineStr">
        <is>
          <t>Aradığın herkes Öte Diyar'a gelmek istediğini söyledi. Nabız ters yöne attı.</t>
        </is>
      </c>
      <c r="K1670" s="6" t="inlineStr">
        <is>
          <t>Nabız yoklarken teyzene “Belki dönerim” dedin. Akşam bütün memleket biliyordu: annen perdeleri yıkamış, komşular hoş geldine gelmiş. Şimdi dönmemek için bir sebep bulman gerekiyor.</t>
        </is>
      </c>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row>
    <row r="1671">
      <c r="A1671" s="5" t="inlineStr">
        <is>
          <t>b9-goc-iki-dilde-emeklilik</t>
        </is>
      </c>
      <c r="B1671" s="5" t="n">
        <v>1</v>
      </c>
      <c r="C1671" s="6" t="inlineStr">
        <is>
          <t>İki kurumu aynı anda ara, iki hatta bekle</t>
        </is>
      </c>
      <c r="D1671" s="5" t="inlineStr"/>
      <c r="E1671" s="5" t="inlineStr"/>
      <c r="F1671" s="5" t="inlineStr">
        <is>
          <t>Dayanıklılık +1</t>
        </is>
      </c>
      <c r="G1671" s="6" t="inlineStr">
        <is>
          <t>Bir kulakta Öte Diyar'ın bekleme müziği, öbüründe Makarya'nınki. Dört saat sonra iki müzik aynı notaya geldi. Dosya yürümedi ama sen bir şarkı besteledin.</t>
        </is>
      </c>
      <c r="H1671" s="6" t="inlineStr"/>
      <c r="I1671" s="6" t="inlineStr"/>
      <c r="J1671" s="6" t="inlineStr"/>
      <c r="K1671" s="6" t="inlineStr"/>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row>
    <row r="1672">
      <c r="A1672" s="5" t="inlineStr">
        <is>
          <t>b9-goc-iki-dilde-emeklilik</t>
        </is>
      </c>
      <c r="B1672" s="5" t="n">
        <v>2</v>
      </c>
      <c r="C1672" s="6" t="inlineStr">
        <is>
          <t>Yazıları iki dilde kendin hazırla</t>
        </is>
      </c>
      <c r="D1672" s="5" t="inlineStr">
        <is>
          <t>Akıl</t>
        </is>
      </c>
      <c r="E1672" s="5" t="inlineStr">
        <is>
          <t>Orta</t>
        </is>
      </c>
      <c r="F1672" s="5" t="inlineStr"/>
      <c r="G1672" s="6" t="inlineStr"/>
      <c r="H1672" s="6" t="inlineStr">
        <is>
          <t>Dosyayı iki dilde, iki nüsha, iki mühürle götürdün. Emekli maaşın iki ayrı günde, iki ayrı kurla yatıyor. Hangisi fazla, hesaplamayı bıraktın.</t>
        </is>
      </c>
      <c r="I1672" s="6" t="inlineStr">
        <is>
          <t>Dosyan öyle düzgündü ki iki kurum da onu şablon yaptı. Senden sonra emekli olan gurbetçiler senin adını anıyor.</t>
        </is>
      </c>
      <c r="J1672" s="6" t="inlineStr">
        <is>
          <t>Yazıları götürdün; birinde gün ile ay yer değiştirmiş. Emekliliğin kâğıt üzerinde bir ay ileri gitti.</t>
        </is>
      </c>
      <c r="K1672" s="6" t="inlineStr">
        <is>
          <t>Kopyaları karıştırdın. Makarya'daki kurum seni Öte Diyarlı sanıyor, Öte Diyar'daki Makaryalı. İkisi de haklı.</t>
        </is>
      </c>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row>
    <row r="1673">
      <c r="A1673" s="5" t="inlineStr">
        <is>
          <t>b9-goc-iki-dilde-emeklilik</t>
        </is>
      </c>
      <c r="B1673" s="5" t="n">
        <v>3</v>
      </c>
      <c r="C1673" s="6" t="inlineStr">
        <is>
          <t>Memleketteki eve yerleş, emekliliği oradan kovala</t>
        </is>
      </c>
      <c r="D1673" s="5" t="inlineStr">
        <is>
          <t>Cesaret</t>
        </is>
      </c>
      <c r="E1673" s="5" t="inlineStr">
        <is>
          <t>Orta</t>
        </is>
      </c>
      <c r="F1673" s="5" t="inlineStr"/>
      <c r="G1673" s="6" t="inlineStr"/>
      <c r="H1673" s="6" t="inlineStr">
        <is>
          <t>Yaz başında memleketteki eve yerleştin. Sabahları fırına gidiyorsun; kokusu hatırladığın gibi. Fırıncı değişmiş, seni o hatırlıyor.</t>
        </is>
      </c>
      <c r="I1673" s="6" t="inlineStr">
        <is>
          <t>Mahallede adın “Öte Diyarlı amca”. Bahçede erik, balkonda mangal; burada yasak değil. Otuz yıldır ilk kez yakıyorsun.</t>
        </is>
      </c>
      <c r="J1673" s="6" t="inlineStr">
        <is>
          <t>Eşyaları topladın, kargo kırk koli istedi. Yarısı geldi; hangi yarının gerekli olduğu tartışmalı.</t>
        </is>
      </c>
      <c r="K1673" s="6" t="inlineStr">
        <is>
          <t>Eve vardığında içeride yeğenin oturuyordu, nişanlısıyla. Sana misafir odasını verdiler; kendi evinde.</t>
        </is>
      </c>
      <c r="L1673" s="6" t="inlineStr"/>
      <c r="M1673" s="5" t="inlineStr"/>
      <c r="N1673" s="5" t="inlineStr"/>
      <c r="O1673" s="6" t="inlineStr"/>
      <c r="P1673" s="6" t="inlineStr"/>
      <c r="Q1673" s="5" t="inlineStr"/>
      <c r="R1673" s="5" t="inlineStr">
        <is>
          <t>memlekette-ev</t>
        </is>
      </c>
      <c r="S1673" s="5" t="inlineStr"/>
      <c r="T1673" s="5" t="inlineStr"/>
      <c r="U1673" s="5" t="inlineStr"/>
      <c r="V1673" s="5" t="inlineStr">
        <is>
          <t>yazliga-dondu</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row>
    <row r="1674">
      <c r="A1674" s="5" t="inlineStr">
        <is>
          <t>b9-goc-iki-dilde-emeklilik</t>
        </is>
      </c>
      <c r="B1674" s="5" t="n">
        <v>4</v>
      </c>
      <c r="C1674" s="6" t="inlineStr">
        <is>
          <t>Kışı orada, yazı burada geçir</t>
        </is>
      </c>
      <c r="D1674" s="5" t="inlineStr">
        <is>
          <t>Sosyal Radar</t>
        </is>
      </c>
      <c r="E1674" s="5" t="inlineStr">
        <is>
          <t>Zor</t>
        </is>
      </c>
      <c r="F1674" s="5" t="inlineStr"/>
      <c r="G1674" s="6" t="inlineStr"/>
      <c r="H1674" s="6" t="inlineStr">
        <is>
          <t>Kasımda Öte Diyar'a, mayısta memlekete. İki yerde de “Yine mi geldin?” diyorlar; ikisinde de sevinerek.</t>
        </is>
      </c>
      <c r="I1674" s="6" t="inlineStr">
        <is>
          <t>İki mahallede de çayı ısmarlanan adamsın. Öte Diyar'daki komşular dönüşünü takvime işaretliyor, bahçesini sana emanet ediyor.</t>
        </is>
      </c>
      <c r="J1674" s="6" t="inlineStr">
        <is>
          <t>İki memleket arasında gidip gelirken iki tarafın faturası birikiyor. Posta kutuların iki ülkede birden dolu.</t>
        </is>
      </c>
      <c r="K1674" s="6" t="inlineStr">
        <is>
          <t>Biletleri karıştırdın; kışı memlekette, yazı Öte Diyar'da geçirdin. İki yerde de üşüdün.</t>
        </is>
      </c>
      <c r="L1674" s="6" t="inlineStr"/>
      <c r="M1674" s="5" t="inlineStr"/>
      <c r="N1674" s="5" t="inlineStr"/>
      <c r="O1674" s="6" t="inlineStr"/>
      <c r="P1674" s="6" t="inlineStr"/>
      <c r="Q1674" s="5" t="inlineStr"/>
      <c r="R1674" s="5" t="inlineStr"/>
      <c r="S1674" s="5" t="inlineStr"/>
      <c r="T1674" s="5" t="inlineStr">
        <is>
          <t>Odayı Okur</t>
        </is>
      </c>
      <c r="U1674" s="5" t="inlineStr"/>
      <c r="V1674" s="5" t="inlineStr">
        <is>
          <t>iki-memleketli</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row>
    <row r="1675">
      <c r="A1675" s="5" t="inlineStr">
        <is>
          <t>b7-koy-keciler</t>
        </is>
      </c>
      <c r="B1675" s="5" t="n">
        <v>1</v>
      </c>
      <c r="C1675" s="6" t="inlineStr">
        <is>
          <t>Komşuya lahananın parasını öde</t>
        </is>
      </c>
      <c r="D1675" s="5" t="inlineStr"/>
      <c r="E1675" s="5" t="inlineStr"/>
      <c r="F1675" s="5" t="inlineStr">
        <is>
          <t>İtibar +2</t>
        </is>
      </c>
      <c r="G1675" s="6" t="inlineStr">
        <is>
          <t>Lahananın parasını uzattın, bir de özür. Komşu parayı almadı, özrü aldı. Akşam kapına bir tabak dolma bıraktı; lahanasız.</t>
        </is>
      </c>
      <c r="H1675" s="6" t="inlineStr"/>
      <c r="I1675" s="6" t="inlineStr"/>
      <c r="J1675" s="6" t="inlineStr"/>
      <c r="K1675" s="6" t="inlineStr"/>
      <c r="L1675" s="6" t="inlineStr"/>
      <c r="M1675" s="5" t="inlineStr"/>
      <c r="N1675" s="5" t="inlineStr"/>
      <c r="O1675" s="6" t="inlineStr"/>
      <c r="P1675" s="6" t="inlineStr"/>
      <c r="Q1675" s="5" t="inlineStr"/>
      <c r="R1675" s="5" t="inlineStr"/>
      <c r="S1675" s="5" t="inlineStr"/>
      <c r="T1675" s="5" t="inlineStr"/>
      <c r="U1675" s="5" t="inlineStr"/>
      <c r="V1675" s="5" t="inlineStr"/>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row>
    <row r="1676">
      <c r="A1676" s="5" t="inlineStr">
        <is>
          <t>b7-koy-keciler</t>
        </is>
      </c>
      <c r="B1676" s="5" t="n">
        <v>2</v>
      </c>
      <c r="C1676" s="6" t="inlineStr">
        <is>
          <t>Sürünün liderini bul, onu ikna et</t>
        </is>
      </c>
      <c r="D1676" s="5" t="inlineStr">
        <is>
          <t>Sosyal Radar</t>
        </is>
      </c>
      <c r="E1676" s="5" t="inlineStr">
        <is>
          <t>Orta</t>
        </is>
      </c>
      <c r="F1676" s="5" t="inlineStr"/>
      <c r="G1676" s="6" t="inlineStr"/>
      <c r="H1676" s="6" t="inlineStr">
        <is>
          <t>Lider, sakallı yaşlı bir dişiymiş. Ona bir avuç arpa verdin; sürü eve döndü. Artık seni o yönetiyor, sen de itiraz etmiyorsun.</t>
        </is>
      </c>
      <c r="I1676" s="6" t="inlineStr">
        <is>
          <t>Lider keçiyle anlaştınız; sürüyü sabah o çıkarıyor, akşam o getiriyor. Köyde artık adın “Keçi Muhtarı”. Asıl muhtar bundan hoşlanmadı.</t>
        </is>
      </c>
      <c r="J1676" s="6" t="inlineStr">
        <is>
          <t>Lider sandığın keçi sürünün en çekingeniymiş. Sen onu ikna ettin; o da kimseyi.</t>
        </is>
      </c>
      <c r="K1676" s="6" t="inlineStr">
        <is>
          <t>Lider keçi göz temasını meydan okuma saydı ve seni tosladı. Komşu lahanasını unuttu; hâlâ gülüyor.</t>
        </is>
      </c>
      <c r="L1676" s="6" t="inlineStr"/>
      <c r="M1676" s="5" t="inlineStr"/>
      <c r="N1676" s="5" t="inlineStr"/>
      <c r="O1676" s="6" t="inlineStr"/>
      <c r="P1676" s="6" t="inlineStr"/>
      <c r="Q1676" s="5" t="inlineStr"/>
      <c r="R1676" s="5" t="inlineStr"/>
      <c r="S1676" s="5" t="inlineStr"/>
      <c r="T1676" s="5" t="inlineStr"/>
      <c r="U1676" s="5" t="inlineStr"/>
      <c r="V1676" s="5" t="inlineStr">
        <is>
          <t>keci-dostu</t>
        </is>
      </c>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row>
    <row r="1677">
      <c r="A1677" s="5" t="inlineStr">
        <is>
          <t>b7-koy-keciler</t>
        </is>
      </c>
      <c r="B1677" s="5" t="n">
        <v>3</v>
      </c>
      <c r="C1677" s="6" t="inlineStr">
        <is>
          <t>Bahçeye keçi geçirmez çit kur</t>
        </is>
      </c>
      <c r="D1677" s="5" t="inlineStr">
        <is>
          <t>Dayanıklılık</t>
        </is>
      </c>
      <c r="E1677" s="5" t="inlineStr">
        <is>
          <t>Zor</t>
        </is>
      </c>
      <c r="F1677" s="5" t="inlineStr"/>
      <c r="G1677" s="6" t="inlineStr"/>
      <c r="H1677" s="6" t="inlineStr">
        <is>
          <t>Üç gün, iki rulo tel, bir sürü kazık. Çit bitti. Keçiler bir gün çiti inceledi, sonra yan bahçeden vazgeçti; şimdilik.</t>
        </is>
      </c>
      <c r="I1677" s="6" t="inlineStr">
        <is>
          <t>Çitin öyle sağlam çıktı ki köyde herkes seni kendi bahçesi için çağırdı. Keçiler de gelip izledi; not alıyor gibiydiler.</t>
        </is>
      </c>
      <c r="J1677" s="6" t="inlineStr">
        <is>
          <t>Çiti kurdun; keçiler üstünden atlamadı, kapısını açtı. Mandalı sen takmıştın.</t>
        </is>
      </c>
      <c r="K1677" s="6" t="inlineStr">
        <is>
          <t>Çiti yanlış tarafa kurdun; keçiler bahçede, sen dışarıdasın. Komşu lahanaları çitin içinden sana uzatıyor.</t>
        </is>
      </c>
      <c r="L1677" s="6" t="inlineStr"/>
      <c r="M1677" s="5" t="inlineStr"/>
      <c r="N1677" s="5" t="inlineStr"/>
      <c r="O1677" s="6" t="inlineStr"/>
      <c r="P1677" s="6" t="inlineStr"/>
      <c r="Q1677" s="5" t="inlineStr"/>
      <c r="R1677" s="5" t="inlineStr"/>
      <c r="S1677" s="5" t="inlineStr"/>
      <c r="T1677" s="5" t="inlineStr">
        <is>
          <t>Bahçe Filozofu</t>
        </is>
      </c>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row>
    <row r="1678">
      <c r="A1678" s="5" t="inlineStr">
        <is>
          <t>b7-koy-kooperatif</t>
        </is>
      </c>
      <c r="B1678" s="5" t="n">
        <v>1</v>
      </c>
      <c r="C1678" s="6" t="inlineStr">
        <is>
          <t>Söz alma, çayını iç, dinle</t>
        </is>
      </c>
      <c r="D1678" s="5" t="inlineStr"/>
      <c r="E1678" s="5" t="inlineStr"/>
      <c r="F1678" s="5" t="inlineStr">
        <is>
          <t>Sosyal Radar +1, Dayanıklılık +1</t>
        </is>
      </c>
      <c r="G1678" s="6" t="inlineStr">
        <is>
          <t>Üç saat dinledin. Tank hakkında bir şey öğrenmedin; kimin kime küs olduğunu, kimin kızının nereye gelin gittiğini öğrendin. Asıl gündem buydu.</t>
        </is>
      </c>
      <c r="H1678" s="6" t="inlineStr"/>
      <c r="I1678" s="6" t="inlineStr"/>
      <c r="J1678" s="6" t="inlineStr"/>
      <c r="K1678" s="6" t="inlineStr"/>
      <c r="L1678" s="6" t="inlineStr"/>
      <c r="M1678" s="5" t="inlineStr"/>
      <c r="N1678" s="5" t="inlineStr"/>
      <c r="O1678" s="6" t="inlineStr"/>
      <c r="P1678" s="6" t="inlineStr"/>
      <c r="Q1678" s="5" t="inlineStr"/>
      <c r="R1678" s="5" t="inlineStr"/>
      <c r="S1678" s="5" t="inlineStr"/>
      <c r="T1678" s="5" t="inlineStr"/>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row>
    <row r="1679">
      <c r="A1679" s="5" t="inlineStr">
        <is>
          <t>b7-koy-kooperatif</t>
        </is>
      </c>
      <c r="B1679" s="5" t="n">
        <v>2</v>
      </c>
      <c r="C1679" s="6" t="inlineStr">
        <is>
          <t>Tankın hesabını çıkar, masaya koy</t>
        </is>
      </c>
      <c r="D1679" s="5" t="inlineStr">
        <is>
          <t>Akıl</t>
        </is>
      </c>
      <c r="E1679" s="5" t="inlineStr">
        <is>
          <t>Orta</t>
        </is>
      </c>
      <c r="F1679" s="5" t="inlineStr"/>
      <c r="G1679" s="6" t="inlineStr"/>
      <c r="H1679" s="6" t="inlineStr">
        <is>
          <t>Tankın kendini kaç yılda ödeyeceğini kâğıda döktün. Kâğıt elden ele dolaştı, Hüsnü Emmi'de kaldı. Tank onaylandı; kâğıt hâlâ Hüsnü Emmi'de.</t>
        </is>
      </c>
      <c r="I1679" s="6" t="inlineStr">
        <is>
          <t>Hesabın öyle netti ki kooperatif defteri sana verdi. Her ayın ilk pazartesi hesap sende; çay da.</t>
        </is>
      </c>
      <c r="J1679" s="6" t="inlineStr">
        <is>
          <t>Hesabı anlattın, biri “Okumuş çocuk” dedi. Kimse karşı çıkmadı, kimse el kaldırmadı. Karar bir sonraki toplantıya kaldı.</t>
        </is>
      </c>
      <c r="K1679" s="6" t="inlineStr">
        <is>
          <t>Hesapta bir sıfır kaçırdın. Kâğıda göre tank kendini üç yüz yılda ödüyor. Hüsnü Emmi kâğıdı çerçeveletti.</t>
        </is>
      </c>
      <c r="L1679" s="6" t="inlineStr"/>
      <c r="M1679" s="5" t="inlineStr"/>
      <c r="N1679" s="5" t="inlineStr"/>
      <c r="O1679" s="6" t="inlineStr"/>
      <c r="P1679" s="6" t="inlineStr"/>
      <c r="Q1679" s="5" t="inlineStr"/>
      <c r="R1679" s="5" t="inlineStr"/>
      <c r="S1679" s="5" t="inlineStr"/>
      <c r="T1679" s="5" t="inlineStr"/>
      <c r="U1679" s="5" t="inlineStr"/>
      <c r="V1679" s="5" t="inlineStr">
        <is>
          <t>kooperatif-defteri</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row>
    <row r="1680">
      <c r="A1680" s="5" t="inlineStr">
        <is>
          <t>b7-koy-kooperatif</t>
        </is>
      </c>
      <c r="B1680" s="5" t="n">
        <v>3</v>
      </c>
      <c r="C1680" s="6" t="inlineStr">
        <is>
          <t>Küs iki üyeyi aynı masada barıştır</t>
        </is>
      </c>
      <c r="D1680" s="5" t="inlineStr">
        <is>
          <t>İtibar</t>
        </is>
      </c>
      <c r="E1680" s="5" t="inlineStr">
        <is>
          <t>Zor</t>
        </is>
      </c>
      <c r="F1680" s="5" t="inlineStr"/>
      <c r="G1680" s="6" t="inlineStr"/>
      <c r="H1680" s="6" t="inlineStr">
        <is>
          <t>Otuz yıllık bir tarla sınırı kavgasıydı. İki çay koydun, iki şeker; onlar da iki kelime etti. Tank oylamasında aynı eli kaldırdılar.</t>
        </is>
      </c>
      <c r="I1680" s="6" t="inlineStr">
        <is>
          <t>Barıştılar, üstüne çocuklarını evlendirmeye karar verdiler. Toplantı nişan hazırlığına döndü; tank da onaylandı.</t>
        </is>
      </c>
      <c r="J1680" s="6" t="inlineStr">
        <is>
          <t>İkisini aynı masaya oturttun; ikisi de sana küstü. Köyde artık üç kişilik bir küslük var.</t>
        </is>
      </c>
      <c r="K1680" s="6" t="inlineStr">
        <is>
          <t>Sınırı çözmek için tarlaya gittiniz; tapuyu okurken ikisi birden senin tarlanın sınırını tartışmaya başladı.</t>
        </is>
      </c>
      <c r="L1680" s="6" t="inlineStr"/>
      <c r="M1680" s="5" t="inlineStr"/>
      <c r="N1680" s="5" t="inlineStr"/>
      <c r="O1680" s="6" t="inlineStr"/>
      <c r="P1680" s="6" t="inlineStr"/>
      <c r="Q1680" s="5" t="inlineStr"/>
      <c r="R1680" s="5" t="inlineStr"/>
      <c r="S1680" s="5" t="inlineStr"/>
      <c r="T1680" s="5" t="inlineStr">
        <is>
          <t>Odayı Okur</t>
        </is>
      </c>
      <c r="U1680" s="5" t="inlineStr"/>
      <c r="V1680" s="5" t="inlineStr">
        <is>
          <t>kahvede-sozu-var</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row>
    <row r="1681">
      <c r="A1681" s="5" t="inlineStr">
        <is>
          <t>b7-koy-sehirliler</t>
        </is>
      </c>
      <c r="B1681" s="5" t="n">
        <v>1</v>
      </c>
      <c r="C1681" s="6" t="inlineStr">
        <is>
          <t>Çifte bir koli yumurta götür, tanış</t>
        </is>
      </c>
      <c r="D1681" s="5" t="inlineStr"/>
      <c r="E1681" s="5" t="inlineStr"/>
      <c r="F1681" s="5" t="inlineStr">
        <is>
          <t>İtibar +1, Sosyal Radar +1</t>
        </is>
      </c>
      <c r="G1681" s="6" t="inlineStr">
        <is>
          <t>Yumurtaları götürdün, çay içtiniz. Horozun neden saat beşte öttüğünü sordular. “Beş olduğu için” dedin. İkna oldular; kulak tıkacı da aldılar.</t>
        </is>
      </c>
      <c r="H1681" s="6" t="inlineStr"/>
      <c r="I1681" s="6" t="inlineStr"/>
      <c r="J1681" s="6" t="inlineStr"/>
      <c r="K1681" s="6" t="inlineStr"/>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row>
    <row r="1682">
      <c r="A1682" s="5" t="inlineStr">
        <is>
          <t>b7-koy-sehirliler</t>
        </is>
      </c>
      <c r="B1682" s="5" t="n">
        <v>2</v>
      </c>
      <c r="C1682" s="6" t="inlineStr">
        <is>
          <t>Horozla şehirlileri uzlaştır</t>
        </is>
      </c>
      <c r="D1682" s="5" t="inlineStr">
        <is>
          <t>Sosyal Radar</t>
        </is>
      </c>
      <c r="E1682" s="5" t="inlineStr">
        <is>
          <t>Orta</t>
        </is>
      </c>
      <c r="F1682" s="5" t="inlineStr"/>
      <c r="G1682" s="6" t="inlineStr"/>
      <c r="H1682" s="6" t="inlineStr">
        <is>
          <t>Kümesi köyün öbür ucuna taşıdın. Şehirliler teşekkür etti; öbür uçtaki Nazmi Dayı etmedi.</t>
        </is>
      </c>
      <c r="I1682" s="6" t="inlineStr">
        <is>
          <t>Şehirliler horozu o kadar sevdi ki ona ad koyup fotoğrafını çerçevelediler. Horoz artık saat altıda ötüyor; saygıdan.</t>
        </is>
      </c>
      <c r="J1682" s="6" t="inlineStr">
        <is>
          <t>Uzlaşma toplantısı yaptın; horoz katılmadı. Şikâyet sürüyor.</t>
        </is>
      </c>
      <c r="K1682" s="6" t="inlineStr">
        <is>
          <t>Toplantının ortasında horoz öttü, çiftin köpeği masaya fırladı. Toplantı bir çay bardağı eksik dağıldı.</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row>
    <row r="1683">
      <c r="A1683" s="5" t="inlineStr">
        <is>
          <t>b7-koy-sehirliler</t>
        </is>
      </c>
      <c r="B1683" s="5" t="n">
        <v>3</v>
      </c>
      <c r="C1683" s="6" t="inlineStr">
        <is>
          <t>Onlara köy hayatını ücretli tanıt</t>
        </is>
      </c>
      <c r="D1683" s="5" t="inlineStr">
        <is>
          <t>Kurnazlık</t>
        </is>
      </c>
      <c r="E1683" s="5" t="inlineStr">
        <is>
          <t>Orta</t>
        </is>
      </c>
      <c r="F1683" s="5" t="inlineStr"/>
      <c r="G1683" s="6" t="inlineStr"/>
      <c r="H1683" s="6" t="inlineStr">
        <is>
          <t>“Köyde Bir Gün” paketi hazırladın: keçi sağma, tandır ekmeği, horozla tanışma. Şehirliler arkadaşlarını getirdi; pakete kahvaltı eklendi.</t>
        </is>
      </c>
      <c r="I1683" s="6" t="inlineStr">
        <is>
          <t>Paket şehirde duyuldu, hafta sonları köyün girişinde otopark sıkıntısı var. Köy ilk kez bir sorundan memnun.</t>
        </is>
      </c>
      <c r="J1683" s="6" t="inlineStr">
        <is>
          <t>Paketi anlattın; şehirliler “Biz bunu zaten yaşıyoruz” dedi. Haklılar, horoz ücretsiz.</t>
        </is>
      </c>
      <c r="K1683" s="6" t="inlineStr">
        <is>
          <t>Sağma etkinliğinde keçi kova yerine şehirlinin ayakkabısını seçti. Paketin puanı iki yıldız; biri keçiye verilmiş.</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is>
          <t>Orta</t>
        </is>
      </c>
      <c r="AE1683" s="5" t="inlineStr"/>
      <c r="AF1683" s="5" t="inlineStr"/>
      <c r="AG1683" s="5" t="inlineStr"/>
      <c r="AH1683" s="5" t="inlineStr"/>
      <c r="AI1683" s="5" t="inlineStr"/>
    </row>
    <row r="1684">
      <c r="A1684" s="5" t="inlineStr">
        <is>
          <t>b7-koy-sehirliler</t>
        </is>
      </c>
      <c r="B1684" s="5" t="n">
        <v>4</v>
      </c>
      <c r="C1684" s="6" t="inlineStr">
        <is>
          <t>Muhtar olarak ortak bir köy kuralı yaz</t>
        </is>
      </c>
      <c r="D1684" s="5" t="inlineStr">
        <is>
          <t>İtibar</t>
        </is>
      </c>
      <c r="E1684" s="5" t="inlineStr">
        <is>
          <t>Orta</t>
        </is>
      </c>
      <c r="F1684" s="5" t="inlineStr"/>
      <c r="G1684" s="6" t="inlineStr"/>
      <c r="H1684" s="6" t="inlineStr">
        <is>
          <t>Kuralı yazdın: “Horoz beşten önce ötmez, şehirli beşten önce şikâyet etmez.” İki taraf imzaladı; horoz adına sen.</t>
        </is>
      </c>
      <c r="I1684" s="6" t="inlineStr">
        <is>
          <t>Kural öyle tuttu ki komşu köyler de istedi. Bölgede adı artık “Muhtar Usulü.”</t>
        </is>
      </c>
      <c r="J1684" s="6" t="inlineStr">
        <is>
          <t>Kuralı astın; ertesi gün şehirliler bir ek madde yazdı, köylüler bir tane daha. Kural şimdi üç sayfa.</t>
        </is>
      </c>
      <c r="K1684" s="6" t="inlineStr">
        <is>
          <t>Mühürlü kuralı kümesin kapısına astın. Horoz kâğıdı yedi. Şehirliler “Kural geçersiz” dedi, köy “Horoz okudu” dedi.</t>
        </is>
      </c>
      <c r="L1684" s="6" t="inlineStr"/>
      <c r="M1684" s="5" t="inlineStr"/>
      <c r="N1684" s="5" t="inlineStr"/>
      <c r="O1684" s="6" t="inlineStr"/>
      <c r="P1684" s="6" t="inlineStr"/>
      <c r="Q1684" s="5" t="inlineStr"/>
      <c r="R1684" s="5" t="inlineStr">
        <is>
          <t>muhtar</t>
        </is>
      </c>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row>
    <row r="1685">
      <c r="A1685" s="5" t="inlineStr">
        <is>
          <t>k10-koy</t>
        </is>
      </c>
      <c r="B1685" s="5" t="n">
        <v>1</v>
      </c>
      <c r="C1685" s="6" t="inlineStr">
        <is>
          <t>Muhtarlığa aday ol</t>
        </is>
      </c>
      <c r="D1685" s="5" t="inlineStr">
        <is>
          <t>İtibar</t>
        </is>
      </c>
      <c r="E1685" s="5" t="inlineStr">
        <is>
          <t>Zor</t>
        </is>
      </c>
      <c r="F1685" s="5" t="inlineStr"/>
      <c r="G1685" s="6" t="inlineStr"/>
      <c r="H1685" s="6" t="inlineStr">
        <is>
          <t>Tek vaadin vardı: “Kahveye ikinci soba.” Dört oyla kazandın. Mühür eline geçince ilk işin kahveyi ısıtmak oldu.</t>
        </is>
      </c>
      <c r="I1685" s="6" t="inlineStr">
        <is>
          <t>Rakibin sana oy verdiğini itiraf etti; kendine vermemiş. Mühür eski muhtardan sana bir poşet cevizle devredildi.</t>
        </is>
      </c>
      <c r="J1685" s="6" t="inlineStr">
        <is>
          <t>Yedi oyla kaybettin. Yeni muhtar ilk iş seni azaya aldı: “Senin çenen lazım.”</t>
        </is>
      </c>
      <c r="K1685" s="6" t="inlineStr">
        <is>
          <t>Seçim konuşmasında köyün adını iki kez yanlış söyledin. Sandıktan üç oy çıktı; ailen dört kişi. Dördüncüyü kimin vermediğini sofrada kimse sormuyor.</t>
        </is>
      </c>
      <c r="L1685" s="6" t="inlineStr"/>
      <c r="M1685" s="5" t="inlineStr"/>
      <c r="N1685" s="5" t="inlineStr"/>
      <c r="O1685" s="6" t="inlineStr"/>
      <c r="P1685" s="6" t="inlineStr"/>
      <c r="Q1685" s="5" t="inlineStr"/>
      <c r="R1685" s="5" t="inlineStr"/>
      <c r="S1685" s="5" t="inlineStr"/>
      <c r="T1685" s="5" t="inlineStr"/>
      <c r="U1685" s="5" t="inlineStr"/>
      <c r="V1685" s="5" t="inlineStr">
        <is>
          <t>muhtar</t>
        </is>
      </c>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row>
    <row r="1686">
      <c r="A1686" s="5" t="inlineStr">
        <is>
          <t>k10-koy</t>
        </is>
      </c>
      <c r="B1686" s="5" t="n">
        <v>2</v>
      </c>
      <c r="C1686" s="6" t="inlineStr">
        <is>
          <t>Kooperatif kur</t>
        </is>
      </c>
      <c r="D1686" s="5" t="inlineStr">
        <is>
          <t>Sosyal Radar</t>
        </is>
      </c>
      <c r="E1686" s="5" t="inlineStr">
        <is>
          <t>Orta</t>
        </is>
      </c>
      <c r="F1686" s="5" t="inlineStr"/>
      <c r="G1686" s="6" t="inlineStr"/>
      <c r="H1686" s="6" t="inlineStr">
        <is>
          <t>Yirmi üç üye, bir süt tankı, bir peynir kazanı. İlk teneke peynir şehre gitti, karşılığı geri döndü. Toplantılar hâlâ uzun ama artık kâr payı da var.</t>
        </is>
      </c>
      <c r="I1686" s="6" t="inlineStr">
        <is>
          <t>Peynirin şehirde ödül aldı. Köyün gençlerinden ikisi şehirden geri döndü; peynir için.</t>
        </is>
      </c>
      <c r="J1686" s="6" t="inlineStr">
        <is>
          <t>Kuruluş toplantısı üç ay sürdü, dilekçe hâlâ imza bekliyor. Kooperatifi bir bahara bıraktın.</t>
        </is>
      </c>
      <c r="K1686" s="6" t="inlineStr">
        <is>
          <t>Kuruluş toplantısı iki köyün sınır tartışmasına döndü. Kooperatif kurulmadı; arada yeni bir tabela var: “Burası bizim.”</t>
        </is>
      </c>
      <c r="L1686" s="6" t="inlineStr"/>
      <c r="M1686" s="5" t="inlineStr"/>
      <c r="N1686" s="5" t="inlineStr"/>
      <c r="O1686" s="6" t="inlineStr"/>
      <c r="P1686" s="6" t="inlineStr"/>
      <c r="Q1686" s="5" t="inlineStr"/>
      <c r="R1686" s="5" t="inlineStr"/>
      <c r="S1686" s="5" t="inlineStr"/>
      <c r="T1686" s="5" t="inlineStr"/>
      <c r="U1686" s="5" t="inlineStr"/>
      <c r="V1686" s="5" t="inlineStr">
        <is>
          <t>kooperatif</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row>
    <row r="1687">
      <c r="A1687" s="5" t="inlineStr">
        <is>
          <t>k10-koy</t>
        </is>
      </c>
      <c r="B1687" s="5" t="n">
        <v>3</v>
      </c>
      <c r="C1687" s="6" t="inlineStr">
        <is>
          <t>Köy fenomeni ol</t>
        </is>
      </c>
      <c r="D1687" s="5" t="inlineStr">
        <is>
          <t>Pişkinlik</t>
        </is>
      </c>
      <c r="E1687" s="5" t="inlineStr">
        <is>
          <t>Zor</t>
        </is>
      </c>
      <c r="F1687" s="5" t="inlineStr"/>
      <c r="G1687" s="6" t="inlineStr"/>
      <c r="H1687" s="6" t="inlineStr">
        <is>
          <t>Keçilerle sabah videoları çektin. Keçilerin takipçisi on binleri geçti; birine reklam teklifi geldi. Pazarlığı sen yapıyorsun.</t>
        </is>
      </c>
      <c r="I1687" s="6" t="inlineStr">
        <is>
          <t>Bir videon ülke çapında yayıldı: keçi, sen ve bir traktör. Şehirden turist geliyor; kahve fiyat listesi bastırdı.</t>
        </is>
      </c>
      <c r="J1687" s="6" t="inlineStr">
        <is>
          <t>Videolar çektin, izleyenler köydekilerdi. Kahvede birbirlerine gösteriyorlar; beğeni yerine el sallıyorlar.</t>
        </is>
      </c>
      <c r="K1687" s="6" t="inlineStr">
        <is>
          <t>Canlı yayında keçi telefonu yedi. Yayın dört dakika keçinin içinden sürdü. En çok izlenen videon bu; telefonun yok.</t>
        </is>
      </c>
      <c r="L1687" s="6" t="inlineStr"/>
      <c r="M1687" s="5" t="inlineStr"/>
      <c r="N1687" s="5" t="inlineStr"/>
      <c r="O1687" s="6" t="inlineStr"/>
      <c r="P1687" s="6" t="inlineStr"/>
      <c r="Q1687" s="5" t="inlineStr"/>
      <c r="R1687" s="5" t="inlineStr"/>
      <c r="S1687" s="5" t="inlineStr"/>
      <c r="T1687" s="5" t="inlineStr"/>
      <c r="U1687" s="5" t="inlineStr"/>
      <c r="V1687" s="5" t="inlineStr">
        <is>
          <t>koy-fenomeni</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row>
    <row r="1688">
      <c r="A1688" s="5" t="inlineStr">
        <is>
          <t>k10-koy</t>
        </is>
      </c>
      <c r="B1688" s="5" t="n">
        <v>4</v>
      </c>
      <c r="C1688" s="6" t="inlineStr">
        <is>
          <t>Şehre geri dön</t>
        </is>
      </c>
      <c r="D1688" s="5" t="inlineStr">
        <is>
          <t>Kurnazlık</t>
        </is>
      </c>
      <c r="E1688" s="5" t="inlineStr">
        <is>
          <t>Orta</t>
        </is>
      </c>
      <c r="F1688" s="5" t="inlineStr"/>
      <c r="G1688" s="6" t="inlineStr"/>
      <c r="H1688" s="6" t="inlineStr">
        <is>
          <t>Traktörü komşuya, keçileri akrabaya bıraktın. Şehirde bir dükkân kiraladın; tezgâhta köyden gelen peynir satıyorsun. Köyde adın hâlâ “döndü, gidecek.”</t>
        </is>
      </c>
      <c r="I1688" s="6" t="inlineStr">
        <is>
          <t>Şehirdeki dükkânın ilk haftasında kuyruk oldu; köyün peyniri şehirde “yöresel” diye iki kat fiyatla satılıyor.</t>
        </is>
      </c>
      <c r="J1688" s="6" t="inlineStr">
        <is>
          <t>Şehirde dükkân baktın; kiralar köydeki tarlanın yıllık gelirinden fazlaydı. Köye döndün; keçiler seni hiç özlememiş gibi yaptı.</t>
        </is>
      </c>
      <c r="K1688" s="6" t="inlineStr">
        <is>
          <t>Dükkânı tuttun, açılış günü köyden gelen peynir yolda ekşidi. Kepengi kapattın, köye döndün; kahvede kimse bir şey sormadı, herkes biliyordu.</t>
        </is>
      </c>
      <c r="L1688" s="6" t="inlineStr"/>
      <c r="M1688" s="5" t="inlineStr"/>
      <c r="N1688" s="5" t="inlineStr"/>
      <c r="O1688" s="6" t="inlineStr"/>
      <c r="P1688" s="6" t="inlineStr"/>
      <c r="Q1688" s="5" t="inlineStr"/>
      <c r="R1688" s="5" t="inlineStr"/>
      <c r="S1688" s="5" t="inlineStr"/>
      <c r="T1688" s="5" t="inlineStr"/>
      <c r="U1688" s="5" t="inlineStr"/>
      <c r="V1688" s="5" t="inlineStr">
        <is>
          <t>-hat-cete, -hat-dolandirici, -hat-girisimci, -hat-goc, -hat-hekim, -hat-koy, -hat-polis, -hat-politika, -hat-sohret, -hat-usta, -hat-yargi, -meslek-beyazyaka, -meslek-memur, -meslek-serbest, meslek-esnaf</t>
        </is>
      </c>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row>
    <row r="1689">
      <c r="A1689" s="5" t="inlineStr">
        <is>
          <t>b8-koy-muhtarlik-secimi</t>
        </is>
      </c>
      <c r="B1689" s="5" t="n">
        <v>1</v>
      </c>
      <c r="C1689" s="6" t="inlineStr">
        <is>
          <t>Adaylıktan çekil, kuzenini destekle</t>
        </is>
      </c>
      <c r="D1689" s="5" t="inlineStr"/>
      <c r="E1689" s="5" t="inlineStr"/>
      <c r="F1689" s="5" t="inlineStr">
        <is>
          <t>İtibar +1, Sosyal Radar +1</t>
        </is>
      </c>
      <c r="G1689" s="6" t="inlineStr">
        <is>
          <t>Çekildin; kuzen kazandı, ilk icraatı hoparlörden sana teşekkür oldu. Köyde herkes muhtarın sen olduğunu sanıyor; mühür sadece onda.</t>
        </is>
      </c>
      <c r="H1689" s="6" t="inlineStr"/>
      <c r="I1689" s="6" t="inlineStr"/>
      <c r="J1689" s="6" t="inlineStr"/>
      <c r="K1689" s="6" t="inlineStr"/>
      <c r="L1689" s="6" t="inlineStr"/>
      <c r="M1689" s="5" t="inlineStr"/>
      <c r="N1689" s="5" t="inlineStr"/>
      <c r="O1689" s="6" t="inlineStr"/>
      <c r="P1689" s="6" t="inlineStr"/>
      <c r="Q1689" s="5" t="inlineStr"/>
      <c r="R1689" s="5" t="inlineStr"/>
      <c r="S1689" s="5" t="inlineStr"/>
      <c r="T1689" s="5" t="inlineStr"/>
      <c r="U1689" s="5" t="inlineStr"/>
      <c r="V1689" s="5" t="inlineStr"/>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row>
    <row r="1690">
      <c r="A1690" s="5" t="inlineStr">
        <is>
          <t>b8-koy-muhtarlik-secimi</t>
        </is>
      </c>
      <c r="B1690" s="5" t="n">
        <v>2</v>
      </c>
      <c r="C1690" s="6" t="inlineStr">
        <is>
          <t>Kapı kapı dolaş, her evde çay iç</t>
        </is>
      </c>
      <c r="D1690" s="5" t="inlineStr">
        <is>
          <t>Sosyal Radar</t>
        </is>
      </c>
      <c r="E1690" s="5" t="inlineStr">
        <is>
          <t>Zor</t>
        </is>
      </c>
      <c r="F1690" s="5" t="inlineStr"/>
      <c r="G1690" s="6" t="inlineStr"/>
      <c r="H1690" s="6" t="inlineStr">
        <is>
          <t>Kırk iki ev, kırk iki çay, dokuz oy farkı. Mühür geldi; o gece uyuyamadın, çaydan.</t>
        </is>
      </c>
      <c r="I1690" s="6" t="inlineStr">
        <is>
          <t>Rakibin evine de gittin; sana çay ikram etti, sonra da oyunu. Sonuçlar okununca kahvedeki iki masa birleşti.</t>
        </is>
      </c>
      <c r="J1690" s="6" t="inlineStr">
        <is>
          <t>Her evde çay içtin, her evde söz aldın. Sandıktaki sözler çaylardan azdı. Kuzen kazandı; sana sandalye ayırdı.</t>
        </is>
      </c>
      <c r="K1690" s="6" t="inlineStr">
        <is>
          <t>Kuzeninin evine yanlışlıkla iki kez gittin. İkincisinde teyzen seni kapıda karşıladı. Oy vermedi; çay da vermedi.</t>
        </is>
      </c>
      <c r="L1690" s="6" t="inlineStr"/>
      <c r="M1690" s="5" t="inlineStr"/>
      <c r="N1690" s="5" t="inlineStr"/>
      <c r="O1690" s="6" t="inlineStr"/>
      <c r="P1690" s="6" t="inlineStr"/>
      <c r="Q1690" s="5" t="inlineStr"/>
      <c r="R1690" s="5" t="inlineStr"/>
      <c r="S1690" s="5" t="inlineStr"/>
      <c r="T1690" s="5" t="inlineStr">
        <is>
          <t>Odayı Okur</t>
        </is>
      </c>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row>
    <row r="1691">
      <c r="A1691" s="5" t="inlineStr">
        <is>
          <t>b8-koy-muhtarlik-secimi</t>
        </is>
      </c>
      <c r="B1691" s="5" t="n">
        <v>3</v>
      </c>
      <c r="C1691" s="6" t="inlineStr">
        <is>
          <t>Kahvede herkesin önünde vaatlerini anlat</t>
        </is>
      </c>
      <c r="D1691" s="5" t="inlineStr">
        <is>
          <t>İtibar</t>
        </is>
      </c>
      <c r="E1691" s="5" t="inlineStr">
        <is>
          <t>Orta</t>
        </is>
      </c>
      <c r="F1691" s="5" t="inlineStr"/>
      <c r="G1691" s="6" t="inlineStr"/>
      <c r="H1691" s="6" t="inlineStr">
        <is>
          <t>Yol, su, ikinci soba. Alkışı en çok soba aldı. Sandık açıldı, üç oyla kazandın; mühür sende, soba hâlâ sırada.</t>
        </is>
      </c>
      <c r="I1691" s="6" t="inlineStr">
        <is>
          <t>Konuşmanın sonunda rakibin kalktı: “Ben de ona veriyorum.” Sayım bir saatte bitti; kalan vakit çaya gitti.</t>
        </is>
      </c>
      <c r="J1691" s="6" t="inlineStr">
        <is>
          <t>Konuşurken elektrik kesildi. İkinci yarıyı karanlıkta anlattın; oylar da karanlıkta kaldı. Kuzen kazandı.</t>
        </is>
      </c>
      <c r="K1691" s="6" t="inlineStr">
        <is>
          <t>Vaatlerini okurken kâğıdı çevirdin; arkasında kuzeninin vaatleri yazılıymış. Kahve güldü. Sandık da.</t>
        </is>
      </c>
      <c r="L1691" s="6" t="inlineStr"/>
      <c r="M1691" s="5" t="inlineStr"/>
      <c r="N1691" s="5" t="inlineStr"/>
      <c r="O1691" s="6" t="inlineStr"/>
      <c r="P1691" s="6" t="inlineStr"/>
      <c r="Q1691" s="5" t="inlineStr"/>
      <c r="R1691" s="5" t="inlineStr"/>
      <c r="S1691" s="5" t="inlineStr"/>
      <c r="T1691" s="5" t="inlineStr"/>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row>
    <row r="1692">
      <c r="A1692" s="5" t="inlineStr">
        <is>
          <t>b8-koy-unlu-koylu</t>
        </is>
      </c>
      <c r="B1692" s="5" t="n">
        <v>1</v>
      </c>
      <c r="C1692" s="6" t="inlineStr">
        <is>
          <t>Köylüleri öne çıkar, kendin arkada dur</t>
        </is>
      </c>
      <c r="D1692" s="5" t="inlineStr"/>
      <c r="E1692" s="5" t="inlineStr"/>
      <c r="F1692" s="5" t="inlineStr">
        <is>
          <t>İtibar +1, Sosyal Radar +1</t>
        </is>
      </c>
      <c r="G1692" s="6" t="inlineStr">
        <is>
          <t>Kamerayı Fatma Nine'nin tandırına çevirdin. Belgesel yayınlanınca köy nineyi izledi; nine de kendini, ekmek pişirirken yorum yaparak.</t>
        </is>
      </c>
      <c r="H1692" s="6" t="inlineStr"/>
      <c r="I1692" s="6" t="inlineStr"/>
      <c r="J1692" s="6" t="inlineStr"/>
      <c r="K1692" s="6" t="inlineStr"/>
      <c r="L1692" s="6" t="inlineStr"/>
      <c r="M1692" s="5" t="inlineStr"/>
      <c r="N1692" s="5" t="inlineStr"/>
      <c r="O1692" s="6" t="inlineStr"/>
      <c r="P1692" s="6" t="inlineStr"/>
      <c r="Q1692" s="5" t="inlineStr"/>
      <c r="R1692" s="5" t="inlineStr"/>
      <c r="S1692" s="5" t="inlineStr"/>
      <c r="T1692" s="5" t="inlineStr"/>
      <c r="U1692" s="5" t="inlineStr"/>
      <c r="V1692" s="5" t="inlineStr"/>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row>
    <row r="1693">
      <c r="A1693" s="5" t="inlineStr">
        <is>
          <t>b8-koy-unlu-koylu</t>
        </is>
      </c>
      <c r="B1693" s="5" t="n">
        <v>2</v>
      </c>
      <c r="C1693" s="6" t="inlineStr">
        <is>
          <t>Kameraya köyü sen anlat</t>
        </is>
      </c>
      <c r="D1693" s="5" t="inlineStr">
        <is>
          <t>Pişkinlik</t>
        </is>
      </c>
      <c r="E1693" s="5" t="inlineStr">
        <is>
          <t>Orta</t>
        </is>
      </c>
      <c r="F1693" s="5" t="inlineStr"/>
      <c r="G1693" s="6" t="inlineStr"/>
      <c r="H1693" s="6" t="inlineStr">
        <is>
          <t>Kuyuyu, çınarı, kahvedeki iki masayı anlattın. Belgesel yayınlandı; pazarda “Belgeseldeki adam” diye soruyorlar, domatesi de.</t>
        </is>
      </c>
      <c r="I1693" s="6" t="inlineStr">
        <is>
          <t>Yönetmen seni sunucu yaptı. Belgesel ikinci sezon aldı: “Kaybolan Tatlar: Köy Kahvesi.” Kahveci ücret istiyor.</t>
        </is>
      </c>
      <c r="J1693" s="6" t="inlineStr">
        <is>
          <t>Anlattın ama kurguda sadece keçiler kaldı. Afişte sen yoksun, lider keçi var.</t>
        </is>
      </c>
      <c r="K1693" s="6" t="inlineStr">
        <is>
          <t>“Burada yağmur yağmaz” derken sağanak başladı. Belgeselin fragmanı o an.</t>
        </is>
      </c>
      <c r="L1693" s="6" t="inlineStr"/>
      <c r="M1693" s="5" t="inlineStr"/>
      <c r="N1693" s="5" t="inlineStr"/>
      <c r="O1693" s="6" t="inlineStr"/>
      <c r="P1693" s="6" t="inlineStr"/>
      <c r="Q1693" s="5" t="inlineStr"/>
      <c r="R1693" s="5" t="inlineStr"/>
      <c r="S1693" s="5" t="inlineStr"/>
      <c r="T1693" s="5" t="inlineStr"/>
      <c r="U1693" s="5" t="inlineStr"/>
      <c r="V1693" s="5" t="inlineStr">
        <is>
          <t>unlu-koylu</t>
        </is>
      </c>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row>
    <row r="1694">
      <c r="A1694" s="5" t="inlineStr">
        <is>
          <t>b8-koy-unlu-koylu</t>
        </is>
      </c>
      <c r="B1694" s="5" t="n">
        <v>3</v>
      </c>
      <c r="C1694" s="6" t="inlineStr">
        <is>
          <t>Kooperatifin peynirini kadraja sok</t>
        </is>
      </c>
      <c r="D1694" s="5" t="inlineStr">
        <is>
          <t>Kurnazlık</t>
        </is>
      </c>
      <c r="E1694" s="5" t="inlineStr">
        <is>
          <t>Orta</t>
        </is>
      </c>
      <c r="F1694" s="5" t="inlineStr"/>
      <c r="G1694" s="6" t="inlineStr"/>
      <c r="H1694" s="6" t="inlineStr">
        <is>
          <t>Peynir her sahnede bir köşede durdu. Belgeselden sonra siparişler yağdı; tank yetmedi, ikincisi alındı.</t>
        </is>
      </c>
      <c r="I1694" s="6" t="inlineStr">
        <is>
          <t>Peynir belgeselin gizli yıldızı oldu. Şehirde bir lokanta menüsüne köyün adını yazdı; ilk kez doğru yazılmış.</t>
        </is>
      </c>
      <c r="J1694" s="6" t="inlineStr">
        <is>
          <t>Kurgucu peyniri çıkardı: “Reklam olmaz.” Peynir belgeselde yok, ekibin sofrasında var.</t>
        </is>
      </c>
      <c r="K1694" s="6" t="inlineStr">
        <is>
          <t>Peynir sıcakta eridi, masadan akıp kameranın ayağına ulaştı. Belgeselin adı değişti: “Kaybolan Peynir.”</t>
        </is>
      </c>
      <c r="L1694" s="6" t="inlineStr"/>
      <c r="M1694" s="5" t="inlineStr"/>
      <c r="N1694" s="5" t="inlineStr"/>
      <c r="O1694" s="6" t="inlineStr"/>
      <c r="P1694" s="6" t="inlineStr"/>
      <c r="Q1694" s="5" t="inlineStr"/>
      <c r="R1694" s="5" t="inlineStr">
        <is>
          <t>kooperatif</t>
        </is>
      </c>
      <c r="S1694" s="5" t="inlineStr"/>
      <c r="T1694" s="5" t="inlineStr"/>
      <c r="U1694" s="5" t="inlineStr"/>
      <c r="V1694" s="5" t="inlineStr"/>
      <c r="W1694" s="5" t="inlineStr"/>
      <c r="X1694" s="5" t="inlineStr"/>
      <c r="Y1694" s="5" t="inlineStr"/>
      <c r="Z1694" s="6" t="inlineStr"/>
      <c r="AA1694" s="5" t="inlineStr"/>
      <c r="AB1694" s="5" t="inlineStr"/>
      <c r="AC1694" s="5" t="inlineStr"/>
      <c r="AD1694" s="5" t="inlineStr">
        <is>
          <t>Rahat</t>
        </is>
      </c>
      <c r="AE1694" s="5" t="inlineStr"/>
      <c r="AF1694" s="5" t="inlineStr"/>
      <c r="AG1694" s="5" t="inlineStr"/>
      <c r="AH1694" s="5" t="inlineStr"/>
      <c r="AI1694" s="5" t="inlineStr"/>
    </row>
    <row r="1695">
      <c r="A1695" s="5" t="inlineStr">
        <is>
          <t>b8-koy-unlu-koylu</t>
        </is>
      </c>
      <c r="B1695" s="5" t="n">
        <v>4</v>
      </c>
      <c r="C1695" s="6" t="inlineStr">
        <is>
          <t>Yönetmeni kahveye götür, tavla oynat</t>
        </is>
      </c>
      <c r="D1695" s="5" t="inlineStr">
        <is>
          <t>Sosyal Radar</t>
        </is>
      </c>
      <c r="E1695" s="5" t="inlineStr">
        <is>
          <t>Zor</t>
        </is>
      </c>
      <c r="F1695" s="5" t="inlineStr"/>
      <c r="G1695" s="6" t="inlineStr"/>
      <c r="H1695" s="6" t="inlineStr">
        <is>
          <t>Yönetmen üç el kaybetti, dördüncüde senaryoyu değiştirdi: belgesel artık kahvede geçiyor. Her karede zar atan sensin.</t>
        </is>
      </c>
      <c r="I1695" s="6" t="inlineStr">
        <is>
          <t>Yönetmen köye vuruldu, yazlık için arsa sordu. Çekimler bir yıl sürdü; bir bölümün anlatıcısı sensin.</t>
        </is>
      </c>
      <c r="J1695" s="6" t="inlineStr">
        <is>
          <t>Yönetmen tavlayı bilmiyordu; iki saat kuralları anlattın. Işık kaçtı, çekim ertelendi.</t>
        </is>
      </c>
      <c r="K1695" s="6" t="inlineStr">
        <is>
          <t>Yönetmen tavlayı ilk kez oynuyordu; seni kahvenin önünde mars etti. Belgeselin açılış sahnesi bu. Kahvede artık sana adınla seslenen yok.</t>
        </is>
      </c>
      <c r="L1695" s="6" t="inlineStr"/>
      <c r="M1695" s="5" t="inlineStr"/>
      <c r="N1695" s="5" t="inlineStr"/>
      <c r="O1695" s="6" t="inlineStr"/>
      <c r="P1695" s="6" t="inlineStr"/>
      <c r="Q1695" s="5" t="inlineStr"/>
      <c r="R1695" s="5" t="inlineStr"/>
      <c r="S1695" s="5" t="inlineStr"/>
      <c r="T1695" s="5" t="inlineStr">
        <is>
          <t>Tavla Kurdu</t>
        </is>
      </c>
      <c r="U1695" s="5" t="inlineStr"/>
      <c r="V1695" s="5" t="inlineStr">
        <is>
          <t>unlu-koylu</t>
        </is>
      </c>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is>
          <t>Mars</t>
        </is>
      </c>
    </row>
    <row r="1696">
      <c r="A1696" s="5" t="inlineStr">
        <is>
          <t>b9-koy-cinarin-alti</t>
        </is>
      </c>
      <c r="B1696" s="5" t="n">
        <v>1</v>
      </c>
      <c r="C1696" s="6" t="inlineStr">
        <is>
          <t>Genci dinle, kararı ona bırak</t>
        </is>
      </c>
      <c r="D1696" s="5" t="inlineStr"/>
      <c r="E1696" s="5" t="inlineStr"/>
      <c r="F1696" s="5" t="inlineStr">
        <is>
          <t>İtibar +1, Sosyal Radar +1</t>
        </is>
      </c>
      <c r="G1696" s="6" t="inlineStr">
        <is>
          <t>Bir saat dinledin, bir cümle söyledin: “Sen bilirsin.” Genç şehre gitti, beş yıl sonra döndü; ilk iş senin sandalyenin yanına bir sandalye daha koydu.</t>
        </is>
      </c>
      <c r="H1696" s="6" t="inlineStr"/>
      <c r="I1696" s="6" t="inlineStr"/>
      <c r="J1696" s="6" t="inlineStr"/>
      <c r="K1696" s="6" t="inlineStr"/>
      <c r="L1696" s="6" t="inlineStr"/>
      <c r="M1696" s="5" t="inlineStr"/>
      <c r="N1696" s="5" t="inlineStr"/>
      <c r="O1696" s="6" t="inlineStr"/>
      <c r="P1696" s="6" t="inlineStr"/>
      <c r="Q1696" s="5" t="inlineStr"/>
      <c r="R1696" s="5" t="inlineStr"/>
      <c r="S1696" s="5" t="inlineStr"/>
      <c r="T1696" s="5" t="inlineStr"/>
      <c r="U1696" s="5" t="inlineStr"/>
      <c r="V1696" s="5" t="inlineStr"/>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row>
    <row r="1697">
      <c r="A1697" s="5" t="inlineStr">
        <is>
          <t>b9-koy-cinarin-alti</t>
        </is>
      </c>
      <c r="B1697" s="5" t="n">
        <v>2</v>
      </c>
      <c r="C1697" s="6" t="inlineStr">
        <is>
          <t>Köyün hikâyesini yaz, gençlere bırak</t>
        </is>
      </c>
      <c r="D1697" s="5" t="inlineStr">
        <is>
          <t>Akıl</t>
        </is>
      </c>
      <c r="E1697" s="5" t="inlineStr">
        <is>
          <t>Orta</t>
        </is>
      </c>
      <c r="F1697" s="5" t="inlineStr"/>
      <c r="G1697" s="6" t="inlineStr"/>
      <c r="H1697" s="6" t="inlineStr">
        <is>
          <t>Kış boyu yazdın: kuyu, kooperatif, keçilerin bütün adları. Defter köy okulunun rafına kondu; en çok keçi kısmı okunuyor.</t>
        </is>
      </c>
      <c r="I1697" s="6" t="inlineStr">
        <is>
          <t>Defterin kitap oldu. İl kütüphanesinde bir rafın var; yanında dedenin traktörünün fotoğrafı.</t>
        </is>
      </c>
      <c r="J1697" s="6" t="inlineStr">
        <is>
          <t>Yazdın, ama her hikâyenin sonundan başka bir hikâye çıktı. Defter bitmedi, kış bitti.</t>
        </is>
      </c>
      <c r="K1697" s="6" t="inlineStr">
        <is>
          <t>Defteri çınarın altında unuttun, keçiler buldu. Köyün tarihi şimdi keçilerin içinde; yine de köyde.</t>
        </is>
      </c>
      <c r="L1697" s="6" t="inlineStr"/>
      <c r="M1697" s="5" t="inlineStr"/>
      <c r="N1697" s="5" t="inlineStr"/>
      <c r="O1697" s="6" t="inlineStr"/>
      <c r="P1697" s="6" t="inlineStr"/>
      <c r="Q1697" s="5" t="inlineStr"/>
      <c r="R1697" s="5" t="inlineStr"/>
      <c r="S1697" s="5" t="inlineStr"/>
      <c r="T1697" s="5" t="inlineStr"/>
      <c r="U1697" s="5" t="inlineStr"/>
      <c r="V1697" s="5" t="inlineStr">
        <is>
          <t>koy-hafizasi</t>
        </is>
      </c>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row>
    <row r="1698">
      <c r="A1698" s="5" t="inlineStr">
        <is>
          <t>b9-koy-cinarin-alti</t>
        </is>
      </c>
      <c r="B1698" s="5" t="n">
        <v>3</v>
      </c>
      <c r="C1698" s="6" t="inlineStr">
        <is>
          <t>Kahvede gençlere tavla turnuvası düzenle</t>
        </is>
      </c>
      <c r="D1698" s="5" t="inlineStr">
        <is>
          <t>Sosyal Radar</t>
        </is>
      </c>
      <c r="E1698" s="5" t="inlineStr">
        <is>
          <t>Orta</t>
        </is>
      </c>
      <c r="F1698" s="5" t="inlineStr"/>
      <c r="G1698" s="6" t="inlineStr"/>
      <c r="H1698" s="6" t="inlineStr">
        <is>
          <t>Turnuvaya on bir genç geldi, ikisi şehirden. Final gece yarısı bitti. Kazanan köyde kalmaya karar verdi; kaybeden de, rövanş için.</t>
        </is>
      </c>
      <c r="I1698" s="6" t="inlineStr">
        <is>
          <t>Turnuva her yaz yapılıyor; şehirdeki köylüler iznini turnuvaya göre alıyor. Kahvenin önü bayram yeri.</t>
        </is>
      </c>
      <c r="J1698" s="6" t="inlineStr">
        <is>
          <t>Gençler gelmedi, emekliler geldi. Final seninle Nazmi Dayı arasındaydı; kaybettin.</t>
        </is>
      </c>
      <c r="K1698" s="6" t="inlineStr">
        <is>
          <t>Finalde zarlar kayboldu. Herkes keçilere baktı. Zarlar senin ceketinin cebinden çıktı; köyde kırk yıldır sana kimse bu gözle bakmamıştı.</t>
        </is>
      </c>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row>
    <row r="1699">
      <c r="A1699" s="5" t="inlineStr">
        <is>
          <t>b7-usta-ilk-cirak</t>
        </is>
      </c>
      <c r="B1699" s="5" t="n">
        <v>1</v>
      </c>
      <c r="C1699" s="6" t="inlineStr">
        <is>
          <t>İlk hafta sadece süpürt, çay demlet</t>
        </is>
      </c>
      <c r="D1699" s="5" t="inlineStr"/>
      <c r="E1699" s="5" t="inlineStr"/>
      <c r="F1699" s="5" t="inlineStr">
        <is>
          <t>Dayanıklılık +1, İtibar +1</t>
        </is>
      </c>
      <c r="G1699" s="6" t="inlineStr">
        <is>
          <t>Bir hafta süpürdü, çay demledi. Çayı berbattı ama süpürmesi iyiydi. Ustalığın yarısı yere bakmaktır; çırak şimdilik yere bakıyor, telefona da.</t>
        </is>
      </c>
      <c r="H1699" s="6" t="inlineStr"/>
      <c r="I1699" s="6" t="inlineStr"/>
      <c r="J1699" s="6" t="inlineStr"/>
      <c r="K1699" s="6" t="inlineStr"/>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row>
    <row r="1700">
      <c r="A1700" s="5" t="inlineStr">
        <is>
          <t>b7-usta-ilk-cirak</t>
        </is>
      </c>
      <c r="B1700" s="5" t="n">
        <v>2</v>
      </c>
      <c r="C1700" s="6" t="inlineStr">
        <is>
          <t>Ona sesle arıza bulmayı öğret</t>
        </is>
      </c>
      <c r="D1700" s="5" t="inlineStr">
        <is>
          <t>Akıl</t>
        </is>
      </c>
      <c r="E1700" s="5" t="inlineStr">
        <is>
          <t>Orta</t>
        </is>
      </c>
      <c r="F1700" s="5" t="inlineStr"/>
      <c r="G1700" s="6" t="inlineStr"/>
      <c r="H1700" s="6" t="inlineStr">
        <is>
          <t>Kaputu açtın, dinledin, “Duydun mu?” dedin. Üçüncü gün duydu. Artık telefonuyla değil, kulağıyla geliyor.</t>
        </is>
      </c>
      <c r="I1700" s="6" t="inlineStr">
        <is>
          <t>Bir hafta sonra sen yokken bir arızayı sesinden buldu. Müşteri aradı: “Çırağın usta olmuş.” Biraz kıskandın.</t>
        </is>
      </c>
      <c r="J1700" s="6" t="inlineStr">
        <is>
          <t>Sesi dinledi, “Bu bir şarkıya benziyor” dedi. Arızayı bulamadı ama şarkıyı buldu.</t>
        </is>
      </c>
      <c r="K1700" s="6" t="inlineStr">
        <is>
          <t>Motoru dinlesin diye kaputu açtın. O, sesi kaydedip üstüne müzik koydu ve paylaştı. Video tuttu; yorumlar “Bu ses rot balansı” diyor. Müşteri videoyu görünce arabasını karşı dükkâna götürdü.</t>
        </is>
      </c>
      <c r="L1700" s="6" t="inlineStr"/>
      <c r="M1700" s="5" t="inlineStr"/>
      <c r="N1700" s="5" t="inlineStr"/>
      <c r="O1700" s="6" t="inlineStr"/>
      <c r="P1700" s="6" t="inlineStr"/>
      <c r="Q1700" s="5" t="inlineStr"/>
      <c r="R1700" s="5" t="inlineStr"/>
      <c r="S1700" s="5" t="inlineStr"/>
      <c r="T1700" s="5" t="inlineStr"/>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row>
    <row r="1701">
      <c r="A1701" s="5" t="inlineStr">
        <is>
          <t>b7-usta-ilk-cirak</t>
        </is>
      </c>
      <c r="B1701" s="5" t="n">
        <v>3</v>
      </c>
      <c r="C1701" s="6" t="inlineStr">
        <is>
          <t>Videolarını dükkânın reklamına çevir</t>
        </is>
      </c>
      <c r="D1701" s="5" t="inlineStr">
        <is>
          <t>Kurnazlık</t>
        </is>
      </c>
      <c r="E1701" s="5" t="inlineStr">
        <is>
          <t>Zor</t>
        </is>
      </c>
      <c r="F1701" s="5" t="inlineStr"/>
      <c r="G1701" s="6" t="inlineStr"/>
      <c r="H1701" s="6" t="inlineStr">
        <is>
          <t>Çırak tamir videoları çekti, sen anlattın. Sanayiye gençler gelmeye başladı; kimi arabasıyla, kimi sadece izlemeye.</t>
        </is>
      </c>
      <c r="I1701" s="6" t="inlineStr">
        <is>
          <t>Videon yayıldı: “Sesinden arıza bulan usta.” Kapında arabasız bir kuyruk var; sesleri telefonla getiriyorlar.</t>
        </is>
      </c>
      <c r="J1701" s="6" t="inlineStr">
        <is>
          <t>Video çektiniz; izleyenler arızayı değil, arkadaki takvimi sordu. Takvim dört yıl eski.</t>
        </is>
      </c>
      <c r="K1701" s="6" t="inlineStr">
        <is>
          <t>Videoda yanlış parçayı yanlış yere taktın; yorum yazanlar senden iyi tamirciydi. Çırak videoyu silmedi, arşivledi.</t>
        </is>
      </c>
      <c r="L1701" s="6" t="inlineStr"/>
      <c r="M1701" s="5" t="inlineStr"/>
      <c r="N1701" s="5" t="inlineStr"/>
      <c r="O1701" s="6" t="inlineStr"/>
      <c r="P1701" s="6" t="inlineStr"/>
      <c r="Q1701" s="5" t="inlineStr"/>
      <c r="R1701" s="5" t="inlineStr"/>
      <c r="S1701" s="5" t="inlineStr"/>
      <c r="T1701" s="5" t="inlineStr">
        <is>
          <t>Kendine Gülebilir</t>
        </is>
      </c>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row>
    <row r="1702">
      <c r="A1702" s="5" t="inlineStr">
        <is>
          <t>b7-usta-karsi-dukkan</t>
        </is>
      </c>
      <c r="B1702" s="5" t="n">
        <v>1</v>
      </c>
      <c r="C1702" s="6" t="inlineStr">
        <is>
          <t>Ortak çalışın: cihaz ondan, el senden</t>
        </is>
      </c>
      <c r="D1702" s="5" t="inlineStr"/>
      <c r="E1702" s="5" t="inlineStr"/>
      <c r="F1702" s="5" t="inlineStr">
        <is>
          <t>Sosyal Radar +1, Akıl +1</t>
        </is>
      </c>
      <c r="G1702" s="6" t="inlineStr">
        <is>
          <t>Anlaştınız: arızayı cihaz söylüyor, sen düzeltiyorsun. Cihaz yanıldığında da sen söylüyorsun. Cihaz sık yanılıyor; ortaklık uzun sürecek.</t>
        </is>
      </c>
      <c r="H1702" s="6" t="inlineStr"/>
      <c r="I1702" s="6" t="inlineStr"/>
      <c r="J1702" s="6" t="inlineStr"/>
      <c r="K1702" s="6" t="inlineStr"/>
      <c r="L1702" s="6" t="inlineStr"/>
      <c r="M1702" s="5" t="inlineStr"/>
      <c r="N1702" s="5" t="inlineStr"/>
      <c r="O1702" s="6" t="inlineStr"/>
      <c r="P1702" s="6" t="inlineStr"/>
      <c r="Q1702" s="5" t="inlineStr"/>
      <c r="R1702" s="5" t="inlineStr"/>
      <c r="S1702" s="5" t="inlineStr"/>
      <c r="T1702" s="5" t="inlineStr"/>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row>
    <row r="1703">
      <c r="A1703" s="5" t="inlineStr">
        <is>
          <t>b7-usta-karsi-dukkan</t>
        </is>
      </c>
      <c r="B1703" s="5" t="n">
        <v>2</v>
      </c>
      <c r="C1703" s="6" t="inlineStr">
        <is>
          <t>Cihazla yarış: sesle daha hızlı bul</t>
        </is>
      </c>
      <c r="D1703" s="5" t="inlineStr">
        <is>
          <t>Akıl</t>
        </is>
      </c>
      <c r="E1703" s="5" t="inlineStr">
        <is>
          <t>Zor</t>
        </is>
      </c>
      <c r="F1703" s="5" t="inlineStr"/>
      <c r="G1703" s="6" t="inlineStr"/>
      <c r="H1703" s="6" t="inlineStr">
        <is>
          <t>Müşterinin önünde yarıştınız. Cihaz açılırken sen arızayı söyledin. Cihaz yüklendiğinde aynı şeyi söyledi; geç.</t>
        </is>
      </c>
      <c r="I1703" s="6" t="inlineStr">
        <is>
          <t>Üç araba, üç arıza, üç galibiyet. Karşının ustası cihazı sana sattı; artık cihaz da senin, kulak da.</t>
        </is>
      </c>
      <c r="J1703" s="6" t="inlineStr">
        <is>
          <t>Cihaz bir arıza buldu, sen başka bir arıza. İkisi de doğruymuş. Müşteri ikisini de ödemek istemedi.</t>
        </is>
      </c>
      <c r="K1703" s="6" t="inlineStr">
        <is>
          <t>Sesle teşhis koydun, cihaz başka dedi. Cihaz haklıydı. Sanayide bu yarış hâlâ anlatılıyor; adın geçmiyor ama herkes biliyor.</t>
        </is>
      </c>
      <c r="L1703" s="6" t="inlineStr">
        <is>
          <t>Cihazla aynı anda söylediniz. Müşteri kime ödeyeceğini bilemedi; ikinize de çay ısmarladı.</t>
        </is>
      </c>
      <c r="M1703" s="5" t="inlineStr">
        <is>
          <t>race</t>
        </is>
      </c>
      <c r="N1703" s="5" t="inlineStr">
        <is>
          <t>Cihazla Yarış</t>
        </is>
      </c>
      <c r="O1703" s="6" t="inlineStr">
        <is>
          <t>Cihaz açılmadan arızayı bul. Hızlı dokun; kulağın cihazdan önce davransın.</t>
        </is>
      </c>
      <c r="P1703" s="6" t="inlineStr"/>
      <c r="Q1703" s="5" t="inlineStr"/>
      <c r="R1703" s="5" t="inlineStr"/>
      <c r="S1703" s="5" t="inlineStr"/>
      <c r="T1703" s="5" t="inlineStr">
        <is>
          <t>Ukala Ama Haklı</t>
        </is>
      </c>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row>
    <row r="1704">
      <c r="A1704" s="5" t="inlineStr">
        <is>
          <t>b7-usta-karsi-dukkan</t>
        </is>
      </c>
      <c r="B1704" s="5" t="n">
        <v>3</v>
      </c>
      <c r="C1704" s="6" t="inlineStr">
        <is>
          <t>Kışla arkadaşlarının taksilerini sana yönlendir</t>
        </is>
      </c>
      <c r="D1704" s="5" t="inlineStr">
        <is>
          <t>Çene</t>
        </is>
      </c>
      <c r="E1704" s="5" t="inlineStr">
        <is>
          <t>Orta</t>
        </is>
      </c>
      <c r="F1704" s="5" t="inlineStr"/>
      <c r="G1704" s="6" t="inlineStr"/>
      <c r="H1704" s="6" t="inlineStr">
        <is>
          <t>Üç kışla arkadaşın taksici olmuş; bütün durağı sana getirdiler. Karşıdaki cihaz boşta dönüyor.</t>
        </is>
      </c>
      <c r="I1704" s="6" t="inlineStr">
        <is>
          <t>Taksiciler dükkânını durağa çevirdi; çay senden, sohbet onlardan. Karşının ustası da çaya geliyor.</t>
        </is>
      </c>
      <c r="J1704" s="6" t="inlineStr">
        <is>
          <t>Arkadaşların geldi ama arabaları yeni; arıza yok. Üç gün üst üste çay içip gittiler.</t>
        </is>
      </c>
      <c r="K1704" s="6" t="inlineStr">
        <is>
          <t>Taksileri getirdiler, sen yanlış taksiye yanlış parça taktın. Kışla anısı ilk kez bir faturaya dönüştü.</t>
        </is>
      </c>
      <c r="L1704" s="6" t="inlineStr"/>
      <c r="M1704" s="5" t="inlineStr"/>
      <c r="N1704" s="5" t="inlineStr"/>
      <c r="O1704" s="6" t="inlineStr"/>
      <c r="P1704" s="6" t="inlineStr"/>
      <c r="Q1704" s="5" t="inlineStr"/>
      <c r="R1704" s="5" t="inlineStr">
        <is>
          <t>kisla-kankasi</t>
        </is>
      </c>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row>
    <row r="1705">
      <c r="A1705" s="5" t="inlineStr">
        <is>
          <t>b7-usta-karsi-dukkan</t>
        </is>
      </c>
      <c r="B1705" s="5" t="n">
        <v>4</v>
      </c>
      <c r="C1705" s="6" t="inlineStr">
        <is>
          <t>İşçiliği indir, müşteriyi geri çek</t>
        </is>
      </c>
      <c r="D1705" s="5" t="inlineStr">
        <is>
          <t>Kurnazlık</t>
        </is>
      </c>
      <c r="E1705" s="5" t="inlineStr">
        <is>
          <t>Orta</t>
        </is>
      </c>
      <c r="F1705" s="5" t="inlineStr"/>
      <c r="G1705" s="6" t="inlineStr"/>
      <c r="H1705" s="6" t="inlineStr">
        <is>
          <t>İşçiliği biraz indirdin, çayı ücretsiz yaptın. Müşteriler döndü; çayı sevdiler, işçilik zaten iyiydi.</t>
        </is>
      </c>
      <c r="I1705" s="6" t="inlineStr">
        <is>
          <t>İndirim pankartın sanayide moda oldu. Karşı dükkân da astı; seninkinden kopyalamış, yazım hatasıyla.</t>
        </is>
      </c>
      <c r="J1705" s="6" t="inlineStr">
        <is>
          <t>Fiyatları kırdın, karşı da kırdı. Ay sonunda iki dükkân da kalabalıktı; ikisi de zarardaydı.</t>
        </is>
      </c>
      <c r="K1705" s="6" t="inlineStr">
        <is>
          <t>Fiyatı öyle kırdın ki karşının ustası da arabasını sana getirdi. Tamir ettin, zarar ettin, teşekkür aldın.</t>
        </is>
      </c>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row>
    <row r="1706">
      <c r="A1706" s="5" t="inlineStr">
        <is>
          <t>b7-usta-sanayi-hakemi</t>
        </is>
      </c>
      <c r="B1706" s="5" t="n">
        <v>1</v>
      </c>
      <c r="C1706" s="6" t="inlineStr">
        <is>
          <t>Park yerini sırayla kullanmalarını söyle</t>
        </is>
      </c>
      <c r="D1706" s="5" t="inlineStr"/>
      <c r="E1706" s="5" t="inlineStr"/>
      <c r="F1706" s="5" t="inlineStr">
        <is>
          <t>İtibar +1, Akıl +1</t>
        </is>
      </c>
      <c r="G1706" s="6" t="inlineStr">
        <is>
          <t>Tek günler kaportacı, çift günler boyacı. İkisi de kabul etti. Ayın otuz birinde yeniden küstüler.</t>
        </is>
      </c>
      <c r="H1706" s="6" t="inlineStr"/>
      <c r="I1706" s="6" t="inlineStr"/>
      <c r="J1706" s="6" t="inlineStr"/>
      <c r="K1706" s="6" t="inlineStr"/>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row>
    <row r="1707">
      <c r="A1707" s="5" t="inlineStr">
        <is>
          <t>b7-usta-sanayi-hakemi</t>
        </is>
      </c>
      <c r="B1707" s="5" t="n">
        <v>2</v>
      </c>
      <c r="C1707" s="6" t="inlineStr">
        <is>
          <t>İkisini çay ocağında konuştur</t>
        </is>
      </c>
      <c r="D1707" s="5" t="inlineStr">
        <is>
          <t>Sosyal Radar</t>
        </is>
      </c>
      <c r="E1707" s="5" t="inlineStr">
        <is>
          <t>Orta</t>
        </is>
      </c>
      <c r="F1707" s="5" t="inlineStr"/>
      <c r="G1707" s="6" t="inlineStr"/>
      <c r="H1707" s="6" t="inlineStr">
        <is>
          <t>Üç çay, iki şeker, bir sessizlik. Sonra biri öbürünün boyasını övdü. Park kavgası “kim daha iyi boyar” kavgasına döndü; o daha keyifli.</t>
        </is>
      </c>
      <c r="I1707" s="6" t="inlineStr">
        <is>
          <t>Barıştılar, ortak dükkân açtılar: “Kaporta ve Boya.” Park yeri de artık tek.</t>
        </is>
      </c>
      <c r="J1707" s="6" t="inlineStr">
        <is>
          <t>Çay ocağında konuştular; sesleri ocaktan taştı, bütün sanayi dinledi. Sorun çözülmedi, yayıldı.</t>
        </is>
      </c>
      <c r="K1707" s="6" t="inlineStr">
        <is>
          <t>İkisini barıştırdın; sonra ikisi birlikte sana döndü: “Bu meseleyi sen büyüttün.” Şimdi ikisi dost, sen küssün; park yerine de senin araban sığmıyor.</t>
        </is>
      </c>
      <c r="L1707" s="6" t="inlineStr"/>
      <c r="M1707" s="5" t="inlineStr"/>
      <c r="N1707" s="5" t="inlineStr"/>
      <c r="O1707" s="6" t="inlineStr"/>
      <c r="P1707" s="6" t="inlineStr"/>
      <c r="Q1707" s="5" t="inlineStr"/>
      <c r="R1707" s="5" t="inlineStr"/>
      <c r="S1707" s="5" t="inlineStr"/>
      <c r="T1707" s="5" t="inlineStr"/>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row>
    <row r="1708">
      <c r="A1708" s="5" t="inlineStr">
        <is>
          <t>b7-usta-sanayi-hakemi</t>
        </is>
      </c>
      <c r="B1708" s="5" t="n">
        <v>3</v>
      </c>
      <c r="C1708" s="6" t="inlineStr">
        <is>
          <t>Park yerine ikinci kat yap, kendi elinle</t>
        </is>
      </c>
      <c r="D1708" s="5" t="inlineStr">
        <is>
          <t>Dayanıklılık</t>
        </is>
      </c>
      <c r="E1708" s="5" t="inlineStr">
        <is>
          <t>Zor</t>
        </is>
      </c>
      <c r="F1708" s="5" t="inlineStr"/>
      <c r="G1708" s="6" t="inlineStr"/>
      <c r="H1708" s="6" t="inlineStr">
        <is>
          <t>Hafta sonu demir kaynak, pazartesi sabahı iki katlı park yeri. Site yönetimi ne diyeceğini bilemedi; o yüzden onayladı.</t>
        </is>
      </c>
      <c r="I1708" s="6" t="inlineStr">
        <is>
          <t>Rampa öyle iyi çıktı ki bütün sanayi ikinci kat istedi. Toplantılarda adın “mühendis” diye geçiyor; diploma soran yok.</t>
        </is>
      </c>
      <c r="J1708" s="6" t="inlineStr">
        <is>
          <t>İskeleti kurdun ama rampa yetmedi. Park yerinin üstünde şimdi bir çardak var; iki usta orada çay içiyor.</t>
        </is>
      </c>
      <c r="K1708" s="6" t="inlineStr">
        <is>
          <t>Rampa ilk arabada biraz eğildi, sonra durdu. Araba havada kaldı, neyse ki boştu. Sanayide yeni bir anıt var.</t>
        </is>
      </c>
      <c r="L1708" s="6" t="inlineStr"/>
      <c r="M1708" s="5" t="inlineStr"/>
      <c r="N1708" s="5" t="inlineStr"/>
      <c r="O1708" s="6" t="inlineStr"/>
      <c r="P1708" s="6" t="inlineStr"/>
      <c r="Q1708" s="5" t="inlineStr"/>
      <c r="R1708" s="5" t="inlineStr"/>
      <c r="S1708" s="5" t="inlineStr"/>
      <c r="T1708" s="5" t="inlineStr">
        <is>
          <t>Gözüne Uyku Girmez</t>
        </is>
      </c>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row>
    <row r="1709">
      <c r="A1709" s="5" t="inlineStr">
        <is>
          <t>k10-usta</t>
        </is>
      </c>
      <c r="B1709" s="5" t="n">
        <v>1</v>
      </c>
      <c r="C1709" s="6" t="inlineStr">
        <is>
          <t>Yeni siteye taşın, büyü</t>
        </is>
      </c>
      <c r="D1709" s="5" t="inlineStr">
        <is>
          <t>Dayanıklılık</t>
        </is>
      </c>
      <c r="E1709" s="5" t="inlineStr">
        <is>
          <t>Orta</t>
        </is>
      </c>
      <c r="F1709" s="5" t="inlineStr"/>
      <c r="G1709" s="6" t="inlineStr"/>
      <c r="H1709" s="6" t="inlineStr">
        <is>
          <t>İki katlı dükkân, üç lift, iki kalfa. Eski müşterilerin gerçekten geldi; adresi sorarak.</t>
        </is>
      </c>
      <c r="I1709" s="6" t="inlineStr">
        <is>
          <t>İlk ay sitenin en kalabalık dükkânı oldun. Yönetim girişe tabela astı: “Sesinden bulan usta burada.”</t>
        </is>
      </c>
      <c r="J1709" s="6" t="inlineStr">
        <is>
          <t>Taşındın ama müşteriler eski sanayiye gitmeye devam etti; orası artık otopark. Sitenin en küçük dükkânını aldın; yine senin.</t>
        </is>
      </c>
      <c r="K1709" s="6" t="inlineStr">
        <is>
          <t>Taşınırken takımların yarısı başka bir dükkâna gitti. O dükkânın ustası senin takımlarla çalışıyor; iyi de çalışıyor.</t>
        </is>
      </c>
      <c r="L1709" s="6" t="inlineStr"/>
      <c r="M1709" s="5" t="inlineStr"/>
      <c r="N1709" s="5" t="inlineStr"/>
      <c r="O1709" s="6" t="inlineStr"/>
      <c r="P1709" s="6" t="inlineStr"/>
      <c r="Q1709" s="5" t="inlineStr"/>
      <c r="R1709" s="5" t="inlineStr"/>
      <c r="S1709" s="5" t="inlineStr"/>
      <c r="T1709" s="5" t="inlineStr"/>
      <c r="U1709" s="5" t="inlineStr"/>
      <c r="V1709" s="5" t="inlineStr">
        <is>
          <t>usta-buyudu</t>
        </is>
      </c>
      <c r="W1709" s="5" t="inlineStr"/>
      <c r="X1709" s="5" t="inlineStr"/>
      <c r="Y1709" s="5" t="inlineStr"/>
      <c r="Z1709" s="6" t="inlineStr"/>
      <c r="AA1709" s="5" t="inlineStr"/>
      <c r="AB1709" s="5" t="inlineStr"/>
      <c r="AC1709" s="5" t="inlineStr"/>
      <c r="AD1709" s="5" t="inlineStr">
        <is>
          <t>Rahat</t>
        </is>
      </c>
      <c r="AE1709" s="5" t="inlineStr"/>
      <c r="AF1709" s="5" t="inlineStr"/>
      <c r="AG1709" s="5" t="inlineStr"/>
      <c r="AH1709" s="5" t="inlineStr"/>
      <c r="AI1709" s="5" t="inlineStr"/>
    </row>
    <row r="1710">
      <c r="A1710" s="5" t="inlineStr">
        <is>
          <t>k10-usta</t>
        </is>
      </c>
      <c r="B1710" s="5" t="n">
        <v>2</v>
      </c>
      <c r="C1710" s="6" t="inlineStr">
        <is>
          <t>Fabrikada usta başı ol</t>
        </is>
      </c>
      <c r="D1710" s="5" t="inlineStr">
        <is>
          <t>Akıl</t>
        </is>
      </c>
      <c r="E1710" s="5" t="inlineStr">
        <is>
          <t>Orta</t>
        </is>
      </c>
      <c r="F1710" s="5" t="inlineStr"/>
      <c r="G1710" s="6" t="inlineStr"/>
      <c r="H1710" s="6" t="inlineStr">
        <is>
          <t>Kepengi son kez indirdin. Fabrikada beyaz önlük, kartlı giriş, öğlen tabldot. Sesle arıza bulunca mühendisler not alıyor; maaş her ayın on beşinde.</t>
        </is>
      </c>
      <c r="I1710" s="6" t="inlineStr">
        <is>
          <t>Fabrikada ilk hafta üç arızayı sesinden buldun. Genel müdür seni üretim toplantısına çağırdı; toplantı da gürültülüydü.</t>
        </is>
      </c>
      <c r="J1710" s="6" t="inlineStr">
        <is>
          <t>Fabrikanın mülakatında makine yerine kâğıt sınav verdiler; motorun sesini kâğıda yazamadın. Yeni siteye taşındın, kendi tezgâhına.</t>
        </is>
      </c>
      <c r="K1710" s="6" t="inlineStr">
        <is>
          <t>İlk gün kartlı girişte kartını ters okuttun, turnike seni içeri almadı. Üç gün böyle geçti; dördüncü gün yeni sanayi sitesinde kendi kepengini açıyordun.</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-hat-girisimci, -hat-goc, -hat-hekim, -hat-koy, -hat-polis, -hat-politika, -hat-sohret, -hat-usta, -hat-yargi, -meslek-esnaf, -meslek-memur, -meslek-serbest, meslek-beyazyaka</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row>
    <row r="1711">
      <c r="A1711" s="5" t="inlineStr">
        <is>
          <t>k10-usta</t>
        </is>
      </c>
      <c r="B1711" s="5" t="n">
        <v>3</v>
      </c>
      <c r="C1711" s="6" t="inlineStr">
        <is>
          <t>Kendi atölye markanı kur</t>
        </is>
      </c>
      <c r="D1711" s="5" t="inlineStr">
        <is>
          <t>Cesaret</t>
        </is>
      </c>
      <c r="E1711" s="5" t="inlineStr">
        <is>
          <t>Zor</t>
        </is>
      </c>
      <c r="F1711" s="5" t="inlineStr"/>
      <c r="G1711" s="6" t="inlineStr"/>
      <c r="H1711" s="6" t="inlineStr">
        <is>
          <t>Atölyene bir ad, bir logo, tulumlara işleme. Şehirde üç şubelik bir plan yaptın; ilk şube açıldı, planın ikinci sayfası bankada.</t>
        </is>
      </c>
      <c r="I1711" s="6" t="inlineStr">
        <is>
          <t>Markan tuttu: kendi filtren, kendi takım çantan, kendi tulumun. Sanayide artık seninle değil, markanla pazarlık ediyorlar.</t>
        </is>
      </c>
      <c r="J1711" s="6" t="inlineStr">
        <is>
          <t>Tabelayı yaptırdın, sonra hesabı yaptın. Tabelayı yeni sitedeki dükkânına astın; marka orada, sen yine tezgâhın başında.</t>
        </is>
      </c>
      <c r="K1711" s="6" t="inlineStr">
        <is>
          <t>Adı tescile götürdün; biri bir hafta önce almış. Tabela depoda, sen yine tezgâhtasın; kira da iki katı.</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-hat-goc, -hat-hekim, -hat-koy, -hat-polis, -hat-politika, -hat-sohret, -hat-usta, -hat-yargi, -meslek-beyazyaka, -meslek-esnaf, -meslek-memur, hat-girisimci, meslek-serbest</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row>
    <row r="1712">
      <c r="A1712" s="5" t="inlineStr">
        <is>
          <t>b8-usta-sessiz-motor</t>
        </is>
      </c>
      <c r="B1712" s="5" t="n">
        <v>1</v>
      </c>
      <c r="C1712" s="6" t="inlineStr">
        <is>
          <t>Kalfaya bırak, kenardan izle</t>
        </is>
      </c>
      <c r="D1712" s="5" t="inlineStr"/>
      <c r="E1712" s="5" t="inlineStr"/>
      <c r="F1712" s="5" t="inlineStr">
        <is>
          <t>İtibar +1, Akıl +1</t>
        </is>
      </c>
      <c r="G1712" s="6" t="inlineStr">
        <is>
          <t>Kalfa tabletle arızayı buldu. Sen kenardan “Vidayı sağa çevir” dedin; doğruydu. Kalfa bunu kimseye söylemedi, sana da.</t>
        </is>
      </c>
      <c r="H1712" s="6" t="inlineStr"/>
      <c r="I1712" s="6" t="inlineStr"/>
      <c r="J1712" s="6" t="inlineStr"/>
      <c r="K1712" s="6" t="inlineStr"/>
      <c r="L1712" s="6" t="inlineStr"/>
      <c r="M1712" s="5" t="inlineStr"/>
      <c r="N1712" s="5" t="inlineStr"/>
      <c r="O1712" s="6" t="inlineStr"/>
      <c r="P1712" s="6" t="inlineStr"/>
      <c r="Q1712" s="5" t="inlineStr"/>
      <c r="R1712" s="5" t="inlineStr"/>
      <c r="S1712" s="5" t="inlineStr"/>
      <c r="T1712" s="5" t="inlineStr"/>
      <c r="U1712" s="5" t="inlineStr"/>
      <c r="V1712" s="5" t="inlineStr"/>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row>
    <row r="1713">
      <c r="A1713" s="5" t="inlineStr">
        <is>
          <t>b8-usta-sessiz-motor</t>
        </is>
      </c>
      <c r="B1713" s="5" t="n">
        <v>2</v>
      </c>
      <c r="C1713" s="6" t="inlineStr">
        <is>
          <t>Kursa yazıl, akşamları öğren</t>
        </is>
      </c>
      <c r="D1713" s="5" t="inlineStr">
        <is>
          <t>Akıl</t>
        </is>
      </c>
      <c r="E1713" s="5" t="inlineStr">
        <is>
          <t>Zor</t>
        </is>
      </c>
      <c r="F1713" s="5" t="inlineStr"/>
      <c r="G1713" s="6" t="inlineStr"/>
      <c r="H1713" s="6" t="inlineStr">
        <is>
          <t>Altı ay boyunca akşamları gençlerle aynı sırada oturdun. Sertifikayı dükkâna astın, gözlüğünle. Sessiz arabalar da artık seninle konuşuyor.</t>
        </is>
      </c>
      <c r="I1713" s="6" t="inlineStr">
        <is>
          <t>Hocanın cevaplayamadığı soruyu sen cevapladın: “Sessiz de olsa titrer.” Kurs seni eğitmen yaptı.</t>
        </is>
      </c>
      <c r="J1713" s="6" t="inlineStr">
        <is>
          <t>Derslerin yarısı bilgisayardaydı; şifreni unuttun. Kalan yarısını dinledin. Sertifika seneye.</t>
        </is>
      </c>
      <c r="K1713" s="6" t="inlineStr">
        <is>
          <t>Sınavda motoru dinlemek için kulağını dayadın. Gözetmen bunu kopya sandı. Yeniden kayıt: bir dönem sonra.</t>
        </is>
      </c>
      <c r="L1713" s="6" t="inlineStr"/>
      <c r="M1713" s="5" t="inlineStr"/>
      <c r="N1713" s="5" t="inlineStr"/>
      <c r="O1713" s="6" t="inlineStr"/>
      <c r="P1713" s="6" t="inlineStr"/>
      <c r="Q1713" s="5" t="inlineStr"/>
      <c r="R1713" s="5" t="inlineStr"/>
      <c r="S1713" s="5" t="inlineStr"/>
      <c r="T1713" s="5" t="inlineStr">
        <is>
          <t>Nöbet Disiplini</t>
        </is>
      </c>
      <c r="U1713" s="5" t="inlineStr"/>
      <c r="V1713" s="5" t="inlineStr">
        <is>
          <t>yeni-motor-ustasi</t>
        </is>
      </c>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row>
    <row r="1714">
      <c r="A1714" s="5" t="inlineStr">
        <is>
          <t>b8-usta-sessiz-motor</t>
        </is>
      </c>
      <c r="B1714" s="5" t="n">
        <v>3</v>
      </c>
      <c r="C1714" s="6" t="inlineStr">
        <is>
          <t>Tık sesini kendin bul</t>
        </is>
      </c>
      <c r="D1714" s="5" t="inlineStr">
        <is>
          <t>Dayanıklılık</t>
        </is>
      </c>
      <c r="E1714" s="5" t="inlineStr">
        <is>
          <t>Orta</t>
        </is>
      </c>
      <c r="F1714" s="5" t="inlineStr"/>
      <c r="G1714" s="6" t="inlineStr"/>
      <c r="H1714" s="6" t="inlineStr">
        <is>
          <t>Arabanın altında iki saat yattın. Tıkı buldun: torpidoda bir anahtarlık. Sahibi utandı, sen işçiliği yazdın.</t>
        </is>
      </c>
      <c r="I1714" s="6" t="inlineStr">
        <is>
          <t>Tıkı buldun, bir de gerçek arızayı: fren hortumu. Sahibi seni bütün elektrikli araç grubuna önerdi. Sessiz arabalar sessizce sırada.</t>
        </is>
      </c>
      <c r="J1714" s="6" t="inlineStr">
        <is>
          <t>Üç saat aradın, tık gelmedi. Sahibi arabayı aldı; kapıdan çıkarken tık etti.</t>
        </is>
      </c>
      <c r="K1714" s="6" t="inlineStr">
        <is>
          <t>Arabanın altındayken sırtın tutuldu. Arabayı sahibi, seni kalfa çıkardı. Kalfa bunu hâlâ anlatıyor.</t>
        </is>
      </c>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row>
    <row r="1715">
      <c r="A1715" s="5" t="inlineStr">
        <is>
          <t>b8-usta-ustalarin-ustasi</t>
        </is>
      </c>
      <c r="B1715" s="5" t="n">
        <v>1</v>
      </c>
      <c r="C1715" s="6" t="inlineStr">
        <is>
          <t>Kurdeleyi kes, kısa konuş</t>
        </is>
      </c>
      <c r="D1715" s="5" t="inlineStr"/>
      <c r="E1715" s="5" t="inlineStr"/>
      <c r="F1715" s="5" t="inlineStr">
        <is>
          <t>İtibar +1, Sosyal Radar +1</t>
        </is>
      </c>
      <c r="G1715" s="6" t="inlineStr">
        <is>
          <t>Kurdeleyi kestin, tek cümle söyledin: “Bol kazançlar; önce dükkânın önünü süpür.” Alkış aldın. Ertesi sabah kapının önünü süpürürken çektiği fotoğrafı sana yolladı.</t>
        </is>
      </c>
      <c r="H1715" s="6" t="inlineStr"/>
      <c r="I1715" s="6" t="inlineStr"/>
      <c r="J1715" s="6" t="inlineStr"/>
      <c r="K1715" s="6" t="inlineStr"/>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row>
    <row r="1716">
      <c r="A1716" s="5" t="inlineStr">
        <is>
          <t>b8-usta-ustalarin-ustasi</t>
        </is>
      </c>
      <c r="B1716" s="5" t="n">
        <v>2</v>
      </c>
      <c r="C1716" s="6" t="inlineStr">
        <is>
          <t>İlk müşterinin arabasını birlikte tamir edin</t>
        </is>
      </c>
      <c r="D1716" s="5" t="inlineStr">
        <is>
          <t>Akıl</t>
        </is>
      </c>
      <c r="E1716" s="5" t="inlineStr">
        <is>
          <t>Orta</t>
        </is>
      </c>
      <c r="F1716" s="5" t="inlineStr"/>
      <c r="G1716" s="6" t="inlineStr"/>
      <c r="H1716" s="6" t="inlineStr">
        <is>
          <t>Kaputu birlikte açtınız, aynı anda “Triger” dediniz. Çırak siftah parasını öpüp alnına koydu, sonra yarısını sana uzattı: “Senin hakkın, usta.”</t>
        </is>
      </c>
      <c r="I1716" s="6" t="inlineStr">
        <is>
          <t>Tamiri birlikte yaptınız, sanayi toplanıp izledi. Akşama bir genç geldi: “Ustanın ustası sen misin?” Çırak olmak istiyor.</t>
        </is>
      </c>
      <c r="J1716" s="6" t="inlineStr">
        <is>
          <t>Kaputu birlikte açtınız, farklı şeyler dediniz. İkiniz de haklıydınız; müşteri ikinize de kızdı.</t>
        </is>
      </c>
      <c r="K1716" s="6" t="inlineStr">
        <is>
          <t>Tamir sırasında tezgâhta kendi makasını gördün, geri istedin. Açılış bir makas pazarlığına döndü.</t>
        </is>
      </c>
      <c r="L1716" s="6" t="inlineStr"/>
      <c r="M1716" s="5" t="inlineStr"/>
      <c r="N1716" s="5" t="inlineStr"/>
      <c r="O1716" s="6" t="inlineStr"/>
      <c r="P1716" s="6" t="inlineStr"/>
      <c r="Q1716" s="5" t="inlineStr"/>
      <c r="R1716" s="5" t="inlineStr"/>
      <c r="S1716" s="5" t="inlineStr"/>
      <c r="T1716" s="5" t="inlineStr"/>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row>
    <row r="1717">
      <c r="A1717" s="5" t="inlineStr">
        <is>
          <t>b8-usta-ustalarin-ustasi</t>
        </is>
      </c>
      <c r="B1717" s="5" t="n">
        <v>3</v>
      </c>
      <c r="C1717" s="6" t="inlineStr">
        <is>
          <t>Sanayide çıraklar için okul kur</t>
        </is>
      </c>
      <c r="D1717" s="5" t="inlineStr">
        <is>
          <t>Dayanıklılık</t>
        </is>
      </c>
      <c r="E1717" s="5" t="inlineStr">
        <is>
          <t>Zor</t>
        </is>
      </c>
      <c r="F1717" s="5" t="inlineStr"/>
      <c r="G1717" s="6" t="inlineStr"/>
      <c r="H1717" s="6" t="inlineStr">
        <is>
          <t>Boş bir dükkânı sınıfa çevirdin. Her cumartesi on iki çırak, bir motor, bir çaydanlık. Gençler ilk kez telefonlarını kapıda bırakıyor.</t>
        </is>
      </c>
      <c r="I1717" s="6" t="inlineStr">
        <is>
          <t>Belediye okulu tanıdı, kapıya tabela astı: “Usta Okulu.” Mezuniyette her çırağa bir anahtar takımı verdin. İçlerinden biri takımı göğsüne bastırdı: “Babam bile bana alet vermemişti.”</t>
        </is>
      </c>
      <c r="J1717" s="6" t="inlineStr">
        <is>
          <t>Okulu açtın, çıraklar geldi, ustalar gelmedi. Bütün dersleri sen verdin; cumartesi akşamı sesin kısıldı.</t>
        </is>
      </c>
      <c r="K1717" s="6" t="inlineStr">
        <is>
          <t>İlk derste motoru çalıştırdın; motor öksürdü, sonra sınıfı dumana boğdu. İtfaiye geldi. Çıraklar okulun ilk dersini itfaiyeciden aldı: yangın tüpü nasıl kullanılır.</t>
        </is>
      </c>
      <c r="L1717" s="6" t="inlineStr"/>
      <c r="M1717" s="5" t="inlineStr"/>
      <c r="N1717" s="5" t="inlineStr"/>
      <c r="O1717" s="6" t="inlineStr"/>
      <c r="P1717" s="6" t="inlineStr"/>
      <c r="Q1717" s="5" t="inlineStr"/>
      <c r="R1717" s="5" t="inlineStr"/>
      <c r="S1717" s="5" t="inlineStr"/>
      <c r="T1717" s="5" t="inlineStr">
        <is>
          <t>Selamı Var</t>
        </is>
      </c>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row>
    <row r="1718">
      <c r="A1718" s="5" t="inlineStr">
        <is>
          <t>b9-usta-son-kepenk</t>
        </is>
      </c>
      <c r="B1718" s="5" t="n">
        <v>1</v>
      </c>
      <c r="C1718" s="6" t="inlineStr">
        <is>
          <t>Dükkânı kalfana devret, anahtarı ver</t>
        </is>
      </c>
      <c r="D1718" s="5" t="inlineStr"/>
      <c r="E1718" s="5" t="inlineStr"/>
      <c r="F1718" s="5" t="inlineStr">
        <is>
          <t>İtibar +1</t>
        </is>
      </c>
      <c r="G1718" s="6" t="inlineStr">
        <is>
          <t>Anahtarı verdin, tabelayı bıraktın. Kalfa altına küçük bir satır ekledi: “Kurucusu her salı gelir.” Her salı gidiyorsun; perşembeleri de.</t>
        </is>
      </c>
      <c r="H1718" s="6" t="inlineStr"/>
      <c r="I1718" s="6" t="inlineStr"/>
      <c r="J1718" s="6" t="inlineStr"/>
      <c r="K1718" s="6" t="inlineStr"/>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row>
    <row r="1719">
      <c r="A1719" s="5" t="inlineStr">
        <is>
          <t>b9-usta-son-kepenk</t>
        </is>
      </c>
      <c r="B1719" s="5" t="n">
        <v>2</v>
      </c>
      <c r="C1719" s="6" t="inlineStr">
        <is>
          <t>Telefonda teşhise devam et, ücretini iste</t>
        </is>
      </c>
      <c r="D1719" s="5" t="inlineStr">
        <is>
          <t>Kurnazlık</t>
        </is>
      </c>
      <c r="E1719" s="5" t="inlineStr">
        <is>
          <t>Orta</t>
        </is>
      </c>
      <c r="F1719" s="5" t="inlineStr"/>
      <c r="G1719" s="6" t="inlineStr"/>
      <c r="H1719" s="6" t="inlineStr">
        <is>
          <t>Arama başına küçük bir ücret koydun. Arayanlar azalmadı; havale açıklamasına sesi yazıyorlar: “Tık tık vıyyy.”</t>
        </is>
      </c>
      <c r="I1719" s="6" t="inlineStr">
        <is>
          <t>Telefon hattın sanayide bir kurum oldu. Genç ustalar zor vakaları sana bağlıyor; emekli maaşından fazla kazanıyorsun, oturarak.</t>
        </is>
      </c>
      <c r="J1719" s="6" t="inlineStr">
        <is>
          <t>Ücret koydun; arayanlar kalfayı aramaya başladı. Kalfa da seni arıyor; ücretsiz.</t>
        </is>
      </c>
      <c r="K1719" s="6" t="inlineStr">
        <is>
          <t>Telefondaki sese 'Şanzıman' dedin. Müşteri arabayı çekiciyle sanayiye getirdi; ses torpidodaki şarj aletiymiş. Sanayi bu olayı bir yıl, senin sesini taklit ederek anlattı.</t>
        </is>
      </c>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row>
    <row r="1720">
      <c r="A1720" s="5" t="inlineStr">
        <is>
          <t>b9-usta-son-kepenk</t>
        </is>
      </c>
      <c r="B1720" s="5" t="n">
        <v>3</v>
      </c>
      <c r="C1720" s="6" t="inlineStr">
        <is>
          <t>Son bir motoru baştan sona kendin topla</t>
        </is>
      </c>
      <c r="D1720" s="5" t="inlineStr">
        <is>
          <t>Dayanıklılık</t>
        </is>
      </c>
      <c r="E1720" s="5" t="inlineStr">
        <is>
          <t>Zor</t>
        </is>
      </c>
      <c r="F1720" s="5" t="inlineStr"/>
      <c r="G1720" s="6" t="inlineStr"/>
      <c r="H1720" s="6" t="inlineStr">
        <is>
          <t>Otuz yıllık bir motoru kış boyu parça parça topladın. İlk marşta çalıştı. Sanayi kepenklerini açıp dinledi; kimse konuşmadı.</t>
        </is>
      </c>
      <c r="I1720" s="6" t="inlineStr">
        <is>
          <t>Motor çalıştığında eski çırakların hepsi oradaydı. Motoru sitenin girişine koydular, altına adını yazdılar; yanlışsız.</t>
        </is>
      </c>
      <c r="J1720" s="6" t="inlineStr">
        <is>
          <t>Motoru topladın, bir vida arttı. Motor çalışıyor ama vida seni rahatsız ediyor. Vidayı cebinde taşıyorsun.</t>
        </is>
      </c>
      <c r="K1720" s="6" t="inlineStr">
        <is>
          <t>Motor ilk marşta çalıştı, ikincide dükkânın sigortasını attırdı, üçüncüde bütün sitenin. Sanayi seni emekliliğe karanlıkta uğurladı.</t>
        </is>
      </c>
      <c r="L1720" s="6" t="inlineStr"/>
      <c r="M1720" s="5" t="inlineStr"/>
      <c r="N1720" s="5" t="inlineStr"/>
      <c r="O1720" s="6" t="inlineStr"/>
      <c r="P1720" s="6" t="inlineStr"/>
      <c r="Q1720" s="5" t="inlineStr"/>
      <c r="R1720" s="5" t="inlineStr"/>
      <c r="S1720" s="5" t="inlineStr"/>
      <c r="T1720" s="5" t="inlineStr"/>
      <c r="U1720" s="5" t="inlineStr"/>
      <c r="V1720" s="5" t="inlineStr">
        <is>
          <t>son-motor</t>
        </is>
      </c>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row>
    <row r="1721">
      <c r="A1721" s="5" t="inlineStr">
        <is>
          <t>b7-kiz-isteme</t>
        </is>
      </c>
      <c r="B1721" s="5" t="n">
        <v>1</v>
      </c>
      <c r="C1721" s="6" t="inlineStr">
        <is>
          <t>Tuzlu kahveyi iç, gülümse</t>
        </is>
      </c>
      <c r="D1721" s="5" t="inlineStr"/>
      <c r="E1721" s="5" t="inlineStr"/>
      <c r="F1721" s="5" t="inlineStr">
        <is>
          <t>Dayanıklılık +1, Gönül +1</t>
        </is>
      </c>
      <c r="G1721" s="6" t="inlineStr">
        <is>
          <t>Kahveyi son yudumuna kadar içtin ve gülümsedin. Kayınpederin “Bu çocuk dayanır” dedi. Dilin iki gün tuz tattı.</t>
        </is>
      </c>
      <c r="H1721" s="6" t="inlineStr"/>
      <c r="I1721" s="6" t="inlineStr"/>
      <c r="J1721" s="6" t="inlineStr"/>
      <c r="K1721" s="6" t="inlineStr"/>
      <c r="L1721" s="6" t="inlineStr"/>
      <c r="M1721" s="5" t="inlineStr"/>
      <c r="N1721" s="5" t="inlineStr"/>
      <c r="O1721" s="6" t="inlineStr"/>
      <c r="P1721" s="6" t="inlineStr"/>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row>
    <row r="1722">
      <c r="A1722" s="5" t="inlineStr">
        <is>
          <t>b7-kiz-isteme</t>
        </is>
      </c>
      <c r="B1722" s="5" t="n">
        <v>2</v>
      </c>
      <c r="C1722" s="6" t="inlineStr">
        <is>
          <t>Kahveyi “Tam kıvamında” diye öv</t>
        </is>
      </c>
      <c r="D1722" s="5" t="inlineStr">
        <is>
          <t>Pişkinlik</t>
        </is>
      </c>
      <c r="E1722" s="5" t="inlineStr">
        <is>
          <t>Orta</t>
        </is>
      </c>
      <c r="F1722" s="5" t="inlineStr"/>
      <c r="G1722" s="6" t="inlineStr"/>
      <c r="H1722" s="6" t="inlineStr">
        <is>
          <t>“Tam kıvamında” dedin ve bir yudum daha aldın. Salon güldü, müstakbel eşin utandı, kayınvalide not aldı: “Yalan söylerken gözünü kırpmıyor.”</t>
        </is>
      </c>
      <c r="I1722" s="6" t="inlineStr">
        <is>
          <t>Kahveyi öyle övdün ki kayınvalide tarifini istedi. Tarif tek kelimeydi: tuz. İki aile ilk kez aynı anda güldü.</t>
        </is>
      </c>
      <c r="J1722" s="6" t="inlineStr">
        <is>
          <t>“Tam kıvamında” derken yüzün başka bir şey söyledi. Herkes yüzüne inandı.</t>
        </is>
      </c>
      <c r="K1722" s="6" t="inlineStr">
        <is>
          <t>Övgünün ortasında öksürdün; kahve halıya fıskiye gibi püskürdü. Halı çeyizdi. Leke çıktı, ad çıkmadı.</t>
        </is>
      </c>
      <c r="L1722" s="6" t="inlineStr">
        <is>
          <t>“Tam kıvamında” dedin; sol kaşın bir an kalktı. Kayınvalide kaşı gördü, kimseye söylemedi; şimdilik.</t>
        </is>
      </c>
      <c r="M1722" s="5" t="inlineStr">
        <is>
          <t>poker</t>
        </is>
      </c>
      <c r="N1722" s="5" t="inlineStr">
        <is>
          <t>Tuzlu Yüz</t>
        </is>
      </c>
      <c r="O1722" s="6" t="inlineStr">
        <is>
          <t>Kahve tuzlu, salon sana bakıyor. Parmağını dairenin içinde tut; yüzün kıpırdamasın.</t>
        </is>
      </c>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is>
          <t>Fıskiye</t>
        </is>
      </c>
    </row>
    <row r="1723">
      <c r="A1723" s="5" t="inlineStr">
        <is>
          <t>b7-kiz-isteme</t>
        </is>
      </c>
      <c r="B1723" s="5" t="n">
        <v>3</v>
      </c>
      <c r="C1723" s="6" t="inlineStr">
        <is>
          <t>Konuşmayı sen yap, babanı kurtar</t>
        </is>
      </c>
      <c r="D1723" s="5" t="inlineStr">
        <is>
          <t>Çene</t>
        </is>
      </c>
      <c r="E1723" s="5" t="inlineStr">
        <is>
          <t>Orta</t>
        </is>
      </c>
      <c r="F1723" s="5" t="inlineStr"/>
      <c r="G1723" s="6" t="inlineStr"/>
      <c r="H1723" s="6" t="inlineStr">
        <is>
          <t>Baban cümleye başlarken tıkandı; sen tamamladın. Geleneksel kısmı ona bıraktın, gerisini sen söyledin. “Verdik” dediler; baban “Ben de onu diyecektim” dedi.</t>
        </is>
      </c>
      <c r="I1723" s="6" t="inlineStr">
        <is>
          <t>Konuşman o kadar iyiydi ki kayınpeder söz kesmeyi hemen oracıkta yapmak istedi. Yüzükler cebindeydi; annen her ihtimale karşı getirmiş.</t>
        </is>
      </c>
      <c r="J1723" s="6" t="inlineStr">
        <is>
          <t>Konuşmaya başladın, baban da başladı; ikiniz aynı anda sustunuz. Kayınpeder “Siz bir karar verin, sonra gelin” dedi.</t>
        </is>
      </c>
      <c r="K1723" s="6" t="inlineStr">
        <is>
          <t>Heyecandan konuşmayı iş görüşmesine çevirdin: “Beş yıl sonra kendimi bu ailenin içinde görüyorum.” Kayınpeder “Maaş beklentin?” diye sordu. Baban cevap verdi; daha kötüsü, rakam söyledi.</t>
        </is>
      </c>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row>
    <row r="1724">
      <c r="A1724" s="5" t="inlineStr">
        <is>
          <t>b7-gorucu-kahve</t>
        </is>
      </c>
      <c r="B1724" s="5" t="n">
        <v>1</v>
      </c>
      <c r="C1724" s="6" t="inlineStr">
        <is>
          <t>Havadan sudan konuş</t>
        </is>
      </c>
      <c r="D1724" s="5" t="inlineStr"/>
      <c r="E1724" s="5" t="inlineStr"/>
      <c r="F1724" s="5" t="inlineStr">
        <is>
          <t>Sosyal Radar +1, Gönül +1</t>
        </is>
      </c>
      <c r="G1724" s="6" t="inlineStr">
        <is>
          <t>Hava durumundan başladınız, kira fiyatlarına geçtiniz, ikinizin de annesine güldünüz. Kahve soğudu; muhabbet soğumadı.</t>
        </is>
      </c>
      <c r="H1724" s="6" t="inlineStr"/>
      <c r="I1724" s="6" t="inlineStr"/>
      <c r="J1724" s="6" t="inlineStr"/>
      <c r="K1724" s="6" t="inlineStr"/>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row>
    <row r="1725">
      <c r="A1725" s="5" t="inlineStr">
        <is>
          <t>b7-gorucu-kahve</t>
        </is>
      </c>
      <c r="B1725" s="5" t="n">
        <v>2</v>
      </c>
      <c r="C1725" s="6" t="inlineStr">
        <is>
          <t>Annelere el salla</t>
        </is>
      </c>
      <c r="D1725" s="5" t="inlineStr">
        <is>
          <t>Pişkinlik</t>
        </is>
      </c>
      <c r="E1725" s="5" t="inlineStr">
        <is>
          <t>Kolay</t>
        </is>
      </c>
      <c r="F1725" s="5" t="inlineStr"/>
      <c r="G1725" s="6" t="inlineStr"/>
      <c r="H1725" s="6" t="inlineStr">
        <is>
          <t>Döndün, iki anneye el salladın. Anneler gazeteyi indirdi, kıkırdadı, sonra yine kaldırdı; bu sefer düz. Karşındaki ilk kez gerçekten güldü.</t>
        </is>
      </c>
      <c r="I1725" s="6" t="inlineStr">
        <is>
          <t>Anneleri masanıza davet ettin. Dört kişilik bir kahve oldu; ikinci buluşmayı anneler ayarladı, üçüncüyü siz.</t>
        </is>
      </c>
      <c r="J1725" s="6" t="inlineStr">
        <is>
          <t>El salladın; anneler görmezden geldi. Gazetenin arkasından “Otur yerine” fısıltısı duyuldu.</t>
        </is>
      </c>
      <c r="K1725" s="6" t="inlineStr">
        <is>
          <t>El sallarken çay bardağını devirdin; çay karşındakinin kucağına gitti. Anneler gazeteyi bıraktı, peçete getirdi, ikinci buluşmayı iptal etti.</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row>
    <row r="1726">
      <c r="A1726" s="5" t="inlineStr">
        <is>
          <t>b7-gorucu-kahve</t>
        </is>
      </c>
      <c r="B1726" s="5" t="n">
        <v>3</v>
      </c>
      <c r="C1726" s="6" t="inlineStr">
        <is>
          <t>Dürüstçe “Ben de istemeden geldim” de</t>
        </is>
      </c>
      <c r="D1726" s="5" t="inlineStr">
        <is>
          <t>Cesaret</t>
        </is>
      </c>
      <c r="E1726" s="5" t="inlineStr">
        <is>
          <t>Orta</t>
        </is>
      </c>
      <c r="F1726" s="5" t="inlineStr"/>
      <c r="G1726" s="6" t="inlineStr"/>
      <c r="H1726" s="6" t="inlineStr">
        <is>
          <t>“Ben de” dedi. İkiniz de istemeden gelmişsiniz; ikiniz de şimdi istemeden kalmak istiyorsunuz.</t>
        </is>
      </c>
      <c r="I1726" s="6" t="inlineStr">
        <is>
          <t>Dürüstlüğün öyle iyi geldi ki sohbet üç saat sürdü. Anneler sıkılıp eve gitti; siz fark etmediniz.</t>
        </is>
      </c>
      <c r="J1726" s="6" t="inlineStr">
        <is>
          <t>“Ben istemeden gelmedim” dedi. Kahvenin geri kalanı çok uzun sürdü.</t>
        </is>
      </c>
      <c r="K1726" s="6" t="inlineStr">
        <is>
          <t>Cümleyi söylediğin an iki anne aynı anda arkanda belirdi. Gazete ellerindeydi; düz tutuyorlardı.</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row>
    <row r="1727">
      <c r="A1727" s="5" t="inlineStr">
        <is>
          <t>b7-capkin-rezervasyon</t>
        </is>
      </c>
      <c r="B1727" s="5" t="n">
        <v>1</v>
      </c>
      <c r="C1727" s="6" t="inlineStr">
        <is>
          <t>Hepsine dürüst ol, tek tek bitir</t>
        </is>
      </c>
      <c r="D1727" s="5" t="inlineStr"/>
      <c r="E1727" s="5" t="inlineStr"/>
      <c r="F1727" s="5" t="inlineStr">
        <is>
          <t>İtibar +2</t>
        </is>
      </c>
      <c r="G1727" s="6" t="inlineStr">
        <is>
          <t>Üç ayrı kahve, üç ayrı veda. İkisi rahatladı, biri tebrik etti. Garson sana ücretsiz tatlı getirdi: “Bu kahramanlık.”</t>
        </is>
      </c>
      <c r="H1727" s="6" t="inlineStr"/>
      <c r="I1727" s="6" t="inlineStr"/>
      <c r="J1727" s="6" t="inlineStr"/>
      <c r="K1727" s="6" t="inlineStr"/>
      <c r="L1727" s="6" t="inlineStr"/>
      <c r="M1727" s="5" t="inlineStr"/>
      <c r="N1727" s="5" t="inlineStr"/>
      <c r="O1727" s="6" t="inlineStr"/>
      <c r="P1727" s="6" t="inlineStr"/>
      <c r="Q1727" s="5" t="inlineStr"/>
      <c r="R1727" s="5" t="inlineStr"/>
      <c r="S1727" s="5" t="inlineStr"/>
      <c r="T1727" s="5" t="inlineStr"/>
      <c r="U1727" s="5" t="inlineStr">
        <is>
          <t>-capkin, bekar</t>
        </is>
      </c>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row>
    <row r="1728">
      <c r="A1728" s="5" t="inlineStr">
        <is>
          <t>b7-capkin-rezervasyon</t>
        </is>
      </c>
      <c r="B1728" s="5" t="n">
        <v>2</v>
      </c>
      <c r="C1728" s="6" t="inlineStr">
        <is>
          <t>Masayı çabucak değiştir</t>
        </is>
      </c>
      <c r="D1728" s="5" t="inlineStr">
        <is>
          <t>Kurnazlık</t>
        </is>
      </c>
      <c r="E1728" s="5" t="inlineStr">
        <is>
          <t>Zor</t>
        </is>
      </c>
      <c r="F1728" s="5" t="inlineStr"/>
      <c r="G1728" s="6" t="inlineStr"/>
      <c r="H1728" s="6" t="inlineStr">
        <is>
          <t>Garsonla göz göze geldiniz; masa iki saniyede değişti, mum yeniden yandı, menü yeniden geldi. Kimse bir şey anlamadı; garson bahşişi anladı.</t>
        </is>
      </c>
      <c r="I1728" s="6" t="inlineStr">
        <is>
          <t>Öyle ustaca geçtin ki ikinci akşamın kişisi de aynı restorana başkasıyla gelmişti; iki masa arasında iki saat idare ettin.</t>
        </is>
      </c>
      <c r="J1728" s="6" t="inlineStr">
        <is>
          <t>Masa değişti ama ceket eski masada kaldı. Ceketin cebinde bir fatura var; faturada iki tatlı yazıyor.</t>
        </is>
      </c>
      <c r="K1728" s="6" t="inlineStr">
        <is>
          <t>Masayı değiştirirken iki masadaki kişiler tanıştı. Şimdi arkadaşlar; tek ortak konuları sen.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row>
    <row r="1729">
      <c r="A1729" s="5" t="inlineStr">
        <is>
          <t>b7-capkin-rezervasyon</t>
        </is>
      </c>
      <c r="B1729" s="5" t="n">
        <v>3</v>
      </c>
      <c r="C1729" s="6" t="inlineStr">
        <is>
          <t>Erken geleni bara al, oyala</t>
        </is>
      </c>
      <c r="D1729" s="5" t="inlineStr">
        <is>
          <t>Çene</t>
        </is>
      </c>
      <c r="E1729" s="5" t="inlineStr">
        <is>
          <t>Orta</t>
        </is>
      </c>
      <c r="F1729" s="5" t="inlineStr"/>
      <c r="G1729" s="6" t="inlineStr"/>
      <c r="H1729" s="6" t="inlineStr">
        <is>
          <t>Barda on dakika hava durumundan konuştun, sonra diğer masayı nazikçe bitirdin. Akşam tek kişilik devam etti; hesabı ikiye böldünüz.</t>
        </is>
      </c>
      <c r="I1729" s="6" t="inlineStr">
        <is>
          <t>Sohbet öyle iyi gitti ki diğer masaya gitmeyi unuttun. Belki de aradığın buymuş.</t>
        </is>
      </c>
      <c r="J1729" s="6" t="inlineStr">
        <is>
          <t>Barda konuşurken diğer masadaki kişi seni gördü ve sana el salladı. Sen de salladın; alışkanlık.</t>
        </is>
      </c>
      <c r="K1729" s="6" t="inlineStr">
        <is>
          <t>Bardaki kişi, diğer masadakinin kuzeni çıktı. Aile grubunda bir fotoğraf dolaşıyor; iyi çıkmışsın.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row>
    <row r="1730">
      <c r="A1730" s="5" t="inlineStr">
        <is>
          <t>b8-capkin-orta-yas</t>
        </is>
      </c>
      <c r="B1730" s="5" t="n">
        <v>1</v>
      </c>
      <c r="C1730" s="6" t="inlineStr">
        <is>
          <t>Hesabı öde, kalk, eve git</t>
        </is>
      </c>
      <c r="D1730" s="5" t="inlineStr"/>
      <c r="E1730" s="5" t="inlineStr"/>
      <c r="F1730" s="5" t="inlineStr">
        <is>
          <t>İtibar +1, Dayanıklılık +1</t>
        </is>
      </c>
      <c r="G1730" s="6" t="inlineStr">
        <is>
          <t>Kalktın, hesabı ödedin, eve yürüdün. Yolda ilk kez bir restoranın önünden içeri bakmadan geçtin.</t>
        </is>
      </c>
      <c r="H1730" s="6" t="inlineStr"/>
      <c r="I1730" s="6" t="inlineStr"/>
      <c r="J1730" s="6" t="inlineStr"/>
      <c r="K1730" s="6" t="inlineStr"/>
      <c r="L1730" s="6" t="inlineStr"/>
      <c r="M1730" s="5" t="inlineStr"/>
      <c r="N1730" s="5" t="inlineStr"/>
      <c r="O1730" s="6" t="inlineStr"/>
      <c r="P1730" s="6" t="inlineStr"/>
      <c r="Q1730" s="5" t="inlineStr"/>
      <c r="R1730" s="5" t="inlineStr"/>
      <c r="S1730" s="5" t="inlineStr"/>
      <c r="T1730" s="5" t="inlineStr"/>
      <c r="U1730" s="5" t="inlineStr"/>
      <c r="V1730" s="5" t="inlineStr"/>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row>
    <row r="1731">
      <c r="A1731" s="5" t="inlineStr">
        <is>
          <t>b8-capkin-orta-yas</t>
        </is>
      </c>
      <c r="B1731" s="5" t="n">
        <v>2</v>
      </c>
      <c r="C1731" s="6" t="inlineStr">
        <is>
          <t>Durulmayı dene: tek birine teklif et</t>
        </is>
      </c>
      <c r="D1731" s="5" t="inlineStr">
        <is>
          <t>Gönül</t>
        </is>
      </c>
      <c r="E1731" s="5" t="inlineStr">
        <is>
          <t>Zor</t>
        </is>
      </c>
      <c r="F1731" s="5" t="inlineStr"/>
      <c r="G1731" s="6" t="inlineStr"/>
      <c r="H1731" s="6" t="inlineStr">
        <is>
          <t>Kırk dört yaşında ilk kez tek birine “Gel, bir ömür deneyelim” dedin. “Nihayet” dedi; bekliyormuş.</t>
        </is>
      </c>
      <c r="I1731" s="6" t="inlineStr">
        <is>
          <t>Teklifin öyle samimiydi ki düğüne eski buluşmalarının yarısı geldi. Takı sırasında kimse kimseye bakamadı; herkes güldü.</t>
        </is>
      </c>
      <c r="J1731" s="6" t="inlineStr">
        <is>
          <t>Teklif ettin; “Seni tanıyorum” dedi. Bu cümle hem bir cevap hem bir özetti.</t>
        </is>
      </c>
      <c r="K1731" s="6" t="inlineStr">
        <is>
          <t>Tam “Bir ömür deneyelim” dedin ki yan masadan bir ses geldi: “Bana da aynı cümleyi kurmuştun.” Eski bir buluşman. Karşındaki kişi peçetesini katladı, kalktı, hesabı sana bıraktı.</t>
        </is>
      </c>
      <c r="L1731" s="6" t="inlineStr"/>
      <c r="M1731" s="5" t="inlineStr"/>
      <c r="N1731" s="5" t="inlineStr"/>
      <c r="O1731" s="6" t="inlineStr"/>
      <c r="P1731" s="6" t="inlineStr"/>
      <c r="Q1731" s="5" t="inlineStr"/>
      <c r="R1731" s="5" t="inlineStr"/>
      <c r="S1731" s="5" t="inlineStr"/>
      <c r="T1731" s="5" t="inlineStr"/>
      <c r="U1731" s="5" t="inlineStr"/>
      <c r="V1731" s="5" t="inlineStr">
        <is>
          <t>evli, -capkin</t>
        </is>
      </c>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row>
    <row r="1732">
      <c r="A1732" s="5" t="inlineStr">
        <is>
          <t>b8-capkin-orta-yas</t>
        </is>
      </c>
      <c r="B1732" s="5" t="n">
        <v>3</v>
      </c>
      <c r="C1732" s="6" t="inlineStr">
        <is>
          <t>Genç garsona usta dersi ver</t>
        </is>
      </c>
      <c r="D1732" s="5" t="inlineStr">
        <is>
          <t>Pişkinlik</t>
        </is>
      </c>
      <c r="E1732" s="5" t="inlineStr">
        <is>
          <t>Orta</t>
        </is>
      </c>
      <c r="F1732" s="5" t="inlineStr"/>
      <c r="G1732" s="6" t="inlineStr"/>
      <c r="H1732" s="6" t="inlineStr">
        <is>
          <t>Garsona masa değiştirmenin inceliklerini anlattın. Not aldı. Bir efsane böyle devrediliyor.</t>
        </is>
      </c>
      <c r="I1732" s="6" t="inlineStr">
        <is>
          <t>Garson o kadar etkilendi ki restoran masanın üstüne küçük bir plaket astı. Adın yok; tarih var.</t>
        </is>
      </c>
      <c r="J1732" s="6" t="inlineStr">
        <is>
          <t>Garson seni dinledi, sonra “Abi, sizin zamanınızda kolaymış” dedi. Kırk dört yaşın o cümlede.</t>
        </is>
      </c>
      <c r="K1732" s="6" t="inlineStr">
        <is>
          <t>Ders verirken arkadan eski bir buluşman selam verdi. Garson dersin uygulamasını canlı izledi.</t>
        </is>
      </c>
      <c r="L1732" s="6" t="inlineStr"/>
      <c r="M1732" s="5" t="inlineStr"/>
      <c r="N1732" s="5" t="inlineStr"/>
      <c r="O1732" s="6" t="inlineStr"/>
      <c r="P1732" s="6" t="inlineStr"/>
      <c r="Q1732" s="5" t="inlineStr"/>
      <c r="R1732" s="5" t="inlineStr"/>
      <c r="S1732" s="5" t="inlineStr"/>
      <c r="T1732" s="5" t="inlineStr"/>
      <c r="U1732" s="5" t="inlineStr"/>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row>
    <row r="1733">
      <c r="A1733" s="5" t="inlineStr">
        <is>
          <t>b7-evin-oglu</t>
        </is>
      </c>
      <c r="B1733" s="5" t="n">
        <v>1</v>
      </c>
      <c r="C1733" s="6" t="inlineStr">
        <is>
          <t>Durumu kabullen, annenin sofrasına otur</t>
        </is>
      </c>
      <c r="D1733" s="5" t="inlineStr"/>
      <c r="E1733" s="5" t="inlineStr"/>
      <c r="F1733" s="5" t="inlineStr">
        <is>
          <t>Dayanıklılık +1, Gönül +1</t>
        </is>
      </c>
      <c r="G1733" s="6" t="inlineStr">
        <is>
          <t>Sofraya oturdun. Annen sana hâlâ “Üşüme” diyor; kırk derecede. Ev sıcak, yemek sıcak, soru yok. Soru sadece bayramlarda.</t>
        </is>
      </c>
      <c r="H1733" s="6" t="inlineStr"/>
      <c r="I1733" s="6" t="inlineStr"/>
      <c r="J1733" s="6" t="inlineStr"/>
      <c r="K1733" s="6" t="inlineStr"/>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row>
    <row r="1734">
      <c r="A1734" s="5" t="inlineStr">
        <is>
          <t>b7-evin-oglu</t>
        </is>
      </c>
      <c r="B1734" s="5" t="n">
        <v>2</v>
      </c>
      <c r="C1734" s="6" t="inlineStr">
        <is>
          <t>Annenle yetişkin sözleşmesi yap</t>
        </is>
      </c>
      <c r="D1734" s="5" t="inlineStr">
        <is>
          <t>Çene</t>
        </is>
      </c>
      <c r="E1734" s="5" t="inlineStr">
        <is>
          <t>Orta</t>
        </is>
      </c>
      <c r="F1734" s="5" t="inlineStr"/>
      <c r="G1734" s="6" t="inlineStr"/>
      <c r="H1734" s="6" t="inlineStr">
        <is>
          <t>Mutfak masasında bir sözleşme imzaladınız: çamaşır senin, yemek onun, soru saat dokuzdan sonra yok. Annen sözleşmeyi buzdolabına astı.</t>
        </is>
      </c>
      <c r="I1734" s="6" t="inlineStr">
        <is>
          <t>Sözleşme öyle adil oldu ki baban da imzalamak istedi. Evde ilk kez kimse kimseye “Nereye?” demiyor.</t>
        </is>
      </c>
      <c r="J1734" s="6" t="inlineStr">
        <is>
          <t>Sözleşmeyi okudu, “Güzel yazmışsın” dedi ve çekmeceye koydu. Çekmecede senin ilkokul karnen de var.</t>
        </is>
      </c>
      <c r="K1734" s="6" t="inlineStr">
        <is>
          <t>İlk maddeyi okudun: “Odama kapı çalınarak girilir.” Annen kapıyı çaldı, girdi, “Oldu mu?” dedi, kirli çamaşırlarını alıp çıktı. Sözleşme o akşam sarmanın altına serildi.</t>
        </is>
      </c>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row>
    <row r="1735">
      <c r="A1735" s="5" t="inlineStr">
        <is>
          <t>b7-evin-oglu</t>
        </is>
      </c>
      <c r="B1735" s="5" t="n">
        <v>3</v>
      </c>
      <c r="C1735" s="6" t="inlineStr">
        <is>
          <t>Sonunda kendi evine taşın</t>
        </is>
      </c>
      <c r="D1735" s="5" t="inlineStr">
        <is>
          <t>Cesaret</t>
        </is>
      </c>
      <c r="E1735" s="5" t="inlineStr">
        <is>
          <t>Zor</t>
        </is>
      </c>
      <c r="F1735" s="5" t="inlineStr"/>
      <c r="G1735" s="6" t="inlineStr"/>
      <c r="H1735" s="6" t="inlineStr">
        <is>
          <t>Otuz beşinde kendi anahtarın var. Annen ilk hafta her gün yemek getirdi, ikinci hafta gün aşırı. Üçüncü hafta kendi yemeğini yaptın; yandı ama senindi.</t>
        </is>
      </c>
      <c r="I1735" s="6" t="inlineStr">
        <is>
          <t>Taşındığın ev annenin evine tam iki sokak uzak. Uzaklık tam kıvamında: yemek sıcak gelir, soru soğuk.</t>
        </is>
      </c>
      <c r="J1735" s="6" t="inlineStr">
        <is>
          <t>Ev baktın, kira baktın, annene baktın. Annen “Neyin eksik?” dedi. Cevap veremedin; kaldın.</t>
        </is>
      </c>
      <c r="K1735" s="6" t="inlineStr">
        <is>
          <t>Taşındın, ilk gece su borusu patladı. Annenin evine döndün; odan hâlâ hazırdı, sanki biliyormuş.</t>
        </is>
      </c>
      <c r="L1735" s="6" t="inlineStr"/>
      <c r="M1735" s="5" t="inlineStr"/>
      <c r="N1735" s="5" t="inlineStr"/>
      <c r="O1735" s="6" t="inlineStr"/>
      <c r="P1735" s="6" t="inlineStr"/>
      <c r="Q1735" s="5" t="inlineStr"/>
      <c r="R1735" s="5" t="inlineStr"/>
      <c r="S1735" s="5" t="inlineStr"/>
      <c r="T1735" s="5" t="inlineStr"/>
      <c r="U1735" s="5" t="inlineStr"/>
      <c r="V1735" s="5" t="inlineStr">
        <is>
          <t>kiraci, -evde-kaldi</t>
        </is>
      </c>
      <c r="W1735" s="5" t="inlineStr"/>
      <c r="X1735" s="5" t="inlineStr"/>
      <c r="Y1735" s="5" t="inlineStr"/>
      <c r="Z1735" s="6" t="inlineStr"/>
      <c r="AA1735" s="5" t="inlineStr"/>
      <c r="AB1735" s="5" t="inlineStr">
        <is>
          <t>evin-oglu</t>
        </is>
      </c>
      <c r="AC1735" s="5" t="inlineStr"/>
      <c r="AD1735" s="5" t="inlineStr"/>
      <c r="AE1735" s="5" t="inlineStr"/>
      <c r="AF1735" s="5" t="inlineStr"/>
      <c r="AG1735" s="5" t="inlineStr"/>
      <c r="AH1735" s="5" t="inlineStr"/>
      <c r="AI1735" s="5" t="inlineStr"/>
    </row>
    <row r="1736">
      <c r="A1736" s="5" t="inlineStr">
        <is>
          <t>b8-evin-oglu-orta</t>
        </is>
      </c>
      <c r="B1736" s="5" t="n">
        <v>1</v>
      </c>
      <c r="C1736" s="6" t="inlineStr">
        <is>
          <t>Takvime uy</t>
        </is>
      </c>
      <c r="D1736" s="5" t="inlineStr"/>
      <c r="E1736" s="5" t="inlineStr"/>
      <c r="F1736" s="5" t="inlineStr">
        <is>
          <t>Gönül +1</t>
        </is>
      </c>
      <c r="G1736" s="6" t="inlineStr">
        <is>
          <t>Pazartesi mercimek, salı fasulye. Hayatının en düzenli yılları annenin tencere takviminde geçiyor. Kimse itiraz edemiyor; tencereye itiraz edilmez.</t>
        </is>
      </c>
      <c r="H1736" s="6" t="inlineStr"/>
      <c r="I1736" s="6" t="inlineStr"/>
      <c r="J1736" s="6" t="inlineStr"/>
      <c r="K1736" s="6" t="inlineStr"/>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row>
    <row r="1737">
      <c r="A1737" s="5" t="inlineStr">
        <is>
          <t>b8-evin-oglu-orta</t>
        </is>
      </c>
      <c r="B1737" s="5" t="n">
        <v>2</v>
      </c>
      <c r="C1737" s="6" t="inlineStr">
        <is>
          <t>Bu sefer yemeği sen yap</t>
        </is>
      </c>
      <c r="D1737" s="5" t="inlineStr">
        <is>
          <t>Akıl</t>
        </is>
      </c>
      <c r="E1737" s="5" t="inlineStr">
        <is>
          <t>Orta</t>
        </is>
      </c>
      <c r="F1737" s="5" t="inlineStr"/>
      <c r="G1737" s="6" t="inlineStr"/>
      <c r="H1737" s="6" t="inlineStr">
        <is>
          <t>Salı günü fasulyeyi sen yaptın. Annen bir kaşık aldı, uzun sustu, sonra “Tuzu biraz az” dedi. Ertesi hafta kendi fasulyesine de az tuz attı.</t>
        </is>
      </c>
      <c r="I1737" s="6" t="inlineStr">
        <is>
          <t>Yemeğin öyle güzel oldu ki annen komşulara “Evladım yaptı” diye tabak dağıttı. Apartmanda artık iki aşçı var.</t>
        </is>
      </c>
      <c r="J1737" s="6" t="inlineStr">
        <is>
          <t>Fasulyeyi yaptın; annen tadına baktı, üstüne biraz tuz, biraz salça, biraz daha ekledi. Sonunda kendi fasulyesi oldu.</t>
        </is>
      </c>
      <c r="K1737" s="6" t="inlineStr">
        <is>
          <t>Fasulyeyi yaktın; annenin çeyizinden kalan tencereyle birlikte. Annen tencereyi balkona koydu, bir saat başında bekledi. Akşam yine mercimek pişti; salı olduğu hâlde.</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row>
    <row r="1738">
      <c r="A1738" s="5" t="inlineStr">
        <is>
          <t>b8-evin-oglu-orta</t>
        </is>
      </c>
      <c r="B1738" s="5" t="n">
        <v>3</v>
      </c>
      <c r="C1738" s="6" t="inlineStr">
        <is>
          <t>Annene de bir hayat öner: kurs, gezi, arkadaş</t>
        </is>
      </c>
      <c r="D1738" s="5" t="inlineStr">
        <is>
          <t>Sosyal Radar</t>
        </is>
      </c>
      <c r="E1738" s="5" t="inlineStr">
        <is>
          <t>Zor</t>
        </is>
      </c>
      <c r="F1738" s="5" t="inlineStr"/>
      <c r="G1738" s="6" t="inlineStr"/>
      <c r="H1738" s="6" t="inlineStr">
        <is>
          <t>Annene bir resim kursu buldun. Artık salı akşamları fasulye yok; resim var. İkiniz de yeni bir şey öğreniyorsunuz: yalnız kalmayı.</t>
        </is>
      </c>
      <c r="I1738" s="6" t="inlineStr">
        <is>
          <t>Annen kurstan bir arkadaş grubu edindi. Artık senden izin istemeden geziye gidiyor; sen de ilk kez evde tek başına yemek yiyorsun.</t>
        </is>
      </c>
      <c r="J1738" s="6" t="inlineStr">
        <is>
          <t>Annen kursa bir kez gitti, döndü: “Orada kimse tencere konuşmuyor.”</t>
        </is>
      </c>
      <c r="K1738" s="6" t="inlineStr">
        <is>
          <t>Önerini duyunca annen seni evlendirmeye karar verdi. Kursun yerini görücü kahveleri aldı.</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row>
    <row r="1739">
      <c r="A1739" s="5" t="inlineStr">
        <is>
          <t>kriz-7</t>
        </is>
      </c>
      <c r="B1739" s="5" t="n">
        <v>1</v>
      </c>
      <c r="C1739" s="6" t="inlineStr">
        <is>
          <t>Dişini sık, dayan</t>
        </is>
      </c>
      <c r="D1739" s="5" t="inlineStr"/>
      <c r="E1739" s="5" t="inlineStr"/>
      <c r="F1739" s="5" t="inlineStr">
        <is>
          <t>Dayanıklılık +2</t>
        </is>
      </c>
      <c r="G1739" s="6" t="inlineStr">
        <is>
          <t>Dişini sıktın, birikim eridi. Bir akşam annen bileziğini çıkarıp masaya, “Şimdi?” yazan kâğıdın yanına koydu. Almadın; ama o gece ilk kez rahat uyudun.</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n">
        <v>1</v>
      </c>
      <c r="AG1739" s="5" t="inlineStr"/>
      <c r="AH1739" s="5" t="inlineStr"/>
      <c r="AI1739" s="5" t="inlineStr"/>
    </row>
    <row r="1740">
      <c r="A1740" s="5" t="inlineStr">
        <is>
          <t>kriz-7</t>
        </is>
      </c>
      <c r="B1740" s="5" t="n">
        <v>2</v>
      </c>
      <c r="C1740" s="6" t="inlineStr">
        <is>
          <t>Mahalleden borç iste</t>
        </is>
      </c>
      <c r="D1740" s="5" t="inlineStr"/>
      <c r="E1740" s="5" t="inlineStr"/>
      <c r="F1740" s="5" t="inlineStr">
        <is>
          <t>İtibar +1, Dayanıklılık +1</t>
        </is>
      </c>
      <c r="G1740" s="6" t="inlineStr">
        <is>
          <t>Kahvede bir cümle kurdun, akşama kadar üç zarf geldi; hiçbirinde senet yok. Birikimin yerinde kaldı; borcun mahalleye. Ödeyeceğin gün herkes ayrı ayrı “Ne gerek vardı” diyecek.</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inlineStr"/>
      <c r="AG1740" s="5" t="inlineStr"/>
      <c r="AH1740" s="5" t="inlineStr">
        <is>
          <t>İtibar 43</t>
        </is>
      </c>
      <c r="AI1740" s="5" t="inlineStr"/>
    </row>
    <row r="1741">
      <c r="A1741" s="5" t="inlineStr">
        <is>
          <t>kriz-7</t>
        </is>
      </c>
      <c r="B1741" s="5" t="n">
        <v>3</v>
      </c>
      <c r="C1741" s="6" t="inlineStr">
        <is>
          <t>Tezgâh aç, esnaflığa geç</t>
        </is>
      </c>
      <c r="D1741" s="5" t="inlineStr">
        <is>
          <t>Kurnazlık</t>
        </is>
      </c>
      <c r="E1741" s="5" t="inlineStr">
        <is>
          <t>Zor</t>
        </is>
      </c>
      <c r="F1741" s="5" t="inlineStr"/>
      <c r="G1741" s="6" t="inlineStr"/>
      <c r="H1741" s="6" t="inlineStr">
        <is>
          <t>Elindeki son birikimle küçük bir dükkân tuttun. Tabela senin, kira senin, veresiye defteri de senin. Hayat yeniden bir ritim buldu.</t>
        </is>
      </c>
      <c r="I1741" s="6" t="inlineStr">
        <is>
          <t>Dükkân ilk ayında kira çıkardı, ikinci ayında seni. Mahallede artık “Yeni esnaf” diye biliniyorsun; yeni ama ağzı laf yapan.</t>
        </is>
      </c>
      <c r="J1741" s="6" t="inlineStr">
        <is>
          <t>Dükkân tutmaya gittin; kira cebindekinin iki katıydı. Eski işine, eski yorgunluğuna döndün.</t>
        </is>
      </c>
      <c r="K1741" s="6" t="inlineStr">
        <is>
          <t>Dükkânı açtın, açılış günü sokak kazıldı. Üç ay kimse kapına ulaşamadı; sen de kapattın, eski işine döndün.</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-hat-girisimci, -hat-goc, -hat-hekim, -hat-koy, -hat-polis, -hat-politika, -hat-sohret, -hat-usta, -hat-yargi, -meslek-beyazyaka, -meslek-memur, -meslek-serbest, meslek-esnaf</t>
        </is>
      </c>
      <c r="W1741" s="5" t="inlineStr"/>
      <c r="X1741" s="5" t="inlineStr"/>
      <c r="Y1741" s="5" t="inlineStr"/>
      <c r="Z1741" s="6" t="inlineStr"/>
      <c r="AA1741" s="5" t="inlineStr"/>
      <c r="AB1741" s="5" t="inlineStr"/>
      <c r="AC1741" s="5" t="inlineStr"/>
      <c r="AD1741" s="5" t="inlineStr"/>
      <c r="AE1741" s="5" t="inlineStr"/>
      <c r="AF1741" s="5" t="inlineStr"/>
      <c r="AG1741" s="5" t="inlineStr">
        <is>
          <t>meslek-esnaf</t>
        </is>
      </c>
      <c r="AH1741" s="5" t="inlineStr"/>
      <c r="AI1741" s="5" t="inlineStr"/>
    </row>
    <row r="1742">
      <c r="A1742" s="5" t="inlineStr">
        <is>
          <t>kriz-7</t>
        </is>
      </c>
      <c r="B1742" s="5" t="n">
        <v>4</v>
      </c>
      <c r="C1742" s="6" t="inlineStr">
        <is>
          <t>Kendi girişimini kur</t>
        </is>
      </c>
      <c r="D1742" s="5" t="inlineStr">
        <is>
          <t>Cesaret</t>
        </is>
      </c>
      <c r="E1742" s="5" t="inlineStr">
        <is>
          <t>Zor</t>
        </is>
      </c>
      <c r="F1742" s="5" t="inlineStr"/>
      <c r="G1742" s="6" t="inlineStr"/>
      <c r="H1742" s="6" t="inlineStr">
        <is>
          <t>Bir fikir, bir sunum, bir kafe masası. Şirketin kuruldu. Annen komşulara hâlâ “Bilgisayarla ilgili bir şey” diye anlatıyor.</t>
        </is>
      </c>
      <c r="I1742" s="6" t="inlineStr">
        <is>
          <t>İlk sunumda bir yatırımcı “Sizin gibi tecrübeli birini arıyorduk” dedi. Kriz, özgeçmişinin en iyi satırı oldu.</t>
        </is>
      </c>
      <c r="J1742" s="6" t="inlineStr">
        <is>
          <t>Fikrin güzeldi, zamanlaman değil. Eski işine döndün; fikir çekmecede bekliyor.</t>
        </is>
      </c>
      <c r="K1742" s="6" t="inlineStr">
        <is>
          <t>Şirketi kurdun, ilk hafta ortağın fikrinle birlikte ortadan kayboldu. Eski işine döndün; bir de avukatın var artık.</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-hat-goc, -hat-hekim, -hat-koy, -hat-polis, -hat-politika, -hat-sohret, -hat-usta, -hat-yargi, -meslek-beyazyaka, -meslek-esnaf, -meslek-memur, hat-girisimci, meslek-serbest</t>
        </is>
      </c>
      <c r="W1742" s="5" t="inlineStr"/>
      <c r="X1742" s="5" t="inlineStr"/>
      <c r="Y1742" s="5" t="inlineStr"/>
      <c r="Z1742" s="6" t="inlineStr"/>
      <c r="AA1742" s="5" t="inlineStr"/>
      <c r="AB1742" s="5" t="inlineStr"/>
      <c r="AC1742" s="5" t="inlineStr"/>
      <c r="AD1742" s="5" t="inlineStr"/>
      <c r="AE1742" s="5" t="inlineStr"/>
      <c r="AF1742" s="5" t="inlineStr"/>
      <c r="AG1742" s="5" t="inlineStr">
        <is>
          <t>hat-girisimci</t>
        </is>
      </c>
      <c r="AH1742" s="5" t="inlineStr"/>
      <c r="AI1742" s="5" t="inlineStr"/>
    </row>
    <row r="1743">
      <c r="A1743" s="5" t="inlineStr">
        <is>
          <t>kriz-7</t>
        </is>
      </c>
      <c r="B1743" s="5" t="n">
        <v>5</v>
      </c>
      <c r="C1743" s="6" t="inlineStr">
        <is>
          <t>Abinin eski adamlarını ara</t>
        </is>
      </c>
      <c r="D1743" s="5" t="inlineStr">
        <is>
          <t>Cesaret</t>
        </is>
      </c>
      <c r="E1743" s="5" t="inlineStr">
        <is>
          <t>Zor</t>
        </is>
      </c>
      <c r="F1743" s="5" t="inlineStr"/>
      <c r="G1743" s="6" t="inlineStr"/>
      <c r="H1743" s="6" t="inlineStr">
        <is>
          <t>Bir telefon açtın, ertesi gün bir dükkânın başındaydın. Kasa hep dolu; nereden dolduğunu sormamak da işin parçası.</t>
        </is>
      </c>
      <c r="I1743" s="6" t="inlineStr">
        <is>
          <t>Yeni işinde hızla yükseldin; herkes sana “abi” demeye başladı. Bu kelimenin ağırlığını ilk kez omzunda hissettin.</t>
        </is>
      </c>
      <c r="J1743" s="6" t="inlineStr">
        <is>
          <t>Telefonu açtılar ama “Sen bu işlerin adamı değilsin” dediler. Belki de haklıydılar; eski işine döndün.</t>
        </is>
      </c>
      <c r="K1743" s="6" t="inlineStr">
        <is>
          <t>Telefonu yanlış kişiye açtın; komiser çıktı. Bir sohbet oldu, bir tutanak oldu. Eski işine döndün; bir dosyan var artık.</t>
        </is>
      </c>
      <c r="L1743" s="6" t="inlineStr"/>
      <c r="M1743" s="5" t="inlineStr"/>
      <c r="N1743" s="5" t="inlineStr"/>
      <c r="O1743" s="6" t="inlineStr"/>
      <c r="P1743" s="6" t="inlineStr"/>
      <c r="Q1743" s="5" t="inlineStr"/>
      <c r="R1743" s="5" t="inlineStr"/>
      <c r="S1743" s="5" t="inlineStr"/>
      <c r="T1743" s="5" t="inlineStr"/>
      <c r="U1743" s="5" t="inlineStr"/>
      <c r="V1743" s="5" t="inlineStr">
        <is>
          <t>-hat-dolandirici, -hat-girisimci, -hat-goc, -hat-hekim, -hat-koy, -hat-polis, -hat-politika, -hat-sohret, -hat-usta, -hat-yargi, -meslek-beyazyaka, -meslek-memur, -meslek-serbest, hat-cete, meslek-esnaf</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hat-cete</t>
        </is>
      </c>
      <c r="AH1743" s="5" t="inlineStr"/>
      <c r="AI1743" s="5" t="inlineStr"/>
    </row>
    <row r="1744">
      <c r="A1744" s="5" t="inlineStr">
        <is>
          <t>kriz-7</t>
        </is>
      </c>
      <c r="B1744" s="5" t="n">
        <v>6</v>
      </c>
      <c r="C1744" s="6" t="inlineStr">
        <is>
          <t>Kolay para ilanına cevap ver</t>
        </is>
      </c>
      <c r="D1744" s="5" t="inlineStr">
        <is>
          <t>Kurnazlık</t>
        </is>
      </c>
      <c r="E1744" s="5" t="inlineStr">
        <is>
          <t>Zor</t>
        </is>
      </c>
      <c r="F1744" s="5" t="inlineStr"/>
      <c r="G1744" s="6" t="inlineStr"/>
      <c r="H1744" s="6" t="inlineStr">
        <is>
          <t>Bir ilan, üç telefon, bir sunum. Para geldi; nereden geldiğini sormamaya karar verdin. Vicdanın da sormadı; şimdilik.</t>
        </is>
      </c>
      <c r="I1744" s="6" t="inlineStr">
        <is>
          <t>Öyle hızlı büyüdün ki bir ay içinde kendi seminerini veriyordun. Salon doluydu; arka sırada vicdanın oturuyordu.</t>
        </is>
      </c>
      <c r="J1744" s="6" t="inlineStr">
        <is>
          <t>İlanın ilk cevabını veren kişi bir dolandırıcıydı. Seni dolandırmaya çalıştı; ikiniz de vazgeçtiniz.</t>
        </is>
      </c>
      <c r="K1744" s="6" t="inlineStr">
        <is>
          <t>İlk “fırsatı” yakından inceleyince kendini bir tüketici programında buldun. Adın yok, sesin var.</t>
        </is>
      </c>
      <c r="L1744" s="6" t="inlineStr"/>
      <c r="M1744" s="5" t="inlineStr"/>
      <c r="N1744" s="5" t="inlineStr"/>
      <c r="O1744" s="6" t="inlineStr"/>
      <c r="P1744" s="6" t="inlineStr"/>
      <c r="Q1744" s="5" t="inlineStr"/>
      <c r="R1744" s="5" t="inlineStr"/>
      <c r="S1744" s="5" t="inlineStr"/>
      <c r="T1744" s="5" t="inlineStr"/>
      <c r="U1744" s="5" t="inlineStr"/>
      <c r="V1744" s="5" t="inlineStr">
        <is>
          <t>-hat-cete, -hat-girisimci, -hat-goc, -hat-hekim, -hat-koy, -hat-polis, -hat-politika, -hat-sohret, -hat-usta, -hat-yargi, -meslek-beyazyaka, -meslek-esnaf, -meslek-memur, hat-dolandirici, meslek-serbest</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hat-dolandirici</t>
        </is>
      </c>
      <c r="AH1744" s="5" t="inlineStr"/>
      <c r="AI1744" s="5" t="inlineStr"/>
    </row>
    <row r="1745">
      <c r="A1745" s="5" t="inlineStr">
        <is>
          <t>kriz-8</t>
        </is>
      </c>
      <c r="B1745" s="5" t="n">
        <v>1</v>
      </c>
      <c r="C1745" s="6" t="inlineStr">
        <is>
          <t>Dişini sık, dayan</t>
        </is>
      </c>
      <c r="D1745" s="5" t="inlineStr"/>
      <c r="E1745" s="5" t="inlineStr"/>
      <c r="F1745" s="5" t="inlineStr">
        <is>
          <t>Dayanıklılık +2</t>
        </is>
      </c>
      <c r="G1745" s="6" t="inlineStr">
        <is>
          <t>Dişini sıktın. Birikim eridi, ama yerinde durdun. Annen her akşam aradı: “Sen bir şey yedin mi?”</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n">
        <v>1</v>
      </c>
      <c r="AG1745" s="5" t="inlineStr"/>
      <c r="AH1745" s="5" t="inlineStr"/>
      <c r="AI1745" s="5" t="inlineStr"/>
    </row>
    <row r="1746">
      <c r="A1746" s="5" t="inlineStr">
        <is>
          <t>kriz-8</t>
        </is>
      </c>
      <c r="B1746" s="5" t="n">
        <v>2</v>
      </c>
      <c r="C1746" s="6" t="inlineStr">
        <is>
          <t>Mahalleden borç iste</t>
        </is>
      </c>
      <c r="D1746" s="5" t="inlineStr"/>
      <c r="E1746" s="5" t="inlineStr"/>
      <c r="F1746" s="5" t="inlineStr">
        <is>
          <t>İtibar +1, Dayanıklılık +1</t>
        </is>
      </c>
      <c r="G1746" s="6" t="inlineStr">
        <is>
          <t>Kahvede bir cümle kurdun, akşama kadar üç zarf geldi; hiçbirinde senet yok. Birikimin yerinde kaldı; borcun mahalleye. Ödeyeceğin gün herkes ayrı ayrı “Ne gerek vardı” diyecek.</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inlineStr"/>
      <c r="AG1746" s="5" t="inlineStr"/>
      <c r="AH1746" s="5" t="inlineStr">
        <is>
          <t>İtibar 43</t>
        </is>
      </c>
      <c r="AI1746" s="5" t="inlineStr"/>
    </row>
    <row r="1747">
      <c r="A1747" s="5" t="inlineStr">
        <is>
          <t>kriz-8</t>
        </is>
      </c>
      <c r="B1747" s="5" t="n">
        <v>3</v>
      </c>
      <c r="C1747" s="6" t="inlineStr">
        <is>
          <t>Tezgâh aç, esnaflığa geç</t>
        </is>
      </c>
      <c r="D1747" s="5" t="inlineStr">
        <is>
          <t>Kurnazlık</t>
        </is>
      </c>
      <c r="E1747" s="5" t="inlineStr">
        <is>
          <t>Zor</t>
        </is>
      </c>
      <c r="F1747" s="5" t="inlineStr"/>
      <c r="G1747" s="6" t="inlineStr"/>
      <c r="H1747" s="6" t="inlineStr">
        <is>
          <t>Elindeki son birikimle küçük bir dükkân tuttun. Tabela senin, kira senin, veresiye defteri de senin. Hayat yeniden bir ritim buldu.</t>
        </is>
      </c>
      <c r="I1747" s="6" t="inlineStr">
        <is>
          <t>Dükkân ilk ayında kira çıkardı, ikinci ayında seni. Mahallede artık “Yeni esnaf” diye biliniyorsun; yeni ama ağzı laf yapan.</t>
        </is>
      </c>
      <c r="J1747" s="6" t="inlineStr">
        <is>
          <t>Dükkân tutmaya gittin; kira cebindekinin iki katıydı. Eski işine, eski yorgunluğuna döndün.</t>
        </is>
      </c>
      <c r="K1747" s="6" t="inlineStr">
        <is>
          <t>Dükkânı açtın, açılış günü sokak kazıldı. Üç ay kimse kapına ulaşamadı; sen de kapattın, eski işine döndün.</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-hat-girisimci, -hat-goc, -hat-hekim, -hat-koy, -hat-polis, -hat-politika, -hat-sohret, -hat-usta, -hat-yargi, -meslek-beyazyaka, -meslek-memur, -meslek-serbest, meslek-esnaf</t>
        </is>
      </c>
      <c r="W1747" s="5" t="inlineStr"/>
      <c r="X1747" s="5" t="inlineStr"/>
      <c r="Y1747" s="5" t="inlineStr"/>
      <c r="Z1747" s="6" t="inlineStr"/>
      <c r="AA1747" s="5" t="inlineStr"/>
      <c r="AB1747" s="5" t="inlineStr"/>
      <c r="AC1747" s="5" t="inlineStr"/>
      <c r="AD1747" s="5" t="inlineStr"/>
      <c r="AE1747" s="5" t="inlineStr"/>
      <c r="AF1747" s="5" t="inlineStr"/>
      <c r="AG1747" s="5" t="inlineStr">
        <is>
          <t>meslek-esnaf</t>
        </is>
      </c>
      <c r="AH1747" s="5" t="inlineStr"/>
      <c r="AI1747" s="5" t="inlineStr"/>
    </row>
    <row r="1748">
      <c r="A1748" s="5" t="inlineStr">
        <is>
          <t>kriz-8</t>
        </is>
      </c>
      <c r="B1748" s="5" t="n">
        <v>4</v>
      </c>
      <c r="C1748" s="6" t="inlineStr">
        <is>
          <t>Kendi girişimini kur</t>
        </is>
      </c>
      <c r="D1748" s="5" t="inlineStr">
        <is>
          <t>Cesaret</t>
        </is>
      </c>
      <c r="E1748" s="5" t="inlineStr">
        <is>
          <t>Zor</t>
        </is>
      </c>
      <c r="F1748" s="5" t="inlineStr"/>
      <c r="G1748" s="6" t="inlineStr"/>
      <c r="H1748" s="6" t="inlineStr">
        <is>
          <t>Bir fikir, bir sunum, bir kafe masası. Şirketin kuruldu. Yaşın kimseyi ilgilendirmedi; tecrüben herkesi ilgilendirdi.</t>
        </is>
      </c>
      <c r="I1748" s="6" t="inlineStr">
        <is>
          <t>İlk sunumda bir yatırımcı “Sizin gibi tecrübeli birini arıyorduk” dedi. Kriz, özgeçmişinin en iyi satırı oldu.</t>
        </is>
      </c>
      <c r="J1748" s="6" t="inlineStr">
        <is>
          <t>Fikrin güzeldi, zamanlaman değil. Eski işine döndün; fikir çekmecede bekliyor.</t>
        </is>
      </c>
      <c r="K1748" s="6" t="inlineStr">
        <is>
          <t>Şirketi kurdun, ilk hafta ortağın fikrinle birlikte ortadan kayboldu. Eski işine döndün; bir de avukatın var artık.</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-hat-goc, -hat-hekim, -hat-koy, -hat-polis, -hat-politika, -hat-sohret, -hat-usta, -hat-yargi, -meslek-beyazyaka, -meslek-esnaf, -meslek-memur, hat-girisimci, meslek-serbest</t>
        </is>
      </c>
      <c r="W1748" s="5" t="inlineStr"/>
      <c r="X1748" s="5" t="inlineStr"/>
      <c r="Y1748" s="5" t="inlineStr"/>
      <c r="Z1748" s="6" t="inlineStr"/>
      <c r="AA1748" s="5" t="inlineStr"/>
      <c r="AB1748" s="5" t="inlineStr"/>
      <c r="AC1748" s="5" t="inlineStr"/>
      <c r="AD1748" s="5" t="inlineStr"/>
      <c r="AE1748" s="5" t="inlineStr"/>
      <c r="AF1748" s="5" t="inlineStr"/>
      <c r="AG1748" s="5" t="inlineStr">
        <is>
          <t>hat-girisimci</t>
        </is>
      </c>
      <c r="AH1748" s="5" t="inlineStr"/>
      <c r="AI1748" s="5" t="inlineStr"/>
    </row>
    <row r="1749">
      <c r="A1749" s="5" t="inlineStr">
        <is>
          <t>kriz-8</t>
        </is>
      </c>
      <c r="B1749" s="5" t="n">
        <v>5</v>
      </c>
      <c r="C1749" s="6" t="inlineStr">
        <is>
          <t>Mahallenin eski abisine uğra</t>
        </is>
      </c>
      <c r="D1749" s="5" t="inlineStr">
        <is>
          <t>Cesaret</t>
        </is>
      </c>
      <c r="E1749" s="5" t="inlineStr">
        <is>
          <t>Zor</t>
        </is>
      </c>
      <c r="F1749" s="5" t="inlineStr"/>
      <c r="G1749" s="6" t="inlineStr"/>
      <c r="H1749" s="6" t="inlineStr">
        <is>
          <t>Bir telefon açtın, ertesi gün bir dükkânın başındaydın. Kasa hep dolu; nereden dolduğunu sormamak da işin parçası.</t>
        </is>
      </c>
      <c r="I1749" s="6" t="inlineStr">
        <is>
          <t>Yeni işinde hızla yükseldin; herkes sana “abi” demeye başladı. Bu kelimenin ağırlığını ilk kez omzunda hissettin.</t>
        </is>
      </c>
      <c r="J1749" s="6" t="inlineStr">
        <is>
          <t>Telefonu açtılar ama “Sen bu işlerin adamı değilsin” dediler. Belki de haklıydılar; eski işine döndün.</t>
        </is>
      </c>
      <c r="K1749" s="6" t="inlineStr">
        <is>
          <t>Telefonu yanlış kişiye açtın; komiser çıktı. Bir sohbet oldu, bir tutanak oldu. Eski işine döndün; bir dosyan var artık.</t>
        </is>
      </c>
      <c r="L1749" s="6" t="inlineStr"/>
      <c r="M1749" s="5" t="inlineStr"/>
      <c r="N1749" s="5" t="inlineStr"/>
      <c r="O1749" s="6" t="inlineStr"/>
      <c r="P1749" s="6" t="inlineStr"/>
      <c r="Q1749" s="5" t="inlineStr"/>
      <c r="R1749" s="5" t="inlineStr"/>
      <c r="S1749" s="5" t="inlineStr"/>
      <c r="T1749" s="5" t="inlineStr"/>
      <c r="U1749" s="5" t="inlineStr"/>
      <c r="V1749" s="5" t="inlineStr">
        <is>
          <t>-hat-dolandirici, -hat-girisimci, -hat-goc, -hat-hekim, -hat-koy, -hat-polis, -hat-politika, -hat-sohret, -hat-usta, -hat-yargi, -meslek-beyazyaka, -meslek-memur, -meslek-serbest, hat-cete, meslek-esnaf</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hat-cete</t>
        </is>
      </c>
      <c r="AH1749" s="5" t="inlineStr"/>
      <c r="AI1749" s="5" t="inlineStr"/>
    </row>
    <row r="1750">
      <c r="A1750" s="5" t="inlineStr">
        <is>
          <t>kriz-8</t>
        </is>
      </c>
      <c r="B1750" s="5" t="n">
        <v>6</v>
      </c>
      <c r="C1750" s="6" t="inlineStr">
        <is>
          <t>Emeklilik birikimini “fırsata” yatır</t>
        </is>
      </c>
      <c r="D1750" s="5" t="inlineStr">
        <is>
          <t>Kurnazlık</t>
        </is>
      </c>
      <c r="E1750" s="5" t="inlineStr">
        <is>
          <t>Zor</t>
        </is>
      </c>
      <c r="F1750" s="5" t="inlineStr"/>
      <c r="G1750" s="6" t="inlineStr"/>
      <c r="H1750" s="6" t="inlineStr">
        <is>
          <t>Bir ilan, üç telefon, bir sunum. Para geldi; nereden geldiğini sormamaya karar verdin. Vicdanın da sormadı; şimdilik.</t>
        </is>
      </c>
      <c r="I1750" s="6" t="inlineStr">
        <is>
          <t>Öyle hızlı büyüdün ki bir ay içinde kendi seminerini veriyordun. Salon doluydu; arka sırada vicdanın oturuyordu.</t>
        </is>
      </c>
      <c r="J1750" s="6" t="inlineStr">
        <is>
          <t>İlanın ilk cevabını veren kişi bir dolandırıcıydı. Seni dolandırmaya çalıştı; ikiniz de vazgeçtiniz.</t>
        </is>
      </c>
      <c r="K1750" s="6" t="inlineStr">
        <is>
          <t>İlk “fırsat” bir saadet zinciriymiş; birikimin bir haftada gitti. Akşam haberlerinde sesi değiştirilmiş bir mağdur konuştu. Kimse tanımadı. Annen tanıdı.</t>
        </is>
      </c>
      <c r="L1750" s="6" t="inlineStr"/>
      <c r="M1750" s="5" t="inlineStr"/>
      <c r="N1750" s="5" t="inlineStr"/>
      <c r="O1750" s="6" t="inlineStr"/>
      <c r="P1750" s="6" t="inlineStr"/>
      <c r="Q1750" s="5" t="inlineStr"/>
      <c r="R1750" s="5" t="inlineStr"/>
      <c r="S1750" s="5" t="inlineStr"/>
      <c r="T1750" s="5" t="inlineStr"/>
      <c r="U1750" s="5" t="inlineStr"/>
      <c r="V1750" s="5" t="inlineStr">
        <is>
          <t>-hat-cete, -hat-girisimci, -hat-goc, -hat-hekim, -hat-koy, -hat-polis, -hat-politika, -hat-sohret, -hat-usta, -hat-yargi, -meslek-beyazyaka, -meslek-esnaf, -meslek-memur, hat-dolandirici, meslek-serbest</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hat-dolandirici</t>
        </is>
      </c>
      <c r="AH1750" s="5" t="inlineStr"/>
      <c r="AI1750" s="5" t="inlineStr"/>
    </row>
    <row r="1751">
      <c r="A1751" s="5" t="inlineStr">
        <is>
          <t>kriz-9</t>
        </is>
      </c>
      <c r="B1751" s="5" t="n">
        <v>1</v>
      </c>
      <c r="C1751" s="6" t="inlineStr">
        <is>
          <t>Dişini sık, dayan</t>
        </is>
      </c>
      <c r="D1751" s="5" t="inlineStr"/>
      <c r="E1751" s="5" t="inlineStr"/>
      <c r="F1751" s="5" t="inlineStr">
        <is>
          <t>Dayanıklılık +2</t>
        </is>
      </c>
      <c r="G1751" s="6" t="inlineStr">
        <is>
          <t>Dişini sıktın. Kahveyi evde içmeye, pazara kapanışta gitmeye başladın. Kimseye bir şey söylemedin; bakkal anladı, ekmeği deftere yazmadan uzattı.</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n">
        <v>1</v>
      </c>
      <c r="AG1751" s="5" t="inlineStr"/>
      <c r="AH1751" s="5" t="inlineStr"/>
      <c r="AI1751" s="5" t="inlineStr"/>
    </row>
    <row r="1752">
      <c r="A1752" s="5" t="inlineStr">
        <is>
          <t>kriz-9</t>
        </is>
      </c>
      <c r="B1752" s="5" t="n">
        <v>2</v>
      </c>
      <c r="C1752" s="6" t="inlineStr">
        <is>
          <t>Mahalleden borç iste</t>
        </is>
      </c>
      <c r="D1752" s="5" t="inlineStr"/>
      <c r="E1752" s="5" t="inlineStr"/>
      <c r="F1752" s="5" t="inlineStr">
        <is>
          <t>İtibar +1, Dayanıklılık +1</t>
        </is>
      </c>
      <c r="G1752" s="6" t="inlineStr">
        <is>
          <t>Kahvede bir cümle kurdun, akşama kadar üç zarf geldi; hiçbirinde senet yok. Birikimin yerinde kaldı; borcun mahalleye. Ödeyeceğin gün herkes ayrı ayrı “Ne gerek vardı” diyecek.</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inlineStr"/>
      <c r="AG1752" s="5" t="inlineStr"/>
      <c r="AH1752" s="5" t="inlineStr">
        <is>
          <t>İtibar 45</t>
        </is>
      </c>
      <c r="AI1752" s="5" t="inlineStr"/>
    </row>
    <row r="1753">
      <c r="A1753" s="5" t="inlineStr">
        <is>
          <t>kriz-9</t>
        </is>
      </c>
      <c r="B1753" s="5" t="n">
        <v>3</v>
      </c>
      <c r="C1753" s="6" t="inlineStr">
        <is>
          <t>Tezgâh aç, esnaflığa geç</t>
        </is>
      </c>
      <c r="D1753" s="5" t="inlineStr">
        <is>
          <t>Kurnazlık</t>
        </is>
      </c>
      <c r="E1753" s="5" t="inlineStr">
        <is>
          <t>Zor</t>
        </is>
      </c>
      <c r="F1753" s="5" t="inlineStr"/>
      <c r="G1753" s="6" t="inlineStr"/>
      <c r="H1753" s="6" t="inlineStr">
        <is>
          <t>Elindeki son birikimle küçük bir dükkân tuttun. Tabela senin, kira senin, veresiye defteri de senin. Hayat yeniden bir ritim buldu.</t>
        </is>
      </c>
      <c r="I1753" s="6" t="inlineStr">
        <is>
          <t>Dükkân ilk ayında kira çıkardı, ikinci ayında seni. Mahallede artık “Yeni esnaf” diye biliniyorsun; yeni ama ağzı laf yapan.</t>
        </is>
      </c>
      <c r="J1753" s="6" t="inlineStr">
        <is>
          <t>Dükkân tutmaya gittin; kira cebindekinin iki katıydı. Eski işine, eski yorgunluğuna döndün.</t>
        </is>
      </c>
      <c r="K1753" s="6" t="inlineStr">
        <is>
          <t>Dükkânı açtın, açılış günü sokak kazıldı. Üç ay kimse kapına ulaşamadı; sen de kapattın, eski işine döndün.</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-hat-girisimci, -hat-goc, -hat-hekim, -hat-koy, -hat-polis, -hat-politika, -hat-sohret, -hat-usta, -hat-yargi, -meslek-beyazyaka, -meslek-memur, -meslek-serbest, meslek-esnaf</t>
        </is>
      </c>
      <c r="W1753" s="5" t="inlineStr"/>
      <c r="X1753" s="5" t="inlineStr"/>
      <c r="Y1753" s="5" t="inlineStr"/>
      <c r="Z1753" s="6" t="inlineStr"/>
      <c r="AA1753" s="5" t="inlineStr"/>
      <c r="AB1753" s="5" t="inlineStr"/>
      <c r="AC1753" s="5" t="inlineStr"/>
      <c r="AD1753" s="5" t="inlineStr"/>
      <c r="AE1753" s="5" t="inlineStr"/>
      <c r="AF1753" s="5" t="inlineStr"/>
      <c r="AG1753" s="5" t="inlineStr">
        <is>
          <t>meslek-esnaf</t>
        </is>
      </c>
      <c r="AH1753" s="5" t="inlineStr"/>
      <c r="AI1753" s="5" t="inlineStr"/>
    </row>
    <row r="1754">
      <c r="A1754" s="5" t="inlineStr">
        <is>
          <t>kriz-9</t>
        </is>
      </c>
      <c r="B1754" s="5" t="n">
        <v>4</v>
      </c>
      <c r="C1754" s="6" t="inlineStr">
        <is>
          <t>Kendi girişimini kur</t>
        </is>
      </c>
      <c r="D1754" s="5" t="inlineStr">
        <is>
          <t>Cesaret</t>
        </is>
      </c>
      <c r="E1754" s="5" t="inlineStr">
        <is>
          <t>Zor</t>
        </is>
      </c>
      <c r="F1754" s="5" t="inlineStr"/>
      <c r="G1754" s="6" t="inlineStr"/>
      <c r="H1754" s="6" t="inlineStr">
        <is>
          <t>Bir fikir, bir sunum, bir kafe masası. Şirketin kuruldu. Yaşın kimseyi ilgilendirmedi; tecrüben herkesi ilgilendirdi.</t>
        </is>
      </c>
      <c r="I1754" s="6" t="inlineStr">
        <is>
          <t>İlk sunumda bir yatırımcı “Sizin gibi tecrübeli birini arıyorduk” dedi. Kriz, özgeçmişinin en iyi satırı oldu.</t>
        </is>
      </c>
      <c r="J1754" s="6" t="inlineStr">
        <is>
          <t>Fikrin güzeldi, zamanlaman değil. Eski işine döndün; fikir çekmecede bekliyor.</t>
        </is>
      </c>
      <c r="K1754" s="6" t="inlineStr">
        <is>
          <t>Şirketi kurdun, ilk hafta ortağın fikrinle birlikte ortadan kayboldu. Eski işine döndün; bir de avukatın var artık.</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-hat-goc, -hat-hekim, -hat-koy, -hat-polis, -hat-politika, -hat-sohret, -hat-usta, -hat-yargi, -meslek-beyazyaka, -meslek-esnaf, -meslek-memur, hat-girisimci, meslek-serbest</t>
        </is>
      </c>
      <c r="W1754" s="5" t="inlineStr"/>
      <c r="X1754" s="5" t="inlineStr"/>
      <c r="Y1754" s="5" t="inlineStr"/>
      <c r="Z1754" s="6" t="inlineStr"/>
      <c r="AA1754" s="5" t="inlineStr"/>
      <c r="AB1754" s="5" t="inlineStr"/>
      <c r="AC1754" s="5" t="inlineStr"/>
      <c r="AD1754" s="5" t="inlineStr"/>
      <c r="AE1754" s="5" t="inlineStr"/>
      <c r="AF1754" s="5" t="inlineStr"/>
      <c r="AG1754" s="5" t="inlineStr">
        <is>
          <t>hat-girisimci</t>
        </is>
      </c>
      <c r="AH1754" s="5" t="inlineStr"/>
      <c r="AI1754" s="5" t="inlineStr"/>
    </row>
    <row r="1755">
      <c r="A1755" s="5" t="inlineStr">
        <is>
          <t>kriz-9</t>
        </is>
      </c>
      <c r="B1755" s="5" t="n">
        <v>5</v>
      </c>
      <c r="C1755" s="6" t="inlineStr">
        <is>
          <t>Eski bir tanıdığın “ufak işine” gir</t>
        </is>
      </c>
      <c r="D1755" s="5" t="inlineStr">
        <is>
          <t>Cesaret</t>
        </is>
      </c>
      <c r="E1755" s="5" t="inlineStr">
        <is>
          <t>Zor</t>
        </is>
      </c>
      <c r="F1755" s="5" t="inlineStr"/>
      <c r="G1755" s="6" t="inlineStr"/>
      <c r="H1755" s="6" t="inlineStr">
        <is>
          <t>Bir telefon açtın, ertesi gün bir dükkânın başındaydın. Kasa hep dolu; nereden dolduğunu sormamak da işin parçası.</t>
        </is>
      </c>
      <c r="I1755" s="6" t="inlineStr">
        <is>
          <t>Yeni işinde hızla yükseldin; herkes sana “abi” demeye başladı. Bu kelimenin ağırlığını ilk kez omzunda hissettin.</t>
        </is>
      </c>
      <c r="J1755" s="6" t="inlineStr">
        <is>
          <t>Telefonu açtılar ama “Sen bu işlerin adamı değilsin” dediler. Belki de haklıydılar; eski işine döndün.</t>
        </is>
      </c>
      <c r="K1755" s="6" t="inlineStr">
        <is>
          <t>Telefonu yanlış kişiye açtın; komiser çıktı. Bir sohbet oldu, bir tutanak oldu. Eski işine döndün; bir dosyan var artık.</t>
        </is>
      </c>
      <c r="L1755" s="6" t="inlineStr"/>
      <c r="M1755" s="5" t="inlineStr"/>
      <c r="N1755" s="5" t="inlineStr"/>
      <c r="O1755" s="6" t="inlineStr"/>
      <c r="P1755" s="6" t="inlineStr"/>
      <c r="Q1755" s="5" t="inlineStr"/>
      <c r="R1755" s="5" t="inlineStr"/>
      <c r="S1755" s="5" t="inlineStr"/>
      <c r="T1755" s="5" t="inlineStr"/>
      <c r="U1755" s="5" t="inlineStr"/>
      <c r="V1755" s="5" t="inlineStr">
        <is>
          <t>-hat-dolandirici, -hat-girisimci, -hat-goc, -hat-hekim, -hat-koy, -hat-polis, -hat-politika, -hat-sohret, -hat-usta, -hat-yargi, -meslek-beyazyaka, -meslek-memur, -meslek-serbest, hat-cete, meslek-esnaf</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hat-cete</t>
        </is>
      </c>
      <c r="AH1755" s="5" t="inlineStr"/>
      <c r="AI1755" s="5" t="inlineStr"/>
    </row>
    <row r="1756">
      <c r="A1756" s="5" t="inlineStr">
        <is>
          <t>kriz-9</t>
        </is>
      </c>
      <c r="B1756" s="5" t="n">
        <v>6</v>
      </c>
      <c r="C1756" s="6" t="inlineStr">
        <is>
          <t>Emekli yatırım kulübüne üye topla</t>
        </is>
      </c>
      <c r="D1756" s="5" t="inlineStr">
        <is>
          <t>Kurnazlık</t>
        </is>
      </c>
      <c r="E1756" s="5" t="inlineStr">
        <is>
          <t>Zor</t>
        </is>
      </c>
      <c r="F1756" s="5" t="inlineStr"/>
      <c r="G1756" s="6" t="inlineStr"/>
      <c r="H1756" s="6" t="inlineStr">
        <is>
          <t>Bir ilan, üç telefon, bir sunum. Para geldi; nereden geldiğini sormamaya karar verdin. Vicdanın da sormadı; şimdilik.</t>
        </is>
      </c>
      <c r="I1756" s="6" t="inlineStr">
        <is>
          <t>Öyle hızlı büyüdün ki bir ay içinde kendi seminerini veriyordun. Salon doluydu; arka sırada vicdanın oturuyordu.</t>
        </is>
      </c>
      <c r="J1756" s="6" t="inlineStr">
        <is>
          <t>İlanın ilk cevabını veren kişi bir dolandırıcıydı. Seni dolandırmaya çalıştı; ikiniz de vazgeçtiniz.</t>
        </is>
      </c>
      <c r="K1756" s="6" t="inlineStr">
        <is>
          <t>İlk “fırsatı” yakından inceleyince kendini bir tüketici programında buldun. Adın yok, sesin var.</t>
        </is>
      </c>
      <c r="L1756" s="6" t="inlineStr"/>
      <c r="M1756" s="5" t="inlineStr"/>
      <c r="N1756" s="5" t="inlineStr"/>
      <c r="O1756" s="6" t="inlineStr"/>
      <c r="P1756" s="6" t="inlineStr"/>
      <c r="Q1756" s="5" t="inlineStr"/>
      <c r="R1756" s="5" t="inlineStr"/>
      <c r="S1756" s="5" t="inlineStr"/>
      <c r="T1756" s="5" t="inlineStr"/>
      <c r="U1756" s="5" t="inlineStr"/>
      <c r="V1756" s="5" t="inlineStr">
        <is>
          <t>-hat-cete, -hat-girisimci, -hat-goc, -hat-hekim, -hat-koy, -hat-polis, -hat-politika, -hat-sohret, -hat-usta, -hat-yargi, -meslek-beyazyaka, -meslek-esnaf, -meslek-memur, hat-dolandirici, meslek-serbest</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hat-dolandirici</t>
        </is>
      </c>
      <c r="AH1756" s="5" t="inlineStr"/>
      <c r="AI1756" s="5" t="inlineStr"/>
    </row>
    <row r="1757">
      <c r="A1757" s="5" t="inlineStr">
        <is>
          <t>b8-orta-yas</t>
        </is>
      </c>
      <c r="B1757" s="5" t="n">
        <v>1</v>
      </c>
      <c r="C1757" s="6" t="inlineStr">
        <is>
          <t>Hiçbir şey olmamış gibi devam et</t>
        </is>
      </c>
      <c r="D1757" s="5" t="inlineStr"/>
      <c r="E1757" s="5" t="inlineStr"/>
      <c r="F1757" s="5" t="inlineStr">
        <is>
          <t>Dayanıklılık +1, İtibar +1</t>
        </is>
      </c>
      <c r="G1757" s="6" t="inlineStr">
        <is>
          <t>Orta yaş krizini sessizce atlattın. Sadece bir kez, markette, indirimli portakalların önünde ağladın.</t>
        </is>
      </c>
      <c r="H1757" s="6" t="inlineStr"/>
      <c r="I1757" s="6" t="inlineStr"/>
      <c r="J1757" s="6" t="inlineStr"/>
      <c r="K1757" s="6" t="inlineStr"/>
      <c r="L1757" s="6" t="inlineStr"/>
      <c r="M1757" s="5" t="inlineStr"/>
      <c r="N1757" s="5" t="inlineStr"/>
      <c r="O1757" s="6" t="inlineStr"/>
      <c r="P1757" s="6" t="inlineStr"/>
      <c r="Q1757" s="5" t="inlineStr"/>
      <c r="R1757" s="5" t="inlineStr"/>
      <c r="S1757" s="5" t="inlineStr"/>
      <c r="T1757" s="5" t="inlineStr"/>
      <c r="U1757" s="5" t="inlineStr"/>
      <c r="V1757" s="5" t="inlineStr"/>
      <c r="W1757" s="5" t="inlineStr"/>
      <c r="X1757" s="5" t="inlineStr"/>
      <c r="Y1757" s="5" t="inlineStr"/>
      <c r="Z1757" s="6" t="inlineStr"/>
      <c r="AA1757" s="5" t="inlineStr"/>
      <c r="AB1757" s="5" t="inlineStr"/>
      <c r="AC1757" s="5" t="inlineStr"/>
      <c r="AD1757" s="5" t="inlineStr"/>
      <c r="AE1757" s="5" t="inlineStr"/>
      <c r="AF1757" s="5" t="inlineStr"/>
      <c r="AG1757" s="5" t="inlineStr"/>
      <c r="AH1757" s="5" t="inlineStr"/>
      <c r="AI1757" s="5" t="inlineStr"/>
    </row>
    <row r="1758">
      <c r="A1758" s="5" t="inlineStr">
        <is>
          <t>b8-orta-yas</t>
        </is>
      </c>
      <c r="B1758" s="5" t="n">
        <v>2</v>
      </c>
      <c r="C1758" s="6" t="inlineStr">
        <is>
          <t>Her şeyi bırak, köye dön</t>
        </is>
      </c>
      <c r="D1758" s="5" t="inlineStr">
        <is>
          <t>Cesaret</t>
        </is>
      </c>
      <c r="E1758" s="5" t="inlineStr">
        <is>
          <t>Zor</t>
        </is>
      </c>
      <c r="F1758" s="5" t="inlineStr"/>
      <c r="G1758" s="6" t="inlineStr"/>
      <c r="H1758" s="6" t="inlineStr">
        <is>
          <t>Kırk dördünde köye taşındın. İlk hafta bir keçi seni kovaladı; köylülere göre bu bir kabul töreniydi.</t>
        </is>
      </c>
      <c r="I1758" s="6" t="inlineStr">
        <is>
          <t>Köye taşındığın hafta muhtar seni kahveye çağırdı, ikinci hafta kooperatife. Köy seni şehirden daha çabuk sevdi.</t>
        </is>
      </c>
      <c r="J1758" s="6" t="inlineStr">
        <is>
          <t>Valizleri topladın, otogara kadar gittin, bilet kuyruğunda bir saat bekledin. Sonra eve döndün; valizler hâlâ kapının önünde.</t>
        </is>
      </c>
      <c r="K1758" s="6" t="inlineStr">
        <is>
          <t>Köye gittin; dedenin evinin çatısı yoktu, tarlası da başkasınındı. Bir hafta sonra şehre, eski işine döndün; biraz güneşlenmiş olarak.</t>
        </is>
      </c>
      <c r="L1758" s="6" t="inlineStr"/>
      <c r="M1758" s="5" t="inlineStr"/>
      <c r="N1758" s="5" t="inlineStr"/>
      <c r="O1758" s="6" t="inlineStr"/>
      <c r="P1758" s="6" t="inlineStr"/>
      <c r="Q1758" s="5" t="inlineStr"/>
      <c r="R1758" s="5" t="inlineStr"/>
      <c r="S1758" s="5" t="inlineStr"/>
      <c r="T1758" s="5" t="inlineStr"/>
      <c r="U1758" s="5" t="inlineStr"/>
      <c r="V1758" s="5" t="inlineStr">
        <is>
          <t>-hat-cete, -hat-dolandirici, -hat-girisimci, -hat-goc, -hat-hekim, -hat-polis, -hat-politika, -hat-sohret, -hat-usta, -hat-yargi, -meslek-beyazyaka, -meslek-memur, -meslek-serbest, hat-koy, meslek-esnaf</t>
        </is>
      </c>
      <c r="W1758" s="5" t="inlineStr"/>
      <c r="X1758" s="5" t="inlineStr"/>
      <c r="Y1758" s="5" t="inlineStr"/>
      <c r="Z1758" s="6" t="inlineStr"/>
      <c r="AA1758" s="5" t="inlineStr">
        <is>
          <t>Yalçın +1, Şen +1, Tan -1, Varlı -1</t>
        </is>
      </c>
      <c r="AB1758" s="5" t="inlineStr"/>
      <c r="AC1758" s="5" t="inlineStr"/>
      <c r="AD1758" s="5" t="inlineStr"/>
      <c r="AE1758" s="5" t="inlineStr"/>
      <c r="AF1758" s="5" t="inlineStr"/>
      <c r="AG1758" s="5" t="inlineStr">
        <is>
          <t>hat-koy</t>
        </is>
      </c>
      <c r="AH1758" s="5" t="inlineStr"/>
      <c r="AI1758" s="5" t="inlineStr"/>
    </row>
    <row r="1759">
      <c r="A1759" s="5" t="inlineStr">
        <is>
          <t>b8-orta-yas</t>
        </is>
      </c>
      <c r="B1759" s="5" t="n">
        <v>3</v>
      </c>
      <c r="C1759" s="6" t="inlineStr">
        <is>
          <t>Motosiklet al, saçını uzat</t>
        </is>
      </c>
      <c r="D1759" s="5" t="inlineStr"/>
      <c r="E1759" s="5" t="inlineStr"/>
      <c r="F1759" s="5" t="inlineStr">
        <is>
          <t>Cesaret +1, Pişkinlik +1</t>
        </is>
      </c>
      <c r="G1759" s="6" t="inlineStr">
        <is>
          <t>Motosikleti aldın, saçını uzatmaya karar verdin. Saç kararını geri çevirdi; motosiklet çevirmedi.</t>
        </is>
      </c>
      <c r="H1759" s="6" t="inlineStr"/>
      <c r="I1759" s="6" t="inlineStr"/>
      <c r="J1759" s="6" t="inlineStr"/>
      <c r="K1759" s="6" t="inlineStr"/>
      <c r="L1759" s="6" t="inlineStr"/>
      <c r="M1759" s="5" t="inlineStr"/>
      <c r="N1759" s="5" t="inlineStr"/>
      <c r="O1759" s="6" t="inlineStr"/>
      <c r="P1759" s="6" t="inlineStr"/>
      <c r="Q1759" s="5" t="inlineStr"/>
      <c r="R1759" s="5" t="inlineStr"/>
      <c r="S1759" s="5" t="inlineStr"/>
      <c r="T1759" s="5" t="inlineStr"/>
      <c r="U1759" s="5" t="inlineStr">
        <is>
          <t>motosikletli</t>
        </is>
      </c>
      <c r="V1759" s="5" t="inlineStr"/>
      <c r="W1759" s="5" t="inlineStr"/>
      <c r="X1759" s="5" t="inlineStr"/>
      <c r="Y1759" s="5" t="inlineStr"/>
      <c r="Z1759" s="6" t="inlineStr"/>
      <c r="AA1759" s="5" t="inlineStr"/>
      <c r="AB1759" s="5" t="inlineStr"/>
      <c r="AC1759" s="5" t="inlineStr"/>
      <c r="AD1759" s="5" t="inlineStr"/>
      <c r="AE1759" s="5" t="inlineStr"/>
      <c r="AF1759" s="5" t="inlineStr"/>
      <c r="AG1759" s="5" t="inlineStr">
        <is>
          <t>evli</t>
        </is>
      </c>
      <c r="AH1759" s="5" t="inlineStr"/>
      <c r="AI1759" s="5" t="inlineStr"/>
    </row>
    <row r="1760">
      <c r="A1760" s="5" t="inlineStr">
        <is>
          <t>b8-orta-yas</t>
        </is>
      </c>
      <c r="B1760" s="5" t="n">
        <v>4</v>
      </c>
      <c r="C1760" s="6" t="inlineStr">
        <is>
          <t>Motosiklet al, eşine sonra söyle</t>
        </is>
      </c>
      <c r="D1760" s="5" t="inlineStr">
        <is>
          <t>Pişkinlik</t>
        </is>
      </c>
      <c r="E1760" s="5" t="inlineStr">
        <is>
          <t>Zor</t>
        </is>
      </c>
      <c r="F1760" s="5" t="inlineStr"/>
      <c r="G1760" s="6" t="inlineStr"/>
      <c r="H1760" s="6" t="inlineStr">
        <is>
          <t>Motosikleti eve getirdin. Eşin önce güldü, sonra kaskı aldı, sonra arkana bindi. Pazar sabahları artık sahil yolundasınız.</t>
        </is>
      </c>
      <c r="I1760" s="6" t="inlineStr">
        <is>
          <t>Eşin motosikleti öyle sevdi ki ehliyet kursuna yazıldı. Şimdi iki motosikletiniz var; biri onun, daha büyüğü.</t>
        </is>
      </c>
      <c r="J1760" s="6" t="inlineStr">
        <is>
          <t>Eşin motosikleti gördü ve hiçbir şey demedi. İki hafta boyunca hiçbir şey demedi. Motosikleti sattın.</t>
        </is>
      </c>
      <c r="K1760" s="6" t="inlineStr">
        <is>
          <t>Eşin motosikleti gördü, sonra seni, sonra bir avukatı aradı. Motosiklet sende kaldı; ev onda.</t>
        </is>
      </c>
      <c r="L1760" s="6" t="inlineStr"/>
      <c r="M1760" s="5" t="inlineStr"/>
      <c r="N1760" s="5" t="inlineStr"/>
      <c r="O1760" s="6" t="inlineStr"/>
      <c r="P1760" s="6" t="inlineStr"/>
      <c r="Q1760" s="5" t="inlineStr"/>
      <c r="R1760" s="5" t="inlineStr">
        <is>
          <t>evli</t>
        </is>
      </c>
      <c r="S1760" s="5" t="inlineStr"/>
      <c r="T1760" s="5" t="inlineStr"/>
      <c r="U1760" s="5" t="inlineStr"/>
      <c r="V1760" s="5" t="inlineStr">
        <is>
          <t>motosikletli</t>
        </is>
      </c>
      <c r="W1760" s="5" t="inlineStr">
        <is>
          <t>-evli, bosandi</t>
        </is>
      </c>
      <c r="X1760" s="5" t="inlineStr"/>
      <c r="Y1760" s="5" t="inlineStr"/>
      <c r="Z1760" s="6" t="inlineStr"/>
      <c r="AA1760" s="5" t="inlineStr"/>
      <c r="AB1760" s="5" t="inlineStr"/>
      <c r="AC1760" s="5" t="inlineStr"/>
      <c r="AD1760" s="5" t="inlineStr"/>
      <c r="AE1760" s="5" t="inlineStr"/>
      <c r="AF1760" s="5" t="inlineStr"/>
      <c r="AG1760" s="5" t="inlineStr"/>
      <c r="AH1760" s="5" t="inlineStr"/>
      <c r="AI1760" s="5" t="inlineStr"/>
    </row>
    <row r="1761">
      <c r="A1761" s="5" t="inlineStr">
        <is>
          <t>b8-orta-yas</t>
        </is>
      </c>
      <c r="B1761" s="5" t="n">
        <v>5</v>
      </c>
      <c r="C1761" s="6" t="inlineStr">
        <is>
          <t>Müdürlüğe son bir kez oyna</t>
        </is>
      </c>
      <c r="D1761" s="5" t="inlineStr">
        <is>
          <t>Dayanıklılık</t>
        </is>
      </c>
      <c r="E1761" s="5" t="inlineStr">
        <is>
          <t>Zor</t>
        </is>
      </c>
      <c r="F1761" s="5" t="inlineStr"/>
      <c r="G1761" s="6" t="inlineStr"/>
      <c r="H1761" s="6" t="inlineStr">
        <is>
          <t>Müdür oldun. Kapına “Lütfen kapıyı çalınız” yazısı asıldı; ilk çalan, eski müdürün.</t>
        </is>
      </c>
      <c r="I1761" s="6" t="inlineStr">
        <is>
          <t>Genel müdürlüğe çağrıldın. Yeni masanda üç telefon var; biri hiç çalmıyor, sadece duruyor.</t>
        </is>
      </c>
      <c r="J1761" s="6" t="inlineStr">
        <is>
          <t>Müdürlük mülakatında yirmi yıllık tecrüben tek bir çoktan seçmeli soruya sığmadı. Masan yerinde kaldı; çayın da.</t>
        </is>
      </c>
      <c r="K1761" s="6" t="inlineStr">
        <is>
          <t>Terfi dilekçeni yanlış birime verdin. Dilekçe hâlâ dolaşıyor; sen de yerindesin.</t>
        </is>
      </c>
      <c r="L1761" s="6" t="inlineStr"/>
      <c r="M1761" s="5" t="inlineStr"/>
      <c r="N1761" s="5" t="inlineStr"/>
      <c r="O1761" s="6" t="inlineStr"/>
      <c r="P1761" s="6" t="inlineStr"/>
      <c r="Q1761" s="5" t="inlineStr"/>
      <c r="R1761" s="5" t="inlineStr">
        <is>
          <t>meslek-memur</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hat-polis, hat-yargi, hat-hekim</t>
        </is>
      </c>
      <c r="AH1761" s="5" t="inlineStr"/>
      <c r="AI1761" s="5" t="inlineStr"/>
    </row>
    <row r="1762">
      <c r="A1762" s="5" t="inlineStr">
        <is>
          <t>b8-orta-yas</t>
        </is>
      </c>
      <c r="B1762" s="5" t="n">
        <v>6</v>
      </c>
      <c r="C1762" s="6" t="inlineStr">
        <is>
          <t>Direktörlüğe son bir kez oyna</t>
        </is>
      </c>
      <c r="D1762" s="5" t="inlineStr">
        <is>
          <t>Akıl</t>
        </is>
      </c>
      <c r="E1762" s="5" t="inlineStr">
        <is>
          <t>Zor</t>
        </is>
      </c>
      <c r="F1762" s="5" t="inlineStr"/>
      <c r="G1762" s="6" t="inlineStr"/>
      <c r="H1762" s="6" t="inlineStr">
        <is>
          <t>Direktör oldun. Takviminde tek boş saat kendi doğum günün; o da “belki” olarak işaretli.</t>
        </is>
      </c>
      <c r="I1762" s="6" t="inlineStr">
        <is>
          <t>Yönetim kuruluna girdin. Kartvizitini annene verdin; çerçeveletip vitrinde kristal şekerliğin yanına koydu.</t>
        </is>
      </c>
      <c r="J1762" s="6" t="inlineStr">
        <is>
          <t>Direktörlük otuz yaşındaki bir “yetenek”e gitti. Sen ona sunum yapmayı öğretiyorsun.</t>
        </is>
      </c>
      <c r="K1762" s="6" t="inlineStr">
        <is>
          <t>Terfi sunumunda ekranın açık kaldı; alışveriş sepetin bütün yönetimin gözü önündeydi.</t>
        </is>
      </c>
      <c r="L1762" s="6" t="inlineStr"/>
      <c r="M1762" s="5" t="inlineStr"/>
      <c r="N1762" s="5" t="inlineStr"/>
      <c r="O1762" s="6" t="inlineStr"/>
      <c r="P1762" s="6" t="inlineStr"/>
      <c r="Q1762" s="5" t="inlineStr"/>
      <c r="R1762" s="5" t="inlineStr">
        <is>
          <t>meslek-beyazyaka</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hat-goc</t>
        </is>
      </c>
      <c r="AH1762" s="5" t="inlineStr"/>
      <c r="AI1762" s="5" t="inlineStr"/>
    </row>
    <row r="1763">
      <c r="A1763" s="5" t="inlineStr">
        <is>
          <t>b8-orta-yas</t>
        </is>
      </c>
      <c r="B1763" s="5" t="n">
        <v>7</v>
      </c>
      <c r="C1763" s="6" t="inlineStr">
        <is>
          <t>Çarşı başkanlığına oyna</t>
        </is>
      </c>
      <c r="D1763" s="5" t="inlineStr">
        <is>
          <t>Çene</t>
        </is>
      </c>
      <c r="E1763" s="5" t="inlineStr">
        <is>
          <t>Zor</t>
        </is>
      </c>
      <c r="F1763" s="5" t="inlineStr"/>
      <c r="G1763" s="6" t="inlineStr"/>
      <c r="H1763" s="6" t="inlineStr">
        <is>
          <t>Çarşı derneği başkanı oldun. Senin onayın olmadan kimse tabela asamıyor.</t>
        </is>
      </c>
      <c r="I1763" s="6" t="inlineStr">
        <is>
          <t>Çarşı gayriresmî olarak senin adınla anılıyor. Belediye tabelayı değiştirmeyi ciddi ciddi düşünüyor.</t>
        </is>
      </c>
      <c r="J1763" s="6" t="inlineStr">
        <is>
          <t>Dernek seçimini karşı dükkân bir oy farkla kazandı. O oy, senin çırağınındı.</t>
        </is>
      </c>
      <c r="K1763" s="6" t="inlineStr">
        <is>
          <t>Seçim günü kepenk kapandı, içeride kaldın, oy kullanamadın. Fark bir oydu.</t>
        </is>
      </c>
      <c r="L1763" s="6" t="inlineStr"/>
      <c r="M1763" s="5" t="inlineStr"/>
      <c r="N1763" s="5" t="inlineStr"/>
      <c r="O1763" s="6" t="inlineStr"/>
      <c r="P1763" s="6" t="inlineStr"/>
      <c r="Q1763" s="5" t="inlineStr"/>
      <c r="R1763" s="5" t="inlineStr">
        <is>
          <t>meslek-esnaf</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hat-cete, hat-koy, hat-usta</t>
        </is>
      </c>
      <c r="AH1763" s="5" t="inlineStr"/>
      <c r="AI1763" s="5" t="inlineStr"/>
    </row>
    <row r="1764">
      <c r="A1764" s="5" t="inlineStr">
        <is>
          <t>b8-orta-yas</t>
        </is>
      </c>
      <c r="B1764" s="5" t="n">
        <v>8</v>
      </c>
      <c r="C1764" s="6" t="inlineStr">
        <is>
          <t>Kendi ajansını kur</t>
        </is>
      </c>
      <c r="D1764" s="5" t="inlineStr">
        <is>
          <t>Pişkinlik</t>
        </is>
      </c>
      <c r="E1764" s="5" t="inlineStr">
        <is>
          <t>Zor</t>
        </is>
      </c>
      <c r="F1764" s="5" t="inlineStr"/>
      <c r="G1764" s="6" t="inlineStr"/>
      <c r="H1764" s="6" t="inlineStr">
        <is>
          <t>Kendi ajansını kurdun. Artık gece yarısı “Küçük bir revizyon” mesajını sen atıyorsun.</t>
        </is>
      </c>
      <c r="I1764" s="6" t="inlineStr">
        <is>
          <t>Ajansın büyüdü; eski müşterilerin artık seni kovalıyor, fatura için değil, randevu için.</t>
        </is>
      </c>
      <c r="J1764" s="6" t="inlineStr">
        <is>
          <t>Ajans planın bir sunumda kaldı. Sunum güzeldi; faturası hâlâ ödenmedi.</t>
        </is>
      </c>
      <c r="K1764" s="6" t="inlineStr">
        <is>
          <t>Ortağın müşterileri alıp gitti. Sana ajansın logosu kaldı; o da senin tasarımındı.</t>
        </is>
      </c>
      <c r="L1764" s="6" t="inlineStr"/>
      <c r="M1764" s="5" t="inlineStr"/>
      <c r="N1764" s="5" t="inlineStr"/>
      <c r="O1764" s="6" t="inlineStr"/>
      <c r="P1764" s="6" t="inlineStr"/>
      <c r="Q1764" s="5" t="inlineStr"/>
      <c r="R1764" s="5" t="inlineStr">
        <is>
          <t>meslek-serbest</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hat-sohret, hat-dolandirici, hat-girisimci</t>
        </is>
      </c>
      <c r="AH1764" s="5" t="inlineStr"/>
      <c r="AI1764" s="5" t="inlineStr"/>
    </row>
    <row r="1765">
      <c r="A1765" s="5" t="inlineStr">
        <is>
          <t>b8-orta-yas</t>
        </is>
      </c>
      <c r="B1765" s="5" t="n">
        <v>9</v>
      </c>
      <c r="C1765" s="6" t="inlineStr">
        <is>
          <t>Emniyet müdürlüğüne oyna</t>
        </is>
      </c>
      <c r="D1765" s="5" t="inlineStr">
        <is>
          <t>Cesaret</t>
        </is>
      </c>
      <c r="E1765" s="5" t="inlineStr">
        <is>
          <t>Zor</t>
        </is>
      </c>
      <c r="F1765" s="5" t="inlineStr"/>
      <c r="G1765" s="6" t="inlineStr"/>
      <c r="H1765" s="6" t="inlineStr">
        <is>
          <t>Emniyet müdürü oldun. Eski devriye arkadaşların hâlâ “Yavaş koş” diye takılıyor.</t>
        </is>
      </c>
      <c r="I1765" s="6" t="inlineStr">
        <is>
          <t>İlk gününde yirmi yıllık bir dosyayı kapattın: karakolun kayıp çaydanlığı. Bulundu; müdürün odasındaydı.</t>
        </is>
      </c>
      <c r="J1765" s="6" t="inlineStr">
        <is>
          <t>Müdürlük başka birine gitti. Masanda kalan tek terfi, yeni bir mühür.</t>
        </is>
      </c>
      <c r="K1765" s="6" t="inlineStr">
        <is>
          <t>Tören provasında selamı ters verdin; video herkese ulaştı. Terfi başka bahara.</t>
        </is>
      </c>
      <c r="L1765" s="6" t="inlineStr"/>
      <c r="M1765" s="5" t="inlineStr"/>
      <c r="N1765" s="5" t="inlineStr"/>
      <c r="O1765" s="6" t="inlineStr"/>
      <c r="P1765" s="6" t="inlineStr"/>
      <c r="Q1765" s="5" t="inlineStr"/>
      <c r="R1765" s="5" t="inlineStr">
        <is>
          <t>hat-polis</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polis-mudur</t>
        </is>
      </c>
      <c r="AH1765" s="5" t="inlineStr"/>
      <c r="AI1765" s="5" t="inlineStr"/>
    </row>
    <row r="1766">
      <c r="A1766" s="5" t="inlineStr">
        <is>
          <t>b8-orta-yas</t>
        </is>
      </c>
      <c r="B1766" s="5" t="n">
        <v>10</v>
      </c>
      <c r="C1766" s="6" t="inlineStr">
        <is>
          <t>Yüksek mahkemeye oyna</t>
        </is>
      </c>
      <c r="D1766" s="5" t="inlineStr">
        <is>
          <t>Akıl</t>
        </is>
      </c>
      <c r="E1766" s="5" t="inlineStr">
        <is>
          <t>Zor</t>
        </is>
      </c>
      <c r="F1766" s="5" t="inlineStr"/>
      <c r="G1766" s="6" t="inlineStr"/>
      <c r="H1766" s="6" t="inlineStr">
        <is>
          <t>Yüksek mahkemeye seçildin. Cübben artık tam oturuyor; terzi haklıymış.</t>
        </is>
      </c>
      <c r="I1766" s="6" t="inlineStr">
        <is>
          <t>Yazdığın bir karar ders kitaplarına girdi. Öğrenciler senin cümlelerinle sınava giriyor; seni hâlâ tanımıyorlar.</t>
        </is>
      </c>
      <c r="J1766" s="6" t="inlineStr">
        <is>
          <t>Listede adın vardı, sonra yoktu. Kimse nedenini açıklamadı; gerekçeli karar da gelmedi.</t>
        </is>
      </c>
      <c r="K1766" s="6" t="inlineStr">
        <is>
          <t>Mülakatta farkında olmadan kendi eski kararını eleştirdin. Kurul çok güldü; seçmedi.</t>
        </is>
      </c>
      <c r="L1766" s="6" t="inlineStr"/>
      <c r="M1766" s="5" t="inlineStr"/>
      <c r="N1766" s="5" t="inlineStr"/>
      <c r="O1766" s="6" t="inlineStr"/>
      <c r="P1766" s="6" t="inlineStr"/>
      <c r="Q1766" s="5" t="inlineStr"/>
      <c r="R1766" s="5" t="inlineStr">
        <is>
          <t>hat-yargi</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c r="AH1766" s="5" t="inlineStr"/>
      <c r="AI1766" s="5" t="inlineStr"/>
    </row>
    <row r="1767">
      <c r="A1767" s="5" t="inlineStr">
        <is>
          <t>b8-orta-yas</t>
        </is>
      </c>
      <c r="B1767" s="5" t="n">
        <v>11</v>
      </c>
      <c r="C1767" s="6" t="inlineStr">
        <is>
          <t>Profesörlüğe oyna</t>
        </is>
      </c>
      <c r="D1767" s="5" t="inlineStr">
        <is>
          <t>Akıl</t>
        </is>
      </c>
      <c r="E1767" s="5" t="inlineStr">
        <is>
          <t>Zor</t>
        </is>
      </c>
      <c r="F1767" s="5" t="inlineStr"/>
      <c r="G1767" s="6" t="inlineStr"/>
      <c r="H1767" s="6" t="inlineStr">
        <is>
          <t>Profesör oldun. Aile grubundaki teyzen artık seni “Hocam” diye etiketliyor; semptomlarla birlikte.</t>
        </is>
      </c>
      <c r="I1767" s="6" t="inlineStr">
        <is>
          <t>Adını taşıyan bir ameliyat tekniği var. Kimse doğru telaffuz edemiyor; herkes uyguluyor.</t>
        </is>
      </c>
      <c r="J1767" s="6" t="inlineStr">
        <is>
          <t>Profesörlük jürisi dosyanı bir yıl erteledi. Sen de bir yıl daha nöbet tuttun.</t>
        </is>
      </c>
      <c r="K1767" s="6" t="inlineStr">
        <is>
          <t>Jüri sunumunda slaytların yerine tatil fotoğrafların açıldı. Jüri denizi beğendi, dosyayı beğenmedi.</t>
        </is>
      </c>
      <c r="L1767" s="6" t="inlineStr"/>
      <c r="M1767" s="5" t="inlineStr"/>
      <c r="N1767" s="5" t="inlineStr"/>
      <c r="O1767" s="6" t="inlineStr"/>
      <c r="P1767" s="6" t="inlineStr"/>
      <c r="Q1767" s="5" t="inlineStr"/>
      <c r="R1767" s="5" t="inlineStr">
        <is>
          <t>hat-hekim</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row>
    <row r="1768">
      <c r="A1768" s="5" t="inlineStr">
        <is>
          <t>b8-orta-yas</t>
        </is>
      </c>
      <c r="B1768" s="5" t="n">
        <v>12</v>
      </c>
      <c r="C1768" s="6" t="inlineStr">
        <is>
          <t>Meclise girmeye oyna</t>
        </is>
      </c>
      <c r="D1768" s="5" t="inlineStr">
        <is>
          <t>Çene</t>
        </is>
      </c>
      <c r="E1768" s="5" t="inlineStr">
        <is>
          <t>Zor</t>
        </is>
      </c>
      <c r="F1768" s="5" t="inlineStr"/>
      <c r="G1768" s="6" t="inlineStr"/>
      <c r="H1768" s="6" t="inlineStr">
        <is>
          <t>Makarya Meclisi'ne girdin. İlk konuşmanda mikrofon kapalıydı; yine de alkış aldın.</t>
        </is>
      </c>
      <c r="I1768" s="6" t="inlineStr">
        <is>
          <t>İlk konuşman öyle yankı yaptı ki iki parti seni transfer etmek istedi. Birinin adını hâlâ bilmiyorsun.</t>
        </is>
      </c>
      <c r="J1768" s="6" t="inlineStr">
        <is>
          <t>Listede bir sıra aşağıdaydın. Bir oy fark etti; o oy senin de değildi, sandığa geç kaldın.</t>
        </is>
      </c>
      <c r="K1768" s="6" t="inlineStr">
        <is>
          <t>Mitingde rakibin sloganını söyledin. Kalabalık coştu; rakibin kazandı.</t>
        </is>
      </c>
      <c r="L1768" s="6" t="inlineStr"/>
      <c r="M1768" s="5" t="inlineStr"/>
      <c r="N1768" s="5" t="inlineStr"/>
      <c r="O1768" s="6" t="inlineStr"/>
      <c r="P1768" s="6" t="inlineStr"/>
      <c r="Q1768" s="5" t="inlineStr"/>
      <c r="R1768" s="5" t="inlineStr">
        <is>
          <t>hat-politika</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c r="AH1768" s="5" t="inlineStr"/>
      <c r="AI1768" s="5" t="inlineStr"/>
    </row>
    <row r="1769">
      <c r="A1769" s="5" t="inlineStr">
        <is>
          <t>b8-orta-yas</t>
        </is>
      </c>
      <c r="B1769" s="5" t="n">
        <v>13</v>
      </c>
      <c r="C1769" s="6" t="inlineStr">
        <is>
          <t>Semtin büyük masasına oyna</t>
        </is>
      </c>
      <c r="D1769" s="5" t="inlineStr">
        <is>
          <t>Cesaret</t>
        </is>
      </c>
      <c r="E1769" s="5" t="inlineStr">
        <is>
          <t>Zor</t>
        </is>
      </c>
      <c r="F1769" s="5" t="inlineStr"/>
      <c r="G1769" s="6" t="inlineStr"/>
      <c r="H1769" s="6" t="inlineStr">
        <is>
          <t>Semtin bütün kahveleri seni tanıyor. Düğünlerde takı sırası artık senden başlıyor.</t>
        </is>
      </c>
      <c r="I1769" s="6" t="inlineStr">
        <is>
          <t>Üç mahalle sana bağlandı. Belediye bile bir çukuru kapatmadan önce kahveye uğruyor.</t>
        </is>
      </c>
      <c r="J1769" s="6" t="inlineStr">
        <is>
          <t>Semtin büyük masası yaşlı bir abiye kaldı. Sen yine yanındasın; çayı sen koyuyorsun.</t>
        </is>
      </c>
      <c r="K1769" s="6" t="inlineStr">
        <is>
          <t>Toplantıda yanlış masaya oturdun: rakip abinin masasına. Üç ay kimse selamını almadı.</t>
        </is>
      </c>
      <c r="L1769" s="6" t="inlineStr"/>
      <c r="M1769" s="5" t="inlineStr"/>
      <c r="N1769" s="5" t="inlineStr"/>
      <c r="O1769" s="6" t="inlineStr"/>
      <c r="P1769" s="6" t="inlineStr"/>
      <c r="Q1769" s="5" t="inlineStr"/>
      <c r="R1769" s="5" t="inlineStr">
        <is>
          <t>hat-cete</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Varlıklı</t>
        </is>
      </c>
      <c r="AE1769" s="5" t="inlineStr"/>
      <c r="AF1769" s="5" t="inlineStr"/>
      <c r="AG1769" s="5" t="inlineStr"/>
      <c r="AH1769" s="5" t="inlineStr"/>
      <c r="AI1769" s="5" t="inlineStr"/>
    </row>
    <row r="1770">
      <c r="A1770" s="5" t="inlineStr">
        <is>
          <t>b8-orta-yas</t>
        </is>
      </c>
      <c r="B1770" s="5" t="n">
        <v>14</v>
      </c>
      <c r="C1770" s="6" t="inlineStr">
        <is>
          <t>Stadyum seminerine oyna</t>
        </is>
      </c>
      <c r="D1770" s="5" t="inlineStr">
        <is>
          <t>Kurnazlık</t>
        </is>
      </c>
      <c r="E1770" s="5" t="inlineStr">
        <is>
          <t>Zor</t>
        </is>
      </c>
      <c r="F1770" s="5" t="inlineStr"/>
      <c r="G1770" s="6" t="inlineStr"/>
      <c r="H1770" s="6" t="inlineStr">
        <is>
          <t>Yatırım kulübünün üye sayısı on bini geçti. Hiçbiri ne sattığını bilmiyor; sen de.</t>
        </is>
      </c>
      <c r="I1770" s="6" t="inlineStr">
        <is>
          <t>Seminerlerin artık stadyumda. Kapıda satılan kitabının adı “Kolay Para Yoktur.” En çok satan kitap.</t>
        </is>
      </c>
      <c r="J1770" s="6" t="inlineStr">
        <is>
          <t>Büyük seminer için tuttuğun salon boş kaldı. Katılan tek kişi iade istedi; hayatında ilk kez iade ettin.</t>
        </is>
      </c>
      <c r="K1770" s="6" t="inlineStr">
        <is>
          <t>Ön sırada oturan izleyici bir müfettişti. Sunumun ilk slaytında sohbet, ikincisinde tutanak başladı.</t>
        </is>
      </c>
      <c r="L1770" s="6" t="inlineStr"/>
      <c r="M1770" s="5" t="inlineStr"/>
      <c r="N1770" s="5" t="inlineStr"/>
      <c r="O1770" s="6" t="inlineStr"/>
      <c r="P1770" s="6" t="inlineStr"/>
      <c r="Q1770" s="5" t="inlineStr"/>
      <c r="R1770" s="5" t="inlineStr">
        <is>
          <t>hat-dolandirici</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row>
    <row r="1771">
      <c r="A1771" s="5" t="inlineStr">
        <is>
          <t>b8-orta-yas</t>
        </is>
      </c>
      <c r="B1771" s="5" t="n">
        <v>15</v>
      </c>
      <c r="C1771" s="6" t="inlineStr">
        <is>
          <t>Yılın yüzü olmaya oyna</t>
        </is>
      </c>
      <c r="D1771" s="5" t="inlineStr">
        <is>
          <t>Pişkinlik</t>
        </is>
      </c>
      <c r="E1771" s="5" t="inlineStr">
        <is>
          <t>Zor</t>
        </is>
      </c>
      <c r="F1771" s="5" t="inlineStr"/>
      <c r="G1771" s="6" t="inlineStr"/>
      <c r="H1771" s="6" t="inlineStr">
        <is>
          <t>Yılın yüzü seçildin. Teşekkür listen annenden başlayıp kuaförünle bitti.</t>
        </is>
      </c>
      <c r="I1771" s="6" t="inlineStr">
        <is>
          <t>Bir balmumu heykelin yapıldı. Heykel senden genç duruyor; biraz kıskanıyorsun.</t>
        </is>
      </c>
      <c r="J1771" s="6" t="inlineStr">
        <is>
          <t>Ödül rakibine gitti. Sen alkışlarken kamera sana döndü; alkışın biraz kısa kaldı.</t>
        </is>
      </c>
      <c r="K1771" s="6" t="inlineStr">
        <is>
          <t>Ödül töreninde eski menajerine teşekkür ettin, yanlışlıkla. Menajer ertesi gün aradı; barıştınız, işin yok.</t>
        </is>
      </c>
      <c r="L1771" s="6" t="inlineStr"/>
      <c r="M1771" s="5" t="inlineStr"/>
      <c r="N1771" s="5" t="inlineStr"/>
      <c r="O1771" s="6" t="inlineStr"/>
      <c r="P1771" s="6" t="inlineStr"/>
      <c r="Q1771" s="5" t="inlineStr"/>
      <c r="R1771" s="5" t="inlineStr">
        <is>
          <t>hat-sohret</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row>
    <row r="1772">
      <c r="A1772" s="5" t="inlineStr">
        <is>
          <t>b8-orta-yas</t>
        </is>
      </c>
      <c r="B1772" s="5" t="n">
        <v>16</v>
      </c>
      <c r="C1772" s="6" t="inlineStr">
        <is>
          <t>Şirketi büyütmeye oyna</t>
        </is>
      </c>
      <c r="D1772" s="5" t="inlineStr">
        <is>
          <t>Akıl</t>
        </is>
      </c>
      <c r="E1772" s="5" t="inlineStr">
        <is>
          <t>Zor</t>
        </is>
      </c>
      <c r="F1772" s="5" t="inlineStr"/>
      <c r="G1772" s="6" t="inlineStr"/>
      <c r="H1772" s="6" t="inlineStr">
        <is>
          <t>Şirketin sektörünün en büyüğü oldu. Logoyu değiştirmek için üç ay toplantı yaptınız.</t>
        </is>
      </c>
      <c r="I1772" s="6" t="inlineStr">
        <is>
          <t>Şirketin halka açıldı. Annen hisse aldı; her sabah fiyatı sana soruyor.</t>
        </is>
      </c>
      <c r="J1772" s="6" t="inlineStr">
        <is>
          <t>Büyüme turu kapanmadı. Şirketin küçük ve kârlı kaldı; bu cümleyi yatırımcılara hâlâ anlatamıyorsun.</t>
        </is>
      </c>
      <c r="K1772" s="6" t="inlineStr">
        <is>
          <t>Büyük anlaşmanın imza gününde kalemi unuttun. Karşı taraf “Bu bir işaret” dedi ve kalktı.</t>
        </is>
      </c>
      <c r="L1772" s="6" t="inlineStr"/>
      <c r="M1772" s="5" t="inlineStr"/>
      <c r="N1772" s="5" t="inlineStr"/>
      <c r="O1772" s="6" t="inlineStr"/>
      <c r="P1772" s="6" t="inlineStr"/>
      <c r="Q1772" s="5" t="inlineStr"/>
      <c r="R1772" s="5" t="inlineStr">
        <is>
          <t>hat-girisimci</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row>
    <row r="1773">
      <c r="A1773" s="5" t="inlineStr">
        <is>
          <t>b8-orta-yas</t>
        </is>
      </c>
      <c r="B1773" s="5" t="n">
        <v>17</v>
      </c>
      <c r="C1773" s="6" t="inlineStr">
        <is>
          <t>Öte Diyar'da kendi dükkânını aç</t>
        </is>
      </c>
      <c r="D1773" s="5" t="inlineStr">
        <is>
          <t>Dayanıklılık</t>
        </is>
      </c>
      <c r="E1773" s="5" t="inlineStr">
        <is>
          <t>Zor</t>
        </is>
      </c>
      <c r="F1773" s="5" t="inlineStr"/>
      <c r="G1773" s="6" t="inlineStr"/>
      <c r="H1773" s="6" t="inlineStr">
        <is>
          <t>Öte Diyar'da kendi dükkânını açtın; tabelada adın ilk kez doğru yazılmış.</t>
        </is>
      </c>
      <c r="I1773" s="6" t="inlineStr">
        <is>
          <t>Öte Diyar'ın bir gazetesi seni “yılın göçmeni” seçti. Memlekette haberin başlığını “Bizim çocuk” diye çevirdiler.</t>
        </is>
      </c>
      <c r="J1773" s="6" t="inlineStr">
        <is>
          <t>Dükkân başvurusunun bir sayfası iki dilde de eksik çıktı. Başkasının tezgâhında devam ediyorsun; tabelada yine başkasının adı var.</t>
        </is>
      </c>
      <c r="K1773" s="6" t="inlineStr">
        <is>
          <t>Açılış günü kurdeleyi kestin, içeri bir müfettiş girdi. İzin belgen başka bir dükkânınmış. Açılış ve kapanış aynı fotoğrafta.</t>
        </is>
      </c>
      <c r="L1773" s="6" t="inlineStr"/>
      <c r="M1773" s="5" t="inlineStr"/>
      <c r="N1773" s="5" t="inlineStr"/>
      <c r="O1773" s="6" t="inlineStr"/>
      <c r="P1773" s="6" t="inlineStr"/>
      <c r="Q1773" s="5" t="inlineStr"/>
      <c r="R1773" s="5" t="inlineStr">
        <is>
          <t>hat-goc</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Rahat</t>
        </is>
      </c>
      <c r="AE1773" s="5" t="inlineStr"/>
      <c r="AF1773" s="5" t="inlineStr"/>
      <c r="AG1773" s="5" t="inlineStr">
        <is>
          <t>ote-diyar-dukkani</t>
        </is>
      </c>
      <c r="AH1773" s="5" t="inlineStr"/>
      <c r="AI1773" s="5" t="inlineStr"/>
    </row>
    <row r="1774">
      <c r="A1774" s="5" t="inlineStr">
        <is>
          <t>b8-orta-yas</t>
        </is>
      </c>
      <c r="B1774" s="5" t="n">
        <v>18</v>
      </c>
      <c r="C1774" s="6" t="inlineStr">
        <is>
          <t>Muhtarlığa aday ol</t>
        </is>
      </c>
      <c r="D1774" s="5" t="inlineStr">
        <is>
          <t>Sosyal Radar</t>
        </is>
      </c>
      <c r="E1774" s="5" t="inlineStr">
        <is>
          <t>Zor</t>
        </is>
      </c>
      <c r="F1774" s="5" t="inlineStr"/>
      <c r="G1774" s="6" t="inlineStr"/>
      <c r="H1774" s="6" t="inlineStr">
        <is>
          <t>Köyün muhtarı seçildin. İlk icraatın keçiler için hız sınırı.</t>
        </is>
      </c>
      <c r="I1774" s="6" t="inlineStr">
        <is>
          <t>Köyün ünlü oldu; şehirden tur otobüsleri geliyor. Keçilerle fotoğraf ücretli.</t>
        </is>
      </c>
      <c r="J1774" s="6" t="inlineStr">
        <is>
          <t>Muhtarlık seçimini yirmi yıllık muhtara kaybettin. Seni kahvede yardımcısı ilan etti; maaşsız.</t>
        </is>
      </c>
      <c r="K1774" s="6" t="inlineStr">
        <is>
          <t>Seçim günü keçiler sandığı devirdi. Oylar yeniden sayıldı; keçiler karşı tarafı destekliyormuş.</t>
        </is>
      </c>
      <c r="L1774" s="6" t="inlineStr"/>
      <c r="M1774" s="5" t="inlineStr"/>
      <c r="N1774" s="5" t="inlineStr"/>
      <c r="O1774" s="6" t="inlineStr"/>
      <c r="P1774" s="6" t="inlineStr"/>
      <c r="Q1774" s="5" t="inlineStr"/>
      <c r="R1774" s="5" t="inlineStr">
        <is>
          <t>hat-koy</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Orta</t>
        </is>
      </c>
      <c r="AE1774" s="5" t="inlineStr"/>
      <c r="AF1774" s="5" t="inlineStr"/>
      <c r="AG1774" s="5" t="inlineStr">
        <is>
          <t>muhtar</t>
        </is>
      </c>
      <c r="AH1774" s="5" t="inlineStr"/>
      <c r="AI1774" s="5" t="inlineStr"/>
    </row>
    <row r="1775">
      <c r="A1775" s="5" t="inlineStr">
        <is>
          <t>b8-orta-yas</t>
        </is>
      </c>
      <c r="B1775" s="5" t="n">
        <v>19</v>
      </c>
      <c r="C1775" s="6" t="inlineStr">
        <is>
          <t>Ustaların ustası olmaya oyna</t>
        </is>
      </c>
      <c r="D1775" s="5" t="inlineStr">
        <is>
          <t>Akıl</t>
        </is>
      </c>
      <c r="E1775" s="5" t="inlineStr">
        <is>
          <t>Zor</t>
        </is>
      </c>
      <c r="F1775" s="5" t="inlineStr"/>
      <c r="G1775" s="6" t="inlineStr"/>
      <c r="H1775" s="6" t="inlineStr">
        <is>
          <t>Sanayinin “ustaların ustası” oldun. Çözülemeyen arıza sana gelir; ya çözülür ya efsane olur.</t>
        </is>
      </c>
      <c r="I1775" s="6" t="inlineStr">
        <is>
          <t>Yetiştirdiğin çıraklar üç sanayide dükkân açtı. Hepsinin duvarında senin fotoğrafın var; biraz gençken çekilmiş.</t>
        </is>
      </c>
      <c r="J1775" s="6" t="inlineStr">
        <is>
          <t>Sanayi ustaları çözülemeyen bir arızayı sana getirdi; çözemedin. Genç bir çırak çözdü: seninki.</t>
        </is>
      </c>
      <c r="K1775" s="6" t="inlineStr">
        <is>
          <t>Ustalık gösterisinde motoru ters taktın. Motor çalıştı; ters yöne.</t>
        </is>
      </c>
      <c r="L1775" s="6" t="inlineStr"/>
      <c r="M1775" s="5" t="inlineStr"/>
      <c r="N1775" s="5" t="inlineStr"/>
      <c r="O1775" s="6" t="inlineStr"/>
      <c r="P1775" s="6" t="inlineStr"/>
      <c r="Q1775" s="5" t="inlineStr"/>
      <c r="R1775" s="5" t="inlineStr">
        <is>
          <t>hat-usta</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Rahat</t>
        </is>
      </c>
      <c r="AE1775" s="5" t="inlineStr"/>
      <c r="AF1775" s="5" t="inlineStr"/>
      <c r="AG1775" s="5" t="inlineStr"/>
      <c r="AH1775" s="5" t="inlineStr"/>
      <c r="AI1775" s="5" t="inlineStr"/>
    </row>
    <row r="1776">
      <c r="A1776" s="5" t="inlineStr">
        <is>
          <t>b8-buyuk-firsat</t>
        </is>
      </c>
      <c r="B1776" s="5" t="n">
        <v>1</v>
      </c>
      <c r="C1776" s="6" t="inlineStr">
        <is>
          <t>Üçünü de kibarca geri çevir</t>
        </is>
      </c>
      <c r="D1776" s="5" t="inlineStr"/>
      <c r="E1776" s="5" t="inlineStr"/>
      <c r="F1776" s="5" t="inlineStr">
        <is>
          <t>İtibar +1, Dayanıklılık +1</t>
        </is>
      </c>
      <c r="G1776" s="6" t="inlineStr">
        <is>
          <t>Üç telefonu da kibarca kapattın. Doğum günü pastanın üstündeki mum “50” yazıyordu; üflediğinde bir dilek tuttun, söylemedin.</t>
        </is>
      </c>
      <c r="H1776" s="6" t="inlineStr"/>
      <c r="I1776" s="6" t="inlineStr"/>
      <c r="J1776" s="6" t="inlineStr"/>
      <c r="K1776" s="6" t="inlineStr"/>
      <c r="L1776" s="6" t="inlineStr"/>
      <c r="M1776" s="5" t="inlineStr"/>
      <c r="N1776" s="5" t="inlineStr"/>
      <c r="O1776" s="6" t="inlineStr"/>
      <c r="P1776" s="6" t="inlineStr"/>
      <c r="Q1776" s="5" t="inlineStr"/>
      <c r="R1776" s="5" t="inlineStr"/>
      <c r="S1776" s="5" t="inlineStr"/>
      <c r="T1776" s="5" t="inlineStr"/>
      <c r="U1776" s="5" t="inlineStr"/>
      <c r="V1776" s="5" t="inlineStr"/>
      <c r="W1776" s="5" t="inlineStr"/>
      <c r="X1776" s="5" t="inlineStr"/>
      <c r="Y1776" s="5" t="inlineStr"/>
      <c r="Z1776" s="6" t="inlineStr"/>
      <c r="AA1776" s="5" t="inlineStr"/>
      <c r="AB1776" s="5" t="inlineStr"/>
      <c r="AC1776" s="5" t="inlineStr"/>
      <c r="AD1776" s="5" t="inlineStr"/>
      <c r="AE1776" s="5" t="inlineStr"/>
      <c r="AF1776" s="5" t="inlineStr"/>
      <c r="AG1776" s="5" t="inlineStr"/>
      <c r="AH1776" s="5" t="inlineStr"/>
      <c r="AI1776" s="5" t="inlineStr"/>
    </row>
    <row r="1777">
      <c r="A1777" s="5" t="inlineStr">
        <is>
          <t>b8-buyuk-firsat</t>
        </is>
      </c>
      <c r="B1777" s="5" t="n">
        <v>2</v>
      </c>
      <c r="C1777" s="6" t="inlineStr">
        <is>
          <t>Adaylık teklifini kabul et</t>
        </is>
      </c>
      <c r="D1777" s="5" t="inlineStr">
        <is>
          <t>Çene</t>
        </is>
      </c>
      <c r="E1777" s="5" t="inlineStr">
        <is>
          <t>Zor</t>
        </is>
      </c>
      <c r="F1777" s="5" t="inlineStr"/>
      <c r="G1777" s="6" t="inlineStr"/>
      <c r="H1777" s="6" t="inlineStr">
        <is>
          <t>İl başkanı seni listenin üst sırasına koydu. Afişin ertesi hafta basıldı; fotoğrafın yirmi yıl önceden, sloganın dünden.</t>
        </is>
      </c>
      <c r="I1777" s="6" t="inlineStr">
        <is>
          <t>Adaylığın açıklandığı gün mahallede kendiliğinden bir miting oldu. Kürsü bir çay ocağıydı, kalabalık gerçekti.</t>
        </is>
      </c>
      <c r="J1777" s="6" t="inlineStr">
        <is>
          <t>İl başkanı seni dinledi, sonra listeyi dinledi. Liste senden kalabalıktı; adın yedek sıraya yazıldı.</t>
        </is>
      </c>
      <c r="K1777" s="6" t="inlineStr">
        <is>
          <t>Tanışma toplantısında partinin adını yanlış söyledin; rakip partininkini. İl başkanı telefonu kapattı.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-hat-goc, -hat-hekim, -hat-koy, -hat-polis, -hat-sohret, -hat-usta, -hat-yargi, -meslek-beyazyaka, -meslek-esnaf, -meslek-memur, -meslek-serbest, hat-politika</t>
        </is>
      </c>
      <c r="W1777" s="5" t="inlineStr"/>
      <c r="X1777" s="5" t="inlineStr"/>
      <c r="Y1777" s="5" t="inlineStr"/>
      <c r="Z1777" s="6" t="inlineStr"/>
      <c r="AA1777" s="5" t="inlineStr"/>
      <c r="AB1777" s="5" t="inlineStr"/>
      <c r="AC1777" s="5" t="inlineStr"/>
      <c r="AD1777" s="5" t="inlineStr"/>
      <c r="AE1777" s="5" t="inlineStr"/>
      <c r="AF1777" s="5" t="inlineStr"/>
      <c r="AG1777" s="5" t="inlineStr">
        <is>
          <t>hat-politika</t>
        </is>
      </c>
      <c r="AH1777" s="5" t="inlineStr"/>
      <c r="AI1777" s="5" t="inlineStr"/>
    </row>
    <row r="1778">
      <c r="A1778" s="5" t="inlineStr">
        <is>
          <t>b8-buyuk-firsat</t>
        </is>
      </c>
      <c r="B1778" s="5" t="n">
        <v>3</v>
      </c>
      <c r="C1778" s="6" t="inlineStr">
        <is>
          <t>Öte Diyar'daki teklife evet de</t>
        </is>
      </c>
      <c r="D1778" s="5" t="inlineStr">
        <is>
          <t>Akıl</t>
        </is>
      </c>
      <c r="E1778" s="5" t="inlineStr">
        <is>
          <t>Zor</t>
        </is>
      </c>
      <c r="F1778" s="5" t="inlineStr"/>
      <c r="G1778" s="6" t="inlineStr"/>
      <c r="H1778" s="6" t="inlineStr">
        <is>
          <t>Elli yaşında valiz topladın. Öte Diyar'daki ilk sabah kahveni tek başına içtin; pahalıydı, manzara da öyle.</t>
        </is>
      </c>
      <c r="I1778" s="6" t="inlineStr">
        <is>
          <t>Şirket seni bir bölüm müdürü olarak aldı; memlekette herkes seni zengin sanıyor. Yarı haklılar.</t>
        </is>
      </c>
      <c r="J1778" s="6" t="inlineStr">
        <is>
          <t>Mülakatın dil bölümünde takıldın. Şirket “Bir sonraki sefere” dedi; sonraki sefer yaşına bağlı.</t>
        </is>
      </c>
      <c r="K1778" s="6" t="inlineStr">
        <is>
          <t>Vize görüşmesinde memuru eski bir komşuya benzetip camın üstünden sarılmaya çalıştın. Komşu değildi. Vize reddedildi; gerekçe kutusunda tek kelime: “Sarıldı.”</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-hat-hekim, -hat-koy, -hat-polis, -hat-politika, -hat-sohret, -hat-usta, -hat-yargi, -meslek-esnaf, -meslek-memur, -meslek-serbest, hat-goc, meslek-beyazyaka</t>
        </is>
      </c>
      <c r="W1778" s="5" t="inlineStr"/>
      <c r="X1778" s="5" t="inlineStr"/>
      <c r="Y1778" s="5" t="inlineStr"/>
      <c r="Z1778" s="6" t="inlineStr"/>
      <c r="AA1778" s="5" t="inlineStr"/>
      <c r="AB1778" s="5" t="inlineStr"/>
      <c r="AC1778" s="5" t="inlineStr"/>
      <c r="AD1778" s="5" t="inlineStr">
        <is>
          <t>Rahat</t>
        </is>
      </c>
      <c r="AE1778" s="5" t="inlineStr"/>
      <c r="AF1778" s="5" t="inlineStr"/>
      <c r="AG1778" s="5" t="inlineStr">
        <is>
          <t>hat-goc</t>
        </is>
      </c>
      <c r="AH1778" s="5" t="inlineStr"/>
      <c r="AI1778" s="5" t="inlineStr"/>
    </row>
    <row r="1779">
      <c r="A1779" s="5" t="inlineStr">
        <is>
          <t>b8-buyuk-firsat</t>
        </is>
      </c>
      <c r="B1779" s="5" t="n">
        <v>4</v>
      </c>
      <c r="C1779" s="6" t="inlineStr">
        <is>
          <t>Yarışma programına katıl</t>
        </is>
      </c>
      <c r="D1779" s="5" t="inlineStr">
        <is>
          <t>Pişkinlik</t>
        </is>
      </c>
      <c r="E1779" s="5" t="inlineStr">
        <is>
          <t>Zor</t>
        </is>
      </c>
      <c r="F1779" s="5" t="inlineStr"/>
      <c r="G1779" s="6" t="inlineStr"/>
      <c r="H1779" s="6" t="inlineStr">
        <is>
          <t>Programda son üçe kaldın; ülke seni sevdi. Ertesi hafta bir dizide “bilge komşu” rolün var.</t>
        </is>
      </c>
      <c r="I1779" s="6" t="inlineStr">
        <is>
          <t>Programı kazandın. Ödül ikinci planda kaldı; asıl ödül, pazarda seninle fotoğraf çekmek isteyen teyzeler.</t>
        </is>
      </c>
      <c r="J1779" s="6" t="inlineStr">
        <is>
          <t>İlk turda elendin. Ama elendiğin bölüm çok izlendi; eleniş videon hâlâ dolaşıyor.</t>
        </is>
      </c>
      <c r="K1779" s="6" t="inlineStr">
        <is>
          <t>Son soruda telefon jokerini kullanıp anneni aradın. Annen yanlış cevap verdi, sonra canlı yayında sordu: “Yavrum, yemeğini yedin mi?” Elendin; o an her yılbaşı yeniden yayında.</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-hat-politika, -hat-usta, -hat-yargi, -meslek-beyazyaka, -meslek-esnaf, -meslek-memur, hat-sohret, meslek-serbest</t>
        </is>
      </c>
      <c r="W1779" s="5" t="inlineStr"/>
      <c r="X1779" s="5" t="inlineStr"/>
      <c r="Y1779" s="5" t="inlineStr"/>
      <c r="Z1779" s="6" t="inlineStr"/>
      <c r="AA1779" s="5" t="inlineStr"/>
      <c r="AB1779" s="5" t="inlineStr"/>
      <c r="AC1779" s="5" t="inlineStr"/>
      <c r="AD1779" s="5" t="inlineStr"/>
      <c r="AE1779" s="5" t="inlineStr"/>
      <c r="AF1779" s="5" t="inlineStr"/>
      <c r="AG1779" s="5" t="inlineStr">
        <is>
          <t>hat-sohret</t>
        </is>
      </c>
      <c r="AH1779" s="5" t="inlineStr"/>
      <c r="AI1779" s="5" t="inlineStr"/>
    </row>
    <row r="1780">
      <c r="A1780" s="5" t="inlineStr">
        <is>
          <t>b8-buyuk-firsat</t>
        </is>
      </c>
      <c r="B1780" s="5" t="n">
        <v>5</v>
      </c>
      <c r="C1780" s="6" t="inlineStr">
        <is>
          <t>Mahallenin önerisiyle aday ol</t>
        </is>
      </c>
      <c r="D1780" s="5" t="inlineStr">
        <is>
          <t>İtibar</t>
        </is>
      </c>
      <c r="E1780" s="5" t="inlineStr">
        <is>
          <t>Zor</t>
        </is>
      </c>
      <c r="F1780" s="5" t="inlineStr"/>
      <c r="G1780" s="6" t="inlineStr"/>
      <c r="H1780" s="6" t="inlineStr">
        <is>
          <t>Telefon açan il başkanı değil, mahallenin kendisiydi: kahveciler, esnaf, öğretmenler. Adaylığın bir dilekçeyle başladı, iki yüz imzayla.</t>
        </is>
      </c>
      <c r="I1780" s="6" t="inlineStr">
        <is>
          <t>İmza listesi o kadar uzundu ki partiye teslim etmek için iki dosya gerekti. Liste başı oldun.</t>
        </is>
      </c>
      <c r="J1780" s="6" t="inlineStr">
        <is>
          <t>Dilekçe partinin il binasına ulaştı ve bir çekmeceye girdi. Çekmece hâlâ kapalı.</t>
        </is>
      </c>
      <c r="K1780" s="6" t="inlineStr">
        <is>
          <t>İmza listesinde mahallenin kedisinin adı da vardı. Parti bunu ciddiyetsizlik saydı; kedi sana küstü.</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-hat-sohret, -hat-usta, -hat-yargi, -meslek-beyazyaka, -meslek-esnaf, -meslek-memur, -meslek-serbest, hat-politika</t>
        </is>
      </c>
      <c r="W1780" s="5" t="inlineStr"/>
      <c r="X1780" s="5" t="inlineStr"/>
      <c r="Y1780" s="5" t="inlineStr"/>
      <c r="Z1780" s="6" t="inlineStr"/>
      <c r="AA1780" s="5" t="inlineStr"/>
      <c r="AB1780" s="5" t="inlineStr"/>
      <c r="AC1780" s="5" t="inlineStr"/>
      <c r="AD1780" s="5" t="inlineStr"/>
      <c r="AE1780" s="5" t="inlineStr"/>
      <c r="AF1780" s="5" t="inlineStr"/>
      <c r="AG1780" s="5" t="inlineStr">
        <is>
          <t>hat-politika</t>
        </is>
      </c>
      <c r="AH1780" s="5" t="inlineStr">
        <is>
          <t>İtibar 43</t>
        </is>
      </c>
      <c r="AI1780" s="5" t="inlineStr"/>
    </row>
    <row r="1781">
      <c r="A1781" s="5" t="inlineStr">
        <is>
          <t>b7-erken-tahliye</t>
        </is>
      </c>
      <c r="B1781" s="5" t="n">
        <v>1</v>
      </c>
      <c r="C1781" s="6" t="inlineStr">
        <is>
          <t>Islah kursundan esnaflığa geç</t>
        </is>
      </c>
      <c r="D1781" s="5" t="inlineStr"/>
      <c r="E1781" s="5" t="inlineStr"/>
      <c r="F1781" s="5" t="inlineStr">
        <is>
          <t>Dayanıklılık +1, İtibar +1</t>
        </is>
      </c>
      <c r="G1781" s="6" t="inlineStr">
        <is>
          <t>Mahallede küçük bir dükkân kiraladın; tabelaya “Kursta öğrendim” yazdırdın. İlk müşterin koğuşun çaycısıydı; senden önce çıkmış.</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-hat-cete, -hat-dolandirici, -hat-girisimci, -hat-goc, -hat-hekim, -hat-koy, -hat-polis, -hat-politika, -hat-sohret, -hat-usta, -hat-yargi, -meslek-beyazyaka, -meslek-memur, -meslek-serbest, meslek-esnaf, -hapis, eski-hukumlu, -ceza-indirimi</t>
        </is>
      </c>
      <c r="V1781" s="5" t="inlineStr"/>
      <c r="W1781" s="5" t="inlineStr"/>
      <c r="X1781" s="5" t="inlineStr"/>
      <c r="Y1781" s="5" t="inlineStr"/>
      <c r="Z1781" s="6" t="inlineStr"/>
      <c r="AA1781" s="5" t="inlineStr"/>
      <c r="AB1781" s="5" t="inlineStr"/>
      <c r="AC1781" s="5" t="inlineStr"/>
      <c r="AD1781" s="5" t="inlineStr">
        <is>
          <t>Kıt</t>
        </is>
      </c>
      <c r="AE1781" s="5" t="inlineStr"/>
      <c r="AF1781" s="5" t="inlineStr"/>
      <c r="AG1781" s="5" t="inlineStr"/>
      <c r="AH1781" s="5" t="inlineStr"/>
      <c r="AI1781" s="5" t="inlineStr"/>
    </row>
    <row r="1782">
      <c r="A1782" s="5" t="inlineStr">
        <is>
          <t>b7-erken-tahliye</t>
        </is>
      </c>
      <c r="B1782" s="5" t="n">
        <v>2</v>
      </c>
      <c r="C1782" s="6" t="inlineStr">
        <is>
          <t>Eski işine dön</t>
        </is>
      </c>
      <c r="D1782" s="5" t="inlineStr"/>
      <c r="E1782" s="5" t="inlineStr"/>
      <c r="F1782" s="5" t="inlineStr">
        <is>
          <t>Pişkinlik +1, Cesaret +1</t>
        </is>
      </c>
      <c r="G1782" s="6" t="inlineStr">
        <is>
          <t>Eski telefonunu açtın: kırk iki cevapsız arama. Hiçbiri seni özlememiş, hepsi işi soruyor. Kaldığın yerden devam; biraz daha dikkatli.</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-hapis, eski-hukumlu, -ceza-indirimi</t>
        </is>
      </c>
      <c r="V1782" s="5" t="inlineStr"/>
      <c r="W1782" s="5" t="inlineStr"/>
      <c r="X1782" s="5" t="inlineStr"/>
      <c r="Y1782" s="5" t="inlineStr"/>
      <c r="Z1782" s="6" t="inlineStr"/>
      <c r="AA1782" s="5" t="inlineStr"/>
      <c r="AB1782" s="5" t="inlineStr"/>
      <c r="AC1782" s="5" t="inlineStr"/>
      <c r="AD1782" s="5" t="inlineStr"/>
      <c r="AE1782" s="5" t="inlineStr"/>
      <c r="AF1782" s="5" t="inlineStr"/>
      <c r="AG1782" s="5" t="inlineStr"/>
      <c r="AH1782" s="5" t="inlineStr"/>
      <c r="AI1782" s="5" t="inlineStr"/>
    </row>
    <row r="1783">
      <c r="A1783" s="5" t="inlineStr">
        <is>
          <t>b7-erken-tahliye</t>
        </is>
      </c>
      <c r="B1783" s="5" t="n">
        <v>3</v>
      </c>
      <c r="C1783" s="6" t="inlineStr">
        <is>
          <t>Koğuş anılarını kitap yap</t>
        </is>
      </c>
      <c r="D1783" s="5" t="inlineStr">
        <is>
          <t>Çene</t>
        </is>
      </c>
      <c r="E1783" s="5" t="inlineStr">
        <is>
          <t>Zor</t>
        </is>
      </c>
      <c r="F1783" s="5" t="inlineStr"/>
      <c r="G1783" s="6" t="inlineStr"/>
      <c r="H1783" s="6" t="inlineStr">
        <is>
          <t>“Koğuşta Çay Nasıl Demlenir” çıktı. İlk imza gününe çaycı da geldi; kitaba bakmadan “Şekeri az yazmışsın” dedi.</t>
        </is>
      </c>
      <c r="I1783" s="6" t="inlineStr">
        <is>
          <t>Kitap çok satanlar rafında. Bir yapımcı dizisini çekmek istiyor; sen kendi rolünü oynamak istedin, kabul etti.</t>
        </is>
      </c>
      <c r="J1783" s="6" t="inlineStr">
        <is>
          <t>Kitabı yazdın, yayınevi “Bu fazla gerçekçi” dedi. Taslak çekmecede; sen eski hayatına dönüyorsun.</t>
        </is>
      </c>
      <c r="K1783" s="6" t="inlineStr">
        <is>
          <t>Kitaba bütün koğuşun lakaplarını yazdın. Basılmadı ama koğuşta okundu; kırk mektup geldi, hepsi düzeltme istiyor.</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-hat-politika, -hat-usta, -hat-yargi, -meslek-beyazyaka, -meslek-esnaf, -meslek-memur, hat-sohret, meslek-serbest,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row>
    <row r="1784">
      <c r="A1784" s="5" t="inlineStr">
        <is>
          <t>b7-erken-tahliye</t>
        </is>
      </c>
      <c r="B1784" s="5" t="n">
        <v>4</v>
      </c>
      <c r="C1784" s="6" t="inlineStr">
        <is>
          <t>“Sistemi içeriden tanıyorum” diye siyasete gir</t>
        </is>
      </c>
      <c r="D1784" s="5" t="inlineStr">
        <is>
          <t>Pişkinlik</t>
        </is>
      </c>
      <c r="E1784" s="5" t="inlineStr">
        <is>
          <t>Zor</t>
        </is>
      </c>
      <c r="F1784" s="5" t="inlineStr"/>
      <c r="G1784" s="6" t="inlineStr"/>
      <c r="H1784" s="6" t="inlineStr">
        <is>
          <t>Slogan tuttu. Bir partinin ilçe teşkilatı seni kapıda karşıladı; ilk mitingde en önde koğuştan çıkmış arkadaşların alkışlıyordu.</t>
        </is>
      </c>
      <c r="I1784" s="6" t="inlineStr">
        <is>
          <t>Sloganın afişlere basıldı. Rakiplerinin geçmişi sorulunca “Benimki belli” diyorsun; salon ayağa kalkıyor.</t>
        </is>
      </c>
      <c r="J1784" s="6" t="inlineStr">
        <is>
          <t>Parti binasında sloganını söyledin. Kapıdaki görevli “İçeriyi bilmeyen yok zaten” dedi. Eski hayatına döndün.</t>
        </is>
      </c>
      <c r="K1784" s="6" t="inlineStr">
        <is>
          <t>Eski hayatına döndün; ama önce parti binasının kapısında görevli “Buyurun” dedi ve sen alışkanlıkla ellerini kaldırdın.</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-hat-sohret, -hat-usta, -hat-yargi, -meslek-beyazyaka, -meslek-esnaf, -meslek-memur, -meslek-serbest, hat-politika,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row>
    <row r="1785">
      <c r="A1785" s="5" t="inlineStr">
        <is>
          <t>b7-erken-tahliye</t>
        </is>
      </c>
      <c r="B1785" s="5" t="n">
        <v>5</v>
      </c>
      <c r="C1785" s="6" t="inlineStr">
        <is>
          <t>Mahallenin kefaletiyle iş bul</t>
        </is>
      </c>
      <c r="D1785" s="5" t="inlineStr"/>
      <c r="E1785" s="5" t="inlineStr"/>
      <c r="F1785" s="5" t="inlineStr">
        <is>
          <t>İtibar +1, Dayanıklılık +1</t>
        </is>
      </c>
      <c r="G1785" s="6" t="inlineStr">
        <is>
          <t>Kapıda seni çarşının en eski esnafı bekliyordu: “Senin için söz verdim, dükkânın arka tarafı senin.” Mahallede kimse geçmişini sormadı; sordurmadılar.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Kıt</t>
        </is>
      </c>
      <c r="AE1785" s="5" t="inlineStr"/>
      <c r="AF1785" s="5" t="inlineStr"/>
      <c r="AG1785" s="5" t="inlineStr"/>
      <c r="AH1785" s="5" t="inlineStr">
        <is>
          <t>İtibar 43</t>
        </is>
      </c>
      <c r="AI1785" s="5" t="inlineStr"/>
    </row>
    <row r="1786">
      <c r="A1786" s="5" t="inlineStr">
        <is>
          <t>b8-erken-tahliye</t>
        </is>
      </c>
      <c r="B1786" s="5" t="n">
        <v>1</v>
      </c>
      <c r="C1786" s="6" t="inlineStr">
        <is>
          <t>Kursta öğrendiğinle esnaf ol</t>
        </is>
      </c>
      <c r="D1786" s="5" t="inlineStr"/>
      <c r="E1786" s="5" t="inlineStr"/>
      <c r="F1786" s="5" t="inlineStr">
        <is>
          <t>Dayanıklılık +1, Akıl +1</t>
        </is>
      </c>
      <c r="G1786" s="6" t="inlineStr">
        <is>
          <t>Sanayinin ucunda küçük bir dükkân tuttun: sabun, kaşık, bir de tavla tamiri. Müşterilerin yarısı eski koğuş arkadaşların; hepsi pazarlık ediyor, hepsi kaybediyor.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c r="AI1786" s="5" t="inlineStr"/>
    </row>
    <row r="1787">
      <c r="A1787" s="5" t="inlineStr">
        <is>
          <t>b8-erken-tahliye</t>
        </is>
      </c>
      <c r="B1787" s="5" t="n">
        <v>2</v>
      </c>
      <c r="C1787" s="6" t="inlineStr">
        <is>
          <t>Eski işine dön</t>
        </is>
      </c>
      <c r="D1787" s="5" t="inlineStr"/>
      <c r="E1787" s="5" t="inlineStr"/>
      <c r="F1787" s="5" t="inlineStr">
        <is>
          <t>Pişkinlik +1, Kurnazlık +1</t>
        </is>
      </c>
      <c r="G1787" s="6" t="inlineStr">
        <is>
          <t>Eski defterini açtın; isimlerin yarısı emekli, yarısı taşınmış. Kalanlarla devam ediyorsun; masan eskisinden küçük, gözlüğün kalın.</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-hapis, eski-hukumlu, -ceza-indirimi</t>
        </is>
      </c>
      <c r="V1787" s="5" t="inlineStr"/>
      <c r="W1787" s="5" t="inlineStr"/>
      <c r="X1787" s="5" t="inlineStr"/>
      <c r="Y1787" s="5" t="inlineStr"/>
      <c r="Z1787" s="6" t="inlineStr"/>
      <c r="AA1787" s="5" t="inlineStr"/>
      <c r="AB1787" s="5" t="inlineStr"/>
      <c r="AC1787" s="5" t="inlineStr"/>
      <c r="AD1787" s="5" t="inlineStr"/>
      <c r="AE1787" s="5" t="inlineStr"/>
      <c r="AF1787" s="5" t="inlineStr"/>
      <c r="AG1787" s="5" t="inlineStr"/>
      <c r="AH1787" s="5" t="inlineStr"/>
      <c r="AI1787" s="5" t="inlineStr"/>
    </row>
    <row r="1788">
      <c r="A1788" s="5" t="inlineStr">
        <is>
          <t>b8-erken-tahliye</t>
        </is>
      </c>
      <c r="B1788" s="5" t="n">
        <v>3</v>
      </c>
      <c r="C1788" s="6" t="inlineStr">
        <is>
          <t>Uzun yılları kitap yap</t>
        </is>
      </c>
      <c r="D1788" s="5" t="inlineStr">
        <is>
          <t>Çene</t>
        </is>
      </c>
      <c r="E1788" s="5" t="inlineStr">
        <is>
          <t>Zor</t>
        </is>
      </c>
      <c r="F1788" s="5" t="inlineStr"/>
      <c r="G1788" s="6" t="inlineStr"/>
      <c r="H1788" s="6" t="inlineStr">
        <is>
          <t>“Uzun Koğuş” adlı kitabın çıktı. Bir haber programı seni “yaşayan tanık” diye çağırdı; canlı yayında koğuşa selam gönderdin.</t>
        </is>
      </c>
      <c r="I1788" s="6" t="inlineStr">
        <is>
          <t>Kitap her yerde konuşuluyor; söyleşilerin biletleri tükeniyor. Koğuşa imzalı bir kutu kitap yolladın; en çok çaycı okudu.</t>
        </is>
      </c>
      <c r="J1788" s="6" t="inlineStr">
        <is>
          <t>Eski yoluna döndün. Yayınevi taslağı geri yollamıştı, kenarına tek not düşerek: “Anılar uzun, okur kısa.”</t>
        </is>
      </c>
      <c r="K1788" s="6" t="inlineStr">
        <is>
          <t>Eski yoluna döndün; kitabın bir öykü yarışmasında “kurgu” dalında mansiyon aldıktan sonra. Jüri notu: “Bu kadarı da olmaz.”</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-hat-politika, -hat-usta, -hat-yargi, -meslek-beyazyaka, -meslek-esnaf, -meslek-memur, hat-sohret, meslek-serbest,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row>
    <row r="1789">
      <c r="A1789" s="5" t="inlineStr">
        <is>
          <t>b8-erken-tahliye</t>
        </is>
      </c>
      <c r="B1789" s="5" t="n">
        <v>4</v>
      </c>
      <c r="C1789" s="6" t="inlineStr">
        <is>
          <t>“İçeriyi ben gördüm” de, siyasete gir</t>
        </is>
      </c>
      <c r="D1789" s="5" t="inlineStr">
        <is>
          <t>Pişkinlik</t>
        </is>
      </c>
      <c r="E1789" s="5" t="inlineStr">
        <is>
          <t>Zor</t>
        </is>
      </c>
      <c r="F1789" s="5" t="inlineStr"/>
      <c r="G1789" s="6" t="inlineStr"/>
      <c r="H1789" s="6" t="inlineStr">
        <is>
          <t>Afişindeki cümle kısaydı: “Ben içeriyi gördüm.” Mahalle seni meclis yolunda destekliyor; koğuş da, mektupla.</t>
        </is>
      </c>
      <c r="I1789" s="6" t="inlineStr">
        <is>
          <t>Parti seni cezaevleriyle ilgili bir komisyona önerdi. İlk toplantıda çay ocaklarının yerini değiştirdin; herkes daha rahat, kimse nedenini bilmiyor.</t>
        </is>
      </c>
      <c r="J1789" s="6" t="inlineStr">
        <is>
          <t>Eski yoluna döndün. Başvuru formunda “Son on yılınızı anlatınız” diye bir kutu vardı; kutu iki satırlıktı.</t>
        </is>
      </c>
      <c r="K1789" s="6" t="inlineStr">
        <is>
          <t>Eski yoluna döndün; ilk konuşmanı koğuş diliyle yaptıktan sonra. Salonda bir tek eski bir gardiyan anladı; o da alkışlamadı.</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-hat-sohret, -hat-usta, -hat-yargi, -meslek-beyazyaka, -meslek-esnaf, -meslek-memur, -meslek-serbest, hat-politika,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row>
    <row r="1790">
      <c r="A1790" s="5" t="inlineStr">
        <is>
          <t>b8-erken-tahliye</t>
        </is>
      </c>
      <c r="B1790" s="5" t="n">
        <v>5</v>
      </c>
      <c r="C1790" s="6" t="inlineStr">
        <is>
          <t>Mahallenin kefaletiyle iş bul</t>
        </is>
      </c>
      <c r="D1790" s="5" t="inlineStr"/>
      <c r="E1790" s="5" t="inlineStr"/>
      <c r="F1790" s="5" t="inlineStr">
        <is>
          <t>İtibar +1, Dayanıklılık +1</t>
        </is>
      </c>
      <c r="G1790" s="6" t="inlineStr">
        <is>
          <t>Kapıda seni çarşının en eski esnafı bekliyordu: “Senin için söz verdim, dükkânın arka tarafı senin.” Mahallede kimse geçmişini sormadı; sordurmadılar.</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is>
          <t>-hat-cete, -hat-dolandirici, -hat-girisimci, -hat-goc, -hat-hekim, -hat-koy, -hat-polis, -hat-politika, -hat-sohret, -hat-usta, -hat-yargi, -meslek-beyazyaka, -meslek-memur, -meslek-serbest, meslek-esnaf, -hapis, eski-hukumlu, -ceza-indirimi</t>
        </is>
      </c>
      <c r="V1790" s="5" t="inlineStr"/>
      <c r="W1790" s="5" t="inlineStr"/>
      <c r="X1790" s="5" t="inlineStr"/>
      <c r="Y1790" s="5" t="inlineStr"/>
      <c r="Z1790" s="6" t="inlineStr"/>
      <c r="AA1790" s="5" t="inlineStr"/>
      <c r="AB1790" s="5" t="inlineStr"/>
      <c r="AC1790" s="5" t="inlineStr"/>
      <c r="AD1790" s="5" t="inlineStr">
        <is>
          <t>Kıt</t>
        </is>
      </c>
      <c r="AE1790" s="5" t="inlineStr"/>
      <c r="AF1790" s="5" t="inlineStr"/>
      <c r="AG1790" s="5" t="inlineStr"/>
      <c r="AH1790" s="5" t="inlineStr">
        <is>
          <t>İtibar 43</t>
        </is>
      </c>
      <c r="AI1790" s="5" t="inlineStr"/>
    </row>
    <row r="1791">
      <c r="A1791" s="5" t="inlineStr">
        <is>
          <t>b1-misafir-geldi</t>
        </is>
      </c>
      <c r="B1791" s="5" t="n">
        <v>1</v>
      </c>
      <c r="C1791" s="6" t="inlineStr">
        <is>
          <t>Tekerleme oku</t>
        </is>
      </c>
      <c r="D1791" s="5" t="inlineStr"/>
      <c r="E1791" s="5" t="inlineStr"/>
      <c r="F1791" s="5" t="inlineStr">
        <is>
          <t>Pişkinlik +1</t>
        </is>
      </c>
      <c r="G1791" s="6" t="inlineStr">
        <is>
          <t>Tek bildiğin tekerlemeyi okudun; yarısını uydurdun. Teyze alkışladı, annen gururlandı. Çikolata vitrinden inmedi.</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row>
    <row r="1792">
      <c r="A1792" s="5" t="inlineStr">
        <is>
          <t>b1-misafir-geldi</t>
        </is>
      </c>
      <c r="B1792" s="5" t="n">
        <v>2</v>
      </c>
      <c r="C1792" s="6" t="inlineStr">
        <is>
          <t>Vitrindeki çikolataya git</t>
        </is>
      </c>
      <c r="D1792" s="5" t="inlineStr">
        <is>
          <t>Kurnazlık</t>
        </is>
      </c>
      <c r="E1792" s="5" t="inlineStr">
        <is>
          <t>Orta</t>
        </is>
      </c>
      <c r="F1792" s="5" t="inlineStr"/>
      <c r="G1792" s="6" t="inlineStr"/>
      <c r="H1792" s="6" t="inlineStr">
        <is>
          <t>Vitrine yanaştın, teyzeye baktın, teyze annene baktı. Eline bir çikolata geldi; “Son” dendi.</t>
        </is>
      </c>
      <c r="I1792" s="6" t="inlineStr">
        <is>
          <t>Vitrine bakıp iç çektin. Teyze “Aman, versene çocuğa” dedi; annen mecbur kaldı. Kutu açıldı, ilk sen aldın.</t>
        </is>
      </c>
      <c r="J1792" s="6" t="inlineStr">
        <is>
          <t>Vitrine gittin. Annen gözüyle “Otur” dedi. Oturdun. Kutu bir sonraki misafire kaldı.</t>
        </is>
      </c>
      <c r="K1792" s="6" t="inlineStr">
        <is>
          <t>Vitrinin kapağını çektin; kapak elinde kaldı. Teyze “Olur böyle şeyler” dedi. Annen gülümsedi; gözleri gülümsemedi.</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row>
    <row r="1793">
      <c r="A1793" s="5" t="inlineStr">
        <is>
          <t>b1-misafir-geldi</t>
        </is>
      </c>
      <c r="B1793" s="5" t="n">
        <v>3</v>
      </c>
      <c r="C1793" s="6" t="inlineStr">
        <is>
          <t>Teyzenin kucağına çık</t>
        </is>
      </c>
      <c r="D1793" s="5" t="inlineStr">
        <is>
          <t>Gönül</t>
        </is>
      </c>
      <c r="E1793" s="5" t="inlineStr">
        <is>
          <t>Kolay</t>
        </is>
      </c>
      <c r="F1793" s="5" t="inlineStr"/>
      <c r="G1793" s="6" t="inlineStr"/>
      <c r="H1793" s="6" t="inlineStr">
        <is>
          <t>Kucağına çıktın. Teyze yanağını sıktı, annen rahatladı. Sohbet iki saat sürdü; sen kucakta uyudun.</t>
        </is>
      </c>
      <c r="I1793" s="6" t="inlineStr">
        <is>
          <t>Boynuna sarıldın. Teyze “Bunu ben alıyorum” dedi. Ertesi hafta elinde bir hediyeyle geldi; sana.</t>
        </is>
      </c>
      <c r="J1793" s="6" t="inlineStr">
        <is>
          <t>Kucağına uzandın; teyze tam o an çayını aldı. Kucak doluydu. Halıya oturup bekledin; çay bitmedi.</t>
        </is>
      </c>
      <c r="K1793" s="6" t="inlineStr">
        <is>
          <t>Kucağına çıktın ve orada kaldın. Teyze gitmek istedi, bırakmadın; bir saat daha kaldı. Annen o bir saati sana bakışıyla anlattı.</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row>
    <row r="1794">
      <c r="A1794" s="5" t="inlineStr">
        <is>
          <t>b1-misafir-geldi</t>
        </is>
      </c>
      <c r="B1794" s="5" t="n">
        <v>4</v>
      </c>
      <c r="C1794" s="6" t="inlineStr">
        <is>
          <t>Odana kaç</t>
        </is>
      </c>
      <c r="D1794" s="5" t="inlineStr"/>
      <c r="E1794" s="5" t="inlineStr"/>
      <c r="F1794" s="5" t="inlineStr">
        <is>
          <t>Dayanıklılık +1</t>
        </is>
      </c>
      <c r="G1794" s="6" t="inlineStr">
        <is>
          <t>Odana kaçtın. Teyze “Utangaç” dedi, annen “Yorgun” dedi. Sen çikolatanın nerede olduğunu düşündün.</t>
        </is>
      </c>
      <c r="H1794" s="6" t="inlineStr"/>
      <c r="I1794" s="6" t="inlineStr"/>
      <c r="J1794" s="6" t="inlineStr"/>
      <c r="K1794" s="6" t="inlineStr"/>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row>
    <row r="1795">
      <c r="A1795" s="5" t="inlineStr">
        <is>
          <t>b2-kardes-geldi</t>
        </is>
      </c>
      <c r="B1795" s="5" t="n">
        <v>1</v>
      </c>
      <c r="C1795" s="6" t="inlineStr">
        <is>
          <t>Kucağına al</t>
        </is>
      </c>
      <c r="D1795" s="5" t="inlineStr">
        <is>
          <t>Gönül</t>
        </is>
      </c>
      <c r="E1795" s="5" t="inlineStr">
        <is>
          <t>Orta</t>
        </is>
      </c>
      <c r="F1795" s="5" t="inlineStr"/>
      <c r="G1795" s="6" t="inlineStr"/>
      <c r="H1795" s="6" t="inlineStr">
        <is>
          <t>Annen bebeği kucağına koydu; nefesini tuttun, kıpırdamadın. Bebek uyudu, sen bir saat heykel oldun.</t>
        </is>
      </c>
      <c r="I1795" s="6" t="inlineStr">
        <is>
          <t>Kucağına aldın; ağlamayı kesti. Babaannen annene “Bu çocuk onu senden iyi tutuyor” dedi. O fotoğraf her bayram çıkıyor.</t>
        </is>
      </c>
      <c r="J1795" s="6" t="inlineStr">
        <is>
          <t>Kucağına almak istedin. Annen “Biraz büyüsün” dedi. Bebeğin büyümesini bekleyeceksin; uzun iş.</t>
        </is>
      </c>
      <c r="K1795" s="6" t="inlineStr">
        <is>
          <t>Kucağına aldın, yüzüne baktın ve sordun: “Geri verelim mi?” Babaannen bunu otuz yıl anlattı.</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Geri Verelim</t>
        </is>
      </c>
    </row>
    <row r="1796">
      <c r="A1796" s="5" t="inlineStr">
        <is>
          <t>b2-kardes-geldi</t>
        </is>
      </c>
      <c r="B1796" s="5" t="n">
        <v>2</v>
      </c>
      <c r="C1796" s="6" t="inlineStr">
        <is>
          <t>Bebek gibi davran, emzik iste</t>
        </is>
      </c>
      <c r="D1796" s="5" t="inlineStr">
        <is>
          <t>Pişkinlik</t>
        </is>
      </c>
      <c r="E1796" s="5" t="inlineStr">
        <is>
          <t>Kolay</t>
        </is>
      </c>
      <c r="F1796" s="5" t="inlineStr"/>
      <c r="G1796" s="6" t="inlineStr"/>
      <c r="H1796" s="6" t="inlineStr">
        <is>
          <t>Emzik istedin. Annen güldü, seni de kucağına aldı. Bir kolda o, bir kolda sen.</t>
        </is>
      </c>
      <c r="I1796" s="6" t="inlineStr">
        <is>
          <t>Emziği aldın, beşiğin yanına kıvrıldın, “Ingaa” dedin. Salon güldü; o akşam seni de beşiğin yanında uyuttular. İki bebekli ev.</t>
        </is>
      </c>
      <c r="J1796" s="6" t="inlineStr">
        <is>
          <t>Emzik istedin. Baban “Sen büyüdün artık” dedi. Büyümek bu kadar kötü bir haber olmamalıydı.</t>
        </is>
      </c>
      <c r="K1796" s="6" t="inlineStr">
        <is>
          <t>Emziği bebeğin elinden kaptın. Bebek ağladı, misafirler sustu, babaannen “Kıskandı” dedi. Lakabın hazır: Kıskanç.</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is>
          <t>Kıskanç</t>
        </is>
      </c>
    </row>
    <row r="1797">
      <c r="A1797" s="5" t="inlineStr">
        <is>
          <t>b2-kardes-geldi</t>
        </is>
      </c>
      <c r="B1797" s="5" t="n">
        <v>3</v>
      </c>
      <c r="C1797" s="6" t="inlineStr">
        <is>
          <t>Hediyeleri say: kaç onun, kaç senin</t>
        </is>
      </c>
      <c r="D1797" s="5" t="inlineStr">
        <is>
          <t>Kurnazlık</t>
        </is>
      </c>
      <c r="E1797" s="5" t="inlineStr">
        <is>
          <t>Orta</t>
        </is>
      </c>
      <c r="F1797" s="5" t="inlineStr"/>
      <c r="G1797" s="6" t="inlineStr"/>
      <c r="H1797" s="6" t="inlineStr">
        <is>
          <t>Saydın, itiraz ettin, bir hediyeyi “Ona daha erken” diyerek kendine aldın. Bebek itiraz etmedi.</t>
        </is>
      </c>
      <c r="I1797" s="6" t="inlineStr">
        <is>
          <t>Saydın: on bir ona, bir sana. Bunu herkese yüksek sesle duyurdun. Ertesi gün gelen herkes iki hediye getirdi.</t>
        </is>
      </c>
      <c r="J1797" s="6" t="inlineStr">
        <is>
          <t>Saymaya başladın; ona kadar sayabiliyordun, hediyeler on ikiydi. Hesap tutmadı.</t>
        </is>
      </c>
      <c r="K1797" s="6" t="inlineStr">
        <is>
          <t>Teyzenin getirdiği paketi “Bu bana!” diye açtın. İçinden bebek patiği çıktı. Teyze o patiği hâlâ anlatıyor.</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row>
    <row r="1798">
      <c r="A1798" s="5" t="inlineStr">
        <is>
          <t>b2-kardes-geldi</t>
        </is>
      </c>
      <c r="B1798" s="5" t="n">
        <v>4</v>
      </c>
      <c r="C1798" s="6" t="inlineStr">
        <is>
          <t>Kenardan izle</t>
        </is>
      </c>
      <c r="D1798" s="5" t="inlineStr"/>
      <c r="E1798" s="5" t="inlineStr"/>
      <c r="F1798" s="5" t="inlineStr">
        <is>
          <t>Sosyal Radar +1</t>
        </is>
      </c>
      <c r="G1798" s="6" t="inlineStr">
        <is>
          <t>Kenardan izledin. Herkes bebeğe bakarken deden sana baktı, cebinden bir şeker çıkardı: “Sen de hâlâ benimsin.”</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row>
    <row r="1799">
      <c r="A1799" s="5" t="inlineStr">
        <is>
          <t>b2-bayram-sabahi</t>
        </is>
      </c>
      <c r="B1799" s="5" t="n">
        <v>1</v>
      </c>
      <c r="C1799" s="6" t="inlineStr">
        <is>
          <t>Sırayla el öp</t>
        </is>
      </c>
      <c r="D1799" s="5" t="inlineStr"/>
      <c r="E1799" s="5" t="inlineStr"/>
      <c r="F1799" s="5" t="inlineStr">
        <is>
          <t>İtibar +1</t>
        </is>
      </c>
      <c r="G1799" s="6" t="inlineStr">
        <is>
          <t>Bütün elleri öptün, bütün yanaklar sıkıldı. Cebin doldu, yanakların kızardı. Değdi.</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row>
    <row r="1800">
      <c r="A1800" s="5" t="inlineStr">
        <is>
          <t>b2-bayram-sabahi</t>
        </is>
      </c>
      <c r="B1800" s="5" t="n">
        <v>2</v>
      </c>
      <c r="C1800" s="6" t="inlineStr">
        <is>
          <t>Elini öpüp cebe bak</t>
        </is>
      </c>
      <c r="D1800" s="5" t="inlineStr">
        <is>
          <t>Pişkinlik</t>
        </is>
      </c>
      <c r="E1800" s="5" t="inlineStr">
        <is>
          <t>Kolay</t>
        </is>
      </c>
      <c r="F1800" s="5" t="inlineStr"/>
      <c r="G1800" s="6" t="inlineStr"/>
      <c r="H1800" s="6" t="inlineStr">
        <is>
          <t>Elini öptün, gözün cepte kaldı. Halan gördü, güldü, verdi.</t>
        </is>
      </c>
      <c r="I1800" s="6" t="inlineStr">
        <is>
          <t>Dedenin cebine baktın. Deden güldü, “Yakaladı beni” dedi, iki kat verdi. Salon sana güldü, sen cebine.</t>
        </is>
      </c>
      <c r="J1800" s="6" t="inlineStr">
        <is>
          <t>Cebe baktın. Amca “Önce el öpülür” dedi. Öptün; cep açılmadı.</t>
        </is>
      </c>
      <c r="K1800" s="6" t="inlineStr">
        <is>
          <t>Elini öpmeden “Harçlık?” dedin. Salon sustu, annen kulağına eğildi. O gün cebine tek bozukluk girmedi; akşam yemeğinde hâlâ konuşuluyordu.</t>
        </is>
      </c>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is>
          <t>Harçlık?</t>
        </is>
      </c>
    </row>
    <row r="1801">
      <c r="A1801" s="5" t="inlineStr">
        <is>
          <t>b2-bayram-sabahi</t>
        </is>
      </c>
      <c r="B1801" s="5" t="n">
        <v>3</v>
      </c>
      <c r="C1801" s="6" t="inlineStr">
        <is>
          <t>Kolonyayı sen dök</t>
        </is>
      </c>
      <c r="D1801" s="5" t="inlineStr">
        <is>
          <t>Dayanıklılık</t>
        </is>
      </c>
      <c r="E1801" s="5" t="inlineStr">
        <is>
          <t>Kolay</t>
        </is>
      </c>
      <c r="F1801" s="5" t="inlineStr"/>
      <c r="G1801" s="6" t="inlineStr"/>
      <c r="H1801" s="6" t="inlineStr">
        <is>
          <t>Hepsine döktün; iki avuca biraz fazla, halıya biraz. Kimse bir şey demedi; bayramdı.</t>
        </is>
      </c>
      <c r="I1801" s="6" t="inlineStr">
        <is>
          <t>On iki avuç, on iki ölçü, sıfır halı. Babaannen “Bu çocuk bayram için doğmuş” dedi; harçlıklar iki kat geldi.</t>
        </is>
      </c>
      <c r="J1801" s="6" t="inlineStr">
        <is>
          <t>Şişeyi ters tuttun. Kolonya sana döküldü. Bütün bayram senden limon koktu.</t>
        </is>
      </c>
      <c r="K1801" s="6" t="inlineStr">
        <is>
          <t>Şişeyle sallandın: halı, koltuk, kedi ve halanın çantası kolonyalandı. Çantadaki harçlık zarfı da. Harçlık yine geldi; ıslak ve geç.</t>
        </is>
      </c>
      <c r="L1801" s="6" t="inlineStr">
        <is>
          <t>Yarıya kadar iyi gitti; sonra şişe kaydı, dayın ıslandı. Dayın güldü; dayın hep güler.</t>
        </is>
      </c>
      <c r="M1801" s="5" t="inlineStr">
        <is>
          <t>hold</t>
        </is>
      </c>
      <c r="N1801" s="5" t="inlineStr">
        <is>
          <t>Kolonya Ölçüsü</t>
        </is>
      </c>
      <c r="O1801" s="6" t="inlineStr">
        <is>
          <t>Basılı tut; çubuk yeşil alandayken bırak. Az olursa teyze bakar, çok olursa halı.</t>
        </is>
      </c>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row>
    <row r="1802">
      <c r="A1802" s="5" t="inlineStr">
        <is>
          <t>b2-bayram-sabahi</t>
        </is>
      </c>
      <c r="B1802" s="5" t="n">
        <v>4</v>
      </c>
      <c r="C1802" s="6" t="inlineStr">
        <is>
          <t>Harçlık gelmeden kolonya yok</t>
        </is>
      </c>
      <c r="D1802" s="5" t="inlineStr">
        <is>
          <t>Çene</t>
        </is>
      </c>
      <c r="E1802" s="5" t="inlineStr">
        <is>
          <t>Orta</t>
        </is>
      </c>
      <c r="F1802" s="5" t="inlineStr"/>
      <c r="G1802" s="6" t="inlineStr"/>
      <c r="H1802" s="6" t="inlineStr">
        <is>
          <t>Halan güldü, harçlığı verdi, sonra avucunu uzattı. Diğerleri sırayı gördü; düzen kuruldu.</t>
        </is>
      </c>
      <c r="I1802" s="6" t="inlineStr">
        <is>
          <t>Şişeyi tuttun, öbür elini uzattın, bekledin. Herkes anladı, herkes güldü, herkes verdi. Kolonya sonra geldi; harçlık önce.</t>
        </is>
      </c>
      <c r="J1802" s="6" t="inlineStr">
        <is>
          <t>“Önce harçlık” dedin. Annen seni mutfağa çağırdı. Kolonyayı kuzenin döktü, harçlığı da o topladı.</t>
        </is>
      </c>
      <c r="K1802" s="6" t="inlineStr">
        <is>
          <t>“Önce harçlık” dedin; dayın “Hadi bakalım” deyip cebinden boş elini çıkardı. Salon güldü. Harçlık gelmedi, şişe de elinden alındı.</t>
        </is>
      </c>
      <c r="L1802" s="6" t="inlineStr"/>
      <c r="M1802" s="5" t="inlineStr"/>
      <c r="N1802" s="5" t="inlineStr"/>
      <c r="O1802" s="6" t="inlineStr"/>
      <c r="P1802" s="6" t="inlineStr"/>
      <c r="Q1802" s="5" t="inlineStr"/>
      <c r="R1802" s="5" t="inlineStr"/>
      <c r="S1802" s="5" t="inlineStr"/>
      <c r="T1802" s="5" t="inlineStr">
        <is>
          <t>Küçük Tüccar</t>
        </is>
      </c>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row>
    <row r="1803">
      <c r="A1803" s="5" t="inlineStr">
        <is>
          <t>b3-okuma-bayrami</t>
        </is>
      </c>
      <c r="B1803" s="5" t="n">
        <v>1</v>
      </c>
      <c r="C1803" s="6" t="inlineStr">
        <is>
          <t>Hece hece, yavaş oku</t>
        </is>
      </c>
      <c r="D1803" s="5" t="inlineStr"/>
      <c r="E1803" s="5" t="inlineStr"/>
      <c r="F1803" s="5" t="inlineStr">
        <is>
          <t>Dayanıklılık +1</t>
        </is>
      </c>
      <c r="G1803" s="6" t="inlineStr">
        <is>
          <t>Hece hece okudun; cümle iki dakika sürdü. Kurdele yakana takıldı. Babaannen eve gelince kurdeleyi vitrine, kristal şekerliğin yanına koydu.</t>
        </is>
      </c>
      <c r="H1803" s="6" t="inlineStr"/>
      <c r="I1803" s="6" t="inlineStr"/>
      <c r="J1803" s="6" t="inlineStr"/>
      <c r="K1803" s="6" t="inlineStr"/>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row>
    <row r="1804">
      <c r="A1804" s="5" t="inlineStr">
        <is>
          <t>b3-okuma-bayrami</t>
        </is>
      </c>
      <c r="B1804" s="5" t="n">
        <v>2</v>
      </c>
      <c r="C1804" s="6" t="inlineStr">
        <is>
          <t>Öndekileri dinle, ezberden oku</t>
        </is>
      </c>
      <c r="D1804" s="5" t="inlineStr">
        <is>
          <t>Kurnazlık</t>
        </is>
      </c>
      <c r="E1804" s="5" t="inlineStr">
        <is>
          <t>Orta</t>
        </is>
      </c>
      <c r="F1804" s="5" t="inlineStr"/>
      <c r="G1804" s="6" t="inlineStr"/>
      <c r="H1804" s="6" t="inlineStr">
        <is>
          <t>Cümleyi ezberden söyledin, parmağını da kelimelerin üstünde gezdirdin. Kimse fark etmedi; kurdele senin.</t>
        </is>
      </c>
      <c r="I1804" s="6" t="inlineStr">
        <is>
          <t>Öndeki üç çocuğu dinleyip cümleyi ezberledin, kitaba bakmadan okudun. Öğretmen “Bu çocuk kitaba bakmıyor bile” dedi. Bakmıyordun, çünkü okuyamıyordun.</t>
        </is>
      </c>
      <c r="J1804" s="6" t="inlineStr">
        <is>
          <t>Ezber üçüncü kelimede bitti. Kitaba baktın ama nerede olduğunu bilmiyordun. Öğretmen gelip parmağıyla gösterdi.</t>
        </is>
      </c>
      <c r="K1804" s="6" t="inlineStr">
        <is>
          <t>Ezberledin ama kitabı ters tuttun. Ön sıradan deden “Ters tutuyor!” diye bağırdı. Videoda en net duyulan cümle o oldu.</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row>
    <row r="1805">
      <c r="A1805" s="5" t="inlineStr">
        <is>
          <t>b3-okuma-bayrami</t>
        </is>
      </c>
      <c r="B1805" s="5" t="n">
        <v>3</v>
      </c>
      <c r="C1805" s="6" t="inlineStr">
        <is>
          <t>Kocaman sesle oku</t>
        </is>
      </c>
      <c r="D1805" s="5" t="inlineStr">
        <is>
          <t>Cesaret</t>
        </is>
      </c>
      <c r="E1805" s="5" t="inlineStr">
        <is>
          <t>Orta</t>
        </is>
      </c>
      <c r="F1805" s="5" t="inlineStr"/>
      <c r="G1805" s="6" t="inlineStr"/>
      <c r="H1805" s="6" t="inlineStr">
        <is>
          <t>Sesin salonu doldurdu. Annen ağladı; babaannen “Bizim taraftan çekmiş” dedi.</t>
        </is>
      </c>
      <c r="I1805" s="6" t="inlineStr">
        <is>
          <t>Öyle gür okudun ki arka sıradaki deden ayağa kalkıp alkışladı. Müdür kurdeleni kendi eliyle taktı.</t>
        </is>
      </c>
      <c r="J1805" s="6" t="inlineStr">
        <is>
          <t>Mikrofona fazla yaklaştın; hoparlör ötmeye başladı. Cümleyi kimse duymadı ama kurdele takıldı.</t>
        </is>
      </c>
      <c r="K1805" s="6" t="inlineStr">
        <is>
          <t>Heyecandan “Ali topu at” yerine “Ali topu ye” okudun. Salon kahkahaya boğuldu. O günden sonra sana top atan herkes “Ye!” diye bağırdı.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row>
    <row r="1806">
      <c r="A1806" s="5" t="inlineStr">
        <is>
          <t>b3-okuma-bayrami</t>
        </is>
      </c>
      <c r="B1806" s="5" t="n">
        <v>4</v>
      </c>
      <c r="C1806" s="6" t="inlineStr">
        <is>
          <t>Takılan sıra arkadaşına fısılda</t>
        </is>
      </c>
      <c r="D1806" s="5" t="inlineStr">
        <is>
          <t>Sosyal Radar</t>
        </is>
      </c>
      <c r="E1806" s="5" t="inlineStr">
        <is>
          <t>Orta</t>
        </is>
      </c>
      <c r="F1806" s="5" t="inlineStr"/>
      <c r="G1806" s="6" t="inlineStr"/>
      <c r="H1806" s="6" t="inlineStr">
        <is>
          <t>Arkadaşın takıldı, sen fısıldadın, cümle tamamlandı. Öğretmen sana göz kırptı.</t>
        </is>
      </c>
      <c r="I1806" s="6" t="inlineStr">
        <is>
          <t>Sıra arkadaşın donup kaldı; kulağına fısıldadın, okudu. Alkışın yarısı ona, yarısı sana; annesi çıkışta seni öptü.</t>
        </is>
      </c>
      <c r="J1806" s="6" t="inlineStr">
        <is>
          <t>Fısıldadın ama yanlış satırı. Arkadaşın senin cümleni okudu; sana okuyacak cümle kalmadı.</t>
        </is>
      </c>
      <c r="K1806" s="6" t="inlineStr">
        <is>
          <t>Fısıldayacaktın ama mikrofon açıktı. Salon cümleyi önce senden duydu, sonra arkadaşından. Arkadaşının annesi sana baktı.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row>
    <row r="1807">
      <c r="A1807" s="5" t="inlineStr">
        <is>
          <t>b5-kuzenin-dugunu</t>
        </is>
      </c>
      <c r="B1807" s="5" t="n">
        <v>1</v>
      </c>
      <c r="C1807" s="6" t="inlineStr">
        <is>
          <t>Masada otur, çerezi bitir</t>
        </is>
      </c>
      <c r="D1807" s="5" t="inlineStr"/>
      <c r="E1807" s="5" t="inlineStr"/>
      <c r="F1807" s="5" t="inlineStr">
        <is>
          <t>Dayanıklılık +1</t>
        </is>
      </c>
      <c r="G1807" s="6" t="inlineStr">
        <is>
          <t>Bütün gece masada oturdun. Çerez tabağı üç kez doldu, üç kez boşaldı. Halan her geçişte “Kalk be” dedi; kalkmadın.</t>
        </is>
      </c>
      <c r="H1807" s="6" t="inlineStr"/>
      <c r="I1807" s="6" t="inlineStr"/>
      <c r="J1807" s="6" t="inlineStr"/>
      <c r="K1807" s="6" t="inlineStr"/>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row>
    <row r="1808">
      <c r="A1808" s="5" t="inlineStr">
        <is>
          <t>b5-kuzenin-dugunu</t>
        </is>
      </c>
      <c r="B1808" s="5" t="n">
        <v>2</v>
      </c>
      <c r="C1808" s="6" t="inlineStr">
        <is>
          <t>Halayın başına geç</t>
        </is>
      </c>
      <c r="D1808" s="5" t="inlineStr">
        <is>
          <t>Pişkinlik</t>
        </is>
      </c>
      <c r="E1808" s="5" t="inlineStr">
        <is>
          <t>Orta</t>
        </is>
      </c>
      <c r="F1808" s="5" t="inlineStr"/>
      <c r="G1808" s="6" t="inlineStr"/>
      <c r="H1808" s="6" t="inlineStr">
        <is>
          <t>Halayı başlattın, ritmi tuttun. Dayın arkadan “Bizimki!” diye bağırdı; video bir saat içinde aile grubundaydı.</t>
        </is>
      </c>
      <c r="I1808" s="6" t="inlineStr">
        <is>
          <t>Mendili öyle savurdun ki davulcu sana göre çalmaya başladı. Halay salondan taştı, otoparka kadar uzadı. Amcan davulcunun bahşişini senin adınla verdi.</t>
        </is>
      </c>
      <c r="J1808" s="6" t="inlineStr">
        <is>
          <t>Halayın başına geçtin. İki adım sonra dayın mendili elinden kibarca aldı. Sona geçtin.</t>
        </is>
      </c>
      <c r="K1808" s="6" t="inlineStr">
        <is>
          <t>Mendili havaya attın; gelinin duvağına takıldı. Duvak bütün halay boyunca senin elinde dolaştı. Düğün videosunun en çok izlenen yeri burası.</t>
        </is>
      </c>
      <c r="L1808" s="6" t="inlineStr">
        <is>
          <t>Ritmi tuttun ama halayı yanlış yöne çektin. Yarısı seninle, yarısı kuzenle gitti; ortada gelin kaldı.</t>
        </is>
      </c>
      <c r="M1808" s="5" t="inlineStr">
        <is>
          <t>rhythm</t>
        </is>
      </c>
      <c r="N1808" s="5" t="inlineStr">
        <is>
          <t>Halay Başı</t>
        </is>
      </c>
      <c r="O1808" s="6" t="inlineStr">
        <is>
          <t>Davul vurduğunda dokun; mendil ritimden düşmesin.</t>
        </is>
      </c>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row>
    <row r="1809">
      <c r="A1809" s="5" t="inlineStr">
        <is>
          <t>b5-kuzenin-dugunu</t>
        </is>
      </c>
      <c r="B1809" s="5" t="n">
        <v>3</v>
      </c>
      <c r="C1809" s="6" t="inlineStr">
        <is>
          <t>Takı anonsunu sen yap</t>
        </is>
      </c>
      <c r="D1809" s="5" t="inlineStr">
        <is>
          <t>Çene</t>
        </is>
      </c>
      <c r="E1809" s="5" t="inlineStr">
        <is>
          <t>Orta</t>
        </is>
      </c>
      <c r="F1809" s="5" t="inlineStr"/>
      <c r="G1809" s="6" t="inlineStr"/>
      <c r="H1809" s="6" t="inlineStr">
        <is>
          <t>Mikrofonu aldın, takıları tek tek okudun. Ertesi gün mahalle rakamları senden duydu.</t>
        </is>
      </c>
      <c r="I1809" s="6" t="inlineStr">
        <is>
          <t>Anonsları öyle yaptın ki her takıdan sonra salon alkışladı. İki teyze bileziğini çıkarıp yeniden taktı; adı bir kez daha okunsun diye.</t>
        </is>
      </c>
      <c r="J1809" s="6" t="inlineStr">
        <is>
          <t>Mikrofonu aldın ama davul susmadı. Anonsun yarısı salona “ııı… çeyrek” diye ulaştı.</t>
        </is>
      </c>
      <c r="K1809" s="6" t="inlineStr">
        <is>
          <t>Bir teyzenin taktığı tek bileziği “Bir bilezik… o kadar” diye anons ettin. Salon sustu. O teyze artık bayramlarda gelmiyor.</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row>
    <row r="1810">
      <c r="A1810" s="5" t="inlineStr">
        <is>
          <t>b5-kuzenin-dugunu</t>
        </is>
      </c>
      <c r="B1810" s="5" t="n">
        <v>4</v>
      </c>
      <c r="C1810" s="6" t="inlineStr">
        <is>
          <t>Gelin çıkarken kapıyı tut</t>
        </is>
      </c>
      <c r="D1810" s="5" t="inlineStr">
        <is>
          <t>Kurnazlık</t>
        </is>
      </c>
      <c r="E1810" s="5" t="inlineStr">
        <is>
          <t>Orta</t>
        </is>
      </c>
      <c r="F1810" s="5" t="inlineStr"/>
      <c r="G1810" s="6" t="inlineStr"/>
      <c r="H1810" s="6" t="inlineStr">
        <is>
          <t>Kapıyı tuttun, pazarlık ettin, bir zarf aldın. Damat tarafı seni “zor kuzen” diye andı.</t>
        </is>
      </c>
      <c r="I1810" s="6" t="inlineStr">
        <is>
          <t>Gelin evden çıkarken kapıyı tuttun; damadın babası üç kez cebine uzandı. Toplanan para bütün bayram harçlıklarını geçti.</t>
        </is>
      </c>
      <c r="J1810" s="6" t="inlineStr">
        <is>
          <t>Kapıyı tuttun. Damat tarafından biri kapıyı senden sıkı tuttu. Zarf yok, selam var.</t>
        </is>
      </c>
      <c r="K1810" s="6" t="inlineStr">
        <is>
          <t>Kapıyı o kadar uzun tuttun ki konvoy korna çalmaya başladı, bütün sokak balkona çıktı. Annen zarfı damadın babasına özür dileyerek geri verdi.</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row>
    <row r="1811">
      <c r="A1811" s="5" t="inlineStr">
        <is>
          <t>b6-anneannenin-sandalyesi</t>
        </is>
      </c>
      <c r="B1811" s="5" t="n">
        <v>1</v>
      </c>
      <c r="C1811" s="6" t="inlineStr">
        <is>
          <t>Kapıda dur, ayakkabıları diz</t>
        </is>
      </c>
      <c r="D1811" s="5" t="inlineStr"/>
      <c r="E1811" s="5" t="inlineStr"/>
      <c r="F1811" s="5" t="inlineStr">
        <is>
          <t>Dayanıklılık +1, İtibar +1</t>
        </is>
      </c>
      <c r="G1811" s="6" t="inlineStr">
        <is>
          <t>Üç gün kapıda durdun, iki yüz çift ayakkabı dizdin; birini bile karıştırmadın. Son gece herkes gidince annen tepsiyi elinden aldı: “Otur artık.” Oturdun; o zaman ağladın.</t>
        </is>
      </c>
      <c r="H1811" s="6" t="inlineStr"/>
      <c r="I1811" s="6" t="inlineStr"/>
      <c r="J1811" s="6" t="inlineStr"/>
      <c r="K1811" s="6" t="inlineStr"/>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row>
    <row r="1812">
      <c r="A1812" s="5" t="inlineStr">
        <is>
          <t>b6-anneannenin-sandalyesi</t>
        </is>
      </c>
      <c r="B1812" s="5" t="n">
        <v>2</v>
      </c>
      <c r="C1812" s="6" t="inlineStr">
        <is>
          <t>Annenin yanına otur, sus</t>
        </is>
      </c>
      <c r="D1812" s="5" t="inlineStr">
        <is>
          <t>Gönül</t>
        </is>
      </c>
      <c r="E1812" s="5" t="inlineStr">
        <is>
          <t>Orta</t>
        </is>
      </c>
      <c r="F1812" s="5" t="inlineStr"/>
      <c r="G1812" s="6" t="inlineStr"/>
      <c r="H1812" s="6" t="inlineStr">
        <is>
          <t>Yanına oturdun. Annen çayını sana uzattı, sonra bir dakikalığına başını omzuna yasladı. Ertesi sabah anneannenin yüzüğünü avucuna koydu: “Bu sende dursun.”</t>
        </is>
      </c>
      <c r="I1812" s="6" t="inlineStr">
        <is>
          <t>Yanına oturdun, bir şey demedin. Gece yarısı annen anneannenin gençliğini anlatmaya başladı: bir düğünde, damadın üstüne ayran döken utangaç bir kız. Sabaha kadar sürdü; bir ara ikiniz de güldünüz.</t>
        </is>
      </c>
      <c r="J1812" s="6" t="inlineStr">
        <is>
          <t>“En azından uzun yaşadı” dedin. Annen “Bana kısa geldi” dedi ve kalkıp mutfağa gitti. Bir daha teselli cümlesi kurmadın.</t>
        </is>
      </c>
      <c r="K1812" s="6" t="inlineStr">
        <is>
          <t>Yanına oturdun, telefonun çaldı. Zil sesi, anneannenin sana öğrettiği oyun havasıydı. Bütün oda dondu. Sonra annen gülmeye başladı, sonra ağlamaya.</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row>
    <row r="1813">
      <c r="A1813" s="5" t="inlineStr">
        <is>
          <t>b6-anneannenin-sandalyesi</t>
        </is>
      </c>
      <c r="B1813" s="5" t="n">
        <v>3</v>
      </c>
      <c r="C1813" s="6" t="inlineStr">
        <is>
          <t>“Ev kimde kalacak?” lafını kes</t>
        </is>
      </c>
      <c r="D1813" s="5" t="inlineStr">
        <is>
          <t>Sosyal Radar</t>
        </is>
      </c>
      <c r="E1813" s="5" t="inlineStr">
        <is>
          <t>Zor</t>
        </is>
      </c>
      <c r="F1813" s="5" t="inlineStr"/>
      <c r="G1813" s="6" t="inlineStr"/>
      <c r="H1813" s="6" t="inlineStr">
        <is>
          <t>Konuyu anneannenin bahçedeki erik ağacına çevirdin. Herkesin bir erik anısı çıktı; ev o akşam unutuldu.</t>
        </is>
      </c>
      <c r="I1813" s="6" t="inlineStr">
        <is>
          <t>Lafı tam zamanında kestin: “Anneannem bu masada kavga istemezdi.” Dayınla teyzen aynı anda sustu, sonra aynı anda sana çay koydu. Ev konusu bir yıl ertelendi; bu ailede bu, barış demek.</t>
        </is>
      </c>
      <c r="J1813" s="6" t="inlineStr">
        <is>
          <t>Araya girdin, kimse duymadı. Ev konuşması mutfağa taşındı; sesler oradan geliyor.</t>
        </is>
      </c>
      <c r="K1813" s="6" t="inlineStr">
        <is>
          <t>“Satın evi, olsun bitsin” dedin. Bütün salon sana döndü. Annen o akşam sana çay koymadı; ilk kez.</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row>
    <row r="1814">
      <c r="A1814" s="5" t="inlineStr">
        <is>
          <t>b7-bebegin-adi</t>
        </is>
      </c>
      <c r="B1814" s="5" t="n">
        <v>1</v>
      </c>
      <c r="C1814" s="6" t="inlineStr">
        <is>
          <t>Bebeğe bak, adı eşin koysun</t>
        </is>
      </c>
      <c r="D1814" s="5" t="inlineStr"/>
      <c r="E1814" s="5" t="inlineStr"/>
      <c r="F1814" s="5" t="inlineStr">
        <is>
          <t>Gönül +1</t>
        </is>
      </c>
      <c r="G1814" s="6" t="inlineStr">
        <is>
          <t>Bebeğe baktın, sonra eşine: “Sen koy.” Eşin listedeki ilk adı söyledi. Babaanne bir an sustu, sonra torununu öptü ve konuyu bir daha hiç açmadı.</t>
        </is>
      </c>
      <c r="H1814" s="6" t="inlineStr"/>
      <c r="I1814" s="6" t="inlineStr"/>
      <c r="J1814" s="6" t="inlineStr"/>
      <c r="K1814" s="6" t="inlineStr"/>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row>
    <row r="1815">
      <c r="A1815" s="5" t="inlineStr">
        <is>
          <t>b7-bebegin-adi</t>
        </is>
      </c>
      <c r="B1815" s="5" t="n">
        <v>2</v>
      </c>
      <c r="C1815" s="6" t="inlineStr">
        <is>
          <t>İki büyüğün adını birleştir</t>
        </is>
      </c>
      <c r="D1815" s="5" t="inlineStr">
        <is>
          <t>Sosyal Radar</t>
        </is>
      </c>
      <c r="E1815" s="5" t="inlineStr">
        <is>
          <t>Orta</t>
        </is>
      </c>
      <c r="F1815" s="5" t="inlineStr"/>
      <c r="G1815" s="6" t="inlineStr"/>
      <c r="H1815" s="6" t="inlineStr">
        <is>
          <t>Biri ad, biri göbek adı oldu. Babaanne de anneanne de kendi koyduğunu önce söylüyor; bebek ikisine de gülüyor.</t>
        </is>
      </c>
      <c r="I1815" s="6" t="inlineStr">
        <is>
          <t>İki adı birleştirdin; babaanne de anneanne de aynı anda ağladı. İkisi de torununa adının yarısını kendisinin koyduğunu anlatıyor. İkisi de haklı.</t>
        </is>
      </c>
      <c r="J1815" s="6" t="inlineStr">
        <is>
          <t>İki adı yan yana koydun; kulağa bir ilaç adı gibi geldi. Eşin listeyi yeniden açtı.</t>
        </is>
      </c>
      <c r="K1815" s="6" t="inlineStr">
        <is>
          <t>Heyecandan nüfus kâğıdını sen doldurdun, iki adın harflerini birbirine kattın. Kimlikte kimsenin tanımadığı bir ad yazıyor. Babaanne torununa üç yıl yalnızca “Kuzum” dedi; başka çaresi yoktu.</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row>
    <row r="1816">
      <c r="A1816" s="5" t="inlineStr">
        <is>
          <t>b7-bebegin-adi</t>
        </is>
      </c>
      <c r="B1816" s="5" t="n">
        <v>3</v>
      </c>
      <c r="C1816" s="6" t="inlineStr">
        <is>
          <t>Kırk gün kapıyı kimseye açma</t>
        </is>
      </c>
      <c r="D1816" s="5" t="inlineStr">
        <is>
          <t>Cesaret</t>
        </is>
      </c>
      <c r="E1816" s="5" t="inlineStr">
        <is>
          <t>Zor</t>
        </is>
      </c>
      <c r="F1816" s="5" t="inlineStr"/>
      <c r="G1816" s="6" t="inlineStr"/>
      <c r="H1816" s="6" t="inlineStr">
        <is>
          <t>Kırk gün kapıyı yalnızca anneanneye açtın. Ev sessiz, bebek uykulu; eşin ilk kez dinlendi. Teyzeler bunu konuştu ama kapının dışında.</t>
        </is>
      </c>
      <c r="I1816" s="6" t="inlineStr">
        <is>
          <t>Kapıya bir not astın: “Kırkımız çıksın, sonra gelin.” Kırk gün kimse gelmedi. Kırk birinci gün bütün akrabalar aynı saatte geldi; ellerinde börek ve altın.</t>
        </is>
      </c>
      <c r="J1816" s="6" t="inlineStr">
        <is>
          <t>Üçüncü gün kayınvalide bir tencere çorbayla geldi, geri çeviremedin. Beşinci gün kapı herkese açıktı.</t>
        </is>
      </c>
      <c r="K1816" s="6" t="inlineStr">
        <is>
          <t>Halanı kapıdan çevirdin. Halan altını kapının koluna bağlayıp merdivenlerden indi. Her bayram anlatıyor: “Yeğenimin bebeğini kapı kolundan sevdim.”</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row>
    <row r="1817">
      <c r="A1817" s="5" t="inlineStr">
        <is>
          <t>b7-okulun-ilk-gunu</t>
        </is>
      </c>
      <c r="B1817" s="5" t="n">
        <v>1</v>
      </c>
      <c r="C1817" s="6" t="inlineStr">
        <is>
          <t>Kapıda el salla, arkana bakmadan yürü</t>
        </is>
      </c>
      <c r="D1817" s="5" t="inlineStr"/>
      <c r="E1817" s="5" t="inlineStr"/>
      <c r="F1817" s="5" t="inlineStr">
        <is>
          <t>Dayanıklılık +1</t>
        </is>
      </c>
      <c r="G1817" s="6" t="inlineStr">
        <is>
          <t>El salladın, yürüdün, köşeyi dönünce durdun. On dakika duvarın arkasından bahçeyi izledin. Çocuğun hiç ağlamadı; sen ağladın.</t>
        </is>
      </c>
      <c r="H1817" s="6" t="inlineStr"/>
      <c r="I1817" s="6" t="inlineStr"/>
      <c r="J1817" s="6" t="inlineStr"/>
      <c r="K1817" s="6" t="inlineStr"/>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row>
    <row r="1818">
      <c r="A1818" s="5" t="inlineStr">
        <is>
          <t>b7-okulun-ilk-gunu</t>
        </is>
      </c>
      <c r="B1818" s="5" t="n">
        <v>2</v>
      </c>
      <c r="C1818" s="6" t="inlineStr">
        <is>
          <t>Beslenme çantasına gizli bir not koy</t>
        </is>
      </c>
      <c r="D1818" s="5" t="inlineStr">
        <is>
          <t>Gönül</t>
        </is>
      </c>
      <c r="E1818" s="5" t="inlineStr">
        <is>
          <t>Kolay</t>
        </is>
      </c>
      <c r="F1818" s="5" t="inlineStr"/>
      <c r="G1818" s="6" t="inlineStr"/>
      <c r="H1818" s="6" t="inlineStr">
        <is>
          <t>Elmaların arasına bir kalp çizip koydun. Akşam çanta boş döndü; not dörde katlanmış, önlüğün cebinde. Hâlâ duruyor.</t>
        </is>
      </c>
      <c r="I1818" s="6" t="inlineStr">
        <is>
          <t>Notu teneffüste buldu, bütün sınıfa gösterdi. Ertesi gün sınıfın yarısının çantasında not vardı; veliler sana “Fikir kimden?” diye yazdı.</t>
        </is>
      </c>
      <c r="J1818" s="6" t="inlineStr">
        <is>
          <t>Notu koydun; çocuk okumayı daha bilmiyormuş. Kalbi domates sandı, sıra arkadaşına verdi.</t>
        </is>
      </c>
      <c r="K1818" s="6" t="inlineStr">
        <is>
          <t>Notu ayranın yanına koydun; ayran açıldı. Öğretmen çantayı teneffüste lavaboda yıkadı. Veli grubunun ilk mesajı senin adınla açıldı.</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row>
    <row r="1819">
      <c r="A1819" s="5" t="inlineStr">
        <is>
          <t>b7-okulun-ilk-gunu</t>
        </is>
      </c>
      <c r="B1819" s="5" t="n">
        <v>3</v>
      </c>
      <c r="C1819" s="6" t="inlineStr">
        <is>
          <t>Teneffüse kadar bahçe parmaklığında bekle</t>
        </is>
      </c>
      <c r="D1819" s="5" t="inlineStr">
        <is>
          <t>Dayanıklılık</t>
        </is>
      </c>
      <c r="E1819" s="5" t="inlineStr">
        <is>
          <t>Orta</t>
        </is>
      </c>
      <c r="F1819" s="5" t="inlineStr"/>
      <c r="G1819" s="6" t="inlineStr"/>
      <c r="H1819" s="6" t="inlineStr">
        <is>
          <t>İki ders boyunca parmaklıkta durdun. Teneffüste çocuğun seni gördü, gülümsedi ve yanına hiç gelmedi. İkiniz de doğrusunu yaptınız.</t>
        </is>
      </c>
      <c r="I1819" s="6" t="inlineStr">
        <is>
          <t>Teneffüste çocuğun koşarak geldi, parmaklıktan yarım bir kurabiye uzattı, sonra arkadaşlarına döndü. Yarısını sana ayırmıştı.</t>
        </is>
      </c>
      <c r="J1819" s="6" t="inlineStr">
        <is>
          <t>Parmaklıkta yalnız değildin; kırk veli daha vardı. Müdür hepinizi kibarca kapının dışına çıkardı.</t>
        </is>
      </c>
      <c r="K1819" s="6" t="inlineStr">
        <is>
          <t>Parmaklıktan adını seslendin. Çocuğun seni görünce ağladı, sonra bütün sınıf ağladı. Öğretmen seni de sınıfa aldı; çocuklar susana kadar birinci sınıftaydın.</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row>
    <row r="1820">
      <c r="A1820" s="5" t="inlineStr">
        <is>
          <t>b7-okulun-ilk-gunu</t>
        </is>
      </c>
      <c r="B1820" s="5" t="n">
        <v>4</v>
      </c>
      <c r="C1820" s="6" t="inlineStr">
        <is>
          <t>Öğretmenle hemen tanış, çocuğunu anlat</t>
        </is>
      </c>
      <c r="D1820" s="5" t="inlineStr">
        <is>
          <t>Çene</t>
        </is>
      </c>
      <c r="E1820" s="5" t="inlineStr">
        <is>
          <t>Orta</t>
        </is>
      </c>
      <c r="F1820" s="5" t="inlineStr"/>
      <c r="G1820" s="6" t="inlineStr"/>
      <c r="H1820" s="6" t="inlineStr">
        <is>
          <t>Çocuğunun neyi sevip neden korktuğunu üç cümlede anlattın. Öğretmen gülümsedi: “Merak etmeyin, bende otuz tane var.”</t>
        </is>
      </c>
      <c r="I1820" s="6" t="inlineStr">
        <is>
          <t>Öğretmen seni dinledi, not aldı, çocuğunu ön sıraya oturttu. Akşam çocuğun eve girer girmez “Öğretmenim seni sevdi” dedi; kendinden önce.</t>
        </is>
      </c>
      <c r="J1820" s="6" t="inlineStr">
        <is>
          <t>Anlatmaya başladın; arkanda on veli sıraya girdi. Öğretmen “Veli toplantısında konuşalım” dedi. Toplantı ekimde.</t>
        </is>
      </c>
      <c r="K1820" s="6" t="inlineStr">
        <is>
          <t>Anlatırken telefondan fotoğrafını gösterdin; ekranda kuzeninin çocuğu vardı. Öğretmen bir ay boyunca çocuğuna kuzeninin adıyla seslendi.</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row>
    <row r="1821">
      <c r="A1821" s="5" t="inlineStr">
        <is>
          <t>b8-taki-sirasi</t>
        </is>
      </c>
      <c r="B1821" s="5" t="n">
        <v>1</v>
      </c>
      <c r="C1821" s="6" t="inlineStr">
        <is>
          <t>Çeyreği tak, geç</t>
        </is>
      </c>
      <c r="D1821" s="5" t="inlineStr"/>
      <c r="E1821" s="5" t="inlineStr"/>
      <c r="F1821" s="5" t="inlineStr">
        <is>
          <t>İtibar +1</t>
        </is>
      </c>
      <c r="G1821" s="6" t="inlineStr">
        <is>
          <t>Çeyreği damadın yakasına iğneledin. Amca mikrofona “Bir çeyrek!” dedi; kimse kaşını kaldırmadı. Annen arkadan fısıldadı: “Tamam, yeterli.”</t>
        </is>
      </c>
      <c r="H1821" s="6" t="inlineStr"/>
      <c r="I1821" s="6" t="inlineStr"/>
      <c r="J1821" s="6" t="inlineStr"/>
      <c r="K1821" s="6" t="inlineStr"/>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row>
    <row r="1822">
      <c r="A1822" s="5" t="inlineStr">
        <is>
          <t>b8-taki-sirasi</t>
        </is>
      </c>
      <c r="B1822" s="5" t="n">
        <v>2</v>
      </c>
      <c r="C1822" s="6" t="inlineStr">
        <is>
          <t>Zarfı ver, anons ettirme</t>
        </is>
      </c>
      <c r="D1822" s="5" t="inlineStr">
        <is>
          <t>Kurnazlık</t>
        </is>
      </c>
      <c r="E1822" s="5" t="inlineStr">
        <is>
          <t>Kolay</t>
        </is>
      </c>
      <c r="F1822" s="5" t="inlineStr"/>
      <c r="G1822" s="6" t="inlineStr"/>
      <c r="H1822" s="6" t="inlineStr">
        <is>
          <t>Zarfı verdin, amcaya göz kırptın; amca “Bir zarf!” deyip geçti. Kimse saymadı, sen de söylemedin.</t>
        </is>
      </c>
      <c r="I1822" s="6" t="inlineStr">
        <is>
          <t>Zarfı damadın cebine sessizce koydun. Amca anons edemedi; bütün salon zarfın kalınlığını konuştu. Düğünün en cömerdi sen oldun, kimse emin olmadan.</t>
        </is>
      </c>
      <c r="J1822" s="6" t="inlineStr">
        <is>
          <t>Zarfı verdin; amca zarfı mikrofona yaklaştırıp “Bir zarf, ince!” dedi. Salon güldü.</t>
        </is>
      </c>
      <c r="K1822" s="6" t="inlineStr">
        <is>
          <t>Zarfı verdin; damadın annesi oracıkta açtı. İçinden düğün davetiyesi çıktı. Paranın olduğu zarf hâlâ ceketinin cebinde.</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row>
    <row r="1823">
      <c r="A1823" s="5" t="inlineStr">
        <is>
          <t>b8-taki-sirasi</t>
        </is>
      </c>
      <c r="B1823" s="5" t="n">
        <v>3</v>
      </c>
      <c r="C1823" s="6" t="inlineStr">
        <is>
          <t>Mikrofonu al, büyük tak</t>
        </is>
      </c>
      <c r="D1823" s="5" t="inlineStr">
        <is>
          <t>Pişkinlik</t>
        </is>
      </c>
      <c r="E1823" s="5" t="inlineStr">
        <is>
          <t>Orta</t>
        </is>
      </c>
      <c r="F1823" s="5" t="inlineStr"/>
      <c r="G1823" s="6" t="inlineStr"/>
      <c r="H1823" s="6" t="inlineStr">
        <is>
          <t>“Bizden iki bilezik!” dedin, salon alkışladı. Teyzen ertesi gün herkese anlattı; bileziklerin sayısı her anlatışta arttı.</t>
        </is>
      </c>
      <c r="I1823" s="6" t="inlineStr">
        <is>
          <t>Mikrofonu alıp “Bizden de bir tam altın!” dedin. Salon ayağa kalktı, davul iki kez vurdu. Gelin gelip elini öptü.</t>
        </is>
      </c>
      <c r="J1823" s="6" t="inlineStr">
        <is>
          <t>Mikrofonu aldın, cızırdadı. Kimse ne taktığını duymadı; amca “Bir şey!” diye anons etti.</t>
        </is>
      </c>
      <c r="K1823" s="6" t="inlineStr">
        <is>
          <t>Mikrofona “Bizden bir bilezik!” dedin; bileziği evde unutmuşsun. Salon bekledi, davul bekledi. Sonunda kolundaki saati çıkarıp taktın.</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is>
          <t>Rahat</t>
        </is>
      </c>
      <c r="AD1823" s="5" t="inlineStr"/>
      <c r="AE1823" s="5" t="inlineStr"/>
      <c r="AF1823" s="5" t="inlineStr"/>
      <c r="AG1823" s="5" t="inlineStr"/>
      <c r="AH1823" s="5" t="inlineStr"/>
      <c r="AI1823" s="5" t="inlineStr"/>
    </row>
    <row r="1824">
      <c r="A1824" s="5" t="inlineStr">
        <is>
          <t>b8-taki-sirasi</t>
        </is>
      </c>
      <c r="B1824" s="5" t="n">
        <v>4</v>
      </c>
      <c r="C1824" s="6" t="inlineStr">
        <is>
          <t>Takı defterini aç, ne geldiyse onu tak</t>
        </is>
      </c>
      <c r="D1824" s="5" t="inlineStr">
        <is>
          <t>Akıl</t>
        </is>
      </c>
      <c r="E1824" s="5" t="inlineStr">
        <is>
          <t>Kolay</t>
        </is>
      </c>
      <c r="F1824" s="5" t="inlineStr"/>
      <c r="G1824" s="6" t="inlineStr"/>
      <c r="H1824" s="6" t="inlineStr">
        <is>
          <t>Defterine baktın: kuzenin senin düğününde bir çeyrek takmış. Bir çeyrek taktın. Hesap kapandı, kimse kırılmadı.</t>
        </is>
      </c>
      <c r="I1824" s="6" t="inlineStr">
        <is>
          <t>Defterde kuzeninin senin düğününe bilezik taktığını gördün; sen de bilezik taktın. Masada “Bunlar hesap biliyor” diye bir saygı oluştu.</t>
        </is>
      </c>
      <c r="J1824" s="6" t="inlineStr">
        <is>
          <t>Defteri evde unuttun. Ezbere bir çeyrek taktın; sonradan kuzeninin seninkine bilezik taktığı ortaya çıktı.</t>
        </is>
      </c>
      <c r="K1824" s="6" t="inlineStr">
        <is>
          <t>Defteri düğüne getirip masada açtın. Kuzenin gördü: “Bizi de mi yazdın?” Bütün masa kendi sayfasını sordu.</t>
        </is>
      </c>
      <c r="L1824" s="6" t="inlineStr"/>
      <c r="M1824" s="5" t="inlineStr"/>
      <c r="N1824" s="5" t="inlineStr"/>
      <c r="O1824" s="6" t="inlineStr"/>
      <c r="P1824" s="6" t="inlineStr"/>
      <c r="Q1824" s="5" t="inlineStr"/>
      <c r="R1824" s="5" t="inlineStr">
        <is>
          <t>taki-defteri</t>
        </is>
      </c>
      <c r="S1824" s="5" t="inlineStr"/>
      <c r="T1824" s="5" t="inlineStr"/>
      <c r="U1824" s="5" t="inlineStr"/>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row>
    <row r="1825">
      <c r="A1825" s="5" t="inlineStr">
        <is>
          <t>b8-babanin-evi</t>
        </is>
      </c>
      <c r="B1825" s="5" t="n">
        <v>1</v>
      </c>
      <c r="C1825" s="6" t="inlineStr">
        <is>
          <t>Ceketi al, gerisini kardeşlere bırak</t>
        </is>
      </c>
      <c r="D1825" s="5" t="inlineStr"/>
      <c r="E1825" s="5" t="inlineStr"/>
      <c r="F1825" s="5" t="inlineStr">
        <is>
          <t>Gönül +1, İtibar +1</t>
        </is>
      </c>
      <c r="G1825" s="6" t="inlineStr">
        <is>
          <t>Ceketi giydin; kolları kısa, omuzları geniş. Kardeşin “Tıpkı o” dedi. İkiniz de mutfağa kaçıp ağladınız; annen duymamış gibi yaptı.</t>
        </is>
      </c>
      <c r="H1825" s="6" t="inlineStr"/>
      <c r="I1825" s="6" t="inlineStr"/>
      <c r="J1825" s="6" t="inlineStr"/>
      <c r="K1825" s="6" t="inlineStr"/>
      <c r="L1825" s="6" t="inlineStr"/>
      <c r="M1825" s="5" t="inlineStr"/>
      <c r="N1825" s="5" t="inlineStr"/>
      <c r="O1825" s="6" t="inlineStr"/>
      <c r="P1825" s="6" t="inlineStr"/>
      <c r="Q1825" s="5" t="inlineStr"/>
      <c r="R1825" s="5" t="inlineStr"/>
      <c r="S1825" s="5" t="inlineStr"/>
      <c r="T1825" s="5" t="inlineStr"/>
      <c r="U1825" s="5" t="inlineStr">
        <is>
          <t>babanin-ceketi</t>
        </is>
      </c>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row>
    <row r="1826">
      <c r="A1826" s="5" t="inlineStr">
        <is>
          <t>b8-babanin-evi</t>
        </is>
      </c>
      <c r="B1826" s="5" t="n">
        <v>2</v>
      </c>
      <c r="C1826" s="6" t="inlineStr">
        <is>
          <t>Eşyaları adil paylaştır</t>
        </is>
      </c>
      <c r="D1826" s="5" t="inlineStr">
        <is>
          <t>Sosyal Radar</t>
        </is>
      </c>
      <c r="E1826" s="5" t="inlineStr">
        <is>
          <t>Orta</t>
        </is>
      </c>
      <c r="F1826" s="5" t="inlineStr"/>
      <c r="G1826" s="6" t="inlineStr"/>
      <c r="H1826" s="6" t="inlineStr">
        <is>
          <t>Saat birine, radyo ötekine, ceket sana. Liste uzun sürdü ama bitti; kimse kapıyı çarpıp çıkmadı.</t>
        </is>
      </c>
      <c r="I1826" s="6" t="inlineStr">
        <is>
          <t>Herkes istediğini aldı, kimse kimseye kırılmadı. Akşam boş odada yere oturup babanın sevdiği türküyü açtınız; ilk kez hep birlikte güldünüz.</t>
        </is>
      </c>
      <c r="J1826" s="6" t="inlineStr">
        <is>
          <t>Paylaştırdın; herkes başkasının aldığını istedi. Dolap yine kapandı; kimse dokunmuyor.</t>
        </is>
      </c>
      <c r="K1826" s="6" t="inlineStr">
        <is>
          <t>“Bu da bende kalsın” deyip kristal şekerliği kaldırdın; elinden kaydı, kırıldı. O sırada halan içeri girdi: “O şekerliği baban bana söz vermişti.” Kırk yıllık bir küslük o gün başladı.</t>
        </is>
      </c>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row>
    <row r="1827">
      <c r="A1827" s="5" t="inlineStr">
        <is>
          <t>b8-babanin-evi</t>
        </is>
      </c>
      <c r="B1827" s="5" t="n">
        <v>3</v>
      </c>
      <c r="C1827" s="6" t="inlineStr">
        <is>
          <t>Telefonundaki sesli mesajları dinle</t>
        </is>
      </c>
      <c r="D1827" s="5" t="inlineStr"/>
      <c r="E1827" s="5" t="inlineStr"/>
      <c r="F1827" s="5" t="inlineStr">
        <is>
          <t>Dayanıklılık +1</t>
        </is>
      </c>
      <c r="G1827" s="6" t="inlineStr">
        <is>
          <t>Telefonunda babandan dört sesli mesaj var; dördünde de “Arayınca açsana” diyor. Hepsini dinledin. Sonuncusunu silemedin.</t>
        </is>
      </c>
      <c r="H1827" s="6" t="inlineStr"/>
      <c r="I1827" s="6" t="inlineStr"/>
      <c r="J1827" s="6" t="inlineStr"/>
      <c r="K1827" s="6" t="inlineStr"/>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row>
    <row r="1828">
      <c r="A1828" s="5" t="inlineStr">
        <is>
          <t>b8-babanin-evi</t>
        </is>
      </c>
      <c r="B1828" s="5" t="n">
        <v>4</v>
      </c>
      <c r="C1828" s="6" t="inlineStr">
        <is>
          <t>Kardeşlere babanın hikâyelerini anlat</t>
        </is>
      </c>
      <c r="D1828" s="5" t="inlineStr">
        <is>
          <t>Çene</t>
        </is>
      </c>
      <c r="E1828" s="5" t="inlineStr">
        <is>
          <t>Orta</t>
        </is>
      </c>
      <c r="F1828" s="5" t="inlineStr"/>
      <c r="G1828" s="6" t="inlineStr"/>
      <c r="H1828" s="6" t="inlineStr">
        <is>
          <t>Babanın askerde kaybettiği katırın hikâyesini anlattın. Üç kuşak aynı anda güldü; annen salondan seslendi: “Katır değil, eşekti.”</t>
        </is>
      </c>
      <c r="I1828" s="6" t="inlineStr">
        <is>
          <t>Gece yarısına kadar anlattın; yeğenler telefonlarını bıraktı. Ertesi gün biri hikâyeleri kaydetmek için geri geldi.</t>
        </is>
      </c>
      <c r="J1828" s="6" t="inlineStr">
        <is>
          <t>Anlatmaya başladın; sonunu hatırlamadın. Annen salondan tamamladı, başka türlü.</t>
        </is>
      </c>
      <c r="K1828" s="6" t="inlineStr">
        <is>
          <t>Babanın “Kimseye söyleme” dediği kısma geldin. Söyledin. Annen o akşam sana çay koymadı.</t>
        </is>
      </c>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row>
    <row r="1829">
      <c r="A1829" s="5" t="inlineStr">
        <is>
          <t>b9-dunurler</t>
        </is>
      </c>
      <c r="B1829" s="5" t="n">
        <v>1</v>
      </c>
      <c r="C1829" s="6" t="inlineStr">
        <is>
          <t>Lafı büyüklere bırak, çayları tazele</t>
        </is>
      </c>
      <c r="D1829" s="5" t="inlineStr"/>
      <c r="E1829" s="5" t="inlineStr"/>
      <c r="F1829" s="5" t="inlineStr">
        <is>
          <t>Sosyal Radar +1</t>
        </is>
      </c>
      <c r="G1829" s="6" t="inlineStr">
        <is>
          <t>Lafı dünürün açtı, sen çayları tazeledin. Gecenin sonunda iki aile kapıda yarım saat vedalaştı; tek bir söz yanlış düşmedi.</t>
        </is>
      </c>
      <c r="H1829" s="6" t="inlineStr"/>
      <c r="I1829" s="6" t="inlineStr"/>
      <c r="J1829" s="6" t="inlineStr"/>
      <c r="K1829" s="6" t="inlineStr"/>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row>
    <row r="1830">
      <c r="A1830" s="5" t="inlineStr">
        <is>
          <t>b9-dunurler</t>
        </is>
      </c>
      <c r="B1830" s="5" t="n">
        <v>2</v>
      </c>
      <c r="C1830" s="6" t="inlineStr">
        <is>
          <t>İlk lafı sen aç</t>
        </is>
      </c>
      <c r="D1830" s="5" t="inlineStr">
        <is>
          <t>Çene</t>
        </is>
      </c>
      <c r="E1830" s="5" t="inlineStr">
        <is>
          <t>Orta</t>
        </is>
      </c>
      <c r="F1830" s="5" t="inlineStr"/>
      <c r="G1830" s="6" t="inlineStr"/>
      <c r="H1830" s="6" t="inlineStr">
        <is>
          <t>Hava, yol, sonra konu. 'Büyüklerin izniyle' dedin; dünürün başını salladı. Çay ikinci kez demlendi.</t>
        </is>
      </c>
      <c r="I1830" s="6" t="inlineStr">
        <is>
          <t>'Gençler anlaşmış, bize tatlı yemek kalır' dedin. Salon güldü; söz o akşam takıldı, kurdeleyi sen kestin.</t>
        </is>
      </c>
      <c r="J1830" s="6" t="inlineStr">
        <is>
          <t>Lafa hava durumuyla girdin. Yirmi dakika yağmur konuşuldu; asıl konu bir sonraki ziyarete kaldı.</t>
        </is>
      </c>
      <c r="K1830" s="6" t="inlineStr">
        <is>
          <t>Lafı açarken dünürünün adını yanlış söyledin, üç kez. Üçüncüde dünürün adını düzeltmekten vazgeçti. Düğünde de o adla anıldı.</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row>
    <row r="1831">
      <c r="A1831" s="5" t="inlineStr">
        <is>
          <t>b9-dunurler</t>
        </is>
      </c>
      <c r="B1831" s="5" t="n">
        <v>3</v>
      </c>
      <c r="C1831" s="6" t="inlineStr">
        <is>
          <t>Düğün masrafını ilk akşamdan konuş</t>
        </is>
      </c>
      <c r="D1831" s="5" t="inlineStr">
        <is>
          <t>Kurnazlık</t>
        </is>
      </c>
      <c r="E1831" s="5" t="inlineStr">
        <is>
          <t>Zor</t>
        </is>
      </c>
      <c r="F1831" s="5" t="inlineStr"/>
      <c r="G1831" s="6" t="inlineStr"/>
      <c r="H1831" s="6" t="inlineStr">
        <is>
          <t>Konuyu açtın. İki taraf da 'Biz bir şey istemeyiz' dedi ve üç saat boyunca bir şeyler istedi. Sonunda yarı yarıya anlaştınız.</t>
        </is>
      </c>
      <c r="I1831" s="6" t="inlineStr">
        <is>
          <t>Masrafı ilk akşam paylaştınız: salon sizden, takı onlardan, yemek yarı yarıya. Düğüne kadar tek kavga çıkmadı. Mahallede bir ilk.</t>
        </is>
      </c>
      <c r="J1831" s="6" t="inlineStr">
        <is>
          <t>Masraf lafı açılınca salon serinledi. Kahveler bitti, ikinci kahve gelmedi.</t>
        </is>
      </c>
      <c r="K1831" s="6" t="inlineStr">
        <is>
          <t>'Bizde düğün üç gün olur' dedin. Dünür 'Bizde bir akşam' dedi. Düğün iki akşam olacak; ikisinin de faturası sende.</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row>
    <row r="1832">
      <c r="A1832" s="5" t="inlineStr">
        <is>
          <t>b9-dunurler</t>
        </is>
      </c>
      <c r="B1832" s="5" t="n">
        <v>4</v>
      </c>
      <c r="C1832" s="6" t="inlineStr">
        <is>
          <t>Dünürün huyunu oku</t>
        </is>
      </c>
      <c r="D1832" s="5" t="inlineStr">
        <is>
          <t>Sosyal Radar</t>
        </is>
      </c>
      <c r="E1832" s="5" t="inlineStr">
        <is>
          <t>Orta</t>
        </is>
      </c>
      <c r="F1832" s="5" t="inlineStr"/>
      <c r="G1832" s="6" t="inlineStr"/>
      <c r="H1832" s="6" t="inlineStr">
        <is>
          <t>Dünür az şekerli içiyor, memleket lafı açılınca yumuşuyor. İkinci çaydan sonra ortak bir tanıdık bulundu; gerisi kendiliğinden geldi.</t>
        </is>
      </c>
      <c r="I1832" s="6" t="inlineStr">
        <is>
          <t>Dünürün kristale düşkün olduğunu vitrine bakışından anladın ve şekerliği hediye ettin. Düğüne kadar bir kez bile tartışmadınız.</t>
        </is>
      </c>
      <c r="J1832" s="6" t="inlineStr">
        <is>
          <t>Sessiz sandın, utangaçmış. Utangaç sandın, yorgunmuş. Akşamın sonunda ne düşündüğünü hâlâ bilmiyorsun.</t>
        </is>
      </c>
      <c r="K1832" s="6" t="inlineStr">
        <is>
          <t>Dünürü sessiz sanıp rahatladın, kendi aileni anlatmaya başladın; halanın boşanmasını bile. Dünür sessiz değilmiş, dinliyormuş.</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row>
    <row r="1833">
      <c r="A1833" s="5" t="inlineStr">
        <is>
          <t>b10-tek-fincan</t>
        </is>
      </c>
      <c r="B1833" s="5" t="n">
        <v>1</v>
      </c>
      <c r="C1833" s="6" t="inlineStr">
        <is>
          <t>Onun gibi demle</t>
        </is>
      </c>
      <c r="D1833" s="5" t="inlineStr"/>
      <c r="E1833" s="5" t="inlineStr"/>
      <c r="F1833" s="5" t="inlineStr">
        <is>
          <t>Gönül +1</t>
        </is>
      </c>
      <c r="G1833" s="6" t="inlineStr">
        <is>
          <t>Dört kaşık koydun, fazla geldi. Yine de iki fincan doldurdun, birini karşına koydun. Soğuyana kadar kalkmadın.</t>
        </is>
      </c>
      <c r="H1833" s="6" t="inlineStr"/>
      <c r="I1833" s="6" t="inlineStr"/>
      <c r="J1833" s="6" t="inlineStr"/>
      <c r="K1833" s="6" t="inlineStr"/>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row>
    <row r="1834">
      <c r="A1834" s="5" t="inlineStr">
        <is>
          <t>b10-tek-fincan</t>
        </is>
      </c>
      <c r="B1834" s="5" t="n">
        <v>2</v>
      </c>
      <c r="C1834" s="6" t="inlineStr">
        <is>
          <t>Tabakları komşuya geri götür</t>
        </is>
      </c>
      <c r="D1834" s="5" t="inlineStr">
        <is>
          <t>Sosyal Radar</t>
        </is>
      </c>
      <c r="E1834" s="5" t="inlineStr">
        <is>
          <t>Kolay</t>
        </is>
      </c>
      <c r="F1834" s="5" t="inlineStr"/>
      <c r="G1834" s="6" t="inlineStr"/>
      <c r="H1834" s="6" t="inlineStr">
        <is>
          <t>Kapıda on dakika konuştunuz. Akşam kapında yine bir tabak vardı, yanında bir not: 'Yarın bizde.'</t>
        </is>
      </c>
      <c r="I1834" s="6" t="inlineStr">
        <is>
          <t>Komşu seni içeri aldı, çay koydu ve eşinin senin bile bilmediğin bir huyunu anlattı. İkiniz de güldünüz; üç aydır ilk kez.</t>
        </is>
      </c>
      <c r="J1834" s="6" t="inlineStr">
        <is>
          <t>Kapıya kadar gittin, zile basamadın. Tabakları paspasın üstüne bırakıp döndün.</t>
        </is>
      </c>
      <c r="K1834" s="6" t="inlineStr">
        <is>
          <t>Komşu kapıyı açıp 'Nasılsın?' dedi. 'İyiyim' diyecektin, ağladın. Merdivende yarım saat ağladınız; apartman grubuna 'Üçüncü katta ses var' diye mesaj düştü.</t>
        </is>
      </c>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row>
    <row r="1835">
      <c r="A1835" s="5" t="inlineStr">
        <is>
          <t>b10-tek-fincan</t>
        </is>
      </c>
      <c r="B1835" s="5" t="n">
        <v>3</v>
      </c>
      <c r="C1835" s="6" t="inlineStr">
        <is>
          <t>Çocuğunun yanına taşın</t>
        </is>
      </c>
      <c r="D1835" s="5" t="inlineStr">
        <is>
          <t>Gönül</t>
        </is>
      </c>
      <c r="E1835" s="5" t="inlineStr">
        <is>
          <t>Orta</t>
        </is>
      </c>
      <c r="F1835" s="5" t="inlineStr"/>
      <c r="G1835" s="6" t="inlineStr"/>
      <c r="H1835" s="6" t="inlineStr">
        <is>
          <t>Valizini çocuğunun evine taşıdın. Sana en güneşli odayı verdiler; kumanda sende değil ama demlik sende.</t>
        </is>
      </c>
      <c r="I1835" s="6" t="inlineStr">
        <is>
          <t>Torununla aynı odayı paylaştın. Bir ayda sen ona tavla, o sana dizi öğretti; çocuğunun eşi aile grubuna 'Ev böyle daha güzel' yazdı.</t>
        </is>
      </c>
      <c r="J1835" s="6" t="inlineStr">
        <is>
          <t>İki hafta kaldın, sonra kendi evine döndün. 'Çiçeklerim susuz kaldı' dedin. Çiçekler plastikti.</t>
        </is>
      </c>
      <c r="K1835" s="6" t="inlineStr">
        <is>
          <t>Taşındığın ilk gece mutfağı kendi düzenine soktun. Sabah kimse çay bardaklarını bulamadı; çocuğunun eşi seni bir hafta komşulara 'misafirimiz' diye tanıttı.</t>
        </is>
      </c>
      <c r="L1835" s="6" t="inlineStr"/>
      <c r="M1835" s="5" t="inlineStr"/>
      <c r="N1835" s="5" t="inlineStr"/>
      <c r="O1835" s="6" t="inlineStr"/>
      <c r="P1835" s="6" t="inlineStr"/>
      <c r="Q1835" s="5" t="inlineStr"/>
      <c r="R1835" s="5" t="inlineStr">
        <is>
          <t>cocuklu</t>
        </is>
      </c>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row>
    <row r="1836">
      <c r="A1836" s="5" t="inlineStr">
        <is>
          <t>b10-tek-fincan</t>
        </is>
      </c>
      <c r="B1836" s="5" t="n">
        <v>4</v>
      </c>
      <c r="C1836" s="6" t="inlineStr">
        <is>
          <t>Eşinin dolabını topla</t>
        </is>
      </c>
      <c r="D1836" s="5" t="inlineStr">
        <is>
          <t>Dayanıklılık</t>
        </is>
      </c>
      <c r="E1836" s="5" t="inlineStr">
        <is>
          <t>Zor</t>
        </is>
      </c>
      <c r="F1836" s="5" t="inlineStr"/>
      <c r="G1836" s="6" t="inlineStr"/>
      <c r="H1836" s="6" t="inlineStr">
        <is>
          <t>Giysileri katlayıp ihtiyacı olanlara gönderdin. Bir hırkayı ayırdın; o dolapta kalacak.</t>
        </is>
      </c>
      <c r="I1836" s="6" t="inlineStr">
        <is>
          <t>Her şeyi tek tek katladın. Ceketinin cebinden kırk yıllık bir not çıktı, senin el yazınla: 'Akşam erken gel.' Notu cüzdanına koydun, kalanını gönül rahatlığıyla verdin.</t>
        </is>
      </c>
      <c r="J1836" s="6" t="inlineStr">
        <is>
          <t>Dolabı açtın, kokusu yüzüne çarptı. Kapağı kapattın. Belki gelecek ay.</t>
        </is>
      </c>
      <c r="K1836" s="6" t="inlineStr">
        <is>
          <t>Her şeyi bir günde koli koli verdin. Akşam onun terliğini aradın; o da gitmişti. Ertesi sabah derneğin kapısında, kolilerin arasında terlik arıyordun.</t>
        </is>
      </c>
      <c r="L1836" s="6" t="inlineStr"/>
      <c r="M1836" s="5" t="inlineStr"/>
      <c r="N1836" s="5" t="inlineStr"/>
      <c r="O1836" s="6" t="inlineStr"/>
      <c r="P1836" s="6" t="inlineStr"/>
      <c r="Q1836" s="5" t="inlineStr"/>
      <c r="R1836" s="5" t="inlineStr"/>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row>
  </sheetData>
  <autoFilter ref="A1:AI1836"/>
  <dataValidations count="4">
    <dataValidation sqref="D2:D2235" showDropDown="0" showInputMessage="0" showErrorMessage="1" allowBlank="1" errorTitle="Geçersiz değer" error="Listeden bir değer seçin." type="list">
      <formula1>"Akıl,Çene,Kurnazlık,Cesaret,Pişkinlik,İtibar,Gönül,Dayanıklılık,Sosyal Radar"</formula1>
    </dataValidation>
    <dataValidation sqref="E2:E2235" showDropDown="0" showInputMessage="0" showErrorMessage="1" allowBlank="1" errorTitle="Geçersiz değer" error="Listeden bir değer seçin." type="list">
      <formula1>"Çok Kolay,Kolay,Orta,Zor,Çok Zor"</formula1>
    </dataValidation>
    <dataValidation sqref="M2:M2235" showDropDown="0" showInputMessage="0" showErrorMessage="1" allowBlank="1" errorTitle="Geçersiz değer" error="Listeden bir değer seçin." type="list">
      <formula1>"timing,hold,collect,race,memory,cups,doors,rhythm,lanes,simon,poker,trace,bargain,swipe,breath,balance"</formula1>
    </dataValidation>
    <dataValidation sqref="S2:S2235"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Bu yetişkin sana güveniyor. Bu, işi hem kolaylaştırıyor hem zorlaştırıyor.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Karşıdaki annenin gülümsemesi 'Bizimki de okuyor' diyor. Gözleri 'Ama sizinki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Hayatta bazı yokuşlar bir kez kaydırılır. Genelde son kez değil. Genelde.</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Seçim kampanyalarına hoş geldin.</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Bu bir hata değil, bir geri bildirim.</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Bu hem bir tehdit hem de tertemiz bir sicil.</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Tartışmak için resmî izin belgesi.</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Enflasyon bu zarfı her gün biraz daha inceltiyor. Beklemek de bir harcama türüdür.</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Bacakların itiraz edecek. Bordro da.</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Sıralama önemli. Duygular değil.</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Önemli olan jest.</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cümlesi, istatistiklere göre ortalama yedi imza, iki fotokopi ve bir amir onayı demek.</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Liderlik sinyali verirsin. Ya da tayin sinyali.</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kazanımdır. Performansını buna göre ayarla.</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Bu klasik bir sıfır toplamlı oyun. Kazanan tek taraf otoyol işletmesi.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Çocuklar ateşlenir, iner. Ebeveyn ateşlenir, inmez.</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emoji bile atsan, varlık sinyali verirsin. Sinyal ver, sonra kaybol.</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sonsuz özgürlük. Bir de sonsuz sigorta primi.</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Berber üç kez 'Hiç önemli değil' dedi. Önemli olmasa bir kez derdi.</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on dört yaşında olduğu gibi.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pizza bir gecede yanardı. Şimdi bir pizza,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emeğin karşılığı alınmayan hâlidir. Ekipman yine de peşin ödenir.</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olan her şeyin bir bedeli vardır; bu seferki zamanlama.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'Doktora sormadan bırakmayın.' Sistem bu üç kurala dayanır.</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'Bu benim babama benziyor' yazmış. Hem hakaret hem iltifat.</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de yıllardır bir asistanın asistanıydın. Tanıdık bir ilişki.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görsellerini paylaşıp gülüyorlar. Sen onlar için bir içerik üreticisisin.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 kişisi bu akşam kimseyle konuşmadı. En sessizi ise üç şirket kurmuş. Zaman adil değil ama yaratıcı.</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Saksılarla sınır ihlali yapılabilir.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Bu bir ödül mü, bilinmiyor.</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demirbaş ayrı, müşteri portföyü ayrı. Müdavimi de listeye yaz; o bir varlık.</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tartışmaları kışın unutulur. Yazın her gün yeniden başlar. Mevsimlik bir çatışma bu.</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Tanıdık sana 'danışman' diyor. Danışman ücretinden değil, tecrübenden bahsediyor. Farkı hesapla.</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asker!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Kaldır onu, asker.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Dizler gitti, ses gitti.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1"/>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Ev halkı hâlâ o vazo meselesinde kediye inanmadı.</t>
        </is>
      </c>
    </row>
    <row r="5">
      <c r="A5" s="5" t="inlineStr">
        <is>
          <t>ilk-gercek-yalan</t>
        </is>
      </c>
      <c r="B5" s="5" t="inlineStr">
        <is>
          <t>yalanci</t>
        </is>
      </c>
      <c r="C5" s="6" t="inlineStr">
        <is>
          <t>'Kim yaptı?' dosyası hâlâ açık.</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alt kattaki teyze onun teyzesiymiş.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Kedi vazo davasını hatırlıyor olabilir.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Tepsiyle kayak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Yaratıcı açıklamalar dosyan kalın. Kaleminin ucu kendiliğinden kıpırdadı.</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Mal varlığı beyanını okuyan katip bir süre sustu, sonra 'Borçlar da miras kalır' diye nazikçe hatırlattı.</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gençlikteki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Düğün kısa bir süreliğine duraksadı.</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gençlikteki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Borç batağının son halkası kırıldı. Kredi kartın senden daha uzun yaşayacaktı ama bugün değil.</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seni tanıdı ve ücretsiz rötuş teklif etti. Takipçi etkisi hâlâ sürüyor.</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Akademide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Kırk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 babası oldun; düğün tarihleri de artık senin işin.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Akademinin salonları kitabın ilk okurları. Hepsi yedinci bölümü sormak için sırada.</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Borçların da buluşmaya gelmiş; ön sırada oturuyorlar.</t>
        </is>
      </c>
    </row>
    <row r="359">
      <c r="A359" s="5" t="inlineStr">
        <is>
          <t>b8-girisim-kurul</t>
        </is>
      </c>
      <c r="B359" s="5" t="inlineStr">
        <is>
          <t>girisim-pivotcu</t>
        </is>
      </c>
      <c r="C359" s="6" t="inlineStr">
        <is>
          <t>Yıllar önce bir gecede pivot yapmıştın; kurul hâlâ bir tane daha bekliyor.</t>
        </is>
      </c>
    </row>
    <row r="360">
      <c r="A360" s="5" t="inlineStr">
        <is>
          <t>b8-girisim-kurul</t>
        </is>
      </c>
      <c r="B360" s="5" t="inlineStr">
        <is>
          <t>holding</t>
        </is>
      </c>
      <c r="C360" s="6" t="inlineStr">
        <is>
          <t>Şirketin artık bir grup; kurul toplantısı üç gün sürüyor.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rozeti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Mektupta adın iki farklı yazılmış.</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tanıdı: “Keçili adam!”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Sen de çıraktın. Ustanın ilk sözü “Önce süpür” olmuştu; aynı süpürgeyi buldun.</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dükkânında üç lift var; bu araba hiçbirine sığmadı, çok hafif.</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bir çeyrek takmıştı. Eşin bunu sana hatırlattı; iki kez.</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“Duvara güneş çizdi, suçu kuzenine attı.”</t>
        </is>
      </c>
    </row>
    <row r="5">
      <c r="A5" s="5" t="inlineStr">
        <is>
          <t>sirVerdi</t>
        </is>
      </c>
      <c r="B5" s="6" t="inlineStr">
        <is>
          <t>Kreşte bir arkadaşının sırrını yaydı.</t>
        </is>
      </c>
      <c r="C5" s="6" t="inlineStr"/>
      <c r="D5" s="6" t="inlineStr">
        <is>
          <t>“Kreşte bir sır duydu, akşama bütün kreş duydu.”</t>
        </is>
      </c>
    </row>
    <row r="6">
      <c r="A6" s="5" t="inlineStr">
        <is>
          <t>cesurPark</t>
        </is>
      </c>
      <c r="B6" s="6" t="inlineStr">
        <is>
          <t>Parktaki büyük çocuğa kafa tuttu.</t>
        </is>
      </c>
      <c r="C6" s="6" t="inlineStr"/>
      <c r="D6" s="6" t="inlineStr">
        <is>
          <t>“Parktaki koca çocuğa ‘Burası herkesin!’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tepsi tekelini elinde tuttu.</t>
        </is>
      </c>
      <c r="C11" s="6" t="inlineStr"/>
      <c r="D11" s="6" t="inlineStr">
        <is>
          <t>“Mahallenin bütün tepsileri bir kış onda kaldı.”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row>
    <row r="27">
      <c r="A27" s="5" t="inlineStr">
        <is>
          <t>takim-oyuncusu</t>
        </is>
      </c>
      <c r="B27" s="6" t="inlineStr">
        <is>
          <t>Okul takımının seçmelerini geçti; forma büyük geldi.</t>
        </is>
      </c>
      <c r="C27" s="6" t="inlineStr"/>
      <c r="D27" s="6" t="inlineStr"/>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“Altmışından sonra motosiklet aldı; kahvehane ayağa kalktı, biz yerimizde oturamadık.”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Kırk iki sayfalık bir fon başvurusunu kabul ettirdi.</t>
        </is>
      </c>
      <c r="C62" s="6" t="inlineStr"/>
      <c r="D62" s="6" t="inlineStr"/>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Emniyet Akademisi: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row>
    <row r="176">
      <c r="A176" s="5" t="inlineStr">
        <is>
          <t>iki-memleketli</t>
        </is>
      </c>
      <c r="B176" s="6" t="inlineStr">
        <is>
          <t>Kışları Öte Diyar'da, yazları memlekette geçirdi; iki mahallede de beklendi.</t>
        </is>
      </c>
      <c r="C176" s="6" t="inlineStr"/>
      <c r="D176" s="6" t="inlineStr"/>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“Belgeseldeki adam” olarak tanındı.</t>
        </is>
      </c>
      <c r="C183" s="6" t="inlineStr"/>
      <c r="D183" s="6" t="inlineStr"/>
    </row>
    <row r="184">
      <c r="A184" s="5" t="inlineStr">
        <is>
          <t>koy-hafizasi</t>
        </is>
      </c>
      <c r="B184" s="6" t="inlineStr">
        <is>
          <t>Köyün hikâyesini bir deftere yazdı.</t>
        </is>
      </c>
      <c r="C184" s="6" t="inlineStr"/>
      <c r="D184" s="6" t="inlineStr"/>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row>
    <row r="191">
      <c r="A191" s="5" t="inlineStr">
        <is>
          <t>ikiz</t>
        </is>
      </c>
      <c r="B191" s="6" t="inlineStr">
        <is>
          <t>İkiz babası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row>
    <row r="193">
      <c r="A193" s="5" t="inlineStr">
        <is>
          <t>aile-yardimi-ev</t>
        </is>
      </c>
      <c r="B193" s="6" t="inlineStr">
        <is>
          <t>Ailesinin yardımıyla ev sahibi oldu; anahtarın yedeği annesinde.</t>
        </is>
      </c>
      <c r="C193" s="6" t="inlineStr"/>
      <c r="D193" s="6" t="inlineStr"/>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ilk gün hediyeleri saydı.”</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2026-10-08T18:11:11Z</dcterms:created>
  <dcterms:modified xmlns:dcterms="http://purl.org/dc/terms/" xmlns:xsi="http://www.w3.org/2001/XMLSchema-instance" xsi:type="dcterms:W3CDTF">2026-10-08T18:11:15Z</dcterms:modified>
</cp:coreProperties>
</file>